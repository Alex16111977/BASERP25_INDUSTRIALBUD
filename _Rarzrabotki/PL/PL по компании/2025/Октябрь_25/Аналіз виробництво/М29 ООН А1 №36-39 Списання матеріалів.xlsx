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24226"/>
  <xr:revisionPtr revIDLastSave="0" documentId="13_ncr:1_{B991339B-FD7C-463F-A8D5-D578DBA316B2}" xr6:coauthVersionLast="45" xr6:coauthVersionMax="47" xr10:uidLastSave="{00000000-0000-0000-0000-000000000000}"/>
  <bookViews>
    <workbookView xWindow="-108" yWindow="-108" windowWidth="23256" windowHeight="12456" tabRatio="856" firstSheet="7" activeTab="10" xr2:uid="{00000000-000D-0000-FFFF-FFFF00000000}"/>
  </bookViews>
  <sheets>
    <sheet name="М29 №35 (2)" sheetId="102" state="hidden" r:id="rId1"/>
    <sheet name="М29 №29" sheetId="94" state="hidden" r:id="rId2"/>
    <sheet name="М29 №30" sheetId="95" state="hidden" r:id="rId3"/>
    <sheet name="М29 №31" sheetId="96" state="hidden" r:id="rId4"/>
    <sheet name="М29 №32" sheetId="97" state="hidden" r:id="rId5"/>
    <sheet name="М29 №33" sheetId="98" state="hidden" r:id="rId6"/>
    <sheet name="М29 №34" sheetId="100" state="hidden" r:id="rId7"/>
    <sheet name="М29 №36" sheetId="101" r:id="rId8"/>
    <sheet name="М29 №37" sheetId="103" r:id="rId9"/>
    <sheet name="М29 №38" sheetId="104" r:id="rId10"/>
    <sheet name="М29 №39" sheetId="105" r:id="rId11"/>
    <sheet name="М29 №1 (2)" sheetId="90" state="hidden" r:id="rId12"/>
    <sheet name="ПЕРЕВЕСТИ НА ВИРОБНИЧИЙ" sheetId="88" state="hidden" r:id="rId13"/>
  </sheets>
  <externalReferences>
    <externalReference r:id="rId14"/>
    <externalReference r:id="rId15"/>
  </externalReferences>
  <definedNames>
    <definedName name="_xlnm._FilterDatabase" localSheetId="11" hidden="1">'М29 №1 (2)'!$L$18:$P$243</definedName>
    <definedName name="_xlnm._FilterDatabase" localSheetId="1" hidden="1">'М29 №29'!$A$18:$T$485</definedName>
    <definedName name="_xlnm._FilterDatabase" localSheetId="2" hidden="1">'М29 №30'!$A$18:$U$465</definedName>
    <definedName name="_xlnm._FilterDatabase" localSheetId="3" hidden="1">'М29 №31'!$A$18:$U$461</definedName>
    <definedName name="_xlnm._FilterDatabase" localSheetId="4" hidden="1">'М29 №32'!$A$18:$U$475</definedName>
    <definedName name="_xlnm._FilterDatabase" localSheetId="5" hidden="1">'М29 №33'!$A$18:$U$496</definedName>
    <definedName name="_xlnm._FilterDatabase" localSheetId="6" hidden="1">'М29 №34'!$A$18:$U$500</definedName>
    <definedName name="_xlnm._FilterDatabase" localSheetId="0" hidden="1">'М29 №35 (2)'!$A$18:$U$483</definedName>
    <definedName name="_xlnm._FilterDatabase" localSheetId="7" hidden="1">'М29 №36'!$A$18:$U$460</definedName>
    <definedName name="_xlnm._FilterDatabase" localSheetId="8" hidden="1">'М29 №37'!$A$18:$U$452</definedName>
    <definedName name="_xlnm._FilterDatabase" localSheetId="9" hidden="1">'М29 №38'!$A$18:$U$450</definedName>
    <definedName name="_xlnm._FilterDatabase" localSheetId="10" hidden="1">'М29 №39'!$A$18:$U$443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431" i="105" l="1"/>
  <c r="Q430" i="105"/>
  <c r="Q338" i="105"/>
  <c r="D430" i="105"/>
  <c r="Q438" i="104"/>
  <c r="Q437" i="104"/>
  <c r="Q344" i="104"/>
  <c r="D437" i="104"/>
  <c r="Q440" i="103"/>
  <c r="Q439" i="103"/>
  <c r="D439" i="103"/>
  <c r="Q345" i="103"/>
  <c r="Q448" i="101"/>
  <c r="Q447" i="101"/>
  <c r="Q352" i="101"/>
  <c r="Q470" i="102"/>
  <c r="Q471" i="102" s="1"/>
  <c r="D470" i="102"/>
  <c r="Q360" i="102"/>
  <c r="Q343" i="96" l="1"/>
  <c r="Q342" i="95"/>
  <c r="Q366" i="98" l="1"/>
  <c r="P357" i="94"/>
  <c r="Q487" i="100" l="1"/>
  <c r="Q483" i="98"/>
  <c r="Q462" i="97"/>
  <c r="Q448" i="96"/>
  <c r="Q452" i="95"/>
  <c r="P472" i="94"/>
  <c r="D447" i="101" l="1"/>
  <c r="Q368" i="100"/>
  <c r="Q488" i="100" s="1"/>
  <c r="D487" i="100"/>
  <c r="Q484" i="98" l="1"/>
  <c r="D483" i="98"/>
  <c r="D462" i="97"/>
  <c r="D463" i="97" s="1"/>
  <c r="Q340" i="97"/>
  <c r="Q463" i="97" s="1"/>
  <c r="Q449" i="96"/>
  <c r="D448" i="96"/>
  <c r="Q453" i="95"/>
  <c r="D452" i="95"/>
  <c r="P473" i="94"/>
  <c r="C472" i="94" l="1"/>
  <c r="Q406" i="90"/>
  <c r="O406" i="90"/>
  <c r="O407" i="90" s="1"/>
  <c r="D406" i="90"/>
  <c r="D407" i="90" s="1"/>
  <c r="H273" i="90"/>
  <c r="R269" i="90"/>
  <c r="P269" i="90"/>
  <c r="Q269" i="90" s="1"/>
  <c r="R268" i="90"/>
  <c r="P268" i="90"/>
  <c r="Q268" i="90" s="1"/>
  <c r="R267" i="90"/>
  <c r="P267" i="90"/>
  <c r="Q267" i="90" s="1"/>
  <c r="R266" i="90"/>
  <c r="P266" i="90"/>
  <c r="Q266" i="90" s="1"/>
  <c r="R265" i="90"/>
  <c r="P265" i="90"/>
  <c r="Q265" i="90" s="1"/>
  <c r="R264" i="90"/>
  <c r="Q264" i="90"/>
  <c r="P264" i="90"/>
  <c r="R263" i="90"/>
  <c r="P263" i="90"/>
  <c r="Q263" i="90" s="1"/>
  <c r="R262" i="90"/>
  <c r="P262" i="90"/>
  <c r="Q262" i="90" s="1"/>
  <c r="R261" i="90"/>
  <c r="P261" i="90"/>
  <c r="Q261" i="90" s="1"/>
  <c r="R260" i="90"/>
  <c r="P260" i="90"/>
  <c r="Q260" i="90" s="1"/>
  <c r="R259" i="90"/>
  <c r="P259" i="90"/>
  <c r="Q259" i="90" s="1"/>
  <c r="R258" i="90"/>
  <c r="P258" i="90"/>
  <c r="Q258" i="90" s="1"/>
  <c r="R257" i="90"/>
  <c r="P257" i="90"/>
  <c r="Q257" i="90" s="1"/>
  <c r="R256" i="90"/>
  <c r="Q256" i="90"/>
  <c r="P256" i="90"/>
  <c r="R255" i="90"/>
  <c r="P255" i="90"/>
  <c r="Q255" i="90" s="1"/>
  <c r="R254" i="90"/>
  <c r="P254" i="90"/>
  <c r="Q254" i="90" s="1"/>
  <c r="R253" i="90"/>
  <c r="P253" i="90"/>
  <c r="Q253" i="90" s="1"/>
  <c r="R252" i="90"/>
  <c r="P252" i="90"/>
  <c r="Q252" i="90" s="1"/>
  <c r="R251" i="90"/>
  <c r="Q251" i="90"/>
  <c r="P251" i="90"/>
  <c r="R250" i="90"/>
  <c r="P250" i="90"/>
  <c r="Q250" i="90" s="1"/>
  <c r="R249" i="90"/>
  <c r="P249" i="90"/>
  <c r="Q249" i="90" s="1"/>
  <c r="R248" i="90"/>
  <c r="Q248" i="90"/>
  <c r="P248" i="90"/>
  <c r="R247" i="90"/>
  <c r="P247" i="90"/>
  <c r="Q247" i="90" s="1"/>
  <c r="R246" i="90"/>
  <c r="P246" i="90"/>
  <c r="Q246" i="90" s="1"/>
  <c r="R245" i="90"/>
  <c r="P245" i="90"/>
  <c r="Q245" i="90" s="1"/>
  <c r="R244" i="90"/>
  <c r="Q244" i="90"/>
  <c r="P244" i="90"/>
  <c r="R243" i="90"/>
  <c r="P243" i="90"/>
  <c r="Q243" i="90" s="1"/>
  <c r="R242" i="90"/>
  <c r="P242" i="90"/>
  <c r="Q242" i="90" s="1"/>
  <c r="R241" i="90"/>
  <c r="P241" i="90"/>
  <c r="Q241" i="90" s="1"/>
  <c r="O241" i="90"/>
  <c r="R240" i="90"/>
  <c r="P240" i="90"/>
  <c r="Q240" i="90" s="1"/>
  <c r="O240" i="90"/>
  <c r="R239" i="90"/>
  <c r="P239" i="90"/>
  <c r="Q239" i="90" s="1"/>
  <c r="R238" i="90"/>
  <c r="Q238" i="90"/>
  <c r="P238" i="90"/>
  <c r="R237" i="90"/>
  <c r="P237" i="90"/>
  <c r="Q237" i="90" s="1"/>
  <c r="R236" i="90"/>
  <c r="P236" i="90"/>
  <c r="Q236" i="90" s="1"/>
  <c r="R235" i="90"/>
  <c r="P235" i="90"/>
  <c r="Q235" i="90" s="1"/>
  <c r="R234" i="90"/>
  <c r="P234" i="90"/>
  <c r="Q234" i="90" s="1"/>
  <c r="R233" i="90"/>
  <c r="Q233" i="90"/>
  <c r="P233" i="90"/>
  <c r="R232" i="90"/>
  <c r="P232" i="90"/>
  <c r="Q232" i="90" s="1"/>
  <c r="R231" i="90"/>
  <c r="P231" i="90"/>
  <c r="Q231" i="90" s="1"/>
  <c r="R230" i="90"/>
  <c r="P230" i="90"/>
  <c r="Q230" i="90" s="1"/>
  <c r="R229" i="90"/>
  <c r="P229" i="90"/>
  <c r="Q229" i="90" s="1"/>
  <c r="R228" i="90"/>
  <c r="P228" i="90"/>
  <c r="Q228" i="90" s="1"/>
  <c r="R227" i="90"/>
  <c r="P227" i="90"/>
  <c r="Q227" i="90" s="1"/>
  <c r="R226" i="90"/>
  <c r="P226" i="90"/>
  <c r="Q226" i="90" s="1"/>
  <c r="R225" i="90"/>
  <c r="P225" i="90"/>
  <c r="Q225" i="90" s="1"/>
  <c r="R224" i="90"/>
  <c r="P224" i="90"/>
  <c r="Q224" i="90" s="1"/>
  <c r="R223" i="90"/>
  <c r="P223" i="90"/>
  <c r="Q223" i="90" s="1"/>
  <c r="R222" i="90"/>
  <c r="P222" i="90"/>
  <c r="Q222" i="90" s="1"/>
  <c r="R221" i="90"/>
  <c r="P221" i="90"/>
  <c r="Q221" i="90" s="1"/>
  <c r="R220" i="90"/>
  <c r="P220" i="90"/>
  <c r="Q220" i="90" s="1"/>
  <c r="R219" i="90"/>
  <c r="P219" i="90"/>
  <c r="Q219" i="90" s="1"/>
  <c r="R218" i="90"/>
  <c r="P218" i="90"/>
  <c r="Q218" i="90" s="1"/>
  <c r="R217" i="90"/>
  <c r="Q217" i="90"/>
  <c r="P217" i="90"/>
  <c r="R216" i="90"/>
  <c r="P216" i="90"/>
  <c r="Q216" i="90" s="1"/>
  <c r="R215" i="90"/>
  <c r="P215" i="90"/>
  <c r="Q215" i="90" s="1"/>
  <c r="R214" i="90"/>
  <c r="Q214" i="90"/>
  <c r="P214" i="90"/>
  <c r="R213" i="90"/>
  <c r="P213" i="90"/>
  <c r="Q213" i="90" s="1"/>
  <c r="R212" i="90"/>
  <c r="P212" i="90"/>
  <c r="Q212" i="90" s="1"/>
  <c r="R211" i="90"/>
  <c r="P211" i="90"/>
  <c r="Q211" i="90" s="1"/>
  <c r="R210" i="90"/>
  <c r="Q210" i="90"/>
  <c r="P210" i="90"/>
  <c r="R209" i="90"/>
  <c r="P209" i="90"/>
  <c r="Q209" i="90" s="1"/>
  <c r="R208" i="90"/>
  <c r="P208" i="90"/>
  <c r="Q208" i="90" s="1"/>
  <c r="R207" i="90"/>
  <c r="P207" i="90"/>
  <c r="Q207" i="90" s="1"/>
  <c r="R206" i="90"/>
  <c r="Q206" i="90"/>
  <c r="P206" i="90"/>
  <c r="R205" i="90"/>
  <c r="P205" i="90"/>
  <c r="Q205" i="90" s="1"/>
  <c r="R204" i="90"/>
  <c r="P204" i="90"/>
  <c r="Q204" i="90" s="1"/>
  <c r="R203" i="90"/>
  <c r="P203" i="90"/>
  <c r="Q203" i="90" s="1"/>
  <c r="R202" i="90"/>
  <c r="P202" i="90"/>
  <c r="Q202" i="90" s="1"/>
  <c r="R201" i="90"/>
  <c r="P201" i="90"/>
  <c r="Q201" i="90" s="1"/>
  <c r="R200" i="90"/>
  <c r="P200" i="90"/>
  <c r="Q200" i="90" s="1"/>
  <c r="R199" i="90"/>
  <c r="P199" i="90"/>
  <c r="Q199" i="90" s="1"/>
  <c r="R198" i="90"/>
  <c r="P198" i="90"/>
  <c r="Q198" i="90" s="1"/>
  <c r="R197" i="90"/>
  <c r="P197" i="90"/>
  <c r="Q197" i="90" s="1"/>
  <c r="R196" i="90"/>
  <c r="P196" i="90"/>
  <c r="Q196" i="90" s="1"/>
  <c r="R195" i="90"/>
  <c r="P195" i="90"/>
  <c r="Q195" i="90" s="1"/>
  <c r="R194" i="90"/>
  <c r="P194" i="90"/>
  <c r="Q194" i="90" s="1"/>
  <c r="R193" i="90"/>
  <c r="P193" i="90"/>
  <c r="Q193" i="90" s="1"/>
  <c r="R192" i="90"/>
  <c r="P192" i="90"/>
  <c r="Q192" i="90" s="1"/>
  <c r="R191" i="90"/>
  <c r="P191" i="90"/>
  <c r="Q191" i="90" s="1"/>
  <c r="R190" i="90"/>
  <c r="Q190" i="90"/>
  <c r="P190" i="90"/>
  <c r="R189" i="90"/>
  <c r="P189" i="90"/>
  <c r="Q189" i="90" s="1"/>
  <c r="R188" i="90"/>
  <c r="P188" i="90"/>
  <c r="Q188" i="90" s="1"/>
  <c r="R187" i="90"/>
  <c r="P187" i="90"/>
  <c r="Q187" i="90" s="1"/>
  <c r="R186" i="90"/>
  <c r="P186" i="90"/>
  <c r="Q186" i="90" s="1"/>
  <c r="O186" i="90"/>
  <c r="R185" i="90"/>
  <c r="P185" i="90"/>
  <c r="Q185" i="90" s="1"/>
  <c r="R184" i="90"/>
  <c r="P184" i="90"/>
  <c r="Q184" i="90" s="1"/>
  <c r="R183" i="90"/>
  <c r="P183" i="90"/>
  <c r="Q183" i="90" s="1"/>
  <c r="R182" i="90"/>
  <c r="P182" i="90"/>
  <c r="Q182" i="90" s="1"/>
  <c r="R181" i="90"/>
  <c r="P181" i="90"/>
  <c r="Q181" i="90" s="1"/>
  <c r="R180" i="90"/>
  <c r="P180" i="90"/>
  <c r="Q180" i="90" s="1"/>
  <c r="R179" i="90"/>
  <c r="P179" i="90"/>
  <c r="Q179" i="90" s="1"/>
  <c r="R178" i="90"/>
  <c r="P178" i="90"/>
  <c r="Q178" i="90" s="1"/>
  <c r="R177" i="90"/>
  <c r="P177" i="90"/>
  <c r="Q177" i="90" s="1"/>
  <c r="R176" i="90"/>
  <c r="P176" i="90"/>
  <c r="Q176" i="90" s="1"/>
  <c r="R175" i="90"/>
  <c r="P175" i="90"/>
  <c r="Q175" i="90" s="1"/>
  <c r="R174" i="90"/>
  <c r="P174" i="90"/>
  <c r="Q174" i="90" s="1"/>
  <c r="R173" i="90"/>
  <c r="Q173" i="90"/>
  <c r="P173" i="90"/>
  <c r="R172" i="90"/>
  <c r="P172" i="90"/>
  <c r="Q172" i="90" s="1"/>
  <c r="R171" i="90"/>
  <c r="P171" i="90"/>
  <c r="Q171" i="90" s="1"/>
  <c r="R170" i="90"/>
  <c r="P170" i="90"/>
  <c r="Q170" i="90" s="1"/>
  <c r="R169" i="90"/>
  <c r="P169" i="90"/>
  <c r="Q169" i="90" s="1"/>
  <c r="R168" i="90"/>
  <c r="P168" i="90"/>
  <c r="Q168" i="90" s="1"/>
  <c r="R167" i="90"/>
  <c r="P167" i="90"/>
  <c r="Q167" i="90" s="1"/>
  <c r="R166" i="90"/>
  <c r="P166" i="90"/>
  <c r="Q166" i="90" s="1"/>
  <c r="R165" i="90"/>
  <c r="Q165" i="90"/>
  <c r="P165" i="90"/>
  <c r="R164" i="90"/>
  <c r="P164" i="90"/>
  <c r="Q164" i="90" s="1"/>
  <c r="R163" i="90"/>
  <c r="P163" i="90"/>
  <c r="Q163" i="90" s="1"/>
  <c r="R162" i="90"/>
  <c r="P162" i="90"/>
  <c r="Q162" i="90" s="1"/>
  <c r="R161" i="90"/>
  <c r="Q161" i="90"/>
  <c r="P161" i="90"/>
  <c r="R160" i="90"/>
  <c r="P160" i="90"/>
  <c r="Q160" i="90" s="1"/>
  <c r="R159" i="90"/>
  <c r="P159" i="90"/>
  <c r="Q159" i="90" s="1"/>
  <c r="R158" i="90"/>
  <c r="P158" i="90"/>
  <c r="Q158" i="90" s="1"/>
  <c r="R157" i="90"/>
  <c r="P157" i="90"/>
  <c r="Q157" i="90" s="1"/>
  <c r="R156" i="90"/>
  <c r="Q156" i="90"/>
  <c r="R155" i="90"/>
  <c r="P155" i="90"/>
  <c r="Q155" i="90" s="1"/>
  <c r="R154" i="90"/>
  <c r="Q154" i="90"/>
  <c r="P154" i="90"/>
  <c r="R153" i="90"/>
  <c r="Q153" i="90"/>
  <c r="P153" i="90"/>
  <c r="R152" i="90"/>
  <c r="P152" i="90"/>
  <c r="Q152" i="90" s="1"/>
  <c r="R151" i="90"/>
  <c r="P151" i="90"/>
  <c r="Q151" i="90" s="1"/>
  <c r="R150" i="90"/>
  <c r="P150" i="90"/>
  <c r="Q150" i="90" s="1"/>
  <c r="R149" i="90"/>
  <c r="P149" i="90"/>
  <c r="Q149" i="90" s="1"/>
  <c r="R148" i="90"/>
  <c r="P148" i="90"/>
  <c r="Q148" i="90" s="1"/>
  <c r="R147" i="90"/>
  <c r="P147" i="90"/>
  <c r="Q147" i="90" s="1"/>
  <c r="R146" i="90"/>
  <c r="Q146" i="90"/>
  <c r="P146" i="90"/>
  <c r="R145" i="90"/>
  <c r="Q145" i="90"/>
  <c r="P145" i="90"/>
  <c r="R144" i="90"/>
  <c r="P144" i="90"/>
  <c r="Q144" i="90" s="1"/>
  <c r="R143" i="90"/>
  <c r="P143" i="90"/>
  <c r="Q143" i="90" s="1"/>
  <c r="R142" i="90"/>
  <c r="P142" i="90"/>
  <c r="Q142" i="90" s="1"/>
  <c r="R141" i="90"/>
  <c r="P141" i="90"/>
  <c r="Q141" i="90" s="1"/>
  <c r="R140" i="90"/>
  <c r="P140" i="90"/>
  <c r="Q140" i="90" s="1"/>
  <c r="R139" i="90"/>
  <c r="P139" i="90"/>
  <c r="Q139" i="90" s="1"/>
  <c r="R138" i="90"/>
  <c r="Q138" i="90"/>
  <c r="P138" i="90"/>
  <c r="R137" i="90"/>
  <c r="P137" i="90"/>
  <c r="Q137" i="90" s="1"/>
  <c r="R136" i="90"/>
  <c r="P136" i="90"/>
  <c r="Q136" i="90" s="1"/>
  <c r="R135" i="90"/>
  <c r="P135" i="90"/>
  <c r="Q135" i="90" s="1"/>
  <c r="R134" i="90"/>
  <c r="Q134" i="90"/>
  <c r="P134" i="90"/>
  <c r="R133" i="90"/>
  <c r="P133" i="90"/>
  <c r="Q133" i="90" s="1"/>
  <c r="R132" i="90"/>
  <c r="P132" i="90"/>
  <c r="Q132" i="90" s="1"/>
  <c r="R131" i="90"/>
  <c r="P131" i="90"/>
  <c r="Q131" i="90" s="1"/>
  <c r="R130" i="90"/>
  <c r="P130" i="90"/>
  <c r="Q130" i="90" s="1"/>
  <c r="R129" i="90"/>
  <c r="Q129" i="90"/>
  <c r="P129" i="90"/>
  <c r="R128" i="90"/>
  <c r="P128" i="90"/>
  <c r="Q128" i="90" s="1"/>
  <c r="R127" i="90"/>
  <c r="P127" i="90"/>
  <c r="Q127" i="90" s="1"/>
  <c r="R126" i="90"/>
  <c r="Q126" i="90"/>
  <c r="P126" i="90"/>
  <c r="R125" i="90"/>
  <c r="P125" i="90"/>
  <c r="Q125" i="90" s="1"/>
  <c r="R124" i="90"/>
  <c r="P124" i="90"/>
  <c r="Q124" i="90" s="1"/>
  <c r="R123" i="90"/>
  <c r="P123" i="90"/>
  <c r="Q123" i="90" s="1"/>
  <c r="R122" i="90"/>
  <c r="Q122" i="90"/>
  <c r="P122" i="90"/>
  <c r="R121" i="90"/>
  <c r="P121" i="90"/>
  <c r="Q121" i="90" s="1"/>
  <c r="R120" i="90"/>
  <c r="P120" i="90"/>
  <c r="Q120" i="90" s="1"/>
  <c r="R119" i="90"/>
  <c r="P119" i="90"/>
  <c r="Q119" i="90" s="1"/>
  <c r="R118" i="90"/>
  <c r="Q118" i="90"/>
  <c r="P118" i="90"/>
  <c r="R117" i="90"/>
  <c r="P117" i="90"/>
  <c r="Q117" i="90" s="1"/>
  <c r="R116" i="90"/>
  <c r="P116" i="90"/>
  <c r="Q116" i="90" s="1"/>
  <c r="R115" i="90"/>
  <c r="P115" i="90"/>
  <c r="Q115" i="90" s="1"/>
  <c r="R114" i="90"/>
  <c r="P114" i="90"/>
  <c r="Q114" i="90" s="1"/>
  <c r="R113" i="90"/>
  <c r="P113" i="90"/>
  <c r="Q113" i="90" s="1"/>
  <c r="R112" i="90"/>
  <c r="P112" i="90"/>
  <c r="Q112" i="90" s="1"/>
  <c r="R111" i="90"/>
  <c r="P111" i="90"/>
  <c r="Q111" i="90" s="1"/>
  <c r="R110" i="90"/>
  <c r="P110" i="90"/>
  <c r="Q110" i="90" s="1"/>
  <c r="R109" i="90"/>
  <c r="P109" i="90"/>
  <c r="Q109" i="90" s="1"/>
  <c r="R108" i="90"/>
  <c r="P108" i="90"/>
  <c r="Q108" i="90" s="1"/>
  <c r="R107" i="90"/>
  <c r="P107" i="90"/>
  <c r="Q107" i="90" s="1"/>
  <c r="R106" i="90"/>
  <c r="Q106" i="90"/>
  <c r="P106" i="90"/>
  <c r="R105" i="90"/>
  <c r="Q105" i="90"/>
  <c r="P105" i="90"/>
  <c r="R104" i="90"/>
  <c r="P104" i="90"/>
  <c r="Q104" i="90" s="1"/>
  <c r="R103" i="90"/>
  <c r="P103" i="90"/>
  <c r="Q103" i="90" s="1"/>
  <c r="R102" i="90"/>
  <c r="Q102" i="90"/>
  <c r="P102" i="90"/>
  <c r="R101" i="90"/>
  <c r="P101" i="90"/>
  <c r="Q101" i="90" s="1"/>
  <c r="R100" i="90"/>
  <c r="P100" i="90"/>
  <c r="Q100" i="90" s="1"/>
  <c r="R99" i="90"/>
  <c r="P99" i="90"/>
  <c r="Q99" i="90" s="1"/>
  <c r="R98" i="90"/>
  <c r="P98" i="90"/>
  <c r="Q98" i="90" s="1"/>
  <c r="R97" i="90"/>
  <c r="P97" i="90"/>
  <c r="Q97" i="90" s="1"/>
  <c r="R96" i="90"/>
  <c r="P96" i="90"/>
  <c r="Q96" i="90" s="1"/>
  <c r="R95" i="90"/>
  <c r="P95" i="90"/>
  <c r="Q95" i="90" s="1"/>
  <c r="R94" i="90"/>
  <c r="P94" i="90"/>
  <c r="Q94" i="90" s="1"/>
  <c r="R93" i="90"/>
  <c r="P93" i="90"/>
  <c r="Q93" i="90" s="1"/>
  <c r="R92" i="90"/>
  <c r="P92" i="90"/>
  <c r="Q92" i="90" s="1"/>
  <c r="R91" i="90"/>
  <c r="P91" i="90"/>
  <c r="Q91" i="90" s="1"/>
  <c r="R90" i="90"/>
  <c r="Q90" i="90"/>
  <c r="P90" i="90"/>
  <c r="R89" i="90"/>
  <c r="Q89" i="90"/>
  <c r="P89" i="90"/>
  <c r="R88" i="90"/>
  <c r="P88" i="90"/>
  <c r="Q88" i="90" s="1"/>
  <c r="R87" i="90"/>
  <c r="P87" i="90"/>
  <c r="Q87" i="90" s="1"/>
  <c r="R86" i="90"/>
  <c r="Q86" i="90"/>
  <c r="P86" i="90"/>
  <c r="R85" i="90"/>
  <c r="P85" i="90"/>
  <c r="Q85" i="90" s="1"/>
  <c r="R84" i="90"/>
  <c r="P84" i="90"/>
  <c r="Q84" i="90" s="1"/>
  <c r="R83" i="90"/>
  <c r="P83" i="90"/>
  <c r="Q83" i="90" s="1"/>
  <c r="R82" i="90"/>
  <c r="P82" i="90"/>
  <c r="Q82" i="90" s="1"/>
  <c r="R81" i="90"/>
  <c r="P81" i="90"/>
  <c r="Q81" i="90" s="1"/>
  <c r="R80" i="90"/>
  <c r="P80" i="90"/>
  <c r="Q80" i="90" s="1"/>
  <c r="R79" i="90"/>
  <c r="P79" i="90"/>
  <c r="Q79" i="90" s="1"/>
  <c r="R78" i="90"/>
  <c r="P78" i="90"/>
  <c r="Q78" i="90" s="1"/>
  <c r="R77" i="90"/>
  <c r="P77" i="90"/>
  <c r="Q77" i="90" s="1"/>
  <c r="R76" i="90"/>
  <c r="P76" i="90"/>
  <c r="Q76" i="90" s="1"/>
  <c r="R75" i="90"/>
  <c r="P75" i="90"/>
  <c r="Q75" i="90" s="1"/>
  <c r="R74" i="90"/>
  <c r="Q74" i="90"/>
  <c r="P74" i="90"/>
  <c r="R73" i="90"/>
  <c r="Q73" i="90"/>
  <c r="P73" i="90"/>
  <c r="R72" i="90"/>
  <c r="P72" i="90"/>
  <c r="Q72" i="90" s="1"/>
  <c r="R71" i="90"/>
  <c r="P71" i="90"/>
  <c r="Q71" i="90" s="1"/>
  <c r="R70" i="90"/>
  <c r="Q70" i="90"/>
  <c r="P70" i="90"/>
  <c r="R69" i="90"/>
  <c r="P69" i="90"/>
  <c r="Q69" i="90" s="1"/>
  <c r="R68" i="90"/>
  <c r="P68" i="90"/>
  <c r="Q68" i="90" s="1"/>
  <c r="R67" i="90"/>
  <c r="P67" i="90"/>
  <c r="Q67" i="90" s="1"/>
  <c r="R66" i="90"/>
  <c r="P66" i="90"/>
  <c r="Q66" i="90" s="1"/>
  <c r="R65" i="90"/>
  <c r="P65" i="90"/>
  <c r="Q65" i="90" s="1"/>
  <c r="R64" i="90"/>
  <c r="P64" i="90"/>
  <c r="Q64" i="90" s="1"/>
  <c r="O64" i="90"/>
  <c r="R63" i="90"/>
  <c r="P63" i="90"/>
  <c r="Q63" i="90" s="1"/>
  <c r="R62" i="90"/>
  <c r="P62" i="90"/>
  <c r="Q62" i="90" s="1"/>
  <c r="R61" i="90"/>
  <c r="Q61" i="90"/>
  <c r="P61" i="90"/>
  <c r="R60" i="90"/>
  <c r="P60" i="90"/>
  <c r="Q60" i="90" s="1"/>
  <c r="R59" i="90"/>
  <c r="P59" i="90"/>
  <c r="Q59" i="90" s="1"/>
  <c r="R58" i="90"/>
  <c r="P58" i="90"/>
  <c r="Q58" i="90" s="1"/>
  <c r="R57" i="90"/>
  <c r="Q57" i="90"/>
  <c r="P57" i="90"/>
  <c r="R56" i="90"/>
  <c r="P56" i="90"/>
  <c r="Q56" i="90" s="1"/>
  <c r="R55" i="90"/>
  <c r="P55" i="90"/>
  <c r="Q55" i="90" s="1"/>
  <c r="R54" i="90"/>
  <c r="P54" i="90"/>
  <c r="Q54" i="90" s="1"/>
  <c r="R53" i="90"/>
  <c r="P53" i="90"/>
  <c r="Q53" i="90" s="1"/>
  <c r="R52" i="90"/>
  <c r="P52" i="90"/>
  <c r="Q52" i="90" s="1"/>
  <c r="R51" i="90"/>
  <c r="P51" i="90"/>
  <c r="Q51" i="90" s="1"/>
  <c r="R50" i="90"/>
  <c r="P50" i="90"/>
  <c r="Q50" i="90" s="1"/>
  <c r="R49" i="90"/>
  <c r="P49" i="90"/>
  <c r="Q49" i="90" s="1"/>
  <c r="R48" i="90"/>
  <c r="P48" i="90"/>
  <c r="Q48" i="90" s="1"/>
  <c r="R47" i="90"/>
  <c r="P47" i="90"/>
  <c r="Q47" i="90" s="1"/>
  <c r="R46" i="90"/>
  <c r="P46" i="90"/>
  <c r="Q46" i="90" s="1"/>
  <c r="R45" i="90"/>
  <c r="P45" i="90"/>
  <c r="Q45" i="90" s="1"/>
  <c r="R44" i="90"/>
  <c r="P44" i="90"/>
  <c r="Q44" i="90" s="1"/>
  <c r="R43" i="90"/>
  <c r="P43" i="90"/>
  <c r="Q43" i="90" s="1"/>
  <c r="R42" i="90"/>
  <c r="P42" i="90"/>
  <c r="Q42" i="90" s="1"/>
  <c r="R41" i="90"/>
  <c r="Q41" i="90"/>
  <c r="P41" i="90"/>
  <c r="R40" i="90"/>
  <c r="P40" i="90"/>
  <c r="Q40" i="90" s="1"/>
  <c r="R39" i="90"/>
  <c r="P39" i="90"/>
  <c r="Q39" i="90" s="1"/>
  <c r="R38" i="90"/>
  <c r="P38" i="90"/>
  <c r="Q38" i="90" s="1"/>
  <c r="R37" i="90"/>
  <c r="P37" i="90"/>
  <c r="Q37" i="90" s="1"/>
  <c r="R36" i="90"/>
  <c r="Q36" i="90"/>
  <c r="P36" i="90"/>
  <c r="R35" i="90"/>
  <c r="P35" i="90"/>
  <c r="Q35" i="90" s="1"/>
  <c r="R34" i="90"/>
  <c r="P34" i="90"/>
  <c r="Q34" i="90" s="1"/>
  <c r="R33" i="90"/>
  <c r="P33" i="90"/>
  <c r="Q33" i="90" s="1"/>
  <c r="R32" i="90"/>
  <c r="P32" i="90"/>
  <c r="Q32" i="90" s="1"/>
  <c r="R31" i="90"/>
  <c r="P31" i="90"/>
  <c r="Q31" i="90" s="1"/>
  <c r="R30" i="90"/>
  <c r="P30" i="90"/>
  <c r="Q30" i="90" s="1"/>
  <c r="R29" i="90"/>
  <c r="P29" i="90"/>
  <c r="O29" i="90"/>
  <c r="R28" i="90"/>
  <c r="P28" i="90"/>
  <c r="Q28" i="90" s="1"/>
  <c r="R27" i="90"/>
  <c r="P27" i="90"/>
  <c r="Q27" i="90" s="1"/>
  <c r="R26" i="90"/>
  <c r="P26" i="90"/>
  <c r="Q26" i="90" s="1"/>
  <c r="R25" i="90"/>
  <c r="P25" i="90"/>
  <c r="Q25" i="90" s="1"/>
  <c r="R24" i="90"/>
  <c r="Q24" i="90"/>
  <c r="P24" i="90"/>
  <c r="R23" i="90"/>
  <c r="P23" i="90"/>
  <c r="Q23" i="90" s="1"/>
  <c r="R22" i="90"/>
  <c r="P22" i="90"/>
  <c r="Q22" i="90" s="1"/>
  <c r="R21" i="90"/>
  <c r="P21" i="90"/>
  <c r="Q21" i="90" s="1"/>
  <c r="R20" i="90"/>
  <c r="Q20" i="90"/>
  <c r="P20" i="90"/>
  <c r="R19" i="90"/>
  <c r="P19" i="90"/>
  <c r="Q19" i="90" s="1"/>
  <c r="Q29" i="90" l="1"/>
  <c r="Q273" i="90"/>
  <c r="Q407" i="9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953FE216-B172-4D9F-8DBE-BD37166334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M17" authorId="0" shapeId="0" xr:uid="{021D6B8F-5B6B-448C-9EF6-BF29DB6FC9B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DF8554AC-8D46-494D-9C33-8C62C5B7C9A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99BA6BE0-C92B-4623-B4D9-FDD2F5F0797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L17" authorId="0" shapeId="0" xr:uid="{55C09662-4E3A-44FA-8F79-712909145A8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N17" authorId="0" shapeId="0" xr:uid="{9923880C-2106-42FE-8783-5B6AFC15C26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A7CE12CC-D9EE-4001-AABB-AF806F22259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M17" authorId="0" shapeId="0" xr:uid="{20E9C56E-C2E0-47FE-B79D-3A25CF65ED5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87CBE5B6-B9CE-4A6C-A32F-847E960DFE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7D4E99B7-6D78-4F2D-B948-34C8EE5D2F1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M17" authorId="0" shapeId="0" xr:uid="{7E7D3428-8DFE-4366-B233-4F16BB0416D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21E353D3-A3F9-408B-A74F-AB3C58FFC24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E6B49C18-7C82-45D1-A9F0-8426FC86C23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M17" authorId="0" shapeId="0" xr:uid="{D7D5F07C-8D8A-4A13-9D81-7A14CC23CB1B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BC9D6188-33E2-4B3C-8F1B-97D3645C6AA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1FD36C9C-FFDD-46CA-8663-8832352BC72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M17" authorId="0" shapeId="0" xr:uid="{015556A8-2E21-48A3-8584-FDB074AF04E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662B0222-831F-4996-B733-E7568616DA8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F5C97FCC-C6A2-45C7-88B8-0AC949FB787D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M17" authorId="0" shapeId="0" xr:uid="{EDC6C70F-FC72-4631-B653-9F02F7560E41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56C2F4E4-EDB6-4BBF-B73C-24821C62ED48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498D9CDD-421C-4B79-A50F-045D3399DBC7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M17" authorId="0" shapeId="0" xr:uid="{65CF52DC-3A33-44FF-9030-64EF4278EA5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B97341F5-3F4D-46B9-B49C-0C1E9AE25FD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44A67328-75B0-4467-9D9A-B744EDD6640C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M17" authorId="0" shapeId="0" xr:uid="{74366C09-5637-4810-82E8-3F9B6F41D51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E3FD6D0E-069E-4C4F-8C82-3A4E7E36C34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1DB19AEE-386E-420C-A273-586C59B9526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M17" authorId="0" shapeId="0" xr:uid="{2333CBE9-9AA0-47F9-BC10-17EB9F55712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7519687F-A2BB-4B9F-B43C-0E29DA133044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C78E14D5-06D4-43C6-8D14-50E9123DEC5F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M17" authorId="0" shapeId="0" xr:uid="{AB61CE65-173D-416C-8F72-588D9ADBB17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8B9C0C39-9F1C-478A-9A01-ABF543F39CB5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16" authorId="0" shapeId="0" xr:uid="{FD7F221E-9809-4836-B0F1-ED6309210B3E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L17" authorId="0" shapeId="0" xr:uid="{4DC8AB50-57D1-4332-B651-FBD979D278CA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Червоне - немає на складі; Оранжеве - недостатньо на складі</t>
        </r>
      </text>
    </comment>
    <comment ref="M17" authorId="0" shapeId="0" xr:uid="{D9DEC9D3-625C-418C-AE72-A5581DD02CC6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Заполняет Прораб</t>
        </r>
      </text>
    </comment>
    <comment ref="O17" authorId="0" shapeId="0" xr:uid="{0BC90D7C-CDDA-497F-9661-D24250EA2F83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Жовте - відхилення від калькуляції</t>
        </r>
      </text>
    </comment>
  </commentList>
</comments>
</file>

<file path=xl/sharedStrings.xml><?xml version="1.0" encoding="utf-8"?>
<sst xmlns="http://schemas.openxmlformats.org/spreadsheetml/2006/main" count="16848" uniqueCount="1903">
  <si>
    <t>З В І Т</t>
  </si>
  <si>
    <t>про витрати основних матеріалів у будівництві</t>
  </si>
  <si>
    <t>в співставленні з виробничими нормами</t>
  </si>
  <si>
    <t>№ п/п</t>
  </si>
  <si>
    <t>Найменування робіт</t>
  </si>
  <si>
    <t>Од. вим.</t>
  </si>
  <si>
    <t>Кіл-ть</t>
  </si>
  <si>
    <t>Матеріали</t>
  </si>
  <si>
    <t>Примітка</t>
  </si>
  <si>
    <t>Найменування</t>
  </si>
  <si>
    <t>од. вим.</t>
  </si>
  <si>
    <t xml:space="preserve">                                                                                                (дата, П.І.Б., підпис)</t>
  </si>
  <si>
    <t xml:space="preserve">Опрацював  Бухгалтер ________________________  </t>
  </si>
  <si>
    <t xml:space="preserve">                                             (дата, П.І.Б., підпис)</t>
  </si>
  <si>
    <t>Витрати матеріалів перевірив:</t>
  </si>
  <si>
    <t xml:space="preserve">                                                          (дата, П.І.Б., підпис)</t>
  </si>
  <si>
    <t>Начальник ВТВ _______________________________</t>
  </si>
  <si>
    <t xml:space="preserve">                                   (дата, П.І.Б., підпис)</t>
  </si>
  <si>
    <t>Інженер ВТВ _______________________________</t>
  </si>
  <si>
    <t xml:space="preserve">Начальник будівельного-монтажного комплекса __________________________ </t>
  </si>
  <si>
    <t>Код</t>
  </si>
  <si>
    <t>Вартість од. вим.</t>
  </si>
  <si>
    <t>Вартість всього вим.</t>
  </si>
  <si>
    <t>Разом вартість матеріалів</t>
  </si>
  <si>
    <t>Інформація з АВР</t>
  </si>
  <si>
    <t>Інформація з 1С</t>
  </si>
  <si>
    <t>Додаток №3
до Наказу №_______ від _________________р.</t>
  </si>
  <si>
    <r>
      <t>Форма № М-29</t>
    </r>
    <r>
      <rPr>
        <b/>
        <sz val="18"/>
        <color indexed="12"/>
        <rFont val="Calibri"/>
        <family val="2"/>
        <charset val="204"/>
      </rPr>
      <t>/1</t>
    </r>
  </si>
  <si>
    <t>"ЗАТВЕРДЖЕНО"</t>
  </si>
  <si>
    <t>Разом вартість МШП</t>
  </si>
  <si>
    <t>ВСЬОГО списано</t>
  </si>
  <si>
    <t xml:space="preserve">                                                                                                                                     (дата, П.І.Б., підпис)</t>
  </si>
  <si>
    <t xml:space="preserve">Матеріально-відповідальна особа, що склала звіт                                           </t>
  </si>
  <si>
    <t xml:space="preserve">  ____________________ </t>
  </si>
  <si>
    <t>шт</t>
  </si>
  <si>
    <t>кг</t>
  </si>
  <si>
    <t xml:space="preserve">До Акту № </t>
  </si>
  <si>
    <t>пог.м</t>
  </si>
  <si>
    <t>00-00004806</t>
  </si>
  <si>
    <t>т</t>
  </si>
  <si>
    <t>00-00005392</t>
  </si>
  <si>
    <t>00-00004909</t>
  </si>
  <si>
    <t>00-00004907</t>
  </si>
  <si>
    <t>00-00004910</t>
  </si>
  <si>
    <t>00-00004978</t>
  </si>
  <si>
    <t>м2</t>
  </si>
  <si>
    <t>00-00000408</t>
  </si>
  <si>
    <t>00-00004980</t>
  </si>
  <si>
    <t>00-00004866</t>
  </si>
  <si>
    <t>00-00004868</t>
  </si>
  <si>
    <t>Вхідні двері металеві 1000*2010</t>
  </si>
  <si>
    <t>00-00001206</t>
  </si>
  <si>
    <t>Двері металопластикові   м кв</t>
  </si>
  <si>
    <t>00-00005152</t>
  </si>
  <si>
    <t>00-00005153</t>
  </si>
  <si>
    <t>00-00005044</t>
  </si>
  <si>
    <t>км</t>
  </si>
  <si>
    <t>м</t>
  </si>
  <si>
    <t>00-00003558</t>
  </si>
  <si>
    <t>00-00005292</t>
  </si>
  <si>
    <t>дозатор рідкого мила</t>
  </si>
  <si>
    <t xml:space="preserve">Кушетка медична </t>
  </si>
  <si>
    <t>диспенсер для туалетного паперу</t>
  </si>
  <si>
    <t xml:space="preserve"> т</t>
  </si>
  <si>
    <t>пак</t>
  </si>
  <si>
    <t>Рейка 50*50*3000</t>
  </si>
  <si>
    <t>м куб</t>
  </si>
  <si>
    <t>Автоматичний вимикач  1 п 16А  С</t>
  </si>
  <si>
    <t>м кв</t>
  </si>
  <si>
    <t>Вагонка пластикова Мармур Сірий 0,25х6м 8мм (уп.10 шт.)</t>
  </si>
  <si>
    <t>ВВГнг 3х1,5 кабель</t>
  </si>
  <si>
    <t>ВВГнг 3х2,5 кабель</t>
  </si>
  <si>
    <t>ВВГнг 3х4 кабель</t>
  </si>
  <si>
    <t>Вентилятор Домовент 100С1 (14Вт, 94 м куб/год.)</t>
  </si>
  <si>
    <t>Вогнебіозахист 1кг</t>
  </si>
  <si>
    <t>Гайка М12  DIN 934  цб</t>
  </si>
  <si>
    <t>Гвинт 4,2х19</t>
  </si>
  <si>
    <t>Гвинт 5,5х32 цб дов.св</t>
  </si>
  <si>
    <t>Гвинт 5,5х75</t>
  </si>
  <si>
    <t>Гвинт самонарізний з шестигр.гол.зі сверд,з шайб.EPDM по мет.R9T64819 4,8Х19 (ral 1015)</t>
  </si>
  <si>
    <t>Гідробар'єр (1,5х44м)</t>
  </si>
  <si>
    <t>Заклепки 4,0*10 (к-т)</t>
  </si>
  <si>
    <t>к-т</t>
  </si>
  <si>
    <t>00-00005169</t>
  </si>
  <si>
    <t>Кутик 32*32*3мм ст.3пс</t>
  </si>
  <si>
    <t>Кутник  декоративний 30х30</t>
  </si>
  <si>
    <t>Кутник  декоративний 50х50</t>
  </si>
  <si>
    <t>Лист  4*1250*2500 3 сп/пс 5</t>
  </si>
  <si>
    <t>Лист 14 С345</t>
  </si>
  <si>
    <t>Лист 3 (г.к)  (1,5х3)</t>
  </si>
  <si>
    <t>Обігрівач керамічний  TCМ 450 (беж)</t>
  </si>
  <si>
    <t>Оцинкована решітка 1000х1000</t>
  </si>
  <si>
    <t>Паробар'єр армир. 1,5*44</t>
  </si>
  <si>
    <t>Петля виточена d=20мм (для воріт)</t>
  </si>
  <si>
    <t>Пінопласт 5см (1м*0,5м)</t>
  </si>
  <si>
    <t>Розетка з кришкою з заземл.конт. з шторк. ІР44, білий, Asfora, SCHNEIDER ELECTRIC</t>
  </si>
  <si>
    <t>Самонаріз 4,2х16</t>
  </si>
  <si>
    <t>Скоба для степлера тимА10мм  1000шт/уп</t>
  </si>
  <si>
    <t>00-00005538</t>
  </si>
  <si>
    <t>Стрічка гідроізоляційна</t>
  </si>
  <si>
    <t>Труба 50х25х2</t>
  </si>
  <si>
    <t>Труба 89*3,5 г/к 3,3-11,9 10216 Р235ТР2</t>
  </si>
  <si>
    <t>Труба ПВХ гнучка гофр. д.20мм, Light (220 Н 5/см пог.), з протяжкою, сіра</t>
  </si>
  <si>
    <t>00-00005143</t>
  </si>
  <si>
    <t>Труба полиєтиленова р=12,5 бар D=25мм</t>
  </si>
  <si>
    <t>Універсальний шуруп 5,0х70 потай</t>
  </si>
  <si>
    <t>Універсальний шуруп 5,0х90 потай</t>
  </si>
  <si>
    <t>Утеплювач Кнауф 1250*610*50  12,2м кв.36шт/уп</t>
  </si>
  <si>
    <t>Цементно-стружкова плита  3200*1250*20 мм</t>
  </si>
  <si>
    <t>Шуруп 4,5х45</t>
  </si>
  <si>
    <t>Щиток пластик. 6 мод.зовн.устан.</t>
  </si>
  <si>
    <t>BOSCH витратні Круг відрізний 355*3*25,4 метал</t>
  </si>
  <si>
    <t>00-00004853</t>
  </si>
  <si>
    <t>Біта РZ 2*51 мм</t>
  </si>
  <si>
    <t>00-00005091</t>
  </si>
  <si>
    <t>Біта РН2х51</t>
  </si>
  <si>
    <t>00-00005436</t>
  </si>
  <si>
    <t>Валик</t>
  </si>
  <si>
    <t>00-00000071</t>
  </si>
  <si>
    <t>Відрізний диск Standard Inox 230x1,9мм арт.2608601514</t>
  </si>
  <si>
    <t>Вставка для масок 110*90, затемнення DIN12/C6</t>
  </si>
  <si>
    <t>Ганчір'я х/б</t>
  </si>
  <si>
    <t>Ганчірка для підлоги</t>
  </si>
  <si>
    <t>00-00000432</t>
  </si>
  <si>
    <t>Засіб д/миття посуду: рідина FAIRY 1л, лимон</t>
  </si>
  <si>
    <t>Засіб для миття скла</t>
  </si>
  <si>
    <t>Ізоляційна стрічка ПВХ велика</t>
  </si>
  <si>
    <t>00-00005488</t>
  </si>
  <si>
    <t>Коронка біметалева 67мм</t>
  </si>
  <si>
    <t>Круг відрізний по металу 125*1,6</t>
  </si>
  <si>
    <t>00-00000433</t>
  </si>
  <si>
    <t>00-00003967</t>
  </si>
  <si>
    <t>Круг пелюстковий Р80, 125х22 н/ж</t>
  </si>
  <si>
    <t>Леза сегм.відламні 18мм (10шт)</t>
  </si>
  <si>
    <t>Маркер перманентний білий</t>
  </si>
  <si>
    <t>Маска пилезахисна</t>
  </si>
  <si>
    <t>Насадка торцева 6-гр.магнітна М8х48мм 1/4"</t>
  </si>
  <si>
    <t>Окуляри захисні прозорі</t>
  </si>
  <si>
    <t>Очисник для піни  500 мл</t>
  </si>
  <si>
    <t>Пензель-макловиця 50*150</t>
  </si>
  <si>
    <t>00-00005438</t>
  </si>
  <si>
    <t>Пензель*25</t>
  </si>
  <si>
    <t>Пензель*50</t>
  </si>
  <si>
    <t>00-00005092</t>
  </si>
  <si>
    <t>Пилочка Т 118 А</t>
  </si>
  <si>
    <t>Плівка чорна, 3 м (м/пог)</t>
  </si>
  <si>
    <t>Рукавиці "Краги"зварювальні жовті</t>
  </si>
  <si>
    <t>пар</t>
  </si>
  <si>
    <t>Рукавиці з латексним покриттям</t>
  </si>
  <si>
    <t>Рукавиці нітрилові, шт</t>
  </si>
  <si>
    <t>00-00003969</t>
  </si>
  <si>
    <t>Свердло 6,0мм HSS TiN</t>
  </si>
  <si>
    <t>Свердло по металу  5,0х86мм</t>
  </si>
  <si>
    <t>00-00005432</t>
  </si>
  <si>
    <t>Скотч  500 м</t>
  </si>
  <si>
    <t>Скрайбер (чертилка) для скла, кераміки, металу</t>
  </si>
  <si>
    <t>Стрейч-плівка 500*1,6 кг (150м)</t>
  </si>
  <si>
    <t>00-00005372</t>
  </si>
  <si>
    <t>Тримач магнітний для біт</t>
  </si>
  <si>
    <t>00-00005028</t>
  </si>
  <si>
    <t>Шліфшкурка GIPEX 115мм Р-100 жовта</t>
  </si>
  <si>
    <t>Шліфшкурка GIPEX 115мм Р-120 жовта</t>
  </si>
  <si>
    <t>Автомат введення резерву  2п 100A</t>
  </si>
  <si>
    <t>Болт кріплення для бойлера, М10х100мм ( 2шт)</t>
  </si>
  <si>
    <t>00-00005573</t>
  </si>
  <si>
    <t>Вимикач  диференц струму з захистом16А С 10мА</t>
  </si>
  <si>
    <t>00-00005597</t>
  </si>
  <si>
    <t>Вогнегасник порошковий ОП2 2 кг</t>
  </si>
  <si>
    <t>00-00005462</t>
  </si>
  <si>
    <t>Гвинт 4,8х50</t>
  </si>
  <si>
    <t>00-00005571</t>
  </si>
  <si>
    <t>Герметик для швів 310мл.</t>
  </si>
  <si>
    <t>00-00005073</t>
  </si>
  <si>
    <t>Герметичний з’єднувач кабеля</t>
  </si>
  <si>
    <t>Гладкая жесть 1,25*2м РЕМА 7024*45</t>
  </si>
  <si>
    <t>00-00005682</t>
  </si>
  <si>
    <t>Гнучка труба 50/40х40/50</t>
  </si>
  <si>
    <t>Гнучкий шланг, для сифону, HB, D=32 мм х 1.1/4",L=380-865 мм 3922900000</t>
  </si>
  <si>
    <t>Дріт ПВЗ  1*6</t>
  </si>
  <si>
    <t>00-00005572</t>
  </si>
  <si>
    <t>Дюбель  6*30</t>
  </si>
  <si>
    <t>00-00005463</t>
  </si>
  <si>
    <t>Дюбель Дріва з буром 15х23</t>
  </si>
  <si>
    <t>Замок навісний</t>
  </si>
  <si>
    <t>00-00004976</t>
  </si>
  <si>
    <t>Клей для напольного покриття 12кг</t>
  </si>
  <si>
    <t>00-00005720</t>
  </si>
  <si>
    <t>Коліно каналіз. 32/45</t>
  </si>
  <si>
    <t>00-00002506</t>
  </si>
  <si>
    <t>Комплект кріплення труб 47-52мм 1 1/2"</t>
  </si>
  <si>
    <t>00-00005587</t>
  </si>
  <si>
    <t>Куточок, D=25 мм ВВ</t>
  </si>
  <si>
    <t>Лист 6 (г.к)  (1,5х6) ((1,5*6,0) 14637 3сп5)</t>
  </si>
  <si>
    <t>Лист ПВЛ 406</t>
  </si>
  <si>
    <t>00-00004975</t>
  </si>
  <si>
    <t>Мембрана дахова</t>
  </si>
  <si>
    <t>00-00005673</t>
  </si>
  <si>
    <t>Олива моторна напівсинтетична 4Т 1л</t>
  </si>
  <si>
    <t>00-00005585</t>
  </si>
  <si>
    <t>Перехідник  D=25мм*1 B</t>
  </si>
  <si>
    <t>00-00005589</t>
  </si>
  <si>
    <t>Перехідник  D=25мм*1 Н</t>
  </si>
  <si>
    <t>00-00005588</t>
  </si>
  <si>
    <t>Перехідник латунний 3В 1* 1\2</t>
  </si>
  <si>
    <t>00-00005430</t>
  </si>
  <si>
    <t>Пінополістерол (50мм)  1,0х5</t>
  </si>
  <si>
    <t>OSB 10 мм</t>
  </si>
  <si>
    <t>00-00005740</t>
  </si>
  <si>
    <t>00-00005715</t>
  </si>
  <si>
    <t>Поріжок 47,5х5</t>
  </si>
  <si>
    <t>00-00005070</t>
  </si>
  <si>
    <t>Профіль ПС-10 поліестер трапецієпод.</t>
  </si>
  <si>
    <t>00-00000477</t>
  </si>
  <si>
    <t>Рейка 30х50х3000</t>
  </si>
  <si>
    <t>куб</t>
  </si>
  <si>
    <t>Сифон для душ.</t>
  </si>
  <si>
    <t>Сифон для душ.під., бутил., D=58х40 мм, Н=78 мм, (пласт., гнучкий вих., з хром. криш. D=90 мм) 39229</t>
  </si>
  <si>
    <t>00-00005638</t>
  </si>
  <si>
    <t>Сифон для мийки бутилоч Д=1 1/2"х32мм</t>
  </si>
  <si>
    <t>00-00005671</t>
  </si>
  <si>
    <t>Стопор дверний</t>
  </si>
  <si>
    <t>Стрічка бітумна 100мм сіра 10м</t>
  </si>
  <si>
    <t>Стрічка для швів зі BudMonster 0,05м*25м</t>
  </si>
  <si>
    <t>00-00005608</t>
  </si>
  <si>
    <t>Таблички зі шрифтом Брайля</t>
  </si>
  <si>
    <t>00-00005598</t>
  </si>
  <si>
    <t>труба 100х100х3 мм; ст.1-3пс; 12 м</t>
  </si>
  <si>
    <t>00-00004736</t>
  </si>
  <si>
    <t>Труба 40х20х2 мм; ст. 1-3пс; 6 м</t>
  </si>
  <si>
    <t>00-00005601</t>
  </si>
  <si>
    <t>Труба 40х40х2 мм; ст. 1-3пс; 6 м</t>
  </si>
  <si>
    <t>00-00004994</t>
  </si>
  <si>
    <t>труба 50х50х2 мм 6 м</t>
  </si>
  <si>
    <t>Труба гнучка двошарова електротехнічна з поліетилену, зі сталевою затяжкою для зонду та муфтою, зов.</t>
  </si>
  <si>
    <t>00-00003936</t>
  </si>
  <si>
    <t>Труба каналізаційна 110х3,2х1000мм зовн</t>
  </si>
  <si>
    <t>00-00005583</t>
  </si>
  <si>
    <t>Труба каналізаційна ПВХ 110х3,2х3000</t>
  </si>
  <si>
    <t>00-00005700</t>
  </si>
  <si>
    <t>Труба ПВХ гнучка гофр. д.20мм, 220Н 5/см пог. стандартна з протяжкою, сірий колір</t>
  </si>
  <si>
    <t>00-00005582</t>
  </si>
  <si>
    <t>Труба поліпропіленова, каналізаційна, d=50 мм, l=1500 мм 3917221000</t>
  </si>
  <si>
    <t>00-00005531</t>
  </si>
  <si>
    <t>Цвях для пневмостеплера 38мм 5000шт/уп</t>
  </si>
  <si>
    <t>00-00005659</t>
  </si>
  <si>
    <t>Цвях для пневмостеплера 50мм 5000шт/уп</t>
  </si>
  <si>
    <t>00-00001209</t>
  </si>
  <si>
    <t>Цвях для степлера 32мм 5000шт/уп</t>
  </si>
  <si>
    <t>Шуруп 4х45</t>
  </si>
  <si>
    <t>Біта РН 2*25 мм з обмежувачем для г/к</t>
  </si>
  <si>
    <t>Вилка пряма з зазем.</t>
  </si>
  <si>
    <t>00-00005027</t>
  </si>
  <si>
    <t>Відро будівельне 12 л з носиком</t>
  </si>
  <si>
    <t>Віник</t>
  </si>
  <si>
    <t>00-00005373</t>
  </si>
  <si>
    <t>Диск пильний 350*30   по дереву</t>
  </si>
  <si>
    <t>Диск розпилювальний S&amp;R 190x30x2,4мм FZ/ATB 12 зуб. Sprinter Meister + кільця 20/25,4</t>
  </si>
  <si>
    <t>Киянка гумова</t>
  </si>
  <si>
    <t>Круг відрізний по металу 350*3,0*25,4</t>
  </si>
  <si>
    <t>00-00005681</t>
  </si>
  <si>
    <t>Олівець муляра</t>
  </si>
  <si>
    <t>00-00004858</t>
  </si>
  <si>
    <t>Пилка кільцева 133 мм</t>
  </si>
  <si>
    <t>00-00005642</t>
  </si>
  <si>
    <t>пильне полотно 26105</t>
  </si>
  <si>
    <t>00-00005680</t>
  </si>
  <si>
    <t>совок з мітлою</t>
  </si>
  <si>
    <t>00-00005679</t>
  </si>
  <si>
    <t>совок з щіткою</t>
  </si>
  <si>
    <t>рул</t>
  </si>
  <si>
    <t>Стрічка малярська, 50мм*50м</t>
  </si>
  <si>
    <t>00-00003557</t>
  </si>
  <si>
    <t>Автоматичний вимикач  1 п 10А</t>
  </si>
  <si>
    <t>00-00000412</t>
  </si>
  <si>
    <t>Автоматичний вимикач  1 п 25А  C e mcb stand 45 1 c25 1p 25A C 4.5KA</t>
  </si>
  <si>
    <t>00-00000210</t>
  </si>
  <si>
    <t>Аерозоль Лідер (RAL 9010) білий глянцевий 400 мл</t>
  </si>
  <si>
    <t>00-00005270</t>
  </si>
  <si>
    <t>Брезент вогнестійкий  1,5*1,8</t>
  </si>
  <si>
    <t>Вилка переносна 7023 32А 220В 2Р+Е ІР44</t>
  </si>
  <si>
    <t>00-00005532</t>
  </si>
  <si>
    <t>Вилка промислова 32А</t>
  </si>
  <si>
    <t>00-00000721</t>
  </si>
  <si>
    <t>Вимикач 1-клавішний</t>
  </si>
  <si>
    <t>Вимикач 2-клавішний</t>
  </si>
  <si>
    <t>Відвід d 110 мм 45"</t>
  </si>
  <si>
    <t>00-00005133</t>
  </si>
  <si>
    <t>Відвід D=32 мм, 87° 30 ' 3917400090</t>
  </si>
  <si>
    <t>Вішалка підлогова</t>
  </si>
  <si>
    <t>Гайка М48</t>
  </si>
  <si>
    <t>Генератор</t>
  </si>
  <si>
    <t>Герметик силіконовий санітарний Mounter (білий) 280 мл</t>
  </si>
  <si>
    <t>00-00005447</t>
  </si>
  <si>
    <t>Гідроізоляція 7кг</t>
  </si>
  <si>
    <t>Гнучкий шланг 1\2 ВВ довжина 100 см</t>
  </si>
  <si>
    <t>Гнучкий шланг 1\2 ВВ довжина 40 см</t>
  </si>
  <si>
    <t>Гнучкий шланг, 1 / 2 "ВВ, довжина 50 см 4009220000</t>
  </si>
  <si>
    <t>Гнучкий шланг, 1 / 2" ВВ, довжина 30 см</t>
  </si>
  <si>
    <t>00-00005058</t>
  </si>
  <si>
    <t>Гратка вентиляційна пластик</t>
  </si>
  <si>
    <t>00-00005062</t>
  </si>
  <si>
    <t>Грунт концентрат 1:10 NOVA 1л</t>
  </si>
  <si>
    <t>00-00001875</t>
  </si>
  <si>
    <t>Грунт-емаль ПФ-012 Р сірий (кг)</t>
  </si>
  <si>
    <t>00-00005176</t>
  </si>
  <si>
    <t>Дверцята 100*100 ревізійні пластик</t>
  </si>
  <si>
    <t>00-00005175</t>
  </si>
  <si>
    <t>Дверцята 150*150 ревізійні пластик</t>
  </si>
  <si>
    <t>00-00005341</t>
  </si>
  <si>
    <t>Держак ринви ПВХ Profil 90 білий</t>
  </si>
  <si>
    <t>00-00005342</t>
  </si>
  <si>
    <t>Держак труби металевий L-160  90 білий</t>
  </si>
  <si>
    <t>00-00005366</t>
  </si>
  <si>
    <t>Диспенсер рушників</t>
  </si>
  <si>
    <t>00-00004867</t>
  </si>
  <si>
    <t>Дошка 20*100*6000</t>
  </si>
  <si>
    <t>Дріт з легованої сталі ER70S-6 ф1,0мм 5 кг</t>
  </si>
  <si>
    <t>Дріт з легованої сталі ER70S-6 ф1,2 мм 15 кг</t>
  </si>
  <si>
    <t>00-00005104</t>
  </si>
  <si>
    <t>Душова кабіна Lidz Wawel SC90*90.SAT.LOW.FR скло 4мм без піддона</t>
  </si>
  <si>
    <t>00-00005396</t>
  </si>
  <si>
    <t>Душова система</t>
  </si>
  <si>
    <t>00-00000735</t>
  </si>
  <si>
    <t>Електричний болер O "Profi VM 080 D400-1-M, 80 л,</t>
  </si>
  <si>
    <t>00-00000094</t>
  </si>
  <si>
    <t>Електричний водонагрівач O`Pro Slim PC 30, 30л</t>
  </si>
  <si>
    <t>00-00005264</t>
  </si>
  <si>
    <t>Ємність 1500л харчова</t>
  </si>
  <si>
    <t>З'єднувач PP-R D=20 mm. х1\2 Н сірий</t>
  </si>
  <si>
    <t>00-00005344</t>
  </si>
  <si>
    <t>З'єднувач ринви Profil 90 білий</t>
  </si>
  <si>
    <t>00-00005141</t>
  </si>
  <si>
    <t>З’єднання з амереканкою РР-R D=20 ммх1/2 В</t>
  </si>
  <si>
    <t>00-00005140</t>
  </si>
  <si>
    <t>З’єднання з амереканкою РР-R D=20 ммх1/2 Н</t>
  </si>
  <si>
    <t>00-00005371</t>
  </si>
  <si>
    <t>Заглушка 40х40</t>
  </si>
  <si>
    <t>Заглушка D=110 мм 3917400090</t>
  </si>
  <si>
    <t>00-00005057</t>
  </si>
  <si>
    <t>Захист від перенапруги D50</t>
  </si>
  <si>
    <t>00-00005184</t>
  </si>
  <si>
    <t>Змішувач  для умивальника, хром</t>
  </si>
  <si>
    <t>00-00004241</t>
  </si>
  <si>
    <t>Канал Д 100/1 1010</t>
  </si>
  <si>
    <t>00-00005035</t>
  </si>
  <si>
    <t>Килимок 80х120</t>
  </si>
  <si>
    <t>Клапан зворотній 1/2*</t>
  </si>
  <si>
    <t>00-00005025</t>
  </si>
  <si>
    <t>Клей монтажний, 3 кг</t>
  </si>
  <si>
    <t>Клей-піна, 860 мл</t>
  </si>
  <si>
    <t>00-00005047</t>
  </si>
  <si>
    <t>Клема з'єднувальна WGn-2</t>
  </si>
  <si>
    <t>00-00005048</t>
  </si>
  <si>
    <t>Клема з'єднувальна WGn-3</t>
  </si>
  <si>
    <t>00-00005049</t>
  </si>
  <si>
    <t>Клема з'єднувальна WGn-5</t>
  </si>
  <si>
    <t>00-00005340</t>
  </si>
  <si>
    <t>Коліно Profil 90 біле</t>
  </si>
  <si>
    <t>Комплект (гайка+ніпель) для місткості для води, 1" 3925908000</t>
  </si>
  <si>
    <t>00-00002340</t>
  </si>
  <si>
    <t>Комплект для підключення змішувача PP-R D=20 мм х1\2 сірий</t>
  </si>
  <si>
    <t>00-00005056</t>
  </si>
  <si>
    <t>Комплект для теплої підлоги №4</t>
  </si>
  <si>
    <t>00-00005138</t>
  </si>
  <si>
    <t>Комплект кріплення труб 104-112 мм</t>
  </si>
  <si>
    <t>00-00002505</t>
  </si>
  <si>
    <t>Комплект кріплення труб 31-37мм 1"</t>
  </si>
  <si>
    <t>00-00005376</t>
  </si>
  <si>
    <t>Комплект подовжувачів підведення змішувача</t>
  </si>
  <si>
    <t>00-00000259</t>
  </si>
  <si>
    <t>Кондиціонер Wild Wind WWT-AC-07H/KC</t>
  </si>
  <si>
    <t>00-00005050</t>
  </si>
  <si>
    <t>Коробка монтажна 65*45</t>
  </si>
  <si>
    <t>00-00005046</t>
  </si>
  <si>
    <t>Коробка розподільча 100х100х45</t>
  </si>
  <si>
    <t>Кран кульовий 3В 1/2", "метелик" 8481808100</t>
  </si>
  <si>
    <t>00-00005418</t>
  </si>
  <si>
    <t>Кран кульовий ПЕ затискний d25</t>
  </si>
  <si>
    <t>00-00000365</t>
  </si>
  <si>
    <t>Кріплення умивальника до стіни (з ексцентриками і болт.8х120мм )</t>
  </si>
  <si>
    <t>00-00005036</t>
  </si>
  <si>
    <t>Крісло чорне</t>
  </si>
  <si>
    <t>Куточок 90 PP-R D=20 mm сірий</t>
  </si>
  <si>
    <t>Лампа світлодіодна LED E27 15W 220</t>
  </si>
  <si>
    <t>Лист  8*1500*6000</t>
  </si>
  <si>
    <t>00-00005336</t>
  </si>
  <si>
    <t>Лійка ліва 90 біла</t>
  </si>
  <si>
    <t>00-00005337</t>
  </si>
  <si>
    <t>Лійка права 90 біла</t>
  </si>
  <si>
    <t>00-00005441</t>
  </si>
  <si>
    <t>Люк садовий 73х5 см</t>
  </si>
  <si>
    <t>00-00005189</t>
  </si>
  <si>
    <t>Металопластикова конструкція</t>
  </si>
  <si>
    <t>Муфта, PP-R, D=20 мм, сіра 3917400090</t>
  </si>
  <si>
    <t>00-00005182</t>
  </si>
  <si>
    <t>Насосна станція</t>
  </si>
  <si>
    <t>Ніпель латунний, 1\2"</t>
  </si>
  <si>
    <t>Обвідне коліно PP-R D=20 mm сірий</t>
  </si>
  <si>
    <t>Обігрівач керамічний TeploCeramic TC395 (беж)</t>
  </si>
  <si>
    <t>Олива для чотиритактних двигунів</t>
  </si>
  <si>
    <t>00-00004998</t>
  </si>
  <si>
    <t>Опромінювач бактерицидний</t>
  </si>
  <si>
    <t>Перехід ексентричний D=50/32 мм 3917400090</t>
  </si>
  <si>
    <t>00-00000555</t>
  </si>
  <si>
    <t>Перехід ексцентричний D=110/50 мм</t>
  </si>
  <si>
    <t>00-00005142</t>
  </si>
  <si>
    <t>Перехідник  D=25мм*1/2 B</t>
  </si>
  <si>
    <t>Перехідник латунний 3В 3\4* 1\2</t>
  </si>
  <si>
    <t>00-00005452</t>
  </si>
  <si>
    <t>Підп’ятник стелажу СТ Г-подібний пластиковий</t>
  </si>
  <si>
    <t>Піна монтажна Монтажник 500 мл</t>
  </si>
  <si>
    <t>00-00005156</t>
  </si>
  <si>
    <t>Пінополістерол (100мм) XPS ПСЕ-40 1,2х6 (уп 4шт)</t>
  </si>
  <si>
    <t>Плита OSB-3 15х1250*2500 (шт)</t>
  </si>
  <si>
    <t>00-00005183</t>
  </si>
  <si>
    <t>Плінтус</t>
  </si>
  <si>
    <t>00-00005087</t>
  </si>
  <si>
    <t>Поручень настінний 02.001-01</t>
  </si>
  <si>
    <t>00-00005086</t>
  </si>
  <si>
    <t>Поручень пристінний 500мм 3.005</t>
  </si>
  <si>
    <t>00-00005155</t>
  </si>
  <si>
    <t>Провід ПВС 3*4</t>
  </si>
  <si>
    <t>00-00005137</t>
  </si>
  <si>
    <t>Прокладка для унітазу D=90/110мм</t>
  </si>
  <si>
    <t>00-00005444</t>
  </si>
  <si>
    <t>Профіль АП 005  2,7 м</t>
  </si>
  <si>
    <t>00-00005365</t>
  </si>
  <si>
    <t>Профіль ПС-10 поліестер трапецієпод. РЕ 45*9003*АМ</t>
  </si>
  <si>
    <t>Профіль ПС-20 RAL\0,45\1145\7004\РЕ\ТУР(TEZCAN)\300(виробник сировини Туреччина)</t>
  </si>
  <si>
    <t>00-00004979</t>
  </si>
  <si>
    <t>Профіль стартовий 8мм (білий)</t>
  </si>
  <si>
    <t>Профіль трапецієпод. ПС-8 поліестер RAL 9006</t>
  </si>
  <si>
    <t>00-00001032</t>
  </si>
  <si>
    <t>Рамка 1-постова</t>
  </si>
  <si>
    <t>00-00005330</t>
  </si>
  <si>
    <t>Ринва біла 90 мм L=3 м</t>
  </si>
  <si>
    <t>Розетка з з/к, Schneider Electrik Asfora, біл.</t>
  </si>
  <si>
    <t>00-00005055</t>
  </si>
  <si>
    <t>Розетка подвійна з з/к</t>
  </si>
  <si>
    <t>Розетка стаціонарна наружна 7123 32А 220В 2Р+Е ІР44</t>
  </si>
  <si>
    <t>00-00000166</t>
  </si>
  <si>
    <t>Розчинник "White Spirit"</t>
  </si>
  <si>
    <t>л</t>
  </si>
  <si>
    <t>00-00005317</t>
  </si>
  <si>
    <t>Саморіз по металу зі свердлом  4,8*19</t>
  </si>
  <si>
    <t>00-00005051</t>
  </si>
  <si>
    <t>Світильник LED 36W/6500К 595*595</t>
  </si>
  <si>
    <t>Світильник LED L-PRS-1265-18 12W 6500К .накл.</t>
  </si>
  <si>
    <t>00-00005053</t>
  </si>
  <si>
    <t>Світильник аварійний</t>
  </si>
  <si>
    <t>00-00005054</t>
  </si>
  <si>
    <t>Світильник стінний</t>
  </si>
  <si>
    <t>00-00005052</t>
  </si>
  <si>
    <t>Світлодіод акс.Рамка накладного монтажу до LED Panel</t>
  </si>
  <si>
    <t>Сендвіч</t>
  </si>
  <si>
    <t>00-00005351</t>
  </si>
  <si>
    <t>Сповіщувач пожежний димовий СПД-3,4</t>
  </si>
  <si>
    <t>00-00005060</t>
  </si>
  <si>
    <t>Стелаж СТ 920х460х1820</t>
  </si>
  <si>
    <t>00-00001594</t>
  </si>
  <si>
    <t>Стіл</t>
  </si>
  <si>
    <t>Стілець Новий Стиль Jack</t>
  </si>
  <si>
    <t>00-00005394</t>
  </si>
  <si>
    <t>Столик маніпуляційний СТ-М</t>
  </si>
  <si>
    <t>00-00005570</t>
  </si>
  <si>
    <t>Столик сповивальний СПЛ з матрацом</t>
  </si>
  <si>
    <t>00-00005428</t>
  </si>
  <si>
    <t>Стрічка малярна , 38мм*50м</t>
  </si>
  <si>
    <t>Стрічка малярна, 48мм*20м</t>
  </si>
  <si>
    <t>00-00005136</t>
  </si>
  <si>
    <t>Трійник D=32 мм, 87"30' 3917400090</t>
  </si>
  <si>
    <t>Трійник D=50 мм, 87"30' 3917400090</t>
  </si>
  <si>
    <t>Трійник PP-R D=20 mm. сірий</t>
  </si>
  <si>
    <t>Трійник PP-R D=20 mm. х1\2 Н сірий</t>
  </si>
  <si>
    <t>Трійник редукційний D=110-50 мм, 87° 30 ' 3917400090</t>
  </si>
  <si>
    <t>00-00005335</t>
  </si>
  <si>
    <t>Труба водостічна 75 мм L=3 м біла</t>
  </si>
  <si>
    <t>00-00005131</t>
  </si>
  <si>
    <t>Труба поліпропіленова каналізаційна d=32  мм І=1000 мм</t>
  </si>
  <si>
    <t>00-00005129</t>
  </si>
  <si>
    <t>Труба поліпропіленова каналізаційна d=32  мм І=2000 мм</t>
  </si>
  <si>
    <t>00-00005130</t>
  </si>
  <si>
    <t>Труба поліпропіленова каналізаційна d=32  мм І=500 мм</t>
  </si>
  <si>
    <t>Труба поліпропіленова, PP-R/F, RN 20бар, 20 мм сіра</t>
  </si>
  <si>
    <t>00-00005350</t>
  </si>
  <si>
    <t>Труба поліпропіленова, каналізаційна, d=50 мм, l=500 мм</t>
  </si>
  <si>
    <t>00-00004988</t>
  </si>
  <si>
    <t>Тумба мобільна 40,6х42,3х58,4</t>
  </si>
  <si>
    <t>00-00005145</t>
  </si>
  <si>
    <t>Умивальник</t>
  </si>
  <si>
    <t>00-00000960</t>
  </si>
  <si>
    <t>Унітаз-Компакт підлоговий</t>
  </si>
  <si>
    <t>00-00005422</t>
  </si>
  <si>
    <t>Хомут для врізки 50х1</t>
  </si>
  <si>
    <t>Хомут для труб  PP-R одинарний D=20 mm</t>
  </si>
  <si>
    <t>00-00005059</t>
  </si>
  <si>
    <t>Шафа для одягу ШО-300/1</t>
  </si>
  <si>
    <t>00-00000260</t>
  </si>
  <si>
    <t>Шафа ШМ-М</t>
  </si>
  <si>
    <t>00-00005395</t>
  </si>
  <si>
    <t>Шафа ШМ-М-М</t>
  </si>
  <si>
    <t>Шина нульова 6*9</t>
  </si>
  <si>
    <t>00-00004852</t>
  </si>
  <si>
    <t>Шпилька  М24 DIN 975 ЦБ</t>
  </si>
  <si>
    <t>00-00004851</t>
  </si>
  <si>
    <t>Шпилька  М48 DIN975</t>
  </si>
  <si>
    <t>Шуруп 3,5*25 пкр</t>
  </si>
  <si>
    <t>Шуруп г/к по дереву 3,5*35 мм</t>
  </si>
  <si>
    <t>00-00005045</t>
  </si>
  <si>
    <t>Щиток пластик. 4 мод.зовн.устан.</t>
  </si>
  <si>
    <t>00-00005440</t>
  </si>
  <si>
    <t>Суміш бетонна 25кг</t>
  </si>
  <si>
    <t>Лінолеум на стіни</t>
  </si>
  <si>
    <t>Покриття з ПВХ (підлога лінолеум)</t>
  </si>
  <si>
    <t>Онікс 4.8*195</t>
  </si>
  <si>
    <t>Заклепка біла</t>
  </si>
  <si>
    <t>Клей на стіни (13 кг)</t>
  </si>
  <si>
    <t>Грунт універсальний (10 кг)</t>
  </si>
  <si>
    <t>Лінолеум (також підлога)</t>
  </si>
  <si>
    <t>00-00005670</t>
  </si>
  <si>
    <t>Пінопласт 10см (1м*0,5м)</t>
  </si>
  <si>
    <t>00-00004059</t>
  </si>
  <si>
    <t>Труба 40х20х3 мм; ст. 1-3пс; 6 м</t>
  </si>
  <si>
    <t>00-00005567</t>
  </si>
  <si>
    <t>Стільці для відвідувачів в коридор (потрійні)</t>
  </si>
  <si>
    <t>00-00005853</t>
  </si>
  <si>
    <t>Кріплення для змішувача</t>
  </si>
  <si>
    <t>00-00005419</t>
  </si>
  <si>
    <t>Муфта ПЕ 25*1" З</t>
  </si>
  <si>
    <t>00-00005848</t>
  </si>
  <si>
    <t>Стелаж СТ -4/1 М уп</t>
  </si>
  <si>
    <t>00000019664</t>
  </si>
  <si>
    <t>00-00005871</t>
  </si>
  <si>
    <t xml:space="preserve">Біта  РZ2  50мм </t>
  </si>
  <si>
    <t>00-00000515</t>
  </si>
  <si>
    <t>Біта РZ3 25мм Bosch fhn 2608521223</t>
  </si>
  <si>
    <t>00000013977</t>
  </si>
  <si>
    <t xml:space="preserve">Біта Т25*25 мм  </t>
  </si>
  <si>
    <t>00000002475</t>
  </si>
  <si>
    <t>00000004302</t>
  </si>
  <si>
    <t>Вилка каучукова з зазем.</t>
  </si>
  <si>
    <t>00000001646</t>
  </si>
  <si>
    <t>Вилка кутова</t>
  </si>
  <si>
    <t>00000004609</t>
  </si>
  <si>
    <t>00000018054</t>
  </si>
  <si>
    <t>Вилка шт. з з/к кутова ОМЕГА ІР44 16А</t>
  </si>
  <si>
    <t>00000002140</t>
  </si>
  <si>
    <t>00000013492</t>
  </si>
  <si>
    <t>00000016236</t>
  </si>
  <si>
    <t>00000003164</t>
  </si>
  <si>
    <t>00-00000642</t>
  </si>
  <si>
    <t>Гніздо каучукове штепсельне з/з</t>
  </si>
  <si>
    <t>00-00005780</t>
  </si>
  <si>
    <t>Головка магнитна М10 65мм</t>
  </si>
  <si>
    <t>00-00005781</t>
  </si>
  <si>
    <t>Головка магнитна М8 65мм</t>
  </si>
  <si>
    <t>00000011025</t>
  </si>
  <si>
    <t>Головка шестигранна 24мм,1/2</t>
  </si>
  <si>
    <t xml:space="preserve">Губка абразивна шліфувальна Р120 100*68*27мм </t>
  </si>
  <si>
    <t>00000016608</t>
  </si>
  <si>
    <t xml:space="preserve">Губка кухонка </t>
  </si>
  <si>
    <t>00-00005825</t>
  </si>
  <si>
    <t>Диск пиляльний 185/30/2,2мм</t>
  </si>
  <si>
    <t>00000017444</t>
  </si>
  <si>
    <t>00-00005858</t>
  </si>
  <si>
    <t>Дріт зварюв.обміднений 1 мм, 5 кг</t>
  </si>
  <si>
    <t>00000013992</t>
  </si>
  <si>
    <t>Дріт зварюв.обміднений 1,2 мм, 15 кг</t>
  </si>
  <si>
    <t>00000005874</t>
  </si>
  <si>
    <t xml:space="preserve">Дріт стал.н/в терм/обр д.1 мм </t>
  </si>
  <si>
    <t>00000019293</t>
  </si>
  <si>
    <t>З'єднувач</t>
  </si>
  <si>
    <t>00-00005824</t>
  </si>
  <si>
    <t>З’єднання швидкознімне для шланга 6мм</t>
  </si>
  <si>
    <t>00-00002001</t>
  </si>
  <si>
    <t xml:space="preserve">Заклепка 4,0*10 відривна плоска гол </t>
  </si>
  <si>
    <t>00000014264</t>
  </si>
  <si>
    <t>Заклепник мет.зі змінними головками</t>
  </si>
  <si>
    <t>00000003426</t>
  </si>
  <si>
    <t>00000017187</t>
  </si>
  <si>
    <t>00000003161</t>
  </si>
  <si>
    <t>00-00005777</t>
  </si>
  <si>
    <t xml:space="preserve">Зєднання швидкознімне латунне 1/4" </t>
  </si>
  <si>
    <t>00000001427</t>
  </si>
  <si>
    <t>00000008018</t>
  </si>
  <si>
    <t xml:space="preserve">Кельма </t>
  </si>
  <si>
    <t>00000007110</t>
  </si>
  <si>
    <t>00-00005859</t>
  </si>
  <si>
    <t>Коронка біметалева  ф105 мм</t>
  </si>
  <si>
    <t>00-00005860</t>
  </si>
  <si>
    <t>Коронка біметалева  ф54 мм</t>
  </si>
  <si>
    <t>00-00005861</t>
  </si>
  <si>
    <t>Коронка біметалева  ф83 мм</t>
  </si>
  <si>
    <t>00-00005529</t>
  </si>
  <si>
    <t>Коронка біметалева 50мм</t>
  </si>
  <si>
    <t>00-00000517</t>
  </si>
  <si>
    <t>Коронка біметалева HSS 152мм</t>
  </si>
  <si>
    <t>00-00001613</t>
  </si>
  <si>
    <t>Круг відрізний  355*3,5*25,4</t>
  </si>
  <si>
    <t>00000002748</t>
  </si>
  <si>
    <t>00000007010</t>
  </si>
  <si>
    <t>00-00005089</t>
  </si>
  <si>
    <t>Круг відрізний Титан Абразив 180*1,0*22</t>
  </si>
  <si>
    <t xml:space="preserve">Круг пелюстковий 125х22,2 Р60 Т27 </t>
  </si>
  <si>
    <t>00-00004799</t>
  </si>
  <si>
    <t>Леза до ножів, 25 мм, 10 шт</t>
  </si>
  <si>
    <t>00000017925</t>
  </si>
  <si>
    <t>00000006552</t>
  </si>
  <si>
    <t>Маркер</t>
  </si>
  <si>
    <t>00000006533</t>
  </si>
  <si>
    <t>00000016478</t>
  </si>
  <si>
    <t>Маркер промисловий, білий</t>
  </si>
  <si>
    <t>00000003937</t>
  </si>
  <si>
    <t>00000005195</t>
  </si>
  <si>
    <t xml:space="preserve">Мітла </t>
  </si>
  <si>
    <t>00000002495</t>
  </si>
  <si>
    <t>Мішок білий</t>
  </si>
  <si>
    <t>00000014329</t>
  </si>
  <si>
    <t>Молоток гумовий</t>
  </si>
  <si>
    <t>00-00005778</t>
  </si>
  <si>
    <t>Накінечник 3/8</t>
  </si>
  <si>
    <t>00000011005</t>
  </si>
  <si>
    <t>Наколінники захисні</t>
  </si>
  <si>
    <t>00-00005774</t>
  </si>
  <si>
    <t>Насадка торцева 6-гр.магнітна М10х48мм 1/4"</t>
  </si>
  <si>
    <t>00000021325</t>
  </si>
  <si>
    <t>00000014532</t>
  </si>
  <si>
    <t>00-00005374</t>
  </si>
  <si>
    <t>Олівці столярні</t>
  </si>
  <si>
    <t>00000001947</t>
  </si>
  <si>
    <t>00000003165</t>
  </si>
  <si>
    <t>пакети для сміття</t>
  </si>
  <si>
    <t>00-00005534</t>
  </si>
  <si>
    <t>Пальник МВ EVO PRO 36_5,00 м_КZ-2</t>
  </si>
  <si>
    <t>00000002496</t>
  </si>
  <si>
    <t>00000002678</t>
  </si>
  <si>
    <t>00-00005779</t>
  </si>
  <si>
    <t>Перехідник   1/4" на штирьову частину швидкоз. з’єднання</t>
  </si>
  <si>
    <t>00-00005883</t>
  </si>
  <si>
    <t>Пилка для реноватора 3 шт</t>
  </si>
  <si>
    <t>00-00004857</t>
  </si>
  <si>
    <t>Пилка кільцева 67 мм</t>
  </si>
  <si>
    <t>00-00005776</t>
  </si>
  <si>
    <t>Пилка по дереву 450 мм</t>
  </si>
  <si>
    <t>00-00005641</t>
  </si>
  <si>
    <t>пильне полотно 26120</t>
  </si>
  <si>
    <t>00000002302</t>
  </si>
  <si>
    <t>Пістолет для піни монтажної</t>
  </si>
  <si>
    <t>00000004972</t>
  </si>
  <si>
    <t>00000004534</t>
  </si>
  <si>
    <t>Полотно для е/лобзика</t>
  </si>
  <si>
    <t>00-00005882</t>
  </si>
  <si>
    <t>Полотно для реноватора</t>
  </si>
  <si>
    <t>00000010479</t>
  </si>
  <si>
    <t>00000010881</t>
  </si>
  <si>
    <t>00000014271</t>
  </si>
  <si>
    <t>00000003662</t>
  </si>
  <si>
    <t xml:space="preserve">Рукавиці трикотажні </t>
  </si>
  <si>
    <t>00000013138</t>
  </si>
  <si>
    <t>Рукавиці трикотажні  ХБ/ПЕ з ПВХ візерунком, шт</t>
  </si>
  <si>
    <t>00000002450</t>
  </si>
  <si>
    <t xml:space="preserve">Рукавиці, пар. </t>
  </si>
  <si>
    <t xml:space="preserve">Свердло  пір"єве пор дереву  22х152мм </t>
  </si>
  <si>
    <t>00000017922</t>
  </si>
  <si>
    <t>00-00001985</t>
  </si>
  <si>
    <t>Свердло к/х 32,3мм</t>
  </si>
  <si>
    <t>00-00005431</t>
  </si>
  <si>
    <t>Свердло конічне 6-38 L=105 мм</t>
  </si>
  <si>
    <t>00-00005068</t>
  </si>
  <si>
    <t>Свердло по бетону 65 мм</t>
  </si>
  <si>
    <t>00-00003540</t>
  </si>
  <si>
    <t xml:space="preserve">Свердло по металу  </t>
  </si>
  <si>
    <t>00000020709</t>
  </si>
  <si>
    <t>Свердло по металу  3,5х70мм</t>
  </si>
  <si>
    <t>00000013182</t>
  </si>
  <si>
    <t>Свердло по металу  4,0х75мм</t>
  </si>
  <si>
    <t>00000013183</t>
  </si>
  <si>
    <t>00000022391</t>
  </si>
  <si>
    <t xml:space="preserve">Свердло по металу 10,0мм титан </t>
  </si>
  <si>
    <t>00-00005766</t>
  </si>
  <si>
    <t xml:space="preserve">Свердло по металу 3,0мм </t>
  </si>
  <si>
    <t xml:space="preserve">Свердло по металу 4,0мм </t>
  </si>
  <si>
    <t>00-00000463</t>
  </si>
  <si>
    <t>Свердло по металу 5,0 HSS Cobalt</t>
  </si>
  <si>
    <t>00-00003197</t>
  </si>
  <si>
    <t>Свердло по металу 8,5х117 мм</t>
  </si>
  <si>
    <t>00-00005873</t>
  </si>
  <si>
    <t>Свердло по металу 8х117 мм</t>
  </si>
  <si>
    <t>00-00000510</t>
  </si>
  <si>
    <t>Свердло по металу Р9 кл В 14мм</t>
  </si>
  <si>
    <t>00000019897</t>
  </si>
  <si>
    <t>Свердло ступінчате по металу Werk 4-32мм</t>
  </si>
  <si>
    <t>00000017482</t>
  </si>
  <si>
    <t>Свердло ступневе 4-32 мм</t>
  </si>
  <si>
    <t>00-00005864</t>
  </si>
  <si>
    <t xml:space="preserve">Сверло по металу 40,0 мм </t>
  </si>
  <si>
    <t>00000006388</t>
  </si>
  <si>
    <t>Скло для маски зварювальника 110*90</t>
  </si>
  <si>
    <t>00000021892</t>
  </si>
  <si>
    <t>00-00005543</t>
  </si>
  <si>
    <t>Скоба до степлера 25мм 5000шт</t>
  </si>
  <si>
    <t>00-00005542</t>
  </si>
  <si>
    <t>Скоба стоярна -25х3 (3 тис шт)</t>
  </si>
  <si>
    <t>00000004219</t>
  </si>
  <si>
    <t>Скотч  300 м</t>
  </si>
  <si>
    <t>00000004211</t>
  </si>
  <si>
    <t>00000013244</t>
  </si>
  <si>
    <t>00-00005669</t>
  </si>
  <si>
    <t>Спіраль подаюча (жовта) 2,0/4,5/540</t>
  </si>
  <si>
    <t>00000004117</t>
  </si>
  <si>
    <t>00-00005874</t>
  </si>
  <si>
    <t>Стрічка малярна , 48мм*40м</t>
  </si>
  <si>
    <t>00-00005877</t>
  </si>
  <si>
    <t>Стрічка малярна , 50мм*20м</t>
  </si>
  <si>
    <t>00000005542</t>
  </si>
  <si>
    <t>00000019586</t>
  </si>
  <si>
    <t>Стяжний ремінь 3т 6м з замком</t>
  </si>
  <si>
    <t>00-00005032</t>
  </si>
  <si>
    <t xml:space="preserve">Шліфувальна губка </t>
  </si>
  <si>
    <t>00000018283</t>
  </si>
  <si>
    <t>Виготовлення  " Модульна лікарня "ВООЗ мала"  (основне списання згідно калькуляції) №3</t>
  </si>
  <si>
    <t>Виготовлення  " Модульна лікарня "ВООЗ мала" №3</t>
  </si>
  <si>
    <t>00-00005945</t>
  </si>
  <si>
    <t>Кільце бетонне з днищем КЦД-15-9</t>
  </si>
  <si>
    <t>00000017652</t>
  </si>
  <si>
    <t>Плита перекриття 1ПП 15-1</t>
  </si>
  <si>
    <t>00-00005944</t>
  </si>
  <si>
    <t>Кільце бетонне КС-15-9</t>
  </si>
  <si>
    <t>00-00000371</t>
  </si>
  <si>
    <t>Двері металопластикові</t>
  </si>
  <si>
    <t>00-00005969</t>
  </si>
  <si>
    <t>Коліно Profil 75 біле</t>
  </si>
  <si>
    <t>00-00003602</t>
  </si>
  <si>
    <t xml:space="preserve">Кондиціонер </t>
  </si>
  <si>
    <t>00000022343</t>
  </si>
  <si>
    <t xml:space="preserve">Пінополістерол (50мм)  1,0х5 </t>
  </si>
  <si>
    <t>00-00005162</t>
  </si>
  <si>
    <t>Болт меблевий 8х120</t>
  </si>
  <si>
    <t>00-00005163</t>
  </si>
  <si>
    <t>Болт меблевий 8х160</t>
  </si>
  <si>
    <t>Брус обрізний 100*100мм  6м</t>
  </si>
  <si>
    <t>00-00005592</t>
  </si>
  <si>
    <t>Брус обрізний 100*200мм  6м</t>
  </si>
  <si>
    <t>00-00005593</t>
  </si>
  <si>
    <t>Брус обрізний 150*200мм  6м</t>
  </si>
  <si>
    <t>Брус обрізний 50*100мм  6м</t>
  </si>
  <si>
    <t>00-00000481</t>
  </si>
  <si>
    <t>00-00000904</t>
  </si>
  <si>
    <t>Вагонка смерека безшовна АВ 12*90мм  2,5м</t>
  </si>
  <si>
    <t>00-00005816</t>
  </si>
  <si>
    <t>Відвід D=110 мм, 87 30</t>
  </si>
  <si>
    <t>Відвід D=50 mm 87 30</t>
  </si>
  <si>
    <t>00-00001774</t>
  </si>
  <si>
    <t>Вікно металопластикове</t>
  </si>
  <si>
    <t>00-00005818</t>
  </si>
  <si>
    <t>Водонагрівач Atlantic GC 1004424D B14 TBR, 100л</t>
  </si>
  <si>
    <t>Гайка М10  DIN 934 6 цб</t>
  </si>
  <si>
    <t>00-00005723</t>
  </si>
  <si>
    <t>Гідроізоляція 14 кг</t>
  </si>
  <si>
    <t>Дверна коробка</t>
  </si>
  <si>
    <t>Дверне полотно</t>
  </si>
  <si>
    <t>00-00000600</t>
  </si>
  <si>
    <t>Держак ринви ПВХ Profil 90 коричневий</t>
  </si>
  <si>
    <t>Держак труби  метал. L 160 90 коричн</t>
  </si>
  <si>
    <t>00-00005849</t>
  </si>
  <si>
    <t>Добірний дошка МДФ</t>
  </si>
  <si>
    <t>00-00005710</t>
  </si>
  <si>
    <t>Душовий бокс 90х90х215</t>
  </si>
  <si>
    <t>00-00005967</t>
  </si>
  <si>
    <t>З'єднувач  для плінтуса</t>
  </si>
  <si>
    <t>З'єднувач PP-R D=20 mm. х1\2  В  сірий</t>
  </si>
  <si>
    <t>00-00000601</t>
  </si>
  <si>
    <t>З'єднувач ринви Profil 90коричневий</t>
  </si>
  <si>
    <t>00-00000747</t>
  </si>
  <si>
    <t>З'єднувач труби Profil 90коричневий</t>
  </si>
  <si>
    <t>00-00000715</t>
  </si>
  <si>
    <t>Імітація бруса сосна АВ 20х130х4000</t>
  </si>
  <si>
    <t>Канал вентиляційний ПВХ круглий d100/1,0м (1010)</t>
  </si>
  <si>
    <t>00-00005554</t>
  </si>
  <si>
    <t>Канал кабельний 80х60 (24) 220тм</t>
  </si>
  <si>
    <t>00-00005958</t>
  </si>
  <si>
    <t>Коліно для унітаза 110/45</t>
  </si>
  <si>
    <t>00-00005923</t>
  </si>
  <si>
    <t>КОЛОР, безкольоровий, 10л</t>
  </si>
  <si>
    <t>Комплект для фіксації хомутів (шуруп, гайка, дюбель), М8х90 мм</t>
  </si>
  <si>
    <t>00-00005555</t>
  </si>
  <si>
    <t>Коробка під автомат накл.9 SU FAR(F88)(30)</t>
  </si>
  <si>
    <t>Кран вентильний для сантехприладів 1/2" х 3/4" ALBERTONI</t>
  </si>
  <si>
    <t>Кріплення унітазу до підлоги (з декор.ковпачками і шурупами 6х100мм)</t>
  </si>
  <si>
    <t>00-00005965</t>
  </si>
  <si>
    <t>Кут  для плінтуса вн</t>
  </si>
  <si>
    <t>00-00005966</t>
  </si>
  <si>
    <t>Кут  для плінтуса зов</t>
  </si>
  <si>
    <t>00-00005159</t>
  </si>
  <si>
    <t>00-00005702</t>
  </si>
  <si>
    <t>Куточок внутрішній гладенький 20*20*3000 смерека</t>
  </si>
  <si>
    <t>00-00004808</t>
  </si>
  <si>
    <t>Лазурь лесуюча для дерева 1 л</t>
  </si>
  <si>
    <t>Лист г/к 4.0*1500*6000, 3 сп 5 кат.</t>
  </si>
  <si>
    <t>00-00001226</t>
  </si>
  <si>
    <t>Лійка ліва 90 коричнева</t>
  </si>
  <si>
    <t>00-00001227</t>
  </si>
  <si>
    <t>Лійка права 90 коричнева</t>
  </si>
  <si>
    <t>Лінолеум</t>
  </si>
  <si>
    <t>00-00005595</t>
  </si>
  <si>
    <t>Мастика гідроізоляційна, 6 кг</t>
  </si>
  <si>
    <t>Муфта D=110 мм</t>
  </si>
  <si>
    <t>00-00005852</t>
  </si>
  <si>
    <t>Накладка ЕТ</t>
  </si>
  <si>
    <t>00-00000353</t>
  </si>
  <si>
    <t>П’ЄДЕСТАЛ DECO</t>
  </si>
  <si>
    <t>Петля 100*75 нікель</t>
  </si>
  <si>
    <t>00-00005946</t>
  </si>
  <si>
    <t>Піч чавунна мала тип Буржуйка</t>
  </si>
  <si>
    <t>Плита OSB 2500*1250 18 мм (шт)</t>
  </si>
  <si>
    <t>Плита OSB вологостійкий 2500*1250 22 мм(шт)</t>
  </si>
  <si>
    <t>00-00003554</t>
  </si>
  <si>
    <t>Прокладка для гнучкого шлангу 1/2"</t>
  </si>
  <si>
    <t>00-00005954</t>
  </si>
  <si>
    <t>Профіль  для плитки НАП 10  2,7 м</t>
  </si>
  <si>
    <t>00-00000037</t>
  </si>
  <si>
    <t>Рейка 20*40*3000</t>
  </si>
  <si>
    <t>00-00005701</t>
  </si>
  <si>
    <t>00-00000599</t>
  </si>
  <si>
    <t>Ринва (3м) Profil 90 коричнева</t>
  </si>
  <si>
    <t>Ручка дверна</t>
  </si>
  <si>
    <t>00-00005134</t>
  </si>
  <si>
    <t>Сантехнічна редукція 50х32</t>
  </si>
  <si>
    <t>00-00005556</t>
  </si>
  <si>
    <t>Світильник світлодіодний 18 Вт 6400К  600 мм</t>
  </si>
  <si>
    <t>00-00005957</t>
  </si>
  <si>
    <t>Сифон для д/піддону</t>
  </si>
  <si>
    <t>00-00000563</t>
  </si>
  <si>
    <t>Трійник PP-R D=20 mm. х1\2 В сірий</t>
  </si>
  <si>
    <t>труба 76х3,5 мм; ст. 1-3пс; 12 м</t>
  </si>
  <si>
    <t>Труба водостічна 75 мм L=3 м коричн</t>
  </si>
  <si>
    <t>Труба ПВХ гнучка гофр. д.16мм, Light (220 Н 5/см пог.), з протяжкою, сіра</t>
  </si>
  <si>
    <t>Труба поліпропіленова, каналізаційна, d=50 мм, l=1000 мм 3917221000</t>
  </si>
  <si>
    <t>00-00000571</t>
  </si>
  <si>
    <t>Універсальний шуруп 6,0х160 потай</t>
  </si>
  <si>
    <t>00-00000407</t>
  </si>
  <si>
    <t>Утеплювач Кнауф 1250*610*100  6,1м кв.36шт/уп</t>
  </si>
  <si>
    <t>Фум стрічка "Стандартна", рулон 19 мм * 0,075 мм - 10 метров</t>
  </si>
  <si>
    <t>Хомут з гайкою, ЛИОН, М8 4" (109-121мм.) з віброгасителем 7326909890</t>
  </si>
  <si>
    <t>Хомут з прокладкою, ЛІОН, M8, D = 1 1/2 "(47-53 мм) 7326909890¶</t>
  </si>
  <si>
    <t>00-00000562</t>
  </si>
  <si>
    <t>Хрестовина одноплощинна D=110мм 87 30'</t>
  </si>
  <si>
    <t>00-00005857</t>
  </si>
  <si>
    <t>Циліндр ключ-вороток (замок)</t>
  </si>
  <si>
    <t>Шайба М10</t>
  </si>
  <si>
    <t>00-00000285</t>
  </si>
  <si>
    <t>Шайба М12 оцинкована кузовна DIN440 (143W)</t>
  </si>
  <si>
    <t>Шайба М8 збільшена DIN9021</t>
  </si>
  <si>
    <t>Шпилька  М10х1000  975  оц.  25шт</t>
  </si>
  <si>
    <t>00-00000245</t>
  </si>
  <si>
    <t>Шпилька ТМ  оцинкована 12х1000 DIN975, (25шт)</t>
  </si>
  <si>
    <t>00-00003525</t>
  </si>
  <si>
    <t>Шуруп 4,5х70</t>
  </si>
  <si>
    <t>Покриття з ПВХ</t>
  </si>
  <si>
    <t>00-00006165</t>
  </si>
  <si>
    <t>00-00006116</t>
  </si>
  <si>
    <t>00-00006144</t>
  </si>
  <si>
    <t>00-00006164</t>
  </si>
  <si>
    <t>00-00006265</t>
  </si>
  <si>
    <t>00-00006175</t>
  </si>
  <si>
    <t>00-00006143</t>
  </si>
  <si>
    <t>00-00006220</t>
  </si>
  <si>
    <t>00-00006221</t>
  </si>
  <si>
    <t>00-00006166</t>
  </si>
  <si>
    <t>00-00006132</t>
  </si>
  <si>
    <t>00-00006133</t>
  </si>
  <si>
    <t>00-00006174</t>
  </si>
  <si>
    <t>Килим 0,80х1,50</t>
  </si>
  <si>
    <t>00-00006173</t>
  </si>
  <si>
    <t>Килимок для ванної кімнати</t>
  </si>
  <si>
    <t>00-00006131</t>
  </si>
  <si>
    <t>Крісло дитяче</t>
  </si>
  <si>
    <t>00-00006176</t>
  </si>
  <si>
    <t>Лампа настільна</t>
  </si>
  <si>
    <t>00-00006167</t>
  </si>
  <si>
    <t>Витяжка купольна</t>
  </si>
  <si>
    <t>00-00006172</t>
  </si>
  <si>
    <t>00-00006013</t>
  </si>
  <si>
    <t>Панель ПВХ 250ммх7ммх6000мм</t>
  </si>
  <si>
    <t>00-00006528</t>
  </si>
  <si>
    <t>Комплект влаштування димохода</t>
  </si>
  <si>
    <t>00-00006470</t>
  </si>
  <si>
    <t>00-00006471</t>
  </si>
  <si>
    <t>Лампа світлодіодна 7В(до бра)</t>
  </si>
  <si>
    <t>00-00006464</t>
  </si>
  <si>
    <t>Кухня</t>
  </si>
  <si>
    <t>00-00006386</t>
  </si>
  <si>
    <t>Лист ПВХ Ондукллер 76/18 2,0Х0,9 м</t>
  </si>
  <si>
    <t>00-00000055</t>
  </si>
  <si>
    <t>Брус 50х100х6</t>
  </si>
  <si>
    <t>Вагонка смерека АВ12*90*3000</t>
  </si>
  <si>
    <t>00-00004259</t>
  </si>
  <si>
    <t>Грунт-емаль по іржі 3 в 1 графіт  2,8кг</t>
  </si>
  <si>
    <t>Дзеркало 400х600</t>
  </si>
  <si>
    <t>Дзеркало коло в рамі 600мм</t>
  </si>
  <si>
    <t>00-00006387</t>
  </si>
  <si>
    <t>Добавка для фарби  1 л</t>
  </si>
  <si>
    <t>00-00007032</t>
  </si>
  <si>
    <t>м3</t>
  </si>
  <si>
    <t>Електрична поверхня</t>
  </si>
  <si>
    <t>00-00006558</t>
  </si>
  <si>
    <t>Заглушка ліва</t>
  </si>
  <si>
    <t>00-00006559</t>
  </si>
  <si>
    <t>Заглушка права</t>
  </si>
  <si>
    <t>00-00006505</t>
  </si>
  <si>
    <t>Керамограніт (598х598х8)</t>
  </si>
  <si>
    <t>00-00005421</t>
  </si>
  <si>
    <t>Коліно ПЕ 25х90 затискне</t>
  </si>
  <si>
    <t>00-00005676</t>
  </si>
  <si>
    <t>Куточок зовнішн гладенький 30*30*3000 смерека</t>
  </si>
  <si>
    <t>00-00006397</t>
  </si>
  <si>
    <t>Лампа світлодіодна А60 10W Е27 4500К</t>
  </si>
  <si>
    <t>Ліжко (800*1900 см) двух ярусне метал</t>
  </si>
  <si>
    <t>Матрац 140*200</t>
  </si>
  <si>
    <t>Матрац 80*190</t>
  </si>
  <si>
    <t>00-00005817</t>
  </si>
  <si>
    <t>Перехідник  D=20мм*1/2 H</t>
  </si>
  <si>
    <t>Пральна машина</t>
  </si>
  <si>
    <t>Самонаріз по металу з прес шайбою ЦБ 4,2*19</t>
  </si>
  <si>
    <t>00-00005144</t>
  </si>
  <si>
    <t>Сифон для умивальника,випуск 64 мм, гофра d40/50</t>
  </si>
  <si>
    <t>Стіл нерозкладний 1180х750</t>
  </si>
  <si>
    <t>00-00006513</t>
  </si>
  <si>
    <t>Стіл письмовий</t>
  </si>
  <si>
    <t>Стілець обідній</t>
  </si>
  <si>
    <t>00-00006523</t>
  </si>
  <si>
    <t>Труба гнучка 1 1/2х40/50 40-85 мм</t>
  </si>
  <si>
    <t>Труба ПЕ ф25</t>
  </si>
  <si>
    <t>00000001914</t>
  </si>
  <si>
    <t>00-00006990</t>
  </si>
  <si>
    <t>00-00007837</t>
  </si>
  <si>
    <t>00-00006469</t>
  </si>
  <si>
    <t>00000021537</t>
  </si>
  <si>
    <t>00000006683</t>
  </si>
  <si>
    <t>00000021861</t>
  </si>
  <si>
    <t>00-00001556</t>
  </si>
  <si>
    <t>00000022295</t>
  </si>
  <si>
    <t>00000022135</t>
  </si>
  <si>
    <t>00000022136</t>
  </si>
  <si>
    <t>00-00004050</t>
  </si>
  <si>
    <t>00-00007909</t>
  </si>
  <si>
    <t>00-00008353</t>
  </si>
  <si>
    <t>00-00007846</t>
  </si>
  <si>
    <t>00-00000699</t>
  </si>
  <si>
    <t>00000000104</t>
  </si>
  <si>
    <t>00000021718</t>
  </si>
  <si>
    <t>00000021719</t>
  </si>
  <si>
    <t>00000000681</t>
  </si>
  <si>
    <t>00000003790</t>
  </si>
  <si>
    <t>00000001690</t>
  </si>
  <si>
    <t>00000000200</t>
  </si>
  <si>
    <t>00000000102</t>
  </si>
  <si>
    <t>00000022363</t>
  </si>
  <si>
    <t>00000021688</t>
  </si>
  <si>
    <t>00000021689</t>
  </si>
  <si>
    <t>00000000354</t>
  </si>
  <si>
    <t>00000021690</t>
  </si>
  <si>
    <t>00000000343</t>
  </si>
  <si>
    <t>00000021939</t>
  </si>
  <si>
    <t>00000000689</t>
  </si>
  <si>
    <t>00000000106</t>
  </si>
  <si>
    <t>00-00000606</t>
  </si>
  <si>
    <t>00000000153</t>
  </si>
  <si>
    <t>00000009187</t>
  </si>
  <si>
    <t>00000005990</t>
  </si>
  <si>
    <t>00000000089</t>
  </si>
  <si>
    <t>00000019322</t>
  </si>
  <si>
    <t>00000000341</t>
  </si>
  <si>
    <t>00000020264</t>
  </si>
  <si>
    <t>00000020263</t>
  </si>
  <si>
    <t>00000021903</t>
  </si>
  <si>
    <t>00000000355</t>
  </si>
  <si>
    <t>00000022358</t>
  </si>
  <si>
    <t>00000014270</t>
  </si>
  <si>
    <t>00000000599</t>
  </si>
  <si>
    <t>00000000486</t>
  </si>
  <si>
    <t>00000017002</t>
  </si>
  <si>
    <t>00000000094</t>
  </si>
  <si>
    <t>00000019328</t>
  </si>
  <si>
    <t>00000000100</t>
  </si>
  <si>
    <t>00000000101</t>
  </si>
  <si>
    <t>00000021902</t>
  </si>
  <si>
    <t>00000019324</t>
  </si>
  <si>
    <t>00000000395</t>
  </si>
  <si>
    <t>00000007005</t>
  </si>
  <si>
    <t>00-00000795</t>
  </si>
  <si>
    <t>00000021910</t>
  </si>
  <si>
    <t>00000001444</t>
  </si>
  <si>
    <t>00000021870</t>
  </si>
  <si>
    <t>00-00007720</t>
  </si>
  <si>
    <t>00-00007719</t>
  </si>
  <si>
    <t>00000015090</t>
  </si>
  <si>
    <t>00000021814</t>
  </si>
  <si>
    <t>00000021815</t>
  </si>
  <si>
    <t>00000022355</t>
  </si>
  <si>
    <t>00000004453</t>
  </si>
  <si>
    <t>00000000672</t>
  </si>
  <si>
    <t>00-00001059</t>
  </si>
  <si>
    <t>00-00006021</t>
  </si>
  <si>
    <t>00000019254</t>
  </si>
  <si>
    <t>00000011620</t>
  </si>
  <si>
    <t>00000000146</t>
  </si>
  <si>
    <t>00000022350</t>
  </si>
  <si>
    <t>00000000085</t>
  </si>
  <si>
    <t>00000011153</t>
  </si>
  <si>
    <t>00000003950</t>
  </si>
  <si>
    <t>00000001508</t>
  </si>
  <si>
    <t>00000003726</t>
  </si>
  <si>
    <t>00-00005851</t>
  </si>
  <si>
    <t>00000000351</t>
  </si>
  <si>
    <t>00000019338</t>
  </si>
  <si>
    <t>00000000345</t>
  </si>
  <si>
    <t>00000000107</t>
  </si>
  <si>
    <t>00-00000516</t>
  </si>
  <si>
    <t>00000009072</t>
  </si>
  <si>
    <t>00000009068</t>
  </si>
  <si>
    <t>00000000589</t>
  </si>
  <si>
    <t>00000009858</t>
  </si>
  <si>
    <t>00000018520</t>
  </si>
  <si>
    <t>00000018382</t>
  </si>
  <si>
    <t>00000018518</t>
  </si>
  <si>
    <t>00000000643</t>
  </si>
  <si>
    <t>00000000614</t>
  </si>
  <si>
    <t>00-00007186</t>
  </si>
  <si>
    <t>00-00007384</t>
  </si>
  <si>
    <t>00-00000567</t>
  </si>
  <si>
    <t>00000019412</t>
  </si>
  <si>
    <t xml:space="preserve">Бітумна черепиця </t>
  </si>
  <si>
    <t>EKOBOARD 100*610*1250 мм 12.2 м2 1/36</t>
  </si>
  <si>
    <t>EKOBOARD 100*610*1250 мм 6,1 м2 1/36</t>
  </si>
  <si>
    <t>EKOBOARD 50*610*1250 мм 12.2 м2 1/36</t>
  </si>
  <si>
    <t>Плівка гідроізоляційна підпокрів 75кв м</t>
  </si>
  <si>
    <t>Плівка пароізоляційна срібна, 75 м2</t>
  </si>
  <si>
    <t>лист ПВЛ 406х1250х2500 мм</t>
  </si>
  <si>
    <t>Дошка 20*130*4000</t>
  </si>
  <si>
    <t>Брус обрізний 100*100мм  4,5м</t>
  </si>
  <si>
    <t>Пінополістирол 100мм</t>
  </si>
  <si>
    <t>Поворотник</t>
  </si>
  <si>
    <t>Ущільнювач 80х32х2070</t>
  </si>
  <si>
    <t>Ущільнювач для Т40 коньок</t>
  </si>
  <si>
    <t xml:space="preserve">Холодильник  </t>
  </si>
  <si>
    <t>Клей для керамограніта  (25 кг)</t>
  </si>
  <si>
    <t xml:space="preserve">Електрочайник </t>
  </si>
  <si>
    <t>Емаль ПФ-115 чорна 2,8 кг</t>
  </si>
  <si>
    <t>З'єднувач труби Profil 130 коричн</t>
  </si>
  <si>
    <t>Комплект для фіксації хомутів (шуруп, гайка, дюбель), M8x90 мм 7318153500¶</t>
  </si>
  <si>
    <t>Котушка з тефлоном, для газових труб 3919108090</t>
  </si>
  <si>
    <t xml:space="preserve">Куток рівн.р.ж. 50х50х40х2,0  </t>
  </si>
  <si>
    <t>Коліно 75/60* коричневе</t>
  </si>
  <si>
    <t xml:space="preserve">Лиштва плоска </t>
  </si>
  <si>
    <t xml:space="preserve">Ліжко 1400х2000 </t>
  </si>
  <si>
    <t>Гайка DIN934 M8</t>
  </si>
  <si>
    <t>Болт М 8*120 меблев кв оц</t>
  </si>
  <si>
    <t>Болт М 8*60 з шест.голівкою</t>
  </si>
  <si>
    <t xml:space="preserve">Автоматичний вимикач  1 п 10А  </t>
  </si>
  <si>
    <t>Суміш бетонна 25 кг</t>
  </si>
  <si>
    <t xml:space="preserve">Труба поліпропіленова, каналізаційна, d=50 мм, l=500 мм </t>
  </si>
  <si>
    <t xml:space="preserve">Умивальник </t>
  </si>
  <si>
    <t>Цвяхи покрівельні 22мм</t>
  </si>
  <si>
    <t>Шайба 10 збільш DIN9021</t>
  </si>
  <si>
    <t>Шайба збільшена 8х23  1кг=169</t>
  </si>
  <si>
    <t>Шафа 1000х400х2200</t>
  </si>
  <si>
    <t>Шафа 1000х520х2200</t>
  </si>
  <si>
    <t>Шпилька  М12х1000  975  оц.  25шт</t>
  </si>
  <si>
    <t>Шуруп 4,5*45 пот універс  5 тис шт</t>
  </si>
  <si>
    <t>Профіль АП 004 (дуб) 2,7 м</t>
  </si>
  <si>
    <t>Профіль АП 015 (дуб) 1,8 м</t>
  </si>
  <si>
    <t>СвітильникСвітильник накладний з вимикачем(бра)</t>
  </si>
  <si>
    <t xml:space="preserve">Перехід ексцентричний D=110/50 мм </t>
  </si>
  <si>
    <t>Механізм замка дверей аналог</t>
  </si>
  <si>
    <t xml:space="preserve">Обігрівач керамічний  TC395 (бежевий) </t>
  </si>
  <si>
    <t>Лист рівний</t>
  </si>
  <si>
    <t>Брус 50*30*3</t>
  </si>
  <si>
    <t>Дошка 40х200х4500</t>
  </si>
  <si>
    <t>00000000357</t>
  </si>
  <si>
    <t>00000022382</t>
  </si>
  <si>
    <t>Трійник D=20ммх1/2" ПП-Р сірий В</t>
  </si>
  <si>
    <t>00000022348</t>
  </si>
  <si>
    <t>Коліно Profil 130 коричнев</t>
  </si>
  <si>
    <t>Сантехнічні  матеріали</t>
  </si>
  <si>
    <t>00000000193</t>
  </si>
  <si>
    <t>00000019327</t>
  </si>
  <si>
    <t>00000011180</t>
  </si>
  <si>
    <t>Трійник D=50 мм, 45" 3917400090</t>
  </si>
  <si>
    <t>Трійник каналіз.87° 110</t>
  </si>
  <si>
    <t>00000000615</t>
  </si>
  <si>
    <t>00000019185</t>
  </si>
  <si>
    <t>00000019266</t>
  </si>
  <si>
    <t>00-00006130</t>
  </si>
  <si>
    <t>00-00000375</t>
  </si>
  <si>
    <t>Труба каналізаційна ПВХ 110х3,2х1000 хв</t>
  </si>
  <si>
    <t>Вимикач 3-кл білий Asfora, SCHNEIDER ELECTRIC</t>
  </si>
  <si>
    <t>Двері металеві   860*2050 праві</t>
  </si>
  <si>
    <t>Змащувач для труб GEBEX LUB 200ml GEB SAS</t>
  </si>
  <si>
    <t>00000019749</t>
  </si>
  <si>
    <t>Вилка із заземл. каучук</t>
  </si>
  <si>
    <t>Виготовлення  " Модульний будинок А1"  (основне списання згідно калькуляції) №29</t>
  </si>
  <si>
    <t>Виготовлення  " Модульний будинок А1"№29</t>
  </si>
  <si>
    <t>00-00013058</t>
  </si>
  <si>
    <t>00-00010793</t>
  </si>
  <si>
    <t>00-00004766</t>
  </si>
  <si>
    <t>00-00007891</t>
  </si>
  <si>
    <t>00-00013623</t>
  </si>
  <si>
    <t>00-00013061</t>
  </si>
  <si>
    <t>00-00009316</t>
  </si>
  <si>
    <t>00-00013134</t>
  </si>
  <si>
    <t>00-00013133</t>
  </si>
  <si>
    <t>00-00013056</t>
  </si>
  <si>
    <t>00000022138</t>
  </si>
  <si>
    <t>00-00013077</t>
  </si>
  <si>
    <t>00-00007955</t>
  </si>
  <si>
    <t>00000011151</t>
  </si>
  <si>
    <t>00-00004769</t>
  </si>
  <si>
    <t>00-00004315</t>
  </si>
  <si>
    <t>00000021176</t>
  </si>
  <si>
    <t>00000003947</t>
  </si>
  <si>
    <t>00-00013670</t>
  </si>
  <si>
    <t>00000011791</t>
  </si>
  <si>
    <t>00-00007467</t>
  </si>
  <si>
    <t>00-00007163</t>
  </si>
  <si>
    <t>00-00010599</t>
  </si>
  <si>
    <t>00-00013628</t>
  </si>
  <si>
    <t>00-00013627</t>
  </si>
  <si>
    <t>00000008651</t>
  </si>
  <si>
    <t>00-00004260</t>
  </si>
  <si>
    <t>00-00000648</t>
  </si>
  <si>
    <t>00-00006681</t>
  </si>
  <si>
    <t>00-00006680</t>
  </si>
  <si>
    <t>00000020020</t>
  </si>
  <si>
    <t>00-00003443</t>
  </si>
  <si>
    <t>00-00011067</t>
  </si>
  <si>
    <t>00-00011526</t>
  </si>
  <si>
    <t>00000013082</t>
  </si>
  <si>
    <t>00-00013055</t>
  </si>
  <si>
    <t>00000017003</t>
  </si>
  <si>
    <t>00-00013060</t>
  </si>
  <si>
    <t>00-00000594</t>
  </si>
  <si>
    <t>00-00001263</t>
  </si>
  <si>
    <t>00-00007923</t>
  </si>
  <si>
    <t>00000011142</t>
  </si>
  <si>
    <t>00-00010420</t>
  </si>
  <si>
    <t>00-00000352</t>
  </si>
  <si>
    <t>00-00007133</t>
  </si>
  <si>
    <t>00-00007912</t>
  </si>
  <si>
    <t>00-00010624</t>
  </si>
  <si>
    <t>00-00001547</t>
  </si>
  <si>
    <t>00000010608</t>
  </si>
  <si>
    <t>00-00013068</t>
  </si>
  <si>
    <t>00000009683</t>
  </si>
  <si>
    <t>00000010106</t>
  </si>
  <si>
    <t>00-00007659</t>
  </si>
  <si>
    <t>00-00000628</t>
  </si>
  <si>
    <t>00000021807</t>
  </si>
  <si>
    <t>00000009195</t>
  </si>
  <si>
    <t>00-00010597</t>
  </si>
  <si>
    <t>00-00013136</t>
  </si>
  <si>
    <t>00000022062</t>
  </si>
  <si>
    <t>00-00003294</t>
  </si>
  <si>
    <t>00000003935</t>
  </si>
  <si>
    <t>00000003979</t>
  </si>
  <si>
    <t>00-00011918</t>
  </si>
  <si>
    <t>00-00010899</t>
  </si>
  <si>
    <t>00000019116</t>
  </si>
  <si>
    <t>00000020009</t>
  </si>
  <si>
    <t>00-00013137</t>
  </si>
  <si>
    <t>00-00014085</t>
  </si>
  <si>
    <t>00-00010316</t>
  </si>
  <si>
    <t>00-00006160</t>
  </si>
  <si>
    <t>00000004659</t>
  </si>
  <si>
    <t>00-00007883</t>
  </si>
  <si>
    <t>00-00013626</t>
  </si>
  <si>
    <t>00-00013625</t>
  </si>
  <si>
    <t>00-00011740</t>
  </si>
  <si>
    <t>00000000090</t>
  </si>
  <si>
    <t>00000016065</t>
  </si>
  <si>
    <t>00000000396</t>
  </si>
  <si>
    <t>00-00010390</t>
  </si>
  <si>
    <t>00-00010348</t>
  </si>
  <si>
    <t>00-00013059</t>
  </si>
  <si>
    <t>00-00010389</t>
  </si>
  <si>
    <t>00-00013186</t>
  </si>
  <si>
    <t>00-00010388</t>
  </si>
  <si>
    <t>00-00013681</t>
  </si>
  <si>
    <t>00-00000478</t>
  </si>
  <si>
    <t>Кут зовнішній 30*30мм</t>
  </si>
  <si>
    <t xml:space="preserve">Труба 76х4,0 </t>
  </si>
  <si>
    <t>Стартова смуга ПВХ біла 8мм</t>
  </si>
  <si>
    <t>Саморіз покрівельний по дереву 4,8*35мм, (100 шт)</t>
  </si>
  <si>
    <t>Гофра алюмінієва (100 шт)</t>
  </si>
  <si>
    <t>Плита пінополістирольна екструзійна 1000х500х100</t>
  </si>
  <si>
    <t>Бетон БСГ В20 Р4 F200 W6 М10</t>
  </si>
  <si>
    <t>Дошка 12*90*2500</t>
  </si>
  <si>
    <t>Дошка 12*90*3000</t>
  </si>
  <si>
    <t>Дошка обріз 20*130*4000</t>
  </si>
  <si>
    <t>Дошка обріз 40*200 4,5 м</t>
  </si>
  <si>
    <t>Плівка п/е 200 мк, 50 м</t>
  </si>
  <si>
    <t>Профнастил ПК-18</t>
  </si>
  <si>
    <t>Профнастил ПС-10</t>
  </si>
  <si>
    <t>Панель ПВХ 250ммх8ммх6000мм</t>
  </si>
  <si>
    <t xml:space="preserve">Мембрана ПВХ 1,5мм  </t>
  </si>
  <si>
    <t>Емаль ПФ-115 чорна</t>
  </si>
  <si>
    <t>Вогнебіозахист</t>
  </si>
  <si>
    <t>Волпер іскрогасник Ф150</t>
  </si>
  <si>
    <t>Герметик силікон  280 мл</t>
  </si>
  <si>
    <t>Вазелін д/каналіз труб 250гр</t>
  </si>
  <si>
    <t>Гнучка труба 1 1/2х40/50</t>
  </si>
  <si>
    <t xml:space="preserve">Гофра до унітаза </t>
  </si>
  <si>
    <t>Гратка вентиляційна МВ 122ВК пластик</t>
  </si>
  <si>
    <t>Гратка ДВ 102 ВК</t>
  </si>
  <si>
    <t>Грунт-емаль по іржі 3 в 1 сіра  2,8кг</t>
  </si>
  <si>
    <t>Грунт-емаль по іржі 3 в 1 чорна  2,8кг</t>
  </si>
  <si>
    <t>Двері металеві 960х2050праві</t>
  </si>
  <si>
    <t>Дверне полотно 700*2000</t>
  </si>
  <si>
    <t>Дверне полотно 800*2000</t>
  </si>
  <si>
    <t>Диспенсер туалетного папіру</t>
  </si>
  <si>
    <t>PP-R трійник 20 мм</t>
  </si>
  <si>
    <t xml:space="preserve">Soudal=Герметик акриловий  білий 280мм  </t>
  </si>
  <si>
    <t>Бак гідроакумулюючий 24л</t>
  </si>
  <si>
    <t>Будівельні матеріали</t>
  </si>
  <si>
    <t>Вилка з заземленням</t>
  </si>
  <si>
    <t>Відбійник самоклеючий</t>
  </si>
  <si>
    <t>Відвід d 50 мм 87*30"</t>
  </si>
  <si>
    <t>Євроруберойд  Будмонстр ХПП - 2,5 гр (15м.)</t>
  </si>
  <si>
    <t>клей монтажний Lacrysil 280мл</t>
  </si>
  <si>
    <t>Клей-піна, 800 мл</t>
  </si>
  <si>
    <t>Коліно дворастурбне 75 коричневе</t>
  </si>
  <si>
    <t>Коліно РPR 20*90</t>
  </si>
  <si>
    <t>Коробка розподільча 100х100х70</t>
  </si>
  <si>
    <t>Кріплення умивальника до стіни (з ексцентриками і болт.8х140мм )</t>
  </si>
  <si>
    <t>Індикатор газу</t>
  </si>
  <si>
    <t>Канал d100/1</t>
  </si>
  <si>
    <t>Кутник HTR 50х87.5* ASG</t>
  </si>
  <si>
    <t>Куток 105*105*90*2,5 універс з ребром жорстк</t>
  </si>
  <si>
    <t>Емаль аерозоль 400 мл</t>
  </si>
  <si>
    <t>Емаль алкідна ПФ-115 П біла 2,8 кг</t>
  </si>
  <si>
    <t>Мастика бітумно-каучукова 18 кг</t>
  </si>
  <si>
    <t>Механізм для дверей</t>
  </si>
  <si>
    <t>Муфта, D=20 мм*1/2 зовн різьба</t>
  </si>
  <si>
    <t>Наліпка 600*300*1,5мм самоклеюча домашня колір в асорт</t>
  </si>
  <si>
    <t>Піна монтажна  800 мл</t>
  </si>
  <si>
    <t>Редукція 110*50</t>
  </si>
  <si>
    <t>Саморіз 4,8х35</t>
  </si>
  <si>
    <t>Дошка добірна МДФ 100*10*2070 біла</t>
  </si>
  <si>
    <t>Плита OSB 2500*1250 15 мм (шт)</t>
  </si>
  <si>
    <t>Плита OSB-3 10х1250*2500 (шт)</t>
  </si>
  <si>
    <t>Фарба жасмін 10л 32Color</t>
  </si>
  <si>
    <t>Цвяхи покрівельні 25мм</t>
  </si>
  <si>
    <t>Цемент М 500 25 кг Кам.-Под. ПЦ-І</t>
  </si>
  <si>
    <t>Циліндровий механізм Avers DM-70-G</t>
  </si>
  <si>
    <t xml:space="preserve">Циліндровий секрет </t>
  </si>
  <si>
    <t>Шайба 12 збільш оц</t>
  </si>
  <si>
    <t>Шайба М 8  DIN125</t>
  </si>
  <si>
    <t>Шланг для зішувача</t>
  </si>
  <si>
    <t>Саморіз покрівельний по металу 4,8x19 мм 100 шт RAL 7024</t>
  </si>
  <si>
    <t>Саморіз універсальний 6*100</t>
  </si>
  <si>
    <t>Саморіз універсальний 6*80</t>
  </si>
  <si>
    <t>Світильник LED 12W  4100К з блоком живлення</t>
  </si>
  <si>
    <t>Труба поліпропіленова каналізаційна d=50  мм І=500 мм</t>
  </si>
  <si>
    <t>Труба каналізаційна ПВХ 110х2,7х3000</t>
  </si>
  <si>
    <t>Планка 30х7 мм хв/пор</t>
  </si>
  <si>
    <t>Рейка 40*50*3000</t>
  </si>
  <si>
    <t>Кутник 20*20  3м дерев"ян внутришн</t>
  </si>
  <si>
    <t>Куточок зовнішн 35х35 мм хв/пор</t>
  </si>
  <si>
    <t>Вагонка ПВХ 0,25х6 м (8мм)</t>
  </si>
  <si>
    <t>Імітація бруса сосна АВ 20х120х4000</t>
  </si>
  <si>
    <t>Панель ПВХ Біла (250ммх7ммх6000мм) білий глянець</t>
  </si>
  <si>
    <t>Дошка 40х200х6000</t>
  </si>
  <si>
    <t>пач</t>
  </si>
  <si>
    <t>Виготовлення  " Модульний будинок А1"  (основне списання згідно калькуляції) №30</t>
  </si>
  <si>
    <t>Виготовлення  " Модульний будинок А1"№30</t>
  </si>
  <si>
    <t>Виготовлення  " Модульний будинок А1"  (основне списання згідно калькуляції) №31</t>
  </si>
  <si>
    <t>Виготовлення  " Модульний будинок А1"№31</t>
  </si>
  <si>
    <t>Виготовлення  " Модульний будинок А1"  (основне списання згідно калькуляції) №32</t>
  </si>
  <si>
    <t>Виготовлення  " Модульний будинок А1"№32</t>
  </si>
  <si>
    <t>00-00000623</t>
  </si>
  <si>
    <t xml:space="preserve">З'єднання </t>
  </si>
  <si>
    <t>Виготовлення  " Модульний будинок А1"  (основне списання згідно калькуляції) №33</t>
  </si>
  <si>
    <t>Виготовлення  " Модульний будинок А1"№33</t>
  </si>
  <si>
    <t>00000022074</t>
  </si>
  <si>
    <t>00-00004328</t>
  </si>
  <si>
    <t>00-00010796</t>
  </si>
  <si>
    <t>00-00006560</t>
  </si>
  <si>
    <t>00-00012867</t>
  </si>
  <si>
    <t>00000014581</t>
  </si>
  <si>
    <t>00-00013552</t>
  </si>
  <si>
    <t>00-00013631</t>
  </si>
  <si>
    <t>00-00013639</t>
  </si>
  <si>
    <t>00-00005610</t>
  </si>
  <si>
    <t>00000021201</t>
  </si>
  <si>
    <t>00-00013605</t>
  </si>
  <si>
    <t>00000004299</t>
  </si>
  <si>
    <t>00-00001861</t>
  </si>
  <si>
    <t>00-00013621</t>
  </si>
  <si>
    <t>00-00013668</t>
  </si>
  <si>
    <t>00-00013622</t>
  </si>
  <si>
    <t>00000016022</t>
  </si>
  <si>
    <t>00000021881</t>
  </si>
  <si>
    <t>00000000198</t>
  </si>
  <si>
    <t>00-00006669</t>
  </si>
  <si>
    <t>00000011267</t>
  </si>
  <si>
    <t>00-00008267</t>
  </si>
  <si>
    <t>00-00004415</t>
  </si>
  <si>
    <t>00-00013671</t>
  </si>
  <si>
    <t>00-00013048</t>
  </si>
  <si>
    <t>00-00013049</t>
  </si>
  <si>
    <t>00-00006152</t>
  </si>
  <si>
    <t>00-00007658</t>
  </si>
  <si>
    <t>00-00007464</t>
  </si>
  <si>
    <t>00000022130</t>
  </si>
  <si>
    <t>00-00013067</t>
  </si>
  <si>
    <t>00-00012187</t>
  </si>
  <si>
    <t>00000021044</t>
  </si>
  <si>
    <t>00-00013669</t>
  </si>
  <si>
    <t>Брус обрізний 100*200мм (4,5 м )</t>
  </si>
  <si>
    <t>Євроруберойд  ХПП - 2,5мм ,15 м кв</t>
  </si>
  <si>
    <t>З’єднання Металік</t>
  </si>
  <si>
    <t>З’єднання швидкознімне для шланга 8мм</t>
  </si>
  <si>
    <t>Затирка Ceresit СЕ 40</t>
  </si>
  <si>
    <t>Ізострічка 19 мм*20 м*0,13 мм, синя</t>
  </si>
  <si>
    <t>інструмент будівельний</t>
  </si>
  <si>
    <t>Канал d125/1</t>
  </si>
  <si>
    <t>Кельма штукатурна 180*100мм нерж</t>
  </si>
  <si>
    <t>Кільця  залізобтоні КС 10,9</t>
  </si>
  <si>
    <t>Клей для напольного покриття 14кг</t>
  </si>
  <si>
    <t>Клей для плитки (25 кг)</t>
  </si>
  <si>
    <t xml:space="preserve">Клема 2-х провід.2,5 мм </t>
  </si>
  <si>
    <t>Комплект роликів 8 шт(душ. каб)</t>
  </si>
  <si>
    <t>Конус термо зворотній Ф150/220</t>
  </si>
  <si>
    <t>Коробка розподільча з клемою 7,5*7,5*35 Р1</t>
  </si>
  <si>
    <t>Коробка розподільча з кришкою 85*85*40 Р55</t>
  </si>
  <si>
    <t>Коробка установча гіпсокартон д=68 синя/зелена</t>
  </si>
  <si>
    <t>Кран вентильний для сантехприладів 1/2 х3/4 ALBERTONI</t>
  </si>
  <si>
    <t>Кришка ПП 10-15 1,0 армована</t>
  </si>
  <si>
    <t>Круг 16 мм ст.3 пс, 6 м</t>
  </si>
  <si>
    <t>Манжета для унітаза пряма</t>
  </si>
  <si>
    <t>Манометр</t>
  </si>
  <si>
    <t>Мастер флеш гідроізоляційний 160/320</t>
  </si>
  <si>
    <t>Муфта з внутр.різьб.20*3/4</t>
  </si>
  <si>
    <t>Муфта з'єднувальна ф20 мм</t>
  </si>
  <si>
    <t>Муфта ПЕ 25 затискна</t>
  </si>
  <si>
    <t>Муфта, D=20 мм*1/2 внутр різьба</t>
  </si>
  <si>
    <t>Тримач плоских каналів ВЕНТС 204х60</t>
  </si>
  <si>
    <t>Трійник D=110мм, 87° 30 '</t>
  </si>
  <si>
    <t>Труба каналіз 110/3000/2,2</t>
  </si>
  <si>
    <t>Труба каналізаційна 110х2,2х3000мм</t>
  </si>
  <si>
    <t>Труба профільна 50х50х2,0мм МІРА 6м</t>
  </si>
  <si>
    <t>Труба термо Ф150/200</t>
  </si>
  <si>
    <t>Виготовлення  " Модульний будинок А1"  (основне списання згідно калькуляції) №34</t>
  </si>
  <si>
    <t>Виготовлення  " Модульний будинок А1"№34</t>
  </si>
  <si>
    <t>00000017166</t>
  </si>
  <si>
    <t>00-00008159</t>
  </si>
  <si>
    <t>00-00011152</t>
  </si>
  <si>
    <t>00000021704</t>
  </si>
  <si>
    <t>00000002446</t>
  </si>
  <si>
    <t>00-00007465</t>
  </si>
  <si>
    <t>00000007278</t>
  </si>
  <si>
    <t>00-00010208</t>
  </si>
  <si>
    <t>00-00001646</t>
  </si>
  <si>
    <t>00-00008143</t>
  </si>
  <si>
    <t>00-00010473</t>
  </si>
  <si>
    <t>00-00011102</t>
  </si>
  <si>
    <t>00-00013057</t>
  </si>
  <si>
    <t>00000022388</t>
  </si>
  <si>
    <t>00-00013633</t>
  </si>
  <si>
    <t>00000000687</t>
  </si>
  <si>
    <t>00000010967</t>
  </si>
  <si>
    <t>00-00007738</t>
  </si>
  <si>
    <t>00000004191</t>
  </si>
  <si>
    <t>00-00013634</t>
  </si>
  <si>
    <t>00-00011527</t>
  </si>
  <si>
    <t>00-00013635</t>
  </si>
  <si>
    <t>00-00007474</t>
  </si>
  <si>
    <t>00000000095</t>
  </si>
  <si>
    <t>00000000282</t>
  </si>
  <si>
    <t>00-00013041</t>
  </si>
  <si>
    <t>00000021710</t>
  </si>
  <si>
    <t>00-00007390</t>
  </si>
  <si>
    <t>00000010470</t>
  </si>
  <si>
    <t>Очищувач монтажної піни, 500 мл 12-499</t>
  </si>
  <si>
    <t>П’ятирник для насосу</t>
  </si>
  <si>
    <t>Паста силікована</t>
  </si>
  <si>
    <t>Перехідник латунний ЗВ, 3/4"x1/2" 7412200000</t>
  </si>
  <si>
    <t>Пістолет для піни</t>
  </si>
  <si>
    <t>Пластина настінна ВЕНТС 204х60 для плоских каналів</t>
  </si>
  <si>
    <t>Плита пінополістирольна екструзійна 1180х580х100-L(2*50)/(0,27376)</t>
  </si>
  <si>
    <t>ПП-15 кришка колодязя</t>
  </si>
  <si>
    <t xml:space="preserve">Провід ПВ-3нгд  6 син </t>
  </si>
  <si>
    <t xml:space="preserve">Профіль з гумовой вставкой срібло </t>
  </si>
  <si>
    <t>Профіль ЛП 29 (дуб)  1,8 м</t>
  </si>
  <si>
    <t>Профіль ЛП 40 (дуб)  1,8 м</t>
  </si>
  <si>
    <t>Рейка обрізна 20*40 мм (3м)</t>
  </si>
  <si>
    <t>Реле тиску РМ/5 FG</t>
  </si>
  <si>
    <t>Ролики для скла висувні (комплект 2шт)</t>
  </si>
  <si>
    <t>Сантехнічна редукція 50х40</t>
  </si>
  <si>
    <t>Сифон для умив."Waterstal" 1 1/2 з гнуч.трубкою</t>
  </si>
  <si>
    <t>Стрічка малярська, 48мм*50м</t>
  </si>
  <si>
    <t>Стрічка тефлонова 1/2", 0,075мм</t>
  </si>
  <si>
    <t>Суміш цементно-піщана, 25 кг</t>
  </si>
  <si>
    <t>Тримач для полиць (полицетримач) 2шт.(компл)</t>
  </si>
  <si>
    <t>Трійник 25/25/25, фітінг</t>
  </si>
  <si>
    <t>Трійник D=50 mm 45*</t>
  </si>
  <si>
    <t>Трійник D=50 mm 87* 30</t>
  </si>
  <si>
    <t>Трійник каналіз.110*110*45</t>
  </si>
  <si>
    <t>Трійник, PP-R, D = 20 мм x 1/2", В, сірий 3917400090</t>
  </si>
  <si>
    <t>Трос оцинкований сталевий Expert Fix D=2 мм 20 пог. м</t>
  </si>
  <si>
    <t>Труба  89*3 ст1-3 сп/пс L=12000 мм</t>
  </si>
  <si>
    <t xml:space="preserve"> шт</t>
  </si>
  <si>
    <t>Виготовлення  " Модульний будинок А1"  (основне списання згідно калькуляції) №35</t>
  </si>
  <si>
    <t>Виготовлення  " Модульний будинок А1"№35</t>
  </si>
  <si>
    <t>00-00010795</t>
  </si>
  <si>
    <t>00000021221</t>
  </si>
  <si>
    <t>00000012411</t>
  </si>
  <si>
    <t>00-00007552</t>
  </si>
  <si>
    <t>00000000105</t>
  </si>
  <si>
    <t>00-00010596</t>
  </si>
  <si>
    <t>00000002293</t>
  </si>
  <si>
    <t>00-00005611</t>
  </si>
  <si>
    <t>00-00011538</t>
  </si>
  <si>
    <t>00000008728</t>
  </si>
  <si>
    <t>00000018679</t>
  </si>
  <si>
    <t>00-00012266</t>
  </si>
  <si>
    <t>00-00013047</t>
  </si>
  <si>
    <t>00000000091</t>
  </si>
  <si>
    <t>00000000092</t>
  </si>
  <si>
    <t>00-00013624</t>
  </si>
  <si>
    <t>00-00013672</t>
  </si>
  <si>
    <t>00000007964</t>
  </si>
  <si>
    <t>00-00013638</t>
  </si>
  <si>
    <t>00-00008466</t>
  </si>
  <si>
    <t>00-00011068</t>
  </si>
  <si>
    <t>00000006553</t>
  </si>
  <si>
    <t>00-00013050</t>
  </si>
  <si>
    <t>Кут внутрішній Металік</t>
  </si>
  <si>
    <t>Кутик 25*25*3мм ст.S235JR MIPA 6м</t>
  </si>
  <si>
    <t>Кутник 25х25х3 L= 6 м S235 JR</t>
  </si>
  <si>
    <t>Кутник HTR 40х87.5* ASG</t>
  </si>
  <si>
    <t>Куточок для підключення змішувача PP-R D=20 мм х1\2 сірий</t>
  </si>
  <si>
    <t>Куточок, 45", PP-R, D=110 мм</t>
  </si>
  <si>
    <t>Ніж 18мм</t>
  </si>
  <si>
    <t>Плити покриття залізобетонні ПП 10</t>
  </si>
  <si>
    <t>Труба 110/2м толщ. 3,2мм зн</t>
  </si>
  <si>
    <t>Труба 120*120*4  ст1-3 пс L=12000</t>
  </si>
  <si>
    <t>Труба каналізаційна 110х2,7х2000мм</t>
  </si>
  <si>
    <t>Труба ПЕ 100 SDR17 25мм х 2,00мм</t>
  </si>
  <si>
    <t>Труба поліпропіленова каналізаційна d=50  мм І=1000 мм</t>
  </si>
  <si>
    <t>Труба поліпропіленова каналізаційна d=50  мм І=2000 мм</t>
  </si>
  <si>
    <t>хомут</t>
  </si>
  <si>
    <t>Хомут під розтяжку Ф220</t>
  </si>
  <si>
    <t>Цемент ПЦІ-500, 25 кг</t>
  </si>
  <si>
    <t>Цемент ПЦІ-500, 25 кг (Кам'янець Подільський)</t>
  </si>
  <si>
    <t xml:space="preserve">Шланг </t>
  </si>
  <si>
    <t>Шланг антивібраційний кутовий 1’0,8 м ЗВ</t>
  </si>
  <si>
    <t>Шланг спірал поліуретан 6,5х10 мм 20 м</t>
  </si>
  <si>
    <t>Шуруп універсальний 6,0х100, потайн.гол. ЦЖ (кг)</t>
  </si>
  <si>
    <t>00000000511</t>
  </si>
  <si>
    <t>00000000546</t>
  </si>
  <si>
    <t>00000000598</t>
  </si>
  <si>
    <t>00000017383</t>
  </si>
  <si>
    <t>00000017528</t>
  </si>
  <si>
    <t>00-00000027</t>
  </si>
  <si>
    <t>00000017950</t>
  </si>
  <si>
    <t>00-00000067</t>
  </si>
  <si>
    <t>00000019357</t>
  </si>
  <si>
    <t>00000019753</t>
  </si>
  <si>
    <t>00000019775</t>
  </si>
  <si>
    <t>00000020657</t>
  </si>
  <si>
    <t>00000021240</t>
  </si>
  <si>
    <t>00-00000543</t>
  </si>
  <si>
    <t>00-00000586</t>
  </si>
  <si>
    <t>00000022209</t>
  </si>
  <si>
    <t>00-00001434</t>
  </si>
  <si>
    <t>00-00001989</t>
  </si>
  <si>
    <t>00-00003158</t>
  </si>
  <si>
    <t>00-00005088</t>
  </si>
  <si>
    <t>00-00005098</t>
  </si>
  <si>
    <t>00-00005313</t>
  </si>
  <si>
    <t>00-00005347</t>
  </si>
  <si>
    <t>00-00005397</t>
  </si>
  <si>
    <t>00-00005525</t>
  </si>
  <si>
    <t>00-00005527</t>
  </si>
  <si>
    <t>00-00005788</t>
  </si>
  <si>
    <t>00-00005962</t>
  </si>
  <si>
    <t>00-00005993</t>
  </si>
  <si>
    <t>00-00006017</t>
  </si>
  <si>
    <t>00-00006022</t>
  </si>
  <si>
    <t>00-00006134</t>
  </si>
  <si>
    <t>00-00006148</t>
  </si>
  <si>
    <t>00-00006503</t>
  </si>
  <si>
    <t>00-00007189</t>
  </si>
  <si>
    <t>00-00007335</t>
  </si>
  <si>
    <t>00-00007533</t>
  </si>
  <si>
    <t>00-00009681</t>
  </si>
  <si>
    <t>00-00010451</t>
  </si>
  <si>
    <t>00-00010482</t>
  </si>
  <si>
    <t>00-00010484</t>
  </si>
  <si>
    <t>00-00011591</t>
  </si>
  <si>
    <t>00-00011592</t>
  </si>
  <si>
    <t>00-00011685</t>
  </si>
  <si>
    <t>00000001670</t>
  </si>
  <si>
    <t>00-00012869</t>
  </si>
  <si>
    <t>00-00013073</t>
  </si>
  <si>
    <t>00-00013937</t>
  </si>
  <si>
    <t>00000002294</t>
  </si>
  <si>
    <t>00000002575</t>
  </si>
  <si>
    <t>00000002888</t>
  </si>
  <si>
    <t>00000003146</t>
  </si>
  <si>
    <t>00000003311</t>
  </si>
  <si>
    <t>00000003360</t>
  </si>
  <si>
    <t>00000003504</t>
  </si>
  <si>
    <t>00000003725</t>
  </si>
  <si>
    <t>00000003758</t>
  </si>
  <si>
    <t>00000003828</t>
  </si>
  <si>
    <t>00000003949</t>
  </si>
  <si>
    <t>00000004395</t>
  </si>
  <si>
    <t>00000004669</t>
  </si>
  <si>
    <t>00000004762</t>
  </si>
  <si>
    <t>00000004974</t>
  </si>
  <si>
    <t>00000005484</t>
  </si>
  <si>
    <t>00000007206</t>
  </si>
  <si>
    <t>00000008024</t>
  </si>
  <si>
    <t>00000008068</t>
  </si>
  <si>
    <t>00000009923</t>
  </si>
  <si>
    <t>00000010868</t>
  </si>
  <si>
    <t>00000010875</t>
  </si>
  <si>
    <t>00000010992</t>
  </si>
  <si>
    <t>00000012638</t>
  </si>
  <si>
    <t>00000012877</t>
  </si>
  <si>
    <t>00000013387</t>
  </si>
  <si>
    <t>00000014730</t>
  </si>
  <si>
    <t>00000014993</t>
  </si>
  <si>
    <t>00000015255</t>
  </si>
  <si>
    <t>00000016124</t>
  </si>
  <si>
    <t>00000000236</t>
  </si>
  <si>
    <t>Степлер STANLEY 6-TR150L</t>
  </si>
  <si>
    <t>Скло прозоре широке 90х110х2 мм</t>
  </si>
  <si>
    <t>Піна монтажна профі Mounter 860 мл</t>
  </si>
  <si>
    <t>STANLEY Ножиці п/м 250мм праві вигнуті</t>
  </si>
  <si>
    <t>Ніж, 18мм, висувне лезо, металева направляюча, гвинтовий фіксатор леза МТХ</t>
  </si>
  <si>
    <t>Свердло по дереву 12х460 мм, змієподібне, Haisser</t>
  </si>
  <si>
    <t>Клей "Рідкі цвяхи", білий Fast Fix, 280 мл</t>
  </si>
  <si>
    <t>Зварювальна маска-хамелеон FORTE MC-4100</t>
  </si>
  <si>
    <t>Прокладка ущільнююча гумова "СКМ", 19*10*3 мм 1/2" 4016930090</t>
  </si>
  <si>
    <t>Держак для лопати 1,2 м "люкс" ОСИКА</t>
  </si>
  <si>
    <t>Свердло по дереву плоскофрезерне 22*152 WERK</t>
  </si>
  <si>
    <t>Герметик акрил SOUDAL 280 мл.</t>
  </si>
  <si>
    <t>Скоба до степлера 10мм 1000шт</t>
  </si>
  <si>
    <t>Свердло спіральне по дереву YATO 12х400мм</t>
  </si>
  <si>
    <t>Стрейч-плівка 500*1,5*20 мкм прозора</t>
  </si>
  <si>
    <t>Затискач маси 500А</t>
  </si>
  <si>
    <t>Свердло по металу 10,0мм титан</t>
  </si>
  <si>
    <t>Клин 9*70мм (100шт/пач) система вирівнювання плитки</t>
  </si>
  <si>
    <t>Набір ключів шестигранних 9 шт, 1.5 - 10 мм подовжених Tolsen 20049</t>
  </si>
  <si>
    <t>Струбцина 300 мм швидкоз</t>
  </si>
  <si>
    <t>Акумулятор 12V, 2,0Аh</t>
  </si>
  <si>
    <t>З’єднання швидкознімне для шланга 10мм</t>
  </si>
  <si>
    <t>Стрічка армована 48 мм*40 м</t>
  </si>
  <si>
    <t>Стрічка малярна, 72мм*20м</t>
  </si>
  <si>
    <t>Свердло спіральне по дереву YATO 10х191мм</t>
  </si>
  <si>
    <t>Тримач для викрутних насадок</t>
  </si>
  <si>
    <t xml:space="preserve">Тримач електродів для зварки </t>
  </si>
  <si>
    <t>Шліфувальна стрічка 75х533 мм</t>
  </si>
  <si>
    <t>Ракля 150* 40</t>
  </si>
  <si>
    <t>Круг пелюст 125*22</t>
  </si>
  <si>
    <t>Конектор 1/2пласт.</t>
  </si>
  <si>
    <t>Біта РZ 2*50 мм</t>
  </si>
  <si>
    <t>Стрічка бутилкаучукова 150мм (5м)</t>
  </si>
  <si>
    <t>Батарейка лужна</t>
  </si>
  <si>
    <t>Свердло по дереву спіральне 10 х230/225 мм</t>
  </si>
  <si>
    <t>Свердло для дерева перьевое 10 х460</t>
  </si>
  <si>
    <t>Цвяхи для пневмостеплера 20х1,25х1 мм</t>
  </si>
  <si>
    <t>Тримач д/біт 1/4 х 60 мм</t>
  </si>
  <si>
    <t xml:space="preserve">Пульверизатор </t>
  </si>
  <si>
    <t>Свердло  14x152 мм</t>
  </si>
  <si>
    <t xml:space="preserve">Рулетка  </t>
  </si>
  <si>
    <t>Коронка біметалева 105мм</t>
  </si>
  <si>
    <t>Біта для конфірмата 4,0х25</t>
  </si>
  <si>
    <t>Кляймера 2 100шт</t>
  </si>
  <si>
    <t>штифт(5тис)</t>
  </si>
  <si>
    <t>Дріт 1,2 мм</t>
  </si>
  <si>
    <t>Свердло по кераміці та склу 6мм</t>
  </si>
  <si>
    <t>Свердло по металу  5,0х132мм</t>
  </si>
  <si>
    <t>Цвях покрівельний 25 м(7,2 тис шт)</t>
  </si>
  <si>
    <t>Шпатель 100 мм</t>
  </si>
  <si>
    <t>Рукавиці, пар.</t>
  </si>
  <si>
    <t>Косинець буд. 300мм</t>
  </si>
  <si>
    <t>Рукавиці зварювальника "Крага"</t>
  </si>
  <si>
    <t>Кабель 1кг х16 (50м)</t>
  </si>
  <si>
    <t>Леза 18 мм</t>
  </si>
  <si>
    <t>Скоба 125 супер 1 мм</t>
  </si>
  <si>
    <t>Правило трапец.200 см</t>
  </si>
  <si>
    <t>Насадка торцева 6-гр.магнітна 1/4"  8х48 мм</t>
  </si>
  <si>
    <t>Колодка 3 гнізда, 16А</t>
  </si>
  <si>
    <t>Шпатель малярний</t>
  </si>
  <si>
    <t>Шпахля нерж.сталь 100</t>
  </si>
  <si>
    <t>Ванночка для валика</t>
  </si>
  <si>
    <t>Стрічка малярна жовта, 38мм*40м</t>
  </si>
  <si>
    <t>Викрутка  РН 2*100мм</t>
  </si>
  <si>
    <t>Щітка</t>
  </si>
  <si>
    <t>Плоскогубці комбіновані 160мм</t>
  </si>
  <si>
    <t>Сверло по дереву 14*300 мм гвинтове</t>
  </si>
  <si>
    <t>Пістолет для силікону</t>
  </si>
  <si>
    <t>Сопло 105 А</t>
  </si>
  <si>
    <t>Щітка торцева з плет.провол. 125 мм, М14</t>
  </si>
  <si>
    <t>Пензель</t>
  </si>
  <si>
    <t>Коректор-ручка</t>
  </si>
  <si>
    <t>Рівень спирт. 1000 мм капс 45°90°180°</t>
  </si>
  <si>
    <t>Пензель-макловиця</t>
  </si>
  <si>
    <t>Свердло по металу ц/х 13,0</t>
  </si>
  <si>
    <t>Заклепник хромовий</t>
  </si>
  <si>
    <t>Сверло HSS  6*139 подовж.</t>
  </si>
  <si>
    <t>Шланг спіральний поліуретан.8*12 мм L=20 м</t>
  </si>
  <si>
    <t>Сверло по бетону Бур SDS+ 10*300 мм</t>
  </si>
  <si>
    <t>Леза змінні 18 мм Торех</t>
  </si>
  <si>
    <t>00000021587</t>
  </si>
  <si>
    <t>00-00000644</t>
  </si>
  <si>
    <t>00000022398</t>
  </si>
  <si>
    <t>00-00000749</t>
  </si>
  <si>
    <t>00-00003157</t>
  </si>
  <si>
    <t>00-00005029</t>
  </si>
  <si>
    <t>00-00005448</t>
  </si>
  <si>
    <t>00-00005645</t>
  </si>
  <si>
    <t>00-00005867</t>
  </si>
  <si>
    <t>00-00006236</t>
  </si>
  <si>
    <t>00-00006300</t>
  </si>
  <si>
    <t>00-00006395</t>
  </si>
  <si>
    <t>00-00008157</t>
  </si>
  <si>
    <t>00-00008463</t>
  </si>
  <si>
    <t>00000001464</t>
  </si>
  <si>
    <t>00-00011593</t>
  </si>
  <si>
    <t>00-00011684</t>
  </si>
  <si>
    <t>00-00012042</t>
  </si>
  <si>
    <t>00-00013486</t>
  </si>
  <si>
    <t>00-00013675</t>
  </si>
  <si>
    <t>00000005270</t>
  </si>
  <si>
    <t>00000009099</t>
  </si>
  <si>
    <t>00000010067</t>
  </si>
  <si>
    <t>00000013178</t>
  </si>
  <si>
    <t>00000013587</t>
  </si>
  <si>
    <t>00000014214</t>
  </si>
  <si>
    <t>Пензель 150*50 макловиця</t>
  </si>
  <si>
    <t>Ключ трубний 0186  0 75*90</t>
  </si>
  <si>
    <t>Ланцюг 52 зуба до бензопили STIHL Ріссо Super 63 РSЗ</t>
  </si>
  <si>
    <t>Диск пиляльний 190/30/1,5мм</t>
  </si>
  <si>
    <t>Струбцина 150 мм швидкоз</t>
  </si>
  <si>
    <t>Тертка для сітки абразивної</t>
  </si>
  <si>
    <t>Адаптер для біметал коронок 32-152мм з свердлом</t>
  </si>
  <si>
    <t>Набір стамесок  6,12,18,25мм</t>
  </si>
  <si>
    <t>Пістолет для герметика 235 мл</t>
  </si>
  <si>
    <t xml:space="preserve">Шланг газовий 1/2 ВВ </t>
  </si>
  <si>
    <t>Набір біт DeWALT DT70567T</t>
  </si>
  <si>
    <t>Тримач шурупа</t>
  </si>
  <si>
    <t>Свердло по металу ц/х 17,0</t>
  </si>
  <si>
    <t>Балончик газовий під пальник</t>
  </si>
  <si>
    <t>Головка для шуруповерта, магнітна М 8 65 мм</t>
  </si>
  <si>
    <t>Кляймера 3 100шт</t>
  </si>
  <si>
    <t>Степлер для скоб</t>
  </si>
  <si>
    <t>Скоби гартовані, оцинковані 12мм</t>
  </si>
  <si>
    <t>Свердло  по дереву  10х300мм</t>
  </si>
  <si>
    <t>Свердло по дереву 12х600</t>
  </si>
  <si>
    <t>Маска-хамелеон зварювальна FORTE МС-3500</t>
  </si>
  <si>
    <t>Рулетка  5 м*19 мм</t>
  </si>
  <si>
    <t>Швабра</t>
  </si>
  <si>
    <t>Свердло по металу ц/х 4,0</t>
  </si>
  <si>
    <t>Колодка 2 гнізда.з/з каучук.</t>
  </si>
  <si>
    <t>Круг відрізний по металу 400*4,0*32</t>
  </si>
  <si>
    <t>Губка кухонка</t>
  </si>
  <si>
    <t>00000017332</t>
  </si>
  <si>
    <t>00-00002103</t>
  </si>
  <si>
    <t>00-00005771</t>
  </si>
  <si>
    <t>00-00005872</t>
  </si>
  <si>
    <t>00-00006302</t>
  </si>
  <si>
    <t>00-00006514</t>
  </si>
  <si>
    <t>00-00008156</t>
  </si>
  <si>
    <t>00-00009680</t>
  </si>
  <si>
    <t>00-00012786</t>
  </si>
  <si>
    <t>00000002296</t>
  </si>
  <si>
    <t>00000009270</t>
  </si>
  <si>
    <t>00000011627</t>
  </si>
  <si>
    <t>00000011700</t>
  </si>
  <si>
    <t>00000012683</t>
  </si>
  <si>
    <t>00000012844</t>
  </si>
  <si>
    <t>00000013430</t>
  </si>
  <si>
    <t>00000014267</t>
  </si>
  <si>
    <t>00000000224</t>
  </si>
  <si>
    <t>Свердло перове S&amp;R 24 х 152 мм Meister по дереву</t>
  </si>
  <si>
    <t>Скотч</t>
  </si>
  <si>
    <t>Рівень спирт. 1500 мм капс 45°90°180°</t>
  </si>
  <si>
    <t>Ланцюг 3/8" 1,3мм 57зв</t>
  </si>
  <si>
    <t xml:space="preserve">Ножівка </t>
  </si>
  <si>
    <t>Цвяхи планкові 32х1,25х1 5000 шт</t>
  </si>
  <si>
    <t>Свердло по металу ц/х 14,0</t>
  </si>
  <si>
    <t>Насадка - оприскувач</t>
  </si>
  <si>
    <t>Муфта 3/8 мама</t>
  </si>
  <si>
    <t>Ножиці по металу 250мм</t>
  </si>
  <si>
    <t>Щітка для тротуарної плитки</t>
  </si>
  <si>
    <t>Щітка торцева з плет.провол.  75 мм, М14</t>
  </si>
  <si>
    <t>Штуцер</t>
  </si>
  <si>
    <t>Кутник столярний 300 мм алюм.</t>
  </si>
  <si>
    <t>Строп СТП-5,0/10000</t>
  </si>
  <si>
    <t>Степлер будівельний</t>
  </si>
  <si>
    <t>Пасатижі 160 мм</t>
  </si>
  <si>
    <t>Аерозоль Лідер (RAL 7024) темно сірий 400мл</t>
  </si>
  <si>
    <t>00000017157</t>
  </si>
  <si>
    <t>00000000514</t>
  </si>
  <si>
    <t>00000000663</t>
  </si>
  <si>
    <t>00000020168</t>
  </si>
  <si>
    <t>00-00000436</t>
  </si>
  <si>
    <t>00-00005863</t>
  </si>
  <si>
    <t>00-00005880</t>
  </si>
  <si>
    <t>00-00005986</t>
  </si>
  <si>
    <t>00-00006162</t>
  </si>
  <si>
    <t>00-00006192</t>
  </si>
  <si>
    <t>00-00008468</t>
  </si>
  <si>
    <t>00-00008605</t>
  </si>
  <si>
    <t>00-00010252</t>
  </si>
  <si>
    <t>00-00010317</t>
  </si>
  <si>
    <t>00-00011005</t>
  </si>
  <si>
    <t>00000001717</t>
  </si>
  <si>
    <t>00-00013069</t>
  </si>
  <si>
    <t>00000002217</t>
  </si>
  <si>
    <t>00000002715</t>
  </si>
  <si>
    <t>00000010085</t>
  </si>
  <si>
    <t>00000012667</t>
  </si>
  <si>
    <t>Молоток слюсарний, прорезинова ручка "Master", 300 г</t>
  </si>
  <si>
    <t>Труборіз до ПВХ труб автоматичний 42 мм</t>
  </si>
  <si>
    <t>Спрей антипригарний</t>
  </si>
  <si>
    <t>Коронка алмазна по керамограніту 25 мм HAISSER</t>
  </si>
  <si>
    <t>Насадка до паяльника 20 Tebo</t>
  </si>
  <si>
    <t>Рулетка  8*25 гумовий корпус</t>
  </si>
  <si>
    <t>Прожектор світлодіодний PARDUS-30 W</t>
  </si>
  <si>
    <t>Строп СТП-3,0/6000</t>
  </si>
  <si>
    <t>Трос оцинкований 4мм</t>
  </si>
  <si>
    <t>Адаптер 11мм для коронок</t>
  </si>
  <si>
    <t>Тримач едля кільцевих пилок</t>
  </si>
  <si>
    <t>Пластина настінна для круглих каналів d100(15)</t>
  </si>
  <si>
    <t>Ножиці д/труб 0-42мм</t>
  </si>
  <si>
    <t>Коронка біметалева  ф64 мм</t>
  </si>
  <si>
    <t>Перехідник  до шлангу 10мм</t>
  </si>
  <si>
    <t>Лопата штикова</t>
  </si>
  <si>
    <t>Колесо до візка *75</t>
  </si>
  <si>
    <t>Рівень водяний 20м</t>
  </si>
  <si>
    <t>Рідке мило 5л лимон</t>
  </si>
  <si>
    <t>Міксер</t>
  </si>
  <si>
    <t>Рулетка, обрезинений корпус, з фіксатором, 10м/25мм</t>
  </si>
  <si>
    <t>00000000597</t>
  </si>
  <si>
    <t>00000021946</t>
  </si>
  <si>
    <t>00-00000676</t>
  </si>
  <si>
    <t>00-00005773</t>
  </si>
  <si>
    <t>00-00005782</t>
  </si>
  <si>
    <t>00-00006308</t>
  </si>
  <si>
    <t>00-00009761</t>
  </si>
  <si>
    <t>00-00013070</t>
  </si>
  <si>
    <t>00-00014056</t>
  </si>
  <si>
    <t>00000002816</t>
  </si>
  <si>
    <t>00000003515</t>
  </si>
  <si>
    <t>00000004393</t>
  </si>
  <si>
    <t>00000004752</t>
  </si>
  <si>
    <t>00000006397</t>
  </si>
  <si>
    <t>00000007474</t>
  </si>
  <si>
    <t>00000008925</t>
  </si>
  <si>
    <t>00000010041</t>
  </si>
  <si>
    <t>00000010972</t>
  </si>
  <si>
    <t>00000012555</t>
  </si>
  <si>
    <t>00000013350</t>
  </si>
  <si>
    <t>00000014148</t>
  </si>
  <si>
    <t>Трійник РР-R д=20ммх1/2" В сірий</t>
  </si>
  <si>
    <t>Перехідник для патрону SDS-plus 1/2х20</t>
  </si>
  <si>
    <t>Свердло для дерева перьевое 12 х160</t>
  </si>
  <si>
    <t>Свердло для дерева перьевое 14 х160</t>
  </si>
  <si>
    <t>Набір пензлів</t>
  </si>
  <si>
    <t>Прожектор 10W 6400К</t>
  </si>
  <si>
    <t>Ручка до валика 8х180 мм</t>
  </si>
  <si>
    <t>Хрестики для плитки 2,0 мм 120 шт</t>
  </si>
  <si>
    <t>Лопата совкова</t>
  </si>
  <si>
    <t>Ніж для рубанка HSS, 82 мм</t>
  </si>
  <si>
    <t>Шпатель фасадний</t>
  </si>
  <si>
    <t>Валік 25 см</t>
  </si>
  <si>
    <t>Рулетка  5 м*19 мм прогумований корпус</t>
  </si>
  <si>
    <t>Бур 10*260</t>
  </si>
  <si>
    <t>Строп СТП-2,0/1500</t>
  </si>
  <si>
    <t>Прожектор 50W 220V</t>
  </si>
  <si>
    <t>Губка будівельна 150*100*50</t>
  </si>
  <si>
    <t>Адаптер 1 1/4 * 1/2 GAS</t>
  </si>
  <si>
    <t>Шнур розмічувальний, порошок червоний</t>
  </si>
  <si>
    <t>Щипці універсальні 180 мм</t>
  </si>
  <si>
    <t>00000017202</t>
  </si>
  <si>
    <t>00000000693</t>
  </si>
  <si>
    <t>00-00000088</t>
  </si>
  <si>
    <t>00-00001255</t>
  </si>
  <si>
    <t>00-00005487</t>
  </si>
  <si>
    <t>00-00005528</t>
  </si>
  <si>
    <t>00-00005546</t>
  </si>
  <si>
    <t>00-00005762</t>
  </si>
  <si>
    <t>00-00005985</t>
  </si>
  <si>
    <t>00-00006191</t>
  </si>
  <si>
    <t>00-00006525</t>
  </si>
  <si>
    <t>00-00009296</t>
  </si>
  <si>
    <t>00-00009918</t>
  </si>
  <si>
    <t>00000001786</t>
  </si>
  <si>
    <t>00-00012263</t>
  </si>
  <si>
    <t>00-00013246</t>
  </si>
  <si>
    <t>00000004541</t>
  </si>
  <si>
    <t>00000004613</t>
  </si>
  <si>
    <t>00000007689</t>
  </si>
  <si>
    <t>00000011383</t>
  </si>
  <si>
    <t>Набір викруток ударних 6 шт. пластикова ручка (SL5*75, SL6*100, SL8*150mm; PH1*75,PH2*100, PH3*150mm) Сталь</t>
  </si>
  <si>
    <t>Свердло HSS-G Bosch 6 мм арт. 2608595066</t>
  </si>
  <si>
    <t>Електрод 45-105А</t>
  </si>
  <si>
    <t>Розгалужувач повітря 1/4 прямий</t>
  </si>
  <si>
    <t>Свердло для дерева перьевое 35 х152</t>
  </si>
  <si>
    <t>Тримач коронок</t>
  </si>
  <si>
    <t>Колодка 3 гнізда з кришкою</t>
  </si>
  <si>
    <t>Шаблон для перенесення складних профілів 150х46 мм</t>
  </si>
  <si>
    <t>Строп СТП-2,0/1200</t>
  </si>
  <si>
    <t>Коронка біметалева 127мм</t>
  </si>
  <si>
    <t>Тримач свердла</t>
  </si>
  <si>
    <t>Стрічка герметизуюча 100х10</t>
  </si>
  <si>
    <t>Набір ножів для лінолеуму</t>
  </si>
  <si>
    <t>Цвяходер</t>
  </si>
  <si>
    <t>Ланцюг 2мм</t>
  </si>
  <si>
    <t>Свердло конфірматне 5,0мм</t>
  </si>
  <si>
    <t>Ключ розводний 200 мм</t>
  </si>
  <si>
    <t>Прожектор LED 50W</t>
  </si>
  <si>
    <t>Мітла</t>
  </si>
  <si>
    <t>Щітка торцева з плет.провол.  65мм, М14</t>
  </si>
  <si>
    <t>Клинці великі</t>
  </si>
  <si>
    <t>00-00005763</t>
  </si>
  <si>
    <t>00-00006202</t>
  </si>
  <si>
    <t>00-00009181</t>
  </si>
  <si>
    <t>00-00010318</t>
  </si>
  <si>
    <t>00-00013676</t>
  </si>
  <si>
    <t>00000014018</t>
  </si>
  <si>
    <t>Цвяхи планкові 50х1,25х1 5000 шт</t>
  </si>
  <si>
    <t>Вкладки-наколінники</t>
  </si>
  <si>
    <t>Затискач маси 300А</t>
  </si>
  <si>
    <t>Коронка циліндрична біметалева 52мм</t>
  </si>
  <si>
    <t>Свердло 50*150мм</t>
  </si>
  <si>
    <t>Тріщатка VOREL до головок торцевих, вигнута, з квадр.</t>
  </si>
  <si>
    <t>00000007302</t>
  </si>
  <si>
    <t>Суміш зварювальна МІХ-1 (бал.40л)</t>
  </si>
  <si>
    <t>балон</t>
  </si>
  <si>
    <t>00-00013555</t>
  </si>
  <si>
    <t>00000022300</t>
  </si>
  <si>
    <t>Труба 50х501,8</t>
  </si>
  <si>
    <t>труба 50х50х2 мм; ст. 1-3пс/S235JR; 6 м</t>
  </si>
  <si>
    <t>00-00011425</t>
  </si>
  <si>
    <t>Труба димохідна 1м-100</t>
  </si>
  <si>
    <t>Інженер ВТВ _______________________________Матвій Бутенко</t>
  </si>
  <si>
    <t xml:space="preserve">Матеріально-відповідальна особа, що склала звіт  ________________________Пономаренко Олександр                                         </t>
  </si>
  <si>
    <t xml:space="preserve">Матеріально-відповідальна особа, що склала звіт__________________ Пономаренко Олександр                                           </t>
  </si>
  <si>
    <t xml:space="preserve">Матеріально-відповідальна особа, що склала звіт  ____________________Олександр Пономаренко                                         </t>
  </si>
  <si>
    <t xml:space="preserve">Матеріально-відповідальна особа, що склала звіт________________________-Олександр Пономаренко                                           </t>
  </si>
  <si>
    <t xml:space="preserve">Матеріально-відповідальна особа, що склала звіт __________________-Олександр Пономаренко                                          </t>
  </si>
  <si>
    <t xml:space="preserve">Матеріально-відповідальна особа, що склала звіт  _____________Олександр Пономаренко                                        </t>
  </si>
  <si>
    <t xml:space="preserve">Матеріально-відповідальна особа, що склала звіт  __________________ Олександр Пономаренко                                         </t>
  </si>
  <si>
    <t>Виготовлення  " Модульний будинок А1"  (основне списання згідно калькуляції) №36</t>
  </si>
  <si>
    <t>Виготовлення  " Модульний будинок А1"№36</t>
  </si>
  <si>
    <t>00-00011458</t>
  </si>
  <si>
    <t>00-00005594</t>
  </si>
  <si>
    <t>00000000616</t>
  </si>
  <si>
    <t>00000021222</t>
  </si>
  <si>
    <t>00-00012182</t>
  </si>
  <si>
    <t>00-00007871</t>
  </si>
  <si>
    <t>00000022073</t>
  </si>
  <si>
    <t>00-00005423</t>
  </si>
  <si>
    <t>00-00014862</t>
  </si>
  <si>
    <t>00-00001473</t>
  </si>
  <si>
    <t>00-00007881</t>
  </si>
  <si>
    <t>00000014095</t>
  </si>
  <si>
    <t>00-00014714</t>
  </si>
  <si>
    <t>00000000111</t>
  </si>
  <si>
    <t>00-00015072</t>
  </si>
  <si>
    <t>00-00014711</t>
  </si>
  <si>
    <t>Авт.вимикач Schneidder 1P 16A EZ9</t>
  </si>
  <si>
    <t>Брус обрізний 40*200мм (4,5 м )</t>
  </si>
  <si>
    <t>Вилка пряма з з/к каучук Неомакс</t>
  </si>
  <si>
    <t>Дзеркало 2450х700</t>
  </si>
  <si>
    <t>Дошка 20*120*4000</t>
  </si>
  <si>
    <t>Дошка обрізна 25*100 (6 м)</t>
  </si>
  <si>
    <t>З'єднувач труби Profil 90 білий</t>
  </si>
  <si>
    <t>Лист н/ж 201 1,0 (1,0*2,0)</t>
  </si>
  <si>
    <t>Провід ПВС 3*2,5  км</t>
  </si>
  <si>
    <t>Редукція каналізаційна 50х25</t>
  </si>
  <si>
    <t>Талреп М14*140 гак-кільце</t>
  </si>
  <si>
    <t xml:space="preserve">хомут 100х120 мм </t>
  </si>
  <si>
    <t>Хомут з прокладкою  M8/М10 4 (108-114 mm)</t>
  </si>
  <si>
    <t>Хомут з прокладкою М8 48-51мм</t>
  </si>
  <si>
    <t>Шуруп 10х100</t>
  </si>
  <si>
    <t>Виготовлення  " Модульний будинок А1"  (основне списання згідно калькуляції) №37</t>
  </si>
  <si>
    <t>Виготовлення  " Модульний будинок А1"№37</t>
  </si>
  <si>
    <t>Виготовлення  " Модульний будинок А1"  (основне списання згідно калькуляції) №38</t>
  </si>
  <si>
    <t>Виготовлення  " Модульний будинок А1"№38</t>
  </si>
  <si>
    <t>Виготовлення  " Модульний будинок А1"  (основне списання згідно калькуляції) №39</t>
  </si>
  <si>
    <t>Виготовлення  " Модульний будинок А1"№39</t>
  </si>
  <si>
    <t>00-00010598</t>
  </si>
  <si>
    <t>00-00012213</t>
  </si>
  <si>
    <t>Редукція коротка HTR 50*32 ASG</t>
  </si>
  <si>
    <t>Трійник 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</si>
</sst>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₽_-;\-* #,##0.00\ _₽_-;_-* &quot;-&quot;??\ _₽_-;_-@_-"/>
    <numFmt numFmtId="165" formatCode="_-* #,##0.00_р_._-;\-* #,##0.00_р_._-;_-* &quot;-&quot;??_р_._-;_-@_-"/>
    <numFmt numFmtId="166" formatCode="_-* #,##0.00_₴_-;\-* #,##0.00_₴_-;_-* &quot;-&quot;??_₴_-;_-@_-"/>
    <numFmt numFmtId="167" formatCode="0.000"/>
    <numFmt numFmtId="168" formatCode="00000000000"/>
    <numFmt numFmtId="169" formatCode="#,##0.000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b/>
      <sz val="14"/>
      <name val="Arial Cyr"/>
      <charset val="204"/>
    </font>
    <font>
      <b/>
      <sz val="12"/>
      <name val="Arial Cyr"/>
      <charset val="204"/>
    </font>
    <font>
      <sz val="10"/>
      <name val="Arial"/>
      <family val="2"/>
      <charset val="204"/>
    </font>
    <font>
      <sz val="10"/>
      <name val="Tahoma"/>
      <family val="2"/>
      <charset val="204"/>
    </font>
    <font>
      <sz val="10"/>
      <name val="Arial Cyr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0"/>
      <name val="Arial"/>
      <family val="2"/>
    </font>
    <font>
      <sz val="11"/>
      <color theme="1"/>
      <name val="Times New Roman"/>
      <family val="2"/>
      <charset val="1"/>
    </font>
    <font>
      <sz val="8"/>
      <name val="Arial"/>
      <family val="2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Arial Cyr"/>
      <charset val="204"/>
    </font>
    <font>
      <sz val="12"/>
      <color indexed="8"/>
      <name val="Verdana"/>
      <family val="2"/>
      <charset val="204"/>
    </font>
    <font>
      <sz val="14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18"/>
      <color indexed="12"/>
      <name val="Calibri"/>
      <family val="2"/>
      <charset val="204"/>
    </font>
    <font>
      <b/>
      <sz val="10"/>
      <color rgb="FFFF0000"/>
      <name val="Arial Cyr"/>
      <charset val="204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color theme="1"/>
      <name val="Calibri"/>
      <family val="2"/>
      <scheme val="minor"/>
    </font>
    <font>
      <b/>
      <sz val="14"/>
      <color rgb="FFFF0000"/>
      <name val="Arial Cyr"/>
      <charset val="204"/>
    </font>
    <font>
      <sz val="12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Calibri"/>
      <family val="2"/>
      <scheme val="minor"/>
    </font>
    <font>
      <b/>
      <sz val="12"/>
      <name val="Times New Roman"/>
      <family val="1"/>
      <charset val="204"/>
    </font>
    <font>
      <sz val="11"/>
      <name val="Cambria"/>
      <family val="2"/>
      <charset val="204"/>
      <scheme val="major"/>
    </font>
    <font>
      <sz val="11"/>
      <color theme="1"/>
      <name val="Cambria"/>
      <family val="2"/>
      <charset val="204"/>
      <scheme val="major"/>
    </font>
    <font>
      <sz val="8"/>
      <name val="Arial"/>
    </font>
    <font>
      <sz val="14"/>
      <name val="Arial"/>
      <family val="2"/>
      <charset val="204"/>
    </font>
    <font>
      <sz val="14"/>
      <name val="Arial"/>
      <family val="2"/>
    </font>
    <font>
      <sz val="14"/>
      <color theme="1"/>
      <name val="Times New Roman"/>
      <family val="1"/>
      <charset val="204"/>
    </font>
    <font>
      <sz val="12"/>
      <name val="Arial"/>
      <family val="2"/>
      <charset val="204"/>
    </font>
    <font>
      <sz val="12"/>
      <name val="Arial"/>
      <family val="2"/>
    </font>
    <font>
      <b/>
      <sz val="12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10">
    <xf numFmtId="0" fontId="0" fillId="0" borderId="0"/>
    <xf numFmtId="165" fontId="9" fillId="0" borderId="0" applyFont="0" applyFill="0" applyBorder="0" applyAlignment="0" applyProtection="0"/>
    <xf numFmtId="0" fontId="7" fillId="0" borderId="0"/>
    <xf numFmtId="0" fontId="16" fillId="0" borderId="0"/>
    <xf numFmtId="0" fontId="17" fillId="0" borderId="0">
      <alignment vertical="top"/>
    </xf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17" fillId="0" borderId="0">
      <alignment vertical="top"/>
    </xf>
    <xf numFmtId="0" fontId="22" fillId="0" borderId="0"/>
    <xf numFmtId="0" fontId="7" fillId="0" borderId="0"/>
    <xf numFmtId="0" fontId="4" fillId="0" borderId="0"/>
    <xf numFmtId="0" fontId="23" fillId="0" borderId="0"/>
    <xf numFmtId="0" fontId="3" fillId="0" borderId="0"/>
    <xf numFmtId="167" fontId="26" fillId="0" borderId="0"/>
    <xf numFmtId="0" fontId="24" fillId="0" borderId="0">
      <alignment horizontal="left" vertical="center"/>
    </xf>
    <xf numFmtId="0" fontId="24" fillId="0" borderId="2">
      <alignment horizontal="right" vertical="center"/>
    </xf>
    <xf numFmtId="0" fontId="24" fillId="0" borderId="2">
      <alignment horizontal="right" vertical="center" wrapText="1"/>
    </xf>
    <xf numFmtId="0" fontId="24" fillId="0" borderId="3">
      <alignment horizontal="center" vertical="center" wrapText="1"/>
    </xf>
    <xf numFmtId="0" fontId="24" fillId="0" borderId="4">
      <alignment horizontal="center" vertical="center" wrapText="1"/>
    </xf>
    <xf numFmtId="0" fontId="24" fillId="0" borderId="5">
      <alignment horizontal="center" vertical="center" wrapText="1"/>
    </xf>
    <xf numFmtId="0" fontId="25" fillId="0" borderId="0">
      <alignment horizontal="left" vertical="center"/>
    </xf>
    <xf numFmtId="0" fontId="24" fillId="0" borderId="3">
      <alignment horizontal="left" vertical="center" wrapText="1"/>
    </xf>
    <xf numFmtId="0" fontId="24" fillId="0" borderId="6">
      <alignment horizontal="left" vertical="center" wrapText="1"/>
    </xf>
    <xf numFmtId="0" fontId="24" fillId="0" borderId="6">
      <alignment horizontal="center" vertical="center" wrapText="1"/>
    </xf>
    <xf numFmtId="0" fontId="24" fillId="0" borderId="6">
      <alignment horizontal="center" vertical="center" wrapText="1"/>
    </xf>
    <xf numFmtId="0" fontId="24" fillId="0" borderId="7">
      <alignment horizontal="left" vertical="center" wrapText="1"/>
    </xf>
    <xf numFmtId="0" fontId="24" fillId="0" borderId="7">
      <alignment horizontal="center" vertical="center" wrapText="1"/>
    </xf>
    <xf numFmtId="0" fontId="24" fillId="0" borderId="7">
      <alignment horizontal="center" vertical="center" wrapText="1"/>
    </xf>
    <xf numFmtId="0" fontId="25" fillId="0" borderId="8">
      <alignment horizontal="left" vertical="center" wrapText="1"/>
    </xf>
    <xf numFmtId="0" fontId="25" fillId="0" borderId="8">
      <alignment horizontal="center" vertical="center" wrapText="1"/>
    </xf>
    <xf numFmtId="0" fontId="25" fillId="0" borderId="8">
      <alignment horizontal="center" vertical="center" wrapText="1"/>
    </xf>
    <xf numFmtId="0" fontId="25" fillId="0" borderId="0">
      <alignment horizontal="right" vertical="center"/>
    </xf>
    <xf numFmtId="0" fontId="24" fillId="0" borderId="9">
      <alignment horizontal="left" vertical="center" wrapText="1"/>
    </xf>
    <xf numFmtId="0" fontId="24" fillId="0" borderId="9">
      <alignment horizontal="center" vertical="center" wrapText="1"/>
    </xf>
    <xf numFmtId="0" fontId="24" fillId="0" borderId="9">
      <alignment horizontal="center" vertical="center" wrapText="1"/>
    </xf>
    <xf numFmtId="0" fontId="24" fillId="0" borderId="10">
      <alignment horizontal="left" vertical="center" wrapText="1"/>
    </xf>
    <xf numFmtId="0" fontId="24" fillId="0" borderId="10">
      <alignment horizontal="center" vertical="center" wrapText="1"/>
    </xf>
    <xf numFmtId="0" fontId="24" fillId="0" borderId="10">
      <alignment horizontal="center" vertical="center" wrapText="1"/>
    </xf>
    <xf numFmtId="0" fontId="24" fillId="0" borderId="11">
      <alignment horizontal="left" vertical="center" wrapText="1"/>
    </xf>
    <xf numFmtId="0" fontId="24" fillId="0" borderId="0">
      <alignment horizontal="left" vertical="center"/>
    </xf>
    <xf numFmtId="0" fontId="24" fillId="0" borderId="0">
      <alignment horizontal="left" vertical="center" wrapText="1"/>
    </xf>
    <xf numFmtId="0" fontId="25" fillId="0" borderId="0">
      <alignment horizontal="left" vertical="center"/>
    </xf>
    <xf numFmtId="0" fontId="24" fillId="0" borderId="0">
      <alignment horizontal="left" vertical="center" wrapText="1"/>
    </xf>
    <xf numFmtId="0" fontId="25" fillId="0" borderId="0">
      <alignment horizontal="center" vertical="center" wrapText="1"/>
    </xf>
    <xf numFmtId="0" fontId="24" fillId="0" borderId="2">
      <alignment horizontal="left" vertical="center"/>
    </xf>
    <xf numFmtId="0" fontId="27" fillId="0" borderId="0"/>
    <xf numFmtId="0" fontId="18" fillId="0" borderId="0"/>
    <xf numFmtId="0" fontId="18" fillId="0" borderId="0"/>
    <xf numFmtId="0" fontId="9" fillId="0" borderId="0"/>
    <xf numFmtId="0" fontId="21" fillId="0" borderId="0"/>
    <xf numFmtId="0" fontId="21" fillId="0" borderId="0"/>
    <xf numFmtId="0" fontId="3" fillId="0" borderId="0"/>
    <xf numFmtId="0" fontId="9" fillId="0" borderId="0"/>
    <xf numFmtId="0" fontId="28" fillId="0" borderId="0" applyNumberFormat="0" applyFill="0" applyBorder="0" applyProtection="0">
      <alignment vertical="top" wrapText="1"/>
    </xf>
    <xf numFmtId="165" fontId="28" fillId="0" borderId="0" applyFont="0" applyFill="0" applyBorder="0" applyAlignment="0" applyProtection="0"/>
    <xf numFmtId="0" fontId="28" fillId="0" borderId="0" applyNumberFormat="0" applyFill="0" applyBorder="0" applyProtection="0">
      <alignment vertical="top" wrapText="1"/>
    </xf>
    <xf numFmtId="0" fontId="28" fillId="0" borderId="0" applyNumberFormat="0" applyFill="0" applyBorder="0" applyProtection="0">
      <alignment vertical="top" wrapText="1"/>
    </xf>
    <xf numFmtId="0" fontId="16" fillId="0" borderId="0"/>
    <xf numFmtId="0" fontId="18" fillId="0" borderId="0"/>
    <xf numFmtId="0" fontId="7" fillId="0" borderId="0"/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17" fillId="0" borderId="0">
      <alignment vertical="top"/>
    </xf>
    <xf numFmtId="0" fontId="3" fillId="0" borderId="0"/>
    <xf numFmtId="0" fontId="16" fillId="0" borderId="0"/>
    <xf numFmtId="0" fontId="16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17" fillId="0" borderId="0">
      <alignment vertical="top"/>
    </xf>
    <xf numFmtId="0" fontId="3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17" fillId="0" borderId="0">
      <alignment vertical="top"/>
    </xf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354">
    <xf numFmtId="0" fontId="0" fillId="0" borderId="0" xfId="0"/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166" fontId="8" fillId="0" borderId="0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2" fillId="0" borderId="0" xfId="0" applyFont="1"/>
    <xf numFmtId="0" fontId="33" fillId="3" borderId="12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8" fillId="0" borderId="0" xfId="0" applyNumberFormat="1" applyFont="1"/>
    <xf numFmtId="4" fontId="8" fillId="0" borderId="0" xfId="0" applyNumberFormat="1" applyFont="1" applyAlignment="1">
      <alignment horizontal="center"/>
    </xf>
    <xf numFmtId="4" fontId="8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top" wrapText="1"/>
    </xf>
    <xf numFmtId="0" fontId="0" fillId="3" borderId="12" xfId="0" applyFill="1" applyBorder="1" applyAlignment="1">
      <alignment horizontal="center" vertical="center"/>
    </xf>
    <xf numFmtId="49" fontId="29" fillId="3" borderId="18" xfId="96" applyNumberFormat="1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30" fillId="3" borderId="19" xfId="0" applyFont="1" applyFill="1" applyBorder="1" applyAlignment="1">
      <alignment horizontal="center" vertical="center"/>
    </xf>
    <xf numFmtId="0" fontId="33" fillId="3" borderId="14" xfId="0" applyFont="1" applyFill="1" applyBorder="1" applyAlignment="1">
      <alignment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49" fontId="29" fillId="3" borderId="34" xfId="96" applyNumberFormat="1" applyFont="1" applyFill="1" applyBorder="1" applyAlignment="1">
      <alignment horizontal="center" vertical="center"/>
    </xf>
    <xf numFmtId="0" fontId="34" fillId="3" borderId="35" xfId="0" applyFont="1" applyFill="1" applyBorder="1" applyAlignment="1">
      <alignment vertical="center" wrapText="1"/>
    </xf>
    <xf numFmtId="4" fontId="34" fillId="3" borderId="35" xfId="0" applyNumberFormat="1" applyFont="1" applyFill="1" applyBorder="1" applyAlignment="1">
      <alignment horizontal="center" vertical="center" wrapText="1"/>
    </xf>
    <xf numFmtId="49" fontId="31" fillId="3" borderId="35" xfId="0" applyNumberFormat="1" applyFont="1" applyFill="1" applyBorder="1" applyAlignment="1">
      <alignment horizontal="left" vertical="center" wrapText="1"/>
    </xf>
    <xf numFmtId="49" fontId="37" fillId="4" borderId="31" xfId="96" applyNumberFormat="1" applyFont="1" applyFill="1" applyBorder="1" applyAlignment="1">
      <alignment horizontal="center" vertical="center"/>
    </xf>
    <xf numFmtId="49" fontId="38" fillId="4" borderId="32" xfId="0" applyNumberFormat="1" applyFont="1" applyFill="1" applyBorder="1" applyAlignment="1">
      <alignment horizontal="left" vertical="center" wrapText="1"/>
    </xf>
    <xf numFmtId="4" fontId="38" fillId="4" borderId="32" xfId="0" applyNumberFormat="1" applyFont="1" applyFill="1" applyBorder="1" applyAlignment="1">
      <alignment horizontal="center" vertical="center" wrapText="1"/>
    </xf>
    <xf numFmtId="4" fontId="38" fillId="4" borderId="32" xfId="0" applyNumberFormat="1" applyFont="1" applyFill="1" applyBorder="1" applyAlignment="1">
      <alignment horizontal="center" vertical="center"/>
    </xf>
    <xf numFmtId="168" fontId="39" fillId="4" borderId="31" xfId="0" applyNumberFormat="1" applyFont="1" applyFill="1" applyBorder="1" applyAlignment="1">
      <alignment horizontal="left" vertical="top" wrapText="1"/>
    </xf>
    <xf numFmtId="0" fontId="39" fillId="4" borderId="32" xfId="0" applyFont="1" applyFill="1" applyBorder="1" applyAlignment="1">
      <alignment horizontal="left" vertical="top" wrapText="1"/>
    </xf>
    <xf numFmtId="4" fontId="39" fillId="4" borderId="32" xfId="0" applyNumberFormat="1" applyFont="1" applyFill="1" applyBorder="1" applyAlignment="1">
      <alignment horizontal="center" vertical="center" wrapText="1"/>
    </xf>
    <xf numFmtId="0" fontId="30" fillId="4" borderId="33" xfId="0" applyFont="1" applyFill="1" applyBorder="1" applyAlignment="1">
      <alignment horizontal="center" vertical="center"/>
    </xf>
    <xf numFmtId="49" fontId="37" fillId="5" borderId="31" xfId="96" applyNumberFormat="1" applyFont="1" applyFill="1" applyBorder="1" applyAlignment="1">
      <alignment horizontal="center" vertical="center"/>
    </xf>
    <xf numFmtId="49" fontId="38" fillId="5" borderId="32" xfId="0" applyNumberFormat="1" applyFont="1" applyFill="1" applyBorder="1" applyAlignment="1">
      <alignment horizontal="left" vertical="center" wrapText="1"/>
    </xf>
    <xf numFmtId="4" fontId="38" fillId="5" borderId="32" xfId="0" applyNumberFormat="1" applyFont="1" applyFill="1" applyBorder="1" applyAlignment="1">
      <alignment horizontal="center" vertical="center" wrapText="1"/>
    </xf>
    <xf numFmtId="4" fontId="38" fillId="5" borderId="32" xfId="0" applyNumberFormat="1" applyFont="1" applyFill="1" applyBorder="1" applyAlignment="1">
      <alignment horizontal="center" vertical="center"/>
    </xf>
    <xf numFmtId="168" fontId="39" fillId="5" borderId="31" xfId="0" applyNumberFormat="1" applyFont="1" applyFill="1" applyBorder="1" applyAlignment="1">
      <alignment horizontal="left" vertical="top" wrapText="1"/>
    </xf>
    <xf numFmtId="0" fontId="39" fillId="5" borderId="32" xfId="0" applyFont="1" applyFill="1" applyBorder="1" applyAlignment="1">
      <alignment horizontal="left" vertical="top" wrapText="1"/>
    </xf>
    <xf numFmtId="4" fontId="39" fillId="5" borderId="32" xfId="0" applyNumberFormat="1" applyFont="1" applyFill="1" applyBorder="1" applyAlignment="1">
      <alignment horizontal="center" vertical="center" wrapText="1"/>
    </xf>
    <xf numFmtId="0" fontId="30" fillId="5" borderId="33" xfId="0" applyFont="1" applyFill="1" applyBorder="1" applyAlignment="1">
      <alignment horizontal="center" vertical="center"/>
    </xf>
    <xf numFmtId="4" fontId="33" fillId="3" borderId="12" xfId="0" applyNumberFormat="1" applyFont="1" applyFill="1" applyBorder="1" applyAlignment="1">
      <alignment horizontal="center" vertical="center" wrapText="1"/>
    </xf>
    <xf numFmtId="4" fontId="16" fillId="3" borderId="12" xfId="0" applyNumberFormat="1" applyFont="1" applyFill="1" applyBorder="1" applyAlignment="1">
      <alignment horizontal="center" vertical="center" wrapText="1"/>
    </xf>
    <xf numFmtId="4" fontId="16" fillId="3" borderId="35" xfId="0" applyNumberFormat="1" applyFont="1" applyFill="1" applyBorder="1" applyAlignment="1">
      <alignment horizontal="center" vertical="center" wrapText="1"/>
    </xf>
    <xf numFmtId="2" fontId="42" fillId="3" borderId="12" xfId="0" applyNumberFormat="1" applyFont="1" applyFill="1" applyBorder="1" applyAlignment="1">
      <alignment horizontal="center" vertical="center" wrapText="1"/>
    </xf>
    <xf numFmtId="4" fontId="41" fillId="3" borderId="36" xfId="0" applyNumberFormat="1" applyFont="1" applyFill="1" applyBorder="1" applyAlignment="1">
      <alignment horizontal="center" vertical="center" wrapText="1"/>
    </xf>
    <xf numFmtId="4" fontId="33" fillId="3" borderId="36" xfId="0" applyNumberFormat="1" applyFont="1" applyFill="1" applyBorder="1" applyAlignment="1">
      <alignment horizontal="center" vertical="center" wrapText="1"/>
    </xf>
    <xf numFmtId="0" fontId="41" fillId="0" borderId="12" xfId="0" applyFont="1" applyBorder="1" applyAlignment="1">
      <alignment horizontal="center" vertical="center" wrapText="1"/>
    </xf>
    <xf numFmtId="49" fontId="41" fillId="3" borderId="12" xfId="0" applyNumberFormat="1" applyFont="1" applyFill="1" applyBorder="1" applyAlignment="1">
      <alignment horizontal="center" vertical="center" wrapText="1"/>
    </xf>
    <xf numFmtId="0" fontId="41" fillId="3" borderId="38" xfId="0" applyFont="1" applyFill="1" applyBorder="1" applyAlignment="1">
      <alignment horizontal="left" vertical="center"/>
    </xf>
    <xf numFmtId="49" fontId="43" fillId="3" borderId="12" xfId="0" applyNumberFormat="1" applyFont="1" applyFill="1" applyBorder="1" applyAlignment="1">
      <alignment horizontal="left" vertical="center" wrapText="1"/>
    </xf>
    <xf numFmtId="0" fontId="43" fillId="3" borderId="12" xfId="0" applyFont="1" applyFill="1" applyBorder="1" applyAlignment="1">
      <alignment horizontal="left" vertical="center" wrapText="1"/>
    </xf>
    <xf numFmtId="2" fontId="44" fillId="3" borderId="12" xfId="0" applyNumberFormat="1" applyFont="1" applyFill="1" applyBorder="1" applyAlignment="1">
      <alignment horizontal="left" vertical="center" wrapText="1"/>
    </xf>
    <xf numFmtId="0" fontId="41" fillId="3" borderId="12" xfId="0" applyFont="1" applyFill="1" applyBorder="1" applyAlignment="1">
      <alignment horizontal="left" vertical="center"/>
    </xf>
    <xf numFmtId="0" fontId="41" fillId="3" borderId="12" xfId="0" applyFont="1" applyFill="1" applyBorder="1" applyAlignment="1">
      <alignment horizontal="center" vertical="center"/>
    </xf>
    <xf numFmtId="0" fontId="41" fillId="3" borderId="18" xfId="0" applyFont="1" applyFill="1" applyBorder="1" applyAlignment="1">
      <alignment horizontal="left" vertical="center"/>
    </xf>
    <xf numFmtId="0" fontId="41" fillId="3" borderId="12" xfId="0" applyFont="1" applyFill="1" applyBorder="1" applyAlignment="1">
      <alignment vertical="center" wrapText="1"/>
    </xf>
    <xf numFmtId="49" fontId="43" fillId="3" borderId="18" xfId="0" applyNumberFormat="1" applyFont="1" applyFill="1" applyBorder="1" applyAlignment="1">
      <alignment horizontal="center" vertical="center" wrapText="1"/>
    </xf>
    <xf numFmtId="169" fontId="41" fillId="0" borderId="12" xfId="0" applyNumberFormat="1" applyFont="1" applyBorder="1" applyAlignment="1">
      <alignment horizontal="center" vertical="center" wrapText="1"/>
    </xf>
    <xf numFmtId="4" fontId="41" fillId="3" borderId="12" xfId="0" applyNumberFormat="1" applyFont="1" applyFill="1" applyBorder="1" applyAlignment="1">
      <alignment horizontal="center" vertical="center" wrapText="1"/>
    </xf>
    <xf numFmtId="0" fontId="41" fillId="3" borderId="37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41" fillId="3" borderId="38" xfId="0" applyFont="1" applyFill="1" applyBorder="1" applyAlignment="1">
      <alignment horizontal="center" vertical="center"/>
    </xf>
    <xf numFmtId="168" fontId="0" fillId="0" borderId="34" xfId="0" applyNumberFormat="1" applyBorder="1" applyAlignment="1">
      <alignment horizontal="center" vertical="center" wrapText="1"/>
    </xf>
    <xf numFmtId="168" fontId="0" fillId="0" borderId="16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46" fillId="3" borderId="36" xfId="0" applyFont="1" applyFill="1" applyBorder="1" applyAlignment="1">
      <alignment horizontal="left" vertical="center" wrapText="1"/>
    </xf>
    <xf numFmtId="2" fontId="44" fillId="3" borderId="36" xfId="0" applyNumberFormat="1" applyFont="1" applyFill="1" applyBorder="1" applyAlignment="1">
      <alignment horizontal="left" vertical="center" wrapText="1"/>
    </xf>
    <xf numFmtId="4" fontId="38" fillId="4" borderId="39" xfId="0" applyNumberFormat="1" applyFont="1" applyFill="1" applyBorder="1" applyAlignment="1">
      <alignment horizontal="center" vertical="center"/>
    </xf>
    <xf numFmtId="4" fontId="34" fillId="3" borderId="40" xfId="0" applyNumberFormat="1" applyFont="1" applyFill="1" applyBorder="1" applyAlignment="1">
      <alignment horizontal="center" vertical="center" wrapText="1"/>
    </xf>
    <xf numFmtId="4" fontId="38" fillId="5" borderId="39" xfId="0" applyNumberFormat="1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47" fillId="0" borderId="15" xfId="8" applyFont="1" applyBorder="1" applyAlignment="1">
      <alignment horizontal="left" vertical="center" wrapText="1"/>
    </xf>
    <xf numFmtId="0" fontId="47" fillId="0" borderId="14" xfId="8" applyFont="1" applyBorder="1" applyAlignment="1">
      <alignment horizontal="center" vertical="center" wrapText="1"/>
    </xf>
    <xf numFmtId="0" fontId="48" fillId="0" borderId="15" xfId="2" applyFont="1" applyBorder="1" applyAlignment="1">
      <alignment wrapText="1"/>
    </xf>
    <xf numFmtId="0" fontId="48" fillId="0" borderId="14" xfId="2" applyFont="1" applyBorder="1" applyAlignment="1">
      <alignment horizontal="center" vertical="center"/>
    </xf>
    <xf numFmtId="0" fontId="48" fillId="0" borderId="14" xfId="2" applyFont="1" applyBorder="1" applyAlignment="1">
      <alignment horizontal="center"/>
    </xf>
    <xf numFmtId="0" fontId="46" fillId="3" borderId="12" xfId="0" applyFont="1" applyFill="1" applyBorder="1" applyAlignment="1">
      <alignment vertical="center" wrapText="1"/>
    </xf>
    <xf numFmtId="168" fontId="41" fillId="3" borderId="18" xfId="0" applyNumberFormat="1" applyFont="1" applyFill="1" applyBorder="1" applyAlignment="1">
      <alignment horizontal="center" vertical="center" wrapText="1"/>
    </xf>
    <xf numFmtId="0" fontId="41" fillId="3" borderId="12" xfId="0" applyFont="1" applyFill="1" applyBorder="1" applyAlignment="1">
      <alignment horizontal="left" vertical="center" wrapText="1"/>
    </xf>
    <xf numFmtId="0" fontId="0" fillId="3" borderId="41" xfId="0" applyFill="1" applyBorder="1" applyAlignment="1">
      <alignment horizontal="center" vertical="center"/>
    </xf>
    <xf numFmtId="167" fontId="41" fillId="3" borderId="12" xfId="0" applyNumberFormat="1" applyFont="1" applyFill="1" applyBorder="1" applyAlignment="1">
      <alignment horizontal="center" vertical="center"/>
    </xf>
    <xf numFmtId="49" fontId="43" fillId="3" borderId="42" xfId="0" applyNumberFormat="1" applyFont="1" applyFill="1" applyBorder="1" applyAlignment="1">
      <alignment horizontal="left" vertical="center" wrapText="1"/>
    </xf>
    <xf numFmtId="0" fontId="47" fillId="0" borderId="1" xfId="8" applyFont="1" applyBorder="1" applyAlignment="1">
      <alignment horizontal="left" vertical="center" wrapText="1"/>
    </xf>
    <xf numFmtId="0" fontId="47" fillId="0" borderId="26" xfId="8" applyFont="1" applyBorder="1" applyAlignment="1">
      <alignment horizontal="center" vertical="center" wrapText="1"/>
    </xf>
    <xf numFmtId="0" fontId="41" fillId="3" borderId="41" xfId="0" applyFont="1" applyFill="1" applyBorder="1" applyAlignment="1">
      <alignment horizontal="left" vertical="center"/>
    </xf>
    <xf numFmtId="0" fontId="41" fillId="3" borderId="13" xfId="0" applyFont="1" applyFill="1" applyBorder="1" applyAlignment="1">
      <alignment horizontal="left" vertical="center"/>
    </xf>
    <xf numFmtId="0" fontId="41" fillId="0" borderId="13" xfId="0" applyFont="1" applyBorder="1" applyAlignment="1">
      <alignment horizontal="center" vertical="center" wrapText="1"/>
    </xf>
    <xf numFmtId="0" fontId="41" fillId="4" borderId="12" xfId="0" applyFont="1" applyFill="1" applyBorder="1" applyAlignment="1">
      <alignment horizontal="left" vertical="center"/>
    </xf>
    <xf numFmtId="0" fontId="41" fillId="3" borderId="14" xfId="0" applyFont="1" applyFill="1" applyBorder="1" applyAlignment="1">
      <alignment horizontal="left" vertical="center"/>
    </xf>
    <xf numFmtId="0" fontId="41" fillId="8" borderId="18" xfId="0" applyFont="1" applyFill="1" applyBorder="1" applyAlignment="1">
      <alignment horizontal="left" vertical="center"/>
    </xf>
    <xf numFmtId="0" fontId="41" fillId="9" borderId="18" xfId="0" applyFont="1" applyFill="1" applyBorder="1" applyAlignment="1">
      <alignment horizontal="left" vertical="center"/>
    </xf>
    <xf numFmtId="0" fontId="41" fillId="8" borderId="4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4" fontId="10" fillId="0" borderId="1" xfId="0" applyNumberFormat="1" applyFont="1" applyBorder="1" applyAlignment="1">
      <alignment horizontal="center" vertical="top" wrapText="1"/>
    </xf>
    <xf numFmtId="0" fontId="3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left"/>
    </xf>
    <xf numFmtId="4" fontId="10" fillId="0" borderId="1" xfId="0" applyNumberFormat="1" applyFont="1" applyBorder="1" applyAlignment="1">
      <alignment horizontal="center" vertical="top" wrapText="1"/>
    </xf>
    <xf numFmtId="0" fontId="41" fillId="3" borderId="17" xfId="0" applyFont="1" applyFill="1" applyBorder="1" applyAlignment="1">
      <alignment horizontal="left" vertical="center"/>
    </xf>
    <xf numFmtId="0" fontId="0" fillId="3" borderId="19" xfId="0" applyFont="1" applyFill="1" applyBorder="1" applyAlignment="1">
      <alignment horizontal="center" vertical="center"/>
    </xf>
    <xf numFmtId="0" fontId="41" fillId="5" borderId="18" xfId="0" applyFont="1" applyFill="1" applyBorder="1" applyAlignment="1">
      <alignment horizontal="left" vertical="center"/>
    </xf>
    <xf numFmtId="0" fontId="41" fillId="5" borderId="12" xfId="0" applyFont="1" applyFill="1" applyBorder="1" applyAlignment="1">
      <alignment horizontal="left" vertical="center"/>
    </xf>
    <xf numFmtId="0" fontId="41" fillId="5" borderId="12" xfId="0" applyFont="1" applyFill="1" applyBorder="1" applyAlignment="1">
      <alignment horizontal="center" vertical="center" wrapText="1"/>
    </xf>
    <xf numFmtId="0" fontId="41" fillId="5" borderId="14" xfId="0" applyFont="1" applyFill="1" applyBorder="1" applyAlignment="1">
      <alignment horizontal="left" vertical="center"/>
    </xf>
    <xf numFmtId="0" fontId="41" fillId="5" borderId="17" xfId="0" applyFont="1" applyFill="1" applyBorder="1" applyAlignment="1">
      <alignment horizontal="left" vertical="center"/>
    </xf>
    <xf numFmtId="0" fontId="41" fillId="5" borderId="41" xfId="0" applyFont="1" applyFill="1" applyBorder="1" applyAlignment="1">
      <alignment horizontal="left" vertical="center"/>
    </xf>
    <xf numFmtId="0" fontId="41" fillId="5" borderId="13" xfId="0" applyFont="1" applyFill="1" applyBorder="1" applyAlignment="1">
      <alignment horizontal="left" vertical="center"/>
    </xf>
    <xf numFmtId="0" fontId="41" fillId="5" borderId="13" xfId="0" applyFont="1" applyFill="1" applyBorder="1" applyAlignment="1">
      <alignment horizontal="center" vertical="center" wrapText="1"/>
    </xf>
    <xf numFmtId="0" fontId="41" fillId="0" borderId="41" xfId="0" applyFont="1" applyFill="1" applyBorder="1" applyAlignment="1">
      <alignment horizontal="left" vertical="center"/>
    </xf>
    <xf numFmtId="0" fontId="41" fillId="0" borderId="13" xfId="0" applyFont="1" applyFill="1" applyBorder="1" applyAlignment="1">
      <alignment horizontal="left" vertical="center"/>
    </xf>
    <xf numFmtId="0" fontId="41" fillId="0" borderId="13" xfId="0" applyFont="1" applyFill="1" applyBorder="1" applyAlignment="1">
      <alignment horizontal="center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168" fontId="39" fillId="4" borderId="31" xfId="0" applyNumberFormat="1" applyFont="1" applyFill="1" applyBorder="1" applyAlignment="1">
      <alignment horizontal="center" vertical="center" wrapText="1"/>
    </xf>
    <xf numFmtId="0" fontId="39" fillId="4" borderId="32" xfId="0" applyFont="1" applyFill="1" applyBorder="1" applyAlignment="1">
      <alignment horizontal="center" vertical="center" wrapText="1"/>
    </xf>
    <xf numFmtId="168" fontId="39" fillId="5" borderId="31" xfId="0" applyNumberFormat="1" applyFont="1" applyFill="1" applyBorder="1" applyAlignment="1">
      <alignment horizontal="center" vertical="center" wrapText="1"/>
    </xf>
    <xf numFmtId="0" fontId="39" fillId="5" borderId="32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3" borderId="43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167" fontId="50" fillId="0" borderId="12" xfId="98" applyNumberFormat="1" applyFont="1" applyBorder="1" applyAlignment="1">
      <alignment horizontal="right" vertical="top" wrapText="1"/>
    </xf>
    <xf numFmtId="0" fontId="50" fillId="0" borderId="12" xfId="98" applyNumberFormat="1" applyFont="1" applyBorder="1" applyAlignment="1">
      <alignment horizontal="center" vertical="top" wrapText="1"/>
    </xf>
    <xf numFmtId="0" fontId="51" fillId="0" borderId="12" xfId="98" applyNumberFormat="1" applyFont="1" applyBorder="1" applyAlignment="1">
      <alignment vertical="top" wrapText="1"/>
    </xf>
    <xf numFmtId="2" fontId="51" fillId="0" borderId="12" xfId="98" applyNumberFormat="1" applyFont="1" applyBorder="1" applyAlignment="1">
      <alignment horizontal="right" vertical="top" wrapText="1"/>
    </xf>
    <xf numFmtId="0" fontId="52" fillId="3" borderId="44" xfId="0" applyFont="1" applyFill="1" applyBorder="1" applyAlignment="1">
      <alignment horizontal="center" vertical="center"/>
    </xf>
    <xf numFmtId="0" fontId="52" fillId="3" borderId="19" xfId="0" applyFont="1" applyFill="1" applyBorder="1" applyAlignment="1">
      <alignment horizontal="center" vertical="center"/>
    </xf>
    <xf numFmtId="4" fontId="51" fillId="0" borderId="12" xfId="98" applyNumberFormat="1" applyFont="1" applyBorder="1" applyAlignment="1">
      <alignment horizontal="right" vertical="top" wrapText="1"/>
    </xf>
    <xf numFmtId="4" fontId="10" fillId="0" borderId="1" xfId="0" applyNumberFormat="1" applyFont="1" applyBorder="1" applyAlignment="1">
      <alignment horizontal="center" vertical="top" wrapText="1"/>
    </xf>
    <xf numFmtId="0" fontId="3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49" fillId="0" borderId="12" xfId="99" applyNumberFormat="1" applyFont="1" applyBorder="1" applyAlignment="1">
      <alignment horizontal="center" vertical="top" wrapText="1"/>
    </xf>
    <xf numFmtId="0" fontId="23" fillId="0" borderId="12" xfId="99" applyNumberFormat="1" applyFont="1" applyBorder="1" applyAlignment="1">
      <alignment vertical="top" wrapText="1"/>
    </xf>
    <xf numFmtId="0" fontId="32" fillId="0" borderId="0" xfId="0" applyFont="1" applyAlignment="1">
      <alignment horizontal="left" vertical="top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top" wrapText="1"/>
    </xf>
    <xf numFmtId="4" fontId="10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3" fillId="3" borderId="13" xfId="0" applyFont="1" applyFill="1" applyBorder="1" applyAlignment="1">
      <alignment horizontal="left" vertical="center" wrapText="1"/>
    </xf>
    <xf numFmtId="2" fontId="44" fillId="3" borderId="13" xfId="0" applyNumberFormat="1" applyFont="1" applyFill="1" applyBorder="1" applyAlignment="1">
      <alignment horizontal="left" vertical="center" wrapText="1"/>
    </xf>
    <xf numFmtId="4" fontId="41" fillId="3" borderId="45" xfId="0" applyNumberFormat="1" applyFont="1" applyFill="1" applyBorder="1" applyAlignment="1">
      <alignment horizontal="center" vertical="center" wrapText="1"/>
    </xf>
    <xf numFmtId="2" fontId="44" fillId="3" borderId="45" xfId="0" applyNumberFormat="1" applyFont="1" applyFill="1" applyBorder="1" applyAlignment="1">
      <alignment horizontal="left" vertical="center" wrapText="1"/>
    </xf>
    <xf numFmtId="0" fontId="52" fillId="3" borderId="43" xfId="0" applyFont="1" applyFill="1" applyBorder="1" applyAlignment="1">
      <alignment horizontal="center" vertical="center"/>
    </xf>
    <xf numFmtId="49" fontId="29" fillId="3" borderId="16" xfId="96" applyNumberFormat="1" applyFont="1" applyFill="1" applyBorder="1" applyAlignment="1">
      <alignment horizontal="center" vertical="center"/>
    </xf>
    <xf numFmtId="0" fontId="33" fillId="3" borderId="14" xfId="0" applyFont="1" applyFill="1" applyBorder="1" applyAlignment="1">
      <alignment horizontal="center" vertical="center" wrapText="1"/>
    </xf>
    <xf numFmtId="4" fontId="33" fillId="3" borderId="14" xfId="0" applyNumberFormat="1" applyFont="1" applyFill="1" applyBorder="1" applyAlignment="1">
      <alignment horizontal="center" vertical="center" wrapText="1"/>
    </xf>
    <xf numFmtId="4" fontId="33" fillId="3" borderId="26" xfId="0" applyNumberFormat="1" applyFont="1" applyFill="1" applyBorder="1" applyAlignment="1">
      <alignment horizontal="center" vertical="center" wrapText="1"/>
    </xf>
    <xf numFmtId="0" fontId="30" fillId="3" borderId="17" xfId="0" applyFont="1" applyFill="1" applyBorder="1" applyAlignment="1">
      <alignment horizontal="center" vertical="center"/>
    </xf>
    <xf numFmtId="0" fontId="53" fillId="0" borderId="12" xfId="99" applyNumberFormat="1" applyFont="1" applyBorder="1" applyAlignment="1">
      <alignment horizontal="center" vertical="top" wrapText="1"/>
    </xf>
    <xf numFmtId="0" fontId="53" fillId="0" borderId="12" xfId="99" applyNumberFormat="1" applyFont="1" applyBorder="1" applyAlignment="1">
      <alignment vertical="top" wrapText="1"/>
    </xf>
    <xf numFmtId="167" fontId="53" fillId="0" borderId="12" xfId="99" applyNumberFormat="1" applyFont="1" applyBorder="1" applyAlignment="1">
      <alignment horizontal="right" vertical="top" wrapText="1"/>
    </xf>
    <xf numFmtId="2" fontId="53" fillId="0" borderId="12" xfId="99" applyNumberFormat="1" applyFont="1" applyBorder="1" applyAlignment="1">
      <alignment horizontal="right" vertical="top" wrapText="1"/>
    </xf>
    <xf numFmtId="4" fontId="53" fillId="0" borderId="12" xfId="99" applyNumberFormat="1" applyFont="1" applyBorder="1" applyAlignment="1">
      <alignment horizontal="right" vertical="top" wrapText="1"/>
    </xf>
    <xf numFmtId="169" fontId="53" fillId="0" borderId="12" xfId="99" applyNumberFormat="1" applyFont="1" applyBorder="1" applyAlignment="1">
      <alignment horizontal="right" vertical="top" wrapText="1"/>
    </xf>
    <xf numFmtId="49" fontId="43" fillId="3" borderId="13" xfId="0" applyNumberFormat="1" applyFont="1" applyFill="1" applyBorder="1" applyAlignment="1">
      <alignment horizontal="left" vertical="center" wrapText="1"/>
    </xf>
    <xf numFmtId="0" fontId="47" fillId="0" borderId="46" xfId="8" applyFont="1" applyBorder="1" applyAlignment="1">
      <alignment horizontal="left" vertical="center" wrapText="1"/>
    </xf>
    <xf numFmtId="0" fontId="47" fillId="0" borderId="24" xfId="8" applyFont="1" applyBorder="1" applyAlignment="1">
      <alignment horizontal="center" vertical="center" wrapText="1"/>
    </xf>
    <xf numFmtId="0" fontId="53" fillId="0" borderId="13" xfId="99" applyNumberFormat="1" applyFont="1" applyBorder="1" applyAlignment="1">
      <alignment horizontal="center" vertical="top" wrapText="1"/>
    </xf>
    <xf numFmtId="0" fontId="53" fillId="0" borderId="13" xfId="99" applyNumberFormat="1" applyFont="1" applyBorder="1" applyAlignment="1">
      <alignment vertical="top" wrapText="1"/>
    </xf>
    <xf numFmtId="167" fontId="53" fillId="0" borderId="13" xfId="99" applyNumberFormat="1" applyFont="1" applyBorder="1" applyAlignment="1">
      <alignment horizontal="right" vertical="top" wrapText="1"/>
    </xf>
    <xf numFmtId="2" fontId="53" fillId="0" borderId="13" xfId="99" applyNumberFormat="1" applyFont="1" applyBorder="1" applyAlignment="1">
      <alignment horizontal="right" vertical="top" wrapText="1"/>
    </xf>
    <xf numFmtId="49" fontId="43" fillId="3" borderId="14" xfId="0" applyNumberFormat="1" applyFont="1" applyFill="1" applyBorder="1" applyAlignment="1">
      <alignment horizontal="left" vertical="center" wrapText="1"/>
    </xf>
    <xf numFmtId="0" fontId="43" fillId="3" borderId="14" xfId="0" applyFont="1" applyFill="1" applyBorder="1" applyAlignment="1">
      <alignment horizontal="left" vertical="center" wrapText="1"/>
    </xf>
    <xf numFmtId="2" fontId="44" fillId="3" borderId="14" xfId="0" applyNumberFormat="1" applyFont="1" applyFill="1" applyBorder="1" applyAlignment="1">
      <alignment horizontal="left" vertical="center" wrapText="1"/>
    </xf>
    <xf numFmtId="4" fontId="41" fillId="3" borderId="26" xfId="0" applyNumberFormat="1" applyFont="1" applyFill="1" applyBorder="1" applyAlignment="1">
      <alignment horizontal="center" vertical="center" wrapText="1"/>
    </xf>
    <xf numFmtId="2" fontId="44" fillId="3" borderId="26" xfId="0" applyNumberFormat="1" applyFont="1" applyFill="1" applyBorder="1" applyAlignment="1">
      <alignment horizontal="left" vertical="center" wrapText="1"/>
    </xf>
    <xf numFmtId="0" fontId="52" fillId="3" borderId="17" xfId="0" applyFont="1" applyFill="1" applyBorder="1" applyAlignment="1">
      <alignment horizontal="center" vertical="center"/>
    </xf>
    <xf numFmtId="0" fontId="53" fillId="0" borderId="12" xfId="100" applyNumberFormat="1" applyFont="1" applyBorder="1" applyAlignment="1">
      <alignment horizontal="center" vertical="top" wrapText="1"/>
    </xf>
    <xf numFmtId="0" fontId="53" fillId="0" borderId="12" xfId="100" applyNumberFormat="1" applyFont="1" applyBorder="1" applyAlignment="1">
      <alignment vertical="top" wrapText="1"/>
    </xf>
    <xf numFmtId="167" fontId="53" fillId="0" borderId="12" xfId="100" applyNumberFormat="1" applyFont="1" applyBorder="1" applyAlignment="1">
      <alignment horizontal="right" vertical="top" wrapText="1"/>
    </xf>
    <xf numFmtId="2" fontId="53" fillId="0" borderId="12" xfId="100" applyNumberFormat="1" applyFont="1" applyBorder="1" applyAlignment="1">
      <alignment horizontal="right" vertical="top" wrapText="1"/>
    </xf>
    <xf numFmtId="0" fontId="41" fillId="3" borderId="44" xfId="0" applyFont="1" applyFill="1" applyBorder="1" applyAlignment="1">
      <alignment horizontal="center" vertical="center"/>
    </xf>
    <xf numFmtId="0" fontId="41" fillId="3" borderId="19" xfId="0" applyFont="1" applyFill="1" applyBorder="1" applyAlignment="1">
      <alignment horizontal="center" vertical="center"/>
    </xf>
    <xf numFmtId="0" fontId="54" fillId="0" borderId="12" xfId="101" applyNumberFormat="1" applyFont="1" applyBorder="1" applyAlignment="1">
      <alignment horizontal="center" vertical="top" wrapText="1"/>
    </xf>
    <xf numFmtId="0" fontId="54" fillId="0" borderId="12" xfId="101" applyNumberFormat="1" applyFont="1" applyBorder="1" applyAlignment="1">
      <alignment vertical="top" wrapText="1"/>
    </xf>
    <xf numFmtId="167" fontId="54" fillId="0" borderId="12" xfId="101" applyNumberFormat="1" applyFont="1" applyBorder="1" applyAlignment="1">
      <alignment horizontal="right" vertical="top" wrapText="1"/>
    </xf>
    <xf numFmtId="2" fontId="54" fillId="0" borderId="12" xfId="101" applyNumberFormat="1" applyFont="1" applyBorder="1" applyAlignment="1">
      <alignment horizontal="right" vertical="top" wrapText="1"/>
    </xf>
    <xf numFmtId="4" fontId="54" fillId="0" borderId="12" xfId="101" applyNumberFormat="1" applyFont="1" applyBorder="1" applyAlignment="1">
      <alignment horizontal="right" vertical="top" wrapText="1"/>
    </xf>
    <xf numFmtId="169" fontId="54" fillId="0" borderId="12" xfId="101" applyNumberFormat="1" applyFont="1" applyBorder="1" applyAlignment="1">
      <alignment horizontal="right" vertical="top" wrapText="1"/>
    </xf>
    <xf numFmtId="0" fontId="54" fillId="0" borderId="12" xfId="100" applyNumberFormat="1" applyFont="1" applyBorder="1" applyAlignment="1">
      <alignment horizontal="center" vertical="top" wrapText="1"/>
    </xf>
    <xf numFmtId="0" fontId="54" fillId="0" borderId="12" xfId="100" applyNumberFormat="1" applyFont="1" applyBorder="1" applyAlignment="1">
      <alignment vertical="top" wrapText="1"/>
    </xf>
    <xf numFmtId="167" fontId="54" fillId="0" borderId="12" xfId="100" applyNumberFormat="1" applyFont="1" applyBorder="1" applyAlignment="1">
      <alignment horizontal="right" vertical="top" wrapText="1"/>
    </xf>
    <xf numFmtId="2" fontId="54" fillId="0" borderId="12" xfId="100" applyNumberFormat="1" applyFont="1" applyBorder="1" applyAlignment="1">
      <alignment horizontal="right" vertical="top" wrapText="1"/>
    </xf>
    <xf numFmtId="0" fontId="53" fillId="0" borderId="12" xfId="102" applyNumberFormat="1" applyFont="1" applyBorder="1" applyAlignment="1">
      <alignment horizontal="center" vertical="top" wrapText="1"/>
    </xf>
    <xf numFmtId="0" fontId="53" fillId="0" borderId="12" xfId="102" applyNumberFormat="1" applyFont="1" applyBorder="1" applyAlignment="1">
      <alignment vertical="top" wrapText="1"/>
    </xf>
    <xf numFmtId="167" fontId="53" fillId="0" borderId="12" xfId="102" applyNumberFormat="1" applyFont="1" applyBorder="1" applyAlignment="1">
      <alignment horizontal="right" vertical="top" wrapText="1"/>
    </xf>
    <xf numFmtId="2" fontId="53" fillId="0" borderId="12" xfId="102" applyNumberFormat="1" applyFont="1" applyBorder="1" applyAlignment="1">
      <alignment horizontal="right" vertical="top" wrapText="1"/>
    </xf>
    <xf numFmtId="4" fontId="53" fillId="0" borderId="12" xfId="102" applyNumberFormat="1" applyFont="1" applyBorder="1" applyAlignment="1">
      <alignment horizontal="right" vertical="top" wrapText="1"/>
    </xf>
    <xf numFmtId="169" fontId="53" fillId="0" borderId="12" xfId="102" applyNumberFormat="1" applyFont="1" applyBorder="1" applyAlignment="1">
      <alignment horizontal="right" vertical="top" wrapText="1"/>
    </xf>
    <xf numFmtId="0" fontId="54" fillId="0" borderId="12" xfId="103" applyNumberFormat="1" applyFont="1" applyBorder="1" applyAlignment="1">
      <alignment vertical="top" wrapText="1"/>
    </xf>
    <xf numFmtId="2" fontId="54" fillId="0" borderId="12" xfId="103" applyNumberFormat="1" applyFont="1" applyBorder="1" applyAlignment="1">
      <alignment horizontal="right" vertical="top" wrapText="1"/>
    </xf>
    <xf numFmtId="4" fontId="54" fillId="0" borderId="12" xfId="103" applyNumberFormat="1" applyFont="1" applyBorder="1" applyAlignment="1">
      <alignment horizontal="right" vertical="top" wrapText="1"/>
    </xf>
    <xf numFmtId="49" fontId="29" fillId="3" borderId="41" xfId="96" applyNumberFormat="1" applyFont="1" applyFill="1" applyBorder="1" applyAlignment="1">
      <alignment horizontal="center" vertical="center"/>
    </xf>
    <xf numFmtId="0" fontId="33" fillId="3" borderId="24" xfId="0" applyFont="1" applyFill="1" applyBorder="1" applyAlignment="1">
      <alignment vertical="center" wrapText="1"/>
    </xf>
    <xf numFmtId="0" fontId="33" fillId="3" borderId="13" xfId="0" applyFont="1" applyFill="1" applyBorder="1" applyAlignment="1">
      <alignment horizontal="center" vertical="center" wrapText="1"/>
    </xf>
    <xf numFmtId="4" fontId="33" fillId="3" borderId="13" xfId="0" applyNumberFormat="1" applyFont="1" applyFill="1" applyBorder="1" applyAlignment="1">
      <alignment horizontal="center" vertical="center" wrapText="1"/>
    </xf>
    <xf numFmtId="4" fontId="33" fillId="3" borderId="45" xfId="0" applyNumberFormat="1" applyFont="1" applyFill="1" applyBorder="1" applyAlignment="1">
      <alignment horizontal="center" vertical="center" wrapText="1"/>
    </xf>
    <xf numFmtId="0" fontId="53" fillId="0" borderId="13" xfId="103" applyNumberFormat="1" applyFont="1" applyBorder="1" applyAlignment="1">
      <alignment horizontal="center" vertical="top" wrapText="1"/>
    </xf>
    <xf numFmtId="0" fontId="54" fillId="0" borderId="13" xfId="103" applyNumberFormat="1" applyFont="1" applyBorder="1" applyAlignment="1">
      <alignment vertical="top" wrapText="1"/>
    </xf>
    <xf numFmtId="167" fontId="53" fillId="0" borderId="13" xfId="103" applyNumberFormat="1" applyFont="1" applyBorder="1" applyAlignment="1">
      <alignment horizontal="right" vertical="top" wrapText="1"/>
    </xf>
    <xf numFmtId="2" fontId="54" fillId="0" borderId="13" xfId="103" applyNumberFormat="1" applyFont="1" applyBorder="1" applyAlignment="1">
      <alignment horizontal="right" vertical="top" wrapText="1"/>
    </xf>
    <xf numFmtId="0" fontId="55" fillId="3" borderId="43" xfId="0" applyFont="1" applyFill="1" applyBorder="1" applyAlignment="1">
      <alignment horizontal="center" vertical="center"/>
    </xf>
    <xf numFmtId="0" fontId="53" fillId="0" borderId="12" xfId="104" applyNumberFormat="1" applyFont="1" applyBorder="1" applyAlignment="1">
      <alignment horizontal="center" vertical="top" wrapText="1"/>
    </xf>
    <xf numFmtId="0" fontId="53" fillId="0" borderId="12" xfId="104" applyNumberFormat="1" applyFont="1" applyBorder="1" applyAlignment="1">
      <alignment vertical="top" wrapText="1"/>
    </xf>
    <xf numFmtId="167" fontId="53" fillId="0" borderId="12" xfId="104" applyNumberFormat="1" applyFont="1" applyBorder="1" applyAlignment="1">
      <alignment horizontal="right" vertical="top" wrapText="1"/>
    </xf>
    <xf numFmtId="2" fontId="53" fillId="0" borderId="12" xfId="104" applyNumberFormat="1" applyFont="1" applyBorder="1" applyAlignment="1">
      <alignment horizontal="right" vertical="top" wrapText="1"/>
    </xf>
    <xf numFmtId="49" fontId="29" fillId="3" borderId="23" xfId="96" applyNumberFormat="1" applyFont="1" applyFill="1" applyBorder="1" applyAlignment="1">
      <alignment horizontal="center" vertical="center"/>
    </xf>
    <xf numFmtId="0" fontId="33" fillId="3" borderId="24" xfId="0" applyFont="1" applyFill="1" applyBorder="1" applyAlignment="1">
      <alignment horizontal="center" vertical="center" wrapText="1"/>
    </xf>
    <xf numFmtId="4" fontId="33" fillId="3" borderId="24" xfId="0" applyNumberFormat="1" applyFont="1" applyFill="1" applyBorder="1" applyAlignment="1">
      <alignment horizontal="center" vertical="center" wrapText="1"/>
    </xf>
    <xf numFmtId="4" fontId="33" fillId="3" borderId="48" xfId="0" applyNumberFormat="1" applyFont="1" applyFill="1" applyBorder="1" applyAlignment="1">
      <alignment horizontal="center" vertical="center" wrapText="1"/>
    </xf>
    <xf numFmtId="0" fontId="30" fillId="3" borderId="25" xfId="0" applyFont="1" applyFill="1" applyBorder="1" applyAlignment="1">
      <alignment horizontal="center" vertical="center"/>
    </xf>
    <xf numFmtId="0" fontId="54" fillId="0" borderId="12" xfId="105" applyNumberFormat="1" applyFont="1" applyBorder="1" applyAlignment="1">
      <alignment horizontal="center" vertical="top" wrapText="1"/>
    </xf>
    <xf numFmtId="0" fontId="54" fillId="0" borderId="12" xfId="105" applyNumberFormat="1" applyFont="1" applyBorder="1" applyAlignment="1">
      <alignment vertical="top" wrapText="1"/>
    </xf>
    <xf numFmtId="167" fontId="54" fillId="0" borderId="12" xfId="105" applyNumberFormat="1" applyFont="1" applyBorder="1" applyAlignment="1">
      <alignment horizontal="right" vertical="top" wrapText="1"/>
    </xf>
    <xf numFmtId="2" fontId="54" fillId="0" borderId="12" xfId="105" applyNumberFormat="1" applyFont="1" applyBorder="1" applyAlignment="1">
      <alignment horizontal="right" vertical="top" wrapText="1"/>
    </xf>
    <xf numFmtId="4" fontId="54" fillId="0" borderId="12" xfId="105" applyNumberFormat="1" applyFont="1" applyBorder="1" applyAlignment="1">
      <alignment horizontal="right" vertical="top" wrapText="1"/>
    </xf>
    <xf numFmtId="169" fontId="54" fillId="0" borderId="12" xfId="105" applyNumberFormat="1" applyFont="1" applyBorder="1" applyAlignment="1">
      <alignment horizontal="right" vertical="top" wrapText="1"/>
    </xf>
    <xf numFmtId="0" fontId="54" fillId="0" borderId="12" xfId="104" applyNumberFormat="1" applyFont="1" applyBorder="1" applyAlignment="1">
      <alignment horizontal="center" vertical="top" wrapText="1"/>
    </xf>
    <xf numFmtId="0" fontId="54" fillId="0" borderId="12" xfId="104" applyNumberFormat="1" applyFont="1" applyBorder="1" applyAlignment="1">
      <alignment vertical="top" wrapText="1"/>
    </xf>
    <xf numFmtId="167" fontId="54" fillId="0" borderId="12" xfId="104" applyNumberFormat="1" applyFont="1" applyBorder="1" applyAlignment="1">
      <alignment horizontal="right" vertical="top" wrapText="1"/>
    </xf>
    <xf numFmtId="2" fontId="54" fillId="0" borderId="12" xfId="104" applyNumberFormat="1" applyFont="1" applyBorder="1" applyAlignment="1">
      <alignment horizontal="right" vertical="top" wrapText="1"/>
    </xf>
    <xf numFmtId="49" fontId="43" fillId="4" borderId="31" xfId="0" applyNumberFormat="1" applyFont="1" applyFill="1" applyBorder="1" applyAlignment="1">
      <alignment horizontal="left" vertical="center" wrapText="1"/>
    </xf>
    <xf numFmtId="0" fontId="43" fillId="4" borderId="32" xfId="0" applyFont="1" applyFill="1" applyBorder="1" applyAlignment="1">
      <alignment horizontal="left" vertical="center" wrapText="1"/>
    </xf>
    <xf numFmtId="2" fontId="44" fillId="4" borderId="32" xfId="0" applyNumberFormat="1" applyFont="1" applyFill="1" applyBorder="1" applyAlignment="1">
      <alignment horizontal="left" vertical="center" wrapText="1"/>
    </xf>
    <xf numFmtId="0" fontId="47" fillId="4" borderId="47" xfId="8" applyFont="1" applyFill="1" applyBorder="1" applyAlignment="1">
      <alignment horizontal="left" vertical="center" wrapText="1"/>
    </xf>
    <xf numFmtId="0" fontId="47" fillId="4" borderId="32" xfId="8" applyFont="1" applyFill="1" applyBorder="1" applyAlignment="1">
      <alignment horizontal="center" vertical="center" wrapText="1"/>
    </xf>
    <xf numFmtId="4" fontId="41" fillId="4" borderId="39" xfId="0" applyNumberFormat="1" applyFont="1" applyFill="1" applyBorder="1" applyAlignment="1">
      <alignment horizontal="center" vertical="center" wrapText="1"/>
    </xf>
    <xf numFmtId="2" fontId="44" fillId="4" borderId="39" xfId="0" applyNumberFormat="1" applyFont="1" applyFill="1" applyBorder="1" applyAlignment="1">
      <alignment horizontal="left" vertical="center" wrapText="1"/>
    </xf>
    <xf numFmtId="0" fontId="53" fillId="4" borderId="32" xfId="99" applyNumberFormat="1" applyFont="1" applyFill="1" applyBorder="1" applyAlignment="1">
      <alignment horizontal="center" vertical="top" wrapText="1"/>
    </xf>
    <xf numFmtId="0" fontId="53" fillId="4" borderId="32" xfId="99" applyNumberFormat="1" applyFont="1" applyFill="1" applyBorder="1" applyAlignment="1">
      <alignment vertical="top" wrapText="1"/>
    </xf>
    <xf numFmtId="167" fontId="53" fillId="4" borderId="32" xfId="98" applyNumberFormat="1" applyFont="1" applyFill="1" applyBorder="1" applyAlignment="1">
      <alignment horizontal="right" vertical="top" wrapText="1"/>
    </xf>
    <xf numFmtId="4" fontId="53" fillId="4" borderId="32" xfId="98" applyNumberFormat="1" applyFont="1" applyFill="1" applyBorder="1" applyAlignment="1">
      <alignment horizontal="right" vertical="top" wrapText="1"/>
    </xf>
    <xf numFmtId="0" fontId="52" fillId="4" borderId="33" xfId="0" applyFont="1" applyFill="1" applyBorder="1" applyAlignment="1">
      <alignment horizontal="center" vertical="center"/>
    </xf>
    <xf numFmtId="169" fontId="54" fillId="0" borderId="12" xfId="100" applyNumberFormat="1" applyFont="1" applyBorder="1" applyAlignment="1">
      <alignment horizontal="right" vertical="top" wrapText="1"/>
    </xf>
    <xf numFmtId="4" fontId="54" fillId="0" borderId="12" xfId="100" applyNumberFormat="1" applyFont="1" applyBorder="1" applyAlignment="1">
      <alignment horizontal="right" vertical="top" wrapText="1"/>
    </xf>
    <xf numFmtId="0" fontId="54" fillId="0" borderId="12" xfId="102" applyNumberFormat="1" applyFont="1" applyBorder="1" applyAlignment="1">
      <alignment horizontal="center" vertical="top" wrapText="1"/>
    </xf>
    <xf numFmtId="0" fontId="54" fillId="0" borderId="12" xfId="102" applyNumberFormat="1" applyFont="1" applyBorder="1" applyAlignment="1">
      <alignment vertical="top" wrapText="1"/>
    </xf>
    <xf numFmtId="167" fontId="54" fillId="0" borderId="12" xfId="102" applyNumberFormat="1" applyFont="1" applyBorder="1" applyAlignment="1">
      <alignment horizontal="right" vertical="top" wrapText="1"/>
    </xf>
    <xf numFmtId="2" fontId="54" fillId="0" borderId="12" xfId="102" applyNumberFormat="1" applyFont="1" applyBorder="1" applyAlignment="1">
      <alignment horizontal="right" vertical="top" wrapText="1"/>
    </xf>
    <xf numFmtId="4" fontId="54" fillId="0" borderId="12" xfId="102" applyNumberFormat="1" applyFont="1" applyBorder="1" applyAlignment="1">
      <alignment horizontal="right" vertical="top" wrapText="1"/>
    </xf>
    <xf numFmtId="169" fontId="54" fillId="0" borderId="12" xfId="102" applyNumberFormat="1" applyFont="1" applyBorder="1" applyAlignment="1">
      <alignment horizontal="right" vertical="top" wrapText="1"/>
    </xf>
    <xf numFmtId="49" fontId="29" fillId="4" borderId="31" xfId="96" applyNumberFormat="1" applyFont="1" applyFill="1" applyBorder="1" applyAlignment="1">
      <alignment horizontal="center" vertical="center"/>
    </xf>
    <xf numFmtId="0" fontId="33" fillId="4" borderId="32" xfId="0" applyFont="1" applyFill="1" applyBorder="1" applyAlignment="1">
      <alignment vertical="center" wrapText="1"/>
    </xf>
    <xf numFmtId="0" fontId="33" fillId="4" borderId="32" xfId="0" applyFont="1" applyFill="1" applyBorder="1" applyAlignment="1">
      <alignment horizontal="center" vertical="center" wrapText="1"/>
    </xf>
    <xf numFmtId="4" fontId="33" fillId="4" borderId="32" xfId="0" applyNumberFormat="1" applyFont="1" applyFill="1" applyBorder="1" applyAlignment="1">
      <alignment horizontal="center" vertical="center" wrapText="1"/>
    </xf>
    <xf numFmtId="4" fontId="33" fillId="4" borderId="39" xfId="0" applyNumberFormat="1" applyFont="1" applyFill="1" applyBorder="1" applyAlignment="1">
      <alignment horizontal="center" vertical="center" wrapText="1"/>
    </xf>
    <xf numFmtId="0" fontId="50" fillId="4" borderId="32" xfId="98" applyNumberFormat="1" applyFont="1" applyFill="1" applyBorder="1" applyAlignment="1">
      <alignment horizontal="center" vertical="top" wrapText="1"/>
    </xf>
    <xf numFmtId="0" fontId="51" fillId="4" borderId="32" xfId="98" applyNumberFormat="1" applyFont="1" applyFill="1" applyBorder="1" applyAlignment="1">
      <alignment vertical="top" wrapText="1"/>
    </xf>
    <xf numFmtId="167" fontId="50" fillId="4" borderId="32" xfId="98" applyNumberFormat="1" applyFont="1" applyFill="1" applyBorder="1" applyAlignment="1">
      <alignment horizontal="right" vertical="top" wrapText="1"/>
    </xf>
    <xf numFmtId="4" fontId="51" fillId="4" borderId="32" xfId="98" applyNumberFormat="1" applyFont="1" applyFill="1" applyBorder="1" applyAlignment="1">
      <alignment horizontal="right" vertical="top" wrapText="1"/>
    </xf>
    <xf numFmtId="2" fontId="51" fillId="4" borderId="32" xfId="98" applyNumberFormat="1" applyFont="1" applyFill="1" applyBorder="1" applyAlignment="1">
      <alignment horizontal="right" vertical="top" wrapText="1"/>
    </xf>
    <xf numFmtId="0" fontId="54" fillId="0" borderId="12" xfId="103" applyNumberFormat="1" applyFont="1" applyBorder="1" applyAlignment="1">
      <alignment horizontal="center" vertical="top" wrapText="1"/>
    </xf>
    <xf numFmtId="167" fontId="54" fillId="0" borderId="12" xfId="103" applyNumberFormat="1" applyFont="1" applyBorder="1" applyAlignment="1">
      <alignment horizontal="right" vertical="top" wrapText="1"/>
    </xf>
    <xf numFmtId="169" fontId="54" fillId="0" borderId="12" xfId="103" applyNumberFormat="1" applyFont="1" applyBorder="1" applyAlignment="1">
      <alignment horizontal="right" vertical="top" wrapText="1"/>
    </xf>
    <xf numFmtId="4" fontId="54" fillId="0" borderId="12" xfId="104" applyNumberFormat="1" applyFont="1" applyBorder="1" applyAlignment="1">
      <alignment horizontal="right" vertical="top" wrapText="1"/>
    </xf>
    <xf numFmtId="169" fontId="54" fillId="0" borderId="12" xfId="104" applyNumberFormat="1" applyFont="1" applyBorder="1" applyAlignment="1">
      <alignment horizontal="right" vertical="top" wrapText="1"/>
    </xf>
    <xf numFmtId="0" fontId="55" fillId="3" borderId="25" xfId="0" applyFont="1" applyFill="1" applyBorder="1" applyAlignment="1">
      <alignment horizontal="center" vertical="center"/>
    </xf>
    <xf numFmtId="0" fontId="54" fillId="0" borderId="12" xfId="99" applyNumberFormat="1" applyFont="1" applyBorder="1" applyAlignment="1">
      <alignment horizontal="center" vertical="top" wrapText="1"/>
    </xf>
    <xf numFmtId="0" fontId="54" fillId="0" borderId="12" xfId="99" applyNumberFormat="1" applyFont="1" applyBorder="1" applyAlignment="1">
      <alignment vertical="top" wrapText="1"/>
    </xf>
    <xf numFmtId="167" fontId="54" fillId="0" borderId="12" xfId="99" applyNumberFormat="1" applyFont="1" applyBorder="1" applyAlignment="1">
      <alignment horizontal="right" vertical="top" wrapText="1"/>
    </xf>
    <xf numFmtId="4" fontId="54" fillId="0" borderId="12" xfId="99" applyNumberFormat="1" applyFont="1" applyBorder="1" applyAlignment="1">
      <alignment horizontal="right" vertical="top" wrapText="1"/>
    </xf>
    <xf numFmtId="2" fontId="54" fillId="0" borderId="12" xfId="99" applyNumberFormat="1" applyFont="1" applyBorder="1" applyAlignment="1">
      <alignment horizontal="right" vertical="top" wrapText="1"/>
    </xf>
    <xf numFmtId="0" fontId="41" fillId="0" borderId="19" xfId="0" applyFont="1" applyFill="1" applyBorder="1" applyAlignment="1">
      <alignment horizontal="center" vertical="center"/>
    </xf>
    <xf numFmtId="0" fontId="54" fillId="0" borderId="12" xfId="99" applyNumberFormat="1" applyFont="1" applyFill="1" applyBorder="1" applyAlignment="1">
      <alignment horizontal="center" vertical="top" wrapText="1"/>
    </xf>
    <xf numFmtId="0" fontId="54" fillId="0" borderId="12" xfId="99" applyNumberFormat="1" applyFont="1" applyFill="1" applyBorder="1" applyAlignment="1">
      <alignment vertical="top" wrapText="1"/>
    </xf>
    <xf numFmtId="167" fontId="54" fillId="0" borderId="12" xfId="99" applyNumberFormat="1" applyFont="1" applyFill="1" applyBorder="1" applyAlignment="1">
      <alignment horizontal="right" vertical="top" wrapText="1"/>
    </xf>
    <xf numFmtId="4" fontId="54" fillId="0" borderId="12" xfId="99" applyNumberFormat="1" applyFont="1" applyFill="1" applyBorder="1" applyAlignment="1">
      <alignment horizontal="right" vertical="top" wrapText="1"/>
    </xf>
    <xf numFmtId="2" fontId="54" fillId="0" borderId="12" xfId="99" applyNumberFormat="1" applyFont="1" applyFill="1" applyBorder="1" applyAlignment="1">
      <alignment horizontal="right" vertical="top" wrapText="1"/>
    </xf>
    <xf numFmtId="0" fontId="53" fillId="0" borderId="12" xfId="101" applyNumberFormat="1" applyFont="1" applyBorder="1" applyAlignment="1">
      <alignment horizontal="center" vertical="top" wrapText="1"/>
    </xf>
    <xf numFmtId="167" fontId="53" fillId="0" borderId="12" xfId="101" applyNumberFormat="1" applyFont="1" applyBorder="1" applyAlignment="1">
      <alignment horizontal="right" vertical="top" wrapText="1"/>
    </xf>
    <xf numFmtId="0" fontId="41" fillId="3" borderId="17" xfId="0" applyFont="1" applyFill="1" applyBorder="1" applyAlignment="1">
      <alignment horizontal="center" vertical="center"/>
    </xf>
    <xf numFmtId="169" fontId="53" fillId="0" borderId="12" xfId="101" applyNumberFormat="1" applyFont="1" applyBorder="1" applyAlignment="1">
      <alignment horizontal="right" vertical="top" wrapText="1"/>
    </xf>
    <xf numFmtId="0" fontId="55" fillId="3" borderId="19" xfId="0" applyFont="1" applyFill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top" wrapText="1"/>
    </xf>
    <xf numFmtId="0" fontId="32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2" fillId="0" borderId="0" xfId="0" applyFont="1" applyAlignment="1">
      <alignment horizontal="left" vertical="top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top" wrapText="1"/>
    </xf>
    <xf numFmtId="0" fontId="0" fillId="3" borderId="38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14" fillId="0" borderId="0" xfId="0" applyFont="1" applyAlignment="1">
      <alignment horizontal="center" vertical="top" wrapText="1"/>
    </xf>
    <xf numFmtId="4" fontId="10" fillId="0" borderId="0" xfId="0" applyNumberFormat="1" applyFont="1" applyAlignment="1">
      <alignment horizontal="center" vertical="top" wrapText="1"/>
    </xf>
    <xf numFmtId="4" fontId="10" fillId="0" borderId="1" xfId="0" applyNumberFormat="1" applyFont="1" applyBorder="1" applyAlignment="1">
      <alignment horizontal="center" vertical="top" wrapText="1"/>
    </xf>
    <xf numFmtId="0" fontId="11" fillId="2" borderId="1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top" wrapText="1"/>
    </xf>
    <xf numFmtId="0" fontId="15" fillId="7" borderId="27" xfId="0" applyFont="1" applyFill="1" applyBorder="1" applyAlignment="1">
      <alignment horizontal="center" vertical="top" wrapText="1"/>
    </xf>
    <xf numFmtId="0" fontId="15" fillId="7" borderId="28" xfId="0" applyFont="1" applyFill="1" applyBorder="1" applyAlignment="1">
      <alignment horizontal="center" vertical="top" wrapText="1"/>
    </xf>
    <xf numFmtId="0" fontId="15" fillId="6" borderId="27" xfId="0" applyFont="1" applyFill="1" applyBorder="1" applyAlignment="1">
      <alignment horizontal="center" vertical="top" wrapText="1"/>
    </xf>
    <xf numFmtId="0" fontId="15" fillId="6" borderId="28" xfId="0" applyFont="1" applyFill="1" applyBorder="1" applyAlignment="1">
      <alignment horizontal="center" vertical="top" wrapText="1"/>
    </xf>
    <xf numFmtId="0" fontId="15" fillId="6" borderId="29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53" fillId="0" borderId="12" xfId="106" applyNumberFormat="1" applyFont="1" applyBorder="1" applyAlignment="1">
      <alignment horizontal="center" vertical="top" wrapText="1"/>
    </xf>
    <xf numFmtId="0" fontId="53" fillId="0" borderId="12" xfId="106" applyNumberFormat="1" applyFont="1" applyBorder="1" applyAlignment="1">
      <alignment vertical="top" wrapText="1"/>
    </xf>
    <xf numFmtId="167" fontId="53" fillId="0" borderId="12" xfId="106" applyNumberFormat="1" applyFont="1" applyBorder="1" applyAlignment="1">
      <alignment horizontal="right" vertical="top" wrapText="1"/>
    </xf>
    <xf numFmtId="2" fontId="53" fillId="0" borderId="12" xfId="106" applyNumberFormat="1" applyFont="1" applyBorder="1" applyAlignment="1">
      <alignment horizontal="right" vertical="top" wrapText="1"/>
    </xf>
    <xf numFmtId="4" fontId="53" fillId="0" borderId="12" xfId="106" applyNumberFormat="1" applyFont="1" applyBorder="1" applyAlignment="1">
      <alignment horizontal="right" vertical="top" wrapText="1"/>
    </xf>
    <xf numFmtId="169" fontId="53" fillId="0" borderId="12" xfId="106" applyNumberFormat="1" applyFont="1" applyBorder="1" applyAlignment="1">
      <alignment horizontal="right" vertical="top" wrapText="1"/>
    </xf>
    <xf numFmtId="0" fontId="53" fillId="0" borderId="12" xfId="105" applyNumberFormat="1" applyFont="1" applyBorder="1" applyAlignment="1">
      <alignment horizontal="center" vertical="top" wrapText="1"/>
    </xf>
    <xf numFmtId="0" fontId="53" fillId="0" borderId="12" xfId="105" applyNumberFormat="1" applyFont="1" applyBorder="1" applyAlignment="1">
      <alignment vertical="top" wrapText="1"/>
    </xf>
    <xf numFmtId="167" fontId="53" fillId="0" borderId="12" xfId="105" applyNumberFormat="1" applyFont="1" applyBorder="1" applyAlignment="1">
      <alignment horizontal="right" vertical="top" wrapText="1"/>
    </xf>
    <xf numFmtId="4" fontId="53" fillId="0" borderId="12" xfId="105" applyNumberFormat="1" applyFont="1" applyBorder="1" applyAlignment="1">
      <alignment horizontal="right" vertical="top" wrapText="1"/>
    </xf>
    <xf numFmtId="0" fontId="54" fillId="0" borderId="12" xfId="106" applyNumberFormat="1" applyFont="1" applyBorder="1" applyAlignment="1">
      <alignment horizontal="center" vertical="top" wrapText="1"/>
    </xf>
    <xf numFmtId="0" fontId="54" fillId="0" borderId="12" xfId="106" applyNumberFormat="1" applyFont="1" applyBorder="1" applyAlignment="1">
      <alignment vertical="top" wrapText="1"/>
    </xf>
    <xf numFmtId="167" fontId="54" fillId="0" borderId="12" xfId="106" applyNumberFormat="1" applyFont="1" applyBorder="1" applyAlignment="1">
      <alignment horizontal="right" vertical="top" wrapText="1"/>
    </xf>
    <xf numFmtId="2" fontId="54" fillId="0" borderId="12" xfId="106" applyNumberFormat="1" applyFont="1" applyBorder="1" applyAlignment="1">
      <alignment horizontal="right" vertical="top" wrapText="1"/>
    </xf>
    <xf numFmtId="4" fontId="54" fillId="0" borderId="12" xfId="106" applyNumberFormat="1" applyFont="1" applyBorder="1" applyAlignment="1">
      <alignment horizontal="right" vertical="top" wrapText="1"/>
    </xf>
    <xf numFmtId="169" fontId="54" fillId="0" borderId="12" xfId="106" applyNumberFormat="1" applyFont="1" applyBorder="1" applyAlignment="1">
      <alignment horizontal="right" vertical="top" wrapText="1"/>
    </xf>
    <xf numFmtId="0" fontId="54" fillId="0" borderId="12" xfId="107" applyNumberFormat="1" applyFont="1" applyBorder="1" applyAlignment="1">
      <alignment horizontal="center" vertical="top" wrapText="1"/>
    </xf>
    <xf numFmtId="0" fontId="54" fillId="0" borderId="12" xfId="107" applyNumberFormat="1" applyFont="1" applyBorder="1" applyAlignment="1">
      <alignment vertical="top" wrapText="1"/>
    </xf>
    <xf numFmtId="167" fontId="54" fillId="0" borderId="12" xfId="107" applyNumberFormat="1" applyFont="1" applyBorder="1" applyAlignment="1">
      <alignment horizontal="right" vertical="top" wrapText="1"/>
    </xf>
    <xf numFmtId="2" fontId="54" fillId="0" borderId="12" xfId="107" applyNumberFormat="1" applyFont="1" applyBorder="1" applyAlignment="1">
      <alignment horizontal="right" vertical="top" wrapText="1"/>
    </xf>
    <xf numFmtId="4" fontId="54" fillId="0" borderId="12" xfId="107" applyNumberFormat="1" applyFont="1" applyBorder="1" applyAlignment="1">
      <alignment horizontal="right" vertical="top" wrapText="1"/>
    </xf>
    <xf numFmtId="169" fontId="54" fillId="0" borderId="12" xfId="107" applyNumberFormat="1" applyFont="1" applyBorder="1" applyAlignment="1">
      <alignment horizontal="right" vertical="top" wrapText="1"/>
    </xf>
    <xf numFmtId="0" fontId="54" fillId="0" borderId="12" xfId="108" applyNumberFormat="1" applyFont="1" applyBorder="1" applyAlignment="1">
      <alignment horizontal="center" vertical="top" wrapText="1"/>
    </xf>
    <xf numFmtId="0" fontId="54" fillId="0" borderId="12" xfId="108" applyNumberFormat="1" applyFont="1" applyBorder="1" applyAlignment="1">
      <alignment vertical="top" wrapText="1"/>
    </xf>
    <xf numFmtId="167" fontId="54" fillId="0" borderId="12" xfId="108" applyNumberFormat="1" applyFont="1" applyBorder="1" applyAlignment="1">
      <alignment horizontal="right" vertical="top" wrapText="1"/>
    </xf>
    <xf numFmtId="2" fontId="54" fillId="0" borderId="12" xfId="108" applyNumberFormat="1" applyFont="1" applyBorder="1" applyAlignment="1">
      <alignment horizontal="right" vertical="top" wrapText="1"/>
    </xf>
    <xf numFmtId="4" fontId="54" fillId="0" borderId="12" xfId="108" applyNumberFormat="1" applyFont="1" applyBorder="1" applyAlignment="1">
      <alignment horizontal="right" vertical="top" wrapText="1"/>
    </xf>
    <xf numFmtId="169" fontId="54" fillId="0" borderId="12" xfId="108" applyNumberFormat="1" applyFont="1" applyBorder="1" applyAlignment="1">
      <alignment horizontal="right" vertical="top" wrapText="1"/>
    </xf>
    <xf numFmtId="0" fontId="54" fillId="0" borderId="12" xfId="109" applyNumberFormat="1" applyFont="1" applyBorder="1" applyAlignment="1">
      <alignment horizontal="center" vertical="top" wrapText="1"/>
    </xf>
    <xf numFmtId="0" fontId="54" fillId="0" borderId="12" xfId="109" applyNumberFormat="1" applyFont="1" applyBorder="1" applyAlignment="1">
      <alignment vertical="top" wrapText="1"/>
    </xf>
    <xf numFmtId="167" fontId="54" fillId="0" borderId="12" xfId="109" applyNumberFormat="1" applyFont="1" applyBorder="1" applyAlignment="1">
      <alignment horizontal="right" vertical="top" wrapText="1"/>
    </xf>
    <xf numFmtId="2" fontId="54" fillId="0" borderId="12" xfId="109" applyNumberFormat="1" applyFont="1" applyBorder="1" applyAlignment="1">
      <alignment horizontal="right" vertical="top" wrapText="1"/>
    </xf>
    <xf numFmtId="4" fontId="54" fillId="0" borderId="12" xfId="109" applyNumberFormat="1" applyFont="1" applyBorder="1" applyAlignment="1">
      <alignment horizontal="right" vertical="top" wrapText="1"/>
    </xf>
    <xf numFmtId="169" fontId="54" fillId="0" borderId="12" xfId="109" applyNumberFormat="1" applyFont="1" applyBorder="1" applyAlignment="1">
      <alignment horizontal="right" vertical="top" wrapText="1"/>
    </xf>
  </cellXfs>
  <cellStyles count="110">
    <cellStyle name="Comma 2" xfId="57" xr:uid="{00000000-0005-0000-0000-000000000000}"/>
    <cellStyle name="Excel Built-in Normal" xfId="16" xr:uid="{00000000-0005-0000-0000-000001000000}"/>
    <cellStyle name="IvkDocStyle 1" xfId="17" xr:uid="{00000000-0005-0000-0000-000002000000}"/>
    <cellStyle name="IvkDocStyle 10" xfId="18" xr:uid="{00000000-0005-0000-0000-000003000000}"/>
    <cellStyle name="IvkDocStyle 11" xfId="19" xr:uid="{00000000-0005-0000-0000-000004000000}"/>
    <cellStyle name="IvkDocStyle 12" xfId="20" xr:uid="{00000000-0005-0000-0000-000005000000}"/>
    <cellStyle name="IvkDocStyle 13" xfId="21" xr:uid="{00000000-0005-0000-0000-000006000000}"/>
    <cellStyle name="IvkDocStyle 19" xfId="22" xr:uid="{00000000-0005-0000-0000-000007000000}"/>
    <cellStyle name="IvkDocStyle 2" xfId="23" xr:uid="{00000000-0005-0000-0000-000008000000}"/>
    <cellStyle name="IvkDocStyle 20" xfId="24" xr:uid="{00000000-0005-0000-0000-000009000000}"/>
    <cellStyle name="IvkDocStyle 21" xfId="25" xr:uid="{00000000-0005-0000-0000-00000A000000}"/>
    <cellStyle name="IvkDocStyle 22" xfId="26" xr:uid="{00000000-0005-0000-0000-00000B000000}"/>
    <cellStyle name="IvkDocStyle 23" xfId="27" xr:uid="{00000000-0005-0000-0000-00000C000000}"/>
    <cellStyle name="IvkDocStyle 24" xfId="28" xr:uid="{00000000-0005-0000-0000-00000D000000}"/>
    <cellStyle name="IvkDocStyle 25" xfId="29" xr:uid="{00000000-0005-0000-0000-00000E000000}"/>
    <cellStyle name="IvkDocStyle 26" xfId="30" xr:uid="{00000000-0005-0000-0000-00000F000000}"/>
    <cellStyle name="IvkDocStyle 27" xfId="31" xr:uid="{00000000-0005-0000-0000-000010000000}"/>
    <cellStyle name="IvkDocStyle 28" xfId="32" xr:uid="{00000000-0005-0000-0000-000011000000}"/>
    <cellStyle name="IvkDocStyle 29" xfId="33" xr:uid="{00000000-0005-0000-0000-000012000000}"/>
    <cellStyle name="IvkDocStyle 3" xfId="34" xr:uid="{00000000-0005-0000-0000-000013000000}"/>
    <cellStyle name="IvkDocStyle 30" xfId="35" xr:uid="{00000000-0005-0000-0000-000014000000}"/>
    <cellStyle name="IvkDocStyle 31" xfId="36" xr:uid="{00000000-0005-0000-0000-000015000000}"/>
    <cellStyle name="IvkDocStyle 32" xfId="37" xr:uid="{00000000-0005-0000-0000-000016000000}"/>
    <cellStyle name="IvkDocStyle 33" xfId="38" xr:uid="{00000000-0005-0000-0000-000017000000}"/>
    <cellStyle name="IvkDocStyle 34" xfId="39" xr:uid="{00000000-0005-0000-0000-000018000000}"/>
    <cellStyle name="IvkDocStyle 35" xfId="40" xr:uid="{00000000-0005-0000-0000-000019000000}"/>
    <cellStyle name="IvkDocStyle 36" xfId="41" xr:uid="{00000000-0005-0000-0000-00001A000000}"/>
    <cellStyle name="IvkDocStyle 39" xfId="42" xr:uid="{00000000-0005-0000-0000-00001B000000}"/>
    <cellStyle name="IvkDocStyle 4" xfId="43" xr:uid="{00000000-0005-0000-0000-00001C000000}"/>
    <cellStyle name="IvkDocStyle 5" xfId="44" xr:uid="{00000000-0005-0000-0000-00001D000000}"/>
    <cellStyle name="IvkDocStyle 6" xfId="45" xr:uid="{00000000-0005-0000-0000-00001E000000}"/>
    <cellStyle name="IvkDocStyle 7" xfId="46" xr:uid="{00000000-0005-0000-0000-00001F000000}"/>
    <cellStyle name="IvkDocStyle 9" xfId="47" xr:uid="{00000000-0005-0000-0000-000020000000}"/>
    <cellStyle name="Normal 2" xfId="50" xr:uid="{00000000-0005-0000-0000-000021000000}"/>
    <cellStyle name="Normal 3" xfId="56" xr:uid="{00000000-0005-0000-0000-000022000000}"/>
    <cellStyle name="Normal_Cost Plan Alupka -- Notes -- Issue 1" xfId="64" xr:uid="{00000000-0005-0000-0000-000023000000}"/>
    <cellStyle name="TableStyleLight1_первоначальные работы" xfId="51" xr:uid="{00000000-0005-0000-0000-000024000000}"/>
    <cellStyle name="Обычный" xfId="0" builtinId="0"/>
    <cellStyle name="Обычный 10" xfId="4" xr:uid="{00000000-0005-0000-0000-000026000000}"/>
    <cellStyle name="Обычный 10 2" xfId="76" xr:uid="{00000000-0005-0000-0000-000027000000}"/>
    <cellStyle name="Обычный 11" xfId="2" xr:uid="{00000000-0005-0000-0000-000028000000}"/>
    <cellStyle name="Обычный 11 10" xfId="90" xr:uid="{00000000-0005-0000-0000-000029000000}"/>
    <cellStyle name="Обычный 11 11" xfId="92" xr:uid="{00000000-0005-0000-0000-00002A000000}"/>
    <cellStyle name="Обычный 11 12" xfId="94" xr:uid="{00000000-0005-0000-0000-00002B000000}"/>
    <cellStyle name="Обычный 11 2" xfId="12" xr:uid="{00000000-0005-0000-0000-00002C000000}"/>
    <cellStyle name="Обычный 11 3" xfId="73" xr:uid="{00000000-0005-0000-0000-00002D000000}"/>
    <cellStyle name="Обычный 11 4" xfId="79" xr:uid="{00000000-0005-0000-0000-00002E000000}"/>
    <cellStyle name="Обычный 11 5" xfId="81" xr:uid="{00000000-0005-0000-0000-00002F000000}"/>
    <cellStyle name="Обычный 11 6" xfId="83" xr:uid="{00000000-0005-0000-0000-000030000000}"/>
    <cellStyle name="Обычный 11 7" xfId="85" xr:uid="{00000000-0005-0000-0000-000031000000}"/>
    <cellStyle name="Обычный 11 8" xfId="6" xr:uid="{00000000-0005-0000-0000-000032000000}"/>
    <cellStyle name="Обычный 11 9" xfId="5" xr:uid="{00000000-0005-0000-0000-000033000000}"/>
    <cellStyle name="Обычный 12" xfId="13" xr:uid="{00000000-0005-0000-0000-000034000000}"/>
    <cellStyle name="Обычный 12 2" xfId="69" xr:uid="{00000000-0005-0000-0000-000035000000}"/>
    <cellStyle name="Обычный 13" xfId="72" xr:uid="{00000000-0005-0000-0000-000036000000}"/>
    <cellStyle name="Обычный 13 3" xfId="97" xr:uid="{00000000-0005-0000-0000-000037000000}"/>
    <cellStyle name="Обычный 14" xfId="74" xr:uid="{00000000-0005-0000-0000-000038000000}"/>
    <cellStyle name="Обычный 15" xfId="75" xr:uid="{00000000-0005-0000-0000-000039000000}"/>
    <cellStyle name="Обычный 16" xfId="77" xr:uid="{00000000-0005-0000-0000-00003A000000}"/>
    <cellStyle name="Обычный 17" xfId="11" xr:uid="{00000000-0005-0000-0000-00003B000000}"/>
    <cellStyle name="Обычный 18" xfId="78" xr:uid="{00000000-0005-0000-0000-00003C000000}"/>
    <cellStyle name="Обычный 19" xfId="80" xr:uid="{00000000-0005-0000-0000-00003D000000}"/>
    <cellStyle name="Обычный 2" xfId="14" xr:uid="{00000000-0005-0000-0000-00003E000000}"/>
    <cellStyle name="Обычный 2 2" xfId="49" xr:uid="{00000000-0005-0000-0000-00003F000000}"/>
    <cellStyle name="Обычный 2 2 2" xfId="53" xr:uid="{00000000-0005-0000-0000-000040000000}"/>
    <cellStyle name="Обычный 2 2 3" xfId="70" xr:uid="{00000000-0005-0000-0000-000041000000}"/>
    <cellStyle name="Обычный 2 3" xfId="8" xr:uid="{00000000-0005-0000-0000-000042000000}"/>
    <cellStyle name="Обычный 2 3 2" xfId="54" xr:uid="{00000000-0005-0000-0000-000043000000}"/>
    <cellStyle name="Обычный 2 4" xfId="52" xr:uid="{00000000-0005-0000-0000-000044000000}"/>
    <cellStyle name="Обычный 2 5" xfId="58" xr:uid="{00000000-0005-0000-0000-000045000000}"/>
    <cellStyle name="Обычный 2 6" xfId="61" xr:uid="{00000000-0005-0000-0000-000046000000}"/>
    <cellStyle name="Обычный 2 7" xfId="71" xr:uid="{00000000-0005-0000-0000-000047000000}"/>
    <cellStyle name="Обычный 2 8" xfId="48" xr:uid="{00000000-0005-0000-0000-000048000000}"/>
    <cellStyle name="Обычный 2_kes ua-propoz" xfId="55" xr:uid="{00000000-0005-0000-0000-000049000000}"/>
    <cellStyle name="Обычный 20" xfId="82" xr:uid="{00000000-0005-0000-0000-00004A000000}"/>
    <cellStyle name="Обычный 21" xfId="84" xr:uid="{00000000-0005-0000-0000-00004B000000}"/>
    <cellStyle name="Обычный 22" xfId="7" xr:uid="{00000000-0005-0000-0000-00004C000000}"/>
    <cellStyle name="Обычный 22 2" xfId="87" xr:uid="{00000000-0005-0000-0000-00004D000000}"/>
    <cellStyle name="Обычный 23" xfId="9" xr:uid="{00000000-0005-0000-0000-00004E000000}"/>
    <cellStyle name="Обычный 23 2" xfId="88" xr:uid="{00000000-0005-0000-0000-00004F000000}"/>
    <cellStyle name="Обычный 24" xfId="89" xr:uid="{00000000-0005-0000-0000-000050000000}"/>
    <cellStyle name="Обычный 25" xfId="91" xr:uid="{00000000-0005-0000-0000-000051000000}"/>
    <cellStyle name="Обычный 26" xfId="93" xr:uid="{00000000-0005-0000-0000-000052000000}"/>
    <cellStyle name="Обычный 27" xfId="15" xr:uid="{00000000-0005-0000-0000-000053000000}"/>
    <cellStyle name="Обычный 3" xfId="62" xr:uid="{00000000-0005-0000-0000-000054000000}"/>
    <cellStyle name="Обычный 4" xfId="3" xr:uid="{00000000-0005-0000-0000-000055000000}"/>
    <cellStyle name="Обычный 4 2" xfId="63" xr:uid="{00000000-0005-0000-0000-000056000000}"/>
    <cellStyle name="Обычный 5" xfId="10" xr:uid="{00000000-0005-0000-0000-000057000000}"/>
    <cellStyle name="Обычный 5 3" xfId="60" xr:uid="{00000000-0005-0000-0000-000058000000}"/>
    <cellStyle name="Обычный 6" xfId="65" xr:uid="{00000000-0005-0000-0000-000059000000}"/>
    <cellStyle name="Обычный 7" xfId="66" xr:uid="{00000000-0005-0000-0000-00005A000000}"/>
    <cellStyle name="Обычный 8" xfId="67" xr:uid="{00000000-0005-0000-0000-00005B000000}"/>
    <cellStyle name="Обычный 9" xfId="68" xr:uid="{00000000-0005-0000-0000-00005C000000}"/>
    <cellStyle name="Обычный 9 2" xfId="59" xr:uid="{00000000-0005-0000-0000-00005D000000}"/>
    <cellStyle name="Обычный 9 3" xfId="86" xr:uid="{00000000-0005-0000-0000-00005E000000}"/>
    <cellStyle name="Обычный_М29 №18" xfId="98" xr:uid="{A0ECC1FD-07B6-4B29-90CC-CED92C4D6A2A}"/>
    <cellStyle name="Обычный_М29 №29" xfId="99" xr:uid="{75CC238B-5192-4772-8F1E-D50EF72AC61F}"/>
    <cellStyle name="Обычный_М29 №30" xfId="100" xr:uid="{378CE159-8ECA-457F-B1CE-90E6DC5A7882}"/>
    <cellStyle name="Обычный_М29 №31" xfId="101" xr:uid="{9EDE9C53-68E9-4157-9FE1-36F60CFA82E7}"/>
    <cellStyle name="Обычный_М29 №32" xfId="102" xr:uid="{0FD55C9D-DE09-41A1-879A-D53B27D930C5}"/>
    <cellStyle name="Обычный_М29 №33" xfId="103" xr:uid="{22475A2A-081D-4C13-92D0-9465CA5AA829}"/>
    <cellStyle name="Обычный_М29 №34" xfId="104" xr:uid="{5D26D51A-70B3-45E8-8149-454D3AC2B2C9}"/>
    <cellStyle name="Обычный_М29 №35" xfId="105" xr:uid="{9DDC9516-44A3-436F-BE3B-0FBEAD8A9E9F}"/>
    <cellStyle name="Обычный_М29 №36" xfId="106" xr:uid="{C4621E3B-2142-49D1-A4FD-3B5EDFDF2FAB}"/>
    <cellStyle name="Обычный_М29 №37" xfId="107" xr:uid="{0F5BB077-982F-4B45-8D40-E5224951195A}"/>
    <cellStyle name="Обычный_М29 №38" xfId="108" xr:uid="{952E42FE-D126-4E3A-97C4-0E03C98D6123}"/>
    <cellStyle name="Обычный_М29 №39" xfId="109" xr:uid="{8A8FA6F0-ED1A-416F-8279-067B3926465C}"/>
    <cellStyle name="Финансовый 2" xfId="1" xr:uid="{00000000-0005-0000-0000-00005F000000}"/>
    <cellStyle name="Финансовый 3" xfId="96" xr:uid="{00000000-0005-0000-0000-000060000000}"/>
    <cellStyle name="Финансовый 4" xfId="95" xr:uid="{00000000-0005-0000-0000-00006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7;&#1072;&#1075;&#1088;&#1091;&#1079;&#1082;&#1080;/&#1052;&#1072;&#1090;&#1077;&#1088;&#1110;&#1072;&#1083;&#1080;%20&#1042;&#1054;&#1054;&#1047;%203/&#1086;&#1089;&#1085;&#1086;&#1074;&#1085;&#1110;%20&#1084;&#1072;&#1090;&#1077;&#1088;&#1110;&#1072;&#1083;&#1080;%20&#1042;&#1054;&#1054;&#104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7;&#1072;&#1075;&#1088;&#1091;&#1079;&#1082;&#1080;/&#1047;&#1072;&#1083;&#1080;&#1096;&#1082;&#1080;%20&#1086;&#1089;&#1085;&#1086;&#1074;&#1085;&#1080;&#1093;%20&#1084;&#1072;&#1090;&#1077;&#1088;&#1110;&#1072;&#1083;&#1110;&#107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0">
          <cell r="B10" t="str">
            <v>00-00005670</v>
          </cell>
          <cell r="C10" t="str">
            <v xml:space="preserve">Автомат введення резерву  2п 100A </v>
          </cell>
          <cell r="D10" t="str">
            <v>шт</v>
          </cell>
          <cell r="E10">
            <v>3</v>
          </cell>
        </row>
        <row r="11">
          <cell r="B11" t="str">
            <v>00-00005670</v>
          </cell>
          <cell r="C11" t="str">
            <v xml:space="preserve">Автомат введення резерву  2п 100A </v>
          </cell>
          <cell r="D11" t="str">
            <v>шт</v>
          </cell>
          <cell r="E11">
            <v>1</v>
          </cell>
        </row>
        <row r="12">
          <cell r="B12" t="str">
            <v>00-00003557</v>
          </cell>
          <cell r="C12" t="str">
            <v xml:space="preserve">Автоматичний вимикач  1 п 10А  </v>
          </cell>
          <cell r="D12" t="str">
            <v>шт</v>
          </cell>
          <cell r="E12">
            <v>24</v>
          </cell>
        </row>
        <row r="13">
          <cell r="B13" t="str">
            <v>00-00003558</v>
          </cell>
          <cell r="C13" t="str">
            <v>Автоматичний вимикач  1 п 16А  С</v>
          </cell>
          <cell r="D13" t="str">
            <v>шт</v>
          </cell>
          <cell r="E13">
            <v>59</v>
          </cell>
        </row>
        <row r="14">
          <cell r="B14" t="str">
            <v>00-00000412</v>
          </cell>
          <cell r="C14" t="str">
            <v>Автоматичний вимикач  1 п 25А  C e mcb stand 45 1 c25 1p 25A C 4.5KA</v>
          </cell>
          <cell r="D14" t="str">
            <v>шт</v>
          </cell>
          <cell r="E14">
            <v>12</v>
          </cell>
        </row>
        <row r="15">
          <cell r="B15" t="str">
            <v>00-00000210</v>
          </cell>
          <cell r="C15" t="str">
            <v>Аерозоль Лідер (RAL 9010) білий глянцевий 400 мл</v>
          </cell>
          <cell r="D15" t="str">
            <v>шт</v>
          </cell>
          <cell r="E15">
            <v>4</v>
          </cell>
        </row>
        <row r="16">
          <cell r="B16" t="str">
            <v>00-00000210</v>
          </cell>
          <cell r="C16" t="str">
            <v>Аерозоль Лідер (RAL 9010) білий глянцевий 400 мл</v>
          </cell>
          <cell r="D16" t="str">
            <v>шт</v>
          </cell>
          <cell r="E16">
            <v>3</v>
          </cell>
        </row>
        <row r="17">
          <cell r="B17" t="str">
            <v>00-00004981</v>
          </cell>
          <cell r="C17" t="str">
            <v>Аквапанель 2000х1200х12,5</v>
          </cell>
          <cell r="D17" t="str">
            <v>м кв</v>
          </cell>
          <cell r="E17">
            <v>14</v>
          </cell>
        </row>
        <row r="18">
          <cell r="B18" t="str">
            <v>00-00005088</v>
          </cell>
          <cell r="C18" t="str">
            <v>Акумулятор 12V, 2,0Аh</v>
          </cell>
          <cell r="D18" t="str">
            <v>шт</v>
          </cell>
          <cell r="E18">
            <v>6</v>
          </cell>
        </row>
        <row r="19">
          <cell r="B19" t="str">
            <v>00-00005088</v>
          </cell>
          <cell r="C19" t="str">
            <v>Акумулятор 12V, 2,0Аh</v>
          </cell>
          <cell r="D19" t="str">
            <v>шт</v>
          </cell>
          <cell r="E19">
            <v>7</v>
          </cell>
        </row>
        <row r="20">
          <cell r="B20">
            <v>355</v>
          </cell>
          <cell r="C20" t="str">
            <v>Болт кріплення для бойлера, М10х100мм ( 2шт)</v>
          </cell>
          <cell r="D20" t="str">
            <v>шт</v>
          </cell>
          <cell r="E20">
            <v>3</v>
          </cell>
        </row>
        <row r="21">
          <cell r="B21" t="str">
            <v>00-00005270</v>
          </cell>
          <cell r="C21" t="str">
            <v>Брезент вогнестійкий  1,5*1,8</v>
          </cell>
          <cell r="D21" t="str">
            <v>шт</v>
          </cell>
          <cell r="E21">
            <v>4</v>
          </cell>
        </row>
        <row r="22">
          <cell r="B22" t="str">
            <v>00-00005270</v>
          </cell>
          <cell r="C22" t="str">
            <v>Брезент вогнестійкий  1,5*1,8</v>
          </cell>
          <cell r="D22" t="str">
            <v>шт</v>
          </cell>
          <cell r="E22">
            <v>2</v>
          </cell>
        </row>
        <row r="23">
          <cell r="B23" t="str">
            <v>00-00005770</v>
          </cell>
          <cell r="C23" t="str">
            <v>Брус 50х50х4500</v>
          </cell>
          <cell r="D23" t="str">
            <v>шт</v>
          </cell>
          <cell r="E23">
            <v>30</v>
          </cell>
        </row>
        <row r="24">
          <cell r="B24">
            <v>601</v>
          </cell>
          <cell r="C24" t="str">
            <v>Вагонка пластикова Мармур Сірий 0,25х6м 8мм (уп.10 шт.)</v>
          </cell>
          <cell r="D24" t="str">
            <v>м2</v>
          </cell>
          <cell r="E24">
            <v>112</v>
          </cell>
        </row>
        <row r="25">
          <cell r="B25">
            <v>18520</v>
          </cell>
          <cell r="C25" t="str">
            <v>ВВГнг 3х1,5 кабель</v>
          </cell>
          <cell r="D25" t="str">
            <v>км</v>
          </cell>
          <cell r="E25">
            <v>1.085</v>
          </cell>
        </row>
        <row r="26">
          <cell r="B26">
            <v>18382</v>
          </cell>
          <cell r="C26" t="str">
            <v>ВВГнг 3х2,5 кабель</v>
          </cell>
          <cell r="D26" t="str">
            <v>км</v>
          </cell>
          <cell r="E26">
            <v>2.1709999999999998</v>
          </cell>
        </row>
        <row r="27">
          <cell r="B27">
            <v>18518</v>
          </cell>
          <cell r="C27" t="str">
            <v>ВВГнг 3х4 кабель</v>
          </cell>
          <cell r="D27" t="str">
            <v>км</v>
          </cell>
          <cell r="E27">
            <v>0.17499999999999999</v>
          </cell>
        </row>
        <row r="28">
          <cell r="B28">
            <v>599</v>
          </cell>
          <cell r="C28" t="str">
            <v>Вентилятор Домовент 100С1 (14Вт, 94 м куб/год.)</v>
          </cell>
          <cell r="D28" t="str">
            <v>шт</v>
          </cell>
          <cell r="E28">
            <v>35</v>
          </cell>
        </row>
        <row r="29">
          <cell r="B29">
            <v>599</v>
          </cell>
          <cell r="C29" t="str">
            <v>Вентилятор Домовент 100С1 (14Вт, 94 м куб/год.)</v>
          </cell>
          <cell r="D29" t="str">
            <v>шт</v>
          </cell>
          <cell r="E29">
            <v>4</v>
          </cell>
        </row>
        <row r="30">
          <cell r="B30">
            <v>616</v>
          </cell>
          <cell r="C30" t="str">
            <v>Вилка переносна 7023 32А 220В 2Р+Е ІР44</v>
          </cell>
          <cell r="D30" t="str">
            <v>шт</v>
          </cell>
          <cell r="E30">
            <v>8</v>
          </cell>
        </row>
        <row r="31">
          <cell r="B31">
            <v>616</v>
          </cell>
          <cell r="C31" t="str">
            <v>Вилка переносна 7023 32А 220В 2Р+Е ІР44</v>
          </cell>
          <cell r="D31" t="str">
            <v>шт</v>
          </cell>
          <cell r="E31">
            <v>28</v>
          </cell>
        </row>
        <row r="32">
          <cell r="B32">
            <v>616</v>
          </cell>
          <cell r="C32" t="str">
            <v>Вилка переносна 7023 32А 220В 2Р+Е ІР44</v>
          </cell>
          <cell r="D32" t="str">
            <v>шт</v>
          </cell>
          <cell r="E32">
            <v>14</v>
          </cell>
        </row>
        <row r="33">
          <cell r="B33" t="str">
            <v>00-00005532</v>
          </cell>
          <cell r="C33" t="str">
            <v>Вилка промислова 32А</v>
          </cell>
          <cell r="D33" t="str">
            <v>шт</v>
          </cell>
          <cell r="E33">
            <v>4</v>
          </cell>
        </row>
        <row r="34">
          <cell r="B34" t="str">
            <v>00-00005573</v>
          </cell>
          <cell r="C34" t="str">
            <v>Вимикач  диференц струму з захистом16А С 10мА</v>
          </cell>
          <cell r="D34" t="str">
            <v>шт</v>
          </cell>
          <cell r="E34">
            <v>4</v>
          </cell>
        </row>
        <row r="35">
          <cell r="B35" t="str">
            <v>00-00000721</v>
          </cell>
          <cell r="C35" t="str">
            <v>Вимикач 1-клавішний</v>
          </cell>
          <cell r="D35" t="str">
            <v>шт</v>
          </cell>
          <cell r="E35">
            <v>33</v>
          </cell>
        </row>
        <row r="36">
          <cell r="B36">
            <v>486</v>
          </cell>
          <cell r="C36" t="str">
            <v>Вимикач 2-клавішний</v>
          </cell>
          <cell r="D36" t="str">
            <v>шт</v>
          </cell>
          <cell r="E36">
            <v>16</v>
          </cell>
        </row>
        <row r="37">
          <cell r="B37">
            <v>17002</v>
          </cell>
          <cell r="C37" t="str">
            <v>Відвід d 110 мм 45"</v>
          </cell>
          <cell r="D37" t="str">
            <v>шт</v>
          </cell>
          <cell r="E37">
            <v>16</v>
          </cell>
        </row>
        <row r="38">
          <cell r="B38" t="str">
            <v>00-00005133</v>
          </cell>
          <cell r="C38" t="str">
            <v>Відвід D=32 мм, 87° 30 ' 3917400090</v>
          </cell>
          <cell r="D38" t="str">
            <v>шт</v>
          </cell>
          <cell r="E38">
            <v>12</v>
          </cell>
        </row>
        <row r="39">
          <cell r="B39">
            <v>10911</v>
          </cell>
          <cell r="C39" t="str">
            <v>Вішалка підлогова</v>
          </cell>
          <cell r="D39" t="str">
            <v>шт</v>
          </cell>
          <cell r="E39">
            <v>1</v>
          </cell>
        </row>
        <row r="40">
          <cell r="B40">
            <v>10911</v>
          </cell>
          <cell r="C40" t="str">
            <v>Вішалка підлогова</v>
          </cell>
          <cell r="D40" t="str">
            <v>шт</v>
          </cell>
          <cell r="E40">
            <v>2</v>
          </cell>
        </row>
        <row r="41">
          <cell r="B41" t="str">
            <v>00-00004868</v>
          </cell>
          <cell r="C41" t="str">
            <v>Вогнебіозахист 1кг</v>
          </cell>
          <cell r="D41" t="str">
            <v>шт</v>
          </cell>
          <cell r="E41">
            <v>10</v>
          </cell>
        </row>
        <row r="42">
          <cell r="B42" t="str">
            <v>00-00004868</v>
          </cell>
          <cell r="C42" t="str">
            <v>Вогнебіозахист 1кг</v>
          </cell>
          <cell r="D42" t="str">
            <v>шт</v>
          </cell>
          <cell r="E42">
            <v>7</v>
          </cell>
        </row>
        <row r="43">
          <cell r="B43" t="str">
            <v>00-00004868</v>
          </cell>
          <cell r="C43" t="str">
            <v>Вогнебіозахист 1кг</v>
          </cell>
          <cell r="D43" t="str">
            <v>шт</v>
          </cell>
          <cell r="E43">
            <v>15</v>
          </cell>
        </row>
        <row r="44">
          <cell r="B44" t="str">
            <v>00-00004868</v>
          </cell>
          <cell r="C44" t="str">
            <v>Вогнебіозахист 1кг</v>
          </cell>
          <cell r="D44" t="str">
            <v>шт</v>
          </cell>
          <cell r="E44">
            <v>10</v>
          </cell>
        </row>
        <row r="45">
          <cell r="B45" t="str">
            <v>00-00004868</v>
          </cell>
          <cell r="C45" t="str">
            <v>Вогнебіозахист 1кг</v>
          </cell>
          <cell r="D45" t="str">
            <v>шт</v>
          </cell>
          <cell r="E45">
            <v>10</v>
          </cell>
        </row>
        <row r="46">
          <cell r="B46" t="str">
            <v>00-00005597</v>
          </cell>
          <cell r="C46" t="str">
            <v>Вогнегасник порошковий ОП2 2 кг</v>
          </cell>
          <cell r="D46" t="str">
            <v>шт</v>
          </cell>
          <cell r="E46">
            <v>3</v>
          </cell>
        </row>
        <row r="47">
          <cell r="B47">
            <v>5990</v>
          </cell>
          <cell r="C47" t="str">
            <v>Гайка М12  DIN 934  цб</v>
          </cell>
          <cell r="D47" t="str">
            <v>шт</v>
          </cell>
          <cell r="E47">
            <v>100</v>
          </cell>
        </row>
        <row r="48">
          <cell r="B48">
            <v>11093</v>
          </cell>
          <cell r="C48" t="str">
            <v>Гайка М48</v>
          </cell>
          <cell r="D48" t="str">
            <v>кг</v>
          </cell>
          <cell r="E48">
            <v>28.5</v>
          </cell>
        </row>
        <row r="49">
          <cell r="B49" t="str">
            <v>00-00004908</v>
          </cell>
          <cell r="C49" t="str">
            <v>Гвинт 3,9*25</v>
          </cell>
          <cell r="D49" t="str">
            <v>шт</v>
          </cell>
          <cell r="E49">
            <v>10000</v>
          </cell>
        </row>
        <row r="50">
          <cell r="B50" t="str">
            <v>00-00004907</v>
          </cell>
          <cell r="C50" t="str">
            <v>Гвинт 4,2х19</v>
          </cell>
          <cell r="D50" t="str">
            <v>шт</v>
          </cell>
          <cell r="E50">
            <v>1200</v>
          </cell>
        </row>
        <row r="51">
          <cell r="B51" t="str">
            <v>00-00004907</v>
          </cell>
          <cell r="C51" t="str">
            <v>Гвинт 4,2х19</v>
          </cell>
          <cell r="D51" t="str">
            <v>шт</v>
          </cell>
          <cell r="E51">
            <v>1200</v>
          </cell>
        </row>
        <row r="52">
          <cell r="B52" t="str">
            <v>00-00004907</v>
          </cell>
          <cell r="C52" t="str">
            <v>Гвинт 4,2х19</v>
          </cell>
          <cell r="D52" t="str">
            <v>шт</v>
          </cell>
          <cell r="E52">
            <v>1150</v>
          </cell>
        </row>
        <row r="53">
          <cell r="B53" t="str">
            <v>00-00004907</v>
          </cell>
          <cell r="C53" t="str">
            <v>Гвинт 4,2х19</v>
          </cell>
          <cell r="D53" t="str">
            <v>шт</v>
          </cell>
          <cell r="E53">
            <v>1200</v>
          </cell>
        </row>
        <row r="54">
          <cell r="B54" t="str">
            <v>00-00005462</v>
          </cell>
          <cell r="C54" t="str">
            <v>Гвинт 4,8х50</v>
          </cell>
          <cell r="D54" t="str">
            <v>шт</v>
          </cell>
          <cell r="E54">
            <v>2600</v>
          </cell>
        </row>
        <row r="55">
          <cell r="B55" t="str">
            <v>00-00005462</v>
          </cell>
          <cell r="C55" t="str">
            <v>Гвинт 4,8х50</v>
          </cell>
          <cell r="D55" t="str">
            <v>шт</v>
          </cell>
          <cell r="E55">
            <v>1900</v>
          </cell>
        </row>
        <row r="56">
          <cell r="B56" t="str">
            <v>00-00005462</v>
          </cell>
          <cell r="C56" t="str">
            <v>Гвинт 4,8х50</v>
          </cell>
          <cell r="D56" t="str">
            <v>шт</v>
          </cell>
          <cell r="E56">
            <v>500</v>
          </cell>
        </row>
        <row r="57">
          <cell r="B57" t="str">
            <v>00-00005462</v>
          </cell>
          <cell r="C57" t="str">
            <v>Гвинт 4,8х50</v>
          </cell>
          <cell r="D57" t="str">
            <v>шт</v>
          </cell>
          <cell r="E57">
            <v>1100</v>
          </cell>
        </row>
        <row r="58">
          <cell r="B58" t="str">
            <v>00-00005462</v>
          </cell>
          <cell r="C58" t="str">
            <v>Гвинт 4,8х50</v>
          </cell>
          <cell r="D58" t="str">
            <v>шт</v>
          </cell>
          <cell r="E58">
            <v>1500</v>
          </cell>
        </row>
        <row r="59">
          <cell r="B59" t="str">
            <v>00-00005462</v>
          </cell>
          <cell r="C59" t="str">
            <v>Гвинт 4,8х50</v>
          </cell>
          <cell r="D59" t="str">
            <v>шт</v>
          </cell>
          <cell r="E59">
            <v>1500</v>
          </cell>
        </row>
        <row r="60">
          <cell r="B60" t="str">
            <v>00-00005462</v>
          </cell>
          <cell r="C60" t="str">
            <v>Гвинт 4,8х50</v>
          </cell>
          <cell r="D60" t="str">
            <v>шт</v>
          </cell>
          <cell r="E60">
            <v>1500</v>
          </cell>
        </row>
        <row r="61">
          <cell r="B61" t="str">
            <v>00-00005462</v>
          </cell>
          <cell r="C61" t="str">
            <v>Гвинт 4,8х50</v>
          </cell>
          <cell r="D61" t="str">
            <v>шт</v>
          </cell>
          <cell r="E61">
            <v>1100</v>
          </cell>
        </row>
        <row r="62">
          <cell r="B62" t="str">
            <v>00-00005462</v>
          </cell>
          <cell r="C62" t="str">
            <v>Гвинт 4,8х50</v>
          </cell>
          <cell r="D62" t="str">
            <v>шт</v>
          </cell>
          <cell r="E62">
            <v>1100</v>
          </cell>
        </row>
        <row r="63">
          <cell r="B63" t="str">
            <v>00-00005462</v>
          </cell>
          <cell r="C63" t="str">
            <v>Гвинт 4,8х50</v>
          </cell>
          <cell r="D63" t="str">
            <v>шт</v>
          </cell>
          <cell r="E63">
            <v>1100</v>
          </cell>
        </row>
        <row r="64">
          <cell r="B64" t="str">
            <v>00-00005462</v>
          </cell>
          <cell r="C64" t="str">
            <v>Гвинт 4,8х50</v>
          </cell>
          <cell r="D64" t="str">
            <v>шт</v>
          </cell>
          <cell r="E64">
            <v>1100</v>
          </cell>
        </row>
        <row r="65">
          <cell r="B65">
            <v>5936</v>
          </cell>
          <cell r="C65" t="str">
            <v>Гвинт 5,5х32 цб дов.св</v>
          </cell>
          <cell r="D65" t="str">
            <v>шт</v>
          </cell>
          <cell r="E65">
            <v>2750</v>
          </cell>
        </row>
        <row r="66">
          <cell r="B66">
            <v>5936</v>
          </cell>
          <cell r="C66" t="str">
            <v>Гвинт 5,5х32 цб дов.св</v>
          </cell>
          <cell r="D66" t="str">
            <v>шт</v>
          </cell>
          <cell r="E66">
            <v>250</v>
          </cell>
        </row>
        <row r="67">
          <cell r="B67">
            <v>5936</v>
          </cell>
          <cell r="C67" t="str">
            <v>Гвинт 5,5х32 цб дов.св</v>
          </cell>
          <cell r="D67" t="str">
            <v>шт</v>
          </cell>
          <cell r="E67">
            <v>2800</v>
          </cell>
        </row>
        <row r="68">
          <cell r="B68">
            <v>5936</v>
          </cell>
          <cell r="C68" t="str">
            <v>Гвинт 5,5х32 цб дов.св</v>
          </cell>
          <cell r="D68" t="str">
            <v>шт</v>
          </cell>
          <cell r="E68">
            <v>3000</v>
          </cell>
        </row>
        <row r="69">
          <cell r="B69">
            <v>5936</v>
          </cell>
          <cell r="C69" t="str">
            <v>Гвинт 5,5х32 цб дов.св</v>
          </cell>
          <cell r="D69" t="str">
            <v>шт</v>
          </cell>
          <cell r="E69">
            <v>3000</v>
          </cell>
        </row>
        <row r="70">
          <cell r="B70" t="str">
            <v>00-00004909</v>
          </cell>
          <cell r="C70" t="str">
            <v>Гвинт 5,5х75</v>
          </cell>
          <cell r="D70" t="str">
            <v>шт</v>
          </cell>
          <cell r="E70">
            <v>2900</v>
          </cell>
        </row>
        <row r="71">
          <cell r="B71" t="str">
            <v>00-00004909</v>
          </cell>
          <cell r="C71" t="str">
            <v>Гвинт 5,5х75</v>
          </cell>
          <cell r="D71" t="str">
            <v>шт</v>
          </cell>
          <cell r="E71">
            <v>4000</v>
          </cell>
        </row>
        <row r="72">
          <cell r="B72" t="str">
            <v>00-00004909</v>
          </cell>
          <cell r="C72" t="str">
            <v>Гвинт 5,5х75</v>
          </cell>
          <cell r="D72" t="str">
            <v>шт</v>
          </cell>
          <cell r="E72">
            <v>4000</v>
          </cell>
        </row>
        <row r="73">
          <cell r="B73" t="str">
            <v>00-00004909</v>
          </cell>
          <cell r="C73" t="str">
            <v>Гвинт 5,5х75</v>
          </cell>
          <cell r="D73" t="str">
            <v>шт</v>
          </cell>
          <cell r="E73">
            <v>4000</v>
          </cell>
        </row>
        <row r="74">
          <cell r="B74">
            <v>17039</v>
          </cell>
          <cell r="C74" t="str">
            <v xml:space="preserve">Генератор </v>
          </cell>
          <cell r="D74" t="str">
            <v>шт</v>
          </cell>
          <cell r="E74">
            <v>5</v>
          </cell>
        </row>
        <row r="75">
          <cell r="B75" t="str">
            <v>00-00005571</v>
          </cell>
          <cell r="C75" t="str">
            <v>Герметик для швів 310мл.</v>
          </cell>
          <cell r="D75" t="str">
            <v>шт</v>
          </cell>
          <cell r="E75">
            <v>8</v>
          </cell>
        </row>
        <row r="76">
          <cell r="B76">
            <v>597</v>
          </cell>
          <cell r="C76" t="str">
            <v>Герметик силіконовий санітарний Mounter (білий) 280 мл</v>
          </cell>
          <cell r="D76" t="str">
            <v>шт</v>
          </cell>
          <cell r="E76">
            <v>4</v>
          </cell>
        </row>
        <row r="77">
          <cell r="B77">
            <v>597</v>
          </cell>
          <cell r="C77" t="str">
            <v>Герметик силіконовий санітарний Mounter (білий) 280 мл</v>
          </cell>
          <cell r="D77" t="str">
            <v>шт</v>
          </cell>
          <cell r="E77">
            <v>10</v>
          </cell>
        </row>
        <row r="78">
          <cell r="B78">
            <v>597</v>
          </cell>
          <cell r="C78" t="str">
            <v>Герметик силіконовий санітарний Mounter (білий) 280 мл</v>
          </cell>
          <cell r="D78" t="str">
            <v>шт</v>
          </cell>
          <cell r="E78">
            <v>8</v>
          </cell>
        </row>
        <row r="79">
          <cell r="B79">
            <v>597</v>
          </cell>
          <cell r="C79" t="str">
            <v>Герметик силіконовий санітарний Mounter (білий) 280 мл</v>
          </cell>
          <cell r="D79" t="str">
            <v>шт</v>
          </cell>
          <cell r="E79">
            <v>7</v>
          </cell>
        </row>
        <row r="80">
          <cell r="B80">
            <v>597</v>
          </cell>
          <cell r="C80" t="str">
            <v>Герметик силіконовий санітарний Mounter (білий) 280 мл</v>
          </cell>
          <cell r="D80" t="str">
            <v>шт</v>
          </cell>
          <cell r="E80">
            <v>4</v>
          </cell>
        </row>
        <row r="81">
          <cell r="B81">
            <v>597</v>
          </cell>
          <cell r="C81" t="str">
            <v>Герметик силіконовий санітарний Mounter (білий) 280 мл</v>
          </cell>
          <cell r="D81" t="str">
            <v>шт</v>
          </cell>
          <cell r="E81">
            <v>8</v>
          </cell>
        </row>
        <row r="82">
          <cell r="B82" t="str">
            <v>00-00005073</v>
          </cell>
          <cell r="C82" t="str">
            <v>Герметичний з’єднувач кабеля</v>
          </cell>
          <cell r="D82" t="str">
            <v>шт</v>
          </cell>
          <cell r="E82">
            <v>5</v>
          </cell>
        </row>
        <row r="83">
          <cell r="B83">
            <v>643</v>
          </cell>
          <cell r="C83" t="str">
            <v>Гідробар'єр (1,5х44м)</v>
          </cell>
          <cell r="D83" t="str">
            <v>м2</v>
          </cell>
          <cell r="E83">
            <v>1320</v>
          </cell>
        </row>
        <row r="84">
          <cell r="B84">
            <v>643</v>
          </cell>
          <cell r="C84" t="str">
            <v>Гідробар'єр (1,5х44м)</v>
          </cell>
          <cell r="D84" t="str">
            <v>м2</v>
          </cell>
          <cell r="E84">
            <v>211</v>
          </cell>
        </row>
        <row r="85">
          <cell r="B85" t="str">
            <v>00-00005447</v>
          </cell>
          <cell r="C85" t="str">
            <v>Гідроізоляція 7кг</v>
          </cell>
          <cell r="D85" t="str">
            <v>шт</v>
          </cell>
          <cell r="E85">
            <v>1</v>
          </cell>
        </row>
        <row r="86">
          <cell r="B86">
            <v>336</v>
          </cell>
          <cell r="C86" t="str">
            <v>Гладкая жесть 1,25*2м РЕМА 7024*45</v>
          </cell>
          <cell r="D86" t="str">
            <v>м2</v>
          </cell>
          <cell r="E86">
            <v>182</v>
          </cell>
        </row>
        <row r="87">
          <cell r="B87" t="str">
            <v>00-00005682</v>
          </cell>
          <cell r="C87" t="str">
            <v>Гнучка труба 50/40х40/50</v>
          </cell>
          <cell r="D87" t="str">
            <v>шт</v>
          </cell>
          <cell r="E87">
            <v>1</v>
          </cell>
        </row>
        <row r="88">
          <cell r="B88">
            <v>89</v>
          </cell>
          <cell r="C88" t="str">
            <v>Гнучкий шланг 1\2 ВВ довжина 100 см</v>
          </cell>
          <cell r="D88" t="str">
            <v>шт</v>
          </cell>
          <cell r="E88">
            <v>8</v>
          </cell>
        </row>
        <row r="89">
          <cell r="B89">
            <v>87</v>
          </cell>
          <cell r="C89" t="str">
            <v>Гнучкий шланг 1\2 ВВ довжина 40 см</v>
          </cell>
          <cell r="D89" t="str">
            <v>шт</v>
          </cell>
          <cell r="E89">
            <v>12</v>
          </cell>
        </row>
        <row r="90">
          <cell r="B90">
            <v>19322</v>
          </cell>
          <cell r="C90" t="str">
            <v>Гнучкий шланг, 1 / 2 "ВВ, довжина 50 см 4009220000</v>
          </cell>
          <cell r="D90" t="str">
            <v>шт</v>
          </cell>
          <cell r="E90">
            <v>27</v>
          </cell>
        </row>
        <row r="91">
          <cell r="B91">
            <v>341</v>
          </cell>
          <cell r="C91" t="str">
            <v>Гнучкий шланг, 1 / 2" ВВ, довжина 30 см</v>
          </cell>
          <cell r="D91" t="str">
            <v>шт</v>
          </cell>
          <cell r="E91">
            <v>44</v>
          </cell>
        </row>
        <row r="92">
          <cell r="B92">
            <v>19317</v>
          </cell>
          <cell r="C92" t="str">
            <v>Гнучкий шланг, для сифону, HB, D=32 мм х 1.1/4",L=380-865 мм 3922900000</v>
          </cell>
          <cell r="D92" t="str">
            <v>шт</v>
          </cell>
          <cell r="E92">
            <v>13</v>
          </cell>
        </row>
        <row r="93">
          <cell r="B93" t="str">
            <v>00-00005058</v>
          </cell>
          <cell r="C93" t="str">
            <v>Гратка вентиляційна пластик</v>
          </cell>
          <cell r="D93" t="str">
            <v>шт</v>
          </cell>
          <cell r="E93">
            <v>31</v>
          </cell>
        </row>
        <row r="94">
          <cell r="B94" t="str">
            <v>00-00005062</v>
          </cell>
          <cell r="C94" t="str">
            <v>Грунт концентрат 1:10 NOVA 1л</v>
          </cell>
          <cell r="D94" t="str">
            <v>шт</v>
          </cell>
          <cell r="E94">
            <v>1</v>
          </cell>
        </row>
        <row r="95">
          <cell r="B95" t="str">
            <v>00-00001875</v>
          </cell>
          <cell r="C95" t="str">
            <v>Грунт-емаль ПФ-012 Р сірий (кг)</v>
          </cell>
          <cell r="D95" t="str">
            <v>кг</v>
          </cell>
          <cell r="E95">
            <v>150</v>
          </cell>
        </row>
        <row r="96">
          <cell r="B96" t="str">
            <v>00-00001875</v>
          </cell>
          <cell r="C96" t="str">
            <v>Грунт-емаль ПФ-012 Р сірий (кг)</v>
          </cell>
          <cell r="D96" t="str">
            <v>кг</v>
          </cell>
          <cell r="E96">
            <v>126</v>
          </cell>
        </row>
        <row r="97">
          <cell r="B97" t="str">
            <v>00-00005176</v>
          </cell>
          <cell r="C97" t="str">
            <v>Дверцята 100*100 ревізійні пластик</v>
          </cell>
          <cell r="D97" t="str">
            <v>шт</v>
          </cell>
          <cell r="E97">
            <v>72</v>
          </cell>
        </row>
        <row r="98">
          <cell r="B98" t="str">
            <v>00-00005175</v>
          </cell>
          <cell r="C98" t="str">
            <v>Дверцята 150*150 ревізійні пластик</v>
          </cell>
          <cell r="D98" t="str">
            <v>шт</v>
          </cell>
          <cell r="E98">
            <v>32</v>
          </cell>
        </row>
        <row r="99">
          <cell r="B99" t="str">
            <v>00-00005366</v>
          </cell>
          <cell r="C99" t="str">
            <v>Диспенсер рушників</v>
          </cell>
          <cell r="D99" t="str">
            <v>шт</v>
          </cell>
          <cell r="E99">
            <v>20</v>
          </cell>
        </row>
        <row r="100">
          <cell r="B100" t="str">
            <v>00-00005567</v>
          </cell>
          <cell r="C100" t="str">
            <v>Диспенсер туалетного папіру</v>
          </cell>
          <cell r="D100" t="str">
            <v>шт</v>
          </cell>
          <cell r="E100">
            <v>10</v>
          </cell>
        </row>
        <row r="101">
          <cell r="B101" t="str">
            <v>00-00004867</v>
          </cell>
          <cell r="C101" t="str">
            <v>Дошка 20*100*6000</v>
          </cell>
          <cell r="D101" t="str">
            <v>м куб</v>
          </cell>
          <cell r="E101">
            <v>1.1040000000000001</v>
          </cell>
        </row>
        <row r="102">
          <cell r="B102" t="str">
            <v>00-00004867</v>
          </cell>
          <cell r="C102" t="str">
            <v>Дошка 20*100*6000</v>
          </cell>
          <cell r="D102" t="str">
            <v>м куб</v>
          </cell>
          <cell r="E102">
            <v>2.004</v>
          </cell>
        </row>
        <row r="103">
          <cell r="B103">
            <v>7114</v>
          </cell>
          <cell r="C103" t="str">
            <v>Дріт з легованої сталі ER70S-6 ф1,0мм 5 кг</v>
          </cell>
          <cell r="D103" t="str">
            <v>шт</v>
          </cell>
          <cell r="E103">
            <v>1</v>
          </cell>
        </row>
        <row r="104">
          <cell r="B104">
            <v>12923</v>
          </cell>
          <cell r="C104" t="str">
            <v>Дріт з легованої сталі ER70S-6 ф1,2 мм 15 кг</v>
          </cell>
          <cell r="D104" t="str">
            <v>шт</v>
          </cell>
          <cell r="E104">
            <v>2</v>
          </cell>
        </row>
        <row r="105">
          <cell r="B105">
            <v>9858</v>
          </cell>
          <cell r="C105" t="str">
            <v xml:space="preserve">Дріт ПВЗ  1*6 </v>
          </cell>
          <cell r="D105" t="str">
            <v>км</v>
          </cell>
          <cell r="E105">
            <v>0.03</v>
          </cell>
        </row>
        <row r="106">
          <cell r="B106" t="str">
            <v>00-00005157</v>
          </cell>
          <cell r="C106" t="str">
            <v>Душ літн.в збарі металевий</v>
          </cell>
          <cell r="D106" t="str">
            <v>шт</v>
          </cell>
          <cell r="E106">
            <v>3</v>
          </cell>
        </row>
        <row r="107">
          <cell r="B107" t="str">
            <v>00-00005104</v>
          </cell>
          <cell r="C107" t="str">
            <v>Душова кабіна Lidz Wawel SC90*90.SAT.LOW.FR скло 4мм без піддона</v>
          </cell>
          <cell r="D107" t="str">
            <v>шт</v>
          </cell>
          <cell r="E107">
            <v>1</v>
          </cell>
        </row>
        <row r="108">
          <cell r="B108" t="str">
            <v>00-00005396</v>
          </cell>
          <cell r="C108" t="str">
            <v>Душова система</v>
          </cell>
          <cell r="D108" t="str">
            <v>шт</v>
          </cell>
          <cell r="E108">
            <v>1</v>
          </cell>
        </row>
        <row r="109">
          <cell r="B109" t="str">
            <v>00-00005710</v>
          </cell>
          <cell r="C109" t="str">
            <v>Душовий бокс 90х90х215</v>
          </cell>
          <cell r="D109" t="str">
            <v>шт</v>
          </cell>
          <cell r="E109">
            <v>1</v>
          </cell>
        </row>
        <row r="110">
          <cell r="B110" t="str">
            <v>00-00005710</v>
          </cell>
          <cell r="C110" t="str">
            <v>Душовий бокс 90х90х215</v>
          </cell>
          <cell r="D110" t="str">
            <v>шт</v>
          </cell>
          <cell r="E110">
            <v>1</v>
          </cell>
        </row>
        <row r="111">
          <cell r="B111" t="str">
            <v>00-00005710</v>
          </cell>
          <cell r="C111" t="str">
            <v>Душовий бокс 90х90х215</v>
          </cell>
          <cell r="D111" t="str">
            <v>шт</v>
          </cell>
          <cell r="E111">
            <v>1</v>
          </cell>
        </row>
        <row r="112">
          <cell r="B112" t="str">
            <v>00-00005710</v>
          </cell>
          <cell r="C112" t="str">
            <v>Душовий бокс 90х90х215</v>
          </cell>
          <cell r="D112" t="str">
            <v>шт</v>
          </cell>
          <cell r="E112">
            <v>1</v>
          </cell>
        </row>
        <row r="113">
          <cell r="B113">
            <v>21949</v>
          </cell>
          <cell r="C113" t="str">
            <v>Душовий піддон сталевий, 90*90 квадратний</v>
          </cell>
          <cell r="D113" t="str">
            <v>шт</v>
          </cell>
          <cell r="E113">
            <v>2</v>
          </cell>
        </row>
        <row r="114">
          <cell r="B114" t="str">
            <v>00-00005572</v>
          </cell>
          <cell r="C114" t="str">
            <v>Дюбель  6*30</v>
          </cell>
          <cell r="D114" t="str">
            <v>шт</v>
          </cell>
          <cell r="E114">
            <v>300</v>
          </cell>
        </row>
        <row r="115">
          <cell r="B115" t="str">
            <v>00-00005463</v>
          </cell>
          <cell r="C115" t="str">
            <v>Дюбель Дріва з буром 15х23</v>
          </cell>
          <cell r="D115" t="str">
            <v>шт</v>
          </cell>
          <cell r="E115">
            <v>450</v>
          </cell>
        </row>
        <row r="116">
          <cell r="B116" t="str">
            <v>00-00000735</v>
          </cell>
          <cell r="C116" t="str">
            <v>Електричний болер O "Profi VM 080 D400-1-M, 80 л,</v>
          </cell>
          <cell r="D116" t="str">
            <v>шт</v>
          </cell>
          <cell r="E116">
            <v>4</v>
          </cell>
        </row>
        <row r="117">
          <cell r="B117" t="str">
            <v>00-00000094</v>
          </cell>
          <cell r="C117" t="str">
            <v>Електричний водонагрівач O`Pro Slim PC 30, 30л</v>
          </cell>
          <cell r="D117" t="str">
            <v>шт</v>
          </cell>
          <cell r="E117">
            <v>4</v>
          </cell>
        </row>
        <row r="118">
          <cell r="B118" t="str">
            <v>00-00005264</v>
          </cell>
          <cell r="C118" t="str">
            <v>Ємність 1500л харчова</v>
          </cell>
          <cell r="D118" t="str">
            <v>шт</v>
          </cell>
          <cell r="E118">
            <v>1</v>
          </cell>
        </row>
        <row r="119">
          <cell r="B119" t="str">
            <v>00-00005264</v>
          </cell>
          <cell r="C119" t="str">
            <v>Ємність 1500л харчова</v>
          </cell>
          <cell r="D119" t="str">
            <v>шт</v>
          </cell>
          <cell r="E119">
            <v>1</v>
          </cell>
        </row>
        <row r="120">
          <cell r="B120">
            <v>102</v>
          </cell>
          <cell r="C120" t="str">
            <v>З'єднувач PP-R D=20 mm. х1\2 Н сірий</v>
          </cell>
          <cell r="D120" t="str">
            <v>шт</v>
          </cell>
          <cell r="E120">
            <v>81</v>
          </cell>
        </row>
        <row r="121">
          <cell r="B121" t="str">
            <v>00-00005344</v>
          </cell>
          <cell r="C121" t="str">
            <v>З'єднувач ринви Profil 90 білий</v>
          </cell>
          <cell r="D121" t="str">
            <v>шт</v>
          </cell>
          <cell r="E121">
            <v>2</v>
          </cell>
        </row>
        <row r="122">
          <cell r="B122" t="str">
            <v>00-00005423</v>
          </cell>
          <cell r="C122" t="str">
            <v>З'єднувач труби Profil 90 білий</v>
          </cell>
          <cell r="D122" t="str">
            <v>шт</v>
          </cell>
          <cell r="E122">
            <v>4</v>
          </cell>
        </row>
        <row r="123">
          <cell r="B123" t="str">
            <v>00-00005141</v>
          </cell>
          <cell r="C123" t="str">
            <v>З’єднання з амереканкою РР-R D=20 ммх1/2 В</v>
          </cell>
          <cell r="D123" t="str">
            <v>шт</v>
          </cell>
          <cell r="E123">
            <v>12</v>
          </cell>
        </row>
        <row r="124">
          <cell r="B124" t="str">
            <v>00-00005140</v>
          </cell>
          <cell r="C124" t="str">
            <v>З’єднання з амереканкою РР-R D=20 ммх1/2 Н</v>
          </cell>
          <cell r="D124" t="str">
            <v>шт</v>
          </cell>
          <cell r="E124">
            <v>12</v>
          </cell>
        </row>
        <row r="125">
          <cell r="B125" t="str">
            <v>00-00005371</v>
          </cell>
          <cell r="C125" t="str">
            <v xml:space="preserve">Заглушка 40х40 </v>
          </cell>
          <cell r="D125" t="str">
            <v>шт</v>
          </cell>
          <cell r="E125">
            <v>64</v>
          </cell>
        </row>
        <row r="126">
          <cell r="B126">
            <v>21688</v>
          </cell>
          <cell r="C126" t="str">
            <v>Заглушка D=110 мм 3917400090</v>
          </cell>
          <cell r="D126" t="str">
            <v>шт</v>
          </cell>
          <cell r="E126">
            <v>8</v>
          </cell>
        </row>
        <row r="127">
          <cell r="B127" t="str">
            <v>00-00005847</v>
          </cell>
          <cell r="C127" t="str">
            <v>Заглушка для профільної труби 40*40</v>
          </cell>
          <cell r="D127" t="str">
            <v>шт</v>
          </cell>
          <cell r="E127">
            <v>600</v>
          </cell>
        </row>
        <row r="128">
          <cell r="B128" t="str">
            <v>00-00005057</v>
          </cell>
          <cell r="C128" t="str">
            <v>Захист від перенапруги D50</v>
          </cell>
          <cell r="D128" t="str">
            <v>шт</v>
          </cell>
          <cell r="E128">
            <v>4</v>
          </cell>
        </row>
        <row r="129">
          <cell r="B129" t="str">
            <v>00-00005184</v>
          </cell>
          <cell r="C129" t="str">
            <v>Змішувач  для умивальника, хром</v>
          </cell>
          <cell r="D129" t="str">
            <v>шт</v>
          </cell>
          <cell r="E129">
            <v>15</v>
          </cell>
        </row>
        <row r="130">
          <cell r="B130" t="str">
            <v>00-00004241</v>
          </cell>
          <cell r="C130" t="str">
            <v>Канал Д 100/1 1010</v>
          </cell>
          <cell r="D130" t="str">
            <v>шт</v>
          </cell>
          <cell r="E130">
            <v>24</v>
          </cell>
        </row>
        <row r="131">
          <cell r="B131" t="str">
            <v>00-00005035</v>
          </cell>
          <cell r="C131" t="str">
            <v>Килимок 80х120</v>
          </cell>
          <cell r="D131" t="str">
            <v>шт</v>
          </cell>
          <cell r="E131">
            <v>1</v>
          </cell>
        </row>
        <row r="132">
          <cell r="B132" t="str">
            <v>00-00005035</v>
          </cell>
          <cell r="C132" t="str">
            <v>Килимок 80х120</v>
          </cell>
          <cell r="D132" t="str">
            <v>шт</v>
          </cell>
          <cell r="E132">
            <v>4</v>
          </cell>
        </row>
        <row r="133">
          <cell r="B133">
            <v>21201</v>
          </cell>
          <cell r="C133" t="str">
            <v>Клапан зворотній 1/2*</v>
          </cell>
          <cell r="D133" t="str">
            <v>шт</v>
          </cell>
          <cell r="E133">
            <v>4</v>
          </cell>
        </row>
        <row r="134">
          <cell r="B134" t="str">
            <v>00-00004976</v>
          </cell>
          <cell r="C134" t="str">
            <v>Клей для напольного покриття 12кг</v>
          </cell>
          <cell r="D134" t="str">
            <v>шт</v>
          </cell>
          <cell r="E134">
            <v>3</v>
          </cell>
        </row>
        <row r="135">
          <cell r="B135" t="str">
            <v>00-00005025</v>
          </cell>
          <cell r="C135" t="str">
            <v>Клей монтажний, 3 кг</v>
          </cell>
          <cell r="D135" t="str">
            <v>шт</v>
          </cell>
          <cell r="E135">
            <v>1</v>
          </cell>
        </row>
        <row r="136">
          <cell r="B136" t="str">
            <v>00-00005769</v>
          </cell>
          <cell r="C136" t="str">
            <v>Клей монтажний, 440 г</v>
          </cell>
          <cell r="D136" t="str">
            <v>шт</v>
          </cell>
          <cell r="E136">
            <v>15</v>
          </cell>
        </row>
        <row r="137">
          <cell r="B137">
            <v>13658</v>
          </cell>
          <cell r="C137" t="str">
            <v>Клей-піна, 860 мл</v>
          </cell>
          <cell r="D137" t="str">
            <v>шт</v>
          </cell>
          <cell r="E137">
            <v>5</v>
          </cell>
        </row>
        <row r="138">
          <cell r="B138">
            <v>13658</v>
          </cell>
          <cell r="C138" t="str">
            <v>Клей-піна, 860 мл</v>
          </cell>
          <cell r="D138" t="str">
            <v>шт</v>
          </cell>
          <cell r="E138">
            <v>4</v>
          </cell>
        </row>
        <row r="139">
          <cell r="B139" t="str">
            <v>00-00005047</v>
          </cell>
          <cell r="C139" t="str">
            <v>Клема з'єднувальна WGn-2</v>
          </cell>
          <cell r="D139" t="str">
            <v>шт</v>
          </cell>
          <cell r="E139">
            <v>272</v>
          </cell>
        </row>
        <row r="140">
          <cell r="B140" t="str">
            <v>00-00005048</v>
          </cell>
          <cell r="C140" t="str">
            <v>Клема з'єднувальна WGn-3</v>
          </cell>
          <cell r="D140" t="str">
            <v>шт</v>
          </cell>
          <cell r="E140">
            <v>136</v>
          </cell>
        </row>
        <row r="141">
          <cell r="B141" t="str">
            <v>00-00005049</v>
          </cell>
          <cell r="C141" t="str">
            <v>Клема з'єднувальна WGn-5</v>
          </cell>
          <cell r="D141" t="str">
            <v>шт</v>
          </cell>
          <cell r="E141">
            <v>99</v>
          </cell>
        </row>
        <row r="142">
          <cell r="B142">
            <v>19376</v>
          </cell>
          <cell r="C142" t="str">
            <v>Комплект (гайка+ніпель) для місткості для води, 1" 3925908000</v>
          </cell>
          <cell r="D142" t="str">
            <v>шт</v>
          </cell>
          <cell r="E142">
            <v>4</v>
          </cell>
        </row>
        <row r="143">
          <cell r="B143" t="str">
            <v>00-00002340</v>
          </cell>
          <cell r="C143" t="str">
            <v>Комплект для підключення змішувача PP-R D=20 мм х1\2 сірий</v>
          </cell>
          <cell r="D143" t="str">
            <v>шт</v>
          </cell>
          <cell r="E143">
            <v>5</v>
          </cell>
        </row>
        <row r="144">
          <cell r="B144" t="str">
            <v>00-00005056</v>
          </cell>
          <cell r="C144" t="str">
            <v>Комплект для теплої підлоги №4</v>
          </cell>
          <cell r="D144" t="str">
            <v>шт</v>
          </cell>
          <cell r="E144">
            <v>4</v>
          </cell>
        </row>
        <row r="145">
          <cell r="B145" t="str">
            <v>00-00005138</v>
          </cell>
          <cell r="C145" t="str">
            <v>Комплект кріплення труб 104-112 мм</v>
          </cell>
          <cell r="D145" t="str">
            <v>шт</v>
          </cell>
          <cell r="E145">
            <v>16</v>
          </cell>
        </row>
        <row r="146">
          <cell r="B146" t="str">
            <v>00-00002505</v>
          </cell>
          <cell r="C146" t="str">
            <v>Комплект кріплення труб 31-37мм 1"</v>
          </cell>
          <cell r="D146" t="str">
            <v>шт</v>
          </cell>
          <cell r="E146">
            <v>86</v>
          </cell>
        </row>
        <row r="147">
          <cell r="B147" t="str">
            <v>00-00002506</v>
          </cell>
          <cell r="C147" t="str">
            <v>Комплект кріплення труб 47-52мм 1 1/2"</v>
          </cell>
          <cell r="D147" t="str">
            <v>шт</v>
          </cell>
          <cell r="E147">
            <v>7</v>
          </cell>
        </row>
        <row r="148">
          <cell r="B148" t="str">
            <v>00-00003602</v>
          </cell>
          <cell r="C148" t="str">
            <v xml:space="preserve">Кондиціонер </v>
          </cell>
          <cell r="D148" t="str">
            <v>шт</v>
          </cell>
          <cell r="E148">
            <v>2</v>
          </cell>
        </row>
        <row r="149">
          <cell r="B149" t="str">
            <v>00-00003602</v>
          </cell>
          <cell r="C149" t="str">
            <v xml:space="preserve">Кондиціонер </v>
          </cell>
          <cell r="D149" t="str">
            <v>шт</v>
          </cell>
          <cell r="E149">
            <v>1</v>
          </cell>
        </row>
        <row r="150">
          <cell r="B150" t="str">
            <v>00-00005050</v>
          </cell>
          <cell r="C150" t="str">
            <v>Коробка монтажна 65*45</v>
          </cell>
          <cell r="D150" t="str">
            <v>шт</v>
          </cell>
          <cell r="E150">
            <v>166</v>
          </cell>
        </row>
        <row r="151">
          <cell r="B151" t="str">
            <v>00-00005046</v>
          </cell>
          <cell r="C151" t="str">
            <v>Коробка розподільча 100х100х45</v>
          </cell>
          <cell r="D151" t="str">
            <v>шт</v>
          </cell>
          <cell r="E151">
            <v>48</v>
          </cell>
        </row>
        <row r="152">
          <cell r="B152">
            <v>21881</v>
          </cell>
          <cell r="C152" t="str">
            <v>Коробка установча гіпсокартон д=68 синя/зелена</v>
          </cell>
          <cell r="D152" t="str">
            <v>шт</v>
          </cell>
          <cell r="E152">
            <v>15</v>
          </cell>
        </row>
        <row r="153">
          <cell r="B153">
            <v>21939</v>
          </cell>
          <cell r="C153" t="str">
            <v>Кран кульовий 3В 1/2", "метелик" 8481808100</v>
          </cell>
          <cell r="D153" t="str">
            <v>шт</v>
          </cell>
          <cell r="E153">
            <v>56</v>
          </cell>
        </row>
        <row r="154">
          <cell r="B154" t="str">
            <v>00-00005418</v>
          </cell>
          <cell r="C154" t="str">
            <v>Кран кульовий ПЕ затискний d25</v>
          </cell>
          <cell r="D154" t="str">
            <v>шт</v>
          </cell>
          <cell r="E154">
            <v>4</v>
          </cell>
        </row>
        <row r="155">
          <cell r="B155" t="str">
            <v>00-00005853</v>
          </cell>
          <cell r="C155" t="str">
            <v>Кріплення для змішувача</v>
          </cell>
          <cell r="D155" t="str">
            <v>шт</v>
          </cell>
          <cell r="E155">
            <v>25</v>
          </cell>
        </row>
        <row r="156">
          <cell r="B156" t="str">
            <v>00-00000365</v>
          </cell>
          <cell r="C156" t="str">
            <v>Кріплення умивальника до стіни (з ексцентриками і болт.8х120мм )</v>
          </cell>
          <cell r="D156" t="str">
            <v>шт</v>
          </cell>
          <cell r="E156">
            <v>25</v>
          </cell>
        </row>
        <row r="157">
          <cell r="B157" t="str">
            <v>00-00005169</v>
          </cell>
          <cell r="C157" t="str">
            <v>Кутик 32*32*3мм ст.3пс</v>
          </cell>
          <cell r="D157" t="str">
            <v>пог.м</v>
          </cell>
          <cell r="E157">
            <v>4.25</v>
          </cell>
        </row>
        <row r="158">
          <cell r="B158" t="str">
            <v>00-00005169</v>
          </cell>
          <cell r="C158" t="str">
            <v>Кутик 32*32*3мм ст.3пс</v>
          </cell>
          <cell r="D158" t="str">
            <v>пог.м</v>
          </cell>
          <cell r="E158">
            <v>16</v>
          </cell>
        </row>
        <row r="159">
          <cell r="B159" t="str">
            <v>00-00005169</v>
          </cell>
          <cell r="C159" t="str">
            <v>Кутик 32*32*3мм ст.3пс</v>
          </cell>
          <cell r="D159" t="str">
            <v>пог.м</v>
          </cell>
          <cell r="E159">
            <v>35.82</v>
          </cell>
        </row>
        <row r="160">
          <cell r="B160" t="str">
            <v>00-00005152</v>
          </cell>
          <cell r="C160" t="str">
            <v>Кутник  декоративний 30х30</v>
          </cell>
          <cell r="D160" t="str">
            <v>шт</v>
          </cell>
          <cell r="E160">
            <v>50</v>
          </cell>
        </row>
        <row r="161">
          <cell r="B161" t="str">
            <v>00-00005152</v>
          </cell>
          <cell r="C161" t="str">
            <v>Кутник  декоративний 30х30</v>
          </cell>
          <cell r="D161" t="str">
            <v>шт</v>
          </cell>
          <cell r="E161">
            <v>40</v>
          </cell>
        </row>
        <row r="162">
          <cell r="B162" t="str">
            <v>00-00005153</v>
          </cell>
          <cell r="C162" t="str">
            <v>Кутник  декоративний 50х50</v>
          </cell>
          <cell r="D162" t="str">
            <v>шт</v>
          </cell>
          <cell r="E162">
            <v>49</v>
          </cell>
        </row>
        <row r="163">
          <cell r="B163" t="str">
            <v>00-00005153</v>
          </cell>
          <cell r="C163" t="str">
            <v>Кутник  декоративний 50х50</v>
          </cell>
          <cell r="D163" t="str">
            <v>шт</v>
          </cell>
          <cell r="E163">
            <v>8</v>
          </cell>
        </row>
        <row r="164">
          <cell r="B164">
            <v>3519</v>
          </cell>
          <cell r="C164" t="str">
            <v>Кутник 32х32х3</v>
          </cell>
          <cell r="D164" t="str">
            <v>т</v>
          </cell>
          <cell r="E164">
            <v>0.08</v>
          </cell>
        </row>
        <row r="165">
          <cell r="B165">
            <v>106</v>
          </cell>
          <cell r="C165" t="str">
            <v>Куточок 90 PP-R D=20 mm сірий</v>
          </cell>
          <cell r="D165" t="str">
            <v>шт</v>
          </cell>
          <cell r="E165">
            <v>126</v>
          </cell>
        </row>
        <row r="166">
          <cell r="B166" t="str">
            <v>00-00005587</v>
          </cell>
          <cell r="C166" t="str">
            <v>Куточок, D=25 мм ВВ</v>
          </cell>
          <cell r="D166" t="str">
            <v>шт</v>
          </cell>
          <cell r="E166">
            <v>5</v>
          </cell>
        </row>
        <row r="167">
          <cell r="B167">
            <v>9893</v>
          </cell>
          <cell r="C167" t="str">
            <v>Лампа світлодіодна LED E27 15W 220</v>
          </cell>
          <cell r="D167" t="str">
            <v>шт</v>
          </cell>
          <cell r="E167">
            <v>4</v>
          </cell>
        </row>
        <row r="168">
          <cell r="B168">
            <v>6813</v>
          </cell>
          <cell r="C168" t="str">
            <v>Лист  4 мм</v>
          </cell>
          <cell r="D168" t="str">
            <v xml:space="preserve"> т</v>
          </cell>
          <cell r="E168">
            <v>0.14399999999999999</v>
          </cell>
        </row>
        <row r="169">
          <cell r="B169">
            <v>3893</v>
          </cell>
          <cell r="C169" t="str">
            <v>Лист  4*1250*2500 3 сп/пс 5</v>
          </cell>
          <cell r="D169" t="str">
            <v xml:space="preserve"> т</v>
          </cell>
          <cell r="E169">
            <v>0.48</v>
          </cell>
        </row>
        <row r="170">
          <cell r="B170">
            <v>3893</v>
          </cell>
          <cell r="C170" t="str">
            <v>Лист  4*1250*2500 3 сп/пс 5</v>
          </cell>
          <cell r="D170" t="str">
            <v xml:space="preserve"> т</v>
          </cell>
          <cell r="E170">
            <v>3.2000000000000001E-2</v>
          </cell>
        </row>
        <row r="171">
          <cell r="B171">
            <v>3893</v>
          </cell>
          <cell r="C171" t="str">
            <v>Лист  4*1250*2500 3 сп/пс 5</v>
          </cell>
          <cell r="D171" t="str">
            <v xml:space="preserve"> т</v>
          </cell>
          <cell r="E171">
            <v>0.3</v>
          </cell>
        </row>
        <row r="172">
          <cell r="B172">
            <v>4469</v>
          </cell>
          <cell r="C172" t="str">
            <v>Лист  8</v>
          </cell>
          <cell r="D172" t="str">
            <v xml:space="preserve"> т</v>
          </cell>
          <cell r="E172">
            <v>0.2</v>
          </cell>
        </row>
        <row r="173">
          <cell r="B173">
            <v>6597</v>
          </cell>
          <cell r="C173" t="str">
            <v xml:space="preserve">Лист  8*1500*6000 </v>
          </cell>
          <cell r="D173" t="str">
            <v xml:space="preserve"> т</v>
          </cell>
          <cell r="E173">
            <v>1.7749999999999999</v>
          </cell>
        </row>
        <row r="174">
          <cell r="B174">
            <v>6597</v>
          </cell>
          <cell r="C174" t="str">
            <v xml:space="preserve">Лист  8*1500*6000 </v>
          </cell>
          <cell r="D174" t="str">
            <v xml:space="preserve"> т</v>
          </cell>
          <cell r="E174">
            <v>1.1319999999999999</v>
          </cell>
        </row>
        <row r="175">
          <cell r="B175">
            <v>17298</v>
          </cell>
          <cell r="C175" t="str">
            <v>Лист 14 (г.к)(1,5х6)imp ((1,5*6,0) S235JR)</v>
          </cell>
          <cell r="D175" t="str">
            <v xml:space="preserve"> т</v>
          </cell>
          <cell r="E175">
            <v>0.1</v>
          </cell>
        </row>
        <row r="176">
          <cell r="B176" t="str">
            <v>00-00005392</v>
          </cell>
          <cell r="C176" t="str">
            <v xml:space="preserve">Лист 3 (г.к)  (1,5х3) </v>
          </cell>
          <cell r="D176" t="str">
            <v xml:space="preserve"> т</v>
          </cell>
          <cell r="E176">
            <v>0.158</v>
          </cell>
        </row>
        <row r="177">
          <cell r="B177" t="str">
            <v>00-00005392</v>
          </cell>
          <cell r="C177" t="str">
            <v xml:space="preserve">Лист 3 (г.к)  (1,5х3) </v>
          </cell>
          <cell r="D177" t="str">
            <v xml:space="preserve"> т</v>
          </cell>
          <cell r="E177">
            <v>0.22500000000000001</v>
          </cell>
        </row>
        <row r="178">
          <cell r="B178">
            <v>17403</v>
          </cell>
          <cell r="C178" t="str">
            <v>Лист 6 (г.к)  (1,5х6) ((1,5*6,0) 14637 3сп5)</v>
          </cell>
          <cell r="D178" t="str">
            <v xml:space="preserve"> т</v>
          </cell>
          <cell r="E178">
            <v>1.512</v>
          </cell>
        </row>
        <row r="179">
          <cell r="B179">
            <v>17403</v>
          </cell>
          <cell r="C179" t="str">
            <v>Лист 6 (г.к)  (1,5х6) ((1,5*6,0) 14637 3сп5)</v>
          </cell>
          <cell r="D179" t="str">
            <v xml:space="preserve"> т</v>
          </cell>
          <cell r="E179">
            <v>1.4999999999999999E-2</v>
          </cell>
        </row>
        <row r="180">
          <cell r="B180">
            <v>4057</v>
          </cell>
          <cell r="C180" t="str">
            <v>Лист ПВЛ 406</v>
          </cell>
          <cell r="D180" t="str">
            <v xml:space="preserve"> т</v>
          </cell>
          <cell r="E180">
            <v>0.255</v>
          </cell>
        </row>
        <row r="181">
          <cell r="B181">
            <v>4057</v>
          </cell>
          <cell r="C181" t="str">
            <v>Лист ПВЛ 406</v>
          </cell>
          <cell r="D181" t="str">
            <v xml:space="preserve"> т</v>
          </cell>
          <cell r="E181">
            <v>0.20499999999999999</v>
          </cell>
        </row>
        <row r="182">
          <cell r="B182" t="str">
            <v>00-00005441</v>
          </cell>
          <cell r="C182" t="str">
            <v>Люк садовий 73х5 см</v>
          </cell>
          <cell r="D182" t="str">
            <v>шт</v>
          </cell>
          <cell r="E182">
            <v>2</v>
          </cell>
        </row>
        <row r="183">
          <cell r="B183" t="str">
            <v>00-00004975</v>
          </cell>
          <cell r="C183" t="str">
            <v>Мембрана дахова</v>
          </cell>
          <cell r="D183" t="str">
            <v>шт</v>
          </cell>
          <cell r="E183">
            <v>3</v>
          </cell>
        </row>
        <row r="184">
          <cell r="B184" t="str">
            <v>00-00005189</v>
          </cell>
          <cell r="C184" t="str">
            <v>Металопластикова конструкція</v>
          </cell>
          <cell r="D184" t="str">
            <v>м кв</v>
          </cell>
          <cell r="E184">
            <v>9.202</v>
          </cell>
        </row>
        <row r="185">
          <cell r="B185" t="str">
            <v>00-00005419</v>
          </cell>
          <cell r="C185" t="str">
            <v>Муфта ПЕ 25*1" З</v>
          </cell>
          <cell r="D185" t="str">
            <v>шт</v>
          </cell>
          <cell r="E185">
            <v>4</v>
          </cell>
        </row>
        <row r="186">
          <cell r="B186">
            <v>19338</v>
          </cell>
          <cell r="C186" t="str">
            <v>Муфта, PP-R, D=20 мм, сіра 3917400090</v>
          </cell>
          <cell r="D186" t="str">
            <v>шт</v>
          </cell>
          <cell r="E186">
            <v>45</v>
          </cell>
        </row>
        <row r="187">
          <cell r="B187" t="str">
            <v>00-00005182</v>
          </cell>
          <cell r="C187" t="str">
            <v>Насосна станція</v>
          </cell>
          <cell r="D187" t="str">
            <v>шт</v>
          </cell>
          <cell r="E187">
            <v>1</v>
          </cell>
        </row>
        <row r="188">
          <cell r="B188">
            <v>345</v>
          </cell>
          <cell r="C188" t="str">
            <v>Ніпель латунний, 1\2"</v>
          </cell>
          <cell r="D188" t="str">
            <v>шт</v>
          </cell>
          <cell r="E188">
            <v>58</v>
          </cell>
        </row>
        <row r="189">
          <cell r="B189">
            <v>107</v>
          </cell>
          <cell r="C189" t="str">
            <v>Обвідне коліно PP-R D=20 mm сірий</v>
          </cell>
          <cell r="D189" t="str">
            <v>шт</v>
          </cell>
          <cell r="E189">
            <v>5</v>
          </cell>
        </row>
        <row r="190">
          <cell r="B190">
            <v>16131</v>
          </cell>
          <cell r="C190" t="str">
            <v xml:space="preserve">Олива моторна  </v>
          </cell>
          <cell r="D190" t="str">
            <v>шт</v>
          </cell>
          <cell r="E190">
            <v>12</v>
          </cell>
        </row>
        <row r="191">
          <cell r="B191" t="str">
            <v>00-00005673</v>
          </cell>
          <cell r="C191" t="str">
            <v>Олива моторна напівсинтетична 4Т 1л</v>
          </cell>
          <cell r="D191" t="str">
            <v>шт</v>
          </cell>
          <cell r="E191">
            <v>11</v>
          </cell>
        </row>
        <row r="192">
          <cell r="B192" t="str">
            <v>00-00004998</v>
          </cell>
          <cell r="C192" t="str">
            <v>Опромінювач бактерицидний</v>
          </cell>
          <cell r="D192" t="str">
            <v>шт</v>
          </cell>
          <cell r="E192">
            <v>4</v>
          </cell>
        </row>
        <row r="193">
          <cell r="B193">
            <v>22343</v>
          </cell>
          <cell r="C193" t="str">
            <v>Паробар'єр армир. 1,5*44</v>
          </cell>
          <cell r="D193" t="str">
            <v>м кв</v>
          </cell>
          <cell r="E193">
            <v>49</v>
          </cell>
        </row>
        <row r="194">
          <cell r="B194">
            <v>22343</v>
          </cell>
          <cell r="C194" t="str">
            <v>Паробар'єр армир. 1,5*44</v>
          </cell>
          <cell r="D194" t="str">
            <v>м кв</v>
          </cell>
          <cell r="E194">
            <v>1452</v>
          </cell>
        </row>
        <row r="195">
          <cell r="B195">
            <v>22343</v>
          </cell>
          <cell r="C195" t="str">
            <v>Паробар'єр армир. 1,5*44</v>
          </cell>
          <cell r="D195" t="str">
            <v>м кв</v>
          </cell>
          <cell r="E195">
            <v>2640</v>
          </cell>
        </row>
        <row r="196">
          <cell r="B196">
            <v>19330</v>
          </cell>
          <cell r="C196" t="str">
            <v>Перехід ексентричний D=50/32 мм 3917400090</v>
          </cell>
          <cell r="D196" t="str">
            <v>шт</v>
          </cell>
          <cell r="E196">
            <v>8</v>
          </cell>
        </row>
        <row r="197">
          <cell r="B197" t="str">
            <v>00-00000555</v>
          </cell>
          <cell r="C197" t="str">
            <v xml:space="preserve">Перехід ексцентричний D=110/50 мм </v>
          </cell>
          <cell r="D197" t="str">
            <v>шт</v>
          </cell>
          <cell r="E197">
            <v>8</v>
          </cell>
        </row>
        <row r="198">
          <cell r="B198" t="str">
            <v>00-00005585</v>
          </cell>
          <cell r="C198" t="str">
            <v>Перехідник  D=25мм*1 B</v>
          </cell>
          <cell r="D198" t="str">
            <v>шт</v>
          </cell>
          <cell r="E198">
            <v>3</v>
          </cell>
        </row>
        <row r="199">
          <cell r="B199" t="str">
            <v>00-00005589</v>
          </cell>
          <cell r="C199" t="str">
            <v>Перехідник  D=25мм*1 Н</v>
          </cell>
          <cell r="D199" t="str">
            <v>шт</v>
          </cell>
          <cell r="E199">
            <v>3</v>
          </cell>
        </row>
        <row r="200">
          <cell r="B200" t="str">
            <v>00-00005142</v>
          </cell>
          <cell r="C200" t="str">
            <v>Перехідник  D=25мм*1/2 B</v>
          </cell>
          <cell r="D200" t="str">
            <v>шт</v>
          </cell>
          <cell r="E200">
            <v>8</v>
          </cell>
        </row>
        <row r="201">
          <cell r="B201" t="str">
            <v>00-00005588</v>
          </cell>
          <cell r="C201" t="str">
            <v>Перехідник латунний 3В 1* 1\2</v>
          </cell>
          <cell r="D201" t="str">
            <v>шт</v>
          </cell>
          <cell r="E201">
            <v>7</v>
          </cell>
        </row>
        <row r="202">
          <cell r="B202">
            <v>85</v>
          </cell>
          <cell r="C202" t="str">
            <v>Перехідник латунний 3В 3\4* 1\2</v>
          </cell>
          <cell r="D202" t="str">
            <v>шт</v>
          </cell>
          <cell r="E202">
            <v>8</v>
          </cell>
        </row>
        <row r="203">
          <cell r="B203">
            <v>477</v>
          </cell>
          <cell r="C203" t="str">
            <v>Петля виточена d=20мм (для воріт)</v>
          </cell>
          <cell r="D203" t="str">
            <v>шт</v>
          </cell>
          <cell r="E203">
            <v>20</v>
          </cell>
        </row>
        <row r="204">
          <cell r="B204" t="str">
            <v>00-00005452</v>
          </cell>
          <cell r="C204" t="str">
            <v>Підп’ятник стелажу СТ Г-подібний пластиковий</v>
          </cell>
          <cell r="D204" t="str">
            <v>шт</v>
          </cell>
          <cell r="E204">
            <v>8</v>
          </cell>
        </row>
        <row r="205">
          <cell r="B205" t="str">
            <v>00-00005452</v>
          </cell>
          <cell r="C205" t="str">
            <v>Підп’ятник стелажу СТ Г-подібний пластиковий</v>
          </cell>
          <cell r="D205" t="str">
            <v>шт</v>
          </cell>
          <cell r="E205">
            <v>32</v>
          </cell>
        </row>
        <row r="206">
          <cell r="B206">
            <v>10992</v>
          </cell>
          <cell r="C206" t="str">
            <v xml:space="preserve">Піна монтажна Монтажник 500 мл </v>
          </cell>
          <cell r="D206" t="str">
            <v>шт</v>
          </cell>
          <cell r="E206">
            <v>14</v>
          </cell>
        </row>
        <row r="207">
          <cell r="B207" t="str">
            <v>00-00005156</v>
          </cell>
          <cell r="C207" t="str">
            <v>Пінополістерол (100мм) XPS ПСЕ-40 1,2х6 (уп 4шт)</v>
          </cell>
          <cell r="D207" t="str">
            <v>шт</v>
          </cell>
          <cell r="E207">
            <v>4</v>
          </cell>
        </row>
        <row r="208">
          <cell r="B208" t="str">
            <v>00-00005156</v>
          </cell>
          <cell r="C208" t="str">
            <v>Пінополістерол (100мм) XPS ПСЕ-40 1,2х6 (уп 4шт)</v>
          </cell>
          <cell r="D208" t="str">
            <v>шт</v>
          </cell>
          <cell r="E208">
            <v>6</v>
          </cell>
        </row>
        <row r="209">
          <cell r="B209" t="str">
            <v>00-00005430</v>
          </cell>
          <cell r="C209" t="str">
            <v xml:space="preserve">Пінополістерол (50мм)  1,0х5 </v>
          </cell>
          <cell r="D209" t="str">
            <v>шт</v>
          </cell>
          <cell r="E209">
            <v>24</v>
          </cell>
        </row>
        <row r="210">
          <cell r="B210" t="str">
            <v>00-00005183</v>
          </cell>
          <cell r="C210" t="str">
            <v>Плінтус</v>
          </cell>
          <cell r="D210" t="str">
            <v>пог.м</v>
          </cell>
          <cell r="E210">
            <v>95</v>
          </cell>
        </row>
        <row r="211">
          <cell r="B211" t="str">
            <v>00-00005183</v>
          </cell>
          <cell r="C211" t="str">
            <v>Плінтус</v>
          </cell>
          <cell r="D211" t="str">
            <v>пог.м</v>
          </cell>
          <cell r="E211">
            <v>5</v>
          </cell>
        </row>
        <row r="212">
          <cell r="B212" t="str">
            <v>00-00005183</v>
          </cell>
          <cell r="C212" t="str">
            <v>Плінтус</v>
          </cell>
          <cell r="D212" t="str">
            <v>пог.м</v>
          </cell>
          <cell r="E212">
            <v>-95</v>
          </cell>
        </row>
        <row r="213">
          <cell r="B213" t="str">
            <v>00-00005740</v>
          </cell>
          <cell r="C213" t="str">
            <v>Покриття з ПВХ</v>
          </cell>
          <cell r="D213" t="str">
            <v>м кв</v>
          </cell>
          <cell r="E213">
            <v>-110</v>
          </cell>
        </row>
        <row r="214">
          <cell r="B214" t="str">
            <v>00-00005740</v>
          </cell>
          <cell r="C214" t="str">
            <v>Покриття з ПВХ</v>
          </cell>
          <cell r="D214" t="str">
            <v>м кв</v>
          </cell>
          <cell r="E214">
            <v>120</v>
          </cell>
        </row>
        <row r="215">
          <cell r="B215" t="str">
            <v>00-00005715</v>
          </cell>
          <cell r="C215" t="str">
            <v>Поріжок 47,5х5</v>
          </cell>
          <cell r="D215" t="str">
            <v>шт</v>
          </cell>
          <cell r="E215">
            <v>16</v>
          </cell>
        </row>
        <row r="216">
          <cell r="B216" t="str">
            <v>00-00005087</v>
          </cell>
          <cell r="C216" t="str">
            <v>Поручень настінний 02.001-01</v>
          </cell>
          <cell r="D216" t="str">
            <v>шт</v>
          </cell>
          <cell r="E216">
            <v>1</v>
          </cell>
        </row>
        <row r="217">
          <cell r="B217" t="str">
            <v>00-00005087</v>
          </cell>
          <cell r="C217" t="str">
            <v>Поручень настінний 02.001-01</v>
          </cell>
          <cell r="D217" t="str">
            <v>шт</v>
          </cell>
          <cell r="E217">
            <v>2</v>
          </cell>
        </row>
        <row r="218">
          <cell r="B218" t="str">
            <v>00-00005086</v>
          </cell>
          <cell r="C218" t="str">
            <v>Поручень пристінний 500мм 3.005</v>
          </cell>
          <cell r="D218" t="str">
            <v>шт</v>
          </cell>
          <cell r="E218">
            <v>1</v>
          </cell>
        </row>
        <row r="219">
          <cell r="B219" t="str">
            <v>00-00005086</v>
          </cell>
          <cell r="C219" t="str">
            <v>Поручень пристінний 500мм 3.005</v>
          </cell>
          <cell r="D219" t="str">
            <v>шт</v>
          </cell>
          <cell r="E219">
            <v>2</v>
          </cell>
        </row>
        <row r="220">
          <cell r="B220" t="str">
            <v>00-00005155</v>
          </cell>
          <cell r="C220" t="str">
            <v>Провід ПВС 3*4</v>
          </cell>
          <cell r="D220" t="str">
            <v>пог.м</v>
          </cell>
          <cell r="E220">
            <v>80</v>
          </cell>
        </row>
        <row r="221">
          <cell r="B221" t="str">
            <v>00-00005137</v>
          </cell>
          <cell r="C221" t="str">
            <v>Прокладка для унітазу D=90/110мм</v>
          </cell>
          <cell r="D221" t="str">
            <v>шт</v>
          </cell>
          <cell r="E221">
            <v>8</v>
          </cell>
        </row>
        <row r="222">
          <cell r="B222" t="str">
            <v>00-00005444</v>
          </cell>
          <cell r="C222" t="str">
            <v>Профіль АП 005  2,7 м</v>
          </cell>
          <cell r="D222" t="str">
            <v>шт</v>
          </cell>
          <cell r="E222">
            <v>2</v>
          </cell>
        </row>
        <row r="223">
          <cell r="B223" t="str">
            <v>00-00005070</v>
          </cell>
          <cell r="C223" t="str">
            <v xml:space="preserve">Профіль ПС-10 поліестер трапецієпод. </v>
          </cell>
          <cell r="D223" t="str">
            <v>шт</v>
          </cell>
          <cell r="E223">
            <v>30.8</v>
          </cell>
        </row>
        <row r="224">
          <cell r="B224" t="str">
            <v>00-00005365</v>
          </cell>
          <cell r="C224" t="str">
            <v>Профіль ПС-10 поліестер трапецієпод. РЕ 45*9003*АМ</v>
          </cell>
          <cell r="D224" t="str">
            <v>м кв</v>
          </cell>
          <cell r="E224">
            <v>502.71600000000001</v>
          </cell>
        </row>
        <row r="225">
          <cell r="B225">
            <v>17304</v>
          </cell>
          <cell r="C225" t="str">
            <v>Профіль ПС-20 RAL\0,45\1145\7004\РЕ\ТУР(TEZCAN)\300(виробник сировини Туреччина)</v>
          </cell>
          <cell r="D225" t="str">
            <v>м кв</v>
          </cell>
          <cell r="E225">
            <v>334.81799999999998</v>
          </cell>
        </row>
        <row r="226">
          <cell r="B226" t="str">
            <v>00-00005071</v>
          </cell>
          <cell r="C226" t="str">
            <v xml:space="preserve">Профіль ПС-20 поліестер трапецієпод. </v>
          </cell>
          <cell r="D226" t="str">
            <v>шт</v>
          </cell>
          <cell r="E226">
            <v>6</v>
          </cell>
        </row>
        <row r="227">
          <cell r="B227" t="str">
            <v>00-00005071</v>
          </cell>
          <cell r="C227" t="str">
            <v xml:space="preserve">Профіль ПС-20 поліестер трапецієпод. </v>
          </cell>
          <cell r="D227" t="str">
            <v>шт</v>
          </cell>
          <cell r="E227">
            <v>28</v>
          </cell>
        </row>
        <row r="228">
          <cell r="B228" t="str">
            <v>00-00004979</v>
          </cell>
          <cell r="C228" t="str">
            <v>Профіль стартовий 8мм (білий)</v>
          </cell>
          <cell r="D228" t="str">
            <v>пог.м</v>
          </cell>
          <cell r="E228">
            <v>195</v>
          </cell>
        </row>
        <row r="229">
          <cell r="B229">
            <v>21862</v>
          </cell>
          <cell r="C229" t="str">
            <v>Профіль трапецієпод. ПС-8 поліестер RAL 9006</v>
          </cell>
          <cell r="D229" t="str">
            <v>м кв</v>
          </cell>
          <cell r="E229">
            <v>409.49299999999999</v>
          </cell>
        </row>
        <row r="230">
          <cell r="B230" t="str">
            <v>00-00001032</v>
          </cell>
          <cell r="C230" t="str">
            <v>Рамка 1-постова</v>
          </cell>
          <cell r="D230" t="str">
            <v>шт</v>
          </cell>
          <cell r="E230">
            <v>16</v>
          </cell>
        </row>
        <row r="231">
          <cell r="B231" t="str">
            <v>00-00004866</v>
          </cell>
          <cell r="C231" t="str">
            <v>Рейка 50*50*3000</v>
          </cell>
          <cell r="D231" t="str">
            <v>м куб</v>
          </cell>
          <cell r="E231">
            <v>2.5459999999999998</v>
          </cell>
        </row>
        <row r="232">
          <cell r="B232" t="str">
            <v>00-00004866</v>
          </cell>
          <cell r="C232" t="str">
            <v>Рейка 50*50*3000</v>
          </cell>
          <cell r="D232" t="str">
            <v>м куб</v>
          </cell>
          <cell r="E232">
            <v>13.8</v>
          </cell>
        </row>
        <row r="233">
          <cell r="B233" t="str">
            <v>00-00005330</v>
          </cell>
          <cell r="C233" t="str">
            <v>Ринва біла 90 мм L=3 м</v>
          </cell>
          <cell r="D233" t="str">
            <v>шт</v>
          </cell>
          <cell r="E233">
            <v>1</v>
          </cell>
        </row>
        <row r="234">
          <cell r="B234">
            <v>22062</v>
          </cell>
          <cell r="C234" t="str">
            <v>Розетка з з/к, Schneider Electrik Asfora, біл.</v>
          </cell>
          <cell r="D234" t="str">
            <v>шт</v>
          </cell>
          <cell r="E234">
            <v>40</v>
          </cell>
        </row>
        <row r="235">
          <cell r="B235">
            <v>19254</v>
          </cell>
          <cell r="C235" t="str">
            <v>Розетка з кришкою з заземл.конт. з шторк. ІР44, білий, Asfora, SCHNEIDER ELECTRIC</v>
          </cell>
          <cell r="D235" t="str">
            <v>шт</v>
          </cell>
          <cell r="E235">
            <v>10</v>
          </cell>
        </row>
        <row r="236">
          <cell r="B236" t="str">
            <v>00-00005055</v>
          </cell>
          <cell r="C236" t="str">
            <v>Розетка подвійна з з/к</v>
          </cell>
          <cell r="D236" t="str">
            <v>шт</v>
          </cell>
          <cell r="E236">
            <v>180</v>
          </cell>
        </row>
        <row r="237">
          <cell r="B237">
            <v>615</v>
          </cell>
          <cell r="C237" t="str">
            <v>Розетка стаціонарна наружна 7123 32А 220В 2Р+Е ІР44</v>
          </cell>
          <cell r="D237" t="str">
            <v>шт</v>
          </cell>
          <cell r="E237">
            <v>13</v>
          </cell>
        </row>
        <row r="238">
          <cell r="B238">
            <v>615</v>
          </cell>
          <cell r="C238" t="str">
            <v>Розетка стаціонарна наружна 7123 32А 220В 2Р+Е ІР44</v>
          </cell>
          <cell r="D238" t="str">
            <v>шт</v>
          </cell>
          <cell r="E238">
            <v>14</v>
          </cell>
        </row>
        <row r="239">
          <cell r="B239">
            <v>615</v>
          </cell>
          <cell r="C239" t="str">
            <v>Розетка стаціонарна наружна 7123 32А 220В 2Р+Е ІР44</v>
          </cell>
          <cell r="D239" t="str">
            <v>шт</v>
          </cell>
          <cell r="E239">
            <v>28</v>
          </cell>
        </row>
        <row r="240">
          <cell r="B240" t="str">
            <v>00-00000166</v>
          </cell>
          <cell r="C240" t="str">
            <v>Розчинник "White Spirit"</v>
          </cell>
          <cell r="D240" t="str">
            <v>л</v>
          </cell>
          <cell r="E240">
            <v>30</v>
          </cell>
        </row>
        <row r="241">
          <cell r="B241" t="str">
            <v>00-00000166</v>
          </cell>
          <cell r="C241" t="str">
            <v>Розчинник "White Spirit"</v>
          </cell>
          <cell r="D241" t="str">
            <v>л</v>
          </cell>
          <cell r="E241">
            <v>30</v>
          </cell>
        </row>
        <row r="242">
          <cell r="B242" t="str">
            <v>00-00004910</v>
          </cell>
          <cell r="C242" t="str">
            <v>Самонаріз 4,2х16</v>
          </cell>
          <cell r="D242" t="str">
            <v>шт</v>
          </cell>
          <cell r="E242">
            <v>100</v>
          </cell>
        </row>
        <row r="243">
          <cell r="B243" t="str">
            <v>00-00004910</v>
          </cell>
          <cell r="C243" t="str">
            <v>Самонаріз 4,2х16</v>
          </cell>
          <cell r="D243" t="str">
            <v>шт</v>
          </cell>
          <cell r="E243">
            <v>500</v>
          </cell>
        </row>
        <row r="244">
          <cell r="B244" t="str">
            <v>00-00004910</v>
          </cell>
          <cell r="C244" t="str">
            <v>Самонаріз 4,2х16</v>
          </cell>
          <cell r="D244" t="str">
            <v>шт</v>
          </cell>
          <cell r="E244">
            <v>500</v>
          </cell>
        </row>
        <row r="245">
          <cell r="B245" t="str">
            <v>00-00004910</v>
          </cell>
          <cell r="C245" t="str">
            <v>Самонаріз 4,2х16</v>
          </cell>
          <cell r="D245" t="str">
            <v>шт</v>
          </cell>
          <cell r="E245">
            <v>500</v>
          </cell>
        </row>
        <row r="246">
          <cell r="B246" t="str">
            <v>00-00004910</v>
          </cell>
          <cell r="C246" t="str">
            <v>Самонаріз 4,2х16</v>
          </cell>
          <cell r="D246" t="str">
            <v>шт</v>
          </cell>
          <cell r="E246">
            <v>500</v>
          </cell>
        </row>
        <row r="247">
          <cell r="B247" t="str">
            <v>00-00001836</v>
          </cell>
          <cell r="C247" t="str">
            <v>Саморіз  4,8*60</v>
          </cell>
          <cell r="D247" t="str">
            <v>шт</v>
          </cell>
          <cell r="E247">
            <v>500</v>
          </cell>
        </row>
        <row r="248">
          <cell r="B248" t="str">
            <v>00-00005317</v>
          </cell>
          <cell r="C248" t="str">
            <v>Саморіз по металу зі свердлом  4,8*19</v>
          </cell>
          <cell r="D248" t="str">
            <v>шт</v>
          </cell>
          <cell r="E248">
            <v>4750</v>
          </cell>
        </row>
        <row r="249">
          <cell r="B249" t="str">
            <v>00-00005051</v>
          </cell>
          <cell r="C249" t="str">
            <v>Світильник LED 36W/6500К 595*595</v>
          </cell>
          <cell r="D249" t="str">
            <v>шт</v>
          </cell>
          <cell r="E249">
            <v>30</v>
          </cell>
        </row>
        <row r="250">
          <cell r="B250" t="str">
            <v>00-00005051</v>
          </cell>
          <cell r="C250" t="str">
            <v>Світильник LED 36W/6500К 595*595</v>
          </cell>
          <cell r="D250" t="str">
            <v>шт</v>
          </cell>
          <cell r="E250">
            <v>14</v>
          </cell>
        </row>
        <row r="251">
          <cell r="B251">
            <v>22350</v>
          </cell>
          <cell r="C251" t="str">
            <v>Світильник LED L-PRS-1265-18 12W 6500К .накл.</v>
          </cell>
          <cell r="D251" t="str">
            <v>шт</v>
          </cell>
          <cell r="E251">
            <v>40</v>
          </cell>
        </row>
        <row r="252">
          <cell r="B252" t="str">
            <v>00-00005053</v>
          </cell>
          <cell r="C252" t="str">
            <v>Світильник аварійний</v>
          </cell>
          <cell r="D252" t="str">
            <v>шт</v>
          </cell>
          <cell r="E252">
            <v>4</v>
          </cell>
        </row>
        <row r="253">
          <cell r="B253" t="str">
            <v>00-00005054</v>
          </cell>
          <cell r="C253" t="str">
            <v>Світильник стінний</v>
          </cell>
          <cell r="D253" t="str">
            <v>шт</v>
          </cell>
          <cell r="E253">
            <v>4</v>
          </cell>
        </row>
        <row r="254">
          <cell r="B254" t="str">
            <v>00-00005052</v>
          </cell>
          <cell r="C254" t="str">
            <v>Світлодіод акс.Рамка накладного монтажу до LED Panel</v>
          </cell>
          <cell r="D254" t="str">
            <v>шт</v>
          </cell>
          <cell r="E254">
            <v>44</v>
          </cell>
        </row>
        <row r="255">
          <cell r="B255">
            <v>19295</v>
          </cell>
          <cell r="C255" t="str">
            <v>Сендвіч</v>
          </cell>
          <cell r="D255" t="str">
            <v>шт</v>
          </cell>
          <cell r="E255">
            <v>2</v>
          </cell>
        </row>
        <row r="256">
          <cell r="B256">
            <v>19295</v>
          </cell>
          <cell r="C256" t="str">
            <v>Сендвіч</v>
          </cell>
          <cell r="D256" t="str">
            <v>шт</v>
          </cell>
          <cell r="E256">
            <v>2</v>
          </cell>
        </row>
        <row r="257">
          <cell r="B257">
            <v>19295</v>
          </cell>
          <cell r="C257" t="str">
            <v>Сендвіч</v>
          </cell>
          <cell r="D257" t="str">
            <v>шт</v>
          </cell>
          <cell r="E257">
            <v>2</v>
          </cell>
        </row>
        <row r="258">
          <cell r="B258">
            <v>19295</v>
          </cell>
          <cell r="C258" t="str">
            <v>Сендвіч</v>
          </cell>
          <cell r="D258" t="str">
            <v>шт</v>
          </cell>
          <cell r="E258">
            <v>2</v>
          </cell>
        </row>
        <row r="259">
          <cell r="B259">
            <v>19295</v>
          </cell>
          <cell r="C259" t="str">
            <v>Сендвіч</v>
          </cell>
          <cell r="D259" t="str">
            <v>шт</v>
          </cell>
          <cell r="E259">
            <v>2</v>
          </cell>
        </row>
        <row r="260">
          <cell r="B260">
            <v>11561</v>
          </cell>
          <cell r="C260" t="str">
            <v>Сифон для душ.</v>
          </cell>
          <cell r="D260" t="str">
            <v>шт</v>
          </cell>
          <cell r="E260">
            <v>1</v>
          </cell>
        </row>
        <row r="261">
          <cell r="B261">
            <v>19314</v>
          </cell>
          <cell r="C261" t="str">
            <v>Сифон для душ.під., бутил., D=58х40 мм, Н=78 мм, (пласт., гнучкий вих., з хром. криш. D=90 мм) 39229</v>
          </cell>
          <cell r="D261" t="str">
            <v>шт</v>
          </cell>
          <cell r="E261">
            <v>4</v>
          </cell>
        </row>
        <row r="262">
          <cell r="B262" t="str">
            <v>00-00005638</v>
          </cell>
          <cell r="C262" t="str">
            <v xml:space="preserve">Сифон для мийки бутилоч Д=1 1/2"х32мм </v>
          </cell>
          <cell r="D262" t="str">
            <v>шт</v>
          </cell>
          <cell r="E262">
            <v>1</v>
          </cell>
        </row>
        <row r="263">
          <cell r="B263" t="str">
            <v>00-00005638</v>
          </cell>
          <cell r="C263" t="str">
            <v xml:space="preserve">Сифон для мийки бутилоч Д=1 1/2"х32мм </v>
          </cell>
          <cell r="D263" t="str">
            <v>шт</v>
          </cell>
          <cell r="E263">
            <v>21</v>
          </cell>
        </row>
        <row r="264">
          <cell r="B264" t="str">
            <v>00-00005775</v>
          </cell>
          <cell r="C264" t="str">
            <v>Сітка штукатурна оцинкована 12,0*12,0*1,3 мм (1*15м)</v>
          </cell>
          <cell r="D264" t="str">
            <v>пог.м</v>
          </cell>
          <cell r="E264">
            <v>13</v>
          </cell>
        </row>
        <row r="265">
          <cell r="B265">
            <v>21892</v>
          </cell>
          <cell r="C265" t="str">
            <v>Скоба для степлера тимА10мм  1000шт/уп</v>
          </cell>
          <cell r="D265" t="str">
            <v>шт</v>
          </cell>
          <cell r="E265">
            <v>30</v>
          </cell>
        </row>
        <row r="266">
          <cell r="B266">
            <v>21892</v>
          </cell>
          <cell r="C266" t="str">
            <v>Скоба для степлера тимА10мм  1000шт/уп</v>
          </cell>
          <cell r="D266" t="str">
            <v>шт</v>
          </cell>
          <cell r="E266">
            <v>10</v>
          </cell>
        </row>
        <row r="267">
          <cell r="B267" t="str">
            <v>00-00005351</v>
          </cell>
          <cell r="C267" t="str">
            <v>Сповіщувач пожежний димовий СПД-3,4</v>
          </cell>
          <cell r="D267" t="str">
            <v>шт</v>
          </cell>
          <cell r="E267">
            <v>16</v>
          </cell>
        </row>
        <row r="268">
          <cell r="B268" t="str">
            <v>00-00005848</v>
          </cell>
          <cell r="C268" t="str">
            <v>Стелаж СТ -4/1 М уп</v>
          </cell>
          <cell r="D268" t="str">
            <v>шт</v>
          </cell>
          <cell r="E268">
            <v>3</v>
          </cell>
        </row>
        <row r="269">
          <cell r="B269" t="str">
            <v>00-00005060</v>
          </cell>
          <cell r="C269" t="str">
            <v>Стелаж СТ 920х460х1820</v>
          </cell>
          <cell r="D269" t="str">
            <v>шт</v>
          </cell>
          <cell r="E269">
            <v>1</v>
          </cell>
        </row>
        <row r="270">
          <cell r="B270" t="str">
            <v>00-00005060</v>
          </cell>
          <cell r="C270" t="str">
            <v>Стелаж СТ 920х460х1820</v>
          </cell>
          <cell r="D270" t="str">
            <v>шт</v>
          </cell>
          <cell r="E270">
            <v>1</v>
          </cell>
        </row>
        <row r="271">
          <cell r="B271" t="str">
            <v>00-00001594</v>
          </cell>
          <cell r="C271" t="str">
            <v>Стіл</v>
          </cell>
          <cell r="D271" t="str">
            <v>шт</v>
          </cell>
          <cell r="E271">
            <v>2</v>
          </cell>
        </row>
        <row r="272">
          <cell r="B272" t="str">
            <v>00-00001594</v>
          </cell>
          <cell r="C272" t="str">
            <v>Стіл</v>
          </cell>
          <cell r="D272" t="str">
            <v>шт</v>
          </cell>
          <cell r="E272">
            <v>4</v>
          </cell>
        </row>
        <row r="273">
          <cell r="B273" t="str">
            <v>00-00001594</v>
          </cell>
          <cell r="C273" t="str">
            <v>Стіл</v>
          </cell>
          <cell r="D273" t="str">
            <v>шт</v>
          </cell>
          <cell r="E273">
            <v>4</v>
          </cell>
        </row>
        <row r="274">
          <cell r="B274">
            <v>423</v>
          </cell>
          <cell r="C274" t="str">
            <v>Стілець Новий Стиль Jack</v>
          </cell>
          <cell r="D274" t="str">
            <v>шт</v>
          </cell>
          <cell r="E274">
            <v>8</v>
          </cell>
        </row>
        <row r="275">
          <cell r="B275" t="str">
            <v>00-00005394</v>
          </cell>
          <cell r="C275" t="str">
            <v>Столик маніпуляційний СТ-М</v>
          </cell>
          <cell r="D275" t="str">
            <v>шт</v>
          </cell>
          <cell r="E275">
            <v>1</v>
          </cell>
        </row>
        <row r="276">
          <cell r="B276" t="str">
            <v>00-00005671</v>
          </cell>
          <cell r="C276" t="str">
            <v>Стопор дверний</v>
          </cell>
          <cell r="D276" t="str">
            <v>шт</v>
          </cell>
          <cell r="E276">
            <v>40</v>
          </cell>
        </row>
        <row r="277">
          <cell r="B277">
            <v>21829</v>
          </cell>
          <cell r="C277" t="str">
            <v>Стрічка бітумна 100мм сіра 10м</v>
          </cell>
          <cell r="D277" t="str">
            <v>шт</v>
          </cell>
          <cell r="E277">
            <v>5</v>
          </cell>
        </row>
        <row r="278">
          <cell r="B278" t="str">
            <v>00-00005538</v>
          </cell>
          <cell r="C278" t="str">
            <v>Стрічка гідроізоляційна</v>
          </cell>
          <cell r="D278" t="str">
            <v>пог.м</v>
          </cell>
          <cell r="E278">
            <v>12</v>
          </cell>
        </row>
        <row r="279">
          <cell r="B279">
            <v>17739</v>
          </cell>
          <cell r="C279" t="str">
            <v>Стрічка для швів зі BudMonster 0,05м*25м</v>
          </cell>
          <cell r="D279" t="str">
            <v>шт</v>
          </cell>
          <cell r="E279">
            <v>11</v>
          </cell>
        </row>
        <row r="280">
          <cell r="B280" t="str">
            <v>00-00005428</v>
          </cell>
          <cell r="C280" t="str">
            <v>Стрічка малярна , 38мм*50м</v>
          </cell>
          <cell r="D280" t="str">
            <v>шт</v>
          </cell>
          <cell r="E280">
            <v>2</v>
          </cell>
        </row>
        <row r="281">
          <cell r="B281">
            <v>14686</v>
          </cell>
          <cell r="C281" t="str">
            <v>Стрічка малярна, 48мм*20м</v>
          </cell>
          <cell r="D281" t="str">
            <v>шт</v>
          </cell>
          <cell r="E281">
            <v>10</v>
          </cell>
        </row>
        <row r="282">
          <cell r="B282">
            <v>14686</v>
          </cell>
          <cell r="C282" t="str">
            <v>Стрічка малярна, 48мм*20м</v>
          </cell>
          <cell r="D282" t="str">
            <v>шт</v>
          </cell>
          <cell r="E282">
            <v>4</v>
          </cell>
        </row>
        <row r="283">
          <cell r="B283" t="str">
            <v>00-00005440</v>
          </cell>
          <cell r="C283" t="str">
            <v>Суміш бетонна 25 кг</v>
          </cell>
          <cell r="D283" t="str">
            <v>шт</v>
          </cell>
          <cell r="E283">
            <v>6</v>
          </cell>
        </row>
        <row r="284">
          <cell r="B284" t="str">
            <v>00-00005608</v>
          </cell>
          <cell r="C284" t="str">
            <v>Таблички зі шрифтом Брайля</v>
          </cell>
          <cell r="D284" t="str">
            <v>шт</v>
          </cell>
          <cell r="E284">
            <v>22</v>
          </cell>
        </row>
        <row r="285">
          <cell r="B285" t="str">
            <v>00-00005608</v>
          </cell>
          <cell r="C285" t="str">
            <v>Таблички зі шрифтом Брайля</v>
          </cell>
          <cell r="D285" t="str">
            <v>шт</v>
          </cell>
          <cell r="E285">
            <v>30</v>
          </cell>
        </row>
        <row r="286">
          <cell r="B286" t="str">
            <v>00-00005608</v>
          </cell>
          <cell r="C286" t="str">
            <v>Таблички зі шрифтом Брайля</v>
          </cell>
          <cell r="D286" t="str">
            <v>шт</v>
          </cell>
          <cell r="E286">
            <v>12</v>
          </cell>
        </row>
        <row r="287">
          <cell r="B287" t="str">
            <v>00-00005136</v>
          </cell>
          <cell r="C287" t="str">
            <v>Трійник D=32 мм, 87"30' 3917400090</v>
          </cell>
          <cell r="D287" t="str">
            <v>шт</v>
          </cell>
          <cell r="E287">
            <v>3</v>
          </cell>
        </row>
        <row r="288">
          <cell r="B288">
            <v>19328</v>
          </cell>
          <cell r="C288" t="str">
            <v>Трійник D=50 мм, 87"30' 3917400090</v>
          </cell>
          <cell r="D288" t="str">
            <v>шт</v>
          </cell>
          <cell r="E288">
            <v>5</v>
          </cell>
        </row>
        <row r="289">
          <cell r="B289">
            <v>100</v>
          </cell>
          <cell r="C289" t="str">
            <v>Трійник PP-R D=20 mm. сірий</v>
          </cell>
          <cell r="D289" t="str">
            <v>шт</v>
          </cell>
          <cell r="E289">
            <v>28</v>
          </cell>
        </row>
        <row r="290">
          <cell r="B290">
            <v>101</v>
          </cell>
          <cell r="C290" t="str">
            <v>Трійник PP-R D=20 mm. х1\2 Н сірий</v>
          </cell>
          <cell r="D290" t="str">
            <v>шт</v>
          </cell>
          <cell r="E290">
            <v>37</v>
          </cell>
        </row>
        <row r="291">
          <cell r="B291">
            <v>21706</v>
          </cell>
          <cell r="C291" t="str">
            <v>Трійник редукційний D=110-50 мм, 87° 30 ' 3917400090</v>
          </cell>
          <cell r="D291" t="str">
            <v>шт</v>
          </cell>
          <cell r="E291">
            <v>16</v>
          </cell>
        </row>
        <row r="292">
          <cell r="B292" t="str">
            <v>00-00005856</v>
          </cell>
          <cell r="C292" t="str">
            <v xml:space="preserve">Труба  50*25*2 </v>
          </cell>
          <cell r="D292" t="str">
            <v>пог.м</v>
          </cell>
          <cell r="E292">
            <v>822</v>
          </cell>
        </row>
        <row r="293">
          <cell r="B293">
            <v>8851</v>
          </cell>
          <cell r="C293" t="str">
            <v xml:space="preserve">Труба  50*50*2 </v>
          </cell>
          <cell r="D293" t="str">
            <v>пог.м</v>
          </cell>
          <cell r="E293">
            <v>1452</v>
          </cell>
        </row>
        <row r="294">
          <cell r="B294" t="str">
            <v>00-00005598</v>
          </cell>
          <cell r="C294" t="str">
            <v>труба 100х100х3 мм; ст.1-3пс; 12 м</v>
          </cell>
          <cell r="D294" t="str">
            <v>пог.м</v>
          </cell>
          <cell r="E294">
            <v>677</v>
          </cell>
        </row>
        <row r="295">
          <cell r="B295" t="str">
            <v>00-00005598</v>
          </cell>
          <cell r="C295" t="str">
            <v>труба 100х100х3 мм; ст.1-3пс; 12 м</v>
          </cell>
          <cell r="D295" t="str">
            <v>пог.м</v>
          </cell>
          <cell r="E295">
            <v>598</v>
          </cell>
        </row>
        <row r="296">
          <cell r="B296" t="str">
            <v>00-00005598</v>
          </cell>
          <cell r="C296" t="str">
            <v>труба 100х100х3 мм; ст.1-3пс; 12 м</v>
          </cell>
          <cell r="D296" t="str">
            <v>пог.м</v>
          </cell>
          <cell r="E296">
            <v>704</v>
          </cell>
        </row>
        <row r="297">
          <cell r="B297" t="str">
            <v>00-00004813</v>
          </cell>
          <cell r="C297" t="str">
            <v>Труба 40*20*1,2</v>
          </cell>
          <cell r="D297" t="str">
            <v>т</v>
          </cell>
          <cell r="E297">
            <v>0.23499999999999999</v>
          </cell>
        </row>
        <row r="298">
          <cell r="B298" t="str">
            <v>00-00004736</v>
          </cell>
          <cell r="C298" t="str">
            <v>Труба 40х20х2 мм; ст. 1-3пс; 6 м</v>
          </cell>
          <cell r="D298" t="str">
            <v>пог.м</v>
          </cell>
          <cell r="E298">
            <v>166</v>
          </cell>
        </row>
        <row r="299">
          <cell r="B299" t="str">
            <v>00-00004736</v>
          </cell>
          <cell r="C299" t="str">
            <v>Труба 40х20х2 мм; ст. 1-3пс; 6 м</v>
          </cell>
          <cell r="D299" t="str">
            <v>пог.м</v>
          </cell>
          <cell r="E299">
            <v>166</v>
          </cell>
        </row>
        <row r="300">
          <cell r="B300" t="str">
            <v>00-00004059</v>
          </cell>
          <cell r="C300" t="str">
            <v>Труба 40х20х3 мм; ст. 1-3пс; 6 м</v>
          </cell>
          <cell r="D300" t="str">
            <v>т</v>
          </cell>
          <cell r="E300">
            <v>0.155</v>
          </cell>
        </row>
        <row r="301">
          <cell r="B301" t="str">
            <v>00-00005601</v>
          </cell>
          <cell r="C301" t="str">
            <v>Труба 40х40х2 мм; ст. 1-3пс; 6 м</v>
          </cell>
          <cell r="D301" t="str">
            <v>пог.м</v>
          </cell>
          <cell r="E301">
            <v>399.2</v>
          </cell>
        </row>
        <row r="302">
          <cell r="B302" t="str">
            <v>00-00004806</v>
          </cell>
          <cell r="C302" t="str">
            <v>Труба 50х25х2</v>
          </cell>
          <cell r="D302" t="str">
            <v>пог.м</v>
          </cell>
          <cell r="E302">
            <v>381</v>
          </cell>
        </row>
        <row r="303">
          <cell r="B303" t="str">
            <v>00-00004994</v>
          </cell>
          <cell r="C303" t="str">
            <v>труба 50х50х2 мм 6 м</v>
          </cell>
          <cell r="D303" t="str">
            <v>пог.м</v>
          </cell>
          <cell r="E303">
            <v>1614</v>
          </cell>
        </row>
        <row r="304">
          <cell r="B304" t="str">
            <v>00-00004994</v>
          </cell>
          <cell r="C304" t="str">
            <v>труба 50х50х2 мм 6 м</v>
          </cell>
          <cell r="D304" t="str">
            <v>пог.м</v>
          </cell>
          <cell r="E304">
            <v>1454</v>
          </cell>
        </row>
        <row r="305">
          <cell r="B305" t="str">
            <v>00-00004994</v>
          </cell>
          <cell r="C305" t="str">
            <v>труба 50х50х2 мм 6 м</v>
          </cell>
          <cell r="D305" t="str">
            <v>пог.м</v>
          </cell>
          <cell r="E305">
            <v>244</v>
          </cell>
        </row>
        <row r="306">
          <cell r="B306">
            <v>18042</v>
          </cell>
          <cell r="C306" t="str">
            <v>Труба гнучка двошарова електротехнічна з поліетилену, зі сталевою затяжкою для зонду та муфтою, зов.</v>
          </cell>
          <cell r="D306" t="str">
            <v>м</v>
          </cell>
          <cell r="E306">
            <v>70</v>
          </cell>
        </row>
        <row r="307">
          <cell r="B307" t="str">
            <v>00-00003936</v>
          </cell>
          <cell r="C307" t="str">
            <v>Труба каналізаційна 110х3,2х1000мм зовн</v>
          </cell>
          <cell r="D307" t="str">
            <v>шт</v>
          </cell>
          <cell r="E307">
            <v>8</v>
          </cell>
        </row>
        <row r="308">
          <cell r="B308" t="str">
            <v>00-00005583</v>
          </cell>
          <cell r="C308" t="str">
            <v>Труба каналізаційна ПВХ 110х3,2х3000</v>
          </cell>
          <cell r="D308" t="str">
            <v>шт</v>
          </cell>
          <cell r="E308">
            <v>16</v>
          </cell>
        </row>
        <row r="309">
          <cell r="B309" t="str">
            <v>00-00005700</v>
          </cell>
          <cell r="C309" t="str">
            <v>Труба ПВХ гнучка гофр. д.20мм, 220Н 5/см пог. стандартна з протяжкою, сірий колір</v>
          </cell>
          <cell r="D309" t="str">
            <v>м</v>
          </cell>
          <cell r="E309">
            <v>1920</v>
          </cell>
        </row>
        <row r="310">
          <cell r="B310">
            <v>9068</v>
          </cell>
          <cell r="C310" t="str">
            <v>Труба ПВХ гнучка гофр. д.20мм, Light (220 Н 5/см пог.), з протяжкою, сіра</v>
          </cell>
          <cell r="D310" t="str">
            <v>м</v>
          </cell>
          <cell r="E310">
            <v>375</v>
          </cell>
        </row>
        <row r="311">
          <cell r="B311" t="str">
            <v>00-00005143</v>
          </cell>
          <cell r="C311" t="str">
            <v>Труба полиєтиленова р=12,5 бар D=25мм</v>
          </cell>
          <cell r="D311" t="str">
            <v>м</v>
          </cell>
          <cell r="E311">
            <v>100</v>
          </cell>
        </row>
        <row r="312">
          <cell r="B312" t="str">
            <v>00-00005131</v>
          </cell>
          <cell r="C312" t="str">
            <v>Труба поліпропіленова каналізаційна d=32  мм І=1000 мм</v>
          </cell>
          <cell r="D312" t="str">
            <v>шт</v>
          </cell>
          <cell r="E312">
            <v>4</v>
          </cell>
        </row>
        <row r="313">
          <cell r="B313" t="str">
            <v>00-00005129</v>
          </cell>
          <cell r="C313" t="str">
            <v>Труба поліпропіленова каналізаційна d=32  мм І=2000 мм</v>
          </cell>
          <cell r="D313" t="str">
            <v>шт</v>
          </cell>
          <cell r="E313">
            <v>20</v>
          </cell>
        </row>
        <row r="314">
          <cell r="B314" t="str">
            <v>00-00005130</v>
          </cell>
          <cell r="C314" t="str">
            <v>Труба поліпропіленова каналізаційна d=32  мм І=500 мм</v>
          </cell>
          <cell r="D314" t="str">
            <v>шт</v>
          </cell>
          <cell r="E314">
            <v>20</v>
          </cell>
        </row>
        <row r="315">
          <cell r="B315">
            <v>589</v>
          </cell>
          <cell r="C315" t="str">
            <v>Труба поліпропіленова, PP-R/F, RN 20бар, 20 мм сіра</v>
          </cell>
          <cell r="D315" t="str">
            <v>м</v>
          </cell>
          <cell r="E315">
            <v>148</v>
          </cell>
        </row>
        <row r="316">
          <cell r="B316" t="str">
            <v>00-00005582</v>
          </cell>
          <cell r="C316" t="str">
            <v>Труба поліпропіленова, каналізаційна, d=50 мм, l=1500 мм 3917221000</v>
          </cell>
          <cell r="D316" t="str">
            <v>шт</v>
          </cell>
          <cell r="E316">
            <v>4</v>
          </cell>
        </row>
        <row r="317">
          <cell r="B317" t="str">
            <v>00-00005350</v>
          </cell>
          <cell r="C317" t="str">
            <v xml:space="preserve">Труба поліпропіленова, каналізаційна, d=50 мм, l=500 мм </v>
          </cell>
          <cell r="D317" t="str">
            <v>шт</v>
          </cell>
          <cell r="E317">
            <v>4</v>
          </cell>
        </row>
        <row r="318">
          <cell r="B318">
            <v>7615</v>
          </cell>
          <cell r="C318" t="str">
            <v>Труба профільна 100*100*3</v>
          </cell>
          <cell r="D318" t="str">
            <v>т</v>
          </cell>
          <cell r="E318">
            <v>2.6349999999999998</v>
          </cell>
        </row>
        <row r="319">
          <cell r="B319" t="str">
            <v>00-00005393</v>
          </cell>
          <cell r="C319" t="str">
            <v>Труба профільна 40*25*2</v>
          </cell>
          <cell r="D319" t="str">
            <v xml:space="preserve"> т</v>
          </cell>
          <cell r="E319">
            <v>0.61</v>
          </cell>
        </row>
        <row r="320">
          <cell r="B320" t="str">
            <v>00-00000803</v>
          </cell>
          <cell r="C320" t="str">
            <v>Труба профільна 50*25*2  L=6000 мм ст1-3 сп/пс</v>
          </cell>
          <cell r="D320" t="str">
            <v>т</v>
          </cell>
          <cell r="E320">
            <v>2.0499999999999998</v>
          </cell>
        </row>
        <row r="321">
          <cell r="B321">
            <v>9882</v>
          </cell>
          <cell r="C321" t="str">
            <v>Труба профільна 50*50*4  L=6000 мм стS235JRH</v>
          </cell>
          <cell r="D321" t="str">
            <v>т</v>
          </cell>
          <cell r="E321">
            <v>3.5000000000000003E-2</v>
          </cell>
        </row>
        <row r="322">
          <cell r="B322" t="str">
            <v>00-00004988</v>
          </cell>
          <cell r="C322" t="str">
            <v>Тумба мобільна 40,6х42,3х58,4</v>
          </cell>
          <cell r="D322" t="str">
            <v>шт</v>
          </cell>
          <cell r="E322">
            <v>8</v>
          </cell>
        </row>
        <row r="323">
          <cell r="B323" t="str">
            <v>00-00005145</v>
          </cell>
          <cell r="C323" t="str">
            <v xml:space="preserve">Умивальник </v>
          </cell>
          <cell r="D323" t="str">
            <v>шт</v>
          </cell>
          <cell r="E323">
            <v>20</v>
          </cell>
        </row>
        <row r="324">
          <cell r="B324">
            <v>396</v>
          </cell>
          <cell r="C324" t="str">
            <v>Універсальний шуруп 5,0х70 потай</v>
          </cell>
          <cell r="D324" t="str">
            <v>шт</v>
          </cell>
          <cell r="E324">
            <v>5000</v>
          </cell>
        </row>
        <row r="325">
          <cell r="B325">
            <v>396</v>
          </cell>
          <cell r="C325" t="str">
            <v>Універсальний шуруп 5,0х70 потай</v>
          </cell>
          <cell r="D325" t="str">
            <v>шт</v>
          </cell>
          <cell r="E325">
            <v>5000</v>
          </cell>
        </row>
        <row r="326">
          <cell r="B326">
            <v>396</v>
          </cell>
          <cell r="C326" t="str">
            <v>Універсальний шуруп 5,0х70 потай</v>
          </cell>
          <cell r="D326" t="str">
            <v>шт</v>
          </cell>
          <cell r="E326">
            <v>5000</v>
          </cell>
        </row>
        <row r="327">
          <cell r="B327">
            <v>396</v>
          </cell>
          <cell r="C327" t="str">
            <v>Універсальний шуруп 5,0х70 потай</v>
          </cell>
          <cell r="D327" t="str">
            <v>шт</v>
          </cell>
          <cell r="E327">
            <v>5000</v>
          </cell>
        </row>
        <row r="328">
          <cell r="B328">
            <v>395</v>
          </cell>
          <cell r="C328" t="str">
            <v>Універсальний шуруп 5,0х90 потай</v>
          </cell>
          <cell r="D328" t="str">
            <v>шт</v>
          </cell>
          <cell r="E328">
            <v>360</v>
          </cell>
        </row>
        <row r="329">
          <cell r="B329">
            <v>395</v>
          </cell>
          <cell r="C329" t="str">
            <v>Універсальний шуруп 5,0х90 потай</v>
          </cell>
          <cell r="D329" t="str">
            <v>шт</v>
          </cell>
          <cell r="E329">
            <v>300</v>
          </cell>
        </row>
        <row r="330">
          <cell r="B330" t="str">
            <v>00-00000960</v>
          </cell>
          <cell r="C330" t="str">
            <v>Унітаз-Компакт підлоговий</v>
          </cell>
          <cell r="D330" t="str">
            <v>шт</v>
          </cell>
          <cell r="E330">
            <v>8</v>
          </cell>
        </row>
        <row r="331">
          <cell r="B331" t="str">
            <v>00-00000408</v>
          </cell>
          <cell r="C331" t="str">
            <v>Утеплювач Кнауф 1250*610*50  12,2м кв.36шт/уп</v>
          </cell>
          <cell r="D331" t="str">
            <v>пак</v>
          </cell>
          <cell r="E331">
            <v>26</v>
          </cell>
        </row>
        <row r="332">
          <cell r="B332" t="str">
            <v>00-00005422</v>
          </cell>
          <cell r="C332" t="str">
            <v>Хомут для врізки 50х1</v>
          </cell>
          <cell r="D332" t="str">
            <v>шт</v>
          </cell>
          <cell r="E332">
            <v>4</v>
          </cell>
        </row>
        <row r="333">
          <cell r="B333">
            <v>104</v>
          </cell>
          <cell r="C333" t="str">
            <v>Хомут для труб  PP-R одинарний D=20 mm</v>
          </cell>
          <cell r="D333" t="str">
            <v>шт</v>
          </cell>
          <cell r="E333">
            <v>211</v>
          </cell>
        </row>
        <row r="334">
          <cell r="B334" t="str">
            <v>00-00005767</v>
          </cell>
          <cell r="C334" t="str">
            <v>Цвях для пневмостеплера 3,1мм 4200шт/уп</v>
          </cell>
          <cell r="D334" t="str">
            <v>шт</v>
          </cell>
          <cell r="E334">
            <v>1</v>
          </cell>
        </row>
        <row r="335">
          <cell r="B335" t="str">
            <v>00-00005531</v>
          </cell>
          <cell r="C335" t="str">
            <v>Цвях для пневмостеплера 38мм 5000шт/уп</v>
          </cell>
          <cell r="D335" t="str">
            <v>шт</v>
          </cell>
          <cell r="E335">
            <v>2</v>
          </cell>
        </row>
        <row r="336">
          <cell r="B336" t="str">
            <v>00-00005659</v>
          </cell>
          <cell r="C336" t="str">
            <v>Цвях для пневмостеплера 50мм 5000шт/уп</v>
          </cell>
          <cell r="D336" t="str">
            <v>шт</v>
          </cell>
          <cell r="E336">
            <v>1</v>
          </cell>
        </row>
        <row r="337">
          <cell r="B337" t="str">
            <v>00-00001209</v>
          </cell>
          <cell r="C337" t="str">
            <v>Цвях для степлера 32мм 5000шт/уп</v>
          </cell>
          <cell r="D337" t="str">
            <v>шт</v>
          </cell>
          <cell r="E337">
            <v>1</v>
          </cell>
        </row>
        <row r="338">
          <cell r="B338" t="str">
            <v>00-00004980</v>
          </cell>
          <cell r="C338" t="str">
            <v>Цементно-стружкова плита  3200*1250*20 мм</v>
          </cell>
          <cell r="D338" t="str">
            <v>шт</v>
          </cell>
          <cell r="E338">
            <v>2</v>
          </cell>
        </row>
        <row r="339">
          <cell r="B339" t="str">
            <v>00-00004980</v>
          </cell>
          <cell r="C339" t="str">
            <v>Цементно-стружкова плита  3200*1250*20 мм</v>
          </cell>
          <cell r="D339" t="str">
            <v>шт</v>
          </cell>
          <cell r="E339">
            <v>88</v>
          </cell>
        </row>
        <row r="340">
          <cell r="B340" t="str">
            <v>00-00004980</v>
          </cell>
          <cell r="C340" t="str">
            <v>Цементно-стружкова плита  3200*1250*20 мм</v>
          </cell>
          <cell r="D340" t="str">
            <v>шт</v>
          </cell>
          <cell r="E340">
            <v>50</v>
          </cell>
        </row>
        <row r="341">
          <cell r="B341" t="str">
            <v>00-00005059</v>
          </cell>
          <cell r="C341" t="str">
            <v xml:space="preserve">Шафа для одягу ШО-300/1 </v>
          </cell>
          <cell r="D341" t="str">
            <v>шт</v>
          </cell>
          <cell r="E341">
            <v>3</v>
          </cell>
        </row>
        <row r="342">
          <cell r="B342" t="str">
            <v>00-00005059</v>
          </cell>
          <cell r="C342" t="str">
            <v xml:space="preserve">Шафа для одягу ШО-300/1 </v>
          </cell>
          <cell r="D342" t="str">
            <v>шт</v>
          </cell>
          <cell r="E342">
            <v>3</v>
          </cell>
        </row>
        <row r="343">
          <cell r="B343" t="str">
            <v>00-00000260</v>
          </cell>
          <cell r="C343" t="str">
            <v>Шафа ШМ-М</v>
          </cell>
          <cell r="D343" t="str">
            <v>шт</v>
          </cell>
          <cell r="E343">
            <v>1</v>
          </cell>
        </row>
        <row r="344">
          <cell r="B344" t="str">
            <v>00-00000260</v>
          </cell>
          <cell r="C344" t="str">
            <v>Шафа ШМ-М</v>
          </cell>
          <cell r="D344" t="str">
            <v>шт</v>
          </cell>
          <cell r="E344">
            <v>2</v>
          </cell>
        </row>
        <row r="345">
          <cell r="B345" t="str">
            <v>00-00005395</v>
          </cell>
          <cell r="C345" t="str">
            <v>Шафа ШМ-М-М</v>
          </cell>
          <cell r="D345" t="str">
            <v>шт</v>
          </cell>
          <cell r="E345">
            <v>2</v>
          </cell>
        </row>
        <row r="346">
          <cell r="B346">
            <v>15090</v>
          </cell>
          <cell r="C346" t="str">
            <v>Шина нульова 6*9</v>
          </cell>
          <cell r="D346" t="str">
            <v>шт</v>
          </cell>
          <cell r="E346">
            <v>32</v>
          </cell>
        </row>
        <row r="347">
          <cell r="B347" t="str">
            <v>00-00005768</v>
          </cell>
          <cell r="C347" t="str">
            <v>Шпаклівка по дереву 1,5 кг</v>
          </cell>
          <cell r="D347" t="str">
            <v>шт</v>
          </cell>
          <cell r="E347">
            <v>1</v>
          </cell>
        </row>
        <row r="348">
          <cell r="B348" t="str">
            <v>00-00004852</v>
          </cell>
          <cell r="C348" t="str">
            <v>Шпилька  М24 DIN 975 ЦБ</v>
          </cell>
          <cell r="D348" t="str">
            <v>шт</v>
          </cell>
          <cell r="E348">
            <v>8</v>
          </cell>
        </row>
        <row r="349">
          <cell r="B349" t="str">
            <v>00-00004851</v>
          </cell>
          <cell r="C349" t="str">
            <v>Шпилька  М48 DIN975</v>
          </cell>
          <cell r="D349" t="str">
            <v>шт</v>
          </cell>
          <cell r="E349">
            <v>4</v>
          </cell>
        </row>
        <row r="350">
          <cell r="B350">
            <v>12126</v>
          </cell>
          <cell r="C350" t="str">
            <v>Шуруп 3,5*25 пкр</v>
          </cell>
          <cell r="D350" t="str">
            <v>шт</v>
          </cell>
          <cell r="E350">
            <v>2000</v>
          </cell>
        </row>
        <row r="351">
          <cell r="B351">
            <v>4659</v>
          </cell>
          <cell r="C351" t="str">
            <v>Шуруп 4,5х45</v>
          </cell>
          <cell r="D351" t="str">
            <v>шт</v>
          </cell>
          <cell r="E351">
            <v>5000</v>
          </cell>
        </row>
        <row r="352">
          <cell r="B352">
            <v>4659</v>
          </cell>
          <cell r="C352" t="str">
            <v>Шуруп 4,5х45</v>
          </cell>
          <cell r="D352" t="str">
            <v>шт</v>
          </cell>
          <cell r="E352">
            <v>2000</v>
          </cell>
        </row>
        <row r="353">
          <cell r="B353">
            <v>4659</v>
          </cell>
          <cell r="C353" t="str">
            <v>Шуруп 4,5х45</v>
          </cell>
          <cell r="D353" t="str">
            <v>шт</v>
          </cell>
          <cell r="E353">
            <v>5000</v>
          </cell>
        </row>
        <row r="354">
          <cell r="B354">
            <v>4659</v>
          </cell>
          <cell r="C354" t="str">
            <v>Шуруп 4,5х45</v>
          </cell>
          <cell r="D354" t="str">
            <v>шт</v>
          </cell>
          <cell r="E354">
            <v>5000</v>
          </cell>
        </row>
        <row r="355">
          <cell r="B355">
            <v>4453</v>
          </cell>
          <cell r="C355" t="str">
            <v>Шуруп 4х45</v>
          </cell>
          <cell r="D355" t="str">
            <v>шт</v>
          </cell>
          <cell r="E355">
            <v>900</v>
          </cell>
        </row>
        <row r="356">
          <cell r="B356">
            <v>4453</v>
          </cell>
          <cell r="C356" t="str">
            <v>Шуруп 4х45</v>
          </cell>
          <cell r="D356" t="str">
            <v>шт</v>
          </cell>
          <cell r="E356">
            <v>500</v>
          </cell>
        </row>
        <row r="357">
          <cell r="B357">
            <v>4453</v>
          </cell>
          <cell r="C357" t="str">
            <v>Шуруп 4х45</v>
          </cell>
          <cell r="D357" t="str">
            <v>шт</v>
          </cell>
          <cell r="E357">
            <v>5000</v>
          </cell>
        </row>
        <row r="358">
          <cell r="B358" t="str">
            <v>00-00005765</v>
          </cell>
          <cell r="C358" t="str">
            <v>Шуруп 4х70</v>
          </cell>
          <cell r="D358" t="str">
            <v>шт</v>
          </cell>
          <cell r="E358">
            <v>500</v>
          </cell>
        </row>
        <row r="359">
          <cell r="B359">
            <v>2054</v>
          </cell>
          <cell r="C359" t="str">
            <v>Шуруп г/к по дереву 3,5*35 мм</v>
          </cell>
          <cell r="D359" t="str">
            <v>шт</v>
          </cell>
          <cell r="E359">
            <v>700</v>
          </cell>
        </row>
        <row r="360">
          <cell r="B360">
            <v>2054</v>
          </cell>
          <cell r="C360" t="str">
            <v>Шуруп г/к по дереву 3,5*35 мм</v>
          </cell>
          <cell r="D360" t="str">
            <v>шт</v>
          </cell>
          <cell r="E360">
            <v>1300</v>
          </cell>
        </row>
        <row r="361">
          <cell r="B361">
            <v>2054</v>
          </cell>
          <cell r="C361" t="str">
            <v>Шуруп г/к по дереву 3,5*35 мм</v>
          </cell>
          <cell r="D361" t="str">
            <v>шт</v>
          </cell>
          <cell r="E361">
            <v>1300</v>
          </cell>
        </row>
        <row r="362">
          <cell r="B362">
            <v>2054</v>
          </cell>
          <cell r="C362" t="str">
            <v>Шуруп г/к по дереву 3,5*35 мм</v>
          </cell>
          <cell r="D362" t="str">
            <v>шт</v>
          </cell>
          <cell r="E362">
            <v>5000</v>
          </cell>
        </row>
        <row r="363">
          <cell r="B363" t="str">
            <v>00-00005838</v>
          </cell>
          <cell r="C363" t="str">
            <v>Щебінь 5-20</v>
          </cell>
          <cell r="D363" t="str">
            <v>м куб</v>
          </cell>
          <cell r="E363">
            <v>2</v>
          </cell>
        </row>
        <row r="364">
          <cell r="B364" t="str">
            <v>00-00005045</v>
          </cell>
          <cell r="C364" t="str">
            <v>Щиток пластик. 4 мод.зовн.устан.</v>
          </cell>
          <cell r="D364" t="str">
            <v>шт</v>
          </cell>
          <cell r="E364">
            <v>21</v>
          </cell>
        </row>
        <row r="365">
          <cell r="B365" t="str">
            <v>00-00005044</v>
          </cell>
          <cell r="C365" t="str">
            <v>Щиток пластик. 6 мод.зовн.устан.</v>
          </cell>
          <cell r="D365" t="str">
            <v>шт</v>
          </cell>
          <cell r="E365">
            <v>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0">
          <cell r="B10" t="str">
            <v>00-00005670</v>
          </cell>
          <cell r="C10" t="str">
            <v xml:space="preserve">Автомат введення резерву  2п 100A </v>
          </cell>
          <cell r="D10" t="str">
            <v>шт</v>
          </cell>
          <cell r="E10">
            <v>1</v>
          </cell>
        </row>
        <row r="11">
          <cell r="B11" t="str">
            <v>00-00005670</v>
          </cell>
          <cell r="C11" t="str">
            <v xml:space="preserve">Автомат введення резерву  2п 100A </v>
          </cell>
          <cell r="D11" t="str">
            <v>шт</v>
          </cell>
          <cell r="E11">
            <v>3</v>
          </cell>
        </row>
        <row r="12">
          <cell r="B12" t="str">
            <v>00-00003557</v>
          </cell>
          <cell r="C12" t="str">
            <v xml:space="preserve">Автоматичний вимикач  1 п 10А  </v>
          </cell>
          <cell r="D12" t="str">
            <v>шт</v>
          </cell>
          <cell r="E12">
            <v>24</v>
          </cell>
        </row>
        <row r="13">
          <cell r="B13" t="str">
            <v>00-00003558</v>
          </cell>
          <cell r="C13" t="str">
            <v>Автоматичний вимикач  1 п 16А  С</v>
          </cell>
          <cell r="D13" t="str">
            <v>шт</v>
          </cell>
          <cell r="E13">
            <v>59</v>
          </cell>
        </row>
        <row r="14">
          <cell r="B14" t="str">
            <v>00-00000412</v>
          </cell>
          <cell r="C14" t="str">
            <v>Автоматичний вимикач  1 п 25А  C e mcb stand 45 1 c25 1p 25A C 4.5KA</v>
          </cell>
          <cell r="D14" t="str">
            <v>шт</v>
          </cell>
          <cell r="E14">
            <v>12</v>
          </cell>
        </row>
        <row r="15">
          <cell r="B15" t="str">
            <v>00-00000210</v>
          </cell>
          <cell r="C15" t="str">
            <v>Аерозоль Лідер (RAL 9010) білий глянцевий 400 мл</v>
          </cell>
          <cell r="D15" t="str">
            <v>шт</v>
          </cell>
          <cell r="E15">
            <v>3</v>
          </cell>
        </row>
        <row r="16">
          <cell r="B16" t="str">
            <v>00-00000210</v>
          </cell>
          <cell r="C16" t="str">
            <v>Аерозоль Лідер (RAL 9010) білий глянцевий 400 мл</v>
          </cell>
          <cell r="D16" t="str">
            <v>шт</v>
          </cell>
          <cell r="E16">
            <v>4</v>
          </cell>
        </row>
        <row r="17">
          <cell r="B17" t="str">
            <v>00-00004981</v>
          </cell>
          <cell r="C17" t="str">
            <v>Аквапанель 2000х1200х12,5</v>
          </cell>
          <cell r="D17" t="str">
            <v>м кв</v>
          </cell>
          <cell r="E17">
            <v>14</v>
          </cell>
        </row>
        <row r="18">
          <cell r="B18" t="str">
            <v>00-00005088</v>
          </cell>
          <cell r="C18" t="str">
            <v>Акумулятор 12V, 2,0Аh</v>
          </cell>
          <cell r="D18" t="str">
            <v>шт</v>
          </cell>
          <cell r="E18">
            <v>6</v>
          </cell>
        </row>
        <row r="19">
          <cell r="B19" t="str">
            <v>00-00005088</v>
          </cell>
          <cell r="C19" t="str">
            <v>Акумулятор 12V, 2,0Аh</v>
          </cell>
          <cell r="D19" t="str">
            <v>шт</v>
          </cell>
          <cell r="E19">
            <v>7</v>
          </cell>
        </row>
        <row r="20">
          <cell r="B20" t="str">
            <v>00000000355</v>
          </cell>
          <cell r="C20" t="str">
            <v>Болт кріплення для бойлера, М10х100мм ( 2шт)</v>
          </cell>
          <cell r="D20" t="str">
            <v>шт</v>
          </cell>
          <cell r="E20">
            <v>3</v>
          </cell>
        </row>
        <row r="21">
          <cell r="B21" t="str">
            <v>00-00005270</v>
          </cell>
          <cell r="C21" t="str">
            <v>Брезент вогнестійкий  1,5*1,8</v>
          </cell>
          <cell r="D21" t="str">
            <v>шт</v>
          </cell>
          <cell r="E21">
            <v>2</v>
          </cell>
        </row>
        <row r="22">
          <cell r="B22" t="str">
            <v>00-00005270</v>
          </cell>
          <cell r="C22" t="str">
            <v>Брезент вогнестійкий  1,5*1,8</v>
          </cell>
          <cell r="D22" t="str">
            <v>шт</v>
          </cell>
          <cell r="E22">
            <v>4</v>
          </cell>
        </row>
        <row r="23">
          <cell r="B23" t="str">
            <v>00-00005770</v>
          </cell>
          <cell r="C23" t="str">
            <v>Брус 50х50х4500</v>
          </cell>
          <cell r="D23" t="str">
            <v>шт</v>
          </cell>
          <cell r="E23">
            <v>30</v>
          </cell>
        </row>
        <row r="24">
          <cell r="B24" t="str">
            <v>00000000601</v>
          </cell>
          <cell r="C24" t="str">
            <v>Вагонка пластикова Мармур Сірий 0,25х6м 8мм (уп.10 шт.)</v>
          </cell>
          <cell r="D24" t="str">
            <v>м2</v>
          </cell>
          <cell r="E24">
            <v>112</v>
          </cell>
        </row>
        <row r="25">
          <cell r="B25" t="str">
            <v>00000018520</v>
          </cell>
          <cell r="C25" t="str">
            <v>ВВГнг 3х1,5 кабель</v>
          </cell>
          <cell r="D25" t="str">
            <v>км</v>
          </cell>
          <cell r="E25">
            <v>1.085</v>
          </cell>
        </row>
        <row r="26">
          <cell r="B26" t="str">
            <v>00000018382</v>
          </cell>
          <cell r="C26" t="str">
            <v>ВВГнг 3х2,5 кабель</v>
          </cell>
          <cell r="D26" t="str">
            <v>км</v>
          </cell>
          <cell r="E26">
            <v>2.1709999999999998</v>
          </cell>
        </row>
        <row r="27">
          <cell r="B27" t="str">
            <v>00000018518</v>
          </cell>
          <cell r="C27" t="str">
            <v>ВВГнг 3х4 кабель</v>
          </cell>
          <cell r="D27" t="str">
            <v>км</v>
          </cell>
          <cell r="E27">
            <v>0.17499999999999999</v>
          </cell>
        </row>
        <row r="28">
          <cell r="B28" t="str">
            <v>00000000599</v>
          </cell>
          <cell r="C28" t="str">
            <v>Вентилятор Домовент 100С1 (14Вт, 94 м куб/год.)</v>
          </cell>
          <cell r="D28" t="str">
            <v>шт</v>
          </cell>
          <cell r="E28">
            <v>35</v>
          </cell>
        </row>
        <row r="29">
          <cell r="B29" t="str">
            <v>00000000599</v>
          </cell>
          <cell r="C29" t="str">
            <v>Вентилятор Домовент 100С1 (14Вт, 94 м куб/год.)</v>
          </cell>
          <cell r="D29" t="str">
            <v>шт</v>
          </cell>
          <cell r="E29">
            <v>4</v>
          </cell>
        </row>
        <row r="30">
          <cell r="B30" t="str">
            <v>00000000616</v>
          </cell>
          <cell r="C30" t="str">
            <v>Вилка переносна 7023 32А 220В 2Р+Е ІР44</v>
          </cell>
          <cell r="D30" t="str">
            <v>шт</v>
          </cell>
          <cell r="E30">
            <v>8</v>
          </cell>
        </row>
        <row r="31">
          <cell r="B31" t="str">
            <v>00000000616</v>
          </cell>
          <cell r="C31" t="str">
            <v>Вилка переносна 7023 32А 220В 2Р+Е ІР44</v>
          </cell>
          <cell r="D31" t="str">
            <v>шт</v>
          </cell>
          <cell r="E31">
            <v>28</v>
          </cell>
        </row>
        <row r="32">
          <cell r="B32" t="str">
            <v>00000000616</v>
          </cell>
          <cell r="C32" t="str">
            <v>Вилка переносна 7023 32А 220В 2Р+Е ІР44</v>
          </cell>
          <cell r="D32" t="str">
            <v>шт</v>
          </cell>
          <cell r="E32">
            <v>14</v>
          </cell>
        </row>
        <row r="33">
          <cell r="B33" t="str">
            <v>00-00005532</v>
          </cell>
          <cell r="C33" t="str">
            <v>Вилка промислова 32А</v>
          </cell>
          <cell r="D33" t="str">
            <v>шт</v>
          </cell>
          <cell r="E33">
            <v>4</v>
          </cell>
        </row>
        <row r="34">
          <cell r="B34" t="str">
            <v>00-00005573</v>
          </cell>
          <cell r="C34" t="str">
            <v>Вимикач  диференц струму з захистом16А С 10мА</v>
          </cell>
          <cell r="D34" t="str">
            <v>шт</v>
          </cell>
          <cell r="E34">
            <v>4</v>
          </cell>
        </row>
        <row r="35">
          <cell r="B35" t="str">
            <v>00-00000721</v>
          </cell>
          <cell r="C35" t="str">
            <v>Вимикач 1-клавішний</v>
          </cell>
          <cell r="D35" t="str">
            <v>шт</v>
          </cell>
          <cell r="E35">
            <v>33</v>
          </cell>
        </row>
        <row r="36">
          <cell r="B36" t="str">
            <v>00000000486</v>
          </cell>
          <cell r="C36" t="str">
            <v>Вимикач 2-клавішний</v>
          </cell>
          <cell r="D36" t="str">
            <v>шт</v>
          </cell>
          <cell r="E36">
            <v>16</v>
          </cell>
        </row>
        <row r="37">
          <cell r="B37" t="str">
            <v>00000017002</v>
          </cell>
          <cell r="C37" t="str">
            <v>Відвід d 110 мм 45"</v>
          </cell>
          <cell r="D37" t="str">
            <v>шт</v>
          </cell>
          <cell r="E37">
            <v>16</v>
          </cell>
        </row>
        <row r="38">
          <cell r="B38" t="str">
            <v>00-00005133</v>
          </cell>
          <cell r="C38" t="str">
            <v>Відвід D=32 мм, 87° 30 ' 3917400090</v>
          </cell>
          <cell r="D38" t="str">
            <v>шт</v>
          </cell>
          <cell r="E38">
            <v>12</v>
          </cell>
        </row>
        <row r="39">
          <cell r="B39" t="str">
            <v>00000010911</v>
          </cell>
          <cell r="C39" t="str">
            <v>Вішалка підлогова</v>
          </cell>
          <cell r="D39" t="str">
            <v>шт</v>
          </cell>
          <cell r="E39">
            <v>3</v>
          </cell>
        </row>
        <row r="40">
          <cell r="B40" t="str">
            <v>00000010911</v>
          </cell>
          <cell r="C40" t="str">
            <v>Вішалка підлогова</v>
          </cell>
          <cell r="D40" t="str">
            <v>шт</v>
          </cell>
          <cell r="E40">
            <v>2</v>
          </cell>
        </row>
        <row r="41">
          <cell r="B41" t="str">
            <v>00000010911</v>
          </cell>
          <cell r="C41" t="str">
            <v>Вішалка підлогова</v>
          </cell>
          <cell r="D41" t="str">
            <v>шт</v>
          </cell>
          <cell r="E41">
            <v>1</v>
          </cell>
        </row>
        <row r="42">
          <cell r="B42" t="str">
            <v>00-00004868</v>
          </cell>
          <cell r="C42" t="str">
            <v>Вогнебіозахист 1кг</v>
          </cell>
          <cell r="D42" t="str">
            <v>шт</v>
          </cell>
          <cell r="E42">
            <v>10</v>
          </cell>
        </row>
        <row r="43">
          <cell r="B43" t="str">
            <v>00-00004868</v>
          </cell>
          <cell r="C43" t="str">
            <v>Вогнебіозахист 1кг</v>
          </cell>
          <cell r="D43" t="str">
            <v>шт</v>
          </cell>
          <cell r="E43">
            <v>50</v>
          </cell>
        </row>
        <row r="44">
          <cell r="B44" t="str">
            <v>00-00004868</v>
          </cell>
          <cell r="C44" t="str">
            <v>Вогнебіозахист 1кг</v>
          </cell>
          <cell r="D44" t="str">
            <v>шт</v>
          </cell>
          <cell r="E44">
            <v>10</v>
          </cell>
        </row>
        <row r="45">
          <cell r="B45" t="str">
            <v>00-00004868</v>
          </cell>
          <cell r="C45" t="str">
            <v>Вогнебіозахист 1кг</v>
          </cell>
          <cell r="D45" t="str">
            <v>шт</v>
          </cell>
          <cell r="E45">
            <v>10</v>
          </cell>
        </row>
        <row r="46">
          <cell r="B46" t="str">
            <v>00-00004868</v>
          </cell>
          <cell r="C46" t="str">
            <v>Вогнебіозахист 1кг</v>
          </cell>
          <cell r="D46" t="str">
            <v>шт</v>
          </cell>
          <cell r="E46">
            <v>7</v>
          </cell>
        </row>
        <row r="47">
          <cell r="B47" t="str">
            <v>00-00004868</v>
          </cell>
          <cell r="C47" t="str">
            <v>Вогнебіозахист 1кг</v>
          </cell>
          <cell r="D47" t="str">
            <v>шт</v>
          </cell>
          <cell r="E47">
            <v>15</v>
          </cell>
        </row>
        <row r="48">
          <cell r="B48" t="str">
            <v>00-00005597</v>
          </cell>
          <cell r="C48" t="str">
            <v>Вогнегасник порошковий ОП2 2 кг</v>
          </cell>
          <cell r="D48" t="str">
            <v>шт</v>
          </cell>
          <cell r="E48">
            <v>3</v>
          </cell>
        </row>
        <row r="49">
          <cell r="B49" t="str">
            <v>00000005990</v>
          </cell>
          <cell r="C49" t="str">
            <v>Гайка М12  DIN 934  цб</v>
          </cell>
          <cell r="D49" t="str">
            <v>шт</v>
          </cell>
          <cell r="E49">
            <v>100</v>
          </cell>
        </row>
        <row r="50">
          <cell r="B50" t="str">
            <v>00000011093</v>
          </cell>
          <cell r="C50" t="str">
            <v>Гайка М48</v>
          </cell>
          <cell r="D50" t="str">
            <v>кг</v>
          </cell>
          <cell r="E50">
            <v>28.5</v>
          </cell>
        </row>
        <row r="51">
          <cell r="B51" t="str">
            <v>00-00004908</v>
          </cell>
          <cell r="C51" t="str">
            <v>Гвинт 3,9*25</v>
          </cell>
          <cell r="D51" t="str">
            <v>шт</v>
          </cell>
          <cell r="E51">
            <v>10000</v>
          </cell>
        </row>
        <row r="52">
          <cell r="B52" t="str">
            <v>00-00004907</v>
          </cell>
          <cell r="C52" t="str">
            <v>Гвинт 4,2х19</v>
          </cell>
          <cell r="D52" t="str">
            <v>шт</v>
          </cell>
          <cell r="E52">
            <v>1150</v>
          </cell>
        </row>
        <row r="53">
          <cell r="B53" t="str">
            <v>00-00004907</v>
          </cell>
          <cell r="C53" t="str">
            <v>Гвинт 4,2х19</v>
          </cell>
          <cell r="D53" t="str">
            <v>шт</v>
          </cell>
          <cell r="E53">
            <v>1200</v>
          </cell>
        </row>
        <row r="54">
          <cell r="B54" t="str">
            <v>00-00004907</v>
          </cell>
          <cell r="C54" t="str">
            <v>Гвинт 4,2х19</v>
          </cell>
          <cell r="D54" t="str">
            <v>шт</v>
          </cell>
          <cell r="E54">
            <v>1200</v>
          </cell>
        </row>
        <row r="55">
          <cell r="B55" t="str">
            <v>00-00004907</v>
          </cell>
          <cell r="C55" t="str">
            <v>Гвинт 4,2х19</v>
          </cell>
          <cell r="D55" t="str">
            <v>шт</v>
          </cell>
          <cell r="E55">
            <v>1200</v>
          </cell>
        </row>
        <row r="56">
          <cell r="B56" t="str">
            <v>00000009513</v>
          </cell>
          <cell r="C56" t="str">
            <v>Гвинт 4,8*19 покрівельний</v>
          </cell>
          <cell r="D56" t="str">
            <v>шт</v>
          </cell>
          <cell r="E56">
            <v>5000</v>
          </cell>
        </row>
        <row r="57">
          <cell r="B57" t="str">
            <v>00-00005462</v>
          </cell>
          <cell r="C57" t="str">
            <v>Гвинт 4,8х50</v>
          </cell>
          <cell r="D57" t="str">
            <v>шт</v>
          </cell>
          <cell r="E57">
            <v>1100</v>
          </cell>
        </row>
        <row r="58">
          <cell r="B58" t="str">
            <v>00-00005462</v>
          </cell>
          <cell r="C58" t="str">
            <v>Гвинт 4,8х50</v>
          </cell>
          <cell r="D58" t="str">
            <v>шт</v>
          </cell>
          <cell r="E58">
            <v>1100</v>
          </cell>
        </row>
        <row r="59">
          <cell r="B59" t="str">
            <v>00-00005462</v>
          </cell>
          <cell r="C59" t="str">
            <v>Гвинт 4,8х50</v>
          </cell>
          <cell r="D59" t="str">
            <v>шт</v>
          </cell>
          <cell r="E59">
            <v>500</v>
          </cell>
        </row>
        <row r="60">
          <cell r="B60" t="str">
            <v>00-00005462</v>
          </cell>
          <cell r="C60" t="str">
            <v>Гвинт 4,8х50</v>
          </cell>
          <cell r="D60" t="str">
            <v>шт</v>
          </cell>
          <cell r="E60">
            <v>2600</v>
          </cell>
        </row>
        <row r="61">
          <cell r="B61" t="str">
            <v>00-00005462</v>
          </cell>
          <cell r="C61" t="str">
            <v>Гвинт 4,8х50</v>
          </cell>
          <cell r="D61" t="str">
            <v>шт</v>
          </cell>
          <cell r="E61">
            <v>1100</v>
          </cell>
        </row>
        <row r="62">
          <cell r="B62" t="str">
            <v>00-00005462</v>
          </cell>
          <cell r="C62" t="str">
            <v>Гвинт 4,8х50</v>
          </cell>
          <cell r="D62" t="str">
            <v>шт</v>
          </cell>
          <cell r="E62">
            <v>1100</v>
          </cell>
        </row>
        <row r="63">
          <cell r="B63" t="str">
            <v>00-00005462</v>
          </cell>
          <cell r="C63" t="str">
            <v>Гвинт 4,8х50</v>
          </cell>
          <cell r="D63" t="str">
            <v>шт</v>
          </cell>
          <cell r="E63">
            <v>1900</v>
          </cell>
        </row>
        <row r="64">
          <cell r="B64" t="str">
            <v>00-00005462</v>
          </cell>
          <cell r="C64" t="str">
            <v>Гвинт 4,8х50</v>
          </cell>
          <cell r="D64" t="str">
            <v>шт</v>
          </cell>
          <cell r="E64">
            <v>1500</v>
          </cell>
        </row>
        <row r="65">
          <cell r="B65" t="str">
            <v>00-00005462</v>
          </cell>
          <cell r="C65" t="str">
            <v>Гвинт 4,8х50</v>
          </cell>
          <cell r="D65" t="str">
            <v>шт</v>
          </cell>
          <cell r="E65">
            <v>1100</v>
          </cell>
        </row>
        <row r="66">
          <cell r="B66" t="str">
            <v>00-00005462</v>
          </cell>
          <cell r="C66" t="str">
            <v>Гвинт 4,8х50</v>
          </cell>
          <cell r="D66" t="str">
            <v>шт</v>
          </cell>
          <cell r="E66">
            <v>1500</v>
          </cell>
        </row>
        <row r="67">
          <cell r="B67" t="str">
            <v>00-00005462</v>
          </cell>
          <cell r="C67" t="str">
            <v>Гвинт 4,8х50</v>
          </cell>
          <cell r="D67" t="str">
            <v>шт</v>
          </cell>
          <cell r="E67">
            <v>1500</v>
          </cell>
        </row>
        <row r="68">
          <cell r="B68" t="str">
            <v>00000005936</v>
          </cell>
          <cell r="C68" t="str">
            <v>Гвинт 5,5х32 цб дов.св</v>
          </cell>
          <cell r="D68" t="str">
            <v>шт</v>
          </cell>
          <cell r="E68">
            <v>250</v>
          </cell>
        </row>
        <row r="69">
          <cell r="B69" t="str">
            <v>00000005936</v>
          </cell>
          <cell r="C69" t="str">
            <v>Гвинт 5,5х32 цб дов.св</v>
          </cell>
          <cell r="D69" t="str">
            <v>шт</v>
          </cell>
          <cell r="E69">
            <v>2750</v>
          </cell>
        </row>
        <row r="70">
          <cell r="B70" t="str">
            <v>00000005936</v>
          </cell>
          <cell r="C70" t="str">
            <v>Гвинт 5,5х32 цб дов.св</v>
          </cell>
          <cell r="D70" t="str">
            <v>шт</v>
          </cell>
          <cell r="E70">
            <v>3000</v>
          </cell>
        </row>
        <row r="71">
          <cell r="B71" t="str">
            <v>00000005936</v>
          </cell>
          <cell r="C71" t="str">
            <v>Гвинт 5,5х32 цб дов.св</v>
          </cell>
          <cell r="D71" t="str">
            <v>шт</v>
          </cell>
          <cell r="E71">
            <v>2800</v>
          </cell>
        </row>
        <row r="72">
          <cell r="B72" t="str">
            <v>00000005936</v>
          </cell>
          <cell r="C72" t="str">
            <v>Гвинт 5,5х32 цб дов.св</v>
          </cell>
          <cell r="D72" t="str">
            <v>шт</v>
          </cell>
          <cell r="E72">
            <v>3000</v>
          </cell>
        </row>
        <row r="73">
          <cell r="B73" t="str">
            <v>00-00004909</v>
          </cell>
          <cell r="C73" t="str">
            <v>Гвинт 5,5х75</v>
          </cell>
          <cell r="D73" t="str">
            <v>шт</v>
          </cell>
          <cell r="E73">
            <v>4000</v>
          </cell>
        </row>
        <row r="74">
          <cell r="B74" t="str">
            <v>00-00004909</v>
          </cell>
          <cell r="C74" t="str">
            <v>Гвинт 5,5х75</v>
          </cell>
          <cell r="D74" t="str">
            <v>шт</v>
          </cell>
          <cell r="E74">
            <v>4000</v>
          </cell>
        </row>
        <row r="75">
          <cell r="B75" t="str">
            <v>00-00004909</v>
          </cell>
          <cell r="C75" t="str">
            <v>Гвинт 5,5х75</v>
          </cell>
          <cell r="D75" t="str">
            <v>шт</v>
          </cell>
          <cell r="E75">
            <v>4000</v>
          </cell>
        </row>
        <row r="76">
          <cell r="B76" t="str">
            <v>00-00004909</v>
          </cell>
          <cell r="C76" t="str">
            <v>Гвинт 5,5х75</v>
          </cell>
          <cell r="D76" t="str">
            <v>шт</v>
          </cell>
          <cell r="E76">
            <v>2900</v>
          </cell>
        </row>
        <row r="77">
          <cell r="B77" t="str">
            <v>00000017039</v>
          </cell>
          <cell r="C77" t="str">
            <v xml:space="preserve">Генератор </v>
          </cell>
          <cell r="D77" t="str">
            <v>шт</v>
          </cell>
          <cell r="E77">
            <v>5</v>
          </cell>
        </row>
        <row r="78">
          <cell r="B78" t="str">
            <v>00000003862</v>
          </cell>
          <cell r="C78" t="str">
            <v>Герметик  акриловий 280 мл.</v>
          </cell>
          <cell r="D78" t="str">
            <v>шт</v>
          </cell>
          <cell r="E78">
            <v>8</v>
          </cell>
        </row>
        <row r="79">
          <cell r="B79" t="str">
            <v>00-00005571</v>
          </cell>
          <cell r="C79" t="str">
            <v>Герметик для швів 310мл.</v>
          </cell>
          <cell r="D79" t="str">
            <v>шт</v>
          </cell>
          <cell r="E79">
            <v>8</v>
          </cell>
        </row>
        <row r="80">
          <cell r="B80" t="str">
            <v>00000000597</v>
          </cell>
          <cell r="C80" t="str">
            <v>Герметик силіконовий санітарний Mounter (білий) 280 мл</v>
          </cell>
          <cell r="D80" t="str">
            <v>шт</v>
          </cell>
          <cell r="E80">
            <v>4</v>
          </cell>
        </row>
        <row r="81">
          <cell r="B81" t="str">
            <v>00000000597</v>
          </cell>
          <cell r="C81" t="str">
            <v>Герметик силіконовий санітарний Mounter (білий) 280 мл</v>
          </cell>
          <cell r="D81" t="str">
            <v>шт</v>
          </cell>
          <cell r="E81">
            <v>4</v>
          </cell>
        </row>
        <row r="82">
          <cell r="B82" t="str">
            <v>00000000597</v>
          </cell>
          <cell r="C82" t="str">
            <v>Герметик силіконовий санітарний Mounter (білий) 280 мл</v>
          </cell>
          <cell r="D82" t="str">
            <v>шт</v>
          </cell>
          <cell r="E82">
            <v>7</v>
          </cell>
        </row>
        <row r="83">
          <cell r="B83" t="str">
            <v>00000000597</v>
          </cell>
          <cell r="C83" t="str">
            <v>Герметик силіконовий санітарний Mounter (білий) 280 мл</v>
          </cell>
          <cell r="D83" t="str">
            <v>шт</v>
          </cell>
          <cell r="E83">
            <v>8</v>
          </cell>
        </row>
        <row r="84">
          <cell r="B84" t="str">
            <v>00000000597</v>
          </cell>
          <cell r="C84" t="str">
            <v>Герметик силіконовий санітарний Mounter (білий) 280 мл</v>
          </cell>
          <cell r="D84" t="str">
            <v>шт</v>
          </cell>
          <cell r="E84">
            <v>8</v>
          </cell>
        </row>
        <row r="85">
          <cell r="B85" t="str">
            <v>00000000597</v>
          </cell>
          <cell r="C85" t="str">
            <v>Герметик силіконовий санітарний Mounter (білий) 280 мл</v>
          </cell>
          <cell r="D85" t="str">
            <v>шт</v>
          </cell>
          <cell r="E85">
            <v>10</v>
          </cell>
        </row>
        <row r="86">
          <cell r="B86" t="str">
            <v>00-00005073</v>
          </cell>
          <cell r="C86" t="str">
            <v>Герметичний з’єднувач кабеля</v>
          </cell>
          <cell r="D86" t="str">
            <v>шт</v>
          </cell>
          <cell r="E86">
            <v>5</v>
          </cell>
        </row>
        <row r="87">
          <cell r="B87" t="str">
            <v>00000000643</v>
          </cell>
          <cell r="C87" t="str">
            <v>Гідробар'єр (1,5х44м)</v>
          </cell>
          <cell r="D87" t="str">
            <v>м2</v>
          </cell>
          <cell r="E87">
            <v>211</v>
          </cell>
        </row>
        <row r="88">
          <cell r="B88" t="str">
            <v>00-00005447</v>
          </cell>
          <cell r="C88" t="str">
            <v>Гідроізоляція 7кг</v>
          </cell>
          <cell r="D88" t="str">
            <v>шт</v>
          </cell>
          <cell r="E88">
            <v>1</v>
          </cell>
        </row>
        <row r="89">
          <cell r="B89" t="str">
            <v>00000019520</v>
          </cell>
          <cell r="C89" t="str">
            <v>ГК Профіль CD 60, 3,0 м (0,50) 1/12/270</v>
          </cell>
          <cell r="D89" t="str">
            <v>шт</v>
          </cell>
          <cell r="E89">
            <v>40</v>
          </cell>
        </row>
        <row r="90">
          <cell r="B90" t="str">
            <v>00000000336</v>
          </cell>
          <cell r="C90" t="str">
            <v>Гладкая жесть 1,25*2м РЕМА 7024*45</v>
          </cell>
          <cell r="D90" t="str">
            <v>м2</v>
          </cell>
          <cell r="E90">
            <v>182</v>
          </cell>
        </row>
        <row r="91">
          <cell r="B91" t="str">
            <v>00-00005682</v>
          </cell>
          <cell r="C91" t="str">
            <v>Гнучка труба 50/40х40/50</v>
          </cell>
          <cell r="D91" t="str">
            <v>шт</v>
          </cell>
          <cell r="E91">
            <v>1</v>
          </cell>
        </row>
        <row r="92">
          <cell r="B92" t="str">
            <v>00000000089</v>
          </cell>
          <cell r="C92" t="str">
            <v>Гнучкий шланг 1\2 ВВ довжина 100 см</v>
          </cell>
          <cell r="D92" t="str">
            <v>шт</v>
          </cell>
          <cell r="E92">
            <v>8</v>
          </cell>
        </row>
        <row r="93">
          <cell r="B93" t="str">
            <v>00000000087</v>
          </cell>
          <cell r="C93" t="str">
            <v>Гнучкий шланг 1\2 ВВ довжина 40 см</v>
          </cell>
          <cell r="D93" t="str">
            <v>шт</v>
          </cell>
          <cell r="E93">
            <v>12</v>
          </cell>
        </row>
        <row r="94">
          <cell r="B94" t="str">
            <v>00000019322</v>
          </cell>
          <cell r="C94" t="str">
            <v>Гнучкий шланг, 1 / 2 "ВВ, довжина 50 см 4009220000</v>
          </cell>
          <cell r="D94" t="str">
            <v>шт</v>
          </cell>
          <cell r="E94">
            <v>27</v>
          </cell>
        </row>
        <row r="95">
          <cell r="B95" t="str">
            <v>00000000341</v>
          </cell>
          <cell r="C95" t="str">
            <v>Гнучкий шланг, 1 / 2" ВВ, довжина 30 см</v>
          </cell>
          <cell r="D95" t="str">
            <v>шт</v>
          </cell>
          <cell r="E95">
            <v>44</v>
          </cell>
        </row>
        <row r="96">
          <cell r="B96" t="str">
            <v>00000019317</v>
          </cell>
          <cell r="C96" t="str">
            <v>Гнучкий шланг, для сифону, HB, D=32 мм х 1.1/4",L=380-865 мм 3922900000</v>
          </cell>
          <cell r="D96" t="str">
            <v>шт</v>
          </cell>
          <cell r="E96">
            <v>13</v>
          </cell>
        </row>
        <row r="97">
          <cell r="B97" t="str">
            <v>00-00005058</v>
          </cell>
          <cell r="C97" t="str">
            <v>Гратка вентиляційна пластик</v>
          </cell>
          <cell r="D97" t="str">
            <v>шт</v>
          </cell>
          <cell r="E97">
            <v>31</v>
          </cell>
        </row>
        <row r="98">
          <cell r="B98" t="str">
            <v>00-00005062</v>
          </cell>
          <cell r="C98" t="str">
            <v>Грунт концентрат 1:10 NOVA 1л</v>
          </cell>
          <cell r="D98" t="str">
            <v>шт</v>
          </cell>
          <cell r="E98">
            <v>1</v>
          </cell>
        </row>
        <row r="99">
          <cell r="B99" t="str">
            <v>00-00001875</v>
          </cell>
          <cell r="C99" t="str">
            <v>Грунт-емаль ПФ-012 Р сірий (кг)</v>
          </cell>
          <cell r="D99" t="str">
            <v>кг</v>
          </cell>
          <cell r="E99">
            <v>150</v>
          </cell>
        </row>
        <row r="100">
          <cell r="B100" t="str">
            <v>00-00001875</v>
          </cell>
          <cell r="C100" t="str">
            <v>Грунт-емаль ПФ-012 Р сірий (кг)</v>
          </cell>
          <cell r="D100" t="str">
            <v>кг</v>
          </cell>
          <cell r="E100">
            <v>126</v>
          </cell>
        </row>
        <row r="101">
          <cell r="B101" t="str">
            <v>00-00005579</v>
          </cell>
          <cell r="C101" t="str">
            <v>Двері металеві 1120*2070</v>
          </cell>
          <cell r="D101" t="str">
            <v>шт</v>
          </cell>
        </row>
        <row r="102">
          <cell r="B102" t="str">
            <v>00-00000371</v>
          </cell>
          <cell r="C102" t="str">
            <v>Двері металопластикові</v>
          </cell>
          <cell r="D102" t="str">
            <v>шт</v>
          </cell>
          <cell r="E102">
            <v>0.2280000000000002</v>
          </cell>
        </row>
        <row r="103">
          <cell r="B103" t="str">
            <v>00-00000371</v>
          </cell>
          <cell r="C103" t="str">
            <v>Двері металопластикові</v>
          </cell>
          <cell r="D103" t="str">
            <v>шт</v>
          </cell>
          <cell r="E103">
            <v>2.5469999999999997</v>
          </cell>
        </row>
        <row r="104">
          <cell r="B104" t="str">
            <v>00-00005176</v>
          </cell>
          <cell r="C104" t="str">
            <v>Дверцята 100*100 ревізійні пластик</v>
          </cell>
          <cell r="D104" t="str">
            <v>шт</v>
          </cell>
          <cell r="E104">
            <v>72</v>
          </cell>
        </row>
        <row r="105">
          <cell r="B105" t="str">
            <v>00-00005175</v>
          </cell>
          <cell r="C105" t="str">
            <v>Дверцята 150*150 ревізійні пластик</v>
          </cell>
          <cell r="D105" t="str">
            <v>шт</v>
          </cell>
          <cell r="E105">
            <v>32</v>
          </cell>
        </row>
        <row r="106">
          <cell r="B106" t="str">
            <v>00-00005341</v>
          </cell>
          <cell r="C106" t="str">
            <v>Держак ринви ПВХ Profil 90 білий</v>
          </cell>
          <cell r="D106" t="str">
            <v>шт</v>
          </cell>
          <cell r="E106">
            <v>54</v>
          </cell>
        </row>
        <row r="107">
          <cell r="B107" t="str">
            <v>00-00005341</v>
          </cell>
          <cell r="C107" t="str">
            <v>Держак ринви ПВХ Profil 90 білий</v>
          </cell>
          <cell r="D107" t="str">
            <v>шт</v>
          </cell>
          <cell r="E107">
            <v>53</v>
          </cell>
        </row>
        <row r="108">
          <cell r="B108" t="str">
            <v>00-00005341</v>
          </cell>
          <cell r="C108" t="str">
            <v>Держак ринви ПВХ Profil 90 білий</v>
          </cell>
          <cell r="D108" t="str">
            <v>шт</v>
          </cell>
          <cell r="E108">
            <v>53</v>
          </cell>
        </row>
        <row r="109">
          <cell r="B109" t="str">
            <v>00-00005341</v>
          </cell>
          <cell r="C109" t="str">
            <v>Держак ринви ПВХ Profil 90 білий</v>
          </cell>
          <cell r="D109" t="str">
            <v>шт</v>
          </cell>
          <cell r="E109">
            <v>32</v>
          </cell>
        </row>
        <row r="110">
          <cell r="B110" t="str">
            <v>00-00005342</v>
          </cell>
          <cell r="C110" t="str">
            <v>Держак труби металевий L-160  90 білий</v>
          </cell>
          <cell r="D110" t="str">
            <v>шт</v>
          </cell>
          <cell r="E110">
            <v>14</v>
          </cell>
        </row>
        <row r="111">
          <cell r="B111" t="str">
            <v>00-00005342</v>
          </cell>
          <cell r="C111" t="str">
            <v>Держак труби металевий L-160  90 білий</v>
          </cell>
          <cell r="D111" t="str">
            <v>шт</v>
          </cell>
          <cell r="E111">
            <v>13</v>
          </cell>
        </row>
        <row r="112">
          <cell r="B112" t="str">
            <v>00-00005342</v>
          </cell>
          <cell r="C112" t="str">
            <v>Держак труби металевий L-160  90 білий</v>
          </cell>
          <cell r="D112" t="str">
            <v>шт</v>
          </cell>
          <cell r="E112">
            <v>13</v>
          </cell>
        </row>
        <row r="113">
          <cell r="B113" t="str">
            <v>00-00005342</v>
          </cell>
          <cell r="C113" t="str">
            <v>Держак труби металевий L-160  90 білий</v>
          </cell>
          <cell r="D113" t="str">
            <v>шт</v>
          </cell>
          <cell r="E113">
            <v>8</v>
          </cell>
        </row>
        <row r="114">
          <cell r="B114" t="str">
            <v>00-00005366</v>
          </cell>
          <cell r="C114" t="str">
            <v>Диспенсер рушників</v>
          </cell>
          <cell r="D114" t="str">
            <v>шт</v>
          </cell>
          <cell r="E114">
            <v>20</v>
          </cell>
        </row>
        <row r="115">
          <cell r="B115" t="str">
            <v>00-00005567</v>
          </cell>
          <cell r="C115" t="str">
            <v>Диспенсер туалетного папіру</v>
          </cell>
          <cell r="D115" t="str">
            <v>шт</v>
          </cell>
          <cell r="E115">
            <v>10</v>
          </cell>
        </row>
        <row r="116">
          <cell r="B116" t="str">
            <v>00-00004867</v>
          </cell>
          <cell r="C116" t="str">
            <v>Дошка 20*100*6000</v>
          </cell>
          <cell r="D116" t="str">
            <v>м куб</v>
          </cell>
          <cell r="E116">
            <v>1.1040000000000001</v>
          </cell>
        </row>
        <row r="117">
          <cell r="B117" t="str">
            <v>00-00004867</v>
          </cell>
          <cell r="C117" t="str">
            <v>Дошка 20*100*6000</v>
          </cell>
          <cell r="D117" t="str">
            <v>м куб</v>
          </cell>
          <cell r="E117">
            <v>2.004</v>
          </cell>
        </row>
        <row r="118">
          <cell r="B118" t="str">
            <v>00-00005924</v>
          </cell>
          <cell r="C118" t="str">
            <v>Дошка обрізна 20*100 (6 м)</v>
          </cell>
          <cell r="D118" t="str">
            <v>м куб</v>
          </cell>
          <cell r="E118">
            <v>1.68</v>
          </cell>
        </row>
        <row r="119">
          <cell r="B119" t="str">
            <v>00000007114</v>
          </cell>
          <cell r="C119" t="str">
            <v>Дріт з легованої сталі ER70S-6 ф1,0мм 5 кг</v>
          </cell>
          <cell r="D119" t="str">
            <v>шт</v>
          </cell>
          <cell r="E119">
            <v>1</v>
          </cell>
        </row>
        <row r="120">
          <cell r="B120" t="str">
            <v>00000012923</v>
          </cell>
          <cell r="C120" t="str">
            <v>Дріт з легованої сталі ER70S-6 ф1,2 мм 15 кг</v>
          </cell>
          <cell r="D120" t="str">
            <v>шт</v>
          </cell>
          <cell r="E120">
            <v>2</v>
          </cell>
        </row>
        <row r="121">
          <cell r="B121" t="str">
            <v>00000009858</v>
          </cell>
          <cell r="C121" t="str">
            <v xml:space="preserve">Дріт ПВЗ  1*6 </v>
          </cell>
          <cell r="D121" t="str">
            <v>км</v>
          </cell>
          <cell r="E121">
            <v>0.03</v>
          </cell>
        </row>
        <row r="122">
          <cell r="B122" t="str">
            <v>00-00005157</v>
          </cell>
          <cell r="C122" t="str">
            <v>Душ літн.в збарі металевий</v>
          </cell>
          <cell r="D122" t="str">
            <v>шт</v>
          </cell>
          <cell r="E122">
            <v>3</v>
          </cell>
        </row>
        <row r="123">
          <cell r="B123" t="str">
            <v>00-00005104</v>
          </cell>
          <cell r="C123" t="str">
            <v>Душова кабіна Lidz Wawel SC90*90.SAT.LOW.FR скло 4мм без піддона</v>
          </cell>
          <cell r="D123" t="str">
            <v>шт</v>
          </cell>
          <cell r="E123">
            <v>1</v>
          </cell>
        </row>
        <row r="124">
          <cell r="B124" t="str">
            <v>00-00005396</v>
          </cell>
          <cell r="C124" t="str">
            <v>Душова система</v>
          </cell>
          <cell r="D124" t="str">
            <v>шт</v>
          </cell>
          <cell r="E124">
            <v>1</v>
          </cell>
        </row>
        <row r="125">
          <cell r="B125" t="str">
            <v>00-00005710</v>
          </cell>
          <cell r="C125" t="str">
            <v>Душовий бокс 90х90х215</v>
          </cell>
          <cell r="D125" t="str">
            <v>шт</v>
          </cell>
          <cell r="E125">
            <v>1</v>
          </cell>
        </row>
        <row r="126">
          <cell r="B126" t="str">
            <v>00-00005710</v>
          </cell>
          <cell r="C126" t="str">
            <v>Душовий бокс 90х90х215</v>
          </cell>
          <cell r="D126" t="str">
            <v>шт</v>
          </cell>
          <cell r="E126">
            <v>1</v>
          </cell>
        </row>
        <row r="127">
          <cell r="B127" t="str">
            <v>00-00005710</v>
          </cell>
          <cell r="C127" t="str">
            <v>Душовий бокс 90х90х215</v>
          </cell>
          <cell r="D127" t="str">
            <v>шт</v>
          </cell>
          <cell r="E127">
            <v>1</v>
          </cell>
        </row>
        <row r="128">
          <cell r="B128" t="str">
            <v>00-00005710</v>
          </cell>
          <cell r="C128" t="str">
            <v>Душовий бокс 90х90х215</v>
          </cell>
          <cell r="D128" t="str">
            <v>шт</v>
          </cell>
          <cell r="E128">
            <v>1</v>
          </cell>
        </row>
        <row r="129">
          <cell r="B129" t="str">
            <v>00000021949</v>
          </cell>
          <cell r="C129" t="str">
            <v>Душовий піддон сталевий, 90*90 квадратний</v>
          </cell>
          <cell r="D129" t="str">
            <v>шт</v>
          </cell>
          <cell r="E129">
            <v>2</v>
          </cell>
        </row>
        <row r="130">
          <cell r="B130" t="str">
            <v>00-00005572</v>
          </cell>
          <cell r="C130" t="str">
            <v>Дюбель  6*30</v>
          </cell>
          <cell r="D130" t="str">
            <v>шт</v>
          </cell>
          <cell r="E130">
            <v>300</v>
          </cell>
        </row>
        <row r="131">
          <cell r="B131" t="str">
            <v>00-00005463</v>
          </cell>
          <cell r="C131" t="str">
            <v>Дюбель Дріва з буром 15х23</v>
          </cell>
          <cell r="D131" t="str">
            <v>шт</v>
          </cell>
          <cell r="E131">
            <v>450</v>
          </cell>
        </row>
        <row r="132">
          <cell r="B132" t="str">
            <v>00-00000735</v>
          </cell>
          <cell r="C132" t="str">
            <v>Електричний болер O "Profi VM 080 D400-1-M, 80 л,</v>
          </cell>
          <cell r="D132" t="str">
            <v>шт</v>
          </cell>
          <cell r="E132">
            <v>4</v>
          </cell>
        </row>
        <row r="133">
          <cell r="B133" t="str">
            <v>00-00000094</v>
          </cell>
          <cell r="C133" t="str">
            <v>Електричний водонагрівач O`Pro Slim PC 30, 30л</v>
          </cell>
          <cell r="D133" t="str">
            <v>шт</v>
          </cell>
          <cell r="E133">
            <v>4</v>
          </cell>
        </row>
        <row r="134">
          <cell r="B134" t="str">
            <v>00-00005264</v>
          </cell>
          <cell r="C134" t="str">
            <v>Ємність 1500л харчова</v>
          </cell>
          <cell r="D134" t="str">
            <v>шт</v>
          </cell>
          <cell r="E134">
            <v>1</v>
          </cell>
        </row>
        <row r="135">
          <cell r="B135" t="str">
            <v>00-00005264</v>
          </cell>
          <cell r="C135" t="str">
            <v>Ємність 1500л харчова</v>
          </cell>
          <cell r="D135" t="str">
            <v>шт</v>
          </cell>
          <cell r="E135">
            <v>1</v>
          </cell>
        </row>
        <row r="136">
          <cell r="B136" t="str">
            <v>00000000102</v>
          </cell>
          <cell r="C136" t="str">
            <v>З'єднувач PP-R D=20 mm. х1\2 Н сірий</v>
          </cell>
          <cell r="D136" t="str">
            <v>шт</v>
          </cell>
          <cell r="E136">
            <v>81</v>
          </cell>
        </row>
        <row r="137">
          <cell r="B137" t="str">
            <v>00-00005344</v>
          </cell>
          <cell r="C137" t="str">
            <v>З'єднувач ринви Profil 90 білий</v>
          </cell>
          <cell r="D137" t="str">
            <v>шт</v>
          </cell>
          <cell r="E137">
            <v>10</v>
          </cell>
        </row>
        <row r="138">
          <cell r="B138" t="str">
            <v>00-00005344</v>
          </cell>
          <cell r="C138" t="str">
            <v>З'єднувач ринви Profil 90 білий</v>
          </cell>
          <cell r="D138" t="str">
            <v>шт</v>
          </cell>
          <cell r="E138">
            <v>10</v>
          </cell>
        </row>
        <row r="139">
          <cell r="B139" t="str">
            <v>00-00005344</v>
          </cell>
          <cell r="C139" t="str">
            <v>З'єднувач ринви Profil 90 білий</v>
          </cell>
          <cell r="D139" t="str">
            <v>шт</v>
          </cell>
          <cell r="E139">
            <v>10</v>
          </cell>
        </row>
        <row r="140">
          <cell r="B140" t="str">
            <v>00-00005344</v>
          </cell>
          <cell r="C140" t="str">
            <v>З'єднувач ринви Profil 90 білий</v>
          </cell>
          <cell r="D140" t="str">
            <v>шт</v>
          </cell>
          <cell r="E140">
            <v>2</v>
          </cell>
        </row>
        <row r="141">
          <cell r="B141" t="str">
            <v>00-00005344</v>
          </cell>
          <cell r="C141" t="str">
            <v>З'єднувач ринви Profil 90 білий</v>
          </cell>
          <cell r="D141" t="str">
            <v>шт</v>
          </cell>
          <cell r="E141">
            <v>6</v>
          </cell>
        </row>
        <row r="142">
          <cell r="B142" t="str">
            <v>00-00005423</v>
          </cell>
          <cell r="C142" t="str">
            <v>З'єднувач труби Profil 90 білий</v>
          </cell>
          <cell r="D142" t="str">
            <v>шт</v>
          </cell>
          <cell r="E142">
            <v>4</v>
          </cell>
        </row>
        <row r="143">
          <cell r="B143" t="str">
            <v>00-00005423</v>
          </cell>
          <cell r="C143" t="str">
            <v>З'єднувач труби Profil 90 білий</v>
          </cell>
          <cell r="D143" t="str">
            <v>шт</v>
          </cell>
          <cell r="E143">
            <v>6</v>
          </cell>
        </row>
        <row r="144">
          <cell r="B144" t="str">
            <v>00-00005423</v>
          </cell>
          <cell r="C144" t="str">
            <v>З'єднувач труби Profil 90 білий</v>
          </cell>
          <cell r="D144" t="str">
            <v>шт</v>
          </cell>
          <cell r="E144">
            <v>7</v>
          </cell>
        </row>
        <row r="145">
          <cell r="B145" t="str">
            <v>00-00005423</v>
          </cell>
          <cell r="C145" t="str">
            <v>З'єднувач труби Profil 90 білий</v>
          </cell>
          <cell r="D145" t="str">
            <v>шт</v>
          </cell>
          <cell r="E145">
            <v>7</v>
          </cell>
        </row>
        <row r="146">
          <cell r="B146" t="str">
            <v>00-00005423</v>
          </cell>
          <cell r="C146" t="str">
            <v>З'єднувач труби Profil 90 білий</v>
          </cell>
          <cell r="D146" t="str">
            <v>шт</v>
          </cell>
          <cell r="E146">
            <v>4</v>
          </cell>
        </row>
        <row r="147">
          <cell r="B147" t="str">
            <v>00-00005141</v>
          </cell>
          <cell r="C147" t="str">
            <v>З’єднання з амереканкою РР-R D=20 ммх1/2 В</v>
          </cell>
          <cell r="D147" t="str">
            <v>шт</v>
          </cell>
          <cell r="E147">
            <v>12</v>
          </cell>
        </row>
        <row r="148">
          <cell r="B148" t="str">
            <v>00-00005140</v>
          </cell>
          <cell r="C148" t="str">
            <v>З’єднання з амереканкою РР-R D=20 ммх1/2 Н</v>
          </cell>
          <cell r="D148" t="str">
            <v>шт</v>
          </cell>
          <cell r="E148">
            <v>12</v>
          </cell>
        </row>
        <row r="149">
          <cell r="B149" t="str">
            <v>00-00005371</v>
          </cell>
          <cell r="C149" t="str">
            <v xml:space="preserve">Заглушка 40х40 </v>
          </cell>
          <cell r="D149" t="str">
            <v>шт</v>
          </cell>
          <cell r="E149">
            <v>64</v>
          </cell>
        </row>
        <row r="150">
          <cell r="B150" t="str">
            <v>00000021688</v>
          </cell>
          <cell r="C150" t="str">
            <v>Заглушка D=110 мм 3917400090</v>
          </cell>
          <cell r="D150" t="str">
            <v>шт</v>
          </cell>
          <cell r="E150">
            <v>8</v>
          </cell>
        </row>
        <row r="151">
          <cell r="B151" t="str">
            <v>00-00005847</v>
          </cell>
          <cell r="C151" t="str">
            <v>Заглушка для профільної труби 40*40</v>
          </cell>
          <cell r="D151" t="str">
            <v>шт</v>
          </cell>
          <cell r="E151">
            <v>600</v>
          </cell>
        </row>
        <row r="152">
          <cell r="B152" t="str">
            <v>00-00005057</v>
          </cell>
          <cell r="C152" t="str">
            <v>Захист від перенапруги D50</v>
          </cell>
          <cell r="D152" t="str">
            <v>шт</v>
          </cell>
          <cell r="E152">
            <v>4</v>
          </cell>
        </row>
        <row r="153">
          <cell r="B153" t="str">
            <v>00-00005184</v>
          </cell>
          <cell r="C153" t="str">
            <v>Змішувач  для умивальника, хром</v>
          </cell>
          <cell r="D153" t="str">
            <v>шт</v>
          </cell>
          <cell r="E153">
            <v>15</v>
          </cell>
        </row>
        <row r="154">
          <cell r="B154" t="str">
            <v>00-00004241</v>
          </cell>
          <cell r="C154" t="str">
            <v>Канал Д 100/1 1010</v>
          </cell>
          <cell r="D154" t="str">
            <v>шт</v>
          </cell>
          <cell r="E154">
            <v>24</v>
          </cell>
        </row>
        <row r="155">
          <cell r="B155" t="str">
            <v>00-00005035</v>
          </cell>
          <cell r="C155" t="str">
            <v>Килимок 80х120</v>
          </cell>
          <cell r="D155" t="str">
            <v>шт</v>
          </cell>
          <cell r="E155">
            <v>1</v>
          </cell>
        </row>
        <row r="156">
          <cell r="B156" t="str">
            <v>00-00005035</v>
          </cell>
          <cell r="C156" t="str">
            <v>Килимок 80х120</v>
          </cell>
          <cell r="D156" t="str">
            <v>шт</v>
          </cell>
          <cell r="E156">
            <v>4</v>
          </cell>
        </row>
        <row r="157">
          <cell r="B157" t="str">
            <v>00-00005945</v>
          </cell>
          <cell r="C157" t="str">
            <v>Кільце бетонне з днищем КЦД-15-9</v>
          </cell>
          <cell r="D157" t="str">
            <v>шт</v>
          </cell>
          <cell r="E157">
            <v>2</v>
          </cell>
        </row>
        <row r="158">
          <cell r="B158" t="str">
            <v>00-00005945</v>
          </cell>
          <cell r="C158" t="str">
            <v>Кільце бетонне з днищем КЦД-15-9</v>
          </cell>
          <cell r="D158" t="str">
            <v>шт</v>
          </cell>
          <cell r="E158">
            <v>2</v>
          </cell>
        </row>
        <row r="159">
          <cell r="B159" t="str">
            <v>00-00005945</v>
          </cell>
          <cell r="C159" t="str">
            <v>Кільце бетонне з днищем КЦД-15-9</v>
          </cell>
          <cell r="D159" t="str">
            <v>шт</v>
          </cell>
          <cell r="E159">
            <v>1</v>
          </cell>
        </row>
        <row r="160">
          <cell r="B160" t="str">
            <v>00-00005944</v>
          </cell>
          <cell r="C160" t="str">
            <v>Кільце бетонне КС-15-9</v>
          </cell>
          <cell r="D160" t="str">
            <v>шт</v>
          </cell>
          <cell r="E160">
            <v>1</v>
          </cell>
        </row>
        <row r="161">
          <cell r="B161" t="str">
            <v>00-00005944</v>
          </cell>
          <cell r="C161" t="str">
            <v>Кільце бетонне КС-15-9</v>
          </cell>
          <cell r="D161" t="str">
            <v>шт</v>
          </cell>
          <cell r="E161">
            <v>1</v>
          </cell>
        </row>
        <row r="162">
          <cell r="B162" t="str">
            <v>00-00005944</v>
          </cell>
          <cell r="C162" t="str">
            <v>Кільце бетонне КС-15-9</v>
          </cell>
          <cell r="D162" t="str">
            <v>шт</v>
          </cell>
          <cell r="E162">
            <v>1</v>
          </cell>
        </row>
        <row r="163">
          <cell r="B163" t="str">
            <v>00000021201</v>
          </cell>
          <cell r="C163" t="str">
            <v>Клапан зворотній 1/2*</v>
          </cell>
          <cell r="D163" t="str">
            <v>шт</v>
          </cell>
          <cell r="E163">
            <v>4</v>
          </cell>
        </row>
        <row r="164">
          <cell r="B164" t="str">
            <v>00-00004976</v>
          </cell>
          <cell r="C164" t="str">
            <v>Клей для напольного покриття 12кг</v>
          </cell>
          <cell r="D164" t="str">
            <v>шт</v>
          </cell>
          <cell r="E164">
            <v>3</v>
          </cell>
        </row>
        <row r="165">
          <cell r="B165" t="str">
            <v>00-00004644</v>
          </cell>
          <cell r="C165" t="str">
            <v>Клей монтаж 400г</v>
          </cell>
          <cell r="D165" t="str">
            <v>шт</v>
          </cell>
          <cell r="E165">
            <v>13</v>
          </cell>
        </row>
        <row r="166">
          <cell r="B166" t="str">
            <v>00-00005025</v>
          </cell>
          <cell r="C166" t="str">
            <v>Клей монтажний, 3 кг</v>
          </cell>
          <cell r="D166" t="str">
            <v>шт</v>
          </cell>
          <cell r="E166">
            <v>1</v>
          </cell>
        </row>
        <row r="167">
          <cell r="B167" t="str">
            <v>00-00005769</v>
          </cell>
          <cell r="C167" t="str">
            <v>Клей монтажний, 440 г</v>
          </cell>
          <cell r="D167" t="str">
            <v>шт</v>
          </cell>
          <cell r="E167">
            <v>15</v>
          </cell>
        </row>
        <row r="168">
          <cell r="B168" t="str">
            <v>00000014244</v>
          </cell>
          <cell r="C168" t="str">
            <v>Клей-піна монтажна , 860 мл</v>
          </cell>
          <cell r="D168" t="str">
            <v>шт</v>
          </cell>
          <cell r="E168">
            <v>20</v>
          </cell>
        </row>
        <row r="169">
          <cell r="B169" t="str">
            <v>00000013658</v>
          </cell>
          <cell r="C169" t="str">
            <v>Клей-піна, 860 мл</v>
          </cell>
          <cell r="D169" t="str">
            <v>шт</v>
          </cell>
          <cell r="E169">
            <v>5</v>
          </cell>
        </row>
        <row r="170">
          <cell r="B170" t="str">
            <v>00000013658</v>
          </cell>
          <cell r="C170" t="str">
            <v>Клей-піна, 860 мл</v>
          </cell>
          <cell r="D170" t="str">
            <v>шт</v>
          </cell>
          <cell r="E170">
            <v>4</v>
          </cell>
        </row>
        <row r="171">
          <cell r="B171" t="str">
            <v>00-00005047</v>
          </cell>
          <cell r="C171" t="str">
            <v>Клема з'єднувальна WGn-2</v>
          </cell>
          <cell r="D171" t="str">
            <v>шт</v>
          </cell>
          <cell r="E171">
            <v>272</v>
          </cell>
        </row>
        <row r="172">
          <cell r="B172" t="str">
            <v>00-00005048</v>
          </cell>
          <cell r="C172" t="str">
            <v>Клема з'єднувальна WGn-3</v>
          </cell>
          <cell r="D172" t="str">
            <v>шт</v>
          </cell>
          <cell r="E172">
            <v>136</v>
          </cell>
        </row>
        <row r="173">
          <cell r="B173" t="str">
            <v>00-00005049</v>
          </cell>
          <cell r="C173" t="str">
            <v>Клема з'єднувальна WGn-5</v>
          </cell>
          <cell r="D173" t="str">
            <v>шт</v>
          </cell>
          <cell r="E173">
            <v>99</v>
          </cell>
        </row>
        <row r="174">
          <cell r="B174" t="str">
            <v>00-00005969</v>
          </cell>
          <cell r="C174" t="str">
            <v>Коліно Profil 75 біле</v>
          </cell>
          <cell r="D174" t="str">
            <v>шт</v>
          </cell>
          <cell r="E174">
            <v>6</v>
          </cell>
        </row>
        <row r="175">
          <cell r="B175" t="str">
            <v>00-00005969</v>
          </cell>
          <cell r="C175" t="str">
            <v>Коліно Profil 75 біле</v>
          </cell>
          <cell r="D175" t="str">
            <v>шт</v>
          </cell>
          <cell r="E175">
            <v>4</v>
          </cell>
        </row>
        <row r="176">
          <cell r="B176" t="str">
            <v>00-00005969</v>
          </cell>
          <cell r="C176" t="str">
            <v>Коліно Profil 75 біле</v>
          </cell>
          <cell r="D176" t="str">
            <v>шт</v>
          </cell>
          <cell r="E176">
            <v>7</v>
          </cell>
        </row>
        <row r="177">
          <cell r="B177" t="str">
            <v>00-00005969</v>
          </cell>
          <cell r="C177" t="str">
            <v>Коліно Profil 75 біле</v>
          </cell>
          <cell r="D177" t="str">
            <v>шт</v>
          </cell>
          <cell r="E177">
            <v>7</v>
          </cell>
        </row>
        <row r="178">
          <cell r="B178" t="str">
            <v>00000019376</v>
          </cell>
          <cell r="C178" t="str">
            <v>Комплект (гайка+ніпель) для місткості для води, 1" 3925908000</v>
          </cell>
          <cell r="D178" t="str">
            <v>шт</v>
          </cell>
          <cell r="E178">
            <v>4</v>
          </cell>
        </row>
        <row r="179">
          <cell r="B179" t="str">
            <v>00-00002340</v>
          </cell>
          <cell r="C179" t="str">
            <v>Комплект для підключення змішувача PP-R D=20 мм х1\2 сірий</v>
          </cell>
          <cell r="D179" t="str">
            <v>шт</v>
          </cell>
          <cell r="E179">
            <v>5</v>
          </cell>
        </row>
        <row r="180">
          <cell r="B180" t="str">
            <v>00-00005056</v>
          </cell>
          <cell r="C180" t="str">
            <v>Комплект для теплої підлоги №4</v>
          </cell>
          <cell r="D180" t="str">
            <v>шт</v>
          </cell>
          <cell r="E180">
            <v>4</v>
          </cell>
        </row>
        <row r="181">
          <cell r="B181" t="str">
            <v>00-00005138</v>
          </cell>
          <cell r="C181" t="str">
            <v>Комплект кріплення труб 104-112 мм</v>
          </cell>
          <cell r="D181" t="str">
            <v>шт</v>
          </cell>
          <cell r="E181">
            <v>16</v>
          </cell>
        </row>
        <row r="182">
          <cell r="B182" t="str">
            <v>00-00002505</v>
          </cell>
          <cell r="C182" t="str">
            <v>Комплект кріплення труб 31-37мм 1"</v>
          </cell>
          <cell r="D182" t="str">
            <v>шт</v>
          </cell>
          <cell r="E182">
            <v>86</v>
          </cell>
        </row>
        <row r="183">
          <cell r="B183" t="str">
            <v>00-00002506</v>
          </cell>
          <cell r="C183" t="str">
            <v>Комплект кріплення труб 47-52мм 1 1/2"</v>
          </cell>
          <cell r="D183" t="str">
            <v>шт</v>
          </cell>
          <cell r="E183">
            <v>7</v>
          </cell>
        </row>
        <row r="184">
          <cell r="B184" t="str">
            <v>00-00003602</v>
          </cell>
          <cell r="C184" t="str">
            <v xml:space="preserve">Кондиціонер </v>
          </cell>
          <cell r="D184" t="str">
            <v>шт</v>
          </cell>
          <cell r="E184">
            <v>1</v>
          </cell>
        </row>
        <row r="185">
          <cell r="B185" t="str">
            <v>00-00003602</v>
          </cell>
          <cell r="C185" t="str">
            <v xml:space="preserve">Кондиціонер </v>
          </cell>
          <cell r="D185" t="str">
            <v>шт</v>
          </cell>
          <cell r="E185">
            <v>1</v>
          </cell>
        </row>
        <row r="186">
          <cell r="B186" t="str">
            <v>00-00003602</v>
          </cell>
          <cell r="C186" t="str">
            <v xml:space="preserve">Кондиціонер </v>
          </cell>
          <cell r="D186" t="str">
            <v>шт</v>
          </cell>
          <cell r="E186">
            <v>2</v>
          </cell>
        </row>
        <row r="187">
          <cell r="B187" t="str">
            <v>00-00003602</v>
          </cell>
          <cell r="C187" t="str">
            <v xml:space="preserve">Кондиціонер </v>
          </cell>
          <cell r="D187" t="str">
            <v>шт</v>
          </cell>
          <cell r="E187">
            <v>2</v>
          </cell>
        </row>
        <row r="188">
          <cell r="B188" t="str">
            <v>00-00005050</v>
          </cell>
          <cell r="C188" t="str">
            <v>Коробка монтажна 65*45</v>
          </cell>
          <cell r="D188" t="str">
            <v>шт</v>
          </cell>
          <cell r="E188">
            <v>166</v>
          </cell>
        </row>
        <row r="189">
          <cell r="B189" t="str">
            <v>00-00005046</v>
          </cell>
          <cell r="C189" t="str">
            <v>Коробка розподільча 100х100х45</v>
          </cell>
          <cell r="D189" t="str">
            <v>шт</v>
          </cell>
          <cell r="E189">
            <v>48</v>
          </cell>
        </row>
        <row r="190">
          <cell r="B190" t="str">
            <v>00000021881</v>
          </cell>
          <cell r="C190" t="str">
            <v>Коробка установча гіпсокартон д=68 синя/зелена</v>
          </cell>
          <cell r="D190" t="str">
            <v>шт</v>
          </cell>
          <cell r="E190">
            <v>15</v>
          </cell>
        </row>
        <row r="191">
          <cell r="B191" t="str">
            <v>00000021939</v>
          </cell>
          <cell r="C191" t="str">
            <v>Кран кульовий 3В 1/2", "метелик" 8481808100</v>
          </cell>
          <cell r="D191" t="str">
            <v>шт</v>
          </cell>
          <cell r="E191">
            <v>56</v>
          </cell>
        </row>
        <row r="192">
          <cell r="B192" t="str">
            <v>00-00005418</v>
          </cell>
          <cell r="C192" t="str">
            <v>Кран кульовий ПЕ затискний d25</v>
          </cell>
          <cell r="D192" t="str">
            <v>шт</v>
          </cell>
          <cell r="E192">
            <v>4</v>
          </cell>
        </row>
        <row r="193">
          <cell r="B193" t="str">
            <v>00-00005853</v>
          </cell>
          <cell r="C193" t="str">
            <v>Кріплення для змішувача</v>
          </cell>
          <cell r="D193" t="str">
            <v>шт</v>
          </cell>
          <cell r="E193">
            <v>25</v>
          </cell>
        </row>
        <row r="194">
          <cell r="B194" t="str">
            <v>00-00000365</v>
          </cell>
          <cell r="C194" t="str">
            <v>Кріплення умивальника до стіни (з ексцентриками і болт.8х120мм )</v>
          </cell>
          <cell r="D194" t="str">
            <v>шт</v>
          </cell>
          <cell r="E194">
            <v>25</v>
          </cell>
        </row>
        <row r="195">
          <cell r="B195" t="str">
            <v>00-00005169</v>
          </cell>
          <cell r="C195" t="str">
            <v>Кутик 32*32*3мм ст.3пс</v>
          </cell>
          <cell r="D195" t="str">
            <v>пог.м</v>
          </cell>
          <cell r="E195">
            <v>16</v>
          </cell>
        </row>
        <row r="196">
          <cell r="B196" t="str">
            <v>00-00005169</v>
          </cell>
          <cell r="C196" t="str">
            <v>Кутик 32*32*3мм ст.3пс</v>
          </cell>
          <cell r="D196" t="str">
            <v>пог.м</v>
          </cell>
          <cell r="E196">
            <v>35.82</v>
          </cell>
        </row>
        <row r="197">
          <cell r="B197" t="str">
            <v>00-00005169</v>
          </cell>
          <cell r="C197" t="str">
            <v>Кутик 32*32*3мм ст.3пс</v>
          </cell>
          <cell r="D197" t="str">
            <v>пог.м</v>
          </cell>
          <cell r="E197">
            <v>4.25</v>
          </cell>
        </row>
        <row r="198">
          <cell r="B198" t="str">
            <v>00-00005152</v>
          </cell>
          <cell r="C198" t="str">
            <v>Кутник  декоративний 30х30</v>
          </cell>
          <cell r="D198" t="str">
            <v>шт</v>
          </cell>
          <cell r="E198">
            <v>50</v>
          </cell>
        </row>
        <row r="199">
          <cell r="B199" t="str">
            <v>00-00005152</v>
          </cell>
          <cell r="C199" t="str">
            <v>Кутник  декоративний 30х30</v>
          </cell>
          <cell r="D199" t="str">
            <v>шт</v>
          </cell>
          <cell r="E199">
            <v>40</v>
          </cell>
        </row>
        <row r="200">
          <cell r="B200" t="str">
            <v>00-00005153</v>
          </cell>
          <cell r="C200" t="str">
            <v>Кутник  декоративний 50х50</v>
          </cell>
          <cell r="D200" t="str">
            <v>шт</v>
          </cell>
          <cell r="E200">
            <v>49</v>
          </cell>
        </row>
        <row r="201">
          <cell r="B201" t="str">
            <v>00-00005153</v>
          </cell>
          <cell r="C201" t="str">
            <v>Кутник  декоративний 50х50</v>
          </cell>
          <cell r="D201" t="str">
            <v>шт</v>
          </cell>
          <cell r="E201">
            <v>8</v>
          </cell>
        </row>
        <row r="202">
          <cell r="B202" t="str">
            <v>00000003519</v>
          </cell>
          <cell r="C202" t="str">
            <v>Кутник 32х32х3</v>
          </cell>
          <cell r="D202" t="str">
            <v>т</v>
          </cell>
          <cell r="E202">
            <v>0.08</v>
          </cell>
        </row>
        <row r="203">
          <cell r="B203" t="str">
            <v>00000000106</v>
          </cell>
          <cell r="C203" t="str">
            <v>Куточок 90 PP-R D=20 mm сірий</v>
          </cell>
          <cell r="D203" t="str">
            <v>шт</v>
          </cell>
          <cell r="E203">
            <v>126</v>
          </cell>
        </row>
        <row r="204">
          <cell r="B204" t="str">
            <v>00-00005587</v>
          </cell>
          <cell r="C204" t="str">
            <v>Куточок, D=25 мм ВВ</v>
          </cell>
          <cell r="D204" t="str">
            <v>шт</v>
          </cell>
          <cell r="E204">
            <v>5</v>
          </cell>
        </row>
        <row r="205">
          <cell r="B205" t="str">
            <v>00000009893</v>
          </cell>
          <cell r="C205" t="str">
            <v>Лампа світлодіодна LED E27 15W 220</v>
          </cell>
          <cell r="D205" t="str">
            <v>шт</v>
          </cell>
          <cell r="E205">
            <v>4</v>
          </cell>
        </row>
        <row r="206">
          <cell r="B206" t="str">
            <v>00000006813</v>
          </cell>
          <cell r="C206" t="str">
            <v>Лист  4 мм</v>
          </cell>
          <cell r="D206" t="str">
            <v xml:space="preserve"> т</v>
          </cell>
          <cell r="E206">
            <v>0.14399999999999999</v>
          </cell>
        </row>
        <row r="207">
          <cell r="B207" t="str">
            <v>00000003893</v>
          </cell>
          <cell r="C207" t="str">
            <v>Лист  4*1250*2500 3 сп/пс 5</v>
          </cell>
          <cell r="D207" t="str">
            <v xml:space="preserve"> т</v>
          </cell>
          <cell r="E207">
            <v>0.3</v>
          </cell>
        </row>
        <row r="208">
          <cell r="B208" t="str">
            <v>00000003893</v>
          </cell>
          <cell r="C208" t="str">
            <v>Лист  4*1250*2500 3 сп/пс 5</v>
          </cell>
          <cell r="D208" t="str">
            <v xml:space="preserve"> т</v>
          </cell>
          <cell r="E208">
            <v>0.48</v>
          </cell>
        </row>
        <row r="209">
          <cell r="B209" t="str">
            <v>00000003893</v>
          </cell>
          <cell r="C209" t="str">
            <v>Лист  4*1250*2500 3 сп/пс 5</v>
          </cell>
          <cell r="D209" t="str">
            <v xml:space="preserve"> т</v>
          </cell>
          <cell r="E209">
            <v>3.2000000000000001E-2</v>
          </cell>
        </row>
        <row r="210">
          <cell r="B210" t="str">
            <v>00000004469</v>
          </cell>
          <cell r="C210" t="str">
            <v>Лист  8</v>
          </cell>
          <cell r="D210" t="str">
            <v xml:space="preserve"> т</v>
          </cell>
          <cell r="E210">
            <v>0.2</v>
          </cell>
        </row>
        <row r="211">
          <cell r="B211" t="str">
            <v>00000006597</v>
          </cell>
          <cell r="C211" t="str">
            <v xml:space="preserve">Лист  8*1500*6000 </v>
          </cell>
          <cell r="D211" t="str">
            <v xml:space="preserve"> т</v>
          </cell>
          <cell r="E211">
            <v>1.7749999999999999</v>
          </cell>
        </row>
        <row r="212">
          <cell r="B212" t="str">
            <v>00000006597</v>
          </cell>
          <cell r="C212" t="str">
            <v xml:space="preserve">Лист  8*1500*6000 </v>
          </cell>
          <cell r="D212" t="str">
            <v xml:space="preserve"> т</v>
          </cell>
          <cell r="E212">
            <v>1.1319999999999999</v>
          </cell>
        </row>
        <row r="213">
          <cell r="B213" t="str">
            <v>00000017298</v>
          </cell>
          <cell r="C213" t="str">
            <v>Лист 14 (г.к)(1,5х6)imp ((1,5*6,0) S235JR)</v>
          </cell>
          <cell r="D213" t="str">
            <v xml:space="preserve"> т</v>
          </cell>
          <cell r="E213">
            <v>0.1</v>
          </cell>
        </row>
        <row r="214">
          <cell r="B214" t="str">
            <v>00-00005392</v>
          </cell>
          <cell r="C214" t="str">
            <v xml:space="preserve">Лист 3 (г.к)  (1,5х3) </v>
          </cell>
          <cell r="D214" t="str">
            <v xml:space="preserve"> т</v>
          </cell>
          <cell r="E214">
            <v>0.22500000000000001</v>
          </cell>
        </row>
        <row r="215">
          <cell r="B215" t="str">
            <v>00-00005392</v>
          </cell>
          <cell r="C215" t="str">
            <v xml:space="preserve">Лист 3 (г.к)  (1,5х3) </v>
          </cell>
          <cell r="D215" t="str">
            <v xml:space="preserve"> т</v>
          </cell>
          <cell r="E215">
            <v>0.158</v>
          </cell>
        </row>
        <row r="216">
          <cell r="B216" t="str">
            <v>00000017403</v>
          </cell>
          <cell r="C216" t="str">
            <v>Лист 6 (г.к)  (1,5х6) ((1,5*6,0) 14637 3сп5)</v>
          </cell>
          <cell r="D216" t="str">
            <v xml:space="preserve"> т</v>
          </cell>
          <cell r="E216">
            <v>1.4999999999999999E-2</v>
          </cell>
        </row>
        <row r="217">
          <cell r="B217" t="str">
            <v>00000017403</v>
          </cell>
          <cell r="C217" t="str">
            <v>Лист 6 (г.к)  (1,5х6) ((1,5*6,0) 14637 3сп5)</v>
          </cell>
          <cell r="D217" t="str">
            <v xml:space="preserve"> т</v>
          </cell>
          <cell r="E217">
            <v>1.512</v>
          </cell>
        </row>
        <row r="218">
          <cell r="B218" t="str">
            <v>00000004057</v>
          </cell>
          <cell r="C218" t="str">
            <v>Лист ПВЛ 406</v>
          </cell>
          <cell r="D218" t="str">
            <v xml:space="preserve"> т</v>
          </cell>
          <cell r="E218">
            <v>0.255</v>
          </cell>
        </row>
        <row r="219">
          <cell r="B219" t="str">
            <v>00000004057</v>
          </cell>
          <cell r="C219" t="str">
            <v>Лист ПВЛ 406</v>
          </cell>
          <cell r="D219" t="str">
            <v xml:space="preserve"> т</v>
          </cell>
          <cell r="E219">
            <v>0.20499999999999999</v>
          </cell>
        </row>
        <row r="220">
          <cell r="B220" t="str">
            <v>00-00005336</v>
          </cell>
          <cell r="C220" t="str">
            <v>Лійка ліва 90 біла</v>
          </cell>
          <cell r="D220" t="str">
            <v>шт</v>
          </cell>
          <cell r="E220">
            <v>2</v>
          </cell>
        </row>
        <row r="221">
          <cell r="B221" t="str">
            <v>00-00005336</v>
          </cell>
          <cell r="C221" t="str">
            <v>Лійка ліва 90 біла</v>
          </cell>
          <cell r="D221" t="str">
            <v>шт</v>
          </cell>
          <cell r="E221">
            <v>3</v>
          </cell>
        </row>
        <row r="222">
          <cell r="B222" t="str">
            <v>00-00005336</v>
          </cell>
          <cell r="C222" t="str">
            <v>Лійка ліва 90 біла</v>
          </cell>
          <cell r="D222" t="str">
            <v>шт</v>
          </cell>
          <cell r="E222">
            <v>3</v>
          </cell>
        </row>
        <row r="223">
          <cell r="B223" t="str">
            <v>00-00005336</v>
          </cell>
          <cell r="C223" t="str">
            <v>Лійка ліва 90 біла</v>
          </cell>
          <cell r="D223" t="str">
            <v>шт</v>
          </cell>
          <cell r="E223">
            <v>4</v>
          </cell>
        </row>
        <row r="224">
          <cell r="B224" t="str">
            <v>00-00005337</v>
          </cell>
          <cell r="C224" t="str">
            <v>Лійка права 90 біла</v>
          </cell>
          <cell r="D224" t="str">
            <v>шт</v>
          </cell>
          <cell r="E224">
            <v>4</v>
          </cell>
        </row>
        <row r="225">
          <cell r="B225" t="str">
            <v>00-00005337</v>
          </cell>
          <cell r="C225" t="str">
            <v>Лійка права 90 біла</v>
          </cell>
          <cell r="D225" t="str">
            <v>шт</v>
          </cell>
          <cell r="E225">
            <v>3</v>
          </cell>
        </row>
        <row r="226">
          <cell r="B226" t="str">
            <v>00-00005337</v>
          </cell>
          <cell r="C226" t="str">
            <v>Лійка права 90 біла</v>
          </cell>
          <cell r="D226" t="str">
            <v>шт</v>
          </cell>
          <cell r="E226">
            <v>3</v>
          </cell>
        </row>
        <row r="227">
          <cell r="B227" t="str">
            <v>00-00005337</v>
          </cell>
          <cell r="C227" t="str">
            <v>Лійка права 90 біла</v>
          </cell>
          <cell r="D227" t="str">
            <v>шт</v>
          </cell>
          <cell r="E227">
            <v>2</v>
          </cell>
        </row>
        <row r="228">
          <cell r="B228" t="str">
            <v>00-00005441</v>
          </cell>
          <cell r="C228" t="str">
            <v>Люк садовий 73х5 см</v>
          </cell>
          <cell r="D228" t="str">
            <v>шт</v>
          </cell>
          <cell r="E228">
            <v>2</v>
          </cell>
        </row>
        <row r="229">
          <cell r="B229" t="str">
            <v>00-00004975</v>
          </cell>
          <cell r="C229" t="str">
            <v>Мембрана дахова</v>
          </cell>
          <cell r="D229" t="str">
            <v>шт</v>
          </cell>
          <cell r="E229">
            <v>3</v>
          </cell>
        </row>
        <row r="230">
          <cell r="B230" t="str">
            <v>00-00005189</v>
          </cell>
          <cell r="C230" t="str">
            <v>Металопластикова конструкція</v>
          </cell>
          <cell r="D230" t="str">
            <v>м кв</v>
          </cell>
          <cell r="E230">
            <v>9.202</v>
          </cell>
        </row>
        <row r="231">
          <cell r="B231" t="str">
            <v>00-00005419</v>
          </cell>
          <cell r="C231" t="str">
            <v>Муфта ПЕ 25*1" З</v>
          </cell>
          <cell r="D231" t="str">
            <v>шт</v>
          </cell>
          <cell r="E231">
            <v>4</v>
          </cell>
        </row>
        <row r="232">
          <cell r="B232" t="str">
            <v>00000019338</v>
          </cell>
          <cell r="C232" t="str">
            <v>Муфта, PP-R, D=20 мм, сіра 3917400090</v>
          </cell>
          <cell r="D232" t="str">
            <v>шт</v>
          </cell>
          <cell r="E232">
            <v>45</v>
          </cell>
        </row>
        <row r="233">
          <cell r="B233" t="str">
            <v>00-00005182</v>
          </cell>
          <cell r="C233" t="str">
            <v>Насосна станція</v>
          </cell>
          <cell r="D233" t="str">
            <v>шт</v>
          </cell>
          <cell r="E233">
            <v>1</v>
          </cell>
        </row>
        <row r="234">
          <cell r="B234" t="str">
            <v>00000000345</v>
          </cell>
          <cell r="C234" t="str">
            <v>Ніпель латунний, 1\2"</v>
          </cell>
          <cell r="D234" t="str">
            <v>шт</v>
          </cell>
          <cell r="E234">
            <v>58</v>
          </cell>
        </row>
        <row r="235">
          <cell r="B235" t="str">
            <v>00000000107</v>
          </cell>
          <cell r="C235" t="str">
            <v>Обвідне коліно PP-R D=20 mm сірий</v>
          </cell>
          <cell r="D235" t="str">
            <v>шт</v>
          </cell>
          <cell r="E235">
            <v>5</v>
          </cell>
        </row>
        <row r="236">
          <cell r="B236" t="str">
            <v>00000016131</v>
          </cell>
          <cell r="C236" t="str">
            <v xml:space="preserve">Олива моторна  </v>
          </cell>
          <cell r="D236" t="str">
            <v>шт</v>
          </cell>
          <cell r="E236">
            <v>12</v>
          </cell>
        </row>
        <row r="237">
          <cell r="B237" t="str">
            <v>00-00005673</v>
          </cell>
          <cell r="C237" t="str">
            <v>Олива моторна напівсинтетична 4Т 1л</v>
          </cell>
          <cell r="D237" t="str">
            <v>шт</v>
          </cell>
          <cell r="E237">
            <v>11</v>
          </cell>
        </row>
        <row r="238">
          <cell r="B238" t="str">
            <v>00-00004998</v>
          </cell>
          <cell r="C238" t="str">
            <v>Опромінювач бактерицидний</v>
          </cell>
          <cell r="D238" t="str">
            <v>шт</v>
          </cell>
          <cell r="E238">
            <v>4</v>
          </cell>
        </row>
        <row r="239">
          <cell r="B239" t="str">
            <v>00-00004769</v>
          </cell>
          <cell r="C239" t="str">
            <v>Панель ПВХ 250ммх8ммх6000мм</v>
          </cell>
          <cell r="D239" t="str">
            <v>м кв</v>
          </cell>
          <cell r="E239">
            <v>183</v>
          </cell>
        </row>
        <row r="240">
          <cell r="B240" t="str">
            <v>00000022343</v>
          </cell>
          <cell r="C240" t="str">
            <v>Паробар'єр армир. 1,5*44</v>
          </cell>
          <cell r="D240" t="str">
            <v>м кв</v>
          </cell>
          <cell r="E240">
            <v>49</v>
          </cell>
        </row>
        <row r="241">
          <cell r="B241" t="str">
            <v>00000019330</v>
          </cell>
          <cell r="C241" t="str">
            <v>Перехід ексентричний D=50/32 мм 3917400090</v>
          </cell>
          <cell r="D241" t="str">
            <v>шт</v>
          </cell>
          <cell r="E241">
            <v>8</v>
          </cell>
        </row>
        <row r="242">
          <cell r="B242" t="str">
            <v>00-00000555</v>
          </cell>
          <cell r="C242" t="str">
            <v xml:space="preserve">Перехід ексцентричний D=110/50 мм </v>
          </cell>
          <cell r="D242" t="str">
            <v>шт</v>
          </cell>
          <cell r="E242">
            <v>8</v>
          </cell>
        </row>
        <row r="243">
          <cell r="B243" t="str">
            <v>00-00005585</v>
          </cell>
          <cell r="C243" t="str">
            <v>Перехідник  D=25мм*1 B</v>
          </cell>
          <cell r="D243" t="str">
            <v>шт</v>
          </cell>
          <cell r="E243">
            <v>3</v>
          </cell>
        </row>
        <row r="244">
          <cell r="B244" t="str">
            <v>00-00005589</v>
          </cell>
          <cell r="C244" t="str">
            <v>Перехідник  D=25мм*1 Н</v>
          </cell>
          <cell r="D244" t="str">
            <v>шт</v>
          </cell>
          <cell r="E244">
            <v>3</v>
          </cell>
        </row>
        <row r="245">
          <cell r="B245" t="str">
            <v>00-00005142</v>
          </cell>
          <cell r="C245" t="str">
            <v>Перехідник  D=25мм*1/2 B</v>
          </cell>
          <cell r="D245" t="str">
            <v>шт</v>
          </cell>
          <cell r="E245">
            <v>8</v>
          </cell>
        </row>
        <row r="246">
          <cell r="B246" t="str">
            <v>00-00005588</v>
          </cell>
          <cell r="C246" t="str">
            <v>Перехідник латунний 3В 1* 1\2</v>
          </cell>
          <cell r="D246" t="str">
            <v>шт</v>
          </cell>
          <cell r="E246">
            <v>7</v>
          </cell>
        </row>
        <row r="247">
          <cell r="B247" t="str">
            <v>00000000085</v>
          </cell>
          <cell r="C247" t="str">
            <v>Перехідник латунний 3В 3\4* 1\2</v>
          </cell>
          <cell r="D247" t="str">
            <v>шт</v>
          </cell>
          <cell r="E247">
            <v>8</v>
          </cell>
        </row>
        <row r="248">
          <cell r="B248" t="str">
            <v>00000000477</v>
          </cell>
          <cell r="C248" t="str">
            <v>Петля виточена d=20мм (для воріт)</v>
          </cell>
          <cell r="D248" t="str">
            <v>шт</v>
          </cell>
          <cell r="E248">
            <v>10</v>
          </cell>
        </row>
        <row r="249">
          <cell r="B249" t="str">
            <v>00000000477</v>
          </cell>
          <cell r="C249" t="str">
            <v>Петля виточена d=20мм (для воріт)</v>
          </cell>
          <cell r="D249" t="str">
            <v>шт</v>
          </cell>
          <cell r="E249">
            <v>20</v>
          </cell>
        </row>
        <row r="250">
          <cell r="B250" t="str">
            <v>00-00005452</v>
          </cell>
          <cell r="C250" t="str">
            <v>Підп’ятник стелажу СТ Г-подібний пластиковий</v>
          </cell>
          <cell r="D250" t="str">
            <v>шт</v>
          </cell>
          <cell r="E250">
            <v>8</v>
          </cell>
        </row>
        <row r="251">
          <cell r="B251" t="str">
            <v>00-00005452</v>
          </cell>
          <cell r="C251" t="str">
            <v>Підп’ятник стелажу СТ Г-подібний пластиковий</v>
          </cell>
          <cell r="D251" t="str">
            <v>шт</v>
          </cell>
          <cell r="E251">
            <v>32</v>
          </cell>
        </row>
        <row r="252">
          <cell r="B252" t="str">
            <v>00000006591</v>
          </cell>
          <cell r="C252" t="str">
            <v xml:space="preserve">Піна монтажна  880 мл </v>
          </cell>
          <cell r="D252" t="str">
            <v>шт</v>
          </cell>
          <cell r="E252">
            <v>10</v>
          </cell>
        </row>
        <row r="253">
          <cell r="B253" t="str">
            <v>00000010992</v>
          </cell>
          <cell r="C253" t="str">
            <v xml:space="preserve">Піна монтажна Монтажник 500 мл </v>
          </cell>
          <cell r="D253" t="str">
            <v>шт</v>
          </cell>
          <cell r="E253">
            <v>14</v>
          </cell>
        </row>
        <row r="254">
          <cell r="B254" t="str">
            <v>00-00005156</v>
          </cell>
          <cell r="C254" t="str">
            <v>Пінополістерол (100мм) XPS ПСЕ-40 1,2х6 (уп 4шт)</v>
          </cell>
          <cell r="D254" t="str">
            <v>шт</v>
          </cell>
          <cell r="E254">
            <v>850</v>
          </cell>
        </row>
        <row r="255">
          <cell r="B255" t="str">
            <v>00-00005156</v>
          </cell>
          <cell r="C255" t="str">
            <v>Пінополістерол (100мм) XPS ПСЕ-40 1,2х6 (уп 4шт)</v>
          </cell>
          <cell r="D255" t="str">
            <v>шт</v>
          </cell>
          <cell r="E255">
            <v>4</v>
          </cell>
        </row>
        <row r="256">
          <cell r="B256" t="str">
            <v>00-00005156</v>
          </cell>
          <cell r="C256" t="str">
            <v>Пінополістерол (100мм) XPS ПСЕ-40 1,2х6 (уп 4шт)</v>
          </cell>
          <cell r="D256" t="str">
            <v>шт</v>
          </cell>
          <cell r="E256">
            <v>6</v>
          </cell>
        </row>
        <row r="257">
          <cell r="B257" t="str">
            <v>00-00005430</v>
          </cell>
          <cell r="C257" t="str">
            <v xml:space="preserve">Пінополістерол (50мм)  1,0х5 </v>
          </cell>
          <cell r="D257" t="str">
            <v>шт</v>
          </cell>
          <cell r="E257">
            <v>24</v>
          </cell>
        </row>
        <row r="258">
          <cell r="B258" t="str">
            <v>00-00005430</v>
          </cell>
          <cell r="C258" t="str">
            <v xml:space="preserve">Пінополістерол (50мм)  1,0х5 </v>
          </cell>
          <cell r="D258" t="str">
            <v>шт</v>
          </cell>
          <cell r="E258">
            <v>864</v>
          </cell>
        </row>
        <row r="259">
          <cell r="B259" t="str">
            <v>00000003979</v>
          </cell>
          <cell r="C259" t="str">
            <v>Плита OSB-3 10х1250*2500 (шт)</v>
          </cell>
          <cell r="D259" t="str">
            <v>шт</v>
          </cell>
          <cell r="E259">
            <v>152</v>
          </cell>
        </row>
        <row r="260">
          <cell r="B260" t="str">
            <v>00000017652</v>
          </cell>
          <cell r="C260" t="str">
            <v>Плита перекриття 1ПП 15-1</v>
          </cell>
          <cell r="D260" t="str">
            <v>шт</v>
          </cell>
          <cell r="E260">
            <v>1</v>
          </cell>
        </row>
        <row r="261">
          <cell r="B261" t="str">
            <v>00000017652</v>
          </cell>
          <cell r="C261" t="str">
            <v>Плита перекриття 1ПП 15-1</v>
          </cell>
          <cell r="D261" t="str">
            <v>шт</v>
          </cell>
          <cell r="E261">
            <v>1</v>
          </cell>
        </row>
        <row r="262">
          <cell r="B262" t="str">
            <v>00000017652</v>
          </cell>
          <cell r="C262" t="str">
            <v>Плита перекриття 1ПП 15-1</v>
          </cell>
          <cell r="D262" t="str">
            <v>шт</v>
          </cell>
          <cell r="E262">
            <v>2</v>
          </cell>
        </row>
        <row r="263">
          <cell r="B263" t="str">
            <v>00-00000708</v>
          </cell>
          <cell r="C263" t="str">
            <v>Плита типу OSB/3 10,0/2500*1250/1</v>
          </cell>
          <cell r="D263" t="str">
            <v>шт</v>
          </cell>
          <cell r="E263">
            <v>75</v>
          </cell>
        </row>
        <row r="264">
          <cell r="B264" t="str">
            <v>00000021537</v>
          </cell>
          <cell r="C264" t="str">
            <v>Плівка гідроізоляційна підпокрів 75кв м</v>
          </cell>
          <cell r="D264" t="str">
            <v>рул</v>
          </cell>
          <cell r="E264">
            <v>20</v>
          </cell>
        </row>
        <row r="265">
          <cell r="B265" t="str">
            <v>00000006683</v>
          </cell>
          <cell r="C265" t="str">
            <v>Плівка пароізоляційна срібна, 75 м2</v>
          </cell>
          <cell r="D265" t="str">
            <v>рул</v>
          </cell>
          <cell r="E265">
            <v>22</v>
          </cell>
        </row>
        <row r="266">
          <cell r="B266" t="str">
            <v>00-00005183</v>
          </cell>
          <cell r="C266" t="str">
            <v>Плінтус</v>
          </cell>
          <cell r="D266" t="str">
            <v>пог.м</v>
          </cell>
          <cell r="E266">
            <v>95</v>
          </cell>
        </row>
        <row r="267">
          <cell r="B267" t="str">
            <v>00-00005183</v>
          </cell>
          <cell r="C267" t="str">
            <v>Плінтус</v>
          </cell>
          <cell r="D267" t="str">
            <v>пог.м</v>
          </cell>
          <cell r="E267">
            <v>5</v>
          </cell>
        </row>
        <row r="268">
          <cell r="B268" t="str">
            <v>00-00005183</v>
          </cell>
          <cell r="C268" t="str">
            <v>Плінтус</v>
          </cell>
          <cell r="D268" t="str">
            <v>пог.м</v>
          </cell>
          <cell r="E268">
            <v>-95</v>
          </cell>
        </row>
        <row r="269">
          <cell r="B269" t="str">
            <v>00-00005740</v>
          </cell>
          <cell r="C269" t="str">
            <v>Покриття з ПВХ</v>
          </cell>
          <cell r="D269" t="str">
            <v>м кв</v>
          </cell>
          <cell r="E269">
            <v>120</v>
          </cell>
        </row>
        <row r="270">
          <cell r="B270" t="str">
            <v>00-00005740</v>
          </cell>
          <cell r="C270" t="str">
            <v>Покриття з ПВХ</v>
          </cell>
          <cell r="D270" t="str">
            <v>м кв</v>
          </cell>
          <cell r="E270">
            <v>-110</v>
          </cell>
        </row>
        <row r="271">
          <cell r="B271" t="str">
            <v>00-00005715</v>
          </cell>
          <cell r="C271" t="str">
            <v>Поріжок 47,5х5</v>
          </cell>
          <cell r="D271" t="str">
            <v>шт</v>
          </cell>
          <cell r="E271">
            <v>16</v>
          </cell>
        </row>
        <row r="272">
          <cell r="B272" t="str">
            <v>00-00005087</v>
          </cell>
          <cell r="C272" t="str">
            <v>Поручень настінний 02.001-01</v>
          </cell>
          <cell r="D272" t="str">
            <v>шт</v>
          </cell>
          <cell r="E272">
            <v>1</v>
          </cell>
        </row>
        <row r="273">
          <cell r="B273" t="str">
            <v>00-00005087</v>
          </cell>
          <cell r="C273" t="str">
            <v>Поручень настінний 02.001-01</v>
          </cell>
          <cell r="D273" t="str">
            <v>шт</v>
          </cell>
          <cell r="E273">
            <v>2</v>
          </cell>
        </row>
        <row r="274">
          <cell r="B274" t="str">
            <v>00-00005086</v>
          </cell>
          <cell r="C274" t="str">
            <v>Поручень пристінний 500мм 3.005</v>
          </cell>
          <cell r="D274" t="str">
            <v>шт</v>
          </cell>
          <cell r="E274">
            <v>1</v>
          </cell>
        </row>
        <row r="275">
          <cell r="B275" t="str">
            <v>00-00005086</v>
          </cell>
          <cell r="C275" t="str">
            <v>Поручень пристінний 500мм 3.005</v>
          </cell>
          <cell r="D275" t="str">
            <v>шт</v>
          </cell>
          <cell r="E275">
            <v>2</v>
          </cell>
        </row>
        <row r="276">
          <cell r="B276" t="str">
            <v>00-00005155</v>
          </cell>
          <cell r="C276" t="str">
            <v>Провід ПВС 3*4</v>
          </cell>
          <cell r="D276" t="str">
            <v>пог.м</v>
          </cell>
          <cell r="E276">
            <v>80</v>
          </cell>
        </row>
        <row r="277">
          <cell r="B277" t="str">
            <v>00-00005137</v>
          </cell>
          <cell r="C277" t="str">
            <v>Прокладка для унітазу D=90/110мм</v>
          </cell>
          <cell r="D277" t="str">
            <v>шт</v>
          </cell>
          <cell r="E277">
            <v>8</v>
          </cell>
        </row>
        <row r="278">
          <cell r="B278" t="str">
            <v>00-00005444</v>
          </cell>
          <cell r="C278" t="str">
            <v>Профіль АП 005  2,7 м</v>
          </cell>
          <cell r="D278" t="str">
            <v>шт</v>
          </cell>
          <cell r="E278">
            <v>2</v>
          </cell>
        </row>
        <row r="279">
          <cell r="B279" t="str">
            <v>00-00005070</v>
          </cell>
          <cell r="C279" t="str">
            <v xml:space="preserve">Профіль ПС-10 поліестер трапецієпод. </v>
          </cell>
          <cell r="D279" t="str">
            <v>шт</v>
          </cell>
          <cell r="E279">
            <v>30.8</v>
          </cell>
        </row>
        <row r="280">
          <cell r="B280" t="str">
            <v>00-00005365</v>
          </cell>
          <cell r="C280" t="str">
            <v>Профіль ПС-10 поліестер трапецієпод. РЕ 45*9003*АМ</v>
          </cell>
          <cell r="D280" t="str">
            <v>м кв</v>
          </cell>
          <cell r="E280">
            <v>502.71600000000001</v>
          </cell>
        </row>
        <row r="281">
          <cell r="B281" t="str">
            <v>00000017304</v>
          </cell>
          <cell r="C281" t="str">
            <v>Профіль ПС-20 RAL\0,45\1145\7004\РЕ\ТУР(TEZCAN)\300(виробник сировини Туреччина)</v>
          </cell>
          <cell r="D281" t="str">
            <v>м кв</v>
          </cell>
          <cell r="E281">
            <v>334.81799999999998</v>
          </cell>
        </row>
        <row r="282">
          <cell r="B282" t="str">
            <v>00-00005071</v>
          </cell>
          <cell r="C282" t="str">
            <v xml:space="preserve">Профіль ПС-20 поліестер трапецієпод. </v>
          </cell>
          <cell r="D282" t="str">
            <v>шт</v>
          </cell>
          <cell r="E282">
            <v>6</v>
          </cell>
        </row>
        <row r="283">
          <cell r="B283" t="str">
            <v>00-00005071</v>
          </cell>
          <cell r="C283" t="str">
            <v xml:space="preserve">Профіль ПС-20 поліестер трапецієпод. </v>
          </cell>
          <cell r="D283" t="str">
            <v>шт</v>
          </cell>
          <cell r="E283">
            <v>28</v>
          </cell>
        </row>
        <row r="284">
          <cell r="B284" t="str">
            <v>00-00004979</v>
          </cell>
          <cell r="C284" t="str">
            <v>Профіль стартовий 8мм (білий)</v>
          </cell>
          <cell r="D284" t="str">
            <v>пог.м</v>
          </cell>
          <cell r="E284">
            <v>195</v>
          </cell>
        </row>
        <row r="285">
          <cell r="B285" t="str">
            <v>00000021862</v>
          </cell>
          <cell r="C285" t="str">
            <v>Профіль трапецієпод. ПС-8 поліестер RAL 9006</v>
          </cell>
          <cell r="D285" t="str">
            <v>м кв</v>
          </cell>
          <cell r="E285">
            <v>409.49299999999999</v>
          </cell>
        </row>
        <row r="286">
          <cell r="B286" t="str">
            <v>00-00001032</v>
          </cell>
          <cell r="C286" t="str">
            <v>Рамка 1-постова</v>
          </cell>
          <cell r="D286" t="str">
            <v>шт</v>
          </cell>
          <cell r="E286">
            <v>16</v>
          </cell>
        </row>
        <row r="287">
          <cell r="B287" t="str">
            <v>00-00004866</v>
          </cell>
          <cell r="C287" t="str">
            <v>Рейка 50*50*3000</v>
          </cell>
          <cell r="D287" t="str">
            <v>м куб</v>
          </cell>
          <cell r="E287">
            <v>2.5459999999999998</v>
          </cell>
        </row>
        <row r="288">
          <cell r="B288" t="str">
            <v>00-00004866</v>
          </cell>
          <cell r="C288" t="str">
            <v>Рейка 50*50*3000</v>
          </cell>
          <cell r="D288" t="str">
            <v>м куб</v>
          </cell>
          <cell r="E288">
            <v>13.8</v>
          </cell>
        </row>
        <row r="289">
          <cell r="B289" t="str">
            <v>00-00004866</v>
          </cell>
          <cell r="C289" t="str">
            <v>Рейка 50*50*3000</v>
          </cell>
          <cell r="D289" t="str">
            <v>м куб</v>
          </cell>
          <cell r="E289">
            <v>0.69799999999999995</v>
          </cell>
        </row>
        <row r="290">
          <cell r="B290" t="str">
            <v>00-00005925</v>
          </cell>
          <cell r="C290" t="str">
            <v>Рейка суха стругана 50*50 мм (3м)</v>
          </cell>
          <cell r="D290" t="str">
            <v>м</v>
          </cell>
          <cell r="E290">
            <v>819</v>
          </cell>
        </row>
        <row r="291">
          <cell r="B291" t="str">
            <v>00-00005330</v>
          </cell>
          <cell r="C291" t="str">
            <v>Ринва біла 90 мм L=3 м</v>
          </cell>
          <cell r="D291" t="str">
            <v>шт</v>
          </cell>
          <cell r="E291">
            <v>7</v>
          </cell>
        </row>
        <row r="292">
          <cell r="B292" t="str">
            <v>00-00005330</v>
          </cell>
          <cell r="C292" t="str">
            <v>Ринва біла 90 мм L=3 м</v>
          </cell>
          <cell r="D292" t="str">
            <v>шт</v>
          </cell>
          <cell r="E292">
            <v>12</v>
          </cell>
        </row>
        <row r="293">
          <cell r="B293" t="str">
            <v>00-00005330</v>
          </cell>
          <cell r="C293" t="str">
            <v>Ринва біла 90 мм L=3 м</v>
          </cell>
          <cell r="D293" t="str">
            <v>шт</v>
          </cell>
          <cell r="E293">
            <v>1</v>
          </cell>
        </row>
        <row r="294">
          <cell r="B294" t="str">
            <v>00-00005330</v>
          </cell>
          <cell r="C294" t="str">
            <v>Ринва біла 90 мм L=3 м</v>
          </cell>
          <cell r="D294" t="str">
            <v>шт</v>
          </cell>
          <cell r="E294">
            <v>12</v>
          </cell>
        </row>
        <row r="295">
          <cell r="B295" t="str">
            <v>00-00005330</v>
          </cell>
          <cell r="C295" t="str">
            <v>Ринва біла 90 мм L=3 м</v>
          </cell>
          <cell r="D295" t="str">
            <v>шт</v>
          </cell>
          <cell r="E295">
            <v>11</v>
          </cell>
        </row>
        <row r="296">
          <cell r="B296" t="str">
            <v>00000022062</v>
          </cell>
          <cell r="C296" t="str">
            <v>Розетка з з/к, Schneider Electrik Asfora, біл.</v>
          </cell>
          <cell r="D296" t="str">
            <v>шт</v>
          </cell>
          <cell r="E296">
            <v>40</v>
          </cell>
        </row>
        <row r="297">
          <cell r="B297" t="str">
            <v>00000019254</v>
          </cell>
          <cell r="C297" t="str">
            <v>Розетка з кришкою з заземл.конт. з шторк. ІР44, білий, Asfora, SCHNEIDER ELECTRIC</v>
          </cell>
          <cell r="D297" t="str">
            <v>шт</v>
          </cell>
          <cell r="E297">
            <v>10</v>
          </cell>
        </row>
        <row r="298">
          <cell r="B298" t="str">
            <v>00-00005055</v>
          </cell>
          <cell r="C298" t="str">
            <v>Розетка подвійна з з/к</v>
          </cell>
          <cell r="D298" t="str">
            <v>шт</v>
          </cell>
          <cell r="E298">
            <v>180</v>
          </cell>
        </row>
        <row r="299">
          <cell r="B299" t="str">
            <v>00000000615</v>
          </cell>
          <cell r="C299" t="str">
            <v>Розетка стаціонарна наружна 7123 32А 220В 2Р+Е ІР44</v>
          </cell>
          <cell r="D299" t="str">
            <v>шт</v>
          </cell>
          <cell r="E299">
            <v>14</v>
          </cell>
        </row>
        <row r="300">
          <cell r="B300" t="str">
            <v>00000000615</v>
          </cell>
          <cell r="C300" t="str">
            <v>Розетка стаціонарна наружна 7123 32А 220В 2Р+Е ІР44</v>
          </cell>
          <cell r="D300" t="str">
            <v>шт</v>
          </cell>
          <cell r="E300">
            <v>13</v>
          </cell>
        </row>
        <row r="301">
          <cell r="B301" t="str">
            <v>00000000615</v>
          </cell>
          <cell r="C301" t="str">
            <v>Розетка стаціонарна наружна 7123 32А 220В 2Р+Е ІР44</v>
          </cell>
          <cell r="D301" t="str">
            <v>шт</v>
          </cell>
          <cell r="E301">
            <v>28</v>
          </cell>
        </row>
        <row r="302">
          <cell r="B302" t="str">
            <v>00-00000166</v>
          </cell>
          <cell r="C302" t="str">
            <v>Розчинник "White Spirit"</v>
          </cell>
          <cell r="D302" t="str">
            <v>л</v>
          </cell>
          <cell r="E302">
            <v>30</v>
          </cell>
        </row>
        <row r="303">
          <cell r="B303" t="str">
            <v>00-00000166</v>
          </cell>
          <cell r="C303" t="str">
            <v>Розчинник "White Spirit"</v>
          </cell>
          <cell r="D303" t="str">
            <v>л</v>
          </cell>
          <cell r="E303">
            <v>30</v>
          </cell>
        </row>
        <row r="304">
          <cell r="B304" t="str">
            <v>00-00004910</v>
          </cell>
          <cell r="C304" t="str">
            <v>Самонаріз 4,2х16</v>
          </cell>
          <cell r="D304" t="str">
            <v>шт</v>
          </cell>
          <cell r="E304">
            <v>500</v>
          </cell>
        </row>
        <row r="305">
          <cell r="B305" t="str">
            <v>00-00004910</v>
          </cell>
          <cell r="C305" t="str">
            <v>Самонаріз 4,2х16</v>
          </cell>
          <cell r="D305" t="str">
            <v>шт</v>
          </cell>
          <cell r="E305">
            <v>100</v>
          </cell>
        </row>
        <row r="306">
          <cell r="B306" t="str">
            <v>00-00004910</v>
          </cell>
          <cell r="C306" t="str">
            <v>Самонаріз 4,2х16</v>
          </cell>
          <cell r="D306" t="str">
            <v>шт</v>
          </cell>
          <cell r="E306">
            <v>500</v>
          </cell>
        </row>
        <row r="307">
          <cell r="B307" t="str">
            <v>00-00004910</v>
          </cell>
          <cell r="C307" t="str">
            <v>Самонаріз 4,2х16</v>
          </cell>
          <cell r="D307" t="str">
            <v>шт</v>
          </cell>
          <cell r="E307">
            <v>500</v>
          </cell>
        </row>
        <row r="308">
          <cell r="B308" t="str">
            <v>00-00004910</v>
          </cell>
          <cell r="C308" t="str">
            <v>Самонаріз 4,2х16</v>
          </cell>
          <cell r="D308" t="str">
            <v>шт</v>
          </cell>
          <cell r="E308">
            <v>500</v>
          </cell>
        </row>
        <row r="309">
          <cell r="B309" t="str">
            <v>00-00001836</v>
          </cell>
          <cell r="C309" t="str">
            <v>Саморіз  4,8*60</v>
          </cell>
          <cell r="D309" t="str">
            <v>шт</v>
          </cell>
          <cell r="E309">
            <v>500</v>
          </cell>
        </row>
        <row r="310">
          <cell r="B310" t="str">
            <v>00-00005927</v>
          </cell>
          <cell r="C310" t="str">
            <v>Саморіз  5,5*70</v>
          </cell>
          <cell r="D310" t="str">
            <v>шт</v>
          </cell>
          <cell r="E310">
            <v>3000</v>
          </cell>
        </row>
        <row r="311">
          <cell r="B311" t="str">
            <v>00-00005317</v>
          </cell>
          <cell r="C311" t="str">
            <v>Саморіз по металу зі свердлом  4,8*19</v>
          </cell>
          <cell r="D311" t="str">
            <v>шт</v>
          </cell>
          <cell r="E311">
            <v>4750</v>
          </cell>
        </row>
        <row r="312">
          <cell r="B312" t="str">
            <v>00-00005051</v>
          </cell>
          <cell r="C312" t="str">
            <v>Світильник LED 36W/6500К 595*595</v>
          </cell>
          <cell r="D312" t="str">
            <v>шт</v>
          </cell>
          <cell r="E312">
            <v>14</v>
          </cell>
        </row>
        <row r="313">
          <cell r="B313" t="str">
            <v>00-00005051</v>
          </cell>
          <cell r="C313" t="str">
            <v>Світильник LED 36W/6500К 595*595</v>
          </cell>
          <cell r="D313" t="str">
            <v>шт</v>
          </cell>
          <cell r="E313">
            <v>30</v>
          </cell>
        </row>
        <row r="314">
          <cell r="B314" t="str">
            <v>00000022350</v>
          </cell>
          <cell r="C314" t="str">
            <v>Світильник LED L-PRS-1265-18 12W 6500К .накл.</v>
          </cell>
          <cell r="D314" t="str">
            <v>шт</v>
          </cell>
          <cell r="E314">
            <v>40</v>
          </cell>
        </row>
        <row r="315">
          <cell r="B315" t="str">
            <v>00-00005053</v>
          </cell>
          <cell r="C315" t="str">
            <v>Світильник аварійний</v>
          </cell>
          <cell r="D315" t="str">
            <v>шт</v>
          </cell>
          <cell r="E315">
            <v>4</v>
          </cell>
        </row>
        <row r="316">
          <cell r="B316" t="str">
            <v>00-00005054</v>
          </cell>
          <cell r="C316" t="str">
            <v>Світильник стінний</v>
          </cell>
          <cell r="D316" t="str">
            <v>шт</v>
          </cell>
          <cell r="E316">
            <v>4</v>
          </cell>
        </row>
        <row r="317">
          <cell r="B317" t="str">
            <v>00-00005052</v>
          </cell>
          <cell r="C317" t="str">
            <v>Світлодіод акс.Рамка накладного монтажу до LED Panel</v>
          </cell>
          <cell r="D317" t="str">
            <v>шт</v>
          </cell>
          <cell r="E317">
            <v>44</v>
          </cell>
        </row>
        <row r="318">
          <cell r="B318" t="str">
            <v>00000019295</v>
          </cell>
          <cell r="C318" t="str">
            <v>Сендвіч</v>
          </cell>
          <cell r="D318" t="str">
            <v>шт</v>
          </cell>
          <cell r="E318">
            <v>2</v>
          </cell>
        </row>
        <row r="319">
          <cell r="B319" t="str">
            <v>00000019295</v>
          </cell>
          <cell r="C319" t="str">
            <v>Сендвіч</v>
          </cell>
          <cell r="D319" t="str">
            <v>шт</v>
          </cell>
          <cell r="E319">
            <v>2</v>
          </cell>
        </row>
        <row r="320">
          <cell r="B320" t="str">
            <v>00000019295</v>
          </cell>
          <cell r="C320" t="str">
            <v>Сендвіч</v>
          </cell>
          <cell r="D320" t="str">
            <v>шт</v>
          </cell>
          <cell r="E320">
            <v>2</v>
          </cell>
        </row>
        <row r="321">
          <cell r="B321" t="str">
            <v>00000019295</v>
          </cell>
          <cell r="C321" t="str">
            <v>Сендвіч</v>
          </cell>
          <cell r="D321" t="str">
            <v>шт</v>
          </cell>
          <cell r="E321">
            <v>2</v>
          </cell>
        </row>
        <row r="322">
          <cell r="B322" t="str">
            <v>00000019295</v>
          </cell>
          <cell r="C322" t="str">
            <v>Сендвіч</v>
          </cell>
          <cell r="D322" t="str">
            <v>шт</v>
          </cell>
          <cell r="E322">
            <v>2</v>
          </cell>
        </row>
        <row r="323">
          <cell r="B323" t="str">
            <v>00000011561</v>
          </cell>
          <cell r="C323" t="str">
            <v>Сифон для душ.</v>
          </cell>
          <cell r="D323" t="str">
            <v>шт</v>
          </cell>
          <cell r="E323">
            <v>1</v>
          </cell>
        </row>
        <row r="324">
          <cell r="B324" t="str">
            <v>00000019314</v>
          </cell>
          <cell r="C324" t="str">
            <v>Сифон для душ.під., бутил., D=58х40 мм, Н=78 мм, (пласт., гнучкий вих., з хром. криш. D=90 мм) 39229</v>
          </cell>
          <cell r="D324" t="str">
            <v>шт</v>
          </cell>
          <cell r="E324">
            <v>4</v>
          </cell>
        </row>
        <row r="325">
          <cell r="B325" t="str">
            <v>00-00005638</v>
          </cell>
          <cell r="C325" t="str">
            <v xml:space="preserve">Сифон для мийки бутилоч Д=1 1/2"х32мм </v>
          </cell>
          <cell r="D325" t="str">
            <v>шт</v>
          </cell>
          <cell r="E325">
            <v>1</v>
          </cell>
        </row>
        <row r="326">
          <cell r="B326" t="str">
            <v>00-00005638</v>
          </cell>
          <cell r="C326" t="str">
            <v xml:space="preserve">Сифон для мийки бутилоч Д=1 1/2"х32мм </v>
          </cell>
          <cell r="D326" t="str">
            <v>шт</v>
          </cell>
          <cell r="E326">
            <v>21</v>
          </cell>
        </row>
        <row r="327">
          <cell r="B327" t="str">
            <v>00-00005775</v>
          </cell>
          <cell r="C327" t="str">
            <v>Сітка штукатурна оцинкована 12,0*12,0*1,3 мм (1*15м)</v>
          </cell>
          <cell r="D327" t="str">
            <v>пог.м</v>
          </cell>
          <cell r="E327">
            <v>13</v>
          </cell>
        </row>
        <row r="328">
          <cell r="B328" t="str">
            <v>00000021892</v>
          </cell>
          <cell r="C328" t="str">
            <v>Скоба для степлера тимА10мм  1000шт/уп</v>
          </cell>
          <cell r="D328" t="str">
            <v>шт</v>
          </cell>
          <cell r="E328">
            <v>30</v>
          </cell>
        </row>
        <row r="329">
          <cell r="B329" t="str">
            <v>00000021892</v>
          </cell>
          <cell r="C329" t="str">
            <v>Скоба для степлера тимА10мм  1000шт/уп</v>
          </cell>
          <cell r="D329" t="str">
            <v>шт</v>
          </cell>
          <cell r="E329">
            <v>10</v>
          </cell>
        </row>
        <row r="330">
          <cell r="B330" t="str">
            <v>00-00005351</v>
          </cell>
          <cell r="C330" t="str">
            <v>Сповіщувач пожежний димовий СПД-3,4</v>
          </cell>
          <cell r="D330" t="str">
            <v>шт</v>
          </cell>
          <cell r="E330">
            <v>16</v>
          </cell>
        </row>
        <row r="331">
          <cell r="B331" t="str">
            <v>00-00004766</v>
          </cell>
          <cell r="C331" t="str">
            <v>Стартова смуга ПВХ біла 8мм</v>
          </cell>
          <cell r="D331" t="str">
            <v>пог.м</v>
          </cell>
          <cell r="E331">
            <v>204</v>
          </cell>
        </row>
        <row r="332">
          <cell r="B332" t="str">
            <v>00-00005848</v>
          </cell>
          <cell r="C332" t="str">
            <v>Стелаж СТ -4/1 М уп</v>
          </cell>
          <cell r="D332" t="str">
            <v>шт</v>
          </cell>
          <cell r="E332">
            <v>3</v>
          </cell>
        </row>
        <row r="333">
          <cell r="B333" t="str">
            <v>00-00005060</v>
          </cell>
          <cell r="C333" t="str">
            <v>Стелаж СТ 920х460х1820</v>
          </cell>
          <cell r="D333" t="str">
            <v>шт</v>
          </cell>
          <cell r="E333">
            <v>1</v>
          </cell>
        </row>
        <row r="334">
          <cell r="B334" t="str">
            <v>00-00005060</v>
          </cell>
          <cell r="C334" t="str">
            <v>Стелаж СТ 920х460х1820</v>
          </cell>
          <cell r="D334" t="str">
            <v>шт</v>
          </cell>
          <cell r="E334">
            <v>1</v>
          </cell>
        </row>
        <row r="335">
          <cell r="B335" t="str">
            <v>00-00001594</v>
          </cell>
          <cell r="C335" t="str">
            <v>Стіл</v>
          </cell>
          <cell r="D335" t="str">
            <v>шт</v>
          </cell>
          <cell r="E335">
            <v>4</v>
          </cell>
        </row>
        <row r="336">
          <cell r="B336" t="str">
            <v>00-00001594</v>
          </cell>
          <cell r="C336" t="str">
            <v>Стіл</v>
          </cell>
          <cell r="D336" t="str">
            <v>шт</v>
          </cell>
          <cell r="E336">
            <v>4</v>
          </cell>
        </row>
        <row r="337">
          <cell r="B337" t="str">
            <v>00-00001594</v>
          </cell>
          <cell r="C337" t="str">
            <v>Стіл</v>
          </cell>
          <cell r="D337" t="str">
            <v>шт</v>
          </cell>
          <cell r="E337">
            <v>2</v>
          </cell>
        </row>
        <row r="338">
          <cell r="B338" t="str">
            <v>00000000423</v>
          </cell>
          <cell r="C338" t="str">
            <v>Стілець Новий Стиль Jack</v>
          </cell>
          <cell r="D338" t="str">
            <v>шт</v>
          </cell>
          <cell r="E338">
            <v>6</v>
          </cell>
        </row>
        <row r="339">
          <cell r="B339" t="str">
            <v>00000000423</v>
          </cell>
          <cell r="C339" t="str">
            <v>Стілець Новий Стиль Jack</v>
          </cell>
          <cell r="D339" t="str">
            <v>шт</v>
          </cell>
          <cell r="E339">
            <v>8</v>
          </cell>
        </row>
        <row r="340">
          <cell r="B340" t="str">
            <v>00-00005394</v>
          </cell>
          <cell r="C340" t="str">
            <v>Столик маніпуляційний СТ-М</v>
          </cell>
          <cell r="D340" t="str">
            <v>шт</v>
          </cell>
          <cell r="E340">
            <v>1</v>
          </cell>
        </row>
        <row r="341">
          <cell r="B341" t="str">
            <v>00-00005671</v>
          </cell>
          <cell r="C341" t="str">
            <v>Стопор дверний</v>
          </cell>
          <cell r="D341" t="str">
            <v>шт</v>
          </cell>
          <cell r="E341">
            <v>40</v>
          </cell>
        </row>
        <row r="342">
          <cell r="B342" t="str">
            <v>00000021829</v>
          </cell>
          <cell r="C342" t="str">
            <v>Стрічка бітумна 100мм сіра 10м</v>
          </cell>
          <cell r="D342" t="str">
            <v>шт</v>
          </cell>
          <cell r="E342">
            <v>5</v>
          </cell>
        </row>
        <row r="343">
          <cell r="B343" t="str">
            <v>00-00005538</v>
          </cell>
          <cell r="C343" t="str">
            <v>Стрічка гідроізоляційна</v>
          </cell>
          <cell r="D343" t="str">
            <v>пог.м</v>
          </cell>
          <cell r="E343">
            <v>12</v>
          </cell>
        </row>
        <row r="344">
          <cell r="B344" t="str">
            <v>00000017739</v>
          </cell>
          <cell r="C344" t="str">
            <v>Стрічка для швів зі BudMonster 0,05м*25м</v>
          </cell>
          <cell r="D344" t="str">
            <v>шт</v>
          </cell>
          <cell r="E344">
            <v>11</v>
          </cell>
        </row>
        <row r="345">
          <cell r="B345" t="str">
            <v>00-00005428</v>
          </cell>
          <cell r="C345" t="str">
            <v>Стрічка малярна , 38мм*50м</v>
          </cell>
          <cell r="D345" t="str">
            <v>шт</v>
          </cell>
          <cell r="E345">
            <v>2</v>
          </cell>
        </row>
        <row r="346">
          <cell r="B346" t="str">
            <v>00000014686</v>
          </cell>
          <cell r="C346" t="str">
            <v>Стрічка малярна, 48мм*20м</v>
          </cell>
          <cell r="D346" t="str">
            <v>шт</v>
          </cell>
          <cell r="E346">
            <v>4</v>
          </cell>
        </row>
        <row r="347">
          <cell r="B347" t="str">
            <v>00000014686</v>
          </cell>
          <cell r="C347" t="str">
            <v>Стрічка малярна, 48мм*20м</v>
          </cell>
          <cell r="D347" t="str">
            <v>шт</v>
          </cell>
          <cell r="E347">
            <v>10</v>
          </cell>
        </row>
        <row r="348">
          <cell r="B348" t="str">
            <v>00-00005939</v>
          </cell>
          <cell r="C348" t="str">
            <v>Стул Ізо алюм А-01 (потрійні для відвідувачів)</v>
          </cell>
          <cell r="D348" t="str">
            <v>шт</v>
          </cell>
          <cell r="E348">
            <v>4</v>
          </cell>
        </row>
        <row r="349">
          <cell r="B349" t="str">
            <v>00-00005440</v>
          </cell>
          <cell r="C349" t="str">
            <v>Суміш бетонна 25 кг</v>
          </cell>
          <cell r="D349" t="str">
            <v>шт</v>
          </cell>
          <cell r="E349">
            <v>6</v>
          </cell>
        </row>
        <row r="350">
          <cell r="B350" t="str">
            <v>00-00005608</v>
          </cell>
          <cell r="C350" t="str">
            <v>Таблички зі шрифтом Брайля</v>
          </cell>
          <cell r="D350" t="str">
            <v>шт</v>
          </cell>
          <cell r="E350">
            <v>12</v>
          </cell>
        </row>
        <row r="351">
          <cell r="B351" t="str">
            <v>00-00005608</v>
          </cell>
          <cell r="C351" t="str">
            <v>Таблички зі шрифтом Брайля</v>
          </cell>
          <cell r="D351" t="str">
            <v>шт</v>
          </cell>
          <cell r="E351">
            <v>30</v>
          </cell>
        </row>
        <row r="352">
          <cell r="B352" t="str">
            <v>00-00005608</v>
          </cell>
          <cell r="C352" t="str">
            <v>Таблички зі шрифтом Брайля</v>
          </cell>
          <cell r="D352" t="str">
            <v>шт</v>
          </cell>
          <cell r="E352">
            <v>22</v>
          </cell>
        </row>
        <row r="353">
          <cell r="B353" t="str">
            <v>00-00005136</v>
          </cell>
          <cell r="C353" t="str">
            <v>Трійник D=32 мм, 87"30' 3917400090</v>
          </cell>
          <cell r="D353" t="str">
            <v>шт</v>
          </cell>
          <cell r="E353">
            <v>3</v>
          </cell>
        </row>
        <row r="354">
          <cell r="B354" t="str">
            <v>00000019328</v>
          </cell>
          <cell r="C354" t="str">
            <v>Трійник D=50 мм, 87"30' 3917400090</v>
          </cell>
          <cell r="D354" t="str">
            <v>шт</v>
          </cell>
          <cell r="E354">
            <v>5</v>
          </cell>
        </row>
        <row r="355">
          <cell r="B355" t="str">
            <v>00000000100</v>
          </cell>
          <cell r="C355" t="str">
            <v>Трійник PP-R D=20 mm. сірий</v>
          </cell>
          <cell r="D355" t="str">
            <v>шт</v>
          </cell>
          <cell r="E355">
            <v>28</v>
          </cell>
        </row>
        <row r="356">
          <cell r="B356" t="str">
            <v>00000000101</v>
          </cell>
          <cell r="C356" t="str">
            <v>Трійник PP-R D=20 mm. х1\2 Н сірий</v>
          </cell>
          <cell r="D356" t="str">
            <v>шт</v>
          </cell>
          <cell r="E356">
            <v>37</v>
          </cell>
        </row>
        <row r="357">
          <cell r="B357" t="str">
            <v>00000021706</v>
          </cell>
          <cell r="C357" t="str">
            <v>Трійник редукційний D=110-50 мм, 87° 30 ' 3917400090</v>
          </cell>
          <cell r="D357" t="str">
            <v>шт</v>
          </cell>
          <cell r="E357">
            <v>16</v>
          </cell>
        </row>
        <row r="358">
          <cell r="B358" t="str">
            <v>00-00005856</v>
          </cell>
          <cell r="C358" t="str">
            <v xml:space="preserve">Труба  50*25*2 </v>
          </cell>
          <cell r="D358" t="str">
            <v>пог.м</v>
          </cell>
          <cell r="E358">
            <v>822</v>
          </cell>
        </row>
        <row r="359">
          <cell r="B359" t="str">
            <v>00000008851</v>
          </cell>
          <cell r="C359" t="str">
            <v xml:space="preserve">Труба  50*50*2 </v>
          </cell>
          <cell r="D359" t="str">
            <v>пог.м</v>
          </cell>
          <cell r="E359">
            <v>1452</v>
          </cell>
        </row>
        <row r="360">
          <cell r="B360" t="str">
            <v>00-00005598</v>
          </cell>
          <cell r="C360" t="str">
            <v>труба 100х100х3 мм; ст.1-3пс; 12 м</v>
          </cell>
          <cell r="D360" t="str">
            <v>пог.м</v>
          </cell>
          <cell r="E360">
            <v>598</v>
          </cell>
        </row>
        <row r="361">
          <cell r="B361" t="str">
            <v>00-00005598</v>
          </cell>
          <cell r="C361" t="str">
            <v>труба 100х100х3 мм; ст.1-3пс; 12 м</v>
          </cell>
          <cell r="D361" t="str">
            <v>пог.м</v>
          </cell>
          <cell r="E361">
            <v>704</v>
          </cell>
        </row>
        <row r="362">
          <cell r="B362" t="str">
            <v>00-00005598</v>
          </cell>
          <cell r="C362" t="str">
            <v>труба 100х100х3 мм; ст.1-3пс; 12 м</v>
          </cell>
          <cell r="D362" t="str">
            <v>пог.м</v>
          </cell>
          <cell r="E362">
            <v>677</v>
          </cell>
        </row>
        <row r="363">
          <cell r="B363" t="str">
            <v>00-00004813</v>
          </cell>
          <cell r="C363" t="str">
            <v>Труба 40*20*1,2</v>
          </cell>
          <cell r="D363" t="str">
            <v>т</v>
          </cell>
          <cell r="E363">
            <v>0.23499999999999999</v>
          </cell>
        </row>
        <row r="364">
          <cell r="B364" t="str">
            <v>00-00004736</v>
          </cell>
          <cell r="C364" t="str">
            <v>Труба 40х20х2 мм; ст. 1-3пс; 6 м</v>
          </cell>
          <cell r="D364" t="str">
            <v>пог.м</v>
          </cell>
          <cell r="E364">
            <v>166</v>
          </cell>
        </row>
        <row r="365">
          <cell r="B365" t="str">
            <v>00-00004736</v>
          </cell>
          <cell r="C365" t="str">
            <v>Труба 40х20х2 мм; ст. 1-3пс; 6 м</v>
          </cell>
          <cell r="D365" t="str">
            <v>пог.м</v>
          </cell>
          <cell r="E365">
            <v>166</v>
          </cell>
        </row>
        <row r="366">
          <cell r="B366" t="str">
            <v>00-00004059</v>
          </cell>
          <cell r="C366" t="str">
            <v>Труба 40х20х3 мм; ст. 1-3пс; 6 м</v>
          </cell>
          <cell r="D366" t="str">
            <v>т</v>
          </cell>
          <cell r="E366">
            <v>0.155</v>
          </cell>
        </row>
        <row r="367">
          <cell r="B367" t="str">
            <v>00-00005601</v>
          </cell>
          <cell r="C367" t="str">
            <v>Труба 40х40х2 мм; ст. 1-3пс; 6 м</v>
          </cell>
          <cell r="D367" t="str">
            <v>пог.м</v>
          </cell>
          <cell r="E367">
            <v>399.2</v>
          </cell>
        </row>
        <row r="368">
          <cell r="B368" t="str">
            <v>00-00004806</v>
          </cell>
          <cell r="C368" t="str">
            <v>Труба 50х25х2</v>
          </cell>
          <cell r="D368" t="str">
            <v>пог.м</v>
          </cell>
          <cell r="E368">
            <v>381</v>
          </cell>
        </row>
        <row r="369">
          <cell r="B369" t="str">
            <v>00-00004994</v>
          </cell>
          <cell r="C369" t="str">
            <v>труба 50х50х2 мм 6 м</v>
          </cell>
          <cell r="D369" t="str">
            <v>пог.м</v>
          </cell>
          <cell r="E369">
            <v>244</v>
          </cell>
        </row>
        <row r="370">
          <cell r="B370" t="str">
            <v>00-00004994</v>
          </cell>
          <cell r="C370" t="str">
            <v>труба 50х50х2 мм 6 м</v>
          </cell>
          <cell r="D370" t="str">
            <v>пог.м</v>
          </cell>
          <cell r="E370">
            <v>1454</v>
          </cell>
        </row>
        <row r="371">
          <cell r="B371" t="str">
            <v>00-00004994</v>
          </cell>
          <cell r="C371" t="str">
            <v>труба 50х50х2 мм 6 м</v>
          </cell>
          <cell r="D371" t="str">
            <v>пог.м</v>
          </cell>
          <cell r="E371">
            <v>1614</v>
          </cell>
        </row>
        <row r="372">
          <cell r="B372" t="str">
            <v>00-00005335</v>
          </cell>
          <cell r="C372" t="str">
            <v>Труба водостічна 75 мм L=3 м біла</v>
          </cell>
          <cell r="D372" t="str">
            <v>шт</v>
          </cell>
          <cell r="E372">
            <v>4</v>
          </cell>
        </row>
        <row r="373">
          <cell r="B373" t="str">
            <v>00-00005335</v>
          </cell>
          <cell r="C373" t="str">
            <v>Труба водостічна 75 мм L=3 м біла</v>
          </cell>
          <cell r="D373" t="str">
            <v>шт</v>
          </cell>
          <cell r="E373">
            <v>7</v>
          </cell>
        </row>
        <row r="374">
          <cell r="B374" t="str">
            <v>00-00005335</v>
          </cell>
          <cell r="C374" t="str">
            <v>Труба водостічна 75 мм L=3 м біла</v>
          </cell>
          <cell r="D374" t="str">
            <v>шт</v>
          </cell>
          <cell r="E374">
            <v>6</v>
          </cell>
        </row>
        <row r="375">
          <cell r="B375" t="str">
            <v>00-00005335</v>
          </cell>
          <cell r="C375" t="str">
            <v>Труба водостічна 75 мм L=3 м біла</v>
          </cell>
          <cell r="D375" t="str">
            <v>шт</v>
          </cell>
          <cell r="E375">
            <v>7</v>
          </cell>
        </row>
        <row r="376">
          <cell r="B376" t="str">
            <v>00000018042</v>
          </cell>
          <cell r="C376" t="str">
            <v>Труба гнучка двошарова електротехнічна з поліетилену, зі сталевою затяжкою для зонду та муфтою, зов.</v>
          </cell>
          <cell r="D376" t="str">
            <v>м</v>
          </cell>
          <cell r="E376">
            <v>70</v>
          </cell>
        </row>
        <row r="377">
          <cell r="B377" t="str">
            <v>00-00003936</v>
          </cell>
          <cell r="C377" t="str">
            <v>Труба каналізаційна 110х3,2х1000мм зовн</v>
          </cell>
          <cell r="D377" t="str">
            <v>шт</v>
          </cell>
          <cell r="E377">
            <v>8</v>
          </cell>
        </row>
        <row r="378">
          <cell r="B378" t="str">
            <v>00-00005583</v>
          </cell>
          <cell r="C378" t="str">
            <v>Труба каналізаційна ПВХ 110х3,2х3000</v>
          </cell>
          <cell r="D378" t="str">
            <v>шт</v>
          </cell>
          <cell r="E378">
            <v>16</v>
          </cell>
        </row>
        <row r="379">
          <cell r="B379" t="str">
            <v>00-00005700</v>
          </cell>
          <cell r="C379" t="str">
            <v>Труба ПВХ гнучка гофр. д.20мм, 220Н 5/см пог. стандартна з протяжкою, сірий колір</v>
          </cell>
          <cell r="D379" t="str">
            <v>м</v>
          </cell>
          <cell r="E379">
            <v>1920</v>
          </cell>
        </row>
        <row r="380">
          <cell r="B380" t="str">
            <v>00000009068</v>
          </cell>
          <cell r="C380" t="str">
            <v>Труба ПВХ гнучка гофр. д.20мм, Light (220 Н 5/см пог.), з протяжкою, сіра</v>
          </cell>
          <cell r="D380" t="str">
            <v>м</v>
          </cell>
          <cell r="E380">
            <v>375</v>
          </cell>
        </row>
        <row r="381">
          <cell r="B381" t="str">
            <v>00-00005143</v>
          </cell>
          <cell r="C381" t="str">
            <v>Труба полиєтиленова р=12,5 бар D=25мм</v>
          </cell>
          <cell r="D381" t="str">
            <v>м</v>
          </cell>
          <cell r="E381">
            <v>100</v>
          </cell>
        </row>
        <row r="382">
          <cell r="B382" t="str">
            <v>00-00005131</v>
          </cell>
          <cell r="C382" t="str">
            <v>Труба поліпропіленова каналізаційна d=32  мм І=1000 мм</v>
          </cell>
          <cell r="D382" t="str">
            <v>шт</v>
          </cell>
          <cell r="E382">
            <v>4</v>
          </cell>
        </row>
        <row r="383">
          <cell r="B383" t="str">
            <v>00-00005129</v>
          </cell>
          <cell r="C383" t="str">
            <v>Труба поліпропіленова каналізаційна d=32  мм І=2000 мм</v>
          </cell>
          <cell r="D383" t="str">
            <v>шт</v>
          </cell>
          <cell r="E383">
            <v>20</v>
          </cell>
        </row>
        <row r="384">
          <cell r="B384" t="str">
            <v>00-00005130</v>
          </cell>
          <cell r="C384" t="str">
            <v>Труба поліпропіленова каналізаційна d=32  мм І=500 мм</v>
          </cell>
          <cell r="D384" t="str">
            <v>шт</v>
          </cell>
          <cell r="E384">
            <v>20</v>
          </cell>
        </row>
        <row r="385">
          <cell r="B385" t="str">
            <v>00000000589</v>
          </cell>
          <cell r="C385" t="str">
            <v>Труба поліпропіленова, PP-R/F, RN 20бар, 20 мм сіра</v>
          </cell>
          <cell r="D385" t="str">
            <v>м</v>
          </cell>
          <cell r="E385">
            <v>148</v>
          </cell>
        </row>
        <row r="386">
          <cell r="B386" t="str">
            <v>00-00005582</v>
          </cell>
          <cell r="C386" t="str">
            <v>Труба поліпропіленова, каналізаційна, d=50 мм, l=1500 мм 3917221000</v>
          </cell>
          <cell r="D386" t="str">
            <v>шт</v>
          </cell>
          <cell r="E386">
            <v>4</v>
          </cell>
        </row>
        <row r="387">
          <cell r="B387" t="str">
            <v>00-00005350</v>
          </cell>
          <cell r="C387" t="str">
            <v xml:space="preserve">Труба поліпропіленова, каналізаційна, d=50 мм, l=500 мм </v>
          </cell>
          <cell r="D387" t="str">
            <v>шт</v>
          </cell>
          <cell r="E387">
            <v>4</v>
          </cell>
        </row>
        <row r="388">
          <cell r="B388" t="str">
            <v>00000007615</v>
          </cell>
          <cell r="C388" t="str">
            <v>Труба профільна 100*100*3</v>
          </cell>
          <cell r="D388" t="str">
            <v>т</v>
          </cell>
          <cell r="E388">
            <v>2.6349999999999998</v>
          </cell>
        </row>
        <row r="389">
          <cell r="B389" t="str">
            <v>00-00005393</v>
          </cell>
          <cell r="C389" t="str">
            <v>Труба профільна 40*25*2</v>
          </cell>
          <cell r="D389" t="str">
            <v xml:space="preserve"> т</v>
          </cell>
          <cell r="E389">
            <v>0.61</v>
          </cell>
        </row>
        <row r="390">
          <cell r="B390" t="str">
            <v>00-00000803</v>
          </cell>
          <cell r="C390" t="str">
            <v>Труба профільна 50*25*2  L=6000 мм ст1-3 сп/пс</v>
          </cell>
          <cell r="D390" t="str">
            <v>т</v>
          </cell>
          <cell r="E390">
            <v>2.0499999999999998</v>
          </cell>
        </row>
        <row r="391">
          <cell r="B391" t="str">
            <v>00000009882</v>
          </cell>
          <cell r="C391" t="str">
            <v>Труба профільна 50*50*4  L=6000 мм стS235JRH</v>
          </cell>
          <cell r="D391" t="str">
            <v>т</v>
          </cell>
          <cell r="E391">
            <v>3.5000000000000003E-2</v>
          </cell>
        </row>
        <row r="392">
          <cell r="B392" t="str">
            <v>00-00004988</v>
          </cell>
          <cell r="C392" t="str">
            <v>Тумба мобільна 40,6х42,3х58,4</v>
          </cell>
          <cell r="D392" t="str">
            <v>шт</v>
          </cell>
          <cell r="E392">
            <v>8</v>
          </cell>
        </row>
        <row r="393">
          <cell r="B393" t="str">
            <v>00-00005145</v>
          </cell>
          <cell r="C393" t="str">
            <v xml:space="preserve">Умивальник </v>
          </cell>
          <cell r="D393" t="str">
            <v>шт</v>
          </cell>
          <cell r="E393">
            <v>20</v>
          </cell>
        </row>
        <row r="394">
          <cell r="B394" t="str">
            <v>00000000396</v>
          </cell>
          <cell r="C394" t="str">
            <v>Універсальний шуруп 5,0х70 потай</v>
          </cell>
          <cell r="D394" t="str">
            <v>шт</v>
          </cell>
          <cell r="E394">
            <v>5000</v>
          </cell>
        </row>
        <row r="395">
          <cell r="B395" t="str">
            <v>00000000396</v>
          </cell>
          <cell r="C395" t="str">
            <v>Універсальний шуруп 5,0х70 потай</v>
          </cell>
          <cell r="D395" t="str">
            <v>шт</v>
          </cell>
          <cell r="E395">
            <v>5000</v>
          </cell>
        </row>
        <row r="396">
          <cell r="B396" t="str">
            <v>00000000396</v>
          </cell>
          <cell r="C396" t="str">
            <v>Універсальний шуруп 5,0х70 потай</v>
          </cell>
          <cell r="D396" t="str">
            <v>шт</v>
          </cell>
          <cell r="E396">
            <v>5000</v>
          </cell>
        </row>
        <row r="397">
          <cell r="B397" t="str">
            <v>00000000396</v>
          </cell>
          <cell r="C397" t="str">
            <v>Універсальний шуруп 5,0х70 потай</v>
          </cell>
          <cell r="D397" t="str">
            <v>шт</v>
          </cell>
          <cell r="E397">
            <v>5000</v>
          </cell>
        </row>
        <row r="398">
          <cell r="B398" t="str">
            <v>00000000395</v>
          </cell>
          <cell r="C398" t="str">
            <v>Універсальний шуруп 5,0х90 потай</v>
          </cell>
          <cell r="D398" t="str">
            <v>шт</v>
          </cell>
          <cell r="E398">
            <v>300</v>
          </cell>
        </row>
        <row r="399">
          <cell r="B399" t="str">
            <v>00000000395</v>
          </cell>
          <cell r="C399" t="str">
            <v>Універсальний шуруп 5,0х90 потай</v>
          </cell>
          <cell r="D399" t="str">
            <v>шт</v>
          </cell>
          <cell r="E399">
            <v>360</v>
          </cell>
        </row>
        <row r="400">
          <cell r="B400" t="str">
            <v>00-00000960</v>
          </cell>
          <cell r="C400" t="str">
            <v>Унітаз-Компакт підлоговий</v>
          </cell>
          <cell r="D400" t="str">
            <v>шт</v>
          </cell>
          <cell r="E400">
            <v>8</v>
          </cell>
        </row>
        <row r="401">
          <cell r="B401" t="str">
            <v>00-00000408</v>
          </cell>
          <cell r="C401" t="str">
            <v>Утеплювач Кнауф 1250*610*50  12,2м кв.36шт/уп</v>
          </cell>
          <cell r="D401" t="str">
            <v>пак</v>
          </cell>
          <cell r="E401">
            <v>26</v>
          </cell>
        </row>
        <row r="402">
          <cell r="B402" t="str">
            <v>00-00000408</v>
          </cell>
          <cell r="C402" t="str">
            <v>Утеплювач Кнауф 1250*610*50  12,2м кв.36шт/уп</v>
          </cell>
          <cell r="D402" t="str">
            <v>пак</v>
          </cell>
          <cell r="E402">
            <v>250</v>
          </cell>
        </row>
        <row r="403">
          <cell r="B403" t="str">
            <v>00-00005422</v>
          </cell>
          <cell r="C403" t="str">
            <v>Хомут для врізки 50х1</v>
          </cell>
          <cell r="D403" t="str">
            <v>шт</v>
          </cell>
          <cell r="E403">
            <v>4</v>
          </cell>
        </row>
        <row r="404">
          <cell r="B404" t="str">
            <v>00000000104</v>
          </cell>
          <cell r="C404" t="str">
            <v>Хомут для труб  PP-R одинарний D=20 mm</v>
          </cell>
          <cell r="D404" t="str">
            <v>шт</v>
          </cell>
          <cell r="E404">
            <v>211</v>
          </cell>
        </row>
        <row r="405">
          <cell r="B405" t="str">
            <v>00-00005531</v>
          </cell>
          <cell r="C405" t="str">
            <v>Цвях для пневмостеплера 38мм 5000шт/уп</v>
          </cell>
          <cell r="D405" t="str">
            <v>шт</v>
          </cell>
          <cell r="E405">
            <v>2</v>
          </cell>
        </row>
        <row r="406">
          <cell r="B406" t="str">
            <v>00-00005659</v>
          </cell>
          <cell r="C406" t="str">
            <v>Цвях для пневмостеплера 50мм 5000шт/уп</v>
          </cell>
          <cell r="D406" t="str">
            <v>шт</v>
          </cell>
          <cell r="E406">
            <v>1</v>
          </cell>
        </row>
        <row r="407">
          <cell r="B407" t="str">
            <v>00-00001209</v>
          </cell>
          <cell r="C407" t="str">
            <v>Цвях для степлера 32мм 5000шт/уп</v>
          </cell>
          <cell r="D407" t="str">
            <v>шт</v>
          </cell>
          <cell r="E407">
            <v>1</v>
          </cell>
        </row>
        <row r="408">
          <cell r="B408" t="str">
            <v>00-00004980</v>
          </cell>
          <cell r="C408" t="str">
            <v>Цементно-стружкова плита  3200*1250*20 мм</v>
          </cell>
          <cell r="D408" t="str">
            <v>шт</v>
          </cell>
          <cell r="E408">
            <v>88</v>
          </cell>
        </row>
        <row r="409">
          <cell r="B409" t="str">
            <v>00-00004980</v>
          </cell>
          <cell r="C409" t="str">
            <v>Цементно-стружкова плита  3200*1250*20 мм</v>
          </cell>
          <cell r="D409" t="str">
            <v>шт</v>
          </cell>
          <cell r="E409">
            <v>50</v>
          </cell>
        </row>
        <row r="410">
          <cell r="B410" t="str">
            <v>00-00004980</v>
          </cell>
          <cell r="C410" t="str">
            <v>Цементно-стружкова плита  3200*1250*20 мм</v>
          </cell>
          <cell r="D410" t="str">
            <v>шт</v>
          </cell>
          <cell r="E410">
            <v>2</v>
          </cell>
        </row>
        <row r="411">
          <cell r="B411" t="str">
            <v>00-00004980</v>
          </cell>
          <cell r="C411" t="str">
            <v>Цементно-стружкова плита  3200*1250*20 мм</v>
          </cell>
          <cell r="D411" t="str">
            <v>шт</v>
          </cell>
          <cell r="E411">
            <v>77</v>
          </cell>
        </row>
        <row r="412">
          <cell r="B412" t="str">
            <v>00-00005059</v>
          </cell>
          <cell r="C412" t="str">
            <v xml:space="preserve">Шафа для одягу ШО-300/1 </v>
          </cell>
          <cell r="D412" t="str">
            <v>шт</v>
          </cell>
          <cell r="E412">
            <v>3</v>
          </cell>
        </row>
        <row r="413">
          <cell r="B413" t="str">
            <v>00-00005059</v>
          </cell>
          <cell r="C413" t="str">
            <v xml:space="preserve">Шафа для одягу ШО-300/1 </v>
          </cell>
          <cell r="D413" t="str">
            <v>шт</v>
          </cell>
          <cell r="E413">
            <v>3</v>
          </cell>
        </row>
        <row r="414">
          <cell r="B414" t="str">
            <v>00-00000260</v>
          </cell>
          <cell r="C414" t="str">
            <v>Шафа ШМ-М</v>
          </cell>
          <cell r="D414" t="str">
            <v>шт</v>
          </cell>
          <cell r="E414">
            <v>2</v>
          </cell>
        </row>
        <row r="415">
          <cell r="B415" t="str">
            <v>00-00000260</v>
          </cell>
          <cell r="C415" t="str">
            <v>Шафа ШМ-М</v>
          </cell>
          <cell r="D415" t="str">
            <v>шт</v>
          </cell>
          <cell r="E415">
            <v>1</v>
          </cell>
        </row>
        <row r="416">
          <cell r="B416" t="str">
            <v>00-00005395</v>
          </cell>
          <cell r="C416" t="str">
            <v>Шафа ШМ-М-М</v>
          </cell>
          <cell r="D416" t="str">
            <v>шт</v>
          </cell>
          <cell r="E416">
            <v>2</v>
          </cell>
        </row>
        <row r="417">
          <cell r="B417" t="str">
            <v>00000015090</v>
          </cell>
          <cell r="C417" t="str">
            <v>Шина нульова 6*9</v>
          </cell>
          <cell r="D417" t="str">
            <v>шт</v>
          </cell>
          <cell r="E417">
            <v>32</v>
          </cell>
        </row>
        <row r="418">
          <cell r="B418" t="str">
            <v>00-00005768</v>
          </cell>
          <cell r="C418" t="str">
            <v>Шпаклівка по дереву 1,5 кг</v>
          </cell>
          <cell r="D418" t="str">
            <v>шт</v>
          </cell>
          <cell r="E418">
            <v>1</v>
          </cell>
        </row>
        <row r="419">
          <cell r="B419" t="str">
            <v>00-00004852</v>
          </cell>
          <cell r="C419" t="str">
            <v>Шпилька  М24 DIN 975 ЦБ</v>
          </cell>
          <cell r="D419" t="str">
            <v>шт</v>
          </cell>
          <cell r="E419">
            <v>8</v>
          </cell>
        </row>
        <row r="420">
          <cell r="B420" t="str">
            <v>00-00004851</v>
          </cell>
          <cell r="C420" t="str">
            <v>Шпилька  М48 DIN975</v>
          </cell>
          <cell r="D420" t="str">
            <v>шт</v>
          </cell>
          <cell r="E420">
            <v>4</v>
          </cell>
        </row>
        <row r="421">
          <cell r="B421" t="str">
            <v>00000012126</v>
          </cell>
          <cell r="C421" t="str">
            <v>Шуруп 3,5*25 пкр</v>
          </cell>
          <cell r="D421" t="str">
            <v>шт</v>
          </cell>
          <cell r="E421">
            <v>2000</v>
          </cell>
        </row>
        <row r="422">
          <cell r="B422" t="str">
            <v>00000004659</v>
          </cell>
          <cell r="C422" t="str">
            <v>Шуруп 4,5х45</v>
          </cell>
          <cell r="D422" t="str">
            <v>шт</v>
          </cell>
          <cell r="E422">
            <v>5000</v>
          </cell>
        </row>
        <row r="423">
          <cell r="B423" t="str">
            <v>00000004659</v>
          </cell>
          <cell r="C423" t="str">
            <v>Шуруп 4,5х45</v>
          </cell>
          <cell r="D423" t="str">
            <v>шт</v>
          </cell>
          <cell r="E423">
            <v>5000</v>
          </cell>
        </row>
        <row r="424">
          <cell r="B424" t="str">
            <v>00000004659</v>
          </cell>
          <cell r="C424" t="str">
            <v>Шуруп 4,5х45</v>
          </cell>
          <cell r="D424" t="str">
            <v>шт</v>
          </cell>
          <cell r="E424">
            <v>5000</v>
          </cell>
        </row>
        <row r="425">
          <cell r="B425" t="str">
            <v>00000004659</v>
          </cell>
          <cell r="C425" t="str">
            <v>Шуруп 4,5х45</v>
          </cell>
          <cell r="D425" t="str">
            <v>шт</v>
          </cell>
          <cell r="E425">
            <v>2000</v>
          </cell>
        </row>
        <row r="426">
          <cell r="B426" t="str">
            <v>00000004453</v>
          </cell>
          <cell r="C426" t="str">
            <v>Шуруп 4х45</v>
          </cell>
          <cell r="D426" t="str">
            <v>шт</v>
          </cell>
          <cell r="E426">
            <v>900</v>
          </cell>
        </row>
        <row r="427">
          <cell r="B427" t="str">
            <v>00000004453</v>
          </cell>
          <cell r="C427" t="str">
            <v>Шуруп 4х45</v>
          </cell>
          <cell r="D427" t="str">
            <v>шт</v>
          </cell>
          <cell r="E427">
            <v>500</v>
          </cell>
        </row>
        <row r="428">
          <cell r="B428" t="str">
            <v>00000004453</v>
          </cell>
          <cell r="C428" t="str">
            <v>Шуруп 4х45</v>
          </cell>
          <cell r="D428" t="str">
            <v>шт</v>
          </cell>
          <cell r="E428">
            <v>5000</v>
          </cell>
        </row>
        <row r="429">
          <cell r="B429" t="str">
            <v>00-00005765</v>
          </cell>
          <cell r="C429" t="str">
            <v>Шуруп 4х70</v>
          </cell>
          <cell r="D429" t="str">
            <v>шт</v>
          </cell>
          <cell r="E429">
            <v>500</v>
          </cell>
        </row>
        <row r="430">
          <cell r="B430" t="str">
            <v>00000002054</v>
          </cell>
          <cell r="C430" t="str">
            <v>Шуруп г/к по дереву 3,5*35 мм</v>
          </cell>
          <cell r="D430" t="str">
            <v>шт</v>
          </cell>
          <cell r="E430">
            <v>700</v>
          </cell>
        </row>
        <row r="431">
          <cell r="B431" t="str">
            <v>00000002054</v>
          </cell>
          <cell r="C431" t="str">
            <v>Шуруп г/к по дереву 3,5*35 мм</v>
          </cell>
          <cell r="D431" t="str">
            <v>шт</v>
          </cell>
          <cell r="E431">
            <v>1300</v>
          </cell>
        </row>
        <row r="432">
          <cell r="B432" t="str">
            <v>00000002054</v>
          </cell>
          <cell r="C432" t="str">
            <v>Шуруп г/к по дереву 3,5*35 мм</v>
          </cell>
          <cell r="D432" t="str">
            <v>шт</v>
          </cell>
          <cell r="E432">
            <v>1300</v>
          </cell>
        </row>
        <row r="433">
          <cell r="B433" t="str">
            <v>00000002054</v>
          </cell>
          <cell r="C433" t="str">
            <v>Шуруп г/к по дереву 3,5*35 мм</v>
          </cell>
          <cell r="D433" t="str">
            <v>шт</v>
          </cell>
          <cell r="E433">
            <v>5000</v>
          </cell>
        </row>
        <row r="434">
          <cell r="B434" t="str">
            <v>00-00005838</v>
          </cell>
          <cell r="C434" t="str">
            <v>Щебінь 5-20</v>
          </cell>
          <cell r="D434" t="str">
            <v>м куб</v>
          </cell>
          <cell r="E434">
            <v>2</v>
          </cell>
        </row>
        <row r="435">
          <cell r="B435" t="str">
            <v>00-00005045</v>
          </cell>
          <cell r="C435" t="str">
            <v>Щиток пластик. 4 мод.зовн.устан.</v>
          </cell>
          <cell r="D435" t="str">
            <v>шт</v>
          </cell>
          <cell r="E435">
            <v>21</v>
          </cell>
        </row>
        <row r="436">
          <cell r="B436" t="str">
            <v>00-00005044</v>
          </cell>
          <cell r="C436" t="str">
            <v>Щиток пластик. 6 мод.зовн.устан.</v>
          </cell>
          <cell r="D436" t="str">
            <v>шт</v>
          </cell>
          <cell r="E436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83FE-A7CB-4A86-9F77-1CAE1316AE3C}">
  <sheetPr>
    <tabColor rgb="FFFFFF00"/>
    <pageSetUpPr fitToPage="1"/>
  </sheetPr>
  <dimension ref="A1:U484"/>
  <sheetViews>
    <sheetView topLeftCell="K453" zoomScale="92" zoomScaleNormal="92" workbookViewId="0">
      <selection activeCell="Q471" sqref="Q471"/>
    </sheetView>
  </sheetViews>
  <sheetFormatPr defaultRowHeight="14.4" x14ac:dyDescent="0.3"/>
  <cols>
    <col min="1" max="1" width="6.6640625" style="287" customWidth="1"/>
    <col min="2" max="2" width="63.109375" customWidth="1"/>
    <col min="3" max="3" width="10.44140625" style="287" customWidth="1"/>
    <col min="4" max="4" width="11.109375" style="287" customWidth="1"/>
    <col min="5" max="5" width="13.109375" style="287" customWidth="1"/>
    <col min="6" max="6" width="20.109375" style="287" customWidth="1"/>
    <col min="7" max="11" width="13.109375" style="287" customWidth="1"/>
    <col min="12" max="12" width="17.33203125" style="4" customWidth="1"/>
    <col min="13" max="13" width="61" style="4" customWidth="1"/>
    <col min="14" max="15" width="11.6640625" style="4" customWidth="1"/>
    <col min="16" max="16" width="19.77734375" style="4" customWidth="1"/>
    <col min="17" max="17" width="15.44140625" style="4" bestFit="1" customWidth="1"/>
    <col min="18" max="18" width="35.44140625" customWidth="1"/>
    <col min="19" max="19" width="12.109375" bestFit="1" customWidth="1"/>
    <col min="21" max="21" width="9.88671875" bestFit="1" customWidth="1"/>
  </cols>
  <sheetData>
    <row r="1" spans="1:20" ht="15.75" customHeight="1" x14ac:dyDescent="0.3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06" t="s">
        <v>26</v>
      </c>
      <c r="N1" s="306"/>
      <c r="O1" s="306"/>
      <c r="P1" s="306"/>
      <c r="Q1" s="306"/>
      <c r="R1" s="306"/>
      <c r="S1" s="13"/>
      <c r="T1" s="13"/>
    </row>
    <row r="2" spans="1:20" ht="15" customHeight="1" x14ac:dyDescent="0.3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07"/>
      <c r="N2" s="307"/>
      <c r="O2" s="307"/>
      <c r="P2" s="307"/>
      <c r="Q2" s="307"/>
      <c r="R2" s="307"/>
      <c r="S2" s="13"/>
      <c r="T2" s="13"/>
    </row>
    <row r="3" spans="1:20" ht="15.6" x14ac:dyDescent="0.3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19"/>
      <c r="N3" s="119"/>
      <c r="O3" s="119"/>
      <c r="P3" s="283"/>
      <c r="Q3" s="283"/>
      <c r="R3" s="283"/>
      <c r="S3" s="13"/>
      <c r="T3" s="13"/>
    </row>
    <row r="4" spans="1:20" ht="23.4" x14ac:dyDescent="0.4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08" t="s">
        <v>27</v>
      </c>
      <c r="N4" s="308"/>
      <c r="O4" s="308"/>
      <c r="P4" s="308"/>
      <c r="Q4" s="308"/>
      <c r="R4" s="308"/>
      <c r="S4" s="13"/>
      <c r="T4" s="13"/>
    </row>
    <row r="5" spans="1:20" ht="21" x14ac:dyDescent="0.4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09" t="s">
        <v>28</v>
      </c>
      <c r="N5" s="309"/>
      <c r="O5" s="309"/>
      <c r="P5" s="309"/>
      <c r="Q5" s="309"/>
      <c r="R5" s="309"/>
      <c r="S5" s="13"/>
      <c r="T5" s="13"/>
    </row>
    <row r="6" spans="1:20" ht="15.6" x14ac:dyDescent="0.3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9"/>
      <c r="O6" s="9"/>
      <c r="P6" s="10"/>
      <c r="Q6" s="11"/>
      <c r="R6" s="12"/>
      <c r="S6" s="13"/>
      <c r="T6" s="13"/>
    </row>
    <row r="7" spans="1:20" ht="18" x14ac:dyDescent="0.35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10" t="s">
        <v>33</v>
      </c>
      <c r="N7" s="310"/>
      <c r="O7" s="310"/>
      <c r="P7" s="310"/>
      <c r="Q7" s="310"/>
      <c r="R7" s="310"/>
      <c r="S7" s="13"/>
      <c r="T7" s="13"/>
    </row>
    <row r="8" spans="1:20" ht="15.6" x14ac:dyDescent="0.3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S8" s="13"/>
      <c r="T8" s="13"/>
    </row>
    <row r="9" spans="1:20" ht="15.6" x14ac:dyDescent="0.3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S9" s="13"/>
      <c r="T9" s="13"/>
    </row>
    <row r="10" spans="1:20" ht="18" customHeight="1" x14ac:dyDescent="0.3">
      <c r="A10" s="305" t="s">
        <v>0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13"/>
      <c r="T10" s="13"/>
    </row>
    <row r="11" spans="1:20" ht="18" customHeight="1" x14ac:dyDescent="0.3">
      <c r="A11" s="305" t="s">
        <v>1</v>
      </c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13"/>
      <c r="T11" s="13"/>
    </row>
    <row r="12" spans="1:20" ht="18" customHeight="1" x14ac:dyDescent="0.3">
      <c r="A12" s="305" t="s">
        <v>2</v>
      </c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13"/>
      <c r="T12" s="13"/>
    </row>
    <row r="13" spans="1:20" ht="63.6" customHeight="1" x14ac:dyDescent="0.3">
      <c r="A13" s="311" t="s">
        <v>1412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</row>
    <row r="14" spans="1:20" ht="27" customHeight="1" thickBot="1" x14ac:dyDescent="0.35">
      <c r="A14" s="313" t="s">
        <v>36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  <c r="Q14" s="313"/>
    </row>
    <row r="15" spans="1:20" ht="30.6" customHeight="1" thickBot="1" x14ac:dyDescent="0.35">
      <c r="A15" s="314" t="s">
        <v>24</v>
      </c>
      <c r="B15" s="315"/>
      <c r="C15" s="315"/>
      <c r="D15" s="315"/>
      <c r="E15" s="315"/>
      <c r="F15" s="315"/>
      <c r="G15" s="315"/>
      <c r="H15" s="315"/>
      <c r="I15" s="315"/>
      <c r="J15" s="315"/>
      <c r="K15" s="315"/>
      <c r="L15" s="316" t="s">
        <v>25</v>
      </c>
      <c r="M15" s="317"/>
      <c r="N15" s="317"/>
      <c r="O15" s="317"/>
      <c r="P15" s="317"/>
      <c r="Q15" s="317"/>
      <c r="R15" s="318"/>
    </row>
    <row r="16" spans="1:20" ht="15" customHeight="1" x14ac:dyDescent="0.3">
      <c r="A16" s="298" t="s">
        <v>3</v>
      </c>
      <c r="B16" s="300" t="s">
        <v>4</v>
      </c>
      <c r="C16" s="300"/>
      <c r="D16" s="293" t="s">
        <v>5</v>
      </c>
      <c r="E16" s="300" t="s">
        <v>6</v>
      </c>
      <c r="F16" s="291"/>
      <c r="G16" s="293"/>
      <c r="H16" s="293"/>
      <c r="I16" s="294"/>
      <c r="J16" s="293" t="s">
        <v>21</v>
      </c>
      <c r="K16" s="296" t="s">
        <v>22</v>
      </c>
      <c r="L16" s="16"/>
      <c r="M16" s="302" t="s">
        <v>7</v>
      </c>
      <c r="N16" s="303"/>
      <c r="O16" s="303"/>
      <c r="P16" s="303"/>
      <c r="Q16" s="304"/>
      <c r="R16" s="296" t="s">
        <v>8</v>
      </c>
    </row>
    <row r="17" spans="1:21" ht="34.200000000000003" customHeight="1" x14ac:dyDescent="0.3">
      <c r="A17" s="299"/>
      <c r="B17" s="301"/>
      <c r="C17" s="301"/>
      <c r="D17" s="292"/>
      <c r="E17" s="301"/>
      <c r="F17" s="292"/>
      <c r="G17" s="292"/>
      <c r="H17" s="292"/>
      <c r="I17" s="295"/>
      <c r="J17" s="292"/>
      <c r="K17" s="297"/>
      <c r="L17" s="17" t="s">
        <v>20</v>
      </c>
      <c r="M17" s="14" t="s">
        <v>9</v>
      </c>
      <c r="N17" s="18" t="s">
        <v>10</v>
      </c>
      <c r="O17" s="7" t="s">
        <v>6</v>
      </c>
      <c r="P17" s="8" t="s">
        <v>21</v>
      </c>
      <c r="Q17" s="8" t="s">
        <v>22</v>
      </c>
      <c r="R17" s="297"/>
    </row>
    <row r="18" spans="1:21" ht="15" thickBot="1" x14ac:dyDescent="0.35">
      <c r="A18" s="21">
        <v>1</v>
      </c>
      <c r="B18" s="22">
        <v>2</v>
      </c>
      <c r="C18" s="22"/>
      <c r="D18" s="22">
        <v>3</v>
      </c>
      <c r="E18" s="22">
        <v>4</v>
      </c>
      <c r="F18" s="22"/>
      <c r="G18" s="22"/>
      <c r="H18" s="22"/>
      <c r="I18" s="74"/>
      <c r="J18" s="22">
        <v>5</v>
      </c>
      <c r="K18" s="23">
        <v>6</v>
      </c>
      <c r="L18" s="83">
        <v>7</v>
      </c>
      <c r="M18" s="7">
        <v>8</v>
      </c>
      <c r="N18" s="7">
        <v>9</v>
      </c>
      <c r="O18" s="7">
        <v>10</v>
      </c>
      <c r="P18" s="7">
        <v>11</v>
      </c>
      <c r="Q18" s="7">
        <v>12</v>
      </c>
      <c r="R18" s="127">
        <v>13</v>
      </c>
      <c r="U18" s="128"/>
    </row>
    <row r="19" spans="1:21" ht="33.6" customHeight="1" x14ac:dyDescent="0.3">
      <c r="A19" s="60"/>
      <c r="B19" s="80" t="s">
        <v>1413</v>
      </c>
      <c r="C19" s="80"/>
      <c r="D19" s="80" t="s">
        <v>34</v>
      </c>
      <c r="E19" s="80">
        <v>1</v>
      </c>
      <c r="F19" s="69"/>
      <c r="G19" s="69"/>
      <c r="H19" s="69"/>
      <c r="I19" s="69"/>
      <c r="J19" s="69"/>
      <c r="K19" s="69"/>
      <c r="L19" s="221" t="s">
        <v>778</v>
      </c>
      <c r="M19" s="222" t="s">
        <v>779</v>
      </c>
      <c r="N19" s="221" t="s">
        <v>37</v>
      </c>
      <c r="O19" s="223">
        <v>3</v>
      </c>
      <c r="P19" s="224">
        <v>74.900000000000006</v>
      </c>
      <c r="Q19" s="224">
        <v>224.7</v>
      </c>
      <c r="R19" s="181"/>
      <c r="U19" s="128"/>
    </row>
    <row r="20" spans="1:21" ht="15.6" x14ac:dyDescent="0.3">
      <c r="A20" s="51"/>
      <c r="B20" s="59"/>
      <c r="C20" s="47"/>
      <c r="D20" s="61"/>
      <c r="E20" s="62"/>
      <c r="F20" s="75"/>
      <c r="G20" s="76"/>
      <c r="H20" s="76"/>
      <c r="I20" s="48"/>
      <c r="J20" s="48"/>
      <c r="K20" s="48"/>
      <c r="L20" s="221" t="s">
        <v>1103</v>
      </c>
      <c r="M20" s="222" t="s">
        <v>1189</v>
      </c>
      <c r="N20" s="221" t="s">
        <v>37</v>
      </c>
      <c r="O20" s="223">
        <v>27</v>
      </c>
      <c r="P20" s="224">
        <v>28.61</v>
      </c>
      <c r="Q20" s="224">
        <v>772.47</v>
      </c>
      <c r="R20" s="182"/>
      <c r="U20" s="128"/>
    </row>
    <row r="21" spans="1:21" ht="15.6" x14ac:dyDescent="0.3">
      <c r="A21" s="51"/>
      <c r="B21" s="59"/>
      <c r="C21" s="47"/>
      <c r="D21" s="61"/>
      <c r="E21" s="62"/>
      <c r="F21" s="75"/>
      <c r="G21" s="76"/>
      <c r="H21" s="76"/>
      <c r="I21" s="48"/>
      <c r="J21" s="48"/>
      <c r="K21" s="48"/>
      <c r="L21" s="221" t="s">
        <v>429</v>
      </c>
      <c r="M21" s="222" t="s">
        <v>430</v>
      </c>
      <c r="N21" s="221" t="s">
        <v>37</v>
      </c>
      <c r="O21" s="223">
        <v>0.8</v>
      </c>
      <c r="P21" s="224">
        <v>11.5</v>
      </c>
      <c r="Q21" s="224">
        <v>9.1999999999999993</v>
      </c>
      <c r="R21" s="182"/>
      <c r="U21" s="128"/>
    </row>
    <row r="22" spans="1:21" ht="15.6" x14ac:dyDescent="0.3">
      <c r="A22" s="53"/>
      <c r="B22" s="54"/>
      <c r="C22" s="54"/>
      <c r="D22" s="54"/>
      <c r="E22" s="55"/>
      <c r="F22" s="75"/>
      <c r="G22" s="76"/>
      <c r="H22" s="76"/>
      <c r="I22" s="48"/>
      <c r="J22" s="70"/>
      <c r="K22" s="70"/>
      <c r="L22" s="221" t="s">
        <v>98</v>
      </c>
      <c r="M22" s="222" t="s">
        <v>99</v>
      </c>
      <c r="N22" s="221" t="s">
        <v>37</v>
      </c>
      <c r="O22" s="223">
        <v>1.0900000000000001</v>
      </c>
      <c r="P22" s="224">
        <v>131</v>
      </c>
      <c r="Q22" s="224">
        <v>142.79</v>
      </c>
      <c r="R22" s="182"/>
      <c r="U22" s="128"/>
    </row>
    <row r="23" spans="1:21" ht="15.6" x14ac:dyDescent="0.3">
      <c r="A23" s="53"/>
      <c r="B23" s="54"/>
      <c r="C23" s="54"/>
      <c r="D23" s="54"/>
      <c r="E23" s="55"/>
      <c r="F23" s="75"/>
      <c r="G23" s="76"/>
      <c r="H23" s="76"/>
      <c r="I23" s="48"/>
      <c r="J23" s="70"/>
      <c r="K23" s="70"/>
      <c r="L23" s="221" t="s">
        <v>1105</v>
      </c>
      <c r="M23" s="222" t="s">
        <v>1191</v>
      </c>
      <c r="N23" s="221" t="s">
        <v>37</v>
      </c>
      <c r="O23" s="223">
        <v>3</v>
      </c>
      <c r="P23" s="224">
        <v>9.58</v>
      </c>
      <c r="Q23" s="224">
        <v>28.74</v>
      </c>
      <c r="R23" s="182"/>
      <c r="U23" s="128"/>
    </row>
    <row r="24" spans="1:21" ht="15.6" x14ac:dyDescent="0.3">
      <c r="A24" s="53"/>
      <c r="B24" s="54"/>
      <c r="C24" s="54"/>
      <c r="D24" s="54"/>
      <c r="E24" s="55"/>
      <c r="F24" s="75"/>
      <c r="G24" s="76"/>
      <c r="H24" s="76"/>
      <c r="I24" s="48"/>
      <c r="J24" s="70"/>
      <c r="K24" s="70"/>
      <c r="L24" s="221" t="s">
        <v>38</v>
      </c>
      <c r="M24" s="222" t="s">
        <v>100</v>
      </c>
      <c r="N24" s="221" t="s">
        <v>37</v>
      </c>
      <c r="O24" s="223">
        <v>0.8</v>
      </c>
      <c r="P24" s="224">
        <v>71</v>
      </c>
      <c r="Q24" s="224">
        <v>56.8</v>
      </c>
      <c r="R24" s="182"/>
      <c r="U24" s="128"/>
    </row>
    <row r="25" spans="1:21" ht="15.6" x14ac:dyDescent="0.3">
      <c r="A25" s="53"/>
      <c r="B25" s="54"/>
      <c r="C25" s="54"/>
      <c r="D25" s="54"/>
      <c r="E25" s="55"/>
      <c r="F25" s="75"/>
      <c r="G25" s="76"/>
      <c r="H25" s="76"/>
      <c r="I25" s="48"/>
      <c r="J25" s="70"/>
      <c r="K25" s="70"/>
      <c r="L25" s="221" t="s">
        <v>1104</v>
      </c>
      <c r="M25" s="222" t="s">
        <v>1190</v>
      </c>
      <c r="N25" s="221" t="s">
        <v>37</v>
      </c>
      <c r="O25" s="223">
        <v>2.7</v>
      </c>
      <c r="P25" s="224">
        <v>266.25</v>
      </c>
      <c r="Q25" s="224">
        <v>718.87</v>
      </c>
      <c r="R25" s="182"/>
      <c r="U25" s="128"/>
    </row>
    <row r="26" spans="1:21" ht="15.6" x14ac:dyDescent="0.3">
      <c r="A26" s="53"/>
      <c r="B26" s="54"/>
      <c r="C26" s="54"/>
      <c r="D26" s="54"/>
      <c r="E26" s="55"/>
      <c r="F26" s="75"/>
      <c r="G26" s="76"/>
      <c r="H26" s="76"/>
      <c r="I26" s="48"/>
      <c r="J26" s="70"/>
      <c r="K26" s="70"/>
      <c r="L26" s="221" t="s">
        <v>933</v>
      </c>
      <c r="M26" s="222" t="s">
        <v>932</v>
      </c>
      <c r="N26" s="221" t="s">
        <v>37</v>
      </c>
      <c r="O26" s="223">
        <v>1.8</v>
      </c>
      <c r="P26" s="224">
        <v>18.899999999999999</v>
      </c>
      <c r="Q26" s="224">
        <v>34.020000000000003</v>
      </c>
      <c r="R26" s="182"/>
      <c r="U26" s="128"/>
    </row>
    <row r="27" spans="1:21" ht="15.6" x14ac:dyDescent="0.3">
      <c r="A27" s="53"/>
      <c r="B27" s="54"/>
      <c r="C27" s="54"/>
      <c r="D27" s="54"/>
      <c r="E27" s="55"/>
      <c r="F27" s="75"/>
      <c r="G27" s="76"/>
      <c r="H27" s="76"/>
      <c r="I27" s="48"/>
      <c r="J27" s="70"/>
      <c r="K27" s="70"/>
      <c r="L27" s="221" t="s">
        <v>1106</v>
      </c>
      <c r="M27" s="222" t="s">
        <v>1192</v>
      </c>
      <c r="N27" s="221" t="s">
        <v>1272</v>
      </c>
      <c r="O27" s="223">
        <v>93</v>
      </c>
      <c r="P27" s="224">
        <v>0.69</v>
      </c>
      <c r="Q27" s="224">
        <v>64.319999999999993</v>
      </c>
      <c r="R27" s="182"/>
      <c r="U27" s="128"/>
    </row>
    <row r="28" spans="1:21" ht="15.6" x14ac:dyDescent="0.3">
      <c r="A28" s="53"/>
      <c r="B28" s="54"/>
      <c r="C28" s="54"/>
      <c r="D28" s="54"/>
      <c r="E28" s="55"/>
      <c r="F28" s="75"/>
      <c r="G28" s="76"/>
      <c r="H28" s="76"/>
      <c r="I28" s="48"/>
      <c r="J28" s="70"/>
      <c r="K28" s="70"/>
      <c r="L28" s="221" t="s">
        <v>1429</v>
      </c>
      <c r="M28" s="222" t="s">
        <v>1451</v>
      </c>
      <c r="N28" s="221" t="s">
        <v>64</v>
      </c>
      <c r="O28" s="223">
        <v>1</v>
      </c>
      <c r="P28" s="224">
        <v>26</v>
      </c>
      <c r="Q28" s="224">
        <v>26</v>
      </c>
      <c r="R28" s="182"/>
      <c r="U28" s="128"/>
    </row>
    <row r="29" spans="1:21" ht="15.6" x14ac:dyDescent="0.3">
      <c r="A29" s="53"/>
      <c r="B29" s="54"/>
      <c r="C29" s="54"/>
      <c r="D29" s="54"/>
      <c r="E29" s="55"/>
      <c r="F29" s="75"/>
      <c r="G29" s="76"/>
      <c r="H29" s="76"/>
      <c r="I29" s="48"/>
      <c r="J29" s="70"/>
      <c r="K29" s="70"/>
      <c r="L29" s="221" t="s">
        <v>934</v>
      </c>
      <c r="M29" s="222" t="s">
        <v>1033</v>
      </c>
      <c r="N29" s="221" t="s">
        <v>64</v>
      </c>
      <c r="O29" s="223">
        <v>0.83299999999999996</v>
      </c>
      <c r="P29" s="224">
        <v>735.91</v>
      </c>
      <c r="Q29" s="224">
        <v>613.01</v>
      </c>
      <c r="R29" s="182"/>
      <c r="U29" s="128"/>
    </row>
    <row r="30" spans="1:21" ht="15.6" x14ac:dyDescent="0.3">
      <c r="A30" s="53"/>
      <c r="B30" s="54"/>
      <c r="C30" s="54"/>
      <c r="D30" s="54"/>
      <c r="E30" s="55"/>
      <c r="F30" s="75"/>
      <c r="G30" s="76"/>
      <c r="H30" s="76"/>
      <c r="I30" s="48"/>
      <c r="J30" s="70"/>
      <c r="K30" s="70"/>
      <c r="L30" s="221" t="s">
        <v>935</v>
      </c>
      <c r="M30" s="222" t="s">
        <v>1034</v>
      </c>
      <c r="N30" s="221" t="s">
        <v>64</v>
      </c>
      <c r="O30" s="223">
        <v>23</v>
      </c>
      <c r="P30" s="224">
        <v>736.65</v>
      </c>
      <c r="Q30" s="225">
        <v>16942.95</v>
      </c>
      <c r="R30" s="182"/>
      <c r="U30" s="128"/>
    </row>
    <row r="31" spans="1:21" ht="15.6" x14ac:dyDescent="0.3">
      <c r="A31" s="53"/>
      <c r="B31" s="54"/>
      <c r="C31" s="54"/>
      <c r="D31" s="54"/>
      <c r="E31" s="55"/>
      <c r="F31" s="75"/>
      <c r="G31" s="76"/>
      <c r="H31" s="76"/>
      <c r="I31" s="48"/>
      <c r="J31" s="70"/>
      <c r="K31" s="70"/>
      <c r="L31" s="221" t="s">
        <v>936</v>
      </c>
      <c r="M31" s="222" t="s">
        <v>1035</v>
      </c>
      <c r="N31" s="221" t="s">
        <v>64</v>
      </c>
      <c r="O31" s="223">
        <v>2</v>
      </c>
      <c r="P31" s="224">
        <v>736.67</v>
      </c>
      <c r="Q31" s="225">
        <v>1473.34</v>
      </c>
      <c r="R31" s="182"/>
      <c r="U31" s="128"/>
    </row>
    <row r="32" spans="1:21" ht="15.6" x14ac:dyDescent="0.3">
      <c r="A32" s="53"/>
      <c r="B32" s="54"/>
      <c r="C32" s="54"/>
      <c r="D32" s="54"/>
      <c r="E32" s="55"/>
      <c r="F32" s="75"/>
      <c r="G32" s="76"/>
      <c r="H32" s="76"/>
      <c r="I32" s="48"/>
      <c r="J32" s="70"/>
      <c r="K32" s="70"/>
      <c r="L32" s="221" t="s">
        <v>1284</v>
      </c>
      <c r="M32" s="222" t="s">
        <v>1319</v>
      </c>
      <c r="N32" s="221" t="s">
        <v>269</v>
      </c>
      <c r="O32" s="223">
        <v>1</v>
      </c>
      <c r="P32" s="225">
        <v>1465</v>
      </c>
      <c r="Q32" s="225">
        <v>1465</v>
      </c>
      <c r="R32" s="182"/>
      <c r="U32" s="128"/>
    </row>
    <row r="33" spans="1:21" ht="15.6" x14ac:dyDescent="0.3">
      <c r="A33" s="53"/>
      <c r="B33" s="54"/>
      <c r="C33" s="54"/>
      <c r="D33" s="54"/>
      <c r="E33" s="55"/>
      <c r="F33" s="75"/>
      <c r="G33" s="76"/>
      <c r="H33" s="76"/>
      <c r="I33" s="48"/>
      <c r="J33" s="70"/>
      <c r="K33" s="70"/>
      <c r="L33" s="221" t="s">
        <v>937</v>
      </c>
      <c r="M33" s="222" t="s">
        <v>1036</v>
      </c>
      <c r="N33" s="221" t="s">
        <v>269</v>
      </c>
      <c r="O33" s="223">
        <v>2</v>
      </c>
      <c r="P33" s="224">
        <v>773.99</v>
      </c>
      <c r="Q33" s="225">
        <v>1547.98</v>
      </c>
      <c r="R33" s="182"/>
      <c r="U33" s="128"/>
    </row>
    <row r="34" spans="1:21" ht="15.6" x14ac:dyDescent="0.3">
      <c r="A34" s="53"/>
      <c r="B34" s="54"/>
      <c r="C34" s="54"/>
      <c r="D34" s="54"/>
      <c r="E34" s="55"/>
      <c r="F34" s="75"/>
      <c r="G34" s="76"/>
      <c r="H34" s="76"/>
      <c r="I34" s="48"/>
      <c r="J34" s="70"/>
      <c r="K34" s="70"/>
      <c r="L34" s="221" t="s">
        <v>938</v>
      </c>
      <c r="M34" s="222" t="s">
        <v>1037</v>
      </c>
      <c r="N34" s="221" t="s">
        <v>269</v>
      </c>
      <c r="O34" s="223">
        <v>2</v>
      </c>
      <c r="P34" s="224">
        <v>813</v>
      </c>
      <c r="Q34" s="225">
        <v>1626</v>
      </c>
      <c r="R34" s="182"/>
      <c r="U34" s="128"/>
    </row>
    <row r="35" spans="1:21" ht="15.6" x14ac:dyDescent="0.3">
      <c r="A35" s="53"/>
      <c r="B35" s="54"/>
      <c r="C35" s="54"/>
      <c r="D35" s="54"/>
      <c r="E35" s="55"/>
      <c r="F35" s="75"/>
      <c r="G35" s="76"/>
      <c r="H35" s="76"/>
      <c r="I35" s="48"/>
      <c r="J35" s="70"/>
      <c r="K35" s="70"/>
      <c r="L35" s="221" t="s">
        <v>440</v>
      </c>
      <c r="M35" s="222" t="s">
        <v>441</v>
      </c>
      <c r="N35" s="221" t="s">
        <v>442</v>
      </c>
      <c r="O35" s="223">
        <v>3</v>
      </c>
      <c r="P35" s="224">
        <v>75.22</v>
      </c>
      <c r="Q35" s="224">
        <v>225.65</v>
      </c>
      <c r="R35" s="182"/>
      <c r="U35" s="128"/>
    </row>
    <row r="36" spans="1:21" ht="15.6" x14ac:dyDescent="0.3">
      <c r="A36" s="53"/>
      <c r="B36" s="54"/>
      <c r="C36" s="54"/>
      <c r="D36" s="54"/>
      <c r="E36" s="55"/>
      <c r="F36" s="75"/>
      <c r="G36" s="76"/>
      <c r="H36" s="76"/>
      <c r="I36" s="48"/>
      <c r="J36" s="70"/>
      <c r="K36" s="70"/>
      <c r="L36" s="221" t="s">
        <v>1846</v>
      </c>
      <c r="M36" s="222" t="s">
        <v>1848</v>
      </c>
      <c r="N36" s="221" t="s">
        <v>63</v>
      </c>
      <c r="O36" s="223">
        <v>3.5999999999999997E-2</v>
      </c>
      <c r="P36" s="225">
        <v>35332.78</v>
      </c>
      <c r="Q36" s="225">
        <v>1271.98</v>
      </c>
      <c r="R36" s="182"/>
      <c r="U36" s="128"/>
    </row>
    <row r="37" spans="1:21" ht="15.6" x14ac:dyDescent="0.3">
      <c r="A37" s="53"/>
      <c r="B37" s="54"/>
      <c r="C37" s="54"/>
      <c r="D37" s="54"/>
      <c r="E37" s="55"/>
      <c r="F37" s="75"/>
      <c r="G37" s="76"/>
      <c r="H37" s="76"/>
      <c r="I37" s="48"/>
      <c r="J37" s="70"/>
      <c r="K37" s="70"/>
      <c r="L37" s="221" t="s">
        <v>939</v>
      </c>
      <c r="M37" s="222" t="s">
        <v>798</v>
      </c>
      <c r="N37" s="221" t="s">
        <v>63</v>
      </c>
      <c r="O37" s="223">
        <v>0.18</v>
      </c>
      <c r="P37" s="225">
        <v>31821.61</v>
      </c>
      <c r="Q37" s="225">
        <v>5727.89</v>
      </c>
      <c r="R37" s="182"/>
      <c r="U37" s="128"/>
    </row>
    <row r="38" spans="1:21" ht="15.6" x14ac:dyDescent="0.3">
      <c r="A38" s="53"/>
      <c r="B38" s="54"/>
      <c r="C38" s="54"/>
      <c r="D38" s="54"/>
      <c r="E38" s="55"/>
      <c r="F38" s="75"/>
      <c r="G38" s="76"/>
      <c r="H38" s="76"/>
      <c r="I38" s="48"/>
      <c r="J38" s="70"/>
      <c r="K38" s="70"/>
      <c r="L38" s="221" t="s">
        <v>940</v>
      </c>
      <c r="M38" s="222" t="s">
        <v>1038</v>
      </c>
      <c r="N38" s="221" t="s">
        <v>63</v>
      </c>
      <c r="O38" s="223">
        <v>1.4999999999999999E-2</v>
      </c>
      <c r="P38" s="225">
        <v>32908</v>
      </c>
      <c r="Q38" s="224">
        <v>493.62</v>
      </c>
      <c r="R38" s="182"/>
      <c r="U38" s="128"/>
    </row>
    <row r="39" spans="1:21" ht="15.6" x14ac:dyDescent="0.3">
      <c r="A39" s="53"/>
      <c r="B39" s="54"/>
      <c r="C39" s="54"/>
      <c r="D39" s="54"/>
      <c r="E39" s="55"/>
      <c r="F39" s="75"/>
      <c r="G39" s="76"/>
      <c r="H39" s="76"/>
      <c r="I39" s="48"/>
      <c r="J39" s="70"/>
      <c r="K39" s="70"/>
      <c r="L39" s="221" t="s">
        <v>1108</v>
      </c>
      <c r="M39" s="222" t="s">
        <v>1194</v>
      </c>
      <c r="N39" s="221" t="s">
        <v>903</v>
      </c>
      <c r="O39" s="223">
        <v>3</v>
      </c>
      <c r="P39" s="225">
        <v>1268.32</v>
      </c>
      <c r="Q39" s="225">
        <v>3804.96</v>
      </c>
      <c r="R39" s="182"/>
      <c r="U39" s="128"/>
    </row>
    <row r="40" spans="1:21" ht="30" x14ac:dyDescent="0.3">
      <c r="A40" s="53"/>
      <c r="B40" s="54"/>
      <c r="C40" s="54"/>
      <c r="D40" s="54"/>
      <c r="E40" s="55"/>
      <c r="F40" s="75"/>
      <c r="G40" s="76"/>
      <c r="H40" s="76"/>
      <c r="I40" s="48"/>
      <c r="J40" s="70"/>
      <c r="K40" s="70"/>
      <c r="L40" s="221" t="s">
        <v>1360</v>
      </c>
      <c r="M40" s="222" t="s">
        <v>1389</v>
      </c>
      <c r="N40" s="221" t="s">
        <v>903</v>
      </c>
      <c r="O40" s="223">
        <v>0.25</v>
      </c>
      <c r="P40" s="225">
        <v>3625</v>
      </c>
      <c r="Q40" s="224">
        <v>906.25</v>
      </c>
      <c r="R40" s="182"/>
      <c r="U40" s="128"/>
    </row>
    <row r="41" spans="1:21" ht="15.6" x14ac:dyDescent="0.3">
      <c r="A41" s="53"/>
      <c r="B41" s="54"/>
      <c r="C41" s="54"/>
      <c r="D41" s="54"/>
      <c r="E41" s="55"/>
      <c r="F41" s="75"/>
      <c r="G41" s="76"/>
      <c r="H41" s="76"/>
      <c r="I41" s="48"/>
      <c r="J41" s="70"/>
      <c r="K41" s="70"/>
      <c r="L41" s="221" t="s">
        <v>1366</v>
      </c>
      <c r="M41" s="222" t="s">
        <v>1395</v>
      </c>
      <c r="N41" s="221" t="s">
        <v>903</v>
      </c>
      <c r="O41" s="223">
        <v>6.0999999999999999E-2</v>
      </c>
      <c r="P41" s="225">
        <v>24262.46</v>
      </c>
      <c r="Q41" s="225">
        <v>1480.01</v>
      </c>
      <c r="R41" s="182"/>
      <c r="U41" s="128"/>
    </row>
    <row r="42" spans="1:21" ht="15.6" x14ac:dyDescent="0.3">
      <c r="A42" s="53"/>
      <c r="B42" s="54"/>
      <c r="C42" s="54"/>
      <c r="D42" s="54"/>
      <c r="E42" s="55"/>
      <c r="F42" s="75"/>
      <c r="G42" s="76"/>
      <c r="H42" s="76"/>
      <c r="I42" s="48"/>
      <c r="J42" s="70"/>
      <c r="K42" s="70"/>
      <c r="L42" s="221" t="s">
        <v>1113</v>
      </c>
      <c r="M42" s="222" t="s">
        <v>1199</v>
      </c>
      <c r="N42" s="221" t="s">
        <v>903</v>
      </c>
      <c r="O42" s="223">
        <v>0.11</v>
      </c>
      <c r="P42" s="225">
        <v>10416.64</v>
      </c>
      <c r="Q42" s="225">
        <v>1145.83</v>
      </c>
      <c r="R42" s="182"/>
      <c r="U42" s="128"/>
    </row>
    <row r="43" spans="1:21" ht="15.6" x14ac:dyDescent="0.3">
      <c r="A43" s="53"/>
      <c r="B43" s="54"/>
      <c r="C43" s="54"/>
      <c r="D43" s="54"/>
      <c r="E43" s="55"/>
      <c r="F43" s="75"/>
      <c r="G43" s="76"/>
      <c r="H43" s="76"/>
      <c r="I43" s="48"/>
      <c r="J43" s="70"/>
      <c r="K43" s="70"/>
      <c r="L43" s="221" t="s">
        <v>941</v>
      </c>
      <c r="M43" s="222" t="s">
        <v>1040</v>
      </c>
      <c r="N43" s="221" t="s">
        <v>903</v>
      </c>
      <c r="O43" s="223">
        <v>0.104</v>
      </c>
      <c r="P43" s="225">
        <v>9590</v>
      </c>
      <c r="Q43" s="224">
        <v>997.36</v>
      </c>
      <c r="R43" s="182"/>
      <c r="U43" s="128"/>
    </row>
    <row r="44" spans="1:21" ht="15.6" x14ac:dyDescent="0.3">
      <c r="A44" s="53"/>
      <c r="B44" s="54"/>
      <c r="C44" s="54"/>
      <c r="D44" s="54"/>
      <c r="E44" s="55"/>
      <c r="F44" s="75"/>
      <c r="G44" s="76"/>
      <c r="H44" s="76"/>
      <c r="I44" s="48"/>
      <c r="J44" s="70"/>
      <c r="K44" s="70"/>
      <c r="L44" s="221" t="s">
        <v>741</v>
      </c>
      <c r="M44" s="222" t="s">
        <v>742</v>
      </c>
      <c r="N44" s="221" t="s">
        <v>903</v>
      </c>
      <c r="O44" s="223">
        <v>0.436</v>
      </c>
      <c r="P44" s="225">
        <v>9590</v>
      </c>
      <c r="Q44" s="225">
        <v>4181.24</v>
      </c>
      <c r="R44" s="182"/>
      <c r="U44" s="128"/>
    </row>
    <row r="45" spans="1:21" ht="15.6" x14ac:dyDescent="0.3">
      <c r="A45" s="53"/>
      <c r="B45" s="54"/>
      <c r="C45" s="54"/>
      <c r="D45" s="54"/>
      <c r="E45" s="55"/>
      <c r="F45" s="75"/>
      <c r="G45" s="76"/>
      <c r="H45" s="76"/>
      <c r="I45" s="48"/>
      <c r="J45" s="70"/>
      <c r="K45" s="70"/>
      <c r="L45" s="221" t="s">
        <v>943</v>
      </c>
      <c r="M45" s="222" t="s">
        <v>745</v>
      </c>
      <c r="N45" s="221" t="s">
        <v>903</v>
      </c>
      <c r="O45" s="223">
        <v>0.127</v>
      </c>
      <c r="P45" s="225">
        <v>9590</v>
      </c>
      <c r="Q45" s="225">
        <v>1217.93</v>
      </c>
      <c r="R45" s="182"/>
      <c r="U45" s="128"/>
    </row>
    <row r="46" spans="1:21" ht="15.6" x14ac:dyDescent="0.3">
      <c r="A46" s="53"/>
      <c r="B46" s="54"/>
      <c r="C46" s="54"/>
      <c r="D46" s="54"/>
      <c r="E46" s="55"/>
      <c r="F46" s="75"/>
      <c r="G46" s="76"/>
      <c r="H46" s="76"/>
      <c r="I46" s="48"/>
      <c r="J46" s="70"/>
      <c r="K46" s="70"/>
      <c r="L46" s="221" t="s">
        <v>1109</v>
      </c>
      <c r="M46" s="222" t="s">
        <v>1195</v>
      </c>
      <c r="N46" s="221" t="s">
        <v>903</v>
      </c>
      <c r="O46" s="223">
        <v>9.0999999999999998E-2</v>
      </c>
      <c r="P46" s="225">
        <v>3916.7</v>
      </c>
      <c r="Q46" s="224">
        <v>356.42</v>
      </c>
      <c r="R46" s="182"/>
      <c r="U46" s="128"/>
    </row>
    <row r="47" spans="1:21" ht="15.6" x14ac:dyDescent="0.3">
      <c r="A47" s="53"/>
      <c r="B47" s="54"/>
      <c r="C47" s="54"/>
      <c r="D47" s="54"/>
      <c r="E47" s="55"/>
      <c r="F47" s="75"/>
      <c r="G47" s="76"/>
      <c r="H47" s="76"/>
      <c r="I47" s="48"/>
      <c r="J47" s="70"/>
      <c r="K47" s="70"/>
      <c r="L47" s="221" t="s">
        <v>743</v>
      </c>
      <c r="M47" s="222" t="s">
        <v>744</v>
      </c>
      <c r="N47" s="221" t="s">
        <v>903</v>
      </c>
      <c r="O47" s="223">
        <v>1.2</v>
      </c>
      <c r="P47" s="225">
        <v>9590</v>
      </c>
      <c r="Q47" s="225">
        <v>11508</v>
      </c>
      <c r="R47" s="182"/>
      <c r="U47" s="128"/>
    </row>
    <row r="48" spans="1:21" ht="15.6" x14ac:dyDescent="0.3">
      <c r="A48" s="53"/>
      <c r="B48" s="54"/>
      <c r="C48" s="54"/>
      <c r="D48" s="54"/>
      <c r="E48" s="55"/>
      <c r="F48" s="75"/>
      <c r="G48" s="76"/>
      <c r="H48" s="76"/>
      <c r="I48" s="48"/>
      <c r="J48" s="70"/>
      <c r="K48" s="70"/>
      <c r="L48" s="221" t="s">
        <v>1283</v>
      </c>
      <c r="M48" s="222" t="s">
        <v>1318</v>
      </c>
      <c r="N48" s="221" t="s">
        <v>903</v>
      </c>
      <c r="O48" s="223">
        <v>0.5</v>
      </c>
      <c r="P48" s="225">
        <v>9590</v>
      </c>
      <c r="Q48" s="225">
        <v>4795</v>
      </c>
      <c r="R48" s="182"/>
      <c r="U48" s="128"/>
    </row>
    <row r="49" spans="1:21" ht="15.6" x14ac:dyDescent="0.3">
      <c r="A49" s="53"/>
      <c r="B49" s="54"/>
      <c r="C49" s="54"/>
      <c r="D49" s="54"/>
      <c r="E49" s="55"/>
      <c r="F49" s="75"/>
      <c r="G49" s="76"/>
      <c r="H49" s="76"/>
      <c r="I49" s="48"/>
      <c r="J49" s="70"/>
      <c r="K49" s="70"/>
      <c r="L49" s="221" t="s">
        <v>1110</v>
      </c>
      <c r="M49" s="222" t="s">
        <v>1196</v>
      </c>
      <c r="N49" s="221" t="s">
        <v>903</v>
      </c>
      <c r="O49" s="223">
        <v>0.3</v>
      </c>
      <c r="P49" s="225">
        <v>26855</v>
      </c>
      <c r="Q49" s="225">
        <v>8056.5</v>
      </c>
      <c r="R49" s="182"/>
      <c r="U49" s="128"/>
    </row>
    <row r="50" spans="1:21" ht="15.6" x14ac:dyDescent="0.3">
      <c r="A50" s="53"/>
      <c r="B50" s="54"/>
      <c r="C50" s="54"/>
      <c r="D50" s="54"/>
      <c r="E50" s="55"/>
      <c r="F50" s="75"/>
      <c r="G50" s="76"/>
      <c r="H50" s="76"/>
      <c r="I50" s="48"/>
      <c r="J50" s="70"/>
      <c r="K50" s="70"/>
      <c r="L50" s="221" t="s">
        <v>1112</v>
      </c>
      <c r="M50" s="222" t="s">
        <v>1198</v>
      </c>
      <c r="N50" s="221" t="s">
        <v>903</v>
      </c>
      <c r="O50" s="223">
        <v>0.4</v>
      </c>
      <c r="P50" s="225">
        <v>24113</v>
      </c>
      <c r="Q50" s="225">
        <v>9645.2000000000007</v>
      </c>
      <c r="R50" s="182"/>
      <c r="U50" s="128"/>
    </row>
    <row r="51" spans="1:21" ht="15.6" x14ac:dyDescent="0.3">
      <c r="A51" s="53"/>
      <c r="B51" s="54"/>
      <c r="C51" s="54"/>
      <c r="D51" s="54"/>
      <c r="E51" s="55"/>
      <c r="F51" s="75"/>
      <c r="G51" s="76"/>
      <c r="H51" s="76"/>
      <c r="I51" s="48"/>
      <c r="J51" s="70"/>
      <c r="K51" s="70"/>
      <c r="L51" s="221" t="s">
        <v>942</v>
      </c>
      <c r="M51" s="222" t="s">
        <v>740</v>
      </c>
      <c r="N51" s="221" t="s">
        <v>903</v>
      </c>
      <c r="O51" s="223">
        <v>0.9</v>
      </c>
      <c r="P51" s="225">
        <v>9590</v>
      </c>
      <c r="Q51" s="225">
        <v>8631</v>
      </c>
      <c r="R51" s="182"/>
      <c r="U51" s="128"/>
    </row>
    <row r="52" spans="1:21" ht="15.6" x14ac:dyDescent="0.3">
      <c r="A52" s="53"/>
      <c r="B52" s="54"/>
      <c r="C52" s="54"/>
      <c r="D52" s="54"/>
      <c r="E52" s="55"/>
      <c r="F52" s="75"/>
      <c r="G52" s="76"/>
      <c r="H52" s="76"/>
      <c r="I52" s="48"/>
      <c r="J52" s="70"/>
      <c r="K52" s="70"/>
      <c r="L52" s="221" t="s">
        <v>1111</v>
      </c>
      <c r="M52" s="222" t="s">
        <v>1197</v>
      </c>
      <c r="N52" s="221" t="s">
        <v>903</v>
      </c>
      <c r="O52" s="223">
        <v>0.08</v>
      </c>
      <c r="P52" s="225">
        <v>26855</v>
      </c>
      <c r="Q52" s="225">
        <v>2148.4</v>
      </c>
      <c r="R52" s="182"/>
      <c r="U52" s="128"/>
    </row>
    <row r="53" spans="1:21" ht="15.6" x14ac:dyDescent="0.3">
      <c r="A53" s="53"/>
      <c r="B53" s="54"/>
      <c r="C53" s="54"/>
      <c r="D53" s="54"/>
      <c r="E53" s="55"/>
      <c r="F53" s="75"/>
      <c r="G53" s="76"/>
      <c r="H53" s="76"/>
      <c r="I53" s="48"/>
      <c r="J53" s="70"/>
      <c r="K53" s="70"/>
      <c r="L53" s="221" t="s">
        <v>902</v>
      </c>
      <c r="M53" s="222" t="s">
        <v>1039</v>
      </c>
      <c r="N53" s="221" t="s">
        <v>903</v>
      </c>
      <c r="O53" s="223">
        <v>0.27900000000000003</v>
      </c>
      <c r="P53" s="225">
        <v>25111.08</v>
      </c>
      <c r="Q53" s="225">
        <v>7005.99</v>
      </c>
      <c r="R53" s="182"/>
      <c r="U53" s="128"/>
    </row>
    <row r="54" spans="1:21" ht="15.6" x14ac:dyDescent="0.3">
      <c r="A54" s="53"/>
      <c r="B54" s="54"/>
      <c r="C54" s="54"/>
      <c r="D54" s="54"/>
      <c r="E54" s="55"/>
      <c r="F54" s="75"/>
      <c r="G54" s="76"/>
      <c r="H54" s="76"/>
      <c r="I54" s="48"/>
      <c r="J54" s="70"/>
      <c r="K54" s="70"/>
      <c r="L54" s="221" t="s">
        <v>945</v>
      </c>
      <c r="M54" s="222" t="s">
        <v>1032</v>
      </c>
      <c r="N54" s="221" t="s">
        <v>68</v>
      </c>
      <c r="O54" s="223">
        <v>41</v>
      </c>
      <c r="P54" s="224">
        <v>302.5</v>
      </c>
      <c r="Q54" s="225">
        <v>12402.5</v>
      </c>
      <c r="R54" s="182"/>
      <c r="U54" s="128"/>
    </row>
    <row r="55" spans="1:21" ht="15.6" x14ac:dyDescent="0.3">
      <c r="A55" s="53"/>
      <c r="B55" s="54"/>
      <c r="C55" s="54"/>
      <c r="D55" s="54"/>
      <c r="E55" s="55"/>
      <c r="F55" s="75"/>
      <c r="G55" s="76"/>
      <c r="H55" s="76"/>
      <c r="I55" s="48"/>
      <c r="J55" s="70"/>
      <c r="K55" s="70"/>
      <c r="L55" s="221" t="s">
        <v>747</v>
      </c>
      <c r="M55" s="222" t="s">
        <v>748</v>
      </c>
      <c r="N55" s="221" t="s">
        <v>68</v>
      </c>
      <c r="O55" s="223">
        <v>70</v>
      </c>
      <c r="P55" s="224">
        <v>309.57</v>
      </c>
      <c r="Q55" s="225">
        <v>21670</v>
      </c>
      <c r="R55" s="182"/>
      <c r="U55" s="128"/>
    </row>
    <row r="56" spans="1:21" ht="15.6" x14ac:dyDescent="0.3">
      <c r="A56" s="53"/>
      <c r="B56" s="54"/>
      <c r="C56" s="54"/>
      <c r="D56" s="54"/>
      <c r="E56" s="55"/>
      <c r="F56" s="75"/>
      <c r="G56" s="76"/>
      <c r="H56" s="76"/>
      <c r="I56" s="48"/>
      <c r="J56" s="70"/>
      <c r="K56" s="70"/>
      <c r="L56" s="221" t="s">
        <v>909</v>
      </c>
      <c r="M56" s="222" t="s">
        <v>910</v>
      </c>
      <c r="N56" s="221" t="s">
        <v>68</v>
      </c>
      <c r="O56" s="223">
        <v>0.41699999999999998</v>
      </c>
      <c r="P56" s="224">
        <v>749.02</v>
      </c>
      <c r="Q56" s="224">
        <v>312.33999999999997</v>
      </c>
      <c r="R56" s="182"/>
      <c r="U56" s="128"/>
    </row>
    <row r="57" spans="1:21" ht="15.6" x14ac:dyDescent="0.3">
      <c r="A57" s="53"/>
      <c r="B57" s="54"/>
      <c r="C57" s="54"/>
      <c r="D57" s="54"/>
      <c r="E57" s="55"/>
      <c r="F57" s="75"/>
      <c r="G57" s="76"/>
      <c r="H57" s="76"/>
      <c r="I57" s="48"/>
      <c r="J57" s="70"/>
      <c r="K57" s="70"/>
      <c r="L57" s="221" t="s">
        <v>882</v>
      </c>
      <c r="M57" s="222" t="s">
        <v>883</v>
      </c>
      <c r="N57" s="221" t="s">
        <v>68</v>
      </c>
      <c r="O57" s="223">
        <v>2</v>
      </c>
      <c r="P57" s="224">
        <v>188.33</v>
      </c>
      <c r="Q57" s="224">
        <v>376.66</v>
      </c>
      <c r="R57" s="182"/>
      <c r="U57" s="128"/>
    </row>
    <row r="58" spans="1:21" ht="15.6" x14ac:dyDescent="0.3">
      <c r="A58" s="53"/>
      <c r="B58" s="54"/>
      <c r="C58" s="54"/>
      <c r="D58" s="54"/>
      <c r="E58" s="55"/>
      <c r="F58" s="75"/>
      <c r="G58" s="76"/>
      <c r="H58" s="76"/>
      <c r="I58" s="48"/>
      <c r="J58" s="70"/>
      <c r="K58" s="70"/>
      <c r="L58" s="221" t="s">
        <v>1117</v>
      </c>
      <c r="M58" s="222" t="s">
        <v>1203</v>
      </c>
      <c r="N58" s="221" t="s">
        <v>68</v>
      </c>
      <c r="O58" s="223">
        <v>6.75</v>
      </c>
      <c r="P58" s="224">
        <v>188.33</v>
      </c>
      <c r="Q58" s="225">
        <v>1271.23</v>
      </c>
      <c r="R58" s="182"/>
      <c r="U58" s="128"/>
    </row>
    <row r="59" spans="1:21" ht="15.6" x14ac:dyDescent="0.3">
      <c r="A59" s="53"/>
      <c r="B59" s="54"/>
      <c r="C59" s="54"/>
      <c r="D59" s="54"/>
      <c r="E59" s="55"/>
      <c r="F59" s="75"/>
      <c r="G59" s="76"/>
      <c r="H59" s="76"/>
      <c r="I59" s="48"/>
      <c r="J59" s="70"/>
      <c r="K59" s="70"/>
      <c r="L59" s="221" t="s">
        <v>1114</v>
      </c>
      <c r="M59" s="222" t="s">
        <v>1200</v>
      </c>
      <c r="N59" s="221" t="s">
        <v>68</v>
      </c>
      <c r="O59" s="223">
        <v>2</v>
      </c>
      <c r="P59" s="224">
        <v>36</v>
      </c>
      <c r="Q59" s="224">
        <v>72</v>
      </c>
      <c r="R59" s="182"/>
      <c r="U59" s="128"/>
    </row>
    <row r="60" spans="1:21" ht="15.6" x14ac:dyDescent="0.3">
      <c r="A60" s="53"/>
      <c r="B60" s="54"/>
      <c r="C60" s="54"/>
      <c r="D60" s="54"/>
      <c r="E60" s="55"/>
      <c r="F60" s="75"/>
      <c r="G60" s="76"/>
      <c r="H60" s="76"/>
      <c r="I60" s="48"/>
      <c r="J60" s="70"/>
      <c r="K60" s="70"/>
      <c r="L60" s="221" t="s">
        <v>1115</v>
      </c>
      <c r="M60" s="222" t="s">
        <v>1201</v>
      </c>
      <c r="N60" s="221" t="s">
        <v>68</v>
      </c>
      <c r="O60" s="223">
        <v>1.2</v>
      </c>
      <c r="P60" s="224">
        <v>186.67</v>
      </c>
      <c r="Q60" s="224">
        <v>224</v>
      </c>
      <c r="R60" s="182"/>
      <c r="U60" s="128"/>
    </row>
    <row r="61" spans="1:21" ht="15.6" x14ac:dyDescent="0.3">
      <c r="A61" s="53"/>
      <c r="B61" s="54"/>
      <c r="C61" s="54"/>
      <c r="D61" s="54"/>
      <c r="E61" s="55"/>
      <c r="F61" s="75"/>
      <c r="G61" s="76"/>
      <c r="H61" s="76"/>
      <c r="I61" s="48"/>
      <c r="J61" s="70"/>
      <c r="K61" s="70"/>
      <c r="L61" s="221" t="s">
        <v>1116</v>
      </c>
      <c r="M61" s="222" t="s">
        <v>1202</v>
      </c>
      <c r="N61" s="221" t="s">
        <v>68</v>
      </c>
      <c r="O61" s="223">
        <v>25.6</v>
      </c>
      <c r="P61" s="224">
        <v>168.33</v>
      </c>
      <c r="Q61" s="225">
        <v>4309.33</v>
      </c>
      <c r="R61" s="182"/>
      <c r="U61" s="128"/>
    </row>
    <row r="62" spans="1:21" ht="15.6" x14ac:dyDescent="0.3">
      <c r="A62" s="53"/>
      <c r="B62" s="54"/>
      <c r="C62" s="54"/>
      <c r="D62" s="54"/>
      <c r="E62" s="55"/>
      <c r="F62" s="75"/>
      <c r="G62" s="76"/>
      <c r="H62" s="76"/>
      <c r="I62" s="48"/>
      <c r="J62" s="70"/>
      <c r="K62" s="70"/>
      <c r="L62" s="221" t="s">
        <v>207</v>
      </c>
      <c r="M62" s="222" t="s">
        <v>858</v>
      </c>
      <c r="N62" s="221" t="s">
        <v>68</v>
      </c>
      <c r="O62" s="223">
        <v>1.4</v>
      </c>
      <c r="P62" s="224">
        <v>343.29</v>
      </c>
      <c r="Q62" s="224">
        <v>480.6</v>
      </c>
      <c r="R62" s="182"/>
      <c r="U62" s="128"/>
    </row>
    <row r="63" spans="1:21" ht="15.6" x14ac:dyDescent="0.3">
      <c r="A63" s="53"/>
      <c r="B63" s="54"/>
      <c r="C63" s="54"/>
      <c r="D63" s="54"/>
      <c r="E63" s="55"/>
      <c r="F63" s="75"/>
      <c r="G63" s="76"/>
      <c r="H63" s="76"/>
      <c r="I63" s="48"/>
      <c r="J63" s="70"/>
      <c r="K63" s="70"/>
      <c r="L63" s="221" t="s">
        <v>1118</v>
      </c>
      <c r="M63" s="222" t="s">
        <v>1204</v>
      </c>
      <c r="N63" s="221" t="s">
        <v>68</v>
      </c>
      <c r="O63" s="223">
        <v>60</v>
      </c>
      <c r="P63" s="224">
        <v>27</v>
      </c>
      <c r="Q63" s="225">
        <v>1620</v>
      </c>
      <c r="R63" s="182"/>
      <c r="U63" s="128"/>
    </row>
    <row r="64" spans="1:21" ht="15.6" x14ac:dyDescent="0.3">
      <c r="A64" s="53"/>
      <c r="B64" s="54"/>
      <c r="C64" s="54"/>
      <c r="D64" s="54"/>
      <c r="E64" s="55"/>
      <c r="F64" s="75"/>
      <c r="G64" s="76"/>
      <c r="H64" s="76"/>
      <c r="I64" s="48"/>
      <c r="J64" s="70"/>
      <c r="K64" s="70"/>
      <c r="L64" s="221" t="s">
        <v>391</v>
      </c>
      <c r="M64" s="222" t="s">
        <v>392</v>
      </c>
      <c r="N64" s="221" t="s">
        <v>68</v>
      </c>
      <c r="O64" s="223">
        <v>3</v>
      </c>
      <c r="P64" s="225">
        <v>5102.0200000000004</v>
      </c>
      <c r="Q64" s="225">
        <v>15306.06</v>
      </c>
      <c r="R64" s="182"/>
      <c r="U64" s="128"/>
    </row>
    <row r="65" spans="1:21" ht="15.6" x14ac:dyDescent="0.3">
      <c r="A65" s="53"/>
      <c r="B65" s="54"/>
      <c r="C65" s="54"/>
      <c r="D65" s="54"/>
      <c r="E65" s="55"/>
      <c r="F65" s="75"/>
      <c r="G65" s="76"/>
      <c r="H65" s="76"/>
      <c r="I65" s="48"/>
      <c r="J65" s="70"/>
      <c r="K65" s="70"/>
      <c r="L65" s="221" t="s">
        <v>889</v>
      </c>
      <c r="M65" s="222" t="s">
        <v>890</v>
      </c>
      <c r="N65" s="221" t="s">
        <v>82</v>
      </c>
      <c r="O65" s="223">
        <v>1</v>
      </c>
      <c r="P65" s="225">
        <v>22261</v>
      </c>
      <c r="Q65" s="225">
        <v>22261</v>
      </c>
      <c r="R65" s="182"/>
      <c r="U65" s="128"/>
    </row>
    <row r="66" spans="1:21" ht="15.6" x14ac:dyDescent="0.3">
      <c r="A66" s="53"/>
      <c r="B66" s="54"/>
      <c r="C66" s="54"/>
      <c r="D66" s="54"/>
      <c r="E66" s="55"/>
      <c r="F66" s="75"/>
      <c r="G66" s="76"/>
      <c r="H66" s="76"/>
      <c r="I66" s="48"/>
      <c r="J66" s="70"/>
      <c r="K66" s="70"/>
      <c r="L66" s="221" t="s">
        <v>884</v>
      </c>
      <c r="M66" s="222" t="s">
        <v>885</v>
      </c>
      <c r="N66" s="221" t="s">
        <v>82</v>
      </c>
      <c r="O66" s="223">
        <v>1</v>
      </c>
      <c r="P66" s="225">
        <v>18062</v>
      </c>
      <c r="Q66" s="225">
        <v>18062</v>
      </c>
      <c r="R66" s="182"/>
      <c r="U66" s="128"/>
    </row>
    <row r="67" spans="1:21" ht="15.6" x14ac:dyDescent="0.3">
      <c r="A67" s="53"/>
      <c r="B67" s="54"/>
      <c r="C67" s="54"/>
      <c r="D67" s="54"/>
      <c r="E67" s="55"/>
      <c r="F67" s="75"/>
      <c r="G67" s="76"/>
      <c r="H67" s="76"/>
      <c r="I67" s="48"/>
      <c r="J67" s="70"/>
      <c r="K67" s="70"/>
      <c r="L67" s="221" t="s">
        <v>1119</v>
      </c>
      <c r="M67" s="222" t="s">
        <v>1205</v>
      </c>
      <c r="N67" s="221" t="s">
        <v>35</v>
      </c>
      <c r="O67" s="223">
        <v>3</v>
      </c>
      <c r="P67" s="224">
        <v>78.33</v>
      </c>
      <c r="Q67" s="224">
        <v>234.99</v>
      </c>
      <c r="R67" s="182"/>
      <c r="U67" s="128"/>
    </row>
    <row r="68" spans="1:21" ht="15.6" x14ac:dyDescent="0.3">
      <c r="A68" s="53"/>
      <c r="B68" s="54"/>
      <c r="C68" s="54"/>
      <c r="D68" s="54"/>
      <c r="E68" s="55"/>
      <c r="F68" s="75"/>
      <c r="G68" s="76"/>
      <c r="H68" s="76"/>
      <c r="I68" s="48"/>
      <c r="J68" s="70"/>
      <c r="K68" s="70"/>
      <c r="L68" s="221" t="s">
        <v>1120</v>
      </c>
      <c r="M68" s="222" t="s">
        <v>1206</v>
      </c>
      <c r="N68" s="221" t="s">
        <v>35</v>
      </c>
      <c r="O68" s="223">
        <v>10</v>
      </c>
      <c r="P68" s="224">
        <v>133.33000000000001</v>
      </c>
      <c r="Q68" s="225">
        <v>1333.3</v>
      </c>
      <c r="R68" s="182"/>
      <c r="U68" s="128"/>
    </row>
    <row r="69" spans="1:21" ht="15.6" x14ac:dyDescent="0.3">
      <c r="A69" s="53"/>
      <c r="B69" s="54"/>
      <c r="C69" s="54"/>
      <c r="D69" s="54"/>
      <c r="E69" s="55"/>
      <c r="F69" s="75"/>
      <c r="G69" s="76"/>
      <c r="H69" s="76"/>
      <c r="I69" s="48"/>
      <c r="J69" s="70"/>
      <c r="K69" s="70"/>
      <c r="L69" s="221" t="s">
        <v>1436</v>
      </c>
      <c r="M69" s="222" t="s">
        <v>1458</v>
      </c>
      <c r="N69" s="221" t="s">
        <v>35</v>
      </c>
      <c r="O69" s="223">
        <v>1.2999999999999999E-2</v>
      </c>
      <c r="P69" s="224">
        <v>307.69</v>
      </c>
      <c r="Q69" s="224">
        <v>4</v>
      </c>
      <c r="R69" s="182"/>
      <c r="U69" s="128"/>
    </row>
    <row r="70" spans="1:21" ht="30" x14ac:dyDescent="0.3">
      <c r="A70" s="53"/>
      <c r="B70" s="54"/>
      <c r="C70" s="54"/>
      <c r="D70" s="54"/>
      <c r="E70" s="55"/>
      <c r="F70" s="75"/>
      <c r="G70" s="76"/>
      <c r="H70" s="76"/>
      <c r="I70" s="48"/>
      <c r="J70" s="70"/>
      <c r="K70" s="70"/>
      <c r="L70" s="221" t="s">
        <v>987</v>
      </c>
      <c r="M70" s="222" t="s">
        <v>837</v>
      </c>
      <c r="N70" s="221" t="s">
        <v>34</v>
      </c>
      <c r="O70" s="223">
        <v>2</v>
      </c>
      <c r="P70" s="224">
        <v>53</v>
      </c>
      <c r="Q70" s="224">
        <v>106</v>
      </c>
      <c r="R70" s="182"/>
      <c r="U70" s="128"/>
    </row>
    <row r="71" spans="1:21" ht="15.6" x14ac:dyDescent="0.3">
      <c r="A71" s="53"/>
      <c r="B71" s="54"/>
      <c r="C71" s="54"/>
      <c r="D71" s="54"/>
      <c r="E71" s="55"/>
      <c r="F71" s="75"/>
      <c r="G71" s="76"/>
      <c r="H71" s="76"/>
      <c r="I71" s="48"/>
      <c r="J71" s="70"/>
      <c r="K71" s="70"/>
      <c r="L71" s="221" t="s">
        <v>484</v>
      </c>
      <c r="M71" s="222" t="s">
        <v>1061</v>
      </c>
      <c r="N71" s="221" t="s">
        <v>34</v>
      </c>
      <c r="O71" s="223">
        <v>1</v>
      </c>
      <c r="P71" s="224">
        <v>36.25</v>
      </c>
      <c r="Q71" s="224">
        <v>36.25</v>
      </c>
      <c r="R71" s="182"/>
      <c r="U71" s="128"/>
    </row>
    <row r="72" spans="1:21" ht="15.6" x14ac:dyDescent="0.3">
      <c r="A72" s="53"/>
      <c r="B72" s="54"/>
      <c r="C72" s="54"/>
      <c r="D72" s="54"/>
      <c r="E72" s="55"/>
      <c r="F72" s="75"/>
      <c r="G72" s="76"/>
      <c r="H72" s="76"/>
      <c r="I72" s="48"/>
      <c r="J72" s="70"/>
      <c r="K72" s="70"/>
      <c r="L72" s="221" t="s">
        <v>1427</v>
      </c>
      <c r="M72" s="222" t="s">
        <v>1449</v>
      </c>
      <c r="N72" s="221" t="s">
        <v>34</v>
      </c>
      <c r="O72" s="223">
        <v>3</v>
      </c>
      <c r="P72" s="224">
        <v>55.93</v>
      </c>
      <c r="Q72" s="224">
        <v>167.8</v>
      </c>
      <c r="R72" s="182"/>
      <c r="U72" s="128"/>
    </row>
    <row r="73" spans="1:21" ht="15.6" x14ac:dyDescent="0.3">
      <c r="A73" s="53"/>
      <c r="B73" s="54"/>
      <c r="C73" s="54"/>
      <c r="D73" s="54"/>
      <c r="E73" s="55"/>
      <c r="F73" s="75"/>
      <c r="G73" s="76"/>
      <c r="H73" s="76"/>
      <c r="I73" s="48"/>
      <c r="J73" s="70"/>
      <c r="K73" s="70"/>
      <c r="L73" s="221" t="s">
        <v>1428</v>
      </c>
      <c r="M73" s="222" t="s">
        <v>1450</v>
      </c>
      <c r="N73" s="221" t="s">
        <v>34</v>
      </c>
      <c r="O73" s="223">
        <v>1</v>
      </c>
      <c r="P73" s="224">
        <v>103.58</v>
      </c>
      <c r="Q73" s="224">
        <v>103.58</v>
      </c>
      <c r="R73" s="182"/>
      <c r="U73" s="128"/>
    </row>
    <row r="74" spans="1:21" ht="15.6" x14ac:dyDescent="0.3">
      <c r="A74" s="53"/>
      <c r="B74" s="54"/>
      <c r="C74" s="54"/>
      <c r="D74" s="54"/>
      <c r="E74" s="55"/>
      <c r="F74" s="75"/>
      <c r="G74" s="76"/>
      <c r="H74" s="76"/>
      <c r="I74" s="48"/>
      <c r="J74" s="70"/>
      <c r="K74" s="70"/>
      <c r="L74" s="221" t="s">
        <v>1178</v>
      </c>
      <c r="M74" s="222" t="s">
        <v>1262</v>
      </c>
      <c r="N74" s="221" t="s">
        <v>34</v>
      </c>
      <c r="O74" s="223">
        <v>1</v>
      </c>
      <c r="P74" s="224">
        <v>36.72</v>
      </c>
      <c r="Q74" s="224">
        <v>36.72</v>
      </c>
      <c r="R74" s="182"/>
      <c r="U74" s="128"/>
    </row>
    <row r="75" spans="1:21" ht="15.6" x14ac:dyDescent="0.3">
      <c r="A75" s="53"/>
      <c r="B75" s="54"/>
      <c r="C75" s="54"/>
      <c r="D75" s="54"/>
      <c r="E75" s="55"/>
      <c r="F75" s="75"/>
      <c r="G75" s="76"/>
      <c r="H75" s="76"/>
      <c r="I75" s="48"/>
      <c r="J75" s="70"/>
      <c r="K75" s="70"/>
      <c r="L75" s="221" t="s">
        <v>1434</v>
      </c>
      <c r="M75" s="222" t="s">
        <v>1456</v>
      </c>
      <c r="N75" s="221" t="s">
        <v>34</v>
      </c>
      <c r="O75" s="223">
        <v>1</v>
      </c>
      <c r="P75" s="224">
        <v>410</v>
      </c>
      <c r="Q75" s="224">
        <v>410</v>
      </c>
      <c r="R75" s="182"/>
      <c r="U75" s="128"/>
    </row>
    <row r="76" spans="1:21" ht="15.6" x14ac:dyDescent="0.3">
      <c r="A76" s="53"/>
      <c r="B76" s="54"/>
      <c r="C76" s="54"/>
      <c r="D76" s="54"/>
      <c r="E76" s="55"/>
      <c r="F76" s="75"/>
      <c r="G76" s="76"/>
      <c r="H76" s="76"/>
      <c r="I76" s="48"/>
      <c r="J76" s="70"/>
      <c r="K76" s="70"/>
      <c r="L76" s="221" t="s">
        <v>1172</v>
      </c>
      <c r="M76" s="222" t="s">
        <v>1257</v>
      </c>
      <c r="N76" s="221" t="s">
        <v>34</v>
      </c>
      <c r="O76" s="223">
        <v>1</v>
      </c>
      <c r="P76" s="224">
        <v>285</v>
      </c>
      <c r="Q76" s="224">
        <v>285</v>
      </c>
      <c r="R76" s="182"/>
      <c r="U76" s="128"/>
    </row>
    <row r="77" spans="1:21" ht="15.6" x14ac:dyDescent="0.3">
      <c r="A77" s="53"/>
      <c r="B77" s="54"/>
      <c r="C77" s="54"/>
      <c r="D77" s="54"/>
      <c r="E77" s="55"/>
      <c r="F77" s="75"/>
      <c r="G77" s="76"/>
      <c r="H77" s="76"/>
      <c r="I77" s="48"/>
      <c r="J77" s="70"/>
      <c r="K77" s="70"/>
      <c r="L77" s="221" t="s">
        <v>1435</v>
      </c>
      <c r="M77" s="222" t="s">
        <v>1457</v>
      </c>
      <c r="N77" s="221" t="s">
        <v>34</v>
      </c>
      <c r="O77" s="223">
        <v>2</v>
      </c>
      <c r="P77" s="224">
        <v>986</v>
      </c>
      <c r="Q77" s="225">
        <v>1972</v>
      </c>
      <c r="R77" s="182"/>
      <c r="U77" s="128"/>
    </row>
    <row r="78" spans="1:21" ht="15.6" x14ac:dyDescent="0.3">
      <c r="A78" s="53"/>
      <c r="B78" s="54"/>
      <c r="C78" s="54"/>
      <c r="D78" s="54"/>
      <c r="E78" s="55"/>
      <c r="F78" s="75"/>
      <c r="G78" s="76"/>
      <c r="H78" s="76"/>
      <c r="I78" s="48"/>
      <c r="J78" s="70"/>
      <c r="K78" s="70"/>
      <c r="L78" s="221" t="s">
        <v>997</v>
      </c>
      <c r="M78" s="222" t="s">
        <v>853</v>
      </c>
      <c r="N78" s="221" t="s">
        <v>34</v>
      </c>
      <c r="O78" s="223">
        <v>25</v>
      </c>
      <c r="P78" s="224">
        <v>48</v>
      </c>
      <c r="Q78" s="225">
        <v>1200</v>
      </c>
      <c r="R78" s="182"/>
      <c r="U78" s="128"/>
    </row>
    <row r="79" spans="1:21" ht="15.6" x14ac:dyDescent="0.3">
      <c r="A79" s="53"/>
      <c r="B79" s="54"/>
      <c r="C79" s="54"/>
      <c r="D79" s="54"/>
      <c r="E79" s="55"/>
      <c r="F79" s="75"/>
      <c r="G79" s="76"/>
      <c r="H79" s="76"/>
      <c r="I79" s="48"/>
      <c r="J79" s="70"/>
      <c r="K79" s="70"/>
      <c r="L79" s="221" t="s">
        <v>998</v>
      </c>
      <c r="M79" s="222" t="s">
        <v>1068</v>
      </c>
      <c r="N79" s="221" t="s">
        <v>34</v>
      </c>
      <c r="O79" s="223">
        <v>2</v>
      </c>
      <c r="P79" s="224">
        <v>66.86</v>
      </c>
      <c r="Q79" s="224">
        <v>133.72</v>
      </c>
      <c r="R79" s="182"/>
      <c r="U79" s="128"/>
    </row>
    <row r="80" spans="1:21" ht="15.6" x14ac:dyDescent="0.3">
      <c r="A80" s="53"/>
      <c r="B80" s="54"/>
      <c r="C80" s="54"/>
      <c r="D80" s="54"/>
      <c r="E80" s="55"/>
      <c r="F80" s="75"/>
      <c r="G80" s="76"/>
      <c r="H80" s="76"/>
      <c r="I80" s="48"/>
      <c r="J80" s="70"/>
      <c r="K80" s="70"/>
      <c r="L80" s="221" t="s">
        <v>999</v>
      </c>
      <c r="M80" s="222" t="s">
        <v>1069</v>
      </c>
      <c r="N80" s="221" t="s">
        <v>34</v>
      </c>
      <c r="O80" s="226">
        <v>1806</v>
      </c>
      <c r="P80" s="224">
        <v>0.26</v>
      </c>
      <c r="Q80" s="224">
        <v>461.88</v>
      </c>
      <c r="R80" s="182"/>
      <c r="U80" s="128"/>
    </row>
    <row r="81" spans="1:21" ht="15.6" x14ac:dyDescent="0.3">
      <c r="A81" s="53"/>
      <c r="B81" s="54"/>
      <c r="C81" s="54"/>
      <c r="D81" s="54"/>
      <c r="E81" s="55"/>
      <c r="F81" s="75"/>
      <c r="G81" s="76"/>
      <c r="H81" s="76"/>
      <c r="I81" s="48"/>
      <c r="J81" s="70"/>
      <c r="K81" s="70"/>
      <c r="L81" s="221" t="s">
        <v>1173</v>
      </c>
      <c r="M81" s="222" t="s">
        <v>109</v>
      </c>
      <c r="N81" s="221" t="s">
        <v>34</v>
      </c>
      <c r="O81" s="223">
        <v>13</v>
      </c>
      <c r="P81" s="224">
        <v>0.27</v>
      </c>
      <c r="Q81" s="224">
        <v>3.49</v>
      </c>
      <c r="R81" s="182"/>
      <c r="U81" s="128"/>
    </row>
    <row r="82" spans="1:21" ht="15.6" x14ac:dyDescent="0.3">
      <c r="A82" s="53"/>
      <c r="B82" s="54"/>
      <c r="C82" s="54"/>
      <c r="D82" s="54"/>
      <c r="E82" s="55"/>
      <c r="F82" s="75"/>
      <c r="G82" s="76"/>
      <c r="H82" s="76"/>
      <c r="I82" s="48"/>
      <c r="J82" s="70"/>
      <c r="K82" s="70"/>
      <c r="L82" s="221" t="s">
        <v>856</v>
      </c>
      <c r="M82" s="222" t="s">
        <v>857</v>
      </c>
      <c r="N82" s="221" t="s">
        <v>34</v>
      </c>
      <c r="O82" s="226">
        <v>2863</v>
      </c>
      <c r="P82" s="224">
        <v>0.44</v>
      </c>
      <c r="Q82" s="225">
        <v>1262.58</v>
      </c>
      <c r="R82" s="182"/>
      <c r="U82" s="128"/>
    </row>
    <row r="83" spans="1:21" ht="15.6" x14ac:dyDescent="0.3">
      <c r="A83" s="53"/>
      <c r="B83" s="54"/>
      <c r="C83" s="54"/>
      <c r="D83" s="54"/>
      <c r="E83" s="55"/>
      <c r="F83" s="75"/>
      <c r="G83" s="76"/>
      <c r="H83" s="76"/>
      <c r="I83" s="48"/>
      <c r="J83" s="70"/>
      <c r="K83" s="70"/>
      <c r="L83" s="221" t="s">
        <v>1000</v>
      </c>
      <c r="M83" s="222" t="s">
        <v>248</v>
      </c>
      <c r="N83" s="221" t="s">
        <v>34</v>
      </c>
      <c r="O83" s="223">
        <v>409</v>
      </c>
      <c r="P83" s="224">
        <v>0.24</v>
      </c>
      <c r="Q83" s="224">
        <v>99.5</v>
      </c>
      <c r="R83" s="182"/>
      <c r="U83" s="128"/>
    </row>
    <row r="84" spans="1:21" ht="15.6" x14ac:dyDescent="0.3">
      <c r="A84" s="53"/>
      <c r="B84" s="54"/>
      <c r="C84" s="54"/>
      <c r="D84" s="54"/>
      <c r="E84" s="55"/>
      <c r="F84" s="75"/>
      <c r="G84" s="76"/>
      <c r="H84" s="76"/>
      <c r="I84" s="48"/>
      <c r="J84" s="70"/>
      <c r="K84" s="70"/>
      <c r="L84" s="221" t="s">
        <v>49</v>
      </c>
      <c r="M84" s="222" t="s">
        <v>74</v>
      </c>
      <c r="N84" s="221" t="s">
        <v>34</v>
      </c>
      <c r="O84" s="223">
        <v>17</v>
      </c>
      <c r="P84" s="224">
        <v>133.33000000000001</v>
      </c>
      <c r="Q84" s="225">
        <v>2266.61</v>
      </c>
      <c r="R84" s="182"/>
      <c r="U84" s="128"/>
    </row>
    <row r="85" spans="1:21" ht="15.6" x14ac:dyDescent="0.3">
      <c r="A85" s="53"/>
      <c r="B85" s="54"/>
      <c r="C85" s="54"/>
      <c r="D85" s="54"/>
      <c r="E85" s="55"/>
      <c r="F85" s="75"/>
      <c r="G85" s="76"/>
      <c r="H85" s="76"/>
      <c r="I85" s="48"/>
      <c r="J85" s="70"/>
      <c r="K85" s="70"/>
      <c r="L85" s="221" t="s">
        <v>967</v>
      </c>
      <c r="M85" s="222" t="s">
        <v>1056</v>
      </c>
      <c r="N85" s="221" t="s">
        <v>34</v>
      </c>
      <c r="O85" s="223">
        <v>3</v>
      </c>
      <c r="P85" s="224">
        <v>0.43</v>
      </c>
      <c r="Q85" s="224">
        <v>1.29</v>
      </c>
      <c r="R85" s="182"/>
      <c r="U85" s="128"/>
    </row>
    <row r="86" spans="1:21" ht="15.6" x14ac:dyDescent="0.3">
      <c r="A86" s="53"/>
      <c r="B86" s="54"/>
      <c r="C86" s="54"/>
      <c r="D86" s="54"/>
      <c r="E86" s="55"/>
      <c r="F86" s="75"/>
      <c r="G86" s="76"/>
      <c r="H86" s="76"/>
      <c r="I86" s="48"/>
      <c r="J86" s="70"/>
      <c r="K86" s="70"/>
      <c r="L86" s="221" t="s">
        <v>968</v>
      </c>
      <c r="M86" s="222" t="s">
        <v>756</v>
      </c>
      <c r="N86" s="221" t="s">
        <v>34</v>
      </c>
      <c r="O86" s="223">
        <v>250</v>
      </c>
      <c r="P86" s="224">
        <v>1.47</v>
      </c>
      <c r="Q86" s="224">
        <v>367.5</v>
      </c>
      <c r="R86" s="182"/>
      <c r="U86" s="128"/>
    </row>
    <row r="87" spans="1:21" ht="15.6" x14ac:dyDescent="0.3">
      <c r="A87" s="53"/>
      <c r="B87" s="54"/>
      <c r="C87" s="54"/>
      <c r="D87" s="54"/>
      <c r="E87" s="55"/>
      <c r="F87" s="75"/>
      <c r="G87" s="76"/>
      <c r="H87" s="76"/>
      <c r="I87" s="48"/>
      <c r="J87" s="70"/>
      <c r="K87" s="70"/>
      <c r="L87" s="221" t="s">
        <v>969</v>
      </c>
      <c r="M87" s="222" t="s">
        <v>75</v>
      </c>
      <c r="N87" s="221" t="s">
        <v>34</v>
      </c>
      <c r="O87" s="223">
        <v>12</v>
      </c>
      <c r="P87" s="224">
        <v>1.8</v>
      </c>
      <c r="Q87" s="224">
        <v>21.56</v>
      </c>
      <c r="R87" s="182"/>
      <c r="U87" s="128"/>
    </row>
    <row r="88" spans="1:21" ht="15.6" x14ac:dyDescent="0.3">
      <c r="A88" s="53"/>
      <c r="B88" s="54"/>
      <c r="C88" s="54"/>
      <c r="D88" s="54"/>
      <c r="E88" s="55"/>
      <c r="F88" s="75"/>
      <c r="G88" s="76"/>
      <c r="H88" s="76"/>
      <c r="I88" s="48"/>
      <c r="J88" s="70"/>
      <c r="K88" s="70"/>
      <c r="L88" s="221" t="s">
        <v>1122</v>
      </c>
      <c r="M88" s="222" t="s">
        <v>1208</v>
      </c>
      <c r="N88" s="221" t="s">
        <v>34</v>
      </c>
      <c r="O88" s="223">
        <v>1</v>
      </c>
      <c r="P88" s="224">
        <v>212</v>
      </c>
      <c r="Q88" s="224">
        <v>212</v>
      </c>
      <c r="R88" s="182"/>
      <c r="U88" s="128"/>
    </row>
    <row r="89" spans="1:21" ht="15.6" x14ac:dyDescent="0.3">
      <c r="A89" s="53"/>
      <c r="B89" s="54"/>
      <c r="C89" s="54"/>
      <c r="D89" s="54"/>
      <c r="E89" s="55"/>
      <c r="F89" s="75"/>
      <c r="G89" s="76"/>
      <c r="H89" s="76"/>
      <c r="I89" s="48"/>
      <c r="J89" s="70"/>
      <c r="K89" s="70"/>
      <c r="L89" s="221" t="s">
        <v>757</v>
      </c>
      <c r="M89" s="222" t="s">
        <v>758</v>
      </c>
      <c r="N89" s="221" t="s">
        <v>34</v>
      </c>
      <c r="O89" s="223">
        <v>0.2</v>
      </c>
      <c r="P89" s="225">
        <v>2803</v>
      </c>
      <c r="Q89" s="224">
        <v>560.6</v>
      </c>
      <c r="R89" s="182"/>
      <c r="U89" s="128"/>
    </row>
    <row r="90" spans="1:21" ht="15.6" x14ac:dyDescent="0.3">
      <c r="A90" s="53"/>
      <c r="B90" s="54"/>
      <c r="C90" s="54"/>
      <c r="D90" s="54"/>
      <c r="E90" s="55"/>
      <c r="F90" s="75"/>
      <c r="G90" s="76"/>
      <c r="H90" s="76"/>
      <c r="I90" s="48"/>
      <c r="J90" s="70"/>
      <c r="K90" s="70"/>
      <c r="L90" s="221" t="s">
        <v>970</v>
      </c>
      <c r="M90" s="222" t="s">
        <v>294</v>
      </c>
      <c r="N90" s="221" t="s">
        <v>34</v>
      </c>
      <c r="O90" s="223">
        <v>4</v>
      </c>
      <c r="P90" s="224">
        <v>178.9</v>
      </c>
      <c r="Q90" s="224">
        <v>715.6</v>
      </c>
      <c r="R90" s="182"/>
      <c r="U90" s="128"/>
    </row>
    <row r="91" spans="1:21" ht="15.6" x14ac:dyDescent="0.3">
      <c r="A91" s="53"/>
      <c r="B91" s="54"/>
      <c r="C91" s="54"/>
      <c r="D91" s="54"/>
      <c r="E91" s="55"/>
      <c r="F91" s="75"/>
      <c r="G91" s="76"/>
      <c r="H91" s="76"/>
      <c r="I91" s="48"/>
      <c r="J91" s="70"/>
      <c r="K91" s="70"/>
      <c r="L91" s="221" t="s">
        <v>971</v>
      </c>
      <c r="M91" s="222" t="s">
        <v>296</v>
      </c>
      <c r="N91" s="221" t="s">
        <v>34</v>
      </c>
      <c r="O91" s="223">
        <v>3</v>
      </c>
      <c r="P91" s="224">
        <v>67.83</v>
      </c>
      <c r="Q91" s="224">
        <v>203.49</v>
      </c>
      <c r="R91" s="182"/>
      <c r="U91" s="128"/>
    </row>
    <row r="92" spans="1:21" ht="15.6" x14ac:dyDescent="0.3">
      <c r="A92" s="53"/>
      <c r="B92" s="54"/>
      <c r="C92" s="54"/>
      <c r="D92" s="54"/>
      <c r="E92" s="55"/>
      <c r="F92" s="75"/>
      <c r="G92" s="76"/>
      <c r="H92" s="76"/>
      <c r="I92" s="48"/>
      <c r="J92" s="70"/>
      <c r="K92" s="70"/>
      <c r="L92" s="221" t="s">
        <v>972</v>
      </c>
      <c r="M92" s="222" t="s">
        <v>297</v>
      </c>
      <c r="N92" s="221" t="s">
        <v>34</v>
      </c>
      <c r="O92" s="223">
        <v>1</v>
      </c>
      <c r="P92" s="224">
        <v>167</v>
      </c>
      <c r="Q92" s="224">
        <v>167</v>
      </c>
      <c r="R92" s="182"/>
      <c r="U92" s="128"/>
    </row>
    <row r="93" spans="1:21" ht="15.6" x14ac:dyDescent="0.3">
      <c r="A93" s="53"/>
      <c r="B93" s="54"/>
      <c r="C93" s="54"/>
      <c r="D93" s="54"/>
      <c r="E93" s="55"/>
      <c r="F93" s="75"/>
      <c r="G93" s="76"/>
      <c r="H93" s="76"/>
      <c r="I93" s="48"/>
      <c r="J93" s="70"/>
      <c r="K93" s="70"/>
      <c r="L93" s="221" t="s">
        <v>298</v>
      </c>
      <c r="M93" s="222" t="s">
        <v>299</v>
      </c>
      <c r="N93" s="221" t="s">
        <v>34</v>
      </c>
      <c r="O93" s="223">
        <v>5</v>
      </c>
      <c r="P93" s="224">
        <v>211.5</v>
      </c>
      <c r="Q93" s="225">
        <v>1057.49</v>
      </c>
      <c r="R93" s="182"/>
      <c r="U93" s="128"/>
    </row>
    <row r="94" spans="1:21" ht="15.6" x14ac:dyDescent="0.3">
      <c r="A94" s="53"/>
      <c r="B94" s="54"/>
      <c r="C94" s="54"/>
      <c r="D94" s="54"/>
      <c r="E94" s="55"/>
      <c r="F94" s="75"/>
      <c r="G94" s="76"/>
      <c r="H94" s="76"/>
      <c r="I94" s="48"/>
      <c r="J94" s="70"/>
      <c r="K94" s="70"/>
      <c r="L94" s="221" t="s">
        <v>896</v>
      </c>
      <c r="M94" s="222" t="s">
        <v>897</v>
      </c>
      <c r="N94" s="221" t="s">
        <v>34</v>
      </c>
      <c r="O94" s="223">
        <v>0.2</v>
      </c>
      <c r="P94" s="224">
        <v>521.54999999999995</v>
      </c>
      <c r="Q94" s="224">
        <v>104.31</v>
      </c>
      <c r="R94" s="182"/>
      <c r="U94" s="128"/>
    </row>
    <row r="95" spans="1:21" ht="15.6" x14ac:dyDescent="0.3">
      <c r="A95" s="53"/>
      <c r="B95" s="54"/>
      <c r="C95" s="54"/>
      <c r="D95" s="54"/>
      <c r="E95" s="55"/>
      <c r="F95" s="75"/>
      <c r="G95" s="76"/>
      <c r="H95" s="76"/>
      <c r="I95" s="48"/>
      <c r="J95" s="70"/>
      <c r="K95" s="70"/>
      <c r="L95" s="221" t="s">
        <v>1131</v>
      </c>
      <c r="M95" s="222" t="s">
        <v>1217</v>
      </c>
      <c r="N95" s="221" t="s">
        <v>34</v>
      </c>
      <c r="O95" s="223">
        <v>1</v>
      </c>
      <c r="P95" s="225">
        <v>2269</v>
      </c>
      <c r="Q95" s="225">
        <v>2269</v>
      </c>
      <c r="R95" s="182"/>
      <c r="U95" s="128"/>
    </row>
    <row r="96" spans="1:21" ht="15.6" x14ac:dyDescent="0.3">
      <c r="A96" s="53"/>
      <c r="B96" s="54"/>
      <c r="C96" s="54"/>
      <c r="D96" s="54"/>
      <c r="E96" s="55"/>
      <c r="F96" s="75"/>
      <c r="G96" s="76"/>
      <c r="H96" s="76"/>
      <c r="I96" s="48"/>
      <c r="J96" s="70"/>
      <c r="K96" s="70"/>
      <c r="L96" s="221" t="s">
        <v>1132</v>
      </c>
      <c r="M96" s="222" t="s">
        <v>1218</v>
      </c>
      <c r="N96" s="221" t="s">
        <v>34</v>
      </c>
      <c r="O96" s="223">
        <v>2</v>
      </c>
      <c r="P96" s="225">
        <v>2217.4499999999998</v>
      </c>
      <c r="Q96" s="225">
        <v>4434.8999999999996</v>
      </c>
      <c r="R96" s="182"/>
      <c r="U96" s="128"/>
    </row>
    <row r="97" spans="1:21" ht="15.6" x14ac:dyDescent="0.3">
      <c r="A97" s="53"/>
      <c r="B97" s="54"/>
      <c r="C97" s="54"/>
      <c r="D97" s="54"/>
      <c r="E97" s="55"/>
      <c r="F97" s="75"/>
      <c r="G97" s="76"/>
      <c r="H97" s="76"/>
      <c r="I97" s="48"/>
      <c r="J97" s="70"/>
      <c r="K97" s="70"/>
      <c r="L97" s="221" t="s">
        <v>304</v>
      </c>
      <c r="M97" s="222" t="s">
        <v>305</v>
      </c>
      <c r="N97" s="221" t="s">
        <v>34</v>
      </c>
      <c r="O97" s="223">
        <v>7</v>
      </c>
      <c r="P97" s="224">
        <v>63.7</v>
      </c>
      <c r="Q97" s="224">
        <v>445.9</v>
      </c>
      <c r="R97" s="182"/>
      <c r="U97" s="128"/>
    </row>
    <row r="98" spans="1:21" ht="15.6" x14ac:dyDescent="0.3">
      <c r="A98" s="53"/>
      <c r="B98" s="54"/>
      <c r="C98" s="54"/>
      <c r="D98" s="54"/>
      <c r="E98" s="55"/>
      <c r="F98" s="75"/>
      <c r="G98" s="76"/>
      <c r="H98" s="76"/>
      <c r="I98" s="48"/>
      <c r="J98" s="70"/>
      <c r="K98" s="70"/>
      <c r="L98" s="221" t="s">
        <v>761</v>
      </c>
      <c r="M98" s="222" t="s">
        <v>762</v>
      </c>
      <c r="N98" s="221" t="s">
        <v>34</v>
      </c>
      <c r="O98" s="223">
        <v>19</v>
      </c>
      <c r="P98" s="224">
        <v>77.209999999999994</v>
      </c>
      <c r="Q98" s="225">
        <v>1466.99</v>
      </c>
      <c r="R98" s="182"/>
      <c r="U98" s="128"/>
    </row>
    <row r="99" spans="1:21" ht="15.6" x14ac:dyDescent="0.3">
      <c r="A99" s="53"/>
      <c r="B99" s="54"/>
      <c r="C99" s="54"/>
      <c r="D99" s="54"/>
      <c r="E99" s="55"/>
      <c r="F99" s="75"/>
      <c r="G99" s="76"/>
      <c r="H99" s="76"/>
      <c r="I99" s="48"/>
      <c r="J99" s="70"/>
      <c r="K99" s="70"/>
      <c r="L99" s="221" t="s">
        <v>975</v>
      </c>
      <c r="M99" s="222" t="s">
        <v>763</v>
      </c>
      <c r="N99" s="221" t="s">
        <v>34</v>
      </c>
      <c r="O99" s="223">
        <v>8</v>
      </c>
      <c r="P99" s="224">
        <v>128.69</v>
      </c>
      <c r="Q99" s="225">
        <v>1029.52</v>
      </c>
      <c r="R99" s="182"/>
      <c r="U99" s="128"/>
    </row>
    <row r="100" spans="1:21" ht="15.6" x14ac:dyDescent="0.3">
      <c r="A100" s="53"/>
      <c r="B100" s="54"/>
      <c r="C100" s="54"/>
      <c r="D100" s="54"/>
      <c r="E100" s="55"/>
      <c r="F100" s="75"/>
      <c r="G100" s="76"/>
      <c r="H100" s="76"/>
      <c r="I100" s="48"/>
      <c r="J100" s="70"/>
      <c r="K100" s="70"/>
      <c r="L100" s="221" t="s">
        <v>869</v>
      </c>
      <c r="M100" s="222" t="s">
        <v>898</v>
      </c>
      <c r="N100" s="221" t="s">
        <v>34</v>
      </c>
      <c r="O100" s="223">
        <v>1</v>
      </c>
      <c r="P100" s="224">
        <v>368</v>
      </c>
      <c r="Q100" s="224">
        <v>368</v>
      </c>
      <c r="R100" s="182"/>
      <c r="U100" s="128"/>
    </row>
    <row r="101" spans="1:21" ht="15.6" x14ac:dyDescent="0.3">
      <c r="A101" s="53"/>
      <c r="B101" s="54"/>
      <c r="C101" s="54"/>
      <c r="D101" s="54"/>
      <c r="E101" s="55"/>
      <c r="F101" s="75"/>
      <c r="G101" s="76"/>
      <c r="H101" s="76"/>
      <c r="I101" s="48"/>
      <c r="J101" s="70"/>
      <c r="K101" s="70"/>
      <c r="L101" s="221" t="s">
        <v>870</v>
      </c>
      <c r="M101" s="222" t="s">
        <v>899</v>
      </c>
      <c r="N101" s="221" t="s">
        <v>34</v>
      </c>
      <c r="O101" s="223">
        <v>1</v>
      </c>
      <c r="P101" s="225">
        <v>1074.3900000000001</v>
      </c>
      <c r="Q101" s="225">
        <v>1074.3900000000001</v>
      </c>
      <c r="R101" s="272"/>
      <c r="U101" s="128"/>
    </row>
    <row r="102" spans="1:21" ht="15.6" x14ac:dyDescent="0.3">
      <c r="A102" s="53"/>
      <c r="B102" s="54"/>
      <c r="C102" s="54"/>
      <c r="D102" s="54"/>
      <c r="E102" s="55"/>
      <c r="F102" s="75"/>
      <c r="G102" s="76"/>
      <c r="H102" s="76"/>
      <c r="I102" s="48"/>
      <c r="J102" s="70"/>
      <c r="K102" s="70"/>
      <c r="L102" s="221" t="s">
        <v>900</v>
      </c>
      <c r="M102" s="222" t="s">
        <v>901</v>
      </c>
      <c r="N102" s="221" t="s">
        <v>34</v>
      </c>
      <c r="O102" s="223">
        <v>1</v>
      </c>
      <c r="P102" s="224">
        <v>44</v>
      </c>
      <c r="Q102" s="224">
        <v>44</v>
      </c>
      <c r="R102" s="182"/>
      <c r="U102" s="128"/>
    </row>
    <row r="103" spans="1:21" ht="15.6" x14ac:dyDescent="0.3">
      <c r="A103" s="53"/>
      <c r="B103" s="54"/>
      <c r="C103" s="54"/>
      <c r="D103" s="54"/>
      <c r="E103" s="55"/>
      <c r="F103" s="75"/>
      <c r="G103" s="76"/>
      <c r="H103" s="76"/>
      <c r="I103" s="48"/>
      <c r="J103" s="70"/>
      <c r="K103" s="70"/>
      <c r="L103" s="221" t="s">
        <v>864</v>
      </c>
      <c r="M103" s="222" t="s">
        <v>929</v>
      </c>
      <c r="N103" s="221" t="s">
        <v>34</v>
      </c>
      <c r="O103" s="223">
        <v>4</v>
      </c>
      <c r="P103" s="225">
        <v>2220.42</v>
      </c>
      <c r="Q103" s="225">
        <v>8881.68</v>
      </c>
      <c r="R103" s="182"/>
      <c r="U103" s="128"/>
    </row>
    <row r="104" spans="1:21" ht="15.6" x14ac:dyDescent="0.3">
      <c r="A104" s="53"/>
      <c r="B104" s="54"/>
      <c r="C104" s="54"/>
      <c r="D104" s="54"/>
      <c r="E104" s="55"/>
      <c r="F104" s="75"/>
      <c r="G104" s="76"/>
      <c r="H104" s="76"/>
      <c r="I104" s="48"/>
      <c r="J104" s="70"/>
      <c r="K104" s="70"/>
      <c r="L104" s="221" t="s">
        <v>860</v>
      </c>
      <c r="M104" s="222" t="s">
        <v>922</v>
      </c>
      <c r="N104" s="221" t="s">
        <v>34</v>
      </c>
      <c r="O104" s="223">
        <v>1</v>
      </c>
      <c r="P104" s="225">
        <v>8332.5</v>
      </c>
      <c r="Q104" s="225">
        <v>8332.5</v>
      </c>
      <c r="R104" s="182"/>
      <c r="U104" s="128"/>
    </row>
    <row r="105" spans="1:21" ht="15.6" x14ac:dyDescent="0.3">
      <c r="A105" s="53"/>
      <c r="B105" s="54"/>
      <c r="C105" s="54"/>
      <c r="D105" s="54"/>
      <c r="E105" s="55"/>
      <c r="F105" s="75"/>
      <c r="G105" s="76"/>
      <c r="H105" s="76"/>
      <c r="I105" s="48"/>
      <c r="J105" s="70"/>
      <c r="K105" s="70"/>
      <c r="L105" s="221" t="s">
        <v>974</v>
      </c>
      <c r="M105" s="222" t="s">
        <v>760</v>
      </c>
      <c r="N105" s="221" t="s">
        <v>34</v>
      </c>
      <c r="O105" s="223">
        <v>4</v>
      </c>
      <c r="P105" s="225">
        <v>2213.64</v>
      </c>
      <c r="Q105" s="225">
        <v>8854.56</v>
      </c>
      <c r="R105" s="182"/>
      <c r="U105" s="128"/>
    </row>
    <row r="106" spans="1:21" ht="15.6" x14ac:dyDescent="0.3">
      <c r="A106" s="53"/>
      <c r="B106" s="54"/>
      <c r="C106" s="54"/>
      <c r="D106" s="54"/>
      <c r="E106" s="55"/>
      <c r="F106" s="75"/>
      <c r="G106" s="76"/>
      <c r="H106" s="76"/>
      <c r="I106" s="48"/>
      <c r="J106" s="70"/>
      <c r="K106" s="70"/>
      <c r="L106" s="221" t="s">
        <v>863</v>
      </c>
      <c r="M106" s="222" t="s">
        <v>926</v>
      </c>
      <c r="N106" s="221" t="s">
        <v>34</v>
      </c>
      <c r="O106" s="223">
        <v>1</v>
      </c>
      <c r="P106" s="225">
        <v>8590</v>
      </c>
      <c r="Q106" s="225">
        <v>8590</v>
      </c>
      <c r="R106" s="182"/>
      <c r="U106" s="128"/>
    </row>
    <row r="107" spans="1:21" ht="15.6" x14ac:dyDescent="0.3">
      <c r="A107" s="53"/>
      <c r="B107" s="54"/>
      <c r="C107" s="54"/>
      <c r="D107" s="54"/>
      <c r="E107" s="55"/>
      <c r="F107" s="75"/>
      <c r="G107" s="76"/>
      <c r="H107" s="76"/>
      <c r="I107" s="48"/>
      <c r="J107" s="70"/>
      <c r="K107" s="70"/>
      <c r="L107" s="221" t="s">
        <v>861</v>
      </c>
      <c r="M107" s="222" t="s">
        <v>917</v>
      </c>
      <c r="N107" s="221" t="s">
        <v>34</v>
      </c>
      <c r="O107" s="223">
        <v>1</v>
      </c>
      <c r="P107" s="225">
        <v>8250</v>
      </c>
      <c r="Q107" s="225">
        <v>8250</v>
      </c>
      <c r="R107" s="182"/>
      <c r="U107" s="128"/>
    </row>
    <row r="108" spans="1:21" ht="15.6" x14ac:dyDescent="0.3">
      <c r="A108" s="53"/>
      <c r="B108" s="54"/>
      <c r="C108" s="54"/>
      <c r="D108" s="54"/>
      <c r="E108" s="55"/>
      <c r="F108" s="75"/>
      <c r="G108" s="76"/>
      <c r="H108" s="76"/>
      <c r="I108" s="48"/>
      <c r="J108" s="70"/>
      <c r="K108" s="70"/>
      <c r="L108" s="221" t="s">
        <v>754</v>
      </c>
      <c r="M108" s="222" t="s">
        <v>755</v>
      </c>
      <c r="N108" s="221" t="s">
        <v>34</v>
      </c>
      <c r="O108" s="223">
        <v>1</v>
      </c>
      <c r="P108" s="225">
        <v>7084</v>
      </c>
      <c r="Q108" s="225">
        <v>7084</v>
      </c>
      <c r="R108" s="182"/>
      <c r="U108" s="128"/>
    </row>
    <row r="109" spans="1:21" ht="15.6" x14ac:dyDescent="0.3">
      <c r="A109" s="53"/>
      <c r="B109" s="54"/>
      <c r="C109" s="54"/>
      <c r="D109" s="54"/>
      <c r="E109" s="55"/>
      <c r="F109" s="75"/>
      <c r="G109" s="76"/>
      <c r="H109" s="76"/>
      <c r="I109" s="48"/>
      <c r="J109" s="70"/>
      <c r="K109" s="70"/>
      <c r="L109" s="221" t="s">
        <v>995</v>
      </c>
      <c r="M109" s="222" t="s">
        <v>1067</v>
      </c>
      <c r="N109" s="221" t="s">
        <v>34</v>
      </c>
      <c r="O109" s="223">
        <v>1</v>
      </c>
      <c r="P109" s="225">
        <v>7750</v>
      </c>
      <c r="Q109" s="225">
        <v>7750</v>
      </c>
      <c r="R109" s="182"/>
      <c r="U109" s="128"/>
    </row>
    <row r="110" spans="1:21" ht="15.6" x14ac:dyDescent="0.3">
      <c r="A110" s="53"/>
      <c r="B110" s="54"/>
      <c r="C110" s="54"/>
      <c r="D110" s="54"/>
      <c r="E110" s="55"/>
      <c r="F110" s="75"/>
      <c r="G110" s="76"/>
      <c r="H110" s="76"/>
      <c r="I110" s="48"/>
      <c r="J110" s="70"/>
      <c r="K110" s="70"/>
      <c r="L110" s="221" t="s">
        <v>994</v>
      </c>
      <c r="M110" s="222" t="s">
        <v>1066</v>
      </c>
      <c r="N110" s="221" t="s">
        <v>34</v>
      </c>
      <c r="O110" s="223">
        <v>1</v>
      </c>
      <c r="P110" s="225">
        <v>7750</v>
      </c>
      <c r="Q110" s="225">
        <v>7750</v>
      </c>
      <c r="R110" s="182"/>
      <c r="U110" s="128"/>
    </row>
    <row r="111" spans="1:21" ht="15.6" x14ac:dyDescent="0.3">
      <c r="A111" s="53"/>
      <c r="B111" s="54"/>
      <c r="C111" s="54"/>
      <c r="D111" s="54"/>
      <c r="E111" s="55"/>
      <c r="F111" s="75"/>
      <c r="G111" s="76"/>
      <c r="H111" s="76"/>
      <c r="I111" s="48"/>
      <c r="J111" s="70"/>
      <c r="K111" s="70"/>
      <c r="L111" s="221" t="s">
        <v>812</v>
      </c>
      <c r="M111" s="222" t="s">
        <v>813</v>
      </c>
      <c r="N111" s="221" t="s">
        <v>34</v>
      </c>
      <c r="O111" s="223">
        <v>1</v>
      </c>
      <c r="P111" s="225">
        <v>6500</v>
      </c>
      <c r="Q111" s="225">
        <v>6500</v>
      </c>
      <c r="R111" s="182"/>
      <c r="U111" s="128"/>
    </row>
    <row r="112" spans="1:21" ht="15.6" x14ac:dyDescent="0.3">
      <c r="A112" s="53"/>
      <c r="B112" s="54"/>
      <c r="C112" s="54"/>
      <c r="D112" s="54"/>
      <c r="E112" s="55"/>
      <c r="F112" s="75"/>
      <c r="G112" s="76"/>
      <c r="H112" s="76"/>
      <c r="I112" s="48"/>
      <c r="J112" s="70"/>
      <c r="K112" s="70"/>
      <c r="L112" s="221" t="s">
        <v>764</v>
      </c>
      <c r="M112" s="222" t="s">
        <v>765</v>
      </c>
      <c r="N112" s="221" t="s">
        <v>34</v>
      </c>
      <c r="O112" s="223">
        <v>14</v>
      </c>
      <c r="P112" s="224">
        <v>499.71</v>
      </c>
      <c r="Q112" s="225">
        <v>6995.94</v>
      </c>
      <c r="R112" s="182"/>
      <c r="U112" s="128"/>
    </row>
    <row r="113" spans="1:21" ht="15.6" x14ac:dyDescent="0.3">
      <c r="A113" s="53"/>
      <c r="B113" s="54"/>
      <c r="C113" s="54"/>
      <c r="D113" s="54"/>
      <c r="E113" s="55"/>
      <c r="F113" s="75"/>
      <c r="G113" s="76"/>
      <c r="H113" s="76"/>
      <c r="I113" s="48"/>
      <c r="J113" s="70"/>
      <c r="K113" s="70"/>
      <c r="L113" s="221" t="s">
        <v>973</v>
      </c>
      <c r="M113" s="222" t="s">
        <v>759</v>
      </c>
      <c r="N113" s="221" t="s">
        <v>34</v>
      </c>
      <c r="O113" s="223">
        <v>11</v>
      </c>
      <c r="P113" s="224">
        <v>599.46</v>
      </c>
      <c r="Q113" s="225">
        <v>6594.04</v>
      </c>
      <c r="R113" s="182"/>
      <c r="U113" s="128"/>
    </row>
    <row r="114" spans="1:21" ht="15.6" x14ac:dyDescent="0.3">
      <c r="A114" s="53"/>
      <c r="B114" s="54"/>
      <c r="C114" s="54"/>
      <c r="D114" s="54"/>
      <c r="E114" s="55"/>
      <c r="F114" s="75"/>
      <c r="G114" s="76"/>
      <c r="H114" s="76"/>
      <c r="I114" s="48"/>
      <c r="J114" s="70"/>
      <c r="K114" s="70"/>
      <c r="L114" s="221" t="s">
        <v>881</v>
      </c>
      <c r="M114" s="222" t="s">
        <v>1054</v>
      </c>
      <c r="N114" s="221" t="s">
        <v>34</v>
      </c>
      <c r="O114" s="223">
        <v>17</v>
      </c>
      <c r="P114" s="224">
        <v>366.22</v>
      </c>
      <c r="Q114" s="225">
        <v>6225.74</v>
      </c>
      <c r="R114" s="182"/>
      <c r="U114" s="128"/>
    </row>
    <row r="115" spans="1:21" ht="15.6" x14ac:dyDescent="0.3">
      <c r="A115" s="53"/>
      <c r="B115" s="54"/>
      <c r="C115" s="54"/>
      <c r="D115" s="54"/>
      <c r="E115" s="55"/>
      <c r="F115" s="75"/>
      <c r="G115" s="76"/>
      <c r="H115" s="76"/>
      <c r="I115" s="48"/>
      <c r="J115" s="70"/>
      <c r="K115" s="70"/>
      <c r="L115" s="221" t="s">
        <v>1130</v>
      </c>
      <c r="M115" s="222" t="s">
        <v>1216</v>
      </c>
      <c r="N115" s="221" t="s">
        <v>34</v>
      </c>
      <c r="O115" s="223">
        <v>1</v>
      </c>
      <c r="P115" s="225">
        <v>6064.17</v>
      </c>
      <c r="Q115" s="225">
        <v>6064.17</v>
      </c>
      <c r="R115" s="182"/>
      <c r="U115" s="128"/>
    </row>
    <row r="116" spans="1:21" ht="15.6" x14ac:dyDescent="0.3">
      <c r="A116" s="53"/>
      <c r="B116" s="54"/>
      <c r="C116" s="54"/>
      <c r="D116" s="54"/>
      <c r="E116" s="55"/>
      <c r="F116" s="75"/>
      <c r="G116" s="76"/>
      <c r="H116" s="76"/>
      <c r="I116" s="48"/>
      <c r="J116" s="70"/>
      <c r="K116" s="70"/>
      <c r="L116" s="221" t="s">
        <v>1123</v>
      </c>
      <c r="M116" s="222" t="s">
        <v>1209</v>
      </c>
      <c r="N116" s="221" t="s">
        <v>34</v>
      </c>
      <c r="O116" s="223">
        <v>1</v>
      </c>
      <c r="P116" s="224">
        <v>192.6</v>
      </c>
      <c r="Q116" s="224">
        <v>192.6</v>
      </c>
      <c r="R116" s="182"/>
      <c r="U116" s="128"/>
    </row>
    <row r="117" spans="1:21" ht="15.6" x14ac:dyDescent="0.3">
      <c r="A117" s="53"/>
      <c r="B117" s="54"/>
      <c r="C117" s="54"/>
      <c r="D117" s="54"/>
      <c r="E117" s="55"/>
      <c r="F117" s="75"/>
      <c r="G117" s="76"/>
      <c r="H117" s="76"/>
      <c r="I117" s="48"/>
      <c r="J117" s="70"/>
      <c r="K117" s="70"/>
      <c r="L117" s="221" t="s">
        <v>766</v>
      </c>
      <c r="M117" s="222" t="s">
        <v>767</v>
      </c>
      <c r="N117" s="221" t="s">
        <v>34</v>
      </c>
      <c r="O117" s="223">
        <v>1</v>
      </c>
      <c r="P117" s="225">
        <v>10432.94</v>
      </c>
      <c r="Q117" s="225">
        <v>10432.94</v>
      </c>
      <c r="R117" s="182"/>
      <c r="U117" s="128"/>
    </row>
    <row r="118" spans="1:21" ht="15.6" x14ac:dyDescent="0.3">
      <c r="A118" s="53"/>
      <c r="B118" s="54"/>
      <c r="C118" s="54"/>
      <c r="D118" s="54"/>
      <c r="E118" s="55"/>
      <c r="F118" s="75"/>
      <c r="G118" s="76"/>
      <c r="H118" s="76"/>
      <c r="I118" s="48"/>
      <c r="J118" s="70"/>
      <c r="K118" s="70"/>
      <c r="L118" s="221" t="s">
        <v>1011</v>
      </c>
      <c r="M118" s="222" t="s">
        <v>815</v>
      </c>
      <c r="N118" s="221" t="s">
        <v>34</v>
      </c>
      <c r="O118" s="223">
        <v>14</v>
      </c>
      <c r="P118" s="224">
        <v>865.5</v>
      </c>
      <c r="Q118" s="225">
        <v>12117</v>
      </c>
      <c r="R118" s="182"/>
      <c r="U118" s="128"/>
    </row>
    <row r="119" spans="1:21" ht="15.6" x14ac:dyDescent="0.3">
      <c r="A119" s="53"/>
      <c r="B119" s="54"/>
      <c r="C119" s="54"/>
      <c r="D119" s="54"/>
      <c r="E119" s="55"/>
      <c r="F119" s="75"/>
      <c r="G119" s="76"/>
      <c r="H119" s="76"/>
      <c r="I119" s="48"/>
      <c r="J119" s="70"/>
      <c r="K119" s="70"/>
      <c r="L119" s="221" t="s">
        <v>979</v>
      </c>
      <c r="M119" s="222" t="s">
        <v>73</v>
      </c>
      <c r="N119" s="221" t="s">
        <v>34</v>
      </c>
      <c r="O119" s="223">
        <v>3</v>
      </c>
      <c r="P119" s="224">
        <v>377.87</v>
      </c>
      <c r="Q119" s="225">
        <v>1133.6099999999999</v>
      </c>
      <c r="R119" s="182"/>
      <c r="U119" s="128"/>
    </row>
    <row r="120" spans="1:21" ht="15.6" x14ac:dyDescent="0.3">
      <c r="A120" s="53"/>
      <c r="B120" s="54"/>
      <c r="C120" s="54"/>
      <c r="D120" s="54"/>
      <c r="E120" s="55"/>
      <c r="F120" s="75"/>
      <c r="G120" s="76"/>
      <c r="H120" s="76"/>
      <c r="I120" s="48"/>
      <c r="J120" s="70"/>
      <c r="K120" s="70"/>
      <c r="L120" s="221" t="s">
        <v>1099</v>
      </c>
      <c r="M120" s="222" t="s">
        <v>1100</v>
      </c>
      <c r="N120" s="221" t="s">
        <v>34</v>
      </c>
      <c r="O120" s="223">
        <v>1</v>
      </c>
      <c r="P120" s="224">
        <v>35</v>
      </c>
      <c r="Q120" s="224">
        <v>35</v>
      </c>
      <c r="R120" s="182"/>
      <c r="U120" s="128"/>
    </row>
    <row r="121" spans="1:21" ht="15.6" x14ac:dyDescent="0.3">
      <c r="A121" s="53"/>
      <c r="B121" s="54"/>
      <c r="C121" s="54"/>
      <c r="D121" s="54"/>
      <c r="E121" s="55"/>
      <c r="F121" s="75"/>
      <c r="G121" s="76"/>
      <c r="H121" s="76"/>
      <c r="I121" s="48"/>
      <c r="J121" s="70"/>
      <c r="K121" s="70"/>
      <c r="L121" s="221" t="s">
        <v>164</v>
      </c>
      <c r="M121" s="222" t="s">
        <v>165</v>
      </c>
      <c r="N121" s="221" t="s">
        <v>34</v>
      </c>
      <c r="O121" s="223">
        <v>1</v>
      </c>
      <c r="P121" s="224">
        <v>323.88</v>
      </c>
      <c r="Q121" s="224">
        <v>323.88</v>
      </c>
      <c r="R121" s="182"/>
      <c r="U121" s="128"/>
    </row>
    <row r="122" spans="1:21" ht="15.6" x14ac:dyDescent="0.3">
      <c r="A122" s="53"/>
      <c r="B122" s="54"/>
      <c r="C122" s="54"/>
      <c r="D122" s="54"/>
      <c r="E122" s="55"/>
      <c r="F122" s="75"/>
      <c r="G122" s="76"/>
      <c r="H122" s="76"/>
      <c r="I122" s="48"/>
      <c r="J122" s="70"/>
      <c r="K122" s="70"/>
      <c r="L122" s="221" t="s">
        <v>282</v>
      </c>
      <c r="M122" s="222" t="s">
        <v>283</v>
      </c>
      <c r="N122" s="221" t="s">
        <v>34</v>
      </c>
      <c r="O122" s="223">
        <v>1</v>
      </c>
      <c r="P122" s="224">
        <v>81.599999999999994</v>
      </c>
      <c r="Q122" s="224">
        <v>81.599999999999994</v>
      </c>
      <c r="R122" s="182"/>
      <c r="U122" s="128"/>
    </row>
    <row r="123" spans="1:21" ht="15.6" x14ac:dyDescent="0.3">
      <c r="A123" s="53"/>
      <c r="B123" s="54"/>
      <c r="C123" s="54"/>
      <c r="D123" s="54"/>
      <c r="E123" s="55"/>
      <c r="F123" s="75"/>
      <c r="G123" s="76"/>
      <c r="H123" s="76"/>
      <c r="I123" s="48"/>
      <c r="J123" s="70"/>
      <c r="K123" s="70"/>
      <c r="L123" s="221" t="s">
        <v>980</v>
      </c>
      <c r="M123" s="222" t="s">
        <v>284</v>
      </c>
      <c r="N123" s="221" t="s">
        <v>34</v>
      </c>
      <c r="O123" s="223">
        <v>3</v>
      </c>
      <c r="P123" s="224">
        <v>84.36</v>
      </c>
      <c r="Q123" s="224">
        <v>253.08</v>
      </c>
      <c r="R123" s="182"/>
      <c r="U123" s="128"/>
    </row>
    <row r="124" spans="1:21" ht="15.6" x14ac:dyDescent="0.3">
      <c r="A124" s="53"/>
      <c r="B124" s="54"/>
      <c r="C124" s="54"/>
      <c r="D124" s="54"/>
      <c r="E124" s="55"/>
      <c r="F124" s="75"/>
      <c r="G124" s="76"/>
      <c r="H124" s="76"/>
      <c r="I124" s="48"/>
      <c r="J124" s="70"/>
      <c r="K124" s="70"/>
      <c r="L124" s="221" t="s">
        <v>1092</v>
      </c>
      <c r="M124" s="222" t="s">
        <v>1096</v>
      </c>
      <c r="N124" s="221" t="s">
        <v>34</v>
      </c>
      <c r="O124" s="223">
        <v>1</v>
      </c>
      <c r="P124" s="224">
        <v>128.24</v>
      </c>
      <c r="Q124" s="224">
        <v>128.24</v>
      </c>
      <c r="R124" s="182"/>
      <c r="U124" s="128"/>
    </row>
    <row r="125" spans="1:21" ht="15.6" x14ac:dyDescent="0.3">
      <c r="A125" s="53"/>
      <c r="B125" s="54"/>
      <c r="C125" s="54"/>
      <c r="D125" s="54"/>
      <c r="E125" s="55"/>
      <c r="F125" s="75"/>
      <c r="G125" s="76"/>
      <c r="H125" s="76"/>
      <c r="I125" s="48"/>
      <c r="J125" s="70"/>
      <c r="K125" s="70"/>
      <c r="L125" s="221" t="s">
        <v>879</v>
      </c>
      <c r="M125" s="222" t="s">
        <v>880</v>
      </c>
      <c r="N125" s="221" t="s">
        <v>34</v>
      </c>
      <c r="O125" s="223">
        <v>1</v>
      </c>
      <c r="P125" s="225">
        <v>2454.98</v>
      </c>
      <c r="Q125" s="225">
        <v>2454.98</v>
      </c>
      <c r="R125" s="182"/>
      <c r="U125" s="128"/>
    </row>
    <row r="126" spans="1:21" ht="15.6" x14ac:dyDescent="0.3">
      <c r="A126" s="53"/>
      <c r="B126" s="54"/>
      <c r="C126" s="54"/>
      <c r="D126" s="54"/>
      <c r="E126" s="55"/>
      <c r="F126" s="75"/>
      <c r="G126" s="76"/>
      <c r="H126" s="76"/>
      <c r="I126" s="48"/>
      <c r="J126" s="70"/>
      <c r="K126" s="70"/>
      <c r="L126" s="221" t="s">
        <v>1138</v>
      </c>
      <c r="M126" s="222" t="s">
        <v>1225</v>
      </c>
      <c r="N126" s="221" t="s">
        <v>34</v>
      </c>
      <c r="O126" s="223">
        <v>2</v>
      </c>
      <c r="P126" s="224">
        <v>99.92</v>
      </c>
      <c r="Q126" s="224">
        <v>199.84</v>
      </c>
      <c r="R126" s="182"/>
      <c r="U126" s="128"/>
    </row>
    <row r="127" spans="1:21" ht="15.6" x14ac:dyDescent="0.3">
      <c r="A127" s="53"/>
      <c r="B127" s="54"/>
      <c r="C127" s="54"/>
      <c r="D127" s="54"/>
      <c r="E127" s="55"/>
      <c r="F127" s="75"/>
      <c r="G127" s="76"/>
      <c r="H127" s="76"/>
      <c r="I127" s="48"/>
      <c r="J127" s="70"/>
      <c r="K127" s="70"/>
      <c r="L127" s="221" t="s">
        <v>981</v>
      </c>
      <c r="M127" s="222" t="s">
        <v>285</v>
      </c>
      <c r="N127" s="221" t="s">
        <v>34</v>
      </c>
      <c r="O127" s="223">
        <v>1</v>
      </c>
      <c r="P127" s="224">
        <v>84.9</v>
      </c>
      <c r="Q127" s="224">
        <v>84.9</v>
      </c>
      <c r="R127" s="182"/>
      <c r="U127" s="128"/>
    </row>
    <row r="128" spans="1:21" ht="15.6" x14ac:dyDescent="0.3">
      <c r="A128" s="53"/>
      <c r="B128" s="54"/>
      <c r="C128" s="54"/>
      <c r="D128" s="54"/>
      <c r="E128" s="55"/>
      <c r="F128" s="75"/>
      <c r="G128" s="76"/>
      <c r="H128" s="76"/>
      <c r="I128" s="48"/>
      <c r="J128" s="70"/>
      <c r="K128" s="70"/>
      <c r="L128" s="221" t="s">
        <v>982</v>
      </c>
      <c r="M128" s="222" t="s">
        <v>751</v>
      </c>
      <c r="N128" s="221" t="s">
        <v>34</v>
      </c>
      <c r="O128" s="223">
        <v>3</v>
      </c>
      <c r="P128" s="224">
        <v>15.5</v>
      </c>
      <c r="Q128" s="224">
        <v>46.5</v>
      </c>
      <c r="R128" s="182"/>
      <c r="U128" s="128"/>
    </row>
    <row r="129" spans="1:21" ht="15.6" x14ac:dyDescent="0.3">
      <c r="A129" s="53"/>
      <c r="B129" s="54"/>
      <c r="C129" s="54"/>
      <c r="D129" s="54"/>
      <c r="E129" s="55"/>
      <c r="F129" s="75"/>
      <c r="G129" s="76"/>
      <c r="H129" s="76"/>
      <c r="I129" s="48"/>
      <c r="J129" s="70"/>
      <c r="K129" s="70"/>
      <c r="L129" s="221" t="s">
        <v>862</v>
      </c>
      <c r="M129" s="222" t="s">
        <v>1045</v>
      </c>
      <c r="N129" s="221" t="s">
        <v>34</v>
      </c>
      <c r="O129" s="223">
        <v>1</v>
      </c>
      <c r="P129" s="225">
        <v>14582.5</v>
      </c>
      <c r="Q129" s="225">
        <v>14582.5</v>
      </c>
      <c r="R129" s="182"/>
      <c r="U129" s="128"/>
    </row>
    <row r="130" spans="1:21" ht="15.6" x14ac:dyDescent="0.3">
      <c r="A130" s="53"/>
      <c r="B130" s="54"/>
      <c r="C130" s="54"/>
      <c r="D130" s="54"/>
      <c r="E130" s="55"/>
      <c r="F130" s="75"/>
      <c r="G130" s="76"/>
      <c r="H130" s="76"/>
      <c r="I130" s="48"/>
      <c r="J130" s="70"/>
      <c r="K130" s="70"/>
      <c r="L130" s="221" t="s">
        <v>976</v>
      </c>
      <c r="M130" s="222" t="s">
        <v>163</v>
      </c>
      <c r="N130" s="221" t="s">
        <v>34</v>
      </c>
      <c r="O130" s="223">
        <v>1</v>
      </c>
      <c r="P130" s="224">
        <v>56.1</v>
      </c>
      <c r="Q130" s="224">
        <v>56.1</v>
      </c>
      <c r="R130" s="182"/>
      <c r="U130" s="128"/>
    </row>
    <row r="131" spans="1:21" ht="15.6" x14ac:dyDescent="0.3">
      <c r="A131" s="53"/>
      <c r="B131" s="54"/>
      <c r="C131" s="54"/>
      <c r="D131" s="54"/>
      <c r="E131" s="55"/>
      <c r="F131" s="75"/>
      <c r="G131" s="76"/>
      <c r="H131" s="76"/>
      <c r="I131" s="48"/>
      <c r="J131" s="70"/>
      <c r="K131" s="70"/>
      <c r="L131" s="221" t="s">
        <v>977</v>
      </c>
      <c r="M131" s="222" t="s">
        <v>1057</v>
      </c>
      <c r="N131" s="221" t="s">
        <v>34</v>
      </c>
      <c r="O131" s="223">
        <v>111</v>
      </c>
      <c r="P131" s="224">
        <v>3.94</v>
      </c>
      <c r="Q131" s="224">
        <v>437.34</v>
      </c>
      <c r="R131" s="182"/>
      <c r="U131" s="128"/>
    </row>
    <row r="132" spans="1:21" ht="15.6" x14ac:dyDescent="0.3">
      <c r="A132" s="53"/>
      <c r="B132" s="54"/>
      <c r="C132" s="54"/>
      <c r="D132" s="54"/>
      <c r="E132" s="55"/>
      <c r="F132" s="75"/>
      <c r="G132" s="76"/>
      <c r="H132" s="76"/>
      <c r="I132" s="48"/>
      <c r="J132" s="70"/>
      <c r="K132" s="70"/>
      <c r="L132" s="221" t="s">
        <v>978</v>
      </c>
      <c r="M132" s="222" t="s">
        <v>1058</v>
      </c>
      <c r="N132" s="221" t="s">
        <v>34</v>
      </c>
      <c r="O132" s="223">
        <v>190</v>
      </c>
      <c r="P132" s="224">
        <v>2.4300000000000002</v>
      </c>
      <c r="Q132" s="224">
        <v>461.7</v>
      </c>
      <c r="R132" s="182"/>
      <c r="U132" s="128"/>
    </row>
    <row r="133" spans="1:21" ht="15.6" x14ac:dyDescent="0.3">
      <c r="A133" s="53"/>
      <c r="B133" s="54"/>
      <c r="C133" s="54"/>
      <c r="D133" s="54"/>
      <c r="E133" s="55"/>
      <c r="F133" s="75"/>
      <c r="G133" s="76"/>
      <c r="H133" s="76"/>
      <c r="I133" s="48"/>
      <c r="J133" s="70"/>
      <c r="K133" s="70"/>
      <c r="L133" s="221" t="s">
        <v>736</v>
      </c>
      <c r="M133" s="222" t="s">
        <v>737</v>
      </c>
      <c r="N133" s="221" t="s">
        <v>34</v>
      </c>
      <c r="O133" s="223">
        <v>170</v>
      </c>
      <c r="P133" s="224">
        <v>3.94</v>
      </c>
      <c r="Q133" s="224">
        <v>669.8</v>
      </c>
      <c r="R133" s="182"/>
      <c r="U133" s="128"/>
    </row>
    <row r="134" spans="1:21" ht="15.6" x14ac:dyDescent="0.3">
      <c r="A134" s="53"/>
      <c r="B134" s="54"/>
      <c r="C134" s="54"/>
      <c r="D134" s="54"/>
      <c r="E134" s="55"/>
      <c r="F134" s="75"/>
      <c r="G134" s="76"/>
      <c r="H134" s="76"/>
      <c r="I134" s="48"/>
      <c r="J134" s="70"/>
      <c r="K134" s="70"/>
      <c r="L134" s="221" t="s">
        <v>738</v>
      </c>
      <c r="M134" s="222" t="s">
        <v>739</v>
      </c>
      <c r="N134" s="221" t="s">
        <v>34</v>
      </c>
      <c r="O134" s="223">
        <v>186</v>
      </c>
      <c r="P134" s="224">
        <v>6.7</v>
      </c>
      <c r="Q134" s="225">
        <v>1246.6099999999999</v>
      </c>
      <c r="R134" s="182"/>
      <c r="U134" s="128"/>
    </row>
    <row r="135" spans="1:21" ht="15.6" x14ac:dyDescent="0.3">
      <c r="A135" s="53"/>
      <c r="B135" s="54"/>
      <c r="C135" s="54"/>
      <c r="D135" s="54"/>
      <c r="E135" s="55"/>
      <c r="F135" s="75"/>
      <c r="G135" s="76"/>
      <c r="H135" s="76"/>
      <c r="I135" s="48"/>
      <c r="J135" s="70"/>
      <c r="K135" s="70"/>
      <c r="L135" s="221" t="s">
        <v>1136</v>
      </c>
      <c r="M135" s="222" t="s">
        <v>1223</v>
      </c>
      <c r="N135" s="221" t="s">
        <v>34</v>
      </c>
      <c r="O135" s="223">
        <v>0.13600000000000001</v>
      </c>
      <c r="P135" s="224">
        <v>152.5</v>
      </c>
      <c r="Q135" s="224">
        <v>20.74</v>
      </c>
      <c r="R135" s="182"/>
      <c r="U135" s="128"/>
    </row>
    <row r="136" spans="1:21" ht="15.6" x14ac:dyDescent="0.3">
      <c r="A136" s="53"/>
      <c r="B136" s="54"/>
      <c r="C136" s="54"/>
      <c r="D136" s="54"/>
      <c r="E136" s="55"/>
      <c r="F136" s="75"/>
      <c r="G136" s="76"/>
      <c r="H136" s="76"/>
      <c r="I136" s="48"/>
      <c r="J136" s="70"/>
      <c r="K136" s="70"/>
      <c r="L136" s="221" t="s">
        <v>271</v>
      </c>
      <c r="M136" s="222" t="s">
        <v>1059</v>
      </c>
      <c r="N136" s="221" t="s">
        <v>34</v>
      </c>
      <c r="O136" s="223">
        <v>4</v>
      </c>
      <c r="P136" s="224">
        <v>52.88</v>
      </c>
      <c r="Q136" s="224">
        <v>211.53</v>
      </c>
      <c r="R136" s="182"/>
      <c r="U136" s="128"/>
    </row>
    <row r="137" spans="1:21" ht="15.6" x14ac:dyDescent="0.3">
      <c r="A137" s="53"/>
      <c r="B137" s="54"/>
      <c r="C137" s="54"/>
      <c r="D137" s="54"/>
      <c r="E137" s="55"/>
      <c r="F137" s="75"/>
      <c r="G137" s="76"/>
      <c r="H137" s="76"/>
      <c r="I137" s="48"/>
      <c r="J137" s="70"/>
      <c r="K137" s="70"/>
      <c r="L137" s="221" t="s">
        <v>58</v>
      </c>
      <c r="M137" s="222" t="s">
        <v>67</v>
      </c>
      <c r="N137" s="221" t="s">
        <v>34</v>
      </c>
      <c r="O137" s="223">
        <v>9</v>
      </c>
      <c r="P137" s="224">
        <v>53.8</v>
      </c>
      <c r="Q137" s="224">
        <v>484.16</v>
      </c>
      <c r="R137" s="182"/>
      <c r="U137" s="128"/>
    </row>
    <row r="138" spans="1:21" ht="30" x14ac:dyDescent="0.3">
      <c r="A138" s="53"/>
      <c r="B138" s="54"/>
      <c r="C138" s="54"/>
      <c r="D138" s="54"/>
      <c r="E138" s="55"/>
      <c r="F138" s="75"/>
      <c r="G138" s="76"/>
      <c r="H138" s="76"/>
      <c r="I138" s="48"/>
      <c r="J138" s="70"/>
      <c r="K138" s="70"/>
      <c r="L138" s="221" t="s">
        <v>273</v>
      </c>
      <c r="M138" s="222" t="s">
        <v>274</v>
      </c>
      <c r="N138" s="221" t="s">
        <v>34</v>
      </c>
      <c r="O138" s="223">
        <v>2</v>
      </c>
      <c r="P138" s="224">
        <v>54.97</v>
      </c>
      <c r="Q138" s="224">
        <v>109.94</v>
      </c>
      <c r="R138" s="182"/>
      <c r="U138" s="128"/>
    </row>
    <row r="139" spans="1:21" ht="15.6" x14ac:dyDescent="0.3">
      <c r="A139" s="53"/>
      <c r="B139" s="54"/>
      <c r="C139" s="54"/>
      <c r="D139" s="54"/>
      <c r="E139" s="55"/>
      <c r="F139" s="75"/>
      <c r="G139" s="76"/>
      <c r="H139" s="76"/>
      <c r="I139" s="48"/>
      <c r="J139" s="70"/>
      <c r="K139" s="70"/>
      <c r="L139" s="221" t="s">
        <v>954</v>
      </c>
      <c r="M139" s="222" t="s">
        <v>1048</v>
      </c>
      <c r="N139" s="221" t="s">
        <v>34</v>
      </c>
      <c r="O139" s="223">
        <v>0.05</v>
      </c>
      <c r="P139" s="224">
        <v>291</v>
      </c>
      <c r="Q139" s="224">
        <v>14.55</v>
      </c>
      <c r="R139" s="182"/>
      <c r="U139" s="128"/>
    </row>
    <row r="140" spans="1:21" ht="15.6" x14ac:dyDescent="0.3">
      <c r="A140" s="53"/>
      <c r="B140" s="54"/>
      <c r="C140" s="54"/>
      <c r="D140" s="54"/>
      <c r="E140" s="55"/>
      <c r="F140" s="75"/>
      <c r="G140" s="76"/>
      <c r="H140" s="76"/>
      <c r="I140" s="48"/>
      <c r="J140" s="70"/>
      <c r="K140" s="70"/>
      <c r="L140" s="221" t="s">
        <v>1140</v>
      </c>
      <c r="M140" s="222" t="s">
        <v>1227</v>
      </c>
      <c r="N140" s="221" t="s">
        <v>34</v>
      </c>
      <c r="O140" s="223">
        <v>2</v>
      </c>
      <c r="P140" s="225">
        <v>1331</v>
      </c>
      <c r="Q140" s="225">
        <v>2662</v>
      </c>
      <c r="R140" s="182"/>
      <c r="U140" s="128"/>
    </row>
    <row r="141" spans="1:21" ht="15.6" x14ac:dyDescent="0.3">
      <c r="A141" s="53"/>
      <c r="B141" s="54"/>
      <c r="C141" s="54"/>
      <c r="D141" s="54"/>
      <c r="E141" s="55"/>
      <c r="F141" s="75"/>
      <c r="G141" s="76"/>
      <c r="H141" s="76"/>
      <c r="I141" s="48"/>
      <c r="J141" s="70"/>
      <c r="K141" s="70"/>
      <c r="L141" s="221" t="s">
        <v>859</v>
      </c>
      <c r="M141" s="222" t="s">
        <v>904</v>
      </c>
      <c r="N141" s="221" t="s">
        <v>34</v>
      </c>
      <c r="O141" s="223">
        <v>1</v>
      </c>
      <c r="P141" s="225">
        <v>4233.3500000000004</v>
      </c>
      <c r="Q141" s="225">
        <v>4233.3500000000004</v>
      </c>
      <c r="R141" s="182"/>
      <c r="U141" s="128"/>
    </row>
    <row r="142" spans="1:21" ht="15.6" x14ac:dyDescent="0.3">
      <c r="A142" s="53"/>
      <c r="B142" s="54"/>
      <c r="C142" s="54"/>
      <c r="D142" s="54"/>
      <c r="E142" s="55"/>
      <c r="F142" s="75"/>
      <c r="G142" s="76"/>
      <c r="H142" s="76"/>
      <c r="I142" s="48"/>
      <c r="J142" s="70"/>
      <c r="K142" s="70"/>
      <c r="L142" s="221" t="s">
        <v>868</v>
      </c>
      <c r="M142" s="222" t="s">
        <v>1047</v>
      </c>
      <c r="N142" s="221" t="s">
        <v>34</v>
      </c>
      <c r="O142" s="223">
        <v>1</v>
      </c>
      <c r="P142" s="224">
        <v>845.99</v>
      </c>
      <c r="Q142" s="224">
        <v>845.99</v>
      </c>
      <c r="R142" s="182"/>
      <c r="U142" s="128"/>
    </row>
    <row r="143" spans="1:21" ht="15.6" x14ac:dyDescent="0.3">
      <c r="A143" s="53"/>
      <c r="B143" s="54"/>
      <c r="C143" s="54"/>
      <c r="D143" s="54"/>
      <c r="E143" s="55"/>
      <c r="F143" s="75"/>
      <c r="G143" s="76"/>
      <c r="H143" s="76"/>
      <c r="I143" s="48"/>
      <c r="J143" s="70"/>
      <c r="K143" s="70"/>
      <c r="L143" s="221" t="s">
        <v>866</v>
      </c>
      <c r="M143" s="222" t="s">
        <v>919</v>
      </c>
      <c r="N143" s="221" t="s">
        <v>34</v>
      </c>
      <c r="O143" s="223">
        <v>2</v>
      </c>
      <c r="P143" s="225">
        <v>2690</v>
      </c>
      <c r="Q143" s="225">
        <v>5380</v>
      </c>
      <c r="R143" s="182"/>
      <c r="U143" s="128"/>
    </row>
    <row r="144" spans="1:21" ht="15.6" x14ac:dyDescent="0.3">
      <c r="A144" s="53"/>
      <c r="B144" s="54"/>
      <c r="C144" s="54"/>
      <c r="D144" s="54"/>
      <c r="E144" s="55"/>
      <c r="F144" s="75"/>
      <c r="G144" s="76"/>
      <c r="H144" s="76"/>
      <c r="I144" s="48"/>
      <c r="J144" s="70"/>
      <c r="K144" s="70"/>
      <c r="L144" s="221" t="s">
        <v>782</v>
      </c>
      <c r="M144" s="222" t="s">
        <v>783</v>
      </c>
      <c r="N144" s="221" t="s">
        <v>34</v>
      </c>
      <c r="O144" s="223">
        <v>2</v>
      </c>
      <c r="P144" s="225">
        <v>2778.33</v>
      </c>
      <c r="Q144" s="225">
        <v>5556.66</v>
      </c>
      <c r="R144" s="182"/>
      <c r="U144" s="128"/>
    </row>
    <row r="145" spans="1:21" ht="15.6" x14ac:dyDescent="0.3">
      <c r="A145" s="53"/>
      <c r="B145" s="54"/>
      <c r="C145" s="54"/>
      <c r="D145" s="54"/>
      <c r="E145" s="55"/>
      <c r="F145" s="75"/>
      <c r="G145" s="76"/>
      <c r="H145" s="76"/>
      <c r="I145" s="48"/>
      <c r="J145" s="70"/>
      <c r="K145" s="70"/>
      <c r="L145" s="221" t="s">
        <v>53</v>
      </c>
      <c r="M145" s="222" t="s">
        <v>85</v>
      </c>
      <c r="N145" s="221" t="s">
        <v>34</v>
      </c>
      <c r="O145" s="223">
        <v>3</v>
      </c>
      <c r="P145" s="224">
        <v>47</v>
      </c>
      <c r="Q145" s="224">
        <v>141</v>
      </c>
      <c r="R145" s="182"/>
      <c r="U145" s="128"/>
    </row>
    <row r="146" spans="1:21" ht="15.6" x14ac:dyDescent="0.3">
      <c r="A146" s="53"/>
      <c r="B146" s="54"/>
      <c r="C146" s="54"/>
      <c r="D146" s="54"/>
      <c r="E146" s="55"/>
      <c r="F146" s="75"/>
      <c r="G146" s="76"/>
      <c r="H146" s="76"/>
      <c r="I146" s="48"/>
      <c r="J146" s="70"/>
      <c r="K146" s="70"/>
      <c r="L146" s="221" t="s">
        <v>1417</v>
      </c>
      <c r="M146" s="222" t="s">
        <v>1440</v>
      </c>
      <c r="N146" s="221" t="s">
        <v>34</v>
      </c>
      <c r="O146" s="223">
        <v>2</v>
      </c>
      <c r="P146" s="224">
        <v>14.83</v>
      </c>
      <c r="Q146" s="224">
        <v>29.66</v>
      </c>
      <c r="R146" s="182"/>
      <c r="U146" s="128"/>
    </row>
    <row r="147" spans="1:21" ht="15.6" x14ac:dyDescent="0.3">
      <c r="A147" s="53"/>
      <c r="B147" s="54"/>
      <c r="C147" s="54"/>
      <c r="D147" s="54"/>
      <c r="E147" s="55"/>
      <c r="F147" s="75"/>
      <c r="G147" s="76"/>
      <c r="H147" s="76"/>
      <c r="I147" s="48"/>
      <c r="J147" s="70"/>
      <c r="K147" s="70"/>
      <c r="L147" s="221" t="s">
        <v>1149</v>
      </c>
      <c r="M147" s="222" t="s">
        <v>1236</v>
      </c>
      <c r="N147" s="221" t="s">
        <v>34</v>
      </c>
      <c r="O147" s="223">
        <v>1</v>
      </c>
      <c r="P147" s="224">
        <v>17.420000000000002</v>
      </c>
      <c r="Q147" s="224">
        <v>17.420000000000002</v>
      </c>
      <c r="R147" s="182"/>
      <c r="U147" s="128"/>
    </row>
    <row r="148" spans="1:21" ht="15.6" x14ac:dyDescent="0.3">
      <c r="A148" s="53"/>
      <c r="B148" s="54"/>
      <c r="C148" s="54"/>
      <c r="D148" s="54"/>
      <c r="E148" s="55"/>
      <c r="F148" s="75"/>
      <c r="G148" s="76"/>
      <c r="H148" s="76"/>
      <c r="I148" s="48"/>
      <c r="J148" s="70"/>
      <c r="K148" s="70"/>
      <c r="L148" s="221" t="s">
        <v>1150</v>
      </c>
      <c r="M148" s="222" t="s">
        <v>1237</v>
      </c>
      <c r="N148" s="221" t="s">
        <v>34</v>
      </c>
      <c r="O148" s="223">
        <v>116</v>
      </c>
      <c r="P148" s="224">
        <v>27.72</v>
      </c>
      <c r="Q148" s="225">
        <v>3215.52</v>
      </c>
      <c r="R148" s="182"/>
      <c r="U148" s="128"/>
    </row>
    <row r="149" spans="1:21" ht="15.6" x14ac:dyDescent="0.3">
      <c r="A149" s="53"/>
      <c r="B149" s="54"/>
      <c r="C149" s="54"/>
      <c r="D149" s="54"/>
      <c r="E149" s="55"/>
      <c r="F149" s="75"/>
      <c r="G149" s="76"/>
      <c r="H149" s="76"/>
      <c r="I149" s="48"/>
      <c r="J149" s="70"/>
      <c r="K149" s="70"/>
      <c r="L149" s="221" t="s">
        <v>793</v>
      </c>
      <c r="M149" s="222" t="s">
        <v>1052</v>
      </c>
      <c r="N149" s="221" t="s">
        <v>34</v>
      </c>
      <c r="O149" s="223">
        <v>73</v>
      </c>
      <c r="P149" s="224">
        <v>6.44</v>
      </c>
      <c r="Q149" s="224">
        <v>470.12</v>
      </c>
      <c r="R149" s="182"/>
      <c r="U149" s="128"/>
    </row>
    <row r="150" spans="1:21" ht="15.6" x14ac:dyDescent="0.3">
      <c r="A150" s="53"/>
      <c r="B150" s="54"/>
      <c r="C150" s="54"/>
      <c r="D150" s="54"/>
      <c r="E150" s="55"/>
      <c r="F150" s="75"/>
      <c r="G150" s="76"/>
      <c r="H150" s="76"/>
      <c r="I150" s="48"/>
      <c r="J150" s="70"/>
      <c r="K150" s="70"/>
      <c r="L150" s="221" t="s">
        <v>965</v>
      </c>
      <c r="M150" s="222" t="s">
        <v>382</v>
      </c>
      <c r="N150" s="221" t="s">
        <v>34</v>
      </c>
      <c r="O150" s="223">
        <v>12</v>
      </c>
      <c r="P150" s="224">
        <v>3.8</v>
      </c>
      <c r="Q150" s="224">
        <v>45.6</v>
      </c>
      <c r="R150" s="182"/>
      <c r="U150" s="128"/>
    </row>
    <row r="151" spans="1:21" ht="30" x14ac:dyDescent="0.3">
      <c r="A151" s="53"/>
      <c r="B151" s="54"/>
      <c r="C151" s="54"/>
      <c r="D151" s="54"/>
      <c r="E151" s="55"/>
      <c r="F151" s="75"/>
      <c r="G151" s="76"/>
      <c r="H151" s="76"/>
      <c r="I151" s="48"/>
      <c r="J151" s="70"/>
      <c r="K151" s="70"/>
      <c r="L151" s="221" t="s">
        <v>959</v>
      </c>
      <c r="M151" s="222" t="s">
        <v>1050</v>
      </c>
      <c r="N151" s="221" t="s">
        <v>34</v>
      </c>
      <c r="O151" s="223">
        <v>9</v>
      </c>
      <c r="P151" s="224">
        <v>13.9</v>
      </c>
      <c r="Q151" s="224">
        <v>125.1</v>
      </c>
      <c r="R151" s="182"/>
      <c r="U151" s="128"/>
    </row>
    <row r="152" spans="1:21" ht="30" x14ac:dyDescent="0.3">
      <c r="A152" s="53"/>
      <c r="B152" s="54"/>
      <c r="C152" s="54"/>
      <c r="D152" s="54"/>
      <c r="E152" s="55"/>
      <c r="F152" s="75"/>
      <c r="G152" s="76"/>
      <c r="H152" s="76"/>
      <c r="I152" s="48"/>
      <c r="J152" s="70"/>
      <c r="K152" s="70"/>
      <c r="L152" s="221" t="s">
        <v>960</v>
      </c>
      <c r="M152" s="222" t="s">
        <v>784</v>
      </c>
      <c r="N152" s="221" t="s">
        <v>34</v>
      </c>
      <c r="O152" s="223">
        <v>3</v>
      </c>
      <c r="P152" s="224">
        <v>13.9</v>
      </c>
      <c r="Q152" s="224">
        <v>41.7</v>
      </c>
      <c r="R152" s="182"/>
      <c r="U152" s="128"/>
    </row>
    <row r="153" spans="1:21" ht="15.6" x14ac:dyDescent="0.3">
      <c r="A153" s="53"/>
      <c r="B153" s="54"/>
      <c r="C153" s="54"/>
      <c r="D153" s="54"/>
      <c r="E153" s="55"/>
      <c r="F153" s="75"/>
      <c r="G153" s="76"/>
      <c r="H153" s="76"/>
      <c r="I153" s="48"/>
      <c r="J153" s="70"/>
      <c r="K153" s="70"/>
      <c r="L153" s="221" t="s">
        <v>363</v>
      </c>
      <c r="M153" s="222" t="s">
        <v>364</v>
      </c>
      <c r="N153" s="221" t="s">
        <v>34</v>
      </c>
      <c r="O153" s="223">
        <v>2</v>
      </c>
      <c r="P153" s="224">
        <v>108.4</v>
      </c>
      <c r="Q153" s="224">
        <v>216.8</v>
      </c>
      <c r="R153" s="182"/>
      <c r="U153" s="128"/>
    </row>
    <row r="154" spans="1:21" ht="15.6" x14ac:dyDescent="0.3">
      <c r="A154" s="53"/>
      <c r="B154" s="54"/>
      <c r="C154" s="54"/>
      <c r="D154" s="54"/>
      <c r="E154" s="55"/>
      <c r="F154" s="75"/>
      <c r="G154" s="76"/>
      <c r="H154" s="76"/>
      <c r="I154" s="48"/>
      <c r="J154" s="70"/>
      <c r="K154" s="70"/>
      <c r="L154" s="221" t="s">
        <v>188</v>
      </c>
      <c r="M154" s="222" t="s">
        <v>189</v>
      </c>
      <c r="N154" s="221" t="s">
        <v>34</v>
      </c>
      <c r="O154" s="223">
        <v>4</v>
      </c>
      <c r="P154" s="224">
        <v>55.1</v>
      </c>
      <c r="Q154" s="224">
        <v>220.4</v>
      </c>
      <c r="R154" s="182"/>
      <c r="U154" s="128"/>
    </row>
    <row r="155" spans="1:21" ht="15.6" x14ac:dyDescent="0.3">
      <c r="A155" s="53"/>
      <c r="B155" s="54"/>
      <c r="C155" s="54"/>
      <c r="D155" s="54"/>
      <c r="E155" s="55"/>
      <c r="F155" s="75"/>
      <c r="G155" s="76"/>
      <c r="H155" s="76"/>
      <c r="I155" s="48"/>
      <c r="J155" s="70"/>
      <c r="K155" s="70"/>
      <c r="L155" s="221" t="s">
        <v>732</v>
      </c>
      <c r="M155" s="222" t="s">
        <v>733</v>
      </c>
      <c r="N155" s="221" t="s">
        <v>34</v>
      </c>
      <c r="O155" s="223">
        <v>1</v>
      </c>
      <c r="P155" s="225">
        <v>19165.830000000002</v>
      </c>
      <c r="Q155" s="225">
        <v>19165.830000000002</v>
      </c>
      <c r="R155" s="182"/>
      <c r="U155" s="128"/>
    </row>
    <row r="156" spans="1:21" ht="15.6" x14ac:dyDescent="0.3">
      <c r="A156" s="53"/>
      <c r="B156" s="54"/>
      <c r="C156" s="54"/>
      <c r="D156" s="54"/>
      <c r="E156" s="55"/>
      <c r="F156" s="75"/>
      <c r="G156" s="76"/>
      <c r="H156" s="76"/>
      <c r="I156" s="48"/>
      <c r="J156" s="70"/>
      <c r="K156" s="70"/>
      <c r="L156" s="221" t="s">
        <v>371</v>
      </c>
      <c r="M156" s="222" t="s">
        <v>372</v>
      </c>
      <c r="N156" s="221" t="s">
        <v>34</v>
      </c>
      <c r="O156" s="223">
        <v>41</v>
      </c>
      <c r="P156" s="224">
        <v>14.88</v>
      </c>
      <c r="Q156" s="224">
        <v>610.08000000000004</v>
      </c>
      <c r="R156" s="182"/>
      <c r="U156" s="128"/>
    </row>
    <row r="157" spans="1:21" ht="15.6" x14ac:dyDescent="0.3">
      <c r="A157" s="53"/>
      <c r="B157" s="54"/>
      <c r="C157" s="54"/>
      <c r="D157" s="54"/>
      <c r="E157" s="55"/>
      <c r="F157" s="75"/>
      <c r="G157" s="76"/>
      <c r="H157" s="76"/>
      <c r="I157" s="48"/>
      <c r="J157" s="70"/>
      <c r="K157" s="70"/>
      <c r="L157" s="221" t="s">
        <v>785</v>
      </c>
      <c r="M157" s="222" t="s">
        <v>786</v>
      </c>
      <c r="N157" s="221" t="s">
        <v>34</v>
      </c>
      <c r="O157" s="223">
        <v>3</v>
      </c>
      <c r="P157" s="224">
        <v>164.75</v>
      </c>
      <c r="Q157" s="224">
        <v>494.25</v>
      </c>
      <c r="R157" s="182"/>
      <c r="U157" s="128"/>
    </row>
    <row r="158" spans="1:21" ht="15.6" x14ac:dyDescent="0.3">
      <c r="A158" s="53"/>
      <c r="B158" s="54"/>
      <c r="C158" s="54"/>
      <c r="D158" s="54"/>
      <c r="E158" s="55"/>
      <c r="F158" s="75"/>
      <c r="G158" s="76"/>
      <c r="H158" s="76"/>
      <c r="I158" s="48"/>
      <c r="J158" s="70"/>
      <c r="K158" s="70"/>
      <c r="L158" s="221" t="s">
        <v>373</v>
      </c>
      <c r="M158" s="222" t="s">
        <v>374</v>
      </c>
      <c r="N158" s="221" t="s">
        <v>34</v>
      </c>
      <c r="O158" s="223">
        <v>5</v>
      </c>
      <c r="P158" s="224">
        <v>17.32</v>
      </c>
      <c r="Q158" s="224">
        <v>86.62</v>
      </c>
      <c r="R158" s="182"/>
      <c r="U158" s="128"/>
    </row>
    <row r="159" spans="1:21" ht="15.6" x14ac:dyDescent="0.3">
      <c r="A159" s="53"/>
      <c r="B159" s="54"/>
      <c r="C159" s="54"/>
      <c r="D159" s="54"/>
      <c r="E159" s="55"/>
      <c r="F159" s="75"/>
      <c r="G159" s="76"/>
      <c r="H159" s="76"/>
      <c r="I159" s="48"/>
      <c r="J159" s="70"/>
      <c r="K159" s="70"/>
      <c r="L159" s="221" t="s">
        <v>1145</v>
      </c>
      <c r="M159" s="222" t="s">
        <v>1232</v>
      </c>
      <c r="N159" s="221" t="s">
        <v>34</v>
      </c>
      <c r="O159" s="223">
        <v>1</v>
      </c>
      <c r="P159" s="224">
        <v>64.75</v>
      </c>
      <c r="Q159" s="224">
        <v>64.75</v>
      </c>
      <c r="R159" s="182"/>
      <c r="U159" s="128"/>
    </row>
    <row r="160" spans="1:21" ht="15.6" x14ac:dyDescent="0.3">
      <c r="A160" s="53"/>
      <c r="B160" s="54"/>
      <c r="C160" s="54"/>
      <c r="D160" s="54"/>
      <c r="E160" s="55"/>
      <c r="F160" s="75"/>
      <c r="G160" s="76"/>
      <c r="H160" s="76"/>
      <c r="I160" s="48"/>
      <c r="J160" s="70"/>
      <c r="K160" s="70"/>
      <c r="L160" s="221" t="s">
        <v>1301</v>
      </c>
      <c r="M160" s="222" t="s">
        <v>1335</v>
      </c>
      <c r="N160" s="221" t="s">
        <v>34</v>
      </c>
      <c r="O160" s="223">
        <v>1</v>
      </c>
      <c r="P160" s="224">
        <v>21</v>
      </c>
      <c r="Q160" s="224">
        <v>21</v>
      </c>
      <c r="R160" s="182"/>
      <c r="U160" s="128"/>
    </row>
    <row r="161" spans="1:21" ht="15.6" x14ac:dyDescent="0.3">
      <c r="A161" s="53"/>
      <c r="B161" s="54"/>
      <c r="C161" s="54"/>
      <c r="D161" s="54"/>
      <c r="E161" s="55"/>
      <c r="F161" s="75"/>
      <c r="G161" s="76"/>
      <c r="H161" s="76"/>
      <c r="I161" s="48"/>
      <c r="J161" s="70"/>
      <c r="K161" s="70"/>
      <c r="L161" s="221" t="s">
        <v>961</v>
      </c>
      <c r="M161" s="222" t="s">
        <v>1051</v>
      </c>
      <c r="N161" s="221" t="s">
        <v>34</v>
      </c>
      <c r="O161" s="223">
        <v>0.14000000000000001</v>
      </c>
      <c r="P161" s="224">
        <v>27</v>
      </c>
      <c r="Q161" s="224">
        <v>3.78</v>
      </c>
      <c r="R161" s="182"/>
      <c r="U161" s="128"/>
    </row>
    <row r="162" spans="1:21" ht="30" x14ac:dyDescent="0.3">
      <c r="A162" s="53"/>
      <c r="B162" s="54"/>
      <c r="C162" s="54"/>
      <c r="D162" s="54"/>
      <c r="E162" s="55"/>
      <c r="F162" s="75"/>
      <c r="G162" s="76"/>
      <c r="H162" s="76"/>
      <c r="I162" s="48"/>
      <c r="J162" s="70"/>
      <c r="K162" s="70"/>
      <c r="L162" s="221" t="s">
        <v>962</v>
      </c>
      <c r="M162" s="222" t="s">
        <v>787</v>
      </c>
      <c r="N162" s="221" t="s">
        <v>34</v>
      </c>
      <c r="O162" s="223">
        <v>2</v>
      </c>
      <c r="P162" s="224">
        <v>222.4</v>
      </c>
      <c r="Q162" s="224">
        <v>444.8</v>
      </c>
      <c r="R162" s="182"/>
      <c r="U162" s="128"/>
    </row>
    <row r="163" spans="1:21" ht="15.6" x14ac:dyDescent="0.3">
      <c r="A163" s="53"/>
      <c r="B163" s="54"/>
      <c r="C163" s="54"/>
      <c r="D163" s="54"/>
      <c r="E163" s="55"/>
      <c r="F163" s="75"/>
      <c r="G163" s="76"/>
      <c r="H163" s="76"/>
      <c r="I163" s="48"/>
      <c r="J163" s="70"/>
      <c r="K163" s="70"/>
      <c r="L163" s="221" t="s">
        <v>963</v>
      </c>
      <c r="M163" s="222" t="s">
        <v>375</v>
      </c>
      <c r="N163" s="221" t="s">
        <v>34</v>
      </c>
      <c r="O163" s="223">
        <v>10</v>
      </c>
      <c r="P163" s="224">
        <v>165.42</v>
      </c>
      <c r="Q163" s="225">
        <v>1654.2</v>
      </c>
      <c r="R163" s="182"/>
      <c r="U163" s="128"/>
    </row>
    <row r="164" spans="1:21" ht="30" x14ac:dyDescent="0.3">
      <c r="A164" s="53"/>
      <c r="B164" s="54"/>
      <c r="C164" s="54"/>
      <c r="D164" s="54"/>
      <c r="E164" s="55"/>
      <c r="F164" s="75"/>
      <c r="G164" s="76"/>
      <c r="H164" s="76"/>
      <c r="I164" s="48"/>
      <c r="J164" s="70"/>
      <c r="K164" s="70"/>
      <c r="L164" s="221" t="s">
        <v>1146</v>
      </c>
      <c r="M164" s="222" t="s">
        <v>1233</v>
      </c>
      <c r="N164" s="221" t="s">
        <v>34</v>
      </c>
      <c r="O164" s="223">
        <v>2</v>
      </c>
      <c r="P164" s="224">
        <v>36</v>
      </c>
      <c r="Q164" s="224">
        <v>72</v>
      </c>
      <c r="R164" s="182"/>
      <c r="U164" s="128"/>
    </row>
    <row r="165" spans="1:21" ht="15.6" x14ac:dyDescent="0.3">
      <c r="A165" s="53"/>
      <c r="B165" s="54"/>
      <c r="C165" s="54"/>
      <c r="D165" s="54"/>
      <c r="E165" s="55"/>
      <c r="F165" s="75"/>
      <c r="G165" s="76"/>
      <c r="H165" s="76"/>
      <c r="I165" s="48"/>
      <c r="J165" s="70"/>
      <c r="K165" s="70"/>
      <c r="L165" s="221" t="s">
        <v>875</v>
      </c>
      <c r="M165" s="222" t="s">
        <v>876</v>
      </c>
      <c r="N165" s="221" t="s">
        <v>34</v>
      </c>
      <c r="O165" s="223">
        <v>1</v>
      </c>
      <c r="P165" s="225">
        <v>1577.48</v>
      </c>
      <c r="Q165" s="225">
        <v>1577.48</v>
      </c>
      <c r="R165" s="182"/>
      <c r="U165" s="128"/>
    </row>
    <row r="166" spans="1:21" ht="15.6" x14ac:dyDescent="0.3">
      <c r="A166" s="53"/>
      <c r="B166" s="54"/>
      <c r="C166" s="54"/>
      <c r="D166" s="54"/>
      <c r="E166" s="55"/>
      <c r="F166" s="75"/>
      <c r="G166" s="76"/>
      <c r="H166" s="76"/>
      <c r="I166" s="48"/>
      <c r="J166" s="70"/>
      <c r="K166" s="70"/>
      <c r="L166" s="221" t="s">
        <v>789</v>
      </c>
      <c r="M166" s="222" t="s">
        <v>790</v>
      </c>
      <c r="N166" s="221" t="s">
        <v>34</v>
      </c>
      <c r="O166" s="223">
        <v>16</v>
      </c>
      <c r="P166" s="224">
        <v>10</v>
      </c>
      <c r="Q166" s="224">
        <v>160</v>
      </c>
      <c r="R166" s="182"/>
      <c r="U166" s="128"/>
    </row>
    <row r="167" spans="1:21" ht="15.6" x14ac:dyDescent="0.3">
      <c r="A167" s="53"/>
      <c r="B167" s="54"/>
      <c r="C167" s="54"/>
      <c r="D167" s="54"/>
      <c r="E167" s="55"/>
      <c r="F167" s="75"/>
      <c r="G167" s="76"/>
      <c r="H167" s="76"/>
      <c r="I167" s="48"/>
      <c r="J167" s="70"/>
      <c r="K167" s="70"/>
      <c r="L167" s="221" t="s">
        <v>791</v>
      </c>
      <c r="M167" s="222" t="s">
        <v>792</v>
      </c>
      <c r="N167" s="221" t="s">
        <v>34</v>
      </c>
      <c r="O167" s="223">
        <v>5</v>
      </c>
      <c r="P167" s="224">
        <v>10</v>
      </c>
      <c r="Q167" s="224">
        <v>50</v>
      </c>
      <c r="R167" s="182"/>
      <c r="U167" s="128"/>
    </row>
    <row r="168" spans="1:21" ht="15.6" x14ac:dyDescent="0.3">
      <c r="A168" s="53"/>
      <c r="B168" s="54"/>
      <c r="C168" s="54"/>
      <c r="D168" s="54"/>
      <c r="E168" s="55"/>
      <c r="F168" s="75"/>
      <c r="G168" s="76"/>
      <c r="H168" s="76"/>
      <c r="I168" s="48"/>
      <c r="J168" s="70"/>
      <c r="K168" s="70"/>
      <c r="L168" s="221" t="s">
        <v>1414</v>
      </c>
      <c r="M168" s="222" t="s">
        <v>1437</v>
      </c>
      <c r="N168" s="221" t="s">
        <v>34</v>
      </c>
      <c r="O168" s="223">
        <v>4</v>
      </c>
      <c r="P168" s="224">
        <v>12</v>
      </c>
      <c r="Q168" s="224">
        <v>48</v>
      </c>
      <c r="R168" s="182"/>
      <c r="U168" s="128"/>
    </row>
    <row r="169" spans="1:21" ht="15.6" x14ac:dyDescent="0.3">
      <c r="A169" s="53"/>
      <c r="B169" s="54"/>
      <c r="C169" s="54"/>
      <c r="D169" s="54"/>
      <c r="E169" s="55"/>
      <c r="F169" s="75"/>
      <c r="G169" s="76"/>
      <c r="H169" s="76"/>
      <c r="I169" s="48"/>
      <c r="J169" s="70"/>
      <c r="K169" s="70"/>
      <c r="L169" s="221" t="s">
        <v>871</v>
      </c>
      <c r="M169" s="222" t="s">
        <v>872</v>
      </c>
      <c r="N169" s="221" t="s">
        <v>34</v>
      </c>
      <c r="O169" s="223">
        <v>1</v>
      </c>
      <c r="P169" s="225">
        <v>1327.85</v>
      </c>
      <c r="Q169" s="225">
        <v>1327.85</v>
      </c>
      <c r="R169" s="182"/>
      <c r="U169" s="128"/>
    </row>
    <row r="170" spans="1:21" ht="15.6" x14ac:dyDescent="0.3">
      <c r="A170" s="53"/>
      <c r="B170" s="54"/>
      <c r="C170" s="54"/>
      <c r="D170" s="54"/>
      <c r="E170" s="55"/>
      <c r="F170" s="75"/>
      <c r="G170" s="76"/>
      <c r="H170" s="76"/>
      <c r="I170" s="48"/>
      <c r="J170" s="70"/>
      <c r="K170" s="70"/>
      <c r="L170" s="221" t="s">
        <v>873</v>
      </c>
      <c r="M170" s="222" t="s">
        <v>874</v>
      </c>
      <c r="N170" s="221" t="s">
        <v>34</v>
      </c>
      <c r="O170" s="223">
        <v>1</v>
      </c>
      <c r="P170" s="224">
        <v>509.82</v>
      </c>
      <c r="Q170" s="224">
        <v>509.82</v>
      </c>
      <c r="R170" s="182"/>
      <c r="U170" s="128"/>
    </row>
    <row r="171" spans="1:21" ht="15.6" x14ac:dyDescent="0.3">
      <c r="A171" s="53"/>
      <c r="B171" s="54"/>
      <c r="C171" s="54"/>
      <c r="D171" s="54"/>
      <c r="E171" s="55"/>
      <c r="F171" s="75"/>
      <c r="G171" s="76"/>
      <c r="H171" s="76"/>
      <c r="I171" s="48"/>
      <c r="J171" s="70"/>
      <c r="K171" s="70"/>
      <c r="L171" s="221" t="s">
        <v>1292</v>
      </c>
      <c r="M171" s="222" t="s">
        <v>1327</v>
      </c>
      <c r="N171" s="221" t="s">
        <v>34</v>
      </c>
      <c r="O171" s="223">
        <v>1</v>
      </c>
      <c r="P171" s="225">
        <v>1333.33</v>
      </c>
      <c r="Q171" s="225">
        <v>1333.33</v>
      </c>
      <c r="R171" s="182"/>
      <c r="U171" s="128"/>
    </row>
    <row r="172" spans="1:21" ht="15.6" x14ac:dyDescent="0.3">
      <c r="A172" s="53"/>
      <c r="B172" s="54"/>
      <c r="C172" s="54"/>
      <c r="D172" s="54"/>
      <c r="E172" s="55"/>
      <c r="F172" s="75"/>
      <c r="G172" s="76"/>
      <c r="H172" s="76"/>
      <c r="I172" s="48"/>
      <c r="J172" s="70"/>
      <c r="K172" s="70"/>
      <c r="L172" s="221" t="s">
        <v>953</v>
      </c>
      <c r="M172" s="222" t="s">
        <v>1046</v>
      </c>
      <c r="N172" s="221" t="s">
        <v>34</v>
      </c>
      <c r="O172" s="223">
        <v>0.27</v>
      </c>
      <c r="P172" s="224">
        <v>185</v>
      </c>
      <c r="Q172" s="224">
        <v>49.95</v>
      </c>
      <c r="R172" s="182"/>
      <c r="U172" s="128"/>
    </row>
    <row r="173" spans="1:21" ht="15.6" x14ac:dyDescent="0.3">
      <c r="A173" s="53"/>
      <c r="B173" s="54"/>
      <c r="C173" s="54"/>
      <c r="D173" s="54"/>
      <c r="E173" s="55"/>
      <c r="F173" s="75"/>
      <c r="G173" s="76"/>
      <c r="H173" s="76"/>
      <c r="I173" s="48"/>
      <c r="J173" s="70"/>
      <c r="K173" s="70"/>
      <c r="L173" s="221" t="s">
        <v>1295</v>
      </c>
      <c r="M173" s="222" t="s">
        <v>1329</v>
      </c>
      <c r="N173" s="221" t="s">
        <v>34</v>
      </c>
      <c r="O173" s="223">
        <v>1</v>
      </c>
      <c r="P173" s="224">
        <v>273.89999999999998</v>
      </c>
      <c r="Q173" s="224">
        <v>273.89999999999998</v>
      </c>
      <c r="R173" s="182"/>
      <c r="U173" s="128"/>
    </row>
    <row r="174" spans="1:21" ht="15.6" x14ac:dyDescent="0.3">
      <c r="A174" s="53"/>
      <c r="B174" s="54"/>
      <c r="C174" s="54"/>
      <c r="D174" s="54"/>
      <c r="E174" s="55"/>
      <c r="F174" s="75"/>
      <c r="G174" s="76"/>
      <c r="H174" s="76"/>
      <c r="I174" s="48"/>
      <c r="J174" s="70"/>
      <c r="K174" s="70"/>
      <c r="L174" s="221" t="s">
        <v>1141</v>
      </c>
      <c r="M174" s="222" t="s">
        <v>1228</v>
      </c>
      <c r="N174" s="221" t="s">
        <v>34</v>
      </c>
      <c r="O174" s="223">
        <v>1</v>
      </c>
      <c r="P174" s="224">
        <v>96</v>
      </c>
      <c r="Q174" s="224">
        <v>96</v>
      </c>
      <c r="R174" s="182"/>
      <c r="U174" s="128"/>
    </row>
    <row r="175" spans="1:21" ht="15.6" x14ac:dyDescent="0.3">
      <c r="A175" s="53"/>
      <c r="B175" s="54"/>
      <c r="C175" s="54"/>
      <c r="D175" s="54"/>
      <c r="E175" s="55"/>
      <c r="F175" s="75"/>
      <c r="G175" s="76"/>
      <c r="H175" s="76"/>
      <c r="I175" s="48"/>
      <c r="J175" s="70"/>
      <c r="K175" s="70"/>
      <c r="L175" s="221" t="s">
        <v>1296</v>
      </c>
      <c r="M175" s="222" t="s">
        <v>1330</v>
      </c>
      <c r="N175" s="221" t="s">
        <v>34</v>
      </c>
      <c r="O175" s="223">
        <v>1</v>
      </c>
      <c r="P175" s="224">
        <v>8</v>
      </c>
      <c r="Q175" s="224">
        <v>8</v>
      </c>
      <c r="R175" s="182"/>
      <c r="U175" s="128"/>
    </row>
    <row r="176" spans="1:21" ht="15.6" x14ac:dyDescent="0.3">
      <c r="A176" s="53"/>
      <c r="B176" s="54"/>
      <c r="C176" s="54"/>
      <c r="D176" s="54"/>
      <c r="E176" s="55"/>
      <c r="F176" s="75"/>
      <c r="G176" s="76"/>
      <c r="H176" s="76"/>
      <c r="I176" s="48"/>
      <c r="J176" s="70"/>
      <c r="K176" s="70"/>
      <c r="L176" s="221" t="s">
        <v>350</v>
      </c>
      <c r="M176" s="222" t="s">
        <v>351</v>
      </c>
      <c r="N176" s="221" t="s">
        <v>34</v>
      </c>
      <c r="O176" s="223">
        <v>29</v>
      </c>
      <c r="P176" s="224">
        <v>5.55</v>
      </c>
      <c r="Q176" s="224">
        <v>161.04</v>
      </c>
      <c r="R176" s="182"/>
      <c r="U176" s="128"/>
    </row>
    <row r="177" spans="1:21" ht="15.6" x14ac:dyDescent="0.3">
      <c r="A177" s="53"/>
      <c r="B177" s="54"/>
      <c r="C177" s="54"/>
      <c r="D177" s="54"/>
      <c r="E177" s="55"/>
      <c r="F177" s="75"/>
      <c r="G177" s="76"/>
      <c r="H177" s="76"/>
      <c r="I177" s="48"/>
      <c r="J177" s="70"/>
      <c r="K177" s="70"/>
      <c r="L177" s="221" t="s">
        <v>352</v>
      </c>
      <c r="M177" s="222" t="s">
        <v>353</v>
      </c>
      <c r="N177" s="221" t="s">
        <v>34</v>
      </c>
      <c r="O177" s="223">
        <v>7</v>
      </c>
      <c r="P177" s="224">
        <v>7.5</v>
      </c>
      <c r="Q177" s="224">
        <v>52.48</v>
      </c>
      <c r="R177" s="182"/>
      <c r="U177" s="128"/>
    </row>
    <row r="178" spans="1:21" ht="15.6" x14ac:dyDescent="0.3">
      <c r="A178" s="53"/>
      <c r="B178" s="54"/>
      <c r="C178" s="54"/>
      <c r="D178" s="54"/>
      <c r="E178" s="55"/>
      <c r="F178" s="75"/>
      <c r="G178" s="76"/>
      <c r="H178" s="76"/>
      <c r="I178" s="48"/>
      <c r="J178" s="70"/>
      <c r="K178" s="70"/>
      <c r="L178" s="221" t="s">
        <v>354</v>
      </c>
      <c r="M178" s="222" t="s">
        <v>355</v>
      </c>
      <c r="N178" s="221" t="s">
        <v>34</v>
      </c>
      <c r="O178" s="223">
        <v>5</v>
      </c>
      <c r="P178" s="224">
        <v>10.55</v>
      </c>
      <c r="Q178" s="224">
        <v>52.74</v>
      </c>
      <c r="R178" s="182"/>
      <c r="U178" s="128"/>
    </row>
    <row r="179" spans="1:21" ht="15.6" x14ac:dyDescent="0.3">
      <c r="A179" s="53"/>
      <c r="B179" s="54"/>
      <c r="C179" s="54"/>
      <c r="D179" s="54"/>
      <c r="E179" s="55"/>
      <c r="F179" s="75"/>
      <c r="G179" s="76"/>
      <c r="H179" s="76"/>
      <c r="I179" s="48"/>
      <c r="J179" s="70"/>
      <c r="K179" s="70"/>
      <c r="L179" s="221" t="s">
        <v>966</v>
      </c>
      <c r="M179" s="222" t="s">
        <v>1053</v>
      </c>
      <c r="N179" s="221" t="s">
        <v>34</v>
      </c>
      <c r="O179" s="223">
        <v>2</v>
      </c>
      <c r="P179" s="224">
        <v>195.75</v>
      </c>
      <c r="Q179" s="224">
        <v>391.5</v>
      </c>
      <c r="R179" s="182"/>
      <c r="U179" s="128"/>
    </row>
    <row r="180" spans="1:21" ht="15.6" x14ac:dyDescent="0.3">
      <c r="A180" s="53"/>
      <c r="B180" s="54"/>
      <c r="C180" s="54"/>
      <c r="D180" s="54"/>
      <c r="E180" s="55"/>
      <c r="F180" s="75"/>
      <c r="G180" s="76"/>
      <c r="H180" s="76"/>
      <c r="I180" s="48"/>
      <c r="J180" s="70"/>
      <c r="K180" s="70"/>
      <c r="L180" s="221" t="s">
        <v>1082</v>
      </c>
      <c r="M180" s="222" t="s">
        <v>1083</v>
      </c>
      <c r="N180" s="221" t="s">
        <v>34</v>
      </c>
      <c r="O180" s="223">
        <v>1</v>
      </c>
      <c r="P180" s="224">
        <v>195.75</v>
      </c>
      <c r="Q180" s="224">
        <v>195.75</v>
      </c>
      <c r="R180" s="182"/>
      <c r="U180" s="128"/>
    </row>
    <row r="181" spans="1:21" ht="15.6" x14ac:dyDescent="0.3">
      <c r="A181" s="53"/>
      <c r="B181" s="54"/>
      <c r="C181" s="54"/>
      <c r="D181" s="54"/>
      <c r="E181" s="55"/>
      <c r="F181" s="75"/>
      <c r="G181" s="76"/>
      <c r="H181" s="76"/>
      <c r="I181" s="48"/>
      <c r="J181" s="70"/>
      <c r="K181" s="70"/>
      <c r="L181" s="221" t="s">
        <v>1143</v>
      </c>
      <c r="M181" s="222" t="s">
        <v>1230</v>
      </c>
      <c r="N181" s="221" t="s">
        <v>34</v>
      </c>
      <c r="O181" s="223">
        <v>1</v>
      </c>
      <c r="P181" s="224">
        <v>176.27</v>
      </c>
      <c r="Q181" s="224">
        <v>176.27</v>
      </c>
      <c r="R181" s="182"/>
      <c r="U181" s="128"/>
    </row>
    <row r="182" spans="1:21" ht="15.6" x14ac:dyDescent="0.3">
      <c r="A182" s="53"/>
      <c r="B182" s="54"/>
      <c r="C182" s="54"/>
      <c r="D182" s="54"/>
      <c r="E182" s="55"/>
      <c r="F182" s="75"/>
      <c r="G182" s="76"/>
      <c r="H182" s="76"/>
      <c r="I182" s="48"/>
      <c r="J182" s="70"/>
      <c r="K182" s="70"/>
      <c r="L182" s="221" t="s">
        <v>911</v>
      </c>
      <c r="M182" s="222" t="s">
        <v>912</v>
      </c>
      <c r="N182" s="221" t="s">
        <v>34</v>
      </c>
      <c r="O182" s="223">
        <v>1</v>
      </c>
      <c r="P182" s="224">
        <v>103</v>
      </c>
      <c r="Q182" s="224">
        <v>103</v>
      </c>
      <c r="R182" s="182"/>
      <c r="U182" s="128"/>
    </row>
    <row r="183" spans="1:21" ht="15.6" x14ac:dyDescent="0.3">
      <c r="A183" s="53"/>
      <c r="B183" s="54"/>
      <c r="C183" s="54"/>
      <c r="D183" s="54"/>
      <c r="E183" s="55"/>
      <c r="F183" s="75"/>
      <c r="G183" s="76"/>
      <c r="H183" s="76"/>
      <c r="I183" s="48"/>
      <c r="J183" s="70"/>
      <c r="K183" s="70"/>
      <c r="L183" s="221" t="s">
        <v>1144</v>
      </c>
      <c r="M183" s="222" t="s">
        <v>1231</v>
      </c>
      <c r="N183" s="221" t="s">
        <v>34</v>
      </c>
      <c r="O183" s="223">
        <v>2</v>
      </c>
      <c r="P183" s="224">
        <v>3.17</v>
      </c>
      <c r="Q183" s="224">
        <v>6.34</v>
      </c>
      <c r="R183" s="182"/>
      <c r="U183" s="128"/>
    </row>
    <row r="184" spans="1:21" ht="15.6" x14ac:dyDescent="0.3">
      <c r="A184" s="53"/>
      <c r="B184" s="54"/>
      <c r="C184" s="54"/>
      <c r="D184" s="54"/>
      <c r="E184" s="55"/>
      <c r="F184" s="75"/>
      <c r="G184" s="76"/>
      <c r="H184" s="76"/>
      <c r="I184" s="48"/>
      <c r="J184" s="70"/>
      <c r="K184" s="70"/>
      <c r="L184" s="221" t="s">
        <v>1279</v>
      </c>
      <c r="M184" s="222" t="s">
        <v>1280</v>
      </c>
      <c r="N184" s="221" t="s">
        <v>34</v>
      </c>
      <c r="O184" s="223">
        <v>1</v>
      </c>
      <c r="P184" s="224">
        <v>109.4</v>
      </c>
      <c r="Q184" s="224">
        <v>109.4</v>
      </c>
      <c r="R184" s="182"/>
      <c r="U184" s="128"/>
    </row>
    <row r="185" spans="1:21" ht="15.6" x14ac:dyDescent="0.3">
      <c r="A185" s="53"/>
      <c r="B185" s="54"/>
      <c r="C185" s="54"/>
      <c r="D185" s="54"/>
      <c r="E185" s="55"/>
      <c r="F185" s="75"/>
      <c r="G185" s="76"/>
      <c r="H185" s="76"/>
      <c r="I185" s="48"/>
      <c r="J185" s="70"/>
      <c r="K185" s="70"/>
      <c r="L185" s="221" t="s">
        <v>768</v>
      </c>
      <c r="M185" s="222" t="s">
        <v>769</v>
      </c>
      <c r="N185" s="221" t="s">
        <v>34</v>
      </c>
      <c r="O185" s="223">
        <v>7</v>
      </c>
      <c r="P185" s="224">
        <v>10</v>
      </c>
      <c r="Q185" s="224">
        <v>70</v>
      </c>
      <c r="R185" s="182"/>
      <c r="U185" s="128"/>
    </row>
    <row r="186" spans="1:21" ht="15.6" x14ac:dyDescent="0.3">
      <c r="A186" s="53"/>
      <c r="B186" s="54"/>
      <c r="C186" s="54"/>
      <c r="D186" s="54"/>
      <c r="E186" s="55"/>
      <c r="F186" s="75"/>
      <c r="G186" s="76"/>
      <c r="H186" s="76"/>
      <c r="I186" s="48"/>
      <c r="J186" s="70"/>
      <c r="K186" s="70"/>
      <c r="L186" s="221" t="s">
        <v>955</v>
      </c>
      <c r="M186" s="222" t="s">
        <v>770</v>
      </c>
      <c r="N186" s="221" t="s">
        <v>34</v>
      </c>
      <c r="O186" s="223">
        <v>1</v>
      </c>
      <c r="P186" s="224">
        <v>52.8</v>
      </c>
      <c r="Q186" s="224">
        <v>52.8</v>
      </c>
      <c r="R186" s="182"/>
      <c r="U186" s="128"/>
    </row>
    <row r="187" spans="1:21" ht="15.6" x14ac:dyDescent="0.3">
      <c r="A187" s="53"/>
      <c r="B187" s="54"/>
      <c r="C187" s="54"/>
      <c r="D187" s="54"/>
      <c r="E187" s="55"/>
      <c r="F187" s="75"/>
      <c r="G187" s="76"/>
      <c r="H187" s="76"/>
      <c r="I187" s="48"/>
      <c r="J187" s="70"/>
      <c r="K187" s="70"/>
      <c r="L187" s="221" t="s">
        <v>956</v>
      </c>
      <c r="M187" s="222" t="s">
        <v>328</v>
      </c>
      <c r="N187" s="221" t="s">
        <v>34</v>
      </c>
      <c r="O187" s="223">
        <v>13</v>
      </c>
      <c r="P187" s="224">
        <v>65.400000000000006</v>
      </c>
      <c r="Q187" s="224">
        <v>850.2</v>
      </c>
      <c r="R187" s="182"/>
      <c r="U187" s="128"/>
    </row>
    <row r="188" spans="1:21" ht="15.6" x14ac:dyDescent="0.3">
      <c r="A188" s="53"/>
      <c r="B188" s="54"/>
      <c r="C188" s="54"/>
      <c r="D188" s="54"/>
      <c r="E188" s="55"/>
      <c r="F188" s="75"/>
      <c r="G188" s="76"/>
      <c r="H188" s="76"/>
      <c r="I188" s="48"/>
      <c r="J188" s="70"/>
      <c r="K188" s="70"/>
      <c r="L188" s="221" t="s">
        <v>771</v>
      </c>
      <c r="M188" s="222" t="s">
        <v>772</v>
      </c>
      <c r="N188" s="221" t="s">
        <v>34</v>
      </c>
      <c r="O188" s="223">
        <v>6</v>
      </c>
      <c r="P188" s="224">
        <v>228.01</v>
      </c>
      <c r="Q188" s="225">
        <v>1368.07</v>
      </c>
      <c r="R188" s="182"/>
      <c r="U188" s="128"/>
    </row>
    <row r="189" spans="1:21" ht="15.6" x14ac:dyDescent="0.3">
      <c r="A189" s="53"/>
      <c r="B189" s="54"/>
      <c r="C189" s="54"/>
      <c r="D189" s="54"/>
      <c r="E189" s="55"/>
      <c r="F189" s="75"/>
      <c r="G189" s="76"/>
      <c r="H189" s="76"/>
      <c r="I189" s="48"/>
      <c r="J189" s="70"/>
      <c r="K189" s="70"/>
      <c r="L189" s="221" t="s">
        <v>957</v>
      </c>
      <c r="M189" s="222" t="s">
        <v>1049</v>
      </c>
      <c r="N189" s="221" t="s">
        <v>34</v>
      </c>
      <c r="O189" s="223">
        <v>10</v>
      </c>
      <c r="P189" s="224">
        <v>70.69</v>
      </c>
      <c r="Q189" s="224">
        <v>706.93</v>
      </c>
      <c r="R189" s="182"/>
      <c r="U189" s="128"/>
    </row>
    <row r="190" spans="1:21" ht="15.6" x14ac:dyDescent="0.3">
      <c r="A190" s="53"/>
      <c r="B190" s="54"/>
      <c r="C190" s="54"/>
      <c r="D190" s="54"/>
      <c r="E190" s="55"/>
      <c r="F190" s="75"/>
      <c r="G190" s="76"/>
      <c r="H190" s="76"/>
      <c r="I190" s="48"/>
      <c r="J190" s="70"/>
      <c r="K190" s="70"/>
      <c r="L190" s="221" t="s">
        <v>1285</v>
      </c>
      <c r="M190" s="222" t="s">
        <v>1320</v>
      </c>
      <c r="N190" s="221" t="s">
        <v>34</v>
      </c>
      <c r="O190" s="223">
        <v>1</v>
      </c>
      <c r="P190" s="224">
        <v>12</v>
      </c>
      <c r="Q190" s="224">
        <v>12</v>
      </c>
      <c r="R190" s="182"/>
      <c r="U190" s="128"/>
    </row>
    <row r="191" spans="1:21" ht="15.6" x14ac:dyDescent="0.3">
      <c r="A191" s="53"/>
      <c r="B191" s="54"/>
      <c r="C191" s="54"/>
      <c r="D191" s="54"/>
      <c r="E191" s="55"/>
      <c r="F191" s="75"/>
      <c r="G191" s="76"/>
      <c r="H191" s="76"/>
      <c r="I191" s="48"/>
      <c r="J191" s="70"/>
      <c r="K191" s="70"/>
      <c r="L191" s="221" t="s">
        <v>1286</v>
      </c>
      <c r="M191" s="222" t="s">
        <v>1321</v>
      </c>
      <c r="N191" s="221" t="s">
        <v>34</v>
      </c>
      <c r="O191" s="223">
        <v>1</v>
      </c>
      <c r="P191" s="224">
        <v>74.17</v>
      </c>
      <c r="Q191" s="224">
        <v>74.17</v>
      </c>
      <c r="R191" s="182"/>
      <c r="U191" s="128"/>
    </row>
    <row r="192" spans="1:21" ht="15.6" x14ac:dyDescent="0.3">
      <c r="A192" s="53"/>
      <c r="B192" s="54"/>
      <c r="C192" s="54"/>
      <c r="D192" s="54"/>
      <c r="E192" s="55"/>
      <c r="F192" s="75"/>
      <c r="G192" s="76"/>
      <c r="H192" s="76"/>
      <c r="I192" s="48"/>
      <c r="J192" s="70"/>
      <c r="K192" s="70"/>
      <c r="L192" s="221" t="s">
        <v>958</v>
      </c>
      <c r="M192" s="222" t="s">
        <v>337</v>
      </c>
      <c r="N192" s="221" t="s">
        <v>34</v>
      </c>
      <c r="O192" s="223">
        <v>2</v>
      </c>
      <c r="P192" s="224">
        <v>22.2</v>
      </c>
      <c r="Q192" s="224">
        <v>44.4</v>
      </c>
      <c r="R192" s="182"/>
      <c r="U192" s="128"/>
    </row>
    <row r="193" spans="1:21" ht="15.6" x14ac:dyDescent="0.3">
      <c r="A193" s="53"/>
      <c r="B193" s="54"/>
      <c r="C193" s="54"/>
      <c r="D193" s="54"/>
      <c r="E193" s="55"/>
      <c r="F193" s="75"/>
      <c r="G193" s="76"/>
      <c r="H193" s="76"/>
      <c r="I193" s="48"/>
      <c r="J193" s="70"/>
      <c r="K193" s="70"/>
      <c r="L193" s="221" t="s">
        <v>905</v>
      </c>
      <c r="M193" s="222" t="s">
        <v>906</v>
      </c>
      <c r="N193" s="221" t="s">
        <v>34</v>
      </c>
      <c r="O193" s="223">
        <v>3</v>
      </c>
      <c r="P193" s="224">
        <v>10</v>
      </c>
      <c r="Q193" s="224">
        <v>30</v>
      </c>
      <c r="R193" s="182"/>
      <c r="U193" s="128"/>
    </row>
    <row r="194" spans="1:21" ht="15.6" x14ac:dyDescent="0.3">
      <c r="A194" s="53"/>
      <c r="B194" s="54"/>
      <c r="C194" s="54"/>
      <c r="D194" s="54"/>
      <c r="E194" s="55"/>
      <c r="F194" s="75"/>
      <c r="G194" s="76"/>
      <c r="H194" s="76"/>
      <c r="I194" s="48"/>
      <c r="J194" s="70"/>
      <c r="K194" s="70"/>
      <c r="L194" s="221" t="s">
        <v>907</v>
      </c>
      <c r="M194" s="222" t="s">
        <v>908</v>
      </c>
      <c r="N194" s="221" t="s">
        <v>34</v>
      </c>
      <c r="O194" s="223">
        <v>3</v>
      </c>
      <c r="P194" s="224">
        <v>10</v>
      </c>
      <c r="Q194" s="224">
        <v>30</v>
      </c>
      <c r="R194" s="182"/>
      <c r="U194" s="128"/>
    </row>
    <row r="195" spans="1:21" ht="15.6" x14ac:dyDescent="0.3">
      <c r="A195" s="53"/>
      <c r="B195" s="54"/>
      <c r="C195" s="54"/>
      <c r="D195" s="54"/>
      <c r="E195" s="55"/>
      <c r="F195" s="75"/>
      <c r="G195" s="76"/>
      <c r="H195" s="76"/>
      <c r="I195" s="48"/>
      <c r="J195" s="70"/>
      <c r="K195" s="70"/>
      <c r="L195" s="221" t="s">
        <v>340</v>
      </c>
      <c r="M195" s="222" t="s">
        <v>341</v>
      </c>
      <c r="N195" s="221" t="s">
        <v>34</v>
      </c>
      <c r="O195" s="223">
        <v>1</v>
      </c>
      <c r="P195" s="225">
        <v>1622.9</v>
      </c>
      <c r="Q195" s="225">
        <v>1622.9</v>
      </c>
      <c r="R195" s="182"/>
      <c r="U195" s="128"/>
    </row>
    <row r="196" spans="1:21" ht="15.6" x14ac:dyDescent="0.3">
      <c r="A196" s="53"/>
      <c r="B196" s="54"/>
      <c r="C196" s="54"/>
      <c r="D196" s="54"/>
      <c r="E196" s="55"/>
      <c r="F196" s="75"/>
      <c r="G196" s="76"/>
      <c r="H196" s="76"/>
      <c r="I196" s="48"/>
      <c r="J196" s="70"/>
      <c r="K196" s="70"/>
      <c r="L196" s="221" t="s">
        <v>1147</v>
      </c>
      <c r="M196" s="222" t="s">
        <v>1234</v>
      </c>
      <c r="N196" s="221" t="s">
        <v>34</v>
      </c>
      <c r="O196" s="223">
        <v>1</v>
      </c>
      <c r="P196" s="224">
        <v>876.68</v>
      </c>
      <c r="Q196" s="224">
        <v>876.68</v>
      </c>
      <c r="R196" s="182"/>
      <c r="U196" s="128"/>
    </row>
    <row r="197" spans="1:21" ht="15.6" x14ac:dyDescent="0.3">
      <c r="A197" s="53"/>
      <c r="B197" s="54"/>
      <c r="C197" s="54"/>
      <c r="D197" s="54"/>
      <c r="E197" s="55"/>
      <c r="F197" s="75"/>
      <c r="G197" s="76"/>
      <c r="H197" s="76"/>
      <c r="I197" s="48"/>
      <c r="J197" s="70"/>
      <c r="K197" s="70"/>
      <c r="L197" s="221" t="s">
        <v>1148</v>
      </c>
      <c r="M197" s="222" t="s">
        <v>1235</v>
      </c>
      <c r="N197" s="221" t="s">
        <v>34</v>
      </c>
      <c r="O197" s="223">
        <v>1</v>
      </c>
      <c r="P197" s="224">
        <v>257.81</v>
      </c>
      <c r="Q197" s="224">
        <v>257.81</v>
      </c>
      <c r="R197" s="182"/>
      <c r="U197" s="128"/>
    </row>
    <row r="198" spans="1:21" ht="15.6" x14ac:dyDescent="0.3">
      <c r="A198" s="53"/>
      <c r="B198" s="54"/>
      <c r="C198" s="54"/>
      <c r="D198" s="54"/>
      <c r="E198" s="55"/>
      <c r="F198" s="75"/>
      <c r="G198" s="76"/>
      <c r="H198" s="76"/>
      <c r="I198" s="48"/>
      <c r="J198" s="70"/>
      <c r="K198" s="70"/>
      <c r="L198" s="221" t="s">
        <v>952</v>
      </c>
      <c r="M198" s="222" t="s">
        <v>777</v>
      </c>
      <c r="N198" s="221" t="s">
        <v>34</v>
      </c>
      <c r="O198" s="223">
        <v>0.5</v>
      </c>
      <c r="P198" s="224">
        <v>257.8</v>
      </c>
      <c r="Q198" s="224">
        <v>128.9</v>
      </c>
      <c r="R198" s="182"/>
      <c r="U198" s="128"/>
    </row>
    <row r="199" spans="1:21" ht="15.6" x14ac:dyDescent="0.3">
      <c r="A199" s="53"/>
      <c r="B199" s="54"/>
      <c r="C199" s="54"/>
      <c r="D199" s="54"/>
      <c r="E199" s="55"/>
      <c r="F199" s="75"/>
      <c r="G199" s="76"/>
      <c r="H199" s="76"/>
      <c r="I199" s="48"/>
      <c r="J199" s="70"/>
      <c r="K199" s="70"/>
      <c r="L199" s="221" t="s">
        <v>796</v>
      </c>
      <c r="M199" s="222" t="s">
        <v>797</v>
      </c>
      <c r="N199" s="221" t="s">
        <v>34</v>
      </c>
      <c r="O199" s="223">
        <v>1.0900000000000001</v>
      </c>
      <c r="P199" s="224">
        <v>338.33</v>
      </c>
      <c r="Q199" s="224">
        <v>368.78</v>
      </c>
      <c r="R199" s="182"/>
      <c r="U199" s="128"/>
    </row>
    <row r="200" spans="1:21" ht="15.6" x14ac:dyDescent="0.3">
      <c r="A200" s="53"/>
      <c r="B200" s="54"/>
      <c r="C200" s="54"/>
      <c r="D200" s="54"/>
      <c r="E200" s="55"/>
      <c r="F200" s="75"/>
      <c r="G200" s="76"/>
      <c r="H200" s="76"/>
      <c r="I200" s="48"/>
      <c r="J200" s="70"/>
      <c r="K200" s="70"/>
      <c r="L200" s="221" t="s">
        <v>877</v>
      </c>
      <c r="M200" s="222" t="s">
        <v>878</v>
      </c>
      <c r="N200" s="221" t="s">
        <v>34</v>
      </c>
      <c r="O200" s="223">
        <v>1</v>
      </c>
      <c r="P200" s="224">
        <v>312.48</v>
      </c>
      <c r="Q200" s="224">
        <v>312.48</v>
      </c>
      <c r="R200" s="182"/>
      <c r="U200" s="128"/>
    </row>
    <row r="201" spans="1:21" ht="15.6" x14ac:dyDescent="0.3">
      <c r="A201" s="53"/>
      <c r="B201" s="54"/>
      <c r="C201" s="54"/>
      <c r="D201" s="54"/>
      <c r="E201" s="55"/>
      <c r="F201" s="75"/>
      <c r="G201" s="76"/>
      <c r="H201" s="76"/>
      <c r="I201" s="48"/>
      <c r="J201" s="70"/>
      <c r="K201" s="70"/>
      <c r="L201" s="221" t="s">
        <v>887</v>
      </c>
      <c r="M201" s="222" t="s">
        <v>888</v>
      </c>
      <c r="N201" s="221" t="s">
        <v>34</v>
      </c>
      <c r="O201" s="223">
        <v>3</v>
      </c>
      <c r="P201" s="224">
        <v>44.6</v>
      </c>
      <c r="Q201" s="224">
        <v>133.80000000000001</v>
      </c>
      <c r="R201" s="182"/>
      <c r="U201" s="128"/>
    </row>
    <row r="202" spans="1:21" ht="15.6" x14ac:dyDescent="0.3">
      <c r="A202" s="53"/>
      <c r="B202" s="54"/>
      <c r="C202" s="54"/>
      <c r="D202" s="54"/>
      <c r="E202" s="55"/>
      <c r="F202" s="75"/>
      <c r="G202" s="76"/>
      <c r="H202" s="76"/>
      <c r="I202" s="48"/>
      <c r="J202" s="70"/>
      <c r="K202" s="70"/>
      <c r="L202" s="221" t="s">
        <v>915</v>
      </c>
      <c r="M202" s="222" t="s">
        <v>916</v>
      </c>
      <c r="N202" s="221" t="s">
        <v>34</v>
      </c>
      <c r="O202" s="223">
        <v>1</v>
      </c>
      <c r="P202" s="224">
        <v>38.020000000000003</v>
      </c>
      <c r="Q202" s="224">
        <v>38.020000000000003</v>
      </c>
      <c r="R202" s="182"/>
      <c r="U202" s="128"/>
    </row>
    <row r="203" spans="1:21" ht="30" x14ac:dyDescent="0.3">
      <c r="A203" s="53"/>
      <c r="B203" s="54"/>
      <c r="C203" s="54"/>
      <c r="D203" s="54"/>
      <c r="E203" s="55"/>
      <c r="F203" s="75"/>
      <c r="G203" s="76"/>
      <c r="H203" s="76"/>
      <c r="I203" s="48"/>
      <c r="J203" s="70"/>
      <c r="K203" s="70"/>
      <c r="L203" s="221" t="s">
        <v>1418</v>
      </c>
      <c r="M203" s="222" t="s">
        <v>1441</v>
      </c>
      <c r="N203" s="221" t="s">
        <v>34</v>
      </c>
      <c r="O203" s="223">
        <v>2</v>
      </c>
      <c r="P203" s="224">
        <v>55.9</v>
      </c>
      <c r="Q203" s="224">
        <v>111.8</v>
      </c>
      <c r="R203" s="182"/>
      <c r="U203" s="128"/>
    </row>
    <row r="204" spans="1:21" ht="15.6" x14ac:dyDescent="0.3">
      <c r="A204" s="53"/>
      <c r="B204" s="54"/>
      <c r="C204" s="54"/>
      <c r="D204" s="54"/>
      <c r="E204" s="55"/>
      <c r="F204" s="75"/>
      <c r="G204" s="76"/>
      <c r="H204" s="76"/>
      <c r="I204" s="48"/>
      <c r="J204" s="70"/>
      <c r="K204" s="70"/>
      <c r="L204" s="221" t="s">
        <v>1162</v>
      </c>
      <c r="M204" s="222" t="s">
        <v>1247</v>
      </c>
      <c r="N204" s="221" t="s">
        <v>34</v>
      </c>
      <c r="O204" s="223">
        <v>6</v>
      </c>
      <c r="P204" s="224">
        <v>466.46</v>
      </c>
      <c r="Q204" s="225">
        <v>2798.76</v>
      </c>
      <c r="R204" s="182"/>
      <c r="U204" s="128"/>
    </row>
    <row r="205" spans="1:21" ht="15.6" x14ac:dyDescent="0.3">
      <c r="A205" s="53"/>
      <c r="B205" s="54"/>
      <c r="C205" s="54"/>
      <c r="D205" s="54"/>
      <c r="E205" s="55"/>
      <c r="F205" s="75"/>
      <c r="G205" s="76"/>
      <c r="H205" s="76"/>
      <c r="I205" s="48"/>
      <c r="J205" s="70"/>
      <c r="K205" s="70"/>
      <c r="L205" s="221" t="s">
        <v>1419</v>
      </c>
      <c r="M205" s="222" t="s">
        <v>1442</v>
      </c>
      <c r="N205" s="221" t="s">
        <v>34</v>
      </c>
      <c r="O205" s="223">
        <v>2</v>
      </c>
      <c r="P205" s="224">
        <v>60.43</v>
      </c>
      <c r="Q205" s="224">
        <v>120.86</v>
      </c>
      <c r="R205" s="182"/>
      <c r="U205" s="128"/>
    </row>
    <row r="206" spans="1:21" ht="15.6" x14ac:dyDescent="0.3">
      <c r="A206" s="53"/>
      <c r="B206" s="54"/>
      <c r="C206" s="54"/>
      <c r="D206" s="54"/>
      <c r="E206" s="55"/>
      <c r="F206" s="75"/>
      <c r="G206" s="76"/>
      <c r="H206" s="76"/>
      <c r="I206" s="48"/>
      <c r="J206" s="70"/>
      <c r="K206" s="70"/>
      <c r="L206" s="221" t="s">
        <v>891</v>
      </c>
      <c r="M206" s="222" t="s">
        <v>892</v>
      </c>
      <c r="N206" s="221" t="s">
        <v>34</v>
      </c>
      <c r="O206" s="223">
        <v>3</v>
      </c>
      <c r="P206" s="224">
        <v>720</v>
      </c>
      <c r="Q206" s="225">
        <v>2160</v>
      </c>
      <c r="R206" s="182"/>
      <c r="U206" s="128"/>
    </row>
    <row r="207" spans="1:21" ht="15.6" x14ac:dyDescent="0.3">
      <c r="A207" s="53"/>
      <c r="B207" s="54"/>
      <c r="C207" s="54"/>
      <c r="D207" s="54"/>
      <c r="E207" s="55"/>
      <c r="F207" s="75"/>
      <c r="G207" s="76"/>
      <c r="H207" s="76"/>
      <c r="I207" s="48"/>
      <c r="J207" s="70"/>
      <c r="K207" s="70"/>
      <c r="L207" s="221" t="s">
        <v>865</v>
      </c>
      <c r="M207" s="222" t="s">
        <v>1055</v>
      </c>
      <c r="N207" s="221" t="s">
        <v>34</v>
      </c>
      <c r="O207" s="223">
        <v>1</v>
      </c>
      <c r="P207" s="225">
        <v>4916.66</v>
      </c>
      <c r="Q207" s="225">
        <v>4916.66</v>
      </c>
      <c r="R207" s="182"/>
      <c r="U207" s="128"/>
    </row>
    <row r="208" spans="1:21" ht="15.6" x14ac:dyDescent="0.3">
      <c r="A208" s="53"/>
      <c r="B208" s="54"/>
      <c r="C208" s="54"/>
      <c r="D208" s="54"/>
      <c r="E208" s="55"/>
      <c r="F208" s="75"/>
      <c r="G208" s="76"/>
      <c r="H208" s="76"/>
      <c r="I208" s="48"/>
      <c r="J208" s="70"/>
      <c r="K208" s="70"/>
      <c r="L208" s="221" t="s">
        <v>799</v>
      </c>
      <c r="M208" s="222" t="s">
        <v>800</v>
      </c>
      <c r="N208" s="221" t="s">
        <v>34</v>
      </c>
      <c r="O208" s="223">
        <v>1</v>
      </c>
      <c r="P208" s="224">
        <v>261.95</v>
      </c>
      <c r="Q208" s="224">
        <v>261.95</v>
      </c>
      <c r="R208" s="182"/>
      <c r="U208" s="128"/>
    </row>
    <row r="209" spans="1:21" ht="15.6" x14ac:dyDescent="0.3">
      <c r="A209" s="53"/>
      <c r="B209" s="54"/>
      <c r="C209" s="54"/>
      <c r="D209" s="54"/>
      <c r="E209" s="55"/>
      <c r="F209" s="75"/>
      <c r="G209" s="76"/>
      <c r="H209" s="76"/>
      <c r="I209" s="48"/>
      <c r="J209" s="70"/>
      <c r="K209" s="70"/>
      <c r="L209" s="221" t="s">
        <v>801</v>
      </c>
      <c r="M209" s="222" t="s">
        <v>802</v>
      </c>
      <c r="N209" s="221" t="s">
        <v>34</v>
      </c>
      <c r="O209" s="223">
        <v>1</v>
      </c>
      <c r="P209" s="224">
        <v>261.95</v>
      </c>
      <c r="Q209" s="224">
        <v>261.95</v>
      </c>
      <c r="R209" s="182"/>
      <c r="U209" s="128"/>
    </row>
    <row r="210" spans="1:21" ht="15.6" x14ac:dyDescent="0.3">
      <c r="A210" s="53"/>
      <c r="B210" s="54"/>
      <c r="C210" s="54"/>
      <c r="D210" s="54"/>
      <c r="E210" s="55"/>
      <c r="F210" s="75"/>
      <c r="G210" s="76"/>
      <c r="H210" s="76"/>
      <c r="I210" s="48"/>
      <c r="J210" s="70"/>
      <c r="K210" s="70"/>
      <c r="L210" s="221" t="s">
        <v>389</v>
      </c>
      <c r="M210" s="222" t="s">
        <v>390</v>
      </c>
      <c r="N210" s="221" t="s">
        <v>34</v>
      </c>
      <c r="O210" s="223">
        <v>2</v>
      </c>
      <c r="P210" s="224">
        <v>550</v>
      </c>
      <c r="Q210" s="225">
        <v>1100</v>
      </c>
      <c r="R210" s="182"/>
      <c r="U210" s="128"/>
    </row>
    <row r="211" spans="1:21" ht="15.6" x14ac:dyDescent="0.3">
      <c r="A211" s="53"/>
      <c r="B211" s="54"/>
      <c r="C211" s="54"/>
      <c r="D211" s="54"/>
      <c r="E211" s="55"/>
      <c r="F211" s="75"/>
      <c r="G211" s="76"/>
      <c r="H211" s="76"/>
      <c r="I211" s="48"/>
      <c r="J211" s="70"/>
      <c r="K211" s="70"/>
      <c r="L211" s="221" t="s">
        <v>1305</v>
      </c>
      <c r="M211" s="222" t="s">
        <v>1339</v>
      </c>
      <c r="N211" s="221" t="s">
        <v>34</v>
      </c>
      <c r="O211" s="223">
        <v>1</v>
      </c>
      <c r="P211" s="224">
        <v>79.17</v>
      </c>
      <c r="Q211" s="224">
        <v>79.17</v>
      </c>
      <c r="R211" s="182"/>
      <c r="U211" s="128"/>
    </row>
    <row r="212" spans="1:21" ht="15.6" x14ac:dyDescent="0.3">
      <c r="A212" s="53"/>
      <c r="B212" s="54"/>
      <c r="C212" s="54"/>
      <c r="D212" s="54"/>
      <c r="E212" s="55"/>
      <c r="F212" s="75"/>
      <c r="G212" s="76"/>
      <c r="H212" s="76"/>
      <c r="I212" s="48"/>
      <c r="J212" s="70"/>
      <c r="K212" s="70"/>
      <c r="L212" s="221" t="s">
        <v>1153</v>
      </c>
      <c r="M212" s="222" t="s">
        <v>1240</v>
      </c>
      <c r="N212" s="221" t="s">
        <v>34</v>
      </c>
      <c r="O212" s="223">
        <v>1</v>
      </c>
      <c r="P212" s="225">
        <v>1546</v>
      </c>
      <c r="Q212" s="225">
        <v>1546</v>
      </c>
      <c r="R212" s="182"/>
      <c r="U212" s="128"/>
    </row>
    <row r="213" spans="1:21" ht="15.6" x14ac:dyDescent="0.3">
      <c r="A213" s="53"/>
      <c r="B213" s="54"/>
      <c r="C213" s="54"/>
      <c r="D213" s="54"/>
      <c r="E213" s="55"/>
      <c r="F213" s="75"/>
      <c r="G213" s="76"/>
      <c r="H213" s="76"/>
      <c r="I213" s="48"/>
      <c r="J213" s="70"/>
      <c r="K213" s="70"/>
      <c r="L213" s="221" t="s">
        <v>867</v>
      </c>
      <c r="M213" s="222" t="s">
        <v>918</v>
      </c>
      <c r="N213" s="221" t="s">
        <v>34</v>
      </c>
      <c r="O213" s="223">
        <v>1</v>
      </c>
      <c r="P213" s="225">
        <v>4050</v>
      </c>
      <c r="Q213" s="225">
        <v>4050</v>
      </c>
      <c r="R213" s="182"/>
      <c r="U213" s="128"/>
    </row>
    <row r="214" spans="1:21" ht="15.6" x14ac:dyDescent="0.3">
      <c r="A214" s="53"/>
      <c r="B214" s="54"/>
      <c r="C214" s="54"/>
      <c r="D214" s="54"/>
      <c r="E214" s="55"/>
      <c r="F214" s="75"/>
      <c r="G214" s="76"/>
      <c r="H214" s="76"/>
      <c r="I214" s="48"/>
      <c r="J214" s="70"/>
      <c r="K214" s="70"/>
      <c r="L214" s="221" t="s">
        <v>194</v>
      </c>
      <c r="M214" s="222" t="s">
        <v>195</v>
      </c>
      <c r="N214" s="221" t="s">
        <v>34</v>
      </c>
      <c r="O214" s="223">
        <v>0.2</v>
      </c>
      <c r="P214" s="225">
        <v>1500</v>
      </c>
      <c r="Q214" s="224">
        <v>300</v>
      </c>
      <c r="R214" s="182"/>
      <c r="U214" s="128"/>
    </row>
    <row r="215" spans="1:21" ht="15.6" x14ac:dyDescent="0.3">
      <c r="A215" s="53"/>
      <c r="B215" s="54"/>
      <c r="C215" s="54"/>
      <c r="D215" s="54"/>
      <c r="E215" s="55"/>
      <c r="F215" s="75"/>
      <c r="G215" s="76"/>
      <c r="H215" s="76"/>
      <c r="I215" s="48"/>
      <c r="J215" s="70"/>
      <c r="K215" s="70"/>
      <c r="L215" s="221" t="s">
        <v>1154</v>
      </c>
      <c r="M215" s="222" t="s">
        <v>1241</v>
      </c>
      <c r="N215" s="221" t="s">
        <v>34</v>
      </c>
      <c r="O215" s="223">
        <v>2</v>
      </c>
      <c r="P215" s="224">
        <v>152</v>
      </c>
      <c r="Q215" s="224">
        <v>304</v>
      </c>
      <c r="R215" s="182"/>
      <c r="U215" s="128"/>
    </row>
    <row r="216" spans="1:21" ht="15.6" x14ac:dyDescent="0.3">
      <c r="A216" s="53"/>
      <c r="B216" s="54"/>
      <c r="C216" s="54"/>
      <c r="D216" s="54"/>
      <c r="E216" s="55"/>
      <c r="F216" s="75"/>
      <c r="G216" s="76"/>
      <c r="H216" s="76"/>
      <c r="I216" s="48"/>
      <c r="J216" s="70"/>
      <c r="K216" s="70"/>
      <c r="L216" s="221" t="s">
        <v>1014</v>
      </c>
      <c r="M216" s="222" t="s">
        <v>806</v>
      </c>
      <c r="N216" s="221" t="s">
        <v>34</v>
      </c>
      <c r="O216" s="223">
        <v>1</v>
      </c>
      <c r="P216" s="224">
        <v>60.4</v>
      </c>
      <c r="Q216" s="224">
        <v>60.4</v>
      </c>
      <c r="R216" s="182"/>
      <c r="U216" s="128"/>
    </row>
    <row r="217" spans="1:21" ht="15.6" x14ac:dyDescent="0.3">
      <c r="A217" s="53"/>
      <c r="B217" s="54"/>
      <c r="C217" s="54"/>
      <c r="D217" s="54"/>
      <c r="E217" s="55"/>
      <c r="F217" s="75"/>
      <c r="G217" s="76"/>
      <c r="H217" s="76"/>
      <c r="I217" s="48"/>
      <c r="J217" s="70"/>
      <c r="K217" s="70"/>
      <c r="L217" s="221" t="s">
        <v>1310</v>
      </c>
      <c r="M217" s="222" t="s">
        <v>1344</v>
      </c>
      <c r="N217" s="221" t="s">
        <v>34</v>
      </c>
      <c r="O217" s="223">
        <v>1</v>
      </c>
      <c r="P217" s="224">
        <v>101</v>
      </c>
      <c r="Q217" s="224">
        <v>101</v>
      </c>
      <c r="R217" s="182"/>
      <c r="U217" s="128"/>
    </row>
    <row r="218" spans="1:21" ht="15.6" x14ac:dyDescent="0.3">
      <c r="A218" s="53"/>
      <c r="B218" s="54"/>
      <c r="C218" s="54"/>
      <c r="D218" s="54"/>
      <c r="E218" s="55"/>
      <c r="F218" s="75"/>
      <c r="G218" s="76"/>
      <c r="H218" s="76"/>
      <c r="I218" s="48"/>
      <c r="J218" s="70"/>
      <c r="K218" s="70"/>
      <c r="L218" s="221" t="s">
        <v>1311</v>
      </c>
      <c r="M218" s="222" t="s">
        <v>1345</v>
      </c>
      <c r="N218" s="221" t="s">
        <v>34</v>
      </c>
      <c r="O218" s="223">
        <v>1</v>
      </c>
      <c r="P218" s="224">
        <v>21.25</v>
      </c>
      <c r="Q218" s="224">
        <v>21.25</v>
      </c>
      <c r="R218" s="182"/>
      <c r="U218" s="128"/>
    </row>
    <row r="219" spans="1:21" ht="15.6" x14ac:dyDescent="0.3">
      <c r="A219" s="53"/>
      <c r="B219" s="54"/>
      <c r="C219" s="54"/>
      <c r="D219" s="54"/>
      <c r="E219" s="55"/>
      <c r="F219" s="75"/>
      <c r="G219" s="76"/>
      <c r="H219" s="76"/>
      <c r="I219" s="48"/>
      <c r="J219" s="70"/>
      <c r="K219" s="70"/>
      <c r="L219" s="221" t="s">
        <v>1155</v>
      </c>
      <c r="M219" s="222" t="s">
        <v>1242</v>
      </c>
      <c r="N219" s="221" t="s">
        <v>34</v>
      </c>
      <c r="O219" s="223">
        <v>3</v>
      </c>
      <c r="P219" s="224">
        <v>20.18</v>
      </c>
      <c r="Q219" s="224">
        <v>60.53</v>
      </c>
      <c r="R219" s="182"/>
      <c r="U219" s="128"/>
    </row>
    <row r="220" spans="1:21" ht="15.6" x14ac:dyDescent="0.3">
      <c r="A220" s="53"/>
      <c r="B220" s="54"/>
      <c r="C220" s="54"/>
      <c r="D220" s="54"/>
      <c r="E220" s="55"/>
      <c r="F220" s="75"/>
      <c r="G220" s="76"/>
      <c r="H220" s="76"/>
      <c r="I220" s="48"/>
      <c r="J220" s="70"/>
      <c r="K220" s="70"/>
      <c r="L220" s="221" t="s">
        <v>1015</v>
      </c>
      <c r="M220" s="222" t="s">
        <v>393</v>
      </c>
      <c r="N220" s="221" t="s">
        <v>34</v>
      </c>
      <c r="O220" s="223">
        <v>4</v>
      </c>
      <c r="P220" s="224">
        <v>21.7</v>
      </c>
      <c r="Q220" s="224">
        <v>86.81</v>
      </c>
      <c r="R220" s="182"/>
      <c r="U220" s="128"/>
    </row>
    <row r="221" spans="1:21" ht="15.6" x14ac:dyDescent="0.3">
      <c r="A221" s="53"/>
      <c r="B221" s="54"/>
      <c r="C221" s="54"/>
      <c r="D221" s="54"/>
      <c r="E221" s="55"/>
      <c r="F221" s="75"/>
      <c r="G221" s="76"/>
      <c r="H221" s="76"/>
      <c r="I221" s="48"/>
      <c r="J221" s="70"/>
      <c r="K221" s="70"/>
      <c r="L221" s="221" t="s">
        <v>807</v>
      </c>
      <c r="M221" s="222" t="s">
        <v>808</v>
      </c>
      <c r="N221" s="221" t="s">
        <v>34</v>
      </c>
      <c r="O221" s="223">
        <v>1</v>
      </c>
      <c r="P221" s="224">
        <v>113</v>
      </c>
      <c r="Q221" s="224">
        <v>113</v>
      </c>
      <c r="R221" s="182"/>
      <c r="U221" s="128"/>
    </row>
    <row r="222" spans="1:21" ht="30" x14ac:dyDescent="0.3">
      <c r="A222" s="53"/>
      <c r="B222" s="54"/>
      <c r="C222" s="54"/>
      <c r="D222" s="54"/>
      <c r="E222" s="55"/>
      <c r="F222" s="75"/>
      <c r="G222" s="76"/>
      <c r="H222" s="76"/>
      <c r="I222" s="48"/>
      <c r="J222" s="70"/>
      <c r="K222" s="70"/>
      <c r="L222" s="221" t="s">
        <v>1156</v>
      </c>
      <c r="M222" s="222" t="s">
        <v>1243</v>
      </c>
      <c r="N222" s="221" t="s">
        <v>34</v>
      </c>
      <c r="O222" s="223">
        <v>1</v>
      </c>
      <c r="P222" s="224">
        <v>87.3</v>
      </c>
      <c r="Q222" s="224">
        <v>87.3</v>
      </c>
      <c r="R222" s="182"/>
      <c r="U222" s="128"/>
    </row>
    <row r="223" spans="1:21" ht="15.6" x14ac:dyDescent="0.3">
      <c r="A223" s="53"/>
      <c r="B223" s="54"/>
      <c r="C223" s="54"/>
      <c r="D223" s="54"/>
      <c r="E223" s="55"/>
      <c r="F223" s="75"/>
      <c r="G223" s="76"/>
      <c r="H223" s="76"/>
      <c r="I223" s="48"/>
      <c r="J223" s="70"/>
      <c r="K223" s="70"/>
      <c r="L223" s="221" t="s">
        <v>1420</v>
      </c>
      <c r="M223" s="222" t="s">
        <v>1443</v>
      </c>
      <c r="N223" s="221" t="s">
        <v>34</v>
      </c>
      <c r="O223" s="223">
        <v>1</v>
      </c>
      <c r="P223" s="224">
        <v>80</v>
      </c>
      <c r="Q223" s="224">
        <v>80</v>
      </c>
      <c r="R223" s="182"/>
      <c r="U223" s="128"/>
    </row>
    <row r="224" spans="1:21" ht="15.6" x14ac:dyDescent="0.3">
      <c r="A224" s="53"/>
      <c r="B224" s="54"/>
      <c r="C224" s="54"/>
      <c r="D224" s="54"/>
      <c r="E224" s="55"/>
      <c r="F224" s="75"/>
      <c r="G224" s="76"/>
      <c r="H224" s="76"/>
      <c r="I224" s="48"/>
      <c r="J224" s="70"/>
      <c r="K224" s="70"/>
      <c r="L224" s="221" t="s">
        <v>1016</v>
      </c>
      <c r="M224" s="222" t="s">
        <v>396</v>
      </c>
      <c r="N224" s="221" t="s">
        <v>34</v>
      </c>
      <c r="O224" s="223">
        <v>4</v>
      </c>
      <c r="P224" s="224">
        <v>41.7</v>
      </c>
      <c r="Q224" s="224">
        <v>166.8</v>
      </c>
      <c r="R224" s="182"/>
      <c r="U224" s="128"/>
    </row>
    <row r="225" spans="1:21" ht="15.6" x14ac:dyDescent="0.3">
      <c r="A225" s="53"/>
      <c r="B225" s="54"/>
      <c r="C225" s="54"/>
      <c r="D225" s="54"/>
      <c r="E225" s="55"/>
      <c r="F225" s="75"/>
      <c r="G225" s="76"/>
      <c r="H225" s="76"/>
      <c r="I225" s="48"/>
      <c r="J225" s="70"/>
      <c r="K225" s="70"/>
      <c r="L225" s="221" t="s">
        <v>1017</v>
      </c>
      <c r="M225" s="222" t="s">
        <v>397</v>
      </c>
      <c r="N225" s="221" t="s">
        <v>34</v>
      </c>
      <c r="O225" s="223">
        <v>3</v>
      </c>
      <c r="P225" s="224">
        <v>22.07</v>
      </c>
      <c r="Q225" s="224">
        <v>66.2</v>
      </c>
      <c r="R225" s="182"/>
      <c r="U225" s="128"/>
    </row>
    <row r="226" spans="1:21" ht="15.6" x14ac:dyDescent="0.3">
      <c r="A226" s="53"/>
      <c r="B226" s="54"/>
      <c r="C226" s="54"/>
      <c r="D226" s="54"/>
      <c r="E226" s="55"/>
      <c r="F226" s="75"/>
      <c r="G226" s="76"/>
      <c r="H226" s="76"/>
      <c r="I226" s="48"/>
      <c r="J226" s="70"/>
      <c r="K226" s="70"/>
      <c r="L226" s="221" t="s">
        <v>1018</v>
      </c>
      <c r="M226" s="222" t="s">
        <v>1075</v>
      </c>
      <c r="N226" s="221" t="s">
        <v>34</v>
      </c>
      <c r="O226" s="223">
        <v>2</v>
      </c>
      <c r="P226" s="225">
        <v>1290.8</v>
      </c>
      <c r="Q226" s="225">
        <v>2581.6</v>
      </c>
      <c r="R226" s="182"/>
      <c r="U226" s="128"/>
    </row>
    <row r="227" spans="1:21" ht="15.6" x14ac:dyDescent="0.3">
      <c r="A227" s="53"/>
      <c r="B227" s="54"/>
      <c r="C227" s="54"/>
      <c r="D227" s="54"/>
      <c r="E227" s="55"/>
      <c r="F227" s="75"/>
      <c r="G227" s="76"/>
      <c r="H227" s="76"/>
      <c r="I227" s="48"/>
      <c r="J227" s="70"/>
      <c r="K227" s="70"/>
      <c r="L227" s="221" t="s">
        <v>1157</v>
      </c>
      <c r="M227" s="222" t="s">
        <v>398</v>
      </c>
      <c r="N227" s="221" t="s">
        <v>34</v>
      </c>
      <c r="O227" s="223">
        <v>1</v>
      </c>
      <c r="P227" s="225">
        <v>1290.8</v>
      </c>
      <c r="Q227" s="225">
        <v>1290.8</v>
      </c>
      <c r="R227" s="182"/>
      <c r="U227" s="128"/>
    </row>
    <row r="228" spans="1:21" ht="15.6" x14ac:dyDescent="0.3">
      <c r="A228" s="53"/>
      <c r="B228" s="54"/>
      <c r="C228" s="54"/>
      <c r="D228" s="54"/>
      <c r="E228" s="55"/>
      <c r="F228" s="75"/>
      <c r="G228" s="76"/>
      <c r="H228" s="76"/>
      <c r="I228" s="48"/>
      <c r="J228" s="70"/>
      <c r="K228" s="70"/>
      <c r="L228" s="221" t="s">
        <v>809</v>
      </c>
      <c r="M228" s="222" t="s">
        <v>810</v>
      </c>
      <c r="N228" s="221" t="s">
        <v>34</v>
      </c>
      <c r="O228" s="223">
        <v>1</v>
      </c>
      <c r="P228" s="224">
        <v>989.3</v>
      </c>
      <c r="Q228" s="224">
        <v>989.3</v>
      </c>
      <c r="R228" s="182"/>
      <c r="U228" s="128"/>
    </row>
    <row r="229" spans="1:21" ht="15.6" x14ac:dyDescent="0.3">
      <c r="A229" s="53"/>
      <c r="B229" s="54"/>
      <c r="C229" s="54"/>
      <c r="D229" s="54"/>
      <c r="E229" s="55"/>
      <c r="F229" s="75"/>
      <c r="G229" s="76"/>
      <c r="H229" s="76"/>
      <c r="I229" s="48"/>
      <c r="J229" s="70"/>
      <c r="K229" s="70"/>
      <c r="L229" s="221" t="s">
        <v>422</v>
      </c>
      <c r="M229" s="222" t="s">
        <v>423</v>
      </c>
      <c r="N229" s="221" t="s">
        <v>34</v>
      </c>
      <c r="O229" s="223">
        <v>1</v>
      </c>
      <c r="P229" s="224">
        <v>219.9</v>
      </c>
      <c r="Q229" s="224">
        <v>219.9</v>
      </c>
      <c r="R229" s="182"/>
      <c r="U229" s="128"/>
    </row>
    <row r="230" spans="1:21" ht="15.6" x14ac:dyDescent="0.3">
      <c r="A230" s="53"/>
      <c r="B230" s="54"/>
      <c r="C230" s="54"/>
      <c r="D230" s="54"/>
      <c r="E230" s="55"/>
      <c r="F230" s="75"/>
      <c r="G230" s="76"/>
      <c r="H230" s="76"/>
      <c r="I230" s="48"/>
      <c r="J230" s="70"/>
      <c r="K230" s="70"/>
      <c r="L230" s="221" t="s">
        <v>818</v>
      </c>
      <c r="M230" s="222" t="s">
        <v>819</v>
      </c>
      <c r="N230" s="221" t="s">
        <v>34</v>
      </c>
      <c r="O230" s="223">
        <v>0.2</v>
      </c>
      <c r="P230" s="224">
        <v>175</v>
      </c>
      <c r="Q230" s="224">
        <v>35</v>
      </c>
      <c r="R230" s="182"/>
      <c r="U230" s="128"/>
    </row>
    <row r="231" spans="1:21" ht="15.6" x14ac:dyDescent="0.3">
      <c r="A231" s="53"/>
      <c r="B231" s="54"/>
      <c r="C231" s="54"/>
      <c r="D231" s="54"/>
      <c r="E231" s="55"/>
      <c r="F231" s="75"/>
      <c r="G231" s="76"/>
      <c r="H231" s="76"/>
      <c r="I231" s="48"/>
      <c r="J231" s="70"/>
      <c r="K231" s="70"/>
      <c r="L231" s="221" t="s">
        <v>1002</v>
      </c>
      <c r="M231" s="222" t="s">
        <v>1070</v>
      </c>
      <c r="N231" s="221" t="s">
        <v>34</v>
      </c>
      <c r="O231" s="223">
        <v>0.54</v>
      </c>
      <c r="P231" s="224">
        <v>63</v>
      </c>
      <c r="Q231" s="224">
        <v>34.020000000000003</v>
      </c>
      <c r="R231" s="182"/>
      <c r="U231" s="128"/>
    </row>
    <row r="232" spans="1:21" ht="15.6" x14ac:dyDescent="0.3">
      <c r="A232" s="53"/>
      <c r="B232" s="54"/>
      <c r="C232" s="54"/>
      <c r="D232" s="54"/>
      <c r="E232" s="55"/>
      <c r="F232" s="75"/>
      <c r="G232" s="76"/>
      <c r="H232" s="76"/>
      <c r="I232" s="48"/>
      <c r="J232" s="70"/>
      <c r="K232" s="70"/>
      <c r="L232" s="221" t="s">
        <v>424</v>
      </c>
      <c r="M232" s="222" t="s">
        <v>425</v>
      </c>
      <c r="N232" s="221" t="s">
        <v>34</v>
      </c>
      <c r="O232" s="223">
        <v>1</v>
      </c>
      <c r="P232" s="224">
        <v>201</v>
      </c>
      <c r="Q232" s="224">
        <v>201</v>
      </c>
      <c r="R232" s="182"/>
      <c r="U232" s="128"/>
    </row>
    <row r="233" spans="1:21" ht="15.6" x14ac:dyDescent="0.3">
      <c r="A233" s="53"/>
      <c r="B233" s="54"/>
      <c r="C233" s="54"/>
      <c r="D233" s="54"/>
      <c r="E233" s="55"/>
      <c r="F233" s="75"/>
      <c r="G233" s="76"/>
      <c r="H233" s="76"/>
      <c r="I233" s="48"/>
      <c r="J233" s="70"/>
      <c r="K233" s="70"/>
      <c r="L233" s="221" t="s">
        <v>1003</v>
      </c>
      <c r="M233" s="222" t="s">
        <v>1071</v>
      </c>
      <c r="N233" s="221" t="s">
        <v>34</v>
      </c>
      <c r="O233" s="223">
        <v>0.18</v>
      </c>
      <c r="P233" s="224">
        <v>195</v>
      </c>
      <c r="Q233" s="224">
        <v>35.1</v>
      </c>
      <c r="R233" s="182"/>
      <c r="U233" s="128"/>
    </row>
    <row r="234" spans="1:21" ht="15.6" x14ac:dyDescent="0.3">
      <c r="A234" s="53"/>
      <c r="B234" s="54"/>
      <c r="C234" s="54"/>
      <c r="D234" s="54"/>
      <c r="E234" s="55"/>
      <c r="F234" s="75"/>
      <c r="G234" s="76"/>
      <c r="H234" s="76"/>
      <c r="I234" s="48"/>
      <c r="J234" s="70"/>
      <c r="K234" s="70"/>
      <c r="L234" s="221" t="s">
        <v>1363</v>
      </c>
      <c r="M234" s="222" t="s">
        <v>1392</v>
      </c>
      <c r="N234" s="221" t="s">
        <v>34</v>
      </c>
      <c r="O234" s="223">
        <v>0.27</v>
      </c>
      <c r="P234" s="224">
        <v>499</v>
      </c>
      <c r="Q234" s="224">
        <v>134.72999999999999</v>
      </c>
      <c r="R234" s="182"/>
      <c r="U234" s="128"/>
    </row>
    <row r="235" spans="1:21" ht="15.6" x14ac:dyDescent="0.3">
      <c r="A235" s="53"/>
      <c r="B235" s="54"/>
      <c r="C235" s="54"/>
      <c r="D235" s="54"/>
      <c r="E235" s="55"/>
      <c r="F235" s="75"/>
      <c r="G235" s="76"/>
      <c r="H235" s="76"/>
      <c r="I235" s="48"/>
      <c r="J235" s="70"/>
      <c r="K235" s="70"/>
      <c r="L235" s="221" t="s">
        <v>1364</v>
      </c>
      <c r="M235" s="222" t="s">
        <v>1393</v>
      </c>
      <c r="N235" s="221" t="s">
        <v>34</v>
      </c>
      <c r="O235" s="223">
        <v>0.3</v>
      </c>
      <c r="P235" s="224">
        <v>144</v>
      </c>
      <c r="Q235" s="224">
        <v>43.2</v>
      </c>
      <c r="R235" s="182"/>
      <c r="U235" s="128"/>
    </row>
    <row r="236" spans="1:21" ht="15.6" x14ac:dyDescent="0.3">
      <c r="A236" s="53"/>
      <c r="B236" s="54"/>
      <c r="C236" s="54"/>
      <c r="D236" s="54"/>
      <c r="E236" s="55"/>
      <c r="F236" s="75"/>
      <c r="G236" s="76"/>
      <c r="H236" s="76"/>
      <c r="I236" s="48"/>
      <c r="J236" s="70"/>
      <c r="K236" s="70"/>
      <c r="L236" s="221" t="s">
        <v>1365</v>
      </c>
      <c r="M236" s="222" t="s">
        <v>1394</v>
      </c>
      <c r="N236" s="221" t="s">
        <v>34</v>
      </c>
      <c r="O236" s="223">
        <v>0.18</v>
      </c>
      <c r="P236" s="224">
        <v>140</v>
      </c>
      <c r="Q236" s="224">
        <v>25.2</v>
      </c>
      <c r="R236" s="182"/>
      <c r="U236" s="128"/>
    </row>
    <row r="237" spans="1:21" ht="15.6" x14ac:dyDescent="0.3">
      <c r="A237" s="53"/>
      <c r="B237" s="54"/>
      <c r="C237" s="54"/>
      <c r="D237" s="54"/>
      <c r="E237" s="55"/>
      <c r="F237" s="75"/>
      <c r="G237" s="76"/>
      <c r="H237" s="76"/>
      <c r="I237" s="48"/>
      <c r="J237" s="70"/>
      <c r="K237" s="70"/>
      <c r="L237" s="221" t="s">
        <v>432</v>
      </c>
      <c r="M237" s="222" t="s">
        <v>433</v>
      </c>
      <c r="N237" s="221" t="s">
        <v>34</v>
      </c>
      <c r="O237" s="223">
        <v>4</v>
      </c>
      <c r="P237" s="224">
        <v>27.6</v>
      </c>
      <c r="Q237" s="224">
        <v>110.4</v>
      </c>
      <c r="R237" s="182"/>
      <c r="U237" s="128"/>
    </row>
    <row r="238" spans="1:21" ht="15.6" x14ac:dyDescent="0.3">
      <c r="A238" s="53"/>
      <c r="B238" s="54"/>
      <c r="C238" s="54"/>
      <c r="D238" s="54"/>
      <c r="E238" s="55"/>
      <c r="F238" s="75"/>
      <c r="G238" s="76"/>
      <c r="H238" s="76"/>
      <c r="I238" s="48"/>
      <c r="J238" s="70"/>
      <c r="K238" s="70"/>
      <c r="L238" s="221" t="s">
        <v>1159</v>
      </c>
      <c r="M238" s="222" t="s">
        <v>1245</v>
      </c>
      <c r="N238" s="221" t="s">
        <v>34</v>
      </c>
      <c r="O238" s="223">
        <v>1</v>
      </c>
      <c r="P238" s="224">
        <v>39.75</v>
      </c>
      <c r="Q238" s="224">
        <v>39.75</v>
      </c>
      <c r="R238" s="182"/>
      <c r="U238" s="128"/>
    </row>
    <row r="239" spans="1:21" ht="15.6" x14ac:dyDescent="0.3">
      <c r="A239" s="53"/>
      <c r="B239" s="54"/>
      <c r="C239" s="54"/>
      <c r="D239" s="54"/>
      <c r="E239" s="55"/>
      <c r="F239" s="75"/>
      <c r="G239" s="76"/>
      <c r="H239" s="76"/>
      <c r="I239" s="48"/>
      <c r="J239" s="70"/>
      <c r="K239" s="70"/>
      <c r="L239" s="221" t="s">
        <v>1001</v>
      </c>
      <c r="M239" s="222" t="s">
        <v>415</v>
      </c>
      <c r="N239" s="221" t="s">
        <v>34</v>
      </c>
      <c r="O239" s="223">
        <v>11</v>
      </c>
      <c r="P239" s="224">
        <v>59.58</v>
      </c>
      <c r="Q239" s="224">
        <v>655.38</v>
      </c>
      <c r="R239" s="182"/>
      <c r="U239" s="128"/>
    </row>
    <row r="240" spans="1:21" ht="15.6" x14ac:dyDescent="0.3">
      <c r="A240" s="53"/>
      <c r="B240" s="54"/>
      <c r="C240" s="54"/>
      <c r="D240" s="54"/>
      <c r="E240" s="55"/>
      <c r="F240" s="75"/>
      <c r="G240" s="76"/>
      <c r="H240" s="76"/>
      <c r="I240" s="48"/>
      <c r="J240" s="70"/>
      <c r="K240" s="70"/>
      <c r="L240" s="221" t="s">
        <v>946</v>
      </c>
      <c r="M240" s="222" t="s">
        <v>1042</v>
      </c>
      <c r="N240" s="221" t="s">
        <v>34</v>
      </c>
      <c r="O240" s="223">
        <v>4</v>
      </c>
      <c r="P240" s="224">
        <v>127.1</v>
      </c>
      <c r="Q240" s="224">
        <v>508.4</v>
      </c>
      <c r="R240" s="182"/>
      <c r="U240" s="128"/>
    </row>
    <row r="241" spans="1:21" ht="15.6" x14ac:dyDescent="0.3">
      <c r="A241" s="53"/>
      <c r="B241" s="54"/>
      <c r="C241" s="54"/>
      <c r="D241" s="54"/>
      <c r="E241" s="55"/>
      <c r="F241" s="75"/>
      <c r="G241" s="76"/>
      <c r="H241" s="76"/>
      <c r="I241" s="48"/>
      <c r="J241" s="70"/>
      <c r="K241" s="70"/>
      <c r="L241" s="221" t="s">
        <v>1421</v>
      </c>
      <c r="M241" s="222" t="s">
        <v>1444</v>
      </c>
      <c r="N241" s="221" t="s">
        <v>34</v>
      </c>
      <c r="O241" s="223">
        <v>1</v>
      </c>
      <c r="P241" s="225">
        <v>1000</v>
      </c>
      <c r="Q241" s="225">
        <v>1000</v>
      </c>
      <c r="R241" s="182"/>
      <c r="U241" s="128"/>
    </row>
    <row r="242" spans="1:21" ht="15.6" x14ac:dyDescent="0.3">
      <c r="A242" s="53"/>
      <c r="B242" s="54"/>
      <c r="C242" s="54"/>
      <c r="D242" s="54"/>
      <c r="E242" s="55"/>
      <c r="F242" s="75"/>
      <c r="G242" s="76"/>
      <c r="H242" s="76"/>
      <c r="I242" s="48"/>
      <c r="J242" s="70"/>
      <c r="K242" s="70"/>
      <c r="L242" s="221" t="s">
        <v>403</v>
      </c>
      <c r="M242" s="222" t="s">
        <v>1073</v>
      </c>
      <c r="N242" s="221" t="s">
        <v>34</v>
      </c>
      <c r="O242" s="223">
        <v>2</v>
      </c>
      <c r="P242" s="224">
        <v>36.9</v>
      </c>
      <c r="Q242" s="224">
        <v>73.8</v>
      </c>
      <c r="R242" s="182"/>
      <c r="U242" s="128"/>
    </row>
    <row r="243" spans="1:21" ht="15.6" x14ac:dyDescent="0.3">
      <c r="A243" s="53"/>
      <c r="B243" s="54"/>
      <c r="C243" s="54"/>
      <c r="D243" s="54"/>
      <c r="E243" s="55"/>
      <c r="F243" s="75"/>
      <c r="G243" s="76"/>
      <c r="H243" s="76"/>
      <c r="I243" s="48"/>
      <c r="J243" s="70"/>
      <c r="K243" s="70"/>
      <c r="L243" s="221" t="s">
        <v>920</v>
      </c>
      <c r="M243" s="222" t="s">
        <v>921</v>
      </c>
      <c r="N243" s="221" t="s">
        <v>34</v>
      </c>
      <c r="O243" s="223">
        <v>1</v>
      </c>
      <c r="P243" s="224">
        <v>29.6</v>
      </c>
      <c r="Q243" s="224">
        <v>29.6</v>
      </c>
      <c r="R243" s="182"/>
      <c r="U243" s="128"/>
    </row>
    <row r="244" spans="1:21" ht="15.6" x14ac:dyDescent="0.3">
      <c r="A244" s="53"/>
      <c r="B244" s="54"/>
      <c r="C244" s="54"/>
      <c r="D244" s="54"/>
      <c r="E244" s="55"/>
      <c r="F244" s="75"/>
      <c r="G244" s="76"/>
      <c r="H244" s="76"/>
      <c r="I244" s="48"/>
      <c r="J244" s="70"/>
      <c r="K244" s="70"/>
      <c r="L244" s="221" t="s">
        <v>1009</v>
      </c>
      <c r="M244" s="222" t="s">
        <v>811</v>
      </c>
      <c r="N244" s="221" t="s">
        <v>34</v>
      </c>
      <c r="O244" s="223">
        <v>5</v>
      </c>
      <c r="P244" s="224">
        <v>91</v>
      </c>
      <c r="Q244" s="224">
        <v>455</v>
      </c>
      <c r="R244" s="182"/>
      <c r="U244" s="128"/>
    </row>
    <row r="245" spans="1:21" ht="15.6" x14ac:dyDescent="0.3">
      <c r="A245" s="53"/>
      <c r="B245" s="54"/>
      <c r="C245" s="54"/>
      <c r="D245" s="54"/>
      <c r="E245" s="55"/>
      <c r="F245" s="75"/>
      <c r="G245" s="76"/>
      <c r="H245" s="76"/>
      <c r="I245" s="48"/>
      <c r="J245" s="70"/>
      <c r="K245" s="70"/>
      <c r="L245" s="221" t="s">
        <v>1158</v>
      </c>
      <c r="M245" s="222" t="s">
        <v>1244</v>
      </c>
      <c r="N245" s="221" t="s">
        <v>34</v>
      </c>
      <c r="O245" s="223">
        <v>1</v>
      </c>
      <c r="P245" s="224">
        <v>238</v>
      </c>
      <c r="Q245" s="224">
        <v>238</v>
      </c>
      <c r="R245" s="182"/>
      <c r="U245" s="128"/>
    </row>
    <row r="246" spans="1:21" ht="15.6" x14ac:dyDescent="0.3">
      <c r="A246" s="53"/>
      <c r="B246" s="54"/>
      <c r="C246" s="54"/>
      <c r="D246" s="54"/>
      <c r="E246" s="55"/>
      <c r="F246" s="75"/>
      <c r="G246" s="76"/>
      <c r="H246" s="76"/>
      <c r="I246" s="48"/>
      <c r="J246" s="70"/>
      <c r="K246" s="70"/>
      <c r="L246" s="221" t="s">
        <v>411</v>
      </c>
      <c r="M246" s="222" t="s">
        <v>412</v>
      </c>
      <c r="N246" s="221" t="s">
        <v>34</v>
      </c>
      <c r="O246" s="223">
        <v>12.6</v>
      </c>
      <c r="P246" s="224">
        <v>58.83</v>
      </c>
      <c r="Q246" s="224">
        <v>741.22</v>
      </c>
      <c r="R246" s="182"/>
      <c r="U246" s="128"/>
    </row>
    <row r="247" spans="1:21" ht="15.6" x14ac:dyDescent="0.3">
      <c r="A247" s="53"/>
      <c r="B247" s="54"/>
      <c r="C247" s="54"/>
      <c r="D247" s="54"/>
      <c r="E247" s="55"/>
      <c r="F247" s="75"/>
      <c r="G247" s="76"/>
      <c r="H247" s="76"/>
      <c r="I247" s="48"/>
      <c r="J247" s="70"/>
      <c r="K247" s="70"/>
      <c r="L247" s="221" t="s">
        <v>1359</v>
      </c>
      <c r="M247" s="222" t="s">
        <v>1388</v>
      </c>
      <c r="N247" s="221" t="s">
        <v>34</v>
      </c>
      <c r="O247" s="223">
        <v>1</v>
      </c>
      <c r="P247" s="224">
        <v>92.71</v>
      </c>
      <c r="Q247" s="224">
        <v>92.71</v>
      </c>
      <c r="R247" s="182"/>
      <c r="U247" s="128"/>
    </row>
    <row r="248" spans="1:21" ht="15.6" x14ac:dyDescent="0.3">
      <c r="A248" s="53"/>
      <c r="B248" s="54"/>
      <c r="C248" s="54"/>
      <c r="D248" s="54"/>
      <c r="E248" s="55"/>
      <c r="F248" s="75"/>
      <c r="G248" s="76"/>
      <c r="H248" s="76"/>
      <c r="I248" s="48"/>
      <c r="J248" s="70"/>
      <c r="K248" s="70"/>
      <c r="L248" s="221" t="s">
        <v>1163</v>
      </c>
      <c r="M248" s="222" t="s">
        <v>1248</v>
      </c>
      <c r="N248" s="221" t="s">
        <v>34</v>
      </c>
      <c r="O248" s="223">
        <v>1</v>
      </c>
      <c r="P248" s="224">
        <v>579.16999999999996</v>
      </c>
      <c r="Q248" s="224">
        <v>579.16999999999996</v>
      </c>
      <c r="R248" s="182"/>
      <c r="U248" s="128"/>
    </row>
    <row r="249" spans="1:21" ht="15.6" x14ac:dyDescent="0.3">
      <c r="A249" s="53"/>
      <c r="B249" s="54"/>
      <c r="C249" s="54"/>
      <c r="D249" s="54"/>
      <c r="E249" s="55"/>
      <c r="F249" s="75"/>
      <c r="G249" s="76"/>
      <c r="H249" s="76"/>
      <c r="I249" s="48"/>
      <c r="J249" s="70"/>
      <c r="K249" s="70"/>
      <c r="L249" s="221" t="s">
        <v>1010</v>
      </c>
      <c r="M249" s="222" t="s">
        <v>814</v>
      </c>
      <c r="N249" s="221" t="s">
        <v>34</v>
      </c>
      <c r="O249" s="223">
        <v>6</v>
      </c>
      <c r="P249" s="224">
        <v>634.24</v>
      </c>
      <c r="Q249" s="225">
        <v>3805.46</v>
      </c>
      <c r="R249" s="182"/>
      <c r="U249" s="128"/>
    </row>
    <row r="250" spans="1:21" ht="15.6" x14ac:dyDescent="0.3">
      <c r="A250" s="53"/>
      <c r="B250" s="54"/>
      <c r="C250" s="54"/>
      <c r="D250" s="54"/>
      <c r="E250" s="55"/>
      <c r="F250" s="75"/>
      <c r="G250" s="76"/>
      <c r="H250" s="76"/>
      <c r="I250" s="48"/>
      <c r="J250" s="70"/>
      <c r="K250" s="70"/>
      <c r="L250" s="221" t="s">
        <v>1164</v>
      </c>
      <c r="M250" s="222" t="s">
        <v>1249</v>
      </c>
      <c r="N250" s="221" t="s">
        <v>34</v>
      </c>
      <c r="O250" s="223">
        <v>0.5</v>
      </c>
      <c r="P250" s="224">
        <v>349.1</v>
      </c>
      <c r="Q250" s="224">
        <v>174.55</v>
      </c>
      <c r="R250" s="182"/>
      <c r="U250" s="128"/>
    </row>
    <row r="251" spans="1:21" ht="15.6" x14ac:dyDescent="0.3">
      <c r="A251" s="53"/>
      <c r="B251" s="54"/>
      <c r="C251" s="54"/>
      <c r="D251" s="54"/>
      <c r="E251" s="55"/>
      <c r="F251" s="75"/>
      <c r="G251" s="76"/>
      <c r="H251" s="76"/>
      <c r="I251" s="48"/>
      <c r="J251" s="70"/>
      <c r="K251" s="70"/>
      <c r="L251" s="221" t="s">
        <v>1012</v>
      </c>
      <c r="M251" s="222" t="s">
        <v>413</v>
      </c>
      <c r="N251" s="221" t="s">
        <v>34</v>
      </c>
      <c r="O251" s="223">
        <v>0.5</v>
      </c>
      <c r="P251" s="224">
        <v>524.17999999999995</v>
      </c>
      <c r="Q251" s="224">
        <v>262.08999999999997</v>
      </c>
      <c r="R251" s="182"/>
      <c r="U251" s="128"/>
    </row>
    <row r="252" spans="1:21" ht="15.6" x14ac:dyDescent="0.3">
      <c r="A252" s="53"/>
      <c r="B252" s="54"/>
      <c r="C252" s="54"/>
      <c r="D252" s="54"/>
      <c r="E252" s="55"/>
      <c r="F252" s="75"/>
      <c r="G252" s="76"/>
      <c r="H252" s="76"/>
      <c r="I252" s="48"/>
      <c r="J252" s="70"/>
      <c r="K252" s="70"/>
      <c r="L252" s="221" t="s">
        <v>1367</v>
      </c>
      <c r="M252" s="222" t="s">
        <v>1396</v>
      </c>
      <c r="N252" s="221" t="s">
        <v>34</v>
      </c>
      <c r="O252" s="223">
        <v>1</v>
      </c>
      <c r="P252" s="224">
        <v>271</v>
      </c>
      <c r="Q252" s="224">
        <v>271</v>
      </c>
      <c r="R252" s="182"/>
      <c r="U252" s="128"/>
    </row>
    <row r="253" spans="1:21" ht="15.6" x14ac:dyDescent="0.3">
      <c r="A253" s="53"/>
      <c r="B253" s="54"/>
      <c r="C253" s="54"/>
      <c r="D253" s="54"/>
      <c r="E253" s="55"/>
      <c r="F253" s="75"/>
      <c r="G253" s="76"/>
      <c r="H253" s="76"/>
      <c r="I253" s="48"/>
      <c r="J253" s="70"/>
      <c r="K253" s="70"/>
      <c r="L253" s="221" t="s">
        <v>823</v>
      </c>
      <c r="M253" s="222" t="s">
        <v>824</v>
      </c>
      <c r="N253" s="221" t="s">
        <v>34</v>
      </c>
      <c r="O253" s="223">
        <v>5</v>
      </c>
      <c r="P253" s="224">
        <v>251.57</v>
      </c>
      <c r="Q253" s="225">
        <v>1257.8499999999999</v>
      </c>
      <c r="R253" s="182"/>
      <c r="U253" s="128"/>
    </row>
    <row r="254" spans="1:21" ht="15.6" customHeight="1" x14ac:dyDescent="0.3">
      <c r="A254" s="53"/>
      <c r="B254" s="54"/>
      <c r="C254" s="54"/>
      <c r="D254" s="54"/>
      <c r="E254" s="55"/>
      <c r="F254" s="75"/>
      <c r="G254" s="76"/>
      <c r="H254" s="76"/>
      <c r="I254" s="48"/>
      <c r="J254" s="70"/>
      <c r="K254" s="70"/>
      <c r="L254" s="221" t="s">
        <v>1161</v>
      </c>
      <c r="M254" s="222" t="s">
        <v>436</v>
      </c>
      <c r="N254" s="221" t="s">
        <v>34</v>
      </c>
      <c r="O254" s="223">
        <v>1</v>
      </c>
      <c r="P254" s="224">
        <v>96.18</v>
      </c>
      <c r="Q254" s="224">
        <v>96.18</v>
      </c>
      <c r="R254" s="182"/>
      <c r="U254" s="128"/>
    </row>
    <row r="255" spans="1:21" ht="30" x14ac:dyDescent="0.3">
      <c r="A255" s="53"/>
      <c r="B255" s="54"/>
      <c r="C255" s="54"/>
      <c r="D255" s="54"/>
      <c r="E255" s="55"/>
      <c r="F255" s="75"/>
      <c r="G255" s="76"/>
      <c r="H255" s="76"/>
      <c r="I255" s="48"/>
      <c r="J255" s="70"/>
      <c r="K255" s="70"/>
      <c r="L255" s="221" t="s">
        <v>1004</v>
      </c>
      <c r="M255" s="222" t="s">
        <v>95</v>
      </c>
      <c r="N255" s="221" t="s">
        <v>34</v>
      </c>
      <c r="O255" s="223">
        <v>9</v>
      </c>
      <c r="P255" s="224">
        <v>181.32</v>
      </c>
      <c r="Q255" s="225">
        <v>1631.88</v>
      </c>
      <c r="R255" s="182"/>
      <c r="U255" s="128"/>
    </row>
    <row r="256" spans="1:21" ht="15.6" x14ac:dyDescent="0.3">
      <c r="A256" s="53"/>
      <c r="B256" s="54"/>
      <c r="C256" s="54"/>
      <c r="D256" s="54"/>
      <c r="E256" s="55"/>
      <c r="F256" s="75"/>
      <c r="G256" s="76"/>
      <c r="H256" s="76"/>
      <c r="I256" s="48"/>
      <c r="J256" s="70"/>
      <c r="K256" s="70"/>
      <c r="L256" s="221" t="s">
        <v>437</v>
      </c>
      <c r="M256" s="222" t="s">
        <v>438</v>
      </c>
      <c r="N256" s="221" t="s">
        <v>34</v>
      </c>
      <c r="O256" s="223">
        <v>4</v>
      </c>
      <c r="P256" s="224">
        <v>166.32</v>
      </c>
      <c r="Q256" s="224">
        <v>665.28</v>
      </c>
      <c r="R256" s="182"/>
      <c r="U256" s="128"/>
    </row>
    <row r="257" spans="1:21" ht="15.6" x14ac:dyDescent="0.3">
      <c r="A257" s="53"/>
      <c r="B257" s="54"/>
      <c r="C257" s="54"/>
      <c r="D257" s="54"/>
      <c r="E257" s="55"/>
      <c r="F257" s="75"/>
      <c r="G257" s="76"/>
      <c r="H257" s="76"/>
      <c r="I257" s="48"/>
      <c r="J257" s="70"/>
      <c r="K257" s="70"/>
      <c r="L257" s="221" t="s">
        <v>1090</v>
      </c>
      <c r="M257" s="222" t="s">
        <v>439</v>
      </c>
      <c r="N257" s="221" t="s">
        <v>34</v>
      </c>
      <c r="O257" s="223">
        <v>1</v>
      </c>
      <c r="P257" s="224">
        <v>94.35</v>
      </c>
      <c r="Q257" s="224">
        <v>94.35</v>
      </c>
      <c r="R257" s="182"/>
      <c r="U257" s="128"/>
    </row>
    <row r="258" spans="1:21" ht="15.6" x14ac:dyDescent="0.3">
      <c r="A258" s="53"/>
      <c r="B258" s="54"/>
      <c r="C258" s="54"/>
      <c r="D258" s="54"/>
      <c r="E258" s="55"/>
      <c r="F258" s="75"/>
      <c r="G258" s="76"/>
      <c r="H258" s="76"/>
      <c r="I258" s="48"/>
      <c r="J258" s="70"/>
      <c r="K258" s="70"/>
      <c r="L258" s="221" t="s">
        <v>1005</v>
      </c>
      <c r="M258" s="222" t="s">
        <v>825</v>
      </c>
      <c r="N258" s="221" t="s">
        <v>34</v>
      </c>
      <c r="O258" s="223">
        <v>4</v>
      </c>
      <c r="P258" s="224">
        <v>297</v>
      </c>
      <c r="Q258" s="225">
        <v>1188</v>
      </c>
      <c r="R258" s="182"/>
      <c r="U258" s="128"/>
    </row>
    <row r="259" spans="1:21" ht="15.6" x14ac:dyDescent="0.3">
      <c r="A259" s="53"/>
      <c r="B259" s="54"/>
      <c r="C259" s="54"/>
      <c r="D259" s="54"/>
      <c r="E259" s="55"/>
      <c r="F259" s="75"/>
      <c r="G259" s="76"/>
      <c r="H259" s="76"/>
      <c r="I259" s="48"/>
      <c r="J259" s="70"/>
      <c r="K259" s="70"/>
      <c r="L259" s="221" t="s">
        <v>1006</v>
      </c>
      <c r="M259" s="222" t="s">
        <v>923</v>
      </c>
      <c r="N259" s="221" t="s">
        <v>34</v>
      </c>
      <c r="O259" s="223">
        <v>570</v>
      </c>
      <c r="P259" s="224">
        <v>0.16</v>
      </c>
      <c r="Q259" s="224">
        <v>89.26</v>
      </c>
      <c r="R259" s="182"/>
      <c r="U259" s="128"/>
    </row>
    <row r="260" spans="1:21" ht="15.6" x14ac:dyDescent="0.3">
      <c r="A260" s="53"/>
      <c r="B260" s="54"/>
      <c r="C260" s="54"/>
      <c r="D260" s="54"/>
      <c r="E260" s="55"/>
      <c r="F260" s="75"/>
      <c r="G260" s="76"/>
      <c r="H260" s="76"/>
      <c r="I260" s="48"/>
      <c r="J260" s="70"/>
      <c r="K260" s="70"/>
      <c r="L260" s="221" t="s">
        <v>1160</v>
      </c>
      <c r="M260" s="222" t="s">
        <v>1246</v>
      </c>
      <c r="N260" s="221" t="s">
        <v>34</v>
      </c>
      <c r="O260" s="223">
        <v>409</v>
      </c>
      <c r="P260" s="224">
        <v>0.69</v>
      </c>
      <c r="Q260" s="224">
        <v>282.89999999999998</v>
      </c>
      <c r="R260" s="182"/>
      <c r="U260" s="128"/>
    </row>
    <row r="261" spans="1:21" ht="30" x14ac:dyDescent="0.3">
      <c r="A261" s="53"/>
      <c r="B261" s="54"/>
      <c r="C261" s="54"/>
      <c r="D261" s="54"/>
      <c r="E261" s="55"/>
      <c r="F261" s="75"/>
      <c r="G261" s="76"/>
      <c r="H261" s="76"/>
      <c r="I261" s="48"/>
      <c r="J261" s="70"/>
      <c r="K261" s="70"/>
      <c r="L261" s="221" t="s">
        <v>1174</v>
      </c>
      <c r="M261" s="222" t="s">
        <v>1258</v>
      </c>
      <c r="N261" s="221" t="s">
        <v>34</v>
      </c>
      <c r="O261" s="223">
        <v>45</v>
      </c>
      <c r="P261" s="224">
        <v>0.66</v>
      </c>
      <c r="Q261" s="224">
        <v>29.62</v>
      </c>
      <c r="R261" s="182"/>
      <c r="U261" s="128"/>
    </row>
    <row r="262" spans="1:21" ht="15.6" x14ac:dyDescent="0.3">
      <c r="A262" s="53"/>
      <c r="B262" s="54"/>
      <c r="C262" s="54"/>
      <c r="D262" s="54"/>
      <c r="E262" s="55"/>
      <c r="F262" s="75"/>
      <c r="G262" s="76"/>
      <c r="H262" s="76"/>
      <c r="I262" s="48"/>
      <c r="J262" s="70"/>
      <c r="K262" s="70"/>
      <c r="L262" s="221" t="s">
        <v>1175</v>
      </c>
      <c r="M262" s="222" t="s">
        <v>1259</v>
      </c>
      <c r="N262" s="221" t="s">
        <v>34</v>
      </c>
      <c r="O262" s="223">
        <v>1</v>
      </c>
      <c r="P262" s="224">
        <v>2</v>
      </c>
      <c r="Q262" s="224">
        <v>2</v>
      </c>
      <c r="R262" s="182"/>
      <c r="U262" s="128"/>
    </row>
    <row r="263" spans="1:21" ht="15.6" x14ac:dyDescent="0.3">
      <c r="A263" s="53"/>
      <c r="B263" s="54"/>
      <c r="C263" s="54"/>
      <c r="D263" s="54"/>
      <c r="E263" s="55"/>
      <c r="F263" s="75"/>
      <c r="G263" s="76"/>
      <c r="H263" s="76"/>
      <c r="I263" s="48"/>
      <c r="J263" s="70"/>
      <c r="K263" s="70"/>
      <c r="L263" s="221" t="s">
        <v>1176</v>
      </c>
      <c r="M263" s="222" t="s">
        <v>1260</v>
      </c>
      <c r="N263" s="221" t="s">
        <v>34</v>
      </c>
      <c r="O263" s="223">
        <v>1</v>
      </c>
      <c r="P263" s="224">
        <v>1.5</v>
      </c>
      <c r="Q263" s="224">
        <v>1.5</v>
      </c>
      <c r="R263" s="182"/>
      <c r="U263" s="128"/>
    </row>
    <row r="264" spans="1:21" ht="15.6" x14ac:dyDescent="0.3">
      <c r="A264" s="53"/>
      <c r="B264" s="54"/>
      <c r="C264" s="54"/>
      <c r="D264" s="54"/>
      <c r="E264" s="55"/>
      <c r="F264" s="75"/>
      <c r="G264" s="76"/>
      <c r="H264" s="76"/>
      <c r="I264" s="48"/>
      <c r="J264" s="70"/>
      <c r="K264" s="70"/>
      <c r="L264" s="221" t="s">
        <v>826</v>
      </c>
      <c r="M264" s="222" t="s">
        <v>827</v>
      </c>
      <c r="N264" s="221" t="s">
        <v>34</v>
      </c>
      <c r="O264" s="223">
        <v>1</v>
      </c>
      <c r="P264" s="224">
        <v>4.5</v>
      </c>
      <c r="Q264" s="224">
        <v>4.5</v>
      </c>
      <c r="R264" s="182"/>
      <c r="U264" s="128"/>
    </row>
    <row r="265" spans="1:21" ht="15.6" x14ac:dyDescent="0.3">
      <c r="A265" s="53"/>
      <c r="B265" s="54"/>
      <c r="C265" s="54"/>
      <c r="D265" s="54"/>
      <c r="E265" s="55"/>
      <c r="F265" s="75"/>
      <c r="G265" s="76"/>
      <c r="H265" s="76"/>
      <c r="I265" s="48"/>
      <c r="J265" s="70"/>
      <c r="K265" s="70"/>
      <c r="L265" s="221" t="s">
        <v>1369</v>
      </c>
      <c r="M265" s="222" t="s">
        <v>1398</v>
      </c>
      <c r="N265" s="221" t="s">
        <v>34</v>
      </c>
      <c r="O265" s="223">
        <v>1</v>
      </c>
      <c r="P265" s="224">
        <v>4.5</v>
      </c>
      <c r="Q265" s="224">
        <v>4.5</v>
      </c>
      <c r="R265" s="182"/>
      <c r="U265" s="128"/>
    </row>
    <row r="266" spans="1:21" ht="15.6" x14ac:dyDescent="0.3">
      <c r="A266" s="53"/>
      <c r="B266" s="54"/>
      <c r="C266" s="54"/>
      <c r="D266" s="54"/>
      <c r="E266" s="55"/>
      <c r="F266" s="75"/>
      <c r="G266" s="76"/>
      <c r="H266" s="76"/>
      <c r="I266" s="48"/>
      <c r="J266" s="70"/>
      <c r="K266" s="70"/>
      <c r="L266" s="221" t="s">
        <v>1177</v>
      </c>
      <c r="M266" s="222" t="s">
        <v>1261</v>
      </c>
      <c r="N266" s="221" t="s">
        <v>34</v>
      </c>
      <c r="O266" s="223">
        <v>1</v>
      </c>
      <c r="P266" s="224">
        <v>130.21</v>
      </c>
      <c r="Q266" s="224">
        <v>130.21</v>
      </c>
      <c r="R266" s="182"/>
      <c r="U266" s="128"/>
    </row>
    <row r="267" spans="1:21" ht="15.6" x14ac:dyDescent="0.3">
      <c r="A267" s="53"/>
      <c r="B267" s="54"/>
      <c r="C267" s="54"/>
      <c r="D267" s="54"/>
      <c r="E267" s="55"/>
      <c r="F267" s="75"/>
      <c r="G267" s="76"/>
      <c r="H267" s="76"/>
      <c r="I267" s="48"/>
      <c r="J267" s="70"/>
      <c r="K267" s="70"/>
      <c r="L267" s="221" t="s">
        <v>1007</v>
      </c>
      <c r="M267" s="222" t="s">
        <v>447</v>
      </c>
      <c r="N267" s="221" t="s">
        <v>34</v>
      </c>
      <c r="O267" s="223">
        <v>7</v>
      </c>
      <c r="P267" s="224">
        <v>106.52</v>
      </c>
      <c r="Q267" s="224">
        <v>745.67</v>
      </c>
      <c r="R267" s="182"/>
      <c r="U267" s="128"/>
    </row>
    <row r="268" spans="1:21" ht="15.6" x14ac:dyDescent="0.3">
      <c r="A268" s="53"/>
      <c r="B268" s="54"/>
      <c r="C268" s="54"/>
      <c r="D268" s="54"/>
      <c r="E268" s="55"/>
      <c r="F268" s="75"/>
      <c r="G268" s="76"/>
      <c r="H268" s="76"/>
      <c r="I268" s="48"/>
      <c r="J268" s="70"/>
      <c r="K268" s="70"/>
      <c r="L268" s="221" t="s">
        <v>886</v>
      </c>
      <c r="M268" s="222" t="s">
        <v>1072</v>
      </c>
      <c r="N268" s="221" t="s">
        <v>34</v>
      </c>
      <c r="O268" s="223">
        <v>3</v>
      </c>
      <c r="P268" s="224">
        <v>350.19</v>
      </c>
      <c r="Q268" s="225">
        <v>1050.56</v>
      </c>
      <c r="R268" s="182"/>
      <c r="U268" s="128"/>
    </row>
    <row r="269" spans="1:21" ht="15.6" x14ac:dyDescent="0.3">
      <c r="A269" s="53"/>
      <c r="B269" s="54"/>
      <c r="C269" s="54"/>
      <c r="D269" s="54"/>
      <c r="E269" s="55"/>
      <c r="F269" s="75"/>
      <c r="G269" s="76"/>
      <c r="H269" s="76"/>
      <c r="I269" s="48"/>
      <c r="J269" s="70"/>
      <c r="K269" s="70"/>
      <c r="L269" s="221" t="s">
        <v>828</v>
      </c>
      <c r="M269" s="222" t="s">
        <v>829</v>
      </c>
      <c r="N269" s="221" t="s">
        <v>34</v>
      </c>
      <c r="O269" s="223">
        <v>1</v>
      </c>
      <c r="P269" s="224">
        <v>133.16</v>
      </c>
      <c r="Q269" s="224">
        <v>133.16</v>
      </c>
      <c r="R269" s="182"/>
      <c r="U269" s="128"/>
    </row>
    <row r="270" spans="1:21" ht="15.6" x14ac:dyDescent="0.3">
      <c r="A270" s="53"/>
      <c r="B270" s="54"/>
      <c r="C270" s="54"/>
      <c r="D270" s="54"/>
      <c r="E270" s="55"/>
      <c r="F270" s="75"/>
      <c r="G270" s="76"/>
      <c r="H270" s="76"/>
      <c r="I270" s="48"/>
      <c r="J270" s="70"/>
      <c r="K270" s="70"/>
      <c r="L270" s="221" t="s">
        <v>830</v>
      </c>
      <c r="M270" s="222" t="s">
        <v>831</v>
      </c>
      <c r="N270" s="221" t="s">
        <v>34</v>
      </c>
      <c r="O270" s="223">
        <v>1</v>
      </c>
      <c r="P270" s="224">
        <v>693</v>
      </c>
      <c r="Q270" s="224">
        <v>693</v>
      </c>
      <c r="R270" s="182"/>
      <c r="U270" s="128"/>
    </row>
    <row r="271" spans="1:21" ht="15.6" x14ac:dyDescent="0.3">
      <c r="A271" s="53"/>
      <c r="B271" s="54"/>
      <c r="C271" s="54"/>
      <c r="D271" s="54"/>
      <c r="E271" s="55"/>
      <c r="F271" s="75"/>
      <c r="G271" s="76"/>
      <c r="H271" s="76"/>
      <c r="I271" s="48"/>
      <c r="J271" s="70"/>
      <c r="K271" s="70"/>
      <c r="L271" s="221" t="s">
        <v>924</v>
      </c>
      <c r="M271" s="222" t="s">
        <v>925</v>
      </c>
      <c r="N271" s="221" t="s">
        <v>34</v>
      </c>
      <c r="O271" s="223">
        <v>1</v>
      </c>
      <c r="P271" s="224">
        <v>84.5</v>
      </c>
      <c r="Q271" s="224">
        <v>84.5</v>
      </c>
      <c r="R271" s="182"/>
      <c r="U271" s="128"/>
    </row>
    <row r="272" spans="1:21" ht="15.6" x14ac:dyDescent="0.3">
      <c r="A272" s="53"/>
      <c r="B272" s="54"/>
      <c r="C272" s="54"/>
      <c r="D272" s="54"/>
      <c r="E272" s="55"/>
      <c r="F272" s="75"/>
      <c r="G272" s="76"/>
      <c r="H272" s="76"/>
      <c r="I272" s="48"/>
      <c r="J272" s="70"/>
      <c r="K272" s="70"/>
      <c r="L272" s="221" t="s">
        <v>455</v>
      </c>
      <c r="M272" s="222" t="s">
        <v>456</v>
      </c>
      <c r="N272" s="221" t="s">
        <v>34</v>
      </c>
      <c r="O272" s="223">
        <v>2</v>
      </c>
      <c r="P272" s="224">
        <v>275.73</v>
      </c>
      <c r="Q272" s="224">
        <v>551.46</v>
      </c>
      <c r="R272" s="182"/>
      <c r="U272" s="128"/>
    </row>
    <row r="273" spans="1:21" ht="15.6" x14ac:dyDescent="0.3">
      <c r="A273" s="53"/>
      <c r="B273" s="54"/>
      <c r="C273" s="54"/>
      <c r="D273" s="54"/>
      <c r="E273" s="55"/>
      <c r="F273" s="75"/>
      <c r="G273" s="76"/>
      <c r="H273" s="76"/>
      <c r="I273" s="48"/>
      <c r="J273" s="70"/>
      <c r="K273" s="70"/>
      <c r="L273" s="221" t="s">
        <v>219</v>
      </c>
      <c r="M273" s="222" t="s">
        <v>220</v>
      </c>
      <c r="N273" s="221" t="s">
        <v>34</v>
      </c>
      <c r="O273" s="223">
        <v>2</v>
      </c>
      <c r="P273" s="224">
        <v>112.79</v>
      </c>
      <c r="Q273" s="224">
        <v>225.58</v>
      </c>
      <c r="R273" s="182"/>
      <c r="U273" s="128"/>
    </row>
    <row r="274" spans="1:21" ht="15.6" x14ac:dyDescent="0.3">
      <c r="A274" s="53"/>
      <c r="B274" s="54"/>
      <c r="C274" s="54"/>
      <c r="D274" s="54"/>
      <c r="E274" s="55"/>
      <c r="F274" s="75"/>
      <c r="G274" s="76"/>
      <c r="H274" s="76"/>
      <c r="I274" s="48"/>
      <c r="J274" s="70"/>
      <c r="K274" s="70"/>
      <c r="L274" s="221" t="s">
        <v>1422</v>
      </c>
      <c r="M274" s="222" t="s">
        <v>1445</v>
      </c>
      <c r="N274" s="221" t="s">
        <v>34</v>
      </c>
      <c r="O274" s="223">
        <v>0.13600000000000001</v>
      </c>
      <c r="P274" s="224">
        <v>230</v>
      </c>
      <c r="Q274" s="224">
        <v>31.28</v>
      </c>
      <c r="R274" s="182"/>
      <c r="U274" s="128"/>
    </row>
    <row r="275" spans="1:21" ht="15.6" x14ac:dyDescent="0.3">
      <c r="A275" s="53"/>
      <c r="B275" s="54"/>
      <c r="C275" s="54"/>
      <c r="D275" s="54"/>
      <c r="E275" s="55"/>
      <c r="F275" s="75"/>
      <c r="G275" s="76"/>
      <c r="H275" s="76"/>
      <c r="I275" s="48"/>
      <c r="J275" s="70"/>
      <c r="K275" s="70"/>
      <c r="L275" s="221" t="s">
        <v>1371</v>
      </c>
      <c r="M275" s="222" t="s">
        <v>99</v>
      </c>
      <c r="N275" s="221" t="s">
        <v>34</v>
      </c>
      <c r="O275" s="223">
        <v>0.27300000000000002</v>
      </c>
      <c r="P275" s="225">
        <v>1041.6500000000001</v>
      </c>
      <c r="Q275" s="224">
        <v>284.37</v>
      </c>
      <c r="R275" s="182"/>
      <c r="U275" s="128"/>
    </row>
    <row r="276" spans="1:21" ht="15.6" x14ac:dyDescent="0.3">
      <c r="A276" s="53"/>
      <c r="B276" s="54"/>
      <c r="C276" s="54"/>
      <c r="D276" s="54"/>
      <c r="E276" s="55"/>
      <c r="F276" s="75"/>
      <c r="G276" s="76"/>
      <c r="H276" s="76"/>
      <c r="I276" s="48"/>
      <c r="J276" s="70"/>
      <c r="K276" s="70"/>
      <c r="L276" s="221" t="s">
        <v>510</v>
      </c>
      <c r="M276" s="222" t="s">
        <v>1060</v>
      </c>
      <c r="N276" s="221" t="s">
        <v>34</v>
      </c>
      <c r="O276" s="223">
        <v>0.27</v>
      </c>
      <c r="P276" s="224">
        <v>169</v>
      </c>
      <c r="Q276" s="224">
        <v>45.63</v>
      </c>
      <c r="R276" s="182"/>
      <c r="U276" s="128"/>
    </row>
    <row r="277" spans="1:21" ht="15.6" x14ac:dyDescent="0.3">
      <c r="A277" s="53"/>
      <c r="B277" s="54"/>
      <c r="C277" s="54"/>
      <c r="D277" s="54"/>
      <c r="E277" s="55"/>
      <c r="F277" s="75"/>
      <c r="G277" s="76"/>
      <c r="H277" s="76"/>
      <c r="I277" s="48"/>
      <c r="J277" s="70"/>
      <c r="K277" s="70"/>
      <c r="L277" s="221" t="s">
        <v>1374</v>
      </c>
      <c r="M277" s="222" t="s">
        <v>1402</v>
      </c>
      <c r="N277" s="221" t="s">
        <v>34</v>
      </c>
      <c r="O277" s="223">
        <v>4.4999999999999998E-2</v>
      </c>
      <c r="P277" s="224">
        <v>108</v>
      </c>
      <c r="Q277" s="224">
        <v>4.8600000000000003</v>
      </c>
      <c r="R277" s="182"/>
      <c r="U277" s="128"/>
    </row>
    <row r="278" spans="1:21" ht="15.6" x14ac:dyDescent="0.3">
      <c r="A278" s="53"/>
      <c r="B278" s="54"/>
      <c r="C278" s="54"/>
      <c r="D278" s="54"/>
      <c r="E278" s="55"/>
      <c r="F278" s="75"/>
      <c r="G278" s="76"/>
      <c r="H278" s="76"/>
      <c r="I278" s="48"/>
      <c r="J278" s="70"/>
      <c r="K278" s="70"/>
      <c r="L278" s="221" t="s">
        <v>1312</v>
      </c>
      <c r="M278" s="222" t="s">
        <v>1346</v>
      </c>
      <c r="N278" s="221" t="s">
        <v>34</v>
      </c>
      <c r="O278" s="223">
        <v>1</v>
      </c>
      <c r="P278" s="224">
        <v>57.19</v>
      </c>
      <c r="Q278" s="224">
        <v>57.19</v>
      </c>
      <c r="R278" s="182"/>
      <c r="U278" s="128"/>
    </row>
    <row r="279" spans="1:21" ht="15.6" x14ac:dyDescent="0.3">
      <c r="A279" s="53"/>
      <c r="B279" s="54"/>
      <c r="C279" s="54"/>
      <c r="D279" s="54"/>
      <c r="E279" s="55"/>
      <c r="F279" s="75"/>
      <c r="G279" s="76"/>
      <c r="H279" s="76"/>
      <c r="I279" s="48"/>
      <c r="J279" s="70"/>
      <c r="K279" s="70"/>
      <c r="L279" s="221" t="s">
        <v>1080</v>
      </c>
      <c r="M279" s="222" t="s">
        <v>1081</v>
      </c>
      <c r="N279" s="221" t="s">
        <v>34</v>
      </c>
      <c r="O279" s="223">
        <v>1</v>
      </c>
      <c r="P279" s="224">
        <v>4.25</v>
      </c>
      <c r="Q279" s="224">
        <v>4.25</v>
      </c>
      <c r="R279" s="182"/>
      <c r="U279" s="128"/>
    </row>
    <row r="280" spans="1:21" ht="15.6" x14ac:dyDescent="0.3">
      <c r="A280" s="53"/>
      <c r="B280" s="54"/>
      <c r="C280" s="54"/>
      <c r="D280" s="54"/>
      <c r="E280" s="55"/>
      <c r="F280" s="75"/>
      <c r="G280" s="76"/>
      <c r="H280" s="76"/>
      <c r="I280" s="48"/>
      <c r="J280" s="70"/>
      <c r="K280" s="70"/>
      <c r="L280" s="221" t="s">
        <v>1378</v>
      </c>
      <c r="M280" s="222" t="s">
        <v>1406</v>
      </c>
      <c r="N280" s="221" t="s">
        <v>34</v>
      </c>
      <c r="O280" s="223">
        <v>1</v>
      </c>
      <c r="P280" s="224">
        <v>38.619999999999997</v>
      </c>
      <c r="Q280" s="224">
        <v>38.619999999999997</v>
      </c>
      <c r="R280" s="182"/>
      <c r="U280" s="128"/>
    </row>
    <row r="281" spans="1:21" ht="15.6" x14ac:dyDescent="0.3">
      <c r="A281" s="53"/>
      <c r="B281" s="54"/>
      <c r="C281" s="54"/>
      <c r="D281" s="54"/>
      <c r="E281" s="55"/>
      <c r="F281" s="75"/>
      <c r="G281" s="76"/>
      <c r="H281" s="76"/>
      <c r="I281" s="48"/>
      <c r="J281" s="70"/>
      <c r="K281" s="70"/>
      <c r="L281" s="221" t="s">
        <v>983</v>
      </c>
      <c r="M281" s="222" t="s">
        <v>471</v>
      </c>
      <c r="N281" s="221" t="s">
        <v>34</v>
      </c>
      <c r="O281" s="223">
        <v>3</v>
      </c>
      <c r="P281" s="224">
        <v>39.83</v>
      </c>
      <c r="Q281" s="224">
        <v>119.5</v>
      </c>
      <c r="R281" s="182"/>
      <c r="U281" s="128"/>
    </row>
    <row r="282" spans="1:21" ht="15.6" x14ac:dyDescent="0.3">
      <c r="A282" s="53"/>
      <c r="B282" s="54"/>
      <c r="C282" s="54"/>
      <c r="D282" s="54"/>
      <c r="E282" s="55"/>
      <c r="F282" s="75"/>
      <c r="G282" s="76"/>
      <c r="H282" s="76"/>
      <c r="I282" s="48"/>
      <c r="J282" s="70"/>
      <c r="K282" s="70"/>
      <c r="L282" s="221" t="s">
        <v>984</v>
      </c>
      <c r="M282" s="222" t="s">
        <v>472</v>
      </c>
      <c r="N282" s="221" t="s">
        <v>34</v>
      </c>
      <c r="O282" s="223">
        <v>5</v>
      </c>
      <c r="P282" s="224">
        <v>5.6</v>
      </c>
      <c r="Q282" s="224">
        <v>27.99</v>
      </c>
      <c r="R282" s="182"/>
      <c r="U282" s="128"/>
    </row>
    <row r="283" spans="1:21" ht="15.6" x14ac:dyDescent="0.3">
      <c r="A283" s="53"/>
      <c r="B283" s="54"/>
      <c r="C283" s="54"/>
      <c r="D283" s="54"/>
      <c r="E283" s="55"/>
      <c r="F283" s="75"/>
      <c r="G283" s="76"/>
      <c r="H283" s="76"/>
      <c r="I283" s="48"/>
      <c r="J283" s="70"/>
      <c r="K283" s="70"/>
      <c r="L283" s="221" t="s">
        <v>832</v>
      </c>
      <c r="M283" s="222" t="s">
        <v>833</v>
      </c>
      <c r="N283" s="221" t="s">
        <v>34</v>
      </c>
      <c r="O283" s="223">
        <v>2</v>
      </c>
      <c r="P283" s="224">
        <v>57</v>
      </c>
      <c r="Q283" s="224">
        <v>114</v>
      </c>
      <c r="R283" s="182"/>
      <c r="U283" s="128"/>
    </row>
    <row r="284" spans="1:21" ht="15.6" x14ac:dyDescent="0.3">
      <c r="A284" s="53"/>
      <c r="B284" s="54"/>
      <c r="C284" s="54"/>
      <c r="D284" s="54"/>
      <c r="E284" s="55"/>
      <c r="F284" s="75"/>
      <c r="G284" s="76"/>
      <c r="H284" s="76"/>
      <c r="I284" s="48"/>
      <c r="J284" s="70"/>
      <c r="K284" s="70"/>
      <c r="L284" s="221" t="s">
        <v>985</v>
      </c>
      <c r="M284" s="222" t="s">
        <v>473</v>
      </c>
      <c r="N284" s="221" t="s">
        <v>34</v>
      </c>
      <c r="O284" s="223">
        <v>1</v>
      </c>
      <c r="P284" s="224">
        <v>30.83</v>
      </c>
      <c r="Q284" s="224">
        <v>30.83</v>
      </c>
      <c r="R284" s="182"/>
      <c r="U284" s="128"/>
    </row>
    <row r="285" spans="1:21" ht="15.6" x14ac:dyDescent="0.3">
      <c r="A285" s="53"/>
      <c r="B285" s="54"/>
      <c r="C285" s="54"/>
      <c r="D285" s="54"/>
      <c r="E285" s="55"/>
      <c r="F285" s="75"/>
      <c r="G285" s="76"/>
      <c r="H285" s="76"/>
      <c r="I285" s="48"/>
      <c r="J285" s="70"/>
      <c r="K285" s="70"/>
      <c r="L285" s="221" t="s">
        <v>1087</v>
      </c>
      <c r="M285" s="222" t="s">
        <v>1089</v>
      </c>
      <c r="N285" s="221" t="s">
        <v>34</v>
      </c>
      <c r="O285" s="223">
        <v>1</v>
      </c>
      <c r="P285" s="224">
        <v>73</v>
      </c>
      <c r="Q285" s="224">
        <v>73</v>
      </c>
      <c r="R285" s="182"/>
      <c r="U285" s="128"/>
    </row>
    <row r="286" spans="1:21" ht="15.6" x14ac:dyDescent="0.3">
      <c r="A286" s="53"/>
      <c r="B286" s="54"/>
      <c r="C286" s="54"/>
      <c r="D286" s="54"/>
      <c r="E286" s="55"/>
      <c r="F286" s="75"/>
      <c r="G286" s="76"/>
      <c r="H286" s="76"/>
      <c r="I286" s="48"/>
      <c r="J286" s="70"/>
      <c r="K286" s="70"/>
      <c r="L286" s="221" t="s">
        <v>949</v>
      </c>
      <c r="M286" s="222" t="s">
        <v>494</v>
      </c>
      <c r="N286" s="221" t="s">
        <v>34</v>
      </c>
      <c r="O286" s="223">
        <v>38</v>
      </c>
      <c r="P286" s="224">
        <v>2.5</v>
      </c>
      <c r="Q286" s="224">
        <v>95</v>
      </c>
      <c r="R286" s="182"/>
      <c r="U286" s="128"/>
    </row>
    <row r="287" spans="1:21" ht="30" x14ac:dyDescent="0.3">
      <c r="A287" s="53"/>
      <c r="B287" s="54"/>
      <c r="C287" s="54"/>
      <c r="D287" s="54"/>
      <c r="E287" s="55"/>
      <c r="F287" s="75"/>
      <c r="G287" s="76"/>
      <c r="H287" s="76"/>
      <c r="I287" s="48"/>
      <c r="J287" s="70"/>
      <c r="K287" s="70"/>
      <c r="L287" s="221" t="s">
        <v>950</v>
      </c>
      <c r="M287" s="222" t="s">
        <v>843</v>
      </c>
      <c r="N287" s="221" t="s">
        <v>34</v>
      </c>
      <c r="O287" s="223">
        <v>1</v>
      </c>
      <c r="P287" s="224">
        <v>74.58</v>
      </c>
      <c r="Q287" s="224">
        <v>74.58</v>
      </c>
      <c r="R287" s="182"/>
      <c r="U287" s="128"/>
    </row>
    <row r="288" spans="1:21" ht="30" x14ac:dyDescent="0.3">
      <c r="A288" s="53"/>
      <c r="B288" s="54"/>
      <c r="C288" s="54"/>
      <c r="D288" s="54"/>
      <c r="E288" s="55"/>
      <c r="F288" s="75"/>
      <c r="G288" s="76"/>
      <c r="H288" s="76"/>
      <c r="I288" s="48"/>
      <c r="J288" s="70"/>
      <c r="K288" s="70"/>
      <c r="L288" s="221" t="s">
        <v>951</v>
      </c>
      <c r="M288" s="222" t="s">
        <v>844</v>
      </c>
      <c r="N288" s="221" t="s">
        <v>34</v>
      </c>
      <c r="O288" s="223">
        <v>3</v>
      </c>
      <c r="P288" s="224">
        <v>31.72</v>
      </c>
      <c r="Q288" s="224">
        <v>95.17</v>
      </c>
      <c r="R288" s="182"/>
      <c r="U288" s="128"/>
    </row>
    <row r="289" spans="1:21" ht="15.6" x14ac:dyDescent="0.3">
      <c r="A289" s="53"/>
      <c r="B289" s="54"/>
      <c r="C289" s="54"/>
      <c r="D289" s="54"/>
      <c r="E289" s="55"/>
      <c r="F289" s="75"/>
      <c r="G289" s="76"/>
      <c r="H289" s="76"/>
      <c r="I289" s="48"/>
      <c r="J289" s="70"/>
      <c r="K289" s="70"/>
      <c r="L289" s="221" t="s">
        <v>1430</v>
      </c>
      <c r="M289" s="222" t="s">
        <v>1452</v>
      </c>
      <c r="N289" s="221" t="s">
        <v>34</v>
      </c>
      <c r="O289" s="223">
        <v>1</v>
      </c>
      <c r="P289" s="224">
        <v>217.3</v>
      </c>
      <c r="Q289" s="224">
        <v>217.3</v>
      </c>
      <c r="R289" s="182"/>
      <c r="U289" s="128"/>
    </row>
    <row r="290" spans="1:21" ht="15.6" x14ac:dyDescent="0.3">
      <c r="A290" s="53"/>
      <c r="B290" s="54"/>
      <c r="C290" s="54"/>
      <c r="D290" s="54"/>
      <c r="E290" s="55"/>
      <c r="F290" s="75"/>
      <c r="G290" s="76"/>
      <c r="H290" s="76"/>
      <c r="I290" s="48"/>
      <c r="J290" s="70"/>
      <c r="K290" s="70"/>
      <c r="L290" s="221" t="s">
        <v>845</v>
      </c>
      <c r="M290" s="222" t="s">
        <v>846</v>
      </c>
      <c r="N290" s="221" t="s">
        <v>34</v>
      </c>
      <c r="O290" s="223">
        <v>1</v>
      </c>
      <c r="P290" s="224">
        <v>302.8</v>
      </c>
      <c r="Q290" s="224">
        <v>302.8</v>
      </c>
      <c r="R290" s="182"/>
      <c r="U290" s="128"/>
    </row>
    <row r="291" spans="1:21" ht="15.6" x14ac:dyDescent="0.3">
      <c r="A291" s="53"/>
      <c r="B291" s="54"/>
      <c r="C291" s="54"/>
      <c r="D291" s="54"/>
      <c r="E291" s="55"/>
      <c r="F291" s="75"/>
      <c r="G291" s="76"/>
      <c r="H291" s="76"/>
      <c r="I291" s="48"/>
      <c r="J291" s="70"/>
      <c r="K291" s="70"/>
      <c r="L291" s="221" t="s">
        <v>1166</v>
      </c>
      <c r="M291" s="222" t="s">
        <v>1251</v>
      </c>
      <c r="N291" s="221" t="s">
        <v>34</v>
      </c>
      <c r="O291" s="223">
        <v>327</v>
      </c>
      <c r="P291" s="224">
        <v>0.57999999999999996</v>
      </c>
      <c r="Q291" s="224">
        <v>188.48</v>
      </c>
      <c r="R291" s="182"/>
      <c r="U291" s="128"/>
    </row>
    <row r="292" spans="1:21" ht="15.6" x14ac:dyDescent="0.3">
      <c r="A292" s="53"/>
      <c r="B292" s="54"/>
      <c r="C292" s="54"/>
      <c r="D292" s="54"/>
      <c r="E292" s="55"/>
      <c r="F292" s="75"/>
      <c r="G292" s="76"/>
      <c r="H292" s="76"/>
      <c r="I292" s="48"/>
      <c r="J292" s="70"/>
      <c r="K292" s="70"/>
      <c r="L292" s="221" t="s">
        <v>1167</v>
      </c>
      <c r="M292" s="222" t="s">
        <v>1252</v>
      </c>
      <c r="N292" s="221" t="s">
        <v>34</v>
      </c>
      <c r="O292" s="223">
        <v>0.5</v>
      </c>
      <c r="P292" s="224">
        <v>196</v>
      </c>
      <c r="Q292" s="224">
        <v>98</v>
      </c>
      <c r="R292" s="182"/>
      <c r="U292" s="128"/>
    </row>
    <row r="293" spans="1:21" ht="15.6" x14ac:dyDescent="0.3">
      <c r="A293" s="53"/>
      <c r="B293" s="54"/>
      <c r="C293" s="54"/>
      <c r="D293" s="54"/>
      <c r="E293" s="55"/>
      <c r="F293" s="75"/>
      <c r="G293" s="76"/>
      <c r="H293" s="76"/>
      <c r="I293" s="48"/>
      <c r="J293" s="70"/>
      <c r="K293" s="70"/>
      <c r="L293" s="221" t="s">
        <v>1431</v>
      </c>
      <c r="M293" s="222" t="s">
        <v>1453</v>
      </c>
      <c r="N293" s="221" t="s">
        <v>34</v>
      </c>
      <c r="O293" s="223">
        <v>0.4</v>
      </c>
      <c r="P293" s="224">
        <v>185</v>
      </c>
      <c r="Q293" s="224">
        <v>74</v>
      </c>
      <c r="R293" s="182"/>
      <c r="U293" s="128"/>
    </row>
    <row r="294" spans="1:21" ht="15.6" x14ac:dyDescent="0.3">
      <c r="A294" s="53"/>
      <c r="B294" s="54"/>
      <c r="C294" s="54"/>
      <c r="D294" s="54"/>
      <c r="E294" s="55"/>
      <c r="F294" s="75"/>
      <c r="G294" s="76"/>
      <c r="H294" s="76"/>
      <c r="I294" s="48"/>
      <c r="J294" s="70"/>
      <c r="K294" s="70"/>
      <c r="L294" s="221" t="s">
        <v>1432</v>
      </c>
      <c r="M294" s="222" t="s">
        <v>1454</v>
      </c>
      <c r="N294" s="221" t="s">
        <v>34</v>
      </c>
      <c r="O294" s="223">
        <v>0.09</v>
      </c>
      <c r="P294" s="224">
        <v>178</v>
      </c>
      <c r="Q294" s="224">
        <v>16.02</v>
      </c>
      <c r="R294" s="182"/>
      <c r="U294" s="128"/>
    </row>
    <row r="295" spans="1:21" ht="15.6" x14ac:dyDescent="0.3">
      <c r="A295" s="53"/>
      <c r="B295" s="54"/>
      <c r="C295" s="54"/>
      <c r="D295" s="54"/>
      <c r="E295" s="55"/>
      <c r="F295" s="75"/>
      <c r="G295" s="76"/>
      <c r="H295" s="76"/>
      <c r="I295" s="48"/>
      <c r="J295" s="70"/>
      <c r="K295" s="70"/>
      <c r="L295" s="221" t="s">
        <v>989</v>
      </c>
      <c r="M295" s="222" t="s">
        <v>848</v>
      </c>
      <c r="N295" s="221" t="s">
        <v>34</v>
      </c>
      <c r="O295" s="223">
        <v>1</v>
      </c>
      <c r="P295" s="224">
        <v>119.53</v>
      </c>
      <c r="Q295" s="224">
        <v>119.53</v>
      </c>
      <c r="R295" s="182"/>
      <c r="U295" s="128"/>
    </row>
    <row r="296" spans="1:21" ht="15.6" x14ac:dyDescent="0.3">
      <c r="A296" s="53"/>
      <c r="B296" s="54"/>
      <c r="C296" s="54"/>
      <c r="D296" s="54"/>
      <c r="E296" s="55"/>
      <c r="F296" s="75"/>
      <c r="G296" s="76"/>
      <c r="H296" s="76"/>
      <c r="I296" s="48"/>
      <c r="J296" s="70"/>
      <c r="K296" s="70"/>
      <c r="L296" s="221" t="s">
        <v>1168</v>
      </c>
      <c r="M296" s="222" t="s">
        <v>1253</v>
      </c>
      <c r="N296" s="221" t="s">
        <v>34</v>
      </c>
      <c r="O296" s="223">
        <v>1</v>
      </c>
      <c r="P296" s="224">
        <v>110</v>
      </c>
      <c r="Q296" s="224">
        <v>110</v>
      </c>
      <c r="R296" s="182"/>
      <c r="U296" s="128"/>
    </row>
    <row r="297" spans="1:21" ht="15.6" customHeight="1" x14ac:dyDescent="0.3">
      <c r="A297" s="53"/>
      <c r="B297" s="54"/>
      <c r="C297" s="54"/>
      <c r="D297" s="54"/>
      <c r="E297" s="55"/>
      <c r="F297" s="75"/>
      <c r="G297" s="76"/>
      <c r="H297" s="76"/>
      <c r="I297" s="48"/>
      <c r="J297" s="70"/>
      <c r="K297" s="70"/>
      <c r="L297" s="221" t="s">
        <v>1169</v>
      </c>
      <c r="M297" s="222" t="s">
        <v>1254</v>
      </c>
      <c r="N297" s="221" t="s">
        <v>34</v>
      </c>
      <c r="O297" s="223">
        <v>2</v>
      </c>
      <c r="P297" s="224">
        <v>110</v>
      </c>
      <c r="Q297" s="224">
        <v>220</v>
      </c>
      <c r="R297" s="182"/>
      <c r="U297" s="128"/>
    </row>
    <row r="298" spans="1:21" ht="15.6" x14ac:dyDescent="0.3">
      <c r="A298" s="53"/>
      <c r="B298" s="54"/>
      <c r="C298" s="54"/>
      <c r="D298" s="54"/>
      <c r="E298" s="55"/>
      <c r="F298" s="75"/>
      <c r="G298" s="76"/>
      <c r="H298" s="76"/>
      <c r="I298" s="48"/>
      <c r="J298" s="70"/>
      <c r="K298" s="70"/>
      <c r="L298" s="221" t="s">
        <v>990</v>
      </c>
      <c r="M298" s="222" t="s">
        <v>1064</v>
      </c>
      <c r="N298" s="221" t="s">
        <v>34</v>
      </c>
      <c r="O298" s="223">
        <v>320</v>
      </c>
      <c r="P298" s="224">
        <v>0.92</v>
      </c>
      <c r="Q298" s="224">
        <v>294.39999999999998</v>
      </c>
      <c r="R298" s="182"/>
      <c r="U298" s="128"/>
    </row>
    <row r="299" spans="1:21" ht="15.6" x14ac:dyDescent="0.3">
      <c r="A299" s="53"/>
      <c r="B299" s="54"/>
      <c r="C299" s="54"/>
      <c r="D299" s="54"/>
      <c r="E299" s="55"/>
      <c r="F299" s="75"/>
      <c r="G299" s="76"/>
      <c r="H299" s="76"/>
      <c r="I299" s="48"/>
      <c r="J299" s="70"/>
      <c r="K299" s="70"/>
      <c r="L299" s="221" t="s">
        <v>1170</v>
      </c>
      <c r="M299" s="222" t="s">
        <v>1255</v>
      </c>
      <c r="N299" s="221" t="s">
        <v>34</v>
      </c>
      <c r="O299" s="223">
        <v>11</v>
      </c>
      <c r="P299" s="224">
        <v>1.74</v>
      </c>
      <c r="Q299" s="224">
        <v>19.14</v>
      </c>
      <c r="R299" s="182"/>
      <c r="U299" s="128"/>
    </row>
    <row r="300" spans="1:21" ht="15.6" x14ac:dyDescent="0.3">
      <c r="A300" s="53"/>
      <c r="B300" s="54"/>
      <c r="C300" s="54"/>
      <c r="D300" s="54"/>
      <c r="E300" s="55"/>
      <c r="F300" s="75"/>
      <c r="G300" s="76"/>
      <c r="H300" s="76"/>
      <c r="I300" s="48"/>
      <c r="J300" s="70"/>
      <c r="K300" s="70"/>
      <c r="L300" s="221" t="s">
        <v>991</v>
      </c>
      <c r="M300" s="222" t="s">
        <v>1065</v>
      </c>
      <c r="N300" s="221" t="s">
        <v>34</v>
      </c>
      <c r="O300" s="223">
        <v>372</v>
      </c>
      <c r="P300" s="224">
        <v>0.5</v>
      </c>
      <c r="Q300" s="224">
        <v>186</v>
      </c>
      <c r="R300" s="182"/>
      <c r="U300" s="128"/>
    </row>
    <row r="301" spans="1:21" ht="15.6" x14ac:dyDescent="0.3">
      <c r="A301" s="53"/>
      <c r="B301" s="54"/>
      <c r="C301" s="54"/>
      <c r="D301" s="54"/>
      <c r="E301" s="55"/>
      <c r="F301" s="75"/>
      <c r="G301" s="76"/>
      <c r="H301" s="76"/>
      <c r="I301" s="48"/>
      <c r="J301" s="70"/>
      <c r="K301" s="70"/>
      <c r="L301" s="221" t="s">
        <v>1171</v>
      </c>
      <c r="M301" s="222" t="s">
        <v>1256</v>
      </c>
      <c r="N301" s="221" t="s">
        <v>34</v>
      </c>
      <c r="O301" s="223">
        <v>400</v>
      </c>
      <c r="P301" s="224">
        <v>0.17</v>
      </c>
      <c r="Q301" s="224">
        <v>68</v>
      </c>
      <c r="R301" s="182"/>
      <c r="U301" s="128"/>
    </row>
    <row r="302" spans="1:21" ht="15.6" x14ac:dyDescent="0.3">
      <c r="A302" s="53"/>
      <c r="B302" s="54"/>
      <c r="C302" s="54"/>
      <c r="D302" s="54"/>
      <c r="E302" s="55"/>
      <c r="F302" s="75"/>
      <c r="G302" s="76"/>
      <c r="H302" s="76"/>
      <c r="I302" s="48"/>
      <c r="J302" s="70"/>
      <c r="K302" s="70"/>
      <c r="L302" s="221" t="s">
        <v>992</v>
      </c>
      <c r="M302" s="222" t="s">
        <v>849</v>
      </c>
      <c r="N302" s="221" t="s">
        <v>34</v>
      </c>
      <c r="O302" s="223">
        <v>32</v>
      </c>
      <c r="P302" s="224">
        <v>0.92</v>
      </c>
      <c r="Q302" s="224">
        <v>29.44</v>
      </c>
      <c r="R302" s="182"/>
      <c r="U302" s="128"/>
    </row>
    <row r="303" spans="1:21" ht="15.6" x14ac:dyDescent="0.3">
      <c r="A303" s="53"/>
      <c r="B303" s="54"/>
      <c r="C303" s="54"/>
      <c r="D303" s="54"/>
      <c r="E303" s="55"/>
      <c r="F303" s="75"/>
      <c r="G303" s="76"/>
      <c r="H303" s="76"/>
      <c r="I303" s="48"/>
      <c r="J303" s="70"/>
      <c r="K303" s="70"/>
      <c r="L303" s="221" t="s">
        <v>850</v>
      </c>
      <c r="M303" s="222" t="s">
        <v>851</v>
      </c>
      <c r="N303" s="221" t="s">
        <v>34</v>
      </c>
      <c r="O303" s="223">
        <v>10</v>
      </c>
      <c r="P303" s="224">
        <v>3.62</v>
      </c>
      <c r="Q303" s="224">
        <v>36.200000000000003</v>
      </c>
      <c r="R303" s="182"/>
      <c r="U303" s="128"/>
    </row>
    <row r="304" spans="1:21" ht="15.6" x14ac:dyDescent="0.3">
      <c r="A304" s="53"/>
      <c r="B304" s="54"/>
      <c r="C304" s="54"/>
      <c r="D304" s="54"/>
      <c r="E304" s="55"/>
      <c r="F304" s="75"/>
      <c r="G304" s="76"/>
      <c r="H304" s="76"/>
      <c r="I304" s="48"/>
      <c r="J304" s="70"/>
      <c r="K304" s="70"/>
      <c r="L304" s="221" t="s">
        <v>993</v>
      </c>
      <c r="M304" s="222" t="s">
        <v>852</v>
      </c>
      <c r="N304" s="221" t="s">
        <v>34</v>
      </c>
      <c r="O304" s="223">
        <v>327</v>
      </c>
      <c r="P304" s="224">
        <v>0.5</v>
      </c>
      <c r="Q304" s="224">
        <v>163.5</v>
      </c>
      <c r="R304" s="182"/>
      <c r="U304" s="128"/>
    </row>
    <row r="305" spans="1:21" ht="15.6" x14ac:dyDescent="0.3">
      <c r="A305" s="53"/>
      <c r="B305" s="54"/>
      <c r="C305" s="54"/>
      <c r="D305" s="54"/>
      <c r="E305" s="55"/>
      <c r="F305" s="75"/>
      <c r="G305" s="76"/>
      <c r="H305" s="76"/>
      <c r="I305" s="48"/>
      <c r="J305" s="70"/>
      <c r="K305" s="70"/>
      <c r="L305" s="221" t="s">
        <v>996</v>
      </c>
      <c r="M305" s="222" t="s">
        <v>501</v>
      </c>
      <c r="N305" s="221" t="s">
        <v>34</v>
      </c>
      <c r="O305" s="223">
        <v>4</v>
      </c>
      <c r="P305" s="224">
        <v>36.08</v>
      </c>
      <c r="Q305" s="224">
        <v>144.32</v>
      </c>
      <c r="R305" s="182"/>
      <c r="U305" s="128"/>
    </row>
    <row r="306" spans="1:21" ht="15.6" x14ac:dyDescent="0.3">
      <c r="A306" s="53"/>
      <c r="B306" s="54"/>
      <c r="C306" s="54"/>
      <c r="D306" s="54"/>
      <c r="E306" s="55"/>
      <c r="F306" s="75"/>
      <c r="G306" s="76"/>
      <c r="H306" s="76"/>
      <c r="I306" s="48"/>
      <c r="J306" s="70"/>
      <c r="K306" s="70"/>
      <c r="L306" s="221" t="s">
        <v>986</v>
      </c>
      <c r="M306" s="222" t="s">
        <v>835</v>
      </c>
      <c r="N306" s="221" t="s">
        <v>34</v>
      </c>
      <c r="O306" s="223">
        <v>3.5</v>
      </c>
      <c r="P306" s="224">
        <v>275.86</v>
      </c>
      <c r="Q306" s="224">
        <v>965.51</v>
      </c>
      <c r="R306" s="182"/>
      <c r="U306" s="128"/>
    </row>
    <row r="307" spans="1:21" ht="15.6" customHeight="1" x14ac:dyDescent="0.3">
      <c r="A307" s="53"/>
      <c r="B307" s="54"/>
      <c r="C307" s="54"/>
      <c r="D307" s="54"/>
      <c r="E307" s="55"/>
      <c r="F307" s="75"/>
      <c r="G307" s="76"/>
      <c r="H307" s="76"/>
      <c r="I307" s="48"/>
      <c r="J307" s="70"/>
      <c r="K307" s="70"/>
      <c r="L307" s="221" t="s">
        <v>930</v>
      </c>
      <c r="M307" s="222" t="s">
        <v>931</v>
      </c>
      <c r="N307" s="221" t="s">
        <v>34</v>
      </c>
      <c r="O307" s="223">
        <v>1</v>
      </c>
      <c r="P307" s="224">
        <v>124</v>
      </c>
      <c r="Q307" s="224">
        <v>124</v>
      </c>
      <c r="R307" s="182"/>
      <c r="U307" s="128"/>
    </row>
    <row r="308" spans="1:21" ht="15.6" x14ac:dyDescent="0.3">
      <c r="A308" s="53"/>
      <c r="B308" s="54"/>
      <c r="C308" s="54"/>
      <c r="D308" s="54"/>
      <c r="E308" s="55"/>
      <c r="F308" s="75"/>
      <c r="G308" s="76"/>
      <c r="H308" s="76"/>
      <c r="I308" s="48"/>
      <c r="J308" s="70"/>
      <c r="K308" s="70"/>
      <c r="L308" s="221" t="s">
        <v>1425</v>
      </c>
      <c r="M308" s="222" t="s">
        <v>1447</v>
      </c>
      <c r="N308" s="221" t="s">
        <v>34</v>
      </c>
      <c r="O308" s="223">
        <v>1</v>
      </c>
      <c r="P308" s="224">
        <v>372</v>
      </c>
      <c r="Q308" s="224">
        <v>372</v>
      </c>
      <c r="R308" s="182"/>
      <c r="U308" s="128"/>
    </row>
    <row r="309" spans="1:21" ht="15.6" x14ac:dyDescent="0.3">
      <c r="A309" s="53"/>
      <c r="B309" s="54"/>
      <c r="C309" s="54"/>
      <c r="D309" s="54"/>
      <c r="E309" s="55"/>
      <c r="F309" s="75"/>
      <c r="G309" s="76"/>
      <c r="H309" s="76"/>
      <c r="I309" s="48"/>
      <c r="J309" s="70"/>
      <c r="K309" s="70"/>
      <c r="L309" s="221" t="s">
        <v>1179</v>
      </c>
      <c r="M309" s="222" t="s">
        <v>1263</v>
      </c>
      <c r="N309" s="221" t="s">
        <v>34</v>
      </c>
      <c r="O309" s="223">
        <v>1</v>
      </c>
      <c r="P309" s="224">
        <v>561</v>
      </c>
      <c r="Q309" s="224">
        <v>561</v>
      </c>
      <c r="R309" s="182"/>
      <c r="U309" s="128"/>
    </row>
    <row r="310" spans="1:21" ht="15.6" x14ac:dyDescent="0.3">
      <c r="A310" s="53"/>
      <c r="B310" s="54"/>
      <c r="C310" s="54"/>
      <c r="D310" s="54"/>
      <c r="E310" s="55"/>
      <c r="F310" s="75"/>
      <c r="G310" s="76"/>
      <c r="H310" s="76"/>
      <c r="I310" s="48"/>
      <c r="J310" s="70"/>
      <c r="K310" s="70"/>
      <c r="L310" s="221" t="s">
        <v>1091</v>
      </c>
      <c r="M310" s="222" t="s">
        <v>1095</v>
      </c>
      <c r="N310" s="221" t="s">
        <v>34</v>
      </c>
      <c r="O310" s="223">
        <v>1</v>
      </c>
      <c r="P310" s="224">
        <v>139.80000000000001</v>
      </c>
      <c r="Q310" s="224">
        <v>139.80000000000001</v>
      </c>
      <c r="R310" s="182"/>
      <c r="U310" s="128"/>
    </row>
    <row r="311" spans="1:21" ht="15.6" x14ac:dyDescent="0.3">
      <c r="A311" s="53"/>
      <c r="B311" s="54"/>
      <c r="C311" s="54"/>
      <c r="D311" s="54"/>
      <c r="E311" s="55"/>
      <c r="F311" s="75"/>
      <c r="G311" s="76"/>
      <c r="H311" s="76"/>
      <c r="I311" s="48"/>
      <c r="J311" s="70"/>
      <c r="K311" s="70"/>
      <c r="L311" s="221" t="s">
        <v>1317</v>
      </c>
      <c r="M311" s="222" t="s">
        <v>1351</v>
      </c>
      <c r="N311" s="221" t="s">
        <v>34</v>
      </c>
      <c r="O311" s="223">
        <v>1</v>
      </c>
      <c r="P311" s="225">
        <v>3310.38</v>
      </c>
      <c r="Q311" s="225">
        <v>3310.38</v>
      </c>
      <c r="R311" s="182"/>
      <c r="U311" s="128"/>
    </row>
    <row r="312" spans="1:21" ht="15.6" x14ac:dyDescent="0.3">
      <c r="A312" s="53"/>
      <c r="B312" s="54"/>
      <c r="C312" s="54"/>
      <c r="D312" s="54"/>
      <c r="E312" s="55"/>
      <c r="F312" s="75"/>
      <c r="G312" s="76"/>
      <c r="H312" s="76"/>
      <c r="I312" s="48"/>
      <c r="J312" s="70"/>
      <c r="K312" s="70"/>
      <c r="L312" s="221" t="s">
        <v>488</v>
      </c>
      <c r="M312" s="222" t="s">
        <v>1062</v>
      </c>
      <c r="N312" s="221" t="s">
        <v>34</v>
      </c>
      <c r="O312" s="223">
        <v>1</v>
      </c>
      <c r="P312" s="224">
        <v>985.5</v>
      </c>
      <c r="Q312" s="224">
        <v>985.5</v>
      </c>
      <c r="R312" s="182"/>
      <c r="U312" s="128"/>
    </row>
    <row r="313" spans="1:21" ht="15.6" x14ac:dyDescent="0.3">
      <c r="A313" s="53"/>
      <c r="B313" s="54"/>
      <c r="C313" s="54"/>
      <c r="D313" s="54"/>
      <c r="E313" s="55"/>
      <c r="F313" s="75"/>
      <c r="G313" s="76"/>
      <c r="H313" s="76"/>
      <c r="I313" s="48"/>
      <c r="J313" s="70"/>
      <c r="K313" s="70"/>
      <c r="L313" s="221" t="s">
        <v>1180</v>
      </c>
      <c r="M313" s="222" t="s">
        <v>105</v>
      </c>
      <c r="N313" s="221" t="s">
        <v>34</v>
      </c>
      <c r="O313" s="223">
        <v>636</v>
      </c>
      <c r="P313" s="224">
        <v>0.54</v>
      </c>
      <c r="Q313" s="224">
        <v>345.15</v>
      </c>
      <c r="R313" s="182"/>
      <c r="U313" s="128"/>
    </row>
    <row r="314" spans="1:21" ht="15.6" x14ac:dyDescent="0.3">
      <c r="A314" s="53"/>
      <c r="B314" s="54"/>
      <c r="C314" s="54"/>
      <c r="D314" s="54"/>
      <c r="E314" s="55"/>
      <c r="F314" s="75"/>
      <c r="G314" s="76"/>
      <c r="H314" s="76"/>
      <c r="I314" s="48"/>
      <c r="J314" s="70"/>
      <c r="K314" s="70"/>
      <c r="L314" s="221" t="s">
        <v>988</v>
      </c>
      <c r="M314" s="222" t="s">
        <v>106</v>
      </c>
      <c r="N314" s="221" t="s">
        <v>34</v>
      </c>
      <c r="O314" s="226">
        <v>1430</v>
      </c>
      <c r="P314" s="224">
        <v>0.71</v>
      </c>
      <c r="Q314" s="225">
        <v>1009.71</v>
      </c>
      <c r="R314" s="182"/>
      <c r="U314" s="128"/>
    </row>
    <row r="315" spans="1:21" ht="15.6" x14ac:dyDescent="0.3">
      <c r="A315" s="53"/>
      <c r="B315" s="54"/>
      <c r="C315" s="54"/>
      <c r="D315" s="54"/>
      <c r="E315" s="55"/>
      <c r="F315" s="75"/>
      <c r="G315" s="76"/>
      <c r="H315" s="76"/>
      <c r="I315" s="48"/>
      <c r="J315" s="70"/>
      <c r="K315" s="70"/>
      <c r="L315" s="221" t="s">
        <v>838</v>
      </c>
      <c r="M315" s="222" t="s">
        <v>839</v>
      </c>
      <c r="N315" s="221" t="s">
        <v>34</v>
      </c>
      <c r="O315" s="223">
        <v>109</v>
      </c>
      <c r="P315" s="224">
        <v>2.12</v>
      </c>
      <c r="Q315" s="224">
        <v>231.13</v>
      </c>
      <c r="R315" s="182"/>
      <c r="U315" s="128"/>
    </row>
    <row r="316" spans="1:21" ht="15.6" x14ac:dyDescent="0.3">
      <c r="A316" s="53"/>
      <c r="B316" s="54"/>
      <c r="C316" s="54"/>
      <c r="D316" s="54"/>
      <c r="E316" s="55"/>
      <c r="F316" s="75"/>
      <c r="G316" s="76"/>
      <c r="H316" s="76"/>
      <c r="I316" s="48"/>
      <c r="J316" s="70"/>
      <c r="K316" s="70"/>
      <c r="L316" s="221" t="s">
        <v>490</v>
      </c>
      <c r="M316" s="222" t="s">
        <v>491</v>
      </c>
      <c r="N316" s="221" t="s">
        <v>34</v>
      </c>
      <c r="O316" s="223">
        <v>1</v>
      </c>
      <c r="P316" s="225">
        <v>2999.3</v>
      </c>
      <c r="Q316" s="225">
        <v>2999.3</v>
      </c>
      <c r="R316" s="182"/>
      <c r="U316" s="128"/>
    </row>
    <row r="317" spans="1:21" ht="15.6" x14ac:dyDescent="0.3">
      <c r="A317" s="53"/>
      <c r="B317" s="54"/>
      <c r="C317" s="54"/>
      <c r="D317" s="54"/>
      <c r="E317" s="55"/>
      <c r="F317" s="75"/>
      <c r="G317" s="76"/>
      <c r="H317" s="76"/>
      <c r="I317" s="48"/>
      <c r="J317" s="70"/>
      <c r="K317" s="70"/>
      <c r="L317" s="221" t="s">
        <v>947</v>
      </c>
      <c r="M317" s="222" t="s">
        <v>1043</v>
      </c>
      <c r="N317" s="221" t="s">
        <v>34</v>
      </c>
      <c r="O317" s="223">
        <v>5</v>
      </c>
      <c r="P317" s="224">
        <v>423</v>
      </c>
      <c r="Q317" s="225">
        <v>2115</v>
      </c>
      <c r="R317" s="182"/>
      <c r="U317" s="128"/>
    </row>
    <row r="318" spans="1:21" ht="15.6" x14ac:dyDescent="0.3">
      <c r="A318" s="53"/>
      <c r="B318" s="54"/>
      <c r="C318" s="54"/>
      <c r="D318" s="54"/>
      <c r="E318" s="55"/>
      <c r="F318" s="75"/>
      <c r="G318" s="76"/>
      <c r="H318" s="76"/>
      <c r="I318" s="48"/>
      <c r="J318" s="70"/>
      <c r="K318" s="70"/>
      <c r="L318" s="221" t="s">
        <v>948</v>
      </c>
      <c r="M318" s="222" t="s">
        <v>1044</v>
      </c>
      <c r="N318" s="221" t="s">
        <v>34</v>
      </c>
      <c r="O318" s="223">
        <v>3</v>
      </c>
      <c r="P318" s="224">
        <v>44</v>
      </c>
      <c r="Q318" s="224">
        <v>132</v>
      </c>
      <c r="R318" s="182"/>
      <c r="U318" s="128"/>
    </row>
    <row r="319" spans="1:21" ht="15.6" x14ac:dyDescent="0.3">
      <c r="A319" s="53"/>
      <c r="B319" s="54"/>
      <c r="C319" s="54"/>
      <c r="D319" s="54"/>
      <c r="E319" s="55"/>
      <c r="F319" s="75"/>
      <c r="G319" s="76"/>
      <c r="H319" s="76"/>
      <c r="I319" s="48"/>
      <c r="J319" s="70"/>
      <c r="K319" s="70"/>
      <c r="L319" s="221" t="s">
        <v>1165</v>
      </c>
      <c r="M319" s="222" t="s">
        <v>1250</v>
      </c>
      <c r="N319" s="221" t="s">
        <v>34</v>
      </c>
      <c r="O319" s="223">
        <v>0.7</v>
      </c>
      <c r="P319" s="225">
        <v>2778.33</v>
      </c>
      <c r="Q319" s="225">
        <v>1944.83</v>
      </c>
      <c r="R319" s="182"/>
      <c r="U319" s="128"/>
    </row>
    <row r="320" spans="1:21" ht="30" x14ac:dyDescent="0.3">
      <c r="A320" s="53"/>
      <c r="B320" s="54"/>
      <c r="C320" s="54"/>
      <c r="D320" s="54"/>
      <c r="E320" s="55"/>
      <c r="F320" s="75"/>
      <c r="G320" s="76"/>
      <c r="H320" s="76"/>
      <c r="I320" s="48"/>
      <c r="J320" s="70"/>
      <c r="K320" s="70"/>
      <c r="L320" s="221" t="s">
        <v>1079</v>
      </c>
      <c r="M320" s="222" t="s">
        <v>842</v>
      </c>
      <c r="N320" s="221" t="s">
        <v>34</v>
      </c>
      <c r="O320" s="223">
        <v>1</v>
      </c>
      <c r="P320" s="224">
        <v>26.33</v>
      </c>
      <c r="Q320" s="224">
        <v>26.33</v>
      </c>
      <c r="R320" s="182"/>
      <c r="U320" s="128"/>
    </row>
    <row r="321" spans="1:21" ht="30" x14ac:dyDescent="0.3">
      <c r="A321" s="53"/>
      <c r="B321" s="54"/>
      <c r="C321" s="54"/>
      <c r="D321" s="54"/>
      <c r="E321" s="55"/>
      <c r="F321" s="75"/>
      <c r="G321" s="76"/>
      <c r="H321" s="76"/>
      <c r="I321" s="48"/>
      <c r="J321" s="70"/>
      <c r="K321" s="70"/>
      <c r="L321" s="221" t="s">
        <v>1019</v>
      </c>
      <c r="M321" s="222" t="s">
        <v>836</v>
      </c>
      <c r="N321" s="221" t="s">
        <v>57</v>
      </c>
      <c r="O321" s="223">
        <v>44</v>
      </c>
      <c r="P321" s="224">
        <v>6.09</v>
      </c>
      <c r="Q321" s="224">
        <v>267.95999999999998</v>
      </c>
      <c r="R321" s="182"/>
      <c r="U321" s="128"/>
    </row>
    <row r="322" spans="1:21" ht="30" x14ac:dyDescent="0.3">
      <c r="A322" s="53"/>
      <c r="B322" s="54"/>
      <c r="C322" s="54"/>
      <c r="D322" s="54"/>
      <c r="E322" s="55"/>
      <c r="F322" s="75"/>
      <c r="G322" s="76"/>
      <c r="H322" s="76"/>
      <c r="I322" s="48"/>
      <c r="J322" s="70"/>
      <c r="K322" s="70"/>
      <c r="L322" s="221" t="s">
        <v>238</v>
      </c>
      <c r="M322" s="222" t="s">
        <v>239</v>
      </c>
      <c r="N322" s="221" t="s">
        <v>57</v>
      </c>
      <c r="O322" s="223">
        <v>50</v>
      </c>
      <c r="P322" s="224">
        <v>7.92</v>
      </c>
      <c r="Q322" s="224">
        <v>396</v>
      </c>
      <c r="R322" s="182"/>
      <c r="U322" s="128"/>
    </row>
    <row r="323" spans="1:21" ht="30" x14ac:dyDescent="0.3">
      <c r="A323" s="53"/>
      <c r="B323" s="54"/>
      <c r="C323" s="54"/>
      <c r="D323" s="54"/>
      <c r="E323" s="55"/>
      <c r="F323" s="75"/>
      <c r="G323" s="76"/>
      <c r="H323" s="76"/>
      <c r="I323" s="48"/>
      <c r="J323" s="70"/>
      <c r="K323" s="70"/>
      <c r="L323" s="221" t="s">
        <v>1020</v>
      </c>
      <c r="M323" s="222" t="s">
        <v>102</v>
      </c>
      <c r="N323" s="221" t="s">
        <v>57</v>
      </c>
      <c r="O323" s="223">
        <v>7</v>
      </c>
      <c r="P323" s="224">
        <v>7.92</v>
      </c>
      <c r="Q323" s="224">
        <v>55.44</v>
      </c>
      <c r="R323" s="182"/>
      <c r="U323" s="128"/>
    </row>
    <row r="324" spans="1:21" ht="15.6" x14ac:dyDescent="0.3">
      <c r="A324" s="53"/>
      <c r="B324" s="54"/>
      <c r="C324" s="54"/>
      <c r="D324" s="54"/>
      <c r="E324" s="55"/>
      <c r="F324" s="75"/>
      <c r="G324" s="76"/>
      <c r="H324" s="76"/>
      <c r="I324" s="48"/>
      <c r="J324" s="70"/>
      <c r="K324" s="70"/>
      <c r="L324" s="221" t="s">
        <v>1426</v>
      </c>
      <c r="M324" s="222" t="s">
        <v>1448</v>
      </c>
      <c r="N324" s="221" t="s">
        <v>57</v>
      </c>
      <c r="O324" s="223">
        <v>1</v>
      </c>
      <c r="P324" s="224">
        <v>24.99</v>
      </c>
      <c r="Q324" s="224">
        <v>24.99</v>
      </c>
      <c r="R324" s="182"/>
      <c r="U324" s="128"/>
    </row>
    <row r="325" spans="1:21" ht="15.6" x14ac:dyDescent="0.3">
      <c r="A325" s="53"/>
      <c r="B325" s="54"/>
      <c r="C325" s="54"/>
      <c r="D325" s="54"/>
      <c r="E325" s="55"/>
      <c r="F325" s="75"/>
      <c r="G325" s="76"/>
      <c r="H325" s="76"/>
      <c r="I325" s="48"/>
      <c r="J325" s="70"/>
      <c r="K325" s="70"/>
      <c r="L325" s="221" t="s">
        <v>1433</v>
      </c>
      <c r="M325" s="222" t="s">
        <v>1455</v>
      </c>
      <c r="N325" s="221" t="s">
        <v>57</v>
      </c>
      <c r="O325" s="223">
        <v>1</v>
      </c>
      <c r="P325" s="224">
        <v>228</v>
      </c>
      <c r="Q325" s="224">
        <v>228</v>
      </c>
      <c r="R325" s="182"/>
      <c r="U325" s="128"/>
    </row>
    <row r="326" spans="1:21" ht="15.6" x14ac:dyDescent="0.3">
      <c r="A326" s="53"/>
      <c r="B326" s="54"/>
      <c r="C326" s="54"/>
      <c r="D326" s="54"/>
      <c r="E326" s="55"/>
      <c r="F326" s="75"/>
      <c r="G326" s="76"/>
      <c r="H326" s="76"/>
      <c r="I326" s="48"/>
      <c r="J326" s="70"/>
      <c r="K326" s="70"/>
      <c r="L326" s="221" t="s">
        <v>1181</v>
      </c>
      <c r="M326" s="222" t="s">
        <v>1264</v>
      </c>
      <c r="N326" s="221" t="s">
        <v>57</v>
      </c>
      <c r="O326" s="223">
        <v>0.8</v>
      </c>
      <c r="P326" s="224">
        <v>18.13</v>
      </c>
      <c r="Q326" s="224">
        <v>14.5</v>
      </c>
      <c r="R326" s="182"/>
      <c r="U326" s="128"/>
    </row>
    <row r="327" spans="1:21" ht="15.6" x14ac:dyDescent="0.3">
      <c r="A327" s="53"/>
      <c r="B327" s="54"/>
      <c r="C327" s="54"/>
      <c r="D327" s="54"/>
      <c r="E327" s="55"/>
      <c r="F327" s="75"/>
      <c r="G327" s="76"/>
      <c r="H327" s="76"/>
      <c r="I327" s="48"/>
      <c r="J327" s="70"/>
      <c r="K327" s="70"/>
      <c r="L327" s="221" t="s">
        <v>820</v>
      </c>
      <c r="M327" s="222" t="s">
        <v>821</v>
      </c>
      <c r="N327" s="221" t="s">
        <v>57</v>
      </c>
      <c r="O327" s="223">
        <v>130</v>
      </c>
      <c r="P327" s="224">
        <v>17.149999999999999</v>
      </c>
      <c r="Q327" s="225">
        <v>2229.5</v>
      </c>
      <c r="R327" s="182"/>
      <c r="U327" s="128"/>
    </row>
    <row r="328" spans="1:21" ht="15.6" x14ac:dyDescent="0.3">
      <c r="A328" s="53"/>
      <c r="B328" s="54"/>
      <c r="C328" s="54"/>
      <c r="D328" s="54"/>
      <c r="E328" s="55"/>
      <c r="F328" s="75"/>
      <c r="G328" s="76"/>
      <c r="H328" s="76"/>
      <c r="I328" s="48"/>
      <c r="J328" s="70"/>
      <c r="K328" s="70"/>
      <c r="L328" s="221" t="s">
        <v>822</v>
      </c>
      <c r="M328" s="222" t="s">
        <v>213</v>
      </c>
      <c r="N328" s="221" t="s">
        <v>57</v>
      </c>
      <c r="O328" s="223">
        <v>70</v>
      </c>
      <c r="P328" s="224">
        <v>36.24</v>
      </c>
      <c r="Q328" s="225">
        <v>2536.8000000000002</v>
      </c>
      <c r="R328" s="182"/>
      <c r="U328" s="128"/>
    </row>
    <row r="329" spans="1:21" ht="15.6" x14ac:dyDescent="0.3">
      <c r="A329" s="53"/>
      <c r="B329" s="54"/>
      <c r="C329" s="54"/>
      <c r="D329" s="54"/>
      <c r="E329" s="55"/>
      <c r="F329" s="75"/>
      <c r="G329" s="76"/>
      <c r="H329" s="76"/>
      <c r="I329" s="48"/>
      <c r="J329" s="70"/>
      <c r="K329" s="70"/>
      <c r="L329" s="221" t="s">
        <v>1182</v>
      </c>
      <c r="M329" s="222" t="s">
        <v>1265</v>
      </c>
      <c r="N329" s="221" t="s">
        <v>57</v>
      </c>
      <c r="O329" s="223">
        <v>115</v>
      </c>
      <c r="P329" s="224">
        <v>40.270000000000003</v>
      </c>
      <c r="Q329" s="225">
        <v>4631.05</v>
      </c>
      <c r="R329" s="182"/>
      <c r="U329" s="128"/>
    </row>
    <row r="330" spans="1:21" ht="15.6" x14ac:dyDescent="0.3">
      <c r="A330" s="53"/>
      <c r="B330" s="54"/>
      <c r="C330" s="54"/>
      <c r="D330" s="54"/>
      <c r="E330" s="55"/>
      <c r="F330" s="75"/>
      <c r="G330" s="76"/>
      <c r="H330" s="76"/>
      <c r="I330" s="48"/>
      <c r="J330" s="70"/>
      <c r="K330" s="70"/>
      <c r="L330" s="221" t="s">
        <v>1184</v>
      </c>
      <c r="M330" s="222" t="s">
        <v>1267</v>
      </c>
      <c r="N330" s="221" t="s">
        <v>57</v>
      </c>
      <c r="O330" s="223">
        <v>23</v>
      </c>
      <c r="P330" s="224">
        <v>28</v>
      </c>
      <c r="Q330" s="224">
        <v>644</v>
      </c>
      <c r="R330" s="182"/>
      <c r="U330" s="128"/>
    </row>
    <row r="331" spans="1:21" ht="15.6" x14ac:dyDescent="0.3">
      <c r="A331" s="53"/>
      <c r="B331" s="54"/>
      <c r="C331" s="54"/>
      <c r="D331" s="54"/>
      <c r="E331" s="55"/>
      <c r="F331" s="75"/>
      <c r="G331" s="76"/>
      <c r="H331" s="76"/>
      <c r="I331" s="48"/>
      <c r="J331" s="70"/>
      <c r="K331" s="70"/>
      <c r="L331" s="221" t="s">
        <v>913</v>
      </c>
      <c r="M331" s="222" t="s">
        <v>914</v>
      </c>
      <c r="N331" s="221" t="s">
        <v>57</v>
      </c>
      <c r="O331" s="223">
        <v>59</v>
      </c>
      <c r="P331" s="224">
        <v>28.61</v>
      </c>
      <c r="Q331" s="225">
        <v>1687.99</v>
      </c>
      <c r="R331" s="182"/>
      <c r="U331" s="128"/>
    </row>
    <row r="332" spans="1:21" ht="15.6" x14ac:dyDescent="0.3">
      <c r="A332" s="53"/>
      <c r="B332" s="54"/>
      <c r="C332" s="54"/>
      <c r="D332" s="54"/>
      <c r="E332" s="55"/>
      <c r="F332" s="75"/>
      <c r="G332" s="76"/>
      <c r="H332" s="76"/>
      <c r="I332" s="48"/>
      <c r="J332" s="70"/>
      <c r="K332" s="70"/>
      <c r="L332" s="221" t="s">
        <v>794</v>
      </c>
      <c r="M332" s="222" t="s">
        <v>795</v>
      </c>
      <c r="N332" s="221" t="s">
        <v>57</v>
      </c>
      <c r="O332" s="223">
        <v>216</v>
      </c>
      <c r="P332" s="224">
        <v>18.12</v>
      </c>
      <c r="Q332" s="225">
        <v>3913.92</v>
      </c>
      <c r="R332" s="182"/>
      <c r="U332" s="128"/>
    </row>
    <row r="333" spans="1:21" ht="15.6" x14ac:dyDescent="0.3">
      <c r="A333" s="53"/>
      <c r="B333" s="54"/>
      <c r="C333" s="54"/>
      <c r="D333" s="54"/>
      <c r="E333" s="55"/>
      <c r="F333" s="75"/>
      <c r="G333" s="76"/>
      <c r="H333" s="76"/>
      <c r="I333" s="48"/>
      <c r="J333" s="70"/>
      <c r="K333" s="70"/>
      <c r="L333" s="221" t="s">
        <v>1183</v>
      </c>
      <c r="M333" s="222" t="s">
        <v>1266</v>
      </c>
      <c r="N333" s="221" t="s">
        <v>57</v>
      </c>
      <c r="O333" s="223">
        <v>67</v>
      </c>
      <c r="P333" s="224">
        <v>20.38</v>
      </c>
      <c r="Q333" s="225">
        <v>1365.46</v>
      </c>
      <c r="R333" s="182"/>
      <c r="U333" s="128"/>
    </row>
    <row r="334" spans="1:21" ht="15.6" x14ac:dyDescent="0.3">
      <c r="A334" s="53"/>
      <c r="B334" s="54"/>
      <c r="C334" s="54"/>
      <c r="D334" s="54"/>
      <c r="E334" s="55"/>
      <c r="F334" s="75"/>
      <c r="G334" s="76"/>
      <c r="H334" s="76"/>
      <c r="I334" s="48"/>
      <c r="J334" s="70"/>
      <c r="K334" s="70"/>
      <c r="L334" s="221" t="s">
        <v>1021</v>
      </c>
      <c r="M334" s="222" t="s">
        <v>483</v>
      </c>
      <c r="N334" s="221" t="s">
        <v>57</v>
      </c>
      <c r="O334" s="223">
        <v>7</v>
      </c>
      <c r="P334" s="224">
        <v>48.77</v>
      </c>
      <c r="Q334" s="224">
        <v>341.37</v>
      </c>
      <c r="R334" s="182"/>
      <c r="U334" s="128"/>
    </row>
    <row r="335" spans="1:21" ht="15.6" x14ac:dyDescent="0.3">
      <c r="A335" s="53"/>
      <c r="B335" s="54"/>
      <c r="C335" s="54"/>
      <c r="D335" s="54"/>
      <c r="E335" s="55"/>
      <c r="F335" s="75"/>
      <c r="G335" s="76"/>
      <c r="H335" s="76"/>
      <c r="I335" s="48"/>
      <c r="J335" s="70"/>
      <c r="K335" s="70"/>
      <c r="L335" s="221" t="s">
        <v>1022</v>
      </c>
      <c r="M335" s="222" t="s">
        <v>178</v>
      </c>
      <c r="N335" s="221" t="s">
        <v>56</v>
      </c>
      <c r="O335" s="223">
        <v>5.0000000000000001E-3</v>
      </c>
      <c r="P335" s="225">
        <v>40804</v>
      </c>
      <c r="Q335" s="224">
        <v>204.02</v>
      </c>
      <c r="R335" s="182"/>
      <c r="U335" s="128"/>
    </row>
    <row r="336" spans="1:21" ht="15.6" x14ac:dyDescent="0.3">
      <c r="A336" s="53"/>
      <c r="B336" s="54"/>
      <c r="C336" s="54"/>
      <c r="D336" s="54"/>
      <c r="E336" s="55"/>
      <c r="F336" s="75"/>
      <c r="G336" s="76"/>
      <c r="H336" s="76"/>
      <c r="I336" s="48"/>
      <c r="J336" s="70"/>
      <c r="K336" s="70"/>
      <c r="L336" s="221" t="s">
        <v>1023</v>
      </c>
      <c r="M336" s="222" t="s">
        <v>70</v>
      </c>
      <c r="N336" s="221" t="s">
        <v>56</v>
      </c>
      <c r="O336" s="223">
        <v>0.1</v>
      </c>
      <c r="P336" s="225">
        <v>27143</v>
      </c>
      <c r="Q336" s="225">
        <v>2714.3</v>
      </c>
      <c r="R336" s="182"/>
      <c r="U336" s="128"/>
    </row>
    <row r="337" spans="1:21" ht="15.6" x14ac:dyDescent="0.3">
      <c r="A337" s="53"/>
      <c r="B337" s="54"/>
      <c r="C337" s="54"/>
      <c r="D337" s="54"/>
      <c r="E337" s="55"/>
      <c r="F337" s="75"/>
      <c r="G337" s="76"/>
      <c r="H337" s="76"/>
      <c r="I337" s="48"/>
      <c r="J337" s="70"/>
      <c r="K337" s="70"/>
      <c r="L337" s="221" t="s">
        <v>1024</v>
      </c>
      <c r="M337" s="222" t="s">
        <v>71</v>
      </c>
      <c r="N337" s="221" t="s">
        <v>56</v>
      </c>
      <c r="O337" s="223">
        <v>0.1</v>
      </c>
      <c r="P337" s="225">
        <v>43560</v>
      </c>
      <c r="Q337" s="225">
        <v>4356</v>
      </c>
      <c r="R337" s="182"/>
      <c r="U337" s="128"/>
    </row>
    <row r="338" spans="1:21" ht="15.6" x14ac:dyDescent="0.3">
      <c r="A338" s="53"/>
      <c r="B338" s="54"/>
      <c r="C338" s="54"/>
      <c r="D338" s="54"/>
      <c r="E338" s="55"/>
      <c r="F338" s="75"/>
      <c r="G338" s="76"/>
      <c r="H338" s="76"/>
      <c r="I338" s="48"/>
      <c r="J338" s="70"/>
      <c r="K338" s="70"/>
      <c r="L338" s="221" t="s">
        <v>1025</v>
      </c>
      <c r="M338" s="222" t="s">
        <v>72</v>
      </c>
      <c r="N338" s="221" t="s">
        <v>56</v>
      </c>
      <c r="O338" s="223">
        <v>2.4E-2</v>
      </c>
      <c r="P338" s="225">
        <v>67490</v>
      </c>
      <c r="Q338" s="225">
        <v>1619.76</v>
      </c>
      <c r="R338" s="182"/>
      <c r="U338" s="128"/>
    </row>
    <row r="339" spans="1:21" ht="15.6" x14ac:dyDescent="0.3">
      <c r="A339" s="53"/>
      <c r="B339" s="54"/>
      <c r="C339" s="54"/>
      <c r="D339" s="54"/>
      <c r="E339" s="55"/>
      <c r="F339" s="75"/>
      <c r="G339" s="76"/>
      <c r="H339" s="76"/>
      <c r="I339" s="48"/>
      <c r="J339" s="70"/>
      <c r="K339" s="70"/>
      <c r="L339" s="221" t="s">
        <v>1027</v>
      </c>
      <c r="M339" s="222" t="s">
        <v>803</v>
      </c>
      <c r="N339" s="221" t="s">
        <v>45</v>
      </c>
      <c r="O339" s="223">
        <v>34</v>
      </c>
      <c r="P339" s="224">
        <v>399.17</v>
      </c>
      <c r="Q339" s="225">
        <v>13571.78</v>
      </c>
      <c r="R339" s="182"/>
      <c r="U339" s="128"/>
    </row>
    <row r="340" spans="1:21" ht="15.6" x14ac:dyDescent="0.3">
      <c r="A340" s="53"/>
      <c r="B340" s="54"/>
      <c r="C340" s="54"/>
      <c r="D340" s="54"/>
      <c r="E340" s="55"/>
      <c r="F340" s="75"/>
      <c r="G340" s="76"/>
      <c r="H340" s="76"/>
      <c r="I340" s="48"/>
      <c r="J340" s="70"/>
      <c r="K340" s="70"/>
      <c r="L340" s="221" t="s">
        <v>1185</v>
      </c>
      <c r="M340" s="222" t="s">
        <v>1268</v>
      </c>
      <c r="N340" s="221" t="s">
        <v>45</v>
      </c>
      <c r="O340" s="223">
        <v>5</v>
      </c>
      <c r="P340" s="224">
        <v>226</v>
      </c>
      <c r="Q340" s="225">
        <v>1130</v>
      </c>
      <c r="R340" s="182"/>
      <c r="U340" s="128"/>
    </row>
    <row r="341" spans="1:21" ht="15.6" x14ac:dyDescent="0.3">
      <c r="A341" s="53"/>
      <c r="B341" s="54"/>
      <c r="C341" s="54"/>
      <c r="D341" s="54"/>
      <c r="E341" s="55"/>
      <c r="F341" s="75"/>
      <c r="G341" s="76"/>
      <c r="H341" s="76"/>
      <c r="I341" s="48"/>
      <c r="J341" s="70"/>
      <c r="K341" s="70"/>
      <c r="L341" s="221" t="s">
        <v>746</v>
      </c>
      <c r="M341" s="222" t="s">
        <v>895</v>
      </c>
      <c r="N341" s="221" t="s">
        <v>45</v>
      </c>
      <c r="O341" s="223">
        <v>18</v>
      </c>
      <c r="P341" s="224">
        <v>296</v>
      </c>
      <c r="Q341" s="225">
        <v>5328</v>
      </c>
      <c r="R341" s="182"/>
      <c r="U341" s="128"/>
    </row>
    <row r="342" spans="1:21" ht="15.6" x14ac:dyDescent="0.3">
      <c r="A342" s="53"/>
      <c r="B342" s="54"/>
      <c r="C342" s="54"/>
      <c r="D342" s="54"/>
      <c r="E342" s="55"/>
      <c r="F342" s="75"/>
      <c r="G342" s="76"/>
      <c r="H342" s="76"/>
      <c r="I342" s="48"/>
      <c r="J342" s="70"/>
      <c r="K342" s="70"/>
      <c r="L342" s="221" t="s">
        <v>1186</v>
      </c>
      <c r="M342" s="222" t="s">
        <v>1269</v>
      </c>
      <c r="N342" s="221" t="s">
        <v>45</v>
      </c>
      <c r="O342" s="223">
        <v>11</v>
      </c>
      <c r="P342" s="224">
        <v>486.48</v>
      </c>
      <c r="Q342" s="225">
        <v>5351.28</v>
      </c>
      <c r="R342" s="182"/>
      <c r="U342" s="128"/>
    </row>
    <row r="343" spans="1:21" ht="15.6" x14ac:dyDescent="0.3">
      <c r="A343" s="53"/>
      <c r="B343" s="54"/>
      <c r="C343" s="54"/>
      <c r="D343" s="54"/>
      <c r="E343" s="55"/>
      <c r="F343" s="75"/>
      <c r="G343" s="76"/>
      <c r="H343" s="76"/>
      <c r="I343" s="48"/>
      <c r="J343" s="70"/>
      <c r="K343" s="70"/>
      <c r="L343" s="221" t="s">
        <v>1187</v>
      </c>
      <c r="M343" s="222" t="s">
        <v>1270</v>
      </c>
      <c r="N343" s="221" t="s">
        <v>45</v>
      </c>
      <c r="O343" s="223">
        <v>1.1819999999999999</v>
      </c>
      <c r="P343" s="224">
        <v>150.16999999999999</v>
      </c>
      <c r="Q343" s="224">
        <v>177.5</v>
      </c>
      <c r="R343" s="182"/>
      <c r="U343" s="128"/>
    </row>
    <row r="344" spans="1:21" ht="15.6" x14ac:dyDescent="0.3">
      <c r="A344" s="53"/>
      <c r="B344" s="54"/>
      <c r="C344" s="54"/>
      <c r="D344" s="54"/>
      <c r="E344" s="55"/>
      <c r="F344" s="75"/>
      <c r="G344" s="76"/>
      <c r="H344" s="76"/>
      <c r="I344" s="48"/>
      <c r="J344" s="70"/>
      <c r="K344" s="70"/>
      <c r="L344" s="221" t="s">
        <v>1030</v>
      </c>
      <c r="M344" s="222" t="s">
        <v>1078</v>
      </c>
      <c r="N344" s="221" t="s">
        <v>214</v>
      </c>
      <c r="O344" s="223">
        <v>0.36499999999999999</v>
      </c>
      <c r="P344" s="225">
        <v>9590</v>
      </c>
      <c r="Q344" s="225">
        <v>3500.35</v>
      </c>
      <c r="R344" s="182"/>
      <c r="U344" s="128"/>
    </row>
    <row r="345" spans="1:21" ht="15.6" x14ac:dyDescent="0.3">
      <c r="A345" s="53"/>
      <c r="B345" s="54"/>
      <c r="C345" s="54"/>
      <c r="D345" s="54"/>
      <c r="E345" s="55"/>
      <c r="F345" s="75"/>
      <c r="G345" s="76"/>
      <c r="H345" s="76"/>
      <c r="I345" s="48"/>
      <c r="J345" s="70"/>
      <c r="K345" s="70"/>
      <c r="L345" s="221" t="s">
        <v>1188</v>
      </c>
      <c r="M345" s="222" t="s">
        <v>1271</v>
      </c>
      <c r="N345" s="221" t="s">
        <v>214</v>
      </c>
      <c r="O345" s="223">
        <v>0.09</v>
      </c>
      <c r="P345" s="225">
        <v>14916.11</v>
      </c>
      <c r="Q345" s="225">
        <v>1342.45</v>
      </c>
      <c r="R345" s="182"/>
      <c r="U345" s="128"/>
    </row>
    <row r="346" spans="1:21" ht="15.6" x14ac:dyDescent="0.3">
      <c r="A346" s="53"/>
      <c r="B346" s="54"/>
      <c r="C346" s="54"/>
      <c r="D346" s="54"/>
      <c r="E346" s="55"/>
      <c r="F346" s="75"/>
      <c r="G346" s="76"/>
      <c r="H346" s="76"/>
      <c r="I346" s="48"/>
      <c r="J346" s="70"/>
      <c r="K346" s="70"/>
      <c r="L346" s="221" t="s">
        <v>1029</v>
      </c>
      <c r="M346" s="222" t="s">
        <v>1077</v>
      </c>
      <c r="N346" s="221" t="s">
        <v>214</v>
      </c>
      <c r="O346" s="223">
        <v>9.6000000000000002E-2</v>
      </c>
      <c r="P346" s="225">
        <v>10651.35</v>
      </c>
      <c r="Q346" s="225">
        <v>1022.53</v>
      </c>
      <c r="R346" s="182"/>
      <c r="U346" s="128"/>
    </row>
    <row r="347" spans="1:21" ht="15.6" x14ac:dyDescent="0.3">
      <c r="A347" s="53"/>
      <c r="B347" s="54"/>
      <c r="C347" s="54"/>
      <c r="D347" s="54"/>
      <c r="E347" s="55"/>
      <c r="F347" s="75"/>
      <c r="G347" s="76"/>
      <c r="H347" s="76"/>
      <c r="I347" s="48"/>
      <c r="J347" s="70"/>
      <c r="K347" s="70"/>
      <c r="L347" s="221" t="s">
        <v>893</v>
      </c>
      <c r="M347" s="222" t="s">
        <v>894</v>
      </c>
      <c r="N347" s="221" t="s">
        <v>214</v>
      </c>
      <c r="O347" s="223">
        <v>0.4</v>
      </c>
      <c r="P347" s="225">
        <v>10760</v>
      </c>
      <c r="Q347" s="225">
        <v>4304</v>
      </c>
      <c r="R347" s="182"/>
      <c r="U347" s="128"/>
    </row>
    <row r="348" spans="1:21" ht="15.6" x14ac:dyDescent="0.3">
      <c r="A348" s="53"/>
      <c r="B348" s="54"/>
      <c r="C348" s="54"/>
      <c r="D348" s="54"/>
      <c r="E348" s="55"/>
      <c r="F348" s="75"/>
      <c r="G348" s="76"/>
      <c r="H348" s="76"/>
      <c r="I348" s="48"/>
      <c r="J348" s="70"/>
      <c r="K348" s="70"/>
      <c r="L348" s="221" t="s">
        <v>1416</v>
      </c>
      <c r="M348" s="222" t="s">
        <v>1439</v>
      </c>
      <c r="N348" s="221" t="s">
        <v>39</v>
      </c>
      <c r="O348" s="223">
        <v>2.1999999999999999E-2</v>
      </c>
      <c r="P348" s="225">
        <v>21598.18</v>
      </c>
      <c r="Q348" s="224">
        <v>475.16</v>
      </c>
      <c r="R348" s="182"/>
      <c r="U348" s="128"/>
    </row>
    <row r="349" spans="1:21" ht="15.6" x14ac:dyDescent="0.3">
      <c r="A349" s="53"/>
      <c r="B349" s="54"/>
      <c r="C349" s="54"/>
      <c r="D349" s="54"/>
      <c r="E349" s="55"/>
      <c r="F349" s="75"/>
      <c r="G349" s="76"/>
      <c r="H349" s="76"/>
      <c r="I349" s="48"/>
      <c r="J349" s="70"/>
      <c r="K349" s="70"/>
      <c r="L349" s="221" t="s">
        <v>1415</v>
      </c>
      <c r="M349" s="222" t="s">
        <v>1438</v>
      </c>
      <c r="N349" s="221" t="s">
        <v>39</v>
      </c>
      <c r="O349" s="223">
        <v>0.2</v>
      </c>
      <c r="P349" s="225">
        <v>32286.05</v>
      </c>
      <c r="Q349" s="225">
        <v>6457.21</v>
      </c>
      <c r="R349" s="182"/>
      <c r="U349" s="128"/>
    </row>
    <row r="350" spans="1:21" ht="15.6" x14ac:dyDescent="0.3">
      <c r="A350" s="53"/>
      <c r="B350" s="54"/>
      <c r="C350" s="54"/>
      <c r="D350" s="54"/>
      <c r="E350" s="55"/>
      <c r="F350" s="75"/>
      <c r="G350" s="76"/>
      <c r="H350" s="76"/>
      <c r="I350" s="48"/>
      <c r="J350" s="70"/>
      <c r="K350" s="70"/>
      <c r="L350" s="221" t="s">
        <v>1850</v>
      </c>
      <c r="M350" s="222" t="s">
        <v>1851</v>
      </c>
      <c r="N350" s="221" t="s">
        <v>39</v>
      </c>
      <c r="O350" s="223">
        <v>1</v>
      </c>
      <c r="P350" s="225">
        <v>3185</v>
      </c>
      <c r="Q350" s="225">
        <v>3185</v>
      </c>
      <c r="R350" s="182"/>
      <c r="U350" s="128"/>
    </row>
    <row r="351" spans="1:21" ht="15.6" x14ac:dyDescent="0.3">
      <c r="A351" s="53"/>
      <c r="B351" s="54"/>
      <c r="C351" s="54"/>
      <c r="D351" s="54"/>
      <c r="E351" s="55"/>
      <c r="F351" s="75"/>
      <c r="G351" s="76"/>
      <c r="H351" s="76"/>
      <c r="I351" s="48"/>
      <c r="J351" s="70"/>
      <c r="K351" s="70"/>
      <c r="L351" s="221" t="s">
        <v>1382</v>
      </c>
      <c r="M351" s="222" t="s">
        <v>1410</v>
      </c>
      <c r="N351" s="221" t="s">
        <v>39</v>
      </c>
      <c r="O351" s="223">
        <v>1.4E-2</v>
      </c>
      <c r="P351" s="225">
        <v>35795</v>
      </c>
      <c r="Q351" s="224">
        <v>501.13</v>
      </c>
      <c r="R351" s="182"/>
      <c r="U351" s="128"/>
    </row>
    <row r="352" spans="1:21" ht="15.6" x14ac:dyDescent="0.3">
      <c r="A352" s="53"/>
      <c r="B352" s="54"/>
      <c r="C352" s="54"/>
      <c r="D352" s="54"/>
      <c r="E352" s="55"/>
      <c r="F352" s="75"/>
      <c r="G352" s="76"/>
      <c r="H352" s="76"/>
      <c r="I352" s="48"/>
      <c r="J352" s="70"/>
      <c r="K352" s="70"/>
      <c r="L352" s="221" t="s">
        <v>1423</v>
      </c>
      <c r="M352" s="222" t="s">
        <v>1446</v>
      </c>
      <c r="N352" s="221" t="s">
        <v>39</v>
      </c>
      <c r="O352" s="223">
        <v>5.8999999999999997E-2</v>
      </c>
      <c r="P352" s="225">
        <v>31816.95</v>
      </c>
      <c r="Q352" s="225">
        <v>1877.2</v>
      </c>
      <c r="R352" s="182"/>
      <c r="U352" s="128"/>
    </row>
    <row r="353" spans="1:21" ht="15.6" x14ac:dyDescent="0.3">
      <c r="A353" s="53"/>
      <c r="B353" s="54"/>
      <c r="C353" s="54"/>
      <c r="D353" s="54"/>
      <c r="E353" s="55"/>
      <c r="F353" s="75"/>
      <c r="G353" s="76"/>
      <c r="H353" s="76"/>
      <c r="I353" s="48"/>
      <c r="J353" s="70"/>
      <c r="K353" s="70"/>
      <c r="L353" s="221" t="s">
        <v>1424</v>
      </c>
      <c r="M353" s="222" t="s">
        <v>228</v>
      </c>
      <c r="N353" s="221" t="s">
        <v>39</v>
      </c>
      <c r="O353" s="223">
        <v>0.03</v>
      </c>
      <c r="P353" s="225">
        <v>36066.33</v>
      </c>
      <c r="Q353" s="225">
        <v>1081.99</v>
      </c>
      <c r="R353" s="182"/>
      <c r="U353" s="128"/>
    </row>
    <row r="354" spans="1:21" ht="15.6" x14ac:dyDescent="0.3">
      <c r="A354" s="53"/>
      <c r="B354" s="54"/>
      <c r="C354" s="54"/>
      <c r="D354" s="54"/>
      <c r="E354" s="55"/>
      <c r="F354" s="75"/>
      <c r="G354" s="76"/>
      <c r="H354" s="76"/>
      <c r="I354" s="48"/>
      <c r="J354" s="70"/>
      <c r="K354" s="70"/>
      <c r="L354" s="221" t="s">
        <v>1847</v>
      </c>
      <c r="M354" s="222" t="s">
        <v>1849</v>
      </c>
      <c r="N354" s="221" t="s">
        <v>39</v>
      </c>
      <c r="O354" s="223">
        <v>0.01</v>
      </c>
      <c r="P354" s="225">
        <v>34578</v>
      </c>
      <c r="Q354" s="224">
        <v>345.78</v>
      </c>
      <c r="R354" s="182"/>
      <c r="U354" s="128"/>
    </row>
    <row r="355" spans="1:21" ht="15.6" x14ac:dyDescent="0.3">
      <c r="A355" s="53"/>
      <c r="B355" s="54"/>
      <c r="C355" s="54"/>
      <c r="D355" s="54"/>
      <c r="E355" s="55"/>
      <c r="F355" s="75"/>
      <c r="G355" s="76"/>
      <c r="H355" s="76"/>
      <c r="I355" s="48"/>
      <c r="J355" s="70"/>
      <c r="K355" s="70"/>
      <c r="L355" s="221" t="s">
        <v>1031</v>
      </c>
      <c r="M355" s="222" t="s">
        <v>834</v>
      </c>
      <c r="N355" s="221" t="s">
        <v>39</v>
      </c>
      <c r="O355" s="223">
        <v>0.113</v>
      </c>
      <c r="P355" s="225">
        <v>37211.33</v>
      </c>
      <c r="Q355" s="225">
        <v>4204.88</v>
      </c>
      <c r="R355" s="182"/>
      <c r="U355" s="128"/>
    </row>
    <row r="356" spans="1:21" ht="15.6" x14ac:dyDescent="0.3">
      <c r="A356" s="53"/>
      <c r="B356" s="54"/>
      <c r="C356" s="54"/>
      <c r="D356" s="54"/>
      <c r="E356" s="55"/>
      <c r="F356" s="75"/>
      <c r="G356" s="76"/>
      <c r="H356" s="76"/>
      <c r="I356" s="48"/>
      <c r="J356" s="70"/>
      <c r="K356" s="70"/>
      <c r="L356" s="221" t="s">
        <v>1316</v>
      </c>
      <c r="M356" s="222" t="s">
        <v>1350</v>
      </c>
      <c r="N356" s="221" t="s">
        <v>39</v>
      </c>
      <c r="O356" s="223">
        <v>1.2999999999999999E-2</v>
      </c>
      <c r="P356" s="225">
        <v>31616.92</v>
      </c>
      <c r="Q356" s="224">
        <v>411.02</v>
      </c>
      <c r="R356" s="182"/>
      <c r="U356" s="128"/>
    </row>
    <row r="357" spans="1:21" ht="15.6" x14ac:dyDescent="0.3">
      <c r="A357" s="53"/>
      <c r="B357" s="54"/>
      <c r="C357" s="54"/>
      <c r="D357" s="54"/>
      <c r="E357" s="55"/>
      <c r="F357" s="75"/>
      <c r="G357" s="76"/>
      <c r="H357" s="76"/>
      <c r="I357" s="48"/>
      <c r="J357" s="70"/>
      <c r="K357" s="70"/>
      <c r="L357" s="221"/>
      <c r="M357" s="222"/>
      <c r="N357" s="221"/>
      <c r="O357" s="223"/>
      <c r="P357" s="225"/>
      <c r="Q357" s="225"/>
      <c r="R357" s="182"/>
      <c r="U357" s="128"/>
    </row>
    <row r="358" spans="1:21" ht="15.6" x14ac:dyDescent="0.3">
      <c r="A358" s="53"/>
      <c r="B358" s="54"/>
      <c r="C358" s="54"/>
      <c r="D358" s="54"/>
      <c r="E358" s="55"/>
      <c r="F358" s="75"/>
      <c r="G358" s="76"/>
      <c r="H358" s="76"/>
      <c r="I358" s="48"/>
      <c r="J358" s="70"/>
      <c r="K358" s="70"/>
      <c r="L358" s="221"/>
      <c r="M358" s="222"/>
      <c r="N358" s="221"/>
      <c r="O358" s="223"/>
      <c r="P358" s="224"/>
      <c r="Q358" s="225"/>
      <c r="R358" s="182"/>
      <c r="U358" s="128"/>
    </row>
    <row r="359" spans="1:21" ht="18.600000000000001" thickBot="1" x14ac:dyDescent="0.35">
      <c r="A359" s="202"/>
      <c r="B359" s="203"/>
      <c r="C359" s="204"/>
      <c r="D359" s="205"/>
      <c r="E359" s="205"/>
      <c r="F359" s="165"/>
      <c r="G359" s="166"/>
      <c r="H359" s="166"/>
      <c r="I359" s="206"/>
      <c r="J359" s="206"/>
      <c r="K359" s="206"/>
      <c r="L359" s="207"/>
      <c r="M359" s="208"/>
      <c r="N359" s="207"/>
      <c r="O359" s="209"/>
      <c r="P359" s="210"/>
      <c r="Q359" s="210"/>
      <c r="R359" s="211"/>
      <c r="T359" s="4"/>
      <c r="U359" s="128"/>
    </row>
    <row r="360" spans="1:21" ht="18.600000000000001" thickBot="1" x14ac:dyDescent="0.35">
      <c r="A360" s="251"/>
      <c r="B360" s="252"/>
      <c r="C360" s="253"/>
      <c r="D360" s="254"/>
      <c r="E360" s="254"/>
      <c r="F360" s="234"/>
      <c r="G360" s="235"/>
      <c r="H360" s="235"/>
      <c r="I360" s="255"/>
      <c r="J360" s="255"/>
      <c r="K360" s="255"/>
      <c r="L360" s="256"/>
      <c r="M360" s="257"/>
      <c r="N360" s="256"/>
      <c r="O360" s="258"/>
      <c r="P360" s="259"/>
      <c r="Q360" s="260">
        <f>SUM(Q19:Q359)</f>
        <v>568091.43000000005</v>
      </c>
      <c r="R360" s="35"/>
      <c r="T360" s="4"/>
      <c r="U360" s="128"/>
    </row>
    <row r="361" spans="1:21" ht="18" x14ac:dyDescent="0.3">
      <c r="A361" s="216"/>
      <c r="B361" s="203"/>
      <c r="C361" s="217"/>
      <c r="D361" s="218"/>
      <c r="E361" s="218"/>
      <c r="F361" s="165"/>
      <c r="G361" s="166"/>
      <c r="H361" s="166"/>
      <c r="I361" s="219"/>
      <c r="J361" s="219"/>
      <c r="K361" s="219"/>
      <c r="L361" s="221" t="s">
        <v>1459</v>
      </c>
      <c r="M361" s="222" t="s">
        <v>1538</v>
      </c>
      <c r="N361" s="221" t="s">
        <v>34</v>
      </c>
      <c r="O361" s="223">
        <v>1</v>
      </c>
      <c r="P361" s="224">
        <v>554.5</v>
      </c>
      <c r="Q361" s="224">
        <v>554.5</v>
      </c>
      <c r="R361" s="266"/>
      <c r="T361" s="4"/>
      <c r="U361" s="128"/>
    </row>
    <row r="362" spans="1:21" ht="18" x14ac:dyDescent="0.3">
      <c r="A362" s="216"/>
      <c r="B362" s="203"/>
      <c r="C362" s="217"/>
      <c r="D362" s="218"/>
      <c r="E362" s="218"/>
      <c r="F362" s="165"/>
      <c r="G362" s="166"/>
      <c r="H362" s="166"/>
      <c r="I362" s="219"/>
      <c r="J362" s="219"/>
      <c r="K362" s="219"/>
      <c r="L362" s="221" t="s">
        <v>1460</v>
      </c>
      <c r="M362" s="222" t="s">
        <v>1539</v>
      </c>
      <c r="N362" s="221" t="s">
        <v>34</v>
      </c>
      <c r="O362" s="223">
        <v>1</v>
      </c>
      <c r="P362" s="224">
        <v>16.600000000000001</v>
      </c>
      <c r="Q362" s="224">
        <v>16.600000000000001</v>
      </c>
      <c r="R362" s="266"/>
      <c r="T362" s="4"/>
      <c r="U362" s="128"/>
    </row>
    <row r="363" spans="1:21" ht="18" x14ac:dyDescent="0.3">
      <c r="A363" s="216"/>
      <c r="B363" s="203"/>
      <c r="C363" s="217"/>
      <c r="D363" s="218"/>
      <c r="E363" s="218"/>
      <c r="F363" s="165"/>
      <c r="G363" s="166"/>
      <c r="H363" s="166"/>
      <c r="I363" s="219"/>
      <c r="J363" s="219"/>
      <c r="K363" s="219"/>
      <c r="L363" s="221" t="s">
        <v>1461</v>
      </c>
      <c r="M363" s="222" t="s">
        <v>1540</v>
      </c>
      <c r="N363" s="221" t="s">
        <v>34</v>
      </c>
      <c r="O363" s="223">
        <v>2</v>
      </c>
      <c r="P363" s="224">
        <v>232.5</v>
      </c>
      <c r="Q363" s="224">
        <v>465</v>
      </c>
      <c r="R363" s="266"/>
      <c r="T363" s="4"/>
      <c r="U363" s="128"/>
    </row>
    <row r="364" spans="1:21" ht="30" x14ac:dyDescent="0.3">
      <c r="A364" s="216"/>
      <c r="B364" s="203"/>
      <c r="C364" s="217"/>
      <c r="D364" s="218"/>
      <c r="E364" s="218"/>
      <c r="F364" s="165"/>
      <c r="G364" s="166"/>
      <c r="H364" s="166"/>
      <c r="I364" s="219"/>
      <c r="J364" s="219"/>
      <c r="K364" s="219"/>
      <c r="L364" s="221" t="s">
        <v>1463</v>
      </c>
      <c r="M364" s="222" t="s">
        <v>1542</v>
      </c>
      <c r="N364" s="221" t="s">
        <v>34</v>
      </c>
      <c r="O364" s="223">
        <v>1</v>
      </c>
      <c r="P364" s="224">
        <v>124.92</v>
      </c>
      <c r="Q364" s="224">
        <v>124.92</v>
      </c>
      <c r="R364" s="266"/>
      <c r="T364" s="4"/>
      <c r="U364" s="128"/>
    </row>
    <row r="365" spans="1:21" ht="18" x14ac:dyDescent="0.3">
      <c r="A365" s="216"/>
      <c r="B365" s="203"/>
      <c r="C365" s="217"/>
      <c r="D365" s="218"/>
      <c r="E365" s="218"/>
      <c r="F365" s="165"/>
      <c r="G365" s="166"/>
      <c r="H365" s="166"/>
      <c r="I365" s="219"/>
      <c r="J365" s="219"/>
      <c r="K365" s="219"/>
      <c r="L365" s="221" t="s">
        <v>1464</v>
      </c>
      <c r="M365" s="222" t="s">
        <v>1543</v>
      </c>
      <c r="N365" s="221" t="s">
        <v>34</v>
      </c>
      <c r="O365" s="223">
        <v>5</v>
      </c>
      <c r="P365" s="224">
        <v>86.7</v>
      </c>
      <c r="Q365" s="224">
        <v>433.5</v>
      </c>
      <c r="R365" s="266"/>
      <c r="T365" s="4"/>
      <c r="U365" s="128"/>
    </row>
    <row r="366" spans="1:21" ht="18" x14ac:dyDescent="0.3">
      <c r="A366" s="216"/>
      <c r="B366" s="203"/>
      <c r="C366" s="217"/>
      <c r="D366" s="218"/>
      <c r="E366" s="218"/>
      <c r="F366" s="165"/>
      <c r="G366" s="166"/>
      <c r="H366" s="166"/>
      <c r="I366" s="219"/>
      <c r="J366" s="219"/>
      <c r="K366" s="219"/>
      <c r="L366" s="221" t="s">
        <v>1465</v>
      </c>
      <c r="M366" s="222" t="s">
        <v>1544</v>
      </c>
      <c r="N366" s="221" t="s">
        <v>34</v>
      </c>
      <c r="O366" s="223">
        <v>1</v>
      </c>
      <c r="P366" s="224">
        <v>68.33</v>
      </c>
      <c r="Q366" s="224">
        <v>68.33</v>
      </c>
      <c r="R366" s="266"/>
      <c r="T366" s="4"/>
      <c r="U366" s="128"/>
    </row>
    <row r="367" spans="1:21" ht="18" x14ac:dyDescent="0.3">
      <c r="A367" s="216"/>
      <c r="B367" s="203"/>
      <c r="C367" s="217"/>
      <c r="D367" s="218"/>
      <c r="E367" s="218"/>
      <c r="F367" s="165"/>
      <c r="G367" s="166"/>
      <c r="H367" s="166"/>
      <c r="I367" s="219"/>
      <c r="J367" s="219"/>
      <c r="K367" s="219"/>
      <c r="L367" s="221" t="s">
        <v>1466</v>
      </c>
      <c r="M367" s="222" t="s">
        <v>1545</v>
      </c>
      <c r="N367" s="221" t="s">
        <v>34</v>
      </c>
      <c r="O367" s="223">
        <v>1</v>
      </c>
      <c r="P367" s="224">
        <v>966.39</v>
      </c>
      <c r="Q367" s="224">
        <v>966.39</v>
      </c>
      <c r="R367" s="266"/>
      <c r="T367" s="4"/>
      <c r="U367" s="128"/>
    </row>
    <row r="368" spans="1:21" ht="18" x14ac:dyDescent="0.3">
      <c r="A368" s="216"/>
      <c r="B368" s="203"/>
      <c r="C368" s="217"/>
      <c r="D368" s="218"/>
      <c r="E368" s="218"/>
      <c r="F368" s="165"/>
      <c r="G368" s="166"/>
      <c r="H368" s="166"/>
      <c r="I368" s="219"/>
      <c r="J368" s="219"/>
      <c r="K368" s="219"/>
      <c r="L368" s="221" t="s">
        <v>1470</v>
      </c>
      <c r="M368" s="222" t="s">
        <v>1549</v>
      </c>
      <c r="N368" s="221" t="s">
        <v>34</v>
      </c>
      <c r="O368" s="223">
        <v>2</v>
      </c>
      <c r="P368" s="224">
        <v>121.67</v>
      </c>
      <c r="Q368" s="224">
        <v>243.34</v>
      </c>
      <c r="R368" s="266"/>
      <c r="T368" s="4"/>
      <c r="U368" s="128"/>
    </row>
    <row r="369" spans="1:21" ht="18" x14ac:dyDescent="0.3">
      <c r="A369" s="216"/>
      <c r="B369" s="203"/>
      <c r="C369" s="217"/>
      <c r="D369" s="218"/>
      <c r="E369" s="218"/>
      <c r="F369" s="165"/>
      <c r="G369" s="166"/>
      <c r="H369" s="166"/>
      <c r="I369" s="219"/>
      <c r="J369" s="219"/>
      <c r="K369" s="219"/>
      <c r="L369" s="221" t="s">
        <v>1471</v>
      </c>
      <c r="M369" s="222" t="s">
        <v>1550</v>
      </c>
      <c r="N369" s="221" t="s">
        <v>34</v>
      </c>
      <c r="O369" s="226">
        <v>1809</v>
      </c>
      <c r="P369" s="224">
        <v>0.11</v>
      </c>
      <c r="Q369" s="224">
        <v>193.56</v>
      </c>
      <c r="R369" s="266"/>
      <c r="T369" s="4"/>
      <c r="U369" s="128"/>
    </row>
    <row r="370" spans="1:21" ht="18" x14ac:dyDescent="0.3">
      <c r="A370" s="216"/>
      <c r="B370" s="203"/>
      <c r="C370" s="217"/>
      <c r="D370" s="218"/>
      <c r="E370" s="218"/>
      <c r="F370" s="165"/>
      <c r="G370" s="166"/>
      <c r="H370" s="166"/>
      <c r="I370" s="219"/>
      <c r="J370" s="219"/>
      <c r="K370" s="219"/>
      <c r="L370" s="221" t="s">
        <v>625</v>
      </c>
      <c r="M370" s="222" t="s">
        <v>136</v>
      </c>
      <c r="N370" s="221" t="s">
        <v>34</v>
      </c>
      <c r="O370" s="223">
        <v>5</v>
      </c>
      <c r="P370" s="224">
        <v>28.58</v>
      </c>
      <c r="Q370" s="224">
        <v>142.91999999999999</v>
      </c>
      <c r="R370" s="266"/>
      <c r="T370" s="4"/>
      <c r="U370" s="128"/>
    </row>
    <row r="371" spans="1:21" ht="18" x14ac:dyDescent="0.3">
      <c r="A371" s="216"/>
      <c r="B371" s="203"/>
      <c r="C371" s="217"/>
      <c r="D371" s="218"/>
      <c r="E371" s="218"/>
      <c r="F371" s="165"/>
      <c r="G371" s="166"/>
      <c r="H371" s="166"/>
      <c r="I371" s="219"/>
      <c r="J371" s="219"/>
      <c r="K371" s="219"/>
      <c r="L371" s="221" t="s">
        <v>682</v>
      </c>
      <c r="M371" s="222" t="s">
        <v>683</v>
      </c>
      <c r="N371" s="221" t="s">
        <v>34</v>
      </c>
      <c r="O371" s="223">
        <v>1</v>
      </c>
      <c r="P371" s="224">
        <v>21.5</v>
      </c>
      <c r="Q371" s="224">
        <v>21.5</v>
      </c>
      <c r="R371" s="266"/>
      <c r="T371" s="4"/>
      <c r="U371" s="128"/>
    </row>
    <row r="372" spans="1:21" ht="18" x14ac:dyDescent="0.3">
      <c r="A372" s="216"/>
      <c r="B372" s="203"/>
      <c r="C372" s="217"/>
      <c r="D372" s="218"/>
      <c r="E372" s="218"/>
      <c r="F372" s="165"/>
      <c r="G372" s="166"/>
      <c r="H372" s="166"/>
      <c r="I372" s="219"/>
      <c r="J372" s="219"/>
      <c r="K372" s="219"/>
      <c r="L372" s="221" t="s">
        <v>698</v>
      </c>
      <c r="M372" s="222" t="s">
        <v>97</v>
      </c>
      <c r="N372" s="221" t="s">
        <v>34</v>
      </c>
      <c r="O372" s="226">
        <v>3266</v>
      </c>
      <c r="P372" s="224">
        <v>0.11</v>
      </c>
      <c r="Q372" s="224">
        <v>349.47</v>
      </c>
      <c r="R372" s="266"/>
      <c r="T372" s="4"/>
      <c r="U372" s="128"/>
    </row>
    <row r="373" spans="1:21" ht="18" x14ac:dyDescent="0.3">
      <c r="A373" s="216"/>
      <c r="B373" s="203"/>
      <c r="C373" s="217"/>
      <c r="D373" s="218"/>
      <c r="E373" s="218"/>
      <c r="F373" s="165"/>
      <c r="G373" s="166"/>
      <c r="H373" s="166"/>
      <c r="I373" s="219"/>
      <c r="J373" s="219"/>
      <c r="K373" s="219"/>
      <c r="L373" s="221" t="s">
        <v>595</v>
      </c>
      <c r="M373" s="222" t="s">
        <v>596</v>
      </c>
      <c r="N373" s="221" t="s">
        <v>34</v>
      </c>
      <c r="O373" s="223">
        <v>1</v>
      </c>
      <c r="P373" s="224">
        <v>795</v>
      </c>
      <c r="Q373" s="224">
        <v>795</v>
      </c>
      <c r="R373" s="266"/>
      <c r="T373" s="4"/>
      <c r="U373" s="128"/>
    </row>
    <row r="374" spans="1:21" ht="18" x14ac:dyDescent="0.3">
      <c r="A374" s="216"/>
      <c r="B374" s="203"/>
      <c r="C374" s="217"/>
      <c r="D374" s="218"/>
      <c r="E374" s="218"/>
      <c r="F374" s="165"/>
      <c r="G374" s="166"/>
      <c r="H374" s="166"/>
      <c r="I374" s="219"/>
      <c r="J374" s="219"/>
      <c r="K374" s="219"/>
      <c r="L374" s="221" t="s">
        <v>1472</v>
      </c>
      <c r="M374" s="222" t="s">
        <v>1551</v>
      </c>
      <c r="N374" s="221" t="s">
        <v>34</v>
      </c>
      <c r="O374" s="223">
        <v>1</v>
      </c>
      <c r="P374" s="224">
        <v>146.25</v>
      </c>
      <c r="Q374" s="224">
        <v>146.25</v>
      </c>
      <c r="R374" s="266"/>
      <c r="T374" s="4"/>
      <c r="U374" s="128"/>
    </row>
    <row r="375" spans="1:21" ht="18" x14ac:dyDescent="0.3">
      <c r="A375" s="216"/>
      <c r="B375" s="203"/>
      <c r="C375" s="217"/>
      <c r="D375" s="218"/>
      <c r="E375" s="218"/>
      <c r="F375" s="165"/>
      <c r="G375" s="166"/>
      <c r="H375" s="166"/>
      <c r="I375" s="219"/>
      <c r="J375" s="219"/>
      <c r="K375" s="219"/>
      <c r="L375" s="221" t="s">
        <v>1473</v>
      </c>
      <c r="M375" s="222" t="s">
        <v>1552</v>
      </c>
      <c r="N375" s="221" t="s">
        <v>34</v>
      </c>
      <c r="O375" s="223">
        <v>3</v>
      </c>
      <c r="P375" s="224">
        <v>239</v>
      </c>
      <c r="Q375" s="224">
        <v>717</v>
      </c>
      <c r="R375" s="266"/>
      <c r="T375" s="4"/>
      <c r="U375" s="128"/>
    </row>
    <row r="376" spans="1:21" ht="18" x14ac:dyDescent="0.3">
      <c r="A376" s="216"/>
      <c r="B376" s="203"/>
      <c r="C376" s="217"/>
      <c r="D376" s="218"/>
      <c r="E376" s="218"/>
      <c r="F376" s="165"/>
      <c r="G376" s="166"/>
      <c r="H376" s="166"/>
      <c r="I376" s="219"/>
      <c r="J376" s="219"/>
      <c r="K376" s="219"/>
      <c r="L376" s="221" t="s">
        <v>1142</v>
      </c>
      <c r="M376" s="222" t="s">
        <v>1229</v>
      </c>
      <c r="N376" s="221" t="s">
        <v>34</v>
      </c>
      <c r="O376" s="223">
        <v>19</v>
      </c>
      <c r="P376" s="224">
        <v>274</v>
      </c>
      <c r="Q376" s="225">
        <v>5206</v>
      </c>
      <c r="R376" s="266"/>
      <c r="T376" s="4"/>
      <c r="U376" s="128"/>
    </row>
    <row r="377" spans="1:21" ht="18" x14ac:dyDescent="0.3">
      <c r="A377" s="216"/>
      <c r="B377" s="203"/>
      <c r="C377" s="217"/>
      <c r="D377" s="218"/>
      <c r="E377" s="218"/>
      <c r="F377" s="165"/>
      <c r="G377" s="166"/>
      <c r="H377" s="166"/>
      <c r="I377" s="219"/>
      <c r="J377" s="219"/>
      <c r="K377" s="219"/>
      <c r="L377" s="221" t="s">
        <v>1475</v>
      </c>
      <c r="M377" s="222" t="s">
        <v>1555</v>
      </c>
      <c r="N377" s="221" t="s">
        <v>64</v>
      </c>
      <c r="O377" s="223">
        <v>1</v>
      </c>
      <c r="P377" s="224">
        <v>160.32</v>
      </c>
      <c r="Q377" s="224">
        <v>160.32</v>
      </c>
      <c r="R377" s="266"/>
      <c r="T377" s="4"/>
      <c r="U377" s="128"/>
    </row>
    <row r="378" spans="1:21" ht="18" x14ac:dyDescent="0.3">
      <c r="A378" s="216"/>
      <c r="B378" s="203"/>
      <c r="C378" s="217"/>
      <c r="D378" s="218"/>
      <c r="E378" s="218"/>
      <c r="F378" s="165"/>
      <c r="G378" s="166"/>
      <c r="H378" s="166"/>
      <c r="I378" s="219"/>
      <c r="J378" s="219"/>
      <c r="K378" s="219"/>
      <c r="L378" s="221" t="s">
        <v>597</v>
      </c>
      <c r="M378" s="222" t="s">
        <v>598</v>
      </c>
      <c r="N378" s="221" t="s">
        <v>34</v>
      </c>
      <c r="O378" s="223">
        <v>2</v>
      </c>
      <c r="P378" s="224">
        <v>139.11000000000001</v>
      </c>
      <c r="Q378" s="224">
        <v>278.22000000000003</v>
      </c>
      <c r="R378" s="266"/>
      <c r="T378" s="4"/>
      <c r="U378" s="128"/>
    </row>
    <row r="379" spans="1:21" ht="18" x14ac:dyDescent="0.3">
      <c r="A379" s="216"/>
      <c r="B379" s="203"/>
      <c r="C379" s="217"/>
      <c r="D379" s="218"/>
      <c r="E379" s="218"/>
      <c r="F379" s="165"/>
      <c r="G379" s="166"/>
      <c r="H379" s="166"/>
      <c r="I379" s="219"/>
      <c r="J379" s="219"/>
      <c r="K379" s="219"/>
      <c r="L379" s="221" t="s">
        <v>159</v>
      </c>
      <c r="M379" s="222" t="s">
        <v>160</v>
      </c>
      <c r="N379" s="221" t="s">
        <v>37</v>
      </c>
      <c r="O379" s="223">
        <v>2</v>
      </c>
      <c r="P379" s="224">
        <v>21</v>
      </c>
      <c r="Q379" s="224">
        <v>42</v>
      </c>
      <c r="R379" s="266"/>
      <c r="T379" s="4"/>
      <c r="U379" s="128"/>
    </row>
    <row r="380" spans="1:21" ht="18" x14ac:dyDescent="0.3">
      <c r="A380" s="216"/>
      <c r="B380" s="203"/>
      <c r="C380" s="217"/>
      <c r="D380" s="218"/>
      <c r="E380" s="218"/>
      <c r="F380" s="165"/>
      <c r="G380" s="166"/>
      <c r="H380" s="166"/>
      <c r="I380" s="219"/>
      <c r="J380" s="219"/>
      <c r="K380" s="219"/>
      <c r="L380" s="221" t="s">
        <v>1478</v>
      </c>
      <c r="M380" s="222" t="s">
        <v>1558</v>
      </c>
      <c r="N380" s="221" t="s">
        <v>34</v>
      </c>
      <c r="O380" s="223">
        <v>1</v>
      </c>
      <c r="P380" s="225">
        <v>1273.5</v>
      </c>
      <c r="Q380" s="225">
        <v>1273.5</v>
      </c>
      <c r="R380" s="266"/>
      <c r="T380" s="4"/>
      <c r="U380" s="128"/>
    </row>
    <row r="381" spans="1:21" ht="18" x14ac:dyDescent="0.3">
      <c r="A381" s="216"/>
      <c r="B381" s="203"/>
      <c r="C381" s="217"/>
      <c r="D381" s="218"/>
      <c r="E381" s="218"/>
      <c r="F381" s="165"/>
      <c r="G381" s="166"/>
      <c r="H381" s="166"/>
      <c r="I381" s="219"/>
      <c r="J381" s="219"/>
      <c r="K381" s="219"/>
      <c r="L381" s="221" t="s">
        <v>1479</v>
      </c>
      <c r="M381" s="222" t="s">
        <v>1559</v>
      </c>
      <c r="N381" s="221" t="s">
        <v>34</v>
      </c>
      <c r="O381" s="223">
        <v>1</v>
      </c>
      <c r="P381" s="224">
        <v>135</v>
      </c>
      <c r="Q381" s="224">
        <v>135</v>
      </c>
      <c r="R381" s="266"/>
      <c r="T381" s="4"/>
      <c r="U381" s="128"/>
    </row>
    <row r="382" spans="1:21" ht="18" x14ac:dyDescent="0.3">
      <c r="A382" s="216"/>
      <c r="B382" s="203"/>
      <c r="C382" s="217"/>
      <c r="D382" s="218"/>
      <c r="E382" s="218"/>
      <c r="F382" s="165"/>
      <c r="G382" s="166"/>
      <c r="H382" s="166"/>
      <c r="I382" s="219"/>
      <c r="J382" s="219"/>
      <c r="K382" s="219"/>
      <c r="L382" s="221" t="s">
        <v>1480</v>
      </c>
      <c r="M382" s="222" t="s">
        <v>1560</v>
      </c>
      <c r="N382" s="221" t="s">
        <v>34</v>
      </c>
      <c r="O382" s="223">
        <v>2</v>
      </c>
      <c r="P382" s="224">
        <v>207.5</v>
      </c>
      <c r="Q382" s="224">
        <v>415</v>
      </c>
      <c r="R382" s="266"/>
      <c r="T382" s="4"/>
      <c r="U382" s="128"/>
    </row>
    <row r="383" spans="1:21" ht="18" x14ac:dyDescent="0.3">
      <c r="A383" s="216"/>
      <c r="B383" s="203"/>
      <c r="C383" s="217"/>
      <c r="D383" s="218"/>
      <c r="E383" s="218"/>
      <c r="F383" s="165"/>
      <c r="G383" s="166"/>
      <c r="H383" s="166"/>
      <c r="I383" s="219"/>
      <c r="J383" s="219"/>
      <c r="K383" s="219"/>
      <c r="L383" s="221" t="s">
        <v>1481</v>
      </c>
      <c r="M383" s="222" t="s">
        <v>1561</v>
      </c>
      <c r="N383" s="221" t="s">
        <v>34</v>
      </c>
      <c r="O383" s="223">
        <v>3</v>
      </c>
      <c r="P383" s="224">
        <v>52</v>
      </c>
      <c r="Q383" s="224">
        <v>156</v>
      </c>
      <c r="R383" s="266"/>
      <c r="T383" s="4"/>
      <c r="U383" s="128"/>
    </row>
    <row r="384" spans="1:21" ht="18" x14ac:dyDescent="0.3">
      <c r="A384" s="216"/>
      <c r="B384" s="203"/>
      <c r="C384" s="217"/>
      <c r="D384" s="218"/>
      <c r="E384" s="218"/>
      <c r="F384" s="165"/>
      <c r="G384" s="166"/>
      <c r="H384" s="166"/>
      <c r="I384" s="219"/>
      <c r="J384" s="219"/>
      <c r="K384" s="219"/>
      <c r="L384" s="221" t="s">
        <v>157</v>
      </c>
      <c r="M384" s="222" t="s">
        <v>158</v>
      </c>
      <c r="N384" s="221" t="s">
        <v>34</v>
      </c>
      <c r="O384" s="223">
        <v>3</v>
      </c>
      <c r="P384" s="224">
        <v>97.5</v>
      </c>
      <c r="Q384" s="224">
        <v>292.5</v>
      </c>
      <c r="R384" s="266"/>
      <c r="T384" s="4"/>
      <c r="U384" s="128"/>
    </row>
    <row r="385" spans="1:21" ht="18" x14ac:dyDescent="0.3">
      <c r="A385" s="216"/>
      <c r="B385" s="203"/>
      <c r="C385" s="217"/>
      <c r="D385" s="218"/>
      <c r="E385" s="218"/>
      <c r="F385" s="165"/>
      <c r="G385" s="166"/>
      <c r="H385" s="166"/>
      <c r="I385" s="219"/>
      <c r="J385" s="219"/>
      <c r="K385" s="219"/>
      <c r="L385" s="221" t="s">
        <v>627</v>
      </c>
      <c r="M385" s="222" t="s">
        <v>628</v>
      </c>
      <c r="N385" s="221" t="s">
        <v>34</v>
      </c>
      <c r="O385" s="223">
        <v>2</v>
      </c>
      <c r="P385" s="224">
        <v>25</v>
      </c>
      <c r="Q385" s="224">
        <v>50</v>
      </c>
      <c r="R385" s="266"/>
      <c r="T385" s="4"/>
      <c r="U385" s="128"/>
    </row>
    <row r="386" spans="1:21" ht="18" x14ac:dyDescent="0.3">
      <c r="A386" s="216"/>
      <c r="B386" s="203"/>
      <c r="C386" s="217"/>
      <c r="D386" s="218"/>
      <c r="E386" s="218"/>
      <c r="F386" s="165"/>
      <c r="G386" s="166"/>
      <c r="H386" s="166"/>
      <c r="I386" s="219"/>
      <c r="J386" s="219"/>
      <c r="K386" s="219"/>
      <c r="L386" s="221" t="s">
        <v>1482</v>
      </c>
      <c r="M386" s="222" t="s">
        <v>1562</v>
      </c>
      <c r="N386" s="221" t="s">
        <v>34</v>
      </c>
      <c r="O386" s="223">
        <v>1</v>
      </c>
      <c r="P386" s="224">
        <v>75.400000000000006</v>
      </c>
      <c r="Q386" s="224">
        <v>75.400000000000006</v>
      </c>
      <c r="R386" s="266"/>
      <c r="T386" s="4"/>
      <c r="U386" s="128"/>
    </row>
    <row r="387" spans="1:21" ht="18" x14ac:dyDescent="0.3">
      <c r="A387" s="216"/>
      <c r="B387" s="203"/>
      <c r="C387" s="217"/>
      <c r="D387" s="218"/>
      <c r="E387" s="218"/>
      <c r="F387" s="165"/>
      <c r="G387" s="166"/>
      <c r="H387" s="166"/>
      <c r="I387" s="219"/>
      <c r="J387" s="219"/>
      <c r="K387" s="219"/>
      <c r="L387" s="221" t="s">
        <v>153</v>
      </c>
      <c r="M387" s="222" t="s">
        <v>681</v>
      </c>
      <c r="N387" s="221" t="s">
        <v>34</v>
      </c>
      <c r="O387" s="223">
        <v>1</v>
      </c>
      <c r="P387" s="224">
        <v>16.5</v>
      </c>
      <c r="Q387" s="224">
        <v>16.5</v>
      </c>
      <c r="R387" s="266"/>
      <c r="T387" s="4"/>
      <c r="U387" s="128"/>
    </row>
    <row r="388" spans="1:21" ht="18" x14ac:dyDescent="0.3">
      <c r="A388" s="216"/>
      <c r="B388" s="203"/>
      <c r="C388" s="217"/>
      <c r="D388" s="218"/>
      <c r="E388" s="218"/>
      <c r="F388" s="165"/>
      <c r="G388" s="166"/>
      <c r="H388" s="166"/>
      <c r="I388" s="219"/>
      <c r="J388" s="219"/>
      <c r="K388" s="219"/>
      <c r="L388" s="221" t="s">
        <v>1624</v>
      </c>
      <c r="M388" s="222" t="s">
        <v>1650</v>
      </c>
      <c r="N388" s="221" t="s">
        <v>34</v>
      </c>
      <c r="O388" s="223">
        <v>1</v>
      </c>
      <c r="P388" s="224">
        <v>381.8</v>
      </c>
      <c r="Q388" s="224">
        <v>381.8</v>
      </c>
      <c r="R388" s="266"/>
      <c r="T388" s="4"/>
      <c r="U388" s="128"/>
    </row>
    <row r="389" spans="1:21" ht="18" x14ac:dyDescent="0.3">
      <c r="A389" s="216"/>
      <c r="B389" s="203"/>
      <c r="C389" s="217"/>
      <c r="D389" s="218"/>
      <c r="E389" s="218"/>
      <c r="F389" s="165"/>
      <c r="G389" s="166"/>
      <c r="H389" s="166"/>
      <c r="I389" s="219"/>
      <c r="J389" s="219"/>
      <c r="K389" s="219"/>
      <c r="L389" s="221" t="s">
        <v>1794</v>
      </c>
      <c r="M389" s="222" t="s">
        <v>1814</v>
      </c>
      <c r="N389" s="221" t="s">
        <v>34</v>
      </c>
      <c r="O389" s="223">
        <v>1</v>
      </c>
      <c r="P389" s="224">
        <v>66.650000000000006</v>
      </c>
      <c r="Q389" s="224">
        <v>66.650000000000006</v>
      </c>
      <c r="R389" s="266"/>
      <c r="T389" s="4"/>
      <c r="U389" s="128"/>
    </row>
    <row r="390" spans="1:21" ht="18" x14ac:dyDescent="0.3">
      <c r="A390" s="216"/>
      <c r="B390" s="203"/>
      <c r="C390" s="217"/>
      <c r="D390" s="218"/>
      <c r="E390" s="218"/>
      <c r="F390" s="165"/>
      <c r="G390" s="166"/>
      <c r="H390" s="166"/>
      <c r="I390" s="219"/>
      <c r="J390" s="219"/>
      <c r="K390" s="219"/>
      <c r="L390" s="221" t="s">
        <v>1483</v>
      </c>
      <c r="M390" s="222" t="s">
        <v>1563</v>
      </c>
      <c r="N390" s="221" t="s">
        <v>34</v>
      </c>
      <c r="O390" s="223">
        <v>2</v>
      </c>
      <c r="P390" s="224">
        <v>118.33</v>
      </c>
      <c r="Q390" s="224">
        <v>236.66</v>
      </c>
      <c r="R390" s="266"/>
      <c r="T390" s="4"/>
      <c r="U390" s="128"/>
    </row>
    <row r="391" spans="1:21" ht="18" x14ac:dyDescent="0.3">
      <c r="A391" s="216"/>
      <c r="B391" s="203"/>
      <c r="C391" s="217"/>
      <c r="D391" s="218"/>
      <c r="E391" s="218"/>
      <c r="F391" s="165"/>
      <c r="G391" s="166"/>
      <c r="H391" s="166"/>
      <c r="I391" s="219"/>
      <c r="J391" s="219"/>
      <c r="K391" s="219"/>
      <c r="L391" s="221" t="s">
        <v>98</v>
      </c>
      <c r="M391" s="222" t="s">
        <v>99</v>
      </c>
      <c r="N391" s="221" t="s">
        <v>37</v>
      </c>
      <c r="O391" s="223">
        <v>4</v>
      </c>
      <c r="P391" s="224">
        <v>131</v>
      </c>
      <c r="Q391" s="224">
        <v>524</v>
      </c>
      <c r="R391" s="266"/>
      <c r="T391" s="4"/>
      <c r="U391" s="128"/>
    </row>
    <row r="392" spans="1:21" ht="18" x14ac:dyDescent="0.3">
      <c r="A392" s="216"/>
      <c r="B392" s="203"/>
      <c r="C392" s="217"/>
      <c r="D392" s="218"/>
      <c r="E392" s="218"/>
      <c r="F392" s="165"/>
      <c r="G392" s="166"/>
      <c r="H392" s="166"/>
      <c r="I392" s="219"/>
      <c r="J392" s="219"/>
      <c r="K392" s="219"/>
      <c r="L392" s="221" t="s">
        <v>267</v>
      </c>
      <c r="M392" s="222" t="s">
        <v>268</v>
      </c>
      <c r="N392" s="221" t="s">
        <v>34</v>
      </c>
      <c r="O392" s="223">
        <v>1</v>
      </c>
      <c r="P392" s="224">
        <v>210</v>
      </c>
      <c r="Q392" s="224">
        <v>210</v>
      </c>
      <c r="R392" s="266"/>
      <c r="T392" s="4"/>
      <c r="U392" s="128"/>
    </row>
    <row r="393" spans="1:21" ht="18" x14ac:dyDescent="0.3">
      <c r="A393" s="216"/>
      <c r="B393" s="203"/>
      <c r="C393" s="217"/>
      <c r="D393" s="218"/>
      <c r="E393" s="218"/>
      <c r="F393" s="165"/>
      <c r="G393" s="166"/>
      <c r="H393" s="166"/>
      <c r="I393" s="219"/>
      <c r="J393" s="219"/>
      <c r="K393" s="219"/>
      <c r="L393" s="221" t="s">
        <v>1485</v>
      </c>
      <c r="M393" s="222" t="s">
        <v>1565</v>
      </c>
      <c r="N393" s="221" t="s">
        <v>34</v>
      </c>
      <c r="O393" s="223">
        <v>3</v>
      </c>
      <c r="P393" s="224">
        <v>20.09</v>
      </c>
      <c r="Q393" s="224">
        <v>60.26</v>
      </c>
      <c r="R393" s="266"/>
      <c r="T393" s="4"/>
      <c r="U393" s="128"/>
    </row>
    <row r="394" spans="1:21" ht="18" x14ac:dyDescent="0.3">
      <c r="A394" s="216"/>
      <c r="B394" s="203"/>
      <c r="C394" s="217"/>
      <c r="D394" s="218"/>
      <c r="E394" s="218"/>
      <c r="F394" s="165"/>
      <c r="G394" s="166"/>
      <c r="H394" s="166"/>
      <c r="I394" s="219"/>
      <c r="J394" s="219"/>
      <c r="K394" s="219"/>
      <c r="L394" s="221" t="s">
        <v>589</v>
      </c>
      <c r="M394" s="222" t="s">
        <v>590</v>
      </c>
      <c r="N394" s="221" t="s">
        <v>34</v>
      </c>
      <c r="O394" s="223">
        <v>1</v>
      </c>
      <c r="P394" s="224">
        <v>346.09</v>
      </c>
      <c r="Q394" s="224">
        <v>346.09</v>
      </c>
      <c r="R394" s="266"/>
      <c r="T394" s="4"/>
      <c r="U394" s="128"/>
    </row>
    <row r="395" spans="1:21" ht="18" x14ac:dyDescent="0.3">
      <c r="A395" s="216"/>
      <c r="B395" s="203"/>
      <c r="C395" s="217"/>
      <c r="D395" s="218"/>
      <c r="E395" s="218"/>
      <c r="F395" s="165"/>
      <c r="G395" s="166"/>
      <c r="H395" s="166"/>
      <c r="I395" s="219"/>
      <c r="J395" s="219"/>
      <c r="K395" s="219"/>
      <c r="L395" s="221" t="s">
        <v>710</v>
      </c>
      <c r="M395" s="222" t="s">
        <v>711</v>
      </c>
      <c r="N395" s="221" t="s">
        <v>34</v>
      </c>
      <c r="O395" s="223">
        <v>4</v>
      </c>
      <c r="P395" s="224">
        <v>73</v>
      </c>
      <c r="Q395" s="224">
        <v>292</v>
      </c>
      <c r="R395" s="266"/>
      <c r="T395" s="4"/>
      <c r="U395" s="128"/>
    </row>
    <row r="396" spans="1:21" ht="18" x14ac:dyDescent="0.3">
      <c r="A396" s="216"/>
      <c r="B396" s="203"/>
      <c r="C396" s="217"/>
      <c r="D396" s="218"/>
      <c r="E396" s="218"/>
      <c r="F396" s="165"/>
      <c r="G396" s="166"/>
      <c r="H396" s="166"/>
      <c r="I396" s="219"/>
      <c r="J396" s="219"/>
      <c r="K396" s="219"/>
      <c r="L396" s="221" t="s">
        <v>651</v>
      </c>
      <c r="M396" s="222" t="s">
        <v>652</v>
      </c>
      <c r="N396" s="221" t="s">
        <v>34</v>
      </c>
      <c r="O396" s="223">
        <v>1</v>
      </c>
      <c r="P396" s="224">
        <v>153.33000000000001</v>
      </c>
      <c r="Q396" s="224">
        <v>153.33000000000001</v>
      </c>
      <c r="R396" s="266"/>
      <c r="T396" s="4"/>
      <c r="U396" s="128"/>
    </row>
    <row r="397" spans="1:21" ht="18" x14ac:dyDescent="0.3">
      <c r="A397" s="216"/>
      <c r="B397" s="203"/>
      <c r="C397" s="217"/>
      <c r="D397" s="218"/>
      <c r="E397" s="218"/>
      <c r="F397" s="165"/>
      <c r="G397" s="166"/>
      <c r="H397" s="166"/>
      <c r="I397" s="219"/>
      <c r="J397" s="219"/>
      <c r="K397" s="219"/>
      <c r="L397" s="221" t="s">
        <v>638</v>
      </c>
      <c r="M397" s="222" t="s">
        <v>639</v>
      </c>
      <c r="N397" s="221" t="s">
        <v>64</v>
      </c>
      <c r="O397" s="223">
        <v>1</v>
      </c>
      <c r="P397" s="224">
        <v>149.16999999999999</v>
      </c>
      <c r="Q397" s="224">
        <v>149.16999999999999</v>
      </c>
      <c r="R397" s="266"/>
      <c r="T397" s="4"/>
      <c r="U397" s="128"/>
    </row>
    <row r="398" spans="1:21" ht="18" x14ac:dyDescent="0.3">
      <c r="A398" s="216"/>
      <c r="B398" s="203"/>
      <c r="C398" s="217"/>
      <c r="D398" s="218"/>
      <c r="E398" s="218"/>
      <c r="F398" s="165"/>
      <c r="G398" s="166"/>
      <c r="H398" s="166"/>
      <c r="I398" s="219"/>
      <c r="J398" s="219"/>
      <c r="K398" s="219"/>
      <c r="L398" s="221" t="s">
        <v>1486</v>
      </c>
      <c r="M398" s="222" t="s">
        <v>1566</v>
      </c>
      <c r="N398" s="221" t="s">
        <v>34</v>
      </c>
      <c r="O398" s="223">
        <v>2</v>
      </c>
      <c r="P398" s="224">
        <v>217.34</v>
      </c>
      <c r="Q398" s="224">
        <v>434.67</v>
      </c>
      <c r="R398" s="266"/>
      <c r="T398" s="4"/>
      <c r="U398" s="128"/>
    </row>
    <row r="399" spans="1:21" ht="18" x14ac:dyDescent="0.3">
      <c r="A399" s="216"/>
      <c r="B399" s="203"/>
      <c r="C399" s="217"/>
      <c r="D399" s="218"/>
      <c r="E399" s="218"/>
      <c r="F399" s="165"/>
      <c r="G399" s="166"/>
      <c r="H399" s="166"/>
      <c r="I399" s="219"/>
      <c r="J399" s="219"/>
      <c r="K399" s="219"/>
      <c r="L399" s="221" t="s">
        <v>1487</v>
      </c>
      <c r="M399" s="222" t="s">
        <v>1567</v>
      </c>
      <c r="N399" s="221" t="s">
        <v>34</v>
      </c>
      <c r="O399" s="223">
        <v>2</v>
      </c>
      <c r="P399" s="224">
        <v>34</v>
      </c>
      <c r="Q399" s="224">
        <v>68</v>
      </c>
      <c r="R399" s="266"/>
      <c r="T399" s="4"/>
      <c r="U399" s="128"/>
    </row>
    <row r="400" spans="1:21" ht="18" x14ac:dyDescent="0.3">
      <c r="A400" s="216"/>
      <c r="B400" s="203"/>
      <c r="C400" s="217"/>
      <c r="D400" s="218"/>
      <c r="E400" s="218"/>
      <c r="F400" s="165"/>
      <c r="G400" s="166"/>
      <c r="H400" s="166"/>
      <c r="I400" s="219"/>
      <c r="J400" s="219"/>
      <c r="K400" s="219"/>
      <c r="L400" s="221" t="s">
        <v>1489</v>
      </c>
      <c r="M400" s="222" t="s">
        <v>1569</v>
      </c>
      <c r="N400" s="221" t="s">
        <v>34</v>
      </c>
      <c r="O400" s="223">
        <v>1</v>
      </c>
      <c r="P400" s="224">
        <v>71</v>
      </c>
      <c r="Q400" s="224">
        <v>71</v>
      </c>
      <c r="R400" s="266"/>
      <c r="T400" s="4"/>
      <c r="U400" s="128"/>
    </row>
    <row r="401" spans="1:21" ht="18" x14ac:dyDescent="0.3">
      <c r="A401" s="216"/>
      <c r="B401" s="203"/>
      <c r="C401" s="217"/>
      <c r="D401" s="218"/>
      <c r="E401" s="218"/>
      <c r="F401" s="165"/>
      <c r="G401" s="166"/>
      <c r="H401" s="166"/>
      <c r="I401" s="219"/>
      <c r="J401" s="219"/>
      <c r="K401" s="219"/>
      <c r="L401" s="221" t="s">
        <v>1490</v>
      </c>
      <c r="M401" s="222" t="s">
        <v>1570</v>
      </c>
      <c r="N401" s="221" t="s">
        <v>34</v>
      </c>
      <c r="O401" s="223">
        <v>3</v>
      </c>
      <c r="P401" s="224">
        <v>216.66</v>
      </c>
      <c r="Q401" s="224">
        <v>649.98</v>
      </c>
      <c r="R401" s="266"/>
      <c r="T401" s="4"/>
      <c r="U401" s="128"/>
    </row>
    <row r="402" spans="1:21" ht="18" x14ac:dyDescent="0.3">
      <c r="A402" s="216"/>
      <c r="B402" s="203"/>
      <c r="C402" s="217"/>
      <c r="D402" s="218"/>
      <c r="E402" s="218"/>
      <c r="F402" s="165"/>
      <c r="G402" s="166"/>
      <c r="H402" s="166"/>
      <c r="I402" s="219"/>
      <c r="J402" s="219"/>
      <c r="K402" s="219"/>
      <c r="L402" s="221" t="s">
        <v>1491</v>
      </c>
      <c r="M402" s="222" t="s">
        <v>1571</v>
      </c>
      <c r="N402" s="221" t="s">
        <v>34</v>
      </c>
      <c r="O402" s="223">
        <v>1</v>
      </c>
      <c r="P402" s="224">
        <v>3.67</v>
      </c>
      <c r="Q402" s="224">
        <v>3.67</v>
      </c>
      <c r="R402" s="266"/>
      <c r="T402" s="4"/>
      <c r="U402" s="128"/>
    </row>
    <row r="403" spans="1:21" ht="18" x14ac:dyDescent="0.3">
      <c r="A403" s="216"/>
      <c r="B403" s="203"/>
      <c r="C403" s="217"/>
      <c r="D403" s="218"/>
      <c r="E403" s="218"/>
      <c r="F403" s="165"/>
      <c r="G403" s="166"/>
      <c r="H403" s="166"/>
      <c r="I403" s="219"/>
      <c r="J403" s="219"/>
      <c r="K403" s="219"/>
      <c r="L403" s="221" t="s">
        <v>1832</v>
      </c>
      <c r="M403" s="222" t="s">
        <v>1838</v>
      </c>
      <c r="N403" s="221" t="s">
        <v>34</v>
      </c>
      <c r="O403" s="223">
        <v>1</v>
      </c>
      <c r="P403" s="224">
        <v>405.67</v>
      </c>
      <c r="Q403" s="224">
        <v>405.67</v>
      </c>
      <c r="R403" s="266"/>
      <c r="T403" s="4"/>
      <c r="U403" s="128"/>
    </row>
    <row r="404" spans="1:21" ht="18" x14ac:dyDescent="0.3">
      <c r="A404" s="216"/>
      <c r="B404" s="203"/>
      <c r="C404" s="217"/>
      <c r="D404" s="218"/>
      <c r="E404" s="218"/>
      <c r="F404" s="165"/>
      <c r="G404" s="166"/>
      <c r="H404" s="166"/>
      <c r="I404" s="219"/>
      <c r="J404" s="219"/>
      <c r="K404" s="219"/>
      <c r="L404" s="221" t="s">
        <v>1629</v>
      </c>
      <c r="M404" s="222" t="s">
        <v>1655</v>
      </c>
      <c r="N404" s="221" t="s">
        <v>34</v>
      </c>
      <c r="O404" s="223">
        <v>1</v>
      </c>
      <c r="P404" s="224">
        <v>180</v>
      </c>
      <c r="Q404" s="224">
        <v>180</v>
      </c>
      <c r="R404" s="266"/>
      <c r="T404" s="4"/>
      <c r="U404" s="128"/>
    </row>
    <row r="405" spans="1:21" ht="18" x14ac:dyDescent="0.3">
      <c r="A405" s="216"/>
      <c r="B405" s="203"/>
      <c r="C405" s="217"/>
      <c r="D405" s="218"/>
      <c r="E405" s="218"/>
      <c r="F405" s="165"/>
      <c r="G405" s="166"/>
      <c r="H405" s="166"/>
      <c r="I405" s="219"/>
      <c r="J405" s="219"/>
      <c r="K405" s="219"/>
      <c r="L405" s="221" t="s">
        <v>1492</v>
      </c>
      <c r="M405" s="222" t="s">
        <v>1572</v>
      </c>
      <c r="N405" s="221" t="s">
        <v>34</v>
      </c>
      <c r="O405" s="223">
        <v>2</v>
      </c>
      <c r="P405" s="224">
        <v>89</v>
      </c>
      <c r="Q405" s="224">
        <v>178</v>
      </c>
      <c r="R405" s="266"/>
      <c r="T405" s="4"/>
      <c r="U405" s="128"/>
    </row>
    <row r="406" spans="1:21" ht="18" x14ac:dyDescent="0.3">
      <c r="A406" s="216"/>
      <c r="B406" s="203"/>
      <c r="C406" s="217"/>
      <c r="D406" s="218"/>
      <c r="E406" s="218"/>
      <c r="F406" s="165"/>
      <c r="G406" s="166"/>
      <c r="H406" s="166"/>
      <c r="I406" s="219"/>
      <c r="J406" s="219"/>
      <c r="K406" s="219"/>
      <c r="L406" s="221" t="s">
        <v>1676</v>
      </c>
      <c r="M406" s="222" t="s">
        <v>1694</v>
      </c>
      <c r="N406" s="221" t="s">
        <v>64</v>
      </c>
      <c r="O406" s="223">
        <v>1</v>
      </c>
      <c r="P406" s="224">
        <v>194.17</v>
      </c>
      <c r="Q406" s="224">
        <v>194.17</v>
      </c>
      <c r="R406" s="266"/>
      <c r="T406" s="4"/>
      <c r="U406" s="128"/>
    </row>
    <row r="407" spans="1:21" ht="18" x14ac:dyDescent="0.3">
      <c r="A407" s="216"/>
      <c r="B407" s="203"/>
      <c r="C407" s="217"/>
      <c r="D407" s="218"/>
      <c r="E407" s="218"/>
      <c r="F407" s="165"/>
      <c r="G407" s="166"/>
      <c r="H407" s="166"/>
      <c r="I407" s="219"/>
      <c r="J407" s="219"/>
      <c r="K407" s="219"/>
      <c r="L407" s="221" t="s">
        <v>1800</v>
      </c>
      <c r="M407" s="222" t="s">
        <v>1820</v>
      </c>
      <c r="N407" s="221" t="s">
        <v>34</v>
      </c>
      <c r="O407" s="223">
        <v>1</v>
      </c>
      <c r="P407" s="224">
        <v>198</v>
      </c>
      <c r="Q407" s="224">
        <v>198</v>
      </c>
      <c r="R407" s="266"/>
      <c r="T407" s="4"/>
      <c r="U407" s="128"/>
    </row>
    <row r="408" spans="1:21" ht="18" x14ac:dyDescent="0.3">
      <c r="A408" s="216"/>
      <c r="B408" s="203"/>
      <c r="C408" s="217"/>
      <c r="D408" s="218"/>
      <c r="E408" s="218"/>
      <c r="F408" s="165"/>
      <c r="G408" s="166"/>
      <c r="H408" s="166"/>
      <c r="I408" s="219"/>
      <c r="J408" s="219"/>
      <c r="K408" s="219"/>
      <c r="L408" s="221" t="s">
        <v>1286</v>
      </c>
      <c r="M408" s="222" t="s">
        <v>1321</v>
      </c>
      <c r="N408" s="221" t="s">
        <v>34</v>
      </c>
      <c r="O408" s="223">
        <v>1</v>
      </c>
      <c r="P408" s="224">
        <v>107</v>
      </c>
      <c r="Q408" s="224">
        <v>107</v>
      </c>
      <c r="R408" s="266"/>
      <c r="T408" s="4"/>
      <c r="U408" s="128"/>
    </row>
    <row r="409" spans="1:21" ht="18" x14ac:dyDescent="0.3">
      <c r="A409" s="216"/>
      <c r="B409" s="203"/>
      <c r="C409" s="217"/>
      <c r="D409" s="218"/>
      <c r="E409" s="218"/>
      <c r="F409" s="165"/>
      <c r="G409" s="166"/>
      <c r="H409" s="166"/>
      <c r="I409" s="219"/>
      <c r="J409" s="219"/>
      <c r="K409" s="219"/>
      <c r="L409" s="221" t="s">
        <v>1493</v>
      </c>
      <c r="M409" s="222" t="s">
        <v>1573</v>
      </c>
      <c r="N409" s="221" t="s">
        <v>34</v>
      </c>
      <c r="O409" s="223">
        <v>1</v>
      </c>
      <c r="P409" s="224">
        <v>97.5</v>
      </c>
      <c r="Q409" s="224">
        <v>97.5</v>
      </c>
      <c r="R409" s="266"/>
      <c r="T409" s="4"/>
      <c r="U409" s="128"/>
    </row>
    <row r="410" spans="1:21" ht="18" x14ac:dyDescent="0.3">
      <c r="A410" s="216"/>
      <c r="B410" s="203"/>
      <c r="C410" s="217"/>
      <c r="D410" s="218"/>
      <c r="E410" s="218"/>
      <c r="F410" s="165"/>
      <c r="G410" s="166"/>
      <c r="H410" s="166"/>
      <c r="I410" s="219"/>
      <c r="J410" s="219"/>
      <c r="K410" s="219"/>
      <c r="L410" s="221" t="s">
        <v>1495</v>
      </c>
      <c r="M410" s="222" t="s">
        <v>1575</v>
      </c>
      <c r="N410" s="221" t="s">
        <v>34</v>
      </c>
      <c r="O410" s="223">
        <v>1</v>
      </c>
      <c r="P410" s="224">
        <v>54.17</v>
      </c>
      <c r="Q410" s="224">
        <v>54.17</v>
      </c>
      <c r="R410" s="266"/>
      <c r="T410" s="4"/>
      <c r="U410" s="128"/>
    </row>
    <row r="411" spans="1:21" ht="18" x14ac:dyDescent="0.3">
      <c r="A411" s="216"/>
      <c r="B411" s="203"/>
      <c r="C411" s="217"/>
      <c r="D411" s="218"/>
      <c r="E411" s="218"/>
      <c r="F411" s="165"/>
      <c r="G411" s="166"/>
      <c r="H411" s="166"/>
      <c r="I411" s="219"/>
      <c r="J411" s="219"/>
      <c r="K411" s="219"/>
      <c r="L411" s="221" t="s">
        <v>1833</v>
      </c>
      <c r="M411" s="222" t="s">
        <v>1839</v>
      </c>
      <c r="N411" s="221" t="s">
        <v>34</v>
      </c>
      <c r="O411" s="223">
        <v>1</v>
      </c>
      <c r="P411" s="224">
        <v>146.25</v>
      </c>
      <c r="Q411" s="224">
        <v>146.25</v>
      </c>
      <c r="R411" s="266"/>
      <c r="T411" s="4"/>
      <c r="U411" s="128"/>
    </row>
    <row r="412" spans="1:21" ht="18" x14ac:dyDescent="0.3">
      <c r="A412" s="216"/>
      <c r="B412" s="203"/>
      <c r="C412" s="217"/>
      <c r="D412" s="218"/>
      <c r="E412" s="218"/>
      <c r="F412" s="165"/>
      <c r="G412" s="166"/>
      <c r="H412" s="166"/>
      <c r="I412" s="219"/>
      <c r="J412" s="219"/>
      <c r="K412" s="219"/>
      <c r="L412" s="221" t="s">
        <v>1834</v>
      </c>
      <c r="M412" s="222" t="s">
        <v>1840</v>
      </c>
      <c r="N412" s="221" t="s">
        <v>34</v>
      </c>
      <c r="O412" s="223">
        <v>1</v>
      </c>
      <c r="P412" s="224">
        <v>765.4</v>
      </c>
      <c r="Q412" s="224">
        <v>765.4</v>
      </c>
      <c r="R412" s="266"/>
      <c r="T412" s="4"/>
      <c r="U412" s="128"/>
    </row>
    <row r="413" spans="1:21" ht="18" x14ac:dyDescent="0.3">
      <c r="A413" s="216"/>
      <c r="B413" s="203"/>
      <c r="C413" s="217"/>
      <c r="D413" s="218"/>
      <c r="E413" s="218"/>
      <c r="F413" s="165"/>
      <c r="G413" s="166"/>
      <c r="H413" s="166"/>
      <c r="I413" s="219"/>
      <c r="J413" s="219"/>
      <c r="K413" s="219"/>
      <c r="L413" s="221" t="s">
        <v>1498</v>
      </c>
      <c r="M413" s="222" t="s">
        <v>1578</v>
      </c>
      <c r="N413" s="221" t="s">
        <v>34</v>
      </c>
      <c r="O413" s="223">
        <v>5</v>
      </c>
      <c r="P413" s="224">
        <v>254.1</v>
      </c>
      <c r="Q413" s="225">
        <v>1270.48</v>
      </c>
      <c r="R413" s="266"/>
      <c r="T413" s="4"/>
      <c r="U413" s="128"/>
    </row>
    <row r="414" spans="1:21" ht="18" x14ac:dyDescent="0.3">
      <c r="A414" s="216"/>
      <c r="B414" s="203"/>
      <c r="C414" s="217"/>
      <c r="D414" s="218"/>
      <c r="E414" s="218"/>
      <c r="F414" s="165"/>
      <c r="G414" s="166"/>
      <c r="H414" s="166"/>
      <c r="I414" s="219"/>
      <c r="J414" s="219"/>
      <c r="K414" s="219"/>
      <c r="L414" s="221" t="s">
        <v>1499</v>
      </c>
      <c r="M414" s="222" t="s">
        <v>1579</v>
      </c>
      <c r="N414" s="221" t="s">
        <v>34</v>
      </c>
      <c r="O414" s="223">
        <v>1</v>
      </c>
      <c r="P414" s="224">
        <v>849.2</v>
      </c>
      <c r="Q414" s="224">
        <v>849.2</v>
      </c>
      <c r="R414" s="266"/>
      <c r="T414" s="4"/>
      <c r="U414" s="128"/>
    </row>
    <row r="415" spans="1:21" ht="18" x14ac:dyDescent="0.3">
      <c r="A415" s="216"/>
      <c r="B415" s="203"/>
      <c r="C415" s="217"/>
      <c r="D415" s="218"/>
      <c r="E415" s="218"/>
      <c r="F415" s="165"/>
      <c r="G415" s="166"/>
      <c r="H415" s="166"/>
      <c r="I415" s="219"/>
      <c r="J415" s="219"/>
      <c r="K415" s="219"/>
      <c r="L415" s="221" t="s">
        <v>1500</v>
      </c>
      <c r="M415" s="222" t="s">
        <v>1580</v>
      </c>
      <c r="N415" s="221" t="s">
        <v>34</v>
      </c>
      <c r="O415" s="223">
        <v>1</v>
      </c>
      <c r="P415" s="224">
        <v>22</v>
      </c>
      <c r="Q415" s="224">
        <v>22</v>
      </c>
      <c r="R415" s="266"/>
      <c r="T415" s="4"/>
      <c r="U415" s="128"/>
    </row>
    <row r="416" spans="1:21" ht="18" x14ac:dyDescent="0.3">
      <c r="A416" s="216"/>
      <c r="B416" s="203"/>
      <c r="C416" s="217"/>
      <c r="D416" s="218"/>
      <c r="E416" s="218"/>
      <c r="F416" s="165"/>
      <c r="G416" s="166"/>
      <c r="H416" s="166"/>
      <c r="I416" s="219"/>
      <c r="J416" s="219"/>
      <c r="K416" s="219"/>
      <c r="L416" s="221" t="s">
        <v>1501</v>
      </c>
      <c r="M416" s="222" t="s">
        <v>1581</v>
      </c>
      <c r="N416" s="221" t="s">
        <v>64</v>
      </c>
      <c r="O416" s="223">
        <v>2</v>
      </c>
      <c r="P416" s="224">
        <v>51</v>
      </c>
      <c r="Q416" s="224">
        <v>102</v>
      </c>
      <c r="R416" s="266"/>
      <c r="T416" s="4"/>
      <c r="U416" s="128"/>
    </row>
    <row r="417" spans="1:21" ht="18" x14ac:dyDescent="0.3">
      <c r="A417" s="216"/>
      <c r="B417" s="203"/>
      <c r="C417" s="217"/>
      <c r="D417" s="218"/>
      <c r="E417" s="218"/>
      <c r="F417" s="165"/>
      <c r="G417" s="166"/>
      <c r="H417" s="166"/>
      <c r="I417" s="219"/>
      <c r="J417" s="219"/>
      <c r="K417" s="219"/>
      <c r="L417" s="221" t="s">
        <v>1502</v>
      </c>
      <c r="M417" s="222" t="s">
        <v>1582</v>
      </c>
      <c r="N417" s="221" t="s">
        <v>64</v>
      </c>
      <c r="O417" s="223">
        <v>1</v>
      </c>
      <c r="P417" s="224">
        <v>325</v>
      </c>
      <c r="Q417" s="224">
        <v>325</v>
      </c>
      <c r="R417" s="266"/>
      <c r="T417" s="4"/>
      <c r="U417" s="128"/>
    </row>
    <row r="418" spans="1:21" ht="18" x14ac:dyDescent="0.3">
      <c r="A418" s="216"/>
      <c r="B418" s="203"/>
      <c r="C418" s="217"/>
      <c r="D418" s="218"/>
      <c r="E418" s="218"/>
      <c r="F418" s="165"/>
      <c r="G418" s="166"/>
      <c r="H418" s="166"/>
      <c r="I418" s="219"/>
      <c r="J418" s="219"/>
      <c r="K418" s="219"/>
      <c r="L418" s="221" t="s">
        <v>1503</v>
      </c>
      <c r="M418" s="222" t="s">
        <v>1583</v>
      </c>
      <c r="N418" s="221" t="s">
        <v>35</v>
      </c>
      <c r="O418" s="223">
        <v>2</v>
      </c>
      <c r="P418" s="224">
        <v>65</v>
      </c>
      <c r="Q418" s="224">
        <v>130</v>
      </c>
      <c r="R418" s="266"/>
      <c r="T418" s="4"/>
      <c r="U418" s="128"/>
    </row>
    <row r="419" spans="1:21" ht="18" x14ac:dyDescent="0.3">
      <c r="A419" s="216"/>
      <c r="B419" s="203"/>
      <c r="C419" s="217"/>
      <c r="D419" s="218"/>
      <c r="E419" s="218"/>
      <c r="F419" s="165"/>
      <c r="G419" s="166"/>
      <c r="H419" s="166"/>
      <c r="I419" s="219"/>
      <c r="J419" s="219"/>
      <c r="K419" s="219"/>
      <c r="L419" s="221" t="s">
        <v>1504</v>
      </c>
      <c r="M419" s="222" t="s">
        <v>1584</v>
      </c>
      <c r="N419" s="221" t="s">
        <v>34</v>
      </c>
      <c r="O419" s="223">
        <v>1</v>
      </c>
      <c r="P419" s="224">
        <v>130.71</v>
      </c>
      <c r="Q419" s="224">
        <v>130.71</v>
      </c>
      <c r="R419" s="266"/>
      <c r="T419" s="4"/>
      <c r="U419" s="128"/>
    </row>
    <row r="420" spans="1:21" ht="18" x14ac:dyDescent="0.3">
      <c r="A420" s="216"/>
      <c r="B420" s="203"/>
      <c r="C420" s="217"/>
      <c r="D420" s="218"/>
      <c r="E420" s="218"/>
      <c r="F420" s="165"/>
      <c r="G420" s="166"/>
      <c r="H420" s="166"/>
      <c r="I420" s="219"/>
      <c r="J420" s="219"/>
      <c r="K420" s="219"/>
      <c r="L420" s="221" t="s">
        <v>1756</v>
      </c>
      <c r="M420" s="222" t="s">
        <v>1776</v>
      </c>
      <c r="N420" s="221" t="s">
        <v>34</v>
      </c>
      <c r="O420" s="223">
        <v>1</v>
      </c>
      <c r="P420" s="224">
        <v>37</v>
      </c>
      <c r="Q420" s="224">
        <v>37</v>
      </c>
      <c r="R420" s="266"/>
      <c r="T420" s="4"/>
      <c r="U420" s="128"/>
    </row>
    <row r="421" spans="1:21" ht="18" x14ac:dyDescent="0.3">
      <c r="A421" s="216"/>
      <c r="B421" s="203"/>
      <c r="C421" s="217"/>
      <c r="D421" s="218"/>
      <c r="E421" s="218"/>
      <c r="F421" s="165"/>
      <c r="G421" s="166"/>
      <c r="H421" s="166"/>
      <c r="I421" s="219"/>
      <c r="J421" s="219"/>
      <c r="K421" s="219"/>
      <c r="L421" s="221" t="s">
        <v>1835</v>
      </c>
      <c r="M421" s="222" t="s">
        <v>1841</v>
      </c>
      <c r="N421" s="221" t="s">
        <v>34</v>
      </c>
      <c r="O421" s="223">
        <v>1</v>
      </c>
      <c r="P421" s="224">
        <v>130.80000000000001</v>
      </c>
      <c r="Q421" s="224">
        <v>130.80000000000001</v>
      </c>
      <c r="R421" s="266"/>
      <c r="T421" s="4"/>
      <c r="U421" s="128"/>
    </row>
    <row r="422" spans="1:21" ht="18" x14ac:dyDescent="0.3">
      <c r="A422" s="216"/>
      <c r="B422" s="203"/>
      <c r="C422" s="217"/>
      <c r="D422" s="218"/>
      <c r="E422" s="218"/>
      <c r="F422" s="165"/>
      <c r="G422" s="166"/>
      <c r="H422" s="166"/>
      <c r="I422" s="219"/>
      <c r="J422" s="219"/>
      <c r="K422" s="219"/>
      <c r="L422" s="221" t="s">
        <v>1506</v>
      </c>
      <c r="M422" s="222" t="s">
        <v>1586</v>
      </c>
      <c r="N422" s="221" t="s">
        <v>64</v>
      </c>
      <c r="O422" s="223">
        <v>0.16</v>
      </c>
      <c r="P422" s="225">
        <v>4165.8100000000004</v>
      </c>
      <c r="Q422" s="224">
        <v>666.53</v>
      </c>
      <c r="R422" s="266"/>
      <c r="T422" s="4"/>
      <c r="U422" s="128"/>
    </row>
    <row r="423" spans="1:21" ht="18" x14ac:dyDescent="0.3">
      <c r="A423" s="216"/>
      <c r="B423" s="203"/>
      <c r="C423" s="217"/>
      <c r="D423" s="218"/>
      <c r="E423" s="218"/>
      <c r="F423" s="165"/>
      <c r="G423" s="166"/>
      <c r="H423" s="166"/>
      <c r="I423" s="219"/>
      <c r="J423" s="219"/>
      <c r="K423" s="219"/>
      <c r="L423" s="221" t="s">
        <v>546</v>
      </c>
      <c r="M423" s="222" t="s">
        <v>253</v>
      </c>
      <c r="N423" s="221" t="s">
        <v>34</v>
      </c>
      <c r="O423" s="223">
        <v>2</v>
      </c>
      <c r="P423" s="224">
        <v>78</v>
      </c>
      <c r="Q423" s="224">
        <v>156</v>
      </c>
      <c r="R423" s="266"/>
      <c r="T423" s="4"/>
      <c r="U423" s="128"/>
    </row>
    <row r="424" spans="1:21" ht="18" x14ac:dyDescent="0.3">
      <c r="A424" s="216"/>
      <c r="B424" s="203"/>
      <c r="C424" s="217"/>
      <c r="D424" s="218"/>
      <c r="E424" s="218"/>
      <c r="F424" s="165"/>
      <c r="G424" s="166"/>
      <c r="H424" s="166"/>
      <c r="I424" s="219"/>
      <c r="J424" s="219"/>
      <c r="K424" s="219"/>
      <c r="L424" s="221" t="s">
        <v>1420</v>
      </c>
      <c r="M424" s="222" t="s">
        <v>1443</v>
      </c>
      <c r="N424" s="221" t="s">
        <v>34</v>
      </c>
      <c r="O424" s="223">
        <v>5</v>
      </c>
      <c r="P424" s="224">
        <v>95.17</v>
      </c>
      <c r="Q424" s="224">
        <v>475.84</v>
      </c>
      <c r="R424" s="266"/>
      <c r="T424" s="4"/>
      <c r="U424" s="128"/>
    </row>
    <row r="425" spans="1:21" ht="18" x14ac:dyDescent="0.3">
      <c r="A425" s="216"/>
      <c r="B425" s="203"/>
      <c r="C425" s="217"/>
      <c r="D425" s="218"/>
      <c r="E425" s="218"/>
      <c r="F425" s="165"/>
      <c r="G425" s="166"/>
      <c r="H425" s="166"/>
      <c r="I425" s="219"/>
      <c r="J425" s="219"/>
      <c r="K425" s="219"/>
      <c r="L425" s="221" t="s">
        <v>1507</v>
      </c>
      <c r="M425" s="222" t="s">
        <v>1587</v>
      </c>
      <c r="N425" s="221" t="s">
        <v>34</v>
      </c>
      <c r="O425" s="223">
        <v>1</v>
      </c>
      <c r="P425" s="224">
        <v>25</v>
      </c>
      <c r="Q425" s="224">
        <v>25</v>
      </c>
      <c r="R425" s="266"/>
      <c r="T425" s="4"/>
      <c r="U425" s="128"/>
    </row>
    <row r="426" spans="1:21" ht="18" x14ac:dyDescent="0.3">
      <c r="A426" s="216"/>
      <c r="B426" s="203"/>
      <c r="C426" s="217"/>
      <c r="D426" s="218"/>
      <c r="E426" s="218"/>
      <c r="F426" s="165"/>
      <c r="G426" s="166"/>
      <c r="H426" s="166"/>
      <c r="I426" s="219"/>
      <c r="J426" s="219"/>
      <c r="K426" s="219"/>
      <c r="L426" s="221" t="s">
        <v>646</v>
      </c>
      <c r="M426" s="222" t="s">
        <v>647</v>
      </c>
      <c r="N426" s="221" t="s">
        <v>34</v>
      </c>
      <c r="O426" s="223">
        <v>2</v>
      </c>
      <c r="P426" s="224">
        <v>439</v>
      </c>
      <c r="Q426" s="224">
        <v>878</v>
      </c>
      <c r="R426" s="266"/>
      <c r="T426" s="4"/>
      <c r="U426" s="128"/>
    </row>
    <row r="427" spans="1:21" ht="18" x14ac:dyDescent="0.3">
      <c r="A427" s="216"/>
      <c r="B427" s="203"/>
      <c r="C427" s="217"/>
      <c r="D427" s="218"/>
      <c r="E427" s="218"/>
      <c r="F427" s="165"/>
      <c r="G427" s="166"/>
      <c r="H427" s="166"/>
      <c r="I427" s="219"/>
      <c r="J427" s="219"/>
      <c r="K427" s="219"/>
      <c r="L427" s="221" t="s">
        <v>660</v>
      </c>
      <c r="M427" s="222" t="s">
        <v>1588</v>
      </c>
      <c r="N427" s="221" t="s">
        <v>147</v>
      </c>
      <c r="O427" s="223">
        <v>41</v>
      </c>
      <c r="P427" s="224">
        <v>33.54</v>
      </c>
      <c r="Q427" s="225">
        <v>1374.95</v>
      </c>
      <c r="R427" s="266"/>
      <c r="T427" s="4"/>
      <c r="U427" s="128"/>
    </row>
    <row r="428" spans="1:21" ht="18" x14ac:dyDescent="0.3">
      <c r="A428" s="216"/>
      <c r="B428" s="203"/>
      <c r="C428" s="217"/>
      <c r="D428" s="218"/>
      <c r="E428" s="218"/>
      <c r="F428" s="165"/>
      <c r="G428" s="166"/>
      <c r="H428" s="166"/>
      <c r="I428" s="219"/>
      <c r="J428" s="219"/>
      <c r="K428" s="219"/>
      <c r="L428" s="221" t="s">
        <v>538</v>
      </c>
      <c r="M428" s="222" t="s">
        <v>117</v>
      </c>
      <c r="N428" s="221" t="s">
        <v>34</v>
      </c>
      <c r="O428" s="223">
        <v>3</v>
      </c>
      <c r="P428" s="224">
        <v>191.42</v>
      </c>
      <c r="Q428" s="224">
        <v>574.25</v>
      </c>
      <c r="R428" s="266"/>
      <c r="T428" s="4"/>
      <c r="U428" s="128"/>
    </row>
    <row r="429" spans="1:21" ht="18" x14ac:dyDescent="0.3">
      <c r="A429" s="216"/>
      <c r="B429" s="203"/>
      <c r="C429" s="217"/>
      <c r="D429" s="218"/>
      <c r="E429" s="218"/>
      <c r="F429" s="165"/>
      <c r="G429" s="166"/>
      <c r="H429" s="166"/>
      <c r="I429" s="219"/>
      <c r="J429" s="219"/>
      <c r="K429" s="219"/>
      <c r="L429" s="221" t="s">
        <v>1508</v>
      </c>
      <c r="M429" s="222" t="s">
        <v>1589</v>
      </c>
      <c r="N429" s="221" t="s">
        <v>34</v>
      </c>
      <c r="O429" s="223">
        <v>1</v>
      </c>
      <c r="P429" s="224">
        <v>199</v>
      </c>
      <c r="Q429" s="224">
        <v>199</v>
      </c>
      <c r="R429" s="266"/>
      <c r="T429" s="4"/>
      <c r="U429" s="128"/>
    </row>
    <row r="430" spans="1:21" ht="18" x14ac:dyDescent="0.3">
      <c r="A430" s="216"/>
      <c r="B430" s="203"/>
      <c r="C430" s="217"/>
      <c r="D430" s="218"/>
      <c r="E430" s="218"/>
      <c r="F430" s="165"/>
      <c r="G430" s="166"/>
      <c r="H430" s="166"/>
      <c r="I430" s="219"/>
      <c r="J430" s="219"/>
      <c r="K430" s="219"/>
      <c r="L430" s="221" t="s">
        <v>1509</v>
      </c>
      <c r="M430" s="222" t="s">
        <v>1590</v>
      </c>
      <c r="N430" s="221" t="s">
        <v>147</v>
      </c>
      <c r="O430" s="223">
        <v>5</v>
      </c>
      <c r="P430" s="224">
        <v>137</v>
      </c>
      <c r="Q430" s="224">
        <v>685</v>
      </c>
      <c r="R430" s="266"/>
      <c r="T430" s="4"/>
      <c r="U430" s="128"/>
    </row>
    <row r="431" spans="1:21" ht="18" x14ac:dyDescent="0.3">
      <c r="A431" s="216"/>
      <c r="B431" s="203"/>
      <c r="C431" s="217"/>
      <c r="D431" s="218"/>
      <c r="E431" s="218"/>
      <c r="F431" s="165"/>
      <c r="G431" s="166"/>
      <c r="H431" s="166"/>
      <c r="I431" s="219"/>
      <c r="J431" s="219"/>
      <c r="K431" s="219"/>
      <c r="L431" s="221" t="s">
        <v>1510</v>
      </c>
      <c r="M431" s="222" t="s">
        <v>1591</v>
      </c>
      <c r="N431" s="221" t="s">
        <v>34</v>
      </c>
      <c r="O431" s="223">
        <v>2</v>
      </c>
      <c r="P431" s="224">
        <v>156.66999999999999</v>
      </c>
      <c r="Q431" s="224">
        <v>313.33999999999997</v>
      </c>
      <c r="R431" s="266"/>
      <c r="T431" s="4"/>
      <c r="U431" s="128"/>
    </row>
    <row r="432" spans="1:21" ht="18" x14ac:dyDescent="0.3">
      <c r="A432" s="216"/>
      <c r="B432" s="203"/>
      <c r="C432" s="217"/>
      <c r="D432" s="218"/>
      <c r="E432" s="218"/>
      <c r="F432" s="165"/>
      <c r="G432" s="166"/>
      <c r="H432" s="166"/>
      <c r="I432" s="219"/>
      <c r="J432" s="219"/>
      <c r="K432" s="219"/>
      <c r="L432" s="221" t="s">
        <v>630</v>
      </c>
      <c r="M432" s="222" t="s">
        <v>631</v>
      </c>
      <c r="N432" s="221" t="s">
        <v>34</v>
      </c>
      <c r="O432" s="223">
        <v>1</v>
      </c>
      <c r="P432" s="224">
        <v>57</v>
      </c>
      <c r="Q432" s="224">
        <v>57</v>
      </c>
      <c r="R432" s="266"/>
      <c r="T432" s="4"/>
      <c r="U432" s="128"/>
    </row>
    <row r="433" spans="1:21" ht="18" x14ac:dyDescent="0.3">
      <c r="A433" s="216"/>
      <c r="B433" s="203"/>
      <c r="C433" s="217"/>
      <c r="D433" s="218"/>
      <c r="E433" s="218"/>
      <c r="F433" s="165"/>
      <c r="G433" s="166"/>
      <c r="H433" s="166"/>
      <c r="I433" s="219"/>
      <c r="J433" s="219"/>
      <c r="K433" s="219"/>
      <c r="L433" s="221" t="s">
        <v>1511</v>
      </c>
      <c r="M433" s="222" t="s">
        <v>1592</v>
      </c>
      <c r="N433" s="221" t="s">
        <v>34</v>
      </c>
      <c r="O433" s="223">
        <v>9</v>
      </c>
      <c r="P433" s="224">
        <v>4.6500000000000004</v>
      </c>
      <c r="Q433" s="224">
        <v>41.85</v>
      </c>
      <c r="R433" s="266"/>
      <c r="T433" s="4"/>
      <c r="U433" s="128"/>
    </row>
    <row r="434" spans="1:21" ht="18" x14ac:dyDescent="0.3">
      <c r="A434" s="216"/>
      <c r="B434" s="203"/>
      <c r="C434" s="217"/>
      <c r="D434" s="218"/>
      <c r="E434" s="218"/>
      <c r="F434" s="165"/>
      <c r="G434" s="166"/>
      <c r="H434" s="166"/>
      <c r="I434" s="219"/>
      <c r="J434" s="219"/>
      <c r="K434" s="219"/>
      <c r="L434" s="221" t="s">
        <v>1512</v>
      </c>
      <c r="M434" s="222" t="s">
        <v>1593</v>
      </c>
      <c r="N434" s="221" t="s">
        <v>34</v>
      </c>
      <c r="O434" s="223">
        <v>2</v>
      </c>
      <c r="P434" s="224">
        <v>7.5</v>
      </c>
      <c r="Q434" s="224">
        <v>15</v>
      </c>
      <c r="R434" s="266"/>
      <c r="T434" s="4"/>
      <c r="U434" s="128"/>
    </row>
    <row r="435" spans="1:21" ht="18" x14ac:dyDescent="0.3">
      <c r="A435" s="216"/>
      <c r="B435" s="203"/>
      <c r="C435" s="217"/>
      <c r="D435" s="218"/>
      <c r="E435" s="218"/>
      <c r="F435" s="165"/>
      <c r="G435" s="166"/>
      <c r="H435" s="166"/>
      <c r="I435" s="219"/>
      <c r="J435" s="219"/>
      <c r="K435" s="219"/>
      <c r="L435" s="221" t="s">
        <v>1514</v>
      </c>
      <c r="M435" s="222" t="s">
        <v>1595</v>
      </c>
      <c r="N435" s="221" t="s">
        <v>34</v>
      </c>
      <c r="O435" s="223">
        <v>5</v>
      </c>
      <c r="P435" s="224">
        <v>23</v>
      </c>
      <c r="Q435" s="224">
        <v>115</v>
      </c>
      <c r="R435" s="266"/>
      <c r="T435" s="4"/>
      <c r="U435" s="128"/>
    </row>
    <row r="436" spans="1:21" ht="18" x14ac:dyDescent="0.3">
      <c r="A436" s="216"/>
      <c r="B436" s="203"/>
      <c r="C436" s="217"/>
      <c r="D436" s="218"/>
      <c r="E436" s="218"/>
      <c r="F436" s="165"/>
      <c r="G436" s="166"/>
      <c r="H436" s="166"/>
      <c r="I436" s="219"/>
      <c r="J436" s="219"/>
      <c r="K436" s="219"/>
      <c r="L436" s="221" t="s">
        <v>1515</v>
      </c>
      <c r="M436" s="222" t="s">
        <v>1596</v>
      </c>
      <c r="N436" s="221" t="s">
        <v>34</v>
      </c>
      <c r="O436" s="223">
        <v>1</v>
      </c>
      <c r="P436" s="224">
        <v>121.67</v>
      </c>
      <c r="Q436" s="224">
        <v>121.67</v>
      </c>
      <c r="R436" s="266"/>
      <c r="T436" s="4"/>
      <c r="U436" s="128"/>
    </row>
    <row r="437" spans="1:21" ht="18" x14ac:dyDescent="0.3">
      <c r="A437" s="216"/>
      <c r="B437" s="203"/>
      <c r="C437" s="217"/>
      <c r="D437" s="218"/>
      <c r="E437" s="218"/>
      <c r="F437" s="165"/>
      <c r="G437" s="166"/>
      <c r="H437" s="166"/>
      <c r="I437" s="219"/>
      <c r="J437" s="219"/>
      <c r="K437" s="219"/>
      <c r="L437" s="221" t="s">
        <v>1516</v>
      </c>
      <c r="M437" s="222" t="s">
        <v>1597</v>
      </c>
      <c r="N437" s="221" t="s">
        <v>34</v>
      </c>
      <c r="O437" s="223">
        <v>1</v>
      </c>
      <c r="P437" s="224">
        <v>50.4</v>
      </c>
      <c r="Q437" s="224">
        <v>50.4</v>
      </c>
      <c r="R437" s="266"/>
      <c r="T437" s="4"/>
      <c r="U437" s="128"/>
    </row>
    <row r="438" spans="1:21" ht="18" x14ac:dyDescent="0.3">
      <c r="A438" s="216"/>
      <c r="B438" s="203"/>
      <c r="C438" s="217"/>
      <c r="D438" s="218"/>
      <c r="E438" s="218"/>
      <c r="F438" s="165"/>
      <c r="G438" s="166"/>
      <c r="H438" s="166"/>
      <c r="I438" s="219"/>
      <c r="J438" s="219"/>
      <c r="K438" s="219"/>
      <c r="L438" s="221" t="s">
        <v>709</v>
      </c>
      <c r="M438" s="222" t="s">
        <v>156</v>
      </c>
      <c r="N438" s="221" t="s">
        <v>34</v>
      </c>
      <c r="O438" s="223">
        <v>1</v>
      </c>
      <c r="P438" s="224">
        <v>225</v>
      </c>
      <c r="Q438" s="224">
        <v>225</v>
      </c>
      <c r="R438" s="266"/>
      <c r="T438" s="4"/>
      <c r="U438" s="128"/>
    </row>
    <row r="439" spans="1:21" ht="18" x14ac:dyDescent="0.3">
      <c r="A439" s="216"/>
      <c r="B439" s="203"/>
      <c r="C439" s="217"/>
      <c r="D439" s="218"/>
      <c r="E439" s="218"/>
      <c r="F439" s="165"/>
      <c r="G439" s="166"/>
      <c r="H439" s="166"/>
      <c r="I439" s="219"/>
      <c r="J439" s="219"/>
      <c r="K439" s="219"/>
      <c r="L439" s="221" t="s">
        <v>703</v>
      </c>
      <c r="M439" s="222" t="s">
        <v>704</v>
      </c>
      <c r="N439" s="221" t="s">
        <v>34</v>
      </c>
      <c r="O439" s="223">
        <v>1</v>
      </c>
      <c r="P439" s="224">
        <v>149</v>
      </c>
      <c r="Q439" s="224">
        <v>149</v>
      </c>
      <c r="R439" s="266"/>
      <c r="T439" s="4"/>
      <c r="U439" s="128"/>
    </row>
    <row r="440" spans="1:21" ht="18" x14ac:dyDescent="0.3">
      <c r="A440" s="216"/>
      <c r="B440" s="203"/>
      <c r="C440" s="217"/>
      <c r="D440" s="218"/>
      <c r="E440" s="218"/>
      <c r="F440" s="165"/>
      <c r="G440" s="166"/>
      <c r="H440" s="166"/>
      <c r="I440" s="219"/>
      <c r="J440" s="219"/>
      <c r="K440" s="219"/>
      <c r="L440" s="221" t="s">
        <v>1760</v>
      </c>
      <c r="M440" s="222" t="s">
        <v>1780</v>
      </c>
      <c r="N440" s="221" t="s">
        <v>34</v>
      </c>
      <c r="O440" s="223">
        <v>1</v>
      </c>
      <c r="P440" s="224">
        <v>36.33</v>
      </c>
      <c r="Q440" s="224">
        <v>36.33</v>
      </c>
      <c r="R440" s="266"/>
      <c r="T440" s="4"/>
      <c r="U440" s="128"/>
    </row>
    <row r="441" spans="1:21" ht="18" x14ac:dyDescent="0.3">
      <c r="A441" s="216"/>
      <c r="B441" s="203"/>
      <c r="C441" s="217"/>
      <c r="D441" s="218"/>
      <c r="E441" s="218"/>
      <c r="F441" s="165"/>
      <c r="G441" s="166"/>
      <c r="H441" s="166"/>
      <c r="I441" s="219"/>
      <c r="J441" s="219"/>
      <c r="K441" s="219"/>
      <c r="L441" s="221" t="s">
        <v>1518</v>
      </c>
      <c r="M441" s="222" t="s">
        <v>1599</v>
      </c>
      <c r="N441" s="221" t="s">
        <v>34</v>
      </c>
      <c r="O441" s="223">
        <v>1</v>
      </c>
      <c r="P441" s="224">
        <v>123</v>
      </c>
      <c r="Q441" s="224">
        <v>123</v>
      </c>
      <c r="R441" s="266"/>
      <c r="T441" s="4"/>
      <c r="U441" s="128"/>
    </row>
    <row r="442" spans="1:21" ht="18" x14ac:dyDescent="0.3">
      <c r="A442" s="216"/>
      <c r="B442" s="203"/>
      <c r="C442" s="217"/>
      <c r="D442" s="218"/>
      <c r="E442" s="218"/>
      <c r="F442" s="165"/>
      <c r="G442" s="166"/>
      <c r="H442" s="166"/>
      <c r="I442" s="219"/>
      <c r="J442" s="219"/>
      <c r="K442" s="219"/>
      <c r="L442" s="221" t="s">
        <v>649</v>
      </c>
      <c r="M442" s="222" t="s">
        <v>650</v>
      </c>
      <c r="N442" s="221" t="s">
        <v>34</v>
      </c>
      <c r="O442" s="223">
        <v>3</v>
      </c>
      <c r="P442" s="224">
        <v>23</v>
      </c>
      <c r="Q442" s="224">
        <v>69</v>
      </c>
      <c r="R442" s="266"/>
      <c r="T442" s="4"/>
      <c r="U442" s="128"/>
    </row>
    <row r="443" spans="1:21" ht="18" x14ac:dyDescent="0.3">
      <c r="A443" s="216"/>
      <c r="B443" s="203"/>
      <c r="C443" s="217"/>
      <c r="D443" s="218"/>
      <c r="E443" s="218"/>
      <c r="F443" s="165"/>
      <c r="G443" s="166"/>
      <c r="H443" s="166"/>
      <c r="I443" s="219"/>
      <c r="J443" s="219"/>
      <c r="K443" s="219"/>
      <c r="L443" s="221" t="s">
        <v>1807</v>
      </c>
      <c r="M443" s="222" t="s">
        <v>1827</v>
      </c>
      <c r="N443" s="221" t="s">
        <v>34</v>
      </c>
      <c r="O443" s="223">
        <v>1</v>
      </c>
      <c r="P443" s="224">
        <v>464.48</v>
      </c>
      <c r="Q443" s="224">
        <v>464.48</v>
      </c>
      <c r="R443" s="266"/>
      <c r="T443" s="4"/>
      <c r="U443" s="128"/>
    </row>
    <row r="444" spans="1:21" ht="18" x14ac:dyDescent="0.3">
      <c r="A444" s="216"/>
      <c r="B444" s="203"/>
      <c r="C444" s="217"/>
      <c r="D444" s="218"/>
      <c r="E444" s="218"/>
      <c r="F444" s="165"/>
      <c r="G444" s="166"/>
      <c r="H444" s="166"/>
      <c r="I444" s="219"/>
      <c r="J444" s="219"/>
      <c r="K444" s="219"/>
      <c r="L444" s="221" t="s">
        <v>648</v>
      </c>
      <c r="M444" s="222" t="s">
        <v>145</v>
      </c>
      <c r="N444" s="221" t="s">
        <v>37</v>
      </c>
      <c r="O444" s="223">
        <v>22</v>
      </c>
      <c r="P444" s="224">
        <v>61.25</v>
      </c>
      <c r="Q444" s="225">
        <v>1347.5</v>
      </c>
      <c r="R444" s="266"/>
      <c r="T444" s="4"/>
      <c r="U444" s="128"/>
    </row>
    <row r="445" spans="1:21" ht="18" x14ac:dyDescent="0.3">
      <c r="A445" s="216"/>
      <c r="B445" s="203"/>
      <c r="C445" s="217"/>
      <c r="D445" s="218"/>
      <c r="E445" s="218"/>
      <c r="F445" s="165"/>
      <c r="G445" s="166"/>
      <c r="H445" s="166"/>
      <c r="I445" s="219"/>
      <c r="J445" s="219"/>
      <c r="K445" s="219"/>
      <c r="L445" s="221" t="s">
        <v>1521</v>
      </c>
      <c r="M445" s="222" t="s">
        <v>1602</v>
      </c>
      <c r="N445" s="221" t="s">
        <v>34</v>
      </c>
      <c r="O445" s="223">
        <v>2</v>
      </c>
      <c r="P445" s="224">
        <v>56.8</v>
      </c>
      <c r="Q445" s="224">
        <v>113.6</v>
      </c>
      <c r="R445" s="266"/>
      <c r="T445" s="4"/>
      <c r="U445" s="128"/>
    </row>
    <row r="446" spans="1:21" ht="18" x14ac:dyDescent="0.3">
      <c r="A446" s="216"/>
      <c r="B446" s="203"/>
      <c r="C446" s="217"/>
      <c r="D446" s="218"/>
      <c r="E446" s="218"/>
      <c r="F446" s="165"/>
      <c r="G446" s="166"/>
      <c r="H446" s="166"/>
      <c r="I446" s="219"/>
      <c r="J446" s="219"/>
      <c r="K446" s="219"/>
      <c r="L446" s="221" t="s">
        <v>1762</v>
      </c>
      <c r="M446" s="222" t="s">
        <v>1782</v>
      </c>
      <c r="N446" s="221" t="s">
        <v>34</v>
      </c>
      <c r="O446" s="223">
        <v>1</v>
      </c>
      <c r="P446" s="224">
        <v>206.17</v>
      </c>
      <c r="Q446" s="224">
        <v>206.17</v>
      </c>
      <c r="R446" s="266"/>
      <c r="T446" s="4"/>
      <c r="U446" s="128"/>
    </row>
    <row r="447" spans="1:21" ht="18" x14ac:dyDescent="0.3">
      <c r="A447" s="216"/>
      <c r="B447" s="203"/>
      <c r="C447" s="217"/>
      <c r="D447" s="218"/>
      <c r="E447" s="218"/>
      <c r="F447" s="165"/>
      <c r="G447" s="166"/>
      <c r="H447" s="166"/>
      <c r="I447" s="219"/>
      <c r="J447" s="219"/>
      <c r="K447" s="219"/>
      <c r="L447" s="221" t="s">
        <v>607</v>
      </c>
      <c r="M447" s="222" t="s">
        <v>608</v>
      </c>
      <c r="N447" s="221" t="s">
        <v>34</v>
      </c>
      <c r="O447" s="223">
        <v>13</v>
      </c>
      <c r="P447" s="224">
        <v>43.57</v>
      </c>
      <c r="Q447" s="224">
        <v>566.47</v>
      </c>
      <c r="R447" s="266"/>
      <c r="T447" s="4"/>
      <c r="U447" s="128"/>
    </row>
    <row r="448" spans="1:21" ht="18" x14ac:dyDescent="0.3">
      <c r="A448" s="216"/>
      <c r="B448" s="203"/>
      <c r="C448" s="217"/>
      <c r="D448" s="218"/>
      <c r="E448" s="218"/>
      <c r="F448" s="165"/>
      <c r="G448" s="166"/>
      <c r="H448" s="166"/>
      <c r="I448" s="219"/>
      <c r="J448" s="219"/>
      <c r="K448" s="219"/>
      <c r="L448" s="221" t="s">
        <v>600</v>
      </c>
      <c r="M448" s="222" t="s">
        <v>258</v>
      </c>
      <c r="N448" s="221" t="s">
        <v>34</v>
      </c>
      <c r="O448" s="223">
        <v>2</v>
      </c>
      <c r="P448" s="224">
        <v>149.16999999999999</v>
      </c>
      <c r="Q448" s="224">
        <v>298.33999999999997</v>
      </c>
      <c r="R448" s="266"/>
      <c r="T448" s="4"/>
      <c r="U448" s="128"/>
    </row>
    <row r="449" spans="1:21" ht="18" x14ac:dyDescent="0.3">
      <c r="A449" s="216"/>
      <c r="B449" s="203"/>
      <c r="C449" s="217"/>
      <c r="D449" s="218"/>
      <c r="E449" s="218"/>
      <c r="F449" s="165"/>
      <c r="G449" s="166"/>
      <c r="H449" s="166"/>
      <c r="I449" s="219"/>
      <c r="J449" s="219"/>
      <c r="K449" s="219"/>
      <c r="L449" s="221" t="s">
        <v>586</v>
      </c>
      <c r="M449" s="222" t="s">
        <v>257</v>
      </c>
      <c r="N449" s="221" t="s">
        <v>34</v>
      </c>
      <c r="O449" s="223">
        <v>1</v>
      </c>
      <c r="P449" s="224">
        <v>89</v>
      </c>
      <c r="Q449" s="224">
        <v>89</v>
      </c>
      <c r="R449" s="266"/>
      <c r="T449" s="4"/>
      <c r="U449" s="128"/>
    </row>
    <row r="450" spans="1:21" ht="18" x14ac:dyDescent="0.3">
      <c r="A450" s="216"/>
      <c r="B450" s="203"/>
      <c r="C450" s="217"/>
      <c r="D450" s="218"/>
      <c r="E450" s="218"/>
      <c r="F450" s="165"/>
      <c r="G450" s="166"/>
      <c r="H450" s="166"/>
      <c r="I450" s="219"/>
      <c r="J450" s="219"/>
      <c r="K450" s="219"/>
      <c r="L450" s="221" t="s">
        <v>1523</v>
      </c>
      <c r="M450" s="222" t="s">
        <v>1604</v>
      </c>
      <c r="N450" s="221" t="s">
        <v>34</v>
      </c>
      <c r="O450" s="223">
        <v>1</v>
      </c>
      <c r="P450" s="224">
        <v>108.33</v>
      </c>
      <c r="Q450" s="224">
        <v>108.33</v>
      </c>
      <c r="R450" s="266"/>
      <c r="T450" s="4"/>
      <c r="U450" s="128"/>
    </row>
    <row r="451" spans="1:21" ht="18" x14ac:dyDescent="0.3">
      <c r="A451" s="216"/>
      <c r="B451" s="203"/>
      <c r="C451" s="217"/>
      <c r="D451" s="218"/>
      <c r="E451" s="218"/>
      <c r="F451" s="165"/>
      <c r="G451" s="166"/>
      <c r="H451" s="166"/>
      <c r="I451" s="219"/>
      <c r="J451" s="219"/>
      <c r="K451" s="219"/>
      <c r="L451" s="221" t="s">
        <v>1808</v>
      </c>
      <c r="M451" s="222" t="s">
        <v>1829</v>
      </c>
      <c r="N451" s="221" t="s">
        <v>34</v>
      </c>
      <c r="O451" s="223">
        <v>1</v>
      </c>
      <c r="P451" s="224">
        <v>69.17</v>
      </c>
      <c r="Q451" s="224">
        <v>69.17</v>
      </c>
      <c r="R451" s="266"/>
      <c r="T451" s="4"/>
      <c r="U451" s="128"/>
    </row>
    <row r="452" spans="1:21" ht="18" x14ac:dyDescent="0.3">
      <c r="A452" s="216"/>
      <c r="B452" s="203"/>
      <c r="C452" s="217"/>
      <c r="D452" s="218"/>
      <c r="E452" s="218"/>
      <c r="F452" s="165"/>
      <c r="G452" s="166"/>
      <c r="H452" s="166"/>
      <c r="I452" s="219"/>
      <c r="J452" s="219"/>
      <c r="K452" s="219"/>
      <c r="L452" s="221" t="s">
        <v>1525</v>
      </c>
      <c r="M452" s="222" t="s">
        <v>1606</v>
      </c>
      <c r="N452" s="221" t="s">
        <v>34</v>
      </c>
      <c r="O452" s="223">
        <v>1</v>
      </c>
      <c r="P452" s="224">
        <v>93.6</v>
      </c>
      <c r="Q452" s="224">
        <v>93.6</v>
      </c>
      <c r="R452" s="266"/>
      <c r="T452" s="4"/>
      <c r="U452" s="128"/>
    </row>
    <row r="453" spans="1:21" ht="18" x14ac:dyDescent="0.3">
      <c r="A453" s="216"/>
      <c r="B453" s="203"/>
      <c r="C453" s="217"/>
      <c r="D453" s="218"/>
      <c r="E453" s="218"/>
      <c r="F453" s="165"/>
      <c r="G453" s="166"/>
      <c r="H453" s="166"/>
      <c r="I453" s="219"/>
      <c r="J453" s="219"/>
      <c r="K453" s="219"/>
      <c r="L453" s="221" t="s">
        <v>1639</v>
      </c>
      <c r="M453" s="222" t="s">
        <v>1665</v>
      </c>
      <c r="N453" s="221" t="s">
        <v>34</v>
      </c>
      <c r="O453" s="223">
        <v>1</v>
      </c>
      <c r="P453" s="224">
        <v>144</v>
      </c>
      <c r="Q453" s="224">
        <v>144</v>
      </c>
      <c r="R453" s="266"/>
      <c r="T453" s="4"/>
      <c r="U453" s="128"/>
    </row>
    <row r="454" spans="1:21" ht="18" x14ac:dyDescent="0.3">
      <c r="A454" s="216"/>
      <c r="B454" s="203"/>
      <c r="C454" s="217"/>
      <c r="D454" s="218"/>
      <c r="E454" s="218"/>
      <c r="F454" s="165"/>
      <c r="G454" s="166"/>
      <c r="H454" s="166"/>
      <c r="I454" s="219"/>
      <c r="J454" s="219"/>
      <c r="K454" s="219"/>
      <c r="L454" s="221" t="s">
        <v>1527</v>
      </c>
      <c r="M454" s="222" t="s">
        <v>1608</v>
      </c>
      <c r="N454" s="221" t="s">
        <v>34</v>
      </c>
      <c r="O454" s="223">
        <v>12</v>
      </c>
      <c r="P454" s="224">
        <v>22.42</v>
      </c>
      <c r="Q454" s="224">
        <v>269.05</v>
      </c>
      <c r="R454" s="266"/>
      <c r="T454" s="4"/>
      <c r="U454" s="128"/>
    </row>
    <row r="455" spans="1:21" ht="18" x14ac:dyDescent="0.3">
      <c r="A455" s="216"/>
      <c r="B455" s="203"/>
      <c r="C455" s="217"/>
      <c r="D455" s="218"/>
      <c r="E455" s="218"/>
      <c r="F455" s="165"/>
      <c r="G455" s="166"/>
      <c r="H455" s="166"/>
      <c r="I455" s="219"/>
      <c r="J455" s="219"/>
      <c r="K455" s="219"/>
      <c r="L455" s="221" t="s">
        <v>1529</v>
      </c>
      <c r="M455" s="222" t="s">
        <v>410</v>
      </c>
      <c r="N455" s="221" t="s">
        <v>34</v>
      </c>
      <c r="O455" s="223">
        <v>2</v>
      </c>
      <c r="P455" s="224">
        <v>235.75</v>
      </c>
      <c r="Q455" s="224">
        <v>471.5</v>
      </c>
      <c r="R455" s="266"/>
      <c r="T455" s="4"/>
      <c r="U455" s="128"/>
    </row>
    <row r="456" spans="1:21" ht="18" x14ac:dyDescent="0.3">
      <c r="A456" s="216"/>
      <c r="B456" s="203"/>
      <c r="C456" s="217"/>
      <c r="D456" s="218"/>
      <c r="E456" s="218"/>
      <c r="F456" s="165"/>
      <c r="G456" s="166"/>
      <c r="H456" s="166"/>
      <c r="I456" s="219"/>
      <c r="J456" s="219"/>
      <c r="K456" s="219"/>
      <c r="L456" s="221" t="s">
        <v>1683</v>
      </c>
      <c r="M456" s="222" t="s">
        <v>1701</v>
      </c>
      <c r="N456" s="221" t="s">
        <v>34</v>
      </c>
      <c r="O456" s="223">
        <v>1</v>
      </c>
      <c r="P456" s="224">
        <v>18.329999999999998</v>
      </c>
      <c r="Q456" s="224">
        <v>18.329999999999998</v>
      </c>
      <c r="R456" s="266"/>
      <c r="T456" s="4"/>
      <c r="U456" s="128"/>
    </row>
    <row r="457" spans="1:21" ht="18" x14ac:dyDescent="0.3">
      <c r="A457" s="216"/>
      <c r="B457" s="203"/>
      <c r="C457" s="217"/>
      <c r="D457" s="218"/>
      <c r="E457" s="218"/>
      <c r="F457" s="165"/>
      <c r="G457" s="166"/>
      <c r="H457" s="166"/>
      <c r="I457" s="219"/>
      <c r="J457" s="219"/>
      <c r="K457" s="219"/>
      <c r="L457" s="221" t="s">
        <v>1531</v>
      </c>
      <c r="M457" s="222" t="s">
        <v>1611</v>
      </c>
      <c r="N457" s="221" t="s">
        <v>34</v>
      </c>
      <c r="O457" s="223">
        <v>2</v>
      </c>
      <c r="P457" s="224">
        <v>127</v>
      </c>
      <c r="Q457" s="224">
        <v>254</v>
      </c>
      <c r="R457" s="266"/>
      <c r="T457" s="4"/>
      <c r="U457" s="128"/>
    </row>
    <row r="458" spans="1:21" ht="18" x14ac:dyDescent="0.3">
      <c r="A458" s="216"/>
      <c r="B458" s="203"/>
      <c r="C458" s="217"/>
      <c r="D458" s="218"/>
      <c r="E458" s="218"/>
      <c r="F458" s="165"/>
      <c r="G458" s="166"/>
      <c r="H458" s="166"/>
      <c r="I458" s="219"/>
      <c r="J458" s="219"/>
      <c r="K458" s="219"/>
      <c r="L458" s="221" t="s">
        <v>1768</v>
      </c>
      <c r="M458" s="222" t="s">
        <v>1788</v>
      </c>
      <c r="N458" s="221" t="s">
        <v>34</v>
      </c>
      <c r="O458" s="223">
        <v>1</v>
      </c>
      <c r="P458" s="224">
        <v>163</v>
      </c>
      <c r="Q458" s="224">
        <v>163</v>
      </c>
      <c r="R458" s="266"/>
      <c r="T458" s="4"/>
      <c r="U458" s="128"/>
    </row>
    <row r="459" spans="1:21" ht="18" x14ac:dyDescent="0.3">
      <c r="A459" s="216"/>
      <c r="B459" s="203"/>
      <c r="C459" s="217"/>
      <c r="D459" s="218"/>
      <c r="E459" s="218"/>
      <c r="F459" s="165"/>
      <c r="G459" s="166"/>
      <c r="H459" s="166"/>
      <c r="I459" s="219"/>
      <c r="J459" s="219"/>
      <c r="K459" s="219"/>
      <c r="L459" s="221" t="s">
        <v>547</v>
      </c>
      <c r="M459" s="222" t="s">
        <v>120</v>
      </c>
      <c r="N459" s="221" t="s">
        <v>34</v>
      </c>
      <c r="O459" s="223">
        <v>1</v>
      </c>
      <c r="P459" s="224">
        <v>23.3</v>
      </c>
      <c r="Q459" s="224">
        <v>23.3</v>
      </c>
      <c r="R459" s="266"/>
      <c r="T459" s="4"/>
      <c r="U459" s="128"/>
    </row>
    <row r="460" spans="1:21" ht="18" x14ac:dyDescent="0.3">
      <c r="A460" s="216"/>
      <c r="B460" s="203"/>
      <c r="C460" s="217"/>
      <c r="D460" s="218"/>
      <c r="E460" s="218"/>
      <c r="F460" s="165"/>
      <c r="G460" s="166"/>
      <c r="H460" s="166"/>
      <c r="I460" s="219"/>
      <c r="J460" s="219"/>
      <c r="K460" s="219"/>
      <c r="L460" s="221" t="s">
        <v>1642</v>
      </c>
      <c r="M460" s="222" t="s">
        <v>1668</v>
      </c>
      <c r="N460" s="221" t="s">
        <v>34</v>
      </c>
      <c r="O460" s="223">
        <v>1</v>
      </c>
      <c r="P460" s="224">
        <v>104.2</v>
      </c>
      <c r="Q460" s="224">
        <v>104.2</v>
      </c>
      <c r="R460" s="266"/>
      <c r="T460" s="4"/>
      <c r="U460" s="128"/>
    </row>
    <row r="461" spans="1:21" ht="18" x14ac:dyDescent="0.3">
      <c r="A461" s="216"/>
      <c r="B461" s="203"/>
      <c r="C461" s="217"/>
      <c r="D461" s="218"/>
      <c r="E461" s="218"/>
      <c r="F461" s="165"/>
      <c r="G461" s="166"/>
      <c r="H461" s="166"/>
      <c r="I461" s="219"/>
      <c r="J461" s="219"/>
      <c r="K461" s="219"/>
      <c r="L461" s="221" t="s">
        <v>1836</v>
      </c>
      <c r="M461" s="222" t="s">
        <v>1842</v>
      </c>
      <c r="N461" s="221" t="s">
        <v>34</v>
      </c>
      <c r="O461" s="223">
        <v>1</v>
      </c>
      <c r="P461" s="224">
        <v>485</v>
      </c>
      <c r="Q461" s="224">
        <v>485</v>
      </c>
      <c r="R461" s="266"/>
      <c r="T461" s="4"/>
      <c r="U461" s="128"/>
    </row>
    <row r="462" spans="1:21" ht="18" x14ac:dyDescent="0.3">
      <c r="A462" s="216"/>
      <c r="B462" s="203"/>
      <c r="C462" s="217"/>
      <c r="D462" s="218"/>
      <c r="E462" s="218"/>
      <c r="F462" s="165"/>
      <c r="G462" s="166"/>
      <c r="H462" s="166"/>
      <c r="I462" s="219"/>
      <c r="J462" s="219"/>
      <c r="K462" s="219"/>
      <c r="L462" s="221" t="s">
        <v>1643</v>
      </c>
      <c r="M462" s="222" t="s">
        <v>1669</v>
      </c>
      <c r="N462" s="221" t="s">
        <v>34</v>
      </c>
      <c r="O462" s="223">
        <v>1</v>
      </c>
      <c r="P462" s="224">
        <v>197.5</v>
      </c>
      <c r="Q462" s="224">
        <v>197.5</v>
      </c>
      <c r="R462" s="266"/>
      <c r="T462" s="4"/>
      <c r="U462" s="128"/>
    </row>
    <row r="463" spans="1:21" ht="18" x14ac:dyDescent="0.3">
      <c r="A463" s="216"/>
      <c r="B463" s="203"/>
      <c r="C463" s="217"/>
      <c r="D463" s="218"/>
      <c r="E463" s="218"/>
      <c r="F463" s="165"/>
      <c r="G463" s="166"/>
      <c r="H463" s="166"/>
      <c r="I463" s="219"/>
      <c r="J463" s="219"/>
      <c r="K463" s="219"/>
      <c r="L463" s="221" t="s">
        <v>576</v>
      </c>
      <c r="M463" s="222" t="s">
        <v>577</v>
      </c>
      <c r="N463" s="221" t="s">
        <v>34</v>
      </c>
      <c r="O463" s="223">
        <v>1</v>
      </c>
      <c r="P463" s="224">
        <v>353.5</v>
      </c>
      <c r="Q463" s="224">
        <v>353.5</v>
      </c>
      <c r="R463" s="266"/>
      <c r="T463" s="4"/>
      <c r="U463" s="128"/>
    </row>
    <row r="464" spans="1:21" ht="18" x14ac:dyDescent="0.3">
      <c r="A464" s="216"/>
      <c r="B464" s="203"/>
      <c r="C464" s="217"/>
      <c r="D464" s="218"/>
      <c r="E464" s="218"/>
      <c r="F464" s="165"/>
      <c r="G464" s="166"/>
      <c r="H464" s="166"/>
      <c r="I464" s="219"/>
      <c r="J464" s="219"/>
      <c r="K464" s="219"/>
      <c r="L464" s="221" t="s">
        <v>1533</v>
      </c>
      <c r="M464" s="222" t="s">
        <v>1613</v>
      </c>
      <c r="N464" s="221" t="s">
        <v>34</v>
      </c>
      <c r="O464" s="223">
        <v>1</v>
      </c>
      <c r="P464" s="224">
        <v>435.34</v>
      </c>
      <c r="Q464" s="224">
        <v>435.34</v>
      </c>
      <c r="R464" s="266"/>
      <c r="T464" s="4"/>
      <c r="U464" s="128"/>
    </row>
    <row r="465" spans="1:21" ht="18" x14ac:dyDescent="0.3">
      <c r="A465" s="216"/>
      <c r="B465" s="203"/>
      <c r="C465" s="217"/>
      <c r="D465" s="218"/>
      <c r="E465" s="218"/>
      <c r="F465" s="165"/>
      <c r="G465" s="166"/>
      <c r="H465" s="166"/>
      <c r="I465" s="219"/>
      <c r="J465" s="219"/>
      <c r="K465" s="219"/>
      <c r="L465" s="221" t="s">
        <v>1534</v>
      </c>
      <c r="M465" s="222" t="s">
        <v>1614</v>
      </c>
      <c r="N465" s="221" t="s">
        <v>34</v>
      </c>
      <c r="O465" s="223">
        <v>1</v>
      </c>
      <c r="P465" s="224">
        <v>24.75</v>
      </c>
      <c r="Q465" s="224">
        <v>24.75</v>
      </c>
      <c r="R465" s="266"/>
      <c r="T465" s="4"/>
      <c r="U465" s="128"/>
    </row>
    <row r="466" spans="1:21" ht="18" x14ac:dyDescent="0.3">
      <c r="A466" s="216"/>
      <c r="B466" s="203"/>
      <c r="C466" s="217"/>
      <c r="D466" s="218"/>
      <c r="E466" s="218"/>
      <c r="F466" s="165"/>
      <c r="G466" s="166"/>
      <c r="H466" s="166"/>
      <c r="I466" s="219"/>
      <c r="J466" s="219"/>
      <c r="K466" s="219"/>
      <c r="L466" s="221" t="s">
        <v>1536</v>
      </c>
      <c r="M466" s="222" t="s">
        <v>1616</v>
      </c>
      <c r="N466" s="221" t="s">
        <v>34</v>
      </c>
      <c r="O466" s="223">
        <v>1</v>
      </c>
      <c r="P466" s="224">
        <v>51</v>
      </c>
      <c r="Q466" s="224">
        <v>51</v>
      </c>
      <c r="R466" s="266"/>
      <c r="T466" s="4"/>
      <c r="U466" s="128"/>
    </row>
    <row r="467" spans="1:21" ht="18" x14ac:dyDescent="0.3">
      <c r="A467" s="216"/>
      <c r="B467" s="203"/>
      <c r="C467" s="217"/>
      <c r="D467" s="218"/>
      <c r="E467" s="218"/>
      <c r="F467" s="165"/>
      <c r="G467" s="166"/>
      <c r="H467" s="166"/>
      <c r="I467" s="219"/>
      <c r="J467" s="219"/>
      <c r="K467" s="219"/>
      <c r="L467" s="221" t="s">
        <v>1831</v>
      </c>
      <c r="M467" s="222" t="s">
        <v>1837</v>
      </c>
      <c r="N467" s="221" t="s">
        <v>64</v>
      </c>
      <c r="O467" s="223">
        <v>1</v>
      </c>
      <c r="P467" s="224">
        <v>264.2</v>
      </c>
      <c r="Q467" s="224">
        <v>264.2</v>
      </c>
      <c r="R467" s="266"/>
      <c r="T467" s="4"/>
      <c r="U467" s="128"/>
    </row>
    <row r="468" spans="1:21" ht="18" x14ac:dyDescent="0.3">
      <c r="A468" s="216"/>
      <c r="B468" s="203"/>
      <c r="C468" s="217"/>
      <c r="D468" s="218"/>
      <c r="E468" s="218"/>
      <c r="F468" s="165"/>
      <c r="G468" s="166"/>
      <c r="H468" s="166"/>
      <c r="I468" s="219"/>
      <c r="J468" s="219"/>
      <c r="K468" s="219"/>
      <c r="L468" s="267" t="s">
        <v>1843</v>
      </c>
      <c r="M468" s="268" t="s">
        <v>1844</v>
      </c>
      <c r="N468" s="267" t="s">
        <v>1845</v>
      </c>
      <c r="O468" s="269">
        <v>0.2</v>
      </c>
      <c r="P468" s="270">
        <v>1042.5</v>
      </c>
      <c r="Q468" s="271">
        <v>208.5</v>
      </c>
      <c r="R468" s="220"/>
      <c r="T468" s="4"/>
      <c r="U468" s="128"/>
    </row>
    <row r="469" spans="1:21" ht="18.600000000000001" thickBot="1" x14ac:dyDescent="0.35">
      <c r="A469" s="15"/>
      <c r="B469" s="20"/>
      <c r="C469" s="6"/>
      <c r="D469" s="44"/>
      <c r="E469" s="44"/>
      <c r="F469" s="75"/>
      <c r="G469" s="76"/>
      <c r="H469" s="76"/>
      <c r="I469" s="49"/>
      <c r="J469" s="49"/>
      <c r="K469" s="49"/>
      <c r="L469" s="67"/>
      <c r="M469" s="68"/>
      <c r="N469" s="68"/>
      <c r="O469" s="45"/>
      <c r="P469" s="45"/>
      <c r="Q469" s="45"/>
      <c r="R469" s="19"/>
      <c r="T469" s="4"/>
      <c r="U469" s="128"/>
    </row>
    <row r="470" spans="1:21" ht="21.6" thickBot="1" x14ac:dyDescent="0.35">
      <c r="A470" s="28"/>
      <c r="B470" s="29" t="s">
        <v>29</v>
      </c>
      <c r="C470" s="30"/>
      <c r="D470" s="31">
        <f>SUM(D359:D469)</f>
        <v>0</v>
      </c>
      <c r="E470" s="31"/>
      <c r="F470" s="71"/>
      <c r="G470" s="71"/>
      <c r="H470" s="71"/>
      <c r="I470" s="71"/>
      <c r="J470" s="71"/>
      <c r="K470" s="71"/>
      <c r="L470" s="120"/>
      <c r="M470" s="121"/>
      <c r="N470" s="121"/>
      <c r="O470" s="34"/>
      <c r="P470" s="34"/>
      <c r="Q470" s="34">
        <f>SUM(Q361:Q469)</f>
        <v>35484.339999999982</v>
      </c>
      <c r="R470" s="35"/>
    </row>
    <row r="471" spans="1:21" ht="21.6" thickBot="1" x14ac:dyDescent="0.35">
      <c r="A471" s="36"/>
      <c r="B471" s="37" t="s">
        <v>30</v>
      </c>
      <c r="C471" s="38"/>
      <c r="D471" s="39"/>
      <c r="E471" s="39"/>
      <c r="F471" s="73"/>
      <c r="G471" s="73"/>
      <c r="H471" s="73"/>
      <c r="I471" s="73"/>
      <c r="J471" s="73"/>
      <c r="K471" s="73"/>
      <c r="L471" s="122"/>
      <c r="M471" s="123"/>
      <c r="N471" s="123"/>
      <c r="O471" s="42"/>
      <c r="P471" s="42"/>
      <c r="Q471" s="42">
        <f>Q470+Q360</f>
        <v>603575.77</v>
      </c>
      <c r="R471" s="43"/>
    </row>
    <row r="472" spans="1:21" ht="25.2" customHeight="1" x14ac:dyDescent="0.4">
      <c r="A472" s="288" t="s">
        <v>12</v>
      </c>
      <c r="B472" s="288"/>
      <c r="C472" s="288"/>
      <c r="D472" s="288"/>
      <c r="E472" s="288"/>
      <c r="F472" s="288"/>
      <c r="G472" s="288"/>
      <c r="H472" s="288"/>
      <c r="I472" s="288"/>
      <c r="J472" s="288"/>
      <c r="K472" s="288"/>
      <c r="L472" s="288"/>
      <c r="M472" s="288"/>
      <c r="N472" s="288"/>
      <c r="O472" s="124"/>
      <c r="P472" s="284"/>
      <c r="Q472" s="284"/>
      <c r="R472" s="5"/>
    </row>
    <row r="473" spans="1:21" ht="25.2" customHeight="1" x14ac:dyDescent="0.4">
      <c r="A473" s="288" t="s">
        <v>13</v>
      </c>
      <c r="B473" s="288"/>
      <c r="C473" s="288"/>
      <c r="D473" s="288"/>
      <c r="E473" s="288"/>
      <c r="F473" s="288"/>
      <c r="G473" s="288"/>
      <c r="H473" s="288"/>
      <c r="I473" s="288"/>
      <c r="J473" s="288"/>
      <c r="K473" s="288"/>
      <c r="L473" s="288"/>
      <c r="M473" s="288"/>
      <c r="N473" s="288"/>
      <c r="O473" s="124"/>
      <c r="P473" s="284"/>
      <c r="Q473" s="284"/>
      <c r="R473" s="5"/>
    </row>
    <row r="474" spans="1:21" ht="25.2" customHeight="1" x14ac:dyDescent="0.4">
      <c r="A474" s="290" t="s">
        <v>14</v>
      </c>
      <c r="B474" s="290"/>
      <c r="C474" s="290"/>
      <c r="D474" s="290"/>
      <c r="E474" s="290"/>
      <c r="F474" s="290"/>
      <c r="G474" s="290"/>
      <c r="H474" s="290"/>
      <c r="I474" s="290"/>
      <c r="J474" s="290"/>
      <c r="K474" s="290"/>
      <c r="L474" s="290"/>
      <c r="M474" s="290"/>
      <c r="N474" s="290"/>
      <c r="O474" s="125"/>
      <c r="P474" s="285"/>
      <c r="Q474" s="285"/>
      <c r="R474" s="5"/>
    </row>
    <row r="475" spans="1:21" ht="25.2" customHeight="1" x14ac:dyDescent="0.4">
      <c r="A475" s="288" t="s">
        <v>15</v>
      </c>
      <c r="B475" s="288"/>
      <c r="C475" s="288"/>
      <c r="D475" s="288"/>
      <c r="E475" s="288"/>
      <c r="F475" s="288"/>
      <c r="G475" s="288"/>
      <c r="H475" s="288"/>
      <c r="I475" s="288"/>
      <c r="J475" s="288"/>
      <c r="K475" s="288"/>
      <c r="L475" s="288"/>
      <c r="M475" s="288"/>
      <c r="N475" s="288"/>
      <c r="O475" s="124"/>
      <c r="P475" s="284"/>
      <c r="Q475" s="284"/>
      <c r="R475" s="5"/>
    </row>
    <row r="476" spans="1:21" ht="25.2" customHeight="1" x14ac:dyDescent="0.4">
      <c r="A476" s="288" t="s">
        <v>16</v>
      </c>
      <c r="B476" s="288"/>
      <c r="C476" s="288"/>
      <c r="D476" s="288"/>
      <c r="E476" s="288"/>
      <c r="F476" s="288"/>
      <c r="G476" s="288"/>
      <c r="H476" s="288"/>
      <c r="I476" s="288"/>
      <c r="J476" s="288"/>
      <c r="K476" s="288"/>
      <c r="L476" s="288"/>
      <c r="M476" s="288"/>
      <c r="N476" s="288"/>
      <c r="O476" s="124"/>
      <c r="P476" s="284"/>
      <c r="Q476" s="284"/>
      <c r="R476" s="5"/>
    </row>
    <row r="477" spans="1:21" ht="25.2" customHeight="1" x14ac:dyDescent="0.4">
      <c r="A477" s="288" t="s">
        <v>17</v>
      </c>
      <c r="B477" s="288"/>
      <c r="C477" s="288"/>
      <c r="D477" s="288"/>
      <c r="E477" s="288"/>
      <c r="F477" s="288"/>
      <c r="G477" s="288"/>
      <c r="H477" s="288"/>
      <c r="I477" s="288"/>
      <c r="J477" s="288"/>
      <c r="K477" s="288"/>
      <c r="L477" s="288"/>
      <c r="M477" s="288"/>
      <c r="N477" s="288"/>
      <c r="O477" s="124"/>
      <c r="P477" s="284"/>
      <c r="Q477" s="284"/>
      <c r="R477" s="5"/>
    </row>
    <row r="478" spans="1:21" ht="25.2" customHeight="1" x14ac:dyDescent="0.4">
      <c r="A478" s="288" t="s">
        <v>1852</v>
      </c>
      <c r="B478" s="288"/>
      <c r="C478" s="288"/>
      <c r="D478" s="288"/>
      <c r="E478" s="288"/>
      <c r="F478" s="288"/>
      <c r="G478" s="288"/>
      <c r="H478" s="288"/>
      <c r="I478" s="288"/>
      <c r="J478" s="288"/>
      <c r="K478" s="288"/>
      <c r="L478" s="288"/>
      <c r="M478" s="288"/>
      <c r="N478" s="288"/>
      <c r="O478" s="124"/>
      <c r="P478" s="284"/>
      <c r="Q478" s="284"/>
      <c r="R478" s="5"/>
    </row>
    <row r="479" spans="1:21" ht="25.2" customHeight="1" x14ac:dyDescent="0.4">
      <c r="A479" s="288" t="s">
        <v>17</v>
      </c>
      <c r="B479" s="288"/>
      <c r="C479" s="288"/>
      <c r="D479" s="288"/>
      <c r="E479" s="288"/>
      <c r="F479" s="288"/>
      <c r="G479" s="288"/>
      <c r="H479" s="288"/>
      <c r="I479" s="288"/>
      <c r="J479" s="288"/>
      <c r="K479" s="288"/>
      <c r="L479" s="288"/>
      <c r="M479" s="288"/>
      <c r="N479" s="288"/>
      <c r="O479" s="124"/>
      <c r="P479" s="284"/>
      <c r="Q479" s="284"/>
      <c r="R479" s="5"/>
    </row>
    <row r="480" spans="1:21" ht="25.2" customHeight="1" x14ac:dyDescent="0.4">
      <c r="A480" s="288" t="s">
        <v>19</v>
      </c>
      <c r="B480" s="288"/>
      <c r="C480" s="288"/>
      <c r="D480" s="288"/>
      <c r="E480" s="288"/>
      <c r="F480" s="288"/>
      <c r="G480" s="288"/>
      <c r="H480" s="288"/>
      <c r="I480" s="288"/>
      <c r="J480" s="288"/>
      <c r="K480" s="288"/>
      <c r="L480" s="288"/>
      <c r="M480" s="288"/>
      <c r="N480" s="288"/>
      <c r="O480" s="124"/>
      <c r="P480" s="284"/>
      <c r="Q480" s="284"/>
      <c r="R480" s="5"/>
    </row>
    <row r="481" spans="1:18" ht="25.2" customHeight="1" x14ac:dyDescent="0.4">
      <c r="A481" s="288" t="s">
        <v>11</v>
      </c>
      <c r="B481" s="288"/>
      <c r="C481" s="288"/>
      <c r="D481" s="288"/>
      <c r="E481" s="288"/>
      <c r="F481" s="288"/>
      <c r="G481" s="288"/>
      <c r="H481" s="288"/>
      <c r="I481" s="288"/>
      <c r="J481" s="288"/>
      <c r="K481" s="288"/>
      <c r="L481" s="288"/>
      <c r="M481" s="288"/>
      <c r="N481" s="288"/>
      <c r="O481" s="124"/>
      <c r="P481" s="284"/>
      <c r="Q481" s="284"/>
      <c r="R481" s="5"/>
    </row>
    <row r="482" spans="1:18" ht="25.2" customHeight="1" x14ac:dyDescent="0.4">
      <c r="A482" s="288" t="s">
        <v>1859</v>
      </c>
      <c r="B482" s="288"/>
      <c r="C482" s="288"/>
      <c r="D482" s="288"/>
      <c r="E482" s="288"/>
      <c r="F482" s="288"/>
      <c r="G482" s="288"/>
      <c r="H482" s="288"/>
      <c r="I482" s="288"/>
      <c r="J482" s="288"/>
      <c r="K482" s="288"/>
      <c r="L482" s="288"/>
      <c r="M482" s="288"/>
      <c r="N482" s="288"/>
      <c r="O482" s="124"/>
      <c r="P482" s="284"/>
      <c r="Q482" s="284"/>
      <c r="R482" s="5"/>
    </row>
    <row r="483" spans="1:18" ht="25.2" customHeight="1" x14ac:dyDescent="0.4">
      <c r="A483" s="289" t="s">
        <v>31</v>
      </c>
      <c r="B483" s="289"/>
      <c r="C483" s="289"/>
      <c r="D483" s="289"/>
      <c r="E483" s="289"/>
      <c r="F483" s="289"/>
      <c r="G483" s="289"/>
      <c r="H483" s="289"/>
      <c r="I483" s="289"/>
      <c r="J483" s="289"/>
      <c r="K483" s="289"/>
      <c r="L483" s="289"/>
      <c r="M483" s="289"/>
      <c r="N483" s="289"/>
      <c r="O483" s="126"/>
      <c r="P483" s="286"/>
      <c r="Q483" s="286"/>
      <c r="R483" s="5"/>
    </row>
    <row r="484" spans="1:18" ht="36" customHeight="1" x14ac:dyDescent="0.3"/>
  </sheetData>
  <autoFilter ref="A18:U483" xr:uid="{DE685D05-9FEE-404B-AA01-BE2D5B544193}"/>
  <mergeCells count="36">
    <mergeCell ref="A482:N482"/>
    <mergeCell ref="A483:N483"/>
    <mergeCell ref="A476:N476"/>
    <mergeCell ref="A477:N477"/>
    <mergeCell ref="A478:N478"/>
    <mergeCell ref="A479:N479"/>
    <mergeCell ref="A480:N480"/>
    <mergeCell ref="A481:N481"/>
    <mergeCell ref="M16:Q16"/>
    <mergeCell ref="R16:R17"/>
    <mergeCell ref="A472:N472"/>
    <mergeCell ref="A473:N473"/>
    <mergeCell ref="A474:N474"/>
    <mergeCell ref="A475:N475"/>
    <mergeCell ref="F16:F17"/>
    <mergeCell ref="G16:G17"/>
    <mergeCell ref="H16:H17"/>
    <mergeCell ref="I16:I17"/>
    <mergeCell ref="J16:J17"/>
    <mergeCell ref="K16:K17"/>
    <mergeCell ref="A12:R12"/>
    <mergeCell ref="A13:R13"/>
    <mergeCell ref="A14:Q14"/>
    <mergeCell ref="A15:K15"/>
    <mergeCell ref="L15:R15"/>
    <mergeCell ref="A16:A17"/>
    <mergeCell ref="B16:B17"/>
    <mergeCell ref="C16:C17"/>
    <mergeCell ref="D16:D17"/>
    <mergeCell ref="E16:E17"/>
    <mergeCell ref="M1:R2"/>
    <mergeCell ref="M4:R4"/>
    <mergeCell ref="M5:R5"/>
    <mergeCell ref="M7:R7"/>
    <mergeCell ref="A10:R10"/>
    <mergeCell ref="A11:R11"/>
  </mergeCells>
  <pageMargins left="0.25" right="0.25" top="0.75" bottom="0.75" header="0.3" footer="0.3"/>
  <pageSetup paperSize="9" scale="36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85D05-9FEE-404B-AA01-BE2D5B544193}">
  <sheetPr>
    <tabColor rgb="FFFFFF00"/>
    <pageSetUpPr fitToPage="1"/>
  </sheetPr>
  <dimension ref="A1:T486"/>
  <sheetViews>
    <sheetView topLeftCell="A423" zoomScale="89" zoomScaleNormal="89" workbookViewId="0">
      <selection activeCell="L361" sqref="L361"/>
    </sheetView>
  </sheetViews>
  <sheetFormatPr defaultRowHeight="14.4" x14ac:dyDescent="0.3"/>
  <cols>
    <col min="1" max="1" width="6.6640625" style="103" customWidth="1"/>
    <col min="2" max="2" width="63.109375" customWidth="1"/>
    <col min="3" max="3" width="11.109375" style="103" customWidth="1"/>
    <col min="4" max="10" width="10.77734375" style="103" customWidth="1"/>
    <col min="11" max="11" width="17.33203125" style="4" customWidth="1"/>
    <col min="12" max="12" width="61" style="4" customWidth="1"/>
    <col min="13" max="14" width="11.6640625" style="4" customWidth="1"/>
    <col min="15" max="15" width="19.77734375" style="4" customWidth="1"/>
    <col min="16" max="16" width="15.44140625" style="4" bestFit="1" customWidth="1"/>
    <col min="17" max="17" width="35.44140625" customWidth="1"/>
    <col min="18" max="18" width="12.109375" bestFit="1" customWidth="1"/>
    <col min="20" max="20" width="9.88671875" bestFit="1" customWidth="1"/>
  </cols>
  <sheetData>
    <row r="1" spans="1:19" ht="15.75" customHeight="1" x14ac:dyDescent="0.3">
      <c r="A1" s="2"/>
      <c r="B1" s="1"/>
      <c r="C1" s="3"/>
      <c r="D1" s="3"/>
      <c r="E1" s="3"/>
      <c r="F1" s="3"/>
      <c r="G1" s="3"/>
      <c r="H1" s="3"/>
      <c r="I1" s="3"/>
      <c r="J1" s="3"/>
      <c r="K1" s="3"/>
      <c r="L1" s="306" t="s">
        <v>26</v>
      </c>
      <c r="M1" s="306"/>
      <c r="N1" s="306"/>
      <c r="O1" s="306"/>
      <c r="P1" s="306"/>
      <c r="Q1" s="306"/>
      <c r="R1" s="13"/>
      <c r="S1" s="13"/>
    </row>
    <row r="2" spans="1:19" ht="15" customHeight="1" x14ac:dyDescent="0.3">
      <c r="A2" s="2"/>
      <c r="B2" s="1"/>
      <c r="C2" s="3"/>
      <c r="D2" s="3"/>
      <c r="E2" s="3"/>
      <c r="F2" s="3"/>
      <c r="G2" s="3"/>
      <c r="H2" s="3"/>
      <c r="I2" s="3"/>
      <c r="J2" s="3"/>
      <c r="K2" s="3"/>
      <c r="L2" s="307"/>
      <c r="M2" s="307"/>
      <c r="N2" s="307"/>
      <c r="O2" s="307"/>
      <c r="P2" s="307"/>
      <c r="Q2" s="307"/>
      <c r="R2" s="13"/>
      <c r="S2" s="13"/>
    </row>
    <row r="3" spans="1:19" ht="15.6" x14ac:dyDescent="0.3">
      <c r="A3" s="2"/>
      <c r="B3" s="1"/>
      <c r="C3" s="3"/>
      <c r="D3" s="3"/>
      <c r="E3" s="3"/>
      <c r="F3" s="3"/>
      <c r="G3" s="3"/>
      <c r="H3" s="3"/>
      <c r="I3" s="3"/>
      <c r="J3" s="3"/>
      <c r="K3" s="3"/>
      <c r="L3" s="119"/>
      <c r="M3" s="119"/>
      <c r="N3" s="119"/>
      <c r="O3" s="105"/>
      <c r="P3" s="105"/>
      <c r="Q3" s="105"/>
      <c r="R3" s="13"/>
      <c r="S3" s="13"/>
    </row>
    <row r="4" spans="1:19" ht="23.4" x14ac:dyDescent="0.45">
      <c r="A4" s="2"/>
      <c r="B4" s="1"/>
      <c r="C4" s="3"/>
      <c r="D4" s="3"/>
      <c r="E4" s="3"/>
      <c r="F4" s="3"/>
      <c r="G4" s="3"/>
      <c r="H4" s="3"/>
      <c r="I4" s="3"/>
      <c r="J4" s="3"/>
      <c r="K4" s="3"/>
      <c r="L4" s="308" t="s">
        <v>27</v>
      </c>
      <c r="M4" s="308"/>
      <c r="N4" s="308"/>
      <c r="O4" s="308"/>
      <c r="P4" s="308"/>
      <c r="Q4" s="308"/>
      <c r="R4" s="13"/>
      <c r="S4" s="13"/>
    </row>
    <row r="5" spans="1:19" ht="21" x14ac:dyDescent="0.4">
      <c r="A5" s="2"/>
      <c r="B5" s="1"/>
      <c r="C5" s="3"/>
      <c r="D5" s="3"/>
      <c r="E5" s="3"/>
      <c r="F5" s="3"/>
      <c r="G5" s="3"/>
      <c r="H5" s="3"/>
      <c r="I5" s="3"/>
      <c r="J5" s="3"/>
      <c r="K5" s="3"/>
      <c r="L5" s="309" t="s">
        <v>28</v>
      </c>
      <c r="M5" s="309"/>
      <c r="N5" s="309"/>
      <c r="O5" s="309"/>
      <c r="P5" s="309"/>
      <c r="Q5" s="309"/>
      <c r="R5" s="13"/>
      <c r="S5" s="13"/>
    </row>
    <row r="6" spans="1:19" ht="15.6" x14ac:dyDescent="0.3">
      <c r="A6" s="2"/>
      <c r="B6" s="1"/>
      <c r="C6" s="3"/>
      <c r="D6" s="3"/>
      <c r="E6" s="3"/>
      <c r="F6" s="3"/>
      <c r="G6" s="3"/>
      <c r="H6" s="3"/>
      <c r="I6" s="3"/>
      <c r="J6" s="3"/>
      <c r="K6" s="3"/>
      <c r="L6" s="2"/>
      <c r="M6" s="9"/>
      <c r="N6" s="9"/>
      <c r="O6" s="10"/>
      <c r="P6" s="11"/>
      <c r="Q6" s="12"/>
      <c r="R6" s="13"/>
      <c r="S6" s="13"/>
    </row>
    <row r="7" spans="1:19" ht="18" x14ac:dyDescent="0.35">
      <c r="A7" s="2"/>
      <c r="B7" s="1"/>
      <c r="C7" s="3"/>
      <c r="D7" s="3"/>
      <c r="E7" s="3"/>
      <c r="F7" s="3"/>
      <c r="G7" s="3"/>
      <c r="H7" s="3"/>
      <c r="I7" s="3"/>
      <c r="J7" s="3"/>
      <c r="K7" s="3"/>
      <c r="L7" s="310" t="s">
        <v>33</v>
      </c>
      <c r="M7" s="310"/>
      <c r="N7" s="310"/>
      <c r="O7" s="310"/>
      <c r="P7" s="310"/>
      <c r="Q7" s="310"/>
      <c r="R7" s="13"/>
      <c r="S7" s="13"/>
    </row>
    <row r="8" spans="1:19" ht="15.6" x14ac:dyDescent="0.3">
      <c r="A8" s="2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R8" s="13"/>
      <c r="S8" s="13"/>
    </row>
    <row r="9" spans="1:19" ht="15.6" x14ac:dyDescent="0.3">
      <c r="A9" s="2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R9" s="13"/>
      <c r="S9" s="13"/>
    </row>
    <row r="10" spans="1:19" ht="18" customHeight="1" x14ac:dyDescent="0.3">
      <c r="A10" s="305" t="s">
        <v>0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13"/>
      <c r="S10" s="13"/>
    </row>
    <row r="11" spans="1:19" ht="18" customHeight="1" x14ac:dyDescent="0.3">
      <c r="A11" s="305" t="s">
        <v>1</v>
      </c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5"/>
      <c r="Q11" s="305"/>
      <c r="R11" s="13"/>
      <c r="S11" s="13"/>
    </row>
    <row r="12" spans="1:19" ht="18" customHeight="1" x14ac:dyDescent="0.3">
      <c r="A12" s="305" t="s">
        <v>2</v>
      </c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13"/>
      <c r="S12" s="13"/>
    </row>
    <row r="13" spans="1:19" ht="63.6" customHeight="1" x14ac:dyDescent="0.3">
      <c r="A13" s="311" t="s">
        <v>1101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</row>
    <row r="14" spans="1:19" ht="27" customHeight="1" thickBot="1" x14ac:dyDescent="0.35">
      <c r="A14" s="313" t="s">
        <v>36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</row>
    <row r="15" spans="1:19" ht="30.6" customHeight="1" thickBot="1" x14ac:dyDescent="0.35">
      <c r="A15" s="314" t="s">
        <v>24</v>
      </c>
      <c r="B15" s="315"/>
      <c r="C15" s="315"/>
      <c r="D15" s="315"/>
      <c r="E15" s="315"/>
      <c r="F15" s="315"/>
      <c r="G15" s="315"/>
      <c r="H15" s="315"/>
      <c r="I15" s="315"/>
      <c r="J15" s="315"/>
      <c r="K15" s="316" t="s">
        <v>25</v>
      </c>
      <c r="L15" s="317"/>
      <c r="M15" s="317"/>
      <c r="N15" s="317"/>
      <c r="O15" s="317"/>
      <c r="P15" s="317"/>
      <c r="Q15" s="318"/>
    </row>
    <row r="16" spans="1:19" ht="15" customHeight="1" x14ac:dyDescent="0.3">
      <c r="A16" s="298" t="s">
        <v>3</v>
      </c>
      <c r="B16" s="300" t="s">
        <v>4</v>
      </c>
      <c r="C16" s="293" t="s">
        <v>5</v>
      </c>
      <c r="D16" s="300" t="s">
        <v>6</v>
      </c>
      <c r="E16" s="291"/>
      <c r="F16" s="293"/>
      <c r="G16" s="293"/>
      <c r="H16" s="294"/>
      <c r="I16" s="293" t="s">
        <v>21</v>
      </c>
      <c r="J16" s="296" t="s">
        <v>22</v>
      </c>
      <c r="K16" s="16"/>
      <c r="L16" s="302" t="s">
        <v>7</v>
      </c>
      <c r="M16" s="303"/>
      <c r="N16" s="303"/>
      <c r="O16" s="303"/>
      <c r="P16" s="304"/>
      <c r="Q16" s="296" t="s">
        <v>8</v>
      </c>
    </row>
    <row r="17" spans="1:20" ht="34.200000000000003" customHeight="1" x14ac:dyDescent="0.3">
      <c r="A17" s="299"/>
      <c r="B17" s="301"/>
      <c r="C17" s="292"/>
      <c r="D17" s="301"/>
      <c r="E17" s="292"/>
      <c r="F17" s="292"/>
      <c r="G17" s="292"/>
      <c r="H17" s="295"/>
      <c r="I17" s="292"/>
      <c r="J17" s="297"/>
      <c r="K17" s="17" t="s">
        <v>20</v>
      </c>
      <c r="L17" s="14" t="s">
        <v>9</v>
      </c>
      <c r="M17" s="18" t="s">
        <v>10</v>
      </c>
      <c r="N17" s="7" t="s">
        <v>6</v>
      </c>
      <c r="O17" s="8" t="s">
        <v>21</v>
      </c>
      <c r="P17" s="8" t="s">
        <v>22</v>
      </c>
      <c r="Q17" s="297"/>
    </row>
    <row r="18" spans="1:20" ht="15" thickBot="1" x14ac:dyDescent="0.35">
      <c r="A18" s="21">
        <v>1</v>
      </c>
      <c r="B18" s="22">
        <v>2</v>
      </c>
      <c r="C18" s="22">
        <v>3</v>
      </c>
      <c r="D18" s="22">
        <v>4</v>
      </c>
      <c r="E18" s="22"/>
      <c r="F18" s="22"/>
      <c r="G18" s="22"/>
      <c r="H18" s="74"/>
      <c r="I18" s="22">
        <v>5</v>
      </c>
      <c r="J18" s="23">
        <v>6</v>
      </c>
      <c r="K18" s="83">
        <v>7</v>
      </c>
      <c r="L18" s="7">
        <v>8</v>
      </c>
      <c r="M18" s="7">
        <v>9</v>
      </c>
      <c r="N18" s="7">
        <v>10</v>
      </c>
      <c r="O18" s="7">
        <v>11</v>
      </c>
      <c r="P18" s="7">
        <v>12</v>
      </c>
      <c r="Q18" s="127">
        <v>13</v>
      </c>
      <c r="T18" s="128"/>
    </row>
    <row r="19" spans="1:20" ht="33.6" customHeight="1" x14ac:dyDescent="0.3">
      <c r="A19" s="60"/>
      <c r="B19" s="80" t="s">
        <v>1102</v>
      </c>
      <c r="C19" s="80" t="s">
        <v>34</v>
      </c>
      <c r="D19" s="80">
        <v>1</v>
      </c>
      <c r="E19" s="69"/>
      <c r="F19" s="69"/>
      <c r="G19" s="69"/>
      <c r="H19" s="69"/>
      <c r="I19" s="69"/>
      <c r="J19" s="69"/>
      <c r="K19" s="158" t="s">
        <v>778</v>
      </c>
      <c r="L19" s="159" t="s">
        <v>779</v>
      </c>
      <c r="M19" s="158" t="s">
        <v>37</v>
      </c>
      <c r="N19" s="160">
        <v>3</v>
      </c>
      <c r="O19" s="161">
        <v>71.33</v>
      </c>
      <c r="P19" s="161">
        <v>214</v>
      </c>
      <c r="Q19" s="133"/>
      <c r="T19" s="128"/>
    </row>
    <row r="20" spans="1:20" ht="18" x14ac:dyDescent="0.3">
      <c r="A20" s="51"/>
      <c r="B20" s="59"/>
      <c r="C20" s="61"/>
      <c r="D20" s="62"/>
      <c r="E20" s="75"/>
      <c r="F20" s="76"/>
      <c r="G20" s="76"/>
      <c r="H20" s="48"/>
      <c r="I20" s="48"/>
      <c r="J20" s="48"/>
      <c r="K20" s="158" t="s">
        <v>1103</v>
      </c>
      <c r="L20" s="159" t="s">
        <v>1189</v>
      </c>
      <c r="M20" s="158" t="s">
        <v>37</v>
      </c>
      <c r="N20" s="160">
        <v>27</v>
      </c>
      <c r="O20" s="161">
        <v>28.61</v>
      </c>
      <c r="P20" s="161">
        <v>772.47</v>
      </c>
      <c r="Q20" s="134"/>
      <c r="T20" s="128"/>
    </row>
    <row r="21" spans="1:20" ht="18" x14ac:dyDescent="0.3">
      <c r="A21" s="51"/>
      <c r="B21" s="59"/>
      <c r="C21" s="61"/>
      <c r="D21" s="62"/>
      <c r="E21" s="75"/>
      <c r="F21" s="76"/>
      <c r="G21" s="76"/>
      <c r="H21" s="48"/>
      <c r="I21" s="48"/>
      <c r="J21" s="48"/>
      <c r="K21" s="158" t="s">
        <v>429</v>
      </c>
      <c r="L21" s="159" t="s">
        <v>430</v>
      </c>
      <c r="M21" s="158" t="s">
        <v>37</v>
      </c>
      <c r="N21" s="160">
        <v>0.8</v>
      </c>
      <c r="O21" s="161">
        <v>11.5</v>
      </c>
      <c r="P21" s="161">
        <v>9.1999999999999993</v>
      </c>
      <c r="Q21" s="134"/>
      <c r="T21" s="128"/>
    </row>
    <row r="22" spans="1:20" ht="18" x14ac:dyDescent="0.3">
      <c r="A22" s="53"/>
      <c r="B22" s="54"/>
      <c r="C22" s="54"/>
      <c r="D22" s="55"/>
      <c r="E22" s="75"/>
      <c r="F22" s="76"/>
      <c r="G22" s="76"/>
      <c r="H22" s="48"/>
      <c r="I22" s="70"/>
      <c r="J22" s="70"/>
      <c r="K22" s="158" t="s">
        <v>1105</v>
      </c>
      <c r="L22" s="159" t="s">
        <v>1191</v>
      </c>
      <c r="M22" s="158" t="s">
        <v>37</v>
      </c>
      <c r="N22" s="160">
        <v>3</v>
      </c>
      <c r="O22" s="161">
        <v>9.58</v>
      </c>
      <c r="P22" s="161">
        <v>28.75</v>
      </c>
      <c r="Q22" s="134"/>
      <c r="T22" s="128"/>
    </row>
    <row r="23" spans="1:20" ht="18" x14ac:dyDescent="0.3">
      <c r="A23" s="53"/>
      <c r="B23" s="54"/>
      <c r="C23" s="54"/>
      <c r="D23" s="55"/>
      <c r="E23" s="75"/>
      <c r="F23" s="76"/>
      <c r="G23" s="76"/>
      <c r="H23" s="48"/>
      <c r="I23" s="70"/>
      <c r="J23" s="70"/>
      <c r="K23" s="158" t="s">
        <v>98</v>
      </c>
      <c r="L23" s="159" t="s">
        <v>99</v>
      </c>
      <c r="M23" s="158" t="s">
        <v>37</v>
      </c>
      <c r="N23" s="160">
        <v>1.0900000000000001</v>
      </c>
      <c r="O23" s="161">
        <v>131</v>
      </c>
      <c r="P23" s="161">
        <v>142.79</v>
      </c>
      <c r="Q23" s="134"/>
      <c r="T23" s="128"/>
    </row>
    <row r="24" spans="1:20" ht="18" x14ac:dyDescent="0.3">
      <c r="A24" s="53"/>
      <c r="B24" s="54"/>
      <c r="C24" s="54"/>
      <c r="D24" s="55"/>
      <c r="E24" s="75"/>
      <c r="F24" s="76"/>
      <c r="G24" s="76"/>
      <c r="H24" s="48"/>
      <c r="I24" s="70"/>
      <c r="J24" s="70"/>
      <c r="K24" s="158" t="s">
        <v>1104</v>
      </c>
      <c r="L24" s="159" t="s">
        <v>1190</v>
      </c>
      <c r="M24" s="158" t="s">
        <v>37</v>
      </c>
      <c r="N24" s="160">
        <v>2.7</v>
      </c>
      <c r="O24" s="161">
        <v>266.25</v>
      </c>
      <c r="P24" s="161">
        <v>718.88</v>
      </c>
      <c r="Q24" s="134"/>
      <c r="T24" s="128"/>
    </row>
    <row r="25" spans="1:20" ht="18" x14ac:dyDescent="0.3">
      <c r="A25" s="53"/>
      <c r="B25" s="54"/>
      <c r="C25" s="54"/>
      <c r="D25" s="55"/>
      <c r="E25" s="75"/>
      <c r="F25" s="76"/>
      <c r="G25" s="76"/>
      <c r="H25" s="48"/>
      <c r="I25" s="70"/>
      <c r="J25" s="70"/>
      <c r="K25" s="158" t="s">
        <v>38</v>
      </c>
      <c r="L25" s="159" t="s">
        <v>100</v>
      </c>
      <c r="M25" s="158" t="s">
        <v>37</v>
      </c>
      <c r="N25" s="160">
        <v>0.8</v>
      </c>
      <c r="O25" s="161">
        <v>71</v>
      </c>
      <c r="P25" s="161">
        <v>56.8</v>
      </c>
      <c r="Q25" s="134"/>
      <c r="T25" s="128"/>
    </row>
    <row r="26" spans="1:20" ht="18" x14ac:dyDescent="0.3">
      <c r="A26" s="53"/>
      <c r="B26" s="54"/>
      <c r="C26" s="54"/>
      <c r="D26" s="55"/>
      <c r="E26" s="75"/>
      <c r="F26" s="76"/>
      <c r="G26" s="76"/>
      <c r="H26" s="48"/>
      <c r="I26" s="70"/>
      <c r="J26" s="70"/>
      <c r="K26" s="158" t="s">
        <v>933</v>
      </c>
      <c r="L26" s="159" t="s">
        <v>932</v>
      </c>
      <c r="M26" s="158" t="s">
        <v>37</v>
      </c>
      <c r="N26" s="160">
        <v>1.8</v>
      </c>
      <c r="O26" s="161">
        <v>18.899999999999999</v>
      </c>
      <c r="P26" s="161">
        <v>34.020000000000003</v>
      </c>
      <c r="Q26" s="134"/>
      <c r="T26" s="128"/>
    </row>
    <row r="27" spans="1:20" ht="18" x14ac:dyDescent="0.3">
      <c r="A27" s="53"/>
      <c r="B27" s="54"/>
      <c r="C27" s="54"/>
      <c r="D27" s="55"/>
      <c r="E27" s="75"/>
      <c r="F27" s="76"/>
      <c r="G27" s="76"/>
      <c r="H27" s="48"/>
      <c r="I27" s="70"/>
      <c r="J27" s="70"/>
      <c r="K27" s="158" t="s">
        <v>1106</v>
      </c>
      <c r="L27" s="159" t="s">
        <v>1192</v>
      </c>
      <c r="M27" s="158" t="s">
        <v>1272</v>
      </c>
      <c r="N27" s="160">
        <v>93</v>
      </c>
      <c r="O27" s="161">
        <v>45.26</v>
      </c>
      <c r="P27" s="162">
        <v>4209.26</v>
      </c>
      <c r="Q27" s="134"/>
      <c r="T27" s="128"/>
    </row>
    <row r="28" spans="1:20" ht="18" x14ac:dyDescent="0.3">
      <c r="A28" s="53"/>
      <c r="B28" s="54"/>
      <c r="C28" s="54"/>
      <c r="D28" s="55"/>
      <c r="E28" s="75"/>
      <c r="F28" s="76"/>
      <c r="G28" s="76"/>
      <c r="H28" s="48"/>
      <c r="I28" s="70"/>
      <c r="J28" s="70"/>
      <c r="K28" s="158" t="s">
        <v>840</v>
      </c>
      <c r="L28" s="159" t="s">
        <v>841</v>
      </c>
      <c r="M28" s="158" t="s">
        <v>64</v>
      </c>
      <c r="N28" s="160">
        <v>1</v>
      </c>
      <c r="O28" s="161">
        <v>479</v>
      </c>
      <c r="P28" s="161">
        <v>479</v>
      </c>
      <c r="Q28" s="134"/>
      <c r="T28" s="128"/>
    </row>
    <row r="29" spans="1:20" ht="18" x14ac:dyDescent="0.3">
      <c r="A29" s="53"/>
      <c r="B29" s="54"/>
      <c r="C29" s="54"/>
      <c r="D29" s="55"/>
      <c r="E29" s="75"/>
      <c r="F29" s="76"/>
      <c r="G29" s="76"/>
      <c r="H29" s="48"/>
      <c r="I29" s="70"/>
      <c r="J29" s="70"/>
      <c r="K29" s="158" t="s">
        <v>934</v>
      </c>
      <c r="L29" s="159" t="s">
        <v>1033</v>
      </c>
      <c r="M29" s="158" t="s">
        <v>64</v>
      </c>
      <c r="N29" s="160">
        <v>0.83299999999999996</v>
      </c>
      <c r="O29" s="161">
        <v>735.89</v>
      </c>
      <c r="P29" s="161">
        <v>613</v>
      </c>
      <c r="Q29" s="134"/>
      <c r="T29" s="128"/>
    </row>
    <row r="30" spans="1:20" ht="18" x14ac:dyDescent="0.3">
      <c r="A30" s="53"/>
      <c r="B30" s="54"/>
      <c r="C30" s="54"/>
      <c r="D30" s="55"/>
      <c r="E30" s="75"/>
      <c r="F30" s="76"/>
      <c r="G30" s="76"/>
      <c r="H30" s="48"/>
      <c r="I30" s="70"/>
      <c r="J30" s="70"/>
      <c r="K30" s="158" t="s">
        <v>935</v>
      </c>
      <c r="L30" s="159" t="s">
        <v>1034</v>
      </c>
      <c r="M30" s="158" t="s">
        <v>64</v>
      </c>
      <c r="N30" s="160">
        <v>23</v>
      </c>
      <c r="O30" s="161">
        <v>729.17</v>
      </c>
      <c r="P30" s="162">
        <v>16770.89</v>
      </c>
      <c r="Q30" s="134"/>
      <c r="T30" s="128"/>
    </row>
    <row r="31" spans="1:20" ht="18" x14ac:dyDescent="0.3">
      <c r="A31" s="53"/>
      <c r="B31" s="54"/>
      <c r="C31" s="54"/>
      <c r="D31" s="55"/>
      <c r="E31" s="75"/>
      <c r="F31" s="76"/>
      <c r="G31" s="76"/>
      <c r="H31" s="48"/>
      <c r="I31" s="70"/>
      <c r="J31" s="70"/>
      <c r="K31" s="158" t="s">
        <v>936</v>
      </c>
      <c r="L31" s="159" t="s">
        <v>1035</v>
      </c>
      <c r="M31" s="158" t="s">
        <v>64</v>
      </c>
      <c r="N31" s="160">
        <v>2</v>
      </c>
      <c r="O31" s="161">
        <v>736.67</v>
      </c>
      <c r="P31" s="162">
        <v>1473.33</v>
      </c>
      <c r="Q31" s="134"/>
      <c r="T31" s="128"/>
    </row>
    <row r="32" spans="1:20" ht="18" x14ac:dyDescent="0.3">
      <c r="A32" s="53"/>
      <c r="B32" s="54"/>
      <c r="C32" s="54"/>
      <c r="D32" s="55"/>
      <c r="E32" s="75"/>
      <c r="F32" s="76"/>
      <c r="G32" s="76"/>
      <c r="H32" s="48"/>
      <c r="I32" s="70"/>
      <c r="J32" s="70"/>
      <c r="K32" s="158" t="s">
        <v>1107</v>
      </c>
      <c r="L32" s="159" t="s">
        <v>1193</v>
      </c>
      <c r="M32" s="158" t="s">
        <v>64</v>
      </c>
      <c r="N32" s="160">
        <v>1</v>
      </c>
      <c r="O32" s="161">
        <v>220</v>
      </c>
      <c r="P32" s="161">
        <v>220</v>
      </c>
      <c r="Q32" s="134"/>
      <c r="T32" s="128"/>
    </row>
    <row r="33" spans="1:20" ht="18" x14ac:dyDescent="0.3">
      <c r="A33" s="53"/>
      <c r="B33" s="54"/>
      <c r="C33" s="54"/>
      <c r="D33" s="55"/>
      <c r="E33" s="75"/>
      <c r="F33" s="76"/>
      <c r="G33" s="76"/>
      <c r="H33" s="48"/>
      <c r="I33" s="70"/>
      <c r="J33" s="70"/>
      <c r="K33" s="158" t="s">
        <v>937</v>
      </c>
      <c r="L33" s="159" t="s">
        <v>1036</v>
      </c>
      <c r="M33" s="158" t="s">
        <v>269</v>
      </c>
      <c r="N33" s="160">
        <v>2</v>
      </c>
      <c r="O33" s="161">
        <v>714.45</v>
      </c>
      <c r="P33" s="162">
        <v>1428.9</v>
      </c>
      <c r="Q33" s="134"/>
      <c r="T33" s="128"/>
    </row>
    <row r="34" spans="1:20" ht="18" x14ac:dyDescent="0.3">
      <c r="A34" s="53"/>
      <c r="B34" s="54"/>
      <c r="C34" s="54"/>
      <c r="D34" s="55"/>
      <c r="E34" s="75"/>
      <c r="F34" s="76"/>
      <c r="G34" s="76"/>
      <c r="H34" s="48"/>
      <c r="I34" s="70"/>
      <c r="J34" s="70"/>
      <c r="K34" s="158" t="s">
        <v>938</v>
      </c>
      <c r="L34" s="159" t="s">
        <v>1037</v>
      </c>
      <c r="M34" s="158" t="s">
        <v>269</v>
      </c>
      <c r="N34" s="160">
        <v>2</v>
      </c>
      <c r="O34" s="161">
        <v>793.84</v>
      </c>
      <c r="P34" s="162">
        <v>1587.67</v>
      </c>
      <c r="Q34" s="134"/>
      <c r="T34" s="128"/>
    </row>
    <row r="35" spans="1:20" ht="18" x14ac:dyDescent="0.3">
      <c r="A35" s="53"/>
      <c r="B35" s="54"/>
      <c r="C35" s="54"/>
      <c r="D35" s="55"/>
      <c r="E35" s="75"/>
      <c r="F35" s="76"/>
      <c r="G35" s="76"/>
      <c r="H35" s="48"/>
      <c r="I35" s="70"/>
      <c r="J35" s="70"/>
      <c r="K35" s="158" t="s">
        <v>440</v>
      </c>
      <c r="L35" s="159" t="s">
        <v>441</v>
      </c>
      <c r="M35" s="158" t="s">
        <v>442</v>
      </c>
      <c r="N35" s="160">
        <v>3</v>
      </c>
      <c r="O35" s="161">
        <v>75.22</v>
      </c>
      <c r="P35" s="161">
        <v>225.65</v>
      </c>
      <c r="Q35" s="134"/>
      <c r="T35" s="128"/>
    </row>
    <row r="36" spans="1:20" ht="18" x14ac:dyDescent="0.3">
      <c r="A36" s="53"/>
      <c r="B36" s="54"/>
      <c r="C36" s="54"/>
      <c r="D36" s="55"/>
      <c r="E36" s="75"/>
      <c r="F36" s="76"/>
      <c r="G36" s="76"/>
      <c r="H36" s="48"/>
      <c r="I36" s="70"/>
      <c r="J36" s="70"/>
      <c r="K36" s="158" t="s">
        <v>939</v>
      </c>
      <c r="L36" s="159" t="s">
        <v>798</v>
      </c>
      <c r="M36" s="158" t="s">
        <v>63</v>
      </c>
      <c r="N36" s="160">
        <v>3.5000000000000003E-2</v>
      </c>
      <c r="O36" s="162">
        <v>28501.71</v>
      </c>
      <c r="P36" s="161">
        <v>997.56</v>
      </c>
      <c r="Q36" s="134"/>
      <c r="T36" s="128"/>
    </row>
    <row r="37" spans="1:20" ht="18" x14ac:dyDescent="0.3">
      <c r="A37" s="53"/>
      <c r="B37" s="54"/>
      <c r="C37" s="54"/>
      <c r="D37" s="55"/>
      <c r="E37" s="75"/>
      <c r="F37" s="76"/>
      <c r="G37" s="76"/>
      <c r="H37" s="48"/>
      <c r="I37" s="70"/>
      <c r="J37" s="70"/>
      <c r="K37" s="158" t="s">
        <v>940</v>
      </c>
      <c r="L37" s="159" t="s">
        <v>1038</v>
      </c>
      <c r="M37" s="158" t="s">
        <v>63</v>
      </c>
      <c r="N37" s="160">
        <v>1.4999999999999999E-2</v>
      </c>
      <c r="O37" s="162">
        <v>32907.33</v>
      </c>
      <c r="P37" s="161">
        <v>493.61</v>
      </c>
      <c r="Q37" s="134"/>
      <c r="T37" s="128"/>
    </row>
    <row r="38" spans="1:20" ht="18" x14ac:dyDescent="0.3">
      <c r="A38" s="53"/>
      <c r="B38" s="54"/>
      <c r="C38" s="54"/>
      <c r="D38" s="55"/>
      <c r="E38" s="75"/>
      <c r="F38" s="76"/>
      <c r="G38" s="76"/>
      <c r="H38" s="48"/>
      <c r="I38" s="70"/>
      <c r="J38" s="70"/>
      <c r="K38" s="158" t="s">
        <v>1846</v>
      </c>
      <c r="L38" s="159" t="s">
        <v>1848</v>
      </c>
      <c r="M38" s="158" t="s">
        <v>63</v>
      </c>
      <c r="N38" s="160">
        <v>3.5999999999999997E-2</v>
      </c>
      <c r="O38" s="162">
        <v>35332.78</v>
      </c>
      <c r="P38" s="162">
        <v>1271.98</v>
      </c>
      <c r="Q38" s="134"/>
      <c r="T38" s="128"/>
    </row>
    <row r="39" spans="1:20" ht="18" x14ac:dyDescent="0.3">
      <c r="A39" s="53"/>
      <c r="B39" s="54"/>
      <c r="C39" s="54"/>
      <c r="D39" s="55"/>
      <c r="E39" s="75"/>
      <c r="F39" s="76"/>
      <c r="G39" s="76"/>
      <c r="H39" s="48"/>
      <c r="I39" s="70"/>
      <c r="J39" s="70"/>
      <c r="K39" s="158" t="s">
        <v>1113</v>
      </c>
      <c r="L39" s="159" t="s">
        <v>1199</v>
      </c>
      <c r="M39" s="158" t="s">
        <v>903</v>
      </c>
      <c r="N39" s="160">
        <v>0.11</v>
      </c>
      <c r="O39" s="162">
        <v>10416.64</v>
      </c>
      <c r="P39" s="162">
        <v>1145.83</v>
      </c>
      <c r="Q39" s="134"/>
      <c r="T39" s="128"/>
    </row>
    <row r="40" spans="1:20" ht="18" x14ac:dyDescent="0.3">
      <c r="A40" s="53"/>
      <c r="B40" s="54"/>
      <c r="C40" s="54"/>
      <c r="D40" s="55"/>
      <c r="E40" s="75"/>
      <c r="F40" s="76"/>
      <c r="G40" s="76"/>
      <c r="H40" s="48"/>
      <c r="I40" s="70"/>
      <c r="J40" s="70"/>
      <c r="K40" s="158" t="s">
        <v>944</v>
      </c>
      <c r="L40" s="159" t="s">
        <v>1041</v>
      </c>
      <c r="M40" s="158" t="s">
        <v>903</v>
      </c>
      <c r="N40" s="160">
        <v>2.8</v>
      </c>
      <c r="O40" s="162">
        <v>1270.1300000000001</v>
      </c>
      <c r="P40" s="162">
        <v>3556.36</v>
      </c>
      <c r="Q40" s="134"/>
      <c r="T40" s="128"/>
    </row>
    <row r="41" spans="1:20" ht="18" x14ac:dyDescent="0.3">
      <c r="A41" s="53"/>
      <c r="B41" s="54"/>
      <c r="C41" s="54"/>
      <c r="D41" s="55"/>
      <c r="E41" s="75"/>
      <c r="F41" s="76"/>
      <c r="G41" s="76"/>
      <c r="H41" s="48"/>
      <c r="I41" s="70"/>
      <c r="J41" s="70"/>
      <c r="K41" s="158" t="s">
        <v>1108</v>
      </c>
      <c r="L41" s="159" t="s">
        <v>1194</v>
      </c>
      <c r="M41" s="158" t="s">
        <v>903</v>
      </c>
      <c r="N41" s="160">
        <v>3</v>
      </c>
      <c r="O41" s="162">
        <v>1283.5</v>
      </c>
      <c r="P41" s="162">
        <v>3850.5</v>
      </c>
      <c r="Q41" s="134"/>
      <c r="T41" s="128"/>
    </row>
    <row r="42" spans="1:20" ht="30" x14ac:dyDescent="0.3">
      <c r="A42" s="53"/>
      <c r="B42" s="54"/>
      <c r="C42" s="54"/>
      <c r="D42" s="55"/>
      <c r="E42" s="75"/>
      <c r="F42" s="76"/>
      <c r="G42" s="76"/>
      <c r="H42" s="48"/>
      <c r="I42" s="70"/>
      <c r="J42" s="70"/>
      <c r="K42" s="158" t="s">
        <v>1360</v>
      </c>
      <c r="L42" s="159" t="s">
        <v>1389</v>
      </c>
      <c r="M42" s="158" t="s">
        <v>903</v>
      </c>
      <c r="N42" s="160">
        <v>0.25</v>
      </c>
      <c r="O42" s="162">
        <v>3625</v>
      </c>
      <c r="P42" s="161">
        <v>906.25</v>
      </c>
      <c r="Q42" s="134"/>
      <c r="T42" s="128"/>
    </row>
    <row r="43" spans="1:20" ht="18" x14ac:dyDescent="0.3">
      <c r="A43" s="53"/>
      <c r="B43" s="54"/>
      <c r="C43" s="54"/>
      <c r="D43" s="55"/>
      <c r="E43" s="75"/>
      <c r="F43" s="76"/>
      <c r="G43" s="76"/>
      <c r="H43" s="48"/>
      <c r="I43" s="70"/>
      <c r="J43" s="70"/>
      <c r="K43" s="158" t="s">
        <v>1366</v>
      </c>
      <c r="L43" s="159" t="s">
        <v>1395</v>
      </c>
      <c r="M43" s="158" t="s">
        <v>903</v>
      </c>
      <c r="N43" s="160">
        <v>6.0999999999999999E-2</v>
      </c>
      <c r="O43" s="162">
        <v>24262.46</v>
      </c>
      <c r="P43" s="162">
        <v>1480.01</v>
      </c>
      <c r="Q43" s="134"/>
      <c r="T43" s="128"/>
    </row>
    <row r="44" spans="1:20" ht="18" x14ac:dyDescent="0.3">
      <c r="A44" s="53"/>
      <c r="B44" s="54"/>
      <c r="C44" s="54"/>
      <c r="D44" s="55"/>
      <c r="E44" s="75"/>
      <c r="F44" s="76"/>
      <c r="G44" s="76"/>
      <c r="H44" s="48"/>
      <c r="I44" s="70"/>
      <c r="J44" s="70"/>
      <c r="K44" s="158" t="s">
        <v>743</v>
      </c>
      <c r="L44" s="159" t="s">
        <v>744</v>
      </c>
      <c r="M44" s="158" t="s">
        <v>903</v>
      </c>
      <c r="N44" s="160">
        <v>1.2</v>
      </c>
      <c r="O44" s="162">
        <v>8966.67</v>
      </c>
      <c r="P44" s="162">
        <v>10760</v>
      </c>
      <c r="Q44" s="134"/>
      <c r="T44" s="128"/>
    </row>
    <row r="45" spans="1:20" ht="18" x14ac:dyDescent="0.3">
      <c r="A45" s="53"/>
      <c r="B45" s="54"/>
      <c r="C45" s="54"/>
      <c r="D45" s="55"/>
      <c r="E45" s="75"/>
      <c r="F45" s="76"/>
      <c r="G45" s="76"/>
      <c r="H45" s="48"/>
      <c r="I45" s="70"/>
      <c r="J45" s="70"/>
      <c r="K45" s="158" t="s">
        <v>1112</v>
      </c>
      <c r="L45" s="159" t="s">
        <v>1198</v>
      </c>
      <c r="M45" s="158" t="s">
        <v>903</v>
      </c>
      <c r="N45" s="160">
        <v>0.4</v>
      </c>
      <c r="O45" s="162">
        <v>24113</v>
      </c>
      <c r="P45" s="162">
        <v>9645.2000000000007</v>
      </c>
      <c r="Q45" s="134"/>
      <c r="T45" s="128"/>
    </row>
    <row r="46" spans="1:20" ht="18" x14ac:dyDescent="0.3">
      <c r="A46" s="53"/>
      <c r="B46" s="54"/>
      <c r="C46" s="54"/>
      <c r="D46" s="55"/>
      <c r="E46" s="75"/>
      <c r="F46" s="76"/>
      <c r="G46" s="76"/>
      <c r="H46" s="48"/>
      <c r="I46" s="70"/>
      <c r="J46" s="70"/>
      <c r="K46" s="158" t="s">
        <v>942</v>
      </c>
      <c r="L46" s="159" t="s">
        <v>740</v>
      </c>
      <c r="M46" s="158" t="s">
        <v>903</v>
      </c>
      <c r="N46" s="160">
        <v>0.9</v>
      </c>
      <c r="O46" s="162">
        <v>8966.67</v>
      </c>
      <c r="P46" s="162">
        <v>8070</v>
      </c>
      <c r="Q46" s="134"/>
      <c r="T46" s="128"/>
    </row>
    <row r="47" spans="1:20" ht="18" x14ac:dyDescent="0.3">
      <c r="A47" s="53"/>
      <c r="B47" s="54"/>
      <c r="C47" s="54"/>
      <c r="D47" s="55"/>
      <c r="E47" s="75"/>
      <c r="F47" s="76"/>
      <c r="G47" s="76"/>
      <c r="H47" s="48"/>
      <c r="I47" s="70"/>
      <c r="J47" s="70"/>
      <c r="K47" s="158" t="s">
        <v>1110</v>
      </c>
      <c r="L47" s="159" t="s">
        <v>1196</v>
      </c>
      <c r="M47" s="158" t="s">
        <v>903</v>
      </c>
      <c r="N47" s="160">
        <v>0.3</v>
      </c>
      <c r="O47" s="162">
        <v>26855</v>
      </c>
      <c r="P47" s="162">
        <v>8056.5</v>
      </c>
      <c r="Q47" s="134"/>
      <c r="T47" s="128"/>
    </row>
    <row r="48" spans="1:20" ht="18" x14ac:dyDescent="0.3">
      <c r="A48" s="53"/>
      <c r="B48" s="54"/>
      <c r="C48" s="54"/>
      <c r="D48" s="55"/>
      <c r="E48" s="75"/>
      <c r="F48" s="76"/>
      <c r="G48" s="76"/>
      <c r="H48" s="48"/>
      <c r="I48" s="70"/>
      <c r="J48" s="70"/>
      <c r="K48" s="158" t="s">
        <v>1109</v>
      </c>
      <c r="L48" s="159" t="s">
        <v>1195</v>
      </c>
      <c r="M48" s="158" t="s">
        <v>903</v>
      </c>
      <c r="N48" s="160">
        <v>9.0999999999999998E-2</v>
      </c>
      <c r="O48" s="162">
        <v>3916.7</v>
      </c>
      <c r="P48" s="161">
        <v>356.42</v>
      </c>
      <c r="Q48" s="134"/>
      <c r="T48" s="128"/>
    </row>
    <row r="49" spans="1:20" ht="18" x14ac:dyDescent="0.3">
      <c r="A49" s="53"/>
      <c r="B49" s="54"/>
      <c r="C49" s="54"/>
      <c r="D49" s="55"/>
      <c r="E49" s="75"/>
      <c r="F49" s="76"/>
      <c r="G49" s="76"/>
      <c r="H49" s="48"/>
      <c r="I49" s="70"/>
      <c r="J49" s="70"/>
      <c r="K49" s="158" t="s">
        <v>941</v>
      </c>
      <c r="L49" s="159" t="s">
        <v>1040</v>
      </c>
      <c r="M49" s="158" t="s">
        <v>903</v>
      </c>
      <c r="N49" s="160">
        <v>0.104</v>
      </c>
      <c r="O49" s="162">
        <v>8966.6299999999992</v>
      </c>
      <c r="P49" s="161">
        <v>932.53</v>
      </c>
      <c r="Q49" s="134"/>
      <c r="T49" s="128"/>
    </row>
    <row r="50" spans="1:20" ht="18" x14ac:dyDescent="0.3">
      <c r="A50" s="53"/>
      <c r="B50" s="54"/>
      <c r="C50" s="54"/>
      <c r="D50" s="55"/>
      <c r="E50" s="75"/>
      <c r="F50" s="76"/>
      <c r="G50" s="76"/>
      <c r="H50" s="48"/>
      <c r="I50" s="70"/>
      <c r="J50" s="70"/>
      <c r="K50" s="158" t="s">
        <v>741</v>
      </c>
      <c r="L50" s="159" t="s">
        <v>742</v>
      </c>
      <c r="M50" s="158" t="s">
        <v>903</v>
      </c>
      <c r="N50" s="160">
        <v>0.436</v>
      </c>
      <c r="O50" s="162">
        <v>8966.67</v>
      </c>
      <c r="P50" s="162">
        <v>3909.47</v>
      </c>
      <c r="Q50" s="134"/>
      <c r="T50" s="128"/>
    </row>
    <row r="51" spans="1:20" ht="18" x14ac:dyDescent="0.3">
      <c r="A51" s="53"/>
      <c r="B51" s="54"/>
      <c r="C51" s="54"/>
      <c r="D51" s="55"/>
      <c r="E51" s="75"/>
      <c r="F51" s="76"/>
      <c r="G51" s="76"/>
      <c r="H51" s="48"/>
      <c r="I51" s="70"/>
      <c r="J51" s="70"/>
      <c r="K51" s="158" t="s">
        <v>943</v>
      </c>
      <c r="L51" s="159" t="s">
        <v>745</v>
      </c>
      <c r="M51" s="158" t="s">
        <v>903</v>
      </c>
      <c r="N51" s="160">
        <v>0.127</v>
      </c>
      <c r="O51" s="162">
        <v>9590</v>
      </c>
      <c r="P51" s="162">
        <v>1217.93</v>
      </c>
      <c r="Q51" s="134"/>
      <c r="T51" s="128"/>
    </row>
    <row r="52" spans="1:20" ht="18" x14ac:dyDescent="0.3">
      <c r="A52" s="53"/>
      <c r="B52" s="54"/>
      <c r="C52" s="54"/>
      <c r="D52" s="55"/>
      <c r="E52" s="75"/>
      <c r="F52" s="76"/>
      <c r="G52" s="76"/>
      <c r="H52" s="48"/>
      <c r="I52" s="70"/>
      <c r="J52" s="70"/>
      <c r="K52" s="158" t="s">
        <v>1283</v>
      </c>
      <c r="L52" s="159" t="s">
        <v>1318</v>
      </c>
      <c r="M52" s="158" t="s">
        <v>903</v>
      </c>
      <c r="N52" s="160">
        <v>0.5</v>
      </c>
      <c r="O52" s="162">
        <v>8966.68</v>
      </c>
      <c r="P52" s="162">
        <v>4483.34</v>
      </c>
      <c r="Q52" s="134"/>
      <c r="T52" s="128"/>
    </row>
    <row r="53" spans="1:20" ht="18" x14ac:dyDescent="0.3">
      <c r="A53" s="53"/>
      <c r="B53" s="54"/>
      <c r="C53" s="54"/>
      <c r="D53" s="55"/>
      <c r="E53" s="75"/>
      <c r="F53" s="76"/>
      <c r="G53" s="76"/>
      <c r="H53" s="48"/>
      <c r="I53" s="70"/>
      <c r="J53" s="70"/>
      <c r="K53" s="158" t="s">
        <v>1111</v>
      </c>
      <c r="L53" s="159" t="s">
        <v>1197</v>
      </c>
      <c r="M53" s="158" t="s">
        <v>903</v>
      </c>
      <c r="N53" s="160">
        <v>0.08</v>
      </c>
      <c r="O53" s="162">
        <v>26855</v>
      </c>
      <c r="P53" s="162">
        <v>2148.4</v>
      </c>
      <c r="Q53" s="134"/>
      <c r="T53" s="128"/>
    </row>
    <row r="54" spans="1:20" ht="18" x14ac:dyDescent="0.3">
      <c r="A54" s="53"/>
      <c r="B54" s="54"/>
      <c r="C54" s="54"/>
      <c r="D54" s="55"/>
      <c r="E54" s="75"/>
      <c r="F54" s="76"/>
      <c r="G54" s="76"/>
      <c r="H54" s="48"/>
      <c r="I54" s="70"/>
      <c r="J54" s="70"/>
      <c r="K54" s="158" t="s">
        <v>902</v>
      </c>
      <c r="L54" s="159" t="s">
        <v>1039</v>
      </c>
      <c r="M54" s="158" t="s">
        <v>903</v>
      </c>
      <c r="N54" s="160">
        <v>0.45</v>
      </c>
      <c r="O54" s="162">
        <v>25111.09</v>
      </c>
      <c r="P54" s="162">
        <v>11299.99</v>
      </c>
      <c r="Q54" s="134"/>
      <c r="T54" s="128"/>
    </row>
    <row r="55" spans="1:20" ht="18" x14ac:dyDescent="0.3">
      <c r="A55" s="53"/>
      <c r="B55" s="54"/>
      <c r="C55" s="54"/>
      <c r="D55" s="55"/>
      <c r="E55" s="75"/>
      <c r="F55" s="76"/>
      <c r="G55" s="76"/>
      <c r="H55" s="48"/>
      <c r="I55" s="70"/>
      <c r="J55" s="70"/>
      <c r="K55" s="158" t="s">
        <v>909</v>
      </c>
      <c r="L55" s="159" t="s">
        <v>910</v>
      </c>
      <c r="M55" s="158" t="s">
        <v>68</v>
      </c>
      <c r="N55" s="160">
        <v>0.41699999999999998</v>
      </c>
      <c r="O55" s="161">
        <v>749.06</v>
      </c>
      <c r="P55" s="161">
        <v>312.36</v>
      </c>
      <c r="Q55" s="134"/>
      <c r="T55" s="128"/>
    </row>
    <row r="56" spans="1:20" ht="18" x14ac:dyDescent="0.3">
      <c r="A56" s="53"/>
      <c r="B56" s="54"/>
      <c r="C56" s="54"/>
      <c r="D56" s="55"/>
      <c r="E56" s="75"/>
      <c r="F56" s="76"/>
      <c r="G56" s="76"/>
      <c r="H56" s="48"/>
      <c r="I56" s="70"/>
      <c r="J56" s="70"/>
      <c r="K56" s="158" t="s">
        <v>747</v>
      </c>
      <c r="L56" s="159" t="s">
        <v>748</v>
      </c>
      <c r="M56" s="158" t="s">
        <v>68</v>
      </c>
      <c r="N56" s="160">
        <v>73</v>
      </c>
      <c r="O56" s="161">
        <v>284.98</v>
      </c>
      <c r="P56" s="162">
        <v>20803.439999999999</v>
      </c>
      <c r="Q56" s="134"/>
      <c r="T56" s="128"/>
    </row>
    <row r="57" spans="1:20" ht="18" x14ac:dyDescent="0.3">
      <c r="A57" s="53"/>
      <c r="B57" s="54"/>
      <c r="C57" s="54"/>
      <c r="D57" s="55"/>
      <c r="E57" s="75"/>
      <c r="F57" s="76"/>
      <c r="G57" s="76"/>
      <c r="H57" s="48"/>
      <c r="I57" s="70"/>
      <c r="J57" s="70"/>
      <c r="K57" s="158" t="s">
        <v>752</v>
      </c>
      <c r="L57" s="159" t="s">
        <v>753</v>
      </c>
      <c r="M57" s="158" t="s">
        <v>68</v>
      </c>
      <c r="N57" s="160">
        <v>3.1</v>
      </c>
      <c r="O57" s="162">
        <v>4824.45</v>
      </c>
      <c r="P57" s="162">
        <v>14955.8</v>
      </c>
      <c r="Q57" s="134"/>
      <c r="T57" s="128"/>
    </row>
    <row r="58" spans="1:20" ht="18" x14ac:dyDescent="0.3">
      <c r="A58" s="53"/>
      <c r="B58" s="54"/>
      <c r="C58" s="54"/>
      <c r="D58" s="55"/>
      <c r="E58" s="75"/>
      <c r="F58" s="76"/>
      <c r="G58" s="76"/>
      <c r="H58" s="48"/>
      <c r="I58" s="70"/>
      <c r="J58" s="70"/>
      <c r="K58" s="158" t="s">
        <v>1114</v>
      </c>
      <c r="L58" s="159" t="s">
        <v>1200</v>
      </c>
      <c r="M58" s="158" t="s">
        <v>68</v>
      </c>
      <c r="N58" s="160">
        <v>2</v>
      </c>
      <c r="O58" s="161">
        <v>36</v>
      </c>
      <c r="P58" s="161">
        <v>72</v>
      </c>
      <c r="Q58" s="134"/>
      <c r="T58" s="128"/>
    </row>
    <row r="59" spans="1:20" ht="18" x14ac:dyDescent="0.3">
      <c r="A59" s="53"/>
      <c r="B59" s="54"/>
      <c r="C59" s="54"/>
      <c r="D59" s="55"/>
      <c r="E59" s="75"/>
      <c r="F59" s="76"/>
      <c r="G59" s="76"/>
      <c r="H59" s="48"/>
      <c r="I59" s="70"/>
      <c r="J59" s="70"/>
      <c r="K59" s="158" t="s">
        <v>882</v>
      </c>
      <c r="L59" s="159" t="s">
        <v>883</v>
      </c>
      <c r="M59" s="158" t="s">
        <v>68</v>
      </c>
      <c r="N59" s="160">
        <v>2</v>
      </c>
      <c r="O59" s="161">
        <v>188.33</v>
      </c>
      <c r="P59" s="161">
        <v>376.66</v>
      </c>
      <c r="Q59" s="134"/>
      <c r="T59" s="128"/>
    </row>
    <row r="60" spans="1:20" ht="18" x14ac:dyDescent="0.3">
      <c r="A60" s="53"/>
      <c r="B60" s="54"/>
      <c r="C60" s="54"/>
      <c r="D60" s="55"/>
      <c r="E60" s="75"/>
      <c r="F60" s="76"/>
      <c r="G60" s="76"/>
      <c r="H60" s="48"/>
      <c r="I60" s="70"/>
      <c r="J60" s="70"/>
      <c r="K60" s="158" t="s">
        <v>1117</v>
      </c>
      <c r="L60" s="159" t="s">
        <v>1203</v>
      </c>
      <c r="M60" s="158" t="s">
        <v>68</v>
      </c>
      <c r="N60" s="160">
        <v>6.75</v>
      </c>
      <c r="O60" s="161">
        <v>188.33</v>
      </c>
      <c r="P60" s="162">
        <v>1271.25</v>
      </c>
      <c r="Q60" s="134"/>
      <c r="T60" s="128"/>
    </row>
    <row r="61" spans="1:20" ht="18" x14ac:dyDescent="0.3">
      <c r="A61" s="53"/>
      <c r="B61" s="54"/>
      <c r="C61" s="54"/>
      <c r="D61" s="55"/>
      <c r="E61" s="75"/>
      <c r="F61" s="76"/>
      <c r="G61" s="76"/>
      <c r="H61" s="48"/>
      <c r="I61" s="70"/>
      <c r="J61" s="70"/>
      <c r="K61" s="158" t="s">
        <v>1115</v>
      </c>
      <c r="L61" s="159" t="s">
        <v>1201</v>
      </c>
      <c r="M61" s="158" t="s">
        <v>68</v>
      </c>
      <c r="N61" s="160">
        <v>1.2</v>
      </c>
      <c r="O61" s="161">
        <v>186.67</v>
      </c>
      <c r="P61" s="161">
        <v>224</v>
      </c>
      <c r="Q61" s="134"/>
      <c r="T61" s="128"/>
    </row>
    <row r="62" spans="1:20" ht="18" x14ac:dyDescent="0.3">
      <c r="A62" s="53"/>
      <c r="B62" s="54"/>
      <c r="C62" s="54"/>
      <c r="D62" s="55"/>
      <c r="E62" s="75"/>
      <c r="F62" s="76"/>
      <c r="G62" s="76"/>
      <c r="H62" s="48"/>
      <c r="I62" s="70"/>
      <c r="J62" s="70"/>
      <c r="K62" s="158" t="s">
        <v>1116</v>
      </c>
      <c r="L62" s="159" t="s">
        <v>1202</v>
      </c>
      <c r="M62" s="158" t="s">
        <v>68</v>
      </c>
      <c r="N62" s="160">
        <v>25.6</v>
      </c>
      <c r="O62" s="161">
        <v>170</v>
      </c>
      <c r="P62" s="162">
        <v>4352</v>
      </c>
      <c r="Q62" s="134"/>
      <c r="T62" s="128"/>
    </row>
    <row r="63" spans="1:20" ht="18" x14ac:dyDescent="0.3">
      <c r="A63" s="53"/>
      <c r="B63" s="54"/>
      <c r="C63" s="54"/>
      <c r="D63" s="55"/>
      <c r="E63" s="75"/>
      <c r="F63" s="76"/>
      <c r="G63" s="76"/>
      <c r="H63" s="48"/>
      <c r="I63" s="70"/>
      <c r="J63" s="70"/>
      <c r="K63" s="158" t="s">
        <v>207</v>
      </c>
      <c r="L63" s="159" t="s">
        <v>858</v>
      </c>
      <c r="M63" s="158" t="s">
        <v>68</v>
      </c>
      <c r="N63" s="160">
        <v>1.4</v>
      </c>
      <c r="O63" s="161">
        <v>343.29</v>
      </c>
      <c r="P63" s="161">
        <v>480.6</v>
      </c>
      <c r="Q63" s="134"/>
      <c r="T63" s="128"/>
    </row>
    <row r="64" spans="1:20" ht="18" x14ac:dyDescent="0.3">
      <c r="A64" s="53"/>
      <c r="B64" s="54"/>
      <c r="C64" s="54"/>
      <c r="D64" s="55"/>
      <c r="E64" s="75"/>
      <c r="F64" s="76"/>
      <c r="G64" s="76"/>
      <c r="H64" s="48"/>
      <c r="I64" s="70"/>
      <c r="J64" s="70"/>
      <c r="K64" s="158" t="s">
        <v>945</v>
      </c>
      <c r="L64" s="159" t="s">
        <v>1032</v>
      </c>
      <c r="M64" s="158" t="s">
        <v>68</v>
      </c>
      <c r="N64" s="160">
        <v>41</v>
      </c>
      <c r="O64" s="161">
        <v>294.7</v>
      </c>
      <c r="P64" s="162">
        <v>12082.5</v>
      </c>
      <c r="Q64" s="134"/>
      <c r="T64" s="128"/>
    </row>
    <row r="65" spans="1:20" ht="18" x14ac:dyDescent="0.3">
      <c r="A65" s="53"/>
      <c r="B65" s="54"/>
      <c r="C65" s="54"/>
      <c r="D65" s="55"/>
      <c r="E65" s="75"/>
      <c r="F65" s="76"/>
      <c r="G65" s="76"/>
      <c r="H65" s="48"/>
      <c r="I65" s="70"/>
      <c r="J65" s="70"/>
      <c r="K65" s="158" t="s">
        <v>1118</v>
      </c>
      <c r="L65" s="159" t="s">
        <v>1204</v>
      </c>
      <c r="M65" s="158" t="s">
        <v>68</v>
      </c>
      <c r="N65" s="160">
        <v>60</v>
      </c>
      <c r="O65" s="161">
        <v>24</v>
      </c>
      <c r="P65" s="162">
        <v>1440</v>
      </c>
      <c r="Q65" s="134"/>
      <c r="T65" s="128"/>
    </row>
    <row r="66" spans="1:20" ht="18" x14ac:dyDescent="0.3">
      <c r="A66" s="53"/>
      <c r="B66" s="54"/>
      <c r="C66" s="54"/>
      <c r="D66" s="55"/>
      <c r="E66" s="75"/>
      <c r="F66" s="76"/>
      <c r="G66" s="76"/>
      <c r="H66" s="48"/>
      <c r="I66" s="70"/>
      <c r="J66" s="70"/>
      <c r="K66" s="158" t="s">
        <v>889</v>
      </c>
      <c r="L66" s="159" t="s">
        <v>890</v>
      </c>
      <c r="M66" s="158" t="s">
        <v>82</v>
      </c>
      <c r="N66" s="160">
        <v>1</v>
      </c>
      <c r="O66" s="162">
        <v>20643</v>
      </c>
      <c r="P66" s="162">
        <v>20643</v>
      </c>
      <c r="Q66" s="134"/>
      <c r="T66" s="128"/>
    </row>
    <row r="67" spans="1:20" ht="18" x14ac:dyDescent="0.3">
      <c r="A67" s="53"/>
      <c r="B67" s="54"/>
      <c r="C67" s="54"/>
      <c r="D67" s="55"/>
      <c r="E67" s="75"/>
      <c r="F67" s="76"/>
      <c r="G67" s="76"/>
      <c r="H67" s="48"/>
      <c r="I67" s="70"/>
      <c r="J67" s="70"/>
      <c r="K67" s="158" t="s">
        <v>884</v>
      </c>
      <c r="L67" s="159" t="s">
        <v>885</v>
      </c>
      <c r="M67" s="158" t="s">
        <v>82</v>
      </c>
      <c r="N67" s="160">
        <v>1</v>
      </c>
      <c r="O67" s="162">
        <v>18062</v>
      </c>
      <c r="P67" s="162">
        <v>18062</v>
      </c>
      <c r="Q67" s="134"/>
      <c r="T67" s="128"/>
    </row>
    <row r="68" spans="1:20" ht="18" x14ac:dyDescent="0.3">
      <c r="A68" s="53"/>
      <c r="B68" s="54"/>
      <c r="C68" s="54"/>
      <c r="D68" s="55"/>
      <c r="E68" s="75"/>
      <c r="F68" s="76"/>
      <c r="G68" s="76"/>
      <c r="H68" s="48"/>
      <c r="I68" s="70"/>
      <c r="J68" s="70"/>
      <c r="K68" s="158" t="s">
        <v>1120</v>
      </c>
      <c r="L68" s="159" t="s">
        <v>1206</v>
      </c>
      <c r="M68" s="158" t="s">
        <v>35</v>
      </c>
      <c r="N68" s="160">
        <v>10</v>
      </c>
      <c r="O68" s="161">
        <v>135.59</v>
      </c>
      <c r="P68" s="162">
        <v>1355.9</v>
      </c>
      <c r="Q68" s="134"/>
      <c r="T68" s="128"/>
    </row>
    <row r="69" spans="1:20" ht="18" x14ac:dyDescent="0.3">
      <c r="A69" s="53"/>
      <c r="B69" s="54"/>
      <c r="C69" s="54"/>
      <c r="D69" s="55"/>
      <c r="E69" s="75"/>
      <c r="F69" s="76"/>
      <c r="G69" s="76"/>
      <c r="H69" s="48"/>
      <c r="I69" s="70"/>
      <c r="J69" s="70"/>
      <c r="K69" s="158" t="s">
        <v>1119</v>
      </c>
      <c r="L69" s="159" t="s">
        <v>1205</v>
      </c>
      <c r="M69" s="158" t="s">
        <v>35</v>
      </c>
      <c r="N69" s="160">
        <v>3</v>
      </c>
      <c r="O69" s="161">
        <v>78.33</v>
      </c>
      <c r="P69" s="161">
        <v>234.99</v>
      </c>
      <c r="Q69" s="134"/>
      <c r="T69" s="128"/>
    </row>
    <row r="70" spans="1:20" ht="18" x14ac:dyDescent="0.3">
      <c r="A70" s="53"/>
      <c r="B70" s="54"/>
      <c r="C70" s="54"/>
      <c r="D70" s="55"/>
      <c r="E70" s="75"/>
      <c r="F70" s="76"/>
      <c r="G70" s="76"/>
      <c r="H70" s="48"/>
      <c r="I70" s="70"/>
      <c r="J70" s="70"/>
      <c r="K70" s="158" t="s">
        <v>1436</v>
      </c>
      <c r="L70" s="159" t="s">
        <v>1458</v>
      </c>
      <c r="M70" s="158" t="s">
        <v>35</v>
      </c>
      <c r="N70" s="160">
        <v>1.2999999999999999E-2</v>
      </c>
      <c r="O70" s="161">
        <v>307.69</v>
      </c>
      <c r="P70" s="161">
        <v>4</v>
      </c>
      <c r="Q70" s="134"/>
      <c r="T70" s="128"/>
    </row>
    <row r="71" spans="1:20" ht="30" x14ac:dyDescent="0.3">
      <c r="A71" s="53"/>
      <c r="B71" s="54"/>
      <c r="C71" s="54"/>
      <c r="D71" s="55"/>
      <c r="E71" s="75"/>
      <c r="F71" s="76"/>
      <c r="G71" s="76"/>
      <c r="H71" s="48"/>
      <c r="I71" s="70"/>
      <c r="J71" s="70"/>
      <c r="K71" s="158" t="s">
        <v>987</v>
      </c>
      <c r="L71" s="159" t="s">
        <v>837</v>
      </c>
      <c r="M71" s="158" t="s">
        <v>34</v>
      </c>
      <c r="N71" s="160">
        <v>2</v>
      </c>
      <c r="O71" s="161">
        <v>57.75</v>
      </c>
      <c r="P71" s="161">
        <v>115.5</v>
      </c>
      <c r="Q71" s="134"/>
      <c r="T71" s="128"/>
    </row>
    <row r="72" spans="1:20" ht="18" x14ac:dyDescent="0.3">
      <c r="A72" s="53"/>
      <c r="B72" s="54"/>
      <c r="C72" s="54"/>
      <c r="D72" s="55"/>
      <c r="E72" s="75"/>
      <c r="F72" s="76"/>
      <c r="G72" s="76"/>
      <c r="H72" s="48"/>
      <c r="I72" s="70"/>
      <c r="J72" s="70"/>
      <c r="K72" s="158" t="s">
        <v>484</v>
      </c>
      <c r="L72" s="159" t="s">
        <v>1061</v>
      </c>
      <c r="M72" s="158" t="s">
        <v>34</v>
      </c>
      <c r="N72" s="160">
        <v>1</v>
      </c>
      <c r="O72" s="161">
        <v>36.25</v>
      </c>
      <c r="P72" s="161">
        <v>36.25</v>
      </c>
      <c r="Q72" s="134"/>
      <c r="T72" s="128"/>
    </row>
    <row r="73" spans="1:20" ht="18" x14ac:dyDescent="0.3">
      <c r="A73" s="53"/>
      <c r="B73" s="54"/>
      <c r="C73" s="54"/>
      <c r="D73" s="55"/>
      <c r="E73" s="75"/>
      <c r="F73" s="76"/>
      <c r="G73" s="76"/>
      <c r="H73" s="48"/>
      <c r="I73" s="70"/>
      <c r="J73" s="70"/>
      <c r="K73" s="158" t="s">
        <v>488</v>
      </c>
      <c r="L73" s="159" t="s">
        <v>1062</v>
      </c>
      <c r="M73" s="158" t="s">
        <v>34</v>
      </c>
      <c r="N73" s="160">
        <v>1</v>
      </c>
      <c r="O73" s="161">
        <v>809.01</v>
      </c>
      <c r="P73" s="161">
        <v>809.01</v>
      </c>
      <c r="Q73" s="134"/>
      <c r="T73" s="128"/>
    </row>
    <row r="74" spans="1:20" ht="18" x14ac:dyDescent="0.3">
      <c r="A74" s="53"/>
      <c r="B74" s="54"/>
      <c r="C74" s="54"/>
      <c r="D74" s="55"/>
      <c r="E74" s="75"/>
      <c r="F74" s="76"/>
      <c r="G74" s="76"/>
      <c r="H74" s="48"/>
      <c r="I74" s="70"/>
      <c r="J74" s="70"/>
      <c r="K74" s="158" t="s">
        <v>1180</v>
      </c>
      <c r="L74" s="159" t="s">
        <v>105</v>
      </c>
      <c r="M74" s="158" t="s">
        <v>34</v>
      </c>
      <c r="N74" s="160">
        <v>636</v>
      </c>
      <c r="O74" s="161">
        <v>0.54</v>
      </c>
      <c r="P74" s="161">
        <v>345.14</v>
      </c>
      <c r="Q74" s="134"/>
      <c r="T74" s="128"/>
    </row>
    <row r="75" spans="1:20" ht="18" x14ac:dyDescent="0.3">
      <c r="A75" s="53"/>
      <c r="B75" s="54"/>
      <c r="C75" s="54"/>
      <c r="D75" s="55"/>
      <c r="E75" s="75"/>
      <c r="F75" s="76"/>
      <c r="G75" s="76"/>
      <c r="H75" s="48"/>
      <c r="I75" s="70"/>
      <c r="J75" s="70"/>
      <c r="K75" s="158" t="s">
        <v>988</v>
      </c>
      <c r="L75" s="159" t="s">
        <v>106</v>
      </c>
      <c r="M75" s="158" t="s">
        <v>34</v>
      </c>
      <c r="N75" s="163">
        <v>1430</v>
      </c>
      <c r="O75" s="161">
        <v>0.71</v>
      </c>
      <c r="P75" s="162">
        <v>1009.71</v>
      </c>
      <c r="Q75" s="134"/>
      <c r="T75" s="128"/>
    </row>
    <row r="76" spans="1:20" ht="18" x14ac:dyDescent="0.3">
      <c r="A76" s="53"/>
      <c r="B76" s="54"/>
      <c r="C76" s="54"/>
      <c r="D76" s="55"/>
      <c r="E76" s="75"/>
      <c r="F76" s="76"/>
      <c r="G76" s="76"/>
      <c r="H76" s="48"/>
      <c r="I76" s="70"/>
      <c r="J76" s="70"/>
      <c r="K76" s="158" t="s">
        <v>838</v>
      </c>
      <c r="L76" s="159" t="s">
        <v>839</v>
      </c>
      <c r="M76" s="158" t="s">
        <v>34</v>
      </c>
      <c r="N76" s="160">
        <v>109</v>
      </c>
      <c r="O76" s="161">
        <v>2.12</v>
      </c>
      <c r="P76" s="161">
        <v>231.13</v>
      </c>
      <c r="Q76" s="134"/>
      <c r="T76" s="128"/>
    </row>
    <row r="77" spans="1:20" ht="18" x14ac:dyDescent="0.3">
      <c r="A77" s="53"/>
      <c r="B77" s="54"/>
      <c r="C77" s="54"/>
      <c r="D77" s="55"/>
      <c r="E77" s="75"/>
      <c r="F77" s="76"/>
      <c r="G77" s="76"/>
      <c r="H77" s="48"/>
      <c r="I77" s="70"/>
      <c r="J77" s="70"/>
      <c r="K77" s="158" t="s">
        <v>490</v>
      </c>
      <c r="L77" s="159" t="s">
        <v>491</v>
      </c>
      <c r="M77" s="158" t="s">
        <v>34</v>
      </c>
      <c r="N77" s="160">
        <v>1</v>
      </c>
      <c r="O77" s="162">
        <v>3293.25</v>
      </c>
      <c r="P77" s="162">
        <v>3293.25</v>
      </c>
      <c r="Q77" s="134"/>
      <c r="T77" s="128"/>
    </row>
    <row r="78" spans="1:20" ht="18" x14ac:dyDescent="0.3">
      <c r="A78" s="53"/>
      <c r="B78" s="54"/>
      <c r="C78" s="54"/>
      <c r="D78" s="55"/>
      <c r="E78" s="75"/>
      <c r="F78" s="76"/>
      <c r="G78" s="76"/>
      <c r="H78" s="48"/>
      <c r="I78" s="70"/>
      <c r="J78" s="70"/>
      <c r="K78" s="158" t="s">
        <v>1178</v>
      </c>
      <c r="L78" s="159" t="s">
        <v>1262</v>
      </c>
      <c r="M78" s="158" t="s">
        <v>34</v>
      </c>
      <c r="N78" s="160">
        <v>1</v>
      </c>
      <c r="O78" s="161">
        <v>36.729999999999997</v>
      </c>
      <c r="P78" s="161">
        <v>36.729999999999997</v>
      </c>
      <c r="Q78" s="134"/>
      <c r="T78" s="128"/>
    </row>
    <row r="79" spans="1:20" ht="18" x14ac:dyDescent="0.3">
      <c r="A79" s="53"/>
      <c r="B79" s="54"/>
      <c r="C79" s="54"/>
      <c r="D79" s="55"/>
      <c r="E79" s="75"/>
      <c r="F79" s="76"/>
      <c r="G79" s="76"/>
      <c r="H79" s="48"/>
      <c r="I79" s="70"/>
      <c r="J79" s="70"/>
      <c r="K79" s="158" t="s">
        <v>1422</v>
      </c>
      <c r="L79" s="159" t="s">
        <v>1445</v>
      </c>
      <c r="M79" s="158" t="s">
        <v>34</v>
      </c>
      <c r="N79" s="160">
        <v>0.13600000000000001</v>
      </c>
      <c r="O79" s="161">
        <v>230</v>
      </c>
      <c r="P79" s="161">
        <v>31.28</v>
      </c>
      <c r="Q79" s="134"/>
      <c r="T79" s="128"/>
    </row>
    <row r="80" spans="1:20" ht="18" x14ac:dyDescent="0.3">
      <c r="A80" s="53"/>
      <c r="B80" s="54"/>
      <c r="C80" s="54"/>
      <c r="D80" s="55"/>
      <c r="E80" s="75"/>
      <c r="F80" s="76"/>
      <c r="G80" s="76"/>
      <c r="H80" s="48"/>
      <c r="I80" s="70"/>
      <c r="J80" s="70"/>
      <c r="K80" s="158" t="s">
        <v>986</v>
      </c>
      <c r="L80" s="159" t="s">
        <v>835</v>
      </c>
      <c r="M80" s="158" t="s">
        <v>34</v>
      </c>
      <c r="N80" s="160">
        <v>3.5</v>
      </c>
      <c r="O80" s="161">
        <v>275.87</v>
      </c>
      <c r="P80" s="161">
        <v>965.53</v>
      </c>
      <c r="Q80" s="134"/>
      <c r="T80" s="128"/>
    </row>
    <row r="81" spans="1:20" ht="18" x14ac:dyDescent="0.3">
      <c r="A81" s="53"/>
      <c r="B81" s="54"/>
      <c r="C81" s="54"/>
      <c r="D81" s="55"/>
      <c r="E81" s="75"/>
      <c r="F81" s="76"/>
      <c r="G81" s="76"/>
      <c r="H81" s="48"/>
      <c r="I81" s="70"/>
      <c r="J81" s="70"/>
      <c r="K81" s="158" t="s">
        <v>930</v>
      </c>
      <c r="L81" s="159" t="s">
        <v>931</v>
      </c>
      <c r="M81" s="158" t="s">
        <v>34</v>
      </c>
      <c r="N81" s="160">
        <v>1</v>
      </c>
      <c r="O81" s="161">
        <v>124</v>
      </c>
      <c r="P81" s="161">
        <v>124</v>
      </c>
      <c r="Q81" s="134"/>
      <c r="T81" s="128"/>
    </row>
    <row r="82" spans="1:20" ht="18" x14ac:dyDescent="0.3">
      <c r="A82" s="53"/>
      <c r="B82" s="54"/>
      <c r="C82" s="54"/>
      <c r="D82" s="55"/>
      <c r="E82" s="75"/>
      <c r="F82" s="76"/>
      <c r="G82" s="76"/>
      <c r="H82" s="48"/>
      <c r="I82" s="70"/>
      <c r="J82" s="70"/>
      <c r="K82" s="158" t="s">
        <v>1179</v>
      </c>
      <c r="L82" s="159" t="s">
        <v>1263</v>
      </c>
      <c r="M82" s="158" t="s">
        <v>34</v>
      </c>
      <c r="N82" s="160">
        <v>1</v>
      </c>
      <c r="O82" s="161">
        <v>561</v>
      </c>
      <c r="P82" s="161">
        <v>561</v>
      </c>
      <c r="Q82" s="134"/>
      <c r="T82" s="128"/>
    </row>
    <row r="83" spans="1:20" ht="18" x14ac:dyDescent="0.3">
      <c r="A83" s="53"/>
      <c r="B83" s="54"/>
      <c r="C83" s="54"/>
      <c r="D83" s="55"/>
      <c r="E83" s="75"/>
      <c r="F83" s="76"/>
      <c r="G83" s="76"/>
      <c r="H83" s="48"/>
      <c r="I83" s="70"/>
      <c r="J83" s="70"/>
      <c r="K83" s="158" t="s">
        <v>1091</v>
      </c>
      <c r="L83" s="159" t="s">
        <v>1095</v>
      </c>
      <c r="M83" s="158" t="s">
        <v>34</v>
      </c>
      <c r="N83" s="160">
        <v>1</v>
      </c>
      <c r="O83" s="161">
        <v>133.82</v>
      </c>
      <c r="P83" s="161">
        <v>133.82</v>
      </c>
      <c r="Q83" s="134"/>
      <c r="T83" s="128"/>
    </row>
    <row r="84" spans="1:20" ht="18" x14ac:dyDescent="0.3">
      <c r="A84" s="53"/>
      <c r="B84" s="54"/>
      <c r="C84" s="54"/>
      <c r="D84" s="55"/>
      <c r="E84" s="75"/>
      <c r="F84" s="76"/>
      <c r="G84" s="76"/>
      <c r="H84" s="48"/>
      <c r="I84" s="70"/>
      <c r="J84" s="70"/>
      <c r="K84" s="158" t="s">
        <v>954</v>
      </c>
      <c r="L84" s="159" t="s">
        <v>1048</v>
      </c>
      <c r="M84" s="158" t="s">
        <v>34</v>
      </c>
      <c r="N84" s="160">
        <v>0.05</v>
      </c>
      <c r="O84" s="161">
        <v>291</v>
      </c>
      <c r="P84" s="161">
        <v>14.55</v>
      </c>
      <c r="Q84" s="134"/>
      <c r="T84" s="128"/>
    </row>
    <row r="85" spans="1:20" ht="18" x14ac:dyDescent="0.3">
      <c r="A85" s="53"/>
      <c r="B85" s="54"/>
      <c r="C85" s="54"/>
      <c r="D85" s="55"/>
      <c r="E85" s="75"/>
      <c r="F85" s="76"/>
      <c r="G85" s="76"/>
      <c r="H85" s="48"/>
      <c r="I85" s="70"/>
      <c r="J85" s="70"/>
      <c r="K85" s="158" t="s">
        <v>1140</v>
      </c>
      <c r="L85" s="159" t="s">
        <v>1227</v>
      </c>
      <c r="M85" s="158" t="s">
        <v>34</v>
      </c>
      <c r="N85" s="160">
        <v>2</v>
      </c>
      <c r="O85" s="162">
        <v>1042.5</v>
      </c>
      <c r="P85" s="162">
        <v>2085</v>
      </c>
      <c r="Q85" s="134"/>
      <c r="T85" s="128"/>
    </row>
    <row r="86" spans="1:20" ht="18" x14ac:dyDescent="0.3">
      <c r="A86" s="53"/>
      <c r="B86" s="54"/>
      <c r="C86" s="54"/>
      <c r="D86" s="55"/>
      <c r="E86" s="75"/>
      <c r="F86" s="76"/>
      <c r="G86" s="76"/>
      <c r="H86" s="48"/>
      <c r="I86" s="70"/>
      <c r="J86" s="70"/>
      <c r="K86" s="158" t="s">
        <v>768</v>
      </c>
      <c r="L86" s="159" t="s">
        <v>769</v>
      </c>
      <c r="M86" s="158" t="s">
        <v>34</v>
      </c>
      <c r="N86" s="160">
        <v>7</v>
      </c>
      <c r="O86" s="161">
        <v>10</v>
      </c>
      <c r="P86" s="161">
        <v>70</v>
      </c>
      <c r="Q86" s="134"/>
      <c r="T86" s="128"/>
    </row>
    <row r="87" spans="1:20" ht="18" x14ac:dyDescent="0.3">
      <c r="A87" s="53"/>
      <c r="B87" s="54"/>
      <c r="C87" s="54"/>
      <c r="D87" s="55"/>
      <c r="E87" s="75"/>
      <c r="F87" s="76"/>
      <c r="G87" s="76"/>
      <c r="H87" s="48"/>
      <c r="I87" s="70"/>
      <c r="J87" s="70"/>
      <c r="K87" s="158" t="s">
        <v>955</v>
      </c>
      <c r="L87" s="159" t="s">
        <v>770</v>
      </c>
      <c r="M87" s="158" t="s">
        <v>34</v>
      </c>
      <c r="N87" s="160">
        <v>1</v>
      </c>
      <c r="O87" s="161">
        <v>53</v>
      </c>
      <c r="P87" s="161">
        <v>53</v>
      </c>
      <c r="Q87" s="134"/>
      <c r="T87" s="128"/>
    </row>
    <row r="88" spans="1:20" ht="18" x14ac:dyDescent="0.3">
      <c r="A88" s="53"/>
      <c r="B88" s="54"/>
      <c r="C88" s="54"/>
      <c r="D88" s="55"/>
      <c r="E88" s="75"/>
      <c r="F88" s="76"/>
      <c r="G88" s="76"/>
      <c r="H88" s="48"/>
      <c r="I88" s="70"/>
      <c r="J88" s="70"/>
      <c r="K88" s="158" t="s">
        <v>956</v>
      </c>
      <c r="L88" s="159" t="s">
        <v>328</v>
      </c>
      <c r="M88" s="158" t="s">
        <v>34</v>
      </c>
      <c r="N88" s="160">
        <v>13</v>
      </c>
      <c r="O88" s="161">
        <v>65.7</v>
      </c>
      <c r="P88" s="161">
        <v>854.1</v>
      </c>
      <c r="Q88" s="134"/>
      <c r="T88" s="128"/>
    </row>
    <row r="89" spans="1:20" ht="18" x14ac:dyDescent="0.3">
      <c r="A89" s="53"/>
      <c r="B89" s="54"/>
      <c r="C89" s="54"/>
      <c r="D89" s="55"/>
      <c r="E89" s="75"/>
      <c r="F89" s="76"/>
      <c r="G89" s="76"/>
      <c r="H89" s="48"/>
      <c r="I89" s="70"/>
      <c r="J89" s="70"/>
      <c r="K89" s="158" t="s">
        <v>771</v>
      </c>
      <c r="L89" s="159" t="s">
        <v>772</v>
      </c>
      <c r="M89" s="158" t="s">
        <v>34</v>
      </c>
      <c r="N89" s="160">
        <v>6</v>
      </c>
      <c r="O89" s="161">
        <v>228.02</v>
      </c>
      <c r="P89" s="162">
        <v>1368.12</v>
      </c>
      <c r="Q89" s="134"/>
      <c r="T89" s="128"/>
    </row>
    <row r="90" spans="1:20" ht="18" x14ac:dyDescent="0.3">
      <c r="A90" s="53"/>
      <c r="B90" s="54"/>
      <c r="C90" s="54"/>
      <c r="D90" s="55"/>
      <c r="E90" s="75"/>
      <c r="F90" s="76"/>
      <c r="G90" s="76"/>
      <c r="H90" s="48"/>
      <c r="I90" s="70"/>
      <c r="J90" s="70"/>
      <c r="K90" s="158" t="s">
        <v>957</v>
      </c>
      <c r="L90" s="159" t="s">
        <v>1049</v>
      </c>
      <c r="M90" s="158" t="s">
        <v>34</v>
      </c>
      <c r="N90" s="160">
        <v>10</v>
      </c>
      <c r="O90" s="161">
        <v>78.3</v>
      </c>
      <c r="P90" s="161">
        <v>783</v>
      </c>
      <c r="Q90" s="134"/>
      <c r="T90" s="128"/>
    </row>
    <row r="91" spans="1:20" ht="18" x14ac:dyDescent="0.3">
      <c r="A91" s="53"/>
      <c r="B91" s="54"/>
      <c r="C91" s="54"/>
      <c r="D91" s="55"/>
      <c r="E91" s="75"/>
      <c r="F91" s="76"/>
      <c r="G91" s="76"/>
      <c r="H91" s="48"/>
      <c r="I91" s="70"/>
      <c r="J91" s="70"/>
      <c r="K91" s="158" t="s">
        <v>773</v>
      </c>
      <c r="L91" s="159" t="s">
        <v>774</v>
      </c>
      <c r="M91" s="158" t="s">
        <v>34</v>
      </c>
      <c r="N91" s="160">
        <v>5</v>
      </c>
      <c r="O91" s="161">
        <v>77.209999999999994</v>
      </c>
      <c r="P91" s="161">
        <v>386.05</v>
      </c>
      <c r="Q91" s="134"/>
      <c r="T91" s="128"/>
    </row>
    <row r="92" spans="1:20" ht="18" x14ac:dyDescent="0.3">
      <c r="A92" s="53"/>
      <c r="B92" s="54"/>
      <c r="C92" s="54"/>
      <c r="D92" s="55"/>
      <c r="E92" s="75"/>
      <c r="F92" s="76"/>
      <c r="G92" s="76"/>
      <c r="H92" s="48"/>
      <c r="I92" s="70"/>
      <c r="J92" s="70"/>
      <c r="K92" s="158" t="s">
        <v>958</v>
      </c>
      <c r="L92" s="159" t="s">
        <v>337</v>
      </c>
      <c r="M92" s="158" t="s">
        <v>34</v>
      </c>
      <c r="N92" s="160">
        <v>2</v>
      </c>
      <c r="O92" s="161">
        <v>30.33</v>
      </c>
      <c r="P92" s="161">
        <v>60.66</v>
      </c>
      <c r="Q92" s="134"/>
      <c r="T92" s="128"/>
    </row>
    <row r="93" spans="1:20" ht="18" x14ac:dyDescent="0.3">
      <c r="A93" s="53"/>
      <c r="B93" s="54"/>
      <c r="C93" s="54"/>
      <c r="D93" s="55"/>
      <c r="E93" s="75"/>
      <c r="F93" s="76"/>
      <c r="G93" s="76"/>
      <c r="H93" s="48"/>
      <c r="I93" s="70"/>
      <c r="J93" s="70"/>
      <c r="K93" s="158" t="s">
        <v>905</v>
      </c>
      <c r="L93" s="159" t="s">
        <v>906</v>
      </c>
      <c r="M93" s="158" t="s">
        <v>34</v>
      </c>
      <c r="N93" s="160">
        <v>3</v>
      </c>
      <c r="O93" s="161">
        <v>10</v>
      </c>
      <c r="P93" s="161">
        <v>30</v>
      </c>
      <c r="Q93" s="134"/>
      <c r="T93" s="128"/>
    </row>
    <row r="94" spans="1:20" ht="18" x14ac:dyDescent="0.3">
      <c r="A94" s="53"/>
      <c r="B94" s="54"/>
      <c r="C94" s="54"/>
      <c r="D94" s="55"/>
      <c r="E94" s="75"/>
      <c r="F94" s="76"/>
      <c r="G94" s="76"/>
      <c r="H94" s="48"/>
      <c r="I94" s="70"/>
      <c r="J94" s="70"/>
      <c r="K94" s="158" t="s">
        <v>907</v>
      </c>
      <c r="L94" s="159" t="s">
        <v>908</v>
      </c>
      <c r="M94" s="158" t="s">
        <v>34</v>
      </c>
      <c r="N94" s="160">
        <v>3</v>
      </c>
      <c r="O94" s="161">
        <v>10</v>
      </c>
      <c r="P94" s="161">
        <v>30</v>
      </c>
      <c r="Q94" s="134"/>
      <c r="T94" s="128"/>
    </row>
    <row r="95" spans="1:20" ht="18" x14ac:dyDescent="0.3">
      <c r="A95" s="53"/>
      <c r="B95" s="54"/>
      <c r="C95" s="54"/>
      <c r="D95" s="55"/>
      <c r="E95" s="75"/>
      <c r="F95" s="76"/>
      <c r="G95" s="76"/>
      <c r="H95" s="48"/>
      <c r="I95" s="70"/>
      <c r="J95" s="70"/>
      <c r="K95" s="158" t="s">
        <v>1094</v>
      </c>
      <c r="L95" s="159" t="s">
        <v>1098</v>
      </c>
      <c r="M95" s="158" t="s">
        <v>34</v>
      </c>
      <c r="N95" s="160">
        <v>1</v>
      </c>
      <c r="O95" s="161">
        <v>118.8</v>
      </c>
      <c r="P95" s="161">
        <v>118.8</v>
      </c>
      <c r="Q95" s="134"/>
      <c r="T95" s="128"/>
    </row>
    <row r="96" spans="1:20" ht="18" x14ac:dyDescent="0.3">
      <c r="A96" s="53"/>
      <c r="B96" s="54"/>
      <c r="C96" s="54"/>
      <c r="D96" s="55"/>
      <c r="E96" s="75"/>
      <c r="F96" s="76"/>
      <c r="G96" s="76"/>
      <c r="H96" s="48"/>
      <c r="I96" s="70"/>
      <c r="J96" s="70"/>
      <c r="K96" s="158" t="s">
        <v>340</v>
      </c>
      <c r="L96" s="159" t="s">
        <v>341</v>
      </c>
      <c r="M96" s="158" t="s">
        <v>34</v>
      </c>
      <c r="N96" s="160">
        <v>1</v>
      </c>
      <c r="O96" s="161">
        <v>432.25</v>
      </c>
      <c r="P96" s="161">
        <v>432.25</v>
      </c>
      <c r="Q96" s="134"/>
      <c r="T96" s="128"/>
    </row>
    <row r="97" spans="1:20" ht="18" x14ac:dyDescent="0.3">
      <c r="A97" s="53"/>
      <c r="B97" s="54"/>
      <c r="C97" s="54"/>
      <c r="D97" s="55"/>
      <c r="E97" s="75"/>
      <c r="F97" s="76"/>
      <c r="G97" s="76"/>
      <c r="H97" s="48"/>
      <c r="I97" s="70"/>
      <c r="J97" s="70"/>
      <c r="K97" s="158" t="s">
        <v>1147</v>
      </c>
      <c r="L97" s="159" t="s">
        <v>1234</v>
      </c>
      <c r="M97" s="158" t="s">
        <v>34</v>
      </c>
      <c r="N97" s="160">
        <v>1</v>
      </c>
      <c r="O97" s="161">
        <v>831.77</v>
      </c>
      <c r="P97" s="161">
        <v>831.77</v>
      </c>
      <c r="Q97" s="134"/>
      <c r="T97" s="128"/>
    </row>
    <row r="98" spans="1:20" ht="18" x14ac:dyDescent="0.3">
      <c r="A98" s="53"/>
      <c r="B98" s="54"/>
      <c r="C98" s="54"/>
      <c r="D98" s="55"/>
      <c r="E98" s="75"/>
      <c r="F98" s="76"/>
      <c r="G98" s="76"/>
      <c r="H98" s="48"/>
      <c r="I98" s="70"/>
      <c r="J98" s="70"/>
      <c r="K98" s="158" t="s">
        <v>1148</v>
      </c>
      <c r="L98" s="159" t="s">
        <v>1235</v>
      </c>
      <c r="M98" s="158" t="s">
        <v>34</v>
      </c>
      <c r="N98" s="160">
        <v>1</v>
      </c>
      <c r="O98" s="161">
        <v>257.81</v>
      </c>
      <c r="P98" s="161">
        <v>257.81</v>
      </c>
      <c r="Q98" s="134"/>
      <c r="T98" s="128"/>
    </row>
    <row r="99" spans="1:20" ht="18" x14ac:dyDescent="0.3">
      <c r="A99" s="53"/>
      <c r="B99" s="54"/>
      <c r="C99" s="54"/>
      <c r="D99" s="55"/>
      <c r="E99" s="75"/>
      <c r="F99" s="76"/>
      <c r="G99" s="76"/>
      <c r="H99" s="48"/>
      <c r="I99" s="70"/>
      <c r="J99" s="70"/>
      <c r="K99" s="158" t="s">
        <v>952</v>
      </c>
      <c r="L99" s="159" t="s">
        <v>777</v>
      </c>
      <c r="M99" s="158" t="s">
        <v>34</v>
      </c>
      <c r="N99" s="160">
        <v>0.5</v>
      </c>
      <c r="O99" s="161">
        <v>257.82</v>
      </c>
      <c r="P99" s="161">
        <v>128.91</v>
      </c>
      <c r="Q99" s="134"/>
      <c r="T99" s="128"/>
    </row>
    <row r="100" spans="1:20" ht="18" x14ac:dyDescent="0.3">
      <c r="A100" s="53"/>
      <c r="B100" s="54"/>
      <c r="C100" s="54"/>
      <c r="D100" s="55"/>
      <c r="E100" s="75"/>
      <c r="F100" s="76"/>
      <c r="G100" s="76"/>
      <c r="H100" s="48"/>
      <c r="I100" s="70"/>
      <c r="J100" s="70"/>
      <c r="K100" s="158" t="s">
        <v>49</v>
      </c>
      <c r="L100" s="159" t="s">
        <v>74</v>
      </c>
      <c r="M100" s="158" t="s">
        <v>34</v>
      </c>
      <c r="N100" s="160">
        <v>8</v>
      </c>
      <c r="O100" s="161">
        <v>133.33000000000001</v>
      </c>
      <c r="P100" s="162">
        <v>1066.6400000000001</v>
      </c>
      <c r="Q100" s="134"/>
      <c r="T100" s="128"/>
    </row>
    <row r="101" spans="1:20" ht="18" x14ac:dyDescent="0.3">
      <c r="A101" s="53"/>
      <c r="B101" s="54"/>
      <c r="C101" s="54"/>
      <c r="D101" s="55"/>
      <c r="E101" s="75"/>
      <c r="F101" s="76"/>
      <c r="G101" s="76"/>
      <c r="H101" s="48"/>
      <c r="I101" s="70"/>
      <c r="J101" s="70"/>
      <c r="K101" s="158" t="s">
        <v>1121</v>
      </c>
      <c r="L101" s="159" t="s">
        <v>1207</v>
      </c>
      <c r="M101" s="158" t="s">
        <v>34</v>
      </c>
      <c r="N101" s="160">
        <v>1</v>
      </c>
      <c r="O101" s="162">
        <v>1000.64</v>
      </c>
      <c r="P101" s="162">
        <v>1000.64</v>
      </c>
      <c r="Q101" s="134"/>
      <c r="T101" s="128"/>
    </row>
    <row r="102" spans="1:20" ht="18" x14ac:dyDescent="0.3">
      <c r="A102" s="53"/>
      <c r="B102" s="54"/>
      <c r="C102" s="54"/>
      <c r="D102" s="55"/>
      <c r="E102" s="75"/>
      <c r="F102" s="76"/>
      <c r="G102" s="76"/>
      <c r="H102" s="48"/>
      <c r="I102" s="70"/>
      <c r="J102" s="70"/>
      <c r="K102" s="158" t="s">
        <v>967</v>
      </c>
      <c r="L102" s="159" t="s">
        <v>1056</v>
      </c>
      <c r="M102" s="158" t="s">
        <v>34</v>
      </c>
      <c r="N102" s="160">
        <v>3</v>
      </c>
      <c r="O102" s="161">
        <v>0.43</v>
      </c>
      <c r="P102" s="161">
        <v>1.29</v>
      </c>
      <c r="Q102" s="134"/>
      <c r="T102" s="128"/>
    </row>
    <row r="103" spans="1:20" ht="18" x14ac:dyDescent="0.3">
      <c r="A103" s="53"/>
      <c r="B103" s="54"/>
      <c r="C103" s="54"/>
      <c r="D103" s="55"/>
      <c r="E103" s="75"/>
      <c r="F103" s="76"/>
      <c r="G103" s="76"/>
      <c r="H103" s="48"/>
      <c r="I103" s="70"/>
      <c r="J103" s="70"/>
      <c r="K103" s="158" t="s">
        <v>968</v>
      </c>
      <c r="L103" s="159" t="s">
        <v>756</v>
      </c>
      <c r="M103" s="158" t="s">
        <v>34</v>
      </c>
      <c r="N103" s="160">
        <v>250</v>
      </c>
      <c r="O103" s="161">
        <v>0.94</v>
      </c>
      <c r="P103" s="161">
        <v>235</v>
      </c>
      <c r="Q103" s="134"/>
      <c r="T103" s="128"/>
    </row>
    <row r="104" spans="1:20" ht="18" x14ac:dyDescent="0.3">
      <c r="A104" s="53"/>
      <c r="B104" s="54"/>
      <c r="C104" s="54"/>
      <c r="D104" s="55"/>
      <c r="E104" s="75"/>
      <c r="F104" s="76"/>
      <c r="G104" s="76"/>
      <c r="H104" s="48"/>
      <c r="I104" s="70"/>
      <c r="J104" s="70"/>
      <c r="K104" s="158" t="s">
        <v>969</v>
      </c>
      <c r="L104" s="159" t="s">
        <v>75</v>
      </c>
      <c r="M104" s="158" t="s">
        <v>34</v>
      </c>
      <c r="N104" s="160">
        <v>12</v>
      </c>
      <c r="O104" s="161">
        <v>1.8</v>
      </c>
      <c r="P104" s="161">
        <v>21.56</v>
      </c>
      <c r="Q104" s="134"/>
      <c r="T104" s="128"/>
    </row>
    <row r="105" spans="1:20" ht="18" x14ac:dyDescent="0.3">
      <c r="A105" s="53"/>
      <c r="B105" s="54"/>
      <c r="C105" s="54"/>
      <c r="D105" s="55"/>
      <c r="E105" s="75"/>
      <c r="F105" s="76"/>
      <c r="G105" s="76"/>
      <c r="H105" s="48"/>
      <c r="I105" s="70"/>
      <c r="J105" s="70"/>
      <c r="K105" s="158" t="s">
        <v>1122</v>
      </c>
      <c r="L105" s="159" t="s">
        <v>1208</v>
      </c>
      <c r="M105" s="158" t="s">
        <v>34</v>
      </c>
      <c r="N105" s="160">
        <v>1</v>
      </c>
      <c r="O105" s="161">
        <v>212</v>
      </c>
      <c r="P105" s="161">
        <v>212</v>
      </c>
      <c r="Q105" s="134"/>
      <c r="T105" s="128"/>
    </row>
    <row r="106" spans="1:20" ht="18" x14ac:dyDescent="0.3">
      <c r="A106" s="53"/>
      <c r="B106" s="54"/>
      <c r="C106" s="54"/>
      <c r="D106" s="55"/>
      <c r="E106" s="75"/>
      <c r="F106" s="76"/>
      <c r="G106" s="76"/>
      <c r="H106" s="48"/>
      <c r="I106" s="70"/>
      <c r="J106" s="70"/>
      <c r="K106" s="158" t="s">
        <v>757</v>
      </c>
      <c r="L106" s="159" t="s">
        <v>758</v>
      </c>
      <c r="M106" s="158" t="s">
        <v>34</v>
      </c>
      <c r="N106" s="160">
        <v>0.2</v>
      </c>
      <c r="O106" s="162">
        <v>2803</v>
      </c>
      <c r="P106" s="161">
        <v>560.6</v>
      </c>
      <c r="Q106" s="134"/>
      <c r="T106" s="128"/>
    </row>
    <row r="107" spans="1:20" ht="18" x14ac:dyDescent="0.3">
      <c r="A107" s="53"/>
      <c r="B107" s="54"/>
      <c r="C107" s="54"/>
      <c r="D107" s="55"/>
      <c r="E107" s="75"/>
      <c r="F107" s="76"/>
      <c r="G107" s="76"/>
      <c r="H107" s="48"/>
      <c r="I107" s="70"/>
      <c r="J107" s="70"/>
      <c r="K107" s="158" t="s">
        <v>1124</v>
      </c>
      <c r="L107" s="159" t="s">
        <v>1210</v>
      </c>
      <c r="M107" s="158" t="s">
        <v>34</v>
      </c>
      <c r="N107" s="160">
        <v>1</v>
      </c>
      <c r="O107" s="161">
        <v>108.5</v>
      </c>
      <c r="P107" s="161">
        <v>108.5</v>
      </c>
      <c r="Q107" s="134"/>
      <c r="T107" s="128"/>
    </row>
    <row r="108" spans="1:20" ht="18" x14ac:dyDescent="0.3">
      <c r="A108" s="53"/>
      <c r="B108" s="54"/>
      <c r="C108" s="54"/>
      <c r="D108" s="55"/>
      <c r="E108" s="75"/>
      <c r="F108" s="76"/>
      <c r="G108" s="76"/>
      <c r="H108" s="48"/>
      <c r="I108" s="70"/>
      <c r="J108" s="70"/>
      <c r="K108" s="158" t="s">
        <v>970</v>
      </c>
      <c r="L108" s="159" t="s">
        <v>294</v>
      </c>
      <c r="M108" s="158" t="s">
        <v>34</v>
      </c>
      <c r="N108" s="160">
        <v>4</v>
      </c>
      <c r="O108" s="161">
        <v>93.67</v>
      </c>
      <c r="P108" s="161">
        <v>374.68</v>
      </c>
      <c r="Q108" s="134"/>
      <c r="T108" s="128"/>
    </row>
    <row r="109" spans="1:20" ht="18" x14ac:dyDescent="0.3">
      <c r="A109" s="53"/>
      <c r="B109" s="54"/>
      <c r="C109" s="54"/>
      <c r="D109" s="55"/>
      <c r="E109" s="75"/>
      <c r="F109" s="76"/>
      <c r="G109" s="76"/>
      <c r="H109" s="48"/>
      <c r="I109" s="70"/>
      <c r="J109" s="70"/>
      <c r="K109" s="158" t="s">
        <v>971</v>
      </c>
      <c r="L109" s="159" t="s">
        <v>296</v>
      </c>
      <c r="M109" s="158" t="s">
        <v>34</v>
      </c>
      <c r="N109" s="160">
        <v>3</v>
      </c>
      <c r="O109" s="161">
        <v>67</v>
      </c>
      <c r="P109" s="161">
        <v>201</v>
      </c>
      <c r="Q109" s="134"/>
      <c r="T109" s="128"/>
    </row>
    <row r="110" spans="1:20" ht="18" x14ac:dyDescent="0.3">
      <c r="A110" s="53"/>
      <c r="B110" s="54"/>
      <c r="C110" s="54"/>
      <c r="D110" s="55"/>
      <c r="E110" s="75"/>
      <c r="F110" s="76"/>
      <c r="G110" s="76"/>
      <c r="H110" s="48"/>
      <c r="I110" s="70"/>
      <c r="J110" s="70"/>
      <c r="K110" s="158" t="s">
        <v>972</v>
      </c>
      <c r="L110" s="159" t="s">
        <v>297</v>
      </c>
      <c r="M110" s="158" t="s">
        <v>34</v>
      </c>
      <c r="N110" s="160">
        <v>1</v>
      </c>
      <c r="O110" s="161">
        <v>167</v>
      </c>
      <c r="P110" s="161">
        <v>167</v>
      </c>
      <c r="Q110" s="134"/>
      <c r="T110" s="128"/>
    </row>
    <row r="111" spans="1:20" ht="18" x14ac:dyDescent="0.3">
      <c r="A111" s="53"/>
      <c r="B111" s="54"/>
      <c r="C111" s="54"/>
      <c r="D111" s="55"/>
      <c r="E111" s="75"/>
      <c r="F111" s="76"/>
      <c r="G111" s="76"/>
      <c r="H111" s="48"/>
      <c r="I111" s="70"/>
      <c r="J111" s="70"/>
      <c r="K111" s="158" t="s">
        <v>866</v>
      </c>
      <c r="L111" s="159" t="s">
        <v>919</v>
      </c>
      <c r="M111" s="158" t="s">
        <v>34</v>
      </c>
      <c r="N111" s="160">
        <v>2</v>
      </c>
      <c r="O111" s="162">
        <v>2690</v>
      </c>
      <c r="P111" s="162">
        <v>5380</v>
      </c>
      <c r="Q111" s="134"/>
      <c r="T111" s="128"/>
    </row>
    <row r="112" spans="1:20" ht="18" x14ac:dyDescent="0.3">
      <c r="A112" s="53"/>
      <c r="B112" s="54"/>
      <c r="C112" s="54"/>
      <c r="D112" s="55"/>
      <c r="E112" s="75"/>
      <c r="F112" s="76"/>
      <c r="G112" s="76"/>
      <c r="H112" s="48"/>
      <c r="I112" s="70"/>
      <c r="J112" s="70"/>
      <c r="K112" s="158" t="s">
        <v>782</v>
      </c>
      <c r="L112" s="159" t="s">
        <v>783</v>
      </c>
      <c r="M112" s="158" t="s">
        <v>34</v>
      </c>
      <c r="N112" s="160">
        <v>2</v>
      </c>
      <c r="O112" s="162">
        <v>2458.33</v>
      </c>
      <c r="P112" s="162">
        <v>4916.66</v>
      </c>
      <c r="Q112" s="134"/>
      <c r="T112" s="128"/>
    </row>
    <row r="113" spans="1:20" ht="30" x14ac:dyDescent="0.3">
      <c r="A113" s="53"/>
      <c r="B113" s="54"/>
      <c r="C113" s="54"/>
      <c r="D113" s="55"/>
      <c r="E113" s="75"/>
      <c r="F113" s="76"/>
      <c r="G113" s="76"/>
      <c r="H113" s="48"/>
      <c r="I113" s="70"/>
      <c r="J113" s="70"/>
      <c r="K113" s="158" t="s">
        <v>959</v>
      </c>
      <c r="L113" s="159" t="s">
        <v>1050</v>
      </c>
      <c r="M113" s="158" t="s">
        <v>34</v>
      </c>
      <c r="N113" s="160">
        <v>9</v>
      </c>
      <c r="O113" s="161">
        <v>25.6</v>
      </c>
      <c r="P113" s="161">
        <v>230.4</v>
      </c>
      <c r="Q113" s="134"/>
      <c r="T113" s="128"/>
    </row>
    <row r="114" spans="1:20" ht="30" x14ac:dyDescent="0.3">
      <c r="A114" s="53"/>
      <c r="B114" s="54"/>
      <c r="C114" s="54"/>
      <c r="D114" s="55"/>
      <c r="E114" s="75"/>
      <c r="F114" s="76"/>
      <c r="G114" s="76"/>
      <c r="H114" s="48"/>
      <c r="I114" s="70"/>
      <c r="J114" s="70"/>
      <c r="K114" s="158" t="s">
        <v>960</v>
      </c>
      <c r="L114" s="159" t="s">
        <v>784</v>
      </c>
      <c r="M114" s="158" t="s">
        <v>34</v>
      </c>
      <c r="N114" s="160">
        <v>3</v>
      </c>
      <c r="O114" s="161">
        <v>21.7</v>
      </c>
      <c r="P114" s="161">
        <v>65.099999999999994</v>
      </c>
      <c r="Q114" s="134"/>
      <c r="T114" s="128"/>
    </row>
    <row r="115" spans="1:20" ht="18" x14ac:dyDescent="0.3">
      <c r="A115" s="53"/>
      <c r="B115" s="54"/>
      <c r="C115" s="54"/>
      <c r="D115" s="55"/>
      <c r="E115" s="75"/>
      <c r="F115" s="76"/>
      <c r="G115" s="76"/>
      <c r="H115" s="48"/>
      <c r="I115" s="70"/>
      <c r="J115" s="70"/>
      <c r="K115" s="158" t="s">
        <v>363</v>
      </c>
      <c r="L115" s="159" t="s">
        <v>364</v>
      </c>
      <c r="M115" s="158" t="s">
        <v>34</v>
      </c>
      <c r="N115" s="160">
        <v>2</v>
      </c>
      <c r="O115" s="161">
        <v>108.4</v>
      </c>
      <c r="P115" s="161">
        <v>216.8</v>
      </c>
      <c r="Q115" s="134"/>
      <c r="T115" s="128"/>
    </row>
    <row r="116" spans="1:20" ht="18" x14ac:dyDescent="0.3">
      <c r="A116" s="53"/>
      <c r="B116" s="54"/>
      <c r="C116" s="54"/>
      <c r="D116" s="55"/>
      <c r="E116" s="75"/>
      <c r="F116" s="76"/>
      <c r="G116" s="76"/>
      <c r="H116" s="48"/>
      <c r="I116" s="70"/>
      <c r="J116" s="70"/>
      <c r="K116" s="158" t="s">
        <v>188</v>
      </c>
      <c r="L116" s="159" t="s">
        <v>189</v>
      </c>
      <c r="M116" s="158" t="s">
        <v>34</v>
      </c>
      <c r="N116" s="160">
        <v>4</v>
      </c>
      <c r="O116" s="161">
        <v>55.1</v>
      </c>
      <c r="P116" s="161">
        <v>220.4</v>
      </c>
      <c r="Q116" s="134"/>
      <c r="T116" s="128"/>
    </row>
    <row r="117" spans="1:20" ht="18" x14ac:dyDescent="0.3">
      <c r="A117" s="53"/>
      <c r="B117" s="54"/>
      <c r="C117" s="54"/>
      <c r="D117" s="55"/>
      <c r="E117" s="75"/>
      <c r="F117" s="76"/>
      <c r="G117" s="76"/>
      <c r="H117" s="48"/>
      <c r="I117" s="70"/>
      <c r="J117" s="70"/>
      <c r="K117" s="158" t="s">
        <v>732</v>
      </c>
      <c r="L117" s="159" t="s">
        <v>733</v>
      </c>
      <c r="M117" s="158" t="s">
        <v>34</v>
      </c>
      <c r="N117" s="160">
        <v>1</v>
      </c>
      <c r="O117" s="162">
        <v>15249.17</v>
      </c>
      <c r="P117" s="162">
        <v>15249.17</v>
      </c>
      <c r="Q117" s="134"/>
      <c r="T117" s="128"/>
    </row>
    <row r="118" spans="1:20" ht="18" x14ac:dyDescent="0.3">
      <c r="A118" s="53"/>
      <c r="B118" s="54"/>
      <c r="C118" s="54"/>
      <c r="D118" s="55"/>
      <c r="E118" s="75"/>
      <c r="F118" s="76"/>
      <c r="G118" s="76"/>
      <c r="H118" s="48"/>
      <c r="I118" s="70"/>
      <c r="J118" s="70"/>
      <c r="K118" s="158" t="s">
        <v>371</v>
      </c>
      <c r="L118" s="159" t="s">
        <v>372</v>
      </c>
      <c r="M118" s="158" t="s">
        <v>34</v>
      </c>
      <c r="N118" s="160">
        <v>41</v>
      </c>
      <c r="O118" s="161">
        <v>15.96</v>
      </c>
      <c r="P118" s="161">
        <v>654.36</v>
      </c>
      <c r="Q118" s="134"/>
      <c r="T118" s="128"/>
    </row>
    <row r="119" spans="1:20" ht="18" x14ac:dyDescent="0.3">
      <c r="A119" s="53"/>
      <c r="B119" s="54"/>
      <c r="C119" s="54"/>
      <c r="D119" s="55"/>
      <c r="E119" s="75"/>
      <c r="F119" s="76"/>
      <c r="G119" s="76"/>
      <c r="H119" s="48"/>
      <c r="I119" s="70"/>
      <c r="J119" s="70"/>
      <c r="K119" s="158" t="s">
        <v>785</v>
      </c>
      <c r="L119" s="159" t="s">
        <v>786</v>
      </c>
      <c r="M119" s="158" t="s">
        <v>34</v>
      </c>
      <c r="N119" s="160">
        <v>3</v>
      </c>
      <c r="O119" s="161">
        <v>164.03</v>
      </c>
      <c r="P119" s="161">
        <v>492.1</v>
      </c>
      <c r="Q119" s="134"/>
      <c r="T119" s="128"/>
    </row>
    <row r="120" spans="1:20" ht="18" x14ac:dyDescent="0.3">
      <c r="A120" s="53"/>
      <c r="B120" s="54"/>
      <c r="C120" s="54"/>
      <c r="D120" s="55"/>
      <c r="E120" s="75"/>
      <c r="F120" s="76"/>
      <c r="G120" s="76"/>
      <c r="H120" s="48"/>
      <c r="I120" s="70"/>
      <c r="J120" s="70"/>
      <c r="K120" s="158" t="s">
        <v>373</v>
      </c>
      <c r="L120" s="159" t="s">
        <v>374</v>
      </c>
      <c r="M120" s="158" t="s">
        <v>34</v>
      </c>
      <c r="N120" s="160">
        <v>5</v>
      </c>
      <c r="O120" s="161">
        <v>17.32</v>
      </c>
      <c r="P120" s="161">
        <v>86.62</v>
      </c>
      <c r="Q120" s="134"/>
      <c r="T120" s="128"/>
    </row>
    <row r="121" spans="1:20" ht="18" x14ac:dyDescent="0.3">
      <c r="A121" s="53"/>
      <c r="B121" s="54"/>
      <c r="C121" s="54"/>
      <c r="D121" s="55"/>
      <c r="E121" s="75"/>
      <c r="F121" s="76"/>
      <c r="G121" s="76"/>
      <c r="H121" s="48"/>
      <c r="I121" s="70"/>
      <c r="J121" s="70"/>
      <c r="K121" s="158" t="s">
        <v>1145</v>
      </c>
      <c r="L121" s="159" t="s">
        <v>1232</v>
      </c>
      <c r="M121" s="158" t="s">
        <v>34</v>
      </c>
      <c r="N121" s="160">
        <v>1</v>
      </c>
      <c r="O121" s="161">
        <v>64.75</v>
      </c>
      <c r="P121" s="161">
        <v>64.75</v>
      </c>
      <c r="Q121" s="134"/>
      <c r="T121" s="128"/>
    </row>
    <row r="122" spans="1:20" ht="18" x14ac:dyDescent="0.3">
      <c r="A122" s="53"/>
      <c r="B122" s="54"/>
      <c r="C122" s="54"/>
      <c r="D122" s="55"/>
      <c r="E122" s="75"/>
      <c r="F122" s="76"/>
      <c r="G122" s="76"/>
      <c r="H122" s="48"/>
      <c r="I122" s="70"/>
      <c r="J122" s="70"/>
      <c r="K122" s="158" t="s">
        <v>961</v>
      </c>
      <c r="L122" s="159" t="s">
        <v>1051</v>
      </c>
      <c r="M122" s="158" t="s">
        <v>34</v>
      </c>
      <c r="N122" s="160">
        <v>0.14000000000000001</v>
      </c>
      <c r="O122" s="161">
        <v>27</v>
      </c>
      <c r="P122" s="161">
        <v>3.78</v>
      </c>
      <c r="Q122" s="134"/>
      <c r="T122" s="128"/>
    </row>
    <row r="123" spans="1:20" ht="30" x14ac:dyDescent="0.3">
      <c r="A123" s="53"/>
      <c r="B123" s="54"/>
      <c r="C123" s="54"/>
      <c r="D123" s="55"/>
      <c r="E123" s="75"/>
      <c r="F123" s="76"/>
      <c r="G123" s="76"/>
      <c r="H123" s="48"/>
      <c r="I123" s="70"/>
      <c r="J123" s="70"/>
      <c r="K123" s="158" t="s">
        <v>962</v>
      </c>
      <c r="L123" s="159" t="s">
        <v>787</v>
      </c>
      <c r="M123" s="158" t="s">
        <v>34</v>
      </c>
      <c r="N123" s="160">
        <v>2</v>
      </c>
      <c r="O123" s="161">
        <v>179.67</v>
      </c>
      <c r="P123" s="161">
        <v>359.34</v>
      </c>
      <c r="Q123" s="134"/>
      <c r="T123" s="128"/>
    </row>
    <row r="124" spans="1:20" ht="18" x14ac:dyDescent="0.3">
      <c r="A124" s="53"/>
      <c r="B124" s="54"/>
      <c r="C124" s="54"/>
      <c r="D124" s="55"/>
      <c r="E124" s="75"/>
      <c r="F124" s="76"/>
      <c r="G124" s="76"/>
      <c r="H124" s="48"/>
      <c r="I124" s="70"/>
      <c r="J124" s="70"/>
      <c r="K124" s="158" t="s">
        <v>963</v>
      </c>
      <c r="L124" s="159" t="s">
        <v>375</v>
      </c>
      <c r="M124" s="158" t="s">
        <v>34</v>
      </c>
      <c r="N124" s="160">
        <v>10</v>
      </c>
      <c r="O124" s="161">
        <v>163.41999999999999</v>
      </c>
      <c r="P124" s="162">
        <v>1634.2</v>
      </c>
      <c r="Q124" s="134"/>
      <c r="T124" s="128"/>
    </row>
    <row r="125" spans="1:20" ht="30" x14ac:dyDescent="0.3">
      <c r="A125" s="53"/>
      <c r="B125" s="54"/>
      <c r="C125" s="54"/>
      <c r="D125" s="55"/>
      <c r="E125" s="75"/>
      <c r="F125" s="76"/>
      <c r="G125" s="76"/>
      <c r="H125" s="48"/>
      <c r="I125" s="70"/>
      <c r="J125" s="70"/>
      <c r="K125" s="158" t="s">
        <v>1146</v>
      </c>
      <c r="L125" s="159" t="s">
        <v>1233</v>
      </c>
      <c r="M125" s="158" t="s">
        <v>34</v>
      </c>
      <c r="N125" s="160">
        <v>2</v>
      </c>
      <c r="O125" s="161">
        <v>36</v>
      </c>
      <c r="P125" s="161">
        <v>72</v>
      </c>
      <c r="Q125" s="134"/>
      <c r="T125" s="128"/>
    </row>
    <row r="126" spans="1:20" ht="30" x14ac:dyDescent="0.3">
      <c r="A126" s="53"/>
      <c r="B126" s="54"/>
      <c r="C126" s="54"/>
      <c r="D126" s="55"/>
      <c r="E126" s="75"/>
      <c r="F126" s="76"/>
      <c r="G126" s="76"/>
      <c r="H126" s="48"/>
      <c r="I126" s="70"/>
      <c r="J126" s="70"/>
      <c r="K126" s="158" t="s">
        <v>964</v>
      </c>
      <c r="L126" s="159" t="s">
        <v>788</v>
      </c>
      <c r="M126" s="158" t="s">
        <v>34</v>
      </c>
      <c r="N126" s="160">
        <v>1</v>
      </c>
      <c r="O126" s="161">
        <v>17.3</v>
      </c>
      <c r="P126" s="161">
        <v>17.3</v>
      </c>
      <c r="Q126" s="134"/>
      <c r="T126" s="128"/>
    </row>
    <row r="127" spans="1:20" ht="18" x14ac:dyDescent="0.3">
      <c r="A127" s="53"/>
      <c r="B127" s="54"/>
      <c r="C127" s="54"/>
      <c r="D127" s="55"/>
      <c r="E127" s="75"/>
      <c r="F127" s="76"/>
      <c r="G127" s="76"/>
      <c r="H127" s="48"/>
      <c r="I127" s="70"/>
      <c r="J127" s="70"/>
      <c r="K127" s="158" t="s">
        <v>875</v>
      </c>
      <c r="L127" s="159" t="s">
        <v>876</v>
      </c>
      <c r="M127" s="158" t="s">
        <v>34</v>
      </c>
      <c r="N127" s="160">
        <v>1</v>
      </c>
      <c r="O127" s="162">
        <v>1603.96</v>
      </c>
      <c r="P127" s="162">
        <v>1603.96</v>
      </c>
      <c r="Q127" s="134"/>
      <c r="T127" s="128"/>
    </row>
    <row r="128" spans="1:20" ht="18" x14ac:dyDescent="0.3">
      <c r="A128" s="53"/>
      <c r="B128" s="54"/>
      <c r="C128" s="54"/>
      <c r="D128" s="55"/>
      <c r="E128" s="75"/>
      <c r="F128" s="76"/>
      <c r="G128" s="76"/>
      <c r="H128" s="48"/>
      <c r="I128" s="70"/>
      <c r="J128" s="70"/>
      <c r="K128" s="158" t="s">
        <v>789</v>
      </c>
      <c r="L128" s="159" t="s">
        <v>790</v>
      </c>
      <c r="M128" s="158" t="s">
        <v>34</v>
      </c>
      <c r="N128" s="160">
        <v>16</v>
      </c>
      <c r="O128" s="161">
        <v>10.5</v>
      </c>
      <c r="P128" s="161">
        <v>168</v>
      </c>
      <c r="Q128" s="134"/>
      <c r="T128" s="128"/>
    </row>
    <row r="129" spans="1:20" ht="18" x14ac:dyDescent="0.3">
      <c r="A129" s="53"/>
      <c r="B129" s="54"/>
      <c r="C129" s="54"/>
      <c r="D129" s="55"/>
      <c r="E129" s="75"/>
      <c r="F129" s="76"/>
      <c r="G129" s="76"/>
      <c r="H129" s="48"/>
      <c r="I129" s="70"/>
      <c r="J129" s="70"/>
      <c r="K129" s="158" t="s">
        <v>791</v>
      </c>
      <c r="L129" s="159" t="s">
        <v>792</v>
      </c>
      <c r="M129" s="158" t="s">
        <v>34</v>
      </c>
      <c r="N129" s="160">
        <v>5</v>
      </c>
      <c r="O129" s="161">
        <v>10.4</v>
      </c>
      <c r="P129" s="161">
        <v>52</v>
      </c>
      <c r="Q129" s="134"/>
      <c r="T129" s="128"/>
    </row>
    <row r="130" spans="1:20" ht="18" x14ac:dyDescent="0.3">
      <c r="A130" s="53"/>
      <c r="B130" s="54"/>
      <c r="C130" s="54"/>
      <c r="D130" s="55"/>
      <c r="E130" s="75"/>
      <c r="F130" s="76"/>
      <c r="G130" s="76"/>
      <c r="H130" s="48"/>
      <c r="I130" s="70"/>
      <c r="J130" s="70"/>
      <c r="K130" s="158" t="s">
        <v>871</v>
      </c>
      <c r="L130" s="159" t="s">
        <v>872</v>
      </c>
      <c r="M130" s="158" t="s">
        <v>34</v>
      </c>
      <c r="N130" s="160">
        <v>1</v>
      </c>
      <c r="O130" s="161">
        <v>989.36</v>
      </c>
      <c r="P130" s="161">
        <v>989.36</v>
      </c>
      <c r="Q130" s="134"/>
      <c r="T130" s="128"/>
    </row>
    <row r="131" spans="1:20" ht="18" x14ac:dyDescent="0.3">
      <c r="A131" s="53"/>
      <c r="B131" s="54"/>
      <c r="C131" s="54"/>
      <c r="D131" s="55"/>
      <c r="E131" s="75"/>
      <c r="F131" s="76"/>
      <c r="G131" s="76"/>
      <c r="H131" s="48"/>
      <c r="I131" s="70"/>
      <c r="J131" s="70"/>
      <c r="K131" s="158" t="s">
        <v>873</v>
      </c>
      <c r="L131" s="159" t="s">
        <v>874</v>
      </c>
      <c r="M131" s="158" t="s">
        <v>34</v>
      </c>
      <c r="N131" s="160">
        <v>1</v>
      </c>
      <c r="O131" s="161">
        <v>736.46</v>
      </c>
      <c r="P131" s="161">
        <v>736.46</v>
      </c>
      <c r="Q131" s="134"/>
      <c r="T131" s="128"/>
    </row>
    <row r="132" spans="1:20" ht="18" x14ac:dyDescent="0.3">
      <c r="A132" s="53"/>
      <c r="B132" s="54"/>
      <c r="C132" s="54"/>
      <c r="D132" s="55"/>
      <c r="E132" s="75"/>
      <c r="F132" s="76"/>
      <c r="G132" s="76"/>
      <c r="H132" s="48"/>
      <c r="I132" s="70"/>
      <c r="J132" s="70"/>
      <c r="K132" s="158" t="s">
        <v>953</v>
      </c>
      <c r="L132" s="159" t="s">
        <v>1046</v>
      </c>
      <c r="M132" s="158" t="s">
        <v>34</v>
      </c>
      <c r="N132" s="160">
        <v>0.27</v>
      </c>
      <c r="O132" s="161">
        <v>271</v>
      </c>
      <c r="P132" s="161">
        <v>73.17</v>
      </c>
      <c r="Q132" s="134"/>
      <c r="T132" s="128"/>
    </row>
    <row r="133" spans="1:20" ht="18" x14ac:dyDescent="0.3">
      <c r="A133" s="53"/>
      <c r="B133" s="54"/>
      <c r="C133" s="54"/>
      <c r="D133" s="55"/>
      <c r="E133" s="75"/>
      <c r="F133" s="76"/>
      <c r="G133" s="76"/>
      <c r="H133" s="48"/>
      <c r="I133" s="70"/>
      <c r="J133" s="70"/>
      <c r="K133" s="158" t="s">
        <v>1141</v>
      </c>
      <c r="L133" s="159" t="s">
        <v>1228</v>
      </c>
      <c r="M133" s="158" t="s">
        <v>34</v>
      </c>
      <c r="N133" s="160">
        <v>1</v>
      </c>
      <c r="O133" s="161">
        <v>96</v>
      </c>
      <c r="P133" s="161">
        <v>96</v>
      </c>
      <c r="Q133" s="134"/>
      <c r="T133" s="128"/>
    </row>
    <row r="134" spans="1:20" ht="18" x14ac:dyDescent="0.3">
      <c r="A134" s="53"/>
      <c r="B134" s="54"/>
      <c r="C134" s="54"/>
      <c r="D134" s="55"/>
      <c r="E134" s="75"/>
      <c r="F134" s="76"/>
      <c r="G134" s="76"/>
      <c r="H134" s="48"/>
      <c r="I134" s="70"/>
      <c r="J134" s="70"/>
      <c r="K134" s="158" t="s">
        <v>1142</v>
      </c>
      <c r="L134" s="159" t="s">
        <v>1229</v>
      </c>
      <c r="M134" s="158" t="s">
        <v>34</v>
      </c>
      <c r="N134" s="160">
        <v>1</v>
      </c>
      <c r="O134" s="161">
        <v>232</v>
      </c>
      <c r="P134" s="161">
        <v>232</v>
      </c>
      <c r="Q134" s="134"/>
      <c r="T134" s="128"/>
    </row>
    <row r="135" spans="1:20" ht="18" x14ac:dyDescent="0.3">
      <c r="A135" s="53"/>
      <c r="B135" s="54"/>
      <c r="C135" s="54"/>
      <c r="D135" s="55"/>
      <c r="E135" s="75"/>
      <c r="F135" s="76"/>
      <c r="G135" s="76"/>
      <c r="H135" s="48"/>
      <c r="I135" s="70"/>
      <c r="J135" s="70"/>
      <c r="K135" s="158" t="s">
        <v>350</v>
      </c>
      <c r="L135" s="159" t="s">
        <v>351</v>
      </c>
      <c r="M135" s="158" t="s">
        <v>34</v>
      </c>
      <c r="N135" s="160">
        <v>29</v>
      </c>
      <c r="O135" s="161">
        <v>5.55</v>
      </c>
      <c r="P135" s="161">
        <v>161.04</v>
      </c>
      <c r="Q135" s="134"/>
      <c r="T135" s="128"/>
    </row>
    <row r="136" spans="1:20" ht="18" x14ac:dyDescent="0.3">
      <c r="A136" s="53"/>
      <c r="B136" s="54"/>
      <c r="C136" s="54"/>
      <c r="D136" s="55"/>
      <c r="E136" s="75"/>
      <c r="F136" s="76"/>
      <c r="G136" s="76"/>
      <c r="H136" s="48"/>
      <c r="I136" s="70"/>
      <c r="J136" s="70"/>
      <c r="K136" s="158" t="s">
        <v>352</v>
      </c>
      <c r="L136" s="159" t="s">
        <v>353</v>
      </c>
      <c r="M136" s="158" t="s">
        <v>34</v>
      </c>
      <c r="N136" s="160">
        <v>7</v>
      </c>
      <c r="O136" s="161">
        <v>7.5</v>
      </c>
      <c r="P136" s="161">
        <v>52.48</v>
      </c>
      <c r="Q136" s="134"/>
      <c r="T136" s="128"/>
    </row>
    <row r="137" spans="1:20" ht="18" x14ac:dyDescent="0.3">
      <c r="A137" s="53"/>
      <c r="B137" s="54"/>
      <c r="C137" s="54"/>
      <c r="D137" s="55"/>
      <c r="E137" s="75"/>
      <c r="F137" s="76"/>
      <c r="G137" s="76"/>
      <c r="H137" s="48"/>
      <c r="I137" s="70"/>
      <c r="J137" s="70"/>
      <c r="K137" s="158" t="s">
        <v>354</v>
      </c>
      <c r="L137" s="159" t="s">
        <v>355</v>
      </c>
      <c r="M137" s="158" t="s">
        <v>34</v>
      </c>
      <c r="N137" s="160">
        <v>5</v>
      </c>
      <c r="O137" s="161">
        <v>10.69</v>
      </c>
      <c r="P137" s="161">
        <v>53.45</v>
      </c>
      <c r="Q137" s="134"/>
      <c r="T137" s="128"/>
    </row>
    <row r="138" spans="1:20" ht="18" x14ac:dyDescent="0.3">
      <c r="A138" s="53"/>
      <c r="B138" s="54"/>
      <c r="C138" s="54"/>
      <c r="D138" s="55"/>
      <c r="E138" s="75"/>
      <c r="F138" s="76"/>
      <c r="G138" s="76"/>
      <c r="H138" s="48"/>
      <c r="I138" s="70"/>
      <c r="J138" s="70"/>
      <c r="K138" s="158" t="s">
        <v>966</v>
      </c>
      <c r="L138" s="159" t="s">
        <v>1053</v>
      </c>
      <c r="M138" s="158" t="s">
        <v>34</v>
      </c>
      <c r="N138" s="160">
        <v>2</v>
      </c>
      <c r="O138" s="161">
        <v>166.39</v>
      </c>
      <c r="P138" s="161">
        <v>332.78</v>
      </c>
      <c r="Q138" s="134"/>
      <c r="T138" s="128"/>
    </row>
    <row r="139" spans="1:20" ht="18" x14ac:dyDescent="0.3">
      <c r="A139" s="53"/>
      <c r="B139" s="54"/>
      <c r="C139" s="54"/>
      <c r="D139" s="55"/>
      <c r="E139" s="75"/>
      <c r="F139" s="76"/>
      <c r="G139" s="76"/>
      <c r="H139" s="48"/>
      <c r="I139" s="70"/>
      <c r="J139" s="70"/>
      <c r="K139" s="158" t="s">
        <v>1082</v>
      </c>
      <c r="L139" s="159" t="s">
        <v>1083</v>
      </c>
      <c r="M139" s="158" t="s">
        <v>34</v>
      </c>
      <c r="N139" s="160">
        <v>1</v>
      </c>
      <c r="O139" s="161">
        <v>195.75</v>
      </c>
      <c r="P139" s="161">
        <v>195.75</v>
      </c>
      <c r="Q139" s="134"/>
      <c r="T139" s="128"/>
    </row>
    <row r="140" spans="1:20" ht="18" x14ac:dyDescent="0.3">
      <c r="A140" s="53"/>
      <c r="B140" s="54"/>
      <c r="C140" s="54"/>
      <c r="D140" s="55"/>
      <c r="E140" s="75"/>
      <c r="F140" s="76"/>
      <c r="G140" s="76"/>
      <c r="H140" s="48"/>
      <c r="I140" s="70"/>
      <c r="J140" s="70"/>
      <c r="K140" s="158" t="s">
        <v>1143</v>
      </c>
      <c r="L140" s="159" t="s">
        <v>1230</v>
      </c>
      <c r="M140" s="158" t="s">
        <v>34</v>
      </c>
      <c r="N140" s="160">
        <v>1</v>
      </c>
      <c r="O140" s="161">
        <v>176.27</v>
      </c>
      <c r="P140" s="161">
        <v>176.27</v>
      </c>
      <c r="Q140" s="134"/>
      <c r="T140" s="128"/>
    </row>
    <row r="141" spans="1:20" ht="18" x14ac:dyDescent="0.3">
      <c r="A141" s="53"/>
      <c r="B141" s="54"/>
      <c r="C141" s="54"/>
      <c r="D141" s="55"/>
      <c r="E141" s="75"/>
      <c r="F141" s="76"/>
      <c r="G141" s="76"/>
      <c r="H141" s="48"/>
      <c r="I141" s="70"/>
      <c r="J141" s="70"/>
      <c r="K141" s="158" t="s">
        <v>780</v>
      </c>
      <c r="L141" s="159" t="s">
        <v>781</v>
      </c>
      <c r="M141" s="158" t="s">
        <v>34</v>
      </c>
      <c r="N141" s="160">
        <v>2</v>
      </c>
      <c r="O141" s="161">
        <v>108</v>
      </c>
      <c r="P141" s="161">
        <v>216</v>
      </c>
      <c r="Q141" s="134"/>
      <c r="T141" s="128"/>
    </row>
    <row r="142" spans="1:20" ht="18" x14ac:dyDescent="0.3">
      <c r="A142" s="53"/>
      <c r="B142" s="54"/>
      <c r="C142" s="54"/>
      <c r="D142" s="55"/>
      <c r="E142" s="75"/>
      <c r="F142" s="76"/>
      <c r="G142" s="76"/>
      <c r="H142" s="48"/>
      <c r="I142" s="70"/>
      <c r="J142" s="70"/>
      <c r="K142" s="158" t="s">
        <v>911</v>
      </c>
      <c r="L142" s="159" t="s">
        <v>912</v>
      </c>
      <c r="M142" s="158" t="s">
        <v>34</v>
      </c>
      <c r="N142" s="160">
        <v>1</v>
      </c>
      <c r="O142" s="161">
        <v>103</v>
      </c>
      <c r="P142" s="161">
        <v>103</v>
      </c>
      <c r="Q142" s="134"/>
      <c r="T142" s="128"/>
    </row>
    <row r="143" spans="1:20" ht="18" x14ac:dyDescent="0.3">
      <c r="A143" s="53"/>
      <c r="B143" s="54"/>
      <c r="C143" s="54"/>
      <c r="D143" s="55"/>
      <c r="E143" s="75"/>
      <c r="F143" s="76"/>
      <c r="G143" s="76"/>
      <c r="H143" s="48"/>
      <c r="I143" s="70"/>
      <c r="J143" s="70"/>
      <c r="K143" s="158" t="s">
        <v>1144</v>
      </c>
      <c r="L143" s="159" t="s">
        <v>1231</v>
      </c>
      <c r="M143" s="158" t="s">
        <v>34</v>
      </c>
      <c r="N143" s="160">
        <v>2</v>
      </c>
      <c r="O143" s="161">
        <v>3.17</v>
      </c>
      <c r="P143" s="161">
        <v>6.34</v>
      </c>
      <c r="Q143" s="134"/>
      <c r="T143" s="128"/>
    </row>
    <row r="144" spans="1:20" ht="18" x14ac:dyDescent="0.3">
      <c r="A144" s="53"/>
      <c r="B144" s="54"/>
      <c r="C144" s="54"/>
      <c r="D144" s="55"/>
      <c r="E144" s="75"/>
      <c r="F144" s="76"/>
      <c r="G144" s="76"/>
      <c r="H144" s="48"/>
      <c r="I144" s="70"/>
      <c r="J144" s="70"/>
      <c r="K144" s="158" t="s">
        <v>862</v>
      </c>
      <c r="L144" s="159" t="s">
        <v>1045</v>
      </c>
      <c r="M144" s="158" t="s">
        <v>34</v>
      </c>
      <c r="N144" s="160">
        <v>1</v>
      </c>
      <c r="O144" s="162">
        <v>14582.5</v>
      </c>
      <c r="P144" s="162">
        <v>14582.5</v>
      </c>
      <c r="Q144" s="134"/>
      <c r="T144" s="128"/>
    </row>
    <row r="145" spans="1:20" ht="18" x14ac:dyDescent="0.3">
      <c r="A145" s="53"/>
      <c r="B145" s="54"/>
      <c r="C145" s="54"/>
      <c r="D145" s="55"/>
      <c r="E145" s="75"/>
      <c r="F145" s="76"/>
      <c r="G145" s="76"/>
      <c r="H145" s="48"/>
      <c r="I145" s="70"/>
      <c r="J145" s="70"/>
      <c r="K145" s="158" t="s">
        <v>1011</v>
      </c>
      <c r="L145" s="159" t="s">
        <v>815</v>
      </c>
      <c r="M145" s="158" t="s">
        <v>34</v>
      </c>
      <c r="N145" s="160">
        <v>14</v>
      </c>
      <c r="O145" s="161">
        <v>682.92</v>
      </c>
      <c r="P145" s="162">
        <v>9560.8700000000008</v>
      </c>
      <c r="Q145" s="134"/>
      <c r="T145" s="128"/>
    </row>
    <row r="146" spans="1:20" ht="18" x14ac:dyDescent="0.3">
      <c r="A146" s="53"/>
      <c r="B146" s="54"/>
      <c r="C146" s="54"/>
      <c r="D146" s="55"/>
      <c r="E146" s="75"/>
      <c r="F146" s="76"/>
      <c r="G146" s="76"/>
      <c r="H146" s="48"/>
      <c r="I146" s="70"/>
      <c r="J146" s="70"/>
      <c r="K146" s="158" t="s">
        <v>864</v>
      </c>
      <c r="L146" s="159" t="s">
        <v>929</v>
      </c>
      <c r="M146" s="158" t="s">
        <v>34</v>
      </c>
      <c r="N146" s="160">
        <v>4</v>
      </c>
      <c r="O146" s="162">
        <v>2466.88</v>
      </c>
      <c r="P146" s="162">
        <v>9867.5</v>
      </c>
      <c r="Q146" s="134"/>
      <c r="T146" s="128"/>
    </row>
    <row r="147" spans="1:20" ht="18" x14ac:dyDescent="0.3">
      <c r="A147" s="53"/>
      <c r="B147" s="54"/>
      <c r="C147" s="54"/>
      <c r="D147" s="55"/>
      <c r="E147" s="75"/>
      <c r="F147" s="76"/>
      <c r="G147" s="76"/>
      <c r="H147" s="48"/>
      <c r="I147" s="70"/>
      <c r="J147" s="70"/>
      <c r="K147" s="158" t="s">
        <v>860</v>
      </c>
      <c r="L147" s="159" t="s">
        <v>922</v>
      </c>
      <c r="M147" s="158" t="s">
        <v>34</v>
      </c>
      <c r="N147" s="160">
        <v>1</v>
      </c>
      <c r="O147" s="162">
        <v>9165.84</v>
      </c>
      <c r="P147" s="162">
        <v>9165.84</v>
      </c>
      <c r="Q147" s="134"/>
      <c r="T147" s="128"/>
    </row>
    <row r="148" spans="1:20" ht="18" x14ac:dyDescent="0.3">
      <c r="A148" s="53"/>
      <c r="B148" s="54"/>
      <c r="C148" s="54"/>
      <c r="D148" s="55"/>
      <c r="E148" s="75"/>
      <c r="F148" s="76"/>
      <c r="G148" s="76"/>
      <c r="H148" s="48"/>
      <c r="I148" s="70"/>
      <c r="J148" s="70"/>
      <c r="K148" s="158" t="s">
        <v>974</v>
      </c>
      <c r="L148" s="159" t="s">
        <v>760</v>
      </c>
      <c r="M148" s="158" t="s">
        <v>34</v>
      </c>
      <c r="N148" s="160">
        <v>4</v>
      </c>
      <c r="O148" s="162">
        <v>1945.88</v>
      </c>
      <c r="P148" s="162">
        <v>7783.53</v>
      </c>
      <c r="Q148" s="134"/>
      <c r="T148" s="128"/>
    </row>
    <row r="149" spans="1:20" ht="18" x14ac:dyDescent="0.3">
      <c r="A149" s="53"/>
      <c r="B149" s="54"/>
      <c r="C149" s="54"/>
      <c r="D149" s="55"/>
      <c r="E149" s="75"/>
      <c r="F149" s="76"/>
      <c r="G149" s="76"/>
      <c r="H149" s="48"/>
      <c r="I149" s="70"/>
      <c r="J149" s="70"/>
      <c r="K149" s="158" t="s">
        <v>863</v>
      </c>
      <c r="L149" s="159" t="s">
        <v>926</v>
      </c>
      <c r="M149" s="158" t="s">
        <v>34</v>
      </c>
      <c r="N149" s="160">
        <v>1</v>
      </c>
      <c r="O149" s="162">
        <v>8590</v>
      </c>
      <c r="P149" s="162">
        <v>8590</v>
      </c>
      <c r="Q149" s="134"/>
      <c r="T149" s="128"/>
    </row>
    <row r="150" spans="1:20" ht="18" x14ac:dyDescent="0.3">
      <c r="A150" s="53"/>
      <c r="B150" s="54"/>
      <c r="C150" s="54"/>
      <c r="D150" s="55"/>
      <c r="E150" s="75"/>
      <c r="F150" s="76"/>
      <c r="G150" s="76"/>
      <c r="H150" s="48"/>
      <c r="I150" s="70"/>
      <c r="J150" s="70"/>
      <c r="K150" s="158" t="s">
        <v>861</v>
      </c>
      <c r="L150" s="159" t="s">
        <v>917</v>
      </c>
      <c r="M150" s="158" t="s">
        <v>34</v>
      </c>
      <c r="N150" s="160">
        <v>1</v>
      </c>
      <c r="O150" s="162">
        <v>8250</v>
      </c>
      <c r="P150" s="162">
        <v>8250</v>
      </c>
      <c r="Q150" s="134"/>
      <c r="T150" s="128"/>
    </row>
    <row r="151" spans="1:20" ht="18" x14ac:dyDescent="0.3">
      <c r="A151" s="53"/>
      <c r="B151" s="54"/>
      <c r="C151" s="54"/>
      <c r="D151" s="55"/>
      <c r="E151" s="75"/>
      <c r="F151" s="76"/>
      <c r="G151" s="76"/>
      <c r="H151" s="48"/>
      <c r="I151" s="70"/>
      <c r="J151" s="70"/>
      <c r="K151" s="158" t="s">
        <v>754</v>
      </c>
      <c r="L151" s="159" t="s">
        <v>755</v>
      </c>
      <c r="M151" s="158" t="s">
        <v>34</v>
      </c>
      <c r="N151" s="160">
        <v>1</v>
      </c>
      <c r="O151" s="162">
        <v>7256.83</v>
      </c>
      <c r="P151" s="162">
        <v>7256.83</v>
      </c>
      <c r="Q151" s="134"/>
      <c r="T151" s="128"/>
    </row>
    <row r="152" spans="1:20" ht="18" x14ac:dyDescent="0.3">
      <c r="A152" s="53"/>
      <c r="B152" s="54"/>
      <c r="C152" s="54"/>
      <c r="D152" s="55"/>
      <c r="E152" s="75"/>
      <c r="F152" s="76"/>
      <c r="G152" s="76"/>
      <c r="H152" s="48"/>
      <c r="I152" s="70"/>
      <c r="J152" s="70"/>
      <c r="K152" s="158" t="s">
        <v>995</v>
      </c>
      <c r="L152" s="159" t="s">
        <v>1067</v>
      </c>
      <c r="M152" s="158" t="s">
        <v>34</v>
      </c>
      <c r="N152" s="160">
        <v>1</v>
      </c>
      <c r="O152" s="162">
        <v>7750</v>
      </c>
      <c r="P152" s="162">
        <v>7750</v>
      </c>
      <c r="Q152" s="134"/>
      <c r="T152" s="128"/>
    </row>
    <row r="153" spans="1:20" ht="18" x14ac:dyDescent="0.3">
      <c r="A153" s="53"/>
      <c r="B153" s="54"/>
      <c r="C153" s="54"/>
      <c r="D153" s="55"/>
      <c r="E153" s="75"/>
      <c r="F153" s="76"/>
      <c r="G153" s="76"/>
      <c r="H153" s="48"/>
      <c r="I153" s="70"/>
      <c r="J153" s="70"/>
      <c r="K153" s="158" t="s">
        <v>994</v>
      </c>
      <c r="L153" s="159" t="s">
        <v>1066</v>
      </c>
      <c r="M153" s="158" t="s">
        <v>34</v>
      </c>
      <c r="N153" s="160">
        <v>1</v>
      </c>
      <c r="O153" s="162">
        <v>7750</v>
      </c>
      <c r="P153" s="162">
        <v>7750</v>
      </c>
      <c r="Q153" s="134"/>
      <c r="T153" s="128"/>
    </row>
    <row r="154" spans="1:20" ht="18" x14ac:dyDescent="0.3">
      <c r="A154" s="53"/>
      <c r="B154" s="54"/>
      <c r="C154" s="54"/>
      <c r="D154" s="55"/>
      <c r="E154" s="75"/>
      <c r="F154" s="76"/>
      <c r="G154" s="76"/>
      <c r="H154" s="48"/>
      <c r="I154" s="70"/>
      <c r="J154" s="70"/>
      <c r="K154" s="158" t="s">
        <v>1093</v>
      </c>
      <c r="L154" s="159" t="s">
        <v>1097</v>
      </c>
      <c r="M154" s="158" t="s">
        <v>34</v>
      </c>
      <c r="N154" s="160">
        <v>1</v>
      </c>
      <c r="O154" s="162">
        <v>8488.33</v>
      </c>
      <c r="P154" s="162">
        <v>8488.33</v>
      </c>
      <c r="Q154" s="134"/>
      <c r="T154" s="128"/>
    </row>
    <row r="155" spans="1:20" ht="18" x14ac:dyDescent="0.3">
      <c r="A155" s="53"/>
      <c r="B155" s="54"/>
      <c r="C155" s="54"/>
      <c r="D155" s="55"/>
      <c r="E155" s="75"/>
      <c r="F155" s="76"/>
      <c r="G155" s="76"/>
      <c r="H155" s="48"/>
      <c r="I155" s="70"/>
      <c r="J155" s="70"/>
      <c r="K155" s="158" t="s">
        <v>812</v>
      </c>
      <c r="L155" s="159" t="s">
        <v>813</v>
      </c>
      <c r="M155" s="158" t="s">
        <v>34</v>
      </c>
      <c r="N155" s="160">
        <v>1</v>
      </c>
      <c r="O155" s="162">
        <v>6500</v>
      </c>
      <c r="P155" s="162">
        <v>6500</v>
      </c>
      <c r="Q155" s="134"/>
      <c r="T155" s="128"/>
    </row>
    <row r="156" spans="1:20" ht="18" x14ac:dyDescent="0.3">
      <c r="A156" s="53"/>
      <c r="B156" s="54"/>
      <c r="C156" s="54"/>
      <c r="D156" s="55"/>
      <c r="E156" s="75"/>
      <c r="F156" s="76"/>
      <c r="G156" s="76"/>
      <c r="H156" s="48"/>
      <c r="I156" s="70"/>
      <c r="J156" s="70"/>
      <c r="K156" s="158" t="s">
        <v>764</v>
      </c>
      <c r="L156" s="159" t="s">
        <v>765</v>
      </c>
      <c r="M156" s="158" t="s">
        <v>34</v>
      </c>
      <c r="N156" s="160">
        <v>14</v>
      </c>
      <c r="O156" s="161">
        <v>318.89</v>
      </c>
      <c r="P156" s="162">
        <v>4464.4799999999996</v>
      </c>
      <c r="Q156" s="134"/>
      <c r="T156" s="128"/>
    </row>
    <row r="157" spans="1:20" ht="18" x14ac:dyDescent="0.3">
      <c r="A157" s="53"/>
      <c r="B157" s="54"/>
      <c r="C157" s="54"/>
      <c r="D157" s="55"/>
      <c r="E157" s="75"/>
      <c r="F157" s="76"/>
      <c r="G157" s="76"/>
      <c r="H157" s="48"/>
      <c r="I157" s="70"/>
      <c r="J157" s="70"/>
      <c r="K157" s="158" t="s">
        <v>973</v>
      </c>
      <c r="L157" s="159" t="s">
        <v>759</v>
      </c>
      <c r="M157" s="158" t="s">
        <v>34</v>
      </c>
      <c r="N157" s="160">
        <v>11</v>
      </c>
      <c r="O157" s="161">
        <v>569.58000000000004</v>
      </c>
      <c r="P157" s="162">
        <v>6265.38</v>
      </c>
      <c r="Q157" s="134"/>
      <c r="T157" s="128"/>
    </row>
    <row r="158" spans="1:20" ht="18" x14ac:dyDescent="0.3">
      <c r="A158" s="53"/>
      <c r="B158" s="54"/>
      <c r="C158" s="54"/>
      <c r="D158" s="55"/>
      <c r="E158" s="75"/>
      <c r="F158" s="76"/>
      <c r="G158" s="76"/>
      <c r="H158" s="48"/>
      <c r="I158" s="70"/>
      <c r="J158" s="70"/>
      <c r="K158" s="158" t="s">
        <v>881</v>
      </c>
      <c r="L158" s="159" t="s">
        <v>1054</v>
      </c>
      <c r="M158" s="158" t="s">
        <v>34</v>
      </c>
      <c r="N158" s="160">
        <v>17</v>
      </c>
      <c r="O158" s="161">
        <v>178.86</v>
      </c>
      <c r="P158" s="162">
        <v>3040.56</v>
      </c>
      <c r="Q158" s="134"/>
      <c r="T158" s="128"/>
    </row>
    <row r="159" spans="1:20" ht="18" x14ac:dyDescent="0.3">
      <c r="A159" s="53"/>
      <c r="B159" s="54"/>
      <c r="C159" s="54"/>
      <c r="D159" s="55"/>
      <c r="E159" s="75"/>
      <c r="F159" s="76"/>
      <c r="G159" s="76"/>
      <c r="H159" s="48"/>
      <c r="I159" s="70"/>
      <c r="J159" s="70"/>
      <c r="K159" s="158" t="s">
        <v>1130</v>
      </c>
      <c r="L159" s="159" t="s">
        <v>1216</v>
      </c>
      <c r="M159" s="158" t="s">
        <v>34</v>
      </c>
      <c r="N159" s="160">
        <v>1</v>
      </c>
      <c r="O159" s="162">
        <v>6063.89</v>
      </c>
      <c r="P159" s="162">
        <v>6063.89</v>
      </c>
      <c r="Q159" s="134"/>
      <c r="T159" s="128"/>
    </row>
    <row r="160" spans="1:20" ht="18" x14ac:dyDescent="0.3">
      <c r="A160" s="53"/>
      <c r="B160" s="54"/>
      <c r="C160" s="54"/>
      <c r="D160" s="55"/>
      <c r="E160" s="75"/>
      <c r="F160" s="76"/>
      <c r="G160" s="76"/>
      <c r="H160" s="48"/>
      <c r="I160" s="70"/>
      <c r="J160" s="70"/>
      <c r="K160" s="158" t="s">
        <v>1125</v>
      </c>
      <c r="L160" s="159" t="s">
        <v>1211</v>
      </c>
      <c r="M160" s="158" t="s">
        <v>34</v>
      </c>
      <c r="N160" s="160">
        <v>1</v>
      </c>
      <c r="O160" s="161">
        <v>106.25</v>
      </c>
      <c r="P160" s="161">
        <v>106.25</v>
      </c>
      <c r="Q160" s="134"/>
      <c r="T160" s="128"/>
    </row>
    <row r="161" spans="1:20" ht="18" x14ac:dyDescent="0.3">
      <c r="A161" s="53"/>
      <c r="B161" s="54"/>
      <c r="C161" s="54"/>
      <c r="D161" s="55"/>
      <c r="E161" s="75"/>
      <c r="F161" s="76"/>
      <c r="G161" s="76"/>
      <c r="H161" s="48"/>
      <c r="I161" s="70"/>
      <c r="J161" s="70"/>
      <c r="K161" s="158" t="s">
        <v>1126</v>
      </c>
      <c r="L161" s="159" t="s">
        <v>1212</v>
      </c>
      <c r="M161" s="158" t="s">
        <v>34</v>
      </c>
      <c r="N161" s="160">
        <v>1</v>
      </c>
      <c r="O161" s="161">
        <v>298</v>
      </c>
      <c r="P161" s="161">
        <v>298</v>
      </c>
      <c r="Q161" s="134"/>
      <c r="T161" s="128"/>
    </row>
    <row r="162" spans="1:20" ht="18" x14ac:dyDescent="0.3">
      <c r="A162" s="53"/>
      <c r="B162" s="54"/>
      <c r="C162" s="54"/>
      <c r="D162" s="55"/>
      <c r="E162" s="75"/>
      <c r="F162" s="76"/>
      <c r="G162" s="76"/>
      <c r="H162" s="48"/>
      <c r="I162" s="70"/>
      <c r="J162" s="70"/>
      <c r="K162" s="158" t="s">
        <v>298</v>
      </c>
      <c r="L162" s="159" t="s">
        <v>299</v>
      </c>
      <c r="M162" s="158" t="s">
        <v>34</v>
      </c>
      <c r="N162" s="160">
        <v>5</v>
      </c>
      <c r="O162" s="161">
        <v>205.63</v>
      </c>
      <c r="P162" s="162">
        <v>1028.1300000000001</v>
      </c>
      <c r="Q162" s="134"/>
      <c r="T162" s="128"/>
    </row>
    <row r="163" spans="1:20" ht="18" x14ac:dyDescent="0.3">
      <c r="A163" s="53"/>
      <c r="B163" s="54"/>
      <c r="C163" s="54"/>
      <c r="D163" s="55"/>
      <c r="E163" s="75"/>
      <c r="F163" s="76"/>
      <c r="G163" s="76"/>
      <c r="H163" s="48"/>
      <c r="I163" s="70"/>
      <c r="J163" s="70"/>
      <c r="K163" s="158" t="s">
        <v>1127</v>
      </c>
      <c r="L163" s="159" t="s">
        <v>1213</v>
      </c>
      <c r="M163" s="158" t="s">
        <v>34</v>
      </c>
      <c r="N163" s="160">
        <v>1</v>
      </c>
      <c r="O163" s="161">
        <v>152</v>
      </c>
      <c r="P163" s="161">
        <v>152</v>
      </c>
      <c r="Q163" s="134"/>
      <c r="T163" s="128"/>
    </row>
    <row r="164" spans="1:20" ht="18" x14ac:dyDescent="0.3">
      <c r="A164" s="53"/>
      <c r="B164" s="54"/>
      <c r="C164" s="54"/>
      <c r="D164" s="55"/>
      <c r="E164" s="75"/>
      <c r="F164" s="76"/>
      <c r="G164" s="76"/>
      <c r="H164" s="48"/>
      <c r="I164" s="70"/>
      <c r="J164" s="70"/>
      <c r="K164" s="158" t="s">
        <v>896</v>
      </c>
      <c r="L164" s="159" t="s">
        <v>897</v>
      </c>
      <c r="M164" s="158" t="s">
        <v>34</v>
      </c>
      <c r="N164" s="160">
        <v>1.3</v>
      </c>
      <c r="O164" s="161">
        <v>489</v>
      </c>
      <c r="P164" s="161">
        <v>635.70000000000005</v>
      </c>
      <c r="Q164" s="134"/>
      <c r="T164" s="128"/>
    </row>
    <row r="165" spans="1:20" ht="18" x14ac:dyDescent="0.3">
      <c r="A165" s="53"/>
      <c r="B165" s="54"/>
      <c r="C165" s="54"/>
      <c r="D165" s="55"/>
      <c r="E165" s="75"/>
      <c r="F165" s="76"/>
      <c r="G165" s="76"/>
      <c r="H165" s="48"/>
      <c r="I165" s="70"/>
      <c r="J165" s="70"/>
      <c r="K165" s="158" t="s">
        <v>1128</v>
      </c>
      <c r="L165" s="159" t="s">
        <v>1214</v>
      </c>
      <c r="M165" s="158" t="s">
        <v>34</v>
      </c>
      <c r="N165" s="160">
        <v>1</v>
      </c>
      <c r="O165" s="161">
        <v>464.55</v>
      </c>
      <c r="P165" s="161">
        <v>464.55</v>
      </c>
      <c r="Q165" s="134"/>
      <c r="T165" s="128"/>
    </row>
    <row r="166" spans="1:20" ht="18" x14ac:dyDescent="0.3">
      <c r="A166" s="53"/>
      <c r="B166" s="54"/>
      <c r="C166" s="54"/>
      <c r="D166" s="55"/>
      <c r="E166" s="75"/>
      <c r="F166" s="76"/>
      <c r="G166" s="76"/>
      <c r="H166" s="48"/>
      <c r="I166" s="70"/>
      <c r="J166" s="70"/>
      <c r="K166" s="158" t="s">
        <v>1129</v>
      </c>
      <c r="L166" s="159" t="s">
        <v>1215</v>
      </c>
      <c r="M166" s="158" t="s">
        <v>34</v>
      </c>
      <c r="N166" s="160">
        <v>1</v>
      </c>
      <c r="O166" s="161">
        <v>489</v>
      </c>
      <c r="P166" s="161">
        <v>489</v>
      </c>
      <c r="Q166" s="134"/>
      <c r="T166" s="128"/>
    </row>
    <row r="167" spans="1:20" ht="18" x14ac:dyDescent="0.3">
      <c r="A167" s="53"/>
      <c r="B167" s="54"/>
      <c r="C167" s="54"/>
      <c r="D167" s="55"/>
      <c r="E167" s="75"/>
      <c r="F167" s="76"/>
      <c r="G167" s="76"/>
      <c r="H167" s="48"/>
      <c r="I167" s="70"/>
      <c r="J167" s="70"/>
      <c r="K167" s="158" t="s">
        <v>1131</v>
      </c>
      <c r="L167" s="159" t="s">
        <v>1217</v>
      </c>
      <c r="M167" s="158" t="s">
        <v>34</v>
      </c>
      <c r="N167" s="160">
        <v>1</v>
      </c>
      <c r="O167" s="162">
        <v>2423.8000000000002</v>
      </c>
      <c r="P167" s="162">
        <v>2423.8000000000002</v>
      </c>
      <c r="Q167" s="134"/>
      <c r="T167" s="128"/>
    </row>
    <row r="168" spans="1:20" ht="18" x14ac:dyDescent="0.3">
      <c r="A168" s="53"/>
      <c r="B168" s="54"/>
      <c r="C168" s="54"/>
      <c r="D168" s="55"/>
      <c r="E168" s="75"/>
      <c r="F168" s="76"/>
      <c r="G168" s="76"/>
      <c r="H168" s="48"/>
      <c r="I168" s="70"/>
      <c r="J168" s="70"/>
      <c r="K168" s="158" t="s">
        <v>1132</v>
      </c>
      <c r="L168" s="159" t="s">
        <v>1218</v>
      </c>
      <c r="M168" s="158" t="s">
        <v>34</v>
      </c>
      <c r="N168" s="160">
        <v>2</v>
      </c>
      <c r="O168" s="162">
        <v>2423.8000000000002</v>
      </c>
      <c r="P168" s="162">
        <v>4847.6000000000004</v>
      </c>
      <c r="Q168" s="134"/>
      <c r="T168" s="128"/>
    </row>
    <row r="169" spans="1:20" ht="18" x14ac:dyDescent="0.3">
      <c r="A169" s="53"/>
      <c r="B169" s="54"/>
      <c r="C169" s="54"/>
      <c r="D169" s="55"/>
      <c r="E169" s="75"/>
      <c r="F169" s="76"/>
      <c r="G169" s="76"/>
      <c r="H169" s="48"/>
      <c r="I169" s="70"/>
      <c r="J169" s="70"/>
      <c r="K169" s="158" t="s">
        <v>304</v>
      </c>
      <c r="L169" s="159" t="s">
        <v>305</v>
      </c>
      <c r="M169" s="158" t="s">
        <v>34</v>
      </c>
      <c r="N169" s="160">
        <v>7</v>
      </c>
      <c r="O169" s="161">
        <v>63.7</v>
      </c>
      <c r="P169" s="161">
        <v>445.9</v>
      </c>
      <c r="Q169" s="134"/>
      <c r="T169" s="128"/>
    </row>
    <row r="170" spans="1:20" ht="18" x14ac:dyDescent="0.3">
      <c r="A170" s="53"/>
      <c r="B170" s="54"/>
      <c r="C170" s="54"/>
      <c r="D170" s="55"/>
      <c r="E170" s="75"/>
      <c r="F170" s="76"/>
      <c r="G170" s="76"/>
      <c r="H170" s="48"/>
      <c r="I170" s="70"/>
      <c r="J170" s="70"/>
      <c r="K170" s="158" t="s">
        <v>761</v>
      </c>
      <c r="L170" s="159" t="s">
        <v>762</v>
      </c>
      <c r="M170" s="158" t="s">
        <v>34</v>
      </c>
      <c r="N170" s="160">
        <v>19</v>
      </c>
      <c r="O170" s="161">
        <v>77.22</v>
      </c>
      <c r="P170" s="162">
        <v>1467.16</v>
      </c>
      <c r="Q170" s="134"/>
      <c r="T170" s="128"/>
    </row>
    <row r="171" spans="1:20" ht="18" x14ac:dyDescent="0.3">
      <c r="A171" s="53"/>
      <c r="B171" s="54"/>
      <c r="C171" s="54"/>
      <c r="D171" s="55"/>
      <c r="E171" s="75"/>
      <c r="F171" s="76"/>
      <c r="G171" s="76"/>
      <c r="H171" s="48"/>
      <c r="I171" s="70"/>
      <c r="J171" s="70"/>
      <c r="K171" s="158" t="s">
        <v>975</v>
      </c>
      <c r="L171" s="159" t="s">
        <v>763</v>
      </c>
      <c r="M171" s="158" t="s">
        <v>34</v>
      </c>
      <c r="N171" s="160">
        <v>8</v>
      </c>
      <c r="O171" s="161">
        <v>128.69</v>
      </c>
      <c r="P171" s="162">
        <v>1029.52</v>
      </c>
      <c r="Q171" s="134"/>
      <c r="T171" s="128"/>
    </row>
    <row r="172" spans="1:20" ht="18" x14ac:dyDescent="0.3">
      <c r="A172" s="53"/>
      <c r="B172" s="54"/>
      <c r="C172" s="54"/>
      <c r="D172" s="55"/>
      <c r="E172" s="75"/>
      <c r="F172" s="76"/>
      <c r="G172" s="76"/>
      <c r="H172" s="48"/>
      <c r="I172" s="70"/>
      <c r="J172" s="70"/>
      <c r="K172" s="158" t="s">
        <v>869</v>
      </c>
      <c r="L172" s="159" t="s">
        <v>898</v>
      </c>
      <c r="M172" s="158" t="s">
        <v>34</v>
      </c>
      <c r="N172" s="160">
        <v>1</v>
      </c>
      <c r="O172" s="161">
        <v>728.72</v>
      </c>
      <c r="P172" s="161">
        <v>728.72</v>
      </c>
      <c r="Q172" s="134"/>
      <c r="T172" s="128"/>
    </row>
    <row r="173" spans="1:20" ht="18" x14ac:dyDescent="0.3">
      <c r="A173" s="53"/>
      <c r="B173" s="54"/>
      <c r="C173" s="54"/>
      <c r="D173" s="55"/>
      <c r="E173" s="75"/>
      <c r="F173" s="76"/>
      <c r="G173" s="76"/>
      <c r="H173" s="48"/>
      <c r="I173" s="70"/>
      <c r="J173" s="70"/>
      <c r="K173" s="158" t="s">
        <v>870</v>
      </c>
      <c r="L173" s="159" t="s">
        <v>899</v>
      </c>
      <c r="M173" s="158" t="s">
        <v>34</v>
      </c>
      <c r="N173" s="160">
        <v>1</v>
      </c>
      <c r="O173" s="162">
        <v>1816.27</v>
      </c>
      <c r="P173" s="162">
        <v>1816.27</v>
      </c>
      <c r="Q173" s="134"/>
      <c r="T173" s="128"/>
    </row>
    <row r="174" spans="1:20" ht="18" x14ac:dyDescent="0.3">
      <c r="A174" s="53"/>
      <c r="B174" s="54"/>
      <c r="C174" s="54"/>
      <c r="D174" s="55"/>
      <c r="E174" s="75"/>
      <c r="F174" s="76"/>
      <c r="G174" s="76"/>
      <c r="H174" s="48"/>
      <c r="I174" s="70"/>
      <c r="J174" s="70"/>
      <c r="K174" s="158" t="s">
        <v>523</v>
      </c>
      <c r="L174" s="159" t="s">
        <v>1219</v>
      </c>
      <c r="M174" s="158" t="s">
        <v>34</v>
      </c>
      <c r="N174" s="160">
        <v>1</v>
      </c>
      <c r="O174" s="161">
        <v>545</v>
      </c>
      <c r="P174" s="161">
        <v>545</v>
      </c>
      <c r="Q174" s="134"/>
      <c r="T174" s="128"/>
    </row>
    <row r="175" spans="1:20" ht="18" x14ac:dyDescent="0.3">
      <c r="A175" s="53"/>
      <c r="B175" s="54"/>
      <c r="C175" s="54"/>
      <c r="D175" s="55"/>
      <c r="E175" s="75"/>
      <c r="F175" s="76"/>
      <c r="G175" s="76"/>
      <c r="H175" s="48"/>
      <c r="I175" s="70"/>
      <c r="J175" s="70"/>
      <c r="K175" s="158" t="s">
        <v>900</v>
      </c>
      <c r="L175" s="159" t="s">
        <v>901</v>
      </c>
      <c r="M175" s="158" t="s">
        <v>34</v>
      </c>
      <c r="N175" s="160">
        <v>1</v>
      </c>
      <c r="O175" s="161">
        <v>64</v>
      </c>
      <c r="P175" s="161">
        <v>64</v>
      </c>
      <c r="Q175" s="134"/>
      <c r="T175" s="128"/>
    </row>
    <row r="176" spans="1:20" ht="18" x14ac:dyDescent="0.3">
      <c r="A176" s="53"/>
      <c r="B176" s="54"/>
      <c r="C176" s="54"/>
      <c r="D176" s="55"/>
      <c r="E176" s="75"/>
      <c r="F176" s="76"/>
      <c r="G176" s="76"/>
      <c r="H176" s="48"/>
      <c r="I176" s="70"/>
      <c r="J176" s="70"/>
      <c r="K176" s="158" t="s">
        <v>1123</v>
      </c>
      <c r="L176" s="159" t="s">
        <v>1209</v>
      </c>
      <c r="M176" s="158" t="s">
        <v>34</v>
      </c>
      <c r="N176" s="160">
        <v>1</v>
      </c>
      <c r="O176" s="161">
        <v>79.75</v>
      </c>
      <c r="P176" s="161">
        <v>79.75</v>
      </c>
      <c r="Q176" s="134"/>
      <c r="T176" s="128"/>
    </row>
    <row r="177" spans="1:20" ht="18" x14ac:dyDescent="0.3">
      <c r="A177" s="53"/>
      <c r="B177" s="54"/>
      <c r="C177" s="54"/>
      <c r="D177" s="55"/>
      <c r="E177" s="75"/>
      <c r="F177" s="76"/>
      <c r="G177" s="76"/>
      <c r="H177" s="48"/>
      <c r="I177" s="70"/>
      <c r="J177" s="70"/>
      <c r="K177" s="158" t="s">
        <v>1136</v>
      </c>
      <c r="L177" s="159" t="s">
        <v>1223</v>
      </c>
      <c r="M177" s="158" t="s">
        <v>34</v>
      </c>
      <c r="N177" s="160">
        <v>0.13600000000000001</v>
      </c>
      <c r="O177" s="161">
        <v>152.5</v>
      </c>
      <c r="P177" s="161">
        <v>20.74</v>
      </c>
      <c r="Q177" s="134"/>
      <c r="T177" s="128"/>
    </row>
    <row r="178" spans="1:20" ht="18" x14ac:dyDescent="0.3">
      <c r="A178" s="53"/>
      <c r="B178" s="54"/>
      <c r="C178" s="54"/>
      <c r="D178" s="55"/>
      <c r="E178" s="75"/>
      <c r="F178" s="76"/>
      <c r="G178" s="76"/>
      <c r="H178" s="48"/>
      <c r="I178" s="70"/>
      <c r="J178" s="70"/>
      <c r="K178" s="158" t="s">
        <v>979</v>
      </c>
      <c r="L178" s="159" t="s">
        <v>73</v>
      </c>
      <c r="M178" s="158" t="s">
        <v>34</v>
      </c>
      <c r="N178" s="160">
        <v>3</v>
      </c>
      <c r="O178" s="161">
        <v>377.87</v>
      </c>
      <c r="P178" s="162">
        <v>1133.6099999999999</v>
      </c>
      <c r="Q178" s="134"/>
      <c r="T178" s="128"/>
    </row>
    <row r="179" spans="1:20" ht="18" x14ac:dyDescent="0.3">
      <c r="A179" s="53"/>
      <c r="B179" s="54"/>
      <c r="C179" s="54"/>
      <c r="D179" s="55"/>
      <c r="E179" s="75"/>
      <c r="F179" s="76"/>
      <c r="G179" s="76"/>
      <c r="H179" s="48"/>
      <c r="I179" s="70"/>
      <c r="J179" s="70"/>
      <c r="K179" s="158" t="s">
        <v>1137</v>
      </c>
      <c r="L179" s="159" t="s">
        <v>1224</v>
      </c>
      <c r="M179" s="158" t="s">
        <v>34</v>
      </c>
      <c r="N179" s="160">
        <v>1</v>
      </c>
      <c r="O179" s="161">
        <v>33</v>
      </c>
      <c r="P179" s="161">
        <v>33</v>
      </c>
      <c r="Q179" s="134"/>
      <c r="T179" s="128"/>
    </row>
    <row r="180" spans="1:20" ht="18" x14ac:dyDescent="0.3">
      <c r="A180" s="53"/>
      <c r="B180" s="54"/>
      <c r="C180" s="54"/>
      <c r="D180" s="55"/>
      <c r="E180" s="75"/>
      <c r="F180" s="76"/>
      <c r="G180" s="76"/>
      <c r="H180" s="48"/>
      <c r="I180" s="70"/>
      <c r="J180" s="70"/>
      <c r="K180" s="158" t="s">
        <v>164</v>
      </c>
      <c r="L180" s="159" t="s">
        <v>165</v>
      </c>
      <c r="M180" s="158" t="s">
        <v>34</v>
      </c>
      <c r="N180" s="160">
        <v>1</v>
      </c>
      <c r="O180" s="161">
        <v>323.88</v>
      </c>
      <c r="P180" s="161">
        <v>323.88</v>
      </c>
      <c r="Q180" s="134"/>
      <c r="T180" s="128"/>
    </row>
    <row r="181" spans="1:20" ht="18" x14ac:dyDescent="0.3">
      <c r="A181" s="53"/>
      <c r="B181" s="54"/>
      <c r="C181" s="54"/>
      <c r="D181" s="55"/>
      <c r="E181" s="75"/>
      <c r="F181" s="76"/>
      <c r="G181" s="76"/>
      <c r="H181" s="48"/>
      <c r="I181" s="70"/>
      <c r="J181" s="70"/>
      <c r="K181" s="158" t="s">
        <v>282</v>
      </c>
      <c r="L181" s="159" t="s">
        <v>283</v>
      </c>
      <c r="M181" s="158" t="s">
        <v>34</v>
      </c>
      <c r="N181" s="160">
        <v>1</v>
      </c>
      <c r="O181" s="161">
        <v>81.599999999999994</v>
      </c>
      <c r="P181" s="161">
        <v>81.599999999999994</v>
      </c>
      <c r="Q181" s="134"/>
      <c r="T181" s="128"/>
    </row>
    <row r="182" spans="1:20" ht="18" x14ac:dyDescent="0.3">
      <c r="A182" s="53"/>
      <c r="B182" s="54"/>
      <c r="C182" s="54"/>
      <c r="D182" s="55"/>
      <c r="E182" s="75"/>
      <c r="F182" s="76"/>
      <c r="G182" s="76"/>
      <c r="H182" s="48"/>
      <c r="I182" s="70"/>
      <c r="J182" s="70"/>
      <c r="K182" s="158" t="s">
        <v>980</v>
      </c>
      <c r="L182" s="159" t="s">
        <v>284</v>
      </c>
      <c r="M182" s="158" t="s">
        <v>34</v>
      </c>
      <c r="N182" s="160">
        <v>3</v>
      </c>
      <c r="O182" s="161">
        <v>84.36</v>
      </c>
      <c r="P182" s="161">
        <v>253.08</v>
      </c>
      <c r="Q182" s="134"/>
      <c r="T182" s="128"/>
    </row>
    <row r="183" spans="1:20" ht="18" x14ac:dyDescent="0.3">
      <c r="A183" s="53"/>
      <c r="B183" s="54"/>
      <c r="C183" s="54"/>
      <c r="D183" s="55"/>
      <c r="E183" s="75"/>
      <c r="F183" s="76"/>
      <c r="G183" s="76"/>
      <c r="H183" s="48"/>
      <c r="I183" s="70"/>
      <c r="J183" s="70"/>
      <c r="K183" s="158" t="s">
        <v>1092</v>
      </c>
      <c r="L183" s="159" t="s">
        <v>1096</v>
      </c>
      <c r="M183" s="158" t="s">
        <v>34</v>
      </c>
      <c r="N183" s="160">
        <v>1</v>
      </c>
      <c r="O183" s="161">
        <v>128.24</v>
      </c>
      <c r="P183" s="161">
        <v>128.24</v>
      </c>
      <c r="Q183" s="134"/>
      <c r="T183" s="128"/>
    </row>
    <row r="184" spans="1:20" ht="18" x14ac:dyDescent="0.3">
      <c r="A184" s="53"/>
      <c r="B184" s="54"/>
      <c r="C184" s="54"/>
      <c r="D184" s="55"/>
      <c r="E184" s="75"/>
      <c r="F184" s="76"/>
      <c r="G184" s="76"/>
      <c r="H184" s="48"/>
      <c r="I184" s="70"/>
      <c r="J184" s="70"/>
      <c r="K184" s="158" t="s">
        <v>879</v>
      </c>
      <c r="L184" s="159" t="s">
        <v>880</v>
      </c>
      <c r="M184" s="158" t="s">
        <v>34</v>
      </c>
      <c r="N184" s="160">
        <v>1</v>
      </c>
      <c r="O184" s="162">
        <v>2999.17</v>
      </c>
      <c r="P184" s="162">
        <v>2999.17</v>
      </c>
      <c r="Q184" s="134"/>
      <c r="T184" s="128"/>
    </row>
    <row r="185" spans="1:20" ht="18" x14ac:dyDescent="0.3">
      <c r="A185" s="53"/>
      <c r="B185" s="54"/>
      <c r="C185" s="54"/>
      <c r="D185" s="55"/>
      <c r="E185" s="75"/>
      <c r="F185" s="76"/>
      <c r="G185" s="76"/>
      <c r="H185" s="48"/>
      <c r="I185" s="70"/>
      <c r="J185" s="70"/>
      <c r="K185" s="158" t="s">
        <v>1138</v>
      </c>
      <c r="L185" s="159" t="s">
        <v>1225</v>
      </c>
      <c r="M185" s="158" t="s">
        <v>34</v>
      </c>
      <c r="N185" s="160">
        <v>2</v>
      </c>
      <c r="O185" s="161">
        <v>99.92</v>
      </c>
      <c r="P185" s="161">
        <v>199.84</v>
      </c>
      <c r="Q185" s="134"/>
      <c r="T185" s="128"/>
    </row>
    <row r="186" spans="1:20" ht="18" x14ac:dyDescent="0.3">
      <c r="A186" s="53"/>
      <c r="B186" s="54"/>
      <c r="C186" s="54"/>
      <c r="D186" s="55"/>
      <c r="E186" s="75"/>
      <c r="F186" s="76"/>
      <c r="G186" s="76"/>
      <c r="H186" s="48"/>
      <c r="I186" s="70"/>
      <c r="J186" s="70"/>
      <c r="K186" s="158" t="s">
        <v>981</v>
      </c>
      <c r="L186" s="159" t="s">
        <v>285</v>
      </c>
      <c r="M186" s="158" t="s">
        <v>34</v>
      </c>
      <c r="N186" s="160">
        <v>1</v>
      </c>
      <c r="O186" s="161">
        <v>85.3</v>
      </c>
      <c r="P186" s="161">
        <v>85.3</v>
      </c>
      <c r="Q186" s="134"/>
      <c r="T186" s="128"/>
    </row>
    <row r="187" spans="1:20" ht="18" x14ac:dyDescent="0.3">
      <c r="A187" s="53"/>
      <c r="B187" s="54"/>
      <c r="C187" s="54"/>
      <c r="D187" s="55"/>
      <c r="E187" s="75"/>
      <c r="F187" s="76"/>
      <c r="G187" s="76"/>
      <c r="H187" s="48"/>
      <c r="I187" s="70"/>
      <c r="J187" s="70"/>
      <c r="K187" s="158" t="s">
        <v>1139</v>
      </c>
      <c r="L187" s="159" t="s">
        <v>1226</v>
      </c>
      <c r="M187" s="158" t="s">
        <v>34</v>
      </c>
      <c r="N187" s="160">
        <v>1</v>
      </c>
      <c r="O187" s="161">
        <v>15.6</v>
      </c>
      <c r="P187" s="161">
        <v>15.6</v>
      </c>
      <c r="Q187" s="134"/>
      <c r="T187" s="128"/>
    </row>
    <row r="188" spans="1:20" ht="18" x14ac:dyDescent="0.3">
      <c r="A188" s="53"/>
      <c r="B188" s="54"/>
      <c r="C188" s="54"/>
      <c r="D188" s="55"/>
      <c r="E188" s="75"/>
      <c r="F188" s="76"/>
      <c r="G188" s="76"/>
      <c r="H188" s="48"/>
      <c r="I188" s="70"/>
      <c r="J188" s="70"/>
      <c r="K188" s="158" t="s">
        <v>749</v>
      </c>
      <c r="L188" s="159" t="s">
        <v>750</v>
      </c>
      <c r="M188" s="158" t="s">
        <v>34</v>
      </c>
      <c r="N188" s="160">
        <v>1</v>
      </c>
      <c r="O188" s="161">
        <v>60.7</v>
      </c>
      <c r="P188" s="161">
        <v>60.7</v>
      </c>
      <c r="Q188" s="134"/>
      <c r="T188" s="128"/>
    </row>
    <row r="189" spans="1:20" ht="18" x14ac:dyDescent="0.3">
      <c r="A189" s="53"/>
      <c r="B189" s="54"/>
      <c r="C189" s="54"/>
      <c r="D189" s="55"/>
      <c r="E189" s="75"/>
      <c r="F189" s="76"/>
      <c r="G189" s="76"/>
      <c r="H189" s="48"/>
      <c r="I189" s="70"/>
      <c r="J189" s="70"/>
      <c r="K189" s="158" t="s">
        <v>982</v>
      </c>
      <c r="L189" s="159" t="s">
        <v>751</v>
      </c>
      <c r="M189" s="158" t="s">
        <v>34</v>
      </c>
      <c r="N189" s="160">
        <v>3</v>
      </c>
      <c r="O189" s="161">
        <v>15.5</v>
      </c>
      <c r="P189" s="161">
        <v>46.5</v>
      </c>
      <c r="Q189" s="134"/>
      <c r="T189" s="128"/>
    </row>
    <row r="190" spans="1:20" ht="18" x14ac:dyDescent="0.3">
      <c r="A190" s="53"/>
      <c r="B190" s="54"/>
      <c r="C190" s="54"/>
      <c r="D190" s="55"/>
      <c r="E190" s="75"/>
      <c r="F190" s="76"/>
      <c r="G190" s="76"/>
      <c r="H190" s="48"/>
      <c r="I190" s="70"/>
      <c r="J190" s="70"/>
      <c r="K190" s="158" t="s">
        <v>976</v>
      </c>
      <c r="L190" s="159" t="s">
        <v>163</v>
      </c>
      <c r="M190" s="158" t="s">
        <v>34</v>
      </c>
      <c r="N190" s="160">
        <v>1</v>
      </c>
      <c r="O190" s="161">
        <v>56.1</v>
      </c>
      <c r="P190" s="161">
        <v>56.1</v>
      </c>
      <c r="Q190" s="134"/>
      <c r="T190" s="128"/>
    </row>
    <row r="191" spans="1:20" ht="18" x14ac:dyDescent="0.3">
      <c r="A191" s="53"/>
      <c r="B191" s="54"/>
      <c r="C191" s="54"/>
      <c r="D191" s="55"/>
      <c r="E191" s="75"/>
      <c r="F191" s="76"/>
      <c r="G191" s="76"/>
      <c r="H191" s="48"/>
      <c r="I191" s="70"/>
      <c r="J191" s="70"/>
      <c r="K191" s="158" t="s">
        <v>977</v>
      </c>
      <c r="L191" s="159" t="s">
        <v>1057</v>
      </c>
      <c r="M191" s="158" t="s">
        <v>34</v>
      </c>
      <c r="N191" s="160">
        <v>111</v>
      </c>
      <c r="O191" s="161">
        <v>3.94</v>
      </c>
      <c r="P191" s="161">
        <v>437.34</v>
      </c>
      <c r="Q191" s="134"/>
      <c r="T191" s="128"/>
    </row>
    <row r="192" spans="1:20" ht="18" x14ac:dyDescent="0.3">
      <c r="A192" s="53"/>
      <c r="B192" s="54"/>
      <c r="C192" s="54"/>
      <c r="D192" s="55"/>
      <c r="E192" s="75"/>
      <c r="F192" s="76"/>
      <c r="G192" s="76"/>
      <c r="H192" s="48"/>
      <c r="I192" s="70"/>
      <c r="J192" s="70"/>
      <c r="K192" s="158" t="s">
        <v>978</v>
      </c>
      <c r="L192" s="159" t="s">
        <v>1058</v>
      </c>
      <c r="M192" s="158" t="s">
        <v>34</v>
      </c>
      <c r="N192" s="160">
        <v>190</v>
      </c>
      <c r="O192" s="161">
        <v>2.4300000000000002</v>
      </c>
      <c r="P192" s="161">
        <v>461.7</v>
      </c>
      <c r="Q192" s="134"/>
      <c r="T192" s="128"/>
    </row>
    <row r="193" spans="1:20" ht="18" x14ac:dyDescent="0.3">
      <c r="A193" s="53"/>
      <c r="B193" s="54"/>
      <c r="C193" s="54"/>
      <c r="D193" s="55"/>
      <c r="E193" s="75"/>
      <c r="F193" s="76"/>
      <c r="G193" s="76"/>
      <c r="H193" s="48"/>
      <c r="I193" s="70"/>
      <c r="J193" s="70"/>
      <c r="K193" s="158" t="s">
        <v>736</v>
      </c>
      <c r="L193" s="159" t="s">
        <v>737</v>
      </c>
      <c r="M193" s="158" t="s">
        <v>34</v>
      </c>
      <c r="N193" s="160">
        <v>170</v>
      </c>
      <c r="O193" s="161">
        <v>3.94</v>
      </c>
      <c r="P193" s="161">
        <v>669.8</v>
      </c>
      <c r="Q193" s="134"/>
      <c r="T193" s="128"/>
    </row>
    <row r="194" spans="1:20" ht="18" x14ac:dyDescent="0.3">
      <c r="A194" s="53"/>
      <c r="B194" s="54"/>
      <c r="C194" s="54"/>
      <c r="D194" s="55"/>
      <c r="E194" s="75"/>
      <c r="F194" s="76"/>
      <c r="G194" s="76"/>
      <c r="H194" s="48"/>
      <c r="I194" s="70"/>
      <c r="J194" s="70"/>
      <c r="K194" s="158" t="s">
        <v>738</v>
      </c>
      <c r="L194" s="159" t="s">
        <v>739</v>
      </c>
      <c r="M194" s="158" t="s">
        <v>34</v>
      </c>
      <c r="N194" s="160">
        <v>186</v>
      </c>
      <c r="O194" s="161">
        <v>5.39</v>
      </c>
      <c r="P194" s="162">
        <v>1002.54</v>
      </c>
      <c r="Q194" s="134"/>
      <c r="T194" s="128"/>
    </row>
    <row r="195" spans="1:20" ht="18" x14ac:dyDescent="0.3">
      <c r="A195" s="53"/>
      <c r="B195" s="54"/>
      <c r="C195" s="54"/>
      <c r="D195" s="55"/>
      <c r="E195" s="75"/>
      <c r="F195" s="76"/>
      <c r="G195" s="76"/>
      <c r="H195" s="48"/>
      <c r="I195" s="70"/>
      <c r="J195" s="70"/>
      <c r="K195" s="158" t="s">
        <v>1133</v>
      </c>
      <c r="L195" s="159" t="s">
        <v>1220</v>
      </c>
      <c r="M195" s="158" t="s">
        <v>34</v>
      </c>
      <c r="N195" s="160">
        <v>2</v>
      </c>
      <c r="O195" s="161">
        <v>18.899999999999999</v>
      </c>
      <c r="P195" s="161">
        <v>37.799999999999997</v>
      </c>
      <c r="Q195" s="134"/>
      <c r="T195" s="128"/>
    </row>
    <row r="196" spans="1:20" ht="18" x14ac:dyDescent="0.3">
      <c r="A196" s="53"/>
      <c r="B196" s="54"/>
      <c r="C196" s="54"/>
      <c r="D196" s="55"/>
      <c r="E196" s="75"/>
      <c r="F196" s="76"/>
      <c r="G196" s="76"/>
      <c r="H196" s="48"/>
      <c r="I196" s="70"/>
      <c r="J196" s="70"/>
      <c r="K196" s="158" t="s">
        <v>1134</v>
      </c>
      <c r="L196" s="159" t="s">
        <v>1221</v>
      </c>
      <c r="M196" s="158" t="s">
        <v>34</v>
      </c>
      <c r="N196" s="160">
        <v>1</v>
      </c>
      <c r="O196" s="161">
        <v>98.87</v>
      </c>
      <c r="P196" s="161">
        <v>98.87</v>
      </c>
      <c r="Q196" s="134"/>
      <c r="T196" s="128"/>
    </row>
    <row r="197" spans="1:20" ht="18" x14ac:dyDescent="0.3">
      <c r="A197" s="53"/>
      <c r="B197" s="54"/>
      <c r="C197" s="54"/>
      <c r="D197" s="55"/>
      <c r="E197" s="75"/>
      <c r="F197" s="76"/>
      <c r="G197" s="76"/>
      <c r="H197" s="48"/>
      <c r="I197" s="70"/>
      <c r="J197" s="70"/>
      <c r="K197" s="158" t="s">
        <v>271</v>
      </c>
      <c r="L197" s="159" t="s">
        <v>1059</v>
      </c>
      <c r="M197" s="158" t="s">
        <v>34</v>
      </c>
      <c r="N197" s="160">
        <v>4</v>
      </c>
      <c r="O197" s="161">
        <v>52.86</v>
      </c>
      <c r="P197" s="161">
        <v>211.44</v>
      </c>
      <c r="Q197" s="134"/>
      <c r="T197" s="128"/>
    </row>
    <row r="198" spans="1:20" ht="18" x14ac:dyDescent="0.3">
      <c r="A198" s="53"/>
      <c r="B198" s="54"/>
      <c r="C198" s="54"/>
      <c r="D198" s="55"/>
      <c r="E198" s="75"/>
      <c r="F198" s="76"/>
      <c r="G198" s="76"/>
      <c r="H198" s="48"/>
      <c r="I198" s="70"/>
      <c r="J198" s="70"/>
      <c r="K198" s="158" t="s">
        <v>58</v>
      </c>
      <c r="L198" s="159" t="s">
        <v>67</v>
      </c>
      <c r="M198" s="158" t="s">
        <v>34</v>
      </c>
      <c r="N198" s="160">
        <v>9</v>
      </c>
      <c r="O198" s="161">
        <v>53.76</v>
      </c>
      <c r="P198" s="161">
        <v>483.84</v>
      </c>
      <c r="Q198" s="134"/>
      <c r="T198" s="128"/>
    </row>
    <row r="199" spans="1:20" ht="30" x14ac:dyDescent="0.3">
      <c r="A199" s="53"/>
      <c r="B199" s="54"/>
      <c r="C199" s="54"/>
      <c r="D199" s="55"/>
      <c r="E199" s="75"/>
      <c r="F199" s="76"/>
      <c r="G199" s="76"/>
      <c r="H199" s="48"/>
      <c r="I199" s="70"/>
      <c r="J199" s="70"/>
      <c r="K199" s="158" t="s">
        <v>273</v>
      </c>
      <c r="L199" s="159" t="s">
        <v>274</v>
      </c>
      <c r="M199" s="158" t="s">
        <v>34</v>
      </c>
      <c r="N199" s="160">
        <v>2</v>
      </c>
      <c r="O199" s="161">
        <v>54.97</v>
      </c>
      <c r="P199" s="161">
        <v>109.94</v>
      </c>
      <c r="Q199" s="134"/>
      <c r="T199" s="128"/>
    </row>
    <row r="200" spans="1:20" ht="18" x14ac:dyDescent="0.3">
      <c r="A200" s="53"/>
      <c r="B200" s="54"/>
      <c r="C200" s="54"/>
      <c r="D200" s="55"/>
      <c r="E200" s="75"/>
      <c r="F200" s="76"/>
      <c r="G200" s="76"/>
      <c r="H200" s="48"/>
      <c r="I200" s="70"/>
      <c r="J200" s="70"/>
      <c r="K200" s="158" t="s">
        <v>1135</v>
      </c>
      <c r="L200" s="159" t="s">
        <v>1222</v>
      </c>
      <c r="M200" s="158" t="s">
        <v>34</v>
      </c>
      <c r="N200" s="160">
        <v>1</v>
      </c>
      <c r="O200" s="161">
        <v>998</v>
      </c>
      <c r="P200" s="161">
        <v>998</v>
      </c>
      <c r="Q200" s="134"/>
      <c r="T200" s="128"/>
    </row>
    <row r="201" spans="1:20" ht="18" x14ac:dyDescent="0.3">
      <c r="A201" s="53"/>
      <c r="B201" s="54"/>
      <c r="C201" s="54"/>
      <c r="D201" s="55"/>
      <c r="E201" s="75"/>
      <c r="F201" s="76"/>
      <c r="G201" s="76"/>
      <c r="H201" s="48"/>
      <c r="I201" s="70"/>
      <c r="J201" s="70"/>
      <c r="K201" s="158" t="s">
        <v>796</v>
      </c>
      <c r="L201" s="159" t="s">
        <v>797</v>
      </c>
      <c r="M201" s="158" t="s">
        <v>34</v>
      </c>
      <c r="N201" s="160">
        <v>1.0900000000000001</v>
      </c>
      <c r="O201" s="161">
        <v>338.33</v>
      </c>
      <c r="P201" s="161">
        <v>368.78</v>
      </c>
      <c r="Q201" s="134"/>
      <c r="T201" s="128"/>
    </row>
    <row r="202" spans="1:20" ht="18" x14ac:dyDescent="0.3">
      <c r="A202" s="53"/>
      <c r="B202" s="54"/>
      <c r="C202" s="54"/>
      <c r="D202" s="55"/>
      <c r="E202" s="75"/>
      <c r="F202" s="76"/>
      <c r="G202" s="76"/>
      <c r="H202" s="48"/>
      <c r="I202" s="70"/>
      <c r="J202" s="70"/>
      <c r="K202" s="158" t="s">
        <v>877</v>
      </c>
      <c r="L202" s="159" t="s">
        <v>878</v>
      </c>
      <c r="M202" s="158" t="s">
        <v>34</v>
      </c>
      <c r="N202" s="160">
        <v>1</v>
      </c>
      <c r="O202" s="161">
        <v>366.36</v>
      </c>
      <c r="P202" s="161">
        <v>366.36</v>
      </c>
      <c r="Q202" s="134"/>
      <c r="T202" s="128"/>
    </row>
    <row r="203" spans="1:20" ht="18" x14ac:dyDescent="0.3">
      <c r="A203" s="53"/>
      <c r="B203" s="54"/>
      <c r="C203" s="54"/>
      <c r="D203" s="55"/>
      <c r="E203" s="75"/>
      <c r="F203" s="76"/>
      <c r="G203" s="76"/>
      <c r="H203" s="48"/>
      <c r="I203" s="70"/>
      <c r="J203" s="70"/>
      <c r="K203" s="158" t="s">
        <v>887</v>
      </c>
      <c r="L203" s="159" t="s">
        <v>888</v>
      </c>
      <c r="M203" s="158" t="s">
        <v>34</v>
      </c>
      <c r="N203" s="160">
        <v>3</v>
      </c>
      <c r="O203" s="161">
        <v>44.6</v>
      </c>
      <c r="P203" s="161">
        <v>133.80000000000001</v>
      </c>
      <c r="Q203" s="134"/>
      <c r="T203" s="128"/>
    </row>
    <row r="204" spans="1:20" ht="18" x14ac:dyDescent="0.3">
      <c r="A204" s="53"/>
      <c r="B204" s="54"/>
      <c r="C204" s="54"/>
      <c r="D204" s="55"/>
      <c r="E204" s="75"/>
      <c r="F204" s="76"/>
      <c r="G204" s="76"/>
      <c r="H204" s="48"/>
      <c r="I204" s="70"/>
      <c r="J204" s="70"/>
      <c r="K204" s="158" t="s">
        <v>915</v>
      </c>
      <c r="L204" s="159" t="s">
        <v>916</v>
      </c>
      <c r="M204" s="158" t="s">
        <v>34</v>
      </c>
      <c r="N204" s="160">
        <v>1</v>
      </c>
      <c r="O204" s="161">
        <v>21.9</v>
      </c>
      <c r="P204" s="161">
        <v>21.9</v>
      </c>
      <c r="Q204" s="134"/>
      <c r="T204" s="128"/>
    </row>
    <row r="205" spans="1:20" ht="18" x14ac:dyDescent="0.3">
      <c r="A205" s="53"/>
      <c r="B205" s="54"/>
      <c r="C205" s="54"/>
      <c r="D205" s="55"/>
      <c r="E205" s="75"/>
      <c r="F205" s="76"/>
      <c r="G205" s="76"/>
      <c r="H205" s="48"/>
      <c r="I205" s="70"/>
      <c r="J205" s="70"/>
      <c r="K205" s="158" t="s">
        <v>891</v>
      </c>
      <c r="L205" s="159" t="s">
        <v>892</v>
      </c>
      <c r="M205" s="158" t="s">
        <v>34</v>
      </c>
      <c r="N205" s="160">
        <v>3</v>
      </c>
      <c r="O205" s="161">
        <v>717.01</v>
      </c>
      <c r="P205" s="162">
        <v>2151.0300000000002</v>
      </c>
      <c r="Q205" s="134"/>
      <c r="T205" s="128"/>
    </row>
    <row r="206" spans="1:20" ht="18" x14ac:dyDescent="0.3">
      <c r="A206" s="53"/>
      <c r="B206" s="54"/>
      <c r="C206" s="54"/>
      <c r="D206" s="55"/>
      <c r="E206" s="75"/>
      <c r="F206" s="76"/>
      <c r="G206" s="76"/>
      <c r="H206" s="48"/>
      <c r="I206" s="70"/>
      <c r="J206" s="70"/>
      <c r="K206" s="158" t="s">
        <v>1154</v>
      </c>
      <c r="L206" s="159" t="s">
        <v>1241</v>
      </c>
      <c r="M206" s="158" t="s">
        <v>34</v>
      </c>
      <c r="N206" s="160">
        <v>2</v>
      </c>
      <c r="O206" s="161">
        <v>152</v>
      </c>
      <c r="P206" s="161">
        <v>304</v>
      </c>
      <c r="Q206" s="134"/>
      <c r="T206" s="128"/>
    </row>
    <row r="207" spans="1:20" ht="18" x14ac:dyDescent="0.3">
      <c r="A207" s="53"/>
      <c r="B207" s="54"/>
      <c r="C207" s="54"/>
      <c r="D207" s="55"/>
      <c r="E207" s="75"/>
      <c r="F207" s="76"/>
      <c r="G207" s="76"/>
      <c r="H207" s="48"/>
      <c r="I207" s="70"/>
      <c r="J207" s="70"/>
      <c r="K207" s="158" t="s">
        <v>1013</v>
      </c>
      <c r="L207" s="159" t="s">
        <v>1074</v>
      </c>
      <c r="M207" s="158" t="s">
        <v>34</v>
      </c>
      <c r="N207" s="160">
        <v>6</v>
      </c>
      <c r="O207" s="161">
        <v>160.25</v>
      </c>
      <c r="P207" s="161">
        <v>961.5</v>
      </c>
      <c r="Q207" s="134"/>
      <c r="T207" s="128"/>
    </row>
    <row r="208" spans="1:20" ht="18" x14ac:dyDescent="0.3">
      <c r="A208" s="53"/>
      <c r="B208" s="54"/>
      <c r="C208" s="54"/>
      <c r="D208" s="55"/>
      <c r="E208" s="75"/>
      <c r="F208" s="76"/>
      <c r="G208" s="76"/>
      <c r="H208" s="48"/>
      <c r="I208" s="70"/>
      <c r="J208" s="70"/>
      <c r="K208" s="158" t="s">
        <v>1014</v>
      </c>
      <c r="L208" s="159" t="s">
        <v>806</v>
      </c>
      <c r="M208" s="158" t="s">
        <v>34</v>
      </c>
      <c r="N208" s="160">
        <v>1</v>
      </c>
      <c r="O208" s="161">
        <v>47.92</v>
      </c>
      <c r="P208" s="161">
        <v>47.92</v>
      </c>
      <c r="Q208" s="134"/>
      <c r="T208" s="128"/>
    </row>
    <row r="209" spans="1:20" ht="18" x14ac:dyDescent="0.3">
      <c r="A209" s="53"/>
      <c r="B209" s="54"/>
      <c r="C209" s="54"/>
      <c r="D209" s="55"/>
      <c r="E209" s="75"/>
      <c r="F209" s="76"/>
      <c r="G209" s="76"/>
      <c r="H209" s="48"/>
      <c r="I209" s="70"/>
      <c r="J209" s="70"/>
      <c r="K209" s="158" t="s">
        <v>1155</v>
      </c>
      <c r="L209" s="159" t="s">
        <v>1242</v>
      </c>
      <c r="M209" s="158" t="s">
        <v>34</v>
      </c>
      <c r="N209" s="160">
        <v>3</v>
      </c>
      <c r="O209" s="161">
        <v>20.18</v>
      </c>
      <c r="P209" s="161">
        <v>60.54</v>
      </c>
      <c r="Q209" s="134"/>
      <c r="T209" s="128"/>
    </row>
    <row r="210" spans="1:20" ht="18" x14ac:dyDescent="0.3">
      <c r="A210" s="53"/>
      <c r="B210" s="54"/>
      <c r="C210" s="54"/>
      <c r="D210" s="55"/>
      <c r="E210" s="75"/>
      <c r="F210" s="76"/>
      <c r="G210" s="76"/>
      <c r="H210" s="48"/>
      <c r="I210" s="70"/>
      <c r="J210" s="70"/>
      <c r="K210" s="158" t="s">
        <v>1015</v>
      </c>
      <c r="L210" s="159" t="s">
        <v>393</v>
      </c>
      <c r="M210" s="158" t="s">
        <v>34</v>
      </c>
      <c r="N210" s="160">
        <v>4</v>
      </c>
      <c r="O210" s="161">
        <v>2.23</v>
      </c>
      <c r="P210" s="161">
        <v>8.92</v>
      </c>
      <c r="Q210" s="134"/>
      <c r="T210" s="128"/>
    </row>
    <row r="211" spans="1:20" ht="18" x14ac:dyDescent="0.3">
      <c r="A211" s="53"/>
      <c r="B211" s="54"/>
      <c r="C211" s="54"/>
      <c r="D211" s="55"/>
      <c r="E211" s="75"/>
      <c r="F211" s="76"/>
      <c r="G211" s="76"/>
      <c r="H211" s="48"/>
      <c r="I211" s="70"/>
      <c r="J211" s="70"/>
      <c r="K211" s="158" t="s">
        <v>807</v>
      </c>
      <c r="L211" s="159" t="s">
        <v>808</v>
      </c>
      <c r="M211" s="158" t="s">
        <v>34</v>
      </c>
      <c r="N211" s="160">
        <v>1</v>
      </c>
      <c r="O211" s="161">
        <v>113</v>
      </c>
      <c r="P211" s="161">
        <v>113</v>
      </c>
      <c r="Q211" s="134"/>
      <c r="T211" s="128"/>
    </row>
    <row r="212" spans="1:20" ht="30" x14ac:dyDescent="0.3">
      <c r="A212" s="53"/>
      <c r="B212" s="54"/>
      <c r="C212" s="54"/>
      <c r="D212" s="55"/>
      <c r="E212" s="75"/>
      <c r="F212" s="76"/>
      <c r="G212" s="76"/>
      <c r="H212" s="48"/>
      <c r="I212" s="70"/>
      <c r="J212" s="70"/>
      <c r="K212" s="158" t="s">
        <v>1156</v>
      </c>
      <c r="L212" s="159" t="s">
        <v>1243</v>
      </c>
      <c r="M212" s="158" t="s">
        <v>34</v>
      </c>
      <c r="N212" s="160">
        <v>1</v>
      </c>
      <c r="O212" s="161">
        <v>87.3</v>
      </c>
      <c r="P212" s="161">
        <v>87.3</v>
      </c>
      <c r="Q212" s="134"/>
      <c r="T212" s="128"/>
    </row>
    <row r="213" spans="1:20" ht="18" x14ac:dyDescent="0.3">
      <c r="A213" s="53"/>
      <c r="B213" s="54"/>
      <c r="C213" s="54"/>
      <c r="D213" s="55"/>
      <c r="E213" s="75"/>
      <c r="F213" s="76"/>
      <c r="G213" s="76"/>
      <c r="H213" s="48"/>
      <c r="I213" s="70"/>
      <c r="J213" s="70"/>
      <c r="K213" s="158" t="s">
        <v>1016</v>
      </c>
      <c r="L213" s="159" t="s">
        <v>396</v>
      </c>
      <c r="M213" s="158" t="s">
        <v>34</v>
      </c>
      <c r="N213" s="160">
        <v>2</v>
      </c>
      <c r="O213" s="161">
        <v>25</v>
      </c>
      <c r="P213" s="161">
        <v>50</v>
      </c>
      <c r="Q213" s="134"/>
      <c r="T213" s="128"/>
    </row>
    <row r="214" spans="1:20" ht="18" x14ac:dyDescent="0.3">
      <c r="A214" s="53"/>
      <c r="B214" s="54"/>
      <c r="C214" s="54"/>
      <c r="D214" s="55"/>
      <c r="E214" s="75"/>
      <c r="F214" s="76"/>
      <c r="G214" s="76"/>
      <c r="H214" s="48"/>
      <c r="I214" s="70"/>
      <c r="J214" s="70"/>
      <c r="K214" s="158" t="s">
        <v>1017</v>
      </c>
      <c r="L214" s="159" t="s">
        <v>397</v>
      </c>
      <c r="M214" s="158" t="s">
        <v>34</v>
      </c>
      <c r="N214" s="160">
        <v>3</v>
      </c>
      <c r="O214" s="161">
        <v>19.37</v>
      </c>
      <c r="P214" s="161">
        <v>58.12</v>
      </c>
      <c r="Q214" s="134"/>
      <c r="T214" s="128"/>
    </row>
    <row r="215" spans="1:20" ht="18" x14ac:dyDescent="0.3">
      <c r="A215" s="53"/>
      <c r="B215" s="54"/>
      <c r="C215" s="54"/>
      <c r="D215" s="55"/>
      <c r="E215" s="75"/>
      <c r="F215" s="76"/>
      <c r="G215" s="76"/>
      <c r="H215" s="48"/>
      <c r="I215" s="70"/>
      <c r="J215" s="70"/>
      <c r="K215" s="158" t="s">
        <v>1018</v>
      </c>
      <c r="L215" s="159" t="s">
        <v>1075</v>
      </c>
      <c r="M215" s="158" t="s">
        <v>34</v>
      </c>
      <c r="N215" s="160">
        <v>2</v>
      </c>
      <c r="O215" s="162">
        <v>1290.8</v>
      </c>
      <c r="P215" s="162">
        <v>2581.6</v>
      </c>
      <c r="Q215" s="134"/>
      <c r="T215" s="128"/>
    </row>
    <row r="216" spans="1:20" ht="18" x14ac:dyDescent="0.3">
      <c r="A216" s="53"/>
      <c r="B216" s="54"/>
      <c r="C216" s="54"/>
      <c r="D216" s="55"/>
      <c r="E216" s="75"/>
      <c r="F216" s="76"/>
      <c r="G216" s="76"/>
      <c r="H216" s="48"/>
      <c r="I216" s="70"/>
      <c r="J216" s="70"/>
      <c r="K216" s="158" t="s">
        <v>1157</v>
      </c>
      <c r="L216" s="159" t="s">
        <v>398</v>
      </c>
      <c r="M216" s="158" t="s">
        <v>34</v>
      </c>
      <c r="N216" s="160">
        <v>1</v>
      </c>
      <c r="O216" s="162">
        <v>1290.8</v>
      </c>
      <c r="P216" s="162">
        <v>1290.8</v>
      </c>
      <c r="Q216" s="134"/>
      <c r="T216" s="128"/>
    </row>
    <row r="217" spans="1:20" ht="18" x14ac:dyDescent="0.3">
      <c r="A217" s="53"/>
      <c r="B217" s="54"/>
      <c r="C217" s="54"/>
      <c r="D217" s="55"/>
      <c r="E217" s="75"/>
      <c r="F217" s="76"/>
      <c r="G217" s="76"/>
      <c r="H217" s="48"/>
      <c r="I217" s="70"/>
      <c r="J217" s="70"/>
      <c r="K217" s="158" t="s">
        <v>809</v>
      </c>
      <c r="L217" s="159" t="s">
        <v>810</v>
      </c>
      <c r="M217" s="158" t="s">
        <v>34</v>
      </c>
      <c r="N217" s="160">
        <v>1</v>
      </c>
      <c r="O217" s="161">
        <v>837.13</v>
      </c>
      <c r="P217" s="161">
        <v>837.13</v>
      </c>
      <c r="Q217" s="134"/>
      <c r="T217" s="128"/>
    </row>
    <row r="218" spans="1:20" ht="18" x14ac:dyDescent="0.3">
      <c r="A218" s="53"/>
      <c r="B218" s="54"/>
      <c r="C218" s="54"/>
      <c r="D218" s="55"/>
      <c r="E218" s="75"/>
      <c r="F218" s="76"/>
      <c r="G218" s="76"/>
      <c r="H218" s="48"/>
      <c r="I218" s="70"/>
      <c r="J218" s="70"/>
      <c r="K218" s="158" t="s">
        <v>766</v>
      </c>
      <c r="L218" s="159" t="s">
        <v>767</v>
      </c>
      <c r="M218" s="158" t="s">
        <v>34</v>
      </c>
      <c r="N218" s="160">
        <v>1</v>
      </c>
      <c r="O218" s="162">
        <v>10441.39</v>
      </c>
      <c r="P218" s="162">
        <v>10441.39</v>
      </c>
      <c r="Q218" s="134"/>
      <c r="T218" s="128"/>
    </row>
    <row r="219" spans="1:20" ht="18" x14ac:dyDescent="0.3">
      <c r="A219" s="53"/>
      <c r="B219" s="54"/>
      <c r="C219" s="54"/>
      <c r="D219" s="55"/>
      <c r="E219" s="75"/>
      <c r="F219" s="76"/>
      <c r="G219" s="76"/>
      <c r="H219" s="48"/>
      <c r="I219" s="70"/>
      <c r="J219" s="70"/>
      <c r="K219" s="158" t="s">
        <v>1162</v>
      </c>
      <c r="L219" s="159" t="s">
        <v>1247</v>
      </c>
      <c r="M219" s="158" t="s">
        <v>34</v>
      </c>
      <c r="N219" s="160">
        <v>6</v>
      </c>
      <c r="O219" s="161">
        <v>451.3</v>
      </c>
      <c r="P219" s="162">
        <v>2707.8</v>
      </c>
      <c r="Q219" s="134"/>
      <c r="T219" s="128"/>
    </row>
    <row r="220" spans="1:20" ht="18" x14ac:dyDescent="0.3">
      <c r="A220" s="53"/>
      <c r="B220" s="54"/>
      <c r="C220" s="54"/>
      <c r="D220" s="55"/>
      <c r="E220" s="75"/>
      <c r="F220" s="76"/>
      <c r="G220" s="76"/>
      <c r="H220" s="48"/>
      <c r="I220" s="70"/>
      <c r="J220" s="70"/>
      <c r="K220" s="158" t="s">
        <v>859</v>
      </c>
      <c r="L220" s="159" t="s">
        <v>904</v>
      </c>
      <c r="M220" s="158" t="s">
        <v>34</v>
      </c>
      <c r="N220" s="160">
        <v>1</v>
      </c>
      <c r="O220" s="162">
        <v>3249.17</v>
      </c>
      <c r="P220" s="162">
        <v>3249.17</v>
      </c>
      <c r="Q220" s="134"/>
      <c r="T220" s="128"/>
    </row>
    <row r="221" spans="1:20" ht="18" x14ac:dyDescent="0.3">
      <c r="A221" s="53"/>
      <c r="B221" s="54"/>
      <c r="C221" s="54"/>
      <c r="D221" s="55"/>
      <c r="E221" s="75"/>
      <c r="F221" s="76"/>
      <c r="G221" s="76"/>
      <c r="H221" s="48"/>
      <c r="I221" s="70"/>
      <c r="J221" s="70"/>
      <c r="K221" s="158" t="s">
        <v>868</v>
      </c>
      <c r="L221" s="159" t="s">
        <v>1047</v>
      </c>
      <c r="M221" s="158" t="s">
        <v>34</v>
      </c>
      <c r="N221" s="160">
        <v>1</v>
      </c>
      <c r="O221" s="161">
        <v>586.46</v>
      </c>
      <c r="P221" s="161">
        <v>586.46</v>
      </c>
      <c r="Q221" s="134"/>
      <c r="T221" s="128"/>
    </row>
    <row r="222" spans="1:20" ht="18" x14ac:dyDescent="0.3">
      <c r="A222" s="53"/>
      <c r="B222" s="54"/>
      <c r="C222" s="54"/>
      <c r="D222" s="55"/>
      <c r="E222" s="75"/>
      <c r="F222" s="76"/>
      <c r="G222" s="76"/>
      <c r="H222" s="48"/>
      <c r="I222" s="70"/>
      <c r="J222" s="70"/>
      <c r="K222" s="158" t="s">
        <v>1151</v>
      </c>
      <c r="L222" s="159" t="s">
        <v>1238</v>
      </c>
      <c r="M222" s="158" t="s">
        <v>34</v>
      </c>
      <c r="N222" s="160">
        <v>1</v>
      </c>
      <c r="O222" s="161">
        <v>144.09</v>
      </c>
      <c r="P222" s="161">
        <v>144.09</v>
      </c>
      <c r="Q222" s="134"/>
      <c r="T222" s="128"/>
    </row>
    <row r="223" spans="1:20" ht="18" x14ac:dyDescent="0.3">
      <c r="A223" s="53"/>
      <c r="B223" s="54"/>
      <c r="C223" s="54"/>
      <c r="D223" s="55"/>
      <c r="E223" s="75"/>
      <c r="F223" s="76"/>
      <c r="G223" s="76"/>
      <c r="H223" s="48"/>
      <c r="I223" s="70"/>
      <c r="J223" s="70"/>
      <c r="K223" s="158" t="s">
        <v>1152</v>
      </c>
      <c r="L223" s="159" t="s">
        <v>1239</v>
      </c>
      <c r="M223" s="158" t="s">
        <v>34</v>
      </c>
      <c r="N223" s="160">
        <v>1</v>
      </c>
      <c r="O223" s="161">
        <v>382</v>
      </c>
      <c r="P223" s="161">
        <v>382</v>
      </c>
      <c r="Q223" s="134"/>
      <c r="T223" s="128"/>
    </row>
    <row r="224" spans="1:20" ht="18" x14ac:dyDescent="0.3">
      <c r="A224" s="53"/>
      <c r="B224" s="54"/>
      <c r="C224" s="54"/>
      <c r="D224" s="55"/>
      <c r="E224" s="75"/>
      <c r="F224" s="76"/>
      <c r="G224" s="76"/>
      <c r="H224" s="48"/>
      <c r="I224" s="70"/>
      <c r="J224" s="70"/>
      <c r="K224" s="158" t="s">
        <v>53</v>
      </c>
      <c r="L224" s="159" t="s">
        <v>85</v>
      </c>
      <c r="M224" s="158" t="s">
        <v>34</v>
      </c>
      <c r="N224" s="160">
        <v>5</v>
      </c>
      <c r="O224" s="161">
        <v>47</v>
      </c>
      <c r="P224" s="161">
        <v>235</v>
      </c>
      <c r="Q224" s="134"/>
      <c r="T224" s="128"/>
    </row>
    <row r="225" spans="1:20" ht="18" x14ac:dyDescent="0.3">
      <c r="A225" s="53"/>
      <c r="B225" s="54"/>
      <c r="C225" s="54"/>
      <c r="D225" s="55"/>
      <c r="E225" s="75"/>
      <c r="F225" s="76"/>
      <c r="G225" s="76"/>
      <c r="H225" s="48"/>
      <c r="I225" s="70"/>
      <c r="J225" s="70"/>
      <c r="K225" s="158" t="s">
        <v>1149</v>
      </c>
      <c r="L225" s="159" t="s">
        <v>1236</v>
      </c>
      <c r="M225" s="158" t="s">
        <v>34</v>
      </c>
      <c r="N225" s="160">
        <v>1</v>
      </c>
      <c r="O225" s="161">
        <v>17.420000000000002</v>
      </c>
      <c r="P225" s="161">
        <v>17.420000000000002</v>
      </c>
      <c r="Q225" s="134"/>
      <c r="T225" s="128"/>
    </row>
    <row r="226" spans="1:20" ht="18" x14ac:dyDescent="0.3">
      <c r="A226" s="53"/>
      <c r="B226" s="54"/>
      <c r="C226" s="54"/>
      <c r="D226" s="55"/>
      <c r="E226" s="75"/>
      <c r="F226" s="76"/>
      <c r="G226" s="76"/>
      <c r="H226" s="48"/>
      <c r="I226" s="70"/>
      <c r="J226" s="70"/>
      <c r="K226" s="158" t="s">
        <v>1150</v>
      </c>
      <c r="L226" s="159" t="s">
        <v>1237</v>
      </c>
      <c r="M226" s="158" t="s">
        <v>34</v>
      </c>
      <c r="N226" s="160">
        <v>116</v>
      </c>
      <c r="O226" s="161">
        <v>27.72</v>
      </c>
      <c r="P226" s="162">
        <v>3215.52</v>
      </c>
      <c r="Q226" s="134"/>
      <c r="T226" s="128"/>
    </row>
    <row r="227" spans="1:20" ht="18" x14ac:dyDescent="0.3">
      <c r="A227" s="53"/>
      <c r="B227" s="54"/>
      <c r="C227" s="54"/>
      <c r="D227" s="55"/>
      <c r="E227" s="75"/>
      <c r="F227" s="76"/>
      <c r="G227" s="76"/>
      <c r="H227" s="48"/>
      <c r="I227" s="70"/>
      <c r="J227" s="70"/>
      <c r="K227" s="158" t="s">
        <v>793</v>
      </c>
      <c r="L227" s="159" t="s">
        <v>1052</v>
      </c>
      <c r="M227" s="158" t="s">
        <v>34</v>
      </c>
      <c r="N227" s="160">
        <v>73</v>
      </c>
      <c r="O227" s="161">
        <v>6.44</v>
      </c>
      <c r="P227" s="161">
        <v>470.12</v>
      </c>
      <c r="Q227" s="134"/>
      <c r="T227" s="128"/>
    </row>
    <row r="228" spans="1:20" ht="18" x14ac:dyDescent="0.3">
      <c r="A228" s="53"/>
      <c r="B228" s="54"/>
      <c r="C228" s="54"/>
      <c r="D228" s="55"/>
      <c r="E228" s="75"/>
      <c r="F228" s="76"/>
      <c r="G228" s="76"/>
      <c r="H228" s="48"/>
      <c r="I228" s="70"/>
      <c r="J228" s="70"/>
      <c r="K228" s="158" t="s">
        <v>965</v>
      </c>
      <c r="L228" s="159" t="s">
        <v>382</v>
      </c>
      <c r="M228" s="158" t="s">
        <v>34</v>
      </c>
      <c r="N228" s="160">
        <v>16</v>
      </c>
      <c r="O228" s="161">
        <v>3.8</v>
      </c>
      <c r="P228" s="161">
        <v>60.8</v>
      </c>
      <c r="Q228" s="134"/>
      <c r="T228" s="128"/>
    </row>
    <row r="229" spans="1:20" ht="18" x14ac:dyDescent="0.3">
      <c r="A229" s="53"/>
      <c r="B229" s="54"/>
      <c r="C229" s="54"/>
      <c r="D229" s="55"/>
      <c r="E229" s="75"/>
      <c r="F229" s="76"/>
      <c r="G229" s="76"/>
      <c r="H229" s="48"/>
      <c r="I229" s="70"/>
      <c r="J229" s="70"/>
      <c r="K229" s="158" t="s">
        <v>816</v>
      </c>
      <c r="L229" s="159" t="s">
        <v>817</v>
      </c>
      <c r="M229" s="158" t="s">
        <v>34</v>
      </c>
      <c r="N229" s="160">
        <v>1</v>
      </c>
      <c r="O229" s="161">
        <v>4.4000000000000004</v>
      </c>
      <c r="P229" s="161">
        <v>4.4000000000000004</v>
      </c>
      <c r="Q229" s="134"/>
      <c r="T229" s="128"/>
    </row>
    <row r="230" spans="1:20" ht="18" x14ac:dyDescent="0.3">
      <c r="A230" s="53"/>
      <c r="B230" s="54"/>
      <c r="C230" s="54"/>
      <c r="D230" s="55"/>
      <c r="E230" s="75"/>
      <c r="F230" s="76"/>
      <c r="G230" s="76"/>
      <c r="H230" s="48"/>
      <c r="I230" s="70"/>
      <c r="J230" s="70"/>
      <c r="K230" s="158" t="s">
        <v>422</v>
      </c>
      <c r="L230" s="159" t="s">
        <v>423</v>
      </c>
      <c r="M230" s="158" t="s">
        <v>34</v>
      </c>
      <c r="N230" s="160">
        <v>1</v>
      </c>
      <c r="O230" s="161">
        <v>99.9</v>
      </c>
      <c r="P230" s="161">
        <v>99.9</v>
      </c>
      <c r="Q230" s="134"/>
      <c r="T230" s="128"/>
    </row>
    <row r="231" spans="1:20" ht="18" x14ac:dyDescent="0.3">
      <c r="A231" s="53"/>
      <c r="B231" s="54"/>
      <c r="C231" s="54"/>
      <c r="D231" s="55"/>
      <c r="E231" s="75"/>
      <c r="F231" s="76"/>
      <c r="G231" s="76"/>
      <c r="H231" s="48"/>
      <c r="I231" s="70"/>
      <c r="J231" s="70"/>
      <c r="K231" s="158" t="s">
        <v>818</v>
      </c>
      <c r="L231" s="159" t="s">
        <v>819</v>
      </c>
      <c r="M231" s="158" t="s">
        <v>34</v>
      </c>
      <c r="N231" s="160">
        <v>1.7</v>
      </c>
      <c r="O231" s="161">
        <v>194</v>
      </c>
      <c r="P231" s="161">
        <v>329.8</v>
      </c>
      <c r="Q231" s="134"/>
      <c r="T231" s="128"/>
    </row>
    <row r="232" spans="1:20" ht="18" x14ac:dyDescent="0.3">
      <c r="A232" s="53"/>
      <c r="B232" s="54"/>
      <c r="C232" s="54"/>
      <c r="D232" s="55"/>
      <c r="E232" s="75"/>
      <c r="F232" s="76"/>
      <c r="G232" s="76"/>
      <c r="H232" s="48"/>
      <c r="I232" s="70"/>
      <c r="J232" s="70"/>
      <c r="K232" s="158" t="s">
        <v>1002</v>
      </c>
      <c r="L232" s="159" t="s">
        <v>1070</v>
      </c>
      <c r="M232" s="158" t="s">
        <v>34</v>
      </c>
      <c r="N232" s="160">
        <v>0.54</v>
      </c>
      <c r="O232" s="161">
        <v>63</v>
      </c>
      <c r="P232" s="161">
        <v>34.020000000000003</v>
      </c>
      <c r="Q232" s="134"/>
      <c r="T232" s="128"/>
    </row>
    <row r="233" spans="1:20" ht="18" x14ac:dyDescent="0.3">
      <c r="A233" s="53"/>
      <c r="B233" s="54"/>
      <c r="C233" s="54"/>
      <c r="D233" s="55"/>
      <c r="E233" s="75"/>
      <c r="F233" s="76"/>
      <c r="G233" s="76"/>
      <c r="H233" s="48"/>
      <c r="I233" s="70"/>
      <c r="J233" s="70"/>
      <c r="K233" s="158" t="s">
        <v>1003</v>
      </c>
      <c r="L233" s="159" t="s">
        <v>1071</v>
      </c>
      <c r="M233" s="158" t="s">
        <v>34</v>
      </c>
      <c r="N233" s="160">
        <v>0.18</v>
      </c>
      <c r="O233" s="161">
        <v>195</v>
      </c>
      <c r="P233" s="161">
        <v>35.1</v>
      </c>
      <c r="Q233" s="134"/>
      <c r="T233" s="128"/>
    </row>
    <row r="234" spans="1:20" ht="18" x14ac:dyDescent="0.3">
      <c r="A234" s="53"/>
      <c r="B234" s="54"/>
      <c r="C234" s="54"/>
      <c r="D234" s="55"/>
      <c r="E234" s="75"/>
      <c r="F234" s="76"/>
      <c r="G234" s="76"/>
      <c r="H234" s="48"/>
      <c r="I234" s="70"/>
      <c r="J234" s="70"/>
      <c r="K234" s="158" t="s">
        <v>1363</v>
      </c>
      <c r="L234" s="159" t="s">
        <v>1392</v>
      </c>
      <c r="M234" s="158" t="s">
        <v>34</v>
      </c>
      <c r="N234" s="160">
        <v>0.27</v>
      </c>
      <c r="O234" s="161">
        <v>499</v>
      </c>
      <c r="P234" s="161">
        <v>134.72999999999999</v>
      </c>
      <c r="Q234" s="134"/>
      <c r="T234" s="128"/>
    </row>
    <row r="235" spans="1:20" ht="18" x14ac:dyDescent="0.3">
      <c r="A235" s="53"/>
      <c r="B235" s="54"/>
      <c r="C235" s="54"/>
      <c r="D235" s="55"/>
      <c r="E235" s="75"/>
      <c r="F235" s="76"/>
      <c r="G235" s="76"/>
      <c r="H235" s="48"/>
      <c r="I235" s="70"/>
      <c r="J235" s="70"/>
      <c r="K235" s="158" t="s">
        <v>1364</v>
      </c>
      <c r="L235" s="159" t="s">
        <v>1393</v>
      </c>
      <c r="M235" s="158" t="s">
        <v>34</v>
      </c>
      <c r="N235" s="160">
        <v>0.3</v>
      </c>
      <c r="O235" s="161">
        <v>144</v>
      </c>
      <c r="P235" s="161">
        <v>43.2</v>
      </c>
      <c r="Q235" s="134"/>
      <c r="T235" s="128"/>
    </row>
    <row r="236" spans="1:20" ht="18" x14ac:dyDescent="0.3">
      <c r="A236" s="53"/>
      <c r="B236" s="54"/>
      <c r="C236" s="54"/>
      <c r="D236" s="55"/>
      <c r="E236" s="75"/>
      <c r="F236" s="76"/>
      <c r="G236" s="76"/>
      <c r="H236" s="48"/>
      <c r="I236" s="70"/>
      <c r="J236" s="70"/>
      <c r="K236" s="158" t="s">
        <v>1365</v>
      </c>
      <c r="L236" s="159" t="s">
        <v>1394</v>
      </c>
      <c r="M236" s="158" t="s">
        <v>34</v>
      </c>
      <c r="N236" s="160">
        <v>0.18</v>
      </c>
      <c r="O236" s="161">
        <v>140</v>
      </c>
      <c r="P236" s="161">
        <v>25.2</v>
      </c>
      <c r="Q236" s="134"/>
      <c r="T236" s="128"/>
    </row>
    <row r="237" spans="1:20" ht="18" x14ac:dyDescent="0.3">
      <c r="A237" s="53"/>
      <c r="B237" s="54"/>
      <c r="C237" s="54"/>
      <c r="D237" s="55"/>
      <c r="E237" s="75"/>
      <c r="F237" s="76"/>
      <c r="G237" s="76"/>
      <c r="H237" s="48"/>
      <c r="I237" s="70"/>
      <c r="J237" s="70"/>
      <c r="K237" s="158" t="s">
        <v>432</v>
      </c>
      <c r="L237" s="159" t="s">
        <v>433</v>
      </c>
      <c r="M237" s="158" t="s">
        <v>34</v>
      </c>
      <c r="N237" s="160">
        <v>4</v>
      </c>
      <c r="O237" s="161">
        <v>27.6</v>
      </c>
      <c r="P237" s="161">
        <v>110.4</v>
      </c>
      <c r="Q237" s="134"/>
      <c r="T237" s="128"/>
    </row>
    <row r="238" spans="1:20" ht="18" x14ac:dyDescent="0.3">
      <c r="A238" s="53"/>
      <c r="B238" s="54"/>
      <c r="C238" s="54"/>
      <c r="D238" s="55"/>
      <c r="E238" s="75"/>
      <c r="F238" s="76"/>
      <c r="G238" s="76"/>
      <c r="H238" s="48"/>
      <c r="I238" s="70"/>
      <c r="J238" s="70"/>
      <c r="K238" s="158" t="s">
        <v>1159</v>
      </c>
      <c r="L238" s="159" t="s">
        <v>1245</v>
      </c>
      <c r="M238" s="158" t="s">
        <v>34</v>
      </c>
      <c r="N238" s="160">
        <v>1</v>
      </c>
      <c r="O238" s="161">
        <v>36.08</v>
      </c>
      <c r="P238" s="161">
        <v>36.08</v>
      </c>
      <c r="Q238" s="134"/>
      <c r="T238" s="128"/>
    </row>
    <row r="239" spans="1:20" ht="18" x14ac:dyDescent="0.3">
      <c r="A239" s="53"/>
      <c r="B239" s="54"/>
      <c r="C239" s="54"/>
      <c r="D239" s="55"/>
      <c r="E239" s="75"/>
      <c r="F239" s="76"/>
      <c r="G239" s="76"/>
      <c r="H239" s="48"/>
      <c r="I239" s="70"/>
      <c r="J239" s="70"/>
      <c r="K239" s="158" t="s">
        <v>1163</v>
      </c>
      <c r="L239" s="159" t="s">
        <v>1248</v>
      </c>
      <c r="M239" s="158" t="s">
        <v>34</v>
      </c>
      <c r="N239" s="160">
        <v>1</v>
      </c>
      <c r="O239" s="161">
        <v>579.16999999999996</v>
      </c>
      <c r="P239" s="161">
        <v>579.16999999999996</v>
      </c>
      <c r="Q239" s="134"/>
      <c r="T239" s="128"/>
    </row>
    <row r="240" spans="1:20" ht="18" x14ac:dyDescent="0.3">
      <c r="A240" s="53"/>
      <c r="B240" s="54"/>
      <c r="C240" s="54"/>
      <c r="D240" s="55"/>
      <c r="E240" s="75"/>
      <c r="F240" s="76"/>
      <c r="G240" s="76"/>
      <c r="H240" s="48"/>
      <c r="I240" s="70"/>
      <c r="J240" s="70"/>
      <c r="K240" s="158" t="s">
        <v>1010</v>
      </c>
      <c r="L240" s="159" t="s">
        <v>814</v>
      </c>
      <c r="M240" s="158" t="s">
        <v>34</v>
      </c>
      <c r="N240" s="160">
        <v>6</v>
      </c>
      <c r="O240" s="161">
        <v>557.91999999999996</v>
      </c>
      <c r="P240" s="162">
        <v>3347.51</v>
      </c>
      <c r="Q240" s="134"/>
      <c r="T240" s="128"/>
    </row>
    <row r="241" spans="1:20" ht="18" x14ac:dyDescent="0.3">
      <c r="A241" s="53"/>
      <c r="B241" s="54"/>
      <c r="C241" s="54"/>
      <c r="D241" s="55"/>
      <c r="E241" s="75"/>
      <c r="F241" s="76"/>
      <c r="G241" s="76"/>
      <c r="H241" s="48"/>
      <c r="I241" s="70"/>
      <c r="J241" s="70"/>
      <c r="K241" s="158" t="s">
        <v>1164</v>
      </c>
      <c r="L241" s="159" t="s">
        <v>1249</v>
      </c>
      <c r="M241" s="158" t="s">
        <v>34</v>
      </c>
      <c r="N241" s="160">
        <v>0.5</v>
      </c>
      <c r="O241" s="161">
        <v>349.1</v>
      </c>
      <c r="P241" s="161">
        <v>174.55</v>
      </c>
      <c r="Q241" s="134"/>
      <c r="T241" s="128"/>
    </row>
    <row r="242" spans="1:20" ht="18" x14ac:dyDescent="0.3">
      <c r="A242" s="53"/>
      <c r="B242" s="54"/>
      <c r="C242" s="54"/>
      <c r="D242" s="55"/>
      <c r="E242" s="75"/>
      <c r="F242" s="76"/>
      <c r="G242" s="76"/>
      <c r="H242" s="48"/>
      <c r="I242" s="70"/>
      <c r="J242" s="70"/>
      <c r="K242" s="158" t="s">
        <v>1012</v>
      </c>
      <c r="L242" s="159" t="s">
        <v>413</v>
      </c>
      <c r="M242" s="158" t="s">
        <v>34</v>
      </c>
      <c r="N242" s="160">
        <v>0.5</v>
      </c>
      <c r="O242" s="161">
        <v>524.55999999999995</v>
      </c>
      <c r="P242" s="161">
        <v>262.27999999999997</v>
      </c>
      <c r="Q242" s="134"/>
      <c r="T242" s="128"/>
    </row>
    <row r="243" spans="1:20" ht="18" x14ac:dyDescent="0.3">
      <c r="A243" s="53"/>
      <c r="B243" s="54"/>
      <c r="C243" s="54"/>
      <c r="D243" s="55"/>
      <c r="E243" s="75"/>
      <c r="F243" s="76"/>
      <c r="G243" s="76"/>
      <c r="H243" s="48"/>
      <c r="I243" s="70"/>
      <c r="J243" s="70"/>
      <c r="K243" s="158" t="s">
        <v>865</v>
      </c>
      <c r="L243" s="159" t="s">
        <v>1055</v>
      </c>
      <c r="M243" s="158" t="s">
        <v>34</v>
      </c>
      <c r="N243" s="160">
        <v>1</v>
      </c>
      <c r="O243" s="162">
        <v>4916.67</v>
      </c>
      <c r="P243" s="162">
        <v>4916.67</v>
      </c>
      <c r="Q243" s="134"/>
      <c r="T243" s="128"/>
    </row>
    <row r="244" spans="1:20" ht="18" x14ac:dyDescent="0.3">
      <c r="A244" s="53"/>
      <c r="B244" s="54"/>
      <c r="C244" s="54"/>
      <c r="D244" s="55"/>
      <c r="E244" s="75"/>
      <c r="F244" s="76"/>
      <c r="G244" s="76"/>
      <c r="H244" s="48"/>
      <c r="I244" s="70"/>
      <c r="J244" s="70"/>
      <c r="K244" s="158" t="s">
        <v>799</v>
      </c>
      <c r="L244" s="159" t="s">
        <v>800</v>
      </c>
      <c r="M244" s="158" t="s">
        <v>34</v>
      </c>
      <c r="N244" s="160">
        <v>1</v>
      </c>
      <c r="O244" s="161">
        <v>308.13</v>
      </c>
      <c r="P244" s="161">
        <v>308.13</v>
      </c>
      <c r="Q244" s="134"/>
      <c r="T244" s="128"/>
    </row>
    <row r="245" spans="1:20" ht="18" x14ac:dyDescent="0.3">
      <c r="A245" s="53"/>
      <c r="B245" s="54"/>
      <c r="C245" s="54"/>
      <c r="D245" s="55"/>
      <c r="E245" s="75"/>
      <c r="F245" s="76"/>
      <c r="G245" s="76"/>
      <c r="H245" s="48"/>
      <c r="I245" s="70"/>
      <c r="J245" s="70"/>
      <c r="K245" s="158" t="s">
        <v>801</v>
      </c>
      <c r="L245" s="159" t="s">
        <v>802</v>
      </c>
      <c r="M245" s="158" t="s">
        <v>34</v>
      </c>
      <c r="N245" s="160">
        <v>1</v>
      </c>
      <c r="O245" s="161">
        <v>308.13</v>
      </c>
      <c r="P245" s="161">
        <v>308.13</v>
      </c>
      <c r="Q245" s="134"/>
      <c r="T245" s="128"/>
    </row>
    <row r="246" spans="1:20" ht="18" x14ac:dyDescent="0.3">
      <c r="A246" s="53"/>
      <c r="B246" s="54"/>
      <c r="C246" s="54"/>
      <c r="D246" s="55"/>
      <c r="E246" s="75"/>
      <c r="F246" s="76"/>
      <c r="G246" s="76"/>
      <c r="H246" s="48"/>
      <c r="I246" s="70"/>
      <c r="J246" s="70"/>
      <c r="K246" s="158" t="s">
        <v>1153</v>
      </c>
      <c r="L246" s="159" t="s">
        <v>1240</v>
      </c>
      <c r="M246" s="158" t="s">
        <v>34</v>
      </c>
      <c r="N246" s="160">
        <v>1</v>
      </c>
      <c r="O246" s="162">
        <v>1412</v>
      </c>
      <c r="P246" s="162">
        <v>1412</v>
      </c>
      <c r="Q246" s="134"/>
      <c r="T246" s="128"/>
    </row>
    <row r="247" spans="1:20" ht="18" x14ac:dyDescent="0.3">
      <c r="A247" s="53"/>
      <c r="B247" s="54"/>
      <c r="C247" s="54"/>
      <c r="D247" s="55"/>
      <c r="E247" s="75"/>
      <c r="F247" s="76"/>
      <c r="G247" s="76"/>
      <c r="H247" s="48"/>
      <c r="I247" s="70"/>
      <c r="J247" s="70"/>
      <c r="K247" s="158" t="s">
        <v>804</v>
      </c>
      <c r="L247" s="159" t="s">
        <v>805</v>
      </c>
      <c r="M247" s="158" t="s">
        <v>34</v>
      </c>
      <c r="N247" s="160">
        <v>0.6</v>
      </c>
      <c r="O247" s="162">
        <v>1250</v>
      </c>
      <c r="P247" s="161">
        <v>750</v>
      </c>
      <c r="Q247" s="134"/>
      <c r="T247" s="128"/>
    </row>
    <row r="248" spans="1:20" ht="18" x14ac:dyDescent="0.3">
      <c r="A248" s="53"/>
      <c r="B248" s="54"/>
      <c r="C248" s="54"/>
      <c r="D248" s="55"/>
      <c r="E248" s="75"/>
      <c r="F248" s="76"/>
      <c r="G248" s="76"/>
      <c r="H248" s="48"/>
      <c r="I248" s="70"/>
      <c r="J248" s="70"/>
      <c r="K248" s="158" t="s">
        <v>867</v>
      </c>
      <c r="L248" s="159" t="s">
        <v>918</v>
      </c>
      <c r="M248" s="158" t="s">
        <v>34</v>
      </c>
      <c r="N248" s="160">
        <v>1</v>
      </c>
      <c r="O248" s="162">
        <v>4050</v>
      </c>
      <c r="P248" s="162">
        <v>4050</v>
      </c>
      <c r="Q248" s="134"/>
      <c r="T248" s="128"/>
    </row>
    <row r="249" spans="1:20" ht="18" x14ac:dyDescent="0.3">
      <c r="A249" s="53"/>
      <c r="B249" s="54"/>
      <c r="C249" s="54"/>
      <c r="D249" s="55"/>
      <c r="E249" s="75"/>
      <c r="F249" s="76"/>
      <c r="G249" s="76"/>
      <c r="H249" s="48"/>
      <c r="I249" s="70"/>
      <c r="J249" s="70"/>
      <c r="K249" s="158" t="s">
        <v>194</v>
      </c>
      <c r="L249" s="159" t="s">
        <v>195</v>
      </c>
      <c r="M249" s="158" t="s">
        <v>34</v>
      </c>
      <c r="N249" s="160">
        <v>0.2</v>
      </c>
      <c r="O249" s="162">
        <v>1500</v>
      </c>
      <c r="P249" s="161">
        <v>300</v>
      </c>
      <c r="Q249" s="134"/>
      <c r="T249" s="128"/>
    </row>
    <row r="250" spans="1:20" ht="18" x14ac:dyDescent="0.3">
      <c r="A250" s="53"/>
      <c r="B250" s="54"/>
      <c r="C250" s="54"/>
      <c r="D250" s="55"/>
      <c r="E250" s="75"/>
      <c r="F250" s="76"/>
      <c r="G250" s="76"/>
      <c r="H250" s="48"/>
      <c r="I250" s="70"/>
      <c r="J250" s="70"/>
      <c r="K250" s="158" t="s">
        <v>403</v>
      </c>
      <c r="L250" s="159" t="s">
        <v>1073</v>
      </c>
      <c r="M250" s="158" t="s">
        <v>34</v>
      </c>
      <c r="N250" s="160">
        <v>2</v>
      </c>
      <c r="O250" s="161">
        <v>35</v>
      </c>
      <c r="P250" s="161">
        <v>70</v>
      </c>
      <c r="Q250" s="134"/>
      <c r="T250" s="128"/>
    </row>
    <row r="251" spans="1:20" ht="18" x14ac:dyDescent="0.3">
      <c r="A251" s="53"/>
      <c r="B251" s="54"/>
      <c r="C251" s="54"/>
      <c r="D251" s="55"/>
      <c r="E251" s="75"/>
      <c r="F251" s="76"/>
      <c r="G251" s="76"/>
      <c r="H251" s="48"/>
      <c r="I251" s="70"/>
      <c r="J251" s="70"/>
      <c r="K251" s="158" t="s">
        <v>920</v>
      </c>
      <c r="L251" s="159" t="s">
        <v>921</v>
      </c>
      <c r="M251" s="158" t="s">
        <v>34</v>
      </c>
      <c r="N251" s="160">
        <v>1</v>
      </c>
      <c r="O251" s="161">
        <v>29.1</v>
      </c>
      <c r="P251" s="161">
        <v>29.1</v>
      </c>
      <c r="Q251" s="134"/>
      <c r="T251" s="128"/>
    </row>
    <row r="252" spans="1:20" ht="18" x14ac:dyDescent="0.3">
      <c r="A252" s="53"/>
      <c r="B252" s="54"/>
      <c r="C252" s="54"/>
      <c r="D252" s="55"/>
      <c r="E252" s="75"/>
      <c r="F252" s="76"/>
      <c r="G252" s="76"/>
      <c r="H252" s="48"/>
      <c r="I252" s="70"/>
      <c r="J252" s="70"/>
      <c r="K252" s="158" t="s">
        <v>1008</v>
      </c>
      <c r="L252" s="159" t="s">
        <v>407</v>
      </c>
      <c r="M252" s="158" t="s">
        <v>34</v>
      </c>
      <c r="N252" s="160">
        <v>1</v>
      </c>
      <c r="O252" s="161">
        <v>62.4</v>
      </c>
      <c r="P252" s="161">
        <v>62.4</v>
      </c>
      <c r="Q252" s="134"/>
      <c r="T252" s="128"/>
    </row>
    <row r="253" spans="1:20" ht="18" x14ac:dyDescent="0.3">
      <c r="A253" s="53"/>
      <c r="B253" s="54"/>
      <c r="C253" s="54"/>
      <c r="D253" s="55"/>
      <c r="E253" s="75"/>
      <c r="F253" s="76"/>
      <c r="G253" s="76"/>
      <c r="H253" s="48"/>
      <c r="I253" s="70"/>
      <c r="J253" s="70"/>
      <c r="K253" s="158" t="s">
        <v>1009</v>
      </c>
      <c r="L253" s="159" t="s">
        <v>811</v>
      </c>
      <c r="M253" s="158" t="s">
        <v>34</v>
      </c>
      <c r="N253" s="160">
        <v>5</v>
      </c>
      <c r="O253" s="161">
        <v>91</v>
      </c>
      <c r="P253" s="161">
        <v>455</v>
      </c>
      <c r="Q253" s="134"/>
      <c r="T253" s="128"/>
    </row>
    <row r="254" spans="1:20" ht="18" x14ac:dyDescent="0.3">
      <c r="A254" s="53"/>
      <c r="B254" s="54"/>
      <c r="C254" s="54"/>
      <c r="D254" s="55"/>
      <c r="E254" s="75"/>
      <c r="F254" s="76"/>
      <c r="G254" s="76"/>
      <c r="H254" s="48"/>
      <c r="I254" s="70"/>
      <c r="J254" s="70"/>
      <c r="K254" s="158" t="s">
        <v>1158</v>
      </c>
      <c r="L254" s="159" t="s">
        <v>1244</v>
      </c>
      <c r="M254" s="158" t="s">
        <v>34</v>
      </c>
      <c r="N254" s="160">
        <v>1</v>
      </c>
      <c r="O254" s="161">
        <v>238</v>
      </c>
      <c r="P254" s="161">
        <v>238</v>
      </c>
      <c r="Q254" s="134"/>
      <c r="T254" s="128"/>
    </row>
    <row r="255" spans="1:20" ht="18" x14ac:dyDescent="0.3">
      <c r="A255" s="53"/>
      <c r="B255" s="54"/>
      <c r="C255" s="54"/>
      <c r="D255" s="55"/>
      <c r="E255" s="75"/>
      <c r="F255" s="76"/>
      <c r="G255" s="76"/>
      <c r="H255" s="48"/>
      <c r="I255" s="70"/>
      <c r="J255" s="70"/>
      <c r="K255" s="158" t="s">
        <v>411</v>
      </c>
      <c r="L255" s="159" t="s">
        <v>412</v>
      </c>
      <c r="M255" s="158" t="s">
        <v>34</v>
      </c>
      <c r="N255" s="160">
        <v>9.8000000000000007</v>
      </c>
      <c r="O255" s="161">
        <v>58.83</v>
      </c>
      <c r="P255" s="161">
        <v>576.5</v>
      </c>
      <c r="Q255" s="134"/>
      <c r="T255" s="128"/>
    </row>
    <row r="256" spans="1:20" ht="18" x14ac:dyDescent="0.3">
      <c r="A256" s="53"/>
      <c r="B256" s="54"/>
      <c r="C256" s="54"/>
      <c r="D256" s="55"/>
      <c r="E256" s="75"/>
      <c r="F256" s="76"/>
      <c r="G256" s="76"/>
      <c r="H256" s="48"/>
      <c r="I256" s="70"/>
      <c r="J256" s="70"/>
      <c r="K256" s="158" t="s">
        <v>823</v>
      </c>
      <c r="L256" s="159" t="s">
        <v>824</v>
      </c>
      <c r="M256" s="158" t="s">
        <v>34</v>
      </c>
      <c r="N256" s="160">
        <v>5</v>
      </c>
      <c r="O256" s="161">
        <v>251.58</v>
      </c>
      <c r="P256" s="162">
        <v>1257.8800000000001</v>
      </c>
      <c r="Q256" s="134"/>
      <c r="T256" s="128"/>
    </row>
    <row r="257" spans="1:20" ht="18" x14ac:dyDescent="0.3">
      <c r="A257" s="53"/>
      <c r="B257" s="54"/>
      <c r="C257" s="54"/>
      <c r="D257" s="55"/>
      <c r="E257" s="75"/>
      <c r="F257" s="76"/>
      <c r="G257" s="76"/>
      <c r="H257" s="48"/>
      <c r="I257" s="70"/>
      <c r="J257" s="70"/>
      <c r="K257" s="158" t="s">
        <v>1161</v>
      </c>
      <c r="L257" s="159" t="s">
        <v>436</v>
      </c>
      <c r="M257" s="158" t="s">
        <v>34</v>
      </c>
      <c r="N257" s="160">
        <v>1</v>
      </c>
      <c r="O257" s="161">
        <v>96.18</v>
      </c>
      <c r="P257" s="161">
        <v>96.18</v>
      </c>
      <c r="Q257" s="134"/>
      <c r="T257" s="128"/>
    </row>
    <row r="258" spans="1:20" ht="30" x14ac:dyDescent="0.3">
      <c r="A258" s="53"/>
      <c r="B258" s="54"/>
      <c r="C258" s="54"/>
      <c r="D258" s="55"/>
      <c r="E258" s="75"/>
      <c r="F258" s="76"/>
      <c r="G258" s="76"/>
      <c r="H258" s="48"/>
      <c r="I258" s="70"/>
      <c r="J258" s="70"/>
      <c r="K258" s="158" t="s">
        <v>1004</v>
      </c>
      <c r="L258" s="159" t="s">
        <v>95</v>
      </c>
      <c r="M258" s="158" t="s">
        <v>34</v>
      </c>
      <c r="N258" s="160">
        <v>9</v>
      </c>
      <c r="O258" s="161">
        <v>181.2</v>
      </c>
      <c r="P258" s="162">
        <v>1630.8</v>
      </c>
      <c r="Q258" s="134"/>
      <c r="T258" s="128"/>
    </row>
    <row r="259" spans="1:20" ht="18" x14ac:dyDescent="0.3">
      <c r="A259" s="53"/>
      <c r="B259" s="54"/>
      <c r="C259" s="54"/>
      <c r="D259" s="55"/>
      <c r="E259" s="75"/>
      <c r="F259" s="76"/>
      <c r="G259" s="76"/>
      <c r="H259" s="48"/>
      <c r="I259" s="70"/>
      <c r="J259" s="70"/>
      <c r="K259" s="158" t="s">
        <v>437</v>
      </c>
      <c r="L259" s="159" t="s">
        <v>438</v>
      </c>
      <c r="M259" s="158" t="s">
        <v>34</v>
      </c>
      <c r="N259" s="160">
        <v>4</v>
      </c>
      <c r="O259" s="161">
        <v>166.32</v>
      </c>
      <c r="P259" s="161">
        <v>665.28</v>
      </c>
      <c r="Q259" s="134"/>
      <c r="T259" s="128"/>
    </row>
    <row r="260" spans="1:20" ht="18" x14ac:dyDescent="0.3">
      <c r="A260" s="53"/>
      <c r="B260" s="54"/>
      <c r="C260" s="54"/>
      <c r="D260" s="55"/>
      <c r="E260" s="75"/>
      <c r="F260" s="76"/>
      <c r="G260" s="76"/>
      <c r="H260" s="48"/>
      <c r="I260" s="70"/>
      <c r="J260" s="70"/>
      <c r="K260" s="158" t="s">
        <v>1090</v>
      </c>
      <c r="L260" s="159" t="s">
        <v>439</v>
      </c>
      <c r="M260" s="158" t="s">
        <v>34</v>
      </c>
      <c r="N260" s="160">
        <v>1</v>
      </c>
      <c r="O260" s="161">
        <v>94.36</v>
      </c>
      <c r="P260" s="161">
        <v>94.36</v>
      </c>
      <c r="Q260" s="134"/>
      <c r="T260" s="128"/>
    </row>
    <row r="261" spans="1:20" ht="18" customHeight="1" x14ac:dyDescent="0.3">
      <c r="A261" s="53"/>
      <c r="B261" s="54"/>
      <c r="C261" s="54"/>
      <c r="D261" s="55"/>
      <c r="E261" s="75"/>
      <c r="F261" s="76"/>
      <c r="G261" s="76"/>
      <c r="H261" s="48"/>
      <c r="I261" s="70"/>
      <c r="J261" s="70"/>
      <c r="K261" s="158" t="s">
        <v>1174</v>
      </c>
      <c r="L261" s="159" t="s">
        <v>1258</v>
      </c>
      <c r="M261" s="158" t="s">
        <v>34</v>
      </c>
      <c r="N261" s="160">
        <v>45</v>
      </c>
      <c r="O261" s="161">
        <v>4.99</v>
      </c>
      <c r="P261" s="161">
        <v>224.77</v>
      </c>
      <c r="Q261" s="134"/>
      <c r="T261" s="128"/>
    </row>
    <row r="262" spans="1:20" ht="18" x14ac:dyDescent="0.3">
      <c r="A262" s="53"/>
      <c r="B262" s="54"/>
      <c r="C262" s="54"/>
      <c r="D262" s="55"/>
      <c r="E262" s="75"/>
      <c r="F262" s="76"/>
      <c r="G262" s="76"/>
      <c r="H262" s="48"/>
      <c r="I262" s="70"/>
      <c r="J262" s="70"/>
      <c r="K262" s="158" t="s">
        <v>1175</v>
      </c>
      <c r="L262" s="159" t="s">
        <v>1259</v>
      </c>
      <c r="M262" s="158" t="s">
        <v>34</v>
      </c>
      <c r="N262" s="160">
        <v>1</v>
      </c>
      <c r="O262" s="161">
        <v>2</v>
      </c>
      <c r="P262" s="161">
        <v>2</v>
      </c>
      <c r="Q262" s="134"/>
      <c r="T262" s="128"/>
    </row>
    <row r="263" spans="1:20" ht="18" x14ac:dyDescent="0.3">
      <c r="A263" s="53"/>
      <c r="B263" s="54"/>
      <c r="C263" s="54"/>
      <c r="D263" s="55"/>
      <c r="E263" s="75"/>
      <c r="F263" s="76"/>
      <c r="G263" s="76"/>
      <c r="H263" s="48"/>
      <c r="I263" s="70"/>
      <c r="J263" s="70"/>
      <c r="K263" s="158" t="s">
        <v>1176</v>
      </c>
      <c r="L263" s="159" t="s">
        <v>1260</v>
      </c>
      <c r="M263" s="158" t="s">
        <v>34</v>
      </c>
      <c r="N263" s="160">
        <v>1</v>
      </c>
      <c r="O263" s="161">
        <v>1.5</v>
      </c>
      <c r="P263" s="161">
        <v>1.5</v>
      </c>
      <c r="Q263" s="134"/>
      <c r="T263" s="128"/>
    </row>
    <row r="264" spans="1:20" ht="18" x14ac:dyDescent="0.3">
      <c r="A264" s="53"/>
      <c r="B264" s="54"/>
      <c r="C264" s="54"/>
      <c r="D264" s="55"/>
      <c r="E264" s="75"/>
      <c r="F264" s="76"/>
      <c r="G264" s="76"/>
      <c r="H264" s="48"/>
      <c r="I264" s="70"/>
      <c r="J264" s="70"/>
      <c r="K264" s="158" t="s">
        <v>826</v>
      </c>
      <c r="L264" s="159" t="s">
        <v>827</v>
      </c>
      <c r="M264" s="158" t="s">
        <v>34</v>
      </c>
      <c r="N264" s="160">
        <v>1</v>
      </c>
      <c r="O264" s="161">
        <v>4.5</v>
      </c>
      <c r="P264" s="161">
        <v>4.5</v>
      </c>
      <c r="Q264" s="134"/>
      <c r="T264" s="128"/>
    </row>
    <row r="265" spans="1:20" ht="18" x14ac:dyDescent="0.3">
      <c r="A265" s="53"/>
      <c r="B265" s="54"/>
      <c r="C265" s="54"/>
      <c r="D265" s="55"/>
      <c r="E265" s="75"/>
      <c r="F265" s="76"/>
      <c r="G265" s="76"/>
      <c r="H265" s="48"/>
      <c r="I265" s="70"/>
      <c r="J265" s="70"/>
      <c r="K265" s="158" t="s">
        <v>1085</v>
      </c>
      <c r="L265" s="159" t="s">
        <v>1084</v>
      </c>
      <c r="M265" s="158" t="s">
        <v>34</v>
      </c>
      <c r="N265" s="160">
        <v>1</v>
      </c>
      <c r="O265" s="161">
        <v>592</v>
      </c>
      <c r="P265" s="161">
        <v>592</v>
      </c>
      <c r="Q265" s="134"/>
      <c r="T265" s="128"/>
    </row>
    <row r="266" spans="1:20" ht="18" x14ac:dyDescent="0.3">
      <c r="A266" s="53"/>
      <c r="B266" s="54"/>
      <c r="C266" s="54"/>
      <c r="D266" s="55"/>
      <c r="E266" s="75"/>
      <c r="F266" s="76"/>
      <c r="G266" s="76"/>
      <c r="H266" s="48"/>
      <c r="I266" s="70"/>
      <c r="J266" s="70"/>
      <c r="K266" s="158" t="s">
        <v>1177</v>
      </c>
      <c r="L266" s="159" t="s">
        <v>1261</v>
      </c>
      <c r="M266" s="158" t="s">
        <v>34</v>
      </c>
      <c r="N266" s="160">
        <v>1</v>
      </c>
      <c r="O266" s="161">
        <v>130.21</v>
      </c>
      <c r="P266" s="161">
        <v>130.21</v>
      </c>
      <c r="Q266" s="134"/>
      <c r="T266" s="128"/>
    </row>
    <row r="267" spans="1:20" ht="18" x14ac:dyDescent="0.3">
      <c r="A267" s="53"/>
      <c r="B267" s="54"/>
      <c r="C267" s="54"/>
      <c r="D267" s="55"/>
      <c r="E267" s="75"/>
      <c r="F267" s="76"/>
      <c r="G267" s="76"/>
      <c r="H267" s="48"/>
      <c r="I267" s="70"/>
      <c r="J267" s="70"/>
      <c r="K267" s="158" t="s">
        <v>1007</v>
      </c>
      <c r="L267" s="159" t="s">
        <v>447</v>
      </c>
      <c r="M267" s="158" t="s">
        <v>34</v>
      </c>
      <c r="N267" s="160">
        <v>7</v>
      </c>
      <c r="O267" s="161">
        <v>130.21</v>
      </c>
      <c r="P267" s="161">
        <v>911.49</v>
      </c>
      <c r="Q267" s="134"/>
      <c r="T267" s="128"/>
    </row>
    <row r="268" spans="1:20" ht="18" x14ac:dyDescent="0.3">
      <c r="A268" s="53"/>
      <c r="B268" s="54"/>
      <c r="C268" s="54"/>
      <c r="D268" s="55"/>
      <c r="E268" s="75"/>
      <c r="F268" s="76"/>
      <c r="G268" s="76"/>
      <c r="H268" s="48"/>
      <c r="I268" s="70"/>
      <c r="J268" s="70"/>
      <c r="K268" s="158" t="s">
        <v>886</v>
      </c>
      <c r="L268" s="159" t="s">
        <v>1072</v>
      </c>
      <c r="M268" s="158" t="s">
        <v>34</v>
      </c>
      <c r="N268" s="160">
        <v>3</v>
      </c>
      <c r="O268" s="161">
        <v>350.19</v>
      </c>
      <c r="P268" s="162">
        <v>1050.56</v>
      </c>
      <c r="Q268" s="134"/>
      <c r="T268" s="128"/>
    </row>
    <row r="269" spans="1:20" ht="18" x14ac:dyDescent="0.3">
      <c r="A269" s="53"/>
      <c r="B269" s="54"/>
      <c r="C269" s="54"/>
      <c r="D269" s="55"/>
      <c r="E269" s="75"/>
      <c r="F269" s="76"/>
      <c r="G269" s="76"/>
      <c r="H269" s="48"/>
      <c r="I269" s="70"/>
      <c r="J269" s="70"/>
      <c r="K269" s="158" t="s">
        <v>828</v>
      </c>
      <c r="L269" s="159" t="s">
        <v>829</v>
      </c>
      <c r="M269" s="158" t="s">
        <v>34</v>
      </c>
      <c r="N269" s="160">
        <v>1</v>
      </c>
      <c r="O269" s="161">
        <v>133.15</v>
      </c>
      <c r="P269" s="161">
        <v>133.15</v>
      </c>
      <c r="Q269" s="134"/>
      <c r="T269" s="128"/>
    </row>
    <row r="270" spans="1:20" ht="18" x14ac:dyDescent="0.3">
      <c r="A270" s="53"/>
      <c r="B270" s="54"/>
      <c r="C270" s="54"/>
      <c r="D270" s="55"/>
      <c r="E270" s="75"/>
      <c r="F270" s="76"/>
      <c r="G270" s="76"/>
      <c r="H270" s="48"/>
      <c r="I270" s="70"/>
      <c r="J270" s="70"/>
      <c r="K270" s="158" t="s">
        <v>830</v>
      </c>
      <c r="L270" s="159" t="s">
        <v>831</v>
      </c>
      <c r="M270" s="158" t="s">
        <v>34</v>
      </c>
      <c r="N270" s="160">
        <v>1</v>
      </c>
      <c r="O270" s="161">
        <v>577.5</v>
      </c>
      <c r="P270" s="161">
        <v>577.5</v>
      </c>
      <c r="Q270" s="134"/>
      <c r="T270" s="128"/>
    </row>
    <row r="271" spans="1:20" ht="18" x14ac:dyDescent="0.3">
      <c r="A271" s="53"/>
      <c r="B271" s="54"/>
      <c r="C271" s="54"/>
      <c r="D271" s="55"/>
      <c r="E271" s="75"/>
      <c r="F271" s="76"/>
      <c r="G271" s="76"/>
      <c r="H271" s="48"/>
      <c r="I271" s="70"/>
      <c r="J271" s="70"/>
      <c r="K271" s="158" t="s">
        <v>924</v>
      </c>
      <c r="L271" s="159" t="s">
        <v>925</v>
      </c>
      <c r="M271" s="158" t="s">
        <v>34</v>
      </c>
      <c r="N271" s="160">
        <v>1</v>
      </c>
      <c r="O271" s="161">
        <v>69.34</v>
      </c>
      <c r="P271" s="161">
        <v>69.34</v>
      </c>
      <c r="Q271" s="134"/>
      <c r="T271" s="128"/>
    </row>
    <row r="272" spans="1:20" ht="18" x14ac:dyDescent="0.3">
      <c r="A272" s="53"/>
      <c r="B272" s="54"/>
      <c r="C272" s="54"/>
      <c r="D272" s="55"/>
      <c r="E272" s="75"/>
      <c r="F272" s="76"/>
      <c r="G272" s="76"/>
      <c r="H272" s="48"/>
      <c r="I272" s="70"/>
      <c r="J272" s="70"/>
      <c r="K272" s="158" t="s">
        <v>455</v>
      </c>
      <c r="L272" s="159" t="s">
        <v>456</v>
      </c>
      <c r="M272" s="158" t="s">
        <v>34</v>
      </c>
      <c r="N272" s="160">
        <v>2</v>
      </c>
      <c r="O272" s="161">
        <v>275.73</v>
      </c>
      <c r="P272" s="161">
        <v>551.46</v>
      </c>
      <c r="Q272" s="134"/>
      <c r="T272" s="128"/>
    </row>
    <row r="273" spans="1:20" ht="18" x14ac:dyDescent="0.3">
      <c r="A273" s="53"/>
      <c r="B273" s="54"/>
      <c r="C273" s="54"/>
      <c r="D273" s="55"/>
      <c r="E273" s="75"/>
      <c r="F273" s="76"/>
      <c r="G273" s="76"/>
      <c r="H273" s="48"/>
      <c r="I273" s="70"/>
      <c r="J273" s="70"/>
      <c r="K273" s="158" t="s">
        <v>1005</v>
      </c>
      <c r="L273" s="159" t="s">
        <v>825</v>
      </c>
      <c r="M273" s="158" t="s">
        <v>34</v>
      </c>
      <c r="N273" s="160">
        <v>4</v>
      </c>
      <c r="O273" s="161">
        <v>308</v>
      </c>
      <c r="P273" s="162">
        <v>1232</v>
      </c>
      <c r="Q273" s="134"/>
      <c r="T273" s="128"/>
    </row>
    <row r="274" spans="1:20" ht="18" x14ac:dyDescent="0.3">
      <c r="A274" s="53"/>
      <c r="B274" s="54"/>
      <c r="C274" s="54"/>
      <c r="D274" s="55"/>
      <c r="E274" s="75"/>
      <c r="F274" s="76"/>
      <c r="G274" s="76"/>
      <c r="H274" s="48"/>
      <c r="I274" s="70"/>
      <c r="J274" s="70"/>
      <c r="K274" s="158" t="s">
        <v>1006</v>
      </c>
      <c r="L274" s="159" t="s">
        <v>923</v>
      </c>
      <c r="M274" s="158" t="s">
        <v>34</v>
      </c>
      <c r="N274" s="160">
        <v>570</v>
      </c>
      <c r="O274" s="161">
        <v>0.43</v>
      </c>
      <c r="P274" s="161">
        <v>244.14</v>
      </c>
      <c r="Q274" s="134"/>
      <c r="T274" s="128"/>
    </row>
    <row r="275" spans="1:20" ht="18" x14ac:dyDescent="0.3">
      <c r="A275" s="53"/>
      <c r="B275" s="54"/>
      <c r="C275" s="54"/>
      <c r="D275" s="55"/>
      <c r="E275" s="75"/>
      <c r="F275" s="76"/>
      <c r="G275" s="76"/>
      <c r="H275" s="48"/>
      <c r="I275" s="70"/>
      <c r="J275" s="70"/>
      <c r="K275" s="158" t="s">
        <v>1160</v>
      </c>
      <c r="L275" s="159" t="s">
        <v>1246</v>
      </c>
      <c r="M275" s="158" t="s">
        <v>34</v>
      </c>
      <c r="N275" s="160">
        <v>409</v>
      </c>
      <c r="O275" s="161">
        <v>0.69</v>
      </c>
      <c r="P275" s="161">
        <v>282.89</v>
      </c>
      <c r="Q275" s="134"/>
      <c r="T275" s="128"/>
    </row>
    <row r="276" spans="1:20" ht="18" x14ac:dyDescent="0.3">
      <c r="A276" s="53"/>
      <c r="B276" s="54"/>
      <c r="C276" s="54"/>
      <c r="D276" s="55"/>
      <c r="E276" s="75"/>
      <c r="F276" s="76"/>
      <c r="G276" s="76"/>
      <c r="H276" s="48"/>
      <c r="I276" s="70"/>
      <c r="J276" s="70"/>
      <c r="K276" s="158" t="s">
        <v>1001</v>
      </c>
      <c r="L276" s="159" t="s">
        <v>415</v>
      </c>
      <c r="M276" s="158" t="s">
        <v>34</v>
      </c>
      <c r="N276" s="160">
        <v>11</v>
      </c>
      <c r="O276" s="161">
        <v>59.58</v>
      </c>
      <c r="P276" s="161">
        <v>655.38</v>
      </c>
      <c r="Q276" s="134"/>
      <c r="T276" s="128"/>
    </row>
    <row r="277" spans="1:20" ht="18" customHeight="1" x14ac:dyDescent="0.3">
      <c r="A277" s="53"/>
      <c r="B277" s="54"/>
      <c r="C277" s="54"/>
      <c r="D277" s="55"/>
      <c r="E277" s="75"/>
      <c r="F277" s="76"/>
      <c r="G277" s="76"/>
      <c r="H277" s="48"/>
      <c r="I277" s="70"/>
      <c r="J277" s="70"/>
      <c r="K277" s="158" t="s">
        <v>946</v>
      </c>
      <c r="L277" s="159" t="s">
        <v>1042</v>
      </c>
      <c r="M277" s="158" t="s">
        <v>34</v>
      </c>
      <c r="N277" s="160">
        <v>4</v>
      </c>
      <c r="O277" s="161">
        <v>117.65</v>
      </c>
      <c r="P277" s="161">
        <v>470.6</v>
      </c>
      <c r="Q277" s="134"/>
      <c r="T277" s="128"/>
    </row>
    <row r="278" spans="1:20" ht="18" x14ac:dyDescent="0.3">
      <c r="A278" s="53"/>
      <c r="B278" s="54"/>
      <c r="C278" s="54"/>
      <c r="D278" s="55"/>
      <c r="E278" s="75"/>
      <c r="F278" s="76"/>
      <c r="G278" s="76"/>
      <c r="H278" s="48"/>
      <c r="I278" s="70"/>
      <c r="J278" s="70"/>
      <c r="K278" s="158" t="s">
        <v>927</v>
      </c>
      <c r="L278" s="159" t="s">
        <v>928</v>
      </c>
      <c r="M278" s="158" t="s">
        <v>34</v>
      </c>
      <c r="N278" s="160">
        <v>2</v>
      </c>
      <c r="O278" s="162">
        <v>2068.16</v>
      </c>
      <c r="P278" s="162">
        <v>4136.32</v>
      </c>
      <c r="Q278" s="134"/>
      <c r="T278" s="128"/>
    </row>
    <row r="279" spans="1:20" ht="18" x14ac:dyDescent="0.3">
      <c r="A279" s="53"/>
      <c r="B279" s="54"/>
      <c r="C279" s="54"/>
      <c r="D279" s="55"/>
      <c r="E279" s="75"/>
      <c r="F279" s="76"/>
      <c r="G279" s="76"/>
      <c r="H279" s="48"/>
      <c r="I279" s="70"/>
      <c r="J279" s="70"/>
      <c r="K279" s="158" t="s">
        <v>219</v>
      </c>
      <c r="L279" s="159" t="s">
        <v>220</v>
      </c>
      <c r="M279" s="158" t="s">
        <v>34</v>
      </c>
      <c r="N279" s="160">
        <v>2</v>
      </c>
      <c r="O279" s="161">
        <v>83</v>
      </c>
      <c r="P279" s="161">
        <v>166</v>
      </c>
      <c r="Q279" s="134"/>
      <c r="T279" s="128"/>
    </row>
    <row r="280" spans="1:20" ht="18" x14ac:dyDescent="0.3">
      <c r="A280" s="53"/>
      <c r="B280" s="54"/>
      <c r="C280" s="54"/>
      <c r="D280" s="55"/>
      <c r="E280" s="75"/>
      <c r="F280" s="76"/>
      <c r="G280" s="76"/>
      <c r="H280" s="48"/>
      <c r="I280" s="70"/>
      <c r="J280" s="70"/>
      <c r="K280" s="158" t="s">
        <v>1371</v>
      </c>
      <c r="L280" s="159" t="s">
        <v>99</v>
      </c>
      <c r="M280" s="158" t="s">
        <v>34</v>
      </c>
      <c r="N280" s="160">
        <v>0.27300000000000002</v>
      </c>
      <c r="O280" s="162">
        <v>1041.68</v>
      </c>
      <c r="P280" s="161">
        <v>284.38</v>
      </c>
      <c r="Q280" s="134"/>
      <c r="T280" s="128"/>
    </row>
    <row r="281" spans="1:20" ht="18" x14ac:dyDescent="0.3">
      <c r="A281" s="53"/>
      <c r="B281" s="54"/>
      <c r="C281" s="54"/>
      <c r="D281" s="55"/>
      <c r="E281" s="75"/>
      <c r="F281" s="76"/>
      <c r="G281" s="76"/>
      <c r="H281" s="48"/>
      <c r="I281" s="70"/>
      <c r="J281" s="70"/>
      <c r="K281" s="158" t="s">
        <v>510</v>
      </c>
      <c r="L281" s="159" t="s">
        <v>1060</v>
      </c>
      <c r="M281" s="158" t="s">
        <v>34</v>
      </c>
      <c r="N281" s="160">
        <v>0.27</v>
      </c>
      <c r="O281" s="161">
        <v>169</v>
      </c>
      <c r="P281" s="161">
        <v>45.63</v>
      </c>
      <c r="Q281" s="134"/>
      <c r="T281" s="128"/>
    </row>
    <row r="282" spans="1:20" ht="18" x14ac:dyDescent="0.3">
      <c r="A282" s="53"/>
      <c r="B282" s="54"/>
      <c r="C282" s="54"/>
      <c r="D282" s="55"/>
      <c r="E282" s="75"/>
      <c r="F282" s="76"/>
      <c r="G282" s="76"/>
      <c r="H282" s="48"/>
      <c r="I282" s="70"/>
      <c r="J282" s="70"/>
      <c r="K282" s="158" t="s">
        <v>1374</v>
      </c>
      <c r="L282" s="159" t="s">
        <v>1402</v>
      </c>
      <c r="M282" s="158" t="s">
        <v>34</v>
      </c>
      <c r="N282" s="160">
        <v>4.4999999999999998E-2</v>
      </c>
      <c r="O282" s="161">
        <v>108</v>
      </c>
      <c r="P282" s="161">
        <v>4.8600000000000003</v>
      </c>
      <c r="Q282" s="134"/>
      <c r="T282" s="128"/>
    </row>
    <row r="283" spans="1:20" ht="18" x14ac:dyDescent="0.3">
      <c r="A283" s="53"/>
      <c r="B283" s="54"/>
      <c r="C283" s="54"/>
      <c r="D283" s="55"/>
      <c r="E283" s="75"/>
      <c r="F283" s="76"/>
      <c r="G283" s="76"/>
      <c r="H283" s="48"/>
      <c r="I283" s="70"/>
      <c r="J283" s="70"/>
      <c r="K283" s="158" t="s">
        <v>1080</v>
      </c>
      <c r="L283" s="159" t="s">
        <v>1081</v>
      </c>
      <c r="M283" s="158" t="s">
        <v>34</v>
      </c>
      <c r="N283" s="160">
        <v>1</v>
      </c>
      <c r="O283" s="161">
        <v>4.25</v>
      </c>
      <c r="P283" s="161">
        <v>4.25</v>
      </c>
      <c r="Q283" s="134"/>
      <c r="T283" s="128"/>
    </row>
    <row r="284" spans="1:20" ht="18" x14ac:dyDescent="0.3">
      <c r="A284" s="53"/>
      <c r="B284" s="54"/>
      <c r="C284" s="54"/>
      <c r="D284" s="55"/>
      <c r="E284" s="75"/>
      <c r="F284" s="76"/>
      <c r="G284" s="76"/>
      <c r="H284" s="48"/>
      <c r="I284" s="70"/>
      <c r="J284" s="70"/>
      <c r="K284" s="158" t="s">
        <v>1086</v>
      </c>
      <c r="L284" s="159" t="s">
        <v>1088</v>
      </c>
      <c r="M284" s="158" t="s">
        <v>34</v>
      </c>
      <c r="N284" s="160">
        <v>1</v>
      </c>
      <c r="O284" s="161">
        <v>15.4</v>
      </c>
      <c r="P284" s="161">
        <v>15.4</v>
      </c>
      <c r="Q284" s="134"/>
      <c r="T284" s="128"/>
    </row>
    <row r="285" spans="1:20" ht="18" x14ac:dyDescent="0.3">
      <c r="A285" s="53"/>
      <c r="B285" s="54"/>
      <c r="C285" s="54"/>
      <c r="D285" s="55"/>
      <c r="E285" s="75"/>
      <c r="F285" s="76"/>
      <c r="G285" s="76"/>
      <c r="H285" s="48"/>
      <c r="I285" s="70"/>
      <c r="J285" s="70"/>
      <c r="K285" s="158" t="s">
        <v>983</v>
      </c>
      <c r="L285" s="159" t="s">
        <v>471</v>
      </c>
      <c r="M285" s="158" t="s">
        <v>34</v>
      </c>
      <c r="N285" s="160">
        <v>3</v>
      </c>
      <c r="O285" s="161">
        <v>27.75</v>
      </c>
      <c r="P285" s="161">
        <v>83.26</v>
      </c>
      <c r="Q285" s="134"/>
      <c r="T285" s="128"/>
    </row>
    <row r="286" spans="1:20" ht="18" x14ac:dyDescent="0.3">
      <c r="A286" s="53"/>
      <c r="B286" s="54"/>
      <c r="C286" s="54"/>
      <c r="D286" s="55"/>
      <c r="E286" s="75"/>
      <c r="F286" s="76"/>
      <c r="G286" s="76"/>
      <c r="H286" s="48"/>
      <c r="I286" s="70"/>
      <c r="J286" s="70"/>
      <c r="K286" s="158" t="s">
        <v>984</v>
      </c>
      <c r="L286" s="159" t="s">
        <v>472</v>
      </c>
      <c r="M286" s="158" t="s">
        <v>34</v>
      </c>
      <c r="N286" s="160">
        <v>5</v>
      </c>
      <c r="O286" s="161">
        <v>7</v>
      </c>
      <c r="P286" s="161">
        <v>35</v>
      </c>
      <c r="Q286" s="134"/>
      <c r="T286" s="128"/>
    </row>
    <row r="287" spans="1:20" ht="18" x14ac:dyDescent="0.3">
      <c r="A287" s="53"/>
      <c r="B287" s="54"/>
      <c r="C287" s="54"/>
      <c r="D287" s="55"/>
      <c r="E287" s="75"/>
      <c r="F287" s="76"/>
      <c r="G287" s="76"/>
      <c r="H287" s="48"/>
      <c r="I287" s="70"/>
      <c r="J287" s="70"/>
      <c r="K287" s="158" t="s">
        <v>832</v>
      </c>
      <c r="L287" s="159" t="s">
        <v>833</v>
      </c>
      <c r="M287" s="158" t="s">
        <v>34</v>
      </c>
      <c r="N287" s="160">
        <v>2</v>
      </c>
      <c r="O287" s="161">
        <v>26.92</v>
      </c>
      <c r="P287" s="161">
        <v>53.84</v>
      </c>
      <c r="Q287" s="134"/>
      <c r="T287" s="128"/>
    </row>
    <row r="288" spans="1:20" ht="18" x14ac:dyDescent="0.3">
      <c r="A288" s="53"/>
      <c r="B288" s="54"/>
      <c r="C288" s="54"/>
      <c r="D288" s="55"/>
      <c r="E288" s="75"/>
      <c r="F288" s="76"/>
      <c r="G288" s="76"/>
      <c r="H288" s="48"/>
      <c r="I288" s="70"/>
      <c r="J288" s="70"/>
      <c r="K288" s="158" t="s">
        <v>985</v>
      </c>
      <c r="L288" s="159" t="s">
        <v>473</v>
      </c>
      <c r="M288" s="158" t="s">
        <v>34</v>
      </c>
      <c r="N288" s="160">
        <v>1</v>
      </c>
      <c r="O288" s="161">
        <v>31.42</v>
      </c>
      <c r="P288" s="161">
        <v>31.42</v>
      </c>
      <c r="Q288" s="134"/>
      <c r="T288" s="128"/>
    </row>
    <row r="289" spans="1:20" ht="18" x14ac:dyDescent="0.3">
      <c r="A289" s="53"/>
      <c r="B289" s="54"/>
      <c r="C289" s="54"/>
      <c r="D289" s="55"/>
      <c r="E289" s="75"/>
      <c r="F289" s="76"/>
      <c r="G289" s="76"/>
      <c r="H289" s="48"/>
      <c r="I289" s="70"/>
      <c r="J289" s="70"/>
      <c r="K289" s="158" t="s">
        <v>1087</v>
      </c>
      <c r="L289" s="159" t="s">
        <v>1089</v>
      </c>
      <c r="M289" s="158" t="s">
        <v>34</v>
      </c>
      <c r="N289" s="160">
        <v>1</v>
      </c>
      <c r="O289" s="161">
        <v>73</v>
      </c>
      <c r="P289" s="161">
        <v>73</v>
      </c>
      <c r="Q289" s="134"/>
      <c r="T289" s="128"/>
    </row>
    <row r="290" spans="1:20" ht="18" x14ac:dyDescent="0.3">
      <c r="A290" s="53"/>
      <c r="B290" s="54"/>
      <c r="C290" s="54"/>
      <c r="D290" s="55"/>
      <c r="E290" s="75"/>
      <c r="F290" s="76"/>
      <c r="G290" s="76"/>
      <c r="H290" s="48"/>
      <c r="I290" s="70"/>
      <c r="J290" s="70"/>
      <c r="K290" s="158" t="s">
        <v>947</v>
      </c>
      <c r="L290" s="159" t="s">
        <v>1043</v>
      </c>
      <c r="M290" s="158" t="s">
        <v>34</v>
      </c>
      <c r="N290" s="160">
        <v>5</v>
      </c>
      <c r="O290" s="161">
        <v>423</v>
      </c>
      <c r="P290" s="162">
        <v>2115</v>
      </c>
      <c r="Q290" s="134"/>
      <c r="T290" s="128"/>
    </row>
    <row r="291" spans="1:20" ht="18" x14ac:dyDescent="0.3">
      <c r="A291" s="53"/>
      <c r="B291" s="54"/>
      <c r="C291" s="54"/>
      <c r="D291" s="55"/>
      <c r="E291" s="75"/>
      <c r="F291" s="76"/>
      <c r="G291" s="76"/>
      <c r="H291" s="48"/>
      <c r="I291" s="70"/>
      <c r="J291" s="70"/>
      <c r="K291" s="158" t="s">
        <v>948</v>
      </c>
      <c r="L291" s="159" t="s">
        <v>1044</v>
      </c>
      <c r="M291" s="158" t="s">
        <v>34</v>
      </c>
      <c r="N291" s="160">
        <v>3</v>
      </c>
      <c r="O291" s="161">
        <v>44</v>
      </c>
      <c r="P291" s="161">
        <v>132</v>
      </c>
      <c r="Q291" s="134"/>
      <c r="T291" s="128"/>
    </row>
    <row r="292" spans="1:20" ht="18" x14ac:dyDescent="0.3">
      <c r="A292" s="53"/>
      <c r="B292" s="54"/>
      <c r="C292" s="54"/>
      <c r="D292" s="55"/>
      <c r="E292" s="75"/>
      <c r="F292" s="76"/>
      <c r="G292" s="76"/>
      <c r="H292" s="48"/>
      <c r="I292" s="70"/>
      <c r="J292" s="70"/>
      <c r="K292" s="158" t="s">
        <v>1165</v>
      </c>
      <c r="L292" s="159" t="s">
        <v>1250</v>
      </c>
      <c r="M292" s="158" t="s">
        <v>34</v>
      </c>
      <c r="N292" s="160">
        <v>0.7</v>
      </c>
      <c r="O292" s="162">
        <v>2778.33</v>
      </c>
      <c r="P292" s="162">
        <v>1944.83</v>
      </c>
      <c r="Q292" s="134"/>
      <c r="T292" s="128"/>
    </row>
    <row r="293" spans="1:20" ht="30" x14ac:dyDescent="0.3">
      <c r="A293" s="53"/>
      <c r="B293" s="54"/>
      <c r="C293" s="54"/>
      <c r="D293" s="55"/>
      <c r="E293" s="75"/>
      <c r="F293" s="76"/>
      <c r="G293" s="76"/>
      <c r="H293" s="48"/>
      <c r="I293" s="70"/>
      <c r="J293" s="70"/>
      <c r="K293" s="158" t="s">
        <v>1079</v>
      </c>
      <c r="L293" s="159" t="s">
        <v>842</v>
      </c>
      <c r="M293" s="158" t="s">
        <v>34</v>
      </c>
      <c r="N293" s="160">
        <v>1</v>
      </c>
      <c r="O293" s="161">
        <v>26.08</v>
      </c>
      <c r="P293" s="161">
        <v>26.08</v>
      </c>
      <c r="Q293" s="134"/>
      <c r="T293" s="128"/>
    </row>
    <row r="294" spans="1:20" ht="18" x14ac:dyDescent="0.3">
      <c r="A294" s="53"/>
      <c r="B294" s="54"/>
      <c r="C294" s="54"/>
      <c r="D294" s="55"/>
      <c r="E294" s="75"/>
      <c r="F294" s="76"/>
      <c r="G294" s="76"/>
      <c r="H294" s="48"/>
      <c r="I294" s="70"/>
      <c r="J294" s="70"/>
      <c r="K294" s="158" t="s">
        <v>949</v>
      </c>
      <c r="L294" s="159" t="s">
        <v>494</v>
      </c>
      <c r="M294" s="158" t="s">
        <v>34</v>
      </c>
      <c r="N294" s="160">
        <v>38</v>
      </c>
      <c r="O294" s="161">
        <v>2.4</v>
      </c>
      <c r="P294" s="161">
        <v>91.2</v>
      </c>
      <c r="Q294" s="134"/>
      <c r="T294" s="128"/>
    </row>
    <row r="295" spans="1:20" ht="30" x14ac:dyDescent="0.3">
      <c r="A295" s="53"/>
      <c r="B295" s="54"/>
      <c r="C295" s="54"/>
      <c r="D295" s="55"/>
      <c r="E295" s="75"/>
      <c r="F295" s="76"/>
      <c r="G295" s="76"/>
      <c r="H295" s="48"/>
      <c r="I295" s="70"/>
      <c r="J295" s="70"/>
      <c r="K295" s="158" t="s">
        <v>950</v>
      </c>
      <c r="L295" s="159" t="s">
        <v>843</v>
      </c>
      <c r="M295" s="158" t="s">
        <v>34</v>
      </c>
      <c r="N295" s="160">
        <v>1</v>
      </c>
      <c r="O295" s="161">
        <v>42.67</v>
      </c>
      <c r="P295" s="161">
        <v>42.67</v>
      </c>
      <c r="Q295" s="134"/>
      <c r="T295" s="128"/>
    </row>
    <row r="296" spans="1:20" ht="30" x14ac:dyDescent="0.3">
      <c r="A296" s="53"/>
      <c r="B296" s="54"/>
      <c r="C296" s="54"/>
      <c r="D296" s="55"/>
      <c r="E296" s="75"/>
      <c r="F296" s="76"/>
      <c r="G296" s="76"/>
      <c r="H296" s="48"/>
      <c r="I296" s="70"/>
      <c r="J296" s="70"/>
      <c r="K296" s="158" t="s">
        <v>951</v>
      </c>
      <c r="L296" s="159" t="s">
        <v>844</v>
      </c>
      <c r="M296" s="158" t="s">
        <v>34</v>
      </c>
      <c r="N296" s="160">
        <v>3</v>
      </c>
      <c r="O296" s="161">
        <v>31.92</v>
      </c>
      <c r="P296" s="161">
        <v>95.76</v>
      </c>
      <c r="Q296" s="134"/>
      <c r="T296" s="128"/>
    </row>
    <row r="297" spans="1:20" ht="18" x14ac:dyDescent="0.3">
      <c r="A297" s="53"/>
      <c r="B297" s="54"/>
      <c r="C297" s="54"/>
      <c r="D297" s="55"/>
      <c r="E297" s="75"/>
      <c r="F297" s="76"/>
      <c r="G297" s="76"/>
      <c r="H297" s="48"/>
      <c r="I297" s="70"/>
      <c r="J297" s="70"/>
      <c r="K297" s="158" t="s">
        <v>845</v>
      </c>
      <c r="L297" s="159" t="s">
        <v>846</v>
      </c>
      <c r="M297" s="158" t="s">
        <v>34</v>
      </c>
      <c r="N297" s="160">
        <v>1</v>
      </c>
      <c r="O297" s="161">
        <v>192.5</v>
      </c>
      <c r="P297" s="161">
        <v>192.5</v>
      </c>
      <c r="Q297" s="134"/>
      <c r="T297" s="128"/>
    </row>
    <row r="298" spans="1:20" ht="18" x14ac:dyDescent="0.3">
      <c r="A298" s="53"/>
      <c r="B298" s="54"/>
      <c r="C298" s="54"/>
      <c r="D298" s="55"/>
      <c r="E298" s="75"/>
      <c r="F298" s="76"/>
      <c r="G298" s="76"/>
      <c r="H298" s="48"/>
      <c r="I298" s="70"/>
      <c r="J298" s="70"/>
      <c r="K298" s="158" t="s">
        <v>847</v>
      </c>
      <c r="L298" s="159" t="s">
        <v>1063</v>
      </c>
      <c r="M298" s="158" t="s">
        <v>34</v>
      </c>
      <c r="N298" s="160">
        <v>1</v>
      </c>
      <c r="O298" s="162">
        <v>4150</v>
      </c>
      <c r="P298" s="162">
        <v>4150</v>
      </c>
      <c r="Q298" s="134"/>
      <c r="T298" s="128"/>
    </row>
    <row r="299" spans="1:20" ht="18" x14ac:dyDescent="0.3">
      <c r="A299" s="53"/>
      <c r="B299" s="54"/>
      <c r="C299" s="54"/>
      <c r="D299" s="55"/>
      <c r="E299" s="75"/>
      <c r="F299" s="76"/>
      <c r="G299" s="76"/>
      <c r="H299" s="48"/>
      <c r="I299" s="70"/>
      <c r="J299" s="70"/>
      <c r="K299" s="158" t="s">
        <v>1166</v>
      </c>
      <c r="L299" s="159" t="s">
        <v>1251</v>
      </c>
      <c r="M299" s="158" t="s">
        <v>34</v>
      </c>
      <c r="N299" s="160">
        <v>327</v>
      </c>
      <c r="O299" s="161">
        <v>0.57999999999999996</v>
      </c>
      <c r="P299" s="161">
        <v>188.48</v>
      </c>
      <c r="Q299" s="134"/>
      <c r="T299" s="128"/>
    </row>
    <row r="300" spans="1:20" ht="18" x14ac:dyDescent="0.3">
      <c r="A300" s="53"/>
      <c r="B300" s="54"/>
      <c r="C300" s="54"/>
      <c r="D300" s="55"/>
      <c r="E300" s="75"/>
      <c r="F300" s="76"/>
      <c r="G300" s="76"/>
      <c r="H300" s="48"/>
      <c r="I300" s="70"/>
      <c r="J300" s="70"/>
      <c r="K300" s="158" t="s">
        <v>1167</v>
      </c>
      <c r="L300" s="159" t="s">
        <v>1252</v>
      </c>
      <c r="M300" s="158" t="s">
        <v>34</v>
      </c>
      <c r="N300" s="160">
        <v>0.5</v>
      </c>
      <c r="O300" s="161">
        <v>196</v>
      </c>
      <c r="P300" s="161">
        <v>98</v>
      </c>
      <c r="Q300" s="134"/>
      <c r="T300" s="128"/>
    </row>
    <row r="301" spans="1:20" ht="18" x14ac:dyDescent="0.3">
      <c r="A301" s="53"/>
      <c r="B301" s="54"/>
      <c r="C301" s="54"/>
      <c r="D301" s="55"/>
      <c r="E301" s="75"/>
      <c r="F301" s="76"/>
      <c r="G301" s="76"/>
      <c r="H301" s="48"/>
      <c r="I301" s="70"/>
      <c r="J301" s="70"/>
      <c r="K301" s="158" t="s">
        <v>1431</v>
      </c>
      <c r="L301" s="159" t="s">
        <v>1453</v>
      </c>
      <c r="M301" s="158" t="s">
        <v>34</v>
      </c>
      <c r="N301" s="160">
        <v>0.4</v>
      </c>
      <c r="O301" s="161">
        <v>185</v>
      </c>
      <c r="P301" s="161">
        <v>74</v>
      </c>
      <c r="Q301" s="134"/>
      <c r="T301" s="128"/>
    </row>
    <row r="302" spans="1:20" ht="18" x14ac:dyDescent="0.3">
      <c r="A302" s="53"/>
      <c r="B302" s="54"/>
      <c r="C302" s="54"/>
      <c r="D302" s="55"/>
      <c r="E302" s="75"/>
      <c r="F302" s="76"/>
      <c r="G302" s="76"/>
      <c r="H302" s="48"/>
      <c r="I302" s="70"/>
      <c r="J302" s="70"/>
      <c r="K302" s="158" t="s">
        <v>1432</v>
      </c>
      <c r="L302" s="159" t="s">
        <v>1454</v>
      </c>
      <c r="M302" s="158" t="s">
        <v>34</v>
      </c>
      <c r="N302" s="160">
        <v>0.09</v>
      </c>
      <c r="O302" s="161">
        <v>178</v>
      </c>
      <c r="P302" s="161">
        <v>16.02</v>
      </c>
      <c r="Q302" s="134"/>
      <c r="T302" s="128"/>
    </row>
    <row r="303" spans="1:20" ht="18" x14ac:dyDescent="0.3">
      <c r="A303" s="53"/>
      <c r="B303" s="54"/>
      <c r="C303" s="54"/>
      <c r="D303" s="55"/>
      <c r="E303" s="75"/>
      <c r="F303" s="76"/>
      <c r="G303" s="76"/>
      <c r="H303" s="48"/>
      <c r="I303" s="70"/>
      <c r="J303" s="70"/>
      <c r="K303" s="158" t="s">
        <v>989</v>
      </c>
      <c r="L303" s="159" t="s">
        <v>848</v>
      </c>
      <c r="M303" s="158" t="s">
        <v>34</v>
      </c>
      <c r="N303" s="160">
        <v>1</v>
      </c>
      <c r="O303" s="161">
        <v>119.53</v>
      </c>
      <c r="P303" s="161">
        <v>119.53</v>
      </c>
      <c r="Q303" s="134"/>
      <c r="T303" s="128"/>
    </row>
    <row r="304" spans="1:20" ht="18" x14ac:dyDescent="0.3">
      <c r="A304" s="53"/>
      <c r="B304" s="54"/>
      <c r="C304" s="54"/>
      <c r="D304" s="55"/>
      <c r="E304" s="75"/>
      <c r="F304" s="76"/>
      <c r="G304" s="76"/>
      <c r="H304" s="48"/>
      <c r="I304" s="70"/>
      <c r="J304" s="70"/>
      <c r="K304" s="158" t="s">
        <v>1168</v>
      </c>
      <c r="L304" s="159" t="s">
        <v>1253</v>
      </c>
      <c r="M304" s="158" t="s">
        <v>34</v>
      </c>
      <c r="N304" s="160">
        <v>1</v>
      </c>
      <c r="O304" s="161">
        <v>110</v>
      </c>
      <c r="P304" s="161">
        <v>110</v>
      </c>
      <c r="Q304" s="134"/>
      <c r="T304" s="128"/>
    </row>
    <row r="305" spans="1:20" ht="18" x14ac:dyDescent="0.3">
      <c r="A305" s="53"/>
      <c r="B305" s="54"/>
      <c r="C305" s="54"/>
      <c r="D305" s="55"/>
      <c r="E305" s="75"/>
      <c r="F305" s="76"/>
      <c r="G305" s="76"/>
      <c r="H305" s="48"/>
      <c r="I305" s="70"/>
      <c r="J305" s="70"/>
      <c r="K305" s="158" t="s">
        <v>1169</v>
      </c>
      <c r="L305" s="159" t="s">
        <v>1254</v>
      </c>
      <c r="M305" s="158" t="s">
        <v>34</v>
      </c>
      <c r="N305" s="160">
        <v>2</v>
      </c>
      <c r="O305" s="161">
        <v>118</v>
      </c>
      <c r="P305" s="161">
        <v>236</v>
      </c>
      <c r="Q305" s="134"/>
      <c r="T305" s="128"/>
    </row>
    <row r="306" spans="1:20" ht="18" x14ac:dyDescent="0.3">
      <c r="A306" s="53"/>
      <c r="B306" s="54"/>
      <c r="C306" s="54"/>
      <c r="D306" s="55"/>
      <c r="E306" s="75"/>
      <c r="F306" s="76"/>
      <c r="G306" s="76"/>
      <c r="H306" s="48"/>
      <c r="I306" s="70"/>
      <c r="J306" s="70"/>
      <c r="K306" s="158" t="s">
        <v>990</v>
      </c>
      <c r="L306" s="159" t="s">
        <v>1064</v>
      </c>
      <c r="M306" s="158" t="s">
        <v>34</v>
      </c>
      <c r="N306" s="160">
        <v>320</v>
      </c>
      <c r="O306" s="161">
        <v>0.92</v>
      </c>
      <c r="P306" s="161">
        <v>294.39999999999998</v>
      </c>
      <c r="Q306" s="134"/>
      <c r="T306" s="128"/>
    </row>
    <row r="307" spans="1:20" ht="18" x14ac:dyDescent="0.3">
      <c r="A307" s="53"/>
      <c r="B307" s="54"/>
      <c r="C307" s="54"/>
      <c r="D307" s="55"/>
      <c r="E307" s="75"/>
      <c r="F307" s="76"/>
      <c r="G307" s="76"/>
      <c r="H307" s="48"/>
      <c r="I307" s="70"/>
      <c r="J307" s="70"/>
      <c r="K307" s="158" t="s">
        <v>1170</v>
      </c>
      <c r="L307" s="159" t="s">
        <v>1255</v>
      </c>
      <c r="M307" s="158" t="s">
        <v>34</v>
      </c>
      <c r="N307" s="160">
        <v>11</v>
      </c>
      <c r="O307" s="161">
        <v>1.74</v>
      </c>
      <c r="P307" s="161">
        <v>19.14</v>
      </c>
      <c r="Q307" s="134"/>
      <c r="T307" s="128"/>
    </row>
    <row r="308" spans="1:20" ht="18" x14ac:dyDescent="0.3">
      <c r="A308" s="53"/>
      <c r="B308" s="54"/>
      <c r="C308" s="54"/>
      <c r="D308" s="55"/>
      <c r="E308" s="75"/>
      <c r="F308" s="76"/>
      <c r="G308" s="76"/>
      <c r="H308" s="48"/>
      <c r="I308" s="70"/>
      <c r="J308" s="70"/>
      <c r="K308" s="158" t="s">
        <v>991</v>
      </c>
      <c r="L308" s="159" t="s">
        <v>1065</v>
      </c>
      <c r="M308" s="158" t="s">
        <v>34</v>
      </c>
      <c r="N308" s="160">
        <v>372</v>
      </c>
      <c r="O308" s="161">
        <v>0.5</v>
      </c>
      <c r="P308" s="161">
        <v>186</v>
      </c>
      <c r="Q308" s="134"/>
      <c r="T308" s="128"/>
    </row>
    <row r="309" spans="1:20" ht="18" x14ac:dyDescent="0.3">
      <c r="A309" s="53"/>
      <c r="B309" s="54"/>
      <c r="C309" s="54"/>
      <c r="D309" s="55"/>
      <c r="E309" s="75"/>
      <c r="F309" s="76"/>
      <c r="G309" s="76"/>
      <c r="H309" s="48"/>
      <c r="I309" s="70"/>
      <c r="J309" s="70"/>
      <c r="K309" s="158" t="s">
        <v>1171</v>
      </c>
      <c r="L309" s="159" t="s">
        <v>1256</v>
      </c>
      <c r="M309" s="158" t="s">
        <v>34</v>
      </c>
      <c r="N309" s="160">
        <v>400</v>
      </c>
      <c r="O309" s="161">
        <v>0.17</v>
      </c>
      <c r="P309" s="161">
        <v>68</v>
      </c>
      <c r="Q309" s="134"/>
      <c r="T309" s="128"/>
    </row>
    <row r="310" spans="1:20" ht="18" x14ac:dyDescent="0.3">
      <c r="A310" s="53"/>
      <c r="B310" s="54"/>
      <c r="C310" s="54"/>
      <c r="D310" s="55"/>
      <c r="E310" s="75"/>
      <c r="F310" s="76"/>
      <c r="G310" s="76"/>
      <c r="H310" s="48"/>
      <c r="I310" s="70"/>
      <c r="J310" s="70"/>
      <c r="K310" s="158" t="s">
        <v>992</v>
      </c>
      <c r="L310" s="159" t="s">
        <v>849</v>
      </c>
      <c r="M310" s="158" t="s">
        <v>34</v>
      </c>
      <c r="N310" s="160">
        <v>32</v>
      </c>
      <c r="O310" s="161">
        <v>0.92</v>
      </c>
      <c r="P310" s="161">
        <v>29.44</v>
      </c>
      <c r="Q310" s="134"/>
      <c r="T310" s="128"/>
    </row>
    <row r="311" spans="1:20" ht="18" x14ac:dyDescent="0.3">
      <c r="A311" s="53"/>
      <c r="B311" s="54"/>
      <c r="C311" s="54"/>
      <c r="D311" s="55"/>
      <c r="E311" s="75"/>
      <c r="F311" s="76"/>
      <c r="G311" s="76"/>
      <c r="H311" s="48"/>
      <c r="I311" s="70"/>
      <c r="J311" s="70"/>
      <c r="K311" s="158" t="s">
        <v>850</v>
      </c>
      <c r="L311" s="159" t="s">
        <v>851</v>
      </c>
      <c r="M311" s="158" t="s">
        <v>34</v>
      </c>
      <c r="N311" s="160">
        <v>10</v>
      </c>
      <c r="O311" s="161">
        <v>3.62</v>
      </c>
      <c r="P311" s="161">
        <v>36.200000000000003</v>
      </c>
      <c r="Q311" s="134"/>
      <c r="T311" s="128"/>
    </row>
    <row r="312" spans="1:20" ht="18" x14ac:dyDescent="0.3">
      <c r="A312" s="53"/>
      <c r="B312" s="54"/>
      <c r="C312" s="54"/>
      <c r="D312" s="55"/>
      <c r="E312" s="75"/>
      <c r="F312" s="76"/>
      <c r="G312" s="76"/>
      <c r="H312" s="48"/>
      <c r="I312" s="70"/>
      <c r="J312" s="70"/>
      <c r="K312" s="158" t="s">
        <v>993</v>
      </c>
      <c r="L312" s="159" t="s">
        <v>852</v>
      </c>
      <c r="M312" s="158" t="s">
        <v>34</v>
      </c>
      <c r="N312" s="160">
        <v>327</v>
      </c>
      <c r="O312" s="161">
        <v>0.5</v>
      </c>
      <c r="P312" s="161">
        <v>163.5</v>
      </c>
      <c r="Q312" s="134"/>
      <c r="T312" s="128"/>
    </row>
    <row r="313" spans="1:20" ht="18" x14ac:dyDescent="0.3">
      <c r="A313" s="53"/>
      <c r="B313" s="54"/>
      <c r="C313" s="54"/>
      <c r="D313" s="55"/>
      <c r="E313" s="75"/>
      <c r="F313" s="76"/>
      <c r="G313" s="76"/>
      <c r="H313" s="48"/>
      <c r="I313" s="70"/>
      <c r="J313" s="70"/>
      <c r="K313" s="158" t="s">
        <v>996</v>
      </c>
      <c r="L313" s="159" t="s">
        <v>501</v>
      </c>
      <c r="M313" s="158" t="s">
        <v>34</v>
      </c>
      <c r="N313" s="160">
        <v>4</v>
      </c>
      <c r="O313" s="161">
        <v>36.08</v>
      </c>
      <c r="P313" s="161">
        <v>144.32</v>
      </c>
      <c r="Q313" s="134"/>
      <c r="T313" s="128"/>
    </row>
    <row r="314" spans="1:20" ht="18" x14ac:dyDescent="0.3">
      <c r="A314" s="53"/>
      <c r="B314" s="54"/>
      <c r="C314" s="54"/>
      <c r="D314" s="55"/>
      <c r="E314" s="75"/>
      <c r="F314" s="76"/>
      <c r="G314" s="76"/>
      <c r="H314" s="48"/>
      <c r="I314" s="70"/>
      <c r="J314" s="70"/>
      <c r="K314" s="158" t="s">
        <v>1172</v>
      </c>
      <c r="L314" s="159" t="s">
        <v>1257</v>
      </c>
      <c r="M314" s="158" t="s">
        <v>34</v>
      </c>
      <c r="N314" s="160">
        <v>1</v>
      </c>
      <c r="O314" s="161">
        <v>285</v>
      </c>
      <c r="P314" s="161">
        <v>285</v>
      </c>
      <c r="Q314" s="134"/>
      <c r="T314" s="128"/>
    </row>
    <row r="315" spans="1:20" ht="18" x14ac:dyDescent="0.3">
      <c r="A315" s="53"/>
      <c r="B315" s="54"/>
      <c r="C315" s="54"/>
      <c r="D315" s="55"/>
      <c r="E315" s="75"/>
      <c r="F315" s="76"/>
      <c r="G315" s="76"/>
      <c r="H315" s="48"/>
      <c r="I315" s="70"/>
      <c r="J315" s="70"/>
      <c r="K315" s="158" t="s">
        <v>997</v>
      </c>
      <c r="L315" s="159" t="s">
        <v>853</v>
      </c>
      <c r="M315" s="158" t="s">
        <v>34</v>
      </c>
      <c r="N315" s="160">
        <v>25</v>
      </c>
      <c r="O315" s="161">
        <v>48</v>
      </c>
      <c r="P315" s="162">
        <v>1200</v>
      </c>
      <c r="Q315" s="134"/>
      <c r="T315" s="128"/>
    </row>
    <row r="316" spans="1:20" ht="18" x14ac:dyDescent="0.3">
      <c r="A316" s="53"/>
      <c r="B316" s="54"/>
      <c r="C316" s="54"/>
      <c r="D316" s="55"/>
      <c r="E316" s="75"/>
      <c r="F316" s="76"/>
      <c r="G316" s="76"/>
      <c r="H316" s="48"/>
      <c r="I316" s="70"/>
      <c r="J316" s="70"/>
      <c r="K316" s="158" t="s">
        <v>998</v>
      </c>
      <c r="L316" s="159" t="s">
        <v>1068</v>
      </c>
      <c r="M316" s="158" t="s">
        <v>34</v>
      </c>
      <c r="N316" s="160">
        <v>2</v>
      </c>
      <c r="O316" s="161">
        <v>66.86</v>
      </c>
      <c r="P316" s="161">
        <v>133.72</v>
      </c>
      <c r="Q316" s="134"/>
      <c r="T316" s="128"/>
    </row>
    <row r="317" spans="1:20" ht="18" x14ac:dyDescent="0.3">
      <c r="A317" s="53"/>
      <c r="B317" s="54"/>
      <c r="C317" s="54"/>
      <c r="D317" s="55"/>
      <c r="E317" s="75"/>
      <c r="F317" s="76"/>
      <c r="G317" s="76"/>
      <c r="H317" s="48"/>
      <c r="I317" s="70"/>
      <c r="J317" s="70"/>
      <c r="K317" s="158" t="s">
        <v>854</v>
      </c>
      <c r="L317" s="159" t="s">
        <v>855</v>
      </c>
      <c r="M317" s="158" t="s">
        <v>34</v>
      </c>
      <c r="N317" s="160">
        <v>2</v>
      </c>
      <c r="O317" s="161">
        <v>42.18</v>
      </c>
      <c r="P317" s="161">
        <v>84.36</v>
      </c>
      <c r="Q317" s="134"/>
      <c r="T317" s="128"/>
    </row>
    <row r="318" spans="1:20" ht="18" x14ac:dyDescent="0.3">
      <c r="A318" s="53"/>
      <c r="B318" s="54"/>
      <c r="C318" s="54"/>
      <c r="D318" s="55"/>
      <c r="E318" s="75"/>
      <c r="F318" s="76"/>
      <c r="G318" s="76"/>
      <c r="H318" s="48"/>
      <c r="I318" s="70"/>
      <c r="J318" s="70"/>
      <c r="K318" s="158" t="s">
        <v>999</v>
      </c>
      <c r="L318" s="159" t="s">
        <v>1069</v>
      </c>
      <c r="M318" s="158" t="s">
        <v>34</v>
      </c>
      <c r="N318" s="163">
        <v>1806</v>
      </c>
      <c r="O318" s="161">
        <v>0.27</v>
      </c>
      <c r="P318" s="161">
        <v>481.77</v>
      </c>
      <c r="Q318" s="134"/>
      <c r="T318" s="128"/>
    </row>
    <row r="319" spans="1:20" ht="18" x14ac:dyDescent="0.3">
      <c r="A319" s="53"/>
      <c r="B319" s="54"/>
      <c r="C319" s="54"/>
      <c r="D319" s="55"/>
      <c r="E319" s="75"/>
      <c r="F319" s="76"/>
      <c r="G319" s="76"/>
      <c r="H319" s="48"/>
      <c r="I319" s="70"/>
      <c r="J319" s="70"/>
      <c r="K319" s="158" t="s">
        <v>1173</v>
      </c>
      <c r="L319" s="159" t="s">
        <v>109</v>
      </c>
      <c r="M319" s="158" t="s">
        <v>34</v>
      </c>
      <c r="N319" s="160">
        <v>13</v>
      </c>
      <c r="O319" s="161">
        <v>0.27</v>
      </c>
      <c r="P319" s="161">
        <v>3.49</v>
      </c>
      <c r="Q319" s="134"/>
      <c r="T319" s="128"/>
    </row>
    <row r="320" spans="1:20" ht="18" x14ac:dyDescent="0.3">
      <c r="A320" s="53"/>
      <c r="B320" s="54"/>
      <c r="C320" s="54"/>
      <c r="D320" s="55"/>
      <c r="E320" s="75"/>
      <c r="F320" s="76"/>
      <c r="G320" s="76"/>
      <c r="H320" s="48"/>
      <c r="I320" s="70"/>
      <c r="J320" s="70"/>
      <c r="K320" s="158" t="s">
        <v>856</v>
      </c>
      <c r="L320" s="159" t="s">
        <v>857</v>
      </c>
      <c r="M320" s="158" t="s">
        <v>34</v>
      </c>
      <c r="N320" s="163">
        <v>2863</v>
      </c>
      <c r="O320" s="161">
        <v>0.44</v>
      </c>
      <c r="P320" s="162">
        <v>1262.58</v>
      </c>
      <c r="Q320" s="134"/>
      <c r="T320" s="128"/>
    </row>
    <row r="321" spans="1:20" ht="18" x14ac:dyDescent="0.3">
      <c r="A321" s="53"/>
      <c r="B321" s="54"/>
      <c r="C321" s="54"/>
      <c r="D321" s="55"/>
      <c r="E321" s="75"/>
      <c r="F321" s="76"/>
      <c r="G321" s="76"/>
      <c r="H321" s="48"/>
      <c r="I321" s="70"/>
      <c r="J321" s="70"/>
      <c r="K321" s="158" t="s">
        <v>1000</v>
      </c>
      <c r="L321" s="159" t="s">
        <v>248</v>
      </c>
      <c r="M321" s="158" t="s">
        <v>34</v>
      </c>
      <c r="N321" s="160">
        <v>409</v>
      </c>
      <c r="O321" s="161">
        <v>0.24</v>
      </c>
      <c r="P321" s="161">
        <v>99.5</v>
      </c>
      <c r="Q321" s="134"/>
      <c r="T321" s="128"/>
    </row>
    <row r="322" spans="1:20" ht="18" x14ac:dyDescent="0.3">
      <c r="A322" s="53"/>
      <c r="B322" s="54"/>
      <c r="C322" s="54"/>
      <c r="D322" s="55"/>
      <c r="E322" s="75"/>
      <c r="F322" s="76"/>
      <c r="G322" s="76"/>
      <c r="H322" s="48"/>
      <c r="I322" s="70"/>
      <c r="J322" s="70"/>
      <c r="K322" s="158" t="s">
        <v>1181</v>
      </c>
      <c r="L322" s="159" t="s">
        <v>1264</v>
      </c>
      <c r="M322" s="158" t="s">
        <v>57</v>
      </c>
      <c r="N322" s="160">
        <v>0.8</v>
      </c>
      <c r="O322" s="161">
        <v>18.13</v>
      </c>
      <c r="P322" s="161">
        <v>14.5</v>
      </c>
      <c r="Q322" s="134"/>
      <c r="T322" s="128"/>
    </row>
    <row r="323" spans="1:20" ht="18" x14ac:dyDescent="0.3">
      <c r="A323" s="53"/>
      <c r="B323" s="54"/>
      <c r="C323" s="54"/>
      <c r="D323" s="55"/>
      <c r="E323" s="75"/>
      <c r="F323" s="76"/>
      <c r="G323" s="76"/>
      <c r="H323" s="48"/>
      <c r="I323" s="70"/>
      <c r="J323" s="70"/>
      <c r="K323" s="158" t="s">
        <v>820</v>
      </c>
      <c r="L323" s="159" t="s">
        <v>821</v>
      </c>
      <c r="M323" s="158" t="s">
        <v>57</v>
      </c>
      <c r="N323" s="160">
        <v>168</v>
      </c>
      <c r="O323" s="161">
        <v>17.149999999999999</v>
      </c>
      <c r="P323" s="162">
        <v>2881.2</v>
      </c>
      <c r="Q323" s="134"/>
      <c r="T323" s="128"/>
    </row>
    <row r="324" spans="1:20" ht="18" x14ac:dyDescent="0.3">
      <c r="A324" s="53"/>
      <c r="B324" s="54"/>
      <c r="C324" s="54"/>
      <c r="D324" s="55"/>
      <c r="E324" s="75"/>
      <c r="F324" s="76"/>
      <c r="G324" s="76"/>
      <c r="H324" s="48"/>
      <c r="I324" s="70"/>
      <c r="J324" s="70"/>
      <c r="K324" s="158" t="s">
        <v>822</v>
      </c>
      <c r="L324" s="159" t="s">
        <v>213</v>
      </c>
      <c r="M324" s="158" t="s">
        <v>57</v>
      </c>
      <c r="N324" s="160">
        <v>70</v>
      </c>
      <c r="O324" s="161">
        <v>36.24</v>
      </c>
      <c r="P324" s="162">
        <v>2536.8000000000002</v>
      </c>
      <c r="Q324" s="134"/>
      <c r="T324" s="128"/>
    </row>
    <row r="325" spans="1:20" ht="18" x14ac:dyDescent="0.3">
      <c r="A325" s="53"/>
      <c r="B325" s="54"/>
      <c r="C325" s="54"/>
      <c r="D325" s="55"/>
      <c r="E325" s="75"/>
      <c r="F325" s="76"/>
      <c r="G325" s="76"/>
      <c r="H325" s="48"/>
      <c r="I325" s="70"/>
      <c r="J325" s="70"/>
      <c r="K325" s="158" t="s">
        <v>1182</v>
      </c>
      <c r="L325" s="159" t="s">
        <v>1265</v>
      </c>
      <c r="M325" s="158" t="s">
        <v>57</v>
      </c>
      <c r="N325" s="160">
        <v>115</v>
      </c>
      <c r="O325" s="161">
        <v>40.270000000000003</v>
      </c>
      <c r="P325" s="162">
        <v>4631.05</v>
      </c>
      <c r="Q325" s="134"/>
      <c r="T325" s="128"/>
    </row>
    <row r="326" spans="1:20" ht="18" x14ac:dyDescent="0.3">
      <c r="A326" s="53"/>
      <c r="B326" s="54"/>
      <c r="C326" s="54"/>
      <c r="D326" s="55"/>
      <c r="E326" s="75"/>
      <c r="F326" s="76"/>
      <c r="G326" s="76"/>
      <c r="H326" s="48"/>
      <c r="I326" s="70"/>
      <c r="J326" s="70"/>
      <c r="K326" s="158" t="s">
        <v>794</v>
      </c>
      <c r="L326" s="159" t="s">
        <v>795</v>
      </c>
      <c r="M326" s="158" t="s">
        <v>57</v>
      </c>
      <c r="N326" s="160">
        <v>216</v>
      </c>
      <c r="O326" s="161">
        <v>18.13</v>
      </c>
      <c r="P326" s="162">
        <v>3916.08</v>
      </c>
      <c r="Q326" s="134"/>
      <c r="T326" s="128"/>
    </row>
    <row r="327" spans="1:20" ht="18" x14ac:dyDescent="0.3">
      <c r="A327" s="53"/>
      <c r="B327" s="54"/>
      <c r="C327" s="54"/>
      <c r="D327" s="55"/>
      <c r="E327" s="75"/>
      <c r="F327" s="76"/>
      <c r="G327" s="76"/>
      <c r="H327" s="48"/>
      <c r="I327" s="70"/>
      <c r="J327" s="70"/>
      <c r="K327" s="158" t="s">
        <v>1184</v>
      </c>
      <c r="L327" s="159" t="s">
        <v>1267</v>
      </c>
      <c r="M327" s="158" t="s">
        <v>57</v>
      </c>
      <c r="N327" s="160">
        <v>23</v>
      </c>
      <c r="O327" s="161">
        <v>28</v>
      </c>
      <c r="P327" s="161">
        <v>644</v>
      </c>
      <c r="Q327" s="134"/>
      <c r="T327" s="128"/>
    </row>
    <row r="328" spans="1:20" ht="18" x14ac:dyDescent="0.3">
      <c r="A328" s="53"/>
      <c r="B328" s="54"/>
      <c r="C328" s="54"/>
      <c r="D328" s="55"/>
      <c r="E328" s="75"/>
      <c r="F328" s="76"/>
      <c r="G328" s="76"/>
      <c r="H328" s="48"/>
      <c r="I328" s="70"/>
      <c r="J328" s="70"/>
      <c r="K328" s="158" t="s">
        <v>913</v>
      </c>
      <c r="L328" s="159" t="s">
        <v>914</v>
      </c>
      <c r="M328" s="158" t="s">
        <v>57</v>
      </c>
      <c r="N328" s="160">
        <v>74</v>
      </c>
      <c r="O328" s="161">
        <v>28.72</v>
      </c>
      <c r="P328" s="162">
        <v>2125.2800000000002</v>
      </c>
      <c r="Q328" s="134"/>
      <c r="T328" s="128"/>
    </row>
    <row r="329" spans="1:20" ht="18" x14ac:dyDescent="0.3">
      <c r="A329" s="53"/>
      <c r="B329" s="54"/>
      <c r="C329" s="54"/>
      <c r="D329" s="55"/>
      <c r="E329" s="75"/>
      <c r="F329" s="76"/>
      <c r="G329" s="76"/>
      <c r="H329" s="48"/>
      <c r="I329" s="70"/>
      <c r="J329" s="70"/>
      <c r="K329" s="158" t="s">
        <v>1183</v>
      </c>
      <c r="L329" s="159" t="s">
        <v>1266</v>
      </c>
      <c r="M329" s="158" t="s">
        <v>57</v>
      </c>
      <c r="N329" s="160">
        <v>67</v>
      </c>
      <c r="O329" s="161">
        <v>20.38</v>
      </c>
      <c r="P329" s="162">
        <v>1365.46</v>
      </c>
      <c r="Q329" s="134"/>
      <c r="T329" s="128"/>
    </row>
    <row r="330" spans="1:20" ht="30" x14ac:dyDescent="0.3">
      <c r="A330" s="53"/>
      <c r="B330" s="54"/>
      <c r="C330" s="54"/>
      <c r="D330" s="55"/>
      <c r="E330" s="75"/>
      <c r="F330" s="76"/>
      <c r="G330" s="76"/>
      <c r="H330" s="48"/>
      <c r="I330" s="70"/>
      <c r="J330" s="70"/>
      <c r="K330" s="158" t="s">
        <v>1019</v>
      </c>
      <c r="L330" s="159" t="s">
        <v>836</v>
      </c>
      <c r="M330" s="158" t="s">
        <v>57</v>
      </c>
      <c r="N330" s="160">
        <v>44</v>
      </c>
      <c r="O330" s="161">
        <v>6.09</v>
      </c>
      <c r="P330" s="161">
        <v>267.95999999999998</v>
      </c>
      <c r="Q330" s="134"/>
      <c r="T330" s="128"/>
    </row>
    <row r="331" spans="1:20" ht="30" x14ac:dyDescent="0.3">
      <c r="A331" s="53"/>
      <c r="B331" s="54"/>
      <c r="C331" s="54"/>
      <c r="D331" s="55"/>
      <c r="E331" s="75"/>
      <c r="F331" s="76"/>
      <c r="G331" s="76"/>
      <c r="H331" s="48"/>
      <c r="I331" s="70"/>
      <c r="J331" s="70"/>
      <c r="K331" s="158" t="s">
        <v>238</v>
      </c>
      <c r="L331" s="159" t="s">
        <v>239</v>
      </c>
      <c r="M331" s="158" t="s">
        <v>57</v>
      </c>
      <c r="N331" s="160">
        <v>50</v>
      </c>
      <c r="O331" s="161">
        <v>7.92</v>
      </c>
      <c r="P331" s="161">
        <v>396</v>
      </c>
      <c r="Q331" s="134"/>
      <c r="T331" s="128"/>
    </row>
    <row r="332" spans="1:20" ht="30" x14ac:dyDescent="0.3">
      <c r="A332" s="53"/>
      <c r="B332" s="54"/>
      <c r="C332" s="54"/>
      <c r="D332" s="55"/>
      <c r="E332" s="75"/>
      <c r="F332" s="76"/>
      <c r="G332" s="76"/>
      <c r="H332" s="48"/>
      <c r="I332" s="70"/>
      <c r="J332" s="70"/>
      <c r="K332" s="158" t="s">
        <v>1020</v>
      </c>
      <c r="L332" s="159" t="s">
        <v>102</v>
      </c>
      <c r="M332" s="158" t="s">
        <v>57</v>
      </c>
      <c r="N332" s="160">
        <v>7</v>
      </c>
      <c r="O332" s="161">
        <v>7.92</v>
      </c>
      <c r="P332" s="161">
        <v>55.44</v>
      </c>
      <c r="Q332" s="134"/>
      <c r="T332" s="128"/>
    </row>
    <row r="333" spans="1:20" ht="18" x14ac:dyDescent="0.3">
      <c r="A333" s="53"/>
      <c r="B333" s="54"/>
      <c r="C333" s="54"/>
      <c r="D333" s="55"/>
      <c r="E333" s="75"/>
      <c r="F333" s="76"/>
      <c r="G333" s="76"/>
      <c r="H333" s="48"/>
      <c r="I333" s="70"/>
      <c r="J333" s="70"/>
      <c r="K333" s="158" t="s">
        <v>1021</v>
      </c>
      <c r="L333" s="159" t="s">
        <v>483</v>
      </c>
      <c r="M333" s="158" t="s">
        <v>57</v>
      </c>
      <c r="N333" s="160">
        <v>7</v>
      </c>
      <c r="O333" s="161">
        <v>44.81</v>
      </c>
      <c r="P333" s="161">
        <v>313.67</v>
      </c>
      <c r="Q333" s="134"/>
      <c r="T333" s="128"/>
    </row>
    <row r="334" spans="1:20" ht="18" x14ac:dyDescent="0.3">
      <c r="A334" s="53"/>
      <c r="B334" s="54"/>
      <c r="C334" s="54"/>
      <c r="D334" s="55"/>
      <c r="E334" s="75"/>
      <c r="F334" s="76"/>
      <c r="G334" s="76"/>
      <c r="H334" s="48"/>
      <c r="I334" s="70"/>
      <c r="J334" s="70"/>
      <c r="K334" s="158" t="s">
        <v>1022</v>
      </c>
      <c r="L334" s="159" t="s">
        <v>178</v>
      </c>
      <c r="M334" s="158" t="s">
        <v>56</v>
      </c>
      <c r="N334" s="160">
        <v>5.0000000000000001E-3</v>
      </c>
      <c r="O334" s="162">
        <v>40802</v>
      </c>
      <c r="P334" s="161">
        <v>204.01</v>
      </c>
      <c r="Q334" s="134"/>
      <c r="T334" s="128"/>
    </row>
    <row r="335" spans="1:20" ht="18" x14ac:dyDescent="0.3">
      <c r="A335" s="53"/>
      <c r="B335" s="54"/>
      <c r="C335" s="54"/>
      <c r="D335" s="55"/>
      <c r="E335" s="75"/>
      <c r="F335" s="76"/>
      <c r="G335" s="76"/>
      <c r="H335" s="48"/>
      <c r="I335" s="70"/>
      <c r="J335" s="70"/>
      <c r="K335" s="158" t="s">
        <v>1023</v>
      </c>
      <c r="L335" s="159" t="s">
        <v>70</v>
      </c>
      <c r="M335" s="158" t="s">
        <v>56</v>
      </c>
      <c r="N335" s="160">
        <v>0.1</v>
      </c>
      <c r="O335" s="162">
        <v>27143</v>
      </c>
      <c r="P335" s="162">
        <v>2714.3</v>
      </c>
      <c r="Q335" s="134"/>
      <c r="T335" s="128"/>
    </row>
    <row r="336" spans="1:20" ht="18" x14ac:dyDescent="0.3">
      <c r="A336" s="53"/>
      <c r="B336" s="54"/>
      <c r="C336" s="54"/>
      <c r="D336" s="55"/>
      <c r="E336" s="75"/>
      <c r="F336" s="76"/>
      <c r="G336" s="76"/>
      <c r="H336" s="48"/>
      <c r="I336" s="70"/>
      <c r="J336" s="70"/>
      <c r="K336" s="158" t="s">
        <v>1024</v>
      </c>
      <c r="L336" s="159" t="s">
        <v>71</v>
      </c>
      <c r="M336" s="158" t="s">
        <v>56</v>
      </c>
      <c r="N336" s="160">
        <v>0.1</v>
      </c>
      <c r="O336" s="162">
        <v>43560</v>
      </c>
      <c r="P336" s="162">
        <v>4356</v>
      </c>
      <c r="Q336" s="134"/>
      <c r="T336" s="128"/>
    </row>
    <row r="337" spans="1:20" ht="18" x14ac:dyDescent="0.3">
      <c r="A337" s="53"/>
      <c r="B337" s="54"/>
      <c r="C337" s="54"/>
      <c r="D337" s="55"/>
      <c r="E337" s="75"/>
      <c r="F337" s="76"/>
      <c r="G337" s="76"/>
      <c r="H337" s="48"/>
      <c r="I337" s="70"/>
      <c r="J337" s="70"/>
      <c r="K337" s="158" t="s">
        <v>1025</v>
      </c>
      <c r="L337" s="159" t="s">
        <v>72</v>
      </c>
      <c r="M337" s="158" t="s">
        <v>56</v>
      </c>
      <c r="N337" s="160">
        <v>2.4E-2</v>
      </c>
      <c r="O337" s="162">
        <v>67490</v>
      </c>
      <c r="P337" s="162">
        <v>1619.76</v>
      </c>
      <c r="Q337" s="134"/>
      <c r="T337" s="128"/>
    </row>
    <row r="338" spans="1:20" ht="18" x14ac:dyDescent="0.3">
      <c r="A338" s="53"/>
      <c r="B338" s="54"/>
      <c r="C338" s="54"/>
      <c r="D338" s="55"/>
      <c r="E338" s="75"/>
      <c r="F338" s="76"/>
      <c r="G338" s="76"/>
      <c r="H338" s="48"/>
      <c r="I338" s="70"/>
      <c r="J338" s="70"/>
      <c r="K338" s="158" t="s">
        <v>1185</v>
      </c>
      <c r="L338" s="159" t="s">
        <v>1268</v>
      </c>
      <c r="M338" s="158" t="s">
        <v>45</v>
      </c>
      <c r="N338" s="160">
        <v>5</v>
      </c>
      <c r="O338" s="161">
        <v>226</v>
      </c>
      <c r="P338" s="162">
        <v>1130</v>
      </c>
      <c r="Q338" s="134"/>
      <c r="T338" s="128"/>
    </row>
    <row r="339" spans="1:20" ht="18" x14ac:dyDescent="0.3">
      <c r="A339" s="53"/>
      <c r="B339" s="54"/>
      <c r="C339" s="54"/>
      <c r="D339" s="55"/>
      <c r="E339" s="75"/>
      <c r="F339" s="76"/>
      <c r="G339" s="76"/>
      <c r="H339" s="48"/>
      <c r="I339" s="70"/>
      <c r="J339" s="70"/>
      <c r="K339" s="158" t="s">
        <v>746</v>
      </c>
      <c r="L339" s="159" t="s">
        <v>895</v>
      </c>
      <c r="M339" s="158" t="s">
        <v>45</v>
      </c>
      <c r="N339" s="160">
        <v>18</v>
      </c>
      <c r="O339" s="161">
        <v>280</v>
      </c>
      <c r="P339" s="162">
        <v>5040</v>
      </c>
      <c r="Q339" s="134"/>
      <c r="T339" s="128"/>
    </row>
    <row r="340" spans="1:20" ht="18" x14ac:dyDescent="0.3">
      <c r="A340" s="53"/>
      <c r="B340" s="54"/>
      <c r="C340" s="54"/>
      <c r="D340" s="55"/>
      <c r="E340" s="75"/>
      <c r="F340" s="76"/>
      <c r="G340" s="76"/>
      <c r="H340" s="48"/>
      <c r="I340" s="70"/>
      <c r="J340" s="70"/>
      <c r="K340" s="158" t="s">
        <v>1027</v>
      </c>
      <c r="L340" s="159" t="s">
        <v>803</v>
      </c>
      <c r="M340" s="158" t="s">
        <v>45</v>
      </c>
      <c r="N340" s="160">
        <v>4.4089999999999998</v>
      </c>
      <c r="O340" s="161">
        <v>333.25</v>
      </c>
      <c r="P340" s="162">
        <v>1469.3</v>
      </c>
      <c r="Q340" s="134"/>
      <c r="T340" s="128"/>
    </row>
    <row r="341" spans="1:20" ht="18" x14ac:dyDescent="0.3">
      <c r="A341" s="53"/>
      <c r="B341" s="54"/>
      <c r="C341" s="54"/>
      <c r="D341" s="55"/>
      <c r="E341" s="75"/>
      <c r="F341" s="76"/>
      <c r="G341" s="76"/>
      <c r="H341" s="48"/>
      <c r="I341" s="70"/>
      <c r="J341" s="70"/>
      <c r="K341" s="158" t="s">
        <v>1186</v>
      </c>
      <c r="L341" s="159" t="s">
        <v>1269</v>
      </c>
      <c r="M341" s="158" t="s">
        <v>45</v>
      </c>
      <c r="N341" s="160">
        <v>11</v>
      </c>
      <c r="O341" s="161">
        <v>486.48</v>
      </c>
      <c r="P341" s="162">
        <v>5351.28</v>
      </c>
      <c r="Q341" s="134"/>
      <c r="T341" s="128"/>
    </row>
    <row r="342" spans="1:20" ht="18" x14ac:dyDescent="0.3">
      <c r="A342" s="53"/>
      <c r="B342" s="54"/>
      <c r="C342" s="54"/>
      <c r="D342" s="55"/>
      <c r="E342" s="75"/>
      <c r="F342" s="76"/>
      <c r="G342" s="76"/>
      <c r="H342" s="48"/>
      <c r="I342" s="70"/>
      <c r="J342" s="70"/>
      <c r="K342" s="158" t="s">
        <v>1026</v>
      </c>
      <c r="L342" s="159" t="s">
        <v>80</v>
      </c>
      <c r="M342" s="158" t="s">
        <v>45</v>
      </c>
      <c r="N342" s="160">
        <v>139</v>
      </c>
      <c r="O342" s="161">
        <v>12.99</v>
      </c>
      <c r="P342" s="162">
        <v>1805.63</v>
      </c>
      <c r="Q342" s="134"/>
      <c r="T342" s="128"/>
    </row>
    <row r="343" spans="1:20" ht="18" x14ac:dyDescent="0.3">
      <c r="A343" s="53"/>
      <c r="B343" s="54"/>
      <c r="C343" s="54"/>
      <c r="D343" s="55"/>
      <c r="E343" s="75"/>
      <c r="F343" s="76"/>
      <c r="G343" s="76"/>
      <c r="H343" s="48"/>
      <c r="I343" s="70"/>
      <c r="J343" s="70"/>
      <c r="K343" s="158" t="s">
        <v>775</v>
      </c>
      <c r="L343" s="159" t="s">
        <v>776</v>
      </c>
      <c r="M343" s="158" t="s">
        <v>45</v>
      </c>
      <c r="N343" s="160">
        <v>24.3</v>
      </c>
      <c r="O343" s="161">
        <v>460</v>
      </c>
      <c r="P343" s="162">
        <v>11178</v>
      </c>
      <c r="Q343" s="134"/>
      <c r="T343" s="128"/>
    </row>
    <row r="344" spans="1:20" ht="18" x14ac:dyDescent="0.3">
      <c r="A344" s="53"/>
      <c r="B344" s="54"/>
      <c r="C344" s="54"/>
      <c r="D344" s="55"/>
      <c r="E344" s="75"/>
      <c r="F344" s="76"/>
      <c r="G344" s="76"/>
      <c r="H344" s="48"/>
      <c r="I344" s="70"/>
      <c r="J344" s="70"/>
      <c r="K344" s="158" t="s">
        <v>1028</v>
      </c>
      <c r="L344" s="159" t="s">
        <v>1076</v>
      </c>
      <c r="M344" s="158" t="s">
        <v>45</v>
      </c>
      <c r="N344" s="160">
        <v>23.5</v>
      </c>
      <c r="O344" s="161">
        <v>180.83</v>
      </c>
      <c r="P344" s="162">
        <v>4249.58</v>
      </c>
      <c r="Q344" s="134"/>
      <c r="T344" s="128"/>
    </row>
    <row r="345" spans="1:20" ht="18" x14ac:dyDescent="0.3">
      <c r="A345" s="53"/>
      <c r="B345" s="54"/>
      <c r="C345" s="54"/>
      <c r="D345" s="55"/>
      <c r="E345" s="75"/>
      <c r="F345" s="76"/>
      <c r="G345" s="76"/>
      <c r="H345" s="48"/>
      <c r="I345" s="70"/>
      <c r="J345" s="70"/>
      <c r="K345" s="158" t="s">
        <v>1187</v>
      </c>
      <c r="L345" s="159" t="s">
        <v>1270</v>
      </c>
      <c r="M345" s="158" t="s">
        <v>45</v>
      </c>
      <c r="N345" s="160">
        <v>1.1819999999999999</v>
      </c>
      <c r="O345" s="161">
        <v>150.16999999999999</v>
      </c>
      <c r="P345" s="161">
        <v>177.5</v>
      </c>
      <c r="Q345" s="134"/>
      <c r="T345" s="128"/>
    </row>
    <row r="346" spans="1:20" ht="18" x14ac:dyDescent="0.3">
      <c r="A346" s="53"/>
      <c r="B346" s="54"/>
      <c r="C346" s="54"/>
      <c r="D346" s="55"/>
      <c r="E346" s="75"/>
      <c r="F346" s="76"/>
      <c r="G346" s="76"/>
      <c r="H346" s="48"/>
      <c r="I346" s="70"/>
      <c r="J346" s="70"/>
      <c r="K346" s="158" t="s">
        <v>1030</v>
      </c>
      <c r="L346" s="159" t="s">
        <v>1078</v>
      </c>
      <c r="M346" s="158" t="s">
        <v>214</v>
      </c>
      <c r="N346" s="160">
        <v>0.36499999999999999</v>
      </c>
      <c r="O346" s="162">
        <v>8966.66</v>
      </c>
      <c r="P346" s="162">
        <v>3272.83</v>
      </c>
      <c r="Q346" s="134"/>
      <c r="T346" s="128"/>
    </row>
    <row r="347" spans="1:20" ht="18" x14ac:dyDescent="0.3">
      <c r="A347" s="53"/>
      <c r="B347" s="54"/>
      <c r="C347" s="54"/>
      <c r="D347" s="55"/>
      <c r="E347" s="75"/>
      <c r="F347" s="76"/>
      <c r="G347" s="76"/>
      <c r="H347" s="48"/>
      <c r="I347" s="70"/>
      <c r="J347" s="70"/>
      <c r="K347" s="158" t="s">
        <v>1188</v>
      </c>
      <c r="L347" s="159" t="s">
        <v>1271</v>
      </c>
      <c r="M347" s="158" t="s">
        <v>214</v>
      </c>
      <c r="N347" s="160">
        <v>0.09</v>
      </c>
      <c r="O347" s="162">
        <v>14916.11</v>
      </c>
      <c r="P347" s="162">
        <v>1342.45</v>
      </c>
      <c r="Q347" s="134"/>
      <c r="T347" s="128"/>
    </row>
    <row r="348" spans="1:20" ht="18" x14ac:dyDescent="0.3">
      <c r="A348" s="53"/>
      <c r="B348" s="54"/>
      <c r="C348" s="54"/>
      <c r="D348" s="55"/>
      <c r="E348" s="75"/>
      <c r="F348" s="76"/>
      <c r="G348" s="76"/>
      <c r="H348" s="48"/>
      <c r="I348" s="70"/>
      <c r="J348" s="70"/>
      <c r="K348" s="158" t="s">
        <v>1029</v>
      </c>
      <c r="L348" s="159" t="s">
        <v>1077</v>
      </c>
      <c r="M348" s="158" t="s">
        <v>214</v>
      </c>
      <c r="N348" s="160">
        <v>9.6000000000000002E-2</v>
      </c>
      <c r="O348" s="162">
        <v>10443.33</v>
      </c>
      <c r="P348" s="162">
        <v>1002.56</v>
      </c>
      <c r="Q348" s="134"/>
      <c r="T348" s="128"/>
    </row>
    <row r="349" spans="1:20" ht="18" x14ac:dyDescent="0.3">
      <c r="A349" s="53"/>
      <c r="B349" s="54"/>
      <c r="C349" s="54"/>
      <c r="D349" s="55"/>
      <c r="E349" s="75"/>
      <c r="F349" s="76"/>
      <c r="G349" s="76"/>
      <c r="H349" s="48"/>
      <c r="I349" s="70"/>
      <c r="J349" s="70"/>
      <c r="K349" s="158" t="s">
        <v>893</v>
      </c>
      <c r="L349" s="159" t="s">
        <v>894</v>
      </c>
      <c r="M349" s="158" t="s">
        <v>214</v>
      </c>
      <c r="N349" s="160">
        <v>0.3</v>
      </c>
      <c r="O349" s="162">
        <v>10760</v>
      </c>
      <c r="P349" s="162">
        <v>3228</v>
      </c>
      <c r="Q349" s="134"/>
      <c r="T349" s="128"/>
    </row>
    <row r="350" spans="1:20" ht="18" x14ac:dyDescent="0.3">
      <c r="A350" s="53"/>
      <c r="B350" s="54"/>
      <c r="C350" s="54"/>
      <c r="D350" s="55"/>
      <c r="E350" s="75"/>
      <c r="F350" s="76"/>
      <c r="G350" s="76"/>
      <c r="H350" s="48"/>
      <c r="I350" s="70"/>
      <c r="J350" s="70"/>
      <c r="K350" s="158" t="s">
        <v>1382</v>
      </c>
      <c r="L350" s="159" t="s">
        <v>1410</v>
      </c>
      <c r="M350" s="158" t="s">
        <v>39</v>
      </c>
      <c r="N350" s="160">
        <v>1.4E-2</v>
      </c>
      <c r="O350" s="162">
        <v>35795</v>
      </c>
      <c r="P350" s="161">
        <v>501.13</v>
      </c>
      <c r="Q350" s="134"/>
      <c r="T350" s="128"/>
    </row>
    <row r="351" spans="1:20" ht="18" x14ac:dyDescent="0.3">
      <c r="A351" s="53"/>
      <c r="B351" s="54"/>
      <c r="C351" s="54"/>
      <c r="D351" s="55"/>
      <c r="E351" s="75"/>
      <c r="F351" s="76"/>
      <c r="G351" s="76"/>
      <c r="H351" s="48"/>
      <c r="I351" s="70"/>
      <c r="J351" s="70"/>
      <c r="K351" s="158" t="s">
        <v>1423</v>
      </c>
      <c r="L351" s="159" t="s">
        <v>1446</v>
      </c>
      <c r="M351" s="158" t="s">
        <v>39</v>
      </c>
      <c r="N351" s="160">
        <v>5.8999999999999997E-2</v>
      </c>
      <c r="O351" s="162">
        <v>31816.95</v>
      </c>
      <c r="P351" s="162">
        <v>1877.2</v>
      </c>
      <c r="Q351" s="134"/>
      <c r="T351" s="128"/>
    </row>
    <row r="352" spans="1:20" ht="18" x14ac:dyDescent="0.3">
      <c r="A352" s="53"/>
      <c r="B352" s="54"/>
      <c r="C352" s="54"/>
      <c r="D352" s="55"/>
      <c r="E352" s="75"/>
      <c r="F352" s="76"/>
      <c r="G352" s="76"/>
      <c r="H352" s="48"/>
      <c r="I352" s="70"/>
      <c r="J352" s="70"/>
      <c r="K352" s="158" t="s">
        <v>1424</v>
      </c>
      <c r="L352" s="159" t="s">
        <v>228</v>
      </c>
      <c r="M352" s="158" t="s">
        <v>39</v>
      </c>
      <c r="N352" s="160">
        <v>0.03</v>
      </c>
      <c r="O352" s="162">
        <v>31733.33</v>
      </c>
      <c r="P352" s="161">
        <v>952</v>
      </c>
      <c r="Q352" s="134"/>
      <c r="T352" s="128"/>
    </row>
    <row r="353" spans="1:20" ht="18" x14ac:dyDescent="0.3">
      <c r="A353" s="53"/>
      <c r="B353" s="54"/>
      <c r="C353" s="54"/>
      <c r="D353" s="55"/>
      <c r="E353" s="75"/>
      <c r="F353" s="76"/>
      <c r="G353" s="76"/>
      <c r="H353" s="48"/>
      <c r="I353" s="70"/>
      <c r="J353" s="70"/>
      <c r="K353" s="158" t="s">
        <v>1847</v>
      </c>
      <c r="L353" s="159" t="s">
        <v>1849</v>
      </c>
      <c r="M353" s="158" t="s">
        <v>39</v>
      </c>
      <c r="N353" s="160">
        <v>0.01</v>
      </c>
      <c r="O353" s="162">
        <v>34578</v>
      </c>
      <c r="P353" s="161">
        <v>345.78</v>
      </c>
      <c r="Q353" s="134"/>
      <c r="T353" s="128"/>
    </row>
    <row r="354" spans="1:20" ht="18" x14ac:dyDescent="0.3">
      <c r="A354" s="53"/>
      <c r="B354" s="54"/>
      <c r="C354" s="54"/>
      <c r="D354" s="55"/>
      <c r="E354" s="75"/>
      <c r="F354" s="76"/>
      <c r="G354" s="76"/>
      <c r="H354" s="48"/>
      <c r="I354" s="70"/>
      <c r="J354" s="70"/>
      <c r="K354" s="158" t="s">
        <v>1031</v>
      </c>
      <c r="L354" s="159" t="s">
        <v>834</v>
      </c>
      <c r="M354" s="158" t="s">
        <v>39</v>
      </c>
      <c r="N354" s="160">
        <v>0.113</v>
      </c>
      <c r="O354" s="162">
        <v>32771.33</v>
      </c>
      <c r="P354" s="162">
        <v>3703.16</v>
      </c>
      <c r="Q354" s="134"/>
      <c r="T354" s="128"/>
    </row>
    <row r="355" spans="1:20" ht="18" x14ac:dyDescent="0.3">
      <c r="A355" s="53"/>
      <c r="B355" s="54"/>
      <c r="C355" s="54"/>
      <c r="D355" s="55"/>
      <c r="E355" s="75"/>
      <c r="F355" s="76"/>
      <c r="G355" s="76"/>
      <c r="H355" s="48"/>
      <c r="I355" s="70"/>
      <c r="J355" s="70"/>
      <c r="K355" s="158" t="s">
        <v>1316</v>
      </c>
      <c r="L355" s="159" t="s">
        <v>1350</v>
      </c>
      <c r="M355" s="158" t="s">
        <v>39</v>
      </c>
      <c r="N355" s="160">
        <v>1.2999999999999999E-2</v>
      </c>
      <c r="O355" s="162">
        <v>31616.92</v>
      </c>
      <c r="P355" s="161">
        <v>411.02</v>
      </c>
      <c r="Q355" s="134"/>
      <c r="T355" s="128"/>
    </row>
    <row r="356" spans="1:20" ht="18.600000000000001" thickBot="1" x14ac:dyDescent="0.35">
      <c r="A356" s="53"/>
      <c r="B356" s="54"/>
      <c r="C356" s="54"/>
      <c r="D356" s="55"/>
      <c r="E356" s="75"/>
      <c r="F356" s="76"/>
      <c r="G356" s="76"/>
      <c r="H356" s="48"/>
      <c r="I356" s="70"/>
      <c r="J356" s="70"/>
      <c r="K356" s="158"/>
      <c r="L356" s="159"/>
      <c r="M356" s="158"/>
      <c r="N356" s="160"/>
      <c r="O356" s="162"/>
      <c r="P356" s="162"/>
      <c r="Q356" s="134"/>
      <c r="T356" s="128"/>
    </row>
    <row r="357" spans="1:20" ht="18.600000000000001" thickBot="1" x14ac:dyDescent="0.35">
      <c r="A357" s="231"/>
      <c r="B357" s="232"/>
      <c r="C357" s="232"/>
      <c r="D357" s="233"/>
      <c r="E357" s="234"/>
      <c r="F357" s="235"/>
      <c r="G357" s="235"/>
      <c r="H357" s="236"/>
      <c r="I357" s="237"/>
      <c r="J357" s="237"/>
      <c r="K357" s="238"/>
      <c r="L357" s="239"/>
      <c r="M357" s="238"/>
      <c r="N357" s="240"/>
      <c r="O357" s="241"/>
      <c r="P357" s="241">
        <f>SUM(P19:P356)</f>
        <v>560901.51000000036</v>
      </c>
      <c r="Q357" s="242"/>
      <c r="T357" s="128"/>
    </row>
    <row r="358" spans="1:20" ht="18" x14ac:dyDescent="0.3">
      <c r="A358" s="171"/>
      <c r="B358" s="172"/>
      <c r="C358" s="172"/>
      <c r="D358" s="173"/>
      <c r="E358" s="75"/>
      <c r="F358" s="76"/>
      <c r="G358" s="76"/>
      <c r="H358" s="174"/>
      <c r="I358" s="175"/>
      <c r="J358" s="175"/>
      <c r="K358" s="158" t="s">
        <v>1459</v>
      </c>
      <c r="L358" s="159" t="s">
        <v>1538</v>
      </c>
      <c r="M358" s="158" t="s">
        <v>34</v>
      </c>
      <c r="N358" s="160">
        <v>1</v>
      </c>
      <c r="O358" s="161">
        <v>554.5</v>
      </c>
      <c r="P358" s="161">
        <v>554.5</v>
      </c>
      <c r="Q358" s="176"/>
      <c r="T358" s="128"/>
    </row>
    <row r="359" spans="1:20" ht="18" x14ac:dyDescent="0.3">
      <c r="A359" s="171"/>
      <c r="B359" s="172"/>
      <c r="C359" s="172"/>
      <c r="D359" s="173"/>
      <c r="E359" s="75"/>
      <c r="F359" s="76"/>
      <c r="G359" s="76"/>
      <c r="H359" s="174"/>
      <c r="I359" s="175"/>
      <c r="J359" s="175"/>
      <c r="K359" s="158" t="s">
        <v>1460</v>
      </c>
      <c r="L359" s="159" t="s">
        <v>1539</v>
      </c>
      <c r="M359" s="158" t="s">
        <v>34</v>
      </c>
      <c r="N359" s="160">
        <v>1</v>
      </c>
      <c r="O359" s="161">
        <v>16.600000000000001</v>
      </c>
      <c r="P359" s="161">
        <v>16.600000000000001</v>
      </c>
      <c r="Q359" s="176"/>
      <c r="T359" s="128"/>
    </row>
    <row r="360" spans="1:20" ht="18" x14ac:dyDescent="0.3">
      <c r="A360" s="171"/>
      <c r="B360" s="172"/>
      <c r="C360" s="172"/>
      <c r="D360" s="173"/>
      <c r="E360" s="75"/>
      <c r="F360" s="76"/>
      <c r="G360" s="76"/>
      <c r="H360" s="174"/>
      <c r="I360" s="175"/>
      <c r="J360" s="175"/>
      <c r="K360" s="158" t="s">
        <v>1461</v>
      </c>
      <c r="L360" s="159" t="s">
        <v>1540</v>
      </c>
      <c r="M360" s="158" t="s">
        <v>34</v>
      </c>
      <c r="N360" s="160">
        <v>4</v>
      </c>
      <c r="O360" s="161">
        <v>155</v>
      </c>
      <c r="P360" s="161">
        <v>620</v>
      </c>
      <c r="Q360" s="176"/>
      <c r="T360" s="128"/>
    </row>
    <row r="361" spans="1:20" ht="18" x14ac:dyDescent="0.3">
      <c r="A361" s="171"/>
      <c r="B361" s="172"/>
      <c r="C361" s="172"/>
      <c r="D361" s="173"/>
      <c r="E361" s="75"/>
      <c r="F361" s="76"/>
      <c r="G361" s="76"/>
      <c r="H361" s="174"/>
      <c r="I361" s="175"/>
      <c r="J361" s="175"/>
      <c r="K361" s="158" t="s">
        <v>1462</v>
      </c>
      <c r="L361" s="159" t="s">
        <v>1541</v>
      </c>
      <c r="M361" s="158" t="s">
        <v>34</v>
      </c>
      <c r="N361" s="160">
        <v>1</v>
      </c>
      <c r="O361" s="161">
        <v>511</v>
      </c>
      <c r="P361" s="161">
        <v>511</v>
      </c>
      <c r="Q361" s="176"/>
      <c r="T361" s="128"/>
    </row>
    <row r="362" spans="1:20" ht="30" x14ac:dyDescent="0.3">
      <c r="A362" s="171"/>
      <c r="B362" s="172"/>
      <c r="C362" s="172"/>
      <c r="D362" s="173"/>
      <c r="E362" s="75"/>
      <c r="F362" s="76"/>
      <c r="G362" s="76"/>
      <c r="H362" s="174"/>
      <c r="I362" s="175"/>
      <c r="J362" s="175"/>
      <c r="K362" s="158" t="s">
        <v>1463</v>
      </c>
      <c r="L362" s="159" t="s">
        <v>1542</v>
      </c>
      <c r="M362" s="158" t="s">
        <v>34</v>
      </c>
      <c r="N362" s="160">
        <v>1</v>
      </c>
      <c r="O362" s="161">
        <v>36</v>
      </c>
      <c r="P362" s="161">
        <v>36</v>
      </c>
      <c r="Q362" s="176"/>
      <c r="T362" s="128"/>
    </row>
    <row r="363" spans="1:20" ht="18" x14ac:dyDescent="0.3">
      <c r="A363" s="171"/>
      <c r="B363" s="172"/>
      <c r="C363" s="172"/>
      <c r="D363" s="173"/>
      <c r="E363" s="75"/>
      <c r="F363" s="76"/>
      <c r="G363" s="76"/>
      <c r="H363" s="174"/>
      <c r="I363" s="175"/>
      <c r="J363" s="175"/>
      <c r="K363" s="158" t="s">
        <v>1464</v>
      </c>
      <c r="L363" s="159" t="s">
        <v>1543</v>
      </c>
      <c r="M363" s="158" t="s">
        <v>34</v>
      </c>
      <c r="N363" s="160">
        <v>5</v>
      </c>
      <c r="O363" s="161">
        <v>128.26</v>
      </c>
      <c r="P363" s="161">
        <v>641.32000000000005</v>
      </c>
      <c r="Q363" s="176"/>
      <c r="T363" s="128"/>
    </row>
    <row r="364" spans="1:20" ht="18" x14ac:dyDescent="0.3">
      <c r="A364" s="171"/>
      <c r="B364" s="172"/>
      <c r="C364" s="172"/>
      <c r="D364" s="173"/>
      <c r="E364" s="75"/>
      <c r="F364" s="76"/>
      <c r="G364" s="76"/>
      <c r="H364" s="174"/>
      <c r="I364" s="175"/>
      <c r="J364" s="175"/>
      <c r="K364" s="158" t="s">
        <v>1465</v>
      </c>
      <c r="L364" s="159" t="s">
        <v>1544</v>
      </c>
      <c r="M364" s="158" t="s">
        <v>34</v>
      </c>
      <c r="N364" s="160">
        <v>1</v>
      </c>
      <c r="O364" s="161">
        <v>68.33</v>
      </c>
      <c r="P364" s="161">
        <v>68.33</v>
      </c>
      <c r="Q364" s="176"/>
      <c r="T364" s="128"/>
    </row>
    <row r="365" spans="1:20" ht="18" x14ac:dyDescent="0.3">
      <c r="A365" s="171"/>
      <c r="B365" s="172"/>
      <c r="C365" s="172"/>
      <c r="D365" s="173"/>
      <c r="E365" s="75"/>
      <c r="F365" s="76"/>
      <c r="G365" s="76"/>
      <c r="H365" s="174"/>
      <c r="I365" s="175"/>
      <c r="J365" s="175"/>
      <c r="K365" s="158" t="s">
        <v>1466</v>
      </c>
      <c r="L365" s="159" t="s">
        <v>1545</v>
      </c>
      <c r="M365" s="158" t="s">
        <v>34</v>
      </c>
      <c r="N365" s="160">
        <v>1</v>
      </c>
      <c r="O365" s="161">
        <v>750</v>
      </c>
      <c r="P365" s="161">
        <v>750</v>
      </c>
      <c r="Q365" s="176"/>
      <c r="T365" s="128"/>
    </row>
    <row r="366" spans="1:20" ht="30" x14ac:dyDescent="0.3">
      <c r="A366" s="171"/>
      <c r="B366" s="172"/>
      <c r="C366" s="172"/>
      <c r="D366" s="173"/>
      <c r="E366" s="75"/>
      <c r="F366" s="76"/>
      <c r="G366" s="76"/>
      <c r="H366" s="174"/>
      <c r="I366" s="175"/>
      <c r="J366" s="175"/>
      <c r="K366" s="158" t="s">
        <v>1467</v>
      </c>
      <c r="L366" s="159" t="s">
        <v>1546</v>
      </c>
      <c r="M366" s="158" t="s">
        <v>34</v>
      </c>
      <c r="N366" s="160">
        <v>1</v>
      </c>
      <c r="O366" s="161">
        <v>1</v>
      </c>
      <c r="P366" s="161">
        <v>1</v>
      </c>
      <c r="Q366" s="176"/>
      <c r="T366" s="128"/>
    </row>
    <row r="367" spans="1:20" ht="18" x14ac:dyDescent="0.3">
      <c r="A367" s="171"/>
      <c r="B367" s="172"/>
      <c r="C367" s="172"/>
      <c r="D367" s="173"/>
      <c r="E367" s="75"/>
      <c r="F367" s="76"/>
      <c r="G367" s="76"/>
      <c r="H367" s="174"/>
      <c r="I367" s="175"/>
      <c r="J367" s="175"/>
      <c r="K367" s="158" t="s">
        <v>715</v>
      </c>
      <c r="L367" s="159" t="s">
        <v>716</v>
      </c>
      <c r="M367" s="158" t="s">
        <v>34</v>
      </c>
      <c r="N367" s="160">
        <v>1</v>
      </c>
      <c r="O367" s="161">
        <v>410</v>
      </c>
      <c r="P367" s="161">
        <v>410</v>
      </c>
      <c r="Q367" s="176"/>
      <c r="T367" s="128"/>
    </row>
    <row r="368" spans="1:20" ht="18" x14ac:dyDescent="0.3">
      <c r="A368" s="171"/>
      <c r="B368" s="172"/>
      <c r="C368" s="172"/>
      <c r="D368" s="173"/>
      <c r="E368" s="75"/>
      <c r="F368" s="76"/>
      <c r="G368" s="76"/>
      <c r="H368" s="174"/>
      <c r="I368" s="175"/>
      <c r="J368" s="175"/>
      <c r="K368" s="158" t="s">
        <v>1468</v>
      </c>
      <c r="L368" s="159" t="s">
        <v>1547</v>
      </c>
      <c r="M368" s="158" t="s">
        <v>34</v>
      </c>
      <c r="N368" s="160">
        <v>1</v>
      </c>
      <c r="O368" s="161">
        <v>49</v>
      </c>
      <c r="P368" s="161">
        <v>49</v>
      </c>
      <c r="Q368" s="176"/>
      <c r="T368" s="128"/>
    </row>
    <row r="369" spans="1:20" ht="18" x14ac:dyDescent="0.3">
      <c r="A369" s="171"/>
      <c r="B369" s="172"/>
      <c r="C369" s="172"/>
      <c r="D369" s="173"/>
      <c r="E369" s="75"/>
      <c r="F369" s="76"/>
      <c r="G369" s="76"/>
      <c r="H369" s="174"/>
      <c r="I369" s="175"/>
      <c r="J369" s="175"/>
      <c r="K369" s="158" t="s">
        <v>1469</v>
      </c>
      <c r="L369" s="159" t="s">
        <v>1548</v>
      </c>
      <c r="M369" s="158" t="s">
        <v>34</v>
      </c>
      <c r="N369" s="160">
        <v>1</v>
      </c>
      <c r="O369" s="161">
        <v>51.25</v>
      </c>
      <c r="P369" s="161">
        <v>51.25</v>
      </c>
      <c r="Q369" s="176"/>
      <c r="T369" s="128"/>
    </row>
    <row r="370" spans="1:20" ht="18" x14ac:dyDescent="0.3">
      <c r="A370" s="171"/>
      <c r="B370" s="172"/>
      <c r="C370" s="172"/>
      <c r="D370" s="173"/>
      <c r="E370" s="75"/>
      <c r="F370" s="76"/>
      <c r="G370" s="76"/>
      <c r="H370" s="174"/>
      <c r="I370" s="175"/>
      <c r="J370" s="175"/>
      <c r="K370" s="158" t="s">
        <v>690</v>
      </c>
      <c r="L370" s="159" t="s">
        <v>691</v>
      </c>
      <c r="M370" s="158" t="s">
        <v>34</v>
      </c>
      <c r="N370" s="160">
        <v>1</v>
      </c>
      <c r="O370" s="161">
        <v>520.63</v>
      </c>
      <c r="P370" s="161">
        <v>520.63</v>
      </c>
      <c r="Q370" s="176"/>
      <c r="T370" s="128"/>
    </row>
    <row r="371" spans="1:20" ht="18" x14ac:dyDescent="0.3">
      <c r="A371" s="171"/>
      <c r="B371" s="172"/>
      <c r="C371" s="172"/>
      <c r="D371" s="173"/>
      <c r="E371" s="75"/>
      <c r="F371" s="76"/>
      <c r="G371" s="76"/>
      <c r="H371" s="174"/>
      <c r="I371" s="175"/>
      <c r="J371" s="175"/>
      <c r="K371" s="158" t="s">
        <v>1470</v>
      </c>
      <c r="L371" s="159" t="s">
        <v>1549</v>
      </c>
      <c r="M371" s="158" t="s">
        <v>34</v>
      </c>
      <c r="N371" s="160">
        <v>10</v>
      </c>
      <c r="O371" s="161">
        <v>121.67</v>
      </c>
      <c r="P371" s="162">
        <v>1216.7</v>
      </c>
      <c r="Q371" s="176"/>
      <c r="T371" s="128"/>
    </row>
    <row r="372" spans="1:20" ht="18" x14ac:dyDescent="0.3">
      <c r="A372" s="171"/>
      <c r="B372" s="172"/>
      <c r="C372" s="172"/>
      <c r="D372" s="173"/>
      <c r="E372" s="75"/>
      <c r="F372" s="76"/>
      <c r="G372" s="76"/>
      <c r="H372" s="174"/>
      <c r="I372" s="175"/>
      <c r="J372" s="175"/>
      <c r="K372" s="158" t="s">
        <v>1471</v>
      </c>
      <c r="L372" s="159" t="s">
        <v>1550</v>
      </c>
      <c r="M372" s="158" t="s">
        <v>34</v>
      </c>
      <c r="N372" s="163">
        <v>1809</v>
      </c>
      <c r="O372" s="161">
        <v>0.11</v>
      </c>
      <c r="P372" s="161">
        <v>193.56</v>
      </c>
      <c r="Q372" s="176"/>
      <c r="T372" s="128"/>
    </row>
    <row r="373" spans="1:20" ht="18" x14ac:dyDescent="0.3">
      <c r="A373" s="171"/>
      <c r="B373" s="172"/>
      <c r="C373" s="172"/>
      <c r="D373" s="173"/>
      <c r="E373" s="75"/>
      <c r="F373" s="76"/>
      <c r="G373" s="76"/>
      <c r="H373" s="174"/>
      <c r="I373" s="175"/>
      <c r="J373" s="175"/>
      <c r="K373" s="158" t="s">
        <v>625</v>
      </c>
      <c r="L373" s="159" t="s">
        <v>136</v>
      </c>
      <c r="M373" s="158" t="s">
        <v>34</v>
      </c>
      <c r="N373" s="160">
        <v>5</v>
      </c>
      <c r="O373" s="161">
        <v>21.07</v>
      </c>
      <c r="P373" s="161">
        <v>105.35</v>
      </c>
      <c r="Q373" s="176"/>
      <c r="T373" s="128"/>
    </row>
    <row r="374" spans="1:20" ht="18" x14ac:dyDescent="0.3">
      <c r="A374" s="171"/>
      <c r="B374" s="172"/>
      <c r="C374" s="172"/>
      <c r="D374" s="173"/>
      <c r="E374" s="75"/>
      <c r="F374" s="76"/>
      <c r="G374" s="76"/>
      <c r="H374" s="174"/>
      <c r="I374" s="175"/>
      <c r="J374" s="175"/>
      <c r="K374" s="158" t="s">
        <v>698</v>
      </c>
      <c r="L374" s="159" t="s">
        <v>97</v>
      </c>
      <c r="M374" s="158" t="s">
        <v>34</v>
      </c>
      <c r="N374" s="163">
        <v>3267</v>
      </c>
      <c r="O374" s="161">
        <v>0.08</v>
      </c>
      <c r="P374" s="161">
        <v>269.52999999999997</v>
      </c>
      <c r="Q374" s="176"/>
      <c r="T374" s="128"/>
    </row>
    <row r="375" spans="1:20" ht="18" x14ac:dyDescent="0.3">
      <c r="A375" s="171"/>
      <c r="B375" s="172"/>
      <c r="C375" s="172"/>
      <c r="D375" s="173"/>
      <c r="E375" s="75"/>
      <c r="F375" s="76"/>
      <c r="G375" s="76"/>
      <c r="H375" s="174"/>
      <c r="I375" s="175"/>
      <c r="J375" s="175"/>
      <c r="K375" s="158" t="s">
        <v>1472</v>
      </c>
      <c r="L375" s="159" t="s">
        <v>1551</v>
      </c>
      <c r="M375" s="158" t="s">
        <v>34</v>
      </c>
      <c r="N375" s="160">
        <v>1</v>
      </c>
      <c r="O375" s="161">
        <v>146.25</v>
      </c>
      <c r="P375" s="161">
        <v>146.25</v>
      </c>
      <c r="Q375" s="176"/>
      <c r="T375" s="128"/>
    </row>
    <row r="376" spans="1:20" ht="18" x14ac:dyDescent="0.3">
      <c r="A376" s="171"/>
      <c r="B376" s="172"/>
      <c r="C376" s="172"/>
      <c r="D376" s="173"/>
      <c r="E376" s="75"/>
      <c r="F376" s="76"/>
      <c r="G376" s="76"/>
      <c r="H376" s="174"/>
      <c r="I376" s="175"/>
      <c r="J376" s="175"/>
      <c r="K376" s="158" t="s">
        <v>1473</v>
      </c>
      <c r="L376" s="159" t="s">
        <v>1552</v>
      </c>
      <c r="M376" s="158" t="s">
        <v>34</v>
      </c>
      <c r="N376" s="160">
        <v>2</v>
      </c>
      <c r="O376" s="161">
        <v>232</v>
      </c>
      <c r="P376" s="161">
        <v>464</v>
      </c>
      <c r="Q376" s="176"/>
      <c r="T376" s="128"/>
    </row>
    <row r="377" spans="1:20" ht="18" x14ac:dyDescent="0.3">
      <c r="A377" s="171"/>
      <c r="B377" s="172"/>
      <c r="C377" s="172"/>
      <c r="D377" s="173"/>
      <c r="E377" s="75"/>
      <c r="F377" s="76"/>
      <c r="G377" s="76"/>
      <c r="H377" s="174"/>
      <c r="I377" s="175"/>
      <c r="J377" s="175"/>
      <c r="K377" s="158" t="s">
        <v>1474</v>
      </c>
      <c r="L377" s="159" t="s">
        <v>1553</v>
      </c>
      <c r="M377" s="158" t="s">
        <v>34</v>
      </c>
      <c r="N377" s="160">
        <v>1</v>
      </c>
      <c r="O377" s="161">
        <v>203.33</v>
      </c>
      <c r="P377" s="161">
        <v>203.33</v>
      </c>
      <c r="Q377" s="176"/>
      <c r="T377" s="128"/>
    </row>
    <row r="378" spans="1:20" ht="18" x14ac:dyDescent="0.3">
      <c r="A378" s="171"/>
      <c r="B378" s="172"/>
      <c r="C378" s="172"/>
      <c r="D378" s="173"/>
      <c r="E378" s="75"/>
      <c r="F378" s="76"/>
      <c r="G378" s="76"/>
      <c r="H378" s="174"/>
      <c r="I378" s="175"/>
      <c r="J378" s="175"/>
      <c r="K378" s="158" t="s">
        <v>677</v>
      </c>
      <c r="L378" s="159" t="s">
        <v>1554</v>
      </c>
      <c r="M378" s="158" t="s">
        <v>34</v>
      </c>
      <c r="N378" s="160">
        <v>3</v>
      </c>
      <c r="O378" s="161">
        <v>73.02</v>
      </c>
      <c r="P378" s="161">
        <v>219.06</v>
      </c>
      <c r="Q378" s="176"/>
      <c r="T378" s="128"/>
    </row>
    <row r="379" spans="1:20" ht="18" x14ac:dyDescent="0.3">
      <c r="A379" s="171"/>
      <c r="B379" s="172"/>
      <c r="C379" s="172"/>
      <c r="D379" s="173"/>
      <c r="E379" s="75"/>
      <c r="F379" s="76"/>
      <c r="G379" s="76"/>
      <c r="H379" s="174"/>
      <c r="I379" s="175"/>
      <c r="J379" s="175"/>
      <c r="K379" s="158" t="s">
        <v>1142</v>
      </c>
      <c r="L379" s="159" t="s">
        <v>1229</v>
      </c>
      <c r="M379" s="158" t="s">
        <v>34</v>
      </c>
      <c r="N379" s="160">
        <v>18</v>
      </c>
      <c r="O379" s="161">
        <v>239.5</v>
      </c>
      <c r="P379" s="162">
        <v>4311</v>
      </c>
      <c r="Q379" s="176"/>
      <c r="T379" s="128"/>
    </row>
    <row r="380" spans="1:20" ht="18" x14ac:dyDescent="0.3">
      <c r="A380" s="171"/>
      <c r="B380" s="172"/>
      <c r="C380" s="172"/>
      <c r="D380" s="173"/>
      <c r="E380" s="75"/>
      <c r="F380" s="76"/>
      <c r="G380" s="76"/>
      <c r="H380" s="174"/>
      <c r="I380" s="175"/>
      <c r="J380" s="175"/>
      <c r="K380" s="158" t="s">
        <v>1475</v>
      </c>
      <c r="L380" s="159" t="s">
        <v>1555</v>
      </c>
      <c r="M380" s="158" t="s">
        <v>64</v>
      </c>
      <c r="N380" s="160">
        <v>1</v>
      </c>
      <c r="O380" s="161">
        <v>160.32</v>
      </c>
      <c r="P380" s="161">
        <v>160.32</v>
      </c>
      <c r="Q380" s="176"/>
      <c r="T380" s="128"/>
    </row>
    <row r="381" spans="1:20" ht="18" x14ac:dyDescent="0.3">
      <c r="A381" s="171"/>
      <c r="B381" s="172"/>
      <c r="C381" s="172"/>
      <c r="D381" s="173"/>
      <c r="E381" s="75"/>
      <c r="F381" s="76"/>
      <c r="G381" s="76"/>
      <c r="H381" s="174"/>
      <c r="I381" s="175"/>
      <c r="J381" s="175"/>
      <c r="K381" s="158" t="s">
        <v>597</v>
      </c>
      <c r="L381" s="159" t="s">
        <v>598</v>
      </c>
      <c r="M381" s="158" t="s">
        <v>34</v>
      </c>
      <c r="N381" s="160">
        <v>1</v>
      </c>
      <c r="O381" s="161">
        <v>139.11000000000001</v>
      </c>
      <c r="P381" s="161">
        <v>139.11000000000001</v>
      </c>
      <c r="Q381" s="176"/>
      <c r="T381" s="128"/>
    </row>
    <row r="382" spans="1:20" ht="30" x14ac:dyDescent="0.3">
      <c r="A382" s="171"/>
      <c r="B382" s="172"/>
      <c r="C382" s="172"/>
      <c r="D382" s="173"/>
      <c r="E382" s="75"/>
      <c r="F382" s="76"/>
      <c r="G382" s="76"/>
      <c r="H382" s="174"/>
      <c r="I382" s="175"/>
      <c r="J382" s="175"/>
      <c r="K382" s="158" t="s">
        <v>1476</v>
      </c>
      <c r="L382" s="159" t="s">
        <v>1556</v>
      </c>
      <c r="M382" s="158" t="s">
        <v>34</v>
      </c>
      <c r="N382" s="160">
        <v>1</v>
      </c>
      <c r="O382" s="161">
        <v>179.17</v>
      </c>
      <c r="P382" s="161">
        <v>179.17</v>
      </c>
      <c r="Q382" s="176"/>
      <c r="T382" s="128"/>
    </row>
    <row r="383" spans="1:20" ht="18" x14ac:dyDescent="0.3">
      <c r="A383" s="171"/>
      <c r="B383" s="172"/>
      <c r="C383" s="172"/>
      <c r="D383" s="173"/>
      <c r="E383" s="75"/>
      <c r="F383" s="76"/>
      <c r="G383" s="76"/>
      <c r="H383" s="174"/>
      <c r="I383" s="175"/>
      <c r="J383" s="175"/>
      <c r="K383" s="158" t="s">
        <v>1477</v>
      </c>
      <c r="L383" s="159" t="s">
        <v>1557</v>
      </c>
      <c r="M383" s="158" t="s">
        <v>34</v>
      </c>
      <c r="N383" s="160">
        <v>1</v>
      </c>
      <c r="O383" s="161">
        <v>291.89999999999998</v>
      </c>
      <c r="P383" s="161">
        <v>291.89999999999998</v>
      </c>
      <c r="Q383" s="176"/>
      <c r="T383" s="128"/>
    </row>
    <row r="384" spans="1:20" ht="18" x14ac:dyDescent="0.3">
      <c r="A384" s="171"/>
      <c r="B384" s="172"/>
      <c r="C384" s="172"/>
      <c r="D384" s="173"/>
      <c r="E384" s="75"/>
      <c r="F384" s="76"/>
      <c r="G384" s="76"/>
      <c r="H384" s="174"/>
      <c r="I384" s="175"/>
      <c r="J384" s="175"/>
      <c r="K384" s="158" t="s">
        <v>159</v>
      </c>
      <c r="L384" s="159" t="s">
        <v>160</v>
      </c>
      <c r="M384" s="158" t="s">
        <v>37</v>
      </c>
      <c r="N384" s="160">
        <v>2</v>
      </c>
      <c r="O384" s="161">
        <v>21</v>
      </c>
      <c r="P384" s="161">
        <v>42</v>
      </c>
      <c r="Q384" s="176"/>
      <c r="T384" s="128"/>
    </row>
    <row r="385" spans="1:20" ht="18" x14ac:dyDescent="0.3">
      <c r="A385" s="171"/>
      <c r="B385" s="172"/>
      <c r="C385" s="172"/>
      <c r="D385" s="173"/>
      <c r="E385" s="75"/>
      <c r="F385" s="76"/>
      <c r="G385" s="76"/>
      <c r="H385" s="174"/>
      <c r="I385" s="175"/>
      <c r="J385" s="175"/>
      <c r="K385" s="158" t="s">
        <v>1478</v>
      </c>
      <c r="L385" s="159" t="s">
        <v>1558</v>
      </c>
      <c r="M385" s="158" t="s">
        <v>34</v>
      </c>
      <c r="N385" s="160">
        <v>1</v>
      </c>
      <c r="O385" s="162">
        <v>1273.5</v>
      </c>
      <c r="P385" s="162">
        <v>1273.5</v>
      </c>
      <c r="Q385" s="176"/>
      <c r="T385" s="128"/>
    </row>
    <row r="386" spans="1:20" ht="18" x14ac:dyDescent="0.3">
      <c r="A386" s="171"/>
      <c r="B386" s="172"/>
      <c r="C386" s="172"/>
      <c r="D386" s="173"/>
      <c r="E386" s="75"/>
      <c r="F386" s="76"/>
      <c r="G386" s="76"/>
      <c r="H386" s="174"/>
      <c r="I386" s="175"/>
      <c r="J386" s="175"/>
      <c r="K386" s="158" t="s">
        <v>1479</v>
      </c>
      <c r="L386" s="159" t="s">
        <v>1559</v>
      </c>
      <c r="M386" s="158" t="s">
        <v>34</v>
      </c>
      <c r="N386" s="160">
        <v>1</v>
      </c>
      <c r="O386" s="161">
        <v>103.8</v>
      </c>
      <c r="P386" s="161">
        <v>103.8</v>
      </c>
      <c r="Q386" s="176"/>
      <c r="T386" s="128"/>
    </row>
    <row r="387" spans="1:20" ht="18" x14ac:dyDescent="0.3">
      <c r="A387" s="171"/>
      <c r="B387" s="172"/>
      <c r="C387" s="172"/>
      <c r="D387" s="173"/>
      <c r="E387" s="75"/>
      <c r="F387" s="76"/>
      <c r="G387" s="76"/>
      <c r="H387" s="174"/>
      <c r="I387" s="175"/>
      <c r="J387" s="175"/>
      <c r="K387" s="158" t="s">
        <v>1480</v>
      </c>
      <c r="L387" s="159" t="s">
        <v>1560</v>
      </c>
      <c r="M387" s="158" t="s">
        <v>34</v>
      </c>
      <c r="N387" s="160">
        <v>2</v>
      </c>
      <c r="O387" s="161">
        <v>206</v>
      </c>
      <c r="P387" s="161">
        <v>412</v>
      </c>
      <c r="Q387" s="176"/>
      <c r="T387" s="128"/>
    </row>
    <row r="388" spans="1:20" ht="18" x14ac:dyDescent="0.3">
      <c r="A388" s="171"/>
      <c r="B388" s="172"/>
      <c r="C388" s="172"/>
      <c r="D388" s="173"/>
      <c r="E388" s="75"/>
      <c r="F388" s="76"/>
      <c r="G388" s="76"/>
      <c r="H388" s="174"/>
      <c r="I388" s="175"/>
      <c r="J388" s="175"/>
      <c r="K388" s="158" t="s">
        <v>1481</v>
      </c>
      <c r="L388" s="159" t="s">
        <v>1561</v>
      </c>
      <c r="M388" s="158" t="s">
        <v>34</v>
      </c>
      <c r="N388" s="160">
        <v>2</v>
      </c>
      <c r="O388" s="161">
        <v>52</v>
      </c>
      <c r="P388" s="161">
        <v>104</v>
      </c>
      <c r="Q388" s="176"/>
      <c r="T388" s="128"/>
    </row>
    <row r="389" spans="1:20" ht="18" x14ac:dyDescent="0.3">
      <c r="A389" s="171"/>
      <c r="B389" s="172"/>
      <c r="C389" s="172"/>
      <c r="D389" s="173"/>
      <c r="E389" s="75"/>
      <c r="F389" s="76"/>
      <c r="G389" s="76"/>
      <c r="H389" s="174"/>
      <c r="I389" s="175"/>
      <c r="J389" s="175"/>
      <c r="K389" s="158" t="s">
        <v>157</v>
      </c>
      <c r="L389" s="159" t="s">
        <v>158</v>
      </c>
      <c r="M389" s="158" t="s">
        <v>34</v>
      </c>
      <c r="N389" s="160">
        <v>2</v>
      </c>
      <c r="O389" s="161">
        <v>69</v>
      </c>
      <c r="P389" s="161">
        <v>138</v>
      </c>
      <c r="Q389" s="176"/>
      <c r="T389" s="128"/>
    </row>
    <row r="390" spans="1:20" ht="18" x14ac:dyDescent="0.3">
      <c r="A390" s="171"/>
      <c r="B390" s="172"/>
      <c r="C390" s="172"/>
      <c r="D390" s="173"/>
      <c r="E390" s="75"/>
      <c r="F390" s="76"/>
      <c r="G390" s="76"/>
      <c r="H390" s="174"/>
      <c r="I390" s="175"/>
      <c r="J390" s="175"/>
      <c r="K390" s="158" t="s">
        <v>627</v>
      </c>
      <c r="L390" s="159" t="s">
        <v>628</v>
      </c>
      <c r="M390" s="158" t="s">
        <v>34</v>
      </c>
      <c r="N390" s="160">
        <v>2</v>
      </c>
      <c r="O390" s="161">
        <v>25</v>
      </c>
      <c r="P390" s="161">
        <v>50</v>
      </c>
      <c r="Q390" s="176"/>
      <c r="T390" s="128"/>
    </row>
    <row r="391" spans="1:20" ht="18" x14ac:dyDescent="0.3">
      <c r="A391" s="171"/>
      <c r="B391" s="172"/>
      <c r="C391" s="172"/>
      <c r="D391" s="173"/>
      <c r="E391" s="75"/>
      <c r="F391" s="76"/>
      <c r="G391" s="76"/>
      <c r="H391" s="174"/>
      <c r="I391" s="175"/>
      <c r="J391" s="175"/>
      <c r="K391" s="158" t="s">
        <v>1482</v>
      </c>
      <c r="L391" s="159" t="s">
        <v>1562</v>
      </c>
      <c r="M391" s="158" t="s">
        <v>34</v>
      </c>
      <c r="N391" s="160">
        <v>1</v>
      </c>
      <c r="O391" s="161">
        <v>75.400000000000006</v>
      </c>
      <c r="P391" s="161">
        <v>75.400000000000006</v>
      </c>
      <c r="Q391" s="176"/>
      <c r="T391" s="128"/>
    </row>
    <row r="392" spans="1:20" ht="18" x14ac:dyDescent="0.3">
      <c r="A392" s="171"/>
      <c r="B392" s="172"/>
      <c r="C392" s="172"/>
      <c r="D392" s="173"/>
      <c r="E392" s="75"/>
      <c r="F392" s="76"/>
      <c r="G392" s="76"/>
      <c r="H392" s="174"/>
      <c r="I392" s="175"/>
      <c r="J392" s="175"/>
      <c r="K392" s="158" t="s">
        <v>127</v>
      </c>
      <c r="L392" s="159" t="s">
        <v>128</v>
      </c>
      <c r="M392" s="158" t="s">
        <v>34</v>
      </c>
      <c r="N392" s="160">
        <v>1</v>
      </c>
      <c r="O392" s="161">
        <v>500.28</v>
      </c>
      <c r="P392" s="161">
        <v>500.28</v>
      </c>
      <c r="Q392" s="176"/>
      <c r="T392" s="128"/>
    </row>
    <row r="393" spans="1:20" ht="18" x14ac:dyDescent="0.3">
      <c r="A393" s="171"/>
      <c r="B393" s="172"/>
      <c r="C393" s="172"/>
      <c r="D393" s="173"/>
      <c r="E393" s="75"/>
      <c r="F393" s="76"/>
      <c r="G393" s="76"/>
      <c r="H393" s="174"/>
      <c r="I393" s="175"/>
      <c r="J393" s="175"/>
      <c r="K393" s="158" t="s">
        <v>1483</v>
      </c>
      <c r="L393" s="159" t="s">
        <v>1563</v>
      </c>
      <c r="M393" s="158" t="s">
        <v>34</v>
      </c>
      <c r="N393" s="160">
        <v>2</v>
      </c>
      <c r="O393" s="161">
        <v>120.83</v>
      </c>
      <c r="P393" s="161">
        <v>241.66</v>
      </c>
      <c r="Q393" s="176"/>
      <c r="T393" s="128"/>
    </row>
    <row r="394" spans="1:20" ht="18" x14ac:dyDescent="0.3">
      <c r="A394" s="171"/>
      <c r="B394" s="172"/>
      <c r="C394" s="172"/>
      <c r="D394" s="173"/>
      <c r="E394" s="75"/>
      <c r="F394" s="76"/>
      <c r="G394" s="76"/>
      <c r="H394" s="174"/>
      <c r="I394" s="175"/>
      <c r="J394" s="175"/>
      <c r="K394" s="158" t="s">
        <v>1484</v>
      </c>
      <c r="L394" s="159" t="s">
        <v>1564</v>
      </c>
      <c r="M394" s="158" t="s">
        <v>34</v>
      </c>
      <c r="N394" s="160">
        <v>1</v>
      </c>
      <c r="O394" s="161">
        <v>114.17</v>
      </c>
      <c r="P394" s="161">
        <v>114.17</v>
      </c>
      <c r="Q394" s="176"/>
      <c r="T394" s="128"/>
    </row>
    <row r="395" spans="1:20" ht="18" x14ac:dyDescent="0.3">
      <c r="A395" s="171"/>
      <c r="B395" s="172"/>
      <c r="C395" s="172"/>
      <c r="D395" s="173"/>
      <c r="E395" s="75"/>
      <c r="F395" s="76"/>
      <c r="G395" s="76"/>
      <c r="H395" s="174"/>
      <c r="I395" s="175"/>
      <c r="J395" s="175"/>
      <c r="K395" s="158" t="s">
        <v>98</v>
      </c>
      <c r="L395" s="159" t="s">
        <v>99</v>
      </c>
      <c r="M395" s="158" t="s">
        <v>37</v>
      </c>
      <c r="N395" s="160">
        <v>4</v>
      </c>
      <c r="O395" s="161">
        <v>131</v>
      </c>
      <c r="P395" s="161">
        <v>524</v>
      </c>
      <c r="Q395" s="176"/>
      <c r="T395" s="128"/>
    </row>
    <row r="396" spans="1:20" ht="18" x14ac:dyDescent="0.3">
      <c r="A396" s="171"/>
      <c r="B396" s="172"/>
      <c r="C396" s="172"/>
      <c r="D396" s="173"/>
      <c r="E396" s="75"/>
      <c r="F396" s="76"/>
      <c r="G396" s="76"/>
      <c r="H396" s="174"/>
      <c r="I396" s="175"/>
      <c r="J396" s="175"/>
      <c r="K396" s="158" t="s">
        <v>701</v>
      </c>
      <c r="L396" s="159" t="s">
        <v>702</v>
      </c>
      <c r="M396" s="158" t="s">
        <v>34</v>
      </c>
      <c r="N396" s="160">
        <v>1</v>
      </c>
      <c r="O396" s="161">
        <v>194.2</v>
      </c>
      <c r="P396" s="161">
        <v>194.2</v>
      </c>
      <c r="Q396" s="176"/>
      <c r="T396" s="128"/>
    </row>
    <row r="397" spans="1:20" ht="18" x14ac:dyDescent="0.3">
      <c r="A397" s="171"/>
      <c r="B397" s="172"/>
      <c r="C397" s="172"/>
      <c r="D397" s="173"/>
      <c r="E397" s="75"/>
      <c r="F397" s="76"/>
      <c r="G397" s="76"/>
      <c r="H397" s="174"/>
      <c r="I397" s="175"/>
      <c r="J397" s="175"/>
      <c r="K397" s="158" t="s">
        <v>679</v>
      </c>
      <c r="L397" s="159" t="s">
        <v>680</v>
      </c>
      <c r="M397" s="158" t="s">
        <v>34</v>
      </c>
      <c r="N397" s="160">
        <v>1</v>
      </c>
      <c r="O397" s="161">
        <v>5</v>
      </c>
      <c r="P397" s="161">
        <v>5</v>
      </c>
      <c r="Q397" s="176"/>
      <c r="T397" s="128"/>
    </row>
    <row r="398" spans="1:20" ht="18" x14ac:dyDescent="0.3">
      <c r="A398" s="171"/>
      <c r="B398" s="172"/>
      <c r="C398" s="172"/>
      <c r="D398" s="173"/>
      <c r="E398" s="75"/>
      <c r="F398" s="76"/>
      <c r="G398" s="76"/>
      <c r="H398" s="174"/>
      <c r="I398" s="175"/>
      <c r="J398" s="175"/>
      <c r="K398" s="158" t="s">
        <v>1485</v>
      </c>
      <c r="L398" s="159" t="s">
        <v>1565</v>
      </c>
      <c r="M398" s="158" t="s">
        <v>34</v>
      </c>
      <c r="N398" s="160">
        <v>4</v>
      </c>
      <c r="O398" s="161">
        <v>61.97</v>
      </c>
      <c r="P398" s="161">
        <v>247.86</v>
      </c>
      <c r="Q398" s="176"/>
      <c r="T398" s="128"/>
    </row>
    <row r="399" spans="1:20" ht="18" x14ac:dyDescent="0.3">
      <c r="A399" s="171"/>
      <c r="B399" s="172"/>
      <c r="C399" s="172"/>
      <c r="D399" s="173"/>
      <c r="E399" s="75"/>
      <c r="F399" s="76"/>
      <c r="G399" s="76"/>
      <c r="H399" s="174"/>
      <c r="I399" s="175"/>
      <c r="J399" s="175"/>
      <c r="K399" s="158" t="s">
        <v>710</v>
      </c>
      <c r="L399" s="159" t="s">
        <v>711</v>
      </c>
      <c r="M399" s="158" t="s">
        <v>34</v>
      </c>
      <c r="N399" s="160">
        <v>4</v>
      </c>
      <c r="O399" s="161">
        <v>48</v>
      </c>
      <c r="P399" s="161">
        <v>192</v>
      </c>
      <c r="Q399" s="176"/>
      <c r="T399" s="128"/>
    </row>
    <row r="400" spans="1:20" ht="18" x14ac:dyDescent="0.3">
      <c r="A400" s="171"/>
      <c r="B400" s="172"/>
      <c r="C400" s="172"/>
      <c r="D400" s="173"/>
      <c r="E400" s="75"/>
      <c r="F400" s="76"/>
      <c r="G400" s="76"/>
      <c r="H400" s="174"/>
      <c r="I400" s="175"/>
      <c r="J400" s="175"/>
      <c r="K400" s="158" t="s">
        <v>651</v>
      </c>
      <c r="L400" s="159" t="s">
        <v>652</v>
      </c>
      <c r="M400" s="158" t="s">
        <v>34</v>
      </c>
      <c r="N400" s="160">
        <v>1</v>
      </c>
      <c r="O400" s="161">
        <v>147.91999999999999</v>
      </c>
      <c r="P400" s="161">
        <v>147.91999999999999</v>
      </c>
      <c r="Q400" s="176"/>
      <c r="T400" s="128"/>
    </row>
    <row r="401" spans="1:20" ht="18" x14ac:dyDescent="0.3">
      <c r="A401" s="171"/>
      <c r="B401" s="172"/>
      <c r="C401" s="172"/>
      <c r="D401" s="173"/>
      <c r="E401" s="75"/>
      <c r="F401" s="76"/>
      <c r="G401" s="76"/>
      <c r="H401" s="174"/>
      <c r="I401" s="175"/>
      <c r="J401" s="175"/>
      <c r="K401" s="158" t="s">
        <v>638</v>
      </c>
      <c r="L401" s="159" t="s">
        <v>639</v>
      </c>
      <c r="M401" s="158" t="s">
        <v>64</v>
      </c>
      <c r="N401" s="160">
        <v>1</v>
      </c>
      <c r="O401" s="161">
        <v>220</v>
      </c>
      <c r="P401" s="161">
        <v>220</v>
      </c>
      <c r="Q401" s="176"/>
      <c r="T401" s="128"/>
    </row>
    <row r="402" spans="1:20" ht="18" x14ac:dyDescent="0.3">
      <c r="A402" s="171"/>
      <c r="B402" s="172"/>
      <c r="C402" s="172"/>
      <c r="D402" s="173"/>
      <c r="E402" s="75"/>
      <c r="F402" s="76"/>
      <c r="G402" s="76"/>
      <c r="H402" s="174"/>
      <c r="I402" s="175"/>
      <c r="J402" s="175"/>
      <c r="K402" s="158" t="s">
        <v>1486</v>
      </c>
      <c r="L402" s="159" t="s">
        <v>1566</v>
      </c>
      <c r="M402" s="158" t="s">
        <v>34</v>
      </c>
      <c r="N402" s="160">
        <v>3</v>
      </c>
      <c r="O402" s="161">
        <v>204.75</v>
      </c>
      <c r="P402" s="161">
        <v>614.25</v>
      </c>
      <c r="Q402" s="176"/>
      <c r="T402" s="128"/>
    </row>
    <row r="403" spans="1:20" ht="18" x14ac:dyDescent="0.3">
      <c r="A403" s="171"/>
      <c r="B403" s="172"/>
      <c r="C403" s="172"/>
      <c r="D403" s="173"/>
      <c r="E403" s="75"/>
      <c r="F403" s="76"/>
      <c r="G403" s="76"/>
      <c r="H403" s="174"/>
      <c r="I403" s="175"/>
      <c r="J403" s="175"/>
      <c r="K403" s="158" t="s">
        <v>1487</v>
      </c>
      <c r="L403" s="159" t="s">
        <v>1567</v>
      </c>
      <c r="M403" s="158" t="s">
        <v>34</v>
      </c>
      <c r="N403" s="160">
        <v>2</v>
      </c>
      <c r="O403" s="161">
        <v>44</v>
      </c>
      <c r="P403" s="161">
        <v>88</v>
      </c>
      <c r="Q403" s="176"/>
      <c r="T403" s="128"/>
    </row>
    <row r="404" spans="1:20" ht="18" x14ac:dyDescent="0.3">
      <c r="A404" s="171"/>
      <c r="B404" s="172"/>
      <c r="C404" s="172"/>
      <c r="D404" s="173"/>
      <c r="E404" s="75"/>
      <c r="F404" s="76"/>
      <c r="G404" s="76"/>
      <c r="H404" s="174"/>
      <c r="I404" s="175"/>
      <c r="J404" s="175"/>
      <c r="K404" s="158" t="s">
        <v>1488</v>
      </c>
      <c r="L404" s="159" t="s">
        <v>1568</v>
      </c>
      <c r="M404" s="158" t="s">
        <v>34</v>
      </c>
      <c r="N404" s="160">
        <v>1</v>
      </c>
      <c r="O404" s="161">
        <v>59</v>
      </c>
      <c r="P404" s="161">
        <v>59</v>
      </c>
      <c r="Q404" s="176"/>
      <c r="T404" s="128"/>
    </row>
    <row r="405" spans="1:20" ht="18" x14ac:dyDescent="0.3">
      <c r="A405" s="171"/>
      <c r="B405" s="172"/>
      <c r="C405" s="172"/>
      <c r="D405" s="173"/>
      <c r="E405" s="75"/>
      <c r="F405" s="76"/>
      <c r="G405" s="76"/>
      <c r="H405" s="174"/>
      <c r="I405" s="175"/>
      <c r="J405" s="175"/>
      <c r="K405" s="158" t="s">
        <v>1489</v>
      </c>
      <c r="L405" s="159" t="s">
        <v>1569</v>
      </c>
      <c r="M405" s="158" t="s">
        <v>34</v>
      </c>
      <c r="N405" s="160">
        <v>1</v>
      </c>
      <c r="O405" s="161">
        <v>71</v>
      </c>
      <c r="P405" s="161">
        <v>71</v>
      </c>
      <c r="Q405" s="176"/>
      <c r="T405" s="128"/>
    </row>
    <row r="406" spans="1:20" ht="18" x14ac:dyDescent="0.3">
      <c r="A406" s="171"/>
      <c r="B406" s="172"/>
      <c r="C406" s="172"/>
      <c r="D406" s="173"/>
      <c r="E406" s="75"/>
      <c r="F406" s="76"/>
      <c r="G406" s="76"/>
      <c r="H406" s="174"/>
      <c r="I406" s="175"/>
      <c r="J406" s="175"/>
      <c r="K406" s="158" t="s">
        <v>1490</v>
      </c>
      <c r="L406" s="159" t="s">
        <v>1570</v>
      </c>
      <c r="M406" s="158" t="s">
        <v>34</v>
      </c>
      <c r="N406" s="160">
        <v>3</v>
      </c>
      <c r="O406" s="161">
        <v>216.66</v>
      </c>
      <c r="P406" s="161">
        <v>649.98</v>
      </c>
      <c r="Q406" s="176"/>
      <c r="T406" s="128"/>
    </row>
    <row r="407" spans="1:20" ht="18" x14ac:dyDescent="0.3">
      <c r="A407" s="171"/>
      <c r="B407" s="172"/>
      <c r="C407" s="172"/>
      <c r="D407" s="173"/>
      <c r="E407" s="75"/>
      <c r="F407" s="76"/>
      <c r="G407" s="76"/>
      <c r="H407" s="174"/>
      <c r="I407" s="175"/>
      <c r="J407" s="175"/>
      <c r="K407" s="158" t="s">
        <v>1491</v>
      </c>
      <c r="L407" s="159" t="s">
        <v>1571</v>
      </c>
      <c r="M407" s="158" t="s">
        <v>34</v>
      </c>
      <c r="N407" s="160">
        <v>1</v>
      </c>
      <c r="O407" s="161">
        <v>100.83</v>
      </c>
      <c r="P407" s="161">
        <v>100.83</v>
      </c>
      <c r="Q407" s="176"/>
      <c r="T407" s="128"/>
    </row>
    <row r="408" spans="1:20" ht="18" x14ac:dyDescent="0.3">
      <c r="A408" s="171"/>
      <c r="B408" s="172"/>
      <c r="C408" s="172"/>
      <c r="D408" s="173"/>
      <c r="E408" s="75"/>
      <c r="F408" s="76"/>
      <c r="G408" s="76"/>
      <c r="H408" s="174"/>
      <c r="I408" s="175"/>
      <c r="J408" s="175"/>
      <c r="K408" s="158" t="s">
        <v>1492</v>
      </c>
      <c r="L408" s="159" t="s">
        <v>1572</v>
      </c>
      <c r="M408" s="158" t="s">
        <v>34</v>
      </c>
      <c r="N408" s="160">
        <v>1</v>
      </c>
      <c r="O408" s="161">
        <v>89</v>
      </c>
      <c r="P408" s="161">
        <v>89</v>
      </c>
      <c r="Q408" s="176"/>
      <c r="T408" s="128"/>
    </row>
    <row r="409" spans="1:20" ht="18" x14ac:dyDescent="0.3">
      <c r="A409" s="171"/>
      <c r="B409" s="172"/>
      <c r="C409" s="172"/>
      <c r="D409" s="173"/>
      <c r="E409" s="75"/>
      <c r="F409" s="76"/>
      <c r="G409" s="76"/>
      <c r="H409" s="174"/>
      <c r="I409" s="175"/>
      <c r="J409" s="175"/>
      <c r="K409" s="158" t="s">
        <v>1286</v>
      </c>
      <c r="L409" s="159" t="s">
        <v>1321</v>
      </c>
      <c r="M409" s="158" t="s">
        <v>34</v>
      </c>
      <c r="N409" s="160">
        <v>1</v>
      </c>
      <c r="O409" s="161">
        <v>107</v>
      </c>
      <c r="P409" s="161">
        <v>107</v>
      </c>
      <c r="Q409" s="176"/>
      <c r="T409" s="128"/>
    </row>
    <row r="410" spans="1:20" ht="18" x14ac:dyDescent="0.3">
      <c r="A410" s="171"/>
      <c r="B410" s="172"/>
      <c r="C410" s="172"/>
      <c r="D410" s="173"/>
      <c r="E410" s="75"/>
      <c r="F410" s="76"/>
      <c r="G410" s="76"/>
      <c r="H410" s="174"/>
      <c r="I410" s="175"/>
      <c r="J410" s="175"/>
      <c r="K410" s="158" t="s">
        <v>1493</v>
      </c>
      <c r="L410" s="159" t="s">
        <v>1573</v>
      </c>
      <c r="M410" s="158" t="s">
        <v>34</v>
      </c>
      <c r="N410" s="160">
        <v>1</v>
      </c>
      <c r="O410" s="161">
        <v>97.5</v>
      </c>
      <c r="P410" s="161">
        <v>97.5</v>
      </c>
      <c r="Q410" s="176"/>
      <c r="T410" s="128"/>
    </row>
    <row r="411" spans="1:20" ht="18" x14ac:dyDescent="0.3">
      <c r="A411" s="171"/>
      <c r="B411" s="172"/>
      <c r="C411" s="172"/>
      <c r="D411" s="173"/>
      <c r="E411" s="75"/>
      <c r="F411" s="76"/>
      <c r="G411" s="76"/>
      <c r="H411" s="174"/>
      <c r="I411" s="175"/>
      <c r="J411" s="175"/>
      <c r="K411" s="158" t="s">
        <v>1494</v>
      </c>
      <c r="L411" s="159" t="s">
        <v>1574</v>
      </c>
      <c r="M411" s="158" t="s">
        <v>64</v>
      </c>
      <c r="N411" s="160">
        <v>1</v>
      </c>
      <c r="O411" s="161">
        <v>174.17</v>
      </c>
      <c r="P411" s="161">
        <v>174.17</v>
      </c>
      <c r="Q411" s="176"/>
      <c r="T411" s="128"/>
    </row>
    <row r="412" spans="1:20" ht="18" x14ac:dyDescent="0.3">
      <c r="A412" s="171"/>
      <c r="B412" s="172"/>
      <c r="C412" s="172"/>
      <c r="D412" s="173"/>
      <c r="E412" s="75"/>
      <c r="F412" s="76"/>
      <c r="G412" s="76"/>
      <c r="H412" s="174"/>
      <c r="I412" s="175"/>
      <c r="J412" s="175"/>
      <c r="K412" s="158" t="s">
        <v>1495</v>
      </c>
      <c r="L412" s="159" t="s">
        <v>1575</v>
      </c>
      <c r="M412" s="158" t="s">
        <v>34</v>
      </c>
      <c r="N412" s="160">
        <v>1</v>
      </c>
      <c r="O412" s="161">
        <v>75</v>
      </c>
      <c r="P412" s="161">
        <v>75</v>
      </c>
      <c r="Q412" s="176"/>
      <c r="T412" s="128"/>
    </row>
    <row r="413" spans="1:20" ht="18" x14ac:dyDescent="0.3">
      <c r="A413" s="171"/>
      <c r="B413" s="172"/>
      <c r="C413" s="172"/>
      <c r="D413" s="173"/>
      <c r="E413" s="75"/>
      <c r="F413" s="76"/>
      <c r="G413" s="76"/>
      <c r="H413" s="174"/>
      <c r="I413" s="175"/>
      <c r="J413" s="175"/>
      <c r="K413" s="158" t="s">
        <v>1433</v>
      </c>
      <c r="L413" s="159" t="s">
        <v>1455</v>
      </c>
      <c r="M413" s="158" t="s">
        <v>57</v>
      </c>
      <c r="N413" s="160">
        <v>1</v>
      </c>
      <c r="O413" s="161">
        <v>32.5</v>
      </c>
      <c r="P413" s="161">
        <v>32.5</v>
      </c>
      <c r="Q413" s="176"/>
      <c r="T413" s="128"/>
    </row>
    <row r="414" spans="1:20" ht="18" x14ac:dyDescent="0.3">
      <c r="A414" s="171"/>
      <c r="B414" s="172"/>
      <c r="C414" s="172"/>
      <c r="D414" s="173"/>
      <c r="E414" s="75"/>
      <c r="F414" s="76"/>
      <c r="G414" s="76"/>
      <c r="H414" s="174"/>
      <c r="I414" s="175"/>
      <c r="J414" s="175"/>
      <c r="K414" s="158" t="s">
        <v>1496</v>
      </c>
      <c r="L414" s="159" t="s">
        <v>1576</v>
      </c>
      <c r="M414" s="158" t="s">
        <v>34</v>
      </c>
      <c r="N414" s="160">
        <v>1</v>
      </c>
      <c r="O414" s="161">
        <v>57</v>
      </c>
      <c r="P414" s="161">
        <v>57</v>
      </c>
      <c r="Q414" s="176"/>
      <c r="T414" s="128"/>
    </row>
    <row r="415" spans="1:20" ht="18" x14ac:dyDescent="0.3">
      <c r="A415" s="171"/>
      <c r="B415" s="172"/>
      <c r="C415" s="172"/>
      <c r="D415" s="173"/>
      <c r="E415" s="75"/>
      <c r="F415" s="76"/>
      <c r="G415" s="76"/>
      <c r="H415" s="174"/>
      <c r="I415" s="175"/>
      <c r="J415" s="175"/>
      <c r="K415" s="158" t="s">
        <v>1497</v>
      </c>
      <c r="L415" s="159" t="s">
        <v>1577</v>
      </c>
      <c r="M415" s="158" t="s">
        <v>34</v>
      </c>
      <c r="N415" s="160">
        <v>1</v>
      </c>
      <c r="O415" s="161">
        <v>166.5</v>
      </c>
      <c r="P415" s="161">
        <v>166.5</v>
      </c>
      <c r="Q415" s="176"/>
      <c r="T415" s="128"/>
    </row>
    <row r="416" spans="1:20" ht="18" x14ac:dyDescent="0.3">
      <c r="A416" s="171"/>
      <c r="B416" s="172"/>
      <c r="C416" s="172"/>
      <c r="D416" s="173"/>
      <c r="E416" s="75"/>
      <c r="F416" s="76"/>
      <c r="G416" s="76"/>
      <c r="H416" s="174"/>
      <c r="I416" s="175"/>
      <c r="J416" s="175"/>
      <c r="K416" s="158" t="s">
        <v>1498</v>
      </c>
      <c r="L416" s="159" t="s">
        <v>1578</v>
      </c>
      <c r="M416" s="158" t="s">
        <v>34</v>
      </c>
      <c r="N416" s="160">
        <v>5</v>
      </c>
      <c r="O416" s="161">
        <v>302.39999999999998</v>
      </c>
      <c r="P416" s="162">
        <v>1512</v>
      </c>
      <c r="Q416" s="176"/>
      <c r="T416" s="128"/>
    </row>
    <row r="417" spans="1:20" ht="18" x14ac:dyDescent="0.3">
      <c r="A417" s="171"/>
      <c r="B417" s="172"/>
      <c r="C417" s="172"/>
      <c r="D417" s="173"/>
      <c r="E417" s="75"/>
      <c r="F417" s="76"/>
      <c r="G417" s="76"/>
      <c r="H417" s="174"/>
      <c r="I417" s="175"/>
      <c r="J417" s="175"/>
      <c r="K417" s="158" t="s">
        <v>1499</v>
      </c>
      <c r="L417" s="159" t="s">
        <v>1579</v>
      </c>
      <c r="M417" s="158" t="s">
        <v>34</v>
      </c>
      <c r="N417" s="160">
        <v>1</v>
      </c>
      <c r="O417" s="161">
        <v>849.2</v>
      </c>
      <c r="P417" s="161">
        <v>849.2</v>
      </c>
      <c r="Q417" s="176"/>
      <c r="T417" s="128"/>
    </row>
    <row r="418" spans="1:20" ht="18" x14ac:dyDescent="0.3">
      <c r="A418" s="171"/>
      <c r="B418" s="172"/>
      <c r="C418" s="172"/>
      <c r="D418" s="173"/>
      <c r="E418" s="75"/>
      <c r="F418" s="76"/>
      <c r="G418" s="76"/>
      <c r="H418" s="174"/>
      <c r="I418" s="175"/>
      <c r="J418" s="175"/>
      <c r="K418" s="158" t="s">
        <v>1500</v>
      </c>
      <c r="L418" s="159" t="s">
        <v>1580</v>
      </c>
      <c r="M418" s="158" t="s">
        <v>34</v>
      </c>
      <c r="N418" s="160">
        <v>1</v>
      </c>
      <c r="O418" s="161">
        <v>22</v>
      </c>
      <c r="P418" s="161">
        <v>22</v>
      </c>
      <c r="Q418" s="176"/>
      <c r="T418" s="128"/>
    </row>
    <row r="419" spans="1:20" ht="18" x14ac:dyDescent="0.3">
      <c r="A419" s="171"/>
      <c r="B419" s="172"/>
      <c r="C419" s="172"/>
      <c r="D419" s="173"/>
      <c r="E419" s="75"/>
      <c r="F419" s="76"/>
      <c r="G419" s="76"/>
      <c r="H419" s="174"/>
      <c r="I419" s="175"/>
      <c r="J419" s="175"/>
      <c r="K419" s="158" t="s">
        <v>1501</v>
      </c>
      <c r="L419" s="159" t="s">
        <v>1581</v>
      </c>
      <c r="M419" s="158" t="s">
        <v>64</v>
      </c>
      <c r="N419" s="160">
        <v>2</v>
      </c>
      <c r="O419" s="161">
        <v>51</v>
      </c>
      <c r="P419" s="161">
        <v>102</v>
      </c>
      <c r="Q419" s="176"/>
      <c r="T419" s="128"/>
    </row>
    <row r="420" spans="1:20" ht="18" x14ac:dyDescent="0.3">
      <c r="A420" s="171"/>
      <c r="B420" s="172"/>
      <c r="C420" s="172"/>
      <c r="D420" s="173"/>
      <c r="E420" s="75"/>
      <c r="F420" s="76"/>
      <c r="G420" s="76"/>
      <c r="H420" s="174"/>
      <c r="I420" s="175"/>
      <c r="J420" s="175"/>
      <c r="K420" s="158" t="s">
        <v>1502</v>
      </c>
      <c r="L420" s="159" t="s">
        <v>1582</v>
      </c>
      <c r="M420" s="158" t="s">
        <v>64</v>
      </c>
      <c r="N420" s="160">
        <v>1</v>
      </c>
      <c r="O420" s="161">
        <v>301.7</v>
      </c>
      <c r="P420" s="161">
        <v>301.7</v>
      </c>
      <c r="Q420" s="176"/>
      <c r="T420" s="128"/>
    </row>
    <row r="421" spans="1:20" ht="18" x14ac:dyDescent="0.3">
      <c r="A421" s="171"/>
      <c r="B421" s="172"/>
      <c r="C421" s="172"/>
      <c r="D421" s="173"/>
      <c r="E421" s="75"/>
      <c r="F421" s="76"/>
      <c r="G421" s="76"/>
      <c r="H421" s="174"/>
      <c r="I421" s="175"/>
      <c r="J421" s="175"/>
      <c r="K421" s="158" t="s">
        <v>1503</v>
      </c>
      <c r="L421" s="159" t="s">
        <v>1583</v>
      </c>
      <c r="M421" s="158" t="s">
        <v>35</v>
      </c>
      <c r="N421" s="160">
        <v>2</v>
      </c>
      <c r="O421" s="161">
        <v>65</v>
      </c>
      <c r="P421" s="161">
        <v>130</v>
      </c>
      <c r="Q421" s="176"/>
      <c r="T421" s="128"/>
    </row>
    <row r="422" spans="1:20" ht="18" x14ac:dyDescent="0.3">
      <c r="A422" s="171"/>
      <c r="B422" s="172"/>
      <c r="C422" s="172"/>
      <c r="D422" s="173"/>
      <c r="E422" s="75"/>
      <c r="F422" s="76"/>
      <c r="G422" s="76"/>
      <c r="H422" s="174"/>
      <c r="I422" s="175"/>
      <c r="J422" s="175"/>
      <c r="K422" s="158" t="s">
        <v>629</v>
      </c>
      <c r="L422" s="159" t="s">
        <v>138</v>
      </c>
      <c r="M422" s="158" t="s">
        <v>34</v>
      </c>
      <c r="N422" s="160">
        <v>1</v>
      </c>
      <c r="O422" s="161">
        <v>118</v>
      </c>
      <c r="P422" s="161">
        <v>118</v>
      </c>
      <c r="Q422" s="176"/>
      <c r="T422" s="128"/>
    </row>
    <row r="423" spans="1:20" ht="18" x14ac:dyDescent="0.3">
      <c r="A423" s="171"/>
      <c r="B423" s="172"/>
      <c r="C423" s="172"/>
      <c r="D423" s="173"/>
      <c r="E423" s="75"/>
      <c r="F423" s="76"/>
      <c r="G423" s="76"/>
      <c r="H423" s="174"/>
      <c r="I423" s="175"/>
      <c r="J423" s="175"/>
      <c r="K423" s="158" t="s">
        <v>1504</v>
      </c>
      <c r="L423" s="159" t="s">
        <v>1584</v>
      </c>
      <c r="M423" s="158" t="s">
        <v>34</v>
      </c>
      <c r="N423" s="160">
        <v>1</v>
      </c>
      <c r="O423" s="161">
        <v>130.71</v>
      </c>
      <c r="P423" s="161">
        <v>130.71</v>
      </c>
      <c r="Q423" s="176"/>
      <c r="T423" s="128"/>
    </row>
    <row r="424" spans="1:20" ht="18" x14ac:dyDescent="0.3">
      <c r="A424" s="171"/>
      <c r="B424" s="172"/>
      <c r="C424" s="172"/>
      <c r="D424" s="173"/>
      <c r="E424" s="75"/>
      <c r="F424" s="76"/>
      <c r="G424" s="76"/>
      <c r="H424" s="174"/>
      <c r="I424" s="175"/>
      <c r="J424" s="175"/>
      <c r="K424" s="158" t="s">
        <v>1505</v>
      </c>
      <c r="L424" s="159" t="s">
        <v>1585</v>
      </c>
      <c r="M424" s="158" t="s">
        <v>34</v>
      </c>
      <c r="N424" s="160">
        <v>1</v>
      </c>
      <c r="O424" s="161">
        <v>49</v>
      </c>
      <c r="P424" s="161">
        <v>49</v>
      </c>
      <c r="Q424" s="176"/>
      <c r="T424" s="128"/>
    </row>
    <row r="425" spans="1:20" ht="18" x14ac:dyDescent="0.3">
      <c r="A425" s="171"/>
      <c r="B425" s="172"/>
      <c r="C425" s="172"/>
      <c r="D425" s="173"/>
      <c r="E425" s="75"/>
      <c r="F425" s="76"/>
      <c r="G425" s="76"/>
      <c r="H425" s="174"/>
      <c r="I425" s="175"/>
      <c r="J425" s="175"/>
      <c r="K425" s="158" t="s">
        <v>1506</v>
      </c>
      <c r="L425" s="159" t="s">
        <v>1586</v>
      </c>
      <c r="M425" s="158" t="s">
        <v>64</v>
      </c>
      <c r="N425" s="160">
        <v>0.14000000000000001</v>
      </c>
      <c r="O425" s="162">
        <v>4165.79</v>
      </c>
      <c r="P425" s="161">
        <v>583.21</v>
      </c>
      <c r="Q425" s="176"/>
      <c r="T425" s="128"/>
    </row>
    <row r="426" spans="1:20" ht="18" x14ac:dyDescent="0.3">
      <c r="A426" s="171"/>
      <c r="B426" s="172"/>
      <c r="C426" s="172"/>
      <c r="D426" s="173"/>
      <c r="E426" s="75"/>
      <c r="F426" s="76"/>
      <c r="G426" s="76"/>
      <c r="H426" s="174"/>
      <c r="I426" s="175"/>
      <c r="J426" s="175"/>
      <c r="K426" s="158" t="s">
        <v>546</v>
      </c>
      <c r="L426" s="159" t="s">
        <v>253</v>
      </c>
      <c r="M426" s="158" t="s">
        <v>34</v>
      </c>
      <c r="N426" s="160">
        <v>1</v>
      </c>
      <c r="O426" s="161">
        <v>78</v>
      </c>
      <c r="P426" s="161">
        <v>78</v>
      </c>
      <c r="Q426" s="176"/>
      <c r="T426" s="128"/>
    </row>
    <row r="427" spans="1:20" ht="18" x14ac:dyDescent="0.3">
      <c r="A427" s="171"/>
      <c r="B427" s="172"/>
      <c r="C427" s="172"/>
      <c r="D427" s="173"/>
      <c r="E427" s="75"/>
      <c r="F427" s="76"/>
      <c r="G427" s="76"/>
      <c r="H427" s="174"/>
      <c r="I427" s="175"/>
      <c r="J427" s="175"/>
      <c r="K427" s="158" t="s">
        <v>1420</v>
      </c>
      <c r="L427" s="159" t="s">
        <v>1443</v>
      </c>
      <c r="M427" s="158" t="s">
        <v>34</v>
      </c>
      <c r="N427" s="160">
        <v>5</v>
      </c>
      <c r="O427" s="161">
        <v>90.6</v>
      </c>
      <c r="P427" s="161">
        <v>453.01</v>
      </c>
      <c r="Q427" s="176"/>
      <c r="T427" s="128"/>
    </row>
    <row r="428" spans="1:20" ht="18" x14ac:dyDescent="0.3">
      <c r="A428" s="171"/>
      <c r="B428" s="172"/>
      <c r="C428" s="172"/>
      <c r="D428" s="173"/>
      <c r="E428" s="75"/>
      <c r="F428" s="76"/>
      <c r="G428" s="76"/>
      <c r="H428" s="174"/>
      <c r="I428" s="175"/>
      <c r="J428" s="175"/>
      <c r="K428" s="158" t="s">
        <v>1507</v>
      </c>
      <c r="L428" s="159" t="s">
        <v>1587</v>
      </c>
      <c r="M428" s="158" t="s">
        <v>34</v>
      </c>
      <c r="N428" s="160">
        <v>1</v>
      </c>
      <c r="O428" s="161">
        <v>25</v>
      </c>
      <c r="P428" s="161">
        <v>25</v>
      </c>
      <c r="Q428" s="176"/>
      <c r="T428" s="128"/>
    </row>
    <row r="429" spans="1:20" ht="18" x14ac:dyDescent="0.3">
      <c r="A429" s="171"/>
      <c r="B429" s="172"/>
      <c r="C429" s="172"/>
      <c r="D429" s="173"/>
      <c r="E429" s="75"/>
      <c r="F429" s="76"/>
      <c r="G429" s="76"/>
      <c r="H429" s="174"/>
      <c r="I429" s="175"/>
      <c r="J429" s="175"/>
      <c r="K429" s="158" t="s">
        <v>646</v>
      </c>
      <c r="L429" s="159" t="s">
        <v>647</v>
      </c>
      <c r="M429" s="158" t="s">
        <v>34</v>
      </c>
      <c r="N429" s="160">
        <v>2</v>
      </c>
      <c r="O429" s="161">
        <v>304</v>
      </c>
      <c r="P429" s="161">
        <v>608</v>
      </c>
      <c r="Q429" s="176"/>
      <c r="T429" s="128"/>
    </row>
    <row r="430" spans="1:20" ht="18" x14ac:dyDescent="0.3">
      <c r="A430" s="171"/>
      <c r="B430" s="172"/>
      <c r="C430" s="172"/>
      <c r="D430" s="173"/>
      <c r="E430" s="75"/>
      <c r="F430" s="76"/>
      <c r="G430" s="76"/>
      <c r="H430" s="174"/>
      <c r="I430" s="175"/>
      <c r="J430" s="175"/>
      <c r="K430" s="158" t="s">
        <v>660</v>
      </c>
      <c r="L430" s="159" t="s">
        <v>1588</v>
      </c>
      <c r="M430" s="158" t="s">
        <v>147</v>
      </c>
      <c r="N430" s="160">
        <v>41</v>
      </c>
      <c r="O430" s="161">
        <v>24.2</v>
      </c>
      <c r="P430" s="161">
        <v>992.2</v>
      </c>
      <c r="Q430" s="176"/>
      <c r="T430" s="128"/>
    </row>
    <row r="431" spans="1:20" ht="18" x14ac:dyDescent="0.3">
      <c r="A431" s="171"/>
      <c r="B431" s="172"/>
      <c r="C431" s="172"/>
      <c r="D431" s="173"/>
      <c r="E431" s="75"/>
      <c r="F431" s="76"/>
      <c r="G431" s="76"/>
      <c r="H431" s="174"/>
      <c r="I431" s="175"/>
      <c r="J431" s="175"/>
      <c r="K431" s="158" t="s">
        <v>538</v>
      </c>
      <c r="L431" s="159" t="s">
        <v>117</v>
      </c>
      <c r="M431" s="158" t="s">
        <v>34</v>
      </c>
      <c r="N431" s="160">
        <v>3</v>
      </c>
      <c r="O431" s="161">
        <v>82.09</v>
      </c>
      <c r="P431" s="161">
        <v>246.26</v>
      </c>
      <c r="Q431" s="176"/>
      <c r="T431" s="128"/>
    </row>
    <row r="432" spans="1:20" ht="18" x14ac:dyDescent="0.3">
      <c r="A432" s="171"/>
      <c r="B432" s="172"/>
      <c r="C432" s="172"/>
      <c r="D432" s="173"/>
      <c r="E432" s="75"/>
      <c r="F432" s="76"/>
      <c r="G432" s="76"/>
      <c r="H432" s="174"/>
      <c r="I432" s="175"/>
      <c r="J432" s="175"/>
      <c r="K432" s="158" t="s">
        <v>634</v>
      </c>
      <c r="L432" s="159" t="s">
        <v>139</v>
      </c>
      <c r="M432" s="158" t="s">
        <v>34</v>
      </c>
      <c r="N432" s="160">
        <v>1</v>
      </c>
      <c r="O432" s="161">
        <v>55</v>
      </c>
      <c r="P432" s="161">
        <v>55</v>
      </c>
      <c r="Q432" s="176"/>
      <c r="T432" s="128"/>
    </row>
    <row r="433" spans="1:20" ht="18" x14ac:dyDescent="0.3">
      <c r="A433" s="171"/>
      <c r="B433" s="172"/>
      <c r="C433" s="172"/>
      <c r="D433" s="173"/>
      <c r="E433" s="75"/>
      <c r="F433" s="76"/>
      <c r="G433" s="76"/>
      <c r="H433" s="174"/>
      <c r="I433" s="175"/>
      <c r="J433" s="175"/>
      <c r="K433" s="158" t="s">
        <v>1508</v>
      </c>
      <c r="L433" s="159" t="s">
        <v>1589</v>
      </c>
      <c r="M433" s="158" t="s">
        <v>34</v>
      </c>
      <c r="N433" s="160">
        <v>1</v>
      </c>
      <c r="O433" s="161">
        <v>199</v>
      </c>
      <c r="P433" s="161">
        <v>199</v>
      </c>
      <c r="Q433" s="176"/>
      <c r="T433" s="128"/>
    </row>
    <row r="434" spans="1:20" ht="18" x14ac:dyDescent="0.3">
      <c r="A434" s="171"/>
      <c r="B434" s="172"/>
      <c r="C434" s="172"/>
      <c r="D434" s="173"/>
      <c r="E434" s="75"/>
      <c r="F434" s="76"/>
      <c r="G434" s="76"/>
      <c r="H434" s="174"/>
      <c r="I434" s="175"/>
      <c r="J434" s="175"/>
      <c r="K434" s="158" t="s">
        <v>1509</v>
      </c>
      <c r="L434" s="159" t="s">
        <v>1590</v>
      </c>
      <c r="M434" s="158" t="s">
        <v>147</v>
      </c>
      <c r="N434" s="160">
        <v>5</v>
      </c>
      <c r="O434" s="161">
        <v>127</v>
      </c>
      <c r="P434" s="161">
        <v>635</v>
      </c>
      <c r="Q434" s="176"/>
      <c r="T434" s="128"/>
    </row>
    <row r="435" spans="1:20" ht="18" x14ac:dyDescent="0.3">
      <c r="A435" s="171"/>
      <c r="B435" s="172"/>
      <c r="C435" s="172"/>
      <c r="D435" s="173"/>
      <c r="E435" s="75"/>
      <c r="F435" s="76"/>
      <c r="G435" s="76"/>
      <c r="H435" s="174"/>
      <c r="I435" s="175"/>
      <c r="J435" s="175"/>
      <c r="K435" s="158" t="s">
        <v>1510</v>
      </c>
      <c r="L435" s="159" t="s">
        <v>1591</v>
      </c>
      <c r="M435" s="158" t="s">
        <v>34</v>
      </c>
      <c r="N435" s="160">
        <v>2</v>
      </c>
      <c r="O435" s="161">
        <v>156.66999999999999</v>
      </c>
      <c r="P435" s="161">
        <v>313.33999999999997</v>
      </c>
      <c r="Q435" s="176"/>
      <c r="T435" s="128"/>
    </row>
    <row r="436" spans="1:20" ht="18" x14ac:dyDescent="0.3">
      <c r="A436" s="171"/>
      <c r="B436" s="172"/>
      <c r="C436" s="172"/>
      <c r="D436" s="173"/>
      <c r="E436" s="75"/>
      <c r="F436" s="76"/>
      <c r="G436" s="76"/>
      <c r="H436" s="174"/>
      <c r="I436" s="175"/>
      <c r="J436" s="175"/>
      <c r="K436" s="158" t="s">
        <v>1511</v>
      </c>
      <c r="L436" s="159" t="s">
        <v>1592</v>
      </c>
      <c r="M436" s="158" t="s">
        <v>34</v>
      </c>
      <c r="N436" s="160">
        <v>9</v>
      </c>
      <c r="O436" s="161">
        <v>4.6500000000000004</v>
      </c>
      <c r="P436" s="161">
        <v>41.85</v>
      </c>
      <c r="Q436" s="176"/>
      <c r="T436" s="128"/>
    </row>
    <row r="437" spans="1:20" ht="18" x14ac:dyDescent="0.3">
      <c r="A437" s="171"/>
      <c r="B437" s="172"/>
      <c r="C437" s="172"/>
      <c r="D437" s="173"/>
      <c r="E437" s="75"/>
      <c r="F437" s="76"/>
      <c r="G437" s="76"/>
      <c r="H437" s="174"/>
      <c r="I437" s="175"/>
      <c r="J437" s="175"/>
      <c r="K437" s="158" t="s">
        <v>1512</v>
      </c>
      <c r="L437" s="159" t="s">
        <v>1593</v>
      </c>
      <c r="M437" s="158" t="s">
        <v>34</v>
      </c>
      <c r="N437" s="160">
        <v>2</v>
      </c>
      <c r="O437" s="161">
        <v>7.5</v>
      </c>
      <c r="P437" s="161">
        <v>15</v>
      </c>
      <c r="Q437" s="176"/>
      <c r="T437" s="128"/>
    </row>
    <row r="438" spans="1:20" ht="18" x14ac:dyDescent="0.3">
      <c r="A438" s="171"/>
      <c r="B438" s="172"/>
      <c r="C438" s="172"/>
      <c r="D438" s="173"/>
      <c r="E438" s="75"/>
      <c r="F438" s="76"/>
      <c r="G438" s="76"/>
      <c r="H438" s="174"/>
      <c r="I438" s="175"/>
      <c r="J438" s="175"/>
      <c r="K438" s="158" t="s">
        <v>1513</v>
      </c>
      <c r="L438" s="159" t="s">
        <v>1594</v>
      </c>
      <c r="M438" s="158" t="s">
        <v>34</v>
      </c>
      <c r="N438" s="160">
        <v>1</v>
      </c>
      <c r="O438" s="161">
        <v>293.33</v>
      </c>
      <c r="P438" s="161">
        <v>293.33</v>
      </c>
      <c r="Q438" s="176"/>
      <c r="T438" s="128"/>
    </row>
    <row r="439" spans="1:20" ht="18" x14ac:dyDescent="0.3">
      <c r="A439" s="171"/>
      <c r="B439" s="172"/>
      <c r="C439" s="172"/>
      <c r="D439" s="173"/>
      <c r="E439" s="75"/>
      <c r="F439" s="76"/>
      <c r="G439" s="76"/>
      <c r="H439" s="174"/>
      <c r="I439" s="175"/>
      <c r="J439" s="175"/>
      <c r="K439" s="158" t="s">
        <v>1514</v>
      </c>
      <c r="L439" s="159" t="s">
        <v>1595</v>
      </c>
      <c r="M439" s="158" t="s">
        <v>34</v>
      </c>
      <c r="N439" s="160">
        <v>5</v>
      </c>
      <c r="O439" s="161">
        <v>31.8</v>
      </c>
      <c r="P439" s="161">
        <v>159</v>
      </c>
      <c r="Q439" s="176"/>
      <c r="T439" s="128"/>
    </row>
    <row r="440" spans="1:20" ht="18" x14ac:dyDescent="0.3">
      <c r="A440" s="171"/>
      <c r="B440" s="172"/>
      <c r="C440" s="172"/>
      <c r="D440" s="173"/>
      <c r="E440" s="75"/>
      <c r="F440" s="76"/>
      <c r="G440" s="76"/>
      <c r="H440" s="174"/>
      <c r="I440" s="175"/>
      <c r="J440" s="175"/>
      <c r="K440" s="158" t="s">
        <v>1515</v>
      </c>
      <c r="L440" s="159" t="s">
        <v>1596</v>
      </c>
      <c r="M440" s="158" t="s">
        <v>34</v>
      </c>
      <c r="N440" s="160">
        <v>1</v>
      </c>
      <c r="O440" s="161">
        <v>120</v>
      </c>
      <c r="P440" s="161">
        <v>120</v>
      </c>
      <c r="Q440" s="176"/>
      <c r="T440" s="128"/>
    </row>
    <row r="441" spans="1:20" ht="18" x14ac:dyDescent="0.3">
      <c r="A441" s="171"/>
      <c r="B441" s="172"/>
      <c r="C441" s="172"/>
      <c r="D441" s="173"/>
      <c r="E441" s="75"/>
      <c r="F441" s="76"/>
      <c r="G441" s="76"/>
      <c r="H441" s="174"/>
      <c r="I441" s="175"/>
      <c r="J441" s="175"/>
      <c r="K441" s="158" t="s">
        <v>1516</v>
      </c>
      <c r="L441" s="159" t="s">
        <v>1597</v>
      </c>
      <c r="M441" s="158" t="s">
        <v>34</v>
      </c>
      <c r="N441" s="160">
        <v>2</v>
      </c>
      <c r="O441" s="161">
        <v>61</v>
      </c>
      <c r="P441" s="161">
        <v>122</v>
      </c>
      <c r="Q441" s="176"/>
      <c r="T441" s="128"/>
    </row>
    <row r="442" spans="1:20" ht="18" x14ac:dyDescent="0.3">
      <c r="A442" s="171"/>
      <c r="B442" s="172"/>
      <c r="C442" s="172"/>
      <c r="D442" s="173"/>
      <c r="E442" s="75"/>
      <c r="F442" s="76"/>
      <c r="G442" s="76"/>
      <c r="H442" s="174"/>
      <c r="I442" s="175"/>
      <c r="J442" s="175"/>
      <c r="K442" s="158" t="s">
        <v>1517</v>
      </c>
      <c r="L442" s="159" t="s">
        <v>1598</v>
      </c>
      <c r="M442" s="158" t="s">
        <v>34</v>
      </c>
      <c r="N442" s="160">
        <v>1</v>
      </c>
      <c r="O442" s="161">
        <v>197</v>
      </c>
      <c r="P442" s="161">
        <v>197</v>
      </c>
      <c r="Q442" s="176"/>
      <c r="T442" s="128"/>
    </row>
    <row r="443" spans="1:20" ht="18" x14ac:dyDescent="0.3">
      <c r="A443" s="53"/>
      <c r="B443" s="54"/>
      <c r="C443" s="54"/>
      <c r="D443" s="55"/>
      <c r="E443" s="75"/>
      <c r="F443" s="76"/>
      <c r="G443" s="76"/>
      <c r="H443" s="48"/>
      <c r="I443" s="70"/>
      <c r="J443" s="70"/>
      <c r="K443" s="158" t="s">
        <v>703</v>
      </c>
      <c r="L443" s="159" t="s">
        <v>704</v>
      </c>
      <c r="M443" s="158" t="s">
        <v>34</v>
      </c>
      <c r="N443" s="160">
        <v>1</v>
      </c>
      <c r="O443" s="161">
        <v>89.5</v>
      </c>
      <c r="P443" s="161">
        <v>89.5</v>
      </c>
      <c r="Q443" s="134"/>
      <c r="T443" s="128"/>
    </row>
    <row r="444" spans="1:20" ht="18" x14ac:dyDescent="0.3">
      <c r="A444" s="53"/>
      <c r="B444" s="54"/>
      <c r="C444" s="54"/>
      <c r="D444" s="55"/>
      <c r="E444" s="75"/>
      <c r="F444" s="76"/>
      <c r="G444" s="76"/>
      <c r="H444" s="48"/>
      <c r="I444" s="70"/>
      <c r="J444" s="70"/>
      <c r="K444" s="158" t="s">
        <v>1518</v>
      </c>
      <c r="L444" s="159" t="s">
        <v>1599</v>
      </c>
      <c r="M444" s="158" t="s">
        <v>34</v>
      </c>
      <c r="N444" s="160">
        <v>1</v>
      </c>
      <c r="O444" s="161">
        <v>112</v>
      </c>
      <c r="P444" s="161">
        <v>112</v>
      </c>
      <c r="Q444" s="134"/>
      <c r="T444" s="128"/>
    </row>
    <row r="445" spans="1:20" ht="18" x14ac:dyDescent="0.3">
      <c r="A445" s="53"/>
      <c r="B445" s="54"/>
      <c r="C445" s="54"/>
      <c r="D445" s="55"/>
      <c r="E445" s="75"/>
      <c r="F445" s="76"/>
      <c r="G445" s="76"/>
      <c r="H445" s="48"/>
      <c r="I445" s="70"/>
      <c r="J445" s="70"/>
      <c r="K445" s="158" t="s">
        <v>649</v>
      </c>
      <c r="L445" s="159" t="s">
        <v>650</v>
      </c>
      <c r="M445" s="158" t="s">
        <v>34</v>
      </c>
      <c r="N445" s="160">
        <v>4</v>
      </c>
      <c r="O445" s="161">
        <v>83.29</v>
      </c>
      <c r="P445" s="161">
        <v>333.17</v>
      </c>
      <c r="Q445" s="134"/>
      <c r="T445" s="128"/>
    </row>
    <row r="446" spans="1:20" ht="18" x14ac:dyDescent="0.3">
      <c r="A446" s="53"/>
      <c r="B446" s="54"/>
      <c r="C446" s="54"/>
      <c r="D446" s="55"/>
      <c r="E446" s="75"/>
      <c r="F446" s="76"/>
      <c r="G446" s="76"/>
      <c r="H446" s="48"/>
      <c r="I446" s="70"/>
      <c r="J446" s="70"/>
      <c r="K446" s="158" t="s">
        <v>1519</v>
      </c>
      <c r="L446" s="159" t="s">
        <v>1600</v>
      </c>
      <c r="M446" s="158" t="s">
        <v>34</v>
      </c>
      <c r="N446" s="160">
        <v>1</v>
      </c>
      <c r="O446" s="161">
        <v>48</v>
      </c>
      <c r="P446" s="161">
        <v>48</v>
      </c>
      <c r="Q446" s="134"/>
      <c r="T446" s="128"/>
    </row>
    <row r="447" spans="1:20" ht="18" x14ac:dyDescent="0.3">
      <c r="A447" s="53"/>
      <c r="B447" s="54"/>
      <c r="C447" s="54"/>
      <c r="D447" s="55"/>
      <c r="E447" s="75"/>
      <c r="F447" s="76"/>
      <c r="G447" s="76"/>
      <c r="H447" s="48"/>
      <c r="I447" s="70"/>
      <c r="J447" s="70"/>
      <c r="K447" s="158" t="s">
        <v>1520</v>
      </c>
      <c r="L447" s="159" t="s">
        <v>1601</v>
      </c>
      <c r="M447" s="158" t="s">
        <v>34</v>
      </c>
      <c r="N447" s="160">
        <v>1</v>
      </c>
      <c r="O447" s="161">
        <v>50.6</v>
      </c>
      <c r="P447" s="161">
        <v>50.6</v>
      </c>
      <c r="Q447" s="134"/>
      <c r="T447" s="128"/>
    </row>
    <row r="448" spans="1:20" ht="18" x14ac:dyDescent="0.3">
      <c r="A448" s="53"/>
      <c r="B448" s="54"/>
      <c r="C448" s="54"/>
      <c r="D448" s="55"/>
      <c r="E448" s="75"/>
      <c r="F448" s="76"/>
      <c r="G448" s="76"/>
      <c r="H448" s="48"/>
      <c r="I448" s="70"/>
      <c r="J448" s="70"/>
      <c r="K448" s="158" t="s">
        <v>648</v>
      </c>
      <c r="L448" s="159" t="s">
        <v>145</v>
      </c>
      <c r="M448" s="158" t="s">
        <v>37</v>
      </c>
      <c r="N448" s="160">
        <v>22</v>
      </c>
      <c r="O448" s="161">
        <v>61.25</v>
      </c>
      <c r="P448" s="162">
        <v>1347.5</v>
      </c>
      <c r="Q448" s="134"/>
      <c r="T448" s="128"/>
    </row>
    <row r="449" spans="1:20" ht="18" x14ac:dyDescent="0.3">
      <c r="A449" s="53"/>
      <c r="B449" s="54"/>
      <c r="C449" s="54"/>
      <c r="D449" s="55"/>
      <c r="E449" s="75"/>
      <c r="F449" s="76"/>
      <c r="G449" s="76"/>
      <c r="H449" s="48"/>
      <c r="I449" s="70"/>
      <c r="J449" s="70"/>
      <c r="K449" s="158" t="s">
        <v>1521</v>
      </c>
      <c r="L449" s="159" t="s">
        <v>1602</v>
      </c>
      <c r="M449" s="158" t="s">
        <v>34</v>
      </c>
      <c r="N449" s="160">
        <v>1</v>
      </c>
      <c r="O449" s="161">
        <v>33.33</v>
      </c>
      <c r="P449" s="161">
        <v>33.33</v>
      </c>
      <c r="Q449" s="134"/>
      <c r="T449" s="128"/>
    </row>
    <row r="450" spans="1:20" ht="18" x14ac:dyDescent="0.3">
      <c r="A450" s="53"/>
      <c r="B450" s="54"/>
      <c r="C450" s="54"/>
      <c r="D450" s="55"/>
      <c r="E450" s="75"/>
      <c r="F450" s="76"/>
      <c r="G450" s="76"/>
      <c r="H450" s="48"/>
      <c r="I450" s="70"/>
      <c r="J450" s="70"/>
      <c r="K450" s="158" t="s">
        <v>1522</v>
      </c>
      <c r="L450" s="159" t="s">
        <v>1603</v>
      </c>
      <c r="M450" s="158" t="s">
        <v>34</v>
      </c>
      <c r="N450" s="160">
        <v>1</v>
      </c>
      <c r="O450" s="161">
        <v>183.89</v>
      </c>
      <c r="P450" s="161">
        <v>183.89</v>
      </c>
      <c r="Q450" s="134"/>
      <c r="T450" s="128"/>
    </row>
    <row r="451" spans="1:20" ht="18" x14ac:dyDescent="0.3">
      <c r="A451" s="53"/>
      <c r="B451" s="54"/>
      <c r="C451" s="54"/>
      <c r="D451" s="55"/>
      <c r="E451" s="75"/>
      <c r="F451" s="76"/>
      <c r="G451" s="76"/>
      <c r="H451" s="48"/>
      <c r="I451" s="70"/>
      <c r="J451" s="70"/>
      <c r="K451" s="158" t="s">
        <v>607</v>
      </c>
      <c r="L451" s="159" t="s">
        <v>608</v>
      </c>
      <c r="M451" s="158" t="s">
        <v>34</v>
      </c>
      <c r="N451" s="160">
        <v>12</v>
      </c>
      <c r="O451" s="161">
        <v>39.200000000000003</v>
      </c>
      <c r="P451" s="161">
        <v>470.4</v>
      </c>
      <c r="Q451" s="134"/>
      <c r="T451" s="128"/>
    </row>
    <row r="452" spans="1:20" ht="18" x14ac:dyDescent="0.3">
      <c r="A452" s="53"/>
      <c r="B452" s="54"/>
      <c r="C452" s="54"/>
      <c r="D452" s="55"/>
      <c r="E452" s="75"/>
      <c r="F452" s="76"/>
      <c r="G452" s="76"/>
      <c r="H452" s="48"/>
      <c r="I452" s="70"/>
      <c r="J452" s="70"/>
      <c r="K452" s="158" t="s">
        <v>600</v>
      </c>
      <c r="L452" s="159" t="s">
        <v>258</v>
      </c>
      <c r="M452" s="158" t="s">
        <v>34</v>
      </c>
      <c r="N452" s="160">
        <v>2</v>
      </c>
      <c r="O452" s="161">
        <v>149.16999999999999</v>
      </c>
      <c r="P452" s="161">
        <v>298.33999999999997</v>
      </c>
      <c r="Q452" s="134"/>
      <c r="T452" s="128"/>
    </row>
    <row r="453" spans="1:20" ht="18" x14ac:dyDescent="0.3">
      <c r="A453" s="53"/>
      <c r="B453" s="54"/>
      <c r="C453" s="54"/>
      <c r="D453" s="55"/>
      <c r="E453" s="75"/>
      <c r="F453" s="76"/>
      <c r="G453" s="76"/>
      <c r="H453" s="48"/>
      <c r="I453" s="70"/>
      <c r="J453" s="70"/>
      <c r="K453" s="158" t="s">
        <v>1523</v>
      </c>
      <c r="L453" s="159" t="s">
        <v>1604</v>
      </c>
      <c r="M453" s="158" t="s">
        <v>34</v>
      </c>
      <c r="N453" s="160">
        <v>1</v>
      </c>
      <c r="O453" s="161">
        <v>82</v>
      </c>
      <c r="P453" s="161">
        <v>82</v>
      </c>
      <c r="Q453" s="134"/>
      <c r="T453" s="128"/>
    </row>
    <row r="454" spans="1:20" ht="18" x14ac:dyDescent="0.3">
      <c r="A454" s="53"/>
      <c r="B454" s="54"/>
      <c r="C454" s="54"/>
      <c r="D454" s="55"/>
      <c r="E454" s="75"/>
      <c r="F454" s="76"/>
      <c r="G454" s="76"/>
      <c r="H454" s="48"/>
      <c r="I454" s="70"/>
      <c r="J454" s="70"/>
      <c r="K454" s="158" t="s">
        <v>1524</v>
      </c>
      <c r="L454" s="159" t="s">
        <v>1605</v>
      </c>
      <c r="M454" s="158" t="s">
        <v>34</v>
      </c>
      <c r="N454" s="160">
        <v>1</v>
      </c>
      <c r="O454" s="161">
        <v>263</v>
      </c>
      <c r="P454" s="161">
        <v>263</v>
      </c>
      <c r="Q454" s="134"/>
      <c r="T454" s="128"/>
    </row>
    <row r="455" spans="1:20" ht="18" x14ac:dyDescent="0.3">
      <c r="A455" s="53"/>
      <c r="B455" s="54"/>
      <c r="C455" s="54"/>
      <c r="D455" s="55"/>
      <c r="E455" s="75"/>
      <c r="F455" s="76"/>
      <c r="G455" s="76"/>
      <c r="H455" s="48"/>
      <c r="I455" s="70"/>
      <c r="J455" s="70"/>
      <c r="K455" s="158" t="s">
        <v>1525</v>
      </c>
      <c r="L455" s="159" t="s">
        <v>1606</v>
      </c>
      <c r="M455" s="158" t="s">
        <v>34</v>
      </c>
      <c r="N455" s="160">
        <v>1</v>
      </c>
      <c r="O455" s="161">
        <v>93.6</v>
      </c>
      <c r="P455" s="161">
        <v>93.6</v>
      </c>
      <c r="Q455" s="134"/>
      <c r="T455" s="128"/>
    </row>
    <row r="456" spans="1:20" ht="18" x14ac:dyDescent="0.3">
      <c r="A456" s="53"/>
      <c r="B456" s="54"/>
      <c r="C456" s="54"/>
      <c r="D456" s="55"/>
      <c r="E456" s="75"/>
      <c r="F456" s="76"/>
      <c r="G456" s="76"/>
      <c r="H456" s="48"/>
      <c r="I456" s="70"/>
      <c r="J456" s="70"/>
      <c r="K456" s="158" t="s">
        <v>1526</v>
      </c>
      <c r="L456" s="159" t="s">
        <v>1607</v>
      </c>
      <c r="M456" s="158" t="s">
        <v>34</v>
      </c>
      <c r="N456" s="160">
        <v>1</v>
      </c>
      <c r="O456" s="161">
        <v>152.9</v>
      </c>
      <c r="P456" s="161">
        <v>152.9</v>
      </c>
      <c r="Q456" s="134"/>
      <c r="T456" s="128"/>
    </row>
    <row r="457" spans="1:20" ht="18" x14ac:dyDescent="0.3">
      <c r="A457" s="53"/>
      <c r="B457" s="54"/>
      <c r="C457" s="54"/>
      <c r="D457" s="55"/>
      <c r="E457" s="75"/>
      <c r="F457" s="76"/>
      <c r="G457" s="76"/>
      <c r="H457" s="48"/>
      <c r="I457" s="70"/>
      <c r="J457" s="70"/>
      <c r="K457" s="158" t="s">
        <v>1527</v>
      </c>
      <c r="L457" s="159" t="s">
        <v>1608</v>
      </c>
      <c r="M457" s="158" t="s">
        <v>34</v>
      </c>
      <c r="N457" s="160">
        <v>11</v>
      </c>
      <c r="O457" s="161">
        <v>21.84</v>
      </c>
      <c r="P457" s="161">
        <v>240.28</v>
      </c>
      <c r="Q457" s="134"/>
      <c r="T457" s="128"/>
    </row>
    <row r="458" spans="1:20" ht="18" x14ac:dyDescent="0.3">
      <c r="A458" s="53"/>
      <c r="B458" s="54"/>
      <c r="C458" s="54"/>
      <c r="D458" s="55"/>
      <c r="E458" s="75"/>
      <c r="F458" s="76"/>
      <c r="G458" s="76"/>
      <c r="H458" s="48"/>
      <c r="I458" s="70"/>
      <c r="J458" s="70"/>
      <c r="K458" s="158" t="s">
        <v>1528</v>
      </c>
      <c r="L458" s="159" t="s">
        <v>1609</v>
      </c>
      <c r="M458" s="158" t="s">
        <v>34</v>
      </c>
      <c r="N458" s="160">
        <v>1</v>
      </c>
      <c r="O458" s="161">
        <v>59</v>
      </c>
      <c r="P458" s="161">
        <v>59</v>
      </c>
      <c r="Q458" s="134"/>
      <c r="T458" s="128"/>
    </row>
    <row r="459" spans="1:20" ht="18" x14ac:dyDescent="0.3">
      <c r="A459" s="53"/>
      <c r="B459" s="54"/>
      <c r="C459" s="54"/>
      <c r="D459" s="55"/>
      <c r="E459" s="75"/>
      <c r="F459" s="76"/>
      <c r="G459" s="76"/>
      <c r="H459" s="48"/>
      <c r="I459" s="70"/>
      <c r="J459" s="70"/>
      <c r="K459" s="158" t="s">
        <v>1529</v>
      </c>
      <c r="L459" s="159" t="s">
        <v>410</v>
      </c>
      <c r="M459" s="158" t="s">
        <v>34</v>
      </c>
      <c r="N459" s="160">
        <v>10</v>
      </c>
      <c r="O459" s="161">
        <v>176.17</v>
      </c>
      <c r="P459" s="162">
        <v>1761.65</v>
      </c>
      <c r="Q459" s="134"/>
      <c r="T459" s="128"/>
    </row>
    <row r="460" spans="1:20" ht="18" x14ac:dyDescent="0.3">
      <c r="A460" s="53"/>
      <c r="B460" s="54"/>
      <c r="C460" s="54"/>
      <c r="D460" s="55"/>
      <c r="E460" s="75"/>
      <c r="F460" s="76"/>
      <c r="G460" s="76"/>
      <c r="H460" s="48"/>
      <c r="I460" s="70"/>
      <c r="J460" s="70"/>
      <c r="K460" s="158" t="s">
        <v>1530</v>
      </c>
      <c r="L460" s="159" t="s">
        <v>1610</v>
      </c>
      <c r="M460" s="158" t="s">
        <v>34</v>
      </c>
      <c r="N460" s="160">
        <v>1</v>
      </c>
      <c r="O460" s="161">
        <v>555</v>
      </c>
      <c r="P460" s="161">
        <v>555</v>
      </c>
      <c r="Q460" s="134"/>
      <c r="T460" s="128"/>
    </row>
    <row r="461" spans="1:20" ht="18" x14ac:dyDescent="0.3">
      <c r="A461" s="53"/>
      <c r="B461" s="54"/>
      <c r="C461" s="54"/>
      <c r="D461" s="55"/>
      <c r="E461" s="75"/>
      <c r="F461" s="76"/>
      <c r="G461" s="76"/>
      <c r="H461" s="48"/>
      <c r="I461" s="70"/>
      <c r="J461" s="70"/>
      <c r="K461" s="158" t="s">
        <v>1531</v>
      </c>
      <c r="L461" s="159" t="s">
        <v>1611</v>
      </c>
      <c r="M461" s="158" t="s">
        <v>34</v>
      </c>
      <c r="N461" s="160">
        <v>3</v>
      </c>
      <c r="O461" s="161">
        <v>44.5</v>
      </c>
      <c r="P461" s="161">
        <v>133.5</v>
      </c>
      <c r="Q461" s="134"/>
      <c r="T461" s="128"/>
    </row>
    <row r="462" spans="1:20" ht="18" x14ac:dyDescent="0.3">
      <c r="A462" s="53"/>
      <c r="B462" s="54"/>
      <c r="C462" s="54"/>
      <c r="D462" s="55"/>
      <c r="E462" s="75"/>
      <c r="F462" s="76"/>
      <c r="G462" s="76"/>
      <c r="H462" s="48"/>
      <c r="I462" s="70"/>
      <c r="J462" s="70"/>
      <c r="K462" s="158" t="s">
        <v>674</v>
      </c>
      <c r="L462" s="159" t="s">
        <v>675</v>
      </c>
      <c r="M462" s="158" t="s">
        <v>34</v>
      </c>
      <c r="N462" s="160">
        <v>1</v>
      </c>
      <c r="O462" s="161">
        <v>28.08</v>
      </c>
      <c r="P462" s="161">
        <v>28.08</v>
      </c>
      <c r="Q462" s="134"/>
      <c r="T462" s="128"/>
    </row>
    <row r="463" spans="1:20" ht="18" x14ac:dyDescent="0.3">
      <c r="A463" s="53"/>
      <c r="B463" s="54"/>
      <c r="C463" s="54"/>
      <c r="D463" s="55"/>
      <c r="E463" s="75"/>
      <c r="F463" s="76"/>
      <c r="G463" s="76"/>
      <c r="H463" s="48"/>
      <c r="I463" s="70"/>
      <c r="J463" s="70"/>
      <c r="K463" s="158" t="s">
        <v>1532</v>
      </c>
      <c r="L463" s="159" t="s">
        <v>1612</v>
      </c>
      <c r="M463" s="158" t="s">
        <v>64</v>
      </c>
      <c r="N463" s="160">
        <v>1</v>
      </c>
      <c r="O463" s="161">
        <v>288.8</v>
      </c>
      <c r="P463" s="161">
        <v>288.8</v>
      </c>
      <c r="Q463" s="134"/>
      <c r="T463" s="128"/>
    </row>
    <row r="464" spans="1:20" ht="18" x14ac:dyDescent="0.3">
      <c r="A464" s="53"/>
      <c r="B464" s="54"/>
      <c r="C464" s="54"/>
      <c r="D464" s="55"/>
      <c r="E464" s="75"/>
      <c r="F464" s="76"/>
      <c r="G464" s="76"/>
      <c r="H464" s="48"/>
      <c r="I464" s="70"/>
      <c r="J464" s="70"/>
      <c r="K464" s="158" t="s">
        <v>1533</v>
      </c>
      <c r="L464" s="159" t="s">
        <v>1613</v>
      </c>
      <c r="M464" s="158" t="s">
        <v>34</v>
      </c>
      <c r="N464" s="160">
        <v>1</v>
      </c>
      <c r="O464" s="161">
        <v>376</v>
      </c>
      <c r="P464" s="161">
        <v>376</v>
      </c>
      <c r="Q464" s="134"/>
      <c r="T464" s="128"/>
    </row>
    <row r="465" spans="1:20" ht="18" x14ac:dyDescent="0.3">
      <c r="A465" s="15"/>
      <c r="B465" s="20"/>
      <c r="C465" s="44"/>
      <c r="D465" s="44"/>
      <c r="E465" s="75"/>
      <c r="F465" s="76"/>
      <c r="G465" s="76"/>
      <c r="H465" s="49"/>
      <c r="I465" s="49"/>
      <c r="J465" s="49"/>
      <c r="K465" s="158" t="s">
        <v>1534</v>
      </c>
      <c r="L465" s="159" t="s">
        <v>1614</v>
      </c>
      <c r="M465" s="158" t="s">
        <v>34</v>
      </c>
      <c r="N465" s="160">
        <v>1</v>
      </c>
      <c r="O465" s="161">
        <v>24.75</v>
      </c>
      <c r="P465" s="161">
        <v>24.75</v>
      </c>
      <c r="Q465" s="19"/>
      <c r="S465" s="4"/>
      <c r="T465" s="128"/>
    </row>
    <row r="466" spans="1:20" ht="18" x14ac:dyDescent="0.3">
      <c r="A466" s="15"/>
      <c r="B466" s="20"/>
      <c r="C466" s="44"/>
      <c r="D466" s="44"/>
      <c r="E466" s="75"/>
      <c r="F466" s="76"/>
      <c r="G466" s="76"/>
      <c r="H466" s="49"/>
      <c r="I466" s="49"/>
      <c r="J466" s="49"/>
      <c r="K466" s="158" t="s">
        <v>1535</v>
      </c>
      <c r="L466" s="159" t="s">
        <v>1615</v>
      </c>
      <c r="M466" s="158" t="s">
        <v>34</v>
      </c>
      <c r="N466" s="160">
        <v>1</v>
      </c>
      <c r="O466" s="161">
        <v>821.67</v>
      </c>
      <c r="P466" s="161">
        <v>821.67</v>
      </c>
      <c r="Q466" s="19"/>
      <c r="S466" s="4"/>
      <c r="T466" s="128"/>
    </row>
    <row r="467" spans="1:20" ht="18" x14ac:dyDescent="0.3">
      <c r="A467" s="15"/>
      <c r="B467" s="20"/>
      <c r="C467" s="44"/>
      <c r="D467" s="44"/>
      <c r="E467" s="75"/>
      <c r="F467" s="76"/>
      <c r="G467" s="76"/>
      <c r="H467" s="49"/>
      <c r="I467" s="49"/>
      <c r="J467" s="49"/>
      <c r="K467" s="158" t="s">
        <v>1536</v>
      </c>
      <c r="L467" s="159" t="s">
        <v>1616</v>
      </c>
      <c r="M467" s="158" t="s">
        <v>34</v>
      </c>
      <c r="N467" s="160">
        <v>1</v>
      </c>
      <c r="O467" s="161">
        <v>51</v>
      </c>
      <c r="P467" s="161">
        <v>51</v>
      </c>
      <c r="Q467" s="19"/>
      <c r="S467" s="4"/>
      <c r="T467" s="128"/>
    </row>
    <row r="468" spans="1:20" ht="18" x14ac:dyDescent="0.3">
      <c r="A468" s="15"/>
      <c r="B468" s="20"/>
      <c r="C468" s="44"/>
      <c r="D468" s="44"/>
      <c r="E468" s="75"/>
      <c r="F468" s="76"/>
      <c r="G468" s="76"/>
      <c r="H468" s="49"/>
      <c r="I468" s="49"/>
      <c r="J468" s="49"/>
      <c r="K468" s="158" t="s">
        <v>1537</v>
      </c>
      <c r="L468" s="159" t="s">
        <v>1617</v>
      </c>
      <c r="M468" s="158" t="s">
        <v>34</v>
      </c>
      <c r="N468" s="160">
        <v>1</v>
      </c>
      <c r="O468" s="161">
        <v>69</v>
      </c>
      <c r="P468" s="161">
        <v>69</v>
      </c>
      <c r="Q468" s="19"/>
      <c r="S468" s="4"/>
      <c r="T468" s="128"/>
    </row>
    <row r="469" spans="1:20" ht="18" x14ac:dyDescent="0.3">
      <c r="A469" s="15"/>
      <c r="B469" s="20"/>
      <c r="C469" s="44"/>
      <c r="D469" s="44"/>
      <c r="E469" s="75"/>
      <c r="F469" s="76"/>
      <c r="G469" s="76"/>
      <c r="H469" s="49"/>
      <c r="I469" s="49"/>
      <c r="J469" s="49"/>
      <c r="K469" s="273" t="s">
        <v>1843</v>
      </c>
      <c r="L469" s="274" t="s">
        <v>1844</v>
      </c>
      <c r="M469" s="273" t="s">
        <v>1845</v>
      </c>
      <c r="N469" s="275">
        <v>0.2</v>
      </c>
      <c r="O469" s="276">
        <v>1042.5</v>
      </c>
      <c r="P469" s="277">
        <v>208.5</v>
      </c>
      <c r="Q469" s="19"/>
      <c r="S469" s="4"/>
      <c r="T469" s="128"/>
    </row>
    <row r="470" spans="1:20" ht="18" x14ac:dyDescent="0.3">
      <c r="A470" s="15"/>
      <c r="B470" s="20"/>
      <c r="C470" s="44"/>
      <c r="D470" s="44"/>
      <c r="E470" s="75"/>
      <c r="F470" s="76"/>
      <c r="G470" s="76"/>
      <c r="H470" s="49"/>
      <c r="I470" s="49"/>
      <c r="J470" s="49"/>
      <c r="K470" s="130"/>
      <c r="L470" s="131"/>
      <c r="M470" s="130"/>
      <c r="N470" s="129"/>
      <c r="O470" s="135"/>
      <c r="P470" s="132"/>
      <c r="Q470" s="19"/>
      <c r="S470" s="4"/>
      <c r="T470" s="128"/>
    </row>
    <row r="471" spans="1:20" ht="18.600000000000001" thickBot="1" x14ac:dyDescent="0.35">
      <c r="A471" s="15"/>
      <c r="B471" s="20"/>
      <c r="C471" s="44"/>
      <c r="D471" s="44"/>
      <c r="E471" s="75"/>
      <c r="F471" s="76"/>
      <c r="G471" s="76"/>
      <c r="H471" s="49"/>
      <c r="I471" s="49"/>
      <c r="J471" s="49"/>
      <c r="K471" s="67"/>
      <c r="L471" s="68"/>
      <c r="M471" s="68"/>
      <c r="N471" s="45"/>
      <c r="O471" s="45"/>
      <c r="P471" s="45"/>
      <c r="Q471" s="19"/>
      <c r="S471" s="4"/>
      <c r="T471" s="128"/>
    </row>
    <row r="472" spans="1:20" ht="21.6" thickBot="1" x14ac:dyDescent="0.35">
      <c r="A472" s="28"/>
      <c r="B472" s="29" t="s">
        <v>29</v>
      </c>
      <c r="C472" s="31">
        <f>SUM(C465:C471)</f>
        <v>0</v>
      </c>
      <c r="D472" s="31"/>
      <c r="E472" s="71"/>
      <c r="F472" s="71"/>
      <c r="G472" s="71"/>
      <c r="H472" s="71"/>
      <c r="I472" s="71"/>
      <c r="J472" s="71"/>
      <c r="K472" s="120"/>
      <c r="L472" s="121"/>
      <c r="M472" s="121"/>
      <c r="N472" s="34"/>
      <c r="O472" s="34"/>
      <c r="P472" s="34">
        <f>SUM(P358:P469)</f>
        <v>35622.699999999997</v>
      </c>
      <c r="Q472" s="35"/>
    </row>
    <row r="473" spans="1:20" ht="21.6" thickBot="1" x14ac:dyDescent="0.35">
      <c r="A473" s="36"/>
      <c r="B473" s="37" t="s">
        <v>30</v>
      </c>
      <c r="C473" s="39"/>
      <c r="D473" s="39"/>
      <c r="E473" s="73"/>
      <c r="F473" s="73"/>
      <c r="G473" s="73"/>
      <c r="H473" s="73"/>
      <c r="I473" s="73"/>
      <c r="J473" s="73"/>
      <c r="K473" s="122"/>
      <c r="L473" s="123"/>
      <c r="M473" s="123"/>
      <c r="N473" s="42"/>
      <c r="O473" s="42"/>
      <c r="P473" s="42">
        <f>P472+P357</f>
        <v>596524.21000000031</v>
      </c>
      <c r="Q473" s="43"/>
    </row>
    <row r="474" spans="1:20" ht="25.2" customHeight="1" x14ac:dyDescent="0.4">
      <c r="A474" s="288" t="s">
        <v>12</v>
      </c>
      <c r="B474" s="288"/>
      <c r="C474" s="288"/>
      <c r="D474" s="288"/>
      <c r="E474" s="288"/>
      <c r="F474" s="288"/>
      <c r="G474" s="288"/>
      <c r="H474" s="288"/>
      <c r="I474" s="288"/>
      <c r="J474" s="288"/>
      <c r="K474" s="288"/>
      <c r="L474" s="288"/>
      <c r="M474" s="288"/>
      <c r="N474" s="124"/>
      <c r="O474" s="101"/>
      <c r="P474" s="101"/>
      <c r="Q474" s="5"/>
    </row>
    <row r="475" spans="1:20" ht="25.2" customHeight="1" x14ac:dyDescent="0.4">
      <c r="A475" s="288" t="s">
        <v>13</v>
      </c>
      <c r="B475" s="288"/>
      <c r="C475" s="288"/>
      <c r="D475" s="288"/>
      <c r="E475" s="288"/>
      <c r="F475" s="288"/>
      <c r="G475" s="288"/>
      <c r="H475" s="288"/>
      <c r="I475" s="288"/>
      <c r="J475" s="288"/>
      <c r="K475" s="288"/>
      <c r="L475" s="288"/>
      <c r="M475" s="288"/>
      <c r="N475" s="124"/>
      <c r="O475" s="101"/>
      <c r="P475" s="101"/>
      <c r="Q475" s="5"/>
    </row>
    <row r="476" spans="1:20" ht="25.2" customHeight="1" x14ac:dyDescent="0.4">
      <c r="A476" s="290" t="s">
        <v>14</v>
      </c>
      <c r="B476" s="290"/>
      <c r="C476" s="290"/>
      <c r="D476" s="290"/>
      <c r="E476" s="290"/>
      <c r="F476" s="290"/>
      <c r="G476" s="290"/>
      <c r="H476" s="290"/>
      <c r="I476" s="290"/>
      <c r="J476" s="290"/>
      <c r="K476" s="290"/>
      <c r="L476" s="290"/>
      <c r="M476" s="290"/>
      <c r="N476" s="125"/>
      <c r="O476" s="102"/>
      <c r="P476" s="102"/>
      <c r="Q476" s="5"/>
    </row>
    <row r="477" spans="1:20" ht="25.2" customHeight="1" x14ac:dyDescent="0.4">
      <c r="A477" s="288" t="s">
        <v>15</v>
      </c>
      <c r="B477" s="288"/>
      <c r="C477" s="288"/>
      <c r="D477" s="288"/>
      <c r="E477" s="288"/>
      <c r="F477" s="288"/>
      <c r="G477" s="288"/>
      <c r="H477" s="288"/>
      <c r="I477" s="288"/>
      <c r="J477" s="288"/>
      <c r="K477" s="288"/>
      <c r="L477" s="288"/>
      <c r="M477" s="288"/>
      <c r="N477" s="124"/>
      <c r="O477" s="101"/>
      <c r="P477" s="101"/>
      <c r="Q477" s="5"/>
    </row>
    <row r="478" spans="1:20" ht="25.2" customHeight="1" x14ac:dyDescent="0.4">
      <c r="A478" s="288" t="s">
        <v>16</v>
      </c>
      <c r="B478" s="288"/>
      <c r="C478" s="288"/>
      <c r="D478" s="288"/>
      <c r="E478" s="288"/>
      <c r="F478" s="288"/>
      <c r="G478" s="288"/>
      <c r="H478" s="288"/>
      <c r="I478" s="288"/>
      <c r="J478" s="288"/>
      <c r="K478" s="288"/>
      <c r="L478" s="288"/>
      <c r="M478" s="288"/>
      <c r="N478" s="124"/>
      <c r="O478" s="101"/>
      <c r="P478" s="101"/>
      <c r="Q478" s="5"/>
    </row>
    <row r="479" spans="1:20" ht="25.2" customHeight="1" x14ac:dyDescent="0.4">
      <c r="A479" s="288" t="s">
        <v>17</v>
      </c>
      <c r="B479" s="288"/>
      <c r="C479" s="288"/>
      <c r="D479" s="288"/>
      <c r="E479" s="288"/>
      <c r="F479" s="288"/>
      <c r="G479" s="288"/>
      <c r="H479" s="288"/>
      <c r="I479" s="288"/>
      <c r="J479" s="288"/>
      <c r="K479" s="288"/>
      <c r="L479" s="288"/>
      <c r="M479" s="288"/>
      <c r="N479" s="124"/>
      <c r="O479" s="101"/>
      <c r="P479" s="101"/>
      <c r="Q479" s="5"/>
    </row>
    <row r="480" spans="1:20" ht="25.2" customHeight="1" x14ac:dyDescent="0.4">
      <c r="A480" s="288" t="s">
        <v>1852</v>
      </c>
      <c r="B480" s="288"/>
      <c r="C480" s="288"/>
      <c r="D480" s="288"/>
      <c r="E480" s="288"/>
      <c r="F480" s="288"/>
      <c r="G480" s="288"/>
      <c r="H480" s="288"/>
      <c r="I480" s="288"/>
      <c r="J480" s="288"/>
      <c r="K480" s="288"/>
      <c r="L480" s="288"/>
      <c r="M480" s="288"/>
      <c r="N480" s="124"/>
      <c r="O480" s="101"/>
      <c r="P480" s="101"/>
      <c r="Q480" s="5"/>
    </row>
    <row r="481" spans="1:17" ht="25.2" customHeight="1" x14ac:dyDescent="0.4">
      <c r="A481" s="288" t="s">
        <v>17</v>
      </c>
      <c r="B481" s="288"/>
      <c r="C481" s="288"/>
      <c r="D481" s="288"/>
      <c r="E481" s="288"/>
      <c r="F481" s="288"/>
      <c r="G481" s="288"/>
      <c r="H481" s="288"/>
      <c r="I481" s="288"/>
      <c r="J481" s="288"/>
      <c r="K481" s="288"/>
      <c r="L481" s="288"/>
      <c r="M481" s="288"/>
      <c r="N481" s="124"/>
      <c r="O481" s="101"/>
      <c r="P481" s="101"/>
      <c r="Q481" s="5"/>
    </row>
    <row r="482" spans="1:17" ht="25.2" customHeight="1" x14ac:dyDescent="0.4">
      <c r="A482" s="288" t="s">
        <v>19</v>
      </c>
      <c r="B482" s="288"/>
      <c r="C482" s="288"/>
      <c r="D482" s="288"/>
      <c r="E482" s="288"/>
      <c r="F482" s="288"/>
      <c r="G482" s="288"/>
      <c r="H482" s="288"/>
      <c r="I482" s="288"/>
      <c r="J482" s="288"/>
      <c r="K482" s="288"/>
      <c r="L482" s="288"/>
      <c r="M482" s="288"/>
      <c r="N482" s="124"/>
      <c r="O482" s="101"/>
      <c r="P482" s="101"/>
      <c r="Q482" s="5"/>
    </row>
    <row r="483" spans="1:17" ht="25.2" customHeight="1" x14ac:dyDescent="0.4">
      <c r="A483" s="288" t="s">
        <v>11</v>
      </c>
      <c r="B483" s="288"/>
      <c r="C483" s="288"/>
      <c r="D483" s="288"/>
      <c r="E483" s="288"/>
      <c r="F483" s="288"/>
      <c r="G483" s="288"/>
      <c r="H483" s="288"/>
      <c r="I483" s="288"/>
      <c r="J483" s="288"/>
      <c r="K483" s="288"/>
      <c r="L483" s="288"/>
      <c r="M483" s="288"/>
      <c r="N483" s="124"/>
      <c r="O483" s="101"/>
      <c r="P483" s="101"/>
      <c r="Q483" s="5"/>
    </row>
    <row r="484" spans="1:17" ht="25.2" customHeight="1" x14ac:dyDescent="0.4">
      <c r="A484" s="288" t="s">
        <v>1853</v>
      </c>
      <c r="B484" s="288"/>
      <c r="C484" s="288"/>
      <c r="D484" s="288"/>
      <c r="E484" s="288"/>
      <c r="F484" s="288"/>
      <c r="G484" s="288"/>
      <c r="H484" s="288"/>
      <c r="I484" s="288"/>
      <c r="J484" s="288"/>
      <c r="K484" s="288"/>
      <c r="L484" s="288"/>
      <c r="M484" s="288"/>
      <c r="N484" s="124"/>
      <c r="O484" s="101"/>
      <c r="P484" s="101"/>
      <c r="Q484" s="5"/>
    </row>
    <row r="485" spans="1:17" ht="25.2" customHeight="1" x14ac:dyDescent="0.4">
      <c r="A485" s="289" t="s">
        <v>31</v>
      </c>
      <c r="B485" s="289"/>
      <c r="C485" s="289"/>
      <c r="D485" s="289"/>
      <c r="E485" s="289"/>
      <c r="F485" s="289"/>
      <c r="G485" s="289"/>
      <c r="H485" s="289"/>
      <c r="I485" s="289"/>
      <c r="J485" s="289"/>
      <c r="K485" s="289"/>
      <c r="L485" s="289"/>
      <c r="M485" s="289"/>
      <c r="N485" s="126"/>
      <c r="O485" s="104"/>
      <c r="P485" s="104"/>
      <c r="Q485" s="5"/>
    </row>
    <row r="486" spans="1:17" ht="36" customHeight="1" x14ac:dyDescent="0.3"/>
  </sheetData>
  <autoFilter ref="A18:T485" xr:uid="{DE685D05-9FEE-404B-AA01-BE2D5B544193}"/>
  <mergeCells count="35">
    <mergeCell ref="Q16:Q17"/>
    <mergeCell ref="A11:Q11"/>
    <mergeCell ref="L1:Q2"/>
    <mergeCell ref="L4:Q4"/>
    <mergeCell ref="L5:Q5"/>
    <mergeCell ref="L7:Q7"/>
    <mergeCell ref="A10:Q10"/>
    <mergeCell ref="A12:Q12"/>
    <mergeCell ref="A13:Q13"/>
    <mergeCell ref="A14:P14"/>
    <mergeCell ref="A15:J15"/>
    <mergeCell ref="K15:Q15"/>
    <mergeCell ref="A474:M474"/>
    <mergeCell ref="A475:M475"/>
    <mergeCell ref="A483:M483"/>
    <mergeCell ref="A476:M476"/>
    <mergeCell ref="E16:E17"/>
    <mergeCell ref="F16:F17"/>
    <mergeCell ref="G16:G17"/>
    <mergeCell ref="H16:H17"/>
    <mergeCell ref="I16:I17"/>
    <mergeCell ref="J16:J17"/>
    <mergeCell ref="A16:A17"/>
    <mergeCell ref="B16:B17"/>
    <mergeCell ref="C16:C17"/>
    <mergeCell ref="D16:D17"/>
    <mergeCell ref="L16:P16"/>
    <mergeCell ref="A484:M484"/>
    <mergeCell ref="A485:M485"/>
    <mergeCell ref="A477:M477"/>
    <mergeCell ref="A478:M478"/>
    <mergeCell ref="A479:M479"/>
    <mergeCell ref="A480:M480"/>
    <mergeCell ref="A481:M481"/>
    <mergeCell ref="A482:M482"/>
  </mergeCells>
  <pageMargins left="0.25" right="0.25" top="0.75" bottom="0.75" header="0.3" footer="0.3"/>
  <pageSetup paperSize="9" scale="3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81959-9442-47DE-8FA3-3D7DDE73DF34}">
  <sheetPr>
    <tabColor rgb="FFFFFF00"/>
    <pageSetUpPr fitToPage="1"/>
  </sheetPr>
  <dimension ref="A1:U466"/>
  <sheetViews>
    <sheetView topLeftCell="G441" zoomScale="73" zoomScaleNormal="73" workbookViewId="0">
      <selection activeCell="D453" sqref="D453"/>
    </sheetView>
  </sheetViews>
  <sheetFormatPr defaultRowHeight="14.4" x14ac:dyDescent="0.3"/>
  <cols>
    <col min="1" max="1" width="6.6640625" style="140" customWidth="1"/>
    <col min="2" max="2" width="63.109375" customWidth="1"/>
    <col min="3" max="3" width="10.44140625" style="140" customWidth="1"/>
    <col min="4" max="4" width="11.109375" style="140" customWidth="1"/>
    <col min="5" max="5" width="13.109375" style="140" customWidth="1"/>
    <col min="6" max="6" width="20.109375" style="140" customWidth="1"/>
    <col min="7" max="11" width="13.109375" style="140" customWidth="1"/>
    <col min="12" max="12" width="17.33203125" style="4" customWidth="1"/>
    <col min="13" max="13" width="61" style="4" customWidth="1"/>
    <col min="14" max="15" width="11.6640625" style="4" customWidth="1"/>
    <col min="16" max="16" width="19.77734375" style="4" customWidth="1"/>
    <col min="17" max="17" width="15.44140625" style="4" bestFit="1" customWidth="1"/>
    <col min="18" max="18" width="35.44140625" customWidth="1"/>
    <col min="19" max="19" width="12.109375" bestFit="1" customWidth="1"/>
    <col min="21" max="21" width="9.88671875" bestFit="1" customWidth="1"/>
  </cols>
  <sheetData>
    <row r="1" spans="1:20" ht="15.75" customHeight="1" x14ac:dyDescent="0.3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06" t="s">
        <v>26</v>
      </c>
      <c r="N1" s="306"/>
      <c r="O1" s="306"/>
      <c r="P1" s="306"/>
      <c r="Q1" s="306"/>
      <c r="R1" s="306"/>
      <c r="S1" s="13"/>
      <c r="T1" s="13"/>
    </row>
    <row r="2" spans="1:20" ht="15" customHeight="1" x14ac:dyDescent="0.3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07"/>
      <c r="N2" s="307"/>
      <c r="O2" s="307"/>
      <c r="P2" s="307"/>
      <c r="Q2" s="307"/>
      <c r="R2" s="307"/>
      <c r="S2" s="13"/>
      <c r="T2" s="13"/>
    </row>
    <row r="3" spans="1:20" ht="15.6" x14ac:dyDescent="0.3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19"/>
      <c r="N3" s="119"/>
      <c r="O3" s="119"/>
      <c r="P3" s="136"/>
      <c r="Q3" s="136"/>
      <c r="R3" s="136"/>
      <c r="S3" s="13"/>
      <c r="T3" s="13"/>
    </row>
    <row r="4" spans="1:20" ht="23.4" x14ac:dyDescent="0.4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08" t="s">
        <v>27</v>
      </c>
      <c r="N4" s="308"/>
      <c r="O4" s="308"/>
      <c r="P4" s="308"/>
      <c r="Q4" s="308"/>
      <c r="R4" s="308"/>
      <c r="S4" s="13"/>
      <c r="T4" s="13"/>
    </row>
    <row r="5" spans="1:20" ht="21" x14ac:dyDescent="0.4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09" t="s">
        <v>28</v>
      </c>
      <c r="N5" s="309"/>
      <c r="O5" s="309"/>
      <c r="P5" s="309"/>
      <c r="Q5" s="309"/>
      <c r="R5" s="309"/>
      <c r="S5" s="13"/>
      <c r="T5" s="13"/>
    </row>
    <row r="6" spans="1:20" ht="15.6" x14ac:dyDescent="0.3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9"/>
      <c r="O6" s="9"/>
      <c r="P6" s="10"/>
      <c r="Q6" s="11"/>
      <c r="R6" s="12"/>
      <c r="S6" s="13"/>
      <c r="T6" s="13"/>
    </row>
    <row r="7" spans="1:20" ht="18" x14ac:dyDescent="0.35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10" t="s">
        <v>33</v>
      </c>
      <c r="N7" s="310"/>
      <c r="O7" s="310"/>
      <c r="P7" s="310"/>
      <c r="Q7" s="310"/>
      <c r="R7" s="310"/>
      <c r="S7" s="13"/>
      <c r="T7" s="13"/>
    </row>
    <row r="8" spans="1:20" ht="15.6" x14ac:dyDescent="0.3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S8" s="13"/>
      <c r="T8" s="13"/>
    </row>
    <row r="9" spans="1:20" ht="15.6" x14ac:dyDescent="0.3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S9" s="13"/>
      <c r="T9" s="13"/>
    </row>
    <row r="10" spans="1:20" ht="18" customHeight="1" x14ac:dyDescent="0.3">
      <c r="A10" s="305" t="s">
        <v>0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13"/>
      <c r="T10" s="13"/>
    </row>
    <row r="11" spans="1:20" ht="18" customHeight="1" x14ac:dyDescent="0.3">
      <c r="A11" s="305" t="s">
        <v>1</v>
      </c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13"/>
      <c r="T11" s="13"/>
    </row>
    <row r="12" spans="1:20" ht="18" customHeight="1" x14ac:dyDescent="0.3">
      <c r="A12" s="305" t="s">
        <v>2</v>
      </c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13"/>
      <c r="T12" s="13"/>
    </row>
    <row r="13" spans="1:20" ht="63.6" customHeight="1" x14ac:dyDescent="0.3">
      <c r="A13" s="311" t="s">
        <v>1273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</row>
    <row r="14" spans="1:20" ht="27" customHeight="1" thickBot="1" x14ac:dyDescent="0.35">
      <c r="A14" s="313" t="s">
        <v>36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  <c r="Q14" s="313"/>
    </row>
    <row r="15" spans="1:20" ht="30.6" customHeight="1" thickBot="1" x14ac:dyDescent="0.35">
      <c r="A15" s="314" t="s">
        <v>24</v>
      </c>
      <c r="B15" s="315"/>
      <c r="C15" s="315"/>
      <c r="D15" s="315"/>
      <c r="E15" s="315"/>
      <c r="F15" s="315"/>
      <c r="G15" s="315"/>
      <c r="H15" s="315"/>
      <c r="I15" s="315"/>
      <c r="J15" s="315"/>
      <c r="K15" s="315"/>
      <c r="L15" s="316" t="s">
        <v>25</v>
      </c>
      <c r="M15" s="317"/>
      <c r="N15" s="317"/>
      <c r="O15" s="317"/>
      <c r="P15" s="317"/>
      <c r="Q15" s="317"/>
      <c r="R15" s="318"/>
    </row>
    <row r="16" spans="1:20" ht="15" customHeight="1" x14ac:dyDescent="0.3">
      <c r="A16" s="298" t="s">
        <v>3</v>
      </c>
      <c r="B16" s="300" t="s">
        <v>4</v>
      </c>
      <c r="C16" s="300"/>
      <c r="D16" s="293" t="s">
        <v>5</v>
      </c>
      <c r="E16" s="300" t="s">
        <v>6</v>
      </c>
      <c r="F16" s="291"/>
      <c r="G16" s="293"/>
      <c r="H16" s="293"/>
      <c r="I16" s="294"/>
      <c r="J16" s="293" t="s">
        <v>21</v>
      </c>
      <c r="K16" s="296" t="s">
        <v>22</v>
      </c>
      <c r="L16" s="16"/>
      <c r="M16" s="302" t="s">
        <v>7</v>
      </c>
      <c r="N16" s="303"/>
      <c r="O16" s="303"/>
      <c r="P16" s="303"/>
      <c r="Q16" s="304"/>
      <c r="R16" s="296" t="s">
        <v>8</v>
      </c>
    </row>
    <row r="17" spans="1:21" ht="34.200000000000003" customHeight="1" x14ac:dyDescent="0.3">
      <c r="A17" s="299"/>
      <c r="B17" s="301"/>
      <c r="C17" s="301"/>
      <c r="D17" s="292"/>
      <c r="E17" s="301"/>
      <c r="F17" s="292"/>
      <c r="G17" s="292"/>
      <c r="H17" s="292"/>
      <c r="I17" s="295"/>
      <c r="J17" s="292"/>
      <c r="K17" s="297"/>
      <c r="L17" s="17" t="s">
        <v>20</v>
      </c>
      <c r="M17" s="14" t="s">
        <v>9</v>
      </c>
      <c r="N17" s="18" t="s">
        <v>10</v>
      </c>
      <c r="O17" s="7" t="s">
        <v>6</v>
      </c>
      <c r="P17" s="8" t="s">
        <v>21</v>
      </c>
      <c r="Q17" s="8" t="s">
        <v>22</v>
      </c>
      <c r="R17" s="297"/>
    </row>
    <row r="18" spans="1:21" ht="15" thickBot="1" x14ac:dyDescent="0.35">
      <c r="A18" s="21">
        <v>1</v>
      </c>
      <c r="B18" s="22">
        <v>2</v>
      </c>
      <c r="C18" s="22"/>
      <c r="D18" s="22">
        <v>3</v>
      </c>
      <c r="E18" s="22">
        <v>4</v>
      </c>
      <c r="F18" s="22"/>
      <c r="G18" s="22"/>
      <c r="H18" s="22"/>
      <c r="I18" s="74"/>
      <c r="J18" s="22">
        <v>5</v>
      </c>
      <c r="K18" s="23">
        <v>6</v>
      </c>
      <c r="L18" s="83">
        <v>7</v>
      </c>
      <c r="M18" s="7">
        <v>8</v>
      </c>
      <c r="N18" s="7">
        <v>9</v>
      </c>
      <c r="O18" s="7">
        <v>10</v>
      </c>
      <c r="P18" s="7">
        <v>11</v>
      </c>
      <c r="Q18" s="7">
        <v>12</v>
      </c>
      <c r="R18" s="127">
        <v>13</v>
      </c>
      <c r="U18" s="128"/>
    </row>
    <row r="19" spans="1:21" ht="33.6" customHeight="1" x14ac:dyDescent="0.3">
      <c r="A19" s="60"/>
      <c r="B19" s="80" t="s">
        <v>1274</v>
      </c>
      <c r="C19" s="80"/>
      <c r="D19" s="80" t="s">
        <v>34</v>
      </c>
      <c r="E19" s="80">
        <v>1</v>
      </c>
      <c r="F19" s="69"/>
      <c r="G19" s="69"/>
      <c r="H19" s="69"/>
      <c r="I19" s="69"/>
      <c r="J19" s="69"/>
      <c r="K19" s="69"/>
      <c r="L19" s="189" t="s">
        <v>778</v>
      </c>
      <c r="M19" s="190" t="s">
        <v>779</v>
      </c>
      <c r="N19" s="189" t="s">
        <v>37</v>
      </c>
      <c r="O19" s="191">
        <v>3</v>
      </c>
      <c r="P19" s="192">
        <v>74.900000000000006</v>
      </c>
      <c r="Q19" s="192">
        <v>224.7</v>
      </c>
      <c r="R19" s="181"/>
      <c r="U19" s="128"/>
    </row>
    <row r="20" spans="1:21" ht="15.6" x14ac:dyDescent="0.3">
      <c r="A20" s="51"/>
      <c r="B20" s="59"/>
      <c r="C20" s="47"/>
      <c r="D20" s="61"/>
      <c r="E20" s="62"/>
      <c r="F20" s="75"/>
      <c r="G20" s="76"/>
      <c r="H20" s="76"/>
      <c r="I20" s="48"/>
      <c r="J20" s="48"/>
      <c r="K20" s="48"/>
      <c r="L20" s="189" t="s">
        <v>1103</v>
      </c>
      <c r="M20" s="190" t="s">
        <v>1189</v>
      </c>
      <c r="N20" s="189" t="s">
        <v>37</v>
      </c>
      <c r="O20" s="191">
        <v>27</v>
      </c>
      <c r="P20" s="192">
        <v>28.61</v>
      </c>
      <c r="Q20" s="192">
        <v>772.47</v>
      </c>
      <c r="R20" s="182"/>
      <c r="U20" s="128"/>
    </row>
    <row r="21" spans="1:21" ht="15.6" x14ac:dyDescent="0.3">
      <c r="A21" s="51"/>
      <c r="B21" s="59"/>
      <c r="C21" s="47"/>
      <c r="D21" s="61"/>
      <c r="E21" s="62"/>
      <c r="F21" s="75"/>
      <c r="G21" s="76"/>
      <c r="H21" s="76"/>
      <c r="I21" s="48"/>
      <c r="J21" s="48"/>
      <c r="K21" s="48"/>
      <c r="L21" s="189" t="s">
        <v>429</v>
      </c>
      <c r="M21" s="190" t="s">
        <v>430</v>
      </c>
      <c r="N21" s="189" t="s">
        <v>37</v>
      </c>
      <c r="O21" s="191">
        <v>0.8</v>
      </c>
      <c r="P21" s="192">
        <v>11.5</v>
      </c>
      <c r="Q21" s="192">
        <v>9.1999999999999993</v>
      </c>
      <c r="R21" s="182"/>
      <c r="U21" s="128"/>
    </row>
    <row r="22" spans="1:21" ht="15.6" x14ac:dyDescent="0.3">
      <c r="A22" s="53"/>
      <c r="B22" s="54"/>
      <c r="C22" s="54"/>
      <c r="D22" s="54"/>
      <c r="E22" s="55"/>
      <c r="F22" s="75"/>
      <c r="G22" s="76"/>
      <c r="H22" s="76"/>
      <c r="I22" s="48"/>
      <c r="J22" s="70"/>
      <c r="K22" s="70"/>
      <c r="L22" s="189" t="s">
        <v>98</v>
      </c>
      <c r="M22" s="190" t="s">
        <v>99</v>
      </c>
      <c r="N22" s="189" t="s">
        <v>37</v>
      </c>
      <c r="O22" s="191">
        <v>1.0900000000000001</v>
      </c>
      <c r="P22" s="192">
        <v>131</v>
      </c>
      <c r="Q22" s="192">
        <v>142.79</v>
      </c>
      <c r="R22" s="182"/>
      <c r="U22" s="128"/>
    </row>
    <row r="23" spans="1:21" ht="15.6" x14ac:dyDescent="0.3">
      <c r="A23" s="53"/>
      <c r="B23" s="54"/>
      <c r="C23" s="54"/>
      <c r="D23" s="54"/>
      <c r="E23" s="55"/>
      <c r="F23" s="75"/>
      <c r="G23" s="76"/>
      <c r="H23" s="76"/>
      <c r="I23" s="48"/>
      <c r="J23" s="70"/>
      <c r="K23" s="70"/>
      <c r="L23" s="189" t="s">
        <v>1105</v>
      </c>
      <c r="M23" s="190" t="s">
        <v>1191</v>
      </c>
      <c r="N23" s="189" t="s">
        <v>37</v>
      </c>
      <c r="O23" s="191">
        <v>3</v>
      </c>
      <c r="P23" s="192">
        <v>9.58</v>
      </c>
      <c r="Q23" s="192">
        <v>28.75</v>
      </c>
      <c r="R23" s="182"/>
      <c r="U23" s="128"/>
    </row>
    <row r="24" spans="1:21" ht="15.6" x14ac:dyDescent="0.3">
      <c r="A24" s="53"/>
      <c r="B24" s="54"/>
      <c r="C24" s="54"/>
      <c r="D24" s="54"/>
      <c r="E24" s="55"/>
      <c r="F24" s="75"/>
      <c r="G24" s="76"/>
      <c r="H24" s="76"/>
      <c r="I24" s="48"/>
      <c r="J24" s="70"/>
      <c r="K24" s="70"/>
      <c r="L24" s="189" t="s">
        <v>38</v>
      </c>
      <c r="M24" s="190" t="s">
        <v>100</v>
      </c>
      <c r="N24" s="189" t="s">
        <v>37</v>
      </c>
      <c r="O24" s="191">
        <v>0.8</v>
      </c>
      <c r="P24" s="192">
        <v>71</v>
      </c>
      <c r="Q24" s="192">
        <v>56.8</v>
      </c>
      <c r="R24" s="182"/>
      <c r="U24" s="128"/>
    </row>
    <row r="25" spans="1:21" ht="15.6" x14ac:dyDescent="0.3">
      <c r="A25" s="53"/>
      <c r="B25" s="54"/>
      <c r="C25" s="54"/>
      <c r="D25" s="54"/>
      <c r="E25" s="55"/>
      <c r="F25" s="75"/>
      <c r="G25" s="76"/>
      <c r="H25" s="76"/>
      <c r="I25" s="48"/>
      <c r="J25" s="70"/>
      <c r="K25" s="70"/>
      <c r="L25" s="189" t="s">
        <v>1104</v>
      </c>
      <c r="M25" s="190" t="s">
        <v>1190</v>
      </c>
      <c r="N25" s="189" t="s">
        <v>37</v>
      </c>
      <c r="O25" s="191">
        <v>2.7</v>
      </c>
      <c r="P25" s="192">
        <v>266.25</v>
      </c>
      <c r="Q25" s="192">
        <v>718.87</v>
      </c>
      <c r="R25" s="182"/>
      <c r="U25" s="128"/>
    </row>
    <row r="26" spans="1:21" ht="15.6" x14ac:dyDescent="0.3">
      <c r="A26" s="53"/>
      <c r="B26" s="54"/>
      <c r="C26" s="54"/>
      <c r="D26" s="54"/>
      <c r="E26" s="55"/>
      <c r="F26" s="75"/>
      <c r="G26" s="76"/>
      <c r="H26" s="76"/>
      <c r="I26" s="48"/>
      <c r="J26" s="70"/>
      <c r="K26" s="70"/>
      <c r="L26" s="189" t="s">
        <v>933</v>
      </c>
      <c r="M26" s="190" t="s">
        <v>932</v>
      </c>
      <c r="N26" s="189" t="s">
        <v>37</v>
      </c>
      <c r="O26" s="191">
        <v>1.8</v>
      </c>
      <c r="P26" s="192">
        <v>18.899999999999999</v>
      </c>
      <c r="Q26" s="192">
        <v>34.020000000000003</v>
      </c>
      <c r="R26" s="182"/>
      <c r="U26" s="128"/>
    </row>
    <row r="27" spans="1:21" ht="15.6" x14ac:dyDescent="0.3">
      <c r="A27" s="53"/>
      <c r="B27" s="54"/>
      <c r="C27" s="54"/>
      <c r="D27" s="54"/>
      <c r="E27" s="55"/>
      <c r="F27" s="75"/>
      <c r="G27" s="76"/>
      <c r="H27" s="76"/>
      <c r="I27" s="48"/>
      <c r="J27" s="70"/>
      <c r="K27" s="70"/>
      <c r="L27" s="189" t="s">
        <v>1106</v>
      </c>
      <c r="M27" s="190" t="s">
        <v>1192</v>
      </c>
      <c r="N27" s="189" t="s">
        <v>1272</v>
      </c>
      <c r="O27" s="191">
        <v>93</v>
      </c>
      <c r="P27" s="192">
        <v>0.69</v>
      </c>
      <c r="Q27" s="192">
        <v>64.33</v>
      </c>
      <c r="R27" s="182"/>
      <c r="U27" s="128"/>
    </row>
    <row r="28" spans="1:21" ht="15.6" x14ac:dyDescent="0.3">
      <c r="A28" s="53"/>
      <c r="B28" s="54"/>
      <c r="C28" s="54"/>
      <c r="D28" s="54"/>
      <c r="E28" s="55"/>
      <c r="F28" s="75"/>
      <c r="G28" s="76"/>
      <c r="H28" s="76"/>
      <c r="I28" s="48"/>
      <c r="J28" s="70"/>
      <c r="K28" s="70"/>
      <c r="L28" s="189" t="s">
        <v>934</v>
      </c>
      <c r="M28" s="190" t="s">
        <v>1033</v>
      </c>
      <c r="N28" s="189" t="s">
        <v>64</v>
      </c>
      <c r="O28" s="191">
        <v>0.83299999999999996</v>
      </c>
      <c r="P28" s="192">
        <v>735.89</v>
      </c>
      <c r="Q28" s="192">
        <v>613</v>
      </c>
      <c r="R28" s="182"/>
      <c r="U28" s="128"/>
    </row>
    <row r="29" spans="1:21" ht="15.6" x14ac:dyDescent="0.3">
      <c r="A29" s="53"/>
      <c r="B29" s="54"/>
      <c r="C29" s="54"/>
      <c r="D29" s="54"/>
      <c r="E29" s="55"/>
      <c r="F29" s="75"/>
      <c r="G29" s="76"/>
      <c r="H29" s="76"/>
      <c r="I29" s="48"/>
      <c r="J29" s="70"/>
      <c r="K29" s="70"/>
      <c r="L29" s="189" t="s">
        <v>935</v>
      </c>
      <c r="M29" s="190" t="s">
        <v>1034</v>
      </c>
      <c r="N29" s="189" t="s">
        <v>64</v>
      </c>
      <c r="O29" s="191">
        <v>23</v>
      </c>
      <c r="P29" s="192">
        <v>729.17</v>
      </c>
      <c r="Q29" s="244">
        <v>16770.89</v>
      </c>
      <c r="R29" s="182"/>
      <c r="U29" s="128"/>
    </row>
    <row r="30" spans="1:21" ht="15.6" x14ac:dyDescent="0.3">
      <c r="A30" s="53"/>
      <c r="B30" s="54"/>
      <c r="C30" s="54"/>
      <c r="D30" s="54"/>
      <c r="E30" s="55"/>
      <c r="F30" s="75"/>
      <c r="G30" s="76"/>
      <c r="H30" s="76"/>
      <c r="I30" s="48"/>
      <c r="J30" s="70"/>
      <c r="K30" s="70"/>
      <c r="L30" s="189" t="s">
        <v>936</v>
      </c>
      <c r="M30" s="190" t="s">
        <v>1035</v>
      </c>
      <c r="N30" s="189" t="s">
        <v>64</v>
      </c>
      <c r="O30" s="191">
        <v>2</v>
      </c>
      <c r="P30" s="192">
        <v>736.67</v>
      </c>
      <c r="Q30" s="244">
        <v>1473.33</v>
      </c>
      <c r="R30" s="182"/>
      <c r="U30" s="128"/>
    </row>
    <row r="31" spans="1:21" ht="15.6" x14ac:dyDescent="0.3">
      <c r="A31" s="53"/>
      <c r="B31" s="54"/>
      <c r="C31" s="54"/>
      <c r="D31" s="54"/>
      <c r="E31" s="55"/>
      <c r="F31" s="75"/>
      <c r="G31" s="76"/>
      <c r="H31" s="76"/>
      <c r="I31" s="48"/>
      <c r="J31" s="70"/>
      <c r="K31" s="70"/>
      <c r="L31" s="189" t="s">
        <v>937</v>
      </c>
      <c r="M31" s="190" t="s">
        <v>1036</v>
      </c>
      <c r="N31" s="189" t="s">
        <v>269</v>
      </c>
      <c r="O31" s="191">
        <v>2</v>
      </c>
      <c r="P31" s="192">
        <v>714.45</v>
      </c>
      <c r="Q31" s="244">
        <v>1428.9</v>
      </c>
      <c r="R31" s="182"/>
      <c r="U31" s="128"/>
    </row>
    <row r="32" spans="1:21" ht="15.6" x14ac:dyDescent="0.3">
      <c r="A32" s="53"/>
      <c r="B32" s="54"/>
      <c r="C32" s="54"/>
      <c r="D32" s="54"/>
      <c r="E32" s="55"/>
      <c r="F32" s="75"/>
      <c r="G32" s="76"/>
      <c r="H32" s="76"/>
      <c r="I32" s="48"/>
      <c r="J32" s="70"/>
      <c r="K32" s="70"/>
      <c r="L32" s="189" t="s">
        <v>938</v>
      </c>
      <c r="M32" s="190" t="s">
        <v>1037</v>
      </c>
      <c r="N32" s="189" t="s">
        <v>269</v>
      </c>
      <c r="O32" s="191">
        <v>2</v>
      </c>
      <c r="P32" s="192">
        <v>793.84</v>
      </c>
      <c r="Q32" s="244">
        <v>1587.67</v>
      </c>
      <c r="R32" s="182"/>
      <c r="U32" s="128"/>
    </row>
    <row r="33" spans="1:21" ht="15.6" x14ac:dyDescent="0.3">
      <c r="A33" s="53"/>
      <c r="B33" s="54"/>
      <c r="C33" s="54"/>
      <c r="D33" s="54"/>
      <c r="E33" s="55"/>
      <c r="F33" s="75"/>
      <c r="G33" s="76"/>
      <c r="H33" s="76"/>
      <c r="I33" s="48"/>
      <c r="J33" s="70"/>
      <c r="K33" s="70"/>
      <c r="L33" s="189" t="s">
        <v>440</v>
      </c>
      <c r="M33" s="190" t="s">
        <v>441</v>
      </c>
      <c r="N33" s="189" t="s">
        <v>442</v>
      </c>
      <c r="O33" s="191">
        <v>3</v>
      </c>
      <c r="P33" s="192">
        <v>75.22</v>
      </c>
      <c r="Q33" s="192">
        <v>225.65</v>
      </c>
      <c r="R33" s="182"/>
      <c r="U33" s="128"/>
    </row>
    <row r="34" spans="1:21" ht="15.6" x14ac:dyDescent="0.3">
      <c r="A34" s="53"/>
      <c r="B34" s="54"/>
      <c r="C34" s="54"/>
      <c r="D34" s="54"/>
      <c r="E34" s="55"/>
      <c r="F34" s="75"/>
      <c r="G34" s="76"/>
      <c r="H34" s="76"/>
      <c r="I34" s="48"/>
      <c r="J34" s="70"/>
      <c r="K34" s="70"/>
      <c r="L34" s="189" t="s">
        <v>1846</v>
      </c>
      <c r="M34" s="190" t="s">
        <v>1848</v>
      </c>
      <c r="N34" s="189" t="s">
        <v>63</v>
      </c>
      <c r="O34" s="191">
        <v>3.5999999999999997E-2</v>
      </c>
      <c r="P34" s="244">
        <v>35332.78</v>
      </c>
      <c r="Q34" s="244">
        <v>1271.98</v>
      </c>
      <c r="R34" s="182"/>
      <c r="U34" s="128"/>
    </row>
    <row r="35" spans="1:21" ht="15.6" x14ac:dyDescent="0.3">
      <c r="A35" s="53"/>
      <c r="B35" s="54"/>
      <c r="C35" s="54"/>
      <c r="D35" s="54"/>
      <c r="E35" s="55"/>
      <c r="F35" s="75"/>
      <c r="G35" s="76"/>
      <c r="H35" s="76"/>
      <c r="I35" s="48"/>
      <c r="J35" s="70"/>
      <c r="K35" s="70"/>
      <c r="L35" s="189" t="s">
        <v>939</v>
      </c>
      <c r="M35" s="190" t="s">
        <v>798</v>
      </c>
      <c r="N35" s="189" t="s">
        <v>63</v>
      </c>
      <c r="O35" s="191">
        <v>3.5000000000000003E-2</v>
      </c>
      <c r="P35" s="244">
        <v>28501.71</v>
      </c>
      <c r="Q35" s="192">
        <v>997.56</v>
      </c>
      <c r="R35" s="182"/>
      <c r="U35" s="128"/>
    </row>
    <row r="36" spans="1:21" ht="15.6" x14ac:dyDescent="0.3">
      <c r="A36" s="53"/>
      <c r="B36" s="54"/>
      <c r="C36" s="54"/>
      <c r="D36" s="54"/>
      <c r="E36" s="55"/>
      <c r="F36" s="75"/>
      <c r="G36" s="76"/>
      <c r="H36" s="76"/>
      <c r="I36" s="48"/>
      <c r="J36" s="70"/>
      <c r="K36" s="70"/>
      <c r="L36" s="189" t="s">
        <v>940</v>
      </c>
      <c r="M36" s="190" t="s">
        <v>1038</v>
      </c>
      <c r="N36" s="189" t="s">
        <v>63</v>
      </c>
      <c r="O36" s="191">
        <v>1.4999999999999999E-2</v>
      </c>
      <c r="P36" s="244">
        <v>32907.33</v>
      </c>
      <c r="Q36" s="192">
        <v>493.61</v>
      </c>
      <c r="R36" s="182"/>
      <c r="U36" s="128"/>
    </row>
    <row r="37" spans="1:21" ht="15.6" x14ac:dyDescent="0.3">
      <c r="A37" s="53"/>
      <c r="B37" s="54"/>
      <c r="C37" s="54"/>
      <c r="D37" s="54"/>
      <c r="E37" s="55"/>
      <c r="F37" s="75"/>
      <c r="G37" s="76"/>
      <c r="H37" s="76"/>
      <c r="I37" s="48"/>
      <c r="J37" s="70"/>
      <c r="K37" s="70"/>
      <c r="L37" s="189" t="s">
        <v>1113</v>
      </c>
      <c r="M37" s="190" t="s">
        <v>1199</v>
      </c>
      <c r="N37" s="189" t="s">
        <v>903</v>
      </c>
      <c r="O37" s="191">
        <v>0.11</v>
      </c>
      <c r="P37" s="244">
        <v>10416.64</v>
      </c>
      <c r="Q37" s="244">
        <v>1145.83</v>
      </c>
      <c r="R37" s="182"/>
      <c r="U37" s="128"/>
    </row>
    <row r="38" spans="1:21" ht="15.6" x14ac:dyDescent="0.3">
      <c r="A38" s="53"/>
      <c r="B38" s="54"/>
      <c r="C38" s="54"/>
      <c r="D38" s="54"/>
      <c r="E38" s="55"/>
      <c r="F38" s="75"/>
      <c r="G38" s="76"/>
      <c r="H38" s="76"/>
      <c r="I38" s="48"/>
      <c r="J38" s="70"/>
      <c r="K38" s="70"/>
      <c r="L38" s="189" t="s">
        <v>1111</v>
      </c>
      <c r="M38" s="190" t="s">
        <v>1197</v>
      </c>
      <c r="N38" s="189" t="s">
        <v>903</v>
      </c>
      <c r="O38" s="191">
        <v>0.08</v>
      </c>
      <c r="P38" s="244">
        <v>26855</v>
      </c>
      <c r="Q38" s="244">
        <v>2148.4</v>
      </c>
      <c r="R38" s="182"/>
      <c r="U38" s="128"/>
    </row>
    <row r="39" spans="1:21" ht="15.6" x14ac:dyDescent="0.3">
      <c r="A39" s="53"/>
      <c r="B39" s="54"/>
      <c r="C39" s="54"/>
      <c r="D39" s="54"/>
      <c r="E39" s="55"/>
      <c r="F39" s="75"/>
      <c r="G39" s="76"/>
      <c r="H39" s="76"/>
      <c r="I39" s="48"/>
      <c r="J39" s="70"/>
      <c r="K39" s="70"/>
      <c r="L39" s="189" t="s">
        <v>902</v>
      </c>
      <c r="M39" s="190" t="s">
        <v>1039</v>
      </c>
      <c r="N39" s="189" t="s">
        <v>903</v>
      </c>
      <c r="O39" s="191">
        <v>0.436</v>
      </c>
      <c r="P39" s="244">
        <v>25111.08</v>
      </c>
      <c r="Q39" s="244">
        <v>10948.43</v>
      </c>
      <c r="R39" s="182"/>
      <c r="U39" s="128"/>
    </row>
    <row r="40" spans="1:21" ht="15.6" x14ac:dyDescent="0.3">
      <c r="A40" s="53"/>
      <c r="B40" s="54"/>
      <c r="C40" s="54"/>
      <c r="D40" s="54"/>
      <c r="E40" s="55"/>
      <c r="F40" s="75"/>
      <c r="G40" s="76"/>
      <c r="H40" s="76"/>
      <c r="I40" s="48"/>
      <c r="J40" s="70"/>
      <c r="K40" s="70"/>
      <c r="L40" s="189" t="s">
        <v>941</v>
      </c>
      <c r="M40" s="190" t="s">
        <v>1040</v>
      </c>
      <c r="N40" s="189" t="s">
        <v>903</v>
      </c>
      <c r="O40" s="191">
        <v>0.104</v>
      </c>
      <c r="P40" s="244">
        <v>8966.6299999999992</v>
      </c>
      <c r="Q40" s="192">
        <v>932.53</v>
      </c>
      <c r="R40" s="182"/>
      <c r="U40" s="128"/>
    </row>
    <row r="41" spans="1:21" ht="15.6" x14ac:dyDescent="0.3">
      <c r="A41" s="53"/>
      <c r="B41" s="54"/>
      <c r="C41" s="54"/>
      <c r="D41" s="54"/>
      <c r="E41" s="55"/>
      <c r="F41" s="75"/>
      <c r="G41" s="76"/>
      <c r="H41" s="76"/>
      <c r="I41" s="48"/>
      <c r="J41" s="70"/>
      <c r="K41" s="70"/>
      <c r="L41" s="189" t="s">
        <v>741</v>
      </c>
      <c r="M41" s="190" t="s">
        <v>742</v>
      </c>
      <c r="N41" s="189" t="s">
        <v>903</v>
      </c>
      <c r="O41" s="191">
        <v>0.436</v>
      </c>
      <c r="P41" s="244">
        <v>8966.67</v>
      </c>
      <c r="Q41" s="244">
        <v>3909.47</v>
      </c>
      <c r="R41" s="182"/>
      <c r="U41" s="128"/>
    </row>
    <row r="42" spans="1:21" ht="15.6" x14ac:dyDescent="0.3">
      <c r="A42" s="53"/>
      <c r="B42" s="54"/>
      <c r="C42" s="54"/>
      <c r="D42" s="54"/>
      <c r="E42" s="55"/>
      <c r="F42" s="75"/>
      <c r="G42" s="76"/>
      <c r="H42" s="76"/>
      <c r="I42" s="48"/>
      <c r="J42" s="70"/>
      <c r="K42" s="70"/>
      <c r="L42" s="189" t="s">
        <v>943</v>
      </c>
      <c r="M42" s="190" t="s">
        <v>745</v>
      </c>
      <c r="N42" s="189" t="s">
        <v>903</v>
      </c>
      <c r="O42" s="191">
        <v>0.127</v>
      </c>
      <c r="P42" s="244">
        <v>9590</v>
      </c>
      <c r="Q42" s="244">
        <v>1217.93</v>
      </c>
      <c r="R42" s="182"/>
      <c r="U42" s="128"/>
    </row>
    <row r="43" spans="1:21" ht="15.6" x14ac:dyDescent="0.3">
      <c r="A43" s="53"/>
      <c r="B43" s="54"/>
      <c r="C43" s="54"/>
      <c r="D43" s="54"/>
      <c r="E43" s="55"/>
      <c r="F43" s="75"/>
      <c r="G43" s="76"/>
      <c r="H43" s="76"/>
      <c r="I43" s="48"/>
      <c r="J43" s="70"/>
      <c r="K43" s="70"/>
      <c r="L43" s="189" t="s">
        <v>1109</v>
      </c>
      <c r="M43" s="190" t="s">
        <v>1195</v>
      </c>
      <c r="N43" s="189" t="s">
        <v>903</v>
      </c>
      <c r="O43" s="191">
        <v>9.0999999999999998E-2</v>
      </c>
      <c r="P43" s="244">
        <v>3916.7</v>
      </c>
      <c r="Q43" s="192">
        <v>356.42</v>
      </c>
      <c r="R43" s="182"/>
      <c r="U43" s="128"/>
    </row>
    <row r="44" spans="1:21" ht="15.6" x14ac:dyDescent="0.3">
      <c r="A44" s="53"/>
      <c r="B44" s="54"/>
      <c r="C44" s="54"/>
      <c r="D44" s="54"/>
      <c r="E44" s="55"/>
      <c r="F44" s="75"/>
      <c r="G44" s="76"/>
      <c r="H44" s="76"/>
      <c r="I44" s="48"/>
      <c r="J44" s="70"/>
      <c r="K44" s="70"/>
      <c r="L44" s="189" t="s">
        <v>743</v>
      </c>
      <c r="M44" s="190" t="s">
        <v>744</v>
      </c>
      <c r="N44" s="189" t="s">
        <v>903</v>
      </c>
      <c r="O44" s="191">
        <v>1.2</v>
      </c>
      <c r="P44" s="244">
        <v>8966.67</v>
      </c>
      <c r="Q44" s="244">
        <v>10760</v>
      </c>
      <c r="R44" s="182"/>
      <c r="U44" s="128"/>
    </row>
    <row r="45" spans="1:21" ht="15.6" x14ac:dyDescent="0.3">
      <c r="A45" s="53"/>
      <c r="B45" s="54"/>
      <c r="C45" s="54"/>
      <c r="D45" s="54"/>
      <c r="E45" s="55"/>
      <c r="F45" s="75"/>
      <c r="G45" s="76"/>
      <c r="H45" s="76"/>
      <c r="I45" s="48"/>
      <c r="J45" s="70"/>
      <c r="K45" s="70"/>
      <c r="L45" s="189" t="s">
        <v>1110</v>
      </c>
      <c r="M45" s="190" t="s">
        <v>1196</v>
      </c>
      <c r="N45" s="189" t="s">
        <v>903</v>
      </c>
      <c r="O45" s="191">
        <v>0.3</v>
      </c>
      <c r="P45" s="244">
        <v>26855</v>
      </c>
      <c r="Q45" s="244">
        <v>8056.5</v>
      </c>
      <c r="R45" s="182"/>
      <c r="U45" s="128"/>
    </row>
    <row r="46" spans="1:21" ht="15.6" x14ac:dyDescent="0.3">
      <c r="A46" s="53"/>
      <c r="B46" s="54"/>
      <c r="C46" s="54"/>
      <c r="D46" s="54"/>
      <c r="E46" s="55"/>
      <c r="F46" s="75"/>
      <c r="G46" s="76"/>
      <c r="H46" s="76"/>
      <c r="I46" s="48"/>
      <c r="J46" s="70"/>
      <c r="K46" s="70"/>
      <c r="L46" s="189" t="s">
        <v>1112</v>
      </c>
      <c r="M46" s="190" t="s">
        <v>1198</v>
      </c>
      <c r="N46" s="189" t="s">
        <v>903</v>
      </c>
      <c r="O46" s="191">
        <v>0.4</v>
      </c>
      <c r="P46" s="244">
        <v>24113</v>
      </c>
      <c r="Q46" s="244">
        <v>9645.2000000000007</v>
      </c>
      <c r="R46" s="182"/>
      <c r="U46" s="128"/>
    </row>
    <row r="47" spans="1:21" ht="15.6" x14ac:dyDescent="0.3">
      <c r="A47" s="53"/>
      <c r="B47" s="54"/>
      <c r="C47" s="54"/>
      <c r="D47" s="54"/>
      <c r="E47" s="55"/>
      <c r="F47" s="75"/>
      <c r="G47" s="76"/>
      <c r="H47" s="76"/>
      <c r="I47" s="48"/>
      <c r="J47" s="70"/>
      <c r="K47" s="70"/>
      <c r="L47" s="189" t="s">
        <v>942</v>
      </c>
      <c r="M47" s="190" t="s">
        <v>740</v>
      </c>
      <c r="N47" s="189" t="s">
        <v>903</v>
      </c>
      <c r="O47" s="191">
        <v>0.9</v>
      </c>
      <c r="P47" s="244">
        <v>8966.67</v>
      </c>
      <c r="Q47" s="244">
        <v>8070</v>
      </c>
      <c r="R47" s="182"/>
      <c r="U47" s="128"/>
    </row>
    <row r="48" spans="1:21" ht="15.6" x14ac:dyDescent="0.3">
      <c r="A48" s="53"/>
      <c r="B48" s="54"/>
      <c r="C48" s="54"/>
      <c r="D48" s="54"/>
      <c r="E48" s="55"/>
      <c r="F48" s="75"/>
      <c r="G48" s="76"/>
      <c r="H48" s="76"/>
      <c r="I48" s="48"/>
      <c r="J48" s="70"/>
      <c r="K48" s="70"/>
      <c r="L48" s="189" t="s">
        <v>1283</v>
      </c>
      <c r="M48" s="190" t="s">
        <v>1318</v>
      </c>
      <c r="N48" s="189" t="s">
        <v>903</v>
      </c>
      <c r="O48" s="191">
        <v>0.5</v>
      </c>
      <c r="P48" s="244">
        <v>8966.66</v>
      </c>
      <c r="Q48" s="244">
        <v>4483.33</v>
      </c>
      <c r="R48" s="182"/>
      <c r="U48" s="128"/>
    </row>
    <row r="49" spans="1:21" ht="15.6" x14ac:dyDescent="0.3">
      <c r="A49" s="53"/>
      <c r="B49" s="54"/>
      <c r="C49" s="54"/>
      <c r="D49" s="54"/>
      <c r="E49" s="55"/>
      <c r="F49" s="75"/>
      <c r="G49" s="76"/>
      <c r="H49" s="76"/>
      <c r="I49" s="48"/>
      <c r="J49" s="70"/>
      <c r="K49" s="70"/>
      <c r="L49" s="189" t="s">
        <v>1366</v>
      </c>
      <c r="M49" s="190" t="s">
        <v>1395</v>
      </c>
      <c r="N49" s="189" t="s">
        <v>903</v>
      </c>
      <c r="O49" s="191">
        <v>6.0999999999999999E-2</v>
      </c>
      <c r="P49" s="244">
        <v>24262.46</v>
      </c>
      <c r="Q49" s="244">
        <v>1480.01</v>
      </c>
      <c r="R49" s="182"/>
      <c r="U49" s="128"/>
    </row>
    <row r="50" spans="1:21" ht="15.6" x14ac:dyDescent="0.3">
      <c r="A50" s="53"/>
      <c r="B50" s="54"/>
      <c r="C50" s="54"/>
      <c r="D50" s="54"/>
      <c r="E50" s="55"/>
      <c r="F50" s="75"/>
      <c r="G50" s="76"/>
      <c r="H50" s="76"/>
      <c r="I50" s="48"/>
      <c r="J50" s="70"/>
      <c r="K50" s="70"/>
      <c r="L50" s="189" t="s">
        <v>944</v>
      </c>
      <c r="M50" s="190" t="s">
        <v>1041</v>
      </c>
      <c r="N50" s="189" t="s">
        <v>903</v>
      </c>
      <c r="O50" s="191">
        <v>2.8</v>
      </c>
      <c r="P50" s="244">
        <v>1270.1300000000001</v>
      </c>
      <c r="Q50" s="244">
        <v>3556.36</v>
      </c>
      <c r="R50" s="182"/>
      <c r="U50" s="128"/>
    </row>
    <row r="51" spans="1:21" ht="15.6" x14ac:dyDescent="0.3">
      <c r="A51" s="53"/>
      <c r="B51" s="54"/>
      <c r="C51" s="54"/>
      <c r="D51" s="54"/>
      <c r="E51" s="55"/>
      <c r="F51" s="75"/>
      <c r="G51" s="76"/>
      <c r="H51" s="76"/>
      <c r="I51" s="48"/>
      <c r="J51" s="70"/>
      <c r="K51" s="70"/>
      <c r="L51" s="189" t="s">
        <v>1108</v>
      </c>
      <c r="M51" s="190" t="s">
        <v>1194</v>
      </c>
      <c r="N51" s="189" t="s">
        <v>903</v>
      </c>
      <c r="O51" s="191">
        <v>3</v>
      </c>
      <c r="P51" s="244">
        <v>1192.4100000000001</v>
      </c>
      <c r="Q51" s="244">
        <v>3577.24</v>
      </c>
      <c r="R51" s="182"/>
      <c r="U51" s="128"/>
    </row>
    <row r="52" spans="1:21" ht="30" x14ac:dyDescent="0.3">
      <c r="A52" s="53"/>
      <c r="B52" s="54"/>
      <c r="C52" s="54"/>
      <c r="D52" s="54"/>
      <c r="E52" s="55"/>
      <c r="F52" s="75"/>
      <c r="G52" s="76"/>
      <c r="H52" s="76"/>
      <c r="I52" s="48"/>
      <c r="J52" s="70"/>
      <c r="K52" s="70"/>
      <c r="L52" s="189" t="s">
        <v>1360</v>
      </c>
      <c r="M52" s="190" t="s">
        <v>1389</v>
      </c>
      <c r="N52" s="189" t="s">
        <v>903</v>
      </c>
      <c r="O52" s="191">
        <v>0.25</v>
      </c>
      <c r="P52" s="244">
        <v>3625</v>
      </c>
      <c r="Q52" s="192">
        <v>906.25</v>
      </c>
      <c r="R52" s="182"/>
      <c r="U52" s="128"/>
    </row>
    <row r="53" spans="1:21" ht="15.6" x14ac:dyDescent="0.3">
      <c r="A53" s="53"/>
      <c r="B53" s="54"/>
      <c r="C53" s="54"/>
      <c r="D53" s="54"/>
      <c r="E53" s="55"/>
      <c r="F53" s="75"/>
      <c r="G53" s="76"/>
      <c r="H53" s="76"/>
      <c r="I53" s="48"/>
      <c r="J53" s="70"/>
      <c r="K53" s="70"/>
      <c r="L53" s="189" t="s">
        <v>1114</v>
      </c>
      <c r="M53" s="190" t="s">
        <v>1200</v>
      </c>
      <c r="N53" s="189" t="s">
        <v>68</v>
      </c>
      <c r="O53" s="191">
        <v>2</v>
      </c>
      <c r="P53" s="192">
        <v>36</v>
      </c>
      <c r="Q53" s="192">
        <v>72</v>
      </c>
      <c r="R53" s="182"/>
      <c r="U53" s="128"/>
    </row>
    <row r="54" spans="1:21" ht="15.6" x14ac:dyDescent="0.3">
      <c r="A54" s="53"/>
      <c r="B54" s="54"/>
      <c r="C54" s="54"/>
      <c r="D54" s="54"/>
      <c r="E54" s="55"/>
      <c r="F54" s="75"/>
      <c r="G54" s="76"/>
      <c r="H54" s="76"/>
      <c r="I54" s="48"/>
      <c r="J54" s="70"/>
      <c r="K54" s="70"/>
      <c r="L54" s="189" t="s">
        <v>882</v>
      </c>
      <c r="M54" s="190" t="s">
        <v>883</v>
      </c>
      <c r="N54" s="189" t="s">
        <v>68</v>
      </c>
      <c r="O54" s="191">
        <v>2</v>
      </c>
      <c r="P54" s="192">
        <v>188.33</v>
      </c>
      <c r="Q54" s="192">
        <v>376.66</v>
      </c>
      <c r="R54" s="182"/>
      <c r="U54" s="128"/>
    </row>
    <row r="55" spans="1:21" ht="15.6" x14ac:dyDescent="0.3">
      <c r="A55" s="53"/>
      <c r="B55" s="54"/>
      <c r="C55" s="54"/>
      <c r="D55" s="54"/>
      <c r="E55" s="55"/>
      <c r="F55" s="75"/>
      <c r="G55" s="76"/>
      <c r="H55" s="76"/>
      <c r="I55" s="48"/>
      <c r="J55" s="70"/>
      <c r="K55" s="70"/>
      <c r="L55" s="189" t="s">
        <v>1117</v>
      </c>
      <c r="M55" s="190" t="s">
        <v>1203</v>
      </c>
      <c r="N55" s="189" t="s">
        <v>68</v>
      </c>
      <c r="O55" s="191">
        <v>6.75</v>
      </c>
      <c r="P55" s="192">
        <v>188.33</v>
      </c>
      <c r="Q55" s="244">
        <v>1271.25</v>
      </c>
      <c r="R55" s="182"/>
      <c r="U55" s="128"/>
    </row>
    <row r="56" spans="1:21" ht="15.6" x14ac:dyDescent="0.3">
      <c r="A56" s="53"/>
      <c r="B56" s="54"/>
      <c r="C56" s="54"/>
      <c r="D56" s="54"/>
      <c r="E56" s="55"/>
      <c r="F56" s="75"/>
      <c r="G56" s="76"/>
      <c r="H56" s="76"/>
      <c r="I56" s="48"/>
      <c r="J56" s="70"/>
      <c r="K56" s="70"/>
      <c r="L56" s="189" t="s">
        <v>1118</v>
      </c>
      <c r="M56" s="190" t="s">
        <v>1204</v>
      </c>
      <c r="N56" s="189" t="s">
        <v>68</v>
      </c>
      <c r="O56" s="191">
        <v>60</v>
      </c>
      <c r="P56" s="192">
        <v>24</v>
      </c>
      <c r="Q56" s="244">
        <v>1440</v>
      </c>
      <c r="R56" s="182"/>
      <c r="U56" s="128"/>
    </row>
    <row r="57" spans="1:21" ht="15.6" x14ac:dyDescent="0.3">
      <c r="A57" s="53"/>
      <c r="B57" s="54"/>
      <c r="C57" s="54"/>
      <c r="D57" s="54"/>
      <c r="E57" s="55"/>
      <c r="F57" s="75"/>
      <c r="G57" s="76"/>
      <c r="H57" s="76"/>
      <c r="I57" s="48"/>
      <c r="J57" s="70"/>
      <c r="K57" s="70"/>
      <c r="L57" s="189" t="s">
        <v>1115</v>
      </c>
      <c r="M57" s="190" t="s">
        <v>1201</v>
      </c>
      <c r="N57" s="189" t="s">
        <v>68</v>
      </c>
      <c r="O57" s="191">
        <v>1.2</v>
      </c>
      <c r="P57" s="192">
        <v>186.67</v>
      </c>
      <c r="Q57" s="192">
        <v>224</v>
      </c>
      <c r="R57" s="182"/>
      <c r="U57" s="128"/>
    </row>
    <row r="58" spans="1:21" ht="15.6" x14ac:dyDescent="0.3">
      <c r="A58" s="53"/>
      <c r="B58" s="54"/>
      <c r="C58" s="54"/>
      <c r="D58" s="54"/>
      <c r="E58" s="55"/>
      <c r="F58" s="75"/>
      <c r="G58" s="76"/>
      <c r="H58" s="76"/>
      <c r="I58" s="48"/>
      <c r="J58" s="70"/>
      <c r="K58" s="70"/>
      <c r="L58" s="189" t="s">
        <v>1116</v>
      </c>
      <c r="M58" s="190" t="s">
        <v>1202</v>
      </c>
      <c r="N58" s="189" t="s">
        <v>68</v>
      </c>
      <c r="O58" s="191">
        <v>25.6</v>
      </c>
      <c r="P58" s="192">
        <v>170</v>
      </c>
      <c r="Q58" s="244">
        <v>4352</v>
      </c>
      <c r="R58" s="182"/>
      <c r="U58" s="128"/>
    </row>
    <row r="59" spans="1:21" ht="15.6" x14ac:dyDescent="0.3">
      <c r="A59" s="53"/>
      <c r="B59" s="54"/>
      <c r="C59" s="54"/>
      <c r="D59" s="54"/>
      <c r="E59" s="55"/>
      <c r="F59" s="75"/>
      <c r="G59" s="76"/>
      <c r="H59" s="76"/>
      <c r="I59" s="48"/>
      <c r="J59" s="70"/>
      <c r="K59" s="70"/>
      <c r="L59" s="189" t="s">
        <v>207</v>
      </c>
      <c r="M59" s="190" t="s">
        <v>858</v>
      </c>
      <c r="N59" s="189" t="s">
        <v>68</v>
      </c>
      <c r="O59" s="191">
        <v>1.4</v>
      </c>
      <c r="P59" s="192">
        <v>343.29</v>
      </c>
      <c r="Q59" s="192">
        <v>480.6</v>
      </c>
      <c r="R59" s="182"/>
      <c r="U59" s="128"/>
    </row>
    <row r="60" spans="1:21" ht="15.6" x14ac:dyDescent="0.3">
      <c r="A60" s="53"/>
      <c r="B60" s="54"/>
      <c r="C60" s="54"/>
      <c r="D60" s="54"/>
      <c r="E60" s="55"/>
      <c r="F60" s="75"/>
      <c r="G60" s="76"/>
      <c r="H60" s="76"/>
      <c r="I60" s="48"/>
      <c r="J60" s="70"/>
      <c r="K60" s="70"/>
      <c r="L60" s="189" t="s">
        <v>752</v>
      </c>
      <c r="M60" s="190" t="s">
        <v>753</v>
      </c>
      <c r="N60" s="189" t="s">
        <v>68</v>
      </c>
      <c r="O60" s="191">
        <v>3.1</v>
      </c>
      <c r="P60" s="244">
        <v>4824.45</v>
      </c>
      <c r="Q60" s="244">
        <v>14955.79</v>
      </c>
      <c r="R60" s="182"/>
      <c r="U60" s="128"/>
    </row>
    <row r="61" spans="1:21" ht="15.6" x14ac:dyDescent="0.3">
      <c r="A61" s="53"/>
      <c r="B61" s="54"/>
      <c r="C61" s="54"/>
      <c r="D61" s="54"/>
      <c r="E61" s="55"/>
      <c r="F61" s="75"/>
      <c r="G61" s="76"/>
      <c r="H61" s="76"/>
      <c r="I61" s="48"/>
      <c r="J61" s="70"/>
      <c r="K61" s="70"/>
      <c r="L61" s="189" t="s">
        <v>747</v>
      </c>
      <c r="M61" s="190" t="s">
        <v>748</v>
      </c>
      <c r="N61" s="189" t="s">
        <v>68</v>
      </c>
      <c r="O61" s="191">
        <v>73</v>
      </c>
      <c r="P61" s="192">
        <v>280</v>
      </c>
      <c r="Q61" s="244">
        <v>20440</v>
      </c>
      <c r="R61" s="182"/>
      <c r="U61" s="128"/>
    </row>
    <row r="62" spans="1:21" ht="15.6" x14ac:dyDescent="0.3">
      <c r="A62" s="53"/>
      <c r="B62" s="54"/>
      <c r="C62" s="54"/>
      <c r="D62" s="54"/>
      <c r="E62" s="55"/>
      <c r="F62" s="75"/>
      <c r="G62" s="76"/>
      <c r="H62" s="76"/>
      <c r="I62" s="48"/>
      <c r="J62" s="70"/>
      <c r="K62" s="70"/>
      <c r="L62" s="189" t="s">
        <v>945</v>
      </c>
      <c r="M62" s="190" t="s">
        <v>1032</v>
      </c>
      <c r="N62" s="189" t="s">
        <v>68</v>
      </c>
      <c r="O62" s="191">
        <v>41</v>
      </c>
      <c r="P62" s="192">
        <v>302.5</v>
      </c>
      <c r="Q62" s="244">
        <v>12402.49</v>
      </c>
      <c r="R62" s="182"/>
      <c r="U62" s="128"/>
    </row>
    <row r="63" spans="1:21" ht="15.6" x14ac:dyDescent="0.3">
      <c r="A63" s="53"/>
      <c r="B63" s="54"/>
      <c r="C63" s="54"/>
      <c r="D63" s="54"/>
      <c r="E63" s="55"/>
      <c r="F63" s="75"/>
      <c r="G63" s="76"/>
      <c r="H63" s="76"/>
      <c r="I63" s="48"/>
      <c r="J63" s="70"/>
      <c r="K63" s="70"/>
      <c r="L63" s="189" t="s">
        <v>909</v>
      </c>
      <c r="M63" s="190" t="s">
        <v>910</v>
      </c>
      <c r="N63" s="189" t="s">
        <v>68</v>
      </c>
      <c r="O63" s="191">
        <v>0.41699999999999998</v>
      </c>
      <c r="P63" s="192">
        <v>749.04</v>
      </c>
      <c r="Q63" s="192">
        <v>312.35000000000002</v>
      </c>
      <c r="R63" s="182"/>
      <c r="U63" s="128"/>
    </row>
    <row r="64" spans="1:21" ht="15.6" x14ac:dyDescent="0.3">
      <c r="A64" s="53"/>
      <c r="B64" s="54"/>
      <c r="C64" s="54"/>
      <c r="D64" s="54"/>
      <c r="E64" s="55"/>
      <c r="F64" s="75"/>
      <c r="G64" s="76"/>
      <c r="H64" s="76"/>
      <c r="I64" s="48"/>
      <c r="J64" s="70"/>
      <c r="K64" s="70"/>
      <c r="L64" s="189" t="s">
        <v>889</v>
      </c>
      <c r="M64" s="190" t="s">
        <v>890</v>
      </c>
      <c r="N64" s="189" t="s">
        <v>82</v>
      </c>
      <c r="O64" s="191">
        <v>1</v>
      </c>
      <c r="P64" s="244">
        <v>20643</v>
      </c>
      <c r="Q64" s="244">
        <v>20643</v>
      </c>
      <c r="R64" s="182"/>
      <c r="U64" s="128"/>
    </row>
    <row r="65" spans="1:21" ht="15.6" x14ac:dyDescent="0.3">
      <c r="A65" s="53"/>
      <c r="B65" s="54"/>
      <c r="C65" s="54"/>
      <c r="D65" s="54"/>
      <c r="E65" s="55"/>
      <c r="F65" s="75"/>
      <c r="G65" s="76"/>
      <c r="H65" s="76"/>
      <c r="I65" s="48"/>
      <c r="J65" s="70"/>
      <c r="K65" s="70"/>
      <c r="L65" s="189" t="s">
        <v>884</v>
      </c>
      <c r="M65" s="190" t="s">
        <v>885</v>
      </c>
      <c r="N65" s="189" t="s">
        <v>82</v>
      </c>
      <c r="O65" s="191">
        <v>1</v>
      </c>
      <c r="P65" s="244">
        <v>18062</v>
      </c>
      <c r="Q65" s="244">
        <v>18062</v>
      </c>
      <c r="R65" s="182"/>
      <c r="U65" s="128"/>
    </row>
    <row r="66" spans="1:21" ht="15.6" x14ac:dyDescent="0.3">
      <c r="A66" s="53"/>
      <c r="B66" s="54"/>
      <c r="C66" s="54"/>
      <c r="D66" s="54"/>
      <c r="E66" s="55"/>
      <c r="F66" s="75"/>
      <c r="G66" s="76"/>
      <c r="H66" s="76"/>
      <c r="I66" s="48"/>
      <c r="J66" s="70"/>
      <c r="K66" s="70"/>
      <c r="L66" s="189" t="s">
        <v>1119</v>
      </c>
      <c r="M66" s="190" t="s">
        <v>1205</v>
      </c>
      <c r="N66" s="189" t="s">
        <v>35</v>
      </c>
      <c r="O66" s="191">
        <v>3</v>
      </c>
      <c r="P66" s="192">
        <v>78.33</v>
      </c>
      <c r="Q66" s="192">
        <v>234.99</v>
      </c>
      <c r="R66" s="182"/>
      <c r="U66" s="128"/>
    </row>
    <row r="67" spans="1:21" ht="15.6" x14ac:dyDescent="0.3">
      <c r="A67" s="53"/>
      <c r="B67" s="54"/>
      <c r="C67" s="54"/>
      <c r="D67" s="54"/>
      <c r="E67" s="55"/>
      <c r="F67" s="75"/>
      <c r="G67" s="76"/>
      <c r="H67" s="76"/>
      <c r="I67" s="48"/>
      <c r="J67" s="70"/>
      <c r="K67" s="70"/>
      <c r="L67" s="189" t="s">
        <v>1120</v>
      </c>
      <c r="M67" s="190" t="s">
        <v>1206</v>
      </c>
      <c r="N67" s="189" t="s">
        <v>35</v>
      </c>
      <c r="O67" s="191">
        <v>10</v>
      </c>
      <c r="P67" s="192">
        <v>135.59</v>
      </c>
      <c r="Q67" s="244">
        <v>1355.9</v>
      </c>
      <c r="R67" s="182"/>
      <c r="U67" s="128"/>
    </row>
    <row r="68" spans="1:21" ht="15.6" x14ac:dyDescent="0.3">
      <c r="A68" s="53"/>
      <c r="B68" s="54"/>
      <c r="C68" s="54"/>
      <c r="D68" s="54"/>
      <c r="E68" s="55"/>
      <c r="F68" s="75"/>
      <c r="G68" s="76"/>
      <c r="H68" s="76"/>
      <c r="I68" s="48"/>
      <c r="J68" s="70"/>
      <c r="K68" s="70"/>
      <c r="L68" s="189" t="s">
        <v>1436</v>
      </c>
      <c r="M68" s="190" t="s">
        <v>1458</v>
      </c>
      <c r="N68" s="189" t="s">
        <v>35</v>
      </c>
      <c r="O68" s="191">
        <v>1.2999999999999999E-2</v>
      </c>
      <c r="P68" s="192">
        <v>307.69</v>
      </c>
      <c r="Q68" s="192">
        <v>4</v>
      </c>
      <c r="R68" s="182"/>
      <c r="U68" s="128"/>
    </row>
    <row r="69" spans="1:21" ht="15.6" x14ac:dyDescent="0.3">
      <c r="A69" s="53"/>
      <c r="B69" s="54"/>
      <c r="C69" s="54"/>
      <c r="D69" s="54"/>
      <c r="E69" s="55"/>
      <c r="F69" s="75"/>
      <c r="G69" s="76"/>
      <c r="H69" s="76"/>
      <c r="I69" s="48"/>
      <c r="J69" s="70"/>
      <c r="K69" s="70"/>
      <c r="L69" s="189" t="s">
        <v>1178</v>
      </c>
      <c r="M69" s="190" t="s">
        <v>1262</v>
      </c>
      <c r="N69" s="189" t="s">
        <v>34</v>
      </c>
      <c r="O69" s="191">
        <v>1</v>
      </c>
      <c r="P69" s="192">
        <v>36.72</v>
      </c>
      <c r="Q69" s="192">
        <v>36.72</v>
      </c>
      <c r="R69" s="182"/>
      <c r="U69" s="128"/>
    </row>
    <row r="70" spans="1:21" ht="30" x14ac:dyDescent="0.3">
      <c r="A70" s="53"/>
      <c r="B70" s="54"/>
      <c r="C70" s="54"/>
      <c r="D70" s="54"/>
      <c r="E70" s="55"/>
      <c r="F70" s="75"/>
      <c r="G70" s="76"/>
      <c r="H70" s="76"/>
      <c r="I70" s="48"/>
      <c r="J70" s="70"/>
      <c r="K70" s="70"/>
      <c r="L70" s="189" t="s">
        <v>987</v>
      </c>
      <c r="M70" s="190" t="s">
        <v>837</v>
      </c>
      <c r="N70" s="189" t="s">
        <v>34</v>
      </c>
      <c r="O70" s="191">
        <v>2</v>
      </c>
      <c r="P70" s="192">
        <v>57.75</v>
      </c>
      <c r="Q70" s="192">
        <v>115.5</v>
      </c>
      <c r="R70" s="182"/>
      <c r="U70" s="128"/>
    </row>
    <row r="71" spans="1:21" ht="15.6" x14ac:dyDescent="0.3">
      <c r="A71" s="53"/>
      <c r="B71" s="54"/>
      <c r="C71" s="54"/>
      <c r="D71" s="54"/>
      <c r="E71" s="55"/>
      <c r="F71" s="75"/>
      <c r="G71" s="76"/>
      <c r="H71" s="76"/>
      <c r="I71" s="48"/>
      <c r="J71" s="70"/>
      <c r="K71" s="70"/>
      <c r="L71" s="189" t="s">
        <v>484</v>
      </c>
      <c r="M71" s="190" t="s">
        <v>1061</v>
      </c>
      <c r="N71" s="189" t="s">
        <v>34</v>
      </c>
      <c r="O71" s="191">
        <v>1</v>
      </c>
      <c r="P71" s="192">
        <v>36.25</v>
      </c>
      <c r="Q71" s="192">
        <v>36.25</v>
      </c>
      <c r="R71" s="182"/>
      <c r="U71" s="128"/>
    </row>
    <row r="72" spans="1:21" ht="15.6" x14ac:dyDescent="0.3">
      <c r="A72" s="53"/>
      <c r="B72" s="54"/>
      <c r="C72" s="54"/>
      <c r="D72" s="54"/>
      <c r="E72" s="55"/>
      <c r="F72" s="75"/>
      <c r="G72" s="76"/>
      <c r="H72" s="76"/>
      <c r="I72" s="48"/>
      <c r="J72" s="70"/>
      <c r="K72" s="70"/>
      <c r="L72" s="189" t="s">
        <v>986</v>
      </c>
      <c r="M72" s="190" t="s">
        <v>835</v>
      </c>
      <c r="N72" s="189" t="s">
        <v>34</v>
      </c>
      <c r="O72" s="191">
        <v>3.5</v>
      </c>
      <c r="P72" s="192">
        <v>275.87</v>
      </c>
      <c r="Q72" s="192">
        <v>965.53</v>
      </c>
      <c r="R72" s="182"/>
      <c r="U72" s="128"/>
    </row>
    <row r="73" spans="1:21" ht="15.6" x14ac:dyDescent="0.3">
      <c r="A73" s="53"/>
      <c r="B73" s="54"/>
      <c r="C73" s="54"/>
      <c r="D73" s="54"/>
      <c r="E73" s="55"/>
      <c r="F73" s="75"/>
      <c r="G73" s="76"/>
      <c r="H73" s="76"/>
      <c r="I73" s="48"/>
      <c r="J73" s="70"/>
      <c r="K73" s="70"/>
      <c r="L73" s="189" t="s">
        <v>930</v>
      </c>
      <c r="M73" s="190" t="s">
        <v>931</v>
      </c>
      <c r="N73" s="189" t="s">
        <v>34</v>
      </c>
      <c r="O73" s="191">
        <v>1</v>
      </c>
      <c r="P73" s="192">
        <v>103.33</v>
      </c>
      <c r="Q73" s="192">
        <v>103.33</v>
      </c>
      <c r="R73" s="182"/>
      <c r="U73" s="128"/>
    </row>
    <row r="74" spans="1:21" ht="15.6" x14ac:dyDescent="0.3">
      <c r="A74" s="53"/>
      <c r="B74" s="54"/>
      <c r="C74" s="54"/>
      <c r="D74" s="54"/>
      <c r="E74" s="55"/>
      <c r="F74" s="75"/>
      <c r="G74" s="76"/>
      <c r="H74" s="76"/>
      <c r="I74" s="48"/>
      <c r="J74" s="70"/>
      <c r="K74" s="70"/>
      <c r="L74" s="189" t="s">
        <v>1179</v>
      </c>
      <c r="M74" s="190" t="s">
        <v>1263</v>
      </c>
      <c r="N74" s="189" t="s">
        <v>34</v>
      </c>
      <c r="O74" s="191">
        <v>1</v>
      </c>
      <c r="P74" s="192">
        <v>561</v>
      </c>
      <c r="Q74" s="192">
        <v>561</v>
      </c>
      <c r="R74" s="182"/>
      <c r="U74" s="128"/>
    </row>
    <row r="75" spans="1:21" ht="15.6" x14ac:dyDescent="0.3">
      <c r="A75" s="53"/>
      <c r="B75" s="54"/>
      <c r="C75" s="54"/>
      <c r="D75" s="54"/>
      <c r="E75" s="55"/>
      <c r="F75" s="75"/>
      <c r="G75" s="76"/>
      <c r="H75" s="76"/>
      <c r="I75" s="48"/>
      <c r="J75" s="70"/>
      <c r="K75" s="70"/>
      <c r="L75" s="189" t="s">
        <v>1091</v>
      </c>
      <c r="M75" s="190" t="s">
        <v>1095</v>
      </c>
      <c r="N75" s="189" t="s">
        <v>34</v>
      </c>
      <c r="O75" s="191">
        <v>1</v>
      </c>
      <c r="P75" s="192">
        <v>133.82</v>
      </c>
      <c r="Q75" s="192">
        <v>133.82</v>
      </c>
      <c r="R75" s="182"/>
      <c r="U75" s="128"/>
    </row>
    <row r="76" spans="1:21" ht="15.6" x14ac:dyDescent="0.3">
      <c r="A76" s="53"/>
      <c r="B76" s="54"/>
      <c r="C76" s="54"/>
      <c r="D76" s="54"/>
      <c r="E76" s="55"/>
      <c r="F76" s="75"/>
      <c r="G76" s="76"/>
      <c r="H76" s="76"/>
      <c r="I76" s="48"/>
      <c r="J76" s="70"/>
      <c r="K76" s="70"/>
      <c r="L76" s="189" t="s">
        <v>927</v>
      </c>
      <c r="M76" s="190" t="s">
        <v>928</v>
      </c>
      <c r="N76" s="189" t="s">
        <v>34</v>
      </c>
      <c r="O76" s="191">
        <v>2</v>
      </c>
      <c r="P76" s="244">
        <v>2068.16</v>
      </c>
      <c r="Q76" s="244">
        <v>4136.32</v>
      </c>
      <c r="R76" s="182"/>
      <c r="U76" s="128"/>
    </row>
    <row r="77" spans="1:21" ht="15.6" x14ac:dyDescent="0.3">
      <c r="A77" s="53"/>
      <c r="B77" s="54"/>
      <c r="C77" s="54"/>
      <c r="D77" s="54"/>
      <c r="E77" s="55"/>
      <c r="F77" s="75"/>
      <c r="G77" s="76"/>
      <c r="H77" s="76"/>
      <c r="I77" s="48"/>
      <c r="J77" s="70"/>
      <c r="K77" s="70"/>
      <c r="L77" s="189" t="s">
        <v>219</v>
      </c>
      <c r="M77" s="190" t="s">
        <v>220</v>
      </c>
      <c r="N77" s="189" t="s">
        <v>34</v>
      </c>
      <c r="O77" s="191">
        <v>2</v>
      </c>
      <c r="P77" s="192">
        <v>83</v>
      </c>
      <c r="Q77" s="192">
        <v>166</v>
      </c>
      <c r="R77" s="182"/>
      <c r="U77" s="128"/>
    </row>
    <row r="78" spans="1:21" ht="15.6" x14ac:dyDescent="0.3">
      <c r="A78" s="53"/>
      <c r="B78" s="54"/>
      <c r="C78" s="54"/>
      <c r="D78" s="54"/>
      <c r="E78" s="55"/>
      <c r="F78" s="75"/>
      <c r="G78" s="76"/>
      <c r="H78" s="76"/>
      <c r="I78" s="48"/>
      <c r="J78" s="70"/>
      <c r="K78" s="70"/>
      <c r="L78" s="189" t="s">
        <v>1422</v>
      </c>
      <c r="M78" s="190" t="s">
        <v>1445</v>
      </c>
      <c r="N78" s="189" t="s">
        <v>34</v>
      </c>
      <c r="O78" s="191">
        <v>0.13600000000000001</v>
      </c>
      <c r="P78" s="192">
        <v>230</v>
      </c>
      <c r="Q78" s="192">
        <v>31.28</v>
      </c>
      <c r="R78" s="182"/>
      <c r="U78" s="128"/>
    </row>
    <row r="79" spans="1:21" ht="15.6" x14ac:dyDescent="0.3">
      <c r="A79" s="53"/>
      <c r="B79" s="54"/>
      <c r="C79" s="54"/>
      <c r="D79" s="54"/>
      <c r="E79" s="55"/>
      <c r="F79" s="75"/>
      <c r="G79" s="76"/>
      <c r="H79" s="76"/>
      <c r="I79" s="48"/>
      <c r="J79" s="70"/>
      <c r="K79" s="70"/>
      <c r="L79" s="189" t="s">
        <v>1371</v>
      </c>
      <c r="M79" s="190" t="s">
        <v>99</v>
      </c>
      <c r="N79" s="189" t="s">
        <v>34</v>
      </c>
      <c r="O79" s="191">
        <v>0.27300000000000002</v>
      </c>
      <c r="P79" s="244">
        <v>1041.6500000000001</v>
      </c>
      <c r="Q79" s="192">
        <v>284.37</v>
      </c>
      <c r="R79" s="182"/>
      <c r="U79" s="128"/>
    </row>
    <row r="80" spans="1:21" ht="15.6" x14ac:dyDescent="0.3">
      <c r="A80" s="53"/>
      <c r="B80" s="54"/>
      <c r="C80" s="54"/>
      <c r="D80" s="54"/>
      <c r="E80" s="55"/>
      <c r="F80" s="75"/>
      <c r="G80" s="76"/>
      <c r="H80" s="76"/>
      <c r="I80" s="48"/>
      <c r="J80" s="70"/>
      <c r="K80" s="70"/>
      <c r="L80" s="189" t="s">
        <v>510</v>
      </c>
      <c r="M80" s="190" t="s">
        <v>1060</v>
      </c>
      <c r="N80" s="189" t="s">
        <v>34</v>
      </c>
      <c r="O80" s="191">
        <v>0.27</v>
      </c>
      <c r="P80" s="192">
        <v>169</v>
      </c>
      <c r="Q80" s="192">
        <v>45.63</v>
      </c>
      <c r="R80" s="182"/>
      <c r="U80" s="128"/>
    </row>
    <row r="81" spans="1:21" ht="15.6" x14ac:dyDescent="0.3">
      <c r="A81" s="53"/>
      <c r="B81" s="54"/>
      <c r="C81" s="54"/>
      <c r="D81" s="54"/>
      <c r="E81" s="55"/>
      <c r="F81" s="75"/>
      <c r="G81" s="76"/>
      <c r="H81" s="76"/>
      <c r="I81" s="48"/>
      <c r="J81" s="70"/>
      <c r="K81" s="70"/>
      <c r="L81" s="189" t="s">
        <v>1374</v>
      </c>
      <c r="M81" s="190" t="s">
        <v>1402</v>
      </c>
      <c r="N81" s="189" t="s">
        <v>34</v>
      </c>
      <c r="O81" s="191">
        <v>4.4999999999999998E-2</v>
      </c>
      <c r="P81" s="192">
        <v>108</v>
      </c>
      <c r="Q81" s="192">
        <v>4.8600000000000003</v>
      </c>
      <c r="R81" s="182"/>
      <c r="U81" s="128"/>
    </row>
    <row r="82" spans="1:21" ht="15.6" x14ac:dyDescent="0.3">
      <c r="A82" s="53"/>
      <c r="B82" s="54"/>
      <c r="C82" s="54"/>
      <c r="D82" s="54"/>
      <c r="E82" s="55"/>
      <c r="F82" s="75"/>
      <c r="G82" s="76"/>
      <c r="H82" s="76"/>
      <c r="I82" s="48"/>
      <c r="J82" s="70"/>
      <c r="K82" s="70"/>
      <c r="L82" s="189" t="s">
        <v>1080</v>
      </c>
      <c r="M82" s="190" t="s">
        <v>1081</v>
      </c>
      <c r="N82" s="189" t="s">
        <v>34</v>
      </c>
      <c r="O82" s="191">
        <v>1</v>
      </c>
      <c r="P82" s="192">
        <v>4.25</v>
      </c>
      <c r="Q82" s="192">
        <v>4.25</v>
      </c>
      <c r="R82" s="182"/>
      <c r="U82" s="128"/>
    </row>
    <row r="83" spans="1:21" ht="15.6" x14ac:dyDescent="0.3">
      <c r="A83" s="53"/>
      <c r="B83" s="54"/>
      <c r="C83" s="54"/>
      <c r="D83" s="54"/>
      <c r="E83" s="55"/>
      <c r="F83" s="75"/>
      <c r="G83" s="76"/>
      <c r="H83" s="76"/>
      <c r="I83" s="48"/>
      <c r="J83" s="70"/>
      <c r="K83" s="70"/>
      <c r="L83" s="189" t="s">
        <v>983</v>
      </c>
      <c r="M83" s="190" t="s">
        <v>471</v>
      </c>
      <c r="N83" s="189" t="s">
        <v>34</v>
      </c>
      <c r="O83" s="191">
        <v>3</v>
      </c>
      <c r="P83" s="192">
        <v>25.58</v>
      </c>
      <c r="Q83" s="192">
        <v>76.739999999999995</v>
      </c>
      <c r="R83" s="182"/>
      <c r="U83" s="128"/>
    </row>
    <row r="84" spans="1:21" ht="15.6" x14ac:dyDescent="0.3">
      <c r="A84" s="53"/>
      <c r="B84" s="54"/>
      <c r="C84" s="54"/>
      <c r="D84" s="54"/>
      <c r="E84" s="55"/>
      <c r="F84" s="75"/>
      <c r="G84" s="76"/>
      <c r="H84" s="76"/>
      <c r="I84" s="48"/>
      <c r="J84" s="70"/>
      <c r="K84" s="70"/>
      <c r="L84" s="189" t="s">
        <v>984</v>
      </c>
      <c r="M84" s="190" t="s">
        <v>472</v>
      </c>
      <c r="N84" s="189" t="s">
        <v>34</v>
      </c>
      <c r="O84" s="191">
        <v>5</v>
      </c>
      <c r="P84" s="192">
        <v>5.87</v>
      </c>
      <c r="Q84" s="192">
        <v>29.34</v>
      </c>
      <c r="R84" s="182"/>
      <c r="U84" s="128"/>
    </row>
    <row r="85" spans="1:21" ht="15.6" x14ac:dyDescent="0.3">
      <c r="A85" s="53"/>
      <c r="B85" s="54"/>
      <c r="C85" s="54"/>
      <c r="D85" s="54"/>
      <c r="E85" s="55"/>
      <c r="F85" s="75"/>
      <c r="G85" s="76"/>
      <c r="H85" s="76"/>
      <c r="I85" s="48"/>
      <c r="J85" s="70"/>
      <c r="K85" s="70"/>
      <c r="L85" s="189" t="s">
        <v>832</v>
      </c>
      <c r="M85" s="190" t="s">
        <v>833</v>
      </c>
      <c r="N85" s="189" t="s">
        <v>34</v>
      </c>
      <c r="O85" s="191">
        <v>2</v>
      </c>
      <c r="P85" s="192">
        <v>26.67</v>
      </c>
      <c r="Q85" s="192">
        <v>53.34</v>
      </c>
      <c r="R85" s="182"/>
      <c r="U85" s="128"/>
    </row>
    <row r="86" spans="1:21" ht="15.6" x14ac:dyDescent="0.3">
      <c r="A86" s="53"/>
      <c r="B86" s="54"/>
      <c r="C86" s="54"/>
      <c r="D86" s="54"/>
      <c r="E86" s="55"/>
      <c r="F86" s="75"/>
      <c r="G86" s="76"/>
      <c r="H86" s="76"/>
      <c r="I86" s="48"/>
      <c r="J86" s="70"/>
      <c r="K86" s="70"/>
      <c r="L86" s="189" t="s">
        <v>985</v>
      </c>
      <c r="M86" s="190" t="s">
        <v>473</v>
      </c>
      <c r="N86" s="189" t="s">
        <v>34</v>
      </c>
      <c r="O86" s="191">
        <v>1</v>
      </c>
      <c r="P86" s="192">
        <v>31.42</v>
      </c>
      <c r="Q86" s="192">
        <v>31.42</v>
      </c>
      <c r="R86" s="182"/>
      <c r="U86" s="128"/>
    </row>
    <row r="87" spans="1:21" ht="15.6" x14ac:dyDescent="0.3">
      <c r="A87" s="53"/>
      <c r="B87" s="54"/>
      <c r="C87" s="54"/>
      <c r="D87" s="54"/>
      <c r="E87" s="55"/>
      <c r="F87" s="75"/>
      <c r="G87" s="76"/>
      <c r="H87" s="76"/>
      <c r="I87" s="48"/>
      <c r="J87" s="70"/>
      <c r="K87" s="70"/>
      <c r="L87" s="189" t="s">
        <v>1087</v>
      </c>
      <c r="M87" s="190" t="s">
        <v>1089</v>
      </c>
      <c r="N87" s="189" t="s">
        <v>34</v>
      </c>
      <c r="O87" s="191">
        <v>1</v>
      </c>
      <c r="P87" s="192">
        <v>73</v>
      </c>
      <c r="Q87" s="192">
        <v>73</v>
      </c>
      <c r="R87" s="182"/>
      <c r="U87" s="128"/>
    </row>
    <row r="88" spans="1:21" ht="15.6" x14ac:dyDescent="0.3">
      <c r="A88" s="53"/>
      <c r="B88" s="54"/>
      <c r="C88" s="54"/>
      <c r="D88" s="54"/>
      <c r="E88" s="55"/>
      <c r="F88" s="75"/>
      <c r="G88" s="76"/>
      <c r="H88" s="76"/>
      <c r="I88" s="48"/>
      <c r="J88" s="70"/>
      <c r="K88" s="70"/>
      <c r="L88" s="189" t="s">
        <v>488</v>
      </c>
      <c r="M88" s="190" t="s">
        <v>1062</v>
      </c>
      <c r="N88" s="189" t="s">
        <v>34</v>
      </c>
      <c r="O88" s="191">
        <v>1</v>
      </c>
      <c r="P88" s="192">
        <v>809.01</v>
      </c>
      <c r="Q88" s="192">
        <v>809.01</v>
      </c>
      <c r="R88" s="182"/>
      <c r="U88" s="128"/>
    </row>
    <row r="89" spans="1:21" ht="15.6" x14ac:dyDescent="0.3">
      <c r="A89" s="53"/>
      <c r="B89" s="54"/>
      <c r="C89" s="54"/>
      <c r="D89" s="54"/>
      <c r="E89" s="55"/>
      <c r="F89" s="75"/>
      <c r="G89" s="76"/>
      <c r="H89" s="76"/>
      <c r="I89" s="48"/>
      <c r="J89" s="70"/>
      <c r="K89" s="70"/>
      <c r="L89" s="189" t="s">
        <v>1180</v>
      </c>
      <c r="M89" s="190" t="s">
        <v>105</v>
      </c>
      <c r="N89" s="189" t="s">
        <v>34</v>
      </c>
      <c r="O89" s="191">
        <v>636</v>
      </c>
      <c r="P89" s="192">
        <v>0.54</v>
      </c>
      <c r="Q89" s="192">
        <v>345.14</v>
      </c>
      <c r="R89" s="182"/>
      <c r="U89" s="128"/>
    </row>
    <row r="90" spans="1:21" ht="15.6" x14ac:dyDescent="0.3">
      <c r="A90" s="53"/>
      <c r="B90" s="54"/>
      <c r="C90" s="54"/>
      <c r="D90" s="54"/>
      <c r="E90" s="55"/>
      <c r="F90" s="75"/>
      <c r="G90" s="76"/>
      <c r="H90" s="76"/>
      <c r="I90" s="48"/>
      <c r="J90" s="70"/>
      <c r="K90" s="70"/>
      <c r="L90" s="189" t="s">
        <v>988</v>
      </c>
      <c r="M90" s="190" t="s">
        <v>106</v>
      </c>
      <c r="N90" s="189" t="s">
        <v>34</v>
      </c>
      <c r="O90" s="243">
        <v>1430</v>
      </c>
      <c r="P90" s="192">
        <v>0.71</v>
      </c>
      <c r="Q90" s="244">
        <v>1009.71</v>
      </c>
      <c r="R90" s="182"/>
      <c r="U90" s="128"/>
    </row>
    <row r="91" spans="1:21" ht="15.6" x14ac:dyDescent="0.3">
      <c r="A91" s="53"/>
      <c r="B91" s="54"/>
      <c r="C91" s="54"/>
      <c r="D91" s="54"/>
      <c r="E91" s="55"/>
      <c r="F91" s="75"/>
      <c r="G91" s="76"/>
      <c r="H91" s="76"/>
      <c r="I91" s="48"/>
      <c r="J91" s="70"/>
      <c r="K91" s="70"/>
      <c r="L91" s="189" t="s">
        <v>838</v>
      </c>
      <c r="M91" s="190" t="s">
        <v>839</v>
      </c>
      <c r="N91" s="189" t="s">
        <v>34</v>
      </c>
      <c r="O91" s="191">
        <v>109</v>
      </c>
      <c r="P91" s="192">
        <v>2.12</v>
      </c>
      <c r="Q91" s="192">
        <v>231.14</v>
      </c>
      <c r="R91" s="182"/>
      <c r="U91" s="128"/>
    </row>
    <row r="92" spans="1:21" ht="15.6" x14ac:dyDescent="0.3">
      <c r="A92" s="53"/>
      <c r="B92" s="54"/>
      <c r="C92" s="54"/>
      <c r="D92" s="54"/>
      <c r="E92" s="55"/>
      <c r="F92" s="75"/>
      <c r="G92" s="76"/>
      <c r="H92" s="76"/>
      <c r="I92" s="48"/>
      <c r="J92" s="70"/>
      <c r="K92" s="70"/>
      <c r="L92" s="189" t="s">
        <v>490</v>
      </c>
      <c r="M92" s="190" t="s">
        <v>491</v>
      </c>
      <c r="N92" s="189" t="s">
        <v>34</v>
      </c>
      <c r="O92" s="191">
        <v>1</v>
      </c>
      <c r="P92" s="244">
        <v>3293.25</v>
      </c>
      <c r="Q92" s="244">
        <v>3293.25</v>
      </c>
      <c r="R92" s="182"/>
      <c r="U92" s="128"/>
    </row>
    <row r="93" spans="1:21" ht="15.6" x14ac:dyDescent="0.3">
      <c r="A93" s="53"/>
      <c r="B93" s="54"/>
      <c r="C93" s="54"/>
      <c r="D93" s="54"/>
      <c r="E93" s="55"/>
      <c r="F93" s="75"/>
      <c r="G93" s="76"/>
      <c r="H93" s="76"/>
      <c r="I93" s="48"/>
      <c r="J93" s="70"/>
      <c r="K93" s="70"/>
      <c r="L93" s="189" t="s">
        <v>947</v>
      </c>
      <c r="M93" s="190" t="s">
        <v>1043</v>
      </c>
      <c r="N93" s="189" t="s">
        <v>34</v>
      </c>
      <c r="O93" s="191">
        <v>5</v>
      </c>
      <c r="P93" s="192">
        <v>423</v>
      </c>
      <c r="Q93" s="244">
        <v>2115</v>
      </c>
      <c r="R93" s="182"/>
      <c r="U93" s="128"/>
    </row>
    <row r="94" spans="1:21" ht="15.6" x14ac:dyDescent="0.3">
      <c r="A94" s="53"/>
      <c r="B94" s="54"/>
      <c r="C94" s="54"/>
      <c r="D94" s="54"/>
      <c r="E94" s="55"/>
      <c r="F94" s="75"/>
      <c r="G94" s="76"/>
      <c r="H94" s="76"/>
      <c r="I94" s="48"/>
      <c r="J94" s="70"/>
      <c r="K94" s="70"/>
      <c r="L94" s="189" t="s">
        <v>948</v>
      </c>
      <c r="M94" s="190" t="s">
        <v>1044</v>
      </c>
      <c r="N94" s="189" t="s">
        <v>34</v>
      </c>
      <c r="O94" s="191">
        <v>3</v>
      </c>
      <c r="P94" s="192">
        <v>44</v>
      </c>
      <c r="Q94" s="192">
        <v>132</v>
      </c>
      <c r="R94" s="182"/>
      <c r="U94" s="128"/>
    </row>
    <row r="95" spans="1:21" ht="15.6" x14ac:dyDescent="0.3">
      <c r="A95" s="53"/>
      <c r="B95" s="54"/>
      <c r="C95" s="54"/>
      <c r="D95" s="54"/>
      <c r="E95" s="55"/>
      <c r="F95" s="75"/>
      <c r="G95" s="76"/>
      <c r="H95" s="76"/>
      <c r="I95" s="48"/>
      <c r="J95" s="70"/>
      <c r="K95" s="70"/>
      <c r="L95" s="189" t="s">
        <v>1165</v>
      </c>
      <c r="M95" s="190" t="s">
        <v>1250</v>
      </c>
      <c r="N95" s="189" t="s">
        <v>34</v>
      </c>
      <c r="O95" s="191">
        <v>0.7</v>
      </c>
      <c r="P95" s="244">
        <v>2778.33</v>
      </c>
      <c r="Q95" s="244">
        <v>1944.83</v>
      </c>
      <c r="R95" s="182"/>
      <c r="U95" s="128"/>
    </row>
    <row r="96" spans="1:21" ht="30" x14ac:dyDescent="0.3">
      <c r="A96" s="53"/>
      <c r="B96" s="54"/>
      <c r="C96" s="54"/>
      <c r="D96" s="54"/>
      <c r="E96" s="55"/>
      <c r="F96" s="75"/>
      <c r="G96" s="76"/>
      <c r="H96" s="76"/>
      <c r="I96" s="48"/>
      <c r="J96" s="70"/>
      <c r="K96" s="70"/>
      <c r="L96" s="189" t="s">
        <v>1079</v>
      </c>
      <c r="M96" s="190" t="s">
        <v>842</v>
      </c>
      <c r="N96" s="189" t="s">
        <v>34</v>
      </c>
      <c r="O96" s="191">
        <v>1</v>
      </c>
      <c r="P96" s="192">
        <v>26.08</v>
      </c>
      <c r="Q96" s="192">
        <v>26.08</v>
      </c>
      <c r="R96" s="182"/>
      <c r="U96" s="128"/>
    </row>
    <row r="97" spans="1:21" ht="15.6" x14ac:dyDescent="0.3">
      <c r="A97" s="53"/>
      <c r="B97" s="54"/>
      <c r="C97" s="54"/>
      <c r="D97" s="54"/>
      <c r="E97" s="55"/>
      <c r="F97" s="75"/>
      <c r="G97" s="76"/>
      <c r="H97" s="76"/>
      <c r="I97" s="48"/>
      <c r="J97" s="70"/>
      <c r="K97" s="70"/>
      <c r="L97" s="189" t="s">
        <v>949</v>
      </c>
      <c r="M97" s="190" t="s">
        <v>494</v>
      </c>
      <c r="N97" s="189" t="s">
        <v>34</v>
      </c>
      <c r="O97" s="191">
        <v>38</v>
      </c>
      <c r="P97" s="192">
        <v>2.19</v>
      </c>
      <c r="Q97" s="192">
        <v>83.4</v>
      </c>
      <c r="R97" s="182"/>
      <c r="U97" s="128"/>
    </row>
    <row r="98" spans="1:21" ht="30" x14ac:dyDescent="0.3">
      <c r="A98" s="53"/>
      <c r="B98" s="54"/>
      <c r="C98" s="54"/>
      <c r="D98" s="54"/>
      <c r="E98" s="55"/>
      <c r="F98" s="75"/>
      <c r="G98" s="76"/>
      <c r="H98" s="76"/>
      <c r="I98" s="48"/>
      <c r="J98" s="70"/>
      <c r="K98" s="70"/>
      <c r="L98" s="189" t="s">
        <v>950</v>
      </c>
      <c r="M98" s="190" t="s">
        <v>843</v>
      </c>
      <c r="N98" s="189" t="s">
        <v>34</v>
      </c>
      <c r="O98" s="191">
        <v>1</v>
      </c>
      <c r="P98" s="192">
        <v>42.67</v>
      </c>
      <c r="Q98" s="192">
        <v>42.67</v>
      </c>
      <c r="R98" s="182"/>
      <c r="U98" s="128"/>
    </row>
    <row r="99" spans="1:21" ht="30" x14ac:dyDescent="0.3">
      <c r="A99" s="53"/>
      <c r="B99" s="54"/>
      <c r="C99" s="54"/>
      <c r="D99" s="54"/>
      <c r="E99" s="55"/>
      <c r="F99" s="75"/>
      <c r="G99" s="76"/>
      <c r="H99" s="76"/>
      <c r="I99" s="48"/>
      <c r="J99" s="70"/>
      <c r="K99" s="70"/>
      <c r="L99" s="189" t="s">
        <v>951</v>
      </c>
      <c r="M99" s="190" t="s">
        <v>844</v>
      </c>
      <c r="N99" s="189" t="s">
        <v>34</v>
      </c>
      <c r="O99" s="191">
        <v>3</v>
      </c>
      <c r="P99" s="192">
        <v>31.92</v>
      </c>
      <c r="Q99" s="192">
        <v>95.76</v>
      </c>
      <c r="R99" s="182"/>
      <c r="U99" s="128"/>
    </row>
    <row r="100" spans="1:21" ht="15.6" x14ac:dyDescent="0.3">
      <c r="A100" s="53"/>
      <c r="B100" s="54"/>
      <c r="C100" s="54"/>
      <c r="D100" s="54"/>
      <c r="E100" s="55"/>
      <c r="F100" s="75"/>
      <c r="G100" s="76"/>
      <c r="H100" s="76"/>
      <c r="I100" s="48"/>
      <c r="J100" s="70"/>
      <c r="K100" s="70"/>
      <c r="L100" s="189" t="s">
        <v>845</v>
      </c>
      <c r="M100" s="190" t="s">
        <v>846</v>
      </c>
      <c r="N100" s="189" t="s">
        <v>34</v>
      </c>
      <c r="O100" s="191">
        <v>1</v>
      </c>
      <c r="P100" s="192">
        <v>192.5</v>
      </c>
      <c r="Q100" s="192">
        <v>192.5</v>
      </c>
      <c r="R100" s="182"/>
      <c r="U100" s="128"/>
    </row>
    <row r="101" spans="1:21" ht="15.6" x14ac:dyDescent="0.3">
      <c r="A101" s="53"/>
      <c r="B101" s="54"/>
      <c r="C101" s="54"/>
      <c r="D101" s="54"/>
      <c r="E101" s="55"/>
      <c r="F101" s="75"/>
      <c r="G101" s="76"/>
      <c r="H101" s="76"/>
      <c r="I101" s="48"/>
      <c r="J101" s="70"/>
      <c r="K101" s="70"/>
      <c r="L101" s="189" t="s">
        <v>1166</v>
      </c>
      <c r="M101" s="190" t="s">
        <v>1251</v>
      </c>
      <c r="N101" s="189" t="s">
        <v>34</v>
      </c>
      <c r="O101" s="191">
        <v>327</v>
      </c>
      <c r="P101" s="192">
        <v>0.57999999999999996</v>
      </c>
      <c r="Q101" s="192">
        <v>188.48</v>
      </c>
      <c r="R101" s="182"/>
      <c r="U101" s="128"/>
    </row>
    <row r="102" spans="1:21" ht="15.6" x14ac:dyDescent="0.3">
      <c r="A102" s="53"/>
      <c r="B102" s="54"/>
      <c r="C102" s="54"/>
      <c r="D102" s="54"/>
      <c r="E102" s="55"/>
      <c r="F102" s="75"/>
      <c r="G102" s="76"/>
      <c r="H102" s="76"/>
      <c r="I102" s="48"/>
      <c r="J102" s="70"/>
      <c r="K102" s="70"/>
      <c r="L102" s="189" t="s">
        <v>1167</v>
      </c>
      <c r="M102" s="190" t="s">
        <v>1252</v>
      </c>
      <c r="N102" s="189" t="s">
        <v>34</v>
      </c>
      <c r="O102" s="191">
        <v>0.5</v>
      </c>
      <c r="P102" s="192">
        <v>196</v>
      </c>
      <c r="Q102" s="192">
        <v>98</v>
      </c>
      <c r="R102" s="182"/>
      <c r="U102" s="128"/>
    </row>
    <row r="103" spans="1:21" ht="15.6" x14ac:dyDescent="0.3">
      <c r="A103" s="53"/>
      <c r="B103" s="54"/>
      <c r="C103" s="54"/>
      <c r="D103" s="54"/>
      <c r="E103" s="55"/>
      <c r="F103" s="75"/>
      <c r="G103" s="76"/>
      <c r="H103" s="76"/>
      <c r="I103" s="48"/>
      <c r="J103" s="70"/>
      <c r="K103" s="70"/>
      <c r="L103" s="189" t="s">
        <v>1431</v>
      </c>
      <c r="M103" s="190" t="s">
        <v>1453</v>
      </c>
      <c r="N103" s="189" t="s">
        <v>34</v>
      </c>
      <c r="O103" s="191">
        <v>0.4</v>
      </c>
      <c r="P103" s="192">
        <v>185</v>
      </c>
      <c r="Q103" s="192">
        <v>74</v>
      </c>
      <c r="R103" s="182"/>
      <c r="U103" s="128"/>
    </row>
    <row r="104" spans="1:21" ht="15.6" x14ac:dyDescent="0.3">
      <c r="A104" s="53"/>
      <c r="B104" s="54"/>
      <c r="C104" s="54"/>
      <c r="D104" s="54"/>
      <c r="E104" s="55"/>
      <c r="F104" s="75"/>
      <c r="G104" s="76"/>
      <c r="H104" s="76"/>
      <c r="I104" s="48"/>
      <c r="J104" s="70"/>
      <c r="K104" s="70"/>
      <c r="L104" s="189" t="s">
        <v>1432</v>
      </c>
      <c r="M104" s="190" t="s">
        <v>1454</v>
      </c>
      <c r="N104" s="189" t="s">
        <v>34</v>
      </c>
      <c r="O104" s="191">
        <v>0.09</v>
      </c>
      <c r="P104" s="192">
        <v>178</v>
      </c>
      <c r="Q104" s="192">
        <v>16.02</v>
      </c>
      <c r="R104" s="182"/>
      <c r="U104" s="128"/>
    </row>
    <row r="105" spans="1:21" ht="15.6" x14ac:dyDescent="0.3">
      <c r="A105" s="53"/>
      <c r="B105" s="54"/>
      <c r="C105" s="54"/>
      <c r="D105" s="54"/>
      <c r="E105" s="55"/>
      <c r="F105" s="75"/>
      <c r="G105" s="76"/>
      <c r="H105" s="76"/>
      <c r="I105" s="48"/>
      <c r="J105" s="70"/>
      <c r="K105" s="70"/>
      <c r="L105" s="189" t="s">
        <v>989</v>
      </c>
      <c r="M105" s="190" t="s">
        <v>848</v>
      </c>
      <c r="N105" s="189" t="s">
        <v>34</v>
      </c>
      <c r="O105" s="191">
        <v>1</v>
      </c>
      <c r="P105" s="192">
        <v>119.53</v>
      </c>
      <c r="Q105" s="192">
        <v>119.53</v>
      </c>
      <c r="R105" s="182"/>
      <c r="U105" s="128"/>
    </row>
    <row r="106" spans="1:21" ht="15.6" x14ac:dyDescent="0.3">
      <c r="A106" s="53"/>
      <c r="B106" s="54"/>
      <c r="C106" s="54"/>
      <c r="D106" s="54"/>
      <c r="E106" s="55"/>
      <c r="F106" s="75"/>
      <c r="G106" s="76"/>
      <c r="H106" s="76"/>
      <c r="I106" s="48"/>
      <c r="J106" s="70"/>
      <c r="K106" s="70"/>
      <c r="L106" s="189" t="s">
        <v>1168</v>
      </c>
      <c r="M106" s="190" t="s">
        <v>1253</v>
      </c>
      <c r="N106" s="189" t="s">
        <v>34</v>
      </c>
      <c r="O106" s="191">
        <v>1</v>
      </c>
      <c r="P106" s="192">
        <v>110</v>
      </c>
      <c r="Q106" s="192">
        <v>110</v>
      </c>
      <c r="R106" s="182"/>
      <c r="U106" s="128"/>
    </row>
    <row r="107" spans="1:21" ht="15.6" x14ac:dyDescent="0.3">
      <c r="A107" s="53"/>
      <c r="B107" s="54"/>
      <c r="C107" s="54"/>
      <c r="D107" s="54"/>
      <c r="E107" s="55"/>
      <c r="F107" s="75"/>
      <c r="G107" s="76"/>
      <c r="H107" s="76"/>
      <c r="I107" s="48"/>
      <c r="J107" s="70"/>
      <c r="K107" s="70"/>
      <c r="L107" s="189" t="s">
        <v>1169</v>
      </c>
      <c r="M107" s="190" t="s">
        <v>1254</v>
      </c>
      <c r="N107" s="189" t="s">
        <v>34</v>
      </c>
      <c r="O107" s="191">
        <v>2</v>
      </c>
      <c r="P107" s="192">
        <v>118</v>
      </c>
      <c r="Q107" s="192">
        <v>236</v>
      </c>
      <c r="R107" s="182"/>
      <c r="U107" s="128"/>
    </row>
    <row r="108" spans="1:21" ht="15.6" x14ac:dyDescent="0.3">
      <c r="A108" s="53"/>
      <c r="B108" s="54"/>
      <c r="C108" s="54"/>
      <c r="D108" s="54"/>
      <c r="E108" s="55"/>
      <c r="F108" s="75"/>
      <c r="G108" s="76"/>
      <c r="H108" s="76"/>
      <c r="I108" s="48"/>
      <c r="J108" s="70"/>
      <c r="K108" s="70"/>
      <c r="L108" s="189" t="s">
        <v>990</v>
      </c>
      <c r="M108" s="190" t="s">
        <v>1064</v>
      </c>
      <c r="N108" s="189" t="s">
        <v>34</v>
      </c>
      <c r="O108" s="191">
        <v>320</v>
      </c>
      <c r="P108" s="192">
        <v>0.92</v>
      </c>
      <c r="Q108" s="192">
        <v>294.39999999999998</v>
      </c>
      <c r="R108" s="182"/>
      <c r="U108" s="128"/>
    </row>
    <row r="109" spans="1:21" ht="15.6" x14ac:dyDescent="0.3">
      <c r="A109" s="53"/>
      <c r="B109" s="54"/>
      <c r="C109" s="54"/>
      <c r="D109" s="54"/>
      <c r="E109" s="55"/>
      <c r="F109" s="75"/>
      <c r="G109" s="76"/>
      <c r="H109" s="76"/>
      <c r="I109" s="48"/>
      <c r="J109" s="70"/>
      <c r="K109" s="70"/>
      <c r="L109" s="189" t="s">
        <v>1170</v>
      </c>
      <c r="M109" s="190" t="s">
        <v>1255</v>
      </c>
      <c r="N109" s="189" t="s">
        <v>34</v>
      </c>
      <c r="O109" s="191">
        <v>11</v>
      </c>
      <c r="P109" s="192">
        <v>1.74</v>
      </c>
      <c r="Q109" s="192">
        <v>19.14</v>
      </c>
      <c r="R109" s="182"/>
      <c r="U109" s="128"/>
    </row>
    <row r="110" spans="1:21" ht="15.6" x14ac:dyDescent="0.3">
      <c r="A110" s="53"/>
      <c r="B110" s="54"/>
      <c r="C110" s="54"/>
      <c r="D110" s="54"/>
      <c r="E110" s="55"/>
      <c r="F110" s="75"/>
      <c r="G110" s="76"/>
      <c r="H110" s="76"/>
      <c r="I110" s="48"/>
      <c r="J110" s="70"/>
      <c r="K110" s="70"/>
      <c r="L110" s="189" t="s">
        <v>991</v>
      </c>
      <c r="M110" s="190" t="s">
        <v>1065</v>
      </c>
      <c r="N110" s="189" t="s">
        <v>34</v>
      </c>
      <c r="O110" s="191">
        <v>372</v>
      </c>
      <c r="P110" s="192">
        <v>0.5</v>
      </c>
      <c r="Q110" s="192">
        <v>186</v>
      </c>
      <c r="R110" s="182"/>
      <c r="U110" s="128"/>
    </row>
    <row r="111" spans="1:21" ht="15.6" x14ac:dyDescent="0.3">
      <c r="A111" s="53"/>
      <c r="B111" s="54"/>
      <c r="C111" s="54"/>
      <c r="D111" s="54"/>
      <c r="E111" s="55"/>
      <c r="F111" s="75"/>
      <c r="G111" s="76"/>
      <c r="H111" s="76"/>
      <c r="I111" s="48"/>
      <c r="J111" s="70"/>
      <c r="K111" s="70"/>
      <c r="L111" s="189" t="s">
        <v>1171</v>
      </c>
      <c r="M111" s="190" t="s">
        <v>1256</v>
      </c>
      <c r="N111" s="189" t="s">
        <v>34</v>
      </c>
      <c r="O111" s="191">
        <v>400</v>
      </c>
      <c r="P111" s="192">
        <v>0.17</v>
      </c>
      <c r="Q111" s="192">
        <v>68</v>
      </c>
      <c r="R111" s="182"/>
      <c r="U111" s="128"/>
    </row>
    <row r="112" spans="1:21" ht="15.6" x14ac:dyDescent="0.3">
      <c r="A112" s="53"/>
      <c r="B112" s="54"/>
      <c r="C112" s="54"/>
      <c r="D112" s="54"/>
      <c r="E112" s="55"/>
      <c r="F112" s="75"/>
      <c r="G112" s="76"/>
      <c r="H112" s="76"/>
      <c r="I112" s="48"/>
      <c r="J112" s="70"/>
      <c r="K112" s="70"/>
      <c r="L112" s="189" t="s">
        <v>992</v>
      </c>
      <c r="M112" s="190" t="s">
        <v>849</v>
      </c>
      <c r="N112" s="189" t="s">
        <v>34</v>
      </c>
      <c r="O112" s="191">
        <v>32</v>
      </c>
      <c r="P112" s="192">
        <v>0.92</v>
      </c>
      <c r="Q112" s="192">
        <v>29.44</v>
      </c>
      <c r="R112" s="182"/>
      <c r="U112" s="128"/>
    </row>
    <row r="113" spans="1:21" ht="15.6" x14ac:dyDescent="0.3">
      <c r="A113" s="53"/>
      <c r="B113" s="54"/>
      <c r="C113" s="54"/>
      <c r="D113" s="54"/>
      <c r="E113" s="55"/>
      <c r="F113" s="75"/>
      <c r="G113" s="76"/>
      <c r="H113" s="76"/>
      <c r="I113" s="48"/>
      <c r="J113" s="70"/>
      <c r="K113" s="70"/>
      <c r="L113" s="189" t="s">
        <v>850</v>
      </c>
      <c r="M113" s="190" t="s">
        <v>851</v>
      </c>
      <c r="N113" s="189" t="s">
        <v>34</v>
      </c>
      <c r="O113" s="191">
        <v>10</v>
      </c>
      <c r="P113" s="192">
        <v>3.62</v>
      </c>
      <c r="Q113" s="192">
        <v>36.200000000000003</v>
      </c>
      <c r="R113" s="182"/>
      <c r="U113" s="128"/>
    </row>
    <row r="114" spans="1:21" ht="15.6" x14ac:dyDescent="0.3">
      <c r="A114" s="53"/>
      <c r="B114" s="54"/>
      <c r="C114" s="54"/>
      <c r="D114" s="54"/>
      <c r="E114" s="55"/>
      <c r="F114" s="75"/>
      <c r="G114" s="76"/>
      <c r="H114" s="76"/>
      <c r="I114" s="48"/>
      <c r="J114" s="70"/>
      <c r="K114" s="70"/>
      <c r="L114" s="189" t="s">
        <v>993</v>
      </c>
      <c r="M114" s="190" t="s">
        <v>852</v>
      </c>
      <c r="N114" s="189" t="s">
        <v>34</v>
      </c>
      <c r="O114" s="191">
        <v>327</v>
      </c>
      <c r="P114" s="192">
        <v>0.5</v>
      </c>
      <c r="Q114" s="192">
        <v>163.5</v>
      </c>
      <c r="R114" s="182"/>
      <c r="U114" s="128"/>
    </row>
    <row r="115" spans="1:21" ht="15.6" x14ac:dyDescent="0.3">
      <c r="A115" s="53"/>
      <c r="B115" s="54"/>
      <c r="C115" s="54"/>
      <c r="D115" s="54"/>
      <c r="E115" s="55"/>
      <c r="F115" s="75"/>
      <c r="G115" s="76"/>
      <c r="H115" s="76"/>
      <c r="I115" s="48"/>
      <c r="J115" s="70"/>
      <c r="K115" s="70"/>
      <c r="L115" s="189" t="s">
        <v>996</v>
      </c>
      <c r="M115" s="190" t="s">
        <v>501</v>
      </c>
      <c r="N115" s="189" t="s">
        <v>34</v>
      </c>
      <c r="O115" s="191">
        <v>4</v>
      </c>
      <c r="P115" s="192">
        <v>36.08</v>
      </c>
      <c r="Q115" s="192">
        <v>144.33000000000001</v>
      </c>
      <c r="R115" s="182"/>
      <c r="U115" s="128"/>
    </row>
    <row r="116" spans="1:21" ht="15.6" x14ac:dyDescent="0.3">
      <c r="A116" s="53"/>
      <c r="B116" s="54"/>
      <c r="C116" s="54"/>
      <c r="D116" s="54"/>
      <c r="E116" s="55"/>
      <c r="F116" s="75"/>
      <c r="G116" s="76"/>
      <c r="H116" s="76"/>
      <c r="I116" s="48"/>
      <c r="J116" s="70"/>
      <c r="K116" s="70"/>
      <c r="L116" s="189" t="s">
        <v>1172</v>
      </c>
      <c r="M116" s="190" t="s">
        <v>1257</v>
      </c>
      <c r="N116" s="189" t="s">
        <v>34</v>
      </c>
      <c r="O116" s="191">
        <v>1</v>
      </c>
      <c r="P116" s="192">
        <v>285</v>
      </c>
      <c r="Q116" s="192">
        <v>285</v>
      </c>
      <c r="R116" s="182"/>
      <c r="U116" s="128"/>
    </row>
    <row r="117" spans="1:21" ht="15.6" x14ac:dyDescent="0.3">
      <c r="A117" s="53"/>
      <c r="B117" s="54"/>
      <c r="C117" s="54"/>
      <c r="D117" s="54"/>
      <c r="E117" s="55"/>
      <c r="F117" s="75"/>
      <c r="G117" s="76"/>
      <c r="H117" s="76"/>
      <c r="I117" s="48"/>
      <c r="J117" s="70"/>
      <c r="K117" s="70"/>
      <c r="L117" s="189" t="s">
        <v>997</v>
      </c>
      <c r="M117" s="190" t="s">
        <v>853</v>
      </c>
      <c r="N117" s="189" t="s">
        <v>34</v>
      </c>
      <c r="O117" s="191">
        <v>25</v>
      </c>
      <c r="P117" s="192">
        <v>48</v>
      </c>
      <c r="Q117" s="244">
        <v>1200</v>
      </c>
      <c r="R117" s="182"/>
      <c r="U117" s="128"/>
    </row>
    <row r="118" spans="1:21" ht="15.6" x14ac:dyDescent="0.3">
      <c r="A118" s="53"/>
      <c r="B118" s="54"/>
      <c r="C118" s="54"/>
      <c r="D118" s="54"/>
      <c r="E118" s="55"/>
      <c r="F118" s="75"/>
      <c r="G118" s="76"/>
      <c r="H118" s="76"/>
      <c r="I118" s="48"/>
      <c r="J118" s="70"/>
      <c r="K118" s="70"/>
      <c r="L118" s="189" t="s">
        <v>998</v>
      </c>
      <c r="M118" s="190" t="s">
        <v>1068</v>
      </c>
      <c r="N118" s="189" t="s">
        <v>34</v>
      </c>
      <c r="O118" s="191">
        <v>2</v>
      </c>
      <c r="P118" s="192">
        <v>66.86</v>
      </c>
      <c r="Q118" s="192">
        <v>133.72</v>
      </c>
      <c r="R118" s="182"/>
      <c r="U118" s="128"/>
    </row>
    <row r="119" spans="1:21" ht="15.6" x14ac:dyDescent="0.3">
      <c r="A119" s="53"/>
      <c r="B119" s="54"/>
      <c r="C119" s="54"/>
      <c r="D119" s="54"/>
      <c r="E119" s="55"/>
      <c r="F119" s="75"/>
      <c r="G119" s="76"/>
      <c r="H119" s="76"/>
      <c r="I119" s="48"/>
      <c r="J119" s="70"/>
      <c r="K119" s="70"/>
      <c r="L119" s="189" t="s">
        <v>999</v>
      </c>
      <c r="M119" s="190" t="s">
        <v>1069</v>
      </c>
      <c r="N119" s="189" t="s">
        <v>34</v>
      </c>
      <c r="O119" s="243">
        <v>1806</v>
      </c>
      <c r="P119" s="192">
        <v>0.27</v>
      </c>
      <c r="Q119" s="192">
        <v>484.95</v>
      </c>
      <c r="R119" s="182"/>
      <c r="U119" s="128"/>
    </row>
    <row r="120" spans="1:21" ht="15.6" x14ac:dyDescent="0.3">
      <c r="A120" s="53"/>
      <c r="B120" s="54"/>
      <c r="C120" s="54"/>
      <c r="D120" s="54"/>
      <c r="E120" s="55"/>
      <c r="F120" s="75"/>
      <c r="G120" s="76"/>
      <c r="H120" s="76"/>
      <c r="I120" s="48"/>
      <c r="J120" s="70"/>
      <c r="K120" s="70"/>
      <c r="L120" s="189" t="s">
        <v>1173</v>
      </c>
      <c r="M120" s="190" t="s">
        <v>109</v>
      </c>
      <c r="N120" s="189" t="s">
        <v>34</v>
      </c>
      <c r="O120" s="191">
        <v>13</v>
      </c>
      <c r="P120" s="192">
        <v>0.27</v>
      </c>
      <c r="Q120" s="192">
        <v>3.49</v>
      </c>
      <c r="R120" s="182"/>
      <c r="U120" s="128"/>
    </row>
    <row r="121" spans="1:21" ht="15.6" x14ac:dyDescent="0.3">
      <c r="A121" s="53"/>
      <c r="B121" s="54"/>
      <c r="C121" s="54"/>
      <c r="D121" s="54"/>
      <c r="E121" s="55"/>
      <c r="F121" s="75"/>
      <c r="G121" s="76"/>
      <c r="H121" s="76"/>
      <c r="I121" s="48"/>
      <c r="J121" s="70"/>
      <c r="K121" s="70"/>
      <c r="L121" s="189" t="s">
        <v>856</v>
      </c>
      <c r="M121" s="190" t="s">
        <v>857</v>
      </c>
      <c r="N121" s="189" t="s">
        <v>34</v>
      </c>
      <c r="O121" s="243">
        <v>2863</v>
      </c>
      <c r="P121" s="192">
        <v>0.44</v>
      </c>
      <c r="Q121" s="244">
        <v>1262.58</v>
      </c>
      <c r="R121" s="182"/>
      <c r="U121" s="128"/>
    </row>
    <row r="122" spans="1:21" ht="15.6" x14ac:dyDescent="0.3">
      <c r="A122" s="53"/>
      <c r="B122" s="54"/>
      <c r="C122" s="54"/>
      <c r="D122" s="54"/>
      <c r="E122" s="55"/>
      <c r="F122" s="75"/>
      <c r="G122" s="76"/>
      <c r="H122" s="76"/>
      <c r="I122" s="48"/>
      <c r="J122" s="70"/>
      <c r="K122" s="70"/>
      <c r="L122" s="189" t="s">
        <v>1000</v>
      </c>
      <c r="M122" s="190" t="s">
        <v>248</v>
      </c>
      <c r="N122" s="189" t="s">
        <v>34</v>
      </c>
      <c r="O122" s="191">
        <v>409</v>
      </c>
      <c r="P122" s="192">
        <v>0.24</v>
      </c>
      <c r="Q122" s="192">
        <v>99.5</v>
      </c>
      <c r="R122" s="182"/>
      <c r="U122" s="128"/>
    </row>
    <row r="123" spans="1:21" ht="15.6" x14ac:dyDescent="0.3">
      <c r="A123" s="53"/>
      <c r="B123" s="54"/>
      <c r="C123" s="54"/>
      <c r="D123" s="54"/>
      <c r="E123" s="55"/>
      <c r="F123" s="75"/>
      <c r="G123" s="76"/>
      <c r="H123" s="76"/>
      <c r="I123" s="48"/>
      <c r="J123" s="70"/>
      <c r="K123" s="70"/>
      <c r="L123" s="189" t="s">
        <v>816</v>
      </c>
      <c r="M123" s="190" t="s">
        <v>817</v>
      </c>
      <c r="N123" s="189" t="s">
        <v>34</v>
      </c>
      <c r="O123" s="191">
        <v>1</v>
      </c>
      <c r="P123" s="192">
        <v>4.4000000000000004</v>
      </c>
      <c r="Q123" s="192">
        <v>4.4000000000000004</v>
      </c>
      <c r="R123" s="182"/>
      <c r="U123" s="128"/>
    </row>
    <row r="124" spans="1:21" ht="15.6" x14ac:dyDescent="0.3">
      <c r="A124" s="53"/>
      <c r="B124" s="54"/>
      <c r="C124" s="54"/>
      <c r="D124" s="54"/>
      <c r="E124" s="55"/>
      <c r="F124" s="75"/>
      <c r="G124" s="76"/>
      <c r="H124" s="76"/>
      <c r="I124" s="48"/>
      <c r="J124" s="70"/>
      <c r="K124" s="70"/>
      <c r="L124" s="189" t="s">
        <v>422</v>
      </c>
      <c r="M124" s="190" t="s">
        <v>423</v>
      </c>
      <c r="N124" s="189" t="s">
        <v>34</v>
      </c>
      <c r="O124" s="191">
        <v>1</v>
      </c>
      <c r="P124" s="192">
        <v>177</v>
      </c>
      <c r="Q124" s="192">
        <v>177</v>
      </c>
      <c r="R124" s="182"/>
      <c r="U124" s="128"/>
    </row>
    <row r="125" spans="1:21" ht="15.6" x14ac:dyDescent="0.3">
      <c r="A125" s="53"/>
      <c r="B125" s="54"/>
      <c r="C125" s="54"/>
      <c r="D125" s="54"/>
      <c r="E125" s="55"/>
      <c r="F125" s="75"/>
      <c r="G125" s="76"/>
      <c r="H125" s="76"/>
      <c r="I125" s="48"/>
      <c r="J125" s="70"/>
      <c r="K125" s="70"/>
      <c r="L125" s="189" t="s">
        <v>818</v>
      </c>
      <c r="M125" s="190" t="s">
        <v>819</v>
      </c>
      <c r="N125" s="189" t="s">
        <v>34</v>
      </c>
      <c r="O125" s="191">
        <v>1.7</v>
      </c>
      <c r="P125" s="192">
        <v>194</v>
      </c>
      <c r="Q125" s="192">
        <v>329.8</v>
      </c>
      <c r="R125" s="182"/>
      <c r="U125" s="128"/>
    </row>
    <row r="126" spans="1:21" ht="15.6" x14ac:dyDescent="0.3">
      <c r="A126" s="53"/>
      <c r="B126" s="54"/>
      <c r="C126" s="54"/>
      <c r="D126" s="54"/>
      <c r="E126" s="55"/>
      <c r="F126" s="75"/>
      <c r="G126" s="76"/>
      <c r="H126" s="76"/>
      <c r="I126" s="48"/>
      <c r="J126" s="70"/>
      <c r="K126" s="70"/>
      <c r="L126" s="189" t="s">
        <v>1002</v>
      </c>
      <c r="M126" s="190" t="s">
        <v>1070</v>
      </c>
      <c r="N126" s="189" t="s">
        <v>34</v>
      </c>
      <c r="O126" s="191">
        <v>0.54</v>
      </c>
      <c r="P126" s="192">
        <v>63</v>
      </c>
      <c r="Q126" s="192">
        <v>34.020000000000003</v>
      </c>
      <c r="R126" s="182"/>
      <c r="U126" s="128"/>
    </row>
    <row r="127" spans="1:21" ht="15.6" x14ac:dyDescent="0.3">
      <c r="A127" s="53"/>
      <c r="B127" s="54"/>
      <c r="C127" s="54"/>
      <c r="D127" s="54"/>
      <c r="E127" s="55"/>
      <c r="F127" s="75"/>
      <c r="G127" s="76"/>
      <c r="H127" s="76"/>
      <c r="I127" s="48"/>
      <c r="J127" s="70"/>
      <c r="K127" s="70"/>
      <c r="L127" s="189" t="s">
        <v>1003</v>
      </c>
      <c r="M127" s="190" t="s">
        <v>1071</v>
      </c>
      <c r="N127" s="189" t="s">
        <v>34</v>
      </c>
      <c r="O127" s="191">
        <v>0.18</v>
      </c>
      <c r="P127" s="192">
        <v>195</v>
      </c>
      <c r="Q127" s="192">
        <v>35.1</v>
      </c>
      <c r="R127" s="182"/>
      <c r="U127" s="128"/>
    </row>
    <row r="128" spans="1:21" ht="15.6" x14ac:dyDescent="0.3">
      <c r="A128" s="53"/>
      <c r="B128" s="54"/>
      <c r="C128" s="54"/>
      <c r="D128" s="54"/>
      <c r="E128" s="55"/>
      <c r="F128" s="75"/>
      <c r="G128" s="76"/>
      <c r="H128" s="76"/>
      <c r="I128" s="48"/>
      <c r="J128" s="70"/>
      <c r="K128" s="70"/>
      <c r="L128" s="189" t="s">
        <v>1363</v>
      </c>
      <c r="M128" s="190" t="s">
        <v>1392</v>
      </c>
      <c r="N128" s="189" t="s">
        <v>34</v>
      </c>
      <c r="O128" s="191">
        <v>0.27</v>
      </c>
      <c r="P128" s="192">
        <v>499</v>
      </c>
      <c r="Q128" s="192">
        <v>134.72999999999999</v>
      </c>
      <c r="R128" s="182"/>
      <c r="U128" s="128"/>
    </row>
    <row r="129" spans="1:21" ht="15.6" x14ac:dyDescent="0.3">
      <c r="A129" s="53"/>
      <c r="B129" s="54"/>
      <c r="C129" s="54"/>
      <c r="D129" s="54"/>
      <c r="E129" s="55"/>
      <c r="F129" s="75"/>
      <c r="G129" s="76"/>
      <c r="H129" s="76"/>
      <c r="I129" s="48"/>
      <c r="J129" s="70"/>
      <c r="K129" s="70"/>
      <c r="L129" s="189" t="s">
        <v>1364</v>
      </c>
      <c r="M129" s="190" t="s">
        <v>1393</v>
      </c>
      <c r="N129" s="189" t="s">
        <v>34</v>
      </c>
      <c r="O129" s="191">
        <v>0.3</v>
      </c>
      <c r="P129" s="192">
        <v>144</v>
      </c>
      <c r="Q129" s="192">
        <v>43.2</v>
      </c>
      <c r="R129" s="182"/>
      <c r="U129" s="128"/>
    </row>
    <row r="130" spans="1:21" ht="15.6" x14ac:dyDescent="0.3">
      <c r="A130" s="53"/>
      <c r="B130" s="54"/>
      <c r="C130" s="54"/>
      <c r="D130" s="54"/>
      <c r="E130" s="55"/>
      <c r="F130" s="75"/>
      <c r="G130" s="76"/>
      <c r="H130" s="76"/>
      <c r="I130" s="48"/>
      <c r="J130" s="70"/>
      <c r="K130" s="70"/>
      <c r="L130" s="189" t="s">
        <v>1365</v>
      </c>
      <c r="M130" s="190" t="s">
        <v>1394</v>
      </c>
      <c r="N130" s="189" t="s">
        <v>34</v>
      </c>
      <c r="O130" s="191">
        <v>0.18</v>
      </c>
      <c r="P130" s="192">
        <v>140</v>
      </c>
      <c r="Q130" s="192">
        <v>25.2</v>
      </c>
      <c r="R130" s="182"/>
      <c r="U130" s="128"/>
    </row>
    <row r="131" spans="1:21" ht="15.6" x14ac:dyDescent="0.3">
      <c r="A131" s="53"/>
      <c r="B131" s="54"/>
      <c r="C131" s="54"/>
      <c r="D131" s="54"/>
      <c r="E131" s="55"/>
      <c r="F131" s="75"/>
      <c r="G131" s="76"/>
      <c r="H131" s="76"/>
      <c r="I131" s="48"/>
      <c r="J131" s="70"/>
      <c r="K131" s="70"/>
      <c r="L131" s="189" t="s">
        <v>432</v>
      </c>
      <c r="M131" s="190" t="s">
        <v>433</v>
      </c>
      <c r="N131" s="189" t="s">
        <v>34</v>
      </c>
      <c r="O131" s="191">
        <v>4</v>
      </c>
      <c r="P131" s="192">
        <v>27.6</v>
      </c>
      <c r="Q131" s="192">
        <v>110.4</v>
      </c>
      <c r="R131" s="182"/>
      <c r="U131" s="128"/>
    </row>
    <row r="132" spans="1:21" ht="15.6" x14ac:dyDescent="0.3">
      <c r="A132" s="53"/>
      <c r="B132" s="54"/>
      <c r="C132" s="54"/>
      <c r="D132" s="54"/>
      <c r="E132" s="55"/>
      <c r="F132" s="75"/>
      <c r="G132" s="76"/>
      <c r="H132" s="76"/>
      <c r="I132" s="48"/>
      <c r="J132" s="70"/>
      <c r="K132" s="70"/>
      <c r="L132" s="189" t="s">
        <v>1159</v>
      </c>
      <c r="M132" s="190" t="s">
        <v>1245</v>
      </c>
      <c r="N132" s="189" t="s">
        <v>34</v>
      </c>
      <c r="O132" s="191">
        <v>1</v>
      </c>
      <c r="P132" s="192">
        <v>36.08</v>
      </c>
      <c r="Q132" s="192">
        <v>36.08</v>
      </c>
      <c r="R132" s="182"/>
      <c r="U132" s="128"/>
    </row>
    <row r="133" spans="1:21" ht="15.6" x14ac:dyDescent="0.3">
      <c r="A133" s="53"/>
      <c r="B133" s="54"/>
      <c r="C133" s="54"/>
      <c r="D133" s="54"/>
      <c r="E133" s="55"/>
      <c r="F133" s="75"/>
      <c r="G133" s="76"/>
      <c r="H133" s="76"/>
      <c r="I133" s="48"/>
      <c r="J133" s="70"/>
      <c r="K133" s="70"/>
      <c r="L133" s="189" t="s">
        <v>823</v>
      </c>
      <c r="M133" s="190" t="s">
        <v>824</v>
      </c>
      <c r="N133" s="189" t="s">
        <v>34</v>
      </c>
      <c r="O133" s="191">
        <v>5</v>
      </c>
      <c r="P133" s="192">
        <v>251.58</v>
      </c>
      <c r="Q133" s="244">
        <v>1257.8800000000001</v>
      </c>
      <c r="R133" s="182"/>
      <c r="U133" s="128"/>
    </row>
    <row r="134" spans="1:21" ht="15.6" x14ac:dyDescent="0.3">
      <c r="A134" s="53"/>
      <c r="B134" s="54"/>
      <c r="C134" s="54"/>
      <c r="D134" s="54"/>
      <c r="E134" s="55"/>
      <c r="F134" s="75"/>
      <c r="G134" s="76"/>
      <c r="H134" s="76"/>
      <c r="I134" s="48"/>
      <c r="J134" s="70"/>
      <c r="K134" s="70"/>
      <c r="L134" s="189" t="s">
        <v>1161</v>
      </c>
      <c r="M134" s="190" t="s">
        <v>436</v>
      </c>
      <c r="N134" s="189" t="s">
        <v>34</v>
      </c>
      <c r="O134" s="191">
        <v>1</v>
      </c>
      <c r="P134" s="192">
        <v>96.18</v>
      </c>
      <c r="Q134" s="192">
        <v>96.18</v>
      </c>
      <c r="R134" s="182"/>
      <c r="U134" s="128"/>
    </row>
    <row r="135" spans="1:21" ht="30" x14ac:dyDescent="0.3">
      <c r="A135" s="53"/>
      <c r="B135" s="54"/>
      <c r="C135" s="54"/>
      <c r="D135" s="54"/>
      <c r="E135" s="55"/>
      <c r="F135" s="75"/>
      <c r="G135" s="76"/>
      <c r="H135" s="76"/>
      <c r="I135" s="48"/>
      <c r="J135" s="70"/>
      <c r="K135" s="70"/>
      <c r="L135" s="189" t="s">
        <v>1004</v>
      </c>
      <c r="M135" s="190" t="s">
        <v>95</v>
      </c>
      <c r="N135" s="189" t="s">
        <v>34</v>
      </c>
      <c r="O135" s="191">
        <v>9</v>
      </c>
      <c r="P135" s="192">
        <v>181.2</v>
      </c>
      <c r="Q135" s="244">
        <v>1630.8</v>
      </c>
      <c r="R135" s="182"/>
      <c r="U135" s="128"/>
    </row>
    <row r="136" spans="1:21" ht="15.6" x14ac:dyDescent="0.3">
      <c r="A136" s="53"/>
      <c r="B136" s="54"/>
      <c r="C136" s="54"/>
      <c r="D136" s="54"/>
      <c r="E136" s="55"/>
      <c r="F136" s="75"/>
      <c r="G136" s="76"/>
      <c r="H136" s="76"/>
      <c r="I136" s="48"/>
      <c r="J136" s="70"/>
      <c r="K136" s="70"/>
      <c r="L136" s="189" t="s">
        <v>437</v>
      </c>
      <c r="M136" s="190" t="s">
        <v>438</v>
      </c>
      <c r="N136" s="189" t="s">
        <v>34</v>
      </c>
      <c r="O136" s="191">
        <v>4</v>
      </c>
      <c r="P136" s="192">
        <v>166.32</v>
      </c>
      <c r="Q136" s="192">
        <v>665.28</v>
      </c>
      <c r="R136" s="182"/>
      <c r="U136" s="128"/>
    </row>
    <row r="137" spans="1:21" ht="15.6" x14ac:dyDescent="0.3">
      <c r="A137" s="53"/>
      <c r="B137" s="54"/>
      <c r="C137" s="54"/>
      <c r="D137" s="54"/>
      <c r="E137" s="55"/>
      <c r="F137" s="75"/>
      <c r="G137" s="76"/>
      <c r="H137" s="76"/>
      <c r="I137" s="48"/>
      <c r="J137" s="70"/>
      <c r="K137" s="70"/>
      <c r="L137" s="189" t="s">
        <v>1090</v>
      </c>
      <c r="M137" s="190" t="s">
        <v>439</v>
      </c>
      <c r="N137" s="189" t="s">
        <v>34</v>
      </c>
      <c r="O137" s="191">
        <v>1</v>
      </c>
      <c r="P137" s="192">
        <v>94.36</v>
      </c>
      <c r="Q137" s="192">
        <v>94.36</v>
      </c>
      <c r="R137" s="182"/>
      <c r="U137" s="128"/>
    </row>
    <row r="138" spans="1:21" ht="15.6" x14ac:dyDescent="0.3">
      <c r="A138" s="53"/>
      <c r="B138" s="54"/>
      <c r="C138" s="54"/>
      <c r="D138" s="54"/>
      <c r="E138" s="55"/>
      <c r="F138" s="75"/>
      <c r="G138" s="76"/>
      <c r="H138" s="76"/>
      <c r="I138" s="48"/>
      <c r="J138" s="70"/>
      <c r="K138" s="70"/>
      <c r="L138" s="189" t="s">
        <v>1005</v>
      </c>
      <c r="M138" s="190" t="s">
        <v>825</v>
      </c>
      <c r="N138" s="189" t="s">
        <v>34</v>
      </c>
      <c r="O138" s="191">
        <v>4</v>
      </c>
      <c r="P138" s="192">
        <v>308</v>
      </c>
      <c r="Q138" s="244">
        <v>1232</v>
      </c>
      <c r="R138" s="182"/>
      <c r="U138" s="128"/>
    </row>
    <row r="139" spans="1:21" ht="15.6" x14ac:dyDescent="0.3">
      <c r="A139" s="53"/>
      <c r="B139" s="54"/>
      <c r="C139" s="54"/>
      <c r="D139" s="54"/>
      <c r="E139" s="55"/>
      <c r="F139" s="75"/>
      <c r="G139" s="76"/>
      <c r="H139" s="76"/>
      <c r="I139" s="48"/>
      <c r="J139" s="70"/>
      <c r="K139" s="70"/>
      <c r="L139" s="189" t="s">
        <v>1006</v>
      </c>
      <c r="M139" s="190" t="s">
        <v>923</v>
      </c>
      <c r="N139" s="189" t="s">
        <v>34</v>
      </c>
      <c r="O139" s="191">
        <v>570</v>
      </c>
      <c r="P139" s="192">
        <v>0.14000000000000001</v>
      </c>
      <c r="Q139" s="192">
        <v>78.63</v>
      </c>
      <c r="R139" s="182"/>
      <c r="U139" s="128"/>
    </row>
    <row r="140" spans="1:21" ht="15.6" x14ac:dyDescent="0.3">
      <c r="A140" s="53"/>
      <c r="B140" s="54"/>
      <c r="C140" s="54"/>
      <c r="D140" s="54"/>
      <c r="E140" s="55"/>
      <c r="F140" s="75"/>
      <c r="G140" s="76"/>
      <c r="H140" s="76"/>
      <c r="I140" s="48"/>
      <c r="J140" s="70"/>
      <c r="K140" s="70"/>
      <c r="L140" s="189" t="s">
        <v>1160</v>
      </c>
      <c r="M140" s="190" t="s">
        <v>1246</v>
      </c>
      <c r="N140" s="189" t="s">
        <v>34</v>
      </c>
      <c r="O140" s="191">
        <v>409</v>
      </c>
      <c r="P140" s="192">
        <v>0.69</v>
      </c>
      <c r="Q140" s="192">
        <v>282.89</v>
      </c>
      <c r="R140" s="182"/>
      <c r="U140" s="128"/>
    </row>
    <row r="141" spans="1:21" ht="30" x14ac:dyDescent="0.3">
      <c r="A141" s="53"/>
      <c r="B141" s="54"/>
      <c r="C141" s="54"/>
      <c r="D141" s="54"/>
      <c r="E141" s="55"/>
      <c r="F141" s="75"/>
      <c r="G141" s="76"/>
      <c r="H141" s="76"/>
      <c r="I141" s="48"/>
      <c r="J141" s="70"/>
      <c r="K141" s="70"/>
      <c r="L141" s="189" t="s">
        <v>1174</v>
      </c>
      <c r="M141" s="190" t="s">
        <v>1258</v>
      </c>
      <c r="N141" s="189" t="s">
        <v>34</v>
      </c>
      <c r="O141" s="191">
        <v>45</v>
      </c>
      <c r="P141" s="192">
        <v>0.66</v>
      </c>
      <c r="Q141" s="192">
        <v>29.62</v>
      </c>
      <c r="R141" s="182"/>
      <c r="U141" s="128"/>
    </row>
    <row r="142" spans="1:21" ht="15.6" x14ac:dyDescent="0.3">
      <c r="A142" s="53"/>
      <c r="B142" s="54"/>
      <c r="C142" s="54"/>
      <c r="D142" s="54"/>
      <c r="E142" s="55"/>
      <c r="F142" s="75"/>
      <c r="G142" s="76"/>
      <c r="H142" s="76"/>
      <c r="I142" s="48"/>
      <c r="J142" s="70"/>
      <c r="K142" s="70"/>
      <c r="L142" s="189" t="s">
        <v>1175</v>
      </c>
      <c r="M142" s="190" t="s">
        <v>1259</v>
      </c>
      <c r="N142" s="189" t="s">
        <v>34</v>
      </c>
      <c r="O142" s="191">
        <v>1</v>
      </c>
      <c r="P142" s="192">
        <v>2</v>
      </c>
      <c r="Q142" s="192">
        <v>2</v>
      </c>
      <c r="R142" s="182"/>
      <c r="U142" s="128"/>
    </row>
    <row r="143" spans="1:21" ht="15.6" x14ac:dyDescent="0.3">
      <c r="A143" s="53"/>
      <c r="B143" s="54"/>
      <c r="C143" s="54"/>
      <c r="D143" s="54"/>
      <c r="E143" s="55"/>
      <c r="F143" s="75"/>
      <c r="G143" s="76"/>
      <c r="H143" s="76"/>
      <c r="I143" s="48"/>
      <c r="J143" s="70"/>
      <c r="K143" s="70"/>
      <c r="L143" s="189" t="s">
        <v>1176</v>
      </c>
      <c r="M143" s="190" t="s">
        <v>1260</v>
      </c>
      <c r="N143" s="189" t="s">
        <v>34</v>
      </c>
      <c r="O143" s="191">
        <v>1</v>
      </c>
      <c r="P143" s="192">
        <v>1.5</v>
      </c>
      <c r="Q143" s="192">
        <v>1.5</v>
      </c>
      <c r="R143" s="182"/>
      <c r="U143" s="128"/>
    </row>
    <row r="144" spans="1:21" ht="15.6" x14ac:dyDescent="0.3">
      <c r="A144" s="53"/>
      <c r="B144" s="54"/>
      <c r="C144" s="54"/>
      <c r="D144" s="54"/>
      <c r="E144" s="55"/>
      <c r="F144" s="75"/>
      <c r="G144" s="76"/>
      <c r="H144" s="76"/>
      <c r="I144" s="48"/>
      <c r="J144" s="70"/>
      <c r="K144" s="70"/>
      <c r="L144" s="189" t="s">
        <v>826</v>
      </c>
      <c r="M144" s="190" t="s">
        <v>827</v>
      </c>
      <c r="N144" s="189" t="s">
        <v>34</v>
      </c>
      <c r="O144" s="191">
        <v>1</v>
      </c>
      <c r="P144" s="192">
        <v>4.5</v>
      </c>
      <c r="Q144" s="192">
        <v>4.5</v>
      </c>
      <c r="R144" s="182"/>
      <c r="U144" s="128"/>
    </row>
    <row r="145" spans="1:21" ht="15.6" x14ac:dyDescent="0.3">
      <c r="A145" s="53"/>
      <c r="B145" s="54"/>
      <c r="C145" s="54"/>
      <c r="D145" s="54"/>
      <c r="E145" s="55"/>
      <c r="F145" s="75"/>
      <c r="G145" s="76"/>
      <c r="H145" s="76"/>
      <c r="I145" s="48"/>
      <c r="J145" s="70"/>
      <c r="K145" s="70"/>
      <c r="L145" s="189" t="s">
        <v>1177</v>
      </c>
      <c r="M145" s="190" t="s">
        <v>1261</v>
      </c>
      <c r="N145" s="189" t="s">
        <v>34</v>
      </c>
      <c r="O145" s="191">
        <v>1</v>
      </c>
      <c r="P145" s="192">
        <v>130.21</v>
      </c>
      <c r="Q145" s="192">
        <v>130.21</v>
      </c>
      <c r="R145" s="182"/>
      <c r="U145" s="128"/>
    </row>
    <row r="146" spans="1:21" ht="15.6" x14ac:dyDescent="0.3">
      <c r="A146" s="53"/>
      <c r="B146" s="54"/>
      <c r="C146" s="54"/>
      <c r="D146" s="54"/>
      <c r="E146" s="55"/>
      <c r="F146" s="75"/>
      <c r="G146" s="76"/>
      <c r="H146" s="76"/>
      <c r="I146" s="48"/>
      <c r="J146" s="70"/>
      <c r="K146" s="70"/>
      <c r="L146" s="189" t="s">
        <v>1007</v>
      </c>
      <c r="M146" s="190" t="s">
        <v>447</v>
      </c>
      <c r="N146" s="189" t="s">
        <v>34</v>
      </c>
      <c r="O146" s="191">
        <v>7</v>
      </c>
      <c r="P146" s="192">
        <v>130.21</v>
      </c>
      <c r="Q146" s="192">
        <v>911.49</v>
      </c>
      <c r="R146" s="182"/>
      <c r="U146" s="128"/>
    </row>
    <row r="147" spans="1:21" ht="15.6" x14ac:dyDescent="0.3">
      <c r="A147" s="53"/>
      <c r="B147" s="54"/>
      <c r="C147" s="54"/>
      <c r="D147" s="54"/>
      <c r="E147" s="55"/>
      <c r="F147" s="75"/>
      <c r="G147" s="76"/>
      <c r="H147" s="76"/>
      <c r="I147" s="48"/>
      <c r="J147" s="70"/>
      <c r="K147" s="70"/>
      <c r="L147" s="189" t="s">
        <v>886</v>
      </c>
      <c r="M147" s="190" t="s">
        <v>1072</v>
      </c>
      <c r="N147" s="189" t="s">
        <v>34</v>
      </c>
      <c r="O147" s="191">
        <v>3</v>
      </c>
      <c r="P147" s="192">
        <v>350.19</v>
      </c>
      <c r="Q147" s="244">
        <v>1050.57</v>
      </c>
      <c r="R147" s="182"/>
      <c r="U147" s="128"/>
    </row>
    <row r="148" spans="1:21" ht="15.6" x14ac:dyDescent="0.3">
      <c r="A148" s="53"/>
      <c r="B148" s="54"/>
      <c r="C148" s="54"/>
      <c r="D148" s="54"/>
      <c r="E148" s="55"/>
      <c r="F148" s="75"/>
      <c r="G148" s="76"/>
      <c r="H148" s="76"/>
      <c r="I148" s="48"/>
      <c r="J148" s="70"/>
      <c r="K148" s="70"/>
      <c r="L148" s="189" t="s">
        <v>828</v>
      </c>
      <c r="M148" s="190" t="s">
        <v>829</v>
      </c>
      <c r="N148" s="189" t="s">
        <v>34</v>
      </c>
      <c r="O148" s="191">
        <v>1</v>
      </c>
      <c r="P148" s="192">
        <v>133.15</v>
      </c>
      <c r="Q148" s="192">
        <v>133.15</v>
      </c>
      <c r="R148" s="182"/>
      <c r="U148" s="128"/>
    </row>
    <row r="149" spans="1:21" ht="15.6" x14ac:dyDescent="0.3">
      <c r="A149" s="53"/>
      <c r="B149" s="54"/>
      <c r="C149" s="54"/>
      <c r="D149" s="54"/>
      <c r="E149" s="55"/>
      <c r="F149" s="75"/>
      <c r="G149" s="76"/>
      <c r="H149" s="76"/>
      <c r="I149" s="48"/>
      <c r="J149" s="70"/>
      <c r="K149" s="70"/>
      <c r="L149" s="189" t="s">
        <v>830</v>
      </c>
      <c r="M149" s="190" t="s">
        <v>831</v>
      </c>
      <c r="N149" s="189" t="s">
        <v>34</v>
      </c>
      <c r="O149" s="191">
        <v>1</v>
      </c>
      <c r="P149" s="192">
        <v>577.5</v>
      </c>
      <c r="Q149" s="192">
        <v>577.5</v>
      </c>
      <c r="R149" s="182"/>
      <c r="U149" s="128"/>
    </row>
    <row r="150" spans="1:21" ht="15.6" x14ac:dyDescent="0.3">
      <c r="A150" s="53"/>
      <c r="B150" s="54"/>
      <c r="C150" s="54"/>
      <c r="D150" s="54"/>
      <c r="E150" s="55"/>
      <c r="F150" s="75"/>
      <c r="G150" s="76"/>
      <c r="H150" s="76"/>
      <c r="I150" s="48"/>
      <c r="J150" s="70"/>
      <c r="K150" s="70"/>
      <c r="L150" s="189" t="s">
        <v>924</v>
      </c>
      <c r="M150" s="190" t="s">
        <v>925</v>
      </c>
      <c r="N150" s="189" t="s">
        <v>34</v>
      </c>
      <c r="O150" s="191">
        <v>1</v>
      </c>
      <c r="P150" s="192">
        <v>69.34</v>
      </c>
      <c r="Q150" s="192">
        <v>69.34</v>
      </c>
      <c r="R150" s="182"/>
      <c r="U150" s="128"/>
    </row>
    <row r="151" spans="1:21" ht="15.6" x14ac:dyDescent="0.3">
      <c r="A151" s="53"/>
      <c r="B151" s="54"/>
      <c r="C151" s="54"/>
      <c r="D151" s="54"/>
      <c r="E151" s="55"/>
      <c r="F151" s="75"/>
      <c r="G151" s="76"/>
      <c r="H151" s="76"/>
      <c r="I151" s="48"/>
      <c r="J151" s="70"/>
      <c r="K151" s="70"/>
      <c r="L151" s="189" t="s">
        <v>455</v>
      </c>
      <c r="M151" s="190" t="s">
        <v>456</v>
      </c>
      <c r="N151" s="189" t="s">
        <v>34</v>
      </c>
      <c r="O151" s="191">
        <v>2</v>
      </c>
      <c r="P151" s="192">
        <v>275.73</v>
      </c>
      <c r="Q151" s="192">
        <v>551.46</v>
      </c>
      <c r="R151" s="182"/>
      <c r="U151" s="128"/>
    </row>
    <row r="152" spans="1:21" ht="15.6" x14ac:dyDescent="0.3">
      <c r="A152" s="53"/>
      <c r="B152" s="54"/>
      <c r="C152" s="54"/>
      <c r="D152" s="54"/>
      <c r="E152" s="55"/>
      <c r="F152" s="75"/>
      <c r="G152" s="76"/>
      <c r="H152" s="76"/>
      <c r="I152" s="48"/>
      <c r="J152" s="70"/>
      <c r="K152" s="70"/>
      <c r="L152" s="189" t="s">
        <v>1154</v>
      </c>
      <c r="M152" s="190" t="s">
        <v>1241</v>
      </c>
      <c r="N152" s="189" t="s">
        <v>34</v>
      </c>
      <c r="O152" s="191">
        <v>2</v>
      </c>
      <c r="P152" s="192">
        <v>152</v>
      </c>
      <c r="Q152" s="192">
        <v>304</v>
      </c>
      <c r="R152" s="182"/>
      <c r="U152" s="128"/>
    </row>
    <row r="153" spans="1:21" ht="15.6" x14ac:dyDescent="0.3">
      <c r="A153" s="53"/>
      <c r="B153" s="54"/>
      <c r="C153" s="54"/>
      <c r="D153" s="54"/>
      <c r="E153" s="55"/>
      <c r="F153" s="75"/>
      <c r="G153" s="76"/>
      <c r="H153" s="76"/>
      <c r="I153" s="48"/>
      <c r="J153" s="70"/>
      <c r="K153" s="70"/>
      <c r="L153" s="189" t="s">
        <v>1013</v>
      </c>
      <c r="M153" s="190" t="s">
        <v>1074</v>
      </c>
      <c r="N153" s="189" t="s">
        <v>34</v>
      </c>
      <c r="O153" s="191">
        <v>6</v>
      </c>
      <c r="P153" s="192">
        <v>160.25</v>
      </c>
      <c r="Q153" s="192">
        <v>961.5</v>
      </c>
      <c r="R153" s="182"/>
      <c r="U153" s="128"/>
    </row>
    <row r="154" spans="1:21" ht="15.6" x14ac:dyDescent="0.3">
      <c r="A154" s="53"/>
      <c r="B154" s="54"/>
      <c r="C154" s="54"/>
      <c r="D154" s="54"/>
      <c r="E154" s="55"/>
      <c r="F154" s="75"/>
      <c r="G154" s="76"/>
      <c r="H154" s="76"/>
      <c r="I154" s="48"/>
      <c r="J154" s="70"/>
      <c r="K154" s="70"/>
      <c r="L154" s="189" t="s">
        <v>1014</v>
      </c>
      <c r="M154" s="190" t="s">
        <v>806</v>
      </c>
      <c r="N154" s="189" t="s">
        <v>34</v>
      </c>
      <c r="O154" s="191">
        <v>1</v>
      </c>
      <c r="P154" s="192">
        <v>47.92</v>
      </c>
      <c r="Q154" s="192">
        <v>47.92</v>
      </c>
      <c r="R154" s="182"/>
      <c r="U154" s="128"/>
    </row>
    <row r="155" spans="1:21" ht="15.6" x14ac:dyDescent="0.3">
      <c r="A155" s="53"/>
      <c r="B155" s="54"/>
      <c r="C155" s="54"/>
      <c r="D155" s="54"/>
      <c r="E155" s="55"/>
      <c r="F155" s="75"/>
      <c r="G155" s="76"/>
      <c r="H155" s="76"/>
      <c r="I155" s="48"/>
      <c r="J155" s="70"/>
      <c r="K155" s="70"/>
      <c r="L155" s="189" t="s">
        <v>1155</v>
      </c>
      <c r="M155" s="190" t="s">
        <v>1242</v>
      </c>
      <c r="N155" s="189" t="s">
        <v>34</v>
      </c>
      <c r="O155" s="191">
        <v>3</v>
      </c>
      <c r="P155" s="192">
        <v>20.18</v>
      </c>
      <c r="Q155" s="192">
        <v>60.54</v>
      </c>
      <c r="R155" s="182"/>
      <c r="U155" s="128"/>
    </row>
    <row r="156" spans="1:21" ht="15.6" x14ac:dyDescent="0.3">
      <c r="A156" s="53"/>
      <c r="B156" s="54"/>
      <c r="C156" s="54"/>
      <c r="D156" s="54"/>
      <c r="E156" s="55"/>
      <c r="F156" s="75"/>
      <c r="G156" s="76"/>
      <c r="H156" s="76"/>
      <c r="I156" s="48"/>
      <c r="J156" s="70"/>
      <c r="K156" s="70"/>
      <c r="L156" s="189" t="s">
        <v>1015</v>
      </c>
      <c r="M156" s="190" t="s">
        <v>393</v>
      </c>
      <c r="N156" s="189" t="s">
        <v>34</v>
      </c>
      <c r="O156" s="191">
        <v>4</v>
      </c>
      <c r="P156" s="192">
        <v>4.9000000000000004</v>
      </c>
      <c r="Q156" s="192">
        <v>19.600000000000001</v>
      </c>
      <c r="R156" s="182"/>
      <c r="U156" s="128"/>
    </row>
    <row r="157" spans="1:21" ht="15.6" x14ac:dyDescent="0.3">
      <c r="A157" s="53"/>
      <c r="B157" s="54"/>
      <c r="C157" s="54"/>
      <c r="D157" s="54"/>
      <c r="E157" s="55"/>
      <c r="F157" s="75"/>
      <c r="G157" s="76"/>
      <c r="H157" s="76"/>
      <c r="I157" s="48"/>
      <c r="J157" s="70"/>
      <c r="K157" s="70"/>
      <c r="L157" s="189" t="s">
        <v>807</v>
      </c>
      <c r="M157" s="190" t="s">
        <v>808</v>
      </c>
      <c r="N157" s="189" t="s">
        <v>34</v>
      </c>
      <c r="O157" s="191">
        <v>1</v>
      </c>
      <c r="P157" s="192">
        <v>113</v>
      </c>
      <c r="Q157" s="192">
        <v>113</v>
      </c>
      <c r="R157" s="182"/>
      <c r="U157" s="128"/>
    </row>
    <row r="158" spans="1:21" ht="30" x14ac:dyDescent="0.3">
      <c r="A158" s="53"/>
      <c r="B158" s="54"/>
      <c r="C158" s="54"/>
      <c r="D158" s="54"/>
      <c r="E158" s="55"/>
      <c r="F158" s="75"/>
      <c r="G158" s="76"/>
      <c r="H158" s="76"/>
      <c r="I158" s="48"/>
      <c r="J158" s="70"/>
      <c r="K158" s="70"/>
      <c r="L158" s="189" t="s">
        <v>1156</v>
      </c>
      <c r="M158" s="190" t="s">
        <v>1243</v>
      </c>
      <c r="N158" s="189" t="s">
        <v>34</v>
      </c>
      <c r="O158" s="191">
        <v>1</v>
      </c>
      <c r="P158" s="192">
        <v>87.3</v>
      </c>
      <c r="Q158" s="192">
        <v>87.3</v>
      </c>
      <c r="R158" s="182"/>
      <c r="U158" s="128"/>
    </row>
    <row r="159" spans="1:21" ht="15.6" x14ac:dyDescent="0.3">
      <c r="A159" s="53"/>
      <c r="B159" s="54"/>
      <c r="C159" s="54"/>
      <c r="D159" s="54"/>
      <c r="E159" s="55"/>
      <c r="F159" s="75"/>
      <c r="G159" s="76"/>
      <c r="H159" s="76"/>
      <c r="I159" s="48"/>
      <c r="J159" s="70"/>
      <c r="K159" s="70"/>
      <c r="L159" s="189" t="s">
        <v>1016</v>
      </c>
      <c r="M159" s="190" t="s">
        <v>396</v>
      </c>
      <c r="N159" s="189" t="s">
        <v>34</v>
      </c>
      <c r="O159" s="191">
        <v>2</v>
      </c>
      <c r="P159" s="192">
        <v>25</v>
      </c>
      <c r="Q159" s="192">
        <v>50</v>
      </c>
      <c r="R159" s="182"/>
      <c r="U159" s="128"/>
    </row>
    <row r="160" spans="1:21" ht="15.6" x14ac:dyDescent="0.3">
      <c r="A160" s="53"/>
      <c r="B160" s="54"/>
      <c r="C160" s="54"/>
      <c r="D160" s="54"/>
      <c r="E160" s="55"/>
      <c r="F160" s="75"/>
      <c r="G160" s="76"/>
      <c r="H160" s="76"/>
      <c r="I160" s="48"/>
      <c r="J160" s="70"/>
      <c r="K160" s="70"/>
      <c r="L160" s="189" t="s">
        <v>1017</v>
      </c>
      <c r="M160" s="190" t="s">
        <v>397</v>
      </c>
      <c r="N160" s="189" t="s">
        <v>34</v>
      </c>
      <c r="O160" s="191">
        <v>3</v>
      </c>
      <c r="P160" s="192">
        <v>9.92</v>
      </c>
      <c r="Q160" s="192">
        <v>29.76</v>
      </c>
      <c r="R160" s="182"/>
      <c r="U160" s="128"/>
    </row>
    <row r="161" spans="1:21" ht="15.6" x14ac:dyDescent="0.3">
      <c r="A161" s="53"/>
      <c r="B161" s="54"/>
      <c r="C161" s="54"/>
      <c r="D161" s="54"/>
      <c r="E161" s="55"/>
      <c r="F161" s="75"/>
      <c r="G161" s="76"/>
      <c r="H161" s="76"/>
      <c r="I161" s="48"/>
      <c r="J161" s="70"/>
      <c r="K161" s="70"/>
      <c r="L161" s="189" t="s">
        <v>1018</v>
      </c>
      <c r="M161" s="190" t="s">
        <v>1075</v>
      </c>
      <c r="N161" s="189" t="s">
        <v>34</v>
      </c>
      <c r="O161" s="191">
        <v>2</v>
      </c>
      <c r="P161" s="244">
        <v>1290.8</v>
      </c>
      <c r="Q161" s="244">
        <v>2581.6</v>
      </c>
      <c r="R161" s="182"/>
      <c r="U161" s="128"/>
    </row>
    <row r="162" spans="1:21" ht="15.6" x14ac:dyDescent="0.3">
      <c r="A162" s="53"/>
      <c r="B162" s="54"/>
      <c r="C162" s="54"/>
      <c r="D162" s="54"/>
      <c r="E162" s="55"/>
      <c r="F162" s="75"/>
      <c r="G162" s="76"/>
      <c r="H162" s="76"/>
      <c r="I162" s="48"/>
      <c r="J162" s="70"/>
      <c r="K162" s="70"/>
      <c r="L162" s="189" t="s">
        <v>1157</v>
      </c>
      <c r="M162" s="190" t="s">
        <v>398</v>
      </c>
      <c r="N162" s="189" t="s">
        <v>34</v>
      </c>
      <c r="O162" s="191">
        <v>1</v>
      </c>
      <c r="P162" s="244">
        <v>1290.8</v>
      </c>
      <c r="Q162" s="244">
        <v>1290.8</v>
      </c>
      <c r="R162" s="182"/>
      <c r="U162" s="128"/>
    </row>
    <row r="163" spans="1:21" ht="15.6" x14ac:dyDescent="0.3">
      <c r="A163" s="53"/>
      <c r="B163" s="54"/>
      <c r="C163" s="54"/>
      <c r="D163" s="54"/>
      <c r="E163" s="55"/>
      <c r="F163" s="75"/>
      <c r="G163" s="76"/>
      <c r="H163" s="76"/>
      <c r="I163" s="48"/>
      <c r="J163" s="70"/>
      <c r="K163" s="70"/>
      <c r="L163" s="189" t="s">
        <v>809</v>
      </c>
      <c r="M163" s="190" t="s">
        <v>810</v>
      </c>
      <c r="N163" s="189" t="s">
        <v>34</v>
      </c>
      <c r="O163" s="191">
        <v>1</v>
      </c>
      <c r="P163" s="192">
        <v>837.13</v>
      </c>
      <c r="Q163" s="192">
        <v>837.13</v>
      </c>
      <c r="R163" s="182"/>
      <c r="U163" s="128"/>
    </row>
    <row r="164" spans="1:21" ht="15.6" x14ac:dyDescent="0.3">
      <c r="A164" s="53"/>
      <c r="B164" s="54"/>
      <c r="C164" s="54"/>
      <c r="D164" s="54"/>
      <c r="E164" s="55"/>
      <c r="F164" s="75"/>
      <c r="G164" s="76"/>
      <c r="H164" s="76"/>
      <c r="I164" s="48"/>
      <c r="J164" s="70"/>
      <c r="K164" s="70"/>
      <c r="L164" s="189" t="s">
        <v>53</v>
      </c>
      <c r="M164" s="190" t="s">
        <v>85</v>
      </c>
      <c r="N164" s="189" t="s">
        <v>34</v>
      </c>
      <c r="O164" s="191">
        <v>5</v>
      </c>
      <c r="P164" s="192">
        <v>47</v>
      </c>
      <c r="Q164" s="192">
        <v>235</v>
      </c>
      <c r="R164" s="182"/>
      <c r="U164" s="128"/>
    </row>
    <row r="165" spans="1:21" ht="15.6" x14ac:dyDescent="0.3">
      <c r="A165" s="53"/>
      <c r="B165" s="54"/>
      <c r="C165" s="54"/>
      <c r="D165" s="54"/>
      <c r="E165" s="55"/>
      <c r="F165" s="75"/>
      <c r="G165" s="76"/>
      <c r="H165" s="76"/>
      <c r="I165" s="48"/>
      <c r="J165" s="70"/>
      <c r="K165" s="70"/>
      <c r="L165" s="189" t="s">
        <v>865</v>
      </c>
      <c r="M165" s="190" t="s">
        <v>1055</v>
      </c>
      <c r="N165" s="189" t="s">
        <v>34</v>
      </c>
      <c r="O165" s="191">
        <v>1</v>
      </c>
      <c r="P165" s="244">
        <v>4916.67</v>
      </c>
      <c r="Q165" s="244">
        <v>4916.67</v>
      </c>
      <c r="R165" s="182"/>
      <c r="U165" s="128"/>
    </row>
    <row r="166" spans="1:21" ht="15.6" x14ac:dyDescent="0.3">
      <c r="A166" s="53"/>
      <c r="B166" s="54"/>
      <c r="C166" s="54"/>
      <c r="D166" s="54"/>
      <c r="E166" s="55"/>
      <c r="F166" s="75"/>
      <c r="G166" s="76"/>
      <c r="H166" s="76"/>
      <c r="I166" s="48"/>
      <c r="J166" s="70"/>
      <c r="K166" s="70"/>
      <c r="L166" s="189" t="s">
        <v>799</v>
      </c>
      <c r="M166" s="190" t="s">
        <v>800</v>
      </c>
      <c r="N166" s="189" t="s">
        <v>34</v>
      </c>
      <c r="O166" s="191">
        <v>1</v>
      </c>
      <c r="P166" s="192">
        <v>308.12</v>
      </c>
      <c r="Q166" s="192">
        <v>308.12</v>
      </c>
      <c r="R166" s="182"/>
      <c r="U166" s="128"/>
    </row>
    <row r="167" spans="1:21" ht="15.6" x14ac:dyDescent="0.3">
      <c r="A167" s="53"/>
      <c r="B167" s="54"/>
      <c r="C167" s="54"/>
      <c r="D167" s="54"/>
      <c r="E167" s="55"/>
      <c r="F167" s="75"/>
      <c r="G167" s="76"/>
      <c r="H167" s="76"/>
      <c r="I167" s="48"/>
      <c r="J167" s="70"/>
      <c r="K167" s="70"/>
      <c r="L167" s="189" t="s">
        <v>801</v>
      </c>
      <c r="M167" s="190" t="s">
        <v>802</v>
      </c>
      <c r="N167" s="189" t="s">
        <v>34</v>
      </c>
      <c r="O167" s="191">
        <v>1</v>
      </c>
      <c r="P167" s="192">
        <v>308.12</v>
      </c>
      <c r="Q167" s="192">
        <v>308.12</v>
      </c>
      <c r="R167" s="182"/>
      <c r="U167" s="128"/>
    </row>
    <row r="168" spans="1:21" ht="15.6" x14ac:dyDescent="0.3">
      <c r="A168" s="53"/>
      <c r="B168" s="54"/>
      <c r="C168" s="54"/>
      <c r="D168" s="54"/>
      <c r="E168" s="55"/>
      <c r="F168" s="75"/>
      <c r="G168" s="76"/>
      <c r="H168" s="76"/>
      <c r="I168" s="48"/>
      <c r="J168" s="70"/>
      <c r="K168" s="70"/>
      <c r="L168" s="189" t="s">
        <v>1153</v>
      </c>
      <c r="M168" s="190" t="s">
        <v>1240</v>
      </c>
      <c r="N168" s="189" t="s">
        <v>34</v>
      </c>
      <c r="O168" s="191">
        <v>1</v>
      </c>
      <c r="P168" s="244">
        <v>1412</v>
      </c>
      <c r="Q168" s="244">
        <v>1412</v>
      </c>
      <c r="R168" s="182"/>
      <c r="U168" s="128"/>
    </row>
    <row r="169" spans="1:21" ht="15.6" x14ac:dyDescent="0.3">
      <c r="A169" s="53"/>
      <c r="B169" s="54"/>
      <c r="C169" s="54"/>
      <c r="D169" s="54"/>
      <c r="E169" s="55"/>
      <c r="F169" s="75"/>
      <c r="G169" s="76"/>
      <c r="H169" s="76"/>
      <c r="I169" s="48"/>
      <c r="J169" s="70"/>
      <c r="K169" s="70"/>
      <c r="L169" s="189" t="s">
        <v>804</v>
      </c>
      <c r="M169" s="190" t="s">
        <v>805</v>
      </c>
      <c r="N169" s="189" t="s">
        <v>34</v>
      </c>
      <c r="O169" s="191">
        <v>0.6</v>
      </c>
      <c r="P169" s="244">
        <v>1250</v>
      </c>
      <c r="Q169" s="192">
        <v>750</v>
      </c>
      <c r="R169" s="182"/>
      <c r="U169" s="128"/>
    </row>
    <row r="170" spans="1:21" ht="15.6" x14ac:dyDescent="0.3">
      <c r="A170" s="53"/>
      <c r="B170" s="54"/>
      <c r="C170" s="54"/>
      <c r="D170" s="54"/>
      <c r="E170" s="55"/>
      <c r="F170" s="75"/>
      <c r="G170" s="76"/>
      <c r="H170" s="76"/>
      <c r="I170" s="48"/>
      <c r="J170" s="70"/>
      <c r="K170" s="70"/>
      <c r="L170" s="189" t="s">
        <v>867</v>
      </c>
      <c r="M170" s="190" t="s">
        <v>918</v>
      </c>
      <c r="N170" s="189" t="s">
        <v>34</v>
      </c>
      <c r="O170" s="191">
        <v>1</v>
      </c>
      <c r="P170" s="244">
        <v>4050</v>
      </c>
      <c r="Q170" s="244">
        <v>4050</v>
      </c>
      <c r="R170" s="182"/>
      <c r="U170" s="128"/>
    </row>
    <row r="171" spans="1:21" ht="15.6" x14ac:dyDescent="0.3">
      <c r="A171" s="53"/>
      <c r="B171" s="54"/>
      <c r="C171" s="54"/>
      <c r="D171" s="54"/>
      <c r="E171" s="55"/>
      <c r="F171" s="75"/>
      <c r="G171" s="76"/>
      <c r="H171" s="76"/>
      <c r="I171" s="48"/>
      <c r="J171" s="70"/>
      <c r="K171" s="70"/>
      <c r="L171" s="189" t="s">
        <v>194</v>
      </c>
      <c r="M171" s="190" t="s">
        <v>195</v>
      </c>
      <c r="N171" s="189" t="s">
        <v>34</v>
      </c>
      <c r="O171" s="191">
        <v>0.2</v>
      </c>
      <c r="P171" s="244">
        <v>1500</v>
      </c>
      <c r="Q171" s="192">
        <v>300</v>
      </c>
      <c r="R171" s="182"/>
      <c r="U171" s="128"/>
    </row>
    <row r="172" spans="1:21" ht="15.6" x14ac:dyDescent="0.3">
      <c r="A172" s="53"/>
      <c r="B172" s="54"/>
      <c r="C172" s="54"/>
      <c r="D172" s="54"/>
      <c r="E172" s="55"/>
      <c r="F172" s="75"/>
      <c r="G172" s="76"/>
      <c r="H172" s="76"/>
      <c r="I172" s="48"/>
      <c r="J172" s="70"/>
      <c r="K172" s="70"/>
      <c r="L172" s="189" t="s">
        <v>1001</v>
      </c>
      <c r="M172" s="190" t="s">
        <v>415</v>
      </c>
      <c r="N172" s="189" t="s">
        <v>34</v>
      </c>
      <c r="O172" s="191">
        <v>11</v>
      </c>
      <c r="P172" s="192">
        <v>59.58</v>
      </c>
      <c r="Q172" s="192">
        <v>655.38</v>
      </c>
      <c r="R172" s="182"/>
      <c r="U172" s="128"/>
    </row>
    <row r="173" spans="1:21" ht="15.6" x14ac:dyDescent="0.3">
      <c r="A173" s="53"/>
      <c r="B173" s="54"/>
      <c r="C173" s="54"/>
      <c r="D173" s="54"/>
      <c r="E173" s="55"/>
      <c r="F173" s="75"/>
      <c r="G173" s="76"/>
      <c r="H173" s="76"/>
      <c r="I173" s="48"/>
      <c r="J173" s="70"/>
      <c r="K173" s="70"/>
      <c r="L173" s="189" t="s">
        <v>946</v>
      </c>
      <c r="M173" s="190" t="s">
        <v>1042</v>
      </c>
      <c r="N173" s="189" t="s">
        <v>34</v>
      </c>
      <c r="O173" s="191">
        <v>4</v>
      </c>
      <c r="P173" s="192">
        <v>117.65</v>
      </c>
      <c r="Q173" s="192">
        <v>470.6</v>
      </c>
      <c r="R173" s="182"/>
      <c r="U173" s="128"/>
    </row>
    <row r="174" spans="1:21" ht="15.6" x14ac:dyDescent="0.3">
      <c r="A174" s="53"/>
      <c r="B174" s="54"/>
      <c r="C174" s="54"/>
      <c r="D174" s="54"/>
      <c r="E174" s="55"/>
      <c r="F174" s="75"/>
      <c r="G174" s="76"/>
      <c r="H174" s="76"/>
      <c r="I174" s="48"/>
      <c r="J174" s="70"/>
      <c r="K174" s="70"/>
      <c r="L174" s="189" t="s">
        <v>403</v>
      </c>
      <c r="M174" s="190" t="s">
        <v>1073</v>
      </c>
      <c r="N174" s="189" t="s">
        <v>34</v>
      </c>
      <c r="O174" s="191">
        <v>2</v>
      </c>
      <c r="P174" s="192">
        <v>37.1</v>
      </c>
      <c r="Q174" s="192">
        <v>74.2</v>
      </c>
      <c r="R174" s="182"/>
      <c r="U174" s="128"/>
    </row>
    <row r="175" spans="1:21" ht="15.6" x14ac:dyDescent="0.3">
      <c r="A175" s="53"/>
      <c r="B175" s="54"/>
      <c r="C175" s="54"/>
      <c r="D175" s="54"/>
      <c r="E175" s="55"/>
      <c r="F175" s="75"/>
      <c r="G175" s="76"/>
      <c r="H175" s="76"/>
      <c r="I175" s="48"/>
      <c r="J175" s="70"/>
      <c r="K175" s="70"/>
      <c r="L175" s="189" t="s">
        <v>920</v>
      </c>
      <c r="M175" s="190" t="s">
        <v>921</v>
      </c>
      <c r="N175" s="189" t="s">
        <v>34</v>
      </c>
      <c r="O175" s="191">
        <v>1</v>
      </c>
      <c r="P175" s="192">
        <v>29.1</v>
      </c>
      <c r="Q175" s="192">
        <v>29.1</v>
      </c>
      <c r="R175" s="182"/>
      <c r="U175" s="128"/>
    </row>
    <row r="176" spans="1:21" ht="15.6" x14ac:dyDescent="0.3">
      <c r="A176" s="53"/>
      <c r="B176" s="54"/>
      <c r="C176" s="54"/>
      <c r="D176" s="54"/>
      <c r="E176" s="55"/>
      <c r="F176" s="75"/>
      <c r="G176" s="76"/>
      <c r="H176" s="76"/>
      <c r="I176" s="48"/>
      <c r="J176" s="70"/>
      <c r="K176" s="70"/>
      <c r="L176" s="189" t="s">
        <v>1008</v>
      </c>
      <c r="M176" s="190" t="s">
        <v>407</v>
      </c>
      <c r="N176" s="189" t="s">
        <v>34</v>
      </c>
      <c r="O176" s="191">
        <v>1</v>
      </c>
      <c r="P176" s="192">
        <v>45.9</v>
      </c>
      <c r="Q176" s="192">
        <v>45.9</v>
      </c>
      <c r="R176" s="182"/>
      <c r="U176" s="128"/>
    </row>
    <row r="177" spans="1:21" ht="15.6" x14ac:dyDescent="0.3">
      <c r="A177" s="53"/>
      <c r="B177" s="54"/>
      <c r="C177" s="54"/>
      <c r="D177" s="54"/>
      <c r="E177" s="55"/>
      <c r="F177" s="75"/>
      <c r="G177" s="76"/>
      <c r="H177" s="76"/>
      <c r="I177" s="48"/>
      <c r="J177" s="70"/>
      <c r="K177" s="70"/>
      <c r="L177" s="189" t="s">
        <v>1009</v>
      </c>
      <c r="M177" s="190" t="s">
        <v>811</v>
      </c>
      <c r="N177" s="189" t="s">
        <v>34</v>
      </c>
      <c r="O177" s="191">
        <v>5</v>
      </c>
      <c r="P177" s="192">
        <v>91</v>
      </c>
      <c r="Q177" s="192">
        <v>455</v>
      </c>
      <c r="R177" s="182"/>
      <c r="U177" s="128"/>
    </row>
    <row r="178" spans="1:21" ht="15.6" x14ac:dyDescent="0.3">
      <c r="A178" s="53"/>
      <c r="B178" s="54"/>
      <c r="C178" s="54"/>
      <c r="D178" s="54"/>
      <c r="E178" s="55"/>
      <c r="F178" s="75"/>
      <c r="G178" s="76"/>
      <c r="H178" s="76"/>
      <c r="I178" s="48"/>
      <c r="J178" s="70"/>
      <c r="K178" s="70"/>
      <c r="L178" s="189" t="s">
        <v>1158</v>
      </c>
      <c r="M178" s="190" t="s">
        <v>1244</v>
      </c>
      <c r="N178" s="189" t="s">
        <v>34</v>
      </c>
      <c r="O178" s="191">
        <v>1</v>
      </c>
      <c r="P178" s="192">
        <v>238</v>
      </c>
      <c r="Q178" s="192">
        <v>238</v>
      </c>
      <c r="R178" s="182"/>
      <c r="U178" s="128"/>
    </row>
    <row r="179" spans="1:21" ht="15.6" x14ac:dyDescent="0.3">
      <c r="A179" s="53"/>
      <c r="B179" s="54"/>
      <c r="C179" s="54"/>
      <c r="D179" s="54"/>
      <c r="E179" s="55"/>
      <c r="F179" s="75"/>
      <c r="G179" s="76"/>
      <c r="H179" s="76"/>
      <c r="I179" s="48"/>
      <c r="J179" s="70"/>
      <c r="K179" s="70"/>
      <c r="L179" s="189" t="s">
        <v>411</v>
      </c>
      <c r="M179" s="190" t="s">
        <v>412</v>
      </c>
      <c r="N179" s="189" t="s">
        <v>34</v>
      </c>
      <c r="O179" s="191">
        <v>9.8000000000000007</v>
      </c>
      <c r="P179" s="192">
        <v>58.83</v>
      </c>
      <c r="Q179" s="192">
        <v>576.5</v>
      </c>
      <c r="R179" s="182"/>
      <c r="U179" s="128"/>
    </row>
    <row r="180" spans="1:21" ht="15.6" x14ac:dyDescent="0.3">
      <c r="A180" s="53"/>
      <c r="B180" s="54"/>
      <c r="C180" s="54"/>
      <c r="D180" s="54"/>
      <c r="E180" s="55"/>
      <c r="F180" s="75"/>
      <c r="G180" s="76"/>
      <c r="H180" s="76"/>
      <c r="I180" s="48"/>
      <c r="J180" s="70"/>
      <c r="K180" s="70"/>
      <c r="L180" s="189" t="s">
        <v>1163</v>
      </c>
      <c r="M180" s="190" t="s">
        <v>1248</v>
      </c>
      <c r="N180" s="189" t="s">
        <v>34</v>
      </c>
      <c r="O180" s="191">
        <v>1</v>
      </c>
      <c r="P180" s="192">
        <v>579.16999999999996</v>
      </c>
      <c r="Q180" s="192">
        <v>579.16999999999996</v>
      </c>
      <c r="R180" s="182"/>
      <c r="U180" s="128"/>
    </row>
    <row r="181" spans="1:21" ht="15.6" x14ac:dyDescent="0.3">
      <c r="A181" s="53"/>
      <c r="B181" s="54"/>
      <c r="C181" s="54"/>
      <c r="D181" s="54"/>
      <c r="E181" s="55"/>
      <c r="F181" s="75"/>
      <c r="G181" s="76"/>
      <c r="H181" s="76"/>
      <c r="I181" s="48"/>
      <c r="J181" s="70"/>
      <c r="K181" s="70"/>
      <c r="L181" s="189" t="s">
        <v>1010</v>
      </c>
      <c r="M181" s="190" t="s">
        <v>814</v>
      </c>
      <c r="N181" s="189" t="s">
        <v>34</v>
      </c>
      <c r="O181" s="191">
        <v>6</v>
      </c>
      <c r="P181" s="192">
        <v>557.91999999999996</v>
      </c>
      <c r="Q181" s="244">
        <v>3347.51</v>
      </c>
      <c r="R181" s="182"/>
      <c r="U181" s="128"/>
    </row>
    <row r="182" spans="1:21" ht="15.6" x14ac:dyDescent="0.3">
      <c r="A182" s="53"/>
      <c r="B182" s="54"/>
      <c r="C182" s="54"/>
      <c r="D182" s="54"/>
      <c r="E182" s="55"/>
      <c r="F182" s="75"/>
      <c r="G182" s="76"/>
      <c r="H182" s="76"/>
      <c r="I182" s="48"/>
      <c r="J182" s="70"/>
      <c r="K182" s="70"/>
      <c r="L182" s="189" t="s">
        <v>1164</v>
      </c>
      <c r="M182" s="190" t="s">
        <v>1249</v>
      </c>
      <c r="N182" s="189" t="s">
        <v>34</v>
      </c>
      <c r="O182" s="191">
        <v>0.5</v>
      </c>
      <c r="P182" s="192">
        <v>349.1</v>
      </c>
      <c r="Q182" s="192">
        <v>174.55</v>
      </c>
      <c r="R182" s="182"/>
      <c r="U182" s="128"/>
    </row>
    <row r="183" spans="1:21" ht="15.6" x14ac:dyDescent="0.3">
      <c r="A183" s="53"/>
      <c r="B183" s="54"/>
      <c r="C183" s="54"/>
      <c r="D183" s="54"/>
      <c r="E183" s="55"/>
      <c r="F183" s="75"/>
      <c r="G183" s="76"/>
      <c r="H183" s="76"/>
      <c r="I183" s="48"/>
      <c r="J183" s="70"/>
      <c r="K183" s="70"/>
      <c r="L183" s="189" t="s">
        <v>1012</v>
      </c>
      <c r="M183" s="190" t="s">
        <v>413</v>
      </c>
      <c r="N183" s="189" t="s">
        <v>34</v>
      </c>
      <c r="O183" s="191">
        <v>0.5</v>
      </c>
      <c r="P183" s="192">
        <v>524.54</v>
      </c>
      <c r="Q183" s="192">
        <v>262.27</v>
      </c>
      <c r="R183" s="182"/>
      <c r="U183" s="128"/>
    </row>
    <row r="184" spans="1:21" ht="15.6" x14ac:dyDescent="0.3">
      <c r="A184" s="53"/>
      <c r="B184" s="54"/>
      <c r="C184" s="54"/>
      <c r="D184" s="54"/>
      <c r="E184" s="55"/>
      <c r="F184" s="75"/>
      <c r="G184" s="76"/>
      <c r="H184" s="76"/>
      <c r="I184" s="48"/>
      <c r="J184" s="70"/>
      <c r="K184" s="70"/>
      <c r="L184" s="189" t="s">
        <v>49</v>
      </c>
      <c r="M184" s="190" t="s">
        <v>74</v>
      </c>
      <c r="N184" s="189" t="s">
        <v>34</v>
      </c>
      <c r="O184" s="191">
        <v>17</v>
      </c>
      <c r="P184" s="192">
        <v>133.33000000000001</v>
      </c>
      <c r="Q184" s="244">
        <v>2266.61</v>
      </c>
      <c r="R184" s="182"/>
      <c r="U184" s="128"/>
    </row>
    <row r="185" spans="1:21" ht="15.6" x14ac:dyDescent="0.3">
      <c r="A185" s="53"/>
      <c r="B185" s="54"/>
      <c r="C185" s="54"/>
      <c r="D185" s="54"/>
      <c r="E185" s="55"/>
      <c r="F185" s="75"/>
      <c r="G185" s="76"/>
      <c r="H185" s="76"/>
      <c r="I185" s="48"/>
      <c r="J185" s="70"/>
      <c r="K185" s="70"/>
      <c r="L185" s="189" t="s">
        <v>967</v>
      </c>
      <c r="M185" s="190" t="s">
        <v>1056</v>
      </c>
      <c r="N185" s="189" t="s">
        <v>34</v>
      </c>
      <c r="O185" s="191">
        <v>3</v>
      </c>
      <c r="P185" s="192">
        <v>0.43</v>
      </c>
      <c r="Q185" s="192">
        <v>1.29</v>
      </c>
      <c r="R185" s="182"/>
      <c r="U185" s="128"/>
    </row>
    <row r="186" spans="1:21" ht="15.6" x14ac:dyDescent="0.3">
      <c r="A186" s="53"/>
      <c r="B186" s="54"/>
      <c r="C186" s="54"/>
      <c r="D186" s="54"/>
      <c r="E186" s="55"/>
      <c r="F186" s="75"/>
      <c r="G186" s="76"/>
      <c r="H186" s="76"/>
      <c r="I186" s="48"/>
      <c r="J186" s="70"/>
      <c r="K186" s="70"/>
      <c r="L186" s="189" t="s">
        <v>968</v>
      </c>
      <c r="M186" s="190" t="s">
        <v>756</v>
      </c>
      <c r="N186" s="189" t="s">
        <v>34</v>
      </c>
      <c r="O186" s="191">
        <v>250</v>
      </c>
      <c r="P186" s="192">
        <v>0.94</v>
      </c>
      <c r="Q186" s="192">
        <v>235</v>
      </c>
      <c r="R186" s="182"/>
      <c r="U186" s="128"/>
    </row>
    <row r="187" spans="1:21" ht="15.6" x14ac:dyDescent="0.3">
      <c r="A187" s="53"/>
      <c r="B187" s="54"/>
      <c r="C187" s="54"/>
      <c r="D187" s="54"/>
      <c r="E187" s="55"/>
      <c r="F187" s="75"/>
      <c r="G187" s="76"/>
      <c r="H187" s="76"/>
      <c r="I187" s="48"/>
      <c r="J187" s="70"/>
      <c r="K187" s="70"/>
      <c r="L187" s="189" t="s">
        <v>969</v>
      </c>
      <c r="M187" s="190" t="s">
        <v>75</v>
      </c>
      <c r="N187" s="189" t="s">
        <v>34</v>
      </c>
      <c r="O187" s="191">
        <v>12</v>
      </c>
      <c r="P187" s="192">
        <v>1.8</v>
      </c>
      <c r="Q187" s="192">
        <v>21.56</v>
      </c>
      <c r="R187" s="182"/>
      <c r="U187" s="128"/>
    </row>
    <row r="188" spans="1:21" ht="15.6" x14ac:dyDescent="0.3">
      <c r="A188" s="53"/>
      <c r="B188" s="54"/>
      <c r="C188" s="54"/>
      <c r="D188" s="54"/>
      <c r="E188" s="55"/>
      <c r="F188" s="75"/>
      <c r="G188" s="76"/>
      <c r="H188" s="76"/>
      <c r="I188" s="48"/>
      <c r="J188" s="70"/>
      <c r="K188" s="70"/>
      <c r="L188" s="189" t="s">
        <v>1122</v>
      </c>
      <c r="M188" s="190" t="s">
        <v>1208</v>
      </c>
      <c r="N188" s="189" t="s">
        <v>34</v>
      </c>
      <c r="O188" s="191">
        <v>1</v>
      </c>
      <c r="P188" s="192">
        <v>212</v>
      </c>
      <c r="Q188" s="192">
        <v>212</v>
      </c>
      <c r="R188" s="182"/>
      <c r="U188" s="128"/>
    </row>
    <row r="189" spans="1:21" ht="15.6" x14ac:dyDescent="0.3">
      <c r="A189" s="53"/>
      <c r="B189" s="54"/>
      <c r="C189" s="54"/>
      <c r="D189" s="54"/>
      <c r="E189" s="55"/>
      <c r="F189" s="75"/>
      <c r="G189" s="76"/>
      <c r="H189" s="76"/>
      <c r="I189" s="48"/>
      <c r="J189" s="70"/>
      <c r="K189" s="70"/>
      <c r="L189" s="189" t="s">
        <v>757</v>
      </c>
      <c r="M189" s="190" t="s">
        <v>758</v>
      </c>
      <c r="N189" s="189" t="s">
        <v>34</v>
      </c>
      <c r="O189" s="191">
        <v>0.2</v>
      </c>
      <c r="P189" s="244">
        <v>2803</v>
      </c>
      <c r="Q189" s="192">
        <v>560.6</v>
      </c>
      <c r="R189" s="182"/>
      <c r="U189" s="128"/>
    </row>
    <row r="190" spans="1:21" ht="15.6" x14ac:dyDescent="0.3">
      <c r="A190" s="53"/>
      <c r="B190" s="54"/>
      <c r="C190" s="54"/>
      <c r="D190" s="54"/>
      <c r="E190" s="55"/>
      <c r="F190" s="75"/>
      <c r="G190" s="76"/>
      <c r="H190" s="76"/>
      <c r="I190" s="48"/>
      <c r="J190" s="70"/>
      <c r="K190" s="70"/>
      <c r="L190" s="189" t="s">
        <v>1124</v>
      </c>
      <c r="M190" s="190" t="s">
        <v>1210</v>
      </c>
      <c r="N190" s="189" t="s">
        <v>34</v>
      </c>
      <c r="O190" s="191">
        <v>1</v>
      </c>
      <c r="P190" s="192">
        <v>108.49</v>
      </c>
      <c r="Q190" s="192">
        <v>108.49</v>
      </c>
      <c r="R190" s="182"/>
      <c r="U190" s="128"/>
    </row>
    <row r="191" spans="1:21" ht="15.6" x14ac:dyDescent="0.3">
      <c r="A191" s="53"/>
      <c r="B191" s="54"/>
      <c r="C191" s="54"/>
      <c r="D191" s="54"/>
      <c r="E191" s="55"/>
      <c r="F191" s="75"/>
      <c r="G191" s="76"/>
      <c r="H191" s="76"/>
      <c r="I191" s="48"/>
      <c r="J191" s="70"/>
      <c r="K191" s="70"/>
      <c r="L191" s="189" t="s">
        <v>970</v>
      </c>
      <c r="M191" s="190" t="s">
        <v>294</v>
      </c>
      <c r="N191" s="189" t="s">
        <v>34</v>
      </c>
      <c r="O191" s="191">
        <v>4</v>
      </c>
      <c r="P191" s="192">
        <v>92.88</v>
      </c>
      <c r="Q191" s="192">
        <v>371.5</v>
      </c>
      <c r="R191" s="182"/>
      <c r="U191" s="128"/>
    </row>
    <row r="192" spans="1:21" ht="15.6" x14ac:dyDescent="0.3">
      <c r="A192" s="53"/>
      <c r="B192" s="54"/>
      <c r="C192" s="54"/>
      <c r="D192" s="54"/>
      <c r="E192" s="55"/>
      <c r="F192" s="75"/>
      <c r="G192" s="76"/>
      <c r="H192" s="76"/>
      <c r="I192" s="48"/>
      <c r="J192" s="70"/>
      <c r="K192" s="70"/>
      <c r="L192" s="189" t="s">
        <v>971</v>
      </c>
      <c r="M192" s="190" t="s">
        <v>296</v>
      </c>
      <c r="N192" s="189" t="s">
        <v>34</v>
      </c>
      <c r="O192" s="191">
        <v>3</v>
      </c>
      <c r="P192" s="192">
        <v>67</v>
      </c>
      <c r="Q192" s="192">
        <v>201</v>
      </c>
      <c r="R192" s="182"/>
      <c r="U192" s="128"/>
    </row>
    <row r="193" spans="1:21" ht="15.6" x14ac:dyDescent="0.3">
      <c r="A193" s="53"/>
      <c r="B193" s="54"/>
      <c r="C193" s="54"/>
      <c r="D193" s="54"/>
      <c r="E193" s="55"/>
      <c r="F193" s="75"/>
      <c r="G193" s="76"/>
      <c r="H193" s="76"/>
      <c r="I193" s="48"/>
      <c r="J193" s="70"/>
      <c r="K193" s="70"/>
      <c r="L193" s="189" t="s">
        <v>972</v>
      </c>
      <c r="M193" s="190" t="s">
        <v>297</v>
      </c>
      <c r="N193" s="189" t="s">
        <v>34</v>
      </c>
      <c r="O193" s="191">
        <v>1</v>
      </c>
      <c r="P193" s="192">
        <v>167</v>
      </c>
      <c r="Q193" s="192">
        <v>167</v>
      </c>
      <c r="R193" s="182"/>
      <c r="U193" s="128"/>
    </row>
    <row r="194" spans="1:21" ht="15.6" x14ac:dyDescent="0.3">
      <c r="A194" s="53"/>
      <c r="B194" s="54"/>
      <c r="C194" s="54"/>
      <c r="D194" s="54"/>
      <c r="E194" s="55"/>
      <c r="F194" s="75"/>
      <c r="G194" s="76"/>
      <c r="H194" s="76"/>
      <c r="I194" s="48"/>
      <c r="J194" s="70"/>
      <c r="K194" s="70"/>
      <c r="L194" s="189" t="s">
        <v>1125</v>
      </c>
      <c r="M194" s="190" t="s">
        <v>1211</v>
      </c>
      <c r="N194" s="189" t="s">
        <v>34</v>
      </c>
      <c r="O194" s="191">
        <v>1</v>
      </c>
      <c r="P194" s="192">
        <v>106.25</v>
      </c>
      <c r="Q194" s="192">
        <v>106.25</v>
      </c>
      <c r="R194" s="182"/>
      <c r="U194" s="128"/>
    </row>
    <row r="195" spans="1:21" ht="15.6" x14ac:dyDescent="0.3">
      <c r="A195" s="53"/>
      <c r="B195" s="54"/>
      <c r="C195" s="54"/>
      <c r="D195" s="54"/>
      <c r="E195" s="55"/>
      <c r="F195" s="75"/>
      <c r="G195" s="76"/>
      <c r="H195" s="76"/>
      <c r="I195" s="48"/>
      <c r="J195" s="70"/>
      <c r="K195" s="70"/>
      <c r="L195" s="189" t="s">
        <v>1126</v>
      </c>
      <c r="M195" s="190" t="s">
        <v>1212</v>
      </c>
      <c r="N195" s="189" t="s">
        <v>34</v>
      </c>
      <c r="O195" s="191">
        <v>1</v>
      </c>
      <c r="P195" s="192">
        <v>298</v>
      </c>
      <c r="Q195" s="192">
        <v>298</v>
      </c>
      <c r="R195" s="182"/>
      <c r="U195" s="128"/>
    </row>
    <row r="196" spans="1:21" ht="15.6" x14ac:dyDescent="0.3">
      <c r="A196" s="53"/>
      <c r="B196" s="54"/>
      <c r="C196" s="54"/>
      <c r="D196" s="54"/>
      <c r="E196" s="55"/>
      <c r="F196" s="75"/>
      <c r="G196" s="76"/>
      <c r="H196" s="76"/>
      <c r="I196" s="48"/>
      <c r="J196" s="70"/>
      <c r="K196" s="70"/>
      <c r="L196" s="189" t="s">
        <v>298</v>
      </c>
      <c r="M196" s="190" t="s">
        <v>299</v>
      </c>
      <c r="N196" s="189" t="s">
        <v>34</v>
      </c>
      <c r="O196" s="191">
        <v>5</v>
      </c>
      <c r="P196" s="192">
        <v>205.62</v>
      </c>
      <c r="Q196" s="244">
        <v>1028.1199999999999</v>
      </c>
      <c r="R196" s="182"/>
      <c r="U196" s="128"/>
    </row>
    <row r="197" spans="1:21" ht="15.6" x14ac:dyDescent="0.3">
      <c r="A197" s="53"/>
      <c r="B197" s="54"/>
      <c r="C197" s="54"/>
      <c r="D197" s="54"/>
      <c r="E197" s="55"/>
      <c r="F197" s="75"/>
      <c r="G197" s="76"/>
      <c r="H197" s="76"/>
      <c r="I197" s="48"/>
      <c r="J197" s="70"/>
      <c r="K197" s="70"/>
      <c r="L197" s="189" t="s">
        <v>896</v>
      </c>
      <c r="M197" s="190" t="s">
        <v>897</v>
      </c>
      <c r="N197" s="189" t="s">
        <v>34</v>
      </c>
      <c r="O197" s="191">
        <v>1.3</v>
      </c>
      <c r="P197" s="192">
        <v>489</v>
      </c>
      <c r="Q197" s="192">
        <v>635.70000000000005</v>
      </c>
      <c r="R197" s="182"/>
      <c r="U197" s="128"/>
    </row>
    <row r="198" spans="1:21" ht="15.6" x14ac:dyDescent="0.3">
      <c r="A198" s="53"/>
      <c r="B198" s="54"/>
      <c r="C198" s="54"/>
      <c r="D198" s="54"/>
      <c r="E198" s="55"/>
      <c r="F198" s="75"/>
      <c r="G198" s="76"/>
      <c r="H198" s="76"/>
      <c r="I198" s="48"/>
      <c r="J198" s="70"/>
      <c r="K198" s="70"/>
      <c r="L198" s="189" t="s">
        <v>1128</v>
      </c>
      <c r="M198" s="190" t="s">
        <v>1214</v>
      </c>
      <c r="N198" s="189" t="s">
        <v>34</v>
      </c>
      <c r="O198" s="191">
        <v>1</v>
      </c>
      <c r="P198" s="192">
        <v>464.55</v>
      </c>
      <c r="Q198" s="192">
        <v>464.55</v>
      </c>
      <c r="R198" s="182"/>
      <c r="U198" s="128"/>
    </row>
    <row r="199" spans="1:21" ht="15.6" x14ac:dyDescent="0.3">
      <c r="A199" s="53"/>
      <c r="B199" s="54"/>
      <c r="C199" s="54"/>
      <c r="D199" s="54"/>
      <c r="E199" s="55"/>
      <c r="F199" s="75"/>
      <c r="G199" s="76"/>
      <c r="H199" s="76"/>
      <c r="I199" s="48"/>
      <c r="J199" s="70"/>
      <c r="K199" s="70"/>
      <c r="L199" s="189" t="s">
        <v>1129</v>
      </c>
      <c r="M199" s="190" t="s">
        <v>1215</v>
      </c>
      <c r="N199" s="189" t="s">
        <v>34</v>
      </c>
      <c r="O199" s="191">
        <v>1</v>
      </c>
      <c r="P199" s="192">
        <v>489</v>
      </c>
      <c r="Q199" s="192">
        <v>489</v>
      </c>
      <c r="R199" s="182"/>
      <c r="U199" s="128"/>
    </row>
    <row r="200" spans="1:21" ht="15.6" x14ac:dyDescent="0.3">
      <c r="A200" s="53"/>
      <c r="B200" s="54"/>
      <c r="C200" s="54"/>
      <c r="D200" s="54"/>
      <c r="E200" s="55"/>
      <c r="F200" s="75"/>
      <c r="G200" s="76"/>
      <c r="H200" s="76"/>
      <c r="I200" s="48"/>
      <c r="J200" s="70"/>
      <c r="K200" s="70"/>
      <c r="L200" s="189" t="s">
        <v>1131</v>
      </c>
      <c r="M200" s="190" t="s">
        <v>1217</v>
      </c>
      <c r="N200" s="189" t="s">
        <v>34</v>
      </c>
      <c r="O200" s="191">
        <v>1</v>
      </c>
      <c r="P200" s="244">
        <v>2217.4499999999998</v>
      </c>
      <c r="Q200" s="244">
        <v>2217.4499999999998</v>
      </c>
      <c r="R200" s="182"/>
      <c r="U200" s="128"/>
    </row>
    <row r="201" spans="1:21" ht="15.6" x14ac:dyDescent="0.3">
      <c r="A201" s="53"/>
      <c r="B201" s="54"/>
      <c r="C201" s="54"/>
      <c r="D201" s="54"/>
      <c r="E201" s="55"/>
      <c r="F201" s="75"/>
      <c r="G201" s="76"/>
      <c r="H201" s="76"/>
      <c r="I201" s="48"/>
      <c r="J201" s="70"/>
      <c r="K201" s="70"/>
      <c r="L201" s="189" t="s">
        <v>1132</v>
      </c>
      <c r="M201" s="190" t="s">
        <v>1218</v>
      </c>
      <c r="N201" s="189" t="s">
        <v>34</v>
      </c>
      <c r="O201" s="191">
        <v>2</v>
      </c>
      <c r="P201" s="244">
        <v>2320.63</v>
      </c>
      <c r="Q201" s="244">
        <v>4641.25</v>
      </c>
      <c r="R201" s="182"/>
      <c r="U201" s="128"/>
    </row>
    <row r="202" spans="1:21" ht="15.6" x14ac:dyDescent="0.3">
      <c r="A202" s="53"/>
      <c r="B202" s="54"/>
      <c r="C202" s="54"/>
      <c r="D202" s="54"/>
      <c r="E202" s="55"/>
      <c r="F202" s="75"/>
      <c r="G202" s="76"/>
      <c r="H202" s="76"/>
      <c r="I202" s="48"/>
      <c r="J202" s="70"/>
      <c r="K202" s="70"/>
      <c r="L202" s="189" t="s">
        <v>304</v>
      </c>
      <c r="M202" s="190" t="s">
        <v>305</v>
      </c>
      <c r="N202" s="189" t="s">
        <v>34</v>
      </c>
      <c r="O202" s="191">
        <v>7</v>
      </c>
      <c r="P202" s="192">
        <v>63.7</v>
      </c>
      <c r="Q202" s="192">
        <v>445.9</v>
      </c>
      <c r="R202" s="182"/>
      <c r="U202" s="128"/>
    </row>
    <row r="203" spans="1:21" ht="15.6" x14ac:dyDescent="0.3">
      <c r="A203" s="53"/>
      <c r="B203" s="54"/>
      <c r="C203" s="54"/>
      <c r="D203" s="54"/>
      <c r="E203" s="55"/>
      <c r="F203" s="75"/>
      <c r="G203" s="76"/>
      <c r="H203" s="76"/>
      <c r="I203" s="48"/>
      <c r="J203" s="70"/>
      <c r="K203" s="70"/>
      <c r="L203" s="189" t="s">
        <v>761</v>
      </c>
      <c r="M203" s="190" t="s">
        <v>762</v>
      </c>
      <c r="N203" s="189" t="s">
        <v>34</v>
      </c>
      <c r="O203" s="191">
        <v>19</v>
      </c>
      <c r="P203" s="192">
        <v>77.22</v>
      </c>
      <c r="Q203" s="244">
        <v>1467.17</v>
      </c>
      <c r="R203" s="182"/>
      <c r="U203" s="128"/>
    </row>
    <row r="204" spans="1:21" ht="15.6" x14ac:dyDescent="0.3">
      <c r="A204" s="53"/>
      <c r="B204" s="54"/>
      <c r="C204" s="54"/>
      <c r="D204" s="54"/>
      <c r="E204" s="55"/>
      <c r="F204" s="75"/>
      <c r="G204" s="76"/>
      <c r="H204" s="76"/>
      <c r="I204" s="48"/>
      <c r="J204" s="70"/>
      <c r="K204" s="70"/>
      <c r="L204" s="189" t="s">
        <v>975</v>
      </c>
      <c r="M204" s="190" t="s">
        <v>763</v>
      </c>
      <c r="N204" s="189" t="s">
        <v>34</v>
      </c>
      <c r="O204" s="191">
        <v>8</v>
      </c>
      <c r="P204" s="192">
        <v>128.69</v>
      </c>
      <c r="Q204" s="244">
        <v>1029.52</v>
      </c>
      <c r="R204" s="182"/>
      <c r="U204" s="128"/>
    </row>
    <row r="205" spans="1:21" ht="15.6" x14ac:dyDescent="0.3">
      <c r="A205" s="53"/>
      <c r="B205" s="54"/>
      <c r="C205" s="54"/>
      <c r="D205" s="54"/>
      <c r="E205" s="55"/>
      <c r="F205" s="75"/>
      <c r="G205" s="76"/>
      <c r="H205" s="76"/>
      <c r="I205" s="48"/>
      <c r="J205" s="70"/>
      <c r="K205" s="70"/>
      <c r="L205" s="189" t="s">
        <v>869</v>
      </c>
      <c r="M205" s="190" t="s">
        <v>898</v>
      </c>
      <c r="N205" s="189" t="s">
        <v>34</v>
      </c>
      <c r="O205" s="191">
        <v>1</v>
      </c>
      <c r="P205" s="192">
        <v>728.71</v>
      </c>
      <c r="Q205" s="192">
        <v>728.71</v>
      </c>
      <c r="R205" s="182"/>
      <c r="U205" s="128"/>
    </row>
    <row r="206" spans="1:21" ht="15.6" x14ac:dyDescent="0.3">
      <c r="A206" s="53"/>
      <c r="B206" s="54"/>
      <c r="C206" s="54"/>
      <c r="D206" s="54"/>
      <c r="E206" s="55"/>
      <c r="F206" s="75"/>
      <c r="G206" s="76"/>
      <c r="H206" s="76"/>
      <c r="I206" s="48"/>
      <c r="J206" s="70"/>
      <c r="K206" s="70"/>
      <c r="L206" s="189" t="s">
        <v>870</v>
      </c>
      <c r="M206" s="190" t="s">
        <v>899</v>
      </c>
      <c r="N206" s="189" t="s">
        <v>34</v>
      </c>
      <c r="O206" s="191">
        <v>1</v>
      </c>
      <c r="P206" s="244">
        <v>1816.27</v>
      </c>
      <c r="Q206" s="244">
        <v>1816.27</v>
      </c>
      <c r="R206" s="182"/>
      <c r="U206" s="128"/>
    </row>
    <row r="207" spans="1:21" ht="15.6" x14ac:dyDescent="0.3">
      <c r="A207" s="53"/>
      <c r="B207" s="54"/>
      <c r="C207" s="54"/>
      <c r="D207" s="54"/>
      <c r="E207" s="55"/>
      <c r="F207" s="75"/>
      <c r="G207" s="76"/>
      <c r="H207" s="76"/>
      <c r="I207" s="48"/>
      <c r="J207" s="70"/>
      <c r="K207" s="70"/>
      <c r="L207" s="189" t="s">
        <v>900</v>
      </c>
      <c r="M207" s="190" t="s">
        <v>901</v>
      </c>
      <c r="N207" s="189" t="s">
        <v>34</v>
      </c>
      <c r="O207" s="191">
        <v>1</v>
      </c>
      <c r="P207" s="192">
        <v>64</v>
      </c>
      <c r="Q207" s="192">
        <v>64</v>
      </c>
      <c r="R207" s="182"/>
      <c r="U207" s="128"/>
    </row>
    <row r="208" spans="1:21" ht="15.6" x14ac:dyDescent="0.3">
      <c r="A208" s="53"/>
      <c r="B208" s="54"/>
      <c r="C208" s="54"/>
      <c r="D208" s="54"/>
      <c r="E208" s="55"/>
      <c r="F208" s="75"/>
      <c r="G208" s="76"/>
      <c r="H208" s="76"/>
      <c r="I208" s="48"/>
      <c r="J208" s="70"/>
      <c r="K208" s="70"/>
      <c r="L208" s="189" t="s">
        <v>864</v>
      </c>
      <c r="M208" s="190" t="s">
        <v>929</v>
      </c>
      <c r="N208" s="189" t="s">
        <v>34</v>
      </c>
      <c r="O208" s="191">
        <v>4</v>
      </c>
      <c r="P208" s="244">
        <v>2466.88</v>
      </c>
      <c r="Q208" s="244">
        <v>9867.5</v>
      </c>
      <c r="R208" s="182"/>
      <c r="U208" s="128"/>
    </row>
    <row r="209" spans="1:21" ht="15.6" x14ac:dyDescent="0.3">
      <c r="A209" s="53"/>
      <c r="B209" s="54"/>
      <c r="C209" s="54"/>
      <c r="D209" s="54"/>
      <c r="E209" s="55"/>
      <c r="F209" s="75"/>
      <c r="G209" s="76"/>
      <c r="H209" s="76"/>
      <c r="I209" s="48"/>
      <c r="J209" s="70"/>
      <c r="K209" s="70"/>
      <c r="L209" s="189" t="s">
        <v>860</v>
      </c>
      <c r="M209" s="190" t="s">
        <v>922</v>
      </c>
      <c r="N209" s="189" t="s">
        <v>34</v>
      </c>
      <c r="O209" s="191">
        <v>1</v>
      </c>
      <c r="P209" s="244">
        <v>9165.83</v>
      </c>
      <c r="Q209" s="244">
        <v>9165.83</v>
      </c>
      <c r="R209" s="182"/>
      <c r="U209" s="128"/>
    </row>
    <row r="210" spans="1:21" ht="15.6" x14ac:dyDescent="0.3">
      <c r="A210" s="53"/>
      <c r="B210" s="54"/>
      <c r="C210" s="54"/>
      <c r="D210" s="54"/>
      <c r="E210" s="55"/>
      <c r="F210" s="75"/>
      <c r="G210" s="76"/>
      <c r="H210" s="76"/>
      <c r="I210" s="48"/>
      <c r="J210" s="70"/>
      <c r="K210" s="70"/>
      <c r="L210" s="189" t="s">
        <v>974</v>
      </c>
      <c r="M210" s="190" t="s">
        <v>760</v>
      </c>
      <c r="N210" s="189" t="s">
        <v>34</v>
      </c>
      <c r="O210" s="191">
        <v>4</v>
      </c>
      <c r="P210" s="244">
        <v>2264.63</v>
      </c>
      <c r="Q210" s="244">
        <v>9058.52</v>
      </c>
      <c r="R210" s="182"/>
      <c r="U210" s="128"/>
    </row>
    <row r="211" spans="1:21" ht="15.6" x14ac:dyDescent="0.3">
      <c r="A211" s="53"/>
      <c r="B211" s="54"/>
      <c r="C211" s="54"/>
      <c r="D211" s="54"/>
      <c r="E211" s="55"/>
      <c r="F211" s="75"/>
      <c r="G211" s="76"/>
      <c r="H211" s="76"/>
      <c r="I211" s="48"/>
      <c r="J211" s="70"/>
      <c r="K211" s="70"/>
      <c r="L211" s="189" t="s">
        <v>863</v>
      </c>
      <c r="M211" s="190" t="s">
        <v>926</v>
      </c>
      <c r="N211" s="189" t="s">
        <v>34</v>
      </c>
      <c r="O211" s="191">
        <v>1</v>
      </c>
      <c r="P211" s="244">
        <v>8590</v>
      </c>
      <c r="Q211" s="244">
        <v>8590</v>
      </c>
      <c r="R211" s="182"/>
      <c r="U211" s="128"/>
    </row>
    <row r="212" spans="1:21" ht="15.6" x14ac:dyDescent="0.3">
      <c r="A212" s="53"/>
      <c r="B212" s="54"/>
      <c r="C212" s="54"/>
      <c r="D212" s="54"/>
      <c r="E212" s="55"/>
      <c r="F212" s="75"/>
      <c r="G212" s="76"/>
      <c r="H212" s="76"/>
      <c r="I212" s="48"/>
      <c r="J212" s="70"/>
      <c r="K212" s="70"/>
      <c r="L212" s="189" t="s">
        <v>861</v>
      </c>
      <c r="M212" s="190" t="s">
        <v>917</v>
      </c>
      <c r="N212" s="189" t="s">
        <v>34</v>
      </c>
      <c r="O212" s="191">
        <v>1</v>
      </c>
      <c r="P212" s="244">
        <v>8250</v>
      </c>
      <c r="Q212" s="244">
        <v>8250</v>
      </c>
      <c r="R212" s="182"/>
      <c r="U212" s="128"/>
    </row>
    <row r="213" spans="1:21" ht="15.6" x14ac:dyDescent="0.3">
      <c r="A213" s="53"/>
      <c r="B213" s="54"/>
      <c r="C213" s="54"/>
      <c r="D213" s="54"/>
      <c r="E213" s="55"/>
      <c r="F213" s="75"/>
      <c r="G213" s="76"/>
      <c r="H213" s="76"/>
      <c r="I213" s="48"/>
      <c r="J213" s="70"/>
      <c r="K213" s="70"/>
      <c r="L213" s="189" t="s">
        <v>866</v>
      </c>
      <c r="M213" s="190" t="s">
        <v>919</v>
      </c>
      <c r="N213" s="189" t="s">
        <v>34</v>
      </c>
      <c r="O213" s="191">
        <v>2</v>
      </c>
      <c r="P213" s="244">
        <v>2690</v>
      </c>
      <c r="Q213" s="244">
        <v>5380</v>
      </c>
      <c r="R213" s="182"/>
      <c r="U213" s="128"/>
    </row>
    <row r="214" spans="1:21" ht="15.6" x14ac:dyDescent="0.3">
      <c r="A214" s="53"/>
      <c r="B214" s="54"/>
      <c r="C214" s="54"/>
      <c r="D214" s="54"/>
      <c r="E214" s="55"/>
      <c r="F214" s="75"/>
      <c r="G214" s="76"/>
      <c r="H214" s="76"/>
      <c r="I214" s="48"/>
      <c r="J214" s="70"/>
      <c r="K214" s="70"/>
      <c r="L214" s="189" t="s">
        <v>782</v>
      </c>
      <c r="M214" s="190" t="s">
        <v>783</v>
      </c>
      <c r="N214" s="189" t="s">
        <v>34</v>
      </c>
      <c r="O214" s="191">
        <v>2</v>
      </c>
      <c r="P214" s="244">
        <v>2458.33</v>
      </c>
      <c r="Q214" s="244">
        <v>4916.66</v>
      </c>
      <c r="R214" s="182"/>
      <c r="U214" s="128"/>
    </row>
    <row r="215" spans="1:21" ht="15.6" x14ac:dyDescent="0.3">
      <c r="A215" s="53"/>
      <c r="B215" s="54"/>
      <c r="C215" s="54"/>
      <c r="D215" s="54"/>
      <c r="E215" s="55"/>
      <c r="F215" s="75"/>
      <c r="G215" s="76"/>
      <c r="H215" s="76"/>
      <c r="I215" s="48"/>
      <c r="J215" s="70"/>
      <c r="K215" s="70"/>
      <c r="L215" s="189" t="s">
        <v>754</v>
      </c>
      <c r="M215" s="190" t="s">
        <v>755</v>
      </c>
      <c r="N215" s="189" t="s">
        <v>34</v>
      </c>
      <c r="O215" s="191">
        <v>1</v>
      </c>
      <c r="P215" s="244">
        <v>7256.83</v>
      </c>
      <c r="Q215" s="244">
        <v>7256.83</v>
      </c>
      <c r="R215" s="182"/>
      <c r="U215" s="128"/>
    </row>
    <row r="216" spans="1:21" ht="15.6" x14ac:dyDescent="0.3">
      <c r="A216" s="53"/>
      <c r="B216" s="54"/>
      <c r="C216" s="54"/>
      <c r="D216" s="54"/>
      <c r="E216" s="55"/>
      <c r="F216" s="75"/>
      <c r="G216" s="76"/>
      <c r="H216" s="76"/>
      <c r="I216" s="48"/>
      <c r="J216" s="70"/>
      <c r="K216" s="70"/>
      <c r="L216" s="189" t="s">
        <v>995</v>
      </c>
      <c r="M216" s="190" t="s">
        <v>1067</v>
      </c>
      <c r="N216" s="189" t="s">
        <v>34</v>
      </c>
      <c r="O216" s="191">
        <v>1</v>
      </c>
      <c r="P216" s="244">
        <v>7750</v>
      </c>
      <c r="Q216" s="244">
        <v>7750</v>
      </c>
      <c r="R216" s="182"/>
      <c r="U216" s="128"/>
    </row>
    <row r="217" spans="1:21" ht="15.6" x14ac:dyDescent="0.3">
      <c r="A217" s="53"/>
      <c r="B217" s="54"/>
      <c r="C217" s="54"/>
      <c r="D217" s="54"/>
      <c r="E217" s="55"/>
      <c r="F217" s="75"/>
      <c r="G217" s="76"/>
      <c r="H217" s="76"/>
      <c r="I217" s="48"/>
      <c r="J217" s="70"/>
      <c r="K217" s="70"/>
      <c r="L217" s="189" t="s">
        <v>994</v>
      </c>
      <c r="M217" s="190" t="s">
        <v>1066</v>
      </c>
      <c r="N217" s="189" t="s">
        <v>34</v>
      </c>
      <c r="O217" s="191">
        <v>1</v>
      </c>
      <c r="P217" s="244">
        <v>7750</v>
      </c>
      <c r="Q217" s="244">
        <v>7750</v>
      </c>
      <c r="R217" s="182"/>
      <c r="U217" s="128"/>
    </row>
    <row r="218" spans="1:21" ht="15.6" x14ac:dyDescent="0.3">
      <c r="A218" s="53"/>
      <c r="B218" s="54"/>
      <c r="C218" s="54"/>
      <c r="D218" s="54"/>
      <c r="E218" s="55"/>
      <c r="F218" s="75"/>
      <c r="G218" s="76"/>
      <c r="H218" s="76"/>
      <c r="I218" s="48"/>
      <c r="J218" s="70"/>
      <c r="K218" s="70"/>
      <c r="L218" s="189" t="s">
        <v>1093</v>
      </c>
      <c r="M218" s="190" t="s">
        <v>1097</v>
      </c>
      <c r="N218" s="189" t="s">
        <v>34</v>
      </c>
      <c r="O218" s="191">
        <v>1</v>
      </c>
      <c r="P218" s="244">
        <v>6116.67</v>
      </c>
      <c r="Q218" s="244">
        <v>6116.67</v>
      </c>
      <c r="R218" s="182"/>
      <c r="U218" s="128"/>
    </row>
    <row r="219" spans="1:21" ht="15.6" x14ac:dyDescent="0.3">
      <c r="A219" s="53"/>
      <c r="B219" s="54"/>
      <c r="C219" s="54"/>
      <c r="D219" s="54"/>
      <c r="E219" s="55"/>
      <c r="F219" s="75"/>
      <c r="G219" s="76"/>
      <c r="H219" s="76"/>
      <c r="I219" s="48"/>
      <c r="J219" s="70"/>
      <c r="K219" s="70"/>
      <c r="L219" s="189" t="s">
        <v>812</v>
      </c>
      <c r="M219" s="190" t="s">
        <v>813</v>
      </c>
      <c r="N219" s="189" t="s">
        <v>34</v>
      </c>
      <c r="O219" s="191">
        <v>1</v>
      </c>
      <c r="P219" s="244">
        <v>6500</v>
      </c>
      <c r="Q219" s="244">
        <v>6500</v>
      </c>
      <c r="R219" s="182"/>
      <c r="U219" s="128"/>
    </row>
    <row r="220" spans="1:21" ht="15.6" x14ac:dyDescent="0.3">
      <c r="A220" s="53"/>
      <c r="B220" s="54"/>
      <c r="C220" s="54"/>
      <c r="D220" s="54"/>
      <c r="E220" s="55"/>
      <c r="F220" s="75"/>
      <c r="G220" s="76"/>
      <c r="H220" s="76"/>
      <c r="I220" s="48"/>
      <c r="J220" s="70"/>
      <c r="K220" s="70"/>
      <c r="L220" s="189" t="s">
        <v>764</v>
      </c>
      <c r="M220" s="190" t="s">
        <v>765</v>
      </c>
      <c r="N220" s="189" t="s">
        <v>34</v>
      </c>
      <c r="O220" s="191">
        <v>14</v>
      </c>
      <c r="P220" s="192">
        <v>461.12</v>
      </c>
      <c r="Q220" s="244">
        <v>6455.68</v>
      </c>
      <c r="R220" s="182"/>
      <c r="U220" s="128"/>
    </row>
    <row r="221" spans="1:21" ht="15.6" x14ac:dyDescent="0.3">
      <c r="A221" s="53"/>
      <c r="B221" s="54"/>
      <c r="C221" s="54"/>
      <c r="D221" s="54"/>
      <c r="E221" s="55"/>
      <c r="F221" s="75"/>
      <c r="G221" s="76"/>
      <c r="H221" s="76"/>
      <c r="I221" s="48"/>
      <c r="J221" s="70"/>
      <c r="K221" s="70"/>
      <c r="L221" s="189" t="s">
        <v>973</v>
      </c>
      <c r="M221" s="190" t="s">
        <v>759</v>
      </c>
      <c r="N221" s="189" t="s">
        <v>34</v>
      </c>
      <c r="O221" s="191">
        <v>11</v>
      </c>
      <c r="P221" s="192">
        <v>569.29</v>
      </c>
      <c r="Q221" s="244">
        <v>6262.14</v>
      </c>
      <c r="R221" s="182"/>
      <c r="U221" s="128"/>
    </row>
    <row r="222" spans="1:21" ht="15.6" x14ac:dyDescent="0.3">
      <c r="A222" s="53"/>
      <c r="B222" s="54"/>
      <c r="C222" s="54"/>
      <c r="D222" s="54"/>
      <c r="E222" s="55"/>
      <c r="F222" s="75"/>
      <c r="G222" s="76"/>
      <c r="H222" s="76"/>
      <c r="I222" s="48"/>
      <c r="J222" s="70"/>
      <c r="K222" s="70"/>
      <c r="L222" s="189" t="s">
        <v>881</v>
      </c>
      <c r="M222" s="190" t="s">
        <v>1054</v>
      </c>
      <c r="N222" s="189" t="s">
        <v>34</v>
      </c>
      <c r="O222" s="191">
        <v>17</v>
      </c>
      <c r="P222" s="192">
        <v>282.42</v>
      </c>
      <c r="Q222" s="244">
        <v>4801.18</v>
      </c>
      <c r="R222" s="182"/>
      <c r="U222" s="128"/>
    </row>
    <row r="223" spans="1:21" ht="15.6" x14ac:dyDescent="0.3">
      <c r="A223" s="53"/>
      <c r="B223" s="54"/>
      <c r="C223" s="54"/>
      <c r="D223" s="54"/>
      <c r="E223" s="55"/>
      <c r="F223" s="75"/>
      <c r="G223" s="76"/>
      <c r="H223" s="76"/>
      <c r="I223" s="48"/>
      <c r="J223" s="70"/>
      <c r="K223" s="70"/>
      <c r="L223" s="189" t="s">
        <v>1130</v>
      </c>
      <c r="M223" s="190" t="s">
        <v>1216</v>
      </c>
      <c r="N223" s="189" t="s">
        <v>34</v>
      </c>
      <c r="O223" s="191">
        <v>1</v>
      </c>
      <c r="P223" s="244">
        <v>6063.89</v>
      </c>
      <c r="Q223" s="244">
        <v>6063.89</v>
      </c>
      <c r="R223" s="182"/>
      <c r="U223" s="128"/>
    </row>
    <row r="224" spans="1:21" ht="15.6" x14ac:dyDescent="0.3">
      <c r="A224" s="53"/>
      <c r="B224" s="54"/>
      <c r="C224" s="54"/>
      <c r="D224" s="54"/>
      <c r="E224" s="55"/>
      <c r="F224" s="75"/>
      <c r="G224" s="76"/>
      <c r="H224" s="76"/>
      <c r="I224" s="48"/>
      <c r="J224" s="70"/>
      <c r="K224" s="70"/>
      <c r="L224" s="189" t="s">
        <v>1123</v>
      </c>
      <c r="M224" s="190" t="s">
        <v>1209</v>
      </c>
      <c r="N224" s="189" t="s">
        <v>34</v>
      </c>
      <c r="O224" s="191">
        <v>1</v>
      </c>
      <c r="P224" s="192">
        <v>84.75</v>
      </c>
      <c r="Q224" s="192">
        <v>84.75</v>
      </c>
      <c r="R224" s="182"/>
      <c r="U224" s="128"/>
    </row>
    <row r="225" spans="1:21" ht="15.6" x14ac:dyDescent="0.3">
      <c r="A225" s="53"/>
      <c r="B225" s="54"/>
      <c r="C225" s="54"/>
      <c r="D225" s="54"/>
      <c r="E225" s="55"/>
      <c r="F225" s="75"/>
      <c r="G225" s="76"/>
      <c r="H225" s="76"/>
      <c r="I225" s="48"/>
      <c r="J225" s="70"/>
      <c r="K225" s="70"/>
      <c r="L225" s="189" t="s">
        <v>862</v>
      </c>
      <c r="M225" s="190" t="s">
        <v>1045</v>
      </c>
      <c r="N225" s="189" t="s">
        <v>34</v>
      </c>
      <c r="O225" s="191">
        <v>1</v>
      </c>
      <c r="P225" s="244">
        <v>14582.5</v>
      </c>
      <c r="Q225" s="244">
        <v>14582.5</v>
      </c>
      <c r="R225" s="182"/>
      <c r="U225" s="128"/>
    </row>
    <row r="226" spans="1:21" ht="15.6" x14ac:dyDescent="0.3">
      <c r="A226" s="53"/>
      <c r="B226" s="54"/>
      <c r="C226" s="54"/>
      <c r="D226" s="54"/>
      <c r="E226" s="55"/>
      <c r="F226" s="75"/>
      <c r="G226" s="76"/>
      <c r="H226" s="76"/>
      <c r="I226" s="48"/>
      <c r="J226" s="70"/>
      <c r="K226" s="70"/>
      <c r="L226" s="189" t="s">
        <v>1011</v>
      </c>
      <c r="M226" s="190" t="s">
        <v>815</v>
      </c>
      <c r="N226" s="189" t="s">
        <v>34</v>
      </c>
      <c r="O226" s="191">
        <v>14</v>
      </c>
      <c r="P226" s="192">
        <v>682.92</v>
      </c>
      <c r="Q226" s="244">
        <v>9560.86</v>
      </c>
      <c r="R226" s="182"/>
      <c r="U226" s="128"/>
    </row>
    <row r="227" spans="1:21" ht="15.6" x14ac:dyDescent="0.3">
      <c r="A227" s="53"/>
      <c r="B227" s="54"/>
      <c r="C227" s="54"/>
      <c r="D227" s="54"/>
      <c r="E227" s="55"/>
      <c r="F227" s="75"/>
      <c r="G227" s="76"/>
      <c r="H227" s="76"/>
      <c r="I227" s="48"/>
      <c r="J227" s="70"/>
      <c r="K227" s="70"/>
      <c r="L227" s="189" t="s">
        <v>979</v>
      </c>
      <c r="M227" s="190" t="s">
        <v>73</v>
      </c>
      <c r="N227" s="189" t="s">
        <v>34</v>
      </c>
      <c r="O227" s="191">
        <v>3</v>
      </c>
      <c r="P227" s="192">
        <v>377.87</v>
      </c>
      <c r="Q227" s="244">
        <v>1133.6199999999999</v>
      </c>
      <c r="R227" s="182"/>
      <c r="U227" s="128"/>
    </row>
    <row r="228" spans="1:21" ht="15.6" x14ac:dyDescent="0.3">
      <c r="A228" s="53"/>
      <c r="B228" s="54"/>
      <c r="C228" s="54"/>
      <c r="D228" s="54"/>
      <c r="E228" s="55"/>
      <c r="F228" s="75"/>
      <c r="G228" s="76"/>
      <c r="H228" s="76"/>
      <c r="I228" s="48"/>
      <c r="J228" s="70"/>
      <c r="K228" s="70"/>
      <c r="L228" s="189" t="s">
        <v>1137</v>
      </c>
      <c r="M228" s="190" t="s">
        <v>1224</v>
      </c>
      <c r="N228" s="189" t="s">
        <v>34</v>
      </c>
      <c r="O228" s="191">
        <v>1</v>
      </c>
      <c r="P228" s="192">
        <v>48</v>
      </c>
      <c r="Q228" s="192">
        <v>48</v>
      </c>
      <c r="R228" s="182"/>
      <c r="U228" s="128"/>
    </row>
    <row r="229" spans="1:21" ht="15.6" x14ac:dyDescent="0.3">
      <c r="A229" s="53"/>
      <c r="B229" s="54"/>
      <c r="C229" s="54"/>
      <c r="D229" s="54"/>
      <c r="E229" s="55"/>
      <c r="F229" s="75"/>
      <c r="G229" s="76"/>
      <c r="H229" s="76"/>
      <c r="I229" s="48"/>
      <c r="J229" s="70"/>
      <c r="K229" s="70"/>
      <c r="L229" s="189" t="s">
        <v>164</v>
      </c>
      <c r="M229" s="190" t="s">
        <v>165</v>
      </c>
      <c r="N229" s="189" t="s">
        <v>34</v>
      </c>
      <c r="O229" s="191">
        <v>1</v>
      </c>
      <c r="P229" s="192">
        <v>323.88</v>
      </c>
      <c r="Q229" s="192">
        <v>323.88</v>
      </c>
      <c r="R229" s="182"/>
      <c r="U229" s="128"/>
    </row>
    <row r="230" spans="1:21" ht="15.6" x14ac:dyDescent="0.3">
      <c r="A230" s="53"/>
      <c r="B230" s="54"/>
      <c r="C230" s="54"/>
      <c r="D230" s="54"/>
      <c r="E230" s="55"/>
      <c r="F230" s="75"/>
      <c r="G230" s="76"/>
      <c r="H230" s="76"/>
      <c r="I230" s="48"/>
      <c r="J230" s="70"/>
      <c r="K230" s="70"/>
      <c r="L230" s="189" t="s">
        <v>282</v>
      </c>
      <c r="M230" s="190" t="s">
        <v>283</v>
      </c>
      <c r="N230" s="189" t="s">
        <v>34</v>
      </c>
      <c r="O230" s="191">
        <v>1</v>
      </c>
      <c r="P230" s="192">
        <v>81.599999999999994</v>
      </c>
      <c r="Q230" s="192">
        <v>81.599999999999994</v>
      </c>
      <c r="R230" s="182"/>
      <c r="U230" s="128"/>
    </row>
    <row r="231" spans="1:21" ht="15.6" x14ac:dyDescent="0.3">
      <c r="A231" s="53"/>
      <c r="B231" s="54"/>
      <c r="C231" s="54"/>
      <c r="D231" s="54"/>
      <c r="E231" s="55"/>
      <c r="F231" s="75"/>
      <c r="G231" s="76"/>
      <c r="H231" s="76"/>
      <c r="I231" s="48"/>
      <c r="J231" s="70"/>
      <c r="K231" s="70"/>
      <c r="L231" s="189" t="s">
        <v>980</v>
      </c>
      <c r="M231" s="190" t="s">
        <v>284</v>
      </c>
      <c r="N231" s="189" t="s">
        <v>34</v>
      </c>
      <c r="O231" s="191">
        <v>3</v>
      </c>
      <c r="P231" s="192">
        <v>84.36</v>
      </c>
      <c r="Q231" s="192">
        <v>253.08</v>
      </c>
      <c r="R231" s="182"/>
      <c r="U231" s="128"/>
    </row>
    <row r="232" spans="1:21" ht="15.6" x14ac:dyDescent="0.3">
      <c r="A232" s="53"/>
      <c r="B232" s="54"/>
      <c r="C232" s="54"/>
      <c r="D232" s="54"/>
      <c r="E232" s="55"/>
      <c r="F232" s="75"/>
      <c r="G232" s="76"/>
      <c r="H232" s="76"/>
      <c r="I232" s="48"/>
      <c r="J232" s="70"/>
      <c r="K232" s="70"/>
      <c r="L232" s="189" t="s">
        <v>1092</v>
      </c>
      <c r="M232" s="190" t="s">
        <v>1096</v>
      </c>
      <c r="N232" s="189" t="s">
        <v>34</v>
      </c>
      <c r="O232" s="191">
        <v>1</v>
      </c>
      <c r="P232" s="192">
        <v>128.24</v>
      </c>
      <c r="Q232" s="192">
        <v>128.24</v>
      </c>
      <c r="R232" s="182"/>
      <c r="U232" s="128"/>
    </row>
    <row r="233" spans="1:21" ht="15.6" x14ac:dyDescent="0.3">
      <c r="A233" s="53"/>
      <c r="B233" s="54"/>
      <c r="C233" s="54"/>
      <c r="D233" s="54"/>
      <c r="E233" s="55"/>
      <c r="F233" s="75"/>
      <c r="G233" s="76"/>
      <c r="H233" s="76"/>
      <c r="I233" s="48"/>
      <c r="J233" s="70"/>
      <c r="K233" s="70"/>
      <c r="L233" s="189" t="s">
        <v>879</v>
      </c>
      <c r="M233" s="190" t="s">
        <v>880</v>
      </c>
      <c r="N233" s="189" t="s">
        <v>34</v>
      </c>
      <c r="O233" s="191">
        <v>1</v>
      </c>
      <c r="P233" s="244">
        <v>2999.17</v>
      </c>
      <c r="Q233" s="244">
        <v>2999.17</v>
      </c>
      <c r="R233" s="182"/>
      <c r="U233" s="128"/>
    </row>
    <row r="234" spans="1:21" ht="15.6" x14ac:dyDescent="0.3">
      <c r="A234" s="53"/>
      <c r="B234" s="54"/>
      <c r="C234" s="54"/>
      <c r="D234" s="54"/>
      <c r="E234" s="55"/>
      <c r="F234" s="75"/>
      <c r="G234" s="76"/>
      <c r="H234" s="76"/>
      <c r="I234" s="48"/>
      <c r="J234" s="70"/>
      <c r="K234" s="70"/>
      <c r="L234" s="189" t="s">
        <v>1138</v>
      </c>
      <c r="M234" s="190" t="s">
        <v>1225</v>
      </c>
      <c r="N234" s="189" t="s">
        <v>34</v>
      </c>
      <c r="O234" s="191">
        <v>2</v>
      </c>
      <c r="P234" s="192">
        <v>99.92</v>
      </c>
      <c r="Q234" s="192">
        <v>199.84</v>
      </c>
      <c r="R234" s="182"/>
      <c r="U234" s="128"/>
    </row>
    <row r="235" spans="1:21" ht="15.6" x14ac:dyDescent="0.3">
      <c r="A235" s="53"/>
      <c r="B235" s="54"/>
      <c r="C235" s="54"/>
      <c r="D235" s="54"/>
      <c r="E235" s="55"/>
      <c r="F235" s="75"/>
      <c r="G235" s="76"/>
      <c r="H235" s="76"/>
      <c r="I235" s="48"/>
      <c r="J235" s="70"/>
      <c r="K235" s="70"/>
      <c r="L235" s="189" t="s">
        <v>981</v>
      </c>
      <c r="M235" s="190" t="s">
        <v>285</v>
      </c>
      <c r="N235" s="189" t="s">
        <v>34</v>
      </c>
      <c r="O235" s="191">
        <v>1</v>
      </c>
      <c r="P235" s="192">
        <v>85.3</v>
      </c>
      <c r="Q235" s="192">
        <v>85.3</v>
      </c>
      <c r="R235" s="182"/>
      <c r="U235" s="128"/>
    </row>
    <row r="236" spans="1:21" ht="15.6" x14ac:dyDescent="0.3">
      <c r="A236" s="53"/>
      <c r="B236" s="54"/>
      <c r="C236" s="54"/>
      <c r="D236" s="54"/>
      <c r="E236" s="55"/>
      <c r="F236" s="75"/>
      <c r="G236" s="76"/>
      <c r="H236" s="76"/>
      <c r="I236" s="48"/>
      <c r="J236" s="70"/>
      <c r="K236" s="70"/>
      <c r="L236" s="189" t="s">
        <v>982</v>
      </c>
      <c r="M236" s="190" t="s">
        <v>751</v>
      </c>
      <c r="N236" s="189" t="s">
        <v>34</v>
      </c>
      <c r="O236" s="191">
        <v>3</v>
      </c>
      <c r="P236" s="192">
        <v>15.5</v>
      </c>
      <c r="Q236" s="192">
        <v>46.5</v>
      </c>
      <c r="R236" s="182"/>
      <c r="U236" s="128"/>
    </row>
    <row r="237" spans="1:21" ht="15.6" x14ac:dyDescent="0.3">
      <c r="A237" s="53"/>
      <c r="B237" s="54"/>
      <c r="C237" s="54"/>
      <c r="D237" s="54"/>
      <c r="E237" s="55"/>
      <c r="F237" s="75"/>
      <c r="G237" s="76"/>
      <c r="H237" s="76"/>
      <c r="I237" s="48"/>
      <c r="J237" s="70"/>
      <c r="K237" s="70"/>
      <c r="L237" s="189" t="s">
        <v>976</v>
      </c>
      <c r="M237" s="190" t="s">
        <v>163</v>
      </c>
      <c r="N237" s="189" t="s">
        <v>34</v>
      </c>
      <c r="O237" s="191">
        <v>1</v>
      </c>
      <c r="P237" s="192">
        <v>56.1</v>
      </c>
      <c r="Q237" s="192">
        <v>56.1</v>
      </c>
      <c r="R237" s="182"/>
      <c r="U237" s="128"/>
    </row>
    <row r="238" spans="1:21" ht="15.6" x14ac:dyDescent="0.3">
      <c r="A238" s="53"/>
      <c r="B238" s="54"/>
      <c r="C238" s="54"/>
      <c r="D238" s="54"/>
      <c r="E238" s="55"/>
      <c r="F238" s="75"/>
      <c r="G238" s="76"/>
      <c r="H238" s="76"/>
      <c r="I238" s="48"/>
      <c r="J238" s="70"/>
      <c r="K238" s="70"/>
      <c r="L238" s="189" t="s">
        <v>977</v>
      </c>
      <c r="M238" s="190" t="s">
        <v>1057</v>
      </c>
      <c r="N238" s="189" t="s">
        <v>34</v>
      </c>
      <c r="O238" s="191">
        <v>111</v>
      </c>
      <c r="P238" s="192">
        <v>3.94</v>
      </c>
      <c r="Q238" s="192">
        <v>437.34</v>
      </c>
      <c r="R238" s="182"/>
      <c r="U238" s="128"/>
    </row>
    <row r="239" spans="1:21" ht="15.6" x14ac:dyDescent="0.3">
      <c r="A239" s="53"/>
      <c r="B239" s="54"/>
      <c r="C239" s="54"/>
      <c r="D239" s="54"/>
      <c r="E239" s="55"/>
      <c r="F239" s="75"/>
      <c r="G239" s="76"/>
      <c r="H239" s="76"/>
      <c r="I239" s="48"/>
      <c r="J239" s="70"/>
      <c r="K239" s="70"/>
      <c r="L239" s="189" t="s">
        <v>978</v>
      </c>
      <c r="M239" s="190" t="s">
        <v>1058</v>
      </c>
      <c r="N239" s="189" t="s">
        <v>34</v>
      </c>
      <c r="O239" s="191">
        <v>190</v>
      </c>
      <c r="P239" s="192">
        <v>2.4300000000000002</v>
      </c>
      <c r="Q239" s="192">
        <v>461.7</v>
      </c>
      <c r="R239" s="182"/>
      <c r="U239" s="128"/>
    </row>
    <row r="240" spans="1:21" ht="15.6" x14ac:dyDescent="0.3">
      <c r="A240" s="53"/>
      <c r="B240" s="54"/>
      <c r="C240" s="54"/>
      <c r="D240" s="54"/>
      <c r="E240" s="55"/>
      <c r="F240" s="75"/>
      <c r="G240" s="76"/>
      <c r="H240" s="76"/>
      <c r="I240" s="48"/>
      <c r="J240" s="70"/>
      <c r="K240" s="70"/>
      <c r="L240" s="189" t="s">
        <v>736</v>
      </c>
      <c r="M240" s="190" t="s">
        <v>737</v>
      </c>
      <c r="N240" s="189" t="s">
        <v>34</v>
      </c>
      <c r="O240" s="191">
        <v>170</v>
      </c>
      <c r="P240" s="192">
        <v>3.94</v>
      </c>
      <c r="Q240" s="192">
        <v>669.8</v>
      </c>
      <c r="R240" s="182"/>
      <c r="U240" s="128"/>
    </row>
    <row r="241" spans="1:21" ht="15.6" x14ac:dyDescent="0.3">
      <c r="A241" s="53"/>
      <c r="B241" s="54"/>
      <c r="C241" s="54"/>
      <c r="D241" s="54"/>
      <c r="E241" s="55"/>
      <c r="F241" s="75"/>
      <c r="G241" s="76"/>
      <c r="H241" s="76"/>
      <c r="I241" s="48"/>
      <c r="J241" s="70"/>
      <c r="K241" s="70"/>
      <c r="L241" s="189" t="s">
        <v>738</v>
      </c>
      <c r="M241" s="190" t="s">
        <v>739</v>
      </c>
      <c r="N241" s="189" t="s">
        <v>34</v>
      </c>
      <c r="O241" s="191">
        <v>186</v>
      </c>
      <c r="P241" s="192">
        <v>5.39</v>
      </c>
      <c r="Q241" s="244">
        <v>1002.54</v>
      </c>
      <c r="R241" s="182"/>
      <c r="U241" s="128"/>
    </row>
    <row r="242" spans="1:21" ht="15.6" x14ac:dyDescent="0.3">
      <c r="A242" s="53"/>
      <c r="B242" s="54"/>
      <c r="C242" s="54"/>
      <c r="D242" s="54"/>
      <c r="E242" s="55"/>
      <c r="F242" s="75"/>
      <c r="G242" s="76"/>
      <c r="H242" s="76"/>
      <c r="I242" s="48"/>
      <c r="J242" s="70"/>
      <c r="K242" s="70"/>
      <c r="L242" s="189" t="s">
        <v>1136</v>
      </c>
      <c r="M242" s="190" t="s">
        <v>1223</v>
      </c>
      <c r="N242" s="189" t="s">
        <v>34</v>
      </c>
      <c r="O242" s="191">
        <v>0.13600000000000001</v>
      </c>
      <c r="P242" s="192">
        <v>152.5</v>
      </c>
      <c r="Q242" s="192">
        <v>20.74</v>
      </c>
      <c r="R242" s="182"/>
      <c r="U242" s="128"/>
    </row>
    <row r="243" spans="1:21" ht="15.6" x14ac:dyDescent="0.3">
      <c r="A243" s="53"/>
      <c r="B243" s="54"/>
      <c r="C243" s="54"/>
      <c r="D243" s="54"/>
      <c r="E243" s="55"/>
      <c r="F243" s="75"/>
      <c r="G243" s="76"/>
      <c r="H243" s="76"/>
      <c r="I243" s="48"/>
      <c r="J243" s="70"/>
      <c r="K243" s="70"/>
      <c r="L243" s="189" t="s">
        <v>271</v>
      </c>
      <c r="M243" s="190" t="s">
        <v>1059</v>
      </c>
      <c r="N243" s="189" t="s">
        <v>34</v>
      </c>
      <c r="O243" s="191">
        <v>4</v>
      </c>
      <c r="P243" s="192">
        <v>52.86</v>
      </c>
      <c r="Q243" s="192">
        <v>211.44</v>
      </c>
      <c r="R243" s="182"/>
      <c r="U243" s="128"/>
    </row>
    <row r="244" spans="1:21" ht="15.6" x14ac:dyDescent="0.3">
      <c r="A244" s="53"/>
      <c r="B244" s="54"/>
      <c r="C244" s="54"/>
      <c r="D244" s="54"/>
      <c r="E244" s="55"/>
      <c r="F244" s="75"/>
      <c r="G244" s="76"/>
      <c r="H244" s="76"/>
      <c r="I244" s="48"/>
      <c r="J244" s="70"/>
      <c r="K244" s="70"/>
      <c r="L244" s="189" t="s">
        <v>58</v>
      </c>
      <c r="M244" s="190" t="s">
        <v>67</v>
      </c>
      <c r="N244" s="189" t="s">
        <v>34</v>
      </c>
      <c r="O244" s="191">
        <v>9</v>
      </c>
      <c r="P244" s="192">
        <v>53.76</v>
      </c>
      <c r="Q244" s="192">
        <v>483.84</v>
      </c>
      <c r="R244" s="182"/>
      <c r="U244" s="128"/>
    </row>
    <row r="245" spans="1:21" ht="30" x14ac:dyDescent="0.3">
      <c r="A245" s="53"/>
      <c r="B245" s="54"/>
      <c r="C245" s="54"/>
      <c r="D245" s="54"/>
      <c r="E245" s="55"/>
      <c r="F245" s="75"/>
      <c r="G245" s="76"/>
      <c r="H245" s="76"/>
      <c r="I245" s="48"/>
      <c r="J245" s="70"/>
      <c r="K245" s="70"/>
      <c r="L245" s="189" t="s">
        <v>273</v>
      </c>
      <c r="M245" s="190" t="s">
        <v>274</v>
      </c>
      <c r="N245" s="189" t="s">
        <v>34</v>
      </c>
      <c r="O245" s="191">
        <v>2</v>
      </c>
      <c r="P245" s="192">
        <v>54.98</v>
      </c>
      <c r="Q245" s="192">
        <v>109.95</v>
      </c>
      <c r="R245" s="182"/>
      <c r="U245" s="128"/>
    </row>
    <row r="246" spans="1:21" ht="15.6" x14ac:dyDescent="0.3">
      <c r="A246" s="53"/>
      <c r="B246" s="54"/>
      <c r="C246" s="54"/>
      <c r="D246" s="54"/>
      <c r="E246" s="55"/>
      <c r="F246" s="75"/>
      <c r="G246" s="76"/>
      <c r="H246" s="76"/>
      <c r="I246" s="48"/>
      <c r="J246" s="70"/>
      <c r="K246" s="70"/>
      <c r="L246" s="189" t="s">
        <v>954</v>
      </c>
      <c r="M246" s="190" t="s">
        <v>1048</v>
      </c>
      <c r="N246" s="189" t="s">
        <v>34</v>
      </c>
      <c r="O246" s="191">
        <v>0.05</v>
      </c>
      <c r="P246" s="192">
        <v>291</v>
      </c>
      <c r="Q246" s="192">
        <v>14.55</v>
      </c>
      <c r="R246" s="182"/>
      <c r="U246" s="128"/>
    </row>
    <row r="247" spans="1:21" ht="15.6" x14ac:dyDescent="0.3">
      <c r="A247" s="53"/>
      <c r="B247" s="54"/>
      <c r="C247" s="54"/>
      <c r="D247" s="54"/>
      <c r="E247" s="55"/>
      <c r="F247" s="75"/>
      <c r="G247" s="76"/>
      <c r="H247" s="76"/>
      <c r="I247" s="48"/>
      <c r="J247" s="70"/>
      <c r="K247" s="70"/>
      <c r="L247" s="189" t="s">
        <v>1140</v>
      </c>
      <c r="M247" s="190" t="s">
        <v>1227</v>
      </c>
      <c r="N247" s="189" t="s">
        <v>34</v>
      </c>
      <c r="O247" s="191">
        <v>2</v>
      </c>
      <c r="P247" s="244">
        <v>1042.5</v>
      </c>
      <c r="Q247" s="244">
        <v>2085</v>
      </c>
      <c r="R247" s="182"/>
      <c r="U247" s="128"/>
    </row>
    <row r="248" spans="1:21" ht="15.6" x14ac:dyDescent="0.3">
      <c r="A248" s="53"/>
      <c r="B248" s="54"/>
      <c r="C248" s="54"/>
      <c r="D248" s="54"/>
      <c r="E248" s="55"/>
      <c r="F248" s="75"/>
      <c r="G248" s="76"/>
      <c r="H248" s="76"/>
      <c r="I248" s="48"/>
      <c r="J248" s="70"/>
      <c r="K248" s="70"/>
      <c r="L248" s="189" t="s">
        <v>768</v>
      </c>
      <c r="M248" s="190" t="s">
        <v>769</v>
      </c>
      <c r="N248" s="189" t="s">
        <v>34</v>
      </c>
      <c r="O248" s="191">
        <v>7</v>
      </c>
      <c r="P248" s="192">
        <v>10</v>
      </c>
      <c r="Q248" s="192">
        <v>70</v>
      </c>
      <c r="R248" s="182"/>
      <c r="U248" s="128"/>
    </row>
    <row r="249" spans="1:21" ht="15.6" customHeight="1" x14ac:dyDescent="0.3">
      <c r="A249" s="53"/>
      <c r="B249" s="54"/>
      <c r="C249" s="54"/>
      <c r="D249" s="54"/>
      <c r="E249" s="55"/>
      <c r="F249" s="75"/>
      <c r="G249" s="76"/>
      <c r="H249" s="76"/>
      <c r="I249" s="48"/>
      <c r="J249" s="70"/>
      <c r="K249" s="70"/>
      <c r="L249" s="189" t="s">
        <v>955</v>
      </c>
      <c r="M249" s="190" t="s">
        <v>770</v>
      </c>
      <c r="N249" s="189" t="s">
        <v>34</v>
      </c>
      <c r="O249" s="191">
        <v>1</v>
      </c>
      <c r="P249" s="192">
        <v>53</v>
      </c>
      <c r="Q249" s="192">
        <v>53</v>
      </c>
      <c r="R249" s="182"/>
      <c r="U249" s="128"/>
    </row>
    <row r="250" spans="1:21" ht="15.6" x14ac:dyDescent="0.3">
      <c r="A250" s="53"/>
      <c r="B250" s="54"/>
      <c r="C250" s="54"/>
      <c r="D250" s="54"/>
      <c r="E250" s="55"/>
      <c r="F250" s="75"/>
      <c r="G250" s="76"/>
      <c r="H250" s="76"/>
      <c r="I250" s="48"/>
      <c r="J250" s="70"/>
      <c r="K250" s="70"/>
      <c r="L250" s="189" t="s">
        <v>956</v>
      </c>
      <c r="M250" s="190" t="s">
        <v>328</v>
      </c>
      <c r="N250" s="189" t="s">
        <v>34</v>
      </c>
      <c r="O250" s="191">
        <v>13</v>
      </c>
      <c r="P250" s="192">
        <v>65.7</v>
      </c>
      <c r="Q250" s="192">
        <v>854.1</v>
      </c>
      <c r="R250" s="182"/>
      <c r="U250" s="128"/>
    </row>
    <row r="251" spans="1:21" ht="15.6" x14ac:dyDescent="0.3">
      <c r="A251" s="53"/>
      <c r="B251" s="54"/>
      <c r="C251" s="54"/>
      <c r="D251" s="54"/>
      <c r="E251" s="55"/>
      <c r="F251" s="75"/>
      <c r="G251" s="76"/>
      <c r="H251" s="76"/>
      <c r="I251" s="48"/>
      <c r="J251" s="70"/>
      <c r="K251" s="70"/>
      <c r="L251" s="189" t="s">
        <v>771</v>
      </c>
      <c r="M251" s="190" t="s">
        <v>772</v>
      </c>
      <c r="N251" s="189" t="s">
        <v>34</v>
      </c>
      <c r="O251" s="191">
        <v>6</v>
      </c>
      <c r="P251" s="192">
        <v>228.02</v>
      </c>
      <c r="Q251" s="244">
        <v>1368.12</v>
      </c>
      <c r="R251" s="182"/>
      <c r="U251" s="128"/>
    </row>
    <row r="252" spans="1:21" ht="15.6" x14ac:dyDescent="0.3">
      <c r="A252" s="53"/>
      <c r="B252" s="54"/>
      <c r="C252" s="54"/>
      <c r="D252" s="54"/>
      <c r="E252" s="55"/>
      <c r="F252" s="75"/>
      <c r="G252" s="76"/>
      <c r="H252" s="76"/>
      <c r="I252" s="48"/>
      <c r="J252" s="70"/>
      <c r="K252" s="70"/>
      <c r="L252" s="189" t="s">
        <v>957</v>
      </c>
      <c r="M252" s="190" t="s">
        <v>1049</v>
      </c>
      <c r="N252" s="189" t="s">
        <v>34</v>
      </c>
      <c r="O252" s="191">
        <v>10</v>
      </c>
      <c r="P252" s="192">
        <v>78.3</v>
      </c>
      <c r="Q252" s="192">
        <v>783</v>
      </c>
      <c r="R252" s="182"/>
      <c r="U252" s="128"/>
    </row>
    <row r="253" spans="1:21" ht="15.6" x14ac:dyDescent="0.3">
      <c r="A253" s="53"/>
      <c r="B253" s="54"/>
      <c r="C253" s="54"/>
      <c r="D253" s="54"/>
      <c r="E253" s="55"/>
      <c r="F253" s="75"/>
      <c r="G253" s="76"/>
      <c r="H253" s="76"/>
      <c r="I253" s="48"/>
      <c r="J253" s="70"/>
      <c r="K253" s="70"/>
      <c r="L253" s="189" t="s">
        <v>773</v>
      </c>
      <c r="M253" s="190" t="s">
        <v>774</v>
      </c>
      <c r="N253" s="189" t="s">
        <v>34</v>
      </c>
      <c r="O253" s="191">
        <v>3</v>
      </c>
      <c r="P253" s="192">
        <v>66.55</v>
      </c>
      <c r="Q253" s="192">
        <v>199.65</v>
      </c>
      <c r="R253" s="182"/>
      <c r="U253" s="128"/>
    </row>
    <row r="254" spans="1:21" ht="15.6" x14ac:dyDescent="0.3">
      <c r="A254" s="53"/>
      <c r="B254" s="54"/>
      <c r="C254" s="54"/>
      <c r="D254" s="54"/>
      <c r="E254" s="55"/>
      <c r="F254" s="75"/>
      <c r="G254" s="76"/>
      <c r="H254" s="76"/>
      <c r="I254" s="48"/>
      <c r="J254" s="70"/>
      <c r="K254" s="70"/>
      <c r="L254" s="189" t="s">
        <v>958</v>
      </c>
      <c r="M254" s="190" t="s">
        <v>337</v>
      </c>
      <c r="N254" s="189" t="s">
        <v>34</v>
      </c>
      <c r="O254" s="191">
        <v>2</v>
      </c>
      <c r="P254" s="192">
        <v>30.67</v>
      </c>
      <c r="Q254" s="192">
        <v>61.33</v>
      </c>
      <c r="R254" s="182"/>
      <c r="U254" s="128"/>
    </row>
    <row r="255" spans="1:21" ht="15.6" x14ac:dyDescent="0.3">
      <c r="A255" s="53"/>
      <c r="B255" s="54"/>
      <c r="C255" s="54"/>
      <c r="D255" s="54"/>
      <c r="E255" s="55"/>
      <c r="F255" s="75"/>
      <c r="G255" s="76"/>
      <c r="H255" s="76"/>
      <c r="I255" s="48"/>
      <c r="J255" s="70"/>
      <c r="K255" s="70"/>
      <c r="L255" s="189" t="s">
        <v>905</v>
      </c>
      <c r="M255" s="190" t="s">
        <v>906</v>
      </c>
      <c r="N255" s="189" t="s">
        <v>34</v>
      </c>
      <c r="O255" s="191">
        <v>3</v>
      </c>
      <c r="P255" s="192">
        <v>10</v>
      </c>
      <c r="Q255" s="192">
        <v>30</v>
      </c>
      <c r="R255" s="182"/>
      <c r="U255" s="128"/>
    </row>
    <row r="256" spans="1:21" ht="15.6" x14ac:dyDescent="0.3">
      <c r="A256" s="53"/>
      <c r="B256" s="54"/>
      <c r="C256" s="54"/>
      <c r="D256" s="54"/>
      <c r="E256" s="55"/>
      <c r="F256" s="75"/>
      <c r="G256" s="76"/>
      <c r="H256" s="76"/>
      <c r="I256" s="48"/>
      <c r="J256" s="70"/>
      <c r="K256" s="70"/>
      <c r="L256" s="189" t="s">
        <v>907</v>
      </c>
      <c r="M256" s="190" t="s">
        <v>908</v>
      </c>
      <c r="N256" s="189" t="s">
        <v>34</v>
      </c>
      <c r="O256" s="191">
        <v>3</v>
      </c>
      <c r="P256" s="192">
        <v>10</v>
      </c>
      <c r="Q256" s="192">
        <v>30</v>
      </c>
      <c r="R256" s="182"/>
      <c r="U256" s="128"/>
    </row>
    <row r="257" spans="1:21" ht="15.6" x14ac:dyDescent="0.3">
      <c r="A257" s="53"/>
      <c r="B257" s="54"/>
      <c r="C257" s="54"/>
      <c r="D257" s="54"/>
      <c r="E257" s="55"/>
      <c r="F257" s="75"/>
      <c r="G257" s="76"/>
      <c r="H257" s="76"/>
      <c r="I257" s="48"/>
      <c r="J257" s="70"/>
      <c r="K257" s="70"/>
      <c r="L257" s="189" t="s">
        <v>340</v>
      </c>
      <c r="M257" s="190" t="s">
        <v>341</v>
      </c>
      <c r="N257" s="189" t="s">
        <v>34</v>
      </c>
      <c r="O257" s="191">
        <v>1</v>
      </c>
      <c r="P257" s="192">
        <v>432.25</v>
      </c>
      <c r="Q257" s="192">
        <v>432.25</v>
      </c>
      <c r="R257" s="182"/>
      <c r="U257" s="128"/>
    </row>
    <row r="258" spans="1:21" ht="15.6" x14ac:dyDescent="0.3">
      <c r="A258" s="53"/>
      <c r="B258" s="54"/>
      <c r="C258" s="54"/>
      <c r="D258" s="54"/>
      <c r="E258" s="55"/>
      <c r="F258" s="75"/>
      <c r="G258" s="76"/>
      <c r="H258" s="76"/>
      <c r="I258" s="48"/>
      <c r="J258" s="70"/>
      <c r="K258" s="70"/>
      <c r="L258" s="189" t="s">
        <v>1147</v>
      </c>
      <c r="M258" s="190" t="s">
        <v>1234</v>
      </c>
      <c r="N258" s="189" t="s">
        <v>34</v>
      </c>
      <c r="O258" s="191">
        <v>1</v>
      </c>
      <c r="P258" s="192">
        <v>876.68</v>
      </c>
      <c r="Q258" s="192">
        <v>876.68</v>
      </c>
      <c r="R258" s="182"/>
      <c r="U258" s="128"/>
    </row>
    <row r="259" spans="1:21" ht="15.6" x14ac:dyDescent="0.3">
      <c r="A259" s="53"/>
      <c r="B259" s="54"/>
      <c r="C259" s="54"/>
      <c r="D259" s="54"/>
      <c r="E259" s="55"/>
      <c r="F259" s="75"/>
      <c r="G259" s="76"/>
      <c r="H259" s="76"/>
      <c r="I259" s="48"/>
      <c r="J259" s="70"/>
      <c r="K259" s="70"/>
      <c r="L259" s="189" t="s">
        <v>1148</v>
      </c>
      <c r="M259" s="190" t="s">
        <v>1235</v>
      </c>
      <c r="N259" s="189" t="s">
        <v>34</v>
      </c>
      <c r="O259" s="191">
        <v>1</v>
      </c>
      <c r="P259" s="192">
        <v>257.81</v>
      </c>
      <c r="Q259" s="192">
        <v>257.81</v>
      </c>
      <c r="R259" s="182"/>
      <c r="U259" s="128"/>
    </row>
    <row r="260" spans="1:21" ht="15.6" x14ac:dyDescent="0.3">
      <c r="A260" s="53"/>
      <c r="B260" s="54"/>
      <c r="C260" s="54"/>
      <c r="D260" s="54"/>
      <c r="E260" s="55"/>
      <c r="F260" s="75"/>
      <c r="G260" s="76"/>
      <c r="H260" s="76"/>
      <c r="I260" s="48"/>
      <c r="J260" s="70"/>
      <c r="K260" s="70"/>
      <c r="L260" s="189" t="s">
        <v>952</v>
      </c>
      <c r="M260" s="190" t="s">
        <v>777</v>
      </c>
      <c r="N260" s="189" t="s">
        <v>34</v>
      </c>
      <c r="O260" s="191">
        <v>0.5</v>
      </c>
      <c r="P260" s="192">
        <v>257.82</v>
      </c>
      <c r="Q260" s="192">
        <v>128.91</v>
      </c>
      <c r="R260" s="182"/>
      <c r="U260" s="128"/>
    </row>
    <row r="261" spans="1:21" ht="15.6" x14ac:dyDescent="0.3">
      <c r="A261" s="53"/>
      <c r="B261" s="54"/>
      <c r="C261" s="54"/>
      <c r="D261" s="54"/>
      <c r="E261" s="55"/>
      <c r="F261" s="75"/>
      <c r="G261" s="76"/>
      <c r="H261" s="76"/>
      <c r="I261" s="48"/>
      <c r="J261" s="70"/>
      <c r="K261" s="70"/>
      <c r="L261" s="189" t="s">
        <v>871</v>
      </c>
      <c r="M261" s="190" t="s">
        <v>872</v>
      </c>
      <c r="N261" s="189" t="s">
        <v>34</v>
      </c>
      <c r="O261" s="191">
        <v>1</v>
      </c>
      <c r="P261" s="192">
        <v>989.36</v>
      </c>
      <c r="Q261" s="192">
        <v>989.36</v>
      </c>
      <c r="R261" s="182"/>
      <c r="U261" s="128"/>
    </row>
    <row r="262" spans="1:21" ht="15.6" x14ac:dyDescent="0.3">
      <c r="A262" s="53"/>
      <c r="B262" s="54"/>
      <c r="C262" s="54"/>
      <c r="D262" s="54"/>
      <c r="E262" s="55"/>
      <c r="F262" s="75"/>
      <c r="G262" s="76"/>
      <c r="H262" s="76"/>
      <c r="I262" s="48"/>
      <c r="J262" s="70"/>
      <c r="K262" s="70"/>
      <c r="L262" s="189" t="s">
        <v>873</v>
      </c>
      <c r="M262" s="190" t="s">
        <v>874</v>
      </c>
      <c r="N262" s="189" t="s">
        <v>34</v>
      </c>
      <c r="O262" s="191">
        <v>1</v>
      </c>
      <c r="P262" s="192">
        <v>736.46</v>
      </c>
      <c r="Q262" s="192">
        <v>736.46</v>
      </c>
      <c r="R262" s="182"/>
      <c r="U262" s="128"/>
    </row>
    <row r="263" spans="1:21" ht="15.6" x14ac:dyDescent="0.3">
      <c r="A263" s="53"/>
      <c r="B263" s="54"/>
      <c r="C263" s="54"/>
      <c r="D263" s="54"/>
      <c r="E263" s="55"/>
      <c r="F263" s="75"/>
      <c r="G263" s="76"/>
      <c r="H263" s="76"/>
      <c r="I263" s="48"/>
      <c r="J263" s="70"/>
      <c r="K263" s="70"/>
      <c r="L263" s="189" t="s">
        <v>953</v>
      </c>
      <c r="M263" s="190" t="s">
        <v>1046</v>
      </c>
      <c r="N263" s="189" t="s">
        <v>34</v>
      </c>
      <c r="O263" s="191">
        <v>0.27</v>
      </c>
      <c r="P263" s="192">
        <v>271</v>
      </c>
      <c r="Q263" s="192">
        <v>73.17</v>
      </c>
      <c r="R263" s="182"/>
      <c r="U263" s="128"/>
    </row>
    <row r="264" spans="1:21" ht="15.6" x14ac:dyDescent="0.3">
      <c r="A264" s="53"/>
      <c r="B264" s="54"/>
      <c r="C264" s="54"/>
      <c r="D264" s="54"/>
      <c r="E264" s="55"/>
      <c r="F264" s="75"/>
      <c r="G264" s="76"/>
      <c r="H264" s="76"/>
      <c r="I264" s="48"/>
      <c r="J264" s="70"/>
      <c r="K264" s="70"/>
      <c r="L264" s="189" t="s">
        <v>1141</v>
      </c>
      <c r="M264" s="190" t="s">
        <v>1228</v>
      </c>
      <c r="N264" s="189" t="s">
        <v>34</v>
      </c>
      <c r="O264" s="191">
        <v>1</v>
      </c>
      <c r="P264" s="192">
        <v>96</v>
      </c>
      <c r="Q264" s="192">
        <v>96</v>
      </c>
      <c r="R264" s="182"/>
      <c r="U264" s="128"/>
    </row>
    <row r="265" spans="1:21" ht="15.6" x14ac:dyDescent="0.3">
      <c r="A265" s="53"/>
      <c r="B265" s="54"/>
      <c r="C265" s="54"/>
      <c r="D265" s="54"/>
      <c r="E265" s="55"/>
      <c r="F265" s="75"/>
      <c r="G265" s="76"/>
      <c r="H265" s="76"/>
      <c r="I265" s="48"/>
      <c r="J265" s="70"/>
      <c r="K265" s="70"/>
      <c r="L265" s="189" t="s">
        <v>350</v>
      </c>
      <c r="M265" s="190" t="s">
        <v>351</v>
      </c>
      <c r="N265" s="189" t="s">
        <v>34</v>
      </c>
      <c r="O265" s="191">
        <v>29</v>
      </c>
      <c r="P265" s="192">
        <v>5.55</v>
      </c>
      <c r="Q265" s="192">
        <v>161.04</v>
      </c>
      <c r="R265" s="182"/>
      <c r="U265" s="128"/>
    </row>
    <row r="266" spans="1:21" ht="15.6" x14ac:dyDescent="0.3">
      <c r="A266" s="53"/>
      <c r="B266" s="54"/>
      <c r="C266" s="54"/>
      <c r="D266" s="54"/>
      <c r="E266" s="55"/>
      <c r="F266" s="75"/>
      <c r="G266" s="76"/>
      <c r="H266" s="76"/>
      <c r="I266" s="48"/>
      <c r="J266" s="70"/>
      <c r="K266" s="70"/>
      <c r="L266" s="189" t="s">
        <v>352</v>
      </c>
      <c r="M266" s="190" t="s">
        <v>353</v>
      </c>
      <c r="N266" s="189" t="s">
        <v>34</v>
      </c>
      <c r="O266" s="191">
        <v>7</v>
      </c>
      <c r="P266" s="192">
        <v>7.5</v>
      </c>
      <c r="Q266" s="192">
        <v>52.48</v>
      </c>
      <c r="R266" s="182"/>
      <c r="U266" s="128"/>
    </row>
    <row r="267" spans="1:21" ht="15.6" x14ac:dyDescent="0.3">
      <c r="A267" s="53"/>
      <c r="B267" s="54"/>
      <c r="C267" s="54"/>
      <c r="D267" s="54"/>
      <c r="E267" s="55"/>
      <c r="F267" s="75"/>
      <c r="G267" s="76"/>
      <c r="H267" s="76"/>
      <c r="I267" s="48"/>
      <c r="J267" s="70"/>
      <c r="K267" s="70"/>
      <c r="L267" s="189" t="s">
        <v>354</v>
      </c>
      <c r="M267" s="190" t="s">
        <v>355</v>
      </c>
      <c r="N267" s="189" t="s">
        <v>34</v>
      </c>
      <c r="O267" s="191">
        <v>5</v>
      </c>
      <c r="P267" s="192">
        <v>10.55</v>
      </c>
      <c r="Q267" s="192">
        <v>52.74</v>
      </c>
      <c r="R267" s="182"/>
      <c r="U267" s="128"/>
    </row>
    <row r="268" spans="1:21" ht="15.6" x14ac:dyDescent="0.3">
      <c r="A268" s="53"/>
      <c r="B268" s="54"/>
      <c r="C268" s="54"/>
      <c r="D268" s="54"/>
      <c r="E268" s="55"/>
      <c r="F268" s="75"/>
      <c r="G268" s="76"/>
      <c r="H268" s="76"/>
      <c r="I268" s="48"/>
      <c r="J268" s="70"/>
      <c r="K268" s="70"/>
      <c r="L268" s="189" t="s">
        <v>966</v>
      </c>
      <c r="M268" s="190" t="s">
        <v>1053</v>
      </c>
      <c r="N268" s="189" t="s">
        <v>34</v>
      </c>
      <c r="O268" s="191">
        <v>2</v>
      </c>
      <c r="P268" s="192">
        <v>166.2</v>
      </c>
      <c r="Q268" s="192">
        <v>332.39</v>
      </c>
      <c r="R268" s="182"/>
      <c r="U268" s="128"/>
    </row>
    <row r="269" spans="1:21" ht="15.6" x14ac:dyDescent="0.3">
      <c r="A269" s="53"/>
      <c r="B269" s="54"/>
      <c r="C269" s="54"/>
      <c r="D269" s="54"/>
      <c r="E269" s="55"/>
      <c r="F269" s="75"/>
      <c r="G269" s="76"/>
      <c r="H269" s="76"/>
      <c r="I269" s="48"/>
      <c r="J269" s="70"/>
      <c r="K269" s="70"/>
      <c r="L269" s="189" t="s">
        <v>1082</v>
      </c>
      <c r="M269" s="190" t="s">
        <v>1083</v>
      </c>
      <c r="N269" s="189" t="s">
        <v>34</v>
      </c>
      <c r="O269" s="191">
        <v>1</v>
      </c>
      <c r="P269" s="192">
        <v>195.75</v>
      </c>
      <c r="Q269" s="192">
        <v>195.75</v>
      </c>
      <c r="R269" s="182"/>
      <c r="U269" s="128"/>
    </row>
    <row r="270" spans="1:21" ht="15.6" x14ac:dyDescent="0.3">
      <c r="A270" s="53"/>
      <c r="B270" s="54"/>
      <c r="C270" s="54"/>
      <c r="D270" s="54"/>
      <c r="E270" s="55"/>
      <c r="F270" s="75"/>
      <c r="G270" s="76"/>
      <c r="H270" s="76"/>
      <c r="I270" s="48"/>
      <c r="J270" s="70"/>
      <c r="K270" s="70"/>
      <c r="L270" s="189" t="s">
        <v>1143</v>
      </c>
      <c r="M270" s="190" t="s">
        <v>1230</v>
      </c>
      <c r="N270" s="189" t="s">
        <v>34</v>
      </c>
      <c r="O270" s="191">
        <v>1</v>
      </c>
      <c r="P270" s="192">
        <v>176.27</v>
      </c>
      <c r="Q270" s="192">
        <v>176.27</v>
      </c>
      <c r="R270" s="182"/>
      <c r="U270" s="128"/>
    </row>
    <row r="271" spans="1:21" ht="15.6" x14ac:dyDescent="0.3">
      <c r="A271" s="53"/>
      <c r="B271" s="54"/>
      <c r="C271" s="54"/>
      <c r="D271" s="54"/>
      <c r="E271" s="55"/>
      <c r="F271" s="75"/>
      <c r="G271" s="76"/>
      <c r="H271" s="76"/>
      <c r="I271" s="48"/>
      <c r="J271" s="70"/>
      <c r="K271" s="70"/>
      <c r="L271" s="189" t="s">
        <v>780</v>
      </c>
      <c r="M271" s="190" t="s">
        <v>781</v>
      </c>
      <c r="N271" s="189" t="s">
        <v>34</v>
      </c>
      <c r="O271" s="191">
        <v>2</v>
      </c>
      <c r="P271" s="192">
        <v>108</v>
      </c>
      <c r="Q271" s="192">
        <v>216</v>
      </c>
      <c r="R271" s="182"/>
      <c r="U271" s="128"/>
    </row>
    <row r="272" spans="1:21" ht="15.6" x14ac:dyDescent="0.3">
      <c r="A272" s="53"/>
      <c r="B272" s="54"/>
      <c r="C272" s="54"/>
      <c r="D272" s="54"/>
      <c r="E272" s="55"/>
      <c r="F272" s="75"/>
      <c r="G272" s="76"/>
      <c r="H272" s="76"/>
      <c r="I272" s="48"/>
      <c r="J272" s="70"/>
      <c r="K272" s="70"/>
      <c r="L272" s="189" t="s">
        <v>911</v>
      </c>
      <c r="M272" s="190" t="s">
        <v>912</v>
      </c>
      <c r="N272" s="189" t="s">
        <v>34</v>
      </c>
      <c r="O272" s="191">
        <v>1</v>
      </c>
      <c r="P272" s="192">
        <v>103</v>
      </c>
      <c r="Q272" s="192">
        <v>103</v>
      </c>
      <c r="R272" s="182"/>
      <c r="U272" s="128"/>
    </row>
    <row r="273" spans="1:21" ht="15.6" x14ac:dyDescent="0.3">
      <c r="A273" s="53"/>
      <c r="B273" s="54"/>
      <c r="C273" s="54"/>
      <c r="D273" s="54"/>
      <c r="E273" s="55"/>
      <c r="F273" s="75"/>
      <c r="G273" s="76"/>
      <c r="H273" s="76"/>
      <c r="I273" s="48"/>
      <c r="J273" s="70"/>
      <c r="K273" s="70"/>
      <c r="L273" s="189" t="s">
        <v>1144</v>
      </c>
      <c r="M273" s="190" t="s">
        <v>1231</v>
      </c>
      <c r="N273" s="189" t="s">
        <v>34</v>
      </c>
      <c r="O273" s="191">
        <v>2</v>
      </c>
      <c r="P273" s="192">
        <v>3.17</v>
      </c>
      <c r="Q273" s="192">
        <v>6.34</v>
      </c>
      <c r="R273" s="182"/>
      <c r="U273" s="128"/>
    </row>
    <row r="274" spans="1:21" ht="15.6" x14ac:dyDescent="0.3">
      <c r="A274" s="53"/>
      <c r="B274" s="54"/>
      <c r="C274" s="54"/>
      <c r="D274" s="54"/>
      <c r="E274" s="55"/>
      <c r="F274" s="75"/>
      <c r="G274" s="76"/>
      <c r="H274" s="76"/>
      <c r="I274" s="48"/>
      <c r="J274" s="70"/>
      <c r="K274" s="70"/>
      <c r="L274" s="189" t="s">
        <v>766</v>
      </c>
      <c r="M274" s="190" t="s">
        <v>767</v>
      </c>
      <c r="N274" s="189" t="s">
        <v>34</v>
      </c>
      <c r="O274" s="191">
        <v>1</v>
      </c>
      <c r="P274" s="244">
        <v>10441.39</v>
      </c>
      <c r="Q274" s="244">
        <v>10441.39</v>
      </c>
      <c r="R274" s="182"/>
      <c r="U274" s="128"/>
    </row>
    <row r="275" spans="1:21" ht="15.6" x14ac:dyDescent="0.3">
      <c r="A275" s="53"/>
      <c r="B275" s="54"/>
      <c r="C275" s="54"/>
      <c r="D275" s="54"/>
      <c r="E275" s="55"/>
      <c r="F275" s="75"/>
      <c r="G275" s="76"/>
      <c r="H275" s="76"/>
      <c r="I275" s="48"/>
      <c r="J275" s="70"/>
      <c r="K275" s="70"/>
      <c r="L275" s="189" t="s">
        <v>1162</v>
      </c>
      <c r="M275" s="190" t="s">
        <v>1247</v>
      </c>
      <c r="N275" s="189" t="s">
        <v>34</v>
      </c>
      <c r="O275" s="191">
        <v>6</v>
      </c>
      <c r="P275" s="192">
        <v>456.35</v>
      </c>
      <c r="Q275" s="244">
        <v>2738.12</v>
      </c>
      <c r="R275" s="182"/>
      <c r="U275" s="128"/>
    </row>
    <row r="276" spans="1:21" ht="30" x14ac:dyDescent="0.3">
      <c r="A276" s="53"/>
      <c r="B276" s="54"/>
      <c r="C276" s="54"/>
      <c r="D276" s="54"/>
      <c r="E276" s="55"/>
      <c r="F276" s="75"/>
      <c r="G276" s="76"/>
      <c r="H276" s="76"/>
      <c r="I276" s="48"/>
      <c r="J276" s="70"/>
      <c r="K276" s="70"/>
      <c r="L276" s="189" t="s">
        <v>959</v>
      </c>
      <c r="M276" s="190" t="s">
        <v>1050</v>
      </c>
      <c r="N276" s="189" t="s">
        <v>34</v>
      </c>
      <c r="O276" s="191">
        <v>9</v>
      </c>
      <c r="P276" s="192">
        <v>23</v>
      </c>
      <c r="Q276" s="192">
        <v>207</v>
      </c>
      <c r="R276" s="182"/>
      <c r="U276" s="128"/>
    </row>
    <row r="277" spans="1:21" ht="30" x14ac:dyDescent="0.3">
      <c r="A277" s="53"/>
      <c r="B277" s="54"/>
      <c r="C277" s="54"/>
      <c r="D277" s="54"/>
      <c r="E277" s="55"/>
      <c r="F277" s="75"/>
      <c r="G277" s="76"/>
      <c r="H277" s="76"/>
      <c r="I277" s="48"/>
      <c r="J277" s="70"/>
      <c r="K277" s="70"/>
      <c r="L277" s="189" t="s">
        <v>960</v>
      </c>
      <c r="M277" s="190" t="s">
        <v>784</v>
      </c>
      <c r="N277" s="189" t="s">
        <v>34</v>
      </c>
      <c r="O277" s="191">
        <v>3</v>
      </c>
      <c r="P277" s="192">
        <v>13.9</v>
      </c>
      <c r="Q277" s="192">
        <v>41.7</v>
      </c>
      <c r="R277" s="182"/>
      <c r="U277" s="128"/>
    </row>
    <row r="278" spans="1:21" ht="15.6" x14ac:dyDescent="0.3">
      <c r="A278" s="53"/>
      <c r="B278" s="54"/>
      <c r="C278" s="54"/>
      <c r="D278" s="54"/>
      <c r="E278" s="55"/>
      <c r="F278" s="75"/>
      <c r="G278" s="76"/>
      <c r="H278" s="76"/>
      <c r="I278" s="48"/>
      <c r="J278" s="70"/>
      <c r="K278" s="70"/>
      <c r="L278" s="189" t="s">
        <v>363</v>
      </c>
      <c r="M278" s="190" t="s">
        <v>364</v>
      </c>
      <c r="N278" s="189" t="s">
        <v>34</v>
      </c>
      <c r="O278" s="191">
        <v>2</v>
      </c>
      <c r="P278" s="192">
        <v>108.4</v>
      </c>
      <c r="Q278" s="192">
        <v>216.8</v>
      </c>
      <c r="R278" s="182"/>
      <c r="U278" s="128"/>
    </row>
    <row r="279" spans="1:21" ht="15.6" x14ac:dyDescent="0.3">
      <c r="A279" s="53"/>
      <c r="B279" s="54"/>
      <c r="C279" s="54"/>
      <c r="D279" s="54"/>
      <c r="E279" s="55"/>
      <c r="F279" s="75"/>
      <c r="G279" s="76"/>
      <c r="H279" s="76"/>
      <c r="I279" s="48"/>
      <c r="J279" s="70"/>
      <c r="K279" s="70"/>
      <c r="L279" s="189" t="s">
        <v>188</v>
      </c>
      <c r="M279" s="190" t="s">
        <v>189</v>
      </c>
      <c r="N279" s="189" t="s">
        <v>34</v>
      </c>
      <c r="O279" s="191">
        <v>4</v>
      </c>
      <c r="P279" s="192">
        <v>55.1</v>
      </c>
      <c r="Q279" s="192">
        <v>220.4</v>
      </c>
      <c r="R279" s="182"/>
      <c r="U279" s="128"/>
    </row>
    <row r="280" spans="1:21" ht="15.6" x14ac:dyDescent="0.3">
      <c r="A280" s="53"/>
      <c r="B280" s="54"/>
      <c r="C280" s="54"/>
      <c r="D280" s="54"/>
      <c r="E280" s="55"/>
      <c r="F280" s="75"/>
      <c r="G280" s="76"/>
      <c r="H280" s="76"/>
      <c r="I280" s="48"/>
      <c r="J280" s="70"/>
      <c r="K280" s="70"/>
      <c r="L280" s="189" t="s">
        <v>732</v>
      </c>
      <c r="M280" s="190" t="s">
        <v>733</v>
      </c>
      <c r="N280" s="189" t="s">
        <v>34</v>
      </c>
      <c r="O280" s="191">
        <v>1</v>
      </c>
      <c r="P280" s="244">
        <v>15249.17</v>
      </c>
      <c r="Q280" s="244">
        <v>15249.17</v>
      </c>
      <c r="R280" s="182"/>
      <c r="U280" s="128"/>
    </row>
    <row r="281" spans="1:21" ht="15.6" x14ac:dyDescent="0.3">
      <c r="A281" s="53"/>
      <c r="B281" s="54"/>
      <c r="C281" s="54"/>
      <c r="D281" s="54"/>
      <c r="E281" s="55"/>
      <c r="F281" s="75"/>
      <c r="G281" s="76"/>
      <c r="H281" s="76"/>
      <c r="I281" s="48"/>
      <c r="J281" s="70"/>
      <c r="K281" s="70"/>
      <c r="L281" s="189" t="s">
        <v>371</v>
      </c>
      <c r="M281" s="190" t="s">
        <v>372</v>
      </c>
      <c r="N281" s="189" t="s">
        <v>34</v>
      </c>
      <c r="O281" s="191">
        <v>41</v>
      </c>
      <c r="P281" s="192">
        <v>15.96</v>
      </c>
      <c r="Q281" s="192">
        <v>654.36</v>
      </c>
      <c r="R281" s="182"/>
      <c r="U281" s="128"/>
    </row>
    <row r="282" spans="1:21" ht="15.6" x14ac:dyDescent="0.3">
      <c r="A282" s="53"/>
      <c r="B282" s="54"/>
      <c r="C282" s="54"/>
      <c r="D282" s="54"/>
      <c r="E282" s="55"/>
      <c r="F282" s="75"/>
      <c r="G282" s="76"/>
      <c r="H282" s="76"/>
      <c r="I282" s="48"/>
      <c r="J282" s="70"/>
      <c r="K282" s="70"/>
      <c r="L282" s="189" t="s">
        <v>785</v>
      </c>
      <c r="M282" s="190" t="s">
        <v>786</v>
      </c>
      <c r="N282" s="189" t="s">
        <v>34</v>
      </c>
      <c r="O282" s="191">
        <v>3</v>
      </c>
      <c r="P282" s="192">
        <v>171.34</v>
      </c>
      <c r="Q282" s="192">
        <v>514.02</v>
      </c>
      <c r="R282" s="182"/>
      <c r="U282" s="128"/>
    </row>
    <row r="283" spans="1:21" ht="15.6" x14ac:dyDescent="0.3">
      <c r="A283" s="53"/>
      <c r="B283" s="54"/>
      <c r="C283" s="54"/>
      <c r="D283" s="54"/>
      <c r="E283" s="55"/>
      <c r="F283" s="75"/>
      <c r="G283" s="76"/>
      <c r="H283" s="76"/>
      <c r="I283" s="48"/>
      <c r="J283" s="70"/>
      <c r="K283" s="70"/>
      <c r="L283" s="189" t="s">
        <v>373</v>
      </c>
      <c r="M283" s="190" t="s">
        <v>374</v>
      </c>
      <c r="N283" s="189" t="s">
        <v>34</v>
      </c>
      <c r="O283" s="191">
        <v>5</v>
      </c>
      <c r="P283" s="192">
        <v>17.329999999999998</v>
      </c>
      <c r="Q283" s="192">
        <v>86.63</v>
      </c>
      <c r="R283" s="182"/>
      <c r="U283" s="128"/>
    </row>
    <row r="284" spans="1:21" ht="15.6" x14ac:dyDescent="0.3">
      <c r="A284" s="53"/>
      <c r="B284" s="54"/>
      <c r="C284" s="54"/>
      <c r="D284" s="54"/>
      <c r="E284" s="55"/>
      <c r="F284" s="75"/>
      <c r="G284" s="76"/>
      <c r="H284" s="76"/>
      <c r="I284" s="48"/>
      <c r="J284" s="70"/>
      <c r="K284" s="70"/>
      <c r="L284" s="189" t="s">
        <v>1145</v>
      </c>
      <c r="M284" s="190" t="s">
        <v>1232</v>
      </c>
      <c r="N284" s="189" t="s">
        <v>34</v>
      </c>
      <c r="O284" s="191">
        <v>1</v>
      </c>
      <c r="P284" s="192">
        <v>64.75</v>
      </c>
      <c r="Q284" s="192">
        <v>64.75</v>
      </c>
      <c r="R284" s="182"/>
      <c r="U284" s="128"/>
    </row>
    <row r="285" spans="1:21" ht="15.6" x14ac:dyDescent="0.3">
      <c r="A285" s="53"/>
      <c r="B285" s="54"/>
      <c r="C285" s="54"/>
      <c r="D285" s="54"/>
      <c r="E285" s="55"/>
      <c r="F285" s="75"/>
      <c r="G285" s="76"/>
      <c r="H285" s="76"/>
      <c r="I285" s="48"/>
      <c r="J285" s="70"/>
      <c r="K285" s="70"/>
      <c r="L285" s="189" t="s">
        <v>961</v>
      </c>
      <c r="M285" s="190" t="s">
        <v>1051</v>
      </c>
      <c r="N285" s="189" t="s">
        <v>34</v>
      </c>
      <c r="O285" s="191">
        <v>0.14000000000000001</v>
      </c>
      <c r="P285" s="192">
        <v>27</v>
      </c>
      <c r="Q285" s="192">
        <v>3.78</v>
      </c>
      <c r="R285" s="182"/>
      <c r="U285" s="128"/>
    </row>
    <row r="286" spans="1:21" ht="30" x14ac:dyDescent="0.3">
      <c r="A286" s="53"/>
      <c r="B286" s="54"/>
      <c r="C286" s="54"/>
      <c r="D286" s="54"/>
      <c r="E286" s="55"/>
      <c r="F286" s="75"/>
      <c r="G286" s="76"/>
      <c r="H286" s="76"/>
      <c r="I286" s="48"/>
      <c r="J286" s="70"/>
      <c r="K286" s="70"/>
      <c r="L286" s="189" t="s">
        <v>962</v>
      </c>
      <c r="M286" s="190" t="s">
        <v>787</v>
      </c>
      <c r="N286" s="189" t="s">
        <v>34</v>
      </c>
      <c r="O286" s="191">
        <v>2</v>
      </c>
      <c r="P286" s="192">
        <v>178.17</v>
      </c>
      <c r="Q286" s="192">
        <v>356.34</v>
      </c>
      <c r="R286" s="182"/>
      <c r="U286" s="128"/>
    </row>
    <row r="287" spans="1:21" ht="15.6" x14ac:dyDescent="0.3">
      <c r="A287" s="53"/>
      <c r="B287" s="54"/>
      <c r="C287" s="54"/>
      <c r="D287" s="54"/>
      <c r="E287" s="55"/>
      <c r="F287" s="75"/>
      <c r="G287" s="76"/>
      <c r="H287" s="76"/>
      <c r="I287" s="48"/>
      <c r="J287" s="70"/>
      <c r="K287" s="70"/>
      <c r="L287" s="189" t="s">
        <v>963</v>
      </c>
      <c r="M287" s="190" t="s">
        <v>375</v>
      </c>
      <c r="N287" s="189" t="s">
        <v>34</v>
      </c>
      <c r="O287" s="191">
        <v>10</v>
      </c>
      <c r="P287" s="192">
        <v>162.87</v>
      </c>
      <c r="Q287" s="244">
        <v>1628.7</v>
      </c>
      <c r="R287" s="182"/>
      <c r="U287" s="128"/>
    </row>
    <row r="288" spans="1:21" ht="30" x14ac:dyDescent="0.3">
      <c r="A288" s="53"/>
      <c r="B288" s="54"/>
      <c r="C288" s="54"/>
      <c r="D288" s="54"/>
      <c r="E288" s="55"/>
      <c r="F288" s="75"/>
      <c r="G288" s="76"/>
      <c r="H288" s="76"/>
      <c r="I288" s="48"/>
      <c r="J288" s="70"/>
      <c r="K288" s="70"/>
      <c r="L288" s="189" t="s">
        <v>1146</v>
      </c>
      <c r="M288" s="190" t="s">
        <v>1233</v>
      </c>
      <c r="N288" s="189" t="s">
        <v>34</v>
      </c>
      <c r="O288" s="191">
        <v>2</v>
      </c>
      <c r="P288" s="192">
        <v>36</v>
      </c>
      <c r="Q288" s="192">
        <v>72</v>
      </c>
      <c r="R288" s="182"/>
      <c r="U288" s="128"/>
    </row>
    <row r="289" spans="1:21" ht="30" x14ac:dyDescent="0.3">
      <c r="A289" s="53"/>
      <c r="B289" s="54"/>
      <c r="C289" s="54"/>
      <c r="D289" s="54"/>
      <c r="E289" s="55"/>
      <c r="F289" s="75"/>
      <c r="G289" s="76"/>
      <c r="H289" s="76"/>
      <c r="I289" s="48"/>
      <c r="J289" s="70"/>
      <c r="K289" s="70"/>
      <c r="L289" s="189" t="s">
        <v>964</v>
      </c>
      <c r="M289" s="190" t="s">
        <v>788</v>
      </c>
      <c r="N289" s="189" t="s">
        <v>34</v>
      </c>
      <c r="O289" s="191">
        <v>1</v>
      </c>
      <c r="P289" s="192">
        <v>17.3</v>
      </c>
      <c r="Q289" s="192">
        <v>17.3</v>
      </c>
      <c r="R289" s="182"/>
      <c r="U289" s="128"/>
    </row>
    <row r="290" spans="1:21" ht="15.6" x14ac:dyDescent="0.3">
      <c r="A290" s="53"/>
      <c r="B290" s="54"/>
      <c r="C290" s="54"/>
      <c r="D290" s="54"/>
      <c r="E290" s="55"/>
      <c r="F290" s="75"/>
      <c r="G290" s="76"/>
      <c r="H290" s="76"/>
      <c r="I290" s="48"/>
      <c r="J290" s="70"/>
      <c r="K290" s="70"/>
      <c r="L290" s="189" t="s">
        <v>875</v>
      </c>
      <c r="M290" s="190" t="s">
        <v>876</v>
      </c>
      <c r="N290" s="189" t="s">
        <v>34</v>
      </c>
      <c r="O290" s="191">
        <v>1</v>
      </c>
      <c r="P290" s="244">
        <v>1603.96</v>
      </c>
      <c r="Q290" s="244">
        <v>1603.96</v>
      </c>
      <c r="R290" s="182"/>
      <c r="U290" s="128"/>
    </row>
    <row r="291" spans="1:21" ht="15.6" x14ac:dyDescent="0.3">
      <c r="A291" s="53"/>
      <c r="B291" s="54"/>
      <c r="C291" s="54"/>
      <c r="D291" s="54"/>
      <c r="E291" s="55"/>
      <c r="F291" s="75"/>
      <c r="G291" s="76"/>
      <c r="H291" s="76"/>
      <c r="I291" s="48"/>
      <c r="J291" s="70"/>
      <c r="K291" s="70"/>
      <c r="L291" s="189" t="s">
        <v>789</v>
      </c>
      <c r="M291" s="190" t="s">
        <v>790</v>
      </c>
      <c r="N291" s="189" t="s">
        <v>34</v>
      </c>
      <c r="O291" s="191">
        <v>16</v>
      </c>
      <c r="P291" s="192">
        <v>10</v>
      </c>
      <c r="Q291" s="192">
        <v>160</v>
      </c>
      <c r="R291" s="182"/>
      <c r="U291" s="128"/>
    </row>
    <row r="292" spans="1:21" ht="15.6" x14ac:dyDescent="0.3">
      <c r="A292" s="53"/>
      <c r="B292" s="54"/>
      <c r="C292" s="54"/>
      <c r="D292" s="54"/>
      <c r="E292" s="55"/>
      <c r="F292" s="75"/>
      <c r="G292" s="76"/>
      <c r="H292" s="76"/>
      <c r="I292" s="48"/>
      <c r="J292" s="70"/>
      <c r="K292" s="70"/>
      <c r="L292" s="189" t="s">
        <v>791</v>
      </c>
      <c r="M292" s="190" t="s">
        <v>792</v>
      </c>
      <c r="N292" s="189" t="s">
        <v>34</v>
      </c>
      <c r="O292" s="191">
        <v>5</v>
      </c>
      <c r="P292" s="192">
        <v>10</v>
      </c>
      <c r="Q292" s="192">
        <v>50</v>
      </c>
      <c r="R292" s="182"/>
      <c r="U292" s="128"/>
    </row>
    <row r="293" spans="1:21" ht="15.6" x14ac:dyDescent="0.3">
      <c r="A293" s="53"/>
      <c r="B293" s="54"/>
      <c r="C293" s="54"/>
      <c r="D293" s="54"/>
      <c r="E293" s="55"/>
      <c r="F293" s="75"/>
      <c r="G293" s="76"/>
      <c r="H293" s="76"/>
      <c r="I293" s="48"/>
      <c r="J293" s="70"/>
      <c r="K293" s="70"/>
      <c r="L293" s="189" t="s">
        <v>796</v>
      </c>
      <c r="M293" s="190" t="s">
        <v>797</v>
      </c>
      <c r="N293" s="189" t="s">
        <v>34</v>
      </c>
      <c r="O293" s="191">
        <v>1.0900000000000001</v>
      </c>
      <c r="P293" s="192">
        <v>338.33</v>
      </c>
      <c r="Q293" s="192">
        <v>368.78</v>
      </c>
      <c r="R293" s="182"/>
      <c r="U293" s="128"/>
    </row>
    <row r="294" spans="1:21" ht="15.6" x14ac:dyDescent="0.3">
      <c r="A294" s="53"/>
      <c r="B294" s="54"/>
      <c r="C294" s="54"/>
      <c r="D294" s="54"/>
      <c r="E294" s="55"/>
      <c r="F294" s="75"/>
      <c r="G294" s="76"/>
      <c r="H294" s="76"/>
      <c r="I294" s="48"/>
      <c r="J294" s="70"/>
      <c r="K294" s="70"/>
      <c r="L294" s="189" t="s">
        <v>877</v>
      </c>
      <c r="M294" s="190" t="s">
        <v>878</v>
      </c>
      <c r="N294" s="189" t="s">
        <v>34</v>
      </c>
      <c r="O294" s="191">
        <v>1</v>
      </c>
      <c r="P294" s="192">
        <v>366.36</v>
      </c>
      <c r="Q294" s="192">
        <v>366.36</v>
      </c>
      <c r="R294" s="182"/>
      <c r="U294" s="128"/>
    </row>
    <row r="295" spans="1:21" ht="15.6" x14ac:dyDescent="0.3">
      <c r="A295" s="53"/>
      <c r="B295" s="54"/>
      <c r="C295" s="54"/>
      <c r="D295" s="54"/>
      <c r="E295" s="55"/>
      <c r="F295" s="75"/>
      <c r="G295" s="76"/>
      <c r="H295" s="76"/>
      <c r="I295" s="48"/>
      <c r="J295" s="70"/>
      <c r="K295" s="70"/>
      <c r="L295" s="189" t="s">
        <v>887</v>
      </c>
      <c r="M295" s="190" t="s">
        <v>888</v>
      </c>
      <c r="N295" s="189" t="s">
        <v>34</v>
      </c>
      <c r="O295" s="191">
        <v>3</v>
      </c>
      <c r="P295" s="192">
        <v>44.6</v>
      </c>
      <c r="Q295" s="192">
        <v>133.80000000000001</v>
      </c>
      <c r="R295" s="182"/>
      <c r="U295" s="128"/>
    </row>
    <row r="296" spans="1:21" ht="15.6" x14ac:dyDescent="0.3">
      <c r="A296" s="53"/>
      <c r="B296" s="54"/>
      <c r="C296" s="54"/>
      <c r="D296" s="54"/>
      <c r="E296" s="55"/>
      <c r="F296" s="75"/>
      <c r="G296" s="76"/>
      <c r="H296" s="76"/>
      <c r="I296" s="48"/>
      <c r="J296" s="70"/>
      <c r="K296" s="70"/>
      <c r="L296" s="189" t="s">
        <v>915</v>
      </c>
      <c r="M296" s="190" t="s">
        <v>916</v>
      </c>
      <c r="N296" s="189" t="s">
        <v>34</v>
      </c>
      <c r="O296" s="191">
        <v>1</v>
      </c>
      <c r="P296" s="192">
        <v>21.9</v>
      </c>
      <c r="Q296" s="192">
        <v>21.9</v>
      </c>
      <c r="R296" s="182"/>
      <c r="U296" s="128"/>
    </row>
    <row r="297" spans="1:21" ht="15.6" x14ac:dyDescent="0.3">
      <c r="A297" s="53"/>
      <c r="B297" s="54"/>
      <c r="C297" s="54"/>
      <c r="D297" s="54"/>
      <c r="E297" s="55"/>
      <c r="F297" s="75"/>
      <c r="G297" s="76"/>
      <c r="H297" s="76"/>
      <c r="I297" s="48"/>
      <c r="J297" s="70"/>
      <c r="K297" s="70"/>
      <c r="L297" s="189" t="s">
        <v>891</v>
      </c>
      <c r="M297" s="190" t="s">
        <v>892</v>
      </c>
      <c r="N297" s="189" t="s">
        <v>34</v>
      </c>
      <c r="O297" s="191">
        <v>3</v>
      </c>
      <c r="P297" s="192">
        <v>717.01</v>
      </c>
      <c r="Q297" s="244">
        <v>2151.02</v>
      </c>
      <c r="R297" s="182"/>
      <c r="U297" s="128"/>
    </row>
    <row r="298" spans="1:21" ht="15.6" x14ac:dyDescent="0.3">
      <c r="A298" s="53"/>
      <c r="B298" s="54"/>
      <c r="C298" s="54"/>
      <c r="D298" s="54"/>
      <c r="E298" s="55"/>
      <c r="F298" s="75"/>
      <c r="G298" s="76"/>
      <c r="H298" s="76"/>
      <c r="I298" s="48"/>
      <c r="J298" s="70"/>
      <c r="K298" s="70"/>
      <c r="L298" s="189" t="s">
        <v>859</v>
      </c>
      <c r="M298" s="190" t="s">
        <v>904</v>
      </c>
      <c r="N298" s="189" t="s">
        <v>34</v>
      </c>
      <c r="O298" s="191">
        <v>1</v>
      </c>
      <c r="P298" s="244">
        <v>3249.17</v>
      </c>
      <c r="Q298" s="244">
        <v>3249.17</v>
      </c>
      <c r="R298" s="182"/>
      <c r="U298" s="128"/>
    </row>
    <row r="299" spans="1:21" ht="15.6" x14ac:dyDescent="0.3">
      <c r="A299" s="53"/>
      <c r="B299" s="54"/>
      <c r="C299" s="54"/>
      <c r="D299" s="54"/>
      <c r="E299" s="55"/>
      <c r="F299" s="75"/>
      <c r="G299" s="76"/>
      <c r="H299" s="76"/>
      <c r="I299" s="48"/>
      <c r="J299" s="70"/>
      <c r="K299" s="70"/>
      <c r="L299" s="189" t="s">
        <v>868</v>
      </c>
      <c r="M299" s="190" t="s">
        <v>1047</v>
      </c>
      <c r="N299" s="189" t="s">
        <v>34</v>
      </c>
      <c r="O299" s="191">
        <v>1</v>
      </c>
      <c r="P299" s="192">
        <v>586.46</v>
      </c>
      <c r="Q299" s="192">
        <v>586.46</v>
      </c>
      <c r="R299" s="182"/>
      <c r="U299" s="128"/>
    </row>
    <row r="300" spans="1:21" ht="15.6" x14ac:dyDescent="0.3">
      <c r="A300" s="53"/>
      <c r="B300" s="54"/>
      <c r="C300" s="54"/>
      <c r="D300" s="54"/>
      <c r="E300" s="55"/>
      <c r="F300" s="75"/>
      <c r="G300" s="76"/>
      <c r="H300" s="76"/>
      <c r="I300" s="48"/>
      <c r="J300" s="70"/>
      <c r="K300" s="70"/>
      <c r="L300" s="189" t="s">
        <v>1152</v>
      </c>
      <c r="M300" s="190" t="s">
        <v>1239</v>
      </c>
      <c r="N300" s="189" t="s">
        <v>34</v>
      </c>
      <c r="O300" s="191">
        <v>1</v>
      </c>
      <c r="P300" s="192">
        <v>382</v>
      </c>
      <c r="Q300" s="192">
        <v>382</v>
      </c>
      <c r="R300" s="182"/>
      <c r="U300" s="128"/>
    </row>
    <row r="301" spans="1:21" ht="15.6" x14ac:dyDescent="0.3">
      <c r="A301" s="53"/>
      <c r="B301" s="54"/>
      <c r="C301" s="54"/>
      <c r="D301" s="54"/>
      <c r="E301" s="55"/>
      <c r="F301" s="75"/>
      <c r="G301" s="76"/>
      <c r="H301" s="76"/>
      <c r="I301" s="48"/>
      <c r="J301" s="70"/>
      <c r="K301" s="70"/>
      <c r="L301" s="189" t="s">
        <v>1149</v>
      </c>
      <c r="M301" s="190" t="s">
        <v>1236</v>
      </c>
      <c r="N301" s="189" t="s">
        <v>34</v>
      </c>
      <c r="O301" s="191">
        <v>1</v>
      </c>
      <c r="P301" s="192">
        <v>17.420000000000002</v>
      </c>
      <c r="Q301" s="192">
        <v>17.420000000000002</v>
      </c>
      <c r="R301" s="182"/>
      <c r="U301" s="128"/>
    </row>
    <row r="302" spans="1:21" ht="15.6" x14ac:dyDescent="0.3">
      <c r="A302" s="53"/>
      <c r="B302" s="54"/>
      <c r="C302" s="54"/>
      <c r="D302" s="54"/>
      <c r="E302" s="55"/>
      <c r="F302" s="75"/>
      <c r="G302" s="76"/>
      <c r="H302" s="76"/>
      <c r="I302" s="48"/>
      <c r="J302" s="70"/>
      <c r="K302" s="70"/>
      <c r="L302" s="189" t="s">
        <v>1150</v>
      </c>
      <c r="M302" s="190" t="s">
        <v>1237</v>
      </c>
      <c r="N302" s="189" t="s">
        <v>34</v>
      </c>
      <c r="O302" s="191">
        <v>116</v>
      </c>
      <c r="P302" s="192">
        <v>27.72</v>
      </c>
      <c r="Q302" s="244">
        <v>3215.52</v>
      </c>
      <c r="R302" s="182"/>
      <c r="U302" s="128"/>
    </row>
    <row r="303" spans="1:21" ht="15.6" x14ac:dyDescent="0.3">
      <c r="A303" s="53"/>
      <c r="B303" s="54"/>
      <c r="C303" s="54"/>
      <c r="D303" s="54"/>
      <c r="E303" s="55"/>
      <c r="F303" s="75"/>
      <c r="G303" s="76"/>
      <c r="H303" s="76"/>
      <c r="I303" s="48"/>
      <c r="J303" s="70"/>
      <c r="K303" s="70"/>
      <c r="L303" s="189" t="s">
        <v>793</v>
      </c>
      <c r="M303" s="190" t="s">
        <v>1052</v>
      </c>
      <c r="N303" s="189" t="s">
        <v>34</v>
      </c>
      <c r="O303" s="191">
        <v>73</v>
      </c>
      <c r="P303" s="192">
        <v>6.44</v>
      </c>
      <c r="Q303" s="192">
        <v>470.12</v>
      </c>
      <c r="R303" s="182"/>
      <c r="U303" s="128"/>
    </row>
    <row r="304" spans="1:21" ht="15.6" x14ac:dyDescent="0.3">
      <c r="A304" s="53"/>
      <c r="B304" s="54"/>
      <c r="C304" s="54"/>
      <c r="D304" s="54"/>
      <c r="E304" s="55"/>
      <c r="F304" s="75"/>
      <c r="G304" s="76"/>
      <c r="H304" s="76"/>
      <c r="I304" s="48"/>
      <c r="J304" s="70"/>
      <c r="K304" s="70"/>
      <c r="L304" s="189" t="s">
        <v>965</v>
      </c>
      <c r="M304" s="190" t="s">
        <v>382</v>
      </c>
      <c r="N304" s="189" t="s">
        <v>34</v>
      </c>
      <c r="O304" s="191">
        <v>16</v>
      </c>
      <c r="P304" s="192">
        <v>3.8</v>
      </c>
      <c r="Q304" s="192">
        <v>60.8</v>
      </c>
      <c r="R304" s="182"/>
      <c r="U304" s="128"/>
    </row>
    <row r="305" spans="1:21" ht="15.6" x14ac:dyDescent="0.3">
      <c r="A305" s="53"/>
      <c r="B305" s="54"/>
      <c r="C305" s="54"/>
      <c r="D305" s="54"/>
      <c r="E305" s="55"/>
      <c r="F305" s="75"/>
      <c r="G305" s="76"/>
      <c r="H305" s="76"/>
      <c r="I305" s="48"/>
      <c r="J305" s="70"/>
      <c r="K305" s="70"/>
      <c r="L305" s="189" t="s">
        <v>794</v>
      </c>
      <c r="M305" s="190" t="s">
        <v>795</v>
      </c>
      <c r="N305" s="189" t="s">
        <v>57</v>
      </c>
      <c r="O305" s="191">
        <v>216</v>
      </c>
      <c r="P305" s="192">
        <v>18.13</v>
      </c>
      <c r="Q305" s="244">
        <v>3916.08</v>
      </c>
      <c r="R305" s="182"/>
      <c r="U305" s="128"/>
    </row>
    <row r="306" spans="1:21" ht="15.6" x14ac:dyDescent="0.3">
      <c r="A306" s="53"/>
      <c r="B306" s="54"/>
      <c r="C306" s="54"/>
      <c r="D306" s="54"/>
      <c r="E306" s="55"/>
      <c r="F306" s="75"/>
      <c r="G306" s="76"/>
      <c r="H306" s="76"/>
      <c r="I306" s="48"/>
      <c r="J306" s="70"/>
      <c r="K306" s="70"/>
      <c r="L306" s="189" t="s">
        <v>1184</v>
      </c>
      <c r="M306" s="190" t="s">
        <v>1267</v>
      </c>
      <c r="N306" s="189" t="s">
        <v>57</v>
      </c>
      <c r="O306" s="191">
        <v>23</v>
      </c>
      <c r="P306" s="192">
        <v>28</v>
      </c>
      <c r="Q306" s="192">
        <v>644</v>
      </c>
      <c r="R306" s="182"/>
      <c r="U306" s="128"/>
    </row>
    <row r="307" spans="1:21" ht="15.6" x14ac:dyDescent="0.3">
      <c r="A307" s="53"/>
      <c r="B307" s="54"/>
      <c r="C307" s="54"/>
      <c r="D307" s="54"/>
      <c r="E307" s="55"/>
      <c r="F307" s="75"/>
      <c r="G307" s="76"/>
      <c r="H307" s="76"/>
      <c r="I307" s="48"/>
      <c r="J307" s="70"/>
      <c r="K307" s="70"/>
      <c r="L307" s="189" t="s">
        <v>913</v>
      </c>
      <c r="M307" s="190" t="s">
        <v>914</v>
      </c>
      <c r="N307" s="189" t="s">
        <v>57</v>
      </c>
      <c r="O307" s="191">
        <v>74</v>
      </c>
      <c r="P307" s="192">
        <v>27.41</v>
      </c>
      <c r="Q307" s="244">
        <v>2028.11</v>
      </c>
      <c r="R307" s="182"/>
      <c r="U307" s="128"/>
    </row>
    <row r="308" spans="1:21" ht="15.6" x14ac:dyDescent="0.3">
      <c r="A308" s="53"/>
      <c r="B308" s="54"/>
      <c r="C308" s="54"/>
      <c r="D308" s="54"/>
      <c r="E308" s="55"/>
      <c r="F308" s="75"/>
      <c r="G308" s="76"/>
      <c r="H308" s="76"/>
      <c r="I308" s="48"/>
      <c r="J308" s="70"/>
      <c r="K308" s="70"/>
      <c r="L308" s="189" t="s">
        <v>1181</v>
      </c>
      <c r="M308" s="190" t="s">
        <v>1264</v>
      </c>
      <c r="N308" s="189" t="s">
        <v>57</v>
      </c>
      <c r="O308" s="191">
        <v>0.8</v>
      </c>
      <c r="P308" s="192">
        <v>18.13</v>
      </c>
      <c r="Q308" s="192">
        <v>14.5</v>
      </c>
      <c r="R308" s="182"/>
      <c r="U308" s="128"/>
    </row>
    <row r="309" spans="1:21" ht="15.6" x14ac:dyDescent="0.3">
      <c r="A309" s="53"/>
      <c r="B309" s="54"/>
      <c r="C309" s="54"/>
      <c r="D309" s="54"/>
      <c r="E309" s="55"/>
      <c r="F309" s="75"/>
      <c r="G309" s="76"/>
      <c r="H309" s="76"/>
      <c r="I309" s="48"/>
      <c r="J309" s="70"/>
      <c r="K309" s="70"/>
      <c r="L309" s="189" t="s">
        <v>1183</v>
      </c>
      <c r="M309" s="190" t="s">
        <v>1266</v>
      </c>
      <c r="N309" s="189" t="s">
        <v>57</v>
      </c>
      <c r="O309" s="191">
        <v>67</v>
      </c>
      <c r="P309" s="192">
        <v>20.38</v>
      </c>
      <c r="Q309" s="244">
        <v>1365.46</v>
      </c>
      <c r="R309" s="182"/>
      <c r="U309" s="128"/>
    </row>
    <row r="310" spans="1:21" ht="15.6" x14ac:dyDescent="0.3">
      <c r="A310" s="53"/>
      <c r="B310" s="54"/>
      <c r="C310" s="54"/>
      <c r="D310" s="54"/>
      <c r="E310" s="55"/>
      <c r="F310" s="75"/>
      <c r="G310" s="76"/>
      <c r="H310" s="76"/>
      <c r="I310" s="48"/>
      <c r="J310" s="70"/>
      <c r="K310" s="70"/>
      <c r="L310" s="189" t="s">
        <v>820</v>
      </c>
      <c r="M310" s="190" t="s">
        <v>821</v>
      </c>
      <c r="N310" s="189" t="s">
        <v>57</v>
      </c>
      <c r="O310" s="191">
        <v>130</v>
      </c>
      <c r="P310" s="192">
        <v>17.149999999999999</v>
      </c>
      <c r="Q310" s="244">
        <v>2229.5</v>
      </c>
      <c r="R310" s="182"/>
      <c r="U310" s="128"/>
    </row>
    <row r="311" spans="1:21" ht="15.6" x14ac:dyDescent="0.3">
      <c r="A311" s="53"/>
      <c r="B311" s="54"/>
      <c r="C311" s="54"/>
      <c r="D311" s="54"/>
      <c r="E311" s="55"/>
      <c r="F311" s="75"/>
      <c r="G311" s="76"/>
      <c r="H311" s="76"/>
      <c r="I311" s="48"/>
      <c r="J311" s="70"/>
      <c r="K311" s="70"/>
      <c r="L311" s="189" t="s">
        <v>822</v>
      </c>
      <c r="M311" s="190" t="s">
        <v>213</v>
      </c>
      <c r="N311" s="189" t="s">
        <v>57</v>
      </c>
      <c r="O311" s="191">
        <v>70</v>
      </c>
      <c r="P311" s="192">
        <v>36.24</v>
      </c>
      <c r="Q311" s="244">
        <v>2536.8000000000002</v>
      </c>
      <c r="R311" s="182"/>
      <c r="U311" s="128"/>
    </row>
    <row r="312" spans="1:21" ht="15.6" x14ac:dyDescent="0.3">
      <c r="A312" s="53"/>
      <c r="B312" s="54"/>
      <c r="C312" s="54"/>
      <c r="D312" s="54"/>
      <c r="E312" s="55"/>
      <c r="F312" s="75"/>
      <c r="G312" s="76"/>
      <c r="H312" s="76"/>
      <c r="I312" s="48"/>
      <c r="J312" s="70"/>
      <c r="K312" s="70"/>
      <c r="L312" s="189" t="s">
        <v>1182</v>
      </c>
      <c r="M312" s="190" t="s">
        <v>1265</v>
      </c>
      <c r="N312" s="189" t="s">
        <v>57</v>
      </c>
      <c r="O312" s="191">
        <v>115</v>
      </c>
      <c r="P312" s="192">
        <v>40.270000000000003</v>
      </c>
      <c r="Q312" s="244">
        <v>4631.05</v>
      </c>
      <c r="R312" s="182"/>
      <c r="U312" s="128"/>
    </row>
    <row r="313" spans="1:21" ht="30" x14ac:dyDescent="0.3">
      <c r="A313" s="53"/>
      <c r="B313" s="54"/>
      <c r="C313" s="54"/>
      <c r="D313" s="54"/>
      <c r="E313" s="55"/>
      <c r="F313" s="75"/>
      <c r="G313" s="76"/>
      <c r="H313" s="76"/>
      <c r="I313" s="48"/>
      <c r="J313" s="70"/>
      <c r="K313" s="70"/>
      <c r="L313" s="189" t="s">
        <v>1019</v>
      </c>
      <c r="M313" s="190" t="s">
        <v>836</v>
      </c>
      <c r="N313" s="189" t="s">
        <v>57</v>
      </c>
      <c r="O313" s="191">
        <v>44</v>
      </c>
      <c r="P313" s="192">
        <v>6.09</v>
      </c>
      <c r="Q313" s="192">
        <v>267.95999999999998</v>
      </c>
      <c r="R313" s="182"/>
      <c r="U313" s="128"/>
    </row>
    <row r="314" spans="1:21" ht="18" customHeight="1" x14ac:dyDescent="0.3">
      <c r="A314" s="53"/>
      <c r="B314" s="54"/>
      <c r="C314" s="54"/>
      <c r="D314" s="54"/>
      <c r="E314" s="55"/>
      <c r="F314" s="75"/>
      <c r="G314" s="76"/>
      <c r="H314" s="76"/>
      <c r="I314" s="48"/>
      <c r="J314" s="70"/>
      <c r="K314" s="70"/>
      <c r="L314" s="189" t="s">
        <v>238</v>
      </c>
      <c r="M314" s="190" t="s">
        <v>239</v>
      </c>
      <c r="N314" s="189" t="s">
        <v>57</v>
      </c>
      <c r="O314" s="191">
        <v>50</v>
      </c>
      <c r="P314" s="192">
        <v>7.92</v>
      </c>
      <c r="Q314" s="192">
        <v>396</v>
      </c>
      <c r="R314" s="182"/>
      <c r="U314" s="128"/>
    </row>
    <row r="315" spans="1:21" ht="30" x14ac:dyDescent="0.3">
      <c r="A315" s="53"/>
      <c r="B315" s="54"/>
      <c r="C315" s="54"/>
      <c r="D315" s="54"/>
      <c r="E315" s="55"/>
      <c r="F315" s="75"/>
      <c r="G315" s="76"/>
      <c r="H315" s="76"/>
      <c r="I315" s="48"/>
      <c r="J315" s="70"/>
      <c r="K315" s="70"/>
      <c r="L315" s="189" t="s">
        <v>1020</v>
      </c>
      <c r="M315" s="190" t="s">
        <v>102</v>
      </c>
      <c r="N315" s="189" t="s">
        <v>57</v>
      </c>
      <c r="O315" s="191">
        <v>7</v>
      </c>
      <c r="P315" s="192">
        <v>7.92</v>
      </c>
      <c r="Q315" s="192">
        <v>55.44</v>
      </c>
      <c r="R315" s="182"/>
      <c r="U315" s="128"/>
    </row>
    <row r="316" spans="1:21" ht="15.6" x14ac:dyDescent="0.3">
      <c r="A316" s="53"/>
      <c r="B316" s="54"/>
      <c r="C316" s="54"/>
      <c r="D316" s="54"/>
      <c r="E316" s="55"/>
      <c r="F316" s="75"/>
      <c r="G316" s="76"/>
      <c r="H316" s="76"/>
      <c r="I316" s="48"/>
      <c r="J316" s="70"/>
      <c r="K316" s="70"/>
      <c r="L316" s="189" t="s">
        <v>1021</v>
      </c>
      <c r="M316" s="190" t="s">
        <v>483</v>
      </c>
      <c r="N316" s="189" t="s">
        <v>57</v>
      </c>
      <c r="O316" s="191">
        <v>7</v>
      </c>
      <c r="P316" s="192">
        <v>44.81</v>
      </c>
      <c r="Q316" s="192">
        <v>313.67</v>
      </c>
      <c r="R316" s="182"/>
      <c r="U316" s="128"/>
    </row>
    <row r="317" spans="1:21" ht="15.6" x14ac:dyDescent="0.3">
      <c r="A317" s="53"/>
      <c r="B317" s="54"/>
      <c r="C317" s="54"/>
      <c r="D317" s="54"/>
      <c r="E317" s="55"/>
      <c r="F317" s="75"/>
      <c r="G317" s="76"/>
      <c r="H317" s="76"/>
      <c r="I317" s="48"/>
      <c r="J317" s="70"/>
      <c r="K317" s="70"/>
      <c r="L317" s="189" t="s">
        <v>1022</v>
      </c>
      <c r="M317" s="190" t="s">
        <v>178</v>
      </c>
      <c r="N317" s="189" t="s">
        <v>56</v>
      </c>
      <c r="O317" s="191">
        <v>5.0000000000000001E-3</v>
      </c>
      <c r="P317" s="244">
        <v>40802</v>
      </c>
      <c r="Q317" s="192">
        <v>204.01</v>
      </c>
      <c r="R317" s="182"/>
      <c r="U317" s="128"/>
    </row>
    <row r="318" spans="1:21" ht="15.6" x14ac:dyDescent="0.3">
      <c r="A318" s="53"/>
      <c r="B318" s="54"/>
      <c r="C318" s="54"/>
      <c r="D318" s="54"/>
      <c r="E318" s="55"/>
      <c r="F318" s="75"/>
      <c r="G318" s="76"/>
      <c r="H318" s="76"/>
      <c r="I318" s="48"/>
      <c r="J318" s="70"/>
      <c r="K318" s="70"/>
      <c r="L318" s="189" t="s">
        <v>1023</v>
      </c>
      <c r="M318" s="190" t="s">
        <v>70</v>
      </c>
      <c r="N318" s="189" t="s">
        <v>56</v>
      </c>
      <c r="O318" s="191">
        <v>0.1</v>
      </c>
      <c r="P318" s="244">
        <v>27143</v>
      </c>
      <c r="Q318" s="244">
        <v>2714.3</v>
      </c>
      <c r="R318" s="182"/>
      <c r="U318" s="128"/>
    </row>
    <row r="319" spans="1:21" ht="15.6" x14ac:dyDescent="0.3">
      <c r="A319" s="53"/>
      <c r="B319" s="54"/>
      <c r="C319" s="54"/>
      <c r="D319" s="54"/>
      <c r="E319" s="55"/>
      <c r="F319" s="75"/>
      <c r="G319" s="76"/>
      <c r="H319" s="76"/>
      <c r="I319" s="48"/>
      <c r="J319" s="70"/>
      <c r="K319" s="70"/>
      <c r="L319" s="189" t="s">
        <v>1024</v>
      </c>
      <c r="M319" s="190" t="s">
        <v>71</v>
      </c>
      <c r="N319" s="189" t="s">
        <v>56</v>
      </c>
      <c r="O319" s="191">
        <v>0.1</v>
      </c>
      <c r="P319" s="244">
        <v>43560</v>
      </c>
      <c r="Q319" s="244">
        <v>4356</v>
      </c>
      <c r="R319" s="182"/>
      <c r="U319" s="128"/>
    </row>
    <row r="320" spans="1:21" ht="15.6" x14ac:dyDescent="0.3">
      <c r="A320" s="53"/>
      <c r="B320" s="54"/>
      <c r="C320" s="54"/>
      <c r="D320" s="54"/>
      <c r="E320" s="55"/>
      <c r="F320" s="75"/>
      <c r="G320" s="76"/>
      <c r="H320" s="76"/>
      <c r="I320" s="48"/>
      <c r="J320" s="70"/>
      <c r="K320" s="70"/>
      <c r="L320" s="189" t="s">
        <v>1025</v>
      </c>
      <c r="M320" s="190" t="s">
        <v>72</v>
      </c>
      <c r="N320" s="189" t="s">
        <v>56</v>
      </c>
      <c r="O320" s="191">
        <v>2.4E-2</v>
      </c>
      <c r="P320" s="244">
        <v>67490.42</v>
      </c>
      <c r="Q320" s="244">
        <v>1619.77</v>
      </c>
      <c r="R320" s="182"/>
      <c r="U320" s="128"/>
    </row>
    <row r="321" spans="1:21" ht="15.6" x14ac:dyDescent="0.3">
      <c r="A321" s="53"/>
      <c r="B321" s="54"/>
      <c r="C321" s="54"/>
      <c r="D321" s="54"/>
      <c r="E321" s="55"/>
      <c r="F321" s="75"/>
      <c r="G321" s="76"/>
      <c r="H321" s="76"/>
      <c r="I321" s="48"/>
      <c r="J321" s="70"/>
      <c r="K321" s="70"/>
      <c r="L321" s="189" t="s">
        <v>1027</v>
      </c>
      <c r="M321" s="190" t="s">
        <v>803</v>
      </c>
      <c r="N321" s="189" t="s">
        <v>45</v>
      </c>
      <c r="O321" s="191">
        <v>34</v>
      </c>
      <c r="P321" s="192">
        <v>333.25</v>
      </c>
      <c r="Q321" s="244">
        <v>11330.5</v>
      </c>
      <c r="R321" s="182"/>
      <c r="U321" s="128"/>
    </row>
    <row r="322" spans="1:21" ht="15.6" x14ac:dyDescent="0.3">
      <c r="A322" s="53"/>
      <c r="B322" s="54"/>
      <c r="C322" s="54"/>
      <c r="D322" s="54"/>
      <c r="E322" s="55"/>
      <c r="F322" s="75"/>
      <c r="G322" s="76"/>
      <c r="H322" s="76"/>
      <c r="I322" s="48"/>
      <c r="J322" s="70"/>
      <c r="K322" s="70"/>
      <c r="L322" s="189" t="s">
        <v>1185</v>
      </c>
      <c r="M322" s="190" t="s">
        <v>1268</v>
      </c>
      <c r="N322" s="189" t="s">
        <v>45</v>
      </c>
      <c r="O322" s="191">
        <v>5</v>
      </c>
      <c r="P322" s="192">
        <v>226</v>
      </c>
      <c r="Q322" s="244">
        <v>1130</v>
      </c>
      <c r="R322" s="182"/>
      <c r="U322" s="128"/>
    </row>
    <row r="323" spans="1:21" ht="15.6" x14ac:dyDescent="0.3">
      <c r="A323" s="53"/>
      <c r="B323" s="54"/>
      <c r="C323" s="54"/>
      <c r="D323" s="54"/>
      <c r="E323" s="55"/>
      <c r="F323" s="75"/>
      <c r="G323" s="76"/>
      <c r="H323" s="76"/>
      <c r="I323" s="48"/>
      <c r="J323" s="70"/>
      <c r="K323" s="70"/>
      <c r="L323" s="189" t="s">
        <v>746</v>
      </c>
      <c r="M323" s="190" t="s">
        <v>895</v>
      </c>
      <c r="N323" s="189" t="s">
        <v>45</v>
      </c>
      <c r="O323" s="191">
        <v>18</v>
      </c>
      <c r="P323" s="192">
        <v>280</v>
      </c>
      <c r="Q323" s="244">
        <v>5040</v>
      </c>
      <c r="R323" s="182"/>
      <c r="U323" s="128"/>
    </row>
    <row r="324" spans="1:21" ht="15.6" x14ac:dyDescent="0.3">
      <c r="A324" s="53"/>
      <c r="B324" s="54"/>
      <c r="C324" s="54"/>
      <c r="D324" s="54"/>
      <c r="E324" s="55"/>
      <c r="F324" s="75"/>
      <c r="G324" s="76"/>
      <c r="H324" s="76"/>
      <c r="I324" s="48"/>
      <c r="J324" s="70"/>
      <c r="K324" s="70"/>
      <c r="L324" s="189" t="s">
        <v>1186</v>
      </c>
      <c r="M324" s="190" t="s">
        <v>1269</v>
      </c>
      <c r="N324" s="189" t="s">
        <v>45</v>
      </c>
      <c r="O324" s="191">
        <v>11</v>
      </c>
      <c r="P324" s="192">
        <v>486.48</v>
      </c>
      <c r="Q324" s="244">
        <v>5351.28</v>
      </c>
      <c r="R324" s="182"/>
      <c r="U324" s="128"/>
    </row>
    <row r="325" spans="1:21" ht="15.6" x14ac:dyDescent="0.3">
      <c r="A325" s="53"/>
      <c r="B325" s="54"/>
      <c r="C325" s="54"/>
      <c r="D325" s="54"/>
      <c r="E325" s="55"/>
      <c r="F325" s="75"/>
      <c r="G325" s="76"/>
      <c r="H325" s="76"/>
      <c r="I325" s="48"/>
      <c r="J325" s="70"/>
      <c r="K325" s="70"/>
      <c r="L325" s="189" t="s">
        <v>1026</v>
      </c>
      <c r="M325" s="190" t="s">
        <v>80</v>
      </c>
      <c r="N325" s="189" t="s">
        <v>45</v>
      </c>
      <c r="O325" s="191">
        <v>139</v>
      </c>
      <c r="P325" s="192">
        <v>19.100000000000001</v>
      </c>
      <c r="Q325" s="244">
        <v>2654.97</v>
      </c>
      <c r="R325" s="182"/>
      <c r="U325" s="128"/>
    </row>
    <row r="326" spans="1:21" ht="15.6" x14ac:dyDescent="0.3">
      <c r="A326" s="53"/>
      <c r="B326" s="54"/>
      <c r="C326" s="54"/>
      <c r="D326" s="54"/>
      <c r="E326" s="55"/>
      <c r="F326" s="75"/>
      <c r="G326" s="76"/>
      <c r="H326" s="76"/>
      <c r="I326" s="48"/>
      <c r="J326" s="70"/>
      <c r="K326" s="70"/>
      <c r="L326" s="189" t="s">
        <v>1028</v>
      </c>
      <c r="M326" s="190" t="s">
        <v>1076</v>
      </c>
      <c r="N326" s="189" t="s">
        <v>45</v>
      </c>
      <c r="O326" s="191">
        <v>23.5</v>
      </c>
      <c r="P326" s="192">
        <v>179.06</v>
      </c>
      <c r="Q326" s="244">
        <v>4207.92</v>
      </c>
      <c r="R326" s="182"/>
      <c r="U326" s="128"/>
    </row>
    <row r="327" spans="1:21" ht="15.6" x14ac:dyDescent="0.3">
      <c r="A327" s="53"/>
      <c r="B327" s="54"/>
      <c r="C327" s="54"/>
      <c r="D327" s="54"/>
      <c r="E327" s="55"/>
      <c r="F327" s="75"/>
      <c r="G327" s="76"/>
      <c r="H327" s="76"/>
      <c r="I327" s="48"/>
      <c r="J327" s="70"/>
      <c r="K327" s="70"/>
      <c r="L327" s="189" t="s">
        <v>775</v>
      </c>
      <c r="M327" s="190" t="s">
        <v>776</v>
      </c>
      <c r="N327" s="189" t="s">
        <v>45</v>
      </c>
      <c r="O327" s="191">
        <v>24.3</v>
      </c>
      <c r="P327" s="192">
        <v>460</v>
      </c>
      <c r="Q327" s="244">
        <v>11178</v>
      </c>
      <c r="R327" s="182"/>
      <c r="U327" s="128"/>
    </row>
    <row r="328" spans="1:21" ht="15.6" x14ac:dyDescent="0.3">
      <c r="A328" s="53"/>
      <c r="B328" s="54"/>
      <c r="C328" s="54"/>
      <c r="D328" s="54"/>
      <c r="E328" s="55"/>
      <c r="F328" s="75"/>
      <c r="G328" s="76"/>
      <c r="H328" s="76"/>
      <c r="I328" s="48"/>
      <c r="J328" s="70"/>
      <c r="K328" s="70"/>
      <c r="L328" s="189" t="s">
        <v>1187</v>
      </c>
      <c r="M328" s="190" t="s">
        <v>1270</v>
      </c>
      <c r="N328" s="189" t="s">
        <v>45</v>
      </c>
      <c r="O328" s="191">
        <v>1.1819999999999999</v>
      </c>
      <c r="P328" s="192">
        <v>150.16999999999999</v>
      </c>
      <c r="Q328" s="192">
        <v>177.5</v>
      </c>
      <c r="R328" s="182"/>
      <c r="U328" s="128"/>
    </row>
    <row r="329" spans="1:21" ht="15.6" x14ac:dyDescent="0.3">
      <c r="A329" s="53"/>
      <c r="B329" s="54"/>
      <c r="C329" s="54"/>
      <c r="D329" s="54"/>
      <c r="E329" s="55"/>
      <c r="F329" s="75"/>
      <c r="G329" s="76"/>
      <c r="H329" s="76"/>
      <c r="I329" s="48"/>
      <c r="J329" s="70"/>
      <c r="K329" s="70"/>
      <c r="L329" s="189" t="s">
        <v>1030</v>
      </c>
      <c r="M329" s="190" t="s">
        <v>1078</v>
      </c>
      <c r="N329" s="189" t="s">
        <v>214</v>
      </c>
      <c r="O329" s="191">
        <v>0.36499999999999999</v>
      </c>
      <c r="P329" s="244">
        <v>8966.66</v>
      </c>
      <c r="Q329" s="244">
        <v>3272.83</v>
      </c>
      <c r="R329" s="182"/>
      <c r="U329" s="128"/>
    </row>
    <row r="330" spans="1:21" ht="18" customHeight="1" x14ac:dyDescent="0.3">
      <c r="A330" s="53"/>
      <c r="B330" s="54"/>
      <c r="C330" s="54"/>
      <c r="D330" s="54"/>
      <c r="E330" s="55"/>
      <c r="F330" s="75"/>
      <c r="G330" s="76"/>
      <c r="H330" s="76"/>
      <c r="I330" s="48"/>
      <c r="J330" s="70"/>
      <c r="K330" s="70"/>
      <c r="L330" s="189" t="s">
        <v>1188</v>
      </c>
      <c r="M330" s="190" t="s">
        <v>1271</v>
      </c>
      <c r="N330" s="189" t="s">
        <v>214</v>
      </c>
      <c r="O330" s="191">
        <v>0.09</v>
      </c>
      <c r="P330" s="244">
        <v>14916.11</v>
      </c>
      <c r="Q330" s="244">
        <v>1342.45</v>
      </c>
      <c r="R330" s="182"/>
      <c r="U330" s="128"/>
    </row>
    <row r="331" spans="1:21" ht="15.6" x14ac:dyDescent="0.3">
      <c r="A331" s="53"/>
      <c r="B331" s="54"/>
      <c r="C331" s="54"/>
      <c r="D331" s="54"/>
      <c r="E331" s="55"/>
      <c r="F331" s="75"/>
      <c r="G331" s="76"/>
      <c r="H331" s="76"/>
      <c r="I331" s="48"/>
      <c r="J331" s="70"/>
      <c r="K331" s="70"/>
      <c r="L331" s="189" t="s">
        <v>1029</v>
      </c>
      <c r="M331" s="190" t="s">
        <v>1077</v>
      </c>
      <c r="N331" s="189" t="s">
        <v>214</v>
      </c>
      <c r="O331" s="191">
        <v>9.6000000000000002E-2</v>
      </c>
      <c r="P331" s="244">
        <v>10443.33</v>
      </c>
      <c r="Q331" s="244">
        <v>1002.56</v>
      </c>
      <c r="R331" s="182"/>
      <c r="U331" s="128"/>
    </row>
    <row r="332" spans="1:21" ht="15.6" x14ac:dyDescent="0.3">
      <c r="A332" s="53"/>
      <c r="B332" s="54"/>
      <c r="C332" s="54"/>
      <c r="D332" s="54"/>
      <c r="E332" s="55"/>
      <c r="F332" s="75"/>
      <c r="G332" s="76"/>
      <c r="H332" s="76"/>
      <c r="I332" s="48"/>
      <c r="J332" s="70"/>
      <c r="K332" s="70"/>
      <c r="L332" s="189" t="s">
        <v>893</v>
      </c>
      <c r="M332" s="190" t="s">
        <v>894</v>
      </c>
      <c r="N332" s="189" t="s">
        <v>214</v>
      </c>
      <c r="O332" s="191">
        <v>0.3</v>
      </c>
      <c r="P332" s="244">
        <v>10760</v>
      </c>
      <c r="Q332" s="244">
        <v>3228</v>
      </c>
      <c r="R332" s="182"/>
      <c r="U332" s="128"/>
    </row>
    <row r="333" spans="1:21" ht="15.6" x14ac:dyDescent="0.3">
      <c r="A333" s="53"/>
      <c r="B333" s="54"/>
      <c r="C333" s="54"/>
      <c r="D333" s="54"/>
      <c r="E333" s="55"/>
      <c r="F333" s="75"/>
      <c r="G333" s="76"/>
      <c r="H333" s="76"/>
      <c r="I333" s="48"/>
      <c r="J333" s="70"/>
      <c r="K333" s="70"/>
      <c r="L333" s="189" t="s">
        <v>1316</v>
      </c>
      <c r="M333" s="190" t="s">
        <v>1350</v>
      </c>
      <c r="N333" s="189" t="s">
        <v>39</v>
      </c>
      <c r="O333" s="191">
        <v>1.2999999999999999E-2</v>
      </c>
      <c r="P333" s="244">
        <v>31616.92</v>
      </c>
      <c r="Q333" s="192">
        <v>411.02</v>
      </c>
      <c r="R333" s="182"/>
      <c r="U333" s="128"/>
    </row>
    <row r="334" spans="1:21" ht="15.6" x14ac:dyDescent="0.3">
      <c r="A334" s="53"/>
      <c r="B334" s="54"/>
      <c r="C334" s="54"/>
      <c r="D334" s="54"/>
      <c r="E334" s="55"/>
      <c r="F334" s="75"/>
      <c r="G334" s="76"/>
      <c r="H334" s="76"/>
      <c r="I334" s="48"/>
      <c r="J334" s="70"/>
      <c r="K334" s="70"/>
      <c r="L334" s="189" t="s">
        <v>1382</v>
      </c>
      <c r="M334" s="190" t="s">
        <v>1410</v>
      </c>
      <c r="N334" s="189" t="s">
        <v>39</v>
      </c>
      <c r="O334" s="191">
        <v>1.4E-2</v>
      </c>
      <c r="P334" s="244">
        <v>35795</v>
      </c>
      <c r="Q334" s="192">
        <v>501.13</v>
      </c>
      <c r="R334" s="182"/>
      <c r="U334" s="128"/>
    </row>
    <row r="335" spans="1:21" ht="15.6" x14ac:dyDescent="0.3">
      <c r="A335" s="53"/>
      <c r="B335" s="54"/>
      <c r="C335" s="54"/>
      <c r="D335" s="54"/>
      <c r="E335" s="55"/>
      <c r="F335" s="75"/>
      <c r="G335" s="76"/>
      <c r="H335" s="76"/>
      <c r="I335" s="48"/>
      <c r="J335" s="70"/>
      <c r="K335" s="70"/>
      <c r="L335" s="189" t="s">
        <v>1423</v>
      </c>
      <c r="M335" s="190" t="s">
        <v>1446</v>
      </c>
      <c r="N335" s="189" t="s">
        <v>39</v>
      </c>
      <c r="O335" s="191">
        <v>5.8999999999999997E-2</v>
      </c>
      <c r="P335" s="244">
        <v>31816.95</v>
      </c>
      <c r="Q335" s="244">
        <v>1877.2</v>
      </c>
      <c r="R335" s="182"/>
      <c r="U335" s="128"/>
    </row>
    <row r="336" spans="1:21" ht="15.6" x14ac:dyDescent="0.3">
      <c r="A336" s="53"/>
      <c r="B336" s="54"/>
      <c r="C336" s="54"/>
      <c r="D336" s="54"/>
      <c r="E336" s="55"/>
      <c r="F336" s="75"/>
      <c r="G336" s="76"/>
      <c r="H336" s="76"/>
      <c r="I336" s="48"/>
      <c r="J336" s="70"/>
      <c r="K336" s="70"/>
      <c r="L336" s="189" t="s">
        <v>1424</v>
      </c>
      <c r="M336" s="190" t="s">
        <v>228</v>
      </c>
      <c r="N336" s="189" t="s">
        <v>39</v>
      </c>
      <c r="O336" s="191">
        <v>0.03</v>
      </c>
      <c r="P336" s="244">
        <v>31733.33</v>
      </c>
      <c r="Q336" s="192">
        <v>952</v>
      </c>
      <c r="R336" s="182"/>
      <c r="U336" s="128"/>
    </row>
    <row r="337" spans="1:21" ht="15.6" x14ac:dyDescent="0.3">
      <c r="A337" s="53"/>
      <c r="B337" s="54"/>
      <c r="C337" s="54"/>
      <c r="D337" s="54"/>
      <c r="E337" s="55"/>
      <c r="F337" s="75"/>
      <c r="G337" s="76"/>
      <c r="H337" s="76"/>
      <c r="I337" s="48"/>
      <c r="J337" s="70"/>
      <c r="K337" s="70"/>
      <c r="L337" s="189" t="s">
        <v>1847</v>
      </c>
      <c r="M337" s="190" t="s">
        <v>1849</v>
      </c>
      <c r="N337" s="189" t="s">
        <v>39</v>
      </c>
      <c r="O337" s="191">
        <v>0.01</v>
      </c>
      <c r="P337" s="244">
        <v>34578</v>
      </c>
      <c r="Q337" s="192">
        <v>345.78</v>
      </c>
      <c r="R337" s="182"/>
      <c r="U337" s="128"/>
    </row>
    <row r="338" spans="1:21" ht="15.6" x14ac:dyDescent="0.3">
      <c r="A338" s="53"/>
      <c r="B338" s="54"/>
      <c r="C338" s="54"/>
      <c r="D338" s="54"/>
      <c r="E338" s="55"/>
      <c r="F338" s="75"/>
      <c r="G338" s="76"/>
      <c r="H338" s="76"/>
      <c r="I338" s="48"/>
      <c r="J338" s="70"/>
      <c r="K338" s="70"/>
      <c r="L338" s="189" t="s">
        <v>1031</v>
      </c>
      <c r="M338" s="190" t="s">
        <v>834</v>
      </c>
      <c r="N338" s="189" t="s">
        <v>39</v>
      </c>
      <c r="O338" s="191">
        <v>0.113</v>
      </c>
      <c r="P338" s="244">
        <v>32771.33</v>
      </c>
      <c r="Q338" s="244">
        <v>3703.16</v>
      </c>
      <c r="R338" s="182"/>
      <c r="U338" s="128"/>
    </row>
    <row r="339" spans="1:21" ht="15.6" x14ac:dyDescent="0.3">
      <c r="A339" s="53"/>
      <c r="B339" s="54"/>
      <c r="C339" s="54"/>
      <c r="D339" s="54"/>
      <c r="E339" s="55"/>
      <c r="F339" s="75"/>
      <c r="G339" s="76"/>
      <c r="H339" s="76"/>
      <c r="I339" s="48"/>
      <c r="J339" s="70"/>
      <c r="K339" s="70"/>
      <c r="L339" s="189"/>
      <c r="M339" s="190"/>
      <c r="N339" s="189"/>
      <c r="O339" s="191"/>
      <c r="P339" s="192"/>
      <c r="Q339" s="192"/>
      <c r="R339" s="182"/>
      <c r="U339" s="128"/>
    </row>
    <row r="340" spans="1:21" ht="15.6" x14ac:dyDescent="0.3">
      <c r="A340" s="53"/>
      <c r="B340" s="54"/>
      <c r="C340" s="54"/>
      <c r="D340" s="54"/>
      <c r="E340" s="55"/>
      <c r="F340" s="75"/>
      <c r="G340" s="76"/>
      <c r="H340" s="76"/>
      <c r="I340" s="48"/>
      <c r="J340" s="70"/>
      <c r="K340" s="70"/>
      <c r="L340" s="177"/>
      <c r="M340" s="178"/>
      <c r="N340" s="177"/>
      <c r="O340" s="179"/>
      <c r="P340" s="180"/>
      <c r="Q340" s="180"/>
      <c r="R340" s="182"/>
      <c r="U340" s="128"/>
    </row>
    <row r="341" spans="1:21" ht="18.600000000000001" thickBot="1" x14ac:dyDescent="0.35">
      <c r="A341" s="164"/>
      <c r="B341" s="148"/>
      <c r="C341" s="148"/>
      <c r="D341" s="148"/>
      <c r="E341" s="149"/>
      <c r="F341" s="165"/>
      <c r="G341" s="166"/>
      <c r="H341" s="166"/>
      <c r="I341" s="150"/>
      <c r="J341" s="151"/>
      <c r="K341" s="151"/>
      <c r="L341" s="167"/>
      <c r="M341" s="168"/>
      <c r="N341" s="167"/>
      <c r="O341" s="169"/>
      <c r="P341" s="170"/>
      <c r="Q341" s="170"/>
      <c r="R341" s="152"/>
      <c r="U341" s="128"/>
    </row>
    <row r="342" spans="1:21" ht="18.600000000000001" thickBot="1" x14ac:dyDescent="0.35">
      <c r="A342" s="231"/>
      <c r="B342" s="232"/>
      <c r="C342" s="232"/>
      <c r="D342" s="232"/>
      <c r="E342" s="233"/>
      <c r="F342" s="234"/>
      <c r="G342" s="235"/>
      <c r="H342" s="235"/>
      <c r="I342" s="236"/>
      <c r="J342" s="237"/>
      <c r="K342" s="237"/>
      <c r="L342" s="238"/>
      <c r="M342" s="239"/>
      <c r="N342" s="238"/>
      <c r="O342" s="240"/>
      <c r="P342" s="241"/>
      <c r="Q342" s="241">
        <f>SUM(Q19:Q340)</f>
        <v>560024.20000000019</v>
      </c>
      <c r="R342" s="242"/>
      <c r="U342" s="128"/>
    </row>
    <row r="343" spans="1:21" ht="18" x14ac:dyDescent="0.3">
      <c r="A343" s="171"/>
      <c r="B343" s="172"/>
      <c r="C343" s="172"/>
      <c r="D343" s="172"/>
      <c r="E343" s="173"/>
      <c r="F343" s="75"/>
      <c r="G343" s="76"/>
      <c r="H343" s="76"/>
      <c r="I343" s="174"/>
      <c r="J343" s="175"/>
      <c r="K343" s="175"/>
      <c r="L343" s="189" t="s">
        <v>1459</v>
      </c>
      <c r="M343" s="190" t="s">
        <v>1538</v>
      </c>
      <c r="N343" s="189" t="s">
        <v>34</v>
      </c>
      <c r="O343" s="191">
        <v>1</v>
      </c>
      <c r="P343" s="192">
        <v>554.5</v>
      </c>
      <c r="Q343" s="192">
        <v>554.5</v>
      </c>
      <c r="R343" s="176"/>
      <c r="U343" s="128"/>
    </row>
    <row r="344" spans="1:21" ht="18" x14ac:dyDescent="0.3">
      <c r="A344" s="53"/>
      <c r="B344" s="54"/>
      <c r="C344" s="54"/>
      <c r="D344" s="54"/>
      <c r="E344" s="55"/>
      <c r="F344" s="75"/>
      <c r="G344" s="76"/>
      <c r="H344" s="76"/>
      <c r="I344" s="48"/>
      <c r="J344" s="70"/>
      <c r="K344" s="70"/>
      <c r="L344" s="189" t="s">
        <v>1460</v>
      </c>
      <c r="M344" s="190" t="s">
        <v>1539</v>
      </c>
      <c r="N344" s="189" t="s">
        <v>34</v>
      </c>
      <c r="O344" s="191">
        <v>1</v>
      </c>
      <c r="P344" s="192">
        <v>16.600000000000001</v>
      </c>
      <c r="Q344" s="192">
        <v>16.600000000000001</v>
      </c>
      <c r="R344" s="134"/>
      <c r="U344" s="128"/>
    </row>
    <row r="345" spans="1:21" ht="18" x14ac:dyDescent="0.3">
      <c r="A345" s="53"/>
      <c r="B345" s="54"/>
      <c r="C345" s="54"/>
      <c r="D345" s="54"/>
      <c r="E345" s="55"/>
      <c r="F345" s="75"/>
      <c r="G345" s="76"/>
      <c r="H345" s="76"/>
      <c r="I345" s="48"/>
      <c r="J345" s="70"/>
      <c r="K345" s="70"/>
      <c r="L345" s="189" t="s">
        <v>1461</v>
      </c>
      <c r="M345" s="190" t="s">
        <v>1540</v>
      </c>
      <c r="N345" s="189" t="s">
        <v>34</v>
      </c>
      <c r="O345" s="191">
        <v>4</v>
      </c>
      <c r="P345" s="192">
        <v>155</v>
      </c>
      <c r="Q345" s="192">
        <v>620</v>
      </c>
      <c r="R345" s="134"/>
      <c r="U345" s="128"/>
    </row>
    <row r="346" spans="1:21" ht="18" customHeight="1" x14ac:dyDescent="0.3">
      <c r="A346" s="53"/>
      <c r="B346" s="54"/>
      <c r="C346" s="54"/>
      <c r="D346" s="54"/>
      <c r="E346" s="55"/>
      <c r="F346" s="75"/>
      <c r="G346" s="76"/>
      <c r="H346" s="76"/>
      <c r="I346" s="48"/>
      <c r="J346" s="70"/>
      <c r="K346" s="70"/>
      <c r="L346" s="189" t="s">
        <v>563</v>
      </c>
      <c r="M346" s="190" t="s">
        <v>256</v>
      </c>
      <c r="N346" s="189" t="s">
        <v>34</v>
      </c>
      <c r="O346" s="191">
        <v>1</v>
      </c>
      <c r="P346" s="192">
        <v>267</v>
      </c>
      <c r="Q346" s="192">
        <v>267</v>
      </c>
      <c r="R346" s="134"/>
      <c r="U346" s="128"/>
    </row>
    <row r="347" spans="1:21" ht="30" x14ac:dyDescent="0.3">
      <c r="A347" s="53"/>
      <c r="B347" s="54"/>
      <c r="C347" s="54"/>
      <c r="D347" s="54"/>
      <c r="E347" s="55"/>
      <c r="F347" s="75"/>
      <c r="G347" s="76"/>
      <c r="H347" s="76"/>
      <c r="I347" s="48"/>
      <c r="J347" s="70"/>
      <c r="K347" s="70"/>
      <c r="L347" s="189" t="s">
        <v>1463</v>
      </c>
      <c r="M347" s="190" t="s">
        <v>1542</v>
      </c>
      <c r="N347" s="189" t="s">
        <v>34</v>
      </c>
      <c r="O347" s="191">
        <v>1</v>
      </c>
      <c r="P347" s="192">
        <v>36</v>
      </c>
      <c r="Q347" s="192">
        <v>36</v>
      </c>
      <c r="R347" s="134"/>
      <c r="U347" s="128"/>
    </row>
    <row r="348" spans="1:21" ht="18" x14ac:dyDescent="0.3">
      <c r="A348" s="53"/>
      <c r="B348" s="54"/>
      <c r="C348" s="54"/>
      <c r="D348" s="54"/>
      <c r="E348" s="55"/>
      <c r="F348" s="75"/>
      <c r="G348" s="76"/>
      <c r="H348" s="76"/>
      <c r="I348" s="48"/>
      <c r="J348" s="70"/>
      <c r="K348" s="70"/>
      <c r="L348" s="189" t="s">
        <v>1464</v>
      </c>
      <c r="M348" s="190" t="s">
        <v>1543</v>
      </c>
      <c r="N348" s="189" t="s">
        <v>34</v>
      </c>
      <c r="O348" s="191">
        <v>6</v>
      </c>
      <c r="P348" s="192">
        <v>115.83</v>
      </c>
      <c r="Q348" s="192">
        <v>694.98</v>
      </c>
      <c r="R348" s="134"/>
      <c r="U348" s="128"/>
    </row>
    <row r="349" spans="1:21" ht="18" x14ac:dyDescent="0.3">
      <c r="A349" s="53"/>
      <c r="B349" s="54"/>
      <c r="C349" s="54"/>
      <c r="D349" s="54"/>
      <c r="E349" s="55"/>
      <c r="F349" s="75"/>
      <c r="G349" s="76"/>
      <c r="H349" s="76"/>
      <c r="I349" s="48"/>
      <c r="J349" s="70"/>
      <c r="K349" s="70"/>
      <c r="L349" s="189" t="s">
        <v>1465</v>
      </c>
      <c r="M349" s="190" t="s">
        <v>1544</v>
      </c>
      <c r="N349" s="189" t="s">
        <v>34</v>
      </c>
      <c r="O349" s="191">
        <v>1</v>
      </c>
      <c r="P349" s="192">
        <v>68.33</v>
      </c>
      <c r="Q349" s="192">
        <v>68.33</v>
      </c>
      <c r="R349" s="134"/>
      <c r="U349" s="128"/>
    </row>
    <row r="350" spans="1:21" ht="30" x14ac:dyDescent="0.3">
      <c r="A350" s="53"/>
      <c r="B350" s="54"/>
      <c r="C350" s="54"/>
      <c r="D350" s="54"/>
      <c r="E350" s="55"/>
      <c r="F350" s="75"/>
      <c r="G350" s="76"/>
      <c r="H350" s="76"/>
      <c r="I350" s="48"/>
      <c r="J350" s="70"/>
      <c r="K350" s="70"/>
      <c r="L350" s="189" t="s">
        <v>1467</v>
      </c>
      <c r="M350" s="190" t="s">
        <v>1546</v>
      </c>
      <c r="N350" s="189" t="s">
        <v>34</v>
      </c>
      <c r="O350" s="191">
        <v>1</v>
      </c>
      <c r="P350" s="192">
        <v>1</v>
      </c>
      <c r="Q350" s="192">
        <v>1</v>
      </c>
      <c r="R350" s="134"/>
      <c r="U350" s="128"/>
    </row>
    <row r="351" spans="1:21" ht="18" x14ac:dyDescent="0.3">
      <c r="A351" s="53"/>
      <c r="B351" s="54"/>
      <c r="C351" s="54"/>
      <c r="D351" s="54"/>
      <c r="E351" s="55"/>
      <c r="F351" s="75"/>
      <c r="G351" s="76"/>
      <c r="H351" s="76"/>
      <c r="I351" s="48"/>
      <c r="J351" s="70"/>
      <c r="K351" s="70"/>
      <c r="L351" s="189" t="s">
        <v>1468</v>
      </c>
      <c r="M351" s="190" t="s">
        <v>1547</v>
      </c>
      <c r="N351" s="189" t="s">
        <v>34</v>
      </c>
      <c r="O351" s="191">
        <v>1</v>
      </c>
      <c r="P351" s="192">
        <v>49</v>
      </c>
      <c r="Q351" s="192">
        <v>49</v>
      </c>
      <c r="R351" s="134"/>
      <c r="U351" s="128"/>
    </row>
    <row r="352" spans="1:21" ht="18" x14ac:dyDescent="0.3">
      <c r="A352" s="53"/>
      <c r="B352" s="54"/>
      <c r="C352" s="54"/>
      <c r="D352" s="54"/>
      <c r="E352" s="55"/>
      <c r="F352" s="75"/>
      <c r="G352" s="76"/>
      <c r="H352" s="76"/>
      <c r="I352" s="48"/>
      <c r="J352" s="70"/>
      <c r="K352" s="70"/>
      <c r="L352" s="189" t="s">
        <v>1470</v>
      </c>
      <c r="M352" s="190" t="s">
        <v>1549</v>
      </c>
      <c r="N352" s="189" t="s">
        <v>34</v>
      </c>
      <c r="O352" s="191">
        <v>6</v>
      </c>
      <c r="P352" s="192">
        <v>121.67</v>
      </c>
      <c r="Q352" s="192">
        <v>730.02</v>
      </c>
      <c r="R352" s="134"/>
      <c r="U352" s="128"/>
    </row>
    <row r="353" spans="1:21" ht="18" x14ac:dyDescent="0.3">
      <c r="A353" s="53"/>
      <c r="B353" s="54"/>
      <c r="C353" s="54"/>
      <c r="D353" s="54"/>
      <c r="E353" s="55"/>
      <c r="F353" s="75"/>
      <c r="G353" s="76"/>
      <c r="H353" s="76"/>
      <c r="I353" s="48"/>
      <c r="J353" s="70"/>
      <c r="K353" s="70"/>
      <c r="L353" s="189" t="s">
        <v>1471</v>
      </c>
      <c r="M353" s="190" t="s">
        <v>1550</v>
      </c>
      <c r="N353" s="189" t="s">
        <v>34</v>
      </c>
      <c r="O353" s="243">
        <v>1809</v>
      </c>
      <c r="P353" s="192">
        <v>0.11</v>
      </c>
      <c r="Q353" s="192">
        <v>193.56</v>
      </c>
      <c r="R353" s="134"/>
      <c r="U353" s="128"/>
    </row>
    <row r="354" spans="1:21" ht="18" x14ac:dyDescent="0.3">
      <c r="A354" s="53"/>
      <c r="B354" s="54"/>
      <c r="C354" s="54"/>
      <c r="D354" s="54"/>
      <c r="E354" s="55"/>
      <c r="F354" s="75"/>
      <c r="G354" s="76"/>
      <c r="H354" s="76"/>
      <c r="I354" s="48"/>
      <c r="J354" s="70"/>
      <c r="K354" s="70"/>
      <c r="L354" s="189" t="s">
        <v>625</v>
      </c>
      <c r="M354" s="190" t="s">
        <v>136</v>
      </c>
      <c r="N354" s="189" t="s">
        <v>34</v>
      </c>
      <c r="O354" s="191">
        <v>6</v>
      </c>
      <c r="P354" s="192">
        <v>33</v>
      </c>
      <c r="Q354" s="192">
        <v>198</v>
      </c>
      <c r="R354" s="134"/>
      <c r="U354" s="128"/>
    </row>
    <row r="355" spans="1:21" ht="18" x14ac:dyDescent="0.3">
      <c r="A355" s="53"/>
      <c r="B355" s="54"/>
      <c r="C355" s="54"/>
      <c r="D355" s="54"/>
      <c r="E355" s="55"/>
      <c r="F355" s="75"/>
      <c r="G355" s="76"/>
      <c r="H355" s="76"/>
      <c r="I355" s="48"/>
      <c r="J355" s="70"/>
      <c r="K355" s="70"/>
      <c r="L355" s="189" t="s">
        <v>1618</v>
      </c>
      <c r="M355" s="190" t="s">
        <v>1644</v>
      </c>
      <c r="N355" s="189" t="s">
        <v>34</v>
      </c>
      <c r="O355" s="191">
        <v>1</v>
      </c>
      <c r="P355" s="192">
        <v>127</v>
      </c>
      <c r="Q355" s="192">
        <v>127</v>
      </c>
      <c r="R355" s="134"/>
      <c r="U355" s="128"/>
    </row>
    <row r="356" spans="1:21" ht="18" x14ac:dyDescent="0.3">
      <c r="A356" s="53"/>
      <c r="B356" s="54"/>
      <c r="C356" s="54"/>
      <c r="D356" s="54"/>
      <c r="E356" s="55"/>
      <c r="F356" s="75"/>
      <c r="G356" s="76"/>
      <c r="H356" s="76"/>
      <c r="I356" s="48"/>
      <c r="J356" s="70"/>
      <c r="K356" s="70"/>
      <c r="L356" s="189" t="s">
        <v>698</v>
      </c>
      <c r="M356" s="190" t="s">
        <v>97</v>
      </c>
      <c r="N356" s="189" t="s">
        <v>34</v>
      </c>
      <c r="O356" s="243">
        <v>3267</v>
      </c>
      <c r="P356" s="192">
        <v>0.95</v>
      </c>
      <c r="Q356" s="244">
        <v>3109.55</v>
      </c>
      <c r="R356" s="134"/>
      <c r="U356" s="128"/>
    </row>
    <row r="357" spans="1:21" ht="18" x14ac:dyDescent="0.3">
      <c r="A357" s="53"/>
      <c r="B357" s="54"/>
      <c r="C357" s="54"/>
      <c r="D357" s="54"/>
      <c r="E357" s="55"/>
      <c r="F357" s="75"/>
      <c r="G357" s="76"/>
      <c r="H357" s="76"/>
      <c r="I357" s="48"/>
      <c r="J357" s="70"/>
      <c r="K357" s="70"/>
      <c r="L357" s="189" t="s">
        <v>1472</v>
      </c>
      <c r="M357" s="190" t="s">
        <v>1551</v>
      </c>
      <c r="N357" s="189" t="s">
        <v>34</v>
      </c>
      <c r="O357" s="191">
        <v>1</v>
      </c>
      <c r="P357" s="192">
        <v>146.25</v>
      </c>
      <c r="Q357" s="192">
        <v>146.25</v>
      </c>
      <c r="R357" s="134"/>
      <c r="U357" s="128"/>
    </row>
    <row r="358" spans="1:21" ht="18" x14ac:dyDescent="0.3">
      <c r="A358" s="53"/>
      <c r="B358" s="54"/>
      <c r="C358" s="54"/>
      <c r="D358" s="54"/>
      <c r="E358" s="55"/>
      <c r="F358" s="75"/>
      <c r="G358" s="76"/>
      <c r="H358" s="76"/>
      <c r="I358" s="48"/>
      <c r="J358" s="70"/>
      <c r="K358" s="70"/>
      <c r="L358" s="189" t="s">
        <v>1473</v>
      </c>
      <c r="M358" s="190" t="s">
        <v>1552</v>
      </c>
      <c r="N358" s="189" t="s">
        <v>34</v>
      </c>
      <c r="O358" s="191">
        <v>1</v>
      </c>
      <c r="P358" s="192">
        <v>239</v>
      </c>
      <c r="Q358" s="192">
        <v>239</v>
      </c>
      <c r="R358" s="134"/>
      <c r="U358" s="128"/>
    </row>
    <row r="359" spans="1:21" ht="18" x14ac:dyDescent="0.3">
      <c r="A359" s="53"/>
      <c r="B359" s="54"/>
      <c r="C359" s="54"/>
      <c r="D359" s="54"/>
      <c r="E359" s="55"/>
      <c r="F359" s="75"/>
      <c r="G359" s="76"/>
      <c r="H359" s="76"/>
      <c r="I359" s="48"/>
      <c r="J359" s="70"/>
      <c r="K359" s="70"/>
      <c r="L359" s="189" t="s">
        <v>1619</v>
      </c>
      <c r="M359" s="190" t="s">
        <v>1645</v>
      </c>
      <c r="N359" s="189" t="s">
        <v>34</v>
      </c>
      <c r="O359" s="191">
        <v>1</v>
      </c>
      <c r="P359" s="192">
        <v>940</v>
      </c>
      <c r="Q359" s="192">
        <v>940</v>
      </c>
      <c r="R359" s="134"/>
      <c r="U359" s="128"/>
    </row>
    <row r="360" spans="1:21" ht="18" x14ac:dyDescent="0.3">
      <c r="A360" s="53"/>
      <c r="B360" s="54"/>
      <c r="C360" s="54"/>
      <c r="D360" s="54"/>
      <c r="E360" s="55"/>
      <c r="F360" s="75"/>
      <c r="G360" s="76"/>
      <c r="H360" s="76"/>
      <c r="I360" s="48"/>
      <c r="J360" s="70"/>
      <c r="K360" s="70"/>
      <c r="L360" s="189" t="s">
        <v>677</v>
      </c>
      <c r="M360" s="190" t="s">
        <v>1554</v>
      </c>
      <c r="N360" s="189" t="s">
        <v>34</v>
      </c>
      <c r="O360" s="191">
        <v>3</v>
      </c>
      <c r="P360" s="192">
        <v>73.02</v>
      </c>
      <c r="Q360" s="192">
        <v>219.06</v>
      </c>
      <c r="R360" s="134"/>
      <c r="U360" s="128"/>
    </row>
    <row r="361" spans="1:21" ht="18" x14ac:dyDescent="0.3">
      <c r="A361" s="53"/>
      <c r="B361" s="54"/>
      <c r="C361" s="54"/>
      <c r="D361" s="54"/>
      <c r="E361" s="55"/>
      <c r="F361" s="75"/>
      <c r="G361" s="76"/>
      <c r="H361" s="76"/>
      <c r="I361" s="48"/>
      <c r="J361" s="70"/>
      <c r="K361" s="70"/>
      <c r="L361" s="189" t="s">
        <v>1620</v>
      </c>
      <c r="M361" s="190" t="s">
        <v>1646</v>
      </c>
      <c r="N361" s="189" t="s">
        <v>34</v>
      </c>
      <c r="O361" s="191">
        <v>1</v>
      </c>
      <c r="P361" s="192">
        <v>340</v>
      </c>
      <c r="Q361" s="192">
        <v>340</v>
      </c>
      <c r="R361" s="134"/>
      <c r="U361" s="128"/>
    </row>
    <row r="362" spans="1:21" ht="18" x14ac:dyDescent="0.3">
      <c r="A362" s="53"/>
      <c r="B362" s="54"/>
      <c r="C362" s="54"/>
      <c r="D362" s="54"/>
      <c r="E362" s="55"/>
      <c r="F362" s="75"/>
      <c r="G362" s="76"/>
      <c r="H362" s="76"/>
      <c r="I362" s="48"/>
      <c r="J362" s="70"/>
      <c r="K362" s="70"/>
      <c r="L362" s="189" t="s">
        <v>1621</v>
      </c>
      <c r="M362" s="190" t="s">
        <v>1647</v>
      </c>
      <c r="N362" s="189" t="s">
        <v>34</v>
      </c>
      <c r="O362" s="191">
        <v>1</v>
      </c>
      <c r="P362" s="192">
        <v>775</v>
      </c>
      <c r="Q362" s="192">
        <v>775</v>
      </c>
      <c r="R362" s="134"/>
      <c r="U362" s="128"/>
    </row>
    <row r="363" spans="1:21" ht="18" x14ac:dyDescent="0.3">
      <c r="A363" s="53"/>
      <c r="B363" s="54"/>
      <c r="C363" s="54"/>
      <c r="D363" s="54"/>
      <c r="E363" s="55"/>
      <c r="F363" s="75"/>
      <c r="G363" s="76"/>
      <c r="H363" s="76"/>
      <c r="I363" s="48"/>
      <c r="J363" s="70"/>
      <c r="K363" s="70"/>
      <c r="L363" s="189" t="s">
        <v>1142</v>
      </c>
      <c r="M363" s="190" t="s">
        <v>1229</v>
      </c>
      <c r="N363" s="189" t="s">
        <v>34</v>
      </c>
      <c r="O363" s="191">
        <v>10</v>
      </c>
      <c r="P363" s="192">
        <v>220</v>
      </c>
      <c r="Q363" s="244">
        <v>2200</v>
      </c>
      <c r="R363" s="134"/>
      <c r="U363" s="128"/>
    </row>
    <row r="364" spans="1:21" ht="18" x14ac:dyDescent="0.3">
      <c r="A364" s="53"/>
      <c r="B364" s="54"/>
      <c r="C364" s="54"/>
      <c r="D364" s="54"/>
      <c r="E364" s="55"/>
      <c r="F364" s="75"/>
      <c r="G364" s="76"/>
      <c r="H364" s="76"/>
      <c r="I364" s="48"/>
      <c r="J364" s="70"/>
      <c r="K364" s="70"/>
      <c r="L364" s="189" t="s">
        <v>1475</v>
      </c>
      <c r="M364" s="190" t="s">
        <v>1555</v>
      </c>
      <c r="N364" s="189" t="s">
        <v>64</v>
      </c>
      <c r="O364" s="191">
        <v>2</v>
      </c>
      <c r="P364" s="192">
        <v>160.32</v>
      </c>
      <c r="Q364" s="192">
        <v>320.64</v>
      </c>
      <c r="R364" s="134"/>
      <c r="U364" s="128"/>
    </row>
    <row r="365" spans="1:21" ht="18" x14ac:dyDescent="0.3">
      <c r="A365" s="53"/>
      <c r="B365" s="54"/>
      <c r="C365" s="54"/>
      <c r="D365" s="54"/>
      <c r="E365" s="55"/>
      <c r="F365" s="75"/>
      <c r="G365" s="76"/>
      <c r="H365" s="76"/>
      <c r="I365" s="48"/>
      <c r="J365" s="70"/>
      <c r="K365" s="70"/>
      <c r="L365" s="189" t="s">
        <v>597</v>
      </c>
      <c r="M365" s="190" t="s">
        <v>598</v>
      </c>
      <c r="N365" s="189" t="s">
        <v>34</v>
      </c>
      <c r="O365" s="191">
        <v>2</v>
      </c>
      <c r="P365" s="192">
        <v>139.11000000000001</v>
      </c>
      <c r="Q365" s="192">
        <v>278.22000000000003</v>
      </c>
      <c r="R365" s="134"/>
      <c r="U365" s="128"/>
    </row>
    <row r="366" spans="1:21" ht="18" x14ac:dyDescent="0.3">
      <c r="A366" s="53"/>
      <c r="B366" s="54"/>
      <c r="C366" s="54"/>
      <c r="D366" s="54"/>
      <c r="E366" s="55"/>
      <c r="F366" s="75"/>
      <c r="G366" s="76"/>
      <c r="H366" s="76"/>
      <c r="I366" s="48"/>
      <c r="J366" s="70"/>
      <c r="K366" s="70"/>
      <c r="L366" s="189" t="s">
        <v>1622</v>
      </c>
      <c r="M366" s="190" t="s">
        <v>1648</v>
      </c>
      <c r="N366" s="189" t="s">
        <v>34</v>
      </c>
      <c r="O366" s="191">
        <v>1</v>
      </c>
      <c r="P366" s="192">
        <v>195</v>
      </c>
      <c r="Q366" s="192">
        <v>195</v>
      </c>
      <c r="R366" s="134"/>
      <c r="U366" s="128"/>
    </row>
    <row r="367" spans="1:21" ht="18" x14ac:dyDescent="0.3">
      <c r="A367" s="53"/>
      <c r="B367" s="54"/>
      <c r="C367" s="54"/>
      <c r="D367" s="54"/>
      <c r="E367" s="55"/>
      <c r="F367" s="75"/>
      <c r="G367" s="76"/>
      <c r="H367" s="76"/>
      <c r="I367" s="48"/>
      <c r="J367" s="70"/>
      <c r="K367" s="70"/>
      <c r="L367" s="189" t="s">
        <v>251</v>
      </c>
      <c r="M367" s="190" t="s">
        <v>252</v>
      </c>
      <c r="N367" s="189" t="s">
        <v>34</v>
      </c>
      <c r="O367" s="191">
        <v>1</v>
      </c>
      <c r="P367" s="192">
        <v>117.5</v>
      </c>
      <c r="Q367" s="192">
        <v>117.5</v>
      </c>
      <c r="R367" s="134"/>
      <c r="U367" s="128"/>
    </row>
    <row r="368" spans="1:21" ht="18" x14ac:dyDescent="0.3">
      <c r="A368" s="53"/>
      <c r="B368" s="54"/>
      <c r="C368" s="54"/>
      <c r="D368" s="54"/>
      <c r="E368" s="55"/>
      <c r="F368" s="75"/>
      <c r="G368" s="76"/>
      <c r="H368" s="76"/>
      <c r="I368" s="48"/>
      <c r="J368" s="70"/>
      <c r="K368" s="70"/>
      <c r="L368" s="189" t="s">
        <v>159</v>
      </c>
      <c r="M368" s="190" t="s">
        <v>160</v>
      </c>
      <c r="N368" s="189" t="s">
        <v>37</v>
      </c>
      <c r="O368" s="191">
        <v>3</v>
      </c>
      <c r="P368" s="192">
        <v>21</v>
      </c>
      <c r="Q368" s="192">
        <v>63</v>
      </c>
      <c r="R368" s="134"/>
      <c r="U368" s="128"/>
    </row>
    <row r="369" spans="1:21" ht="18" x14ac:dyDescent="0.3">
      <c r="A369" s="53"/>
      <c r="B369" s="54"/>
      <c r="C369" s="54"/>
      <c r="D369" s="54"/>
      <c r="E369" s="55"/>
      <c r="F369" s="75"/>
      <c r="G369" s="76"/>
      <c r="H369" s="76"/>
      <c r="I369" s="48"/>
      <c r="J369" s="70"/>
      <c r="K369" s="70"/>
      <c r="L369" s="189" t="s">
        <v>1623</v>
      </c>
      <c r="M369" s="190" t="s">
        <v>1649</v>
      </c>
      <c r="N369" s="189" t="s">
        <v>34</v>
      </c>
      <c r="O369" s="191">
        <v>1</v>
      </c>
      <c r="P369" s="192">
        <v>82</v>
      </c>
      <c r="Q369" s="192">
        <v>82</v>
      </c>
      <c r="R369" s="134"/>
      <c r="U369" s="128"/>
    </row>
    <row r="370" spans="1:21" ht="18" x14ac:dyDescent="0.3">
      <c r="A370" s="53"/>
      <c r="B370" s="54"/>
      <c r="C370" s="54"/>
      <c r="D370" s="54"/>
      <c r="E370" s="55"/>
      <c r="F370" s="75"/>
      <c r="G370" s="76"/>
      <c r="H370" s="76"/>
      <c r="I370" s="48"/>
      <c r="J370" s="70"/>
      <c r="K370" s="70"/>
      <c r="L370" s="189" t="s">
        <v>1478</v>
      </c>
      <c r="M370" s="190" t="s">
        <v>1558</v>
      </c>
      <c r="N370" s="189" t="s">
        <v>34</v>
      </c>
      <c r="O370" s="191">
        <v>1</v>
      </c>
      <c r="P370" s="244">
        <v>1273.5</v>
      </c>
      <c r="Q370" s="244">
        <v>1273.5</v>
      </c>
      <c r="R370" s="134"/>
      <c r="U370" s="128"/>
    </row>
    <row r="371" spans="1:21" ht="18" x14ac:dyDescent="0.3">
      <c r="A371" s="53"/>
      <c r="B371" s="54"/>
      <c r="C371" s="54"/>
      <c r="D371" s="54"/>
      <c r="E371" s="55"/>
      <c r="F371" s="75"/>
      <c r="G371" s="76"/>
      <c r="H371" s="76"/>
      <c r="I371" s="48"/>
      <c r="J371" s="70"/>
      <c r="K371" s="70"/>
      <c r="L371" s="189" t="s">
        <v>1480</v>
      </c>
      <c r="M371" s="190" t="s">
        <v>1560</v>
      </c>
      <c r="N371" s="189" t="s">
        <v>34</v>
      </c>
      <c r="O371" s="191">
        <v>1</v>
      </c>
      <c r="P371" s="192">
        <v>206</v>
      </c>
      <c r="Q371" s="192">
        <v>206</v>
      </c>
      <c r="R371" s="134"/>
      <c r="U371" s="128"/>
    </row>
    <row r="372" spans="1:21" ht="18" x14ac:dyDescent="0.3">
      <c r="A372" s="53"/>
      <c r="B372" s="54"/>
      <c r="C372" s="54"/>
      <c r="D372" s="54"/>
      <c r="E372" s="55"/>
      <c r="F372" s="75"/>
      <c r="G372" s="76"/>
      <c r="H372" s="76"/>
      <c r="I372" s="48"/>
      <c r="J372" s="70"/>
      <c r="K372" s="70"/>
      <c r="L372" s="189" t="s">
        <v>1481</v>
      </c>
      <c r="M372" s="190" t="s">
        <v>1561</v>
      </c>
      <c r="N372" s="189" t="s">
        <v>34</v>
      </c>
      <c r="O372" s="191">
        <v>2</v>
      </c>
      <c r="P372" s="192">
        <v>52</v>
      </c>
      <c r="Q372" s="192">
        <v>104</v>
      </c>
      <c r="R372" s="134"/>
      <c r="U372" s="128"/>
    </row>
    <row r="373" spans="1:21" ht="18" x14ac:dyDescent="0.3">
      <c r="A373" s="53"/>
      <c r="B373" s="54"/>
      <c r="C373" s="54"/>
      <c r="D373" s="54"/>
      <c r="E373" s="55"/>
      <c r="F373" s="75"/>
      <c r="G373" s="76"/>
      <c r="H373" s="76"/>
      <c r="I373" s="48"/>
      <c r="J373" s="70"/>
      <c r="K373" s="70"/>
      <c r="L373" s="189" t="s">
        <v>157</v>
      </c>
      <c r="M373" s="190" t="s">
        <v>158</v>
      </c>
      <c r="N373" s="189" t="s">
        <v>34</v>
      </c>
      <c r="O373" s="191">
        <v>3</v>
      </c>
      <c r="P373" s="192">
        <v>94.53</v>
      </c>
      <c r="Q373" s="192">
        <v>283.58999999999997</v>
      </c>
      <c r="R373" s="134"/>
      <c r="U373" s="128"/>
    </row>
    <row r="374" spans="1:21" ht="18" x14ac:dyDescent="0.3">
      <c r="A374" s="53"/>
      <c r="B374" s="54"/>
      <c r="C374" s="54"/>
      <c r="D374" s="54"/>
      <c r="E374" s="55"/>
      <c r="F374" s="75"/>
      <c r="G374" s="76"/>
      <c r="H374" s="76"/>
      <c r="I374" s="48"/>
      <c r="J374" s="70"/>
      <c r="K374" s="70"/>
      <c r="L374" s="189" t="s">
        <v>627</v>
      </c>
      <c r="M374" s="190" t="s">
        <v>628</v>
      </c>
      <c r="N374" s="189" t="s">
        <v>34</v>
      </c>
      <c r="O374" s="191">
        <v>2</v>
      </c>
      <c r="P374" s="192">
        <v>25</v>
      </c>
      <c r="Q374" s="192">
        <v>50</v>
      </c>
      <c r="R374" s="134"/>
      <c r="U374" s="128"/>
    </row>
    <row r="375" spans="1:21" ht="18" x14ac:dyDescent="0.3">
      <c r="A375" s="53"/>
      <c r="B375" s="54"/>
      <c r="C375" s="54"/>
      <c r="D375" s="54"/>
      <c r="E375" s="55"/>
      <c r="F375" s="75"/>
      <c r="G375" s="76"/>
      <c r="H375" s="76"/>
      <c r="I375" s="48"/>
      <c r="J375" s="70"/>
      <c r="K375" s="70"/>
      <c r="L375" s="189" t="s">
        <v>153</v>
      </c>
      <c r="M375" s="190" t="s">
        <v>681</v>
      </c>
      <c r="N375" s="189" t="s">
        <v>34</v>
      </c>
      <c r="O375" s="191">
        <v>1</v>
      </c>
      <c r="P375" s="192">
        <v>16.5</v>
      </c>
      <c r="Q375" s="192">
        <v>16.5</v>
      </c>
      <c r="R375" s="134"/>
      <c r="U375" s="128"/>
    </row>
    <row r="376" spans="1:21" ht="18" x14ac:dyDescent="0.3">
      <c r="A376" s="53"/>
      <c r="B376" s="54"/>
      <c r="C376" s="54"/>
      <c r="D376" s="54"/>
      <c r="E376" s="55"/>
      <c r="F376" s="75"/>
      <c r="G376" s="76"/>
      <c r="H376" s="76"/>
      <c r="I376" s="48"/>
      <c r="J376" s="70"/>
      <c r="K376" s="70"/>
      <c r="L376" s="189" t="s">
        <v>1624</v>
      </c>
      <c r="M376" s="190" t="s">
        <v>1650</v>
      </c>
      <c r="N376" s="189" t="s">
        <v>34</v>
      </c>
      <c r="O376" s="191">
        <v>1</v>
      </c>
      <c r="P376" s="192">
        <v>151.66999999999999</v>
      </c>
      <c r="Q376" s="192">
        <v>151.66999999999999</v>
      </c>
      <c r="R376" s="134"/>
      <c r="U376" s="128"/>
    </row>
    <row r="377" spans="1:21" ht="18" x14ac:dyDescent="0.3">
      <c r="A377" s="53"/>
      <c r="B377" s="54"/>
      <c r="C377" s="54"/>
      <c r="D377" s="54"/>
      <c r="E377" s="55"/>
      <c r="F377" s="75"/>
      <c r="G377" s="76"/>
      <c r="H377" s="76"/>
      <c r="I377" s="48"/>
      <c r="J377" s="70"/>
      <c r="K377" s="70"/>
      <c r="L377" s="189" t="s">
        <v>1483</v>
      </c>
      <c r="M377" s="190" t="s">
        <v>1563</v>
      </c>
      <c r="N377" s="189" t="s">
        <v>34</v>
      </c>
      <c r="O377" s="191">
        <v>2</v>
      </c>
      <c r="P377" s="192">
        <v>120.83</v>
      </c>
      <c r="Q377" s="192">
        <v>241.66</v>
      </c>
      <c r="R377" s="134"/>
      <c r="U377" s="128"/>
    </row>
    <row r="378" spans="1:21" ht="18" x14ac:dyDescent="0.3">
      <c r="A378" s="53"/>
      <c r="B378" s="54"/>
      <c r="C378" s="54"/>
      <c r="D378" s="54"/>
      <c r="E378" s="55"/>
      <c r="F378" s="75"/>
      <c r="G378" s="76"/>
      <c r="H378" s="76"/>
      <c r="I378" s="48"/>
      <c r="J378" s="70"/>
      <c r="K378" s="70"/>
      <c r="L378" s="189" t="s">
        <v>1484</v>
      </c>
      <c r="M378" s="190" t="s">
        <v>1564</v>
      </c>
      <c r="N378" s="189" t="s">
        <v>34</v>
      </c>
      <c r="O378" s="191">
        <v>1</v>
      </c>
      <c r="P378" s="192">
        <v>114.17</v>
      </c>
      <c r="Q378" s="192">
        <v>114.17</v>
      </c>
      <c r="R378" s="134"/>
      <c r="U378" s="128"/>
    </row>
    <row r="379" spans="1:21" ht="18" x14ac:dyDescent="0.3">
      <c r="A379" s="53"/>
      <c r="B379" s="54"/>
      <c r="C379" s="54"/>
      <c r="D379" s="54"/>
      <c r="E379" s="55"/>
      <c r="F379" s="75"/>
      <c r="G379" s="76"/>
      <c r="H379" s="76"/>
      <c r="I379" s="48"/>
      <c r="J379" s="70"/>
      <c r="K379" s="70"/>
      <c r="L379" s="189" t="s">
        <v>98</v>
      </c>
      <c r="M379" s="190" t="s">
        <v>99</v>
      </c>
      <c r="N379" s="189" t="s">
        <v>37</v>
      </c>
      <c r="O379" s="191">
        <v>4</v>
      </c>
      <c r="P379" s="192">
        <v>131</v>
      </c>
      <c r="Q379" s="192">
        <v>524</v>
      </c>
      <c r="R379" s="134"/>
      <c r="U379" s="128"/>
    </row>
    <row r="380" spans="1:21" ht="18" x14ac:dyDescent="0.3">
      <c r="A380" s="53"/>
      <c r="B380" s="54"/>
      <c r="C380" s="54"/>
      <c r="D380" s="54"/>
      <c r="E380" s="55"/>
      <c r="F380" s="75"/>
      <c r="G380" s="76"/>
      <c r="H380" s="76"/>
      <c r="I380" s="48"/>
      <c r="J380" s="70"/>
      <c r="K380" s="70"/>
      <c r="L380" s="189" t="s">
        <v>1625</v>
      </c>
      <c r="M380" s="190" t="s">
        <v>1651</v>
      </c>
      <c r="N380" s="189" t="s">
        <v>34</v>
      </c>
      <c r="O380" s="191">
        <v>1</v>
      </c>
      <c r="P380" s="192">
        <v>471</v>
      </c>
      <c r="Q380" s="192">
        <v>471</v>
      </c>
      <c r="R380" s="134"/>
      <c r="U380" s="128"/>
    </row>
    <row r="381" spans="1:21" ht="18" x14ac:dyDescent="0.3">
      <c r="A381" s="53"/>
      <c r="B381" s="54"/>
      <c r="C381" s="54"/>
      <c r="D381" s="54"/>
      <c r="E381" s="55"/>
      <c r="F381" s="75"/>
      <c r="G381" s="76"/>
      <c r="H381" s="76"/>
      <c r="I381" s="48"/>
      <c r="J381" s="70"/>
      <c r="K381" s="70"/>
      <c r="L381" s="189" t="s">
        <v>1485</v>
      </c>
      <c r="M381" s="190" t="s">
        <v>1565</v>
      </c>
      <c r="N381" s="189" t="s">
        <v>34</v>
      </c>
      <c r="O381" s="191">
        <v>4</v>
      </c>
      <c r="P381" s="192">
        <v>62.37</v>
      </c>
      <c r="Q381" s="192">
        <v>249.47</v>
      </c>
      <c r="R381" s="134"/>
      <c r="U381" s="128"/>
    </row>
    <row r="382" spans="1:21" ht="18" x14ac:dyDescent="0.3">
      <c r="A382" s="53"/>
      <c r="B382" s="54"/>
      <c r="C382" s="54"/>
      <c r="D382" s="54"/>
      <c r="E382" s="55"/>
      <c r="F382" s="75"/>
      <c r="G382" s="76"/>
      <c r="H382" s="76"/>
      <c r="I382" s="48"/>
      <c r="J382" s="70"/>
      <c r="K382" s="70"/>
      <c r="L382" s="189" t="s">
        <v>589</v>
      </c>
      <c r="M382" s="190" t="s">
        <v>590</v>
      </c>
      <c r="N382" s="189" t="s">
        <v>34</v>
      </c>
      <c r="O382" s="191">
        <v>1</v>
      </c>
      <c r="P382" s="192">
        <v>346.09</v>
      </c>
      <c r="Q382" s="192">
        <v>346.09</v>
      </c>
      <c r="R382" s="134"/>
      <c r="U382" s="128"/>
    </row>
    <row r="383" spans="1:21" ht="18" x14ac:dyDescent="0.3">
      <c r="A383" s="53"/>
      <c r="B383" s="54"/>
      <c r="C383" s="54"/>
      <c r="D383" s="54"/>
      <c r="E383" s="55"/>
      <c r="F383" s="75"/>
      <c r="G383" s="76"/>
      <c r="H383" s="76"/>
      <c r="I383" s="48"/>
      <c r="J383" s="70"/>
      <c r="K383" s="70"/>
      <c r="L383" s="189" t="s">
        <v>1626</v>
      </c>
      <c r="M383" s="190" t="s">
        <v>1652</v>
      </c>
      <c r="N383" s="189" t="s">
        <v>34</v>
      </c>
      <c r="O383" s="191">
        <v>1</v>
      </c>
      <c r="P383" s="192">
        <v>160.83000000000001</v>
      </c>
      <c r="Q383" s="192">
        <v>160.83000000000001</v>
      </c>
      <c r="R383" s="134"/>
      <c r="U383" s="128"/>
    </row>
    <row r="384" spans="1:21" ht="18" x14ac:dyDescent="0.3">
      <c r="A384" s="53"/>
      <c r="B384" s="54"/>
      <c r="C384" s="54"/>
      <c r="D384" s="54"/>
      <c r="E384" s="55"/>
      <c r="F384" s="75"/>
      <c r="G384" s="76"/>
      <c r="H384" s="76"/>
      <c r="I384" s="48"/>
      <c r="J384" s="70"/>
      <c r="K384" s="70"/>
      <c r="L384" s="189" t="s">
        <v>710</v>
      </c>
      <c r="M384" s="190" t="s">
        <v>711</v>
      </c>
      <c r="N384" s="189" t="s">
        <v>34</v>
      </c>
      <c r="O384" s="191">
        <v>4</v>
      </c>
      <c r="P384" s="192">
        <v>60.75</v>
      </c>
      <c r="Q384" s="192">
        <v>243</v>
      </c>
      <c r="R384" s="134"/>
      <c r="U384" s="128"/>
    </row>
    <row r="385" spans="1:21" ht="18" x14ac:dyDescent="0.3">
      <c r="A385" s="53"/>
      <c r="B385" s="54"/>
      <c r="C385" s="54"/>
      <c r="D385" s="54"/>
      <c r="E385" s="55"/>
      <c r="F385" s="75"/>
      <c r="G385" s="76"/>
      <c r="H385" s="76"/>
      <c r="I385" s="48"/>
      <c r="J385" s="70"/>
      <c r="K385" s="70"/>
      <c r="L385" s="189" t="s">
        <v>651</v>
      </c>
      <c r="M385" s="190" t="s">
        <v>652</v>
      </c>
      <c r="N385" s="189" t="s">
        <v>34</v>
      </c>
      <c r="O385" s="191">
        <v>1</v>
      </c>
      <c r="P385" s="192">
        <v>147.91</v>
      </c>
      <c r="Q385" s="192">
        <v>147.91</v>
      </c>
      <c r="R385" s="134"/>
      <c r="U385" s="128"/>
    </row>
    <row r="386" spans="1:21" ht="18" x14ac:dyDescent="0.3">
      <c r="A386" s="53"/>
      <c r="B386" s="54"/>
      <c r="C386" s="54"/>
      <c r="D386" s="54"/>
      <c r="E386" s="55"/>
      <c r="F386" s="75"/>
      <c r="G386" s="76"/>
      <c r="H386" s="76"/>
      <c r="I386" s="48"/>
      <c r="J386" s="70"/>
      <c r="K386" s="70"/>
      <c r="L386" s="189" t="s">
        <v>638</v>
      </c>
      <c r="M386" s="190" t="s">
        <v>639</v>
      </c>
      <c r="N386" s="189" t="s">
        <v>64</v>
      </c>
      <c r="O386" s="191">
        <v>2</v>
      </c>
      <c r="P386" s="192">
        <v>149.16999999999999</v>
      </c>
      <c r="Q386" s="192">
        <v>298.33999999999997</v>
      </c>
      <c r="R386" s="134"/>
      <c r="U386" s="128"/>
    </row>
    <row r="387" spans="1:21" ht="18" x14ac:dyDescent="0.3">
      <c r="A387" s="53"/>
      <c r="B387" s="54"/>
      <c r="C387" s="54"/>
      <c r="D387" s="54"/>
      <c r="E387" s="55"/>
      <c r="F387" s="75"/>
      <c r="G387" s="76"/>
      <c r="H387" s="76"/>
      <c r="I387" s="48"/>
      <c r="J387" s="70"/>
      <c r="K387" s="70"/>
      <c r="L387" s="189" t="s">
        <v>1486</v>
      </c>
      <c r="M387" s="190" t="s">
        <v>1566</v>
      </c>
      <c r="N387" s="189" t="s">
        <v>34</v>
      </c>
      <c r="O387" s="191">
        <v>2</v>
      </c>
      <c r="P387" s="192">
        <v>244</v>
      </c>
      <c r="Q387" s="192">
        <v>488</v>
      </c>
      <c r="R387" s="134"/>
      <c r="U387" s="128"/>
    </row>
    <row r="388" spans="1:21" ht="18" x14ac:dyDescent="0.3">
      <c r="A388" s="53"/>
      <c r="B388" s="54"/>
      <c r="C388" s="54"/>
      <c r="D388" s="54"/>
      <c r="E388" s="55"/>
      <c r="F388" s="75"/>
      <c r="G388" s="76"/>
      <c r="H388" s="76"/>
      <c r="I388" s="48"/>
      <c r="J388" s="70"/>
      <c r="K388" s="70"/>
      <c r="L388" s="189" t="s">
        <v>1487</v>
      </c>
      <c r="M388" s="190" t="s">
        <v>1567</v>
      </c>
      <c r="N388" s="189" t="s">
        <v>34</v>
      </c>
      <c r="O388" s="191">
        <v>2</v>
      </c>
      <c r="P388" s="192">
        <v>39</v>
      </c>
      <c r="Q388" s="192">
        <v>78</v>
      </c>
      <c r="R388" s="134"/>
      <c r="U388" s="128"/>
    </row>
    <row r="389" spans="1:21" ht="18" x14ac:dyDescent="0.3">
      <c r="A389" s="53"/>
      <c r="B389" s="54"/>
      <c r="C389" s="54"/>
      <c r="D389" s="54"/>
      <c r="E389" s="55"/>
      <c r="F389" s="75"/>
      <c r="G389" s="76"/>
      <c r="H389" s="76"/>
      <c r="I389" s="48"/>
      <c r="J389" s="70"/>
      <c r="K389" s="70"/>
      <c r="L389" s="189" t="s">
        <v>1489</v>
      </c>
      <c r="M389" s="190" t="s">
        <v>1569</v>
      </c>
      <c r="N389" s="189" t="s">
        <v>34</v>
      </c>
      <c r="O389" s="191">
        <v>1</v>
      </c>
      <c r="P389" s="192">
        <v>71</v>
      </c>
      <c r="Q389" s="192">
        <v>71</v>
      </c>
      <c r="R389" s="134"/>
      <c r="U389" s="128"/>
    </row>
    <row r="390" spans="1:21" ht="18" x14ac:dyDescent="0.3">
      <c r="A390" s="53"/>
      <c r="B390" s="54"/>
      <c r="C390" s="54"/>
      <c r="D390" s="54"/>
      <c r="E390" s="55"/>
      <c r="F390" s="75"/>
      <c r="G390" s="76"/>
      <c r="H390" s="76"/>
      <c r="I390" s="48"/>
      <c r="J390" s="70"/>
      <c r="K390" s="70"/>
      <c r="L390" s="189" t="s">
        <v>1490</v>
      </c>
      <c r="M390" s="190" t="s">
        <v>1570</v>
      </c>
      <c r="N390" s="189" t="s">
        <v>34</v>
      </c>
      <c r="O390" s="191">
        <v>3</v>
      </c>
      <c r="P390" s="192">
        <v>216.66</v>
      </c>
      <c r="Q390" s="192">
        <v>649.98</v>
      </c>
      <c r="R390" s="134"/>
      <c r="U390" s="128"/>
    </row>
    <row r="391" spans="1:21" ht="18" x14ac:dyDescent="0.3">
      <c r="A391" s="53"/>
      <c r="B391" s="54"/>
      <c r="C391" s="54"/>
      <c r="D391" s="54"/>
      <c r="E391" s="55"/>
      <c r="F391" s="75"/>
      <c r="G391" s="76"/>
      <c r="H391" s="76"/>
      <c r="I391" s="48"/>
      <c r="J391" s="70"/>
      <c r="K391" s="70"/>
      <c r="L391" s="189" t="s">
        <v>1627</v>
      </c>
      <c r="M391" s="190" t="s">
        <v>1653</v>
      </c>
      <c r="N391" s="189" t="s">
        <v>34</v>
      </c>
      <c r="O391" s="191">
        <v>1</v>
      </c>
      <c r="P391" s="192">
        <v>294</v>
      </c>
      <c r="Q391" s="192">
        <v>294</v>
      </c>
      <c r="R391" s="134"/>
      <c r="U391" s="128"/>
    </row>
    <row r="392" spans="1:21" ht="18" x14ac:dyDescent="0.3">
      <c r="A392" s="53"/>
      <c r="B392" s="54"/>
      <c r="C392" s="54"/>
      <c r="D392" s="54"/>
      <c r="E392" s="55"/>
      <c r="F392" s="75"/>
      <c r="G392" s="76"/>
      <c r="H392" s="76"/>
      <c r="I392" s="48"/>
      <c r="J392" s="70"/>
      <c r="K392" s="70"/>
      <c r="L392" s="189" t="s">
        <v>1628</v>
      </c>
      <c r="M392" s="190" t="s">
        <v>1654</v>
      </c>
      <c r="N392" s="189" t="s">
        <v>34</v>
      </c>
      <c r="O392" s="191">
        <v>1</v>
      </c>
      <c r="P392" s="192">
        <v>135</v>
      </c>
      <c r="Q392" s="192">
        <v>135</v>
      </c>
      <c r="R392" s="134"/>
      <c r="U392" s="128"/>
    </row>
    <row r="393" spans="1:21" ht="18" x14ac:dyDescent="0.3">
      <c r="A393" s="53"/>
      <c r="B393" s="54"/>
      <c r="C393" s="54"/>
      <c r="D393" s="54"/>
      <c r="E393" s="55"/>
      <c r="F393" s="75"/>
      <c r="G393" s="76"/>
      <c r="H393" s="76"/>
      <c r="I393" s="48"/>
      <c r="J393" s="70"/>
      <c r="K393" s="70"/>
      <c r="L393" s="189" t="s">
        <v>1629</v>
      </c>
      <c r="M393" s="190" t="s">
        <v>1655</v>
      </c>
      <c r="N393" s="189" t="s">
        <v>34</v>
      </c>
      <c r="O393" s="191">
        <v>1</v>
      </c>
      <c r="P393" s="192">
        <v>180</v>
      </c>
      <c r="Q393" s="192">
        <v>180</v>
      </c>
      <c r="R393" s="134"/>
      <c r="U393" s="128"/>
    </row>
    <row r="394" spans="1:21" ht="18" x14ac:dyDescent="0.3">
      <c r="A394" s="53"/>
      <c r="B394" s="54"/>
      <c r="C394" s="54"/>
      <c r="D394" s="54"/>
      <c r="E394" s="55"/>
      <c r="F394" s="75"/>
      <c r="G394" s="76"/>
      <c r="H394" s="76"/>
      <c r="I394" s="48"/>
      <c r="J394" s="70"/>
      <c r="K394" s="70"/>
      <c r="L394" s="189" t="s">
        <v>1492</v>
      </c>
      <c r="M394" s="190" t="s">
        <v>1572</v>
      </c>
      <c r="N394" s="189" t="s">
        <v>34</v>
      </c>
      <c r="O394" s="191">
        <v>2</v>
      </c>
      <c r="P394" s="192">
        <v>89</v>
      </c>
      <c r="Q394" s="192">
        <v>178</v>
      </c>
      <c r="R394" s="134"/>
      <c r="U394" s="128"/>
    </row>
    <row r="395" spans="1:21" ht="18" x14ac:dyDescent="0.3">
      <c r="A395" s="53"/>
      <c r="B395" s="54"/>
      <c r="C395" s="54"/>
      <c r="D395" s="54"/>
      <c r="E395" s="55"/>
      <c r="F395" s="75"/>
      <c r="G395" s="76"/>
      <c r="H395" s="76"/>
      <c r="I395" s="48"/>
      <c r="J395" s="70"/>
      <c r="K395" s="70"/>
      <c r="L395" s="189" t="s">
        <v>1493</v>
      </c>
      <c r="M395" s="190" t="s">
        <v>1573</v>
      </c>
      <c r="N395" s="189" t="s">
        <v>34</v>
      </c>
      <c r="O395" s="191">
        <v>2</v>
      </c>
      <c r="P395" s="192">
        <v>97.5</v>
      </c>
      <c r="Q395" s="192">
        <v>195</v>
      </c>
      <c r="R395" s="134"/>
      <c r="U395" s="128"/>
    </row>
    <row r="396" spans="1:21" ht="18" x14ac:dyDescent="0.3">
      <c r="A396" s="53"/>
      <c r="B396" s="54"/>
      <c r="C396" s="54"/>
      <c r="D396" s="54"/>
      <c r="E396" s="55"/>
      <c r="F396" s="75"/>
      <c r="G396" s="76"/>
      <c r="H396" s="76"/>
      <c r="I396" s="48"/>
      <c r="J396" s="70"/>
      <c r="K396" s="70"/>
      <c r="L396" s="189" t="s">
        <v>1495</v>
      </c>
      <c r="M396" s="190" t="s">
        <v>1575</v>
      </c>
      <c r="N396" s="189" t="s">
        <v>34</v>
      </c>
      <c r="O396" s="191">
        <v>1</v>
      </c>
      <c r="P396" s="192">
        <v>75</v>
      </c>
      <c r="Q396" s="192">
        <v>75</v>
      </c>
      <c r="R396" s="134"/>
      <c r="U396" s="128"/>
    </row>
    <row r="397" spans="1:21" ht="18" x14ac:dyDescent="0.3">
      <c r="A397" s="53"/>
      <c r="B397" s="54"/>
      <c r="C397" s="54"/>
      <c r="D397" s="54"/>
      <c r="E397" s="55"/>
      <c r="F397" s="75"/>
      <c r="G397" s="76"/>
      <c r="H397" s="76"/>
      <c r="I397" s="48"/>
      <c r="J397" s="70"/>
      <c r="K397" s="70"/>
      <c r="L397" s="189" t="s">
        <v>1630</v>
      </c>
      <c r="M397" s="190" t="s">
        <v>1656</v>
      </c>
      <c r="N397" s="189" t="s">
        <v>64</v>
      </c>
      <c r="O397" s="191">
        <v>1</v>
      </c>
      <c r="P397" s="192">
        <v>320</v>
      </c>
      <c r="Q397" s="192">
        <v>320</v>
      </c>
      <c r="R397" s="134"/>
      <c r="U397" s="128"/>
    </row>
    <row r="398" spans="1:21" ht="18" x14ac:dyDescent="0.3">
      <c r="A398" s="53"/>
      <c r="B398" s="54"/>
      <c r="C398" s="54"/>
      <c r="D398" s="54"/>
      <c r="E398" s="55"/>
      <c r="F398" s="75"/>
      <c r="G398" s="76"/>
      <c r="H398" s="76"/>
      <c r="I398" s="48"/>
      <c r="J398" s="70"/>
      <c r="K398" s="70"/>
      <c r="L398" s="189" t="s">
        <v>1631</v>
      </c>
      <c r="M398" s="190" t="s">
        <v>1657</v>
      </c>
      <c r="N398" s="189" t="s">
        <v>34</v>
      </c>
      <c r="O398" s="191">
        <v>1</v>
      </c>
      <c r="P398" s="192">
        <v>56</v>
      </c>
      <c r="Q398" s="192">
        <v>56</v>
      </c>
      <c r="R398" s="134"/>
      <c r="U398" s="128"/>
    </row>
    <row r="399" spans="1:21" ht="18" x14ac:dyDescent="0.3">
      <c r="A399" s="53"/>
      <c r="B399" s="54"/>
      <c r="C399" s="54"/>
      <c r="D399" s="54"/>
      <c r="E399" s="55"/>
      <c r="F399" s="75"/>
      <c r="G399" s="76"/>
      <c r="H399" s="76"/>
      <c r="I399" s="48"/>
      <c r="J399" s="70"/>
      <c r="K399" s="70"/>
      <c r="L399" s="189" t="s">
        <v>1497</v>
      </c>
      <c r="M399" s="190" t="s">
        <v>1577</v>
      </c>
      <c r="N399" s="189" t="s">
        <v>34</v>
      </c>
      <c r="O399" s="191">
        <v>1</v>
      </c>
      <c r="P399" s="192">
        <v>166.5</v>
      </c>
      <c r="Q399" s="192">
        <v>166.5</v>
      </c>
      <c r="R399" s="134"/>
      <c r="U399" s="128"/>
    </row>
    <row r="400" spans="1:21" ht="18" x14ac:dyDescent="0.3">
      <c r="A400" s="53"/>
      <c r="B400" s="54"/>
      <c r="C400" s="54"/>
      <c r="D400" s="54"/>
      <c r="E400" s="55"/>
      <c r="F400" s="75"/>
      <c r="G400" s="76"/>
      <c r="H400" s="76"/>
      <c r="I400" s="48"/>
      <c r="J400" s="70"/>
      <c r="K400" s="70"/>
      <c r="L400" s="189" t="s">
        <v>1498</v>
      </c>
      <c r="M400" s="190" t="s">
        <v>1578</v>
      </c>
      <c r="N400" s="189" t="s">
        <v>34</v>
      </c>
      <c r="O400" s="191">
        <v>4</v>
      </c>
      <c r="P400" s="192">
        <v>228.38</v>
      </c>
      <c r="Q400" s="192">
        <v>913.5</v>
      </c>
      <c r="R400" s="134"/>
      <c r="U400" s="128"/>
    </row>
    <row r="401" spans="1:21" ht="18" x14ac:dyDescent="0.3">
      <c r="A401" s="53"/>
      <c r="B401" s="54"/>
      <c r="C401" s="54"/>
      <c r="D401" s="54"/>
      <c r="E401" s="55"/>
      <c r="F401" s="75"/>
      <c r="G401" s="76"/>
      <c r="H401" s="76"/>
      <c r="I401" s="48"/>
      <c r="J401" s="70"/>
      <c r="K401" s="70"/>
      <c r="L401" s="189" t="s">
        <v>1632</v>
      </c>
      <c r="M401" s="190" t="s">
        <v>1658</v>
      </c>
      <c r="N401" s="189" t="s">
        <v>34</v>
      </c>
      <c r="O401" s="191">
        <v>1</v>
      </c>
      <c r="P401" s="192">
        <v>118.33</v>
      </c>
      <c r="Q401" s="192">
        <v>118.33</v>
      </c>
      <c r="R401" s="134"/>
      <c r="U401" s="128"/>
    </row>
    <row r="402" spans="1:21" ht="18" x14ac:dyDescent="0.3">
      <c r="A402" s="53"/>
      <c r="B402" s="54"/>
      <c r="C402" s="54"/>
      <c r="D402" s="54"/>
      <c r="E402" s="55"/>
      <c r="F402" s="75"/>
      <c r="G402" s="76"/>
      <c r="H402" s="76"/>
      <c r="I402" s="48"/>
      <c r="J402" s="70"/>
      <c r="K402" s="70"/>
      <c r="L402" s="189" t="s">
        <v>1501</v>
      </c>
      <c r="M402" s="190" t="s">
        <v>1581</v>
      </c>
      <c r="N402" s="189" t="s">
        <v>64</v>
      </c>
      <c r="O402" s="191">
        <v>2</v>
      </c>
      <c r="P402" s="192">
        <v>51</v>
      </c>
      <c r="Q402" s="192">
        <v>102</v>
      </c>
      <c r="R402" s="134"/>
      <c r="U402" s="128"/>
    </row>
    <row r="403" spans="1:21" ht="18" x14ac:dyDescent="0.3">
      <c r="A403" s="53"/>
      <c r="B403" s="54"/>
      <c r="C403" s="54"/>
      <c r="D403" s="54"/>
      <c r="E403" s="55"/>
      <c r="F403" s="75"/>
      <c r="G403" s="76"/>
      <c r="H403" s="76"/>
      <c r="I403" s="48"/>
      <c r="J403" s="70"/>
      <c r="K403" s="70"/>
      <c r="L403" s="189" t="s">
        <v>1633</v>
      </c>
      <c r="M403" s="190" t="s">
        <v>1659</v>
      </c>
      <c r="N403" s="189" t="s">
        <v>64</v>
      </c>
      <c r="O403" s="191">
        <v>1</v>
      </c>
      <c r="P403" s="192">
        <v>51</v>
      </c>
      <c r="Q403" s="192">
        <v>51</v>
      </c>
      <c r="R403" s="134"/>
      <c r="U403" s="128"/>
    </row>
    <row r="404" spans="1:21" ht="18" x14ac:dyDescent="0.3">
      <c r="A404" s="53"/>
      <c r="B404" s="54"/>
      <c r="C404" s="54"/>
      <c r="D404" s="54"/>
      <c r="E404" s="55"/>
      <c r="F404" s="75"/>
      <c r="G404" s="76"/>
      <c r="H404" s="76"/>
      <c r="I404" s="48"/>
      <c r="J404" s="70"/>
      <c r="K404" s="70"/>
      <c r="L404" s="189" t="s">
        <v>1634</v>
      </c>
      <c r="M404" s="190" t="s">
        <v>1660</v>
      </c>
      <c r="N404" s="189" t="s">
        <v>34</v>
      </c>
      <c r="O404" s="191">
        <v>1</v>
      </c>
      <c r="P404" s="244">
        <v>1697.1</v>
      </c>
      <c r="Q404" s="244">
        <v>1697.1</v>
      </c>
      <c r="R404" s="134"/>
      <c r="U404" s="128"/>
    </row>
    <row r="405" spans="1:21" ht="18" x14ac:dyDescent="0.3">
      <c r="A405" s="53"/>
      <c r="B405" s="54"/>
      <c r="C405" s="54"/>
      <c r="D405" s="54"/>
      <c r="E405" s="55"/>
      <c r="F405" s="75"/>
      <c r="G405" s="76"/>
      <c r="H405" s="76"/>
      <c r="I405" s="48"/>
      <c r="J405" s="70"/>
      <c r="K405" s="70"/>
      <c r="L405" s="189" t="s">
        <v>1503</v>
      </c>
      <c r="M405" s="190" t="s">
        <v>1583</v>
      </c>
      <c r="N405" s="189" t="s">
        <v>35</v>
      </c>
      <c r="O405" s="191">
        <v>1</v>
      </c>
      <c r="P405" s="192">
        <v>65</v>
      </c>
      <c r="Q405" s="192">
        <v>65</v>
      </c>
      <c r="R405" s="134"/>
      <c r="U405" s="128"/>
    </row>
    <row r="406" spans="1:21" ht="18" x14ac:dyDescent="0.3">
      <c r="A406" s="53"/>
      <c r="B406" s="54"/>
      <c r="C406" s="54"/>
      <c r="D406" s="54"/>
      <c r="E406" s="55"/>
      <c r="F406" s="75"/>
      <c r="G406" s="76"/>
      <c r="H406" s="76"/>
      <c r="I406" s="48"/>
      <c r="J406" s="70"/>
      <c r="K406" s="70"/>
      <c r="L406" s="189" t="s">
        <v>1635</v>
      </c>
      <c r="M406" s="190" t="s">
        <v>1661</v>
      </c>
      <c r="N406" s="189" t="s">
        <v>64</v>
      </c>
      <c r="O406" s="191">
        <v>1</v>
      </c>
      <c r="P406" s="192">
        <v>45</v>
      </c>
      <c r="Q406" s="192">
        <v>45</v>
      </c>
      <c r="R406" s="134"/>
      <c r="U406" s="128"/>
    </row>
    <row r="407" spans="1:21" ht="18" x14ac:dyDescent="0.3">
      <c r="A407" s="53"/>
      <c r="B407" s="54"/>
      <c r="C407" s="54"/>
      <c r="D407" s="54"/>
      <c r="E407" s="55"/>
      <c r="F407" s="75"/>
      <c r="G407" s="76"/>
      <c r="H407" s="76"/>
      <c r="I407" s="48"/>
      <c r="J407" s="70"/>
      <c r="K407" s="70"/>
      <c r="L407" s="189" t="s">
        <v>1636</v>
      </c>
      <c r="M407" s="190" t="s">
        <v>1662</v>
      </c>
      <c r="N407" s="189" t="s">
        <v>34</v>
      </c>
      <c r="O407" s="191">
        <v>1</v>
      </c>
      <c r="P407" s="192">
        <v>51</v>
      </c>
      <c r="Q407" s="192">
        <v>51</v>
      </c>
      <c r="R407" s="134"/>
      <c r="U407" s="128"/>
    </row>
    <row r="408" spans="1:21" ht="18" x14ac:dyDescent="0.3">
      <c r="A408" s="53"/>
      <c r="B408" s="54"/>
      <c r="C408" s="54"/>
      <c r="D408" s="54"/>
      <c r="E408" s="55"/>
      <c r="F408" s="75"/>
      <c r="G408" s="76"/>
      <c r="H408" s="76"/>
      <c r="I408" s="48"/>
      <c r="J408" s="70"/>
      <c r="K408" s="70"/>
      <c r="L408" s="189" t="s">
        <v>1637</v>
      </c>
      <c r="M408" s="190" t="s">
        <v>1663</v>
      </c>
      <c r="N408" s="189" t="s">
        <v>34</v>
      </c>
      <c r="O408" s="191">
        <v>2</v>
      </c>
      <c r="P408" s="192">
        <v>163.30000000000001</v>
      </c>
      <c r="Q408" s="192">
        <v>326.60000000000002</v>
      </c>
      <c r="R408" s="134"/>
      <c r="U408" s="128"/>
    </row>
    <row r="409" spans="1:21" ht="18" x14ac:dyDescent="0.3">
      <c r="A409" s="53"/>
      <c r="B409" s="54"/>
      <c r="C409" s="54"/>
      <c r="D409" s="54"/>
      <c r="E409" s="55"/>
      <c r="F409" s="75"/>
      <c r="G409" s="76"/>
      <c r="H409" s="76"/>
      <c r="I409" s="48"/>
      <c r="J409" s="70"/>
      <c r="K409" s="70"/>
      <c r="L409" s="189" t="s">
        <v>1506</v>
      </c>
      <c r="M409" s="190" t="s">
        <v>1586</v>
      </c>
      <c r="N409" s="189" t="s">
        <v>64</v>
      </c>
      <c r="O409" s="191">
        <v>0.14000000000000001</v>
      </c>
      <c r="P409" s="244">
        <v>4165.79</v>
      </c>
      <c r="Q409" s="192">
        <v>583.21</v>
      </c>
      <c r="R409" s="134"/>
      <c r="U409" s="128"/>
    </row>
    <row r="410" spans="1:21" ht="18" x14ac:dyDescent="0.3">
      <c r="A410" s="53"/>
      <c r="B410" s="54"/>
      <c r="C410" s="54"/>
      <c r="D410" s="54"/>
      <c r="E410" s="55"/>
      <c r="F410" s="75"/>
      <c r="G410" s="76"/>
      <c r="H410" s="76"/>
      <c r="I410" s="48"/>
      <c r="J410" s="70"/>
      <c r="K410" s="70"/>
      <c r="L410" s="189" t="s">
        <v>546</v>
      </c>
      <c r="M410" s="190" t="s">
        <v>253</v>
      </c>
      <c r="N410" s="189" t="s">
        <v>34</v>
      </c>
      <c r="O410" s="191">
        <v>1</v>
      </c>
      <c r="P410" s="192">
        <v>78</v>
      </c>
      <c r="Q410" s="192">
        <v>78</v>
      </c>
      <c r="R410" s="134"/>
      <c r="U410" s="128"/>
    </row>
    <row r="411" spans="1:21" ht="18" x14ac:dyDescent="0.3">
      <c r="A411" s="53"/>
      <c r="B411" s="54"/>
      <c r="C411" s="54"/>
      <c r="D411" s="54"/>
      <c r="E411" s="55"/>
      <c r="F411" s="75"/>
      <c r="G411" s="76"/>
      <c r="H411" s="76"/>
      <c r="I411" s="48"/>
      <c r="J411" s="70"/>
      <c r="K411" s="70"/>
      <c r="L411" s="189" t="s">
        <v>1420</v>
      </c>
      <c r="M411" s="190" t="s">
        <v>1443</v>
      </c>
      <c r="N411" s="189" t="s">
        <v>34</v>
      </c>
      <c r="O411" s="191">
        <v>5</v>
      </c>
      <c r="P411" s="192">
        <v>66.83</v>
      </c>
      <c r="Q411" s="192">
        <v>334.16</v>
      </c>
      <c r="R411" s="134"/>
      <c r="U411" s="128"/>
    </row>
    <row r="412" spans="1:21" ht="18" x14ac:dyDescent="0.3">
      <c r="A412" s="53"/>
      <c r="B412" s="54"/>
      <c r="C412" s="54"/>
      <c r="D412" s="54"/>
      <c r="E412" s="55"/>
      <c r="F412" s="75"/>
      <c r="G412" s="76"/>
      <c r="H412" s="76"/>
      <c r="I412" s="48"/>
      <c r="J412" s="70"/>
      <c r="K412" s="70"/>
      <c r="L412" s="189" t="s">
        <v>1507</v>
      </c>
      <c r="M412" s="190" t="s">
        <v>1587</v>
      </c>
      <c r="N412" s="189" t="s">
        <v>34</v>
      </c>
      <c r="O412" s="191">
        <v>1</v>
      </c>
      <c r="P412" s="192">
        <v>25</v>
      </c>
      <c r="Q412" s="192">
        <v>25</v>
      </c>
      <c r="R412" s="134"/>
      <c r="U412" s="128"/>
    </row>
    <row r="413" spans="1:21" ht="18" x14ac:dyDescent="0.3">
      <c r="A413" s="53"/>
      <c r="B413" s="54"/>
      <c r="C413" s="54"/>
      <c r="D413" s="54"/>
      <c r="E413" s="55"/>
      <c r="F413" s="75"/>
      <c r="G413" s="76"/>
      <c r="H413" s="76"/>
      <c r="I413" s="48"/>
      <c r="J413" s="70"/>
      <c r="K413" s="70"/>
      <c r="L413" s="189" t="s">
        <v>660</v>
      </c>
      <c r="M413" s="190" t="s">
        <v>1588</v>
      </c>
      <c r="N413" s="189" t="s">
        <v>147</v>
      </c>
      <c r="O413" s="191">
        <v>41</v>
      </c>
      <c r="P413" s="192">
        <v>24.2</v>
      </c>
      <c r="Q413" s="192">
        <v>992.2</v>
      </c>
      <c r="R413" s="134"/>
      <c r="U413" s="128"/>
    </row>
    <row r="414" spans="1:21" ht="18" x14ac:dyDescent="0.3">
      <c r="A414" s="53"/>
      <c r="B414" s="54"/>
      <c r="C414" s="54"/>
      <c r="D414" s="54"/>
      <c r="E414" s="55"/>
      <c r="F414" s="75"/>
      <c r="G414" s="76"/>
      <c r="H414" s="76"/>
      <c r="I414" s="48"/>
      <c r="J414" s="70"/>
      <c r="K414" s="70"/>
      <c r="L414" s="189" t="s">
        <v>538</v>
      </c>
      <c r="M414" s="190" t="s">
        <v>117</v>
      </c>
      <c r="N414" s="189" t="s">
        <v>34</v>
      </c>
      <c r="O414" s="191">
        <v>3</v>
      </c>
      <c r="P414" s="192">
        <v>82.08</v>
      </c>
      <c r="Q414" s="192">
        <v>246.25</v>
      </c>
      <c r="R414" s="134"/>
      <c r="U414" s="128"/>
    </row>
    <row r="415" spans="1:21" ht="18" x14ac:dyDescent="0.3">
      <c r="A415" s="53"/>
      <c r="B415" s="54"/>
      <c r="C415" s="54"/>
      <c r="D415" s="54"/>
      <c r="E415" s="55"/>
      <c r="F415" s="75"/>
      <c r="G415" s="76"/>
      <c r="H415" s="76"/>
      <c r="I415" s="48"/>
      <c r="J415" s="70"/>
      <c r="K415" s="70"/>
      <c r="L415" s="189" t="s">
        <v>634</v>
      </c>
      <c r="M415" s="190" t="s">
        <v>139</v>
      </c>
      <c r="N415" s="189" t="s">
        <v>34</v>
      </c>
      <c r="O415" s="191">
        <v>1</v>
      </c>
      <c r="P415" s="192">
        <v>55</v>
      </c>
      <c r="Q415" s="192">
        <v>55</v>
      </c>
      <c r="R415" s="134"/>
      <c r="U415" s="128"/>
    </row>
    <row r="416" spans="1:21" ht="18" x14ac:dyDescent="0.3">
      <c r="A416" s="53"/>
      <c r="B416" s="54"/>
      <c r="C416" s="54"/>
      <c r="D416" s="54"/>
      <c r="E416" s="55"/>
      <c r="F416" s="75"/>
      <c r="G416" s="76"/>
      <c r="H416" s="76"/>
      <c r="I416" s="48"/>
      <c r="J416" s="70"/>
      <c r="K416" s="70"/>
      <c r="L416" s="189" t="s">
        <v>1509</v>
      </c>
      <c r="M416" s="190" t="s">
        <v>1590</v>
      </c>
      <c r="N416" s="189" t="s">
        <v>147</v>
      </c>
      <c r="O416" s="191">
        <v>5</v>
      </c>
      <c r="P416" s="192">
        <v>119</v>
      </c>
      <c r="Q416" s="192">
        <v>595</v>
      </c>
      <c r="R416" s="134"/>
      <c r="U416" s="128"/>
    </row>
    <row r="417" spans="1:21" ht="18" x14ac:dyDescent="0.3">
      <c r="A417" s="53"/>
      <c r="B417" s="54"/>
      <c r="C417" s="54"/>
      <c r="D417" s="54"/>
      <c r="E417" s="55"/>
      <c r="F417" s="75"/>
      <c r="G417" s="76"/>
      <c r="H417" s="76"/>
      <c r="I417" s="48"/>
      <c r="J417" s="70"/>
      <c r="K417" s="70"/>
      <c r="L417" s="189" t="s">
        <v>1510</v>
      </c>
      <c r="M417" s="190" t="s">
        <v>1591</v>
      </c>
      <c r="N417" s="189" t="s">
        <v>34</v>
      </c>
      <c r="O417" s="191">
        <v>1</v>
      </c>
      <c r="P417" s="192">
        <v>156.66999999999999</v>
      </c>
      <c r="Q417" s="192">
        <v>156.66999999999999</v>
      </c>
      <c r="R417" s="134"/>
      <c r="U417" s="128"/>
    </row>
    <row r="418" spans="1:21" ht="18" x14ac:dyDescent="0.3">
      <c r="A418" s="53"/>
      <c r="B418" s="54"/>
      <c r="C418" s="54"/>
      <c r="D418" s="54"/>
      <c r="E418" s="55"/>
      <c r="F418" s="75"/>
      <c r="G418" s="76"/>
      <c r="H418" s="76"/>
      <c r="I418" s="48"/>
      <c r="J418" s="70"/>
      <c r="K418" s="70"/>
      <c r="L418" s="189" t="s">
        <v>630</v>
      </c>
      <c r="M418" s="190" t="s">
        <v>631</v>
      </c>
      <c r="N418" s="189" t="s">
        <v>34</v>
      </c>
      <c r="O418" s="191">
        <v>1</v>
      </c>
      <c r="P418" s="192">
        <v>57</v>
      </c>
      <c r="Q418" s="192">
        <v>57</v>
      </c>
      <c r="R418" s="134"/>
      <c r="U418" s="128"/>
    </row>
    <row r="419" spans="1:21" ht="18" x14ac:dyDescent="0.3">
      <c r="A419" s="53"/>
      <c r="B419" s="54"/>
      <c r="C419" s="54"/>
      <c r="D419" s="54"/>
      <c r="E419" s="55"/>
      <c r="F419" s="75"/>
      <c r="G419" s="76"/>
      <c r="H419" s="76"/>
      <c r="I419" s="48"/>
      <c r="J419" s="70"/>
      <c r="K419" s="70"/>
      <c r="L419" s="189" t="s">
        <v>1511</v>
      </c>
      <c r="M419" s="190" t="s">
        <v>1592</v>
      </c>
      <c r="N419" s="189" t="s">
        <v>34</v>
      </c>
      <c r="O419" s="191">
        <v>9</v>
      </c>
      <c r="P419" s="192">
        <v>4.6500000000000004</v>
      </c>
      <c r="Q419" s="192">
        <v>41.85</v>
      </c>
      <c r="R419" s="134"/>
      <c r="U419" s="128"/>
    </row>
    <row r="420" spans="1:21" ht="18" x14ac:dyDescent="0.3">
      <c r="A420" s="53"/>
      <c r="B420" s="54"/>
      <c r="C420" s="54"/>
      <c r="D420" s="54"/>
      <c r="E420" s="55"/>
      <c r="F420" s="75"/>
      <c r="G420" s="76"/>
      <c r="H420" s="76"/>
      <c r="I420" s="48"/>
      <c r="J420" s="70"/>
      <c r="K420" s="70"/>
      <c r="L420" s="189" t="s">
        <v>1512</v>
      </c>
      <c r="M420" s="190" t="s">
        <v>1593</v>
      </c>
      <c r="N420" s="189" t="s">
        <v>34</v>
      </c>
      <c r="O420" s="191">
        <v>1</v>
      </c>
      <c r="P420" s="192">
        <v>7.5</v>
      </c>
      <c r="Q420" s="192">
        <v>7.5</v>
      </c>
      <c r="R420" s="134"/>
      <c r="U420" s="128"/>
    </row>
    <row r="421" spans="1:21" ht="18" x14ac:dyDescent="0.3">
      <c r="A421" s="53"/>
      <c r="B421" s="54"/>
      <c r="C421" s="54"/>
      <c r="D421" s="54"/>
      <c r="E421" s="55"/>
      <c r="F421" s="75"/>
      <c r="G421" s="76"/>
      <c r="H421" s="76"/>
      <c r="I421" s="48"/>
      <c r="J421" s="70"/>
      <c r="K421" s="70"/>
      <c r="L421" s="189" t="s">
        <v>1514</v>
      </c>
      <c r="M421" s="190" t="s">
        <v>1595</v>
      </c>
      <c r="N421" s="189" t="s">
        <v>34</v>
      </c>
      <c r="O421" s="191">
        <v>5</v>
      </c>
      <c r="P421" s="192">
        <v>30.33</v>
      </c>
      <c r="Q421" s="192">
        <v>151.66999999999999</v>
      </c>
      <c r="R421" s="134"/>
      <c r="U421" s="128"/>
    </row>
    <row r="422" spans="1:21" ht="18" x14ac:dyDescent="0.3">
      <c r="A422" s="53"/>
      <c r="B422" s="54"/>
      <c r="C422" s="54"/>
      <c r="D422" s="54"/>
      <c r="E422" s="55"/>
      <c r="F422" s="75"/>
      <c r="G422" s="76"/>
      <c r="H422" s="76"/>
      <c r="I422" s="48"/>
      <c r="J422" s="70"/>
      <c r="K422" s="70"/>
      <c r="L422" s="189" t="s">
        <v>1516</v>
      </c>
      <c r="M422" s="190" t="s">
        <v>1597</v>
      </c>
      <c r="N422" s="189" t="s">
        <v>34</v>
      </c>
      <c r="O422" s="191">
        <v>1</v>
      </c>
      <c r="P422" s="192">
        <v>84</v>
      </c>
      <c r="Q422" s="192">
        <v>84</v>
      </c>
      <c r="R422" s="134"/>
      <c r="U422" s="128"/>
    </row>
    <row r="423" spans="1:21" ht="18" x14ac:dyDescent="0.3">
      <c r="A423" s="53"/>
      <c r="B423" s="54"/>
      <c r="C423" s="54"/>
      <c r="D423" s="54"/>
      <c r="E423" s="55"/>
      <c r="F423" s="75"/>
      <c r="G423" s="76"/>
      <c r="H423" s="76"/>
      <c r="I423" s="48"/>
      <c r="J423" s="70"/>
      <c r="K423" s="70"/>
      <c r="L423" s="189" t="s">
        <v>703</v>
      </c>
      <c r="M423" s="190" t="s">
        <v>704</v>
      </c>
      <c r="N423" s="189" t="s">
        <v>34</v>
      </c>
      <c r="O423" s="191">
        <v>1</v>
      </c>
      <c r="P423" s="192">
        <v>89.5</v>
      </c>
      <c r="Q423" s="192">
        <v>89.5</v>
      </c>
      <c r="R423" s="134"/>
      <c r="U423" s="128"/>
    </row>
    <row r="424" spans="1:21" ht="18" x14ac:dyDescent="0.3">
      <c r="A424" s="53"/>
      <c r="B424" s="54"/>
      <c r="C424" s="54"/>
      <c r="D424" s="54"/>
      <c r="E424" s="55"/>
      <c r="F424" s="75"/>
      <c r="G424" s="76"/>
      <c r="H424" s="76"/>
      <c r="I424" s="48"/>
      <c r="J424" s="70"/>
      <c r="K424" s="70"/>
      <c r="L424" s="189" t="s">
        <v>649</v>
      </c>
      <c r="M424" s="190" t="s">
        <v>650</v>
      </c>
      <c r="N424" s="189" t="s">
        <v>34</v>
      </c>
      <c r="O424" s="191">
        <v>3</v>
      </c>
      <c r="P424" s="192">
        <v>23</v>
      </c>
      <c r="Q424" s="192">
        <v>69</v>
      </c>
      <c r="R424" s="134"/>
      <c r="U424" s="128"/>
    </row>
    <row r="425" spans="1:21" ht="18" x14ac:dyDescent="0.3">
      <c r="A425" s="53"/>
      <c r="B425" s="54"/>
      <c r="C425" s="54"/>
      <c r="D425" s="54"/>
      <c r="E425" s="55"/>
      <c r="F425" s="75"/>
      <c r="G425" s="76"/>
      <c r="H425" s="76"/>
      <c r="I425" s="48"/>
      <c r="J425" s="70"/>
      <c r="K425" s="70"/>
      <c r="L425" s="189" t="s">
        <v>1519</v>
      </c>
      <c r="M425" s="190" t="s">
        <v>1600</v>
      </c>
      <c r="N425" s="189" t="s">
        <v>34</v>
      </c>
      <c r="O425" s="191">
        <v>1</v>
      </c>
      <c r="P425" s="192">
        <v>48</v>
      </c>
      <c r="Q425" s="192">
        <v>48</v>
      </c>
      <c r="R425" s="134"/>
      <c r="U425" s="128"/>
    </row>
    <row r="426" spans="1:21" ht="18" x14ac:dyDescent="0.3">
      <c r="A426" s="53"/>
      <c r="B426" s="54"/>
      <c r="C426" s="54"/>
      <c r="D426" s="54"/>
      <c r="E426" s="55"/>
      <c r="F426" s="75"/>
      <c r="G426" s="76"/>
      <c r="H426" s="76"/>
      <c r="I426" s="48"/>
      <c r="J426" s="70"/>
      <c r="K426" s="70"/>
      <c r="L426" s="189" t="s">
        <v>648</v>
      </c>
      <c r="M426" s="190" t="s">
        <v>145</v>
      </c>
      <c r="N426" s="189" t="s">
        <v>37</v>
      </c>
      <c r="O426" s="191">
        <v>22</v>
      </c>
      <c r="P426" s="192">
        <v>61.25</v>
      </c>
      <c r="Q426" s="244">
        <v>1347.5</v>
      </c>
      <c r="R426" s="134"/>
      <c r="U426" s="128"/>
    </row>
    <row r="427" spans="1:21" ht="18" x14ac:dyDescent="0.3">
      <c r="A427" s="53"/>
      <c r="B427" s="54"/>
      <c r="C427" s="54"/>
      <c r="D427" s="54"/>
      <c r="E427" s="55"/>
      <c r="F427" s="75"/>
      <c r="G427" s="76"/>
      <c r="H427" s="76"/>
      <c r="I427" s="48"/>
      <c r="J427" s="70"/>
      <c r="K427" s="70"/>
      <c r="L427" s="189" t="s">
        <v>1521</v>
      </c>
      <c r="M427" s="190" t="s">
        <v>1602</v>
      </c>
      <c r="N427" s="189" t="s">
        <v>34</v>
      </c>
      <c r="O427" s="191">
        <v>1</v>
      </c>
      <c r="P427" s="192">
        <v>33.33</v>
      </c>
      <c r="Q427" s="192">
        <v>33.33</v>
      </c>
      <c r="R427" s="134"/>
      <c r="U427" s="128"/>
    </row>
    <row r="428" spans="1:21" ht="18" x14ac:dyDescent="0.3">
      <c r="A428" s="53"/>
      <c r="B428" s="54"/>
      <c r="C428" s="54"/>
      <c r="D428" s="54"/>
      <c r="E428" s="55"/>
      <c r="F428" s="75"/>
      <c r="G428" s="76"/>
      <c r="H428" s="76"/>
      <c r="I428" s="48"/>
      <c r="J428" s="70"/>
      <c r="K428" s="70"/>
      <c r="L428" s="189" t="s">
        <v>1638</v>
      </c>
      <c r="M428" s="190" t="s">
        <v>1664</v>
      </c>
      <c r="N428" s="189" t="s">
        <v>34</v>
      </c>
      <c r="O428" s="191">
        <v>1</v>
      </c>
      <c r="P428" s="244">
        <v>1056</v>
      </c>
      <c r="Q428" s="244">
        <v>1056</v>
      </c>
      <c r="R428" s="134"/>
      <c r="U428" s="128"/>
    </row>
    <row r="429" spans="1:21" ht="18" x14ac:dyDescent="0.3">
      <c r="A429" s="53"/>
      <c r="B429" s="54"/>
      <c r="C429" s="54"/>
      <c r="D429" s="54"/>
      <c r="E429" s="55"/>
      <c r="F429" s="75"/>
      <c r="G429" s="76"/>
      <c r="H429" s="76"/>
      <c r="I429" s="48"/>
      <c r="J429" s="70"/>
      <c r="K429" s="70"/>
      <c r="L429" s="189" t="s">
        <v>1522</v>
      </c>
      <c r="M429" s="190" t="s">
        <v>1603</v>
      </c>
      <c r="N429" s="189" t="s">
        <v>34</v>
      </c>
      <c r="O429" s="191">
        <v>1</v>
      </c>
      <c r="P429" s="192">
        <v>183.89</v>
      </c>
      <c r="Q429" s="192">
        <v>183.89</v>
      </c>
      <c r="R429" s="134"/>
      <c r="U429" s="128"/>
    </row>
    <row r="430" spans="1:21" ht="18" x14ac:dyDescent="0.3">
      <c r="A430" s="53"/>
      <c r="B430" s="54"/>
      <c r="C430" s="54"/>
      <c r="D430" s="54"/>
      <c r="E430" s="55"/>
      <c r="F430" s="75"/>
      <c r="G430" s="76"/>
      <c r="H430" s="76"/>
      <c r="I430" s="48"/>
      <c r="J430" s="70"/>
      <c r="K430" s="70"/>
      <c r="L430" s="189" t="s">
        <v>607</v>
      </c>
      <c r="M430" s="190" t="s">
        <v>608</v>
      </c>
      <c r="N430" s="189" t="s">
        <v>34</v>
      </c>
      <c r="O430" s="191">
        <v>13</v>
      </c>
      <c r="P430" s="192">
        <v>39.200000000000003</v>
      </c>
      <c r="Q430" s="192">
        <v>509.6</v>
      </c>
      <c r="R430" s="134"/>
      <c r="U430" s="128"/>
    </row>
    <row r="431" spans="1:21" ht="18" x14ac:dyDescent="0.3">
      <c r="A431" s="53"/>
      <c r="B431" s="54"/>
      <c r="C431" s="54"/>
      <c r="D431" s="54"/>
      <c r="E431" s="55"/>
      <c r="F431" s="75"/>
      <c r="G431" s="76"/>
      <c r="H431" s="76"/>
      <c r="I431" s="48"/>
      <c r="J431" s="70"/>
      <c r="K431" s="70"/>
      <c r="L431" s="189" t="s">
        <v>600</v>
      </c>
      <c r="M431" s="190" t="s">
        <v>258</v>
      </c>
      <c r="N431" s="189" t="s">
        <v>34</v>
      </c>
      <c r="O431" s="191">
        <v>3</v>
      </c>
      <c r="P431" s="192">
        <v>149.16999999999999</v>
      </c>
      <c r="Q431" s="192">
        <v>447.51</v>
      </c>
      <c r="R431" s="134"/>
      <c r="U431" s="128"/>
    </row>
    <row r="432" spans="1:21" ht="18" x14ac:dyDescent="0.3">
      <c r="A432" s="53"/>
      <c r="B432" s="54"/>
      <c r="C432" s="54"/>
      <c r="D432" s="54"/>
      <c r="E432" s="55"/>
      <c r="F432" s="75"/>
      <c r="G432" s="76"/>
      <c r="H432" s="76"/>
      <c r="I432" s="48"/>
      <c r="J432" s="70"/>
      <c r="K432" s="70"/>
      <c r="L432" s="189" t="s">
        <v>1523</v>
      </c>
      <c r="M432" s="190" t="s">
        <v>1604</v>
      </c>
      <c r="N432" s="189" t="s">
        <v>34</v>
      </c>
      <c r="O432" s="191">
        <v>1</v>
      </c>
      <c r="P432" s="192">
        <v>108.33</v>
      </c>
      <c r="Q432" s="192">
        <v>108.33</v>
      </c>
      <c r="R432" s="134"/>
      <c r="U432" s="128"/>
    </row>
    <row r="433" spans="1:21" ht="18" x14ac:dyDescent="0.3">
      <c r="A433" s="53"/>
      <c r="B433" s="54"/>
      <c r="C433" s="54"/>
      <c r="D433" s="54"/>
      <c r="E433" s="55"/>
      <c r="F433" s="75"/>
      <c r="G433" s="76"/>
      <c r="H433" s="76"/>
      <c r="I433" s="48"/>
      <c r="J433" s="70"/>
      <c r="K433" s="70"/>
      <c r="L433" s="189" t="s">
        <v>1524</v>
      </c>
      <c r="M433" s="190" t="s">
        <v>1605</v>
      </c>
      <c r="N433" s="189" t="s">
        <v>34</v>
      </c>
      <c r="O433" s="191">
        <v>1</v>
      </c>
      <c r="P433" s="192">
        <v>263</v>
      </c>
      <c r="Q433" s="192">
        <v>263</v>
      </c>
      <c r="R433" s="134"/>
      <c r="U433" s="128"/>
    </row>
    <row r="434" spans="1:21" ht="18" x14ac:dyDescent="0.3">
      <c r="A434" s="53"/>
      <c r="B434" s="54"/>
      <c r="C434" s="54"/>
      <c r="D434" s="54"/>
      <c r="E434" s="55"/>
      <c r="F434" s="75"/>
      <c r="G434" s="76"/>
      <c r="H434" s="76"/>
      <c r="I434" s="48"/>
      <c r="J434" s="70"/>
      <c r="K434" s="70"/>
      <c r="L434" s="189" t="s">
        <v>1525</v>
      </c>
      <c r="M434" s="190" t="s">
        <v>1606</v>
      </c>
      <c r="N434" s="189" t="s">
        <v>34</v>
      </c>
      <c r="O434" s="191">
        <v>1</v>
      </c>
      <c r="P434" s="192">
        <v>93.6</v>
      </c>
      <c r="Q434" s="192">
        <v>93.6</v>
      </c>
      <c r="R434" s="134"/>
      <c r="U434" s="128"/>
    </row>
    <row r="435" spans="1:21" ht="18" x14ac:dyDescent="0.3">
      <c r="A435" s="53"/>
      <c r="B435" s="54"/>
      <c r="C435" s="54"/>
      <c r="D435" s="54"/>
      <c r="E435" s="55"/>
      <c r="F435" s="75"/>
      <c r="G435" s="76"/>
      <c r="H435" s="76"/>
      <c r="I435" s="48"/>
      <c r="J435" s="70"/>
      <c r="K435" s="70"/>
      <c r="L435" s="189" t="s">
        <v>1639</v>
      </c>
      <c r="M435" s="190" t="s">
        <v>1665</v>
      </c>
      <c r="N435" s="189" t="s">
        <v>34</v>
      </c>
      <c r="O435" s="191">
        <v>1</v>
      </c>
      <c r="P435" s="192">
        <v>144</v>
      </c>
      <c r="Q435" s="192">
        <v>144</v>
      </c>
      <c r="R435" s="134"/>
      <c r="U435" s="128"/>
    </row>
    <row r="436" spans="1:21" ht="18" x14ac:dyDescent="0.3">
      <c r="A436" s="53"/>
      <c r="B436" s="54"/>
      <c r="C436" s="54"/>
      <c r="D436" s="54"/>
      <c r="E436" s="55"/>
      <c r="F436" s="75"/>
      <c r="G436" s="76"/>
      <c r="H436" s="76"/>
      <c r="I436" s="48"/>
      <c r="J436" s="70"/>
      <c r="K436" s="70"/>
      <c r="L436" s="189" t="s">
        <v>1640</v>
      </c>
      <c r="M436" s="190" t="s">
        <v>1666</v>
      </c>
      <c r="N436" s="189" t="s">
        <v>34</v>
      </c>
      <c r="O436" s="191">
        <v>1</v>
      </c>
      <c r="P436" s="192">
        <v>288</v>
      </c>
      <c r="Q436" s="192">
        <v>288</v>
      </c>
      <c r="R436" s="134"/>
      <c r="U436" s="128"/>
    </row>
    <row r="437" spans="1:21" ht="18" x14ac:dyDescent="0.3">
      <c r="A437" s="53"/>
      <c r="B437" s="54"/>
      <c r="C437" s="54"/>
      <c r="D437" s="54"/>
      <c r="E437" s="55"/>
      <c r="F437" s="75"/>
      <c r="G437" s="76"/>
      <c r="H437" s="76"/>
      <c r="I437" s="48"/>
      <c r="J437" s="70"/>
      <c r="K437" s="70"/>
      <c r="L437" s="189" t="s">
        <v>1527</v>
      </c>
      <c r="M437" s="190" t="s">
        <v>1608</v>
      </c>
      <c r="N437" s="189" t="s">
        <v>34</v>
      </c>
      <c r="O437" s="191">
        <v>11</v>
      </c>
      <c r="P437" s="192">
        <v>52.68</v>
      </c>
      <c r="Q437" s="192">
        <v>579.5</v>
      </c>
      <c r="R437" s="134"/>
      <c r="U437" s="128"/>
    </row>
    <row r="438" spans="1:21" ht="18" x14ac:dyDescent="0.3">
      <c r="A438" s="53"/>
      <c r="B438" s="54"/>
      <c r="C438" s="54"/>
      <c r="D438" s="54"/>
      <c r="E438" s="55"/>
      <c r="F438" s="75"/>
      <c r="G438" s="76"/>
      <c r="H438" s="76"/>
      <c r="I438" s="48"/>
      <c r="J438" s="70"/>
      <c r="K438" s="70"/>
      <c r="L438" s="189" t="s">
        <v>1529</v>
      </c>
      <c r="M438" s="190" t="s">
        <v>410</v>
      </c>
      <c r="N438" s="189" t="s">
        <v>34</v>
      </c>
      <c r="O438" s="191">
        <v>8</v>
      </c>
      <c r="P438" s="192">
        <v>213.12</v>
      </c>
      <c r="Q438" s="244">
        <v>1704.99</v>
      </c>
      <c r="R438" s="134"/>
      <c r="U438" s="128"/>
    </row>
    <row r="439" spans="1:21" ht="18" x14ac:dyDescent="0.3">
      <c r="A439" s="53"/>
      <c r="B439" s="54"/>
      <c r="C439" s="54"/>
      <c r="D439" s="54"/>
      <c r="E439" s="55"/>
      <c r="F439" s="75"/>
      <c r="G439" s="76"/>
      <c r="H439" s="76"/>
      <c r="I439" s="48"/>
      <c r="J439" s="70"/>
      <c r="K439" s="70"/>
      <c r="L439" s="189" t="s">
        <v>1531</v>
      </c>
      <c r="M439" s="190" t="s">
        <v>1611</v>
      </c>
      <c r="N439" s="189" t="s">
        <v>34</v>
      </c>
      <c r="O439" s="191">
        <v>3</v>
      </c>
      <c r="P439" s="192">
        <v>44.5</v>
      </c>
      <c r="Q439" s="192">
        <v>133.5</v>
      </c>
      <c r="R439" s="134"/>
      <c r="U439" s="128"/>
    </row>
    <row r="440" spans="1:21" ht="18" x14ac:dyDescent="0.3">
      <c r="A440" s="53"/>
      <c r="B440" s="54"/>
      <c r="C440" s="54"/>
      <c r="D440" s="54"/>
      <c r="E440" s="55"/>
      <c r="F440" s="75"/>
      <c r="G440" s="76"/>
      <c r="H440" s="76"/>
      <c r="I440" s="48"/>
      <c r="J440" s="70"/>
      <c r="K440" s="70"/>
      <c r="L440" s="189" t="s">
        <v>1641</v>
      </c>
      <c r="M440" s="190" t="s">
        <v>1667</v>
      </c>
      <c r="N440" s="189" t="s">
        <v>64</v>
      </c>
      <c r="O440" s="191">
        <v>1</v>
      </c>
      <c r="P440" s="192">
        <v>24</v>
      </c>
      <c r="Q440" s="192">
        <v>24</v>
      </c>
      <c r="R440" s="134"/>
      <c r="U440" s="128"/>
    </row>
    <row r="441" spans="1:21" ht="18" x14ac:dyDescent="0.3">
      <c r="A441" s="53"/>
      <c r="B441" s="54"/>
      <c r="C441" s="54"/>
      <c r="D441" s="54"/>
      <c r="E441" s="55"/>
      <c r="F441" s="75"/>
      <c r="G441" s="76"/>
      <c r="H441" s="76"/>
      <c r="I441" s="48"/>
      <c r="J441" s="70"/>
      <c r="K441" s="70"/>
      <c r="L441" s="189" t="s">
        <v>674</v>
      </c>
      <c r="M441" s="190" t="s">
        <v>675</v>
      </c>
      <c r="N441" s="189" t="s">
        <v>34</v>
      </c>
      <c r="O441" s="191">
        <v>1</v>
      </c>
      <c r="P441" s="192">
        <v>28.08</v>
      </c>
      <c r="Q441" s="192">
        <v>28.08</v>
      </c>
      <c r="R441" s="134"/>
      <c r="U441" s="128"/>
    </row>
    <row r="442" spans="1:21" ht="18" x14ac:dyDescent="0.3">
      <c r="A442" s="53"/>
      <c r="B442" s="54"/>
      <c r="C442" s="54"/>
      <c r="D442" s="54"/>
      <c r="E442" s="55"/>
      <c r="F442" s="75"/>
      <c r="G442" s="76"/>
      <c r="H442" s="76"/>
      <c r="I442" s="48"/>
      <c r="J442" s="70"/>
      <c r="K442" s="70"/>
      <c r="L442" s="189" t="s">
        <v>1642</v>
      </c>
      <c r="M442" s="190" t="s">
        <v>1668</v>
      </c>
      <c r="N442" s="189" t="s">
        <v>34</v>
      </c>
      <c r="O442" s="191">
        <v>1</v>
      </c>
      <c r="P442" s="192">
        <v>104.2</v>
      </c>
      <c r="Q442" s="192">
        <v>104.2</v>
      </c>
      <c r="R442" s="134"/>
      <c r="U442" s="128"/>
    </row>
    <row r="443" spans="1:21" ht="18" x14ac:dyDescent="0.3">
      <c r="A443" s="53"/>
      <c r="B443" s="54"/>
      <c r="C443" s="54"/>
      <c r="D443" s="54"/>
      <c r="E443" s="55"/>
      <c r="F443" s="75"/>
      <c r="G443" s="76"/>
      <c r="H443" s="76"/>
      <c r="I443" s="48"/>
      <c r="J443" s="70"/>
      <c r="K443" s="70"/>
      <c r="L443" s="189" t="s">
        <v>1643</v>
      </c>
      <c r="M443" s="190" t="s">
        <v>1669</v>
      </c>
      <c r="N443" s="189" t="s">
        <v>34</v>
      </c>
      <c r="O443" s="191">
        <v>1</v>
      </c>
      <c r="P443" s="192">
        <v>197.5</v>
      </c>
      <c r="Q443" s="192">
        <v>197.5</v>
      </c>
      <c r="R443" s="134"/>
      <c r="U443" s="128"/>
    </row>
    <row r="444" spans="1:21" ht="18" x14ac:dyDescent="0.3">
      <c r="A444" s="53"/>
      <c r="B444" s="54"/>
      <c r="C444" s="54"/>
      <c r="D444" s="54"/>
      <c r="E444" s="55"/>
      <c r="F444" s="75"/>
      <c r="G444" s="76"/>
      <c r="H444" s="76"/>
      <c r="I444" s="48"/>
      <c r="J444" s="70"/>
      <c r="K444" s="70"/>
      <c r="L444" s="189" t="s">
        <v>1533</v>
      </c>
      <c r="M444" s="190" t="s">
        <v>1613</v>
      </c>
      <c r="N444" s="189" t="s">
        <v>34</v>
      </c>
      <c r="O444" s="191">
        <v>1</v>
      </c>
      <c r="P444" s="192">
        <v>376</v>
      </c>
      <c r="Q444" s="192">
        <v>376</v>
      </c>
      <c r="R444" s="134"/>
      <c r="U444" s="128"/>
    </row>
    <row r="445" spans="1:21" ht="18" x14ac:dyDescent="0.3">
      <c r="A445" s="53"/>
      <c r="B445" s="54"/>
      <c r="C445" s="54"/>
      <c r="D445" s="54"/>
      <c r="E445" s="55"/>
      <c r="F445" s="75"/>
      <c r="G445" s="76"/>
      <c r="H445" s="76"/>
      <c r="I445" s="48"/>
      <c r="J445" s="70"/>
      <c r="K445" s="70"/>
      <c r="L445" s="189" t="s">
        <v>1534</v>
      </c>
      <c r="M445" s="190" t="s">
        <v>1614</v>
      </c>
      <c r="N445" s="189" t="s">
        <v>34</v>
      </c>
      <c r="O445" s="191">
        <v>1</v>
      </c>
      <c r="P445" s="192">
        <v>24.75</v>
      </c>
      <c r="Q445" s="192">
        <v>24.75</v>
      </c>
      <c r="R445" s="134"/>
      <c r="U445" s="128"/>
    </row>
    <row r="446" spans="1:21" ht="18" x14ac:dyDescent="0.3">
      <c r="A446" s="53"/>
      <c r="B446" s="54"/>
      <c r="C446" s="54"/>
      <c r="D446" s="54"/>
      <c r="E446" s="55"/>
      <c r="F446" s="75"/>
      <c r="G446" s="76"/>
      <c r="H446" s="76"/>
      <c r="I446" s="48"/>
      <c r="J446" s="70"/>
      <c r="K446" s="70"/>
      <c r="L446" s="189" t="s">
        <v>1537</v>
      </c>
      <c r="M446" s="190" t="s">
        <v>1617</v>
      </c>
      <c r="N446" s="189" t="s">
        <v>34</v>
      </c>
      <c r="O446" s="191">
        <v>1</v>
      </c>
      <c r="P446" s="192">
        <v>69</v>
      </c>
      <c r="Q446" s="192">
        <v>69</v>
      </c>
      <c r="R446" s="134"/>
      <c r="U446" s="128"/>
    </row>
    <row r="447" spans="1:21" ht="18" x14ac:dyDescent="0.3">
      <c r="A447" s="53"/>
      <c r="B447" s="54"/>
      <c r="C447" s="54"/>
      <c r="D447" s="54"/>
      <c r="E447" s="55"/>
      <c r="F447" s="75"/>
      <c r="G447" s="76"/>
      <c r="H447" s="76"/>
      <c r="I447" s="48"/>
      <c r="J447" s="70"/>
      <c r="K447" s="70"/>
      <c r="L447" s="189" t="s">
        <v>559</v>
      </c>
      <c r="M447" s="190" t="s">
        <v>1670</v>
      </c>
      <c r="N447" s="189" t="s">
        <v>34</v>
      </c>
      <c r="O447" s="191">
        <v>1</v>
      </c>
      <c r="P447" s="192">
        <v>57</v>
      </c>
      <c r="Q447" s="192">
        <v>57</v>
      </c>
      <c r="R447" s="134"/>
      <c r="U447" s="128"/>
    </row>
    <row r="448" spans="1:21" ht="18" x14ac:dyDescent="0.3">
      <c r="A448" s="53"/>
      <c r="B448" s="54"/>
      <c r="C448" s="54"/>
      <c r="D448" s="54"/>
      <c r="E448" s="55"/>
      <c r="F448" s="75"/>
      <c r="G448" s="76"/>
      <c r="H448" s="76"/>
      <c r="I448" s="48"/>
      <c r="J448" s="70"/>
      <c r="K448" s="70"/>
      <c r="L448" s="267" t="s">
        <v>1843</v>
      </c>
      <c r="M448" s="268" t="s">
        <v>1844</v>
      </c>
      <c r="N448" s="267" t="s">
        <v>1845</v>
      </c>
      <c r="O448" s="269">
        <v>0.2</v>
      </c>
      <c r="P448" s="270">
        <v>1042.5</v>
      </c>
      <c r="Q448" s="271">
        <v>208.5</v>
      </c>
      <c r="R448" s="134"/>
      <c r="U448" s="128"/>
    </row>
    <row r="449" spans="1:21" ht="18" x14ac:dyDescent="0.3">
      <c r="A449" s="53"/>
      <c r="B449" s="54"/>
      <c r="C449" s="54"/>
      <c r="D449" s="54"/>
      <c r="E449" s="55"/>
      <c r="F449" s="75"/>
      <c r="G449" s="76"/>
      <c r="H449" s="76"/>
      <c r="I449" s="48"/>
      <c r="J449" s="70"/>
      <c r="K449" s="70"/>
      <c r="L449" s="141"/>
      <c r="M449" s="142"/>
      <c r="N449" s="141"/>
      <c r="O449" s="129"/>
      <c r="P449" s="135"/>
      <c r="Q449" s="135"/>
      <c r="R449" s="134"/>
      <c r="U449" s="128"/>
    </row>
    <row r="450" spans="1:21" ht="18" x14ac:dyDescent="0.3">
      <c r="A450" s="15"/>
      <c r="B450" s="20"/>
      <c r="C450" s="6"/>
      <c r="D450" s="44"/>
      <c r="E450" s="44"/>
      <c r="F450" s="75"/>
      <c r="G450" s="76"/>
      <c r="H450" s="76"/>
      <c r="I450" s="49"/>
      <c r="J450" s="49"/>
      <c r="K450" s="49"/>
      <c r="L450" s="67"/>
      <c r="M450" s="68"/>
      <c r="N450" s="68"/>
      <c r="O450" s="45"/>
      <c r="P450" s="45"/>
      <c r="Q450" s="45"/>
      <c r="R450" s="19"/>
      <c r="T450" s="4"/>
      <c r="U450" s="128"/>
    </row>
    <row r="451" spans="1:21" ht="18.600000000000001" thickBot="1" x14ac:dyDescent="0.35">
      <c r="A451" s="15"/>
      <c r="B451" s="20"/>
      <c r="C451" s="6"/>
      <c r="D451" s="44"/>
      <c r="E451" s="44"/>
      <c r="F451" s="75"/>
      <c r="G451" s="76"/>
      <c r="H451" s="76"/>
      <c r="I451" s="49"/>
      <c r="J451" s="49"/>
      <c r="K451" s="49"/>
      <c r="L451" s="67"/>
      <c r="M451" s="68"/>
      <c r="N451" s="68"/>
      <c r="O451" s="45"/>
      <c r="P451" s="45"/>
      <c r="Q451" s="45"/>
      <c r="R451" s="19"/>
      <c r="T451" s="4"/>
      <c r="U451" s="128"/>
    </row>
    <row r="452" spans="1:21" ht="21.6" thickBot="1" x14ac:dyDescent="0.35">
      <c r="A452" s="28"/>
      <c r="B452" s="29" t="s">
        <v>29</v>
      </c>
      <c r="C452" s="30"/>
      <c r="D452" s="31">
        <f>SUM(D450:D451)</f>
        <v>0</v>
      </c>
      <c r="E452" s="31"/>
      <c r="F452" s="71"/>
      <c r="G452" s="71"/>
      <c r="H452" s="71"/>
      <c r="I452" s="71"/>
      <c r="J452" s="71"/>
      <c r="K452" s="71"/>
      <c r="L452" s="120"/>
      <c r="M452" s="121"/>
      <c r="N452" s="121"/>
      <c r="O452" s="34"/>
      <c r="P452" s="34"/>
      <c r="Q452" s="34">
        <f>SUM(Q343:Q448)</f>
        <v>35314.739999999991</v>
      </c>
      <c r="R452" s="35"/>
    </row>
    <row r="453" spans="1:21" ht="21.6" thickBot="1" x14ac:dyDescent="0.35">
      <c r="A453" s="36"/>
      <c r="B453" s="37" t="s">
        <v>30</v>
      </c>
      <c r="C453" s="38"/>
      <c r="D453" s="39"/>
      <c r="E453" s="39"/>
      <c r="F453" s="73"/>
      <c r="G453" s="73"/>
      <c r="H453" s="73"/>
      <c r="I453" s="73"/>
      <c r="J453" s="73"/>
      <c r="K453" s="73"/>
      <c r="L453" s="122"/>
      <c r="M453" s="123"/>
      <c r="N453" s="123"/>
      <c r="O453" s="42"/>
      <c r="P453" s="42"/>
      <c r="Q453" s="42">
        <f>Q452+Q342</f>
        <v>595338.94000000018</v>
      </c>
      <c r="R453" s="43"/>
    </row>
    <row r="454" spans="1:21" ht="25.2" customHeight="1" x14ac:dyDescent="0.4">
      <c r="A454" s="288" t="s">
        <v>12</v>
      </c>
      <c r="B454" s="288"/>
      <c r="C454" s="288"/>
      <c r="D454" s="288"/>
      <c r="E454" s="288"/>
      <c r="F454" s="288"/>
      <c r="G454" s="288"/>
      <c r="H454" s="288"/>
      <c r="I454" s="288"/>
      <c r="J454" s="288"/>
      <c r="K454" s="288"/>
      <c r="L454" s="288"/>
      <c r="M454" s="288"/>
      <c r="N454" s="288"/>
      <c r="O454" s="124"/>
      <c r="P454" s="137"/>
      <c r="Q454" s="137"/>
      <c r="R454" s="5"/>
    </row>
    <row r="455" spans="1:21" ht="25.2" customHeight="1" x14ac:dyDescent="0.4">
      <c r="A455" s="288" t="s">
        <v>13</v>
      </c>
      <c r="B455" s="288"/>
      <c r="C455" s="288"/>
      <c r="D455" s="288"/>
      <c r="E455" s="288"/>
      <c r="F455" s="288"/>
      <c r="G455" s="288"/>
      <c r="H455" s="288"/>
      <c r="I455" s="288"/>
      <c r="J455" s="288"/>
      <c r="K455" s="288"/>
      <c r="L455" s="288"/>
      <c r="M455" s="288"/>
      <c r="N455" s="288"/>
      <c r="O455" s="124"/>
      <c r="P455" s="137"/>
      <c r="Q455" s="137"/>
      <c r="R455" s="5"/>
    </row>
    <row r="456" spans="1:21" ht="25.2" customHeight="1" x14ac:dyDescent="0.4">
      <c r="A456" s="290" t="s">
        <v>14</v>
      </c>
      <c r="B456" s="290"/>
      <c r="C456" s="290"/>
      <c r="D456" s="290"/>
      <c r="E456" s="290"/>
      <c r="F456" s="290"/>
      <c r="G456" s="290"/>
      <c r="H456" s="290"/>
      <c r="I456" s="290"/>
      <c r="J456" s="290"/>
      <c r="K456" s="290"/>
      <c r="L456" s="290"/>
      <c r="M456" s="290"/>
      <c r="N456" s="290"/>
      <c r="O456" s="125"/>
      <c r="P456" s="138"/>
      <c r="Q456" s="138"/>
      <c r="R456" s="5"/>
    </row>
    <row r="457" spans="1:21" ht="25.2" customHeight="1" x14ac:dyDescent="0.4">
      <c r="A457" s="288" t="s">
        <v>15</v>
      </c>
      <c r="B457" s="288"/>
      <c r="C457" s="288"/>
      <c r="D457" s="288"/>
      <c r="E457" s="288"/>
      <c r="F457" s="288"/>
      <c r="G457" s="288"/>
      <c r="H457" s="288"/>
      <c r="I457" s="288"/>
      <c r="J457" s="288"/>
      <c r="K457" s="288"/>
      <c r="L457" s="288"/>
      <c r="M457" s="288"/>
      <c r="N457" s="288"/>
      <c r="O457" s="124"/>
      <c r="P457" s="137"/>
      <c r="Q457" s="137"/>
      <c r="R457" s="5"/>
    </row>
    <row r="458" spans="1:21" ht="25.2" customHeight="1" x14ac:dyDescent="0.4">
      <c r="A458" s="288" t="s">
        <v>16</v>
      </c>
      <c r="B458" s="288"/>
      <c r="C458" s="288"/>
      <c r="D458" s="288"/>
      <c r="E458" s="288"/>
      <c r="F458" s="288"/>
      <c r="G458" s="288"/>
      <c r="H458" s="288"/>
      <c r="I458" s="288"/>
      <c r="J458" s="288"/>
      <c r="K458" s="288"/>
      <c r="L458" s="288"/>
      <c r="M458" s="288"/>
      <c r="N458" s="288"/>
      <c r="O458" s="124"/>
      <c r="P458" s="137"/>
      <c r="Q458" s="137"/>
      <c r="R458" s="5"/>
    </row>
    <row r="459" spans="1:21" ht="25.2" customHeight="1" x14ac:dyDescent="0.4">
      <c r="A459" s="288" t="s">
        <v>17</v>
      </c>
      <c r="B459" s="288"/>
      <c r="C459" s="288"/>
      <c r="D459" s="288"/>
      <c r="E459" s="288"/>
      <c r="F459" s="288"/>
      <c r="G459" s="288"/>
      <c r="H459" s="288"/>
      <c r="I459" s="288"/>
      <c r="J459" s="288"/>
      <c r="K459" s="288"/>
      <c r="L459" s="288"/>
      <c r="M459" s="288"/>
      <c r="N459" s="288"/>
      <c r="O459" s="124"/>
      <c r="P459" s="137"/>
      <c r="Q459" s="137"/>
      <c r="R459" s="5"/>
    </row>
    <row r="460" spans="1:21" ht="25.2" customHeight="1" x14ac:dyDescent="0.4">
      <c r="A460" s="288" t="s">
        <v>1852</v>
      </c>
      <c r="B460" s="288"/>
      <c r="C460" s="288"/>
      <c r="D460" s="288"/>
      <c r="E460" s="288"/>
      <c r="F460" s="288"/>
      <c r="G460" s="288"/>
      <c r="H460" s="288"/>
      <c r="I460" s="288"/>
      <c r="J460" s="288"/>
      <c r="K460" s="288"/>
      <c r="L460" s="288"/>
      <c r="M460" s="288"/>
      <c r="N460" s="288"/>
      <c r="O460" s="124"/>
      <c r="P460" s="137"/>
      <c r="Q460" s="137"/>
      <c r="R460" s="5"/>
    </row>
    <row r="461" spans="1:21" ht="25.2" customHeight="1" x14ac:dyDescent="0.4">
      <c r="A461" s="288" t="s">
        <v>17</v>
      </c>
      <c r="B461" s="288"/>
      <c r="C461" s="288"/>
      <c r="D461" s="288"/>
      <c r="E461" s="288"/>
      <c r="F461" s="288"/>
      <c r="G461" s="288"/>
      <c r="H461" s="288"/>
      <c r="I461" s="288"/>
      <c r="J461" s="288"/>
      <c r="K461" s="288"/>
      <c r="L461" s="288"/>
      <c r="M461" s="288"/>
      <c r="N461" s="288"/>
      <c r="O461" s="124"/>
      <c r="P461" s="137"/>
      <c r="Q461" s="137"/>
      <c r="R461" s="5"/>
    </row>
    <row r="462" spans="1:21" ht="25.2" customHeight="1" x14ac:dyDescent="0.4">
      <c r="A462" s="288" t="s">
        <v>19</v>
      </c>
      <c r="B462" s="288"/>
      <c r="C462" s="288"/>
      <c r="D462" s="288"/>
      <c r="E462" s="288"/>
      <c r="F462" s="288"/>
      <c r="G462" s="288"/>
      <c r="H462" s="288"/>
      <c r="I462" s="288"/>
      <c r="J462" s="288"/>
      <c r="K462" s="288"/>
      <c r="L462" s="288"/>
      <c r="M462" s="288"/>
      <c r="N462" s="288"/>
      <c r="O462" s="124"/>
      <c r="P462" s="137"/>
      <c r="Q462" s="137"/>
      <c r="R462" s="5"/>
    </row>
    <row r="463" spans="1:21" ht="25.2" customHeight="1" x14ac:dyDescent="0.4">
      <c r="A463" s="288" t="s">
        <v>11</v>
      </c>
      <c r="B463" s="288"/>
      <c r="C463" s="288"/>
      <c r="D463" s="288"/>
      <c r="E463" s="288"/>
      <c r="F463" s="288"/>
      <c r="G463" s="288"/>
      <c r="H463" s="288"/>
      <c r="I463" s="288"/>
      <c r="J463" s="288"/>
      <c r="K463" s="288"/>
      <c r="L463" s="288"/>
      <c r="M463" s="288"/>
      <c r="N463" s="288"/>
      <c r="O463" s="124"/>
      <c r="P463" s="137"/>
      <c r="Q463" s="137"/>
      <c r="R463" s="5"/>
    </row>
    <row r="464" spans="1:21" ht="25.2" customHeight="1" x14ac:dyDescent="0.4">
      <c r="A464" s="288" t="s">
        <v>1854</v>
      </c>
      <c r="B464" s="288"/>
      <c r="C464" s="288"/>
      <c r="D464" s="288"/>
      <c r="E464" s="288"/>
      <c r="F464" s="288"/>
      <c r="G464" s="288"/>
      <c r="H464" s="288"/>
      <c r="I464" s="288"/>
      <c r="J464" s="288"/>
      <c r="K464" s="288"/>
      <c r="L464" s="288"/>
      <c r="M464" s="288"/>
      <c r="N464" s="288"/>
      <c r="O464" s="124"/>
      <c r="P464" s="137"/>
      <c r="Q464" s="137"/>
      <c r="R464" s="5"/>
    </row>
    <row r="465" spans="1:18" ht="25.2" customHeight="1" x14ac:dyDescent="0.4">
      <c r="A465" s="289" t="s">
        <v>31</v>
      </c>
      <c r="B465" s="289"/>
      <c r="C465" s="289"/>
      <c r="D465" s="289"/>
      <c r="E465" s="289"/>
      <c r="F465" s="289"/>
      <c r="G465" s="289"/>
      <c r="H465" s="289"/>
      <c r="I465" s="289"/>
      <c r="J465" s="289"/>
      <c r="K465" s="289"/>
      <c r="L465" s="289"/>
      <c r="M465" s="289"/>
      <c r="N465" s="289"/>
      <c r="O465" s="126"/>
      <c r="P465" s="139"/>
      <c r="Q465" s="139"/>
      <c r="R465" s="5"/>
    </row>
    <row r="466" spans="1:18" ht="36" customHeight="1" x14ac:dyDescent="0.3"/>
  </sheetData>
  <autoFilter ref="A18:U465" xr:uid="{DE685D05-9FEE-404B-AA01-BE2D5B544193}"/>
  <mergeCells count="36">
    <mergeCell ref="A454:N454"/>
    <mergeCell ref="A455:N455"/>
    <mergeCell ref="A456:N456"/>
    <mergeCell ref="A464:N464"/>
    <mergeCell ref="A457:N457"/>
    <mergeCell ref="A465:N465"/>
    <mergeCell ref="A458:N458"/>
    <mergeCell ref="A459:N459"/>
    <mergeCell ref="A460:N460"/>
    <mergeCell ref="A461:N461"/>
    <mergeCell ref="A462:N462"/>
    <mergeCell ref="A463:N463"/>
    <mergeCell ref="A13:R13"/>
    <mergeCell ref="A14:Q14"/>
    <mergeCell ref="A15:K15"/>
    <mergeCell ref="L15:R15"/>
    <mergeCell ref="C16:C17"/>
    <mergeCell ref="D16:D17"/>
    <mergeCell ref="E16:E17"/>
    <mergeCell ref="M16:Q16"/>
    <mergeCell ref="A16:A17"/>
    <mergeCell ref="B16:B17"/>
    <mergeCell ref="A11:R11"/>
    <mergeCell ref="M1:R2"/>
    <mergeCell ref="M4:R4"/>
    <mergeCell ref="M5:R5"/>
    <mergeCell ref="M7:R7"/>
    <mergeCell ref="A10:R10"/>
    <mergeCell ref="R16:R17"/>
    <mergeCell ref="F16:F17"/>
    <mergeCell ref="G16:G17"/>
    <mergeCell ref="H16:H17"/>
    <mergeCell ref="I16:I17"/>
    <mergeCell ref="J16:J17"/>
    <mergeCell ref="K16:K17"/>
    <mergeCell ref="A12:R12"/>
  </mergeCells>
  <pageMargins left="0.25" right="0.25" top="0.75" bottom="0.75" header="0.3" footer="0.3"/>
  <pageSetup paperSize="9" scale="36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A971-4256-4AD5-8292-E6142C876A4B}">
  <sheetPr>
    <tabColor rgb="FFFFFF00"/>
    <pageSetUpPr fitToPage="1"/>
  </sheetPr>
  <dimension ref="A1:U462"/>
  <sheetViews>
    <sheetView topLeftCell="A441" zoomScale="89" zoomScaleNormal="89" workbookViewId="0">
      <selection activeCell="G464" sqref="G464"/>
    </sheetView>
  </sheetViews>
  <sheetFormatPr defaultRowHeight="14.4" x14ac:dyDescent="0.3"/>
  <cols>
    <col min="1" max="1" width="6.6640625" style="140" customWidth="1"/>
    <col min="2" max="2" width="63.109375" customWidth="1"/>
    <col min="3" max="3" width="10.44140625" style="140" customWidth="1"/>
    <col min="4" max="4" width="11.109375" style="140" customWidth="1"/>
    <col min="5" max="5" width="13.109375" style="140" customWidth="1"/>
    <col min="6" max="6" width="20.109375" style="140" customWidth="1"/>
    <col min="7" max="11" width="13.109375" style="140" customWidth="1"/>
    <col min="12" max="12" width="17.33203125" style="4" customWidth="1"/>
    <col min="13" max="13" width="61" style="4" customWidth="1"/>
    <col min="14" max="15" width="11.6640625" style="4" customWidth="1"/>
    <col min="16" max="16" width="19.77734375" style="4" customWidth="1"/>
    <col min="17" max="17" width="15.44140625" style="4" bestFit="1" customWidth="1"/>
    <col min="18" max="18" width="35.44140625" customWidth="1"/>
    <col min="19" max="19" width="12.109375" bestFit="1" customWidth="1"/>
    <col min="21" max="21" width="9.88671875" bestFit="1" customWidth="1"/>
  </cols>
  <sheetData>
    <row r="1" spans="1:20" ht="15.75" customHeight="1" x14ac:dyDescent="0.3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06" t="s">
        <v>26</v>
      </c>
      <c r="N1" s="306"/>
      <c r="O1" s="306"/>
      <c r="P1" s="306"/>
      <c r="Q1" s="306"/>
      <c r="R1" s="306"/>
      <c r="S1" s="13"/>
      <c r="T1" s="13"/>
    </row>
    <row r="2" spans="1:20" ht="15" customHeight="1" x14ac:dyDescent="0.3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07"/>
      <c r="N2" s="307"/>
      <c r="O2" s="307"/>
      <c r="P2" s="307"/>
      <c r="Q2" s="307"/>
      <c r="R2" s="307"/>
      <c r="S2" s="13"/>
      <c r="T2" s="13"/>
    </row>
    <row r="3" spans="1:20" ht="15.6" x14ac:dyDescent="0.3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19"/>
      <c r="N3" s="119"/>
      <c r="O3" s="119"/>
      <c r="P3" s="136"/>
      <c r="Q3" s="136"/>
      <c r="R3" s="136"/>
      <c r="S3" s="13"/>
      <c r="T3" s="13"/>
    </row>
    <row r="4" spans="1:20" ht="23.4" x14ac:dyDescent="0.4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08" t="s">
        <v>27</v>
      </c>
      <c r="N4" s="308"/>
      <c r="O4" s="308"/>
      <c r="P4" s="308"/>
      <c r="Q4" s="308"/>
      <c r="R4" s="308"/>
      <c r="S4" s="13"/>
      <c r="T4" s="13"/>
    </row>
    <row r="5" spans="1:20" ht="21" x14ac:dyDescent="0.4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09" t="s">
        <v>28</v>
      </c>
      <c r="N5" s="309"/>
      <c r="O5" s="309"/>
      <c r="P5" s="309"/>
      <c r="Q5" s="309"/>
      <c r="R5" s="309"/>
      <c r="S5" s="13"/>
      <c r="T5" s="13"/>
    </row>
    <row r="6" spans="1:20" ht="15.6" x14ac:dyDescent="0.3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9"/>
      <c r="O6" s="9"/>
      <c r="P6" s="10"/>
      <c r="Q6" s="11"/>
      <c r="R6" s="12"/>
      <c r="S6" s="13"/>
      <c r="T6" s="13"/>
    </row>
    <row r="7" spans="1:20" ht="18" x14ac:dyDescent="0.35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10" t="s">
        <v>33</v>
      </c>
      <c r="N7" s="310"/>
      <c r="O7" s="310"/>
      <c r="P7" s="310"/>
      <c r="Q7" s="310"/>
      <c r="R7" s="310"/>
      <c r="S7" s="13"/>
      <c r="T7" s="13"/>
    </row>
    <row r="8" spans="1:20" ht="15.6" x14ac:dyDescent="0.3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S8" s="13"/>
      <c r="T8" s="13"/>
    </row>
    <row r="9" spans="1:20" ht="15.6" x14ac:dyDescent="0.3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S9" s="13"/>
      <c r="T9" s="13"/>
    </row>
    <row r="10" spans="1:20" ht="18" customHeight="1" x14ac:dyDescent="0.3">
      <c r="A10" s="305" t="s">
        <v>0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13"/>
      <c r="T10" s="13"/>
    </row>
    <row r="11" spans="1:20" ht="18" customHeight="1" x14ac:dyDescent="0.3">
      <c r="A11" s="305" t="s">
        <v>1</v>
      </c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13"/>
      <c r="T11" s="13"/>
    </row>
    <row r="12" spans="1:20" ht="18" customHeight="1" x14ac:dyDescent="0.3">
      <c r="A12" s="305" t="s">
        <v>2</v>
      </c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13"/>
      <c r="T12" s="13"/>
    </row>
    <row r="13" spans="1:20" ht="63.6" customHeight="1" x14ac:dyDescent="0.3">
      <c r="A13" s="311" t="s">
        <v>1275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</row>
    <row r="14" spans="1:20" ht="27" customHeight="1" thickBot="1" x14ac:dyDescent="0.35">
      <c r="A14" s="313" t="s">
        <v>36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  <c r="Q14" s="313"/>
    </row>
    <row r="15" spans="1:20" ht="30.6" customHeight="1" thickBot="1" x14ac:dyDescent="0.35">
      <c r="A15" s="314" t="s">
        <v>24</v>
      </c>
      <c r="B15" s="315"/>
      <c r="C15" s="315"/>
      <c r="D15" s="315"/>
      <c r="E15" s="315"/>
      <c r="F15" s="315"/>
      <c r="G15" s="315"/>
      <c r="H15" s="315"/>
      <c r="I15" s="315"/>
      <c r="J15" s="315"/>
      <c r="K15" s="315"/>
      <c r="L15" s="316" t="s">
        <v>25</v>
      </c>
      <c r="M15" s="317"/>
      <c r="N15" s="317"/>
      <c r="O15" s="317"/>
      <c r="P15" s="317"/>
      <c r="Q15" s="317"/>
      <c r="R15" s="318"/>
    </row>
    <row r="16" spans="1:20" ht="15" customHeight="1" x14ac:dyDescent="0.3">
      <c r="A16" s="298" t="s">
        <v>3</v>
      </c>
      <c r="B16" s="300" t="s">
        <v>4</v>
      </c>
      <c r="C16" s="300"/>
      <c r="D16" s="293" t="s">
        <v>5</v>
      </c>
      <c r="E16" s="300" t="s">
        <v>6</v>
      </c>
      <c r="F16" s="291"/>
      <c r="G16" s="293"/>
      <c r="H16" s="293"/>
      <c r="I16" s="294"/>
      <c r="J16" s="293" t="s">
        <v>21</v>
      </c>
      <c r="K16" s="296" t="s">
        <v>22</v>
      </c>
      <c r="L16" s="16"/>
      <c r="M16" s="302" t="s">
        <v>7</v>
      </c>
      <c r="N16" s="303"/>
      <c r="O16" s="303"/>
      <c r="P16" s="303"/>
      <c r="Q16" s="304"/>
      <c r="R16" s="296" t="s">
        <v>8</v>
      </c>
    </row>
    <row r="17" spans="1:21" ht="34.200000000000003" customHeight="1" x14ac:dyDescent="0.3">
      <c r="A17" s="299"/>
      <c r="B17" s="301"/>
      <c r="C17" s="301"/>
      <c r="D17" s="292"/>
      <c r="E17" s="301"/>
      <c r="F17" s="292"/>
      <c r="G17" s="292"/>
      <c r="H17" s="292"/>
      <c r="I17" s="295"/>
      <c r="J17" s="292"/>
      <c r="K17" s="297"/>
      <c r="L17" s="17" t="s">
        <v>20</v>
      </c>
      <c r="M17" s="14" t="s">
        <v>9</v>
      </c>
      <c r="N17" s="18" t="s">
        <v>10</v>
      </c>
      <c r="O17" s="7" t="s">
        <v>6</v>
      </c>
      <c r="P17" s="8" t="s">
        <v>21</v>
      </c>
      <c r="Q17" s="8" t="s">
        <v>22</v>
      </c>
      <c r="R17" s="297"/>
    </row>
    <row r="18" spans="1:21" ht="15" thickBot="1" x14ac:dyDescent="0.35">
      <c r="A18" s="21">
        <v>1</v>
      </c>
      <c r="B18" s="22">
        <v>2</v>
      </c>
      <c r="C18" s="22"/>
      <c r="D18" s="22">
        <v>3</v>
      </c>
      <c r="E18" s="22">
        <v>4</v>
      </c>
      <c r="F18" s="22"/>
      <c r="G18" s="22"/>
      <c r="H18" s="22"/>
      <c r="I18" s="74"/>
      <c r="J18" s="22">
        <v>5</v>
      </c>
      <c r="K18" s="23">
        <v>6</v>
      </c>
      <c r="L18" s="83">
        <v>7</v>
      </c>
      <c r="M18" s="7">
        <v>8</v>
      </c>
      <c r="N18" s="7">
        <v>9</v>
      </c>
      <c r="O18" s="7">
        <v>10</v>
      </c>
      <c r="P18" s="7">
        <v>11</v>
      </c>
      <c r="Q18" s="7">
        <v>12</v>
      </c>
      <c r="R18" s="127">
        <v>13</v>
      </c>
      <c r="U18" s="128"/>
    </row>
    <row r="19" spans="1:21" ht="33.6" customHeight="1" x14ac:dyDescent="0.3">
      <c r="A19" s="60"/>
      <c r="B19" s="80" t="s">
        <v>1276</v>
      </c>
      <c r="C19" s="80"/>
      <c r="D19" s="80" t="s">
        <v>34</v>
      </c>
      <c r="E19" s="80">
        <v>1</v>
      </c>
      <c r="F19" s="69"/>
      <c r="G19" s="69"/>
      <c r="H19" s="69"/>
      <c r="I19" s="69"/>
      <c r="J19" s="69"/>
      <c r="K19" s="69"/>
      <c r="L19" s="183" t="s">
        <v>778</v>
      </c>
      <c r="M19" s="184" t="s">
        <v>779</v>
      </c>
      <c r="N19" s="183" t="s">
        <v>37</v>
      </c>
      <c r="O19" s="185">
        <v>3</v>
      </c>
      <c r="P19" s="186">
        <v>74.900000000000006</v>
      </c>
      <c r="Q19" s="186">
        <v>224.7</v>
      </c>
      <c r="R19" s="181"/>
      <c r="U19" s="128"/>
    </row>
    <row r="20" spans="1:21" ht="15.6" x14ac:dyDescent="0.3">
      <c r="A20" s="51"/>
      <c r="B20" s="59"/>
      <c r="C20" s="47"/>
      <c r="D20" s="61"/>
      <c r="E20" s="62"/>
      <c r="F20" s="75"/>
      <c r="G20" s="76"/>
      <c r="H20" s="76"/>
      <c r="I20" s="48"/>
      <c r="J20" s="48"/>
      <c r="K20" s="48"/>
      <c r="L20" s="183" t="s">
        <v>1103</v>
      </c>
      <c r="M20" s="184" t="s">
        <v>1189</v>
      </c>
      <c r="N20" s="183" t="s">
        <v>37</v>
      </c>
      <c r="O20" s="185">
        <v>27</v>
      </c>
      <c r="P20" s="186">
        <v>28.61</v>
      </c>
      <c r="Q20" s="186">
        <v>772.47</v>
      </c>
      <c r="R20" s="182"/>
      <c r="U20" s="128"/>
    </row>
    <row r="21" spans="1:21" ht="15.6" x14ac:dyDescent="0.3">
      <c r="A21" s="51"/>
      <c r="B21" s="59"/>
      <c r="C21" s="47"/>
      <c r="D21" s="61"/>
      <c r="E21" s="62"/>
      <c r="F21" s="75"/>
      <c r="G21" s="76"/>
      <c r="H21" s="76"/>
      <c r="I21" s="48"/>
      <c r="J21" s="48"/>
      <c r="K21" s="48"/>
      <c r="L21" s="183" t="s">
        <v>429</v>
      </c>
      <c r="M21" s="184" t="s">
        <v>430</v>
      </c>
      <c r="N21" s="183" t="s">
        <v>37</v>
      </c>
      <c r="O21" s="185">
        <v>0.8</v>
      </c>
      <c r="P21" s="186">
        <v>11.5</v>
      </c>
      <c r="Q21" s="186">
        <v>9.1999999999999993</v>
      </c>
      <c r="R21" s="182"/>
      <c r="U21" s="128"/>
    </row>
    <row r="22" spans="1:21" ht="15.6" x14ac:dyDescent="0.3">
      <c r="A22" s="53"/>
      <c r="B22" s="54"/>
      <c r="C22" s="54"/>
      <c r="D22" s="54"/>
      <c r="E22" s="55"/>
      <c r="F22" s="75"/>
      <c r="G22" s="76"/>
      <c r="H22" s="76"/>
      <c r="I22" s="48"/>
      <c r="J22" s="70"/>
      <c r="K22" s="70"/>
      <c r="L22" s="183" t="s">
        <v>98</v>
      </c>
      <c r="M22" s="184" t="s">
        <v>99</v>
      </c>
      <c r="N22" s="183" t="s">
        <v>37</v>
      </c>
      <c r="O22" s="185">
        <v>1.0900000000000001</v>
      </c>
      <c r="P22" s="186">
        <v>131</v>
      </c>
      <c r="Q22" s="186">
        <v>142.79</v>
      </c>
      <c r="R22" s="182"/>
      <c r="U22" s="128"/>
    </row>
    <row r="23" spans="1:21" ht="15.6" x14ac:dyDescent="0.3">
      <c r="A23" s="53"/>
      <c r="B23" s="54"/>
      <c r="C23" s="54"/>
      <c r="D23" s="54"/>
      <c r="E23" s="55"/>
      <c r="F23" s="75"/>
      <c r="G23" s="76"/>
      <c r="H23" s="76"/>
      <c r="I23" s="48"/>
      <c r="J23" s="70"/>
      <c r="K23" s="70"/>
      <c r="L23" s="183" t="s">
        <v>1105</v>
      </c>
      <c r="M23" s="184" t="s">
        <v>1191</v>
      </c>
      <c r="N23" s="183" t="s">
        <v>37</v>
      </c>
      <c r="O23" s="185">
        <v>3</v>
      </c>
      <c r="P23" s="186">
        <v>9.58</v>
      </c>
      <c r="Q23" s="186">
        <v>28.74</v>
      </c>
      <c r="R23" s="182"/>
      <c r="U23" s="128"/>
    </row>
    <row r="24" spans="1:21" ht="15.6" x14ac:dyDescent="0.3">
      <c r="A24" s="53"/>
      <c r="B24" s="54"/>
      <c r="C24" s="54"/>
      <c r="D24" s="54"/>
      <c r="E24" s="55"/>
      <c r="F24" s="75"/>
      <c r="G24" s="76"/>
      <c r="H24" s="76"/>
      <c r="I24" s="48"/>
      <c r="J24" s="70"/>
      <c r="K24" s="70"/>
      <c r="L24" s="183" t="s">
        <v>38</v>
      </c>
      <c r="M24" s="184" t="s">
        <v>100</v>
      </c>
      <c r="N24" s="183" t="s">
        <v>37</v>
      </c>
      <c r="O24" s="185">
        <v>0.8</v>
      </c>
      <c r="P24" s="186">
        <v>71</v>
      </c>
      <c r="Q24" s="186">
        <v>56.8</v>
      </c>
      <c r="R24" s="182"/>
      <c r="U24" s="128"/>
    </row>
    <row r="25" spans="1:21" ht="15.6" x14ac:dyDescent="0.3">
      <c r="A25" s="53"/>
      <c r="B25" s="54"/>
      <c r="C25" s="54"/>
      <c r="D25" s="54"/>
      <c r="E25" s="55"/>
      <c r="F25" s="75"/>
      <c r="G25" s="76"/>
      <c r="H25" s="76"/>
      <c r="I25" s="48"/>
      <c r="J25" s="70"/>
      <c r="K25" s="70"/>
      <c r="L25" s="183" t="s">
        <v>1104</v>
      </c>
      <c r="M25" s="184" t="s">
        <v>1190</v>
      </c>
      <c r="N25" s="183" t="s">
        <v>37</v>
      </c>
      <c r="O25" s="185">
        <v>2.7</v>
      </c>
      <c r="P25" s="186">
        <v>266.25</v>
      </c>
      <c r="Q25" s="186">
        <v>718.88</v>
      </c>
      <c r="R25" s="182"/>
      <c r="U25" s="128"/>
    </row>
    <row r="26" spans="1:21" ht="15.6" x14ac:dyDescent="0.3">
      <c r="A26" s="53"/>
      <c r="B26" s="54"/>
      <c r="C26" s="54"/>
      <c r="D26" s="54"/>
      <c r="E26" s="55"/>
      <c r="F26" s="75"/>
      <c r="G26" s="76"/>
      <c r="H26" s="76"/>
      <c r="I26" s="48"/>
      <c r="J26" s="70"/>
      <c r="K26" s="70"/>
      <c r="L26" s="183" t="s">
        <v>933</v>
      </c>
      <c r="M26" s="184" t="s">
        <v>932</v>
      </c>
      <c r="N26" s="183" t="s">
        <v>37</v>
      </c>
      <c r="O26" s="185">
        <v>1.8</v>
      </c>
      <c r="P26" s="186">
        <v>18.899999999999999</v>
      </c>
      <c r="Q26" s="186">
        <v>34.020000000000003</v>
      </c>
      <c r="R26" s="182"/>
      <c r="U26" s="128"/>
    </row>
    <row r="27" spans="1:21" ht="15.6" x14ac:dyDescent="0.3">
      <c r="A27" s="53"/>
      <c r="B27" s="54"/>
      <c r="C27" s="54"/>
      <c r="D27" s="54"/>
      <c r="E27" s="55"/>
      <c r="F27" s="75"/>
      <c r="G27" s="76"/>
      <c r="H27" s="76"/>
      <c r="I27" s="48"/>
      <c r="J27" s="70"/>
      <c r="K27" s="70"/>
      <c r="L27" s="183" t="s">
        <v>1106</v>
      </c>
      <c r="M27" s="184" t="s">
        <v>1192</v>
      </c>
      <c r="N27" s="183" t="s">
        <v>1272</v>
      </c>
      <c r="O27" s="185">
        <v>93</v>
      </c>
      <c r="P27" s="186">
        <v>0.69</v>
      </c>
      <c r="Q27" s="186">
        <v>64.33</v>
      </c>
      <c r="R27" s="182"/>
      <c r="U27" s="128"/>
    </row>
    <row r="28" spans="1:21" ht="15.6" x14ac:dyDescent="0.3">
      <c r="A28" s="53"/>
      <c r="B28" s="54"/>
      <c r="C28" s="54"/>
      <c r="D28" s="54"/>
      <c r="E28" s="55"/>
      <c r="F28" s="75"/>
      <c r="G28" s="76"/>
      <c r="H28" s="76"/>
      <c r="I28" s="48"/>
      <c r="J28" s="70"/>
      <c r="K28" s="70"/>
      <c r="L28" s="183" t="s">
        <v>934</v>
      </c>
      <c r="M28" s="184" t="s">
        <v>1033</v>
      </c>
      <c r="N28" s="183" t="s">
        <v>64</v>
      </c>
      <c r="O28" s="185">
        <v>0.83299999999999996</v>
      </c>
      <c r="P28" s="186">
        <v>735.91</v>
      </c>
      <c r="Q28" s="186">
        <v>613.01</v>
      </c>
      <c r="R28" s="182"/>
      <c r="U28" s="128"/>
    </row>
    <row r="29" spans="1:21" ht="15.6" x14ac:dyDescent="0.3">
      <c r="A29" s="53"/>
      <c r="B29" s="54"/>
      <c r="C29" s="54"/>
      <c r="D29" s="54"/>
      <c r="E29" s="55"/>
      <c r="F29" s="75"/>
      <c r="G29" s="76"/>
      <c r="H29" s="76"/>
      <c r="I29" s="48"/>
      <c r="J29" s="70"/>
      <c r="K29" s="70"/>
      <c r="L29" s="183" t="s">
        <v>935</v>
      </c>
      <c r="M29" s="184" t="s">
        <v>1034</v>
      </c>
      <c r="N29" s="183" t="s">
        <v>64</v>
      </c>
      <c r="O29" s="185">
        <v>23</v>
      </c>
      <c r="P29" s="186">
        <v>729.17</v>
      </c>
      <c r="Q29" s="187">
        <v>16770.89</v>
      </c>
      <c r="R29" s="182"/>
      <c r="U29" s="128"/>
    </row>
    <row r="30" spans="1:21" ht="15.6" x14ac:dyDescent="0.3">
      <c r="A30" s="53"/>
      <c r="B30" s="54"/>
      <c r="C30" s="54"/>
      <c r="D30" s="54"/>
      <c r="E30" s="55"/>
      <c r="F30" s="75"/>
      <c r="G30" s="76"/>
      <c r="H30" s="76"/>
      <c r="I30" s="48"/>
      <c r="J30" s="70"/>
      <c r="K30" s="70"/>
      <c r="L30" s="183" t="s">
        <v>936</v>
      </c>
      <c r="M30" s="184" t="s">
        <v>1035</v>
      </c>
      <c r="N30" s="183" t="s">
        <v>64</v>
      </c>
      <c r="O30" s="185">
        <v>2</v>
      </c>
      <c r="P30" s="186">
        <v>736.67</v>
      </c>
      <c r="Q30" s="187">
        <v>1473.34</v>
      </c>
      <c r="R30" s="182"/>
      <c r="U30" s="128"/>
    </row>
    <row r="31" spans="1:21" ht="15.6" x14ac:dyDescent="0.3">
      <c r="A31" s="53"/>
      <c r="B31" s="54"/>
      <c r="C31" s="54"/>
      <c r="D31" s="54"/>
      <c r="E31" s="55"/>
      <c r="F31" s="75"/>
      <c r="G31" s="76"/>
      <c r="H31" s="76"/>
      <c r="I31" s="48"/>
      <c r="J31" s="70"/>
      <c r="K31" s="70"/>
      <c r="L31" s="183" t="s">
        <v>937</v>
      </c>
      <c r="M31" s="184" t="s">
        <v>1036</v>
      </c>
      <c r="N31" s="183" t="s">
        <v>269</v>
      </c>
      <c r="O31" s="185">
        <v>2</v>
      </c>
      <c r="P31" s="186">
        <v>714.56</v>
      </c>
      <c r="Q31" s="187">
        <v>1429.12</v>
      </c>
      <c r="R31" s="182"/>
      <c r="U31" s="128"/>
    </row>
    <row r="32" spans="1:21" ht="15.6" x14ac:dyDescent="0.3">
      <c r="A32" s="53"/>
      <c r="B32" s="54"/>
      <c r="C32" s="54"/>
      <c r="D32" s="54"/>
      <c r="E32" s="55"/>
      <c r="F32" s="75"/>
      <c r="G32" s="76"/>
      <c r="H32" s="76"/>
      <c r="I32" s="48"/>
      <c r="J32" s="70"/>
      <c r="K32" s="70"/>
      <c r="L32" s="183" t="s">
        <v>938</v>
      </c>
      <c r="M32" s="184" t="s">
        <v>1037</v>
      </c>
      <c r="N32" s="183" t="s">
        <v>269</v>
      </c>
      <c r="O32" s="185">
        <v>2</v>
      </c>
      <c r="P32" s="186">
        <v>793.83</v>
      </c>
      <c r="Q32" s="187">
        <v>1587.66</v>
      </c>
      <c r="R32" s="182"/>
      <c r="U32" s="128"/>
    </row>
    <row r="33" spans="1:21" ht="15.6" x14ac:dyDescent="0.3">
      <c r="A33" s="53"/>
      <c r="B33" s="54"/>
      <c r="C33" s="54"/>
      <c r="D33" s="54"/>
      <c r="E33" s="55"/>
      <c r="F33" s="75"/>
      <c r="G33" s="76"/>
      <c r="H33" s="76"/>
      <c r="I33" s="48"/>
      <c r="J33" s="70"/>
      <c r="K33" s="70"/>
      <c r="L33" s="183" t="s">
        <v>440</v>
      </c>
      <c r="M33" s="184" t="s">
        <v>441</v>
      </c>
      <c r="N33" s="183" t="s">
        <v>442</v>
      </c>
      <c r="O33" s="185">
        <v>3</v>
      </c>
      <c r="P33" s="186">
        <v>75.22</v>
      </c>
      <c r="Q33" s="186">
        <v>225.65</v>
      </c>
      <c r="R33" s="182"/>
      <c r="U33" s="128"/>
    </row>
    <row r="34" spans="1:21" ht="15.6" x14ac:dyDescent="0.3">
      <c r="A34" s="53"/>
      <c r="B34" s="54"/>
      <c r="C34" s="54"/>
      <c r="D34" s="54"/>
      <c r="E34" s="55"/>
      <c r="F34" s="75"/>
      <c r="G34" s="76"/>
      <c r="H34" s="76"/>
      <c r="I34" s="48"/>
      <c r="J34" s="70"/>
      <c r="K34" s="70"/>
      <c r="L34" s="183" t="s">
        <v>1846</v>
      </c>
      <c r="M34" s="184" t="s">
        <v>1848</v>
      </c>
      <c r="N34" s="183" t="s">
        <v>63</v>
      </c>
      <c r="O34" s="185">
        <v>3.5999999999999997E-2</v>
      </c>
      <c r="P34" s="187">
        <v>35332.78</v>
      </c>
      <c r="Q34" s="187">
        <v>1271.98</v>
      </c>
      <c r="R34" s="182"/>
      <c r="U34" s="128"/>
    </row>
    <row r="35" spans="1:21" ht="15.6" x14ac:dyDescent="0.3">
      <c r="A35" s="53"/>
      <c r="B35" s="54"/>
      <c r="C35" s="54"/>
      <c r="D35" s="54"/>
      <c r="E35" s="55"/>
      <c r="F35" s="75"/>
      <c r="G35" s="76"/>
      <c r="H35" s="76"/>
      <c r="I35" s="48"/>
      <c r="J35" s="70"/>
      <c r="K35" s="70"/>
      <c r="L35" s="183" t="s">
        <v>939</v>
      </c>
      <c r="M35" s="184" t="s">
        <v>798</v>
      </c>
      <c r="N35" s="183" t="s">
        <v>63</v>
      </c>
      <c r="O35" s="185">
        <v>0.1</v>
      </c>
      <c r="P35" s="187">
        <v>28501.599999999999</v>
      </c>
      <c r="Q35" s="187">
        <v>2850.16</v>
      </c>
      <c r="R35" s="182"/>
      <c r="U35" s="128"/>
    </row>
    <row r="36" spans="1:21" ht="15.6" x14ac:dyDescent="0.3">
      <c r="A36" s="53"/>
      <c r="B36" s="54"/>
      <c r="C36" s="54"/>
      <c r="D36" s="54"/>
      <c r="E36" s="55"/>
      <c r="F36" s="75"/>
      <c r="G36" s="76"/>
      <c r="H36" s="76"/>
      <c r="I36" s="48"/>
      <c r="J36" s="70"/>
      <c r="K36" s="70"/>
      <c r="L36" s="183" t="s">
        <v>940</v>
      </c>
      <c r="M36" s="184" t="s">
        <v>1038</v>
      </c>
      <c r="N36" s="183" t="s">
        <v>63</v>
      </c>
      <c r="O36" s="185">
        <v>1.4999999999999999E-2</v>
      </c>
      <c r="P36" s="187">
        <v>32908</v>
      </c>
      <c r="Q36" s="186">
        <v>493.62</v>
      </c>
      <c r="R36" s="182"/>
      <c r="U36" s="128"/>
    </row>
    <row r="37" spans="1:21" ht="15.6" x14ac:dyDescent="0.3">
      <c r="A37" s="53"/>
      <c r="B37" s="54"/>
      <c r="C37" s="54"/>
      <c r="D37" s="54"/>
      <c r="E37" s="55"/>
      <c r="F37" s="75"/>
      <c r="G37" s="76"/>
      <c r="H37" s="76"/>
      <c r="I37" s="48"/>
      <c r="J37" s="70"/>
      <c r="K37" s="70"/>
      <c r="L37" s="183" t="s">
        <v>1113</v>
      </c>
      <c r="M37" s="184" t="s">
        <v>1199</v>
      </c>
      <c r="N37" s="183" t="s">
        <v>903</v>
      </c>
      <c r="O37" s="185">
        <v>0.11</v>
      </c>
      <c r="P37" s="187">
        <v>10416.64</v>
      </c>
      <c r="Q37" s="187">
        <v>1145.83</v>
      </c>
      <c r="R37" s="182"/>
      <c r="U37" s="128"/>
    </row>
    <row r="38" spans="1:21" ht="15.6" x14ac:dyDescent="0.3">
      <c r="A38" s="53"/>
      <c r="B38" s="54"/>
      <c r="C38" s="54"/>
      <c r="D38" s="54"/>
      <c r="E38" s="55"/>
      <c r="F38" s="75"/>
      <c r="G38" s="76"/>
      <c r="H38" s="76"/>
      <c r="I38" s="48"/>
      <c r="J38" s="70"/>
      <c r="K38" s="70"/>
      <c r="L38" s="183" t="s">
        <v>1111</v>
      </c>
      <c r="M38" s="184" t="s">
        <v>1197</v>
      </c>
      <c r="N38" s="183" t="s">
        <v>903</v>
      </c>
      <c r="O38" s="185">
        <v>0.08</v>
      </c>
      <c r="P38" s="187">
        <v>26855</v>
      </c>
      <c r="Q38" s="187">
        <v>2148.4</v>
      </c>
      <c r="R38" s="182"/>
      <c r="U38" s="128"/>
    </row>
    <row r="39" spans="1:21" ht="15.6" x14ac:dyDescent="0.3">
      <c r="A39" s="53"/>
      <c r="B39" s="54"/>
      <c r="C39" s="54"/>
      <c r="D39" s="54"/>
      <c r="E39" s="55"/>
      <c r="F39" s="75"/>
      <c r="G39" s="76"/>
      <c r="H39" s="76"/>
      <c r="I39" s="48"/>
      <c r="J39" s="70"/>
      <c r="K39" s="70"/>
      <c r="L39" s="183" t="s">
        <v>902</v>
      </c>
      <c r="M39" s="184" t="s">
        <v>1039</v>
      </c>
      <c r="N39" s="183" t="s">
        <v>903</v>
      </c>
      <c r="O39" s="185">
        <v>0.36</v>
      </c>
      <c r="P39" s="187">
        <v>25111.08</v>
      </c>
      <c r="Q39" s="187">
        <v>9039.99</v>
      </c>
      <c r="R39" s="182"/>
      <c r="U39" s="128"/>
    </row>
    <row r="40" spans="1:21" ht="15.6" x14ac:dyDescent="0.3">
      <c r="A40" s="53"/>
      <c r="B40" s="54"/>
      <c r="C40" s="54"/>
      <c r="D40" s="54"/>
      <c r="E40" s="55"/>
      <c r="F40" s="75"/>
      <c r="G40" s="76"/>
      <c r="H40" s="76"/>
      <c r="I40" s="48"/>
      <c r="J40" s="70"/>
      <c r="K40" s="70"/>
      <c r="L40" s="183" t="s">
        <v>941</v>
      </c>
      <c r="M40" s="184" t="s">
        <v>1040</v>
      </c>
      <c r="N40" s="183" t="s">
        <v>903</v>
      </c>
      <c r="O40" s="185">
        <v>0.104</v>
      </c>
      <c r="P40" s="187">
        <v>8966.73</v>
      </c>
      <c r="Q40" s="186">
        <v>932.54</v>
      </c>
      <c r="R40" s="182"/>
      <c r="U40" s="128"/>
    </row>
    <row r="41" spans="1:21" ht="15.6" x14ac:dyDescent="0.3">
      <c r="A41" s="53"/>
      <c r="B41" s="54"/>
      <c r="C41" s="54"/>
      <c r="D41" s="54"/>
      <c r="E41" s="55"/>
      <c r="F41" s="75"/>
      <c r="G41" s="76"/>
      <c r="H41" s="76"/>
      <c r="I41" s="48"/>
      <c r="J41" s="70"/>
      <c r="K41" s="70"/>
      <c r="L41" s="183" t="s">
        <v>741</v>
      </c>
      <c r="M41" s="184" t="s">
        <v>742</v>
      </c>
      <c r="N41" s="183" t="s">
        <v>903</v>
      </c>
      <c r="O41" s="185">
        <v>0.436</v>
      </c>
      <c r="P41" s="187">
        <v>8966.67</v>
      </c>
      <c r="Q41" s="187">
        <v>3909.47</v>
      </c>
      <c r="R41" s="182"/>
      <c r="U41" s="128"/>
    </row>
    <row r="42" spans="1:21" ht="15.6" x14ac:dyDescent="0.3">
      <c r="A42" s="53"/>
      <c r="B42" s="54"/>
      <c r="C42" s="54"/>
      <c r="D42" s="54"/>
      <c r="E42" s="55"/>
      <c r="F42" s="75"/>
      <c r="G42" s="76"/>
      <c r="H42" s="76"/>
      <c r="I42" s="48"/>
      <c r="J42" s="70"/>
      <c r="K42" s="70"/>
      <c r="L42" s="183" t="s">
        <v>943</v>
      </c>
      <c r="M42" s="184" t="s">
        <v>745</v>
      </c>
      <c r="N42" s="183" t="s">
        <v>903</v>
      </c>
      <c r="O42" s="185">
        <v>0.127</v>
      </c>
      <c r="P42" s="187">
        <v>9590</v>
      </c>
      <c r="Q42" s="187">
        <v>1217.93</v>
      </c>
      <c r="R42" s="182"/>
      <c r="U42" s="128"/>
    </row>
    <row r="43" spans="1:21" ht="15.6" x14ac:dyDescent="0.3">
      <c r="A43" s="53"/>
      <c r="B43" s="54"/>
      <c r="C43" s="54"/>
      <c r="D43" s="54"/>
      <c r="E43" s="55"/>
      <c r="F43" s="75"/>
      <c r="G43" s="76"/>
      <c r="H43" s="76"/>
      <c r="I43" s="48"/>
      <c r="J43" s="70"/>
      <c r="K43" s="70"/>
      <c r="L43" s="183" t="s">
        <v>1109</v>
      </c>
      <c r="M43" s="184" t="s">
        <v>1195</v>
      </c>
      <c r="N43" s="183" t="s">
        <v>903</v>
      </c>
      <c r="O43" s="185">
        <v>9.0999999999999998E-2</v>
      </c>
      <c r="P43" s="187">
        <v>3916.7</v>
      </c>
      <c r="Q43" s="186">
        <v>356.42</v>
      </c>
      <c r="R43" s="182"/>
      <c r="U43" s="128"/>
    </row>
    <row r="44" spans="1:21" ht="15.6" x14ac:dyDescent="0.3">
      <c r="A44" s="53"/>
      <c r="B44" s="54"/>
      <c r="C44" s="54"/>
      <c r="D44" s="54"/>
      <c r="E44" s="55"/>
      <c r="F44" s="75"/>
      <c r="G44" s="76"/>
      <c r="H44" s="76"/>
      <c r="I44" s="48"/>
      <c r="J44" s="70"/>
      <c r="K44" s="70"/>
      <c r="L44" s="183" t="s">
        <v>743</v>
      </c>
      <c r="M44" s="184" t="s">
        <v>744</v>
      </c>
      <c r="N44" s="183" t="s">
        <v>903</v>
      </c>
      <c r="O44" s="185">
        <v>1.2</v>
      </c>
      <c r="P44" s="187">
        <v>8966.68</v>
      </c>
      <c r="Q44" s="187">
        <v>10760.01</v>
      </c>
      <c r="R44" s="182"/>
      <c r="U44" s="128"/>
    </row>
    <row r="45" spans="1:21" ht="15.6" x14ac:dyDescent="0.3">
      <c r="A45" s="53"/>
      <c r="B45" s="54"/>
      <c r="C45" s="54"/>
      <c r="D45" s="54"/>
      <c r="E45" s="55"/>
      <c r="F45" s="75"/>
      <c r="G45" s="76"/>
      <c r="H45" s="76"/>
      <c r="I45" s="48"/>
      <c r="J45" s="70"/>
      <c r="K45" s="70"/>
      <c r="L45" s="183" t="s">
        <v>1110</v>
      </c>
      <c r="M45" s="184" t="s">
        <v>1196</v>
      </c>
      <c r="N45" s="183" t="s">
        <v>903</v>
      </c>
      <c r="O45" s="185">
        <v>0.3</v>
      </c>
      <c r="P45" s="187">
        <v>26855</v>
      </c>
      <c r="Q45" s="187">
        <v>8056.5</v>
      </c>
      <c r="R45" s="182"/>
      <c r="U45" s="128"/>
    </row>
    <row r="46" spans="1:21" ht="15.6" x14ac:dyDescent="0.3">
      <c r="A46" s="53"/>
      <c r="B46" s="54"/>
      <c r="C46" s="54"/>
      <c r="D46" s="54"/>
      <c r="E46" s="55"/>
      <c r="F46" s="75"/>
      <c r="G46" s="76"/>
      <c r="H46" s="76"/>
      <c r="I46" s="48"/>
      <c r="J46" s="70"/>
      <c r="K46" s="70"/>
      <c r="L46" s="183" t="s">
        <v>1112</v>
      </c>
      <c r="M46" s="184" t="s">
        <v>1198</v>
      </c>
      <c r="N46" s="183" t="s">
        <v>903</v>
      </c>
      <c r="O46" s="185">
        <v>0.4</v>
      </c>
      <c r="P46" s="187">
        <v>24113</v>
      </c>
      <c r="Q46" s="187">
        <v>9645.2000000000007</v>
      </c>
      <c r="R46" s="182"/>
      <c r="U46" s="128"/>
    </row>
    <row r="47" spans="1:21" ht="15.6" x14ac:dyDescent="0.3">
      <c r="A47" s="53"/>
      <c r="B47" s="54"/>
      <c r="C47" s="54"/>
      <c r="D47" s="54"/>
      <c r="E47" s="55"/>
      <c r="F47" s="75"/>
      <c r="G47" s="76"/>
      <c r="H47" s="76"/>
      <c r="I47" s="48"/>
      <c r="J47" s="70"/>
      <c r="K47" s="70"/>
      <c r="L47" s="183" t="s">
        <v>942</v>
      </c>
      <c r="M47" s="184" t="s">
        <v>740</v>
      </c>
      <c r="N47" s="183" t="s">
        <v>903</v>
      </c>
      <c r="O47" s="185">
        <v>0.9</v>
      </c>
      <c r="P47" s="187">
        <v>8966.67</v>
      </c>
      <c r="Q47" s="187">
        <v>8070</v>
      </c>
      <c r="R47" s="182"/>
      <c r="U47" s="128"/>
    </row>
    <row r="48" spans="1:21" ht="15.6" x14ac:dyDescent="0.3">
      <c r="A48" s="53"/>
      <c r="B48" s="54"/>
      <c r="C48" s="54"/>
      <c r="D48" s="54"/>
      <c r="E48" s="55"/>
      <c r="F48" s="75"/>
      <c r="G48" s="76"/>
      <c r="H48" s="76"/>
      <c r="I48" s="48"/>
      <c r="J48" s="70"/>
      <c r="K48" s="70"/>
      <c r="L48" s="183" t="s">
        <v>1283</v>
      </c>
      <c r="M48" s="184" t="s">
        <v>1318</v>
      </c>
      <c r="N48" s="183" t="s">
        <v>903</v>
      </c>
      <c r="O48" s="185">
        <v>0.5</v>
      </c>
      <c r="P48" s="187">
        <v>8966.68</v>
      </c>
      <c r="Q48" s="187">
        <v>4483.34</v>
      </c>
      <c r="R48" s="182"/>
      <c r="U48" s="128"/>
    </row>
    <row r="49" spans="1:21" ht="15.6" x14ac:dyDescent="0.3">
      <c r="A49" s="53"/>
      <c r="B49" s="54"/>
      <c r="C49" s="54"/>
      <c r="D49" s="54"/>
      <c r="E49" s="55"/>
      <c r="F49" s="75"/>
      <c r="G49" s="76"/>
      <c r="H49" s="76"/>
      <c r="I49" s="48"/>
      <c r="J49" s="70"/>
      <c r="K49" s="70"/>
      <c r="L49" s="183" t="s">
        <v>1366</v>
      </c>
      <c r="M49" s="184" t="s">
        <v>1395</v>
      </c>
      <c r="N49" s="183" t="s">
        <v>903</v>
      </c>
      <c r="O49" s="185">
        <v>6.0999999999999999E-2</v>
      </c>
      <c r="P49" s="187">
        <v>24262.46</v>
      </c>
      <c r="Q49" s="187">
        <v>1480.01</v>
      </c>
      <c r="R49" s="182"/>
      <c r="U49" s="128"/>
    </row>
    <row r="50" spans="1:21" ht="15.6" x14ac:dyDescent="0.3">
      <c r="A50" s="53"/>
      <c r="B50" s="54"/>
      <c r="C50" s="54"/>
      <c r="D50" s="54"/>
      <c r="E50" s="55"/>
      <c r="F50" s="75"/>
      <c r="G50" s="76"/>
      <c r="H50" s="76"/>
      <c r="I50" s="48"/>
      <c r="J50" s="70"/>
      <c r="K50" s="70"/>
      <c r="L50" s="183" t="s">
        <v>944</v>
      </c>
      <c r="M50" s="184" t="s">
        <v>1041</v>
      </c>
      <c r="N50" s="183" t="s">
        <v>903</v>
      </c>
      <c r="O50" s="185">
        <v>2.8</v>
      </c>
      <c r="P50" s="187">
        <v>1270.1300000000001</v>
      </c>
      <c r="Q50" s="187">
        <v>3556.37</v>
      </c>
      <c r="R50" s="182"/>
      <c r="U50" s="128"/>
    </row>
    <row r="51" spans="1:21" ht="15.6" x14ac:dyDescent="0.3">
      <c r="A51" s="53"/>
      <c r="B51" s="54"/>
      <c r="C51" s="54"/>
      <c r="D51" s="54"/>
      <c r="E51" s="55"/>
      <c r="F51" s="75"/>
      <c r="G51" s="76"/>
      <c r="H51" s="76"/>
      <c r="I51" s="48"/>
      <c r="J51" s="70"/>
      <c r="K51" s="70"/>
      <c r="L51" s="183" t="s">
        <v>1108</v>
      </c>
      <c r="M51" s="184" t="s">
        <v>1194</v>
      </c>
      <c r="N51" s="183" t="s">
        <v>903</v>
      </c>
      <c r="O51" s="185">
        <v>3</v>
      </c>
      <c r="P51" s="187">
        <v>1192.4100000000001</v>
      </c>
      <c r="Q51" s="187">
        <v>3577.24</v>
      </c>
      <c r="R51" s="182"/>
      <c r="U51" s="128"/>
    </row>
    <row r="52" spans="1:21" ht="30" x14ac:dyDescent="0.3">
      <c r="A52" s="53"/>
      <c r="B52" s="54"/>
      <c r="C52" s="54"/>
      <c r="D52" s="54"/>
      <c r="E52" s="55"/>
      <c r="F52" s="75"/>
      <c r="G52" s="76"/>
      <c r="H52" s="76"/>
      <c r="I52" s="48"/>
      <c r="J52" s="70"/>
      <c r="K52" s="70"/>
      <c r="L52" s="183" t="s">
        <v>1360</v>
      </c>
      <c r="M52" s="184" t="s">
        <v>1389</v>
      </c>
      <c r="N52" s="183" t="s">
        <v>903</v>
      </c>
      <c r="O52" s="185">
        <v>0.25</v>
      </c>
      <c r="P52" s="187">
        <v>3625</v>
      </c>
      <c r="Q52" s="186">
        <v>906.25</v>
      </c>
      <c r="R52" s="182"/>
      <c r="U52" s="128"/>
    </row>
    <row r="53" spans="1:21" ht="15.6" x14ac:dyDescent="0.3">
      <c r="A53" s="53"/>
      <c r="B53" s="54"/>
      <c r="C53" s="54"/>
      <c r="D53" s="54"/>
      <c r="E53" s="55"/>
      <c r="F53" s="75"/>
      <c r="G53" s="76"/>
      <c r="H53" s="76"/>
      <c r="I53" s="48"/>
      <c r="J53" s="70"/>
      <c r="K53" s="70"/>
      <c r="L53" s="183" t="s">
        <v>1114</v>
      </c>
      <c r="M53" s="184" t="s">
        <v>1200</v>
      </c>
      <c r="N53" s="183" t="s">
        <v>68</v>
      </c>
      <c r="O53" s="185">
        <v>2</v>
      </c>
      <c r="P53" s="186">
        <v>36</v>
      </c>
      <c r="Q53" s="186">
        <v>72</v>
      </c>
      <c r="R53" s="182"/>
      <c r="U53" s="128"/>
    </row>
    <row r="54" spans="1:21" ht="15.6" x14ac:dyDescent="0.3">
      <c r="A54" s="53"/>
      <c r="B54" s="54"/>
      <c r="C54" s="54"/>
      <c r="D54" s="54"/>
      <c r="E54" s="55"/>
      <c r="F54" s="75"/>
      <c r="G54" s="76"/>
      <c r="H54" s="76"/>
      <c r="I54" s="48"/>
      <c r="J54" s="70"/>
      <c r="K54" s="70"/>
      <c r="L54" s="183" t="s">
        <v>207</v>
      </c>
      <c r="M54" s="184" t="s">
        <v>858</v>
      </c>
      <c r="N54" s="183" t="s">
        <v>68</v>
      </c>
      <c r="O54" s="185">
        <v>1.4</v>
      </c>
      <c r="P54" s="186">
        <v>343.29</v>
      </c>
      <c r="Q54" s="186">
        <v>480.6</v>
      </c>
      <c r="R54" s="182"/>
      <c r="U54" s="128"/>
    </row>
    <row r="55" spans="1:21" ht="15.6" x14ac:dyDescent="0.3">
      <c r="A55" s="53"/>
      <c r="B55" s="54"/>
      <c r="C55" s="54"/>
      <c r="D55" s="54"/>
      <c r="E55" s="55"/>
      <c r="F55" s="75"/>
      <c r="G55" s="76"/>
      <c r="H55" s="76"/>
      <c r="I55" s="48"/>
      <c r="J55" s="70"/>
      <c r="K55" s="70"/>
      <c r="L55" s="183" t="s">
        <v>882</v>
      </c>
      <c r="M55" s="184" t="s">
        <v>883</v>
      </c>
      <c r="N55" s="183" t="s">
        <v>68</v>
      </c>
      <c r="O55" s="185">
        <v>2</v>
      </c>
      <c r="P55" s="186">
        <v>188.33</v>
      </c>
      <c r="Q55" s="186">
        <v>376.66</v>
      </c>
      <c r="R55" s="182"/>
      <c r="U55" s="128"/>
    </row>
    <row r="56" spans="1:21" ht="15.6" x14ac:dyDescent="0.3">
      <c r="A56" s="53"/>
      <c r="B56" s="54"/>
      <c r="C56" s="54"/>
      <c r="D56" s="54"/>
      <c r="E56" s="55"/>
      <c r="F56" s="75"/>
      <c r="G56" s="76"/>
      <c r="H56" s="76"/>
      <c r="I56" s="48"/>
      <c r="J56" s="70"/>
      <c r="K56" s="70"/>
      <c r="L56" s="183" t="s">
        <v>1117</v>
      </c>
      <c r="M56" s="184" t="s">
        <v>1203</v>
      </c>
      <c r="N56" s="183" t="s">
        <v>68</v>
      </c>
      <c r="O56" s="185">
        <v>6.75</v>
      </c>
      <c r="P56" s="186">
        <v>188.33</v>
      </c>
      <c r="Q56" s="187">
        <v>1271.23</v>
      </c>
      <c r="R56" s="182"/>
      <c r="U56" s="128"/>
    </row>
    <row r="57" spans="1:21" ht="15.6" x14ac:dyDescent="0.3">
      <c r="A57" s="53"/>
      <c r="B57" s="54"/>
      <c r="C57" s="54"/>
      <c r="D57" s="54"/>
      <c r="E57" s="55"/>
      <c r="F57" s="75"/>
      <c r="G57" s="76"/>
      <c r="H57" s="76"/>
      <c r="I57" s="48"/>
      <c r="J57" s="70"/>
      <c r="K57" s="70"/>
      <c r="L57" s="183" t="s">
        <v>1115</v>
      </c>
      <c r="M57" s="184" t="s">
        <v>1201</v>
      </c>
      <c r="N57" s="183" t="s">
        <v>68</v>
      </c>
      <c r="O57" s="185">
        <v>1.2</v>
      </c>
      <c r="P57" s="186">
        <v>186.67</v>
      </c>
      <c r="Q57" s="186">
        <v>224</v>
      </c>
      <c r="R57" s="182"/>
      <c r="U57" s="128"/>
    </row>
    <row r="58" spans="1:21" ht="15.6" x14ac:dyDescent="0.3">
      <c r="A58" s="53"/>
      <c r="B58" s="54"/>
      <c r="C58" s="54"/>
      <c r="D58" s="54"/>
      <c r="E58" s="55"/>
      <c r="F58" s="75"/>
      <c r="G58" s="76"/>
      <c r="H58" s="76"/>
      <c r="I58" s="48"/>
      <c r="J58" s="70"/>
      <c r="K58" s="70"/>
      <c r="L58" s="183" t="s">
        <v>1116</v>
      </c>
      <c r="M58" s="184" t="s">
        <v>1202</v>
      </c>
      <c r="N58" s="183" t="s">
        <v>68</v>
      </c>
      <c r="O58" s="185">
        <v>25.6</v>
      </c>
      <c r="P58" s="186">
        <v>170</v>
      </c>
      <c r="Q58" s="187">
        <v>4352</v>
      </c>
      <c r="R58" s="182"/>
      <c r="U58" s="128"/>
    </row>
    <row r="59" spans="1:21" ht="15.6" x14ac:dyDescent="0.3">
      <c r="A59" s="53"/>
      <c r="B59" s="54"/>
      <c r="C59" s="54"/>
      <c r="D59" s="54"/>
      <c r="E59" s="55"/>
      <c r="F59" s="75"/>
      <c r="G59" s="76"/>
      <c r="H59" s="76"/>
      <c r="I59" s="48"/>
      <c r="J59" s="70"/>
      <c r="K59" s="70"/>
      <c r="L59" s="183" t="s">
        <v>752</v>
      </c>
      <c r="M59" s="184" t="s">
        <v>753</v>
      </c>
      <c r="N59" s="183" t="s">
        <v>68</v>
      </c>
      <c r="O59" s="185">
        <v>3.1709999999999998</v>
      </c>
      <c r="P59" s="187">
        <v>4861.2700000000004</v>
      </c>
      <c r="Q59" s="187">
        <v>15415.08</v>
      </c>
      <c r="R59" s="182"/>
      <c r="U59" s="128"/>
    </row>
    <row r="60" spans="1:21" ht="15.6" x14ac:dyDescent="0.3">
      <c r="A60" s="53"/>
      <c r="B60" s="54"/>
      <c r="C60" s="54"/>
      <c r="D60" s="54"/>
      <c r="E60" s="55"/>
      <c r="F60" s="75"/>
      <c r="G60" s="76"/>
      <c r="H60" s="76"/>
      <c r="I60" s="48"/>
      <c r="J60" s="70"/>
      <c r="K60" s="70"/>
      <c r="L60" s="183" t="s">
        <v>747</v>
      </c>
      <c r="M60" s="184" t="s">
        <v>748</v>
      </c>
      <c r="N60" s="183" t="s">
        <v>68</v>
      </c>
      <c r="O60" s="185">
        <v>73</v>
      </c>
      <c r="P60" s="186">
        <v>280</v>
      </c>
      <c r="Q60" s="187">
        <v>20440</v>
      </c>
      <c r="R60" s="182"/>
      <c r="U60" s="128"/>
    </row>
    <row r="61" spans="1:21" ht="15.6" x14ac:dyDescent="0.3">
      <c r="A61" s="53"/>
      <c r="B61" s="54"/>
      <c r="C61" s="54"/>
      <c r="D61" s="54"/>
      <c r="E61" s="55"/>
      <c r="F61" s="75"/>
      <c r="G61" s="76"/>
      <c r="H61" s="76"/>
      <c r="I61" s="48"/>
      <c r="J61" s="70"/>
      <c r="K61" s="70"/>
      <c r="L61" s="183" t="s">
        <v>945</v>
      </c>
      <c r="M61" s="184" t="s">
        <v>1032</v>
      </c>
      <c r="N61" s="183" t="s">
        <v>68</v>
      </c>
      <c r="O61" s="185">
        <v>41</v>
      </c>
      <c r="P61" s="186">
        <v>302.5</v>
      </c>
      <c r="Q61" s="187">
        <v>12402.5</v>
      </c>
      <c r="R61" s="182"/>
      <c r="U61" s="128"/>
    </row>
    <row r="62" spans="1:21" ht="15.6" x14ac:dyDescent="0.3">
      <c r="A62" s="53"/>
      <c r="B62" s="54"/>
      <c r="C62" s="54"/>
      <c r="D62" s="54"/>
      <c r="E62" s="55"/>
      <c r="F62" s="75"/>
      <c r="G62" s="76"/>
      <c r="H62" s="76"/>
      <c r="I62" s="48"/>
      <c r="J62" s="70"/>
      <c r="K62" s="70"/>
      <c r="L62" s="183" t="s">
        <v>909</v>
      </c>
      <c r="M62" s="184" t="s">
        <v>910</v>
      </c>
      <c r="N62" s="183" t="s">
        <v>68</v>
      </c>
      <c r="O62" s="185">
        <v>0.41699999999999998</v>
      </c>
      <c r="P62" s="186">
        <v>749.06</v>
      </c>
      <c r="Q62" s="186">
        <v>312.36</v>
      </c>
      <c r="R62" s="182"/>
      <c r="U62" s="128"/>
    </row>
    <row r="63" spans="1:21" ht="15.6" x14ac:dyDescent="0.3">
      <c r="A63" s="53"/>
      <c r="B63" s="54"/>
      <c r="C63" s="54"/>
      <c r="D63" s="54"/>
      <c r="E63" s="55"/>
      <c r="F63" s="75"/>
      <c r="G63" s="76"/>
      <c r="H63" s="76"/>
      <c r="I63" s="48"/>
      <c r="J63" s="70"/>
      <c r="K63" s="70"/>
      <c r="L63" s="183" t="s">
        <v>1118</v>
      </c>
      <c r="M63" s="184" t="s">
        <v>1204</v>
      </c>
      <c r="N63" s="183" t="s">
        <v>68</v>
      </c>
      <c r="O63" s="185">
        <v>60</v>
      </c>
      <c r="P63" s="186">
        <v>25.5</v>
      </c>
      <c r="Q63" s="187">
        <v>1530</v>
      </c>
      <c r="R63" s="182"/>
      <c r="U63" s="128"/>
    </row>
    <row r="64" spans="1:21" ht="15.6" x14ac:dyDescent="0.3">
      <c r="A64" s="53"/>
      <c r="B64" s="54"/>
      <c r="C64" s="54"/>
      <c r="D64" s="54"/>
      <c r="E64" s="55"/>
      <c r="F64" s="75"/>
      <c r="G64" s="76"/>
      <c r="H64" s="76"/>
      <c r="I64" s="48"/>
      <c r="J64" s="70"/>
      <c r="K64" s="70"/>
      <c r="L64" s="183" t="s">
        <v>889</v>
      </c>
      <c r="M64" s="184" t="s">
        <v>890</v>
      </c>
      <c r="N64" s="183" t="s">
        <v>82</v>
      </c>
      <c r="O64" s="185">
        <v>1</v>
      </c>
      <c r="P64" s="187">
        <v>20643</v>
      </c>
      <c r="Q64" s="187">
        <v>20643</v>
      </c>
      <c r="R64" s="182"/>
      <c r="U64" s="128"/>
    </row>
    <row r="65" spans="1:21" ht="15.6" x14ac:dyDescent="0.3">
      <c r="A65" s="53"/>
      <c r="B65" s="54"/>
      <c r="C65" s="54"/>
      <c r="D65" s="54"/>
      <c r="E65" s="55"/>
      <c r="F65" s="75"/>
      <c r="G65" s="76"/>
      <c r="H65" s="76"/>
      <c r="I65" s="48"/>
      <c r="J65" s="70"/>
      <c r="K65" s="70"/>
      <c r="L65" s="183" t="s">
        <v>884</v>
      </c>
      <c r="M65" s="184" t="s">
        <v>885</v>
      </c>
      <c r="N65" s="183" t="s">
        <v>82</v>
      </c>
      <c r="O65" s="185">
        <v>1</v>
      </c>
      <c r="P65" s="187">
        <v>18062</v>
      </c>
      <c r="Q65" s="187">
        <v>18062</v>
      </c>
      <c r="R65" s="182"/>
      <c r="U65" s="128"/>
    </row>
    <row r="66" spans="1:21" ht="15.6" x14ac:dyDescent="0.3">
      <c r="A66" s="53"/>
      <c r="B66" s="54"/>
      <c r="C66" s="54"/>
      <c r="D66" s="54"/>
      <c r="E66" s="55"/>
      <c r="F66" s="75"/>
      <c r="G66" s="76"/>
      <c r="H66" s="76"/>
      <c r="I66" s="48"/>
      <c r="J66" s="70"/>
      <c r="K66" s="70"/>
      <c r="L66" s="183" t="s">
        <v>1119</v>
      </c>
      <c r="M66" s="184" t="s">
        <v>1205</v>
      </c>
      <c r="N66" s="183" t="s">
        <v>35</v>
      </c>
      <c r="O66" s="185">
        <v>3</v>
      </c>
      <c r="P66" s="186">
        <v>78.33</v>
      </c>
      <c r="Q66" s="186">
        <v>234.99</v>
      </c>
      <c r="R66" s="182"/>
      <c r="U66" s="128"/>
    </row>
    <row r="67" spans="1:21" ht="15.6" x14ac:dyDescent="0.3">
      <c r="A67" s="53"/>
      <c r="B67" s="54"/>
      <c r="C67" s="54"/>
      <c r="D67" s="54"/>
      <c r="E67" s="55"/>
      <c r="F67" s="75"/>
      <c r="G67" s="76"/>
      <c r="H67" s="76"/>
      <c r="I67" s="48"/>
      <c r="J67" s="70"/>
      <c r="K67" s="70"/>
      <c r="L67" s="183" t="s">
        <v>1120</v>
      </c>
      <c r="M67" s="184" t="s">
        <v>1206</v>
      </c>
      <c r="N67" s="183" t="s">
        <v>35</v>
      </c>
      <c r="O67" s="185">
        <v>10</v>
      </c>
      <c r="P67" s="186">
        <v>135.59</v>
      </c>
      <c r="Q67" s="187">
        <v>1355.9</v>
      </c>
      <c r="R67" s="182"/>
      <c r="U67" s="128"/>
    </row>
    <row r="68" spans="1:21" ht="15.6" x14ac:dyDescent="0.3">
      <c r="A68" s="53"/>
      <c r="B68" s="54"/>
      <c r="C68" s="54"/>
      <c r="D68" s="54"/>
      <c r="E68" s="55"/>
      <c r="F68" s="75"/>
      <c r="G68" s="76"/>
      <c r="H68" s="76"/>
      <c r="I68" s="48"/>
      <c r="J68" s="70"/>
      <c r="K68" s="70"/>
      <c r="L68" s="183" t="s">
        <v>1436</v>
      </c>
      <c r="M68" s="184" t="s">
        <v>1458</v>
      </c>
      <c r="N68" s="183" t="s">
        <v>35</v>
      </c>
      <c r="O68" s="185">
        <v>1.2999999999999999E-2</v>
      </c>
      <c r="P68" s="186">
        <v>307.69</v>
      </c>
      <c r="Q68" s="186">
        <v>4</v>
      </c>
      <c r="R68" s="182"/>
      <c r="U68" s="128"/>
    </row>
    <row r="69" spans="1:21" ht="15.6" x14ac:dyDescent="0.3">
      <c r="A69" s="53"/>
      <c r="B69" s="54"/>
      <c r="C69" s="54"/>
      <c r="D69" s="54"/>
      <c r="E69" s="55"/>
      <c r="F69" s="75"/>
      <c r="G69" s="76"/>
      <c r="H69" s="76"/>
      <c r="I69" s="48"/>
      <c r="J69" s="70"/>
      <c r="K69" s="70"/>
      <c r="L69" s="183" t="s">
        <v>1178</v>
      </c>
      <c r="M69" s="184" t="s">
        <v>1262</v>
      </c>
      <c r="N69" s="183" t="s">
        <v>34</v>
      </c>
      <c r="O69" s="185">
        <v>1</v>
      </c>
      <c r="P69" s="186">
        <v>36.729999999999997</v>
      </c>
      <c r="Q69" s="186">
        <v>36.729999999999997</v>
      </c>
      <c r="R69" s="182"/>
      <c r="U69" s="128"/>
    </row>
    <row r="70" spans="1:21" ht="30" x14ac:dyDescent="0.3">
      <c r="A70" s="53"/>
      <c r="B70" s="54"/>
      <c r="C70" s="54"/>
      <c r="D70" s="54"/>
      <c r="E70" s="55"/>
      <c r="F70" s="75"/>
      <c r="G70" s="76"/>
      <c r="H70" s="76"/>
      <c r="I70" s="48"/>
      <c r="J70" s="70"/>
      <c r="K70" s="70"/>
      <c r="L70" s="183" t="s">
        <v>987</v>
      </c>
      <c r="M70" s="184" t="s">
        <v>837</v>
      </c>
      <c r="N70" s="183" t="s">
        <v>34</v>
      </c>
      <c r="O70" s="185">
        <v>2</v>
      </c>
      <c r="P70" s="186">
        <v>57.75</v>
      </c>
      <c r="Q70" s="186">
        <v>115.5</v>
      </c>
      <c r="R70" s="182"/>
      <c r="U70" s="128"/>
    </row>
    <row r="71" spans="1:21" ht="15.6" x14ac:dyDescent="0.3">
      <c r="A71" s="53"/>
      <c r="B71" s="54"/>
      <c r="C71" s="54"/>
      <c r="D71" s="54"/>
      <c r="E71" s="55"/>
      <c r="F71" s="75"/>
      <c r="G71" s="76"/>
      <c r="H71" s="76"/>
      <c r="I71" s="48"/>
      <c r="J71" s="70"/>
      <c r="K71" s="70"/>
      <c r="L71" s="183" t="s">
        <v>484</v>
      </c>
      <c r="M71" s="184" t="s">
        <v>1061</v>
      </c>
      <c r="N71" s="183" t="s">
        <v>34</v>
      </c>
      <c r="O71" s="185">
        <v>1</v>
      </c>
      <c r="P71" s="186">
        <v>36.25</v>
      </c>
      <c r="Q71" s="186">
        <v>36.25</v>
      </c>
      <c r="R71" s="182"/>
      <c r="U71" s="128"/>
    </row>
    <row r="72" spans="1:21" ht="15.6" x14ac:dyDescent="0.3">
      <c r="A72" s="53"/>
      <c r="B72" s="54"/>
      <c r="C72" s="54"/>
      <c r="D72" s="54"/>
      <c r="E72" s="55"/>
      <c r="F72" s="75"/>
      <c r="G72" s="76"/>
      <c r="H72" s="76"/>
      <c r="I72" s="48"/>
      <c r="J72" s="70"/>
      <c r="K72" s="70"/>
      <c r="L72" s="183" t="s">
        <v>927</v>
      </c>
      <c r="M72" s="184" t="s">
        <v>928</v>
      </c>
      <c r="N72" s="183" t="s">
        <v>34</v>
      </c>
      <c r="O72" s="185">
        <v>2</v>
      </c>
      <c r="P72" s="187">
        <v>2032.83</v>
      </c>
      <c r="Q72" s="187">
        <v>4065.65</v>
      </c>
      <c r="R72" s="182"/>
      <c r="U72" s="128"/>
    </row>
    <row r="73" spans="1:21" ht="15.6" x14ac:dyDescent="0.3">
      <c r="A73" s="53"/>
      <c r="B73" s="54"/>
      <c r="C73" s="54"/>
      <c r="D73" s="54"/>
      <c r="E73" s="55"/>
      <c r="F73" s="75"/>
      <c r="G73" s="76"/>
      <c r="H73" s="76"/>
      <c r="I73" s="48"/>
      <c r="J73" s="70"/>
      <c r="K73" s="70"/>
      <c r="L73" s="183" t="s">
        <v>219</v>
      </c>
      <c r="M73" s="184" t="s">
        <v>220</v>
      </c>
      <c r="N73" s="183" t="s">
        <v>34</v>
      </c>
      <c r="O73" s="185">
        <v>2</v>
      </c>
      <c r="P73" s="186">
        <v>112.79</v>
      </c>
      <c r="Q73" s="186">
        <v>225.58</v>
      </c>
      <c r="R73" s="182"/>
      <c r="U73" s="128"/>
    </row>
    <row r="74" spans="1:21" ht="15.6" x14ac:dyDescent="0.3">
      <c r="A74" s="53"/>
      <c r="B74" s="54"/>
      <c r="C74" s="54"/>
      <c r="D74" s="54"/>
      <c r="E74" s="55"/>
      <c r="F74" s="75"/>
      <c r="G74" s="76"/>
      <c r="H74" s="76"/>
      <c r="I74" s="48"/>
      <c r="J74" s="70"/>
      <c r="K74" s="70"/>
      <c r="L74" s="183" t="s">
        <v>1422</v>
      </c>
      <c r="M74" s="184" t="s">
        <v>1445</v>
      </c>
      <c r="N74" s="183" t="s">
        <v>34</v>
      </c>
      <c r="O74" s="185">
        <v>0.13600000000000001</v>
      </c>
      <c r="P74" s="186">
        <v>230</v>
      </c>
      <c r="Q74" s="186">
        <v>31.28</v>
      </c>
      <c r="R74" s="182"/>
      <c r="U74" s="128"/>
    </row>
    <row r="75" spans="1:21" ht="15.6" x14ac:dyDescent="0.3">
      <c r="A75" s="53"/>
      <c r="B75" s="54"/>
      <c r="C75" s="54"/>
      <c r="D75" s="54"/>
      <c r="E75" s="55"/>
      <c r="F75" s="75"/>
      <c r="G75" s="76"/>
      <c r="H75" s="76"/>
      <c r="I75" s="48"/>
      <c r="J75" s="70"/>
      <c r="K75" s="70"/>
      <c r="L75" s="183" t="s">
        <v>986</v>
      </c>
      <c r="M75" s="184" t="s">
        <v>835</v>
      </c>
      <c r="N75" s="183" t="s">
        <v>34</v>
      </c>
      <c r="O75" s="185">
        <v>3.5</v>
      </c>
      <c r="P75" s="186">
        <v>275.86</v>
      </c>
      <c r="Q75" s="186">
        <v>965.52</v>
      </c>
      <c r="R75" s="182"/>
      <c r="U75" s="128"/>
    </row>
    <row r="76" spans="1:21" ht="15.6" x14ac:dyDescent="0.3">
      <c r="A76" s="53"/>
      <c r="B76" s="54"/>
      <c r="C76" s="54"/>
      <c r="D76" s="54"/>
      <c r="E76" s="55"/>
      <c r="F76" s="75"/>
      <c r="G76" s="76"/>
      <c r="H76" s="76"/>
      <c r="I76" s="48"/>
      <c r="J76" s="70"/>
      <c r="K76" s="70"/>
      <c r="L76" s="183" t="s">
        <v>930</v>
      </c>
      <c r="M76" s="184" t="s">
        <v>931</v>
      </c>
      <c r="N76" s="183" t="s">
        <v>34</v>
      </c>
      <c r="O76" s="185">
        <v>1</v>
      </c>
      <c r="P76" s="186">
        <v>103.34</v>
      </c>
      <c r="Q76" s="186">
        <v>103.34</v>
      </c>
      <c r="R76" s="182"/>
      <c r="U76" s="128"/>
    </row>
    <row r="77" spans="1:21" ht="15.6" x14ac:dyDescent="0.3">
      <c r="A77" s="53"/>
      <c r="B77" s="54"/>
      <c r="C77" s="54"/>
      <c r="D77" s="54"/>
      <c r="E77" s="55"/>
      <c r="F77" s="75"/>
      <c r="G77" s="76"/>
      <c r="H77" s="76"/>
      <c r="I77" s="48"/>
      <c r="J77" s="70"/>
      <c r="K77" s="70"/>
      <c r="L77" s="183" t="s">
        <v>1315</v>
      </c>
      <c r="M77" s="184" t="s">
        <v>1349</v>
      </c>
      <c r="N77" s="183" t="s">
        <v>34</v>
      </c>
      <c r="O77" s="185">
        <v>1</v>
      </c>
      <c r="P77" s="186">
        <v>414</v>
      </c>
      <c r="Q77" s="186">
        <v>414</v>
      </c>
      <c r="R77" s="182"/>
      <c r="U77" s="128"/>
    </row>
    <row r="78" spans="1:21" ht="15.6" x14ac:dyDescent="0.3">
      <c r="A78" s="53"/>
      <c r="B78" s="54"/>
      <c r="C78" s="54"/>
      <c r="D78" s="54"/>
      <c r="E78" s="55"/>
      <c r="F78" s="75"/>
      <c r="G78" s="76"/>
      <c r="H78" s="76"/>
      <c r="I78" s="48"/>
      <c r="J78" s="70"/>
      <c r="K78" s="70"/>
      <c r="L78" s="183" t="s">
        <v>1179</v>
      </c>
      <c r="M78" s="184" t="s">
        <v>1263</v>
      </c>
      <c r="N78" s="183" t="s">
        <v>34</v>
      </c>
      <c r="O78" s="185">
        <v>1</v>
      </c>
      <c r="P78" s="186">
        <v>561</v>
      </c>
      <c r="Q78" s="186">
        <v>561</v>
      </c>
      <c r="R78" s="182"/>
      <c r="U78" s="128"/>
    </row>
    <row r="79" spans="1:21" ht="15.6" x14ac:dyDescent="0.3">
      <c r="A79" s="53"/>
      <c r="B79" s="54"/>
      <c r="C79" s="54"/>
      <c r="D79" s="54"/>
      <c r="E79" s="55"/>
      <c r="F79" s="75"/>
      <c r="G79" s="76"/>
      <c r="H79" s="76"/>
      <c r="I79" s="48"/>
      <c r="J79" s="70"/>
      <c r="K79" s="70"/>
      <c r="L79" s="183" t="s">
        <v>1091</v>
      </c>
      <c r="M79" s="184" t="s">
        <v>1095</v>
      </c>
      <c r="N79" s="183" t="s">
        <v>34</v>
      </c>
      <c r="O79" s="185">
        <v>1</v>
      </c>
      <c r="P79" s="186">
        <v>133.82</v>
      </c>
      <c r="Q79" s="186">
        <v>133.82</v>
      </c>
      <c r="R79" s="182"/>
      <c r="U79" s="128"/>
    </row>
    <row r="80" spans="1:21" ht="15.6" x14ac:dyDescent="0.3">
      <c r="A80" s="53"/>
      <c r="B80" s="54"/>
      <c r="C80" s="54"/>
      <c r="D80" s="54"/>
      <c r="E80" s="55"/>
      <c r="F80" s="75"/>
      <c r="G80" s="76"/>
      <c r="H80" s="76"/>
      <c r="I80" s="48"/>
      <c r="J80" s="70"/>
      <c r="K80" s="70"/>
      <c r="L80" s="183" t="s">
        <v>488</v>
      </c>
      <c r="M80" s="184" t="s">
        <v>1062</v>
      </c>
      <c r="N80" s="183" t="s">
        <v>34</v>
      </c>
      <c r="O80" s="185">
        <v>1</v>
      </c>
      <c r="P80" s="186">
        <v>809.01</v>
      </c>
      <c r="Q80" s="186">
        <v>809.01</v>
      </c>
      <c r="R80" s="182"/>
      <c r="U80" s="128"/>
    </row>
    <row r="81" spans="1:21" ht="15.6" x14ac:dyDescent="0.3">
      <c r="A81" s="53"/>
      <c r="B81" s="54"/>
      <c r="C81" s="54"/>
      <c r="D81" s="54"/>
      <c r="E81" s="55"/>
      <c r="F81" s="75"/>
      <c r="G81" s="76"/>
      <c r="H81" s="76"/>
      <c r="I81" s="48"/>
      <c r="J81" s="70"/>
      <c r="K81" s="70"/>
      <c r="L81" s="183" t="s">
        <v>1180</v>
      </c>
      <c r="M81" s="184" t="s">
        <v>105</v>
      </c>
      <c r="N81" s="183" t="s">
        <v>34</v>
      </c>
      <c r="O81" s="185">
        <v>636</v>
      </c>
      <c r="P81" s="186">
        <v>0.54</v>
      </c>
      <c r="Q81" s="186">
        <v>345.15</v>
      </c>
      <c r="R81" s="182"/>
      <c r="U81" s="128"/>
    </row>
    <row r="82" spans="1:21" ht="15.6" x14ac:dyDescent="0.3">
      <c r="A82" s="53"/>
      <c r="B82" s="54"/>
      <c r="C82" s="54"/>
      <c r="D82" s="54"/>
      <c r="E82" s="55"/>
      <c r="F82" s="75"/>
      <c r="G82" s="76"/>
      <c r="H82" s="76"/>
      <c r="I82" s="48"/>
      <c r="J82" s="70"/>
      <c r="K82" s="70"/>
      <c r="L82" s="183" t="s">
        <v>988</v>
      </c>
      <c r="M82" s="184" t="s">
        <v>106</v>
      </c>
      <c r="N82" s="183" t="s">
        <v>34</v>
      </c>
      <c r="O82" s="188">
        <v>1430</v>
      </c>
      <c r="P82" s="186">
        <v>0.71</v>
      </c>
      <c r="Q82" s="187">
        <v>1009.71</v>
      </c>
      <c r="R82" s="182"/>
      <c r="U82" s="128"/>
    </row>
    <row r="83" spans="1:21" ht="15.6" x14ac:dyDescent="0.3">
      <c r="A83" s="53"/>
      <c r="B83" s="54"/>
      <c r="C83" s="54"/>
      <c r="D83" s="54"/>
      <c r="E83" s="55"/>
      <c r="F83" s="75"/>
      <c r="G83" s="76"/>
      <c r="H83" s="76"/>
      <c r="I83" s="48"/>
      <c r="J83" s="70"/>
      <c r="K83" s="70"/>
      <c r="L83" s="183" t="s">
        <v>838</v>
      </c>
      <c r="M83" s="184" t="s">
        <v>839</v>
      </c>
      <c r="N83" s="183" t="s">
        <v>34</v>
      </c>
      <c r="O83" s="185">
        <v>109</v>
      </c>
      <c r="P83" s="186">
        <v>2.12</v>
      </c>
      <c r="Q83" s="186">
        <v>231.13</v>
      </c>
      <c r="R83" s="182"/>
      <c r="U83" s="128"/>
    </row>
    <row r="84" spans="1:21" ht="15.6" x14ac:dyDescent="0.3">
      <c r="A84" s="53"/>
      <c r="B84" s="54"/>
      <c r="C84" s="54"/>
      <c r="D84" s="54"/>
      <c r="E84" s="55"/>
      <c r="F84" s="75"/>
      <c r="G84" s="76"/>
      <c r="H84" s="76"/>
      <c r="I84" s="48"/>
      <c r="J84" s="70"/>
      <c r="K84" s="70"/>
      <c r="L84" s="183" t="s">
        <v>490</v>
      </c>
      <c r="M84" s="184" t="s">
        <v>491</v>
      </c>
      <c r="N84" s="183" t="s">
        <v>34</v>
      </c>
      <c r="O84" s="185">
        <v>1</v>
      </c>
      <c r="P84" s="187">
        <v>3293.25</v>
      </c>
      <c r="Q84" s="187">
        <v>3293.25</v>
      </c>
      <c r="R84" s="182"/>
      <c r="U84" s="128"/>
    </row>
    <row r="85" spans="1:21" ht="15.6" x14ac:dyDescent="0.3">
      <c r="A85" s="53"/>
      <c r="B85" s="54"/>
      <c r="C85" s="54"/>
      <c r="D85" s="54"/>
      <c r="E85" s="55"/>
      <c r="F85" s="75"/>
      <c r="G85" s="76"/>
      <c r="H85" s="76"/>
      <c r="I85" s="48"/>
      <c r="J85" s="70"/>
      <c r="K85" s="70"/>
      <c r="L85" s="183" t="s">
        <v>947</v>
      </c>
      <c r="M85" s="184" t="s">
        <v>1043</v>
      </c>
      <c r="N85" s="183" t="s">
        <v>34</v>
      </c>
      <c r="O85" s="185">
        <v>5</v>
      </c>
      <c r="P85" s="186">
        <v>423</v>
      </c>
      <c r="Q85" s="187">
        <v>2115</v>
      </c>
      <c r="R85" s="182"/>
      <c r="U85" s="128"/>
    </row>
    <row r="86" spans="1:21" ht="15.6" x14ac:dyDescent="0.3">
      <c r="A86" s="53"/>
      <c r="B86" s="54"/>
      <c r="C86" s="54"/>
      <c r="D86" s="54"/>
      <c r="E86" s="55"/>
      <c r="F86" s="75"/>
      <c r="G86" s="76"/>
      <c r="H86" s="76"/>
      <c r="I86" s="48"/>
      <c r="J86" s="70"/>
      <c r="K86" s="70"/>
      <c r="L86" s="183" t="s">
        <v>948</v>
      </c>
      <c r="M86" s="184" t="s">
        <v>1044</v>
      </c>
      <c r="N86" s="183" t="s">
        <v>34</v>
      </c>
      <c r="O86" s="185">
        <v>3</v>
      </c>
      <c r="P86" s="186">
        <v>44</v>
      </c>
      <c r="Q86" s="186">
        <v>132</v>
      </c>
      <c r="R86" s="182"/>
      <c r="U86" s="128"/>
    </row>
    <row r="87" spans="1:21" ht="15.6" x14ac:dyDescent="0.3">
      <c r="A87" s="53"/>
      <c r="B87" s="54"/>
      <c r="C87" s="54"/>
      <c r="D87" s="54"/>
      <c r="E87" s="55"/>
      <c r="F87" s="75"/>
      <c r="G87" s="76"/>
      <c r="H87" s="76"/>
      <c r="I87" s="48"/>
      <c r="J87" s="70"/>
      <c r="K87" s="70"/>
      <c r="L87" s="183" t="s">
        <v>1165</v>
      </c>
      <c r="M87" s="184" t="s">
        <v>1250</v>
      </c>
      <c r="N87" s="183" t="s">
        <v>34</v>
      </c>
      <c r="O87" s="185">
        <v>0.7</v>
      </c>
      <c r="P87" s="187">
        <v>2778.33</v>
      </c>
      <c r="Q87" s="187">
        <v>1944.83</v>
      </c>
      <c r="R87" s="182"/>
      <c r="U87" s="128"/>
    </row>
    <row r="88" spans="1:21" ht="30" x14ac:dyDescent="0.3">
      <c r="A88" s="53"/>
      <c r="B88" s="54"/>
      <c r="C88" s="54"/>
      <c r="D88" s="54"/>
      <c r="E88" s="55"/>
      <c r="F88" s="75"/>
      <c r="G88" s="76"/>
      <c r="H88" s="76"/>
      <c r="I88" s="48"/>
      <c r="J88" s="70"/>
      <c r="K88" s="70"/>
      <c r="L88" s="183" t="s">
        <v>1079</v>
      </c>
      <c r="M88" s="184" t="s">
        <v>842</v>
      </c>
      <c r="N88" s="183" t="s">
        <v>34</v>
      </c>
      <c r="O88" s="185">
        <v>1</v>
      </c>
      <c r="P88" s="186">
        <v>26.08</v>
      </c>
      <c r="Q88" s="186">
        <v>26.08</v>
      </c>
      <c r="R88" s="182"/>
      <c r="U88" s="128"/>
    </row>
    <row r="89" spans="1:21" ht="15.6" x14ac:dyDescent="0.3">
      <c r="A89" s="53"/>
      <c r="B89" s="54"/>
      <c r="C89" s="54"/>
      <c r="D89" s="54"/>
      <c r="E89" s="55"/>
      <c r="F89" s="75"/>
      <c r="G89" s="76"/>
      <c r="H89" s="76"/>
      <c r="I89" s="48"/>
      <c r="J89" s="70"/>
      <c r="K89" s="70"/>
      <c r="L89" s="183" t="s">
        <v>949</v>
      </c>
      <c r="M89" s="184" t="s">
        <v>494</v>
      </c>
      <c r="N89" s="183" t="s">
        <v>34</v>
      </c>
      <c r="O89" s="185">
        <v>38</v>
      </c>
      <c r="P89" s="186">
        <v>1.75</v>
      </c>
      <c r="Q89" s="186">
        <v>66.5</v>
      </c>
      <c r="R89" s="182"/>
      <c r="U89" s="128"/>
    </row>
    <row r="90" spans="1:21" ht="30" x14ac:dyDescent="0.3">
      <c r="A90" s="53"/>
      <c r="B90" s="54"/>
      <c r="C90" s="54"/>
      <c r="D90" s="54"/>
      <c r="E90" s="55"/>
      <c r="F90" s="75"/>
      <c r="G90" s="76"/>
      <c r="H90" s="76"/>
      <c r="I90" s="48"/>
      <c r="J90" s="70"/>
      <c r="K90" s="70"/>
      <c r="L90" s="183" t="s">
        <v>950</v>
      </c>
      <c r="M90" s="184" t="s">
        <v>843</v>
      </c>
      <c r="N90" s="183" t="s">
        <v>34</v>
      </c>
      <c r="O90" s="185">
        <v>1</v>
      </c>
      <c r="P90" s="186">
        <v>42.67</v>
      </c>
      <c r="Q90" s="186">
        <v>42.67</v>
      </c>
      <c r="R90" s="182"/>
      <c r="U90" s="128"/>
    </row>
    <row r="91" spans="1:21" ht="30" x14ac:dyDescent="0.3">
      <c r="A91" s="53"/>
      <c r="B91" s="54"/>
      <c r="C91" s="54"/>
      <c r="D91" s="54"/>
      <c r="E91" s="55"/>
      <c r="F91" s="75"/>
      <c r="G91" s="76"/>
      <c r="H91" s="76"/>
      <c r="I91" s="48"/>
      <c r="J91" s="70"/>
      <c r="K91" s="70"/>
      <c r="L91" s="183" t="s">
        <v>951</v>
      </c>
      <c r="M91" s="184" t="s">
        <v>844</v>
      </c>
      <c r="N91" s="183" t="s">
        <v>34</v>
      </c>
      <c r="O91" s="185">
        <v>3</v>
      </c>
      <c r="P91" s="186">
        <v>31.92</v>
      </c>
      <c r="Q91" s="186">
        <v>95.76</v>
      </c>
      <c r="R91" s="182"/>
      <c r="U91" s="128"/>
    </row>
    <row r="92" spans="1:21" ht="15.6" x14ac:dyDescent="0.3">
      <c r="A92" s="53"/>
      <c r="B92" s="54"/>
      <c r="C92" s="54"/>
      <c r="D92" s="54"/>
      <c r="E92" s="55"/>
      <c r="F92" s="75"/>
      <c r="G92" s="76"/>
      <c r="H92" s="76"/>
      <c r="I92" s="48"/>
      <c r="J92" s="70"/>
      <c r="K92" s="70"/>
      <c r="L92" s="183" t="s">
        <v>845</v>
      </c>
      <c r="M92" s="184" t="s">
        <v>846</v>
      </c>
      <c r="N92" s="183" t="s">
        <v>34</v>
      </c>
      <c r="O92" s="185">
        <v>1</v>
      </c>
      <c r="P92" s="186">
        <v>192.5</v>
      </c>
      <c r="Q92" s="186">
        <v>192.5</v>
      </c>
      <c r="R92" s="182"/>
      <c r="U92" s="128"/>
    </row>
    <row r="93" spans="1:21" ht="15.6" x14ac:dyDescent="0.3">
      <c r="A93" s="53"/>
      <c r="B93" s="54"/>
      <c r="C93" s="54"/>
      <c r="D93" s="54"/>
      <c r="E93" s="55"/>
      <c r="F93" s="75"/>
      <c r="G93" s="76"/>
      <c r="H93" s="76"/>
      <c r="I93" s="48"/>
      <c r="J93" s="70"/>
      <c r="K93" s="70"/>
      <c r="L93" s="183" t="s">
        <v>1166</v>
      </c>
      <c r="M93" s="184" t="s">
        <v>1251</v>
      </c>
      <c r="N93" s="183" t="s">
        <v>34</v>
      </c>
      <c r="O93" s="185">
        <v>327</v>
      </c>
      <c r="P93" s="186">
        <v>0.57999999999999996</v>
      </c>
      <c r="Q93" s="186">
        <v>188.48</v>
      </c>
      <c r="R93" s="182"/>
      <c r="U93" s="128"/>
    </row>
    <row r="94" spans="1:21" ht="15.6" x14ac:dyDescent="0.3">
      <c r="A94" s="53"/>
      <c r="B94" s="54"/>
      <c r="C94" s="54"/>
      <c r="D94" s="54"/>
      <c r="E94" s="55"/>
      <c r="F94" s="75"/>
      <c r="G94" s="76"/>
      <c r="H94" s="76"/>
      <c r="I94" s="48"/>
      <c r="J94" s="70"/>
      <c r="K94" s="70"/>
      <c r="L94" s="183" t="s">
        <v>1167</v>
      </c>
      <c r="M94" s="184" t="s">
        <v>1252</v>
      </c>
      <c r="N94" s="183" t="s">
        <v>34</v>
      </c>
      <c r="O94" s="185">
        <v>0.5</v>
      </c>
      <c r="P94" s="186">
        <v>196</v>
      </c>
      <c r="Q94" s="186">
        <v>98</v>
      </c>
      <c r="R94" s="182"/>
      <c r="U94" s="128"/>
    </row>
    <row r="95" spans="1:21" ht="15.6" x14ac:dyDescent="0.3">
      <c r="A95" s="53"/>
      <c r="B95" s="54"/>
      <c r="C95" s="54"/>
      <c r="D95" s="54"/>
      <c r="E95" s="55"/>
      <c r="F95" s="75"/>
      <c r="G95" s="76"/>
      <c r="H95" s="76"/>
      <c r="I95" s="48"/>
      <c r="J95" s="70"/>
      <c r="K95" s="70"/>
      <c r="L95" s="183" t="s">
        <v>1431</v>
      </c>
      <c r="M95" s="184" t="s">
        <v>1453</v>
      </c>
      <c r="N95" s="183" t="s">
        <v>34</v>
      </c>
      <c r="O95" s="185">
        <v>0.4</v>
      </c>
      <c r="P95" s="186">
        <v>185</v>
      </c>
      <c r="Q95" s="186">
        <v>74</v>
      </c>
      <c r="R95" s="182"/>
      <c r="U95" s="128"/>
    </row>
    <row r="96" spans="1:21" ht="15.6" x14ac:dyDescent="0.3">
      <c r="A96" s="53"/>
      <c r="B96" s="54"/>
      <c r="C96" s="54"/>
      <c r="D96" s="54"/>
      <c r="E96" s="55"/>
      <c r="F96" s="75"/>
      <c r="G96" s="76"/>
      <c r="H96" s="76"/>
      <c r="I96" s="48"/>
      <c r="J96" s="70"/>
      <c r="K96" s="70"/>
      <c r="L96" s="183" t="s">
        <v>1432</v>
      </c>
      <c r="M96" s="184" t="s">
        <v>1454</v>
      </c>
      <c r="N96" s="183" t="s">
        <v>34</v>
      </c>
      <c r="O96" s="185">
        <v>0.09</v>
      </c>
      <c r="P96" s="186">
        <v>178</v>
      </c>
      <c r="Q96" s="186">
        <v>16.02</v>
      </c>
      <c r="R96" s="182"/>
      <c r="U96" s="128"/>
    </row>
    <row r="97" spans="1:21" ht="15.6" x14ac:dyDescent="0.3">
      <c r="A97" s="53"/>
      <c r="B97" s="54"/>
      <c r="C97" s="54"/>
      <c r="D97" s="54"/>
      <c r="E97" s="55"/>
      <c r="F97" s="75"/>
      <c r="G97" s="76"/>
      <c r="H97" s="76"/>
      <c r="I97" s="48"/>
      <c r="J97" s="70"/>
      <c r="K97" s="70"/>
      <c r="L97" s="183" t="s">
        <v>989</v>
      </c>
      <c r="M97" s="184" t="s">
        <v>848</v>
      </c>
      <c r="N97" s="183" t="s">
        <v>34</v>
      </c>
      <c r="O97" s="185">
        <v>1</v>
      </c>
      <c r="P97" s="186">
        <v>119.53</v>
      </c>
      <c r="Q97" s="186">
        <v>119.53</v>
      </c>
      <c r="R97" s="182"/>
      <c r="U97" s="128"/>
    </row>
    <row r="98" spans="1:21" ht="15.6" x14ac:dyDescent="0.3">
      <c r="A98" s="53"/>
      <c r="B98" s="54"/>
      <c r="C98" s="54"/>
      <c r="D98" s="54"/>
      <c r="E98" s="55"/>
      <c r="F98" s="75"/>
      <c r="G98" s="76"/>
      <c r="H98" s="76"/>
      <c r="I98" s="48"/>
      <c r="J98" s="70"/>
      <c r="K98" s="70"/>
      <c r="L98" s="183" t="s">
        <v>1168</v>
      </c>
      <c r="M98" s="184" t="s">
        <v>1253</v>
      </c>
      <c r="N98" s="183" t="s">
        <v>34</v>
      </c>
      <c r="O98" s="185">
        <v>1</v>
      </c>
      <c r="P98" s="186">
        <v>110</v>
      </c>
      <c r="Q98" s="186">
        <v>110</v>
      </c>
      <c r="R98" s="182"/>
      <c r="U98" s="128"/>
    </row>
    <row r="99" spans="1:21" ht="15.6" x14ac:dyDescent="0.3">
      <c r="A99" s="53"/>
      <c r="B99" s="54"/>
      <c r="C99" s="54"/>
      <c r="D99" s="54"/>
      <c r="E99" s="55"/>
      <c r="F99" s="75"/>
      <c r="G99" s="76"/>
      <c r="H99" s="76"/>
      <c r="I99" s="48"/>
      <c r="J99" s="70"/>
      <c r="K99" s="70"/>
      <c r="L99" s="183" t="s">
        <v>1169</v>
      </c>
      <c r="M99" s="184" t="s">
        <v>1254</v>
      </c>
      <c r="N99" s="183" t="s">
        <v>34</v>
      </c>
      <c r="O99" s="185">
        <v>2</v>
      </c>
      <c r="P99" s="186">
        <v>110</v>
      </c>
      <c r="Q99" s="186">
        <v>220</v>
      </c>
      <c r="R99" s="182"/>
      <c r="U99" s="128"/>
    </row>
    <row r="100" spans="1:21" ht="15.6" x14ac:dyDescent="0.3">
      <c r="A100" s="53"/>
      <c r="B100" s="54"/>
      <c r="C100" s="54"/>
      <c r="D100" s="54"/>
      <c r="E100" s="55"/>
      <c r="F100" s="75"/>
      <c r="G100" s="76"/>
      <c r="H100" s="76"/>
      <c r="I100" s="48"/>
      <c r="J100" s="70"/>
      <c r="K100" s="70"/>
      <c r="L100" s="183" t="s">
        <v>990</v>
      </c>
      <c r="M100" s="184" t="s">
        <v>1064</v>
      </c>
      <c r="N100" s="183" t="s">
        <v>34</v>
      </c>
      <c r="O100" s="185">
        <v>320</v>
      </c>
      <c r="P100" s="186">
        <v>0.92</v>
      </c>
      <c r="Q100" s="186">
        <v>294.39999999999998</v>
      </c>
      <c r="R100" s="182"/>
      <c r="U100" s="128"/>
    </row>
    <row r="101" spans="1:21" ht="15.6" x14ac:dyDescent="0.3">
      <c r="A101" s="53"/>
      <c r="B101" s="54"/>
      <c r="C101" s="54"/>
      <c r="D101" s="54"/>
      <c r="E101" s="55"/>
      <c r="F101" s="75"/>
      <c r="G101" s="76"/>
      <c r="H101" s="76"/>
      <c r="I101" s="48"/>
      <c r="J101" s="70"/>
      <c r="K101" s="70"/>
      <c r="L101" s="183" t="s">
        <v>1170</v>
      </c>
      <c r="M101" s="184" t="s">
        <v>1255</v>
      </c>
      <c r="N101" s="183" t="s">
        <v>34</v>
      </c>
      <c r="O101" s="185">
        <v>11</v>
      </c>
      <c r="P101" s="186">
        <v>1.74</v>
      </c>
      <c r="Q101" s="186">
        <v>19.14</v>
      </c>
      <c r="R101" s="182"/>
      <c r="U101" s="128"/>
    </row>
    <row r="102" spans="1:21" ht="15.6" x14ac:dyDescent="0.3">
      <c r="A102" s="53"/>
      <c r="B102" s="54"/>
      <c r="C102" s="54"/>
      <c r="D102" s="54"/>
      <c r="E102" s="55"/>
      <c r="F102" s="75"/>
      <c r="G102" s="76"/>
      <c r="H102" s="76"/>
      <c r="I102" s="48"/>
      <c r="J102" s="70"/>
      <c r="K102" s="70"/>
      <c r="L102" s="183" t="s">
        <v>991</v>
      </c>
      <c r="M102" s="184" t="s">
        <v>1065</v>
      </c>
      <c r="N102" s="183" t="s">
        <v>34</v>
      </c>
      <c r="O102" s="185">
        <v>372</v>
      </c>
      <c r="P102" s="186">
        <v>0.5</v>
      </c>
      <c r="Q102" s="186">
        <v>186</v>
      </c>
      <c r="R102" s="182"/>
      <c r="U102" s="128"/>
    </row>
    <row r="103" spans="1:21" ht="15.6" x14ac:dyDescent="0.3">
      <c r="A103" s="53"/>
      <c r="B103" s="54"/>
      <c r="C103" s="54"/>
      <c r="D103" s="54"/>
      <c r="E103" s="55"/>
      <c r="F103" s="75"/>
      <c r="G103" s="76"/>
      <c r="H103" s="76"/>
      <c r="I103" s="48"/>
      <c r="J103" s="70"/>
      <c r="K103" s="70"/>
      <c r="L103" s="183" t="s">
        <v>1171</v>
      </c>
      <c r="M103" s="184" t="s">
        <v>1256</v>
      </c>
      <c r="N103" s="183" t="s">
        <v>34</v>
      </c>
      <c r="O103" s="185">
        <v>400</v>
      </c>
      <c r="P103" s="186">
        <v>0.17</v>
      </c>
      <c r="Q103" s="186">
        <v>68</v>
      </c>
      <c r="R103" s="182"/>
      <c r="U103" s="128"/>
    </row>
    <row r="104" spans="1:21" ht="15.6" x14ac:dyDescent="0.3">
      <c r="A104" s="53"/>
      <c r="B104" s="54"/>
      <c r="C104" s="54"/>
      <c r="D104" s="54"/>
      <c r="E104" s="55"/>
      <c r="F104" s="75"/>
      <c r="G104" s="76"/>
      <c r="H104" s="76"/>
      <c r="I104" s="48"/>
      <c r="J104" s="70"/>
      <c r="K104" s="70"/>
      <c r="L104" s="183" t="s">
        <v>992</v>
      </c>
      <c r="M104" s="184" t="s">
        <v>849</v>
      </c>
      <c r="N104" s="183" t="s">
        <v>34</v>
      </c>
      <c r="O104" s="185">
        <v>32</v>
      </c>
      <c r="P104" s="186">
        <v>0.92</v>
      </c>
      <c r="Q104" s="186">
        <v>29.44</v>
      </c>
      <c r="R104" s="182"/>
      <c r="U104" s="128"/>
    </row>
    <row r="105" spans="1:21" ht="15.6" x14ac:dyDescent="0.3">
      <c r="A105" s="53"/>
      <c r="B105" s="54"/>
      <c r="C105" s="54"/>
      <c r="D105" s="54"/>
      <c r="E105" s="55"/>
      <c r="F105" s="75"/>
      <c r="G105" s="76"/>
      <c r="H105" s="76"/>
      <c r="I105" s="48"/>
      <c r="J105" s="70"/>
      <c r="K105" s="70"/>
      <c r="L105" s="183" t="s">
        <v>850</v>
      </c>
      <c r="M105" s="184" t="s">
        <v>851</v>
      </c>
      <c r="N105" s="183" t="s">
        <v>34</v>
      </c>
      <c r="O105" s="185">
        <v>10</v>
      </c>
      <c r="P105" s="186">
        <v>3.62</v>
      </c>
      <c r="Q105" s="186">
        <v>36.200000000000003</v>
      </c>
      <c r="R105" s="182"/>
      <c r="U105" s="128"/>
    </row>
    <row r="106" spans="1:21" ht="15.6" x14ac:dyDescent="0.3">
      <c r="A106" s="53"/>
      <c r="B106" s="54"/>
      <c r="C106" s="54"/>
      <c r="D106" s="54"/>
      <c r="E106" s="55"/>
      <c r="F106" s="75"/>
      <c r="G106" s="76"/>
      <c r="H106" s="76"/>
      <c r="I106" s="48"/>
      <c r="J106" s="70"/>
      <c r="K106" s="70"/>
      <c r="L106" s="183" t="s">
        <v>993</v>
      </c>
      <c r="M106" s="184" t="s">
        <v>852</v>
      </c>
      <c r="N106" s="183" t="s">
        <v>34</v>
      </c>
      <c r="O106" s="185">
        <v>327</v>
      </c>
      <c r="P106" s="186">
        <v>0.5</v>
      </c>
      <c r="Q106" s="186">
        <v>163.5</v>
      </c>
      <c r="R106" s="182"/>
      <c r="U106" s="128"/>
    </row>
    <row r="107" spans="1:21" ht="15.6" x14ac:dyDescent="0.3">
      <c r="A107" s="53"/>
      <c r="B107" s="54"/>
      <c r="C107" s="54"/>
      <c r="D107" s="54"/>
      <c r="E107" s="55"/>
      <c r="F107" s="75"/>
      <c r="G107" s="76"/>
      <c r="H107" s="76"/>
      <c r="I107" s="48"/>
      <c r="J107" s="70"/>
      <c r="K107" s="70"/>
      <c r="L107" s="183" t="s">
        <v>996</v>
      </c>
      <c r="M107" s="184" t="s">
        <v>501</v>
      </c>
      <c r="N107" s="183" t="s">
        <v>34</v>
      </c>
      <c r="O107" s="185">
        <v>4</v>
      </c>
      <c r="P107" s="186">
        <v>36.08</v>
      </c>
      <c r="Q107" s="186">
        <v>144.32</v>
      </c>
      <c r="R107" s="182"/>
      <c r="U107" s="128"/>
    </row>
    <row r="108" spans="1:21" ht="15.6" x14ac:dyDescent="0.3">
      <c r="A108" s="53"/>
      <c r="B108" s="54"/>
      <c r="C108" s="54"/>
      <c r="D108" s="54"/>
      <c r="E108" s="55"/>
      <c r="F108" s="75"/>
      <c r="G108" s="76"/>
      <c r="H108" s="76"/>
      <c r="I108" s="48"/>
      <c r="J108" s="70"/>
      <c r="K108" s="70"/>
      <c r="L108" s="183" t="s">
        <v>1172</v>
      </c>
      <c r="M108" s="184" t="s">
        <v>1257</v>
      </c>
      <c r="N108" s="183" t="s">
        <v>34</v>
      </c>
      <c r="O108" s="185">
        <v>1</v>
      </c>
      <c r="P108" s="186">
        <v>285</v>
      </c>
      <c r="Q108" s="186">
        <v>285</v>
      </c>
      <c r="R108" s="182"/>
      <c r="U108" s="128"/>
    </row>
    <row r="109" spans="1:21" ht="15.6" x14ac:dyDescent="0.3">
      <c r="A109" s="53"/>
      <c r="B109" s="54"/>
      <c r="C109" s="54"/>
      <c r="D109" s="54"/>
      <c r="E109" s="55"/>
      <c r="F109" s="75"/>
      <c r="G109" s="76"/>
      <c r="H109" s="76"/>
      <c r="I109" s="48"/>
      <c r="J109" s="70"/>
      <c r="K109" s="70"/>
      <c r="L109" s="183" t="s">
        <v>997</v>
      </c>
      <c r="M109" s="184" t="s">
        <v>853</v>
      </c>
      <c r="N109" s="183" t="s">
        <v>34</v>
      </c>
      <c r="O109" s="185">
        <v>25</v>
      </c>
      <c r="P109" s="186">
        <v>48</v>
      </c>
      <c r="Q109" s="187">
        <v>1200</v>
      </c>
      <c r="R109" s="182"/>
      <c r="U109" s="128"/>
    </row>
    <row r="110" spans="1:21" ht="15.6" x14ac:dyDescent="0.3">
      <c r="A110" s="53"/>
      <c r="B110" s="54"/>
      <c r="C110" s="54"/>
      <c r="D110" s="54"/>
      <c r="E110" s="55"/>
      <c r="F110" s="75"/>
      <c r="G110" s="76"/>
      <c r="H110" s="76"/>
      <c r="I110" s="48"/>
      <c r="J110" s="70"/>
      <c r="K110" s="70"/>
      <c r="L110" s="183" t="s">
        <v>998</v>
      </c>
      <c r="M110" s="184" t="s">
        <v>1068</v>
      </c>
      <c r="N110" s="183" t="s">
        <v>34</v>
      </c>
      <c r="O110" s="185">
        <v>2</v>
      </c>
      <c r="P110" s="186">
        <v>66.86</v>
      </c>
      <c r="Q110" s="186">
        <v>133.72</v>
      </c>
      <c r="R110" s="182"/>
      <c r="U110" s="128"/>
    </row>
    <row r="111" spans="1:21" ht="15.6" x14ac:dyDescent="0.3">
      <c r="A111" s="53"/>
      <c r="B111" s="54"/>
      <c r="C111" s="54"/>
      <c r="D111" s="54"/>
      <c r="E111" s="55"/>
      <c r="F111" s="75"/>
      <c r="G111" s="76"/>
      <c r="H111" s="76"/>
      <c r="I111" s="48"/>
      <c r="J111" s="70"/>
      <c r="K111" s="70"/>
      <c r="L111" s="183" t="s">
        <v>999</v>
      </c>
      <c r="M111" s="184" t="s">
        <v>1069</v>
      </c>
      <c r="N111" s="183" t="s">
        <v>34</v>
      </c>
      <c r="O111" s="188">
        <v>1806</v>
      </c>
      <c r="P111" s="186">
        <v>0.27</v>
      </c>
      <c r="Q111" s="186">
        <v>484.94</v>
      </c>
      <c r="R111" s="182"/>
      <c r="U111" s="128"/>
    </row>
    <row r="112" spans="1:21" ht="15.6" x14ac:dyDescent="0.3">
      <c r="A112" s="53"/>
      <c r="B112" s="54"/>
      <c r="C112" s="54"/>
      <c r="D112" s="54"/>
      <c r="E112" s="55"/>
      <c r="F112" s="75"/>
      <c r="G112" s="76"/>
      <c r="H112" s="76"/>
      <c r="I112" s="48"/>
      <c r="J112" s="70"/>
      <c r="K112" s="70"/>
      <c r="L112" s="183" t="s">
        <v>1173</v>
      </c>
      <c r="M112" s="184" t="s">
        <v>109</v>
      </c>
      <c r="N112" s="183" t="s">
        <v>34</v>
      </c>
      <c r="O112" s="185">
        <v>13</v>
      </c>
      <c r="P112" s="186">
        <v>0.27</v>
      </c>
      <c r="Q112" s="186">
        <v>3.49</v>
      </c>
      <c r="R112" s="182"/>
      <c r="U112" s="128"/>
    </row>
    <row r="113" spans="1:21" ht="15.6" x14ac:dyDescent="0.3">
      <c r="A113" s="53"/>
      <c r="B113" s="54"/>
      <c r="C113" s="54"/>
      <c r="D113" s="54"/>
      <c r="E113" s="55"/>
      <c r="F113" s="75"/>
      <c r="G113" s="76"/>
      <c r="H113" s="76"/>
      <c r="I113" s="48"/>
      <c r="J113" s="70"/>
      <c r="K113" s="70"/>
      <c r="L113" s="183" t="s">
        <v>856</v>
      </c>
      <c r="M113" s="184" t="s">
        <v>857</v>
      </c>
      <c r="N113" s="183" t="s">
        <v>34</v>
      </c>
      <c r="O113" s="188">
        <v>2863</v>
      </c>
      <c r="P113" s="186">
        <v>0.44</v>
      </c>
      <c r="Q113" s="187">
        <v>1262.5899999999999</v>
      </c>
      <c r="R113" s="182"/>
      <c r="U113" s="128"/>
    </row>
    <row r="114" spans="1:21" ht="15.6" x14ac:dyDescent="0.3">
      <c r="A114" s="53"/>
      <c r="B114" s="54"/>
      <c r="C114" s="54"/>
      <c r="D114" s="54"/>
      <c r="E114" s="55"/>
      <c r="F114" s="75"/>
      <c r="G114" s="76"/>
      <c r="H114" s="76"/>
      <c r="I114" s="48"/>
      <c r="J114" s="70"/>
      <c r="K114" s="70"/>
      <c r="L114" s="183" t="s">
        <v>1000</v>
      </c>
      <c r="M114" s="184" t="s">
        <v>248</v>
      </c>
      <c r="N114" s="183" t="s">
        <v>34</v>
      </c>
      <c r="O114" s="185">
        <v>409</v>
      </c>
      <c r="P114" s="186">
        <v>0.24</v>
      </c>
      <c r="Q114" s="186">
        <v>99.5</v>
      </c>
      <c r="R114" s="182"/>
      <c r="U114" s="128"/>
    </row>
    <row r="115" spans="1:21" ht="15.6" x14ac:dyDescent="0.3">
      <c r="A115" s="53"/>
      <c r="B115" s="54"/>
      <c r="C115" s="54"/>
      <c r="D115" s="54"/>
      <c r="E115" s="55"/>
      <c r="F115" s="75"/>
      <c r="G115" s="76"/>
      <c r="H115" s="76"/>
      <c r="I115" s="48"/>
      <c r="J115" s="70"/>
      <c r="K115" s="70"/>
      <c r="L115" s="183" t="s">
        <v>432</v>
      </c>
      <c r="M115" s="184" t="s">
        <v>433</v>
      </c>
      <c r="N115" s="183" t="s">
        <v>34</v>
      </c>
      <c r="O115" s="185">
        <v>4</v>
      </c>
      <c r="P115" s="186">
        <v>27.6</v>
      </c>
      <c r="Q115" s="186">
        <v>110.4</v>
      </c>
      <c r="R115" s="182"/>
      <c r="U115" s="128"/>
    </row>
    <row r="116" spans="1:21" ht="15.6" x14ac:dyDescent="0.3">
      <c r="A116" s="53"/>
      <c r="B116" s="54"/>
      <c r="C116" s="54"/>
      <c r="D116" s="54"/>
      <c r="E116" s="55"/>
      <c r="F116" s="75"/>
      <c r="G116" s="76"/>
      <c r="H116" s="76"/>
      <c r="I116" s="48"/>
      <c r="J116" s="70"/>
      <c r="K116" s="70"/>
      <c r="L116" s="183" t="s">
        <v>1159</v>
      </c>
      <c r="M116" s="184" t="s">
        <v>1245</v>
      </c>
      <c r="N116" s="183" t="s">
        <v>34</v>
      </c>
      <c r="O116" s="185">
        <v>1</v>
      </c>
      <c r="P116" s="186">
        <v>36.08</v>
      </c>
      <c r="Q116" s="186">
        <v>36.08</v>
      </c>
      <c r="R116" s="182"/>
      <c r="U116" s="128"/>
    </row>
    <row r="117" spans="1:21" ht="15.6" x14ac:dyDescent="0.3">
      <c r="A117" s="53"/>
      <c r="B117" s="54"/>
      <c r="C117" s="54"/>
      <c r="D117" s="54"/>
      <c r="E117" s="55"/>
      <c r="F117" s="75"/>
      <c r="G117" s="76"/>
      <c r="H117" s="76"/>
      <c r="I117" s="48"/>
      <c r="J117" s="70"/>
      <c r="K117" s="70"/>
      <c r="L117" s="183" t="s">
        <v>823</v>
      </c>
      <c r="M117" s="184" t="s">
        <v>824</v>
      </c>
      <c r="N117" s="183" t="s">
        <v>34</v>
      </c>
      <c r="O117" s="185">
        <v>5</v>
      </c>
      <c r="P117" s="186">
        <v>251.58</v>
      </c>
      <c r="Q117" s="187">
        <v>1257.8800000000001</v>
      </c>
      <c r="R117" s="182"/>
      <c r="U117" s="128"/>
    </row>
    <row r="118" spans="1:21" ht="15.6" x14ac:dyDescent="0.3">
      <c r="A118" s="53"/>
      <c r="B118" s="54"/>
      <c r="C118" s="54"/>
      <c r="D118" s="54"/>
      <c r="E118" s="55"/>
      <c r="F118" s="75"/>
      <c r="G118" s="76"/>
      <c r="H118" s="76"/>
      <c r="I118" s="48"/>
      <c r="J118" s="70"/>
      <c r="K118" s="70"/>
      <c r="L118" s="183" t="s">
        <v>1161</v>
      </c>
      <c r="M118" s="184" t="s">
        <v>436</v>
      </c>
      <c r="N118" s="183" t="s">
        <v>34</v>
      </c>
      <c r="O118" s="185">
        <v>1</v>
      </c>
      <c r="P118" s="186">
        <v>96.18</v>
      </c>
      <c r="Q118" s="186">
        <v>96.18</v>
      </c>
      <c r="R118" s="182"/>
      <c r="U118" s="128"/>
    </row>
    <row r="119" spans="1:21" ht="30" x14ac:dyDescent="0.3">
      <c r="A119" s="53"/>
      <c r="B119" s="54"/>
      <c r="C119" s="54"/>
      <c r="D119" s="54"/>
      <c r="E119" s="55"/>
      <c r="F119" s="75"/>
      <c r="G119" s="76"/>
      <c r="H119" s="76"/>
      <c r="I119" s="48"/>
      <c r="J119" s="70"/>
      <c r="K119" s="70"/>
      <c r="L119" s="183" t="s">
        <v>1004</v>
      </c>
      <c r="M119" s="184" t="s">
        <v>95</v>
      </c>
      <c r="N119" s="183" t="s">
        <v>34</v>
      </c>
      <c r="O119" s="185">
        <v>9</v>
      </c>
      <c r="P119" s="186">
        <v>184.72</v>
      </c>
      <c r="Q119" s="187">
        <v>1662.48</v>
      </c>
      <c r="R119" s="182"/>
      <c r="U119" s="128"/>
    </row>
    <row r="120" spans="1:21" ht="15.6" x14ac:dyDescent="0.3">
      <c r="A120" s="53"/>
      <c r="B120" s="54"/>
      <c r="C120" s="54"/>
      <c r="D120" s="54"/>
      <c r="E120" s="55"/>
      <c r="F120" s="75"/>
      <c r="G120" s="76"/>
      <c r="H120" s="76"/>
      <c r="I120" s="48"/>
      <c r="J120" s="70"/>
      <c r="K120" s="70"/>
      <c r="L120" s="183" t="s">
        <v>437</v>
      </c>
      <c r="M120" s="184" t="s">
        <v>438</v>
      </c>
      <c r="N120" s="183" t="s">
        <v>34</v>
      </c>
      <c r="O120" s="185">
        <v>4</v>
      </c>
      <c r="P120" s="186">
        <v>166.32</v>
      </c>
      <c r="Q120" s="186">
        <v>665.28</v>
      </c>
      <c r="R120" s="182"/>
      <c r="U120" s="128"/>
    </row>
    <row r="121" spans="1:21" ht="15.6" x14ac:dyDescent="0.3">
      <c r="A121" s="53"/>
      <c r="B121" s="54"/>
      <c r="C121" s="54"/>
      <c r="D121" s="54"/>
      <c r="E121" s="55"/>
      <c r="F121" s="75"/>
      <c r="G121" s="76"/>
      <c r="H121" s="76"/>
      <c r="I121" s="48"/>
      <c r="J121" s="70"/>
      <c r="K121" s="70"/>
      <c r="L121" s="183" t="s">
        <v>1090</v>
      </c>
      <c r="M121" s="184" t="s">
        <v>439</v>
      </c>
      <c r="N121" s="183" t="s">
        <v>34</v>
      </c>
      <c r="O121" s="185">
        <v>1</v>
      </c>
      <c r="P121" s="186">
        <v>94.35</v>
      </c>
      <c r="Q121" s="186">
        <v>94.35</v>
      </c>
      <c r="R121" s="182"/>
      <c r="U121" s="128"/>
    </row>
    <row r="122" spans="1:21" ht="15.6" x14ac:dyDescent="0.3">
      <c r="A122" s="53"/>
      <c r="B122" s="54"/>
      <c r="C122" s="54"/>
      <c r="D122" s="54"/>
      <c r="E122" s="55"/>
      <c r="F122" s="75"/>
      <c r="G122" s="76"/>
      <c r="H122" s="76"/>
      <c r="I122" s="48"/>
      <c r="J122" s="70"/>
      <c r="K122" s="70"/>
      <c r="L122" s="183" t="s">
        <v>1005</v>
      </c>
      <c r="M122" s="184" t="s">
        <v>825</v>
      </c>
      <c r="N122" s="183" t="s">
        <v>34</v>
      </c>
      <c r="O122" s="185">
        <v>4</v>
      </c>
      <c r="P122" s="186">
        <v>295.2</v>
      </c>
      <c r="Q122" s="187">
        <v>1180.8</v>
      </c>
      <c r="R122" s="182"/>
      <c r="U122" s="128"/>
    </row>
    <row r="123" spans="1:21" ht="15.6" x14ac:dyDescent="0.3">
      <c r="A123" s="53"/>
      <c r="B123" s="54"/>
      <c r="C123" s="54"/>
      <c r="D123" s="54"/>
      <c r="E123" s="55"/>
      <c r="F123" s="75"/>
      <c r="G123" s="76"/>
      <c r="H123" s="76"/>
      <c r="I123" s="48"/>
      <c r="J123" s="70"/>
      <c r="K123" s="70"/>
      <c r="L123" s="183" t="s">
        <v>1006</v>
      </c>
      <c r="M123" s="184" t="s">
        <v>923</v>
      </c>
      <c r="N123" s="183" t="s">
        <v>34</v>
      </c>
      <c r="O123" s="185">
        <v>570</v>
      </c>
      <c r="P123" s="186">
        <v>0.47</v>
      </c>
      <c r="Q123" s="186">
        <v>268.17</v>
      </c>
      <c r="R123" s="182"/>
      <c r="U123" s="128"/>
    </row>
    <row r="124" spans="1:21" ht="15.6" x14ac:dyDescent="0.3">
      <c r="A124" s="53"/>
      <c r="B124" s="54"/>
      <c r="C124" s="54"/>
      <c r="D124" s="54"/>
      <c r="E124" s="55"/>
      <c r="F124" s="75"/>
      <c r="G124" s="76"/>
      <c r="H124" s="76"/>
      <c r="I124" s="48"/>
      <c r="J124" s="70"/>
      <c r="K124" s="70"/>
      <c r="L124" s="183" t="s">
        <v>1160</v>
      </c>
      <c r="M124" s="184" t="s">
        <v>1246</v>
      </c>
      <c r="N124" s="183" t="s">
        <v>34</v>
      </c>
      <c r="O124" s="185">
        <v>409</v>
      </c>
      <c r="P124" s="186">
        <v>0.69</v>
      </c>
      <c r="Q124" s="186">
        <v>282.89</v>
      </c>
      <c r="R124" s="182"/>
      <c r="U124" s="128"/>
    </row>
    <row r="125" spans="1:21" ht="30" x14ac:dyDescent="0.3">
      <c r="A125" s="53"/>
      <c r="B125" s="54"/>
      <c r="C125" s="54"/>
      <c r="D125" s="54"/>
      <c r="E125" s="55"/>
      <c r="F125" s="75"/>
      <c r="G125" s="76"/>
      <c r="H125" s="76"/>
      <c r="I125" s="48"/>
      <c r="J125" s="70"/>
      <c r="K125" s="70"/>
      <c r="L125" s="183" t="s">
        <v>1174</v>
      </c>
      <c r="M125" s="184" t="s">
        <v>1258</v>
      </c>
      <c r="N125" s="183" t="s">
        <v>34</v>
      </c>
      <c r="O125" s="185">
        <v>45</v>
      </c>
      <c r="P125" s="186">
        <v>0.66</v>
      </c>
      <c r="Q125" s="186">
        <v>29.62</v>
      </c>
      <c r="R125" s="182"/>
      <c r="U125" s="128"/>
    </row>
    <row r="126" spans="1:21" ht="15.6" x14ac:dyDescent="0.3">
      <c r="A126" s="53"/>
      <c r="B126" s="54"/>
      <c r="C126" s="54"/>
      <c r="D126" s="54"/>
      <c r="E126" s="55"/>
      <c r="F126" s="75"/>
      <c r="G126" s="76"/>
      <c r="H126" s="76"/>
      <c r="I126" s="48"/>
      <c r="J126" s="70"/>
      <c r="K126" s="70"/>
      <c r="L126" s="183" t="s">
        <v>1175</v>
      </c>
      <c r="M126" s="184" t="s">
        <v>1259</v>
      </c>
      <c r="N126" s="183" t="s">
        <v>34</v>
      </c>
      <c r="O126" s="185">
        <v>1</v>
      </c>
      <c r="P126" s="186">
        <v>2</v>
      </c>
      <c r="Q126" s="186">
        <v>2</v>
      </c>
      <c r="R126" s="182"/>
      <c r="U126" s="128"/>
    </row>
    <row r="127" spans="1:21" ht="15.6" x14ac:dyDescent="0.3">
      <c r="A127" s="53"/>
      <c r="B127" s="54"/>
      <c r="C127" s="54"/>
      <c r="D127" s="54"/>
      <c r="E127" s="55"/>
      <c r="F127" s="75"/>
      <c r="G127" s="76"/>
      <c r="H127" s="76"/>
      <c r="I127" s="48"/>
      <c r="J127" s="70"/>
      <c r="K127" s="70"/>
      <c r="L127" s="183" t="s">
        <v>1176</v>
      </c>
      <c r="M127" s="184" t="s">
        <v>1260</v>
      </c>
      <c r="N127" s="183" t="s">
        <v>34</v>
      </c>
      <c r="O127" s="185">
        <v>1</v>
      </c>
      <c r="P127" s="186">
        <v>1.5</v>
      </c>
      <c r="Q127" s="186">
        <v>1.5</v>
      </c>
      <c r="R127" s="182"/>
      <c r="U127" s="128"/>
    </row>
    <row r="128" spans="1:21" ht="15.6" x14ac:dyDescent="0.3">
      <c r="A128" s="53"/>
      <c r="B128" s="54"/>
      <c r="C128" s="54"/>
      <c r="D128" s="54"/>
      <c r="E128" s="55"/>
      <c r="F128" s="75"/>
      <c r="G128" s="76"/>
      <c r="H128" s="76"/>
      <c r="I128" s="48"/>
      <c r="J128" s="70"/>
      <c r="K128" s="70"/>
      <c r="L128" s="183" t="s">
        <v>826</v>
      </c>
      <c r="M128" s="184" t="s">
        <v>827</v>
      </c>
      <c r="N128" s="183" t="s">
        <v>34</v>
      </c>
      <c r="O128" s="185">
        <v>1</v>
      </c>
      <c r="P128" s="186">
        <v>4.5</v>
      </c>
      <c r="Q128" s="186">
        <v>4.5</v>
      </c>
      <c r="R128" s="182"/>
      <c r="U128" s="128"/>
    </row>
    <row r="129" spans="1:21" ht="15.6" x14ac:dyDescent="0.3">
      <c r="A129" s="53"/>
      <c r="B129" s="54"/>
      <c r="C129" s="54"/>
      <c r="D129" s="54"/>
      <c r="E129" s="55"/>
      <c r="F129" s="75"/>
      <c r="G129" s="76"/>
      <c r="H129" s="76"/>
      <c r="I129" s="48"/>
      <c r="J129" s="70"/>
      <c r="K129" s="70"/>
      <c r="L129" s="183" t="s">
        <v>1177</v>
      </c>
      <c r="M129" s="184" t="s">
        <v>1261</v>
      </c>
      <c r="N129" s="183" t="s">
        <v>34</v>
      </c>
      <c r="O129" s="185">
        <v>1</v>
      </c>
      <c r="P129" s="186">
        <v>130.21</v>
      </c>
      <c r="Q129" s="186">
        <v>130.21</v>
      </c>
      <c r="R129" s="182"/>
      <c r="U129" s="128"/>
    </row>
    <row r="130" spans="1:21" ht="15.6" x14ac:dyDescent="0.3">
      <c r="A130" s="53"/>
      <c r="B130" s="54"/>
      <c r="C130" s="54"/>
      <c r="D130" s="54"/>
      <c r="E130" s="55"/>
      <c r="F130" s="75"/>
      <c r="G130" s="76"/>
      <c r="H130" s="76"/>
      <c r="I130" s="48"/>
      <c r="J130" s="70"/>
      <c r="K130" s="70"/>
      <c r="L130" s="183" t="s">
        <v>1007</v>
      </c>
      <c r="M130" s="184" t="s">
        <v>447</v>
      </c>
      <c r="N130" s="183" t="s">
        <v>34</v>
      </c>
      <c r="O130" s="185">
        <v>7</v>
      </c>
      <c r="P130" s="186">
        <v>130.21</v>
      </c>
      <c r="Q130" s="186">
        <v>911.48</v>
      </c>
      <c r="R130" s="182"/>
      <c r="U130" s="128"/>
    </row>
    <row r="131" spans="1:21" ht="15.6" x14ac:dyDescent="0.3">
      <c r="A131" s="53"/>
      <c r="B131" s="54"/>
      <c r="C131" s="54"/>
      <c r="D131" s="54"/>
      <c r="E131" s="55"/>
      <c r="F131" s="75"/>
      <c r="G131" s="76"/>
      <c r="H131" s="76"/>
      <c r="I131" s="48"/>
      <c r="J131" s="70"/>
      <c r="K131" s="70"/>
      <c r="L131" s="183" t="s">
        <v>886</v>
      </c>
      <c r="M131" s="184" t="s">
        <v>1072</v>
      </c>
      <c r="N131" s="183" t="s">
        <v>34</v>
      </c>
      <c r="O131" s="185">
        <v>3</v>
      </c>
      <c r="P131" s="186">
        <v>350.19</v>
      </c>
      <c r="Q131" s="187">
        <v>1050.56</v>
      </c>
      <c r="R131" s="182"/>
      <c r="U131" s="128"/>
    </row>
    <row r="132" spans="1:21" ht="15.6" x14ac:dyDescent="0.3">
      <c r="A132" s="53"/>
      <c r="B132" s="54"/>
      <c r="C132" s="54"/>
      <c r="D132" s="54"/>
      <c r="E132" s="55"/>
      <c r="F132" s="75"/>
      <c r="G132" s="76"/>
      <c r="H132" s="76"/>
      <c r="I132" s="48"/>
      <c r="J132" s="70"/>
      <c r="K132" s="70"/>
      <c r="L132" s="183" t="s">
        <v>828</v>
      </c>
      <c r="M132" s="184" t="s">
        <v>829</v>
      </c>
      <c r="N132" s="183" t="s">
        <v>34</v>
      </c>
      <c r="O132" s="185">
        <v>1</v>
      </c>
      <c r="P132" s="186">
        <v>133.15</v>
      </c>
      <c r="Q132" s="186">
        <v>133.15</v>
      </c>
      <c r="R132" s="182"/>
      <c r="U132" s="128"/>
    </row>
    <row r="133" spans="1:21" ht="15.6" x14ac:dyDescent="0.3">
      <c r="A133" s="53"/>
      <c r="B133" s="54"/>
      <c r="C133" s="54"/>
      <c r="D133" s="54"/>
      <c r="E133" s="55"/>
      <c r="F133" s="75"/>
      <c r="G133" s="76"/>
      <c r="H133" s="76"/>
      <c r="I133" s="48"/>
      <c r="J133" s="70"/>
      <c r="K133" s="70"/>
      <c r="L133" s="183" t="s">
        <v>830</v>
      </c>
      <c r="M133" s="184" t="s">
        <v>831</v>
      </c>
      <c r="N133" s="183" t="s">
        <v>34</v>
      </c>
      <c r="O133" s="185">
        <v>1</v>
      </c>
      <c r="P133" s="186">
        <v>577.5</v>
      </c>
      <c r="Q133" s="186">
        <v>577.5</v>
      </c>
      <c r="R133" s="182"/>
      <c r="U133" s="128"/>
    </row>
    <row r="134" spans="1:21" ht="15.6" x14ac:dyDescent="0.3">
      <c r="A134" s="53"/>
      <c r="B134" s="54"/>
      <c r="C134" s="54"/>
      <c r="D134" s="54"/>
      <c r="E134" s="55"/>
      <c r="F134" s="75"/>
      <c r="G134" s="76"/>
      <c r="H134" s="76"/>
      <c r="I134" s="48"/>
      <c r="J134" s="70"/>
      <c r="K134" s="70"/>
      <c r="L134" s="183" t="s">
        <v>924</v>
      </c>
      <c r="M134" s="184" t="s">
        <v>925</v>
      </c>
      <c r="N134" s="183" t="s">
        <v>34</v>
      </c>
      <c r="O134" s="185">
        <v>1</v>
      </c>
      <c r="P134" s="186">
        <v>69.34</v>
      </c>
      <c r="Q134" s="186">
        <v>69.34</v>
      </c>
      <c r="R134" s="182"/>
      <c r="U134" s="128"/>
    </row>
    <row r="135" spans="1:21" ht="15.6" x14ac:dyDescent="0.3">
      <c r="A135" s="53"/>
      <c r="B135" s="54"/>
      <c r="C135" s="54"/>
      <c r="D135" s="54"/>
      <c r="E135" s="55"/>
      <c r="F135" s="75"/>
      <c r="G135" s="76"/>
      <c r="H135" s="76"/>
      <c r="I135" s="48"/>
      <c r="J135" s="70"/>
      <c r="K135" s="70"/>
      <c r="L135" s="183" t="s">
        <v>455</v>
      </c>
      <c r="M135" s="184" t="s">
        <v>456</v>
      </c>
      <c r="N135" s="183" t="s">
        <v>34</v>
      </c>
      <c r="O135" s="185">
        <v>2</v>
      </c>
      <c r="P135" s="186">
        <v>275.73</v>
      </c>
      <c r="Q135" s="186">
        <v>551.46</v>
      </c>
      <c r="R135" s="182"/>
      <c r="U135" s="128"/>
    </row>
    <row r="136" spans="1:21" ht="15.6" x14ac:dyDescent="0.3">
      <c r="A136" s="53"/>
      <c r="B136" s="54"/>
      <c r="C136" s="54"/>
      <c r="D136" s="54"/>
      <c r="E136" s="55"/>
      <c r="F136" s="75"/>
      <c r="G136" s="76"/>
      <c r="H136" s="76"/>
      <c r="I136" s="48"/>
      <c r="J136" s="70"/>
      <c r="K136" s="70"/>
      <c r="L136" s="183" t="s">
        <v>1371</v>
      </c>
      <c r="M136" s="184" t="s">
        <v>99</v>
      </c>
      <c r="N136" s="183" t="s">
        <v>34</v>
      </c>
      <c r="O136" s="185">
        <v>0.27300000000000002</v>
      </c>
      <c r="P136" s="187">
        <v>1041.68</v>
      </c>
      <c r="Q136" s="186">
        <v>284.38</v>
      </c>
      <c r="R136" s="182"/>
      <c r="U136" s="128"/>
    </row>
    <row r="137" spans="1:21" ht="15.6" x14ac:dyDescent="0.3">
      <c r="A137" s="53"/>
      <c r="B137" s="54"/>
      <c r="C137" s="54"/>
      <c r="D137" s="54"/>
      <c r="E137" s="55"/>
      <c r="F137" s="75"/>
      <c r="G137" s="76"/>
      <c r="H137" s="76"/>
      <c r="I137" s="48"/>
      <c r="J137" s="70"/>
      <c r="K137" s="70"/>
      <c r="L137" s="183" t="s">
        <v>510</v>
      </c>
      <c r="M137" s="184" t="s">
        <v>1060</v>
      </c>
      <c r="N137" s="183" t="s">
        <v>34</v>
      </c>
      <c r="O137" s="185">
        <v>0.27</v>
      </c>
      <c r="P137" s="186">
        <v>169</v>
      </c>
      <c r="Q137" s="186">
        <v>45.63</v>
      </c>
      <c r="R137" s="182"/>
      <c r="U137" s="128"/>
    </row>
    <row r="138" spans="1:21" ht="15.6" x14ac:dyDescent="0.3">
      <c r="A138" s="53"/>
      <c r="B138" s="54"/>
      <c r="C138" s="54"/>
      <c r="D138" s="54"/>
      <c r="E138" s="55"/>
      <c r="F138" s="75"/>
      <c r="G138" s="76"/>
      <c r="H138" s="76"/>
      <c r="I138" s="48"/>
      <c r="J138" s="70"/>
      <c r="K138" s="70"/>
      <c r="L138" s="183" t="s">
        <v>1374</v>
      </c>
      <c r="M138" s="184" t="s">
        <v>1402</v>
      </c>
      <c r="N138" s="183" t="s">
        <v>34</v>
      </c>
      <c r="O138" s="185">
        <v>4.4999999999999998E-2</v>
      </c>
      <c r="P138" s="186">
        <v>108</v>
      </c>
      <c r="Q138" s="186">
        <v>4.8600000000000003</v>
      </c>
      <c r="R138" s="182"/>
      <c r="U138" s="128"/>
    </row>
    <row r="139" spans="1:21" ht="15.6" x14ac:dyDescent="0.3">
      <c r="A139" s="53"/>
      <c r="B139" s="54"/>
      <c r="C139" s="54"/>
      <c r="D139" s="54"/>
      <c r="E139" s="55"/>
      <c r="F139" s="75"/>
      <c r="G139" s="76"/>
      <c r="H139" s="76"/>
      <c r="I139" s="48"/>
      <c r="J139" s="70"/>
      <c r="K139" s="70"/>
      <c r="L139" s="183" t="s">
        <v>1080</v>
      </c>
      <c r="M139" s="184" t="s">
        <v>1081</v>
      </c>
      <c r="N139" s="183" t="s">
        <v>34</v>
      </c>
      <c r="O139" s="185">
        <v>1</v>
      </c>
      <c r="P139" s="186">
        <v>4.25</v>
      </c>
      <c r="Q139" s="186">
        <v>4.25</v>
      </c>
      <c r="R139" s="182"/>
      <c r="U139" s="128"/>
    </row>
    <row r="140" spans="1:21" ht="15.6" x14ac:dyDescent="0.3">
      <c r="A140" s="53"/>
      <c r="B140" s="54"/>
      <c r="C140" s="54"/>
      <c r="D140" s="54"/>
      <c r="E140" s="55"/>
      <c r="F140" s="75"/>
      <c r="G140" s="76"/>
      <c r="H140" s="76"/>
      <c r="I140" s="48"/>
      <c r="J140" s="70"/>
      <c r="K140" s="70"/>
      <c r="L140" s="183" t="s">
        <v>983</v>
      </c>
      <c r="M140" s="184" t="s">
        <v>471</v>
      </c>
      <c r="N140" s="183" t="s">
        <v>34</v>
      </c>
      <c r="O140" s="185">
        <v>3</v>
      </c>
      <c r="P140" s="186">
        <v>38.03</v>
      </c>
      <c r="Q140" s="186">
        <v>114.08</v>
      </c>
      <c r="R140" s="182"/>
      <c r="U140" s="128"/>
    </row>
    <row r="141" spans="1:21" ht="15.6" x14ac:dyDescent="0.3">
      <c r="A141" s="53"/>
      <c r="B141" s="54"/>
      <c r="C141" s="54"/>
      <c r="D141" s="54"/>
      <c r="E141" s="55"/>
      <c r="F141" s="75"/>
      <c r="G141" s="76"/>
      <c r="H141" s="76"/>
      <c r="I141" s="48"/>
      <c r="J141" s="70"/>
      <c r="K141" s="70"/>
      <c r="L141" s="183" t="s">
        <v>984</v>
      </c>
      <c r="M141" s="184" t="s">
        <v>472</v>
      </c>
      <c r="N141" s="183" t="s">
        <v>34</v>
      </c>
      <c r="O141" s="185">
        <v>5</v>
      </c>
      <c r="P141" s="186">
        <v>6.17</v>
      </c>
      <c r="Q141" s="186">
        <v>30.84</v>
      </c>
      <c r="R141" s="182"/>
      <c r="U141" s="128"/>
    </row>
    <row r="142" spans="1:21" ht="15.6" x14ac:dyDescent="0.3">
      <c r="A142" s="53"/>
      <c r="B142" s="54"/>
      <c r="C142" s="54"/>
      <c r="D142" s="54"/>
      <c r="E142" s="55"/>
      <c r="F142" s="75"/>
      <c r="G142" s="76"/>
      <c r="H142" s="76"/>
      <c r="I142" s="48"/>
      <c r="J142" s="70"/>
      <c r="K142" s="70"/>
      <c r="L142" s="183" t="s">
        <v>832</v>
      </c>
      <c r="M142" s="184" t="s">
        <v>833</v>
      </c>
      <c r="N142" s="183" t="s">
        <v>34</v>
      </c>
      <c r="O142" s="185">
        <v>2</v>
      </c>
      <c r="P142" s="186">
        <v>57.2</v>
      </c>
      <c r="Q142" s="186">
        <v>114.4</v>
      </c>
      <c r="R142" s="182"/>
      <c r="U142" s="128"/>
    </row>
    <row r="143" spans="1:21" ht="15.6" x14ac:dyDescent="0.3">
      <c r="A143" s="53"/>
      <c r="B143" s="54"/>
      <c r="C143" s="54"/>
      <c r="D143" s="54"/>
      <c r="E143" s="55"/>
      <c r="F143" s="75"/>
      <c r="G143" s="76"/>
      <c r="H143" s="76"/>
      <c r="I143" s="48"/>
      <c r="J143" s="70"/>
      <c r="K143" s="70"/>
      <c r="L143" s="183" t="s">
        <v>985</v>
      </c>
      <c r="M143" s="184" t="s">
        <v>473</v>
      </c>
      <c r="N143" s="183" t="s">
        <v>34</v>
      </c>
      <c r="O143" s="185">
        <v>1</v>
      </c>
      <c r="P143" s="186">
        <v>31.42</v>
      </c>
      <c r="Q143" s="186">
        <v>31.42</v>
      </c>
      <c r="R143" s="182"/>
      <c r="U143" s="128"/>
    </row>
    <row r="144" spans="1:21" ht="15.6" x14ac:dyDescent="0.3">
      <c r="A144" s="53"/>
      <c r="B144" s="54"/>
      <c r="C144" s="54"/>
      <c r="D144" s="54"/>
      <c r="E144" s="55"/>
      <c r="F144" s="75"/>
      <c r="G144" s="76"/>
      <c r="H144" s="76"/>
      <c r="I144" s="48"/>
      <c r="J144" s="70"/>
      <c r="K144" s="70"/>
      <c r="L144" s="183" t="s">
        <v>1087</v>
      </c>
      <c r="M144" s="184" t="s">
        <v>1089</v>
      </c>
      <c r="N144" s="183" t="s">
        <v>34</v>
      </c>
      <c r="O144" s="185">
        <v>1</v>
      </c>
      <c r="P144" s="186">
        <v>73</v>
      </c>
      <c r="Q144" s="186">
        <v>73</v>
      </c>
      <c r="R144" s="182"/>
      <c r="U144" s="128"/>
    </row>
    <row r="145" spans="1:21" ht="15.6" x14ac:dyDescent="0.3">
      <c r="A145" s="53"/>
      <c r="B145" s="54"/>
      <c r="C145" s="54"/>
      <c r="D145" s="54"/>
      <c r="E145" s="55"/>
      <c r="F145" s="75"/>
      <c r="G145" s="76"/>
      <c r="H145" s="76"/>
      <c r="I145" s="48"/>
      <c r="J145" s="70"/>
      <c r="K145" s="70"/>
      <c r="L145" s="183" t="s">
        <v>53</v>
      </c>
      <c r="M145" s="184" t="s">
        <v>85</v>
      </c>
      <c r="N145" s="183" t="s">
        <v>34</v>
      </c>
      <c r="O145" s="185">
        <v>5</v>
      </c>
      <c r="P145" s="186">
        <v>47</v>
      </c>
      <c r="Q145" s="186">
        <v>235</v>
      </c>
      <c r="R145" s="182"/>
      <c r="U145" s="128"/>
    </row>
    <row r="146" spans="1:21" ht="15.6" x14ac:dyDescent="0.3">
      <c r="A146" s="53"/>
      <c r="B146" s="54"/>
      <c r="C146" s="54"/>
      <c r="D146" s="54"/>
      <c r="E146" s="55"/>
      <c r="F146" s="75"/>
      <c r="G146" s="76"/>
      <c r="H146" s="76"/>
      <c r="I146" s="48"/>
      <c r="J146" s="70"/>
      <c r="K146" s="70"/>
      <c r="L146" s="183" t="s">
        <v>865</v>
      </c>
      <c r="M146" s="184" t="s">
        <v>1055</v>
      </c>
      <c r="N146" s="183" t="s">
        <v>34</v>
      </c>
      <c r="O146" s="185">
        <v>1</v>
      </c>
      <c r="P146" s="187">
        <v>4916.66</v>
      </c>
      <c r="Q146" s="187">
        <v>4916.66</v>
      </c>
      <c r="R146" s="182"/>
      <c r="U146" s="128"/>
    </row>
    <row r="147" spans="1:21" ht="15.6" x14ac:dyDescent="0.3">
      <c r="A147" s="53"/>
      <c r="B147" s="54"/>
      <c r="C147" s="54"/>
      <c r="D147" s="54"/>
      <c r="E147" s="55"/>
      <c r="F147" s="75"/>
      <c r="G147" s="76"/>
      <c r="H147" s="76"/>
      <c r="I147" s="48"/>
      <c r="J147" s="70"/>
      <c r="K147" s="70"/>
      <c r="L147" s="183" t="s">
        <v>799</v>
      </c>
      <c r="M147" s="184" t="s">
        <v>800</v>
      </c>
      <c r="N147" s="183" t="s">
        <v>34</v>
      </c>
      <c r="O147" s="185">
        <v>1</v>
      </c>
      <c r="P147" s="186">
        <v>308.13</v>
      </c>
      <c r="Q147" s="186">
        <v>308.13</v>
      </c>
      <c r="R147" s="182"/>
      <c r="U147" s="128"/>
    </row>
    <row r="148" spans="1:21" ht="15.6" x14ac:dyDescent="0.3">
      <c r="A148" s="53"/>
      <c r="B148" s="54"/>
      <c r="C148" s="54"/>
      <c r="D148" s="54"/>
      <c r="E148" s="55"/>
      <c r="F148" s="75"/>
      <c r="G148" s="76"/>
      <c r="H148" s="76"/>
      <c r="I148" s="48"/>
      <c r="J148" s="70"/>
      <c r="K148" s="70"/>
      <c r="L148" s="183" t="s">
        <v>801</v>
      </c>
      <c r="M148" s="184" t="s">
        <v>802</v>
      </c>
      <c r="N148" s="183" t="s">
        <v>34</v>
      </c>
      <c r="O148" s="185">
        <v>1</v>
      </c>
      <c r="P148" s="186">
        <v>308.13</v>
      </c>
      <c r="Q148" s="186">
        <v>308.13</v>
      </c>
      <c r="R148" s="182"/>
      <c r="U148" s="128"/>
    </row>
    <row r="149" spans="1:21" ht="15.6" x14ac:dyDescent="0.3">
      <c r="A149" s="53"/>
      <c r="B149" s="54"/>
      <c r="C149" s="54"/>
      <c r="D149" s="54"/>
      <c r="E149" s="55"/>
      <c r="F149" s="75"/>
      <c r="G149" s="76"/>
      <c r="H149" s="76"/>
      <c r="I149" s="48"/>
      <c r="J149" s="70"/>
      <c r="K149" s="70"/>
      <c r="L149" s="183" t="s">
        <v>1153</v>
      </c>
      <c r="M149" s="184" t="s">
        <v>1240</v>
      </c>
      <c r="N149" s="183" t="s">
        <v>34</v>
      </c>
      <c r="O149" s="185">
        <v>1</v>
      </c>
      <c r="P149" s="187">
        <v>1546</v>
      </c>
      <c r="Q149" s="187">
        <v>1546</v>
      </c>
      <c r="R149" s="182"/>
      <c r="U149" s="128"/>
    </row>
    <row r="150" spans="1:21" ht="15.6" x14ac:dyDescent="0.3">
      <c r="A150" s="53"/>
      <c r="B150" s="54"/>
      <c r="C150" s="54"/>
      <c r="D150" s="54"/>
      <c r="E150" s="55"/>
      <c r="F150" s="75"/>
      <c r="G150" s="76"/>
      <c r="H150" s="76"/>
      <c r="I150" s="48"/>
      <c r="J150" s="70"/>
      <c r="K150" s="70"/>
      <c r="L150" s="183" t="s">
        <v>804</v>
      </c>
      <c r="M150" s="184" t="s">
        <v>805</v>
      </c>
      <c r="N150" s="183" t="s">
        <v>34</v>
      </c>
      <c r="O150" s="185">
        <v>0.6</v>
      </c>
      <c r="P150" s="187">
        <v>1250</v>
      </c>
      <c r="Q150" s="186">
        <v>750</v>
      </c>
      <c r="R150" s="182"/>
      <c r="U150" s="128"/>
    </row>
    <row r="151" spans="1:21" ht="15.6" x14ac:dyDescent="0.3">
      <c r="A151" s="53"/>
      <c r="B151" s="54"/>
      <c r="C151" s="54"/>
      <c r="D151" s="54"/>
      <c r="E151" s="55"/>
      <c r="F151" s="75"/>
      <c r="G151" s="76"/>
      <c r="H151" s="76"/>
      <c r="I151" s="48"/>
      <c r="J151" s="70"/>
      <c r="K151" s="70"/>
      <c r="L151" s="183" t="s">
        <v>867</v>
      </c>
      <c r="M151" s="184" t="s">
        <v>918</v>
      </c>
      <c r="N151" s="183" t="s">
        <v>34</v>
      </c>
      <c r="O151" s="185">
        <v>1</v>
      </c>
      <c r="P151" s="187">
        <v>4050</v>
      </c>
      <c r="Q151" s="187">
        <v>4050</v>
      </c>
      <c r="R151" s="182"/>
      <c r="U151" s="128"/>
    </row>
    <row r="152" spans="1:21" ht="15.6" x14ac:dyDescent="0.3">
      <c r="A152" s="53"/>
      <c r="B152" s="54"/>
      <c r="C152" s="54"/>
      <c r="D152" s="54"/>
      <c r="E152" s="55"/>
      <c r="F152" s="75"/>
      <c r="G152" s="76"/>
      <c r="H152" s="76"/>
      <c r="I152" s="48"/>
      <c r="J152" s="70"/>
      <c r="K152" s="70"/>
      <c r="L152" s="183" t="s">
        <v>194</v>
      </c>
      <c r="M152" s="184" t="s">
        <v>195</v>
      </c>
      <c r="N152" s="183" t="s">
        <v>34</v>
      </c>
      <c r="O152" s="185">
        <v>0.2</v>
      </c>
      <c r="P152" s="187">
        <v>1500</v>
      </c>
      <c r="Q152" s="186">
        <v>300</v>
      </c>
      <c r="R152" s="182"/>
      <c r="U152" s="128"/>
    </row>
    <row r="153" spans="1:21" ht="15.6" x14ac:dyDescent="0.3">
      <c r="A153" s="53"/>
      <c r="B153" s="54"/>
      <c r="C153" s="54"/>
      <c r="D153" s="54"/>
      <c r="E153" s="55"/>
      <c r="F153" s="75"/>
      <c r="G153" s="76"/>
      <c r="H153" s="76"/>
      <c r="I153" s="48"/>
      <c r="J153" s="70"/>
      <c r="K153" s="70"/>
      <c r="L153" s="183" t="s">
        <v>403</v>
      </c>
      <c r="M153" s="184" t="s">
        <v>1073</v>
      </c>
      <c r="N153" s="183" t="s">
        <v>34</v>
      </c>
      <c r="O153" s="185">
        <v>2</v>
      </c>
      <c r="P153" s="186">
        <v>37.1</v>
      </c>
      <c r="Q153" s="186">
        <v>74.2</v>
      </c>
      <c r="R153" s="182"/>
      <c r="U153" s="128"/>
    </row>
    <row r="154" spans="1:21" ht="15.6" x14ac:dyDescent="0.3">
      <c r="A154" s="53"/>
      <c r="B154" s="54"/>
      <c r="C154" s="54"/>
      <c r="D154" s="54"/>
      <c r="E154" s="55"/>
      <c r="F154" s="75"/>
      <c r="G154" s="76"/>
      <c r="H154" s="76"/>
      <c r="I154" s="48"/>
      <c r="J154" s="70"/>
      <c r="K154" s="70"/>
      <c r="L154" s="183" t="s">
        <v>920</v>
      </c>
      <c r="M154" s="184" t="s">
        <v>921</v>
      </c>
      <c r="N154" s="183" t="s">
        <v>34</v>
      </c>
      <c r="O154" s="185">
        <v>1</v>
      </c>
      <c r="P154" s="186">
        <v>29.1</v>
      </c>
      <c r="Q154" s="186">
        <v>29.1</v>
      </c>
      <c r="R154" s="182"/>
      <c r="U154" s="128"/>
    </row>
    <row r="155" spans="1:21" ht="15.6" x14ac:dyDescent="0.3">
      <c r="A155" s="53"/>
      <c r="B155" s="54"/>
      <c r="C155" s="54"/>
      <c r="D155" s="54"/>
      <c r="E155" s="55"/>
      <c r="F155" s="75"/>
      <c r="G155" s="76"/>
      <c r="H155" s="76"/>
      <c r="I155" s="48"/>
      <c r="J155" s="70"/>
      <c r="K155" s="70"/>
      <c r="L155" s="183" t="s">
        <v>1008</v>
      </c>
      <c r="M155" s="184" t="s">
        <v>407</v>
      </c>
      <c r="N155" s="183" t="s">
        <v>34</v>
      </c>
      <c r="O155" s="185">
        <v>1</v>
      </c>
      <c r="P155" s="186">
        <v>45.9</v>
      </c>
      <c r="Q155" s="186">
        <v>45.9</v>
      </c>
      <c r="R155" s="182"/>
      <c r="U155" s="128"/>
    </row>
    <row r="156" spans="1:21" ht="15.6" x14ac:dyDescent="0.3">
      <c r="A156" s="53"/>
      <c r="B156" s="54"/>
      <c r="C156" s="54"/>
      <c r="D156" s="54"/>
      <c r="E156" s="55"/>
      <c r="F156" s="75"/>
      <c r="G156" s="76"/>
      <c r="H156" s="76"/>
      <c r="I156" s="48"/>
      <c r="J156" s="70"/>
      <c r="K156" s="70"/>
      <c r="L156" s="183" t="s">
        <v>1009</v>
      </c>
      <c r="M156" s="184" t="s">
        <v>811</v>
      </c>
      <c r="N156" s="183" t="s">
        <v>34</v>
      </c>
      <c r="O156" s="185">
        <v>5</v>
      </c>
      <c r="P156" s="186">
        <v>91</v>
      </c>
      <c r="Q156" s="186">
        <v>455</v>
      </c>
      <c r="R156" s="182"/>
      <c r="U156" s="128"/>
    </row>
    <row r="157" spans="1:21" ht="15.6" x14ac:dyDescent="0.3">
      <c r="A157" s="53"/>
      <c r="B157" s="54"/>
      <c r="C157" s="54"/>
      <c r="D157" s="54"/>
      <c r="E157" s="55"/>
      <c r="F157" s="75"/>
      <c r="G157" s="76"/>
      <c r="H157" s="76"/>
      <c r="I157" s="48"/>
      <c r="J157" s="70"/>
      <c r="K157" s="70"/>
      <c r="L157" s="183" t="s">
        <v>1158</v>
      </c>
      <c r="M157" s="184" t="s">
        <v>1244</v>
      </c>
      <c r="N157" s="183" t="s">
        <v>34</v>
      </c>
      <c r="O157" s="185">
        <v>1</v>
      </c>
      <c r="P157" s="186">
        <v>238</v>
      </c>
      <c r="Q157" s="186">
        <v>238</v>
      </c>
      <c r="R157" s="182"/>
      <c r="U157" s="128"/>
    </row>
    <row r="158" spans="1:21" ht="15.6" x14ac:dyDescent="0.3">
      <c r="A158" s="53"/>
      <c r="B158" s="54"/>
      <c r="C158" s="54"/>
      <c r="D158" s="54"/>
      <c r="E158" s="55"/>
      <c r="F158" s="75"/>
      <c r="G158" s="76"/>
      <c r="H158" s="76"/>
      <c r="I158" s="48"/>
      <c r="J158" s="70"/>
      <c r="K158" s="70"/>
      <c r="L158" s="183" t="s">
        <v>411</v>
      </c>
      <c r="M158" s="184" t="s">
        <v>412</v>
      </c>
      <c r="N158" s="183" t="s">
        <v>34</v>
      </c>
      <c r="O158" s="185">
        <v>9.8000000000000007</v>
      </c>
      <c r="P158" s="186">
        <v>58.83</v>
      </c>
      <c r="Q158" s="186">
        <v>576.5</v>
      </c>
      <c r="R158" s="182"/>
      <c r="U158" s="128"/>
    </row>
    <row r="159" spans="1:21" ht="15.6" x14ac:dyDescent="0.3">
      <c r="A159" s="53"/>
      <c r="B159" s="54"/>
      <c r="C159" s="54"/>
      <c r="D159" s="54"/>
      <c r="E159" s="55"/>
      <c r="F159" s="75"/>
      <c r="G159" s="76"/>
      <c r="H159" s="76"/>
      <c r="I159" s="48"/>
      <c r="J159" s="70"/>
      <c r="K159" s="70"/>
      <c r="L159" s="183" t="s">
        <v>1163</v>
      </c>
      <c r="M159" s="184" t="s">
        <v>1248</v>
      </c>
      <c r="N159" s="183" t="s">
        <v>34</v>
      </c>
      <c r="O159" s="185">
        <v>1</v>
      </c>
      <c r="P159" s="186">
        <v>579.16999999999996</v>
      </c>
      <c r="Q159" s="186">
        <v>579.16999999999996</v>
      </c>
      <c r="R159" s="182"/>
      <c r="U159" s="128"/>
    </row>
    <row r="160" spans="1:21" ht="15.6" x14ac:dyDescent="0.3">
      <c r="A160" s="53"/>
      <c r="B160" s="54"/>
      <c r="C160" s="54"/>
      <c r="D160" s="54"/>
      <c r="E160" s="55"/>
      <c r="F160" s="75"/>
      <c r="G160" s="76"/>
      <c r="H160" s="76"/>
      <c r="I160" s="48"/>
      <c r="J160" s="70"/>
      <c r="K160" s="70"/>
      <c r="L160" s="183" t="s">
        <v>1010</v>
      </c>
      <c r="M160" s="184" t="s">
        <v>814</v>
      </c>
      <c r="N160" s="183" t="s">
        <v>34</v>
      </c>
      <c r="O160" s="185">
        <v>6</v>
      </c>
      <c r="P160" s="186">
        <v>557.91999999999996</v>
      </c>
      <c r="Q160" s="187">
        <v>3347.51</v>
      </c>
      <c r="R160" s="182"/>
      <c r="U160" s="128"/>
    </row>
    <row r="161" spans="1:21" ht="15.6" x14ac:dyDescent="0.3">
      <c r="A161" s="53"/>
      <c r="B161" s="54"/>
      <c r="C161" s="54"/>
      <c r="D161" s="54"/>
      <c r="E161" s="55"/>
      <c r="F161" s="75"/>
      <c r="G161" s="76"/>
      <c r="H161" s="76"/>
      <c r="I161" s="48"/>
      <c r="J161" s="70"/>
      <c r="K161" s="70"/>
      <c r="L161" s="183" t="s">
        <v>1164</v>
      </c>
      <c r="M161" s="184" t="s">
        <v>1249</v>
      </c>
      <c r="N161" s="183" t="s">
        <v>34</v>
      </c>
      <c r="O161" s="185">
        <v>0.5</v>
      </c>
      <c r="P161" s="186">
        <v>349.1</v>
      </c>
      <c r="Q161" s="186">
        <v>174.55</v>
      </c>
      <c r="R161" s="182"/>
      <c r="U161" s="128"/>
    </row>
    <row r="162" spans="1:21" ht="15.6" x14ac:dyDescent="0.3">
      <c r="A162" s="53"/>
      <c r="B162" s="54"/>
      <c r="C162" s="54"/>
      <c r="D162" s="54"/>
      <c r="E162" s="55"/>
      <c r="F162" s="75"/>
      <c r="G162" s="76"/>
      <c r="H162" s="76"/>
      <c r="I162" s="48"/>
      <c r="J162" s="70"/>
      <c r="K162" s="70"/>
      <c r="L162" s="183" t="s">
        <v>1012</v>
      </c>
      <c r="M162" s="184" t="s">
        <v>413</v>
      </c>
      <c r="N162" s="183" t="s">
        <v>34</v>
      </c>
      <c r="O162" s="185">
        <v>0.5</v>
      </c>
      <c r="P162" s="186">
        <v>524.17999999999995</v>
      </c>
      <c r="Q162" s="186">
        <v>262.08999999999997</v>
      </c>
      <c r="R162" s="182"/>
      <c r="U162" s="128"/>
    </row>
    <row r="163" spans="1:21" ht="15.6" x14ac:dyDescent="0.3">
      <c r="A163" s="53"/>
      <c r="B163" s="54"/>
      <c r="C163" s="54"/>
      <c r="D163" s="54"/>
      <c r="E163" s="55"/>
      <c r="F163" s="75"/>
      <c r="G163" s="76"/>
      <c r="H163" s="76"/>
      <c r="I163" s="48"/>
      <c r="J163" s="70"/>
      <c r="K163" s="70"/>
      <c r="L163" s="183" t="s">
        <v>816</v>
      </c>
      <c r="M163" s="184" t="s">
        <v>817</v>
      </c>
      <c r="N163" s="183" t="s">
        <v>34</v>
      </c>
      <c r="O163" s="185">
        <v>1</v>
      </c>
      <c r="P163" s="186">
        <v>4.4000000000000004</v>
      </c>
      <c r="Q163" s="186">
        <v>4.4000000000000004</v>
      </c>
      <c r="R163" s="182"/>
      <c r="U163" s="128"/>
    </row>
    <row r="164" spans="1:21" ht="15.6" x14ac:dyDescent="0.3">
      <c r="A164" s="53"/>
      <c r="B164" s="54"/>
      <c r="C164" s="54"/>
      <c r="D164" s="54"/>
      <c r="E164" s="55"/>
      <c r="F164" s="75"/>
      <c r="G164" s="76"/>
      <c r="H164" s="76"/>
      <c r="I164" s="48"/>
      <c r="J164" s="70"/>
      <c r="K164" s="70"/>
      <c r="L164" s="183" t="s">
        <v>422</v>
      </c>
      <c r="M164" s="184" t="s">
        <v>423</v>
      </c>
      <c r="N164" s="183" t="s">
        <v>34</v>
      </c>
      <c r="O164" s="185">
        <v>1</v>
      </c>
      <c r="P164" s="186">
        <v>177</v>
      </c>
      <c r="Q164" s="186">
        <v>177</v>
      </c>
      <c r="R164" s="182"/>
      <c r="U164" s="128"/>
    </row>
    <row r="165" spans="1:21" ht="15.6" x14ac:dyDescent="0.3">
      <c r="A165" s="53"/>
      <c r="B165" s="54"/>
      <c r="C165" s="54"/>
      <c r="D165" s="54"/>
      <c r="E165" s="55"/>
      <c r="F165" s="75"/>
      <c r="G165" s="76"/>
      <c r="H165" s="76"/>
      <c r="I165" s="48"/>
      <c r="J165" s="70"/>
      <c r="K165" s="70"/>
      <c r="L165" s="183" t="s">
        <v>818</v>
      </c>
      <c r="M165" s="184" t="s">
        <v>819</v>
      </c>
      <c r="N165" s="183" t="s">
        <v>34</v>
      </c>
      <c r="O165" s="185">
        <v>1.7</v>
      </c>
      <c r="P165" s="186">
        <v>194</v>
      </c>
      <c r="Q165" s="186">
        <v>329.8</v>
      </c>
      <c r="R165" s="182"/>
      <c r="U165" s="128"/>
    </row>
    <row r="166" spans="1:21" ht="15.6" x14ac:dyDescent="0.3">
      <c r="A166" s="53"/>
      <c r="B166" s="54"/>
      <c r="C166" s="54"/>
      <c r="D166" s="54"/>
      <c r="E166" s="55"/>
      <c r="F166" s="75"/>
      <c r="G166" s="76"/>
      <c r="H166" s="76"/>
      <c r="I166" s="48"/>
      <c r="J166" s="70"/>
      <c r="K166" s="70"/>
      <c r="L166" s="183" t="s">
        <v>1002</v>
      </c>
      <c r="M166" s="184" t="s">
        <v>1070</v>
      </c>
      <c r="N166" s="183" t="s">
        <v>34</v>
      </c>
      <c r="O166" s="185">
        <v>0.54</v>
      </c>
      <c r="P166" s="186">
        <v>63</v>
      </c>
      <c r="Q166" s="186">
        <v>34.020000000000003</v>
      </c>
      <c r="R166" s="182"/>
      <c r="U166" s="128"/>
    </row>
    <row r="167" spans="1:21" ht="15.6" x14ac:dyDescent="0.3">
      <c r="A167" s="53"/>
      <c r="B167" s="54"/>
      <c r="C167" s="54"/>
      <c r="D167" s="54"/>
      <c r="E167" s="55"/>
      <c r="F167" s="75"/>
      <c r="G167" s="76"/>
      <c r="H167" s="76"/>
      <c r="I167" s="48"/>
      <c r="J167" s="70"/>
      <c r="K167" s="70"/>
      <c r="L167" s="183" t="s">
        <v>1003</v>
      </c>
      <c r="M167" s="184" t="s">
        <v>1071</v>
      </c>
      <c r="N167" s="183" t="s">
        <v>34</v>
      </c>
      <c r="O167" s="185">
        <v>0.18</v>
      </c>
      <c r="P167" s="186">
        <v>195</v>
      </c>
      <c r="Q167" s="186">
        <v>35.1</v>
      </c>
      <c r="R167" s="182"/>
      <c r="U167" s="128"/>
    </row>
    <row r="168" spans="1:21" ht="15.6" x14ac:dyDescent="0.3">
      <c r="A168" s="53"/>
      <c r="B168" s="54"/>
      <c r="C168" s="54"/>
      <c r="D168" s="54"/>
      <c r="E168" s="55"/>
      <c r="F168" s="75"/>
      <c r="G168" s="76"/>
      <c r="H168" s="76"/>
      <c r="I168" s="48"/>
      <c r="J168" s="70"/>
      <c r="K168" s="70"/>
      <c r="L168" s="183" t="s">
        <v>1363</v>
      </c>
      <c r="M168" s="184" t="s">
        <v>1392</v>
      </c>
      <c r="N168" s="183" t="s">
        <v>34</v>
      </c>
      <c r="O168" s="185">
        <v>0.27</v>
      </c>
      <c r="P168" s="186">
        <v>499</v>
      </c>
      <c r="Q168" s="186">
        <v>134.72999999999999</v>
      </c>
      <c r="R168" s="182"/>
      <c r="U168" s="128"/>
    </row>
    <row r="169" spans="1:21" ht="15.6" x14ac:dyDescent="0.3">
      <c r="A169" s="53"/>
      <c r="B169" s="54"/>
      <c r="C169" s="54"/>
      <c r="D169" s="54"/>
      <c r="E169" s="55"/>
      <c r="F169" s="75"/>
      <c r="G169" s="76"/>
      <c r="H169" s="76"/>
      <c r="I169" s="48"/>
      <c r="J169" s="70"/>
      <c r="K169" s="70"/>
      <c r="L169" s="183" t="s">
        <v>1364</v>
      </c>
      <c r="M169" s="184" t="s">
        <v>1393</v>
      </c>
      <c r="N169" s="183" t="s">
        <v>34</v>
      </c>
      <c r="O169" s="185">
        <v>0.3</v>
      </c>
      <c r="P169" s="186">
        <v>144</v>
      </c>
      <c r="Q169" s="186">
        <v>43.2</v>
      </c>
      <c r="R169" s="182"/>
      <c r="U169" s="128"/>
    </row>
    <row r="170" spans="1:21" ht="15.6" x14ac:dyDescent="0.3">
      <c r="A170" s="53"/>
      <c r="B170" s="54"/>
      <c r="C170" s="54"/>
      <c r="D170" s="54"/>
      <c r="E170" s="55"/>
      <c r="F170" s="75"/>
      <c r="G170" s="76"/>
      <c r="H170" s="76"/>
      <c r="I170" s="48"/>
      <c r="J170" s="70"/>
      <c r="K170" s="70"/>
      <c r="L170" s="183" t="s">
        <v>1365</v>
      </c>
      <c r="M170" s="184" t="s">
        <v>1394</v>
      </c>
      <c r="N170" s="183" t="s">
        <v>34</v>
      </c>
      <c r="O170" s="185">
        <v>0.18</v>
      </c>
      <c r="P170" s="186">
        <v>140</v>
      </c>
      <c r="Q170" s="186">
        <v>25.2</v>
      </c>
      <c r="R170" s="182"/>
      <c r="U170" s="128"/>
    </row>
    <row r="171" spans="1:21" ht="15.6" x14ac:dyDescent="0.3">
      <c r="A171" s="53"/>
      <c r="B171" s="54"/>
      <c r="C171" s="54"/>
      <c r="D171" s="54"/>
      <c r="E171" s="55"/>
      <c r="F171" s="75"/>
      <c r="G171" s="76"/>
      <c r="H171" s="76"/>
      <c r="I171" s="48"/>
      <c r="J171" s="70"/>
      <c r="K171" s="70"/>
      <c r="L171" s="183" t="s">
        <v>1001</v>
      </c>
      <c r="M171" s="184" t="s">
        <v>415</v>
      </c>
      <c r="N171" s="183" t="s">
        <v>34</v>
      </c>
      <c r="O171" s="185">
        <v>11</v>
      </c>
      <c r="P171" s="186">
        <v>59.58</v>
      </c>
      <c r="Q171" s="186">
        <v>655.38</v>
      </c>
      <c r="R171" s="182"/>
      <c r="U171" s="128"/>
    </row>
    <row r="172" spans="1:21" ht="15.6" x14ac:dyDescent="0.3">
      <c r="A172" s="53"/>
      <c r="B172" s="54"/>
      <c r="C172" s="54"/>
      <c r="D172" s="54"/>
      <c r="E172" s="55"/>
      <c r="F172" s="75"/>
      <c r="G172" s="76"/>
      <c r="H172" s="76"/>
      <c r="I172" s="48"/>
      <c r="J172" s="70"/>
      <c r="K172" s="70"/>
      <c r="L172" s="183" t="s">
        <v>946</v>
      </c>
      <c r="M172" s="184" t="s">
        <v>1042</v>
      </c>
      <c r="N172" s="183" t="s">
        <v>34</v>
      </c>
      <c r="O172" s="185">
        <v>4</v>
      </c>
      <c r="P172" s="186">
        <v>205.47</v>
      </c>
      <c r="Q172" s="186">
        <v>821.88</v>
      </c>
      <c r="R172" s="182"/>
      <c r="U172" s="128"/>
    </row>
    <row r="173" spans="1:21" ht="15.6" x14ac:dyDescent="0.3">
      <c r="A173" s="53"/>
      <c r="B173" s="54"/>
      <c r="C173" s="54"/>
      <c r="D173" s="54"/>
      <c r="E173" s="55"/>
      <c r="F173" s="75"/>
      <c r="G173" s="76"/>
      <c r="H173" s="76"/>
      <c r="I173" s="48"/>
      <c r="J173" s="70"/>
      <c r="K173" s="70"/>
      <c r="L173" s="183" t="s">
        <v>49</v>
      </c>
      <c r="M173" s="184" t="s">
        <v>74</v>
      </c>
      <c r="N173" s="183" t="s">
        <v>34</v>
      </c>
      <c r="O173" s="185">
        <v>17</v>
      </c>
      <c r="P173" s="186">
        <v>133.33000000000001</v>
      </c>
      <c r="Q173" s="187">
        <v>2266.61</v>
      </c>
      <c r="R173" s="182"/>
      <c r="U173" s="128"/>
    </row>
    <row r="174" spans="1:21" ht="15.6" x14ac:dyDescent="0.3">
      <c r="A174" s="53"/>
      <c r="B174" s="54"/>
      <c r="C174" s="54"/>
      <c r="D174" s="54"/>
      <c r="E174" s="55"/>
      <c r="F174" s="75"/>
      <c r="G174" s="76"/>
      <c r="H174" s="76"/>
      <c r="I174" s="48"/>
      <c r="J174" s="70"/>
      <c r="K174" s="70"/>
      <c r="L174" s="183" t="s">
        <v>967</v>
      </c>
      <c r="M174" s="184" t="s">
        <v>1056</v>
      </c>
      <c r="N174" s="183" t="s">
        <v>34</v>
      </c>
      <c r="O174" s="185">
        <v>3</v>
      </c>
      <c r="P174" s="186">
        <v>0.43</v>
      </c>
      <c r="Q174" s="186">
        <v>1.29</v>
      </c>
      <c r="R174" s="182"/>
      <c r="U174" s="128"/>
    </row>
    <row r="175" spans="1:21" ht="15.6" x14ac:dyDescent="0.3">
      <c r="A175" s="53"/>
      <c r="B175" s="54"/>
      <c r="C175" s="54"/>
      <c r="D175" s="54"/>
      <c r="E175" s="55"/>
      <c r="F175" s="75"/>
      <c r="G175" s="76"/>
      <c r="H175" s="76"/>
      <c r="I175" s="48"/>
      <c r="J175" s="70"/>
      <c r="K175" s="70"/>
      <c r="L175" s="183" t="s">
        <v>968</v>
      </c>
      <c r="M175" s="184" t="s">
        <v>756</v>
      </c>
      <c r="N175" s="183" t="s">
        <v>34</v>
      </c>
      <c r="O175" s="185">
        <v>250</v>
      </c>
      <c r="P175" s="186">
        <v>0.94</v>
      </c>
      <c r="Q175" s="186">
        <v>235</v>
      </c>
      <c r="R175" s="182"/>
      <c r="U175" s="128"/>
    </row>
    <row r="176" spans="1:21" ht="15.6" x14ac:dyDescent="0.3">
      <c r="A176" s="53"/>
      <c r="B176" s="54"/>
      <c r="C176" s="54"/>
      <c r="D176" s="54"/>
      <c r="E176" s="55"/>
      <c r="F176" s="75"/>
      <c r="G176" s="76"/>
      <c r="H176" s="76"/>
      <c r="I176" s="48"/>
      <c r="J176" s="70"/>
      <c r="K176" s="70"/>
      <c r="L176" s="183" t="s">
        <v>969</v>
      </c>
      <c r="M176" s="184" t="s">
        <v>75</v>
      </c>
      <c r="N176" s="183" t="s">
        <v>34</v>
      </c>
      <c r="O176" s="185">
        <v>12</v>
      </c>
      <c r="P176" s="186">
        <v>1.8</v>
      </c>
      <c r="Q176" s="186">
        <v>21.55</v>
      </c>
      <c r="R176" s="182"/>
      <c r="U176" s="128"/>
    </row>
    <row r="177" spans="1:21" ht="15.6" x14ac:dyDescent="0.3">
      <c r="A177" s="53"/>
      <c r="B177" s="54"/>
      <c r="C177" s="54"/>
      <c r="D177" s="54"/>
      <c r="E177" s="55"/>
      <c r="F177" s="75"/>
      <c r="G177" s="76"/>
      <c r="H177" s="76"/>
      <c r="I177" s="48"/>
      <c r="J177" s="70"/>
      <c r="K177" s="70"/>
      <c r="L177" s="183" t="s">
        <v>1122</v>
      </c>
      <c r="M177" s="184" t="s">
        <v>1208</v>
      </c>
      <c r="N177" s="183" t="s">
        <v>34</v>
      </c>
      <c r="O177" s="185">
        <v>1</v>
      </c>
      <c r="P177" s="186">
        <v>212</v>
      </c>
      <c r="Q177" s="186">
        <v>212</v>
      </c>
      <c r="R177" s="182"/>
      <c r="U177" s="128"/>
    </row>
    <row r="178" spans="1:21" ht="15.6" x14ac:dyDescent="0.3">
      <c r="A178" s="53"/>
      <c r="B178" s="54"/>
      <c r="C178" s="54"/>
      <c r="D178" s="54"/>
      <c r="E178" s="55"/>
      <c r="F178" s="75"/>
      <c r="G178" s="76"/>
      <c r="H178" s="76"/>
      <c r="I178" s="48"/>
      <c r="J178" s="70"/>
      <c r="K178" s="70"/>
      <c r="L178" s="183" t="s">
        <v>757</v>
      </c>
      <c r="M178" s="184" t="s">
        <v>758</v>
      </c>
      <c r="N178" s="183" t="s">
        <v>34</v>
      </c>
      <c r="O178" s="185">
        <v>0.2</v>
      </c>
      <c r="P178" s="187">
        <v>2803</v>
      </c>
      <c r="Q178" s="186">
        <v>560.6</v>
      </c>
      <c r="R178" s="182"/>
      <c r="U178" s="128"/>
    </row>
    <row r="179" spans="1:21" ht="15.6" x14ac:dyDescent="0.3">
      <c r="A179" s="53"/>
      <c r="B179" s="54"/>
      <c r="C179" s="54"/>
      <c r="D179" s="54"/>
      <c r="E179" s="55"/>
      <c r="F179" s="75"/>
      <c r="G179" s="76"/>
      <c r="H179" s="76"/>
      <c r="I179" s="48"/>
      <c r="J179" s="70"/>
      <c r="K179" s="70"/>
      <c r="L179" s="183" t="s">
        <v>1124</v>
      </c>
      <c r="M179" s="184" t="s">
        <v>1210</v>
      </c>
      <c r="N179" s="183" t="s">
        <v>34</v>
      </c>
      <c r="O179" s="185">
        <v>1</v>
      </c>
      <c r="P179" s="186">
        <v>108.5</v>
      </c>
      <c r="Q179" s="186">
        <v>108.5</v>
      </c>
      <c r="R179" s="182"/>
      <c r="U179" s="128"/>
    </row>
    <row r="180" spans="1:21" ht="15.6" x14ac:dyDescent="0.3">
      <c r="A180" s="53"/>
      <c r="B180" s="54"/>
      <c r="C180" s="54"/>
      <c r="D180" s="54"/>
      <c r="E180" s="55"/>
      <c r="F180" s="75"/>
      <c r="G180" s="76"/>
      <c r="H180" s="76"/>
      <c r="I180" s="48"/>
      <c r="J180" s="70"/>
      <c r="K180" s="70"/>
      <c r="L180" s="183" t="s">
        <v>970</v>
      </c>
      <c r="M180" s="184" t="s">
        <v>294</v>
      </c>
      <c r="N180" s="183" t="s">
        <v>34</v>
      </c>
      <c r="O180" s="185">
        <v>4</v>
      </c>
      <c r="P180" s="186">
        <v>172.3</v>
      </c>
      <c r="Q180" s="186">
        <v>689.2</v>
      </c>
      <c r="R180" s="182"/>
      <c r="U180" s="128"/>
    </row>
    <row r="181" spans="1:21" ht="15.6" x14ac:dyDescent="0.3">
      <c r="A181" s="53"/>
      <c r="B181" s="54"/>
      <c r="C181" s="54"/>
      <c r="D181" s="54"/>
      <c r="E181" s="55"/>
      <c r="F181" s="75"/>
      <c r="G181" s="76"/>
      <c r="H181" s="76"/>
      <c r="I181" s="48"/>
      <c r="J181" s="70"/>
      <c r="K181" s="70"/>
      <c r="L181" s="183" t="s">
        <v>971</v>
      </c>
      <c r="M181" s="184" t="s">
        <v>296</v>
      </c>
      <c r="N181" s="183" t="s">
        <v>34</v>
      </c>
      <c r="O181" s="185">
        <v>3</v>
      </c>
      <c r="P181" s="186">
        <v>87.78</v>
      </c>
      <c r="Q181" s="186">
        <v>263.33999999999997</v>
      </c>
      <c r="R181" s="182"/>
      <c r="U181" s="128"/>
    </row>
    <row r="182" spans="1:21" ht="15.6" x14ac:dyDescent="0.3">
      <c r="A182" s="53"/>
      <c r="B182" s="54"/>
      <c r="C182" s="54"/>
      <c r="D182" s="54"/>
      <c r="E182" s="55"/>
      <c r="F182" s="75"/>
      <c r="G182" s="76"/>
      <c r="H182" s="76"/>
      <c r="I182" s="48"/>
      <c r="J182" s="70"/>
      <c r="K182" s="70"/>
      <c r="L182" s="183" t="s">
        <v>972</v>
      </c>
      <c r="M182" s="184" t="s">
        <v>297</v>
      </c>
      <c r="N182" s="183" t="s">
        <v>34</v>
      </c>
      <c r="O182" s="185">
        <v>1</v>
      </c>
      <c r="P182" s="186">
        <v>167</v>
      </c>
      <c r="Q182" s="186">
        <v>167</v>
      </c>
      <c r="R182" s="182"/>
      <c r="U182" s="128"/>
    </row>
    <row r="183" spans="1:21" ht="15.6" x14ac:dyDescent="0.3">
      <c r="A183" s="53"/>
      <c r="B183" s="54"/>
      <c r="C183" s="54"/>
      <c r="D183" s="54"/>
      <c r="E183" s="55"/>
      <c r="F183" s="75"/>
      <c r="G183" s="76"/>
      <c r="H183" s="76"/>
      <c r="I183" s="48"/>
      <c r="J183" s="70"/>
      <c r="K183" s="70"/>
      <c r="L183" s="183" t="s">
        <v>1125</v>
      </c>
      <c r="M183" s="184" t="s">
        <v>1211</v>
      </c>
      <c r="N183" s="183" t="s">
        <v>34</v>
      </c>
      <c r="O183" s="185">
        <v>1</v>
      </c>
      <c r="P183" s="186">
        <v>106.25</v>
      </c>
      <c r="Q183" s="186">
        <v>106.25</v>
      </c>
      <c r="R183" s="182"/>
      <c r="U183" s="128"/>
    </row>
    <row r="184" spans="1:21" ht="15.6" x14ac:dyDescent="0.3">
      <c r="A184" s="53"/>
      <c r="B184" s="54"/>
      <c r="C184" s="54"/>
      <c r="D184" s="54"/>
      <c r="E184" s="55"/>
      <c r="F184" s="75"/>
      <c r="G184" s="76"/>
      <c r="H184" s="76"/>
      <c r="I184" s="48"/>
      <c r="J184" s="70"/>
      <c r="K184" s="70"/>
      <c r="L184" s="183" t="s">
        <v>1126</v>
      </c>
      <c r="M184" s="184" t="s">
        <v>1212</v>
      </c>
      <c r="N184" s="183" t="s">
        <v>34</v>
      </c>
      <c r="O184" s="185">
        <v>1</v>
      </c>
      <c r="P184" s="186">
        <v>298</v>
      </c>
      <c r="Q184" s="186">
        <v>298</v>
      </c>
      <c r="R184" s="182"/>
      <c r="U184" s="128"/>
    </row>
    <row r="185" spans="1:21" ht="15.6" x14ac:dyDescent="0.3">
      <c r="A185" s="53"/>
      <c r="B185" s="54"/>
      <c r="C185" s="54"/>
      <c r="D185" s="54"/>
      <c r="E185" s="55"/>
      <c r="F185" s="75"/>
      <c r="G185" s="76"/>
      <c r="H185" s="76"/>
      <c r="I185" s="48"/>
      <c r="J185" s="70"/>
      <c r="K185" s="70"/>
      <c r="L185" s="183" t="s">
        <v>298</v>
      </c>
      <c r="M185" s="184" t="s">
        <v>299</v>
      </c>
      <c r="N185" s="183" t="s">
        <v>34</v>
      </c>
      <c r="O185" s="185">
        <v>5</v>
      </c>
      <c r="P185" s="186">
        <v>205.63</v>
      </c>
      <c r="Q185" s="187">
        <v>1028.1300000000001</v>
      </c>
      <c r="R185" s="182"/>
      <c r="U185" s="128"/>
    </row>
    <row r="186" spans="1:21" ht="15.6" x14ac:dyDescent="0.3">
      <c r="A186" s="53"/>
      <c r="B186" s="54"/>
      <c r="C186" s="54"/>
      <c r="D186" s="54"/>
      <c r="E186" s="55"/>
      <c r="F186" s="75"/>
      <c r="G186" s="76"/>
      <c r="H186" s="76"/>
      <c r="I186" s="48"/>
      <c r="J186" s="70"/>
      <c r="K186" s="70"/>
      <c r="L186" s="183" t="s">
        <v>896</v>
      </c>
      <c r="M186" s="184" t="s">
        <v>897</v>
      </c>
      <c r="N186" s="183" t="s">
        <v>34</v>
      </c>
      <c r="O186" s="185">
        <v>1.3</v>
      </c>
      <c r="P186" s="186">
        <v>489</v>
      </c>
      <c r="Q186" s="186">
        <v>635.70000000000005</v>
      </c>
      <c r="R186" s="182"/>
      <c r="U186" s="128"/>
    </row>
    <row r="187" spans="1:21" ht="15.6" x14ac:dyDescent="0.3">
      <c r="A187" s="53"/>
      <c r="B187" s="54"/>
      <c r="C187" s="54"/>
      <c r="D187" s="54"/>
      <c r="E187" s="55"/>
      <c r="F187" s="75"/>
      <c r="G187" s="76"/>
      <c r="H187" s="76"/>
      <c r="I187" s="48"/>
      <c r="J187" s="70"/>
      <c r="K187" s="70"/>
      <c r="L187" s="183" t="s">
        <v>1128</v>
      </c>
      <c r="M187" s="184" t="s">
        <v>1214</v>
      </c>
      <c r="N187" s="183" t="s">
        <v>34</v>
      </c>
      <c r="O187" s="185">
        <v>1</v>
      </c>
      <c r="P187" s="186">
        <v>464.55</v>
      </c>
      <c r="Q187" s="186">
        <v>464.55</v>
      </c>
      <c r="R187" s="182"/>
      <c r="U187" s="128"/>
    </row>
    <row r="188" spans="1:21" ht="15.6" x14ac:dyDescent="0.3">
      <c r="A188" s="53"/>
      <c r="B188" s="54"/>
      <c r="C188" s="54"/>
      <c r="D188" s="54"/>
      <c r="E188" s="55"/>
      <c r="F188" s="75"/>
      <c r="G188" s="76"/>
      <c r="H188" s="76"/>
      <c r="I188" s="48"/>
      <c r="J188" s="70"/>
      <c r="K188" s="70"/>
      <c r="L188" s="183" t="s">
        <v>1129</v>
      </c>
      <c r="M188" s="184" t="s">
        <v>1215</v>
      </c>
      <c r="N188" s="183" t="s">
        <v>34</v>
      </c>
      <c r="O188" s="185">
        <v>1</v>
      </c>
      <c r="P188" s="186">
        <v>489</v>
      </c>
      <c r="Q188" s="186">
        <v>489</v>
      </c>
      <c r="R188" s="182"/>
      <c r="U188" s="128"/>
    </row>
    <row r="189" spans="1:21" ht="15.6" x14ac:dyDescent="0.3">
      <c r="A189" s="53"/>
      <c r="B189" s="54"/>
      <c r="C189" s="54"/>
      <c r="D189" s="54"/>
      <c r="E189" s="55"/>
      <c r="F189" s="75"/>
      <c r="G189" s="76"/>
      <c r="H189" s="76"/>
      <c r="I189" s="48"/>
      <c r="J189" s="70"/>
      <c r="K189" s="70"/>
      <c r="L189" s="183" t="s">
        <v>1131</v>
      </c>
      <c r="M189" s="184" t="s">
        <v>1217</v>
      </c>
      <c r="N189" s="183" t="s">
        <v>34</v>
      </c>
      <c r="O189" s="185">
        <v>1</v>
      </c>
      <c r="P189" s="187">
        <v>2217.4499999999998</v>
      </c>
      <c r="Q189" s="187">
        <v>2217.4499999999998</v>
      </c>
      <c r="R189" s="182"/>
      <c r="U189" s="128"/>
    </row>
    <row r="190" spans="1:21" ht="15.6" x14ac:dyDescent="0.3">
      <c r="A190" s="53"/>
      <c r="B190" s="54"/>
      <c r="C190" s="54"/>
      <c r="D190" s="54"/>
      <c r="E190" s="55"/>
      <c r="F190" s="75"/>
      <c r="G190" s="76"/>
      <c r="H190" s="76"/>
      <c r="I190" s="48"/>
      <c r="J190" s="70"/>
      <c r="K190" s="70"/>
      <c r="L190" s="183" t="s">
        <v>1132</v>
      </c>
      <c r="M190" s="184" t="s">
        <v>1218</v>
      </c>
      <c r="N190" s="183" t="s">
        <v>34</v>
      </c>
      <c r="O190" s="185">
        <v>2</v>
      </c>
      <c r="P190" s="187">
        <v>2217.4499999999998</v>
      </c>
      <c r="Q190" s="187">
        <v>4434.8999999999996</v>
      </c>
      <c r="R190" s="182"/>
      <c r="U190" s="128"/>
    </row>
    <row r="191" spans="1:21" ht="15.6" x14ac:dyDescent="0.3">
      <c r="A191" s="53"/>
      <c r="B191" s="54"/>
      <c r="C191" s="54"/>
      <c r="D191" s="54"/>
      <c r="E191" s="55"/>
      <c r="F191" s="75"/>
      <c r="G191" s="76"/>
      <c r="H191" s="76"/>
      <c r="I191" s="48"/>
      <c r="J191" s="70"/>
      <c r="K191" s="70"/>
      <c r="L191" s="183" t="s">
        <v>304</v>
      </c>
      <c r="M191" s="184" t="s">
        <v>305</v>
      </c>
      <c r="N191" s="183" t="s">
        <v>34</v>
      </c>
      <c r="O191" s="185">
        <v>7</v>
      </c>
      <c r="P191" s="186">
        <v>63.7</v>
      </c>
      <c r="Q191" s="186">
        <v>445.9</v>
      </c>
      <c r="R191" s="182"/>
      <c r="U191" s="128"/>
    </row>
    <row r="192" spans="1:21" ht="15.6" x14ac:dyDescent="0.3">
      <c r="A192" s="53"/>
      <c r="B192" s="54"/>
      <c r="C192" s="54"/>
      <c r="D192" s="54"/>
      <c r="E192" s="55"/>
      <c r="F192" s="75"/>
      <c r="G192" s="76"/>
      <c r="H192" s="76"/>
      <c r="I192" s="48"/>
      <c r="J192" s="70"/>
      <c r="K192" s="70"/>
      <c r="L192" s="183" t="s">
        <v>761</v>
      </c>
      <c r="M192" s="184" t="s">
        <v>762</v>
      </c>
      <c r="N192" s="183" t="s">
        <v>34</v>
      </c>
      <c r="O192" s="185">
        <v>19</v>
      </c>
      <c r="P192" s="186">
        <v>77.22</v>
      </c>
      <c r="Q192" s="187">
        <v>1467.16</v>
      </c>
      <c r="R192" s="182"/>
      <c r="U192" s="128"/>
    </row>
    <row r="193" spans="1:21" ht="15.6" x14ac:dyDescent="0.3">
      <c r="A193" s="53"/>
      <c r="B193" s="54"/>
      <c r="C193" s="54"/>
      <c r="D193" s="54"/>
      <c r="E193" s="55"/>
      <c r="F193" s="75"/>
      <c r="G193" s="76"/>
      <c r="H193" s="76"/>
      <c r="I193" s="48"/>
      <c r="J193" s="70"/>
      <c r="K193" s="70"/>
      <c r="L193" s="183" t="s">
        <v>975</v>
      </c>
      <c r="M193" s="184" t="s">
        <v>763</v>
      </c>
      <c r="N193" s="183" t="s">
        <v>34</v>
      </c>
      <c r="O193" s="185">
        <v>8</v>
      </c>
      <c r="P193" s="186">
        <v>128.69</v>
      </c>
      <c r="Q193" s="187">
        <v>1029.52</v>
      </c>
      <c r="R193" s="182"/>
      <c r="U193" s="128"/>
    </row>
    <row r="194" spans="1:21" ht="15.6" x14ac:dyDescent="0.3">
      <c r="A194" s="53"/>
      <c r="B194" s="54"/>
      <c r="C194" s="54"/>
      <c r="D194" s="54"/>
      <c r="E194" s="55"/>
      <c r="F194" s="75"/>
      <c r="G194" s="76"/>
      <c r="H194" s="76"/>
      <c r="I194" s="48"/>
      <c r="J194" s="70"/>
      <c r="K194" s="70"/>
      <c r="L194" s="183" t="s">
        <v>869</v>
      </c>
      <c r="M194" s="184" t="s">
        <v>898</v>
      </c>
      <c r="N194" s="183" t="s">
        <v>34</v>
      </c>
      <c r="O194" s="185">
        <v>1</v>
      </c>
      <c r="P194" s="186">
        <v>728.72</v>
      </c>
      <c r="Q194" s="186">
        <v>728.72</v>
      </c>
      <c r="R194" s="182"/>
      <c r="U194" s="128"/>
    </row>
    <row r="195" spans="1:21" ht="15.6" x14ac:dyDescent="0.3">
      <c r="A195" s="53"/>
      <c r="B195" s="54"/>
      <c r="C195" s="54"/>
      <c r="D195" s="54"/>
      <c r="E195" s="55"/>
      <c r="F195" s="75"/>
      <c r="G195" s="76"/>
      <c r="H195" s="76"/>
      <c r="I195" s="48"/>
      <c r="J195" s="70"/>
      <c r="K195" s="70"/>
      <c r="L195" s="183" t="s">
        <v>870</v>
      </c>
      <c r="M195" s="184" t="s">
        <v>899</v>
      </c>
      <c r="N195" s="183" t="s">
        <v>34</v>
      </c>
      <c r="O195" s="185">
        <v>1</v>
      </c>
      <c r="P195" s="187">
        <v>1816.27</v>
      </c>
      <c r="Q195" s="187">
        <v>1816.27</v>
      </c>
      <c r="R195" s="182"/>
      <c r="U195" s="128"/>
    </row>
    <row r="196" spans="1:21" ht="15.6" x14ac:dyDescent="0.3">
      <c r="A196" s="53"/>
      <c r="B196" s="54"/>
      <c r="C196" s="54"/>
      <c r="D196" s="54"/>
      <c r="E196" s="55"/>
      <c r="F196" s="75"/>
      <c r="G196" s="76"/>
      <c r="H196" s="76"/>
      <c r="I196" s="48"/>
      <c r="J196" s="70"/>
      <c r="K196" s="70"/>
      <c r="L196" s="183" t="s">
        <v>900</v>
      </c>
      <c r="M196" s="184" t="s">
        <v>901</v>
      </c>
      <c r="N196" s="183" t="s">
        <v>34</v>
      </c>
      <c r="O196" s="185">
        <v>1</v>
      </c>
      <c r="P196" s="186">
        <v>64</v>
      </c>
      <c r="Q196" s="186">
        <v>64</v>
      </c>
      <c r="R196" s="182"/>
      <c r="U196" s="128"/>
    </row>
    <row r="197" spans="1:21" ht="15.6" x14ac:dyDescent="0.3">
      <c r="A197" s="53"/>
      <c r="B197" s="54"/>
      <c r="C197" s="54"/>
      <c r="D197" s="54"/>
      <c r="E197" s="55"/>
      <c r="F197" s="75"/>
      <c r="G197" s="76"/>
      <c r="H197" s="76"/>
      <c r="I197" s="48"/>
      <c r="J197" s="70"/>
      <c r="K197" s="70"/>
      <c r="L197" s="183" t="s">
        <v>864</v>
      </c>
      <c r="M197" s="184" t="s">
        <v>929</v>
      </c>
      <c r="N197" s="183" t="s">
        <v>34</v>
      </c>
      <c r="O197" s="185">
        <v>4</v>
      </c>
      <c r="P197" s="187">
        <v>2466.88</v>
      </c>
      <c r="Q197" s="187">
        <v>9867.5</v>
      </c>
      <c r="R197" s="182"/>
      <c r="U197" s="128"/>
    </row>
    <row r="198" spans="1:21" ht="15.6" x14ac:dyDescent="0.3">
      <c r="A198" s="53"/>
      <c r="B198" s="54"/>
      <c r="C198" s="54"/>
      <c r="D198" s="54"/>
      <c r="E198" s="55"/>
      <c r="F198" s="75"/>
      <c r="G198" s="76"/>
      <c r="H198" s="76"/>
      <c r="I198" s="48"/>
      <c r="J198" s="70"/>
      <c r="K198" s="70"/>
      <c r="L198" s="183" t="s">
        <v>860</v>
      </c>
      <c r="M198" s="184" t="s">
        <v>922</v>
      </c>
      <c r="N198" s="183" t="s">
        <v>34</v>
      </c>
      <c r="O198" s="185">
        <v>1</v>
      </c>
      <c r="P198" s="187">
        <v>9165.84</v>
      </c>
      <c r="Q198" s="187">
        <v>9165.84</v>
      </c>
      <c r="R198" s="182"/>
      <c r="U198" s="128"/>
    </row>
    <row r="199" spans="1:21" ht="15.6" x14ac:dyDescent="0.3">
      <c r="A199" s="53"/>
      <c r="B199" s="54"/>
      <c r="C199" s="54"/>
      <c r="D199" s="54"/>
      <c r="E199" s="55"/>
      <c r="F199" s="75"/>
      <c r="G199" s="76"/>
      <c r="H199" s="76"/>
      <c r="I199" s="48"/>
      <c r="J199" s="70"/>
      <c r="K199" s="70"/>
      <c r="L199" s="183" t="s">
        <v>974</v>
      </c>
      <c r="M199" s="184" t="s">
        <v>760</v>
      </c>
      <c r="N199" s="183" t="s">
        <v>34</v>
      </c>
      <c r="O199" s="185">
        <v>4</v>
      </c>
      <c r="P199" s="187">
        <v>2264.63</v>
      </c>
      <c r="Q199" s="187">
        <v>9058.52</v>
      </c>
      <c r="R199" s="182"/>
      <c r="U199" s="128"/>
    </row>
    <row r="200" spans="1:21" ht="15.6" x14ac:dyDescent="0.3">
      <c r="A200" s="53"/>
      <c r="B200" s="54"/>
      <c r="C200" s="54"/>
      <c r="D200" s="54"/>
      <c r="E200" s="55"/>
      <c r="F200" s="75"/>
      <c r="G200" s="76"/>
      <c r="H200" s="76"/>
      <c r="I200" s="48"/>
      <c r="J200" s="70"/>
      <c r="K200" s="70"/>
      <c r="L200" s="183" t="s">
        <v>863</v>
      </c>
      <c r="M200" s="184" t="s">
        <v>926</v>
      </c>
      <c r="N200" s="183" t="s">
        <v>34</v>
      </c>
      <c r="O200" s="185">
        <v>1</v>
      </c>
      <c r="P200" s="187">
        <v>8590</v>
      </c>
      <c r="Q200" s="187">
        <v>8590</v>
      </c>
      <c r="R200" s="182"/>
      <c r="U200" s="128"/>
    </row>
    <row r="201" spans="1:21" ht="15.6" x14ac:dyDescent="0.3">
      <c r="A201" s="53"/>
      <c r="B201" s="54"/>
      <c r="C201" s="54"/>
      <c r="D201" s="54"/>
      <c r="E201" s="55"/>
      <c r="F201" s="75"/>
      <c r="G201" s="76"/>
      <c r="H201" s="76"/>
      <c r="I201" s="48"/>
      <c r="J201" s="70"/>
      <c r="K201" s="70"/>
      <c r="L201" s="183" t="s">
        <v>861</v>
      </c>
      <c r="M201" s="184" t="s">
        <v>917</v>
      </c>
      <c r="N201" s="183" t="s">
        <v>34</v>
      </c>
      <c r="O201" s="185">
        <v>1</v>
      </c>
      <c r="P201" s="187">
        <v>8250</v>
      </c>
      <c r="Q201" s="187">
        <v>8250</v>
      </c>
      <c r="R201" s="182"/>
      <c r="U201" s="128"/>
    </row>
    <row r="202" spans="1:21" ht="15.6" x14ac:dyDescent="0.3">
      <c r="A202" s="53"/>
      <c r="B202" s="54"/>
      <c r="C202" s="54"/>
      <c r="D202" s="54"/>
      <c r="E202" s="55"/>
      <c r="F202" s="75"/>
      <c r="G202" s="76"/>
      <c r="H202" s="76"/>
      <c r="I202" s="48"/>
      <c r="J202" s="70"/>
      <c r="K202" s="70"/>
      <c r="L202" s="183" t="s">
        <v>866</v>
      </c>
      <c r="M202" s="184" t="s">
        <v>919</v>
      </c>
      <c r="N202" s="183" t="s">
        <v>34</v>
      </c>
      <c r="O202" s="185">
        <v>2</v>
      </c>
      <c r="P202" s="187">
        <v>2690</v>
      </c>
      <c r="Q202" s="187">
        <v>5380</v>
      </c>
      <c r="R202" s="182"/>
      <c r="U202" s="128"/>
    </row>
    <row r="203" spans="1:21" ht="15.6" x14ac:dyDescent="0.3">
      <c r="A203" s="53"/>
      <c r="B203" s="54"/>
      <c r="C203" s="54"/>
      <c r="D203" s="54"/>
      <c r="E203" s="55"/>
      <c r="F203" s="75"/>
      <c r="G203" s="76"/>
      <c r="H203" s="76"/>
      <c r="I203" s="48"/>
      <c r="J203" s="70"/>
      <c r="K203" s="70"/>
      <c r="L203" s="183" t="s">
        <v>782</v>
      </c>
      <c r="M203" s="184" t="s">
        <v>783</v>
      </c>
      <c r="N203" s="183" t="s">
        <v>34</v>
      </c>
      <c r="O203" s="185">
        <v>2</v>
      </c>
      <c r="P203" s="187">
        <v>2458.33</v>
      </c>
      <c r="Q203" s="187">
        <v>4916.66</v>
      </c>
      <c r="R203" s="182"/>
      <c r="U203" s="128"/>
    </row>
    <row r="204" spans="1:21" ht="15.6" x14ac:dyDescent="0.3">
      <c r="A204" s="53"/>
      <c r="B204" s="54"/>
      <c r="C204" s="54"/>
      <c r="D204" s="54"/>
      <c r="E204" s="55"/>
      <c r="F204" s="75"/>
      <c r="G204" s="76"/>
      <c r="H204" s="76"/>
      <c r="I204" s="48"/>
      <c r="J204" s="70"/>
      <c r="K204" s="70"/>
      <c r="L204" s="183" t="s">
        <v>754</v>
      </c>
      <c r="M204" s="184" t="s">
        <v>755</v>
      </c>
      <c r="N204" s="183" t="s">
        <v>34</v>
      </c>
      <c r="O204" s="185">
        <v>1</v>
      </c>
      <c r="P204" s="187">
        <v>7256.83</v>
      </c>
      <c r="Q204" s="187">
        <v>7256.83</v>
      </c>
      <c r="R204" s="182"/>
      <c r="U204" s="128"/>
    </row>
    <row r="205" spans="1:21" ht="15.6" x14ac:dyDescent="0.3">
      <c r="A205" s="53"/>
      <c r="B205" s="54"/>
      <c r="C205" s="54"/>
      <c r="D205" s="54"/>
      <c r="E205" s="55"/>
      <c r="F205" s="75"/>
      <c r="G205" s="76"/>
      <c r="H205" s="76"/>
      <c r="I205" s="48"/>
      <c r="J205" s="70"/>
      <c r="K205" s="70"/>
      <c r="L205" s="183" t="s">
        <v>995</v>
      </c>
      <c r="M205" s="184" t="s">
        <v>1067</v>
      </c>
      <c r="N205" s="183" t="s">
        <v>34</v>
      </c>
      <c r="O205" s="185">
        <v>1</v>
      </c>
      <c r="P205" s="187">
        <v>7750</v>
      </c>
      <c r="Q205" s="187">
        <v>7750</v>
      </c>
      <c r="R205" s="182"/>
      <c r="U205" s="128"/>
    </row>
    <row r="206" spans="1:21" ht="15.6" x14ac:dyDescent="0.3">
      <c r="A206" s="53"/>
      <c r="B206" s="54"/>
      <c r="C206" s="54"/>
      <c r="D206" s="54"/>
      <c r="E206" s="55"/>
      <c r="F206" s="75"/>
      <c r="G206" s="76"/>
      <c r="H206" s="76"/>
      <c r="I206" s="48"/>
      <c r="J206" s="70"/>
      <c r="K206" s="70"/>
      <c r="L206" s="183" t="s">
        <v>994</v>
      </c>
      <c r="M206" s="184" t="s">
        <v>1066</v>
      </c>
      <c r="N206" s="183" t="s">
        <v>34</v>
      </c>
      <c r="O206" s="185">
        <v>1</v>
      </c>
      <c r="P206" s="187">
        <v>7750</v>
      </c>
      <c r="Q206" s="187">
        <v>7750</v>
      </c>
      <c r="R206" s="182"/>
      <c r="U206" s="128"/>
    </row>
    <row r="207" spans="1:21" ht="15.6" x14ac:dyDescent="0.3">
      <c r="A207" s="53"/>
      <c r="B207" s="54"/>
      <c r="C207" s="54"/>
      <c r="D207" s="54"/>
      <c r="E207" s="55"/>
      <c r="F207" s="75"/>
      <c r="G207" s="76"/>
      <c r="H207" s="76"/>
      <c r="I207" s="48"/>
      <c r="J207" s="70"/>
      <c r="K207" s="70"/>
      <c r="L207" s="183" t="s">
        <v>1093</v>
      </c>
      <c r="M207" s="184" t="s">
        <v>1097</v>
      </c>
      <c r="N207" s="183" t="s">
        <v>34</v>
      </c>
      <c r="O207" s="185">
        <v>1</v>
      </c>
      <c r="P207" s="187">
        <v>6116.67</v>
      </c>
      <c r="Q207" s="187">
        <v>6116.67</v>
      </c>
      <c r="R207" s="182"/>
      <c r="U207" s="128"/>
    </row>
    <row r="208" spans="1:21" ht="15.6" x14ac:dyDescent="0.3">
      <c r="A208" s="53"/>
      <c r="B208" s="54"/>
      <c r="C208" s="54"/>
      <c r="D208" s="54"/>
      <c r="E208" s="55"/>
      <c r="F208" s="75"/>
      <c r="G208" s="76"/>
      <c r="H208" s="76"/>
      <c r="I208" s="48"/>
      <c r="J208" s="70"/>
      <c r="K208" s="70"/>
      <c r="L208" s="183" t="s">
        <v>812</v>
      </c>
      <c r="M208" s="184" t="s">
        <v>813</v>
      </c>
      <c r="N208" s="183" t="s">
        <v>34</v>
      </c>
      <c r="O208" s="185">
        <v>1</v>
      </c>
      <c r="P208" s="187">
        <v>6500</v>
      </c>
      <c r="Q208" s="187">
        <v>6500</v>
      </c>
      <c r="R208" s="182"/>
      <c r="U208" s="128"/>
    </row>
    <row r="209" spans="1:21" ht="15.6" x14ac:dyDescent="0.3">
      <c r="A209" s="53"/>
      <c r="B209" s="54"/>
      <c r="C209" s="54"/>
      <c r="D209" s="54"/>
      <c r="E209" s="55"/>
      <c r="F209" s="75"/>
      <c r="G209" s="76"/>
      <c r="H209" s="76"/>
      <c r="I209" s="48"/>
      <c r="J209" s="70"/>
      <c r="K209" s="70"/>
      <c r="L209" s="183" t="s">
        <v>764</v>
      </c>
      <c r="M209" s="184" t="s">
        <v>765</v>
      </c>
      <c r="N209" s="183" t="s">
        <v>34</v>
      </c>
      <c r="O209" s="185">
        <v>14</v>
      </c>
      <c r="P209" s="186">
        <v>462.44</v>
      </c>
      <c r="Q209" s="187">
        <v>6474.16</v>
      </c>
      <c r="R209" s="182"/>
      <c r="U209" s="128"/>
    </row>
    <row r="210" spans="1:21" ht="15.6" x14ac:dyDescent="0.3">
      <c r="A210" s="53"/>
      <c r="B210" s="54"/>
      <c r="C210" s="54"/>
      <c r="D210" s="54"/>
      <c r="E210" s="55"/>
      <c r="F210" s="75"/>
      <c r="G210" s="76"/>
      <c r="H210" s="76"/>
      <c r="I210" s="48"/>
      <c r="J210" s="70"/>
      <c r="K210" s="70"/>
      <c r="L210" s="183" t="s">
        <v>973</v>
      </c>
      <c r="M210" s="184" t="s">
        <v>759</v>
      </c>
      <c r="N210" s="183" t="s">
        <v>34</v>
      </c>
      <c r="O210" s="185">
        <v>11</v>
      </c>
      <c r="P210" s="186">
        <v>567.96</v>
      </c>
      <c r="Q210" s="187">
        <v>6247.56</v>
      </c>
      <c r="R210" s="182"/>
      <c r="U210" s="128"/>
    </row>
    <row r="211" spans="1:21" ht="15.6" x14ac:dyDescent="0.3">
      <c r="A211" s="53"/>
      <c r="B211" s="54"/>
      <c r="C211" s="54"/>
      <c r="D211" s="54"/>
      <c r="E211" s="55"/>
      <c r="F211" s="75"/>
      <c r="G211" s="76"/>
      <c r="H211" s="76"/>
      <c r="I211" s="48"/>
      <c r="J211" s="70"/>
      <c r="K211" s="70"/>
      <c r="L211" s="183" t="s">
        <v>881</v>
      </c>
      <c r="M211" s="184" t="s">
        <v>1054</v>
      </c>
      <c r="N211" s="183" t="s">
        <v>34</v>
      </c>
      <c r="O211" s="185">
        <v>17</v>
      </c>
      <c r="P211" s="186">
        <v>361.78</v>
      </c>
      <c r="Q211" s="187">
        <v>6150.26</v>
      </c>
      <c r="R211" s="182"/>
      <c r="U211" s="128"/>
    </row>
    <row r="212" spans="1:21" ht="15.6" x14ac:dyDescent="0.3">
      <c r="A212" s="53"/>
      <c r="B212" s="54"/>
      <c r="C212" s="54"/>
      <c r="D212" s="54"/>
      <c r="E212" s="55"/>
      <c r="F212" s="75"/>
      <c r="G212" s="76"/>
      <c r="H212" s="76"/>
      <c r="I212" s="48"/>
      <c r="J212" s="70"/>
      <c r="K212" s="70"/>
      <c r="L212" s="183" t="s">
        <v>1130</v>
      </c>
      <c r="M212" s="184" t="s">
        <v>1216</v>
      </c>
      <c r="N212" s="183" t="s">
        <v>34</v>
      </c>
      <c r="O212" s="185">
        <v>1</v>
      </c>
      <c r="P212" s="187">
        <v>6063.89</v>
      </c>
      <c r="Q212" s="187">
        <v>6063.89</v>
      </c>
      <c r="R212" s="182"/>
      <c r="U212" s="128"/>
    </row>
    <row r="213" spans="1:21" ht="15.6" x14ac:dyDescent="0.3">
      <c r="A213" s="53"/>
      <c r="B213" s="54"/>
      <c r="C213" s="54"/>
      <c r="D213" s="54"/>
      <c r="E213" s="55"/>
      <c r="F213" s="75"/>
      <c r="G213" s="76"/>
      <c r="H213" s="76"/>
      <c r="I213" s="48"/>
      <c r="J213" s="70"/>
      <c r="K213" s="70"/>
      <c r="L213" s="183" t="s">
        <v>1123</v>
      </c>
      <c r="M213" s="184" t="s">
        <v>1209</v>
      </c>
      <c r="N213" s="183" t="s">
        <v>34</v>
      </c>
      <c r="O213" s="185">
        <v>1</v>
      </c>
      <c r="P213" s="186">
        <v>192.6</v>
      </c>
      <c r="Q213" s="186">
        <v>192.6</v>
      </c>
      <c r="R213" s="182"/>
      <c r="U213" s="128"/>
    </row>
    <row r="214" spans="1:21" ht="15.6" x14ac:dyDescent="0.3">
      <c r="A214" s="53"/>
      <c r="B214" s="54"/>
      <c r="C214" s="54"/>
      <c r="D214" s="54"/>
      <c r="E214" s="55"/>
      <c r="F214" s="75"/>
      <c r="G214" s="76"/>
      <c r="H214" s="76"/>
      <c r="I214" s="48"/>
      <c r="J214" s="70"/>
      <c r="K214" s="70"/>
      <c r="L214" s="183" t="s">
        <v>862</v>
      </c>
      <c r="M214" s="184" t="s">
        <v>1045</v>
      </c>
      <c r="N214" s="183" t="s">
        <v>34</v>
      </c>
      <c r="O214" s="185">
        <v>1</v>
      </c>
      <c r="P214" s="187">
        <v>14582.5</v>
      </c>
      <c r="Q214" s="187">
        <v>14582.5</v>
      </c>
      <c r="R214" s="182"/>
      <c r="U214" s="128"/>
    </row>
    <row r="215" spans="1:21" ht="15.6" x14ac:dyDescent="0.3">
      <c r="A215" s="53"/>
      <c r="B215" s="54"/>
      <c r="C215" s="54"/>
      <c r="D215" s="54"/>
      <c r="E215" s="55"/>
      <c r="F215" s="75"/>
      <c r="G215" s="76"/>
      <c r="H215" s="76"/>
      <c r="I215" s="48"/>
      <c r="J215" s="70"/>
      <c r="K215" s="70"/>
      <c r="L215" s="183" t="s">
        <v>1011</v>
      </c>
      <c r="M215" s="184" t="s">
        <v>815</v>
      </c>
      <c r="N215" s="183" t="s">
        <v>34</v>
      </c>
      <c r="O215" s="185">
        <v>14</v>
      </c>
      <c r="P215" s="186">
        <v>795.62</v>
      </c>
      <c r="Q215" s="187">
        <v>11138.74</v>
      </c>
      <c r="R215" s="182"/>
      <c r="U215" s="128"/>
    </row>
    <row r="216" spans="1:21" ht="15.6" x14ac:dyDescent="0.3">
      <c r="A216" s="53"/>
      <c r="B216" s="54"/>
      <c r="C216" s="54"/>
      <c r="D216" s="54"/>
      <c r="E216" s="55"/>
      <c r="F216" s="75"/>
      <c r="G216" s="76"/>
      <c r="H216" s="76"/>
      <c r="I216" s="48"/>
      <c r="J216" s="70"/>
      <c r="K216" s="70"/>
      <c r="L216" s="183" t="s">
        <v>979</v>
      </c>
      <c r="M216" s="184" t="s">
        <v>73</v>
      </c>
      <c r="N216" s="183" t="s">
        <v>34</v>
      </c>
      <c r="O216" s="185">
        <v>3</v>
      </c>
      <c r="P216" s="186">
        <v>377.87</v>
      </c>
      <c r="Q216" s="187">
        <v>1133.6099999999999</v>
      </c>
      <c r="R216" s="182"/>
      <c r="U216" s="128"/>
    </row>
    <row r="217" spans="1:21" ht="15.6" x14ac:dyDescent="0.3">
      <c r="A217" s="53"/>
      <c r="B217" s="54"/>
      <c r="C217" s="54"/>
      <c r="D217" s="54"/>
      <c r="E217" s="55"/>
      <c r="F217" s="75"/>
      <c r="G217" s="76"/>
      <c r="H217" s="76"/>
      <c r="I217" s="48"/>
      <c r="J217" s="70"/>
      <c r="K217" s="70"/>
      <c r="L217" s="183" t="s">
        <v>1099</v>
      </c>
      <c r="M217" s="184" t="s">
        <v>1100</v>
      </c>
      <c r="N217" s="183" t="s">
        <v>34</v>
      </c>
      <c r="O217" s="185">
        <v>1</v>
      </c>
      <c r="P217" s="186">
        <v>35</v>
      </c>
      <c r="Q217" s="186">
        <v>35</v>
      </c>
      <c r="R217" s="182"/>
      <c r="U217" s="128"/>
    </row>
    <row r="218" spans="1:21" ht="15.6" x14ac:dyDescent="0.3">
      <c r="A218" s="53"/>
      <c r="B218" s="54"/>
      <c r="C218" s="54"/>
      <c r="D218" s="54"/>
      <c r="E218" s="55"/>
      <c r="F218" s="75"/>
      <c r="G218" s="76"/>
      <c r="H218" s="76"/>
      <c r="I218" s="48"/>
      <c r="J218" s="70"/>
      <c r="K218" s="70"/>
      <c r="L218" s="183" t="s">
        <v>164</v>
      </c>
      <c r="M218" s="184" t="s">
        <v>165</v>
      </c>
      <c r="N218" s="183" t="s">
        <v>34</v>
      </c>
      <c r="O218" s="185">
        <v>1</v>
      </c>
      <c r="P218" s="186">
        <v>323.87</v>
      </c>
      <c r="Q218" s="186">
        <v>323.87</v>
      </c>
      <c r="R218" s="182"/>
      <c r="U218" s="128"/>
    </row>
    <row r="219" spans="1:21" ht="15.6" x14ac:dyDescent="0.3">
      <c r="A219" s="53"/>
      <c r="B219" s="54"/>
      <c r="C219" s="54"/>
      <c r="D219" s="54"/>
      <c r="E219" s="55"/>
      <c r="F219" s="75"/>
      <c r="G219" s="76"/>
      <c r="H219" s="76"/>
      <c r="I219" s="48"/>
      <c r="J219" s="70"/>
      <c r="K219" s="70"/>
      <c r="L219" s="183" t="s">
        <v>282</v>
      </c>
      <c r="M219" s="184" t="s">
        <v>283</v>
      </c>
      <c r="N219" s="183" t="s">
        <v>34</v>
      </c>
      <c r="O219" s="185">
        <v>1</v>
      </c>
      <c r="P219" s="186">
        <v>81.599999999999994</v>
      </c>
      <c r="Q219" s="186">
        <v>81.599999999999994</v>
      </c>
      <c r="R219" s="182"/>
      <c r="U219" s="128"/>
    </row>
    <row r="220" spans="1:21" ht="15.6" x14ac:dyDescent="0.3">
      <c r="A220" s="53"/>
      <c r="B220" s="54"/>
      <c r="C220" s="54"/>
      <c r="D220" s="54"/>
      <c r="E220" s="55"/>
      <c r="F220" s="75"/>
      <c r="G220" s="76"/>
      <c r="H220" s="76"/>
      <c r="I220" s="48"/>
      <c r="J220" s="70"/>
      <c r="K220" s="70"/>
      <c r="L220" s="183" t="s">
        <v>980</v>
      </c>
      <c r="M220" s="184" t="s">
        <v>284</v>
      </c>
      <c r="N220" s="183" t="s">
        <v>34</v>
      </c>
      <c r="O220" s="185">
        <v>3</v>
      </c>
      <c r="P220" s="186">
        <v>84.36</v>
      </c>
      <c r="Q220" s="186">
        <v>253.08</v>
      </c>
      <c r="R220" s="182"/>
      <c r="U220" s="128"/>
    </row>
    <row r="221" spans="1:21" ht="15.6" x14ac:dyDescent="0.3">
      <c r="A221" s="53"/>
      <c r="B221" s="54"/>
      <c r="C221" s="54"/>
      <c r="D221" s="54"/>
      <c r="E221" s="55"/>
      <c r="F221" s="75"/>
      <c r="G221" s="76"/>
      <c r="H221" s="76"/>
      <c r="I221" s="48"/>
      <c r="J221" s="70"/>
      <c r="K221" s="70"/>
      <c r="L221" s="183" t="s">
        <v>1092</v>
      </c>
      <c r="M221" s="184" t="s">
        <v>1096</v>
      </c>
      <c r="N221" s="183" t="s">
        <v>34</v>
      </c>
      <c r="O221" s="185">
        <v>1</v>
      </c>
      <c r="P221" s="186">
        <v>128.24</v>
      </c>
      <c r="Q221" s="186">
        <v>128.24</v>
      </c>
      <c r="R221" s="182"/>
      <c r="U221" s="128"/>
    </row>
    <row r="222" spans="1:21" ht="15.6" x14ac:dyDescent="0.3">
      <c r="A222" s="53"/>
      <c r="B222" s="54"/>
      <c r="C222" s="54"/>
      <c r="D222" s="54"/>
      <c r="E222" s="55"/>
      <c r="F222" s="75"/>
      <c r="G222" s="76"/>
      <c r="H222" s="76"/>
      <c r="I222" s="48"/>
      <c r="J222" s="70"/>
      <c r="K222" s="70"/>
      <c r="L222" s="183" t="s">
        <v>879</v>
      </c>
      <c r="M222" s="184" t="s">
        <v>880</v>
      </c>
      <c r="N222" s="183" t="s">
        <v>34</v>
      </c>
      <c r="O222" s="185">
        <v>1</v>
      </c>
      <c r="P222" s="187">
        <v>2999.17</v>
      </c>
      <c r="Q222" s="187">
        <v>2999.17</v>
      </c>
      <c r="R222" s="182"/>
      <c r="U222" s="128"/>
    </row>
    <row r="223" spans="1:21" ht="15.6" x14ac:dyDescent="0.3">
      <c r="A223" s="53"/>
      <c r="B223" s="54"/>
      <c r="C223" s="54"/>
      <c r="D223" s="54"/>
      <c r="E223" s="55"/>
      <c r="F223" s="75"/>
      <c r="G223" s="76"/>
      <c r="H223" s="76"/>
      <c r="I223" s="48"/>
      <c r="J223" s="70"/>
      <c r="K223" s="70"/>
      <c r="L223" s="183" t="s">
        <v>1138</v>
      </c>
      <c r="M223" s="184" t="s">
        <v>1225</v>
      </c>
      <c r="N223" s="183" t="s">
        <v>34</v>
      </c>
      <c r="O223" s="185">
        <v>2</v>
      </c>
      <c r="P223" s="186">
        <v>99.92</v>
      </c>
      <c r="Q223" s="186">
        <v>199.84</v>
      </c>
      <c r="R223" s="182"/>
      <c r="U223" s="128"/>
    </row>
    <row r="224" spans="1:21" ht="15.6" x14ac:dyDescent="0.3">
      <c r="A224" s="53"/>
      <c r="B224" s="54"/>
      <c r="C224" s="54"/>
      <c r="D224" s="54"/>
      <c r="E224" s="55"/>
      <c r="F224" s="75"/>
      <c r="G224" s="76"/>
      <c r="H224" s="76"/>
      <c r="I224" s="48"/>
      <c r="J224" s="70"/>
      <c r="K224" s="70"/>
      <c r="L224" s="183" t="s">
        <v>981</v>
      </c>
      <c r="M224" s="184" t="s">
        <v>285</v>
      </c>
      <c r="N224" s="183" t="s">
        <v>34</v>
      </c>
      <c r="O224" s="185">
        <v>1</v>
      </c>
      <c r="P224" s="186">
        <v>85.3</v>
      </c>
      <c r="Q224" s="186">
        <v>85.3</v>
      </c>
      <c r="R224" s="182"/>
      <c r="U224" s="128"/>
    </row>
    <row r="225" spans="1:21" ht="15.6" x14ac:dyDescent="0.3">
      <c r="A225" s="53"/>
      <c r="B225" s="54"/>
      <c r="C225" s="54"/>
      <c r="D225" s="54"/>
      <c r="E225" s="55"/>
      <c r="F225" s="75"/>
      <c r="G225" s="76"/>
      <c r="H225" s="76"/>
      <c r="I225" s="48"/>
      <c r="J225" s="70"/>
      <c r="K225" s="70"/>
      <c r="L225" s="183" t="s">
        <v>982</v>
      </c>
      <c r="M225" s="184" t="s">
        <v>751</v>
      </c>
      <c r="N225" s="183" t="s">
        <v>34</v>
      </c>
      <c r="O225" s="185">
        <v>3</v>
      </c>
      <c r="P225" s="186">
        <v>15.5</v>
      </c>
      <c r="Q225" s="186">
        <v>46.5</v>
      </c>
      <c r="R225" s="182"/>
      <c r="U225" s="128"/>
    </row>
    <row r="226" spans="1:21" ht="15.6" x14ac:dyDescent="0.3">
      <c r="A226" s="53"/>
      <c r="B226" s="54"/>
      <c r="C226" s="54"/>
      <c r="D226" s="54"/>
      <c r="E226" s="55"/>
      <c r="F226" s="75"/>
      <c r="G226" s="76"/>
      <c r="H226" s="76"/>
      <c r="I226" s="48"/>
      <c r="J226" s="70"/>
      <c r="K226" s="70"/>
      <c r="L226" s="183" t="s">
        <v>976</v>
      </c>
      <c r="M226" s="184" t="s">
        <v>163</v>
      </c>
      <c r="N226" s="183" t="s">
        <v>34</v>
      </c>
      <c r="O226" s="185">
        <v>1</v>
      </c>
      <c r="P226" s="186">
        <v>56.1</v>
      </c>
      <c r="Q226" s="186">
        <v>56.1</v>
      </c>
      <c r="R226" s="182"/>
      <c r="U226" s="128"/>
    </row>
    <row r="227" spans="1:21" ht="15.6" x14ac:dyDescent="0.3">
      <c r="A227" s="53"/>
      <c r="B227" s="54"/>
      <c r="C227" s="54"/>
      <c r="D227" s="54"/>
      <c r="E227" s="55"/>
      <c r="F227" s="75"/>
      <c r="G227" s="76"/>
      <c r="H227" s="76"/>
      <c r="I227" s="48"/>
      <c r="J227" s="70"/>
      <c r="K227" s="70"/>
      <c r="L227" s="183" t="s">
        <v>977</v>
      </c>
      <c r="M227" s="184" t="s">
        <v>1057</v>
      </c>
      <c r="N227" s="183" t="s">
        <v>34</v>
      </c>
      <c r="O227" s="185">
        <v>111</v>
      </c>
      <c r="P227" s="186">
        <v>3.94</v>
      </c>
      <c r="Q227" s="186">
        <v>437.34</v>
      </c>
      <c r="R227" s="182"/>
      <c r="U227" s="128"/>
    </row>
    <row r="228" spans="1:21" ht="15.6" x14ac:dyDescent="0.3">
      <c r="A228" s="53"/>
      <c r="B228" s="54"/>
      <c r="C228" s="54"/>
      <c r="D228" s="54"/>
      <c r="E228" s="55"/>
      <c r="F228" s="75"/>
      <c r="G228" s="76"/>
      <c r="H228" s="76"/>
      <c r="I228" s="48"/>
      <c r="J228" s="70"/>
      <c r="K228" s="70"/>
      <c r="L228" s="183" t="s">
        <v>978</v>
      </c>
      <c r="M228" s="184" t="s">
        <v>1058</v>
      </c>
      <c r="N228" s="183" t="s">
        <v>34</v>
      </c>
      <c r="O228" s="185">
        <v>190</v>
      </c>
      <c r="P228" s="186">
        <v>2.4300000000000002</v>
      </c>
      <c r="Q228" s="186">
        <v>461.7</v>
      </c>
      <c r="R228" s="182"/>
      <c r="U228" s="128"/>
    </row>
    <row r="229" spans="1:21" ht="15.6" x14ac:dyDescent="0.3">
      <c r="A229" s="53"/>
      <c r="B229" s="54"/>
      <c r="C229" s="54"/>
      <c r="D229" s="54"/>
      <c r="E229" s="55"/>
      <c r="F229" s="75"/>
      <c r="G229" s="76"/>
      <c r="H229" s="76"/>
      <c r="I229" s="48"/>
      <c r="J229" s="70"/>
      <c r="K229" s="70"/>
      <c r="L229" s="183" t="s">
        <v>736</v>
      </c>
      <c r="M229" s="184" t="s">
        <v>737</v>
      </c>
      <c r="N229" s="183" t="s">
        <v>34</v>
      </c>
      <c r="O229" s="185">
        <v>170</v>
      </c>
      <c r="P229" s="186">
        <v>3.94</v>
      </c>
      <c r="Q229" s="186">
        <v>669.8</v>
      </c>
      <c r="R229" s="182"/>
      <c r="U229" s="128"/>
    </row>
    <row r="230" spans="1:21" ht="15.6" x14ac:dyDescent="0.3">
      <c r="A230" s="53"/>
      <c r="B230" s="54"/>
      <c r="C230" s="54"/>
      <c r="D230" s="54"/>
      <c r="E230" s="55"/>
      <c r="F230" s="75"/>
      <c r="G230" s="76"/>
      <c r="H230" s="76"/>
      <c r="I230" s="48"/>
      <c r="J230" s="70"/>
      <c r="K230" s="70"/>
      <c r="L230" s="183" t="s">
        <v>738</v>
      </c>
      <c r="M230" s="184" t="s">
        <v>739</v>
      </c>
      <c r="N230" s="183" t="s">
        <v>34</v>
      </c>
      <c r="O230" s="185">
        <v>186</v>
      </c>
      <c r="P230" s="186">
        <v>5.39</v>
      </c>
      <c r="Q230" s="187">
        <v>1002.54</v>
      </c>
      <c r="R230" s="182"/>
      <c r="U230" s="128"/>
    </row>
    <row r="231" spans="1:21" ht="15.6" x14ac:dyDescent="0.3">
      <c r="A231" s="53"/>
      <c r="B231" s="54"/>
      <c r="C231" s="54"/>
      <c r="D231" s="54"/>
      <c r="E231" s="55"/>
      <c r="F231" s="75"/>
      <c r="G231" s="76"/>
      <c r="H231" s="76"/>
      <c r="I231" s="48"/>
      <c r="J231" s="70"/>
      <c r="K231" s="70"/>
      <c r="L231" s="183" t="s">
        <v>1136</v>
      </c>
      <c r="M231" s="184" t="s">
        <v>1223</v>
      </c>
      <c r="N231" s="183" t="s">
        <v>34</v>
      </c>
      <c r="O231" s="185">
        <v>0.13600000000000001</v>
      </c>
      <c r="P231" s="186">
        <v>152.5</v>
      </c>
      <c r="Q231" s="186">
        <v>20.74</v>
      </c>
      <c r="R231" s="182"/>
      <c r="U231" s="128"/>
    </row>
    <row r="232" spans="1:21" ht="15.6" x14ac:dyDescent="0.3">
      <c r="A232" s="53"/>
      <c r="B232" s="54"/>
      <c r="C232" s="54"/>
      <c r="D232" s="54"/>
      <c r="E232" s="55"/>
      <c r="F232" s="75"/>
      <c r="G232" s="76"/>
      <c r="H232" s="76"/>
      <c r="I232" s="48"/>
      <c r="J232" s="70"/>
      <c r="K232" s="70"/>
      <c r="L232" s="183" t="s">
        <v>271</v>
      </c>
      <c r="M232" s="184" t="s">
        <v>1059</v>
      </c>
      <c r="N232" s="183" t="s">
        <v>34</v>
      </c>
      <c r="O232" s="185">
        <v>4</v>
      </c>
      <c r="P232" s="186">
        <v>52.86</v>
      </c>
      <c r="Q232" s="186">
        <v>211.44</v>
      </c>
      <c r="R232" s="182"/>
      <c r="U232" s="128"/>
    </row>
    <row r="233" spans="1:21" ht="15.6" x14ac:dyDescent="0.3">
      <c r="A233" s="53"/>
      <c r="B233" s="54"/>
      <c r="C233" s="54"/>
      <c r="D233" s="54"/>
      <c r="E233" s="55"/>
      <c r="F233" s="75"/>
      <c r="G233" s="76"/>
      <c r="H233" s="76"/>
      <c r="I233" s="48"/>
      <c r="J233" s="70"/>
      <c r="K233" s="70"/>
      <c r="L233" s="183" t="s">
        <v>58</v>
      </c>
      <c r="M233" s="184" t="s">
        <v>67</v>
      </c>
      <c r="N233" s="183" t="s">
        <v>34</v>
      </c>
      <c r="O233" s="185">
        <v>9</v>
      </c>
      <c r="P233" s="186">
        <v>53.76</v>
      </c>
      <c r="Q233" s="186">
        <v>483.84</v>
      </c>
      <c r="R233" s="182"/>
      <c r="U233" s="128"/>
    </row>
    <row r="234" spans="1:21" ht="30" x14ac:dyDescent="0.3">
      <c r="A234" s="53"/>
      <c r="B234" s="54"/>
      <c r="C234" s="54"/>
      <c r="D234" s="54"/>
      <c r="E234" s="55"/>
      <c r="F234" s="75"/>
      <c r="G234" s="76"/>
      <c r="H234" s="76"/>
      <c r="I234" s="48"/>
      <c r="J234" s="70"/>
      <c r="K234" s="70"/>
      <c r="L234" s="183" t="s">
        <v>273</v>
      </c>
      <c r="M234" s="184" t="s">
        <v>274</v>
      </c>
      <c r="N234" s="183" t="s">
        <v>34</v>
      </c>
      <c r="O234" s="185">
        <v>2</v>
      </c>
      <c r="P234" s="186">
        <v>54.97</v>
      </c>
      <c r="Q234" s="186">
        <v>109.94</v>
      </c>
      <c r="R234" s="182"/>
      <c r="U234" s="128"/>
    </row>
    <row r="235" spans="1:21" ht="15.6" x14ac:dyDescent="0.3">
      <c r="A235" s="53"/>
      <c r="B235" s="54"/>
      <c r="C235" s="54"/>
      <c r="D235" s="54"/>
      <c r="E235" s="55"/>
      <c r="F235" s="75"/>
      <c r="G235" s="76"/>
      <c r="H235" s="76"/>
      <c r="I235" s="48"/>
      <c r="J235" s="70"/>
      <c r="K235" s="70"/>
      <c r="L235" s="183" t="s">
        <v>954</v>
      </c>
      <c r="M235" s="184" t="s">
        <v>1048</v>
      </c>
      <c r="N235" s="183" t="s">
        <v>34</v>
      </c>
      <c r="O235" s="185">
        <v>0.05</v>
      </c>
      <c r="P235" s="186">
        <v>291</v>
      </c>
      <c r="Q235" s="186">
        <v>14.55</v>
      </c>
      <c r="R235" s="182"/>
      <c r="U235" s="128"/>
    </row>
    <row r="236" spans="1:21" ht="15.6" x14ac:dyDescent="0.3">
      <c r="A236" s="53"/>
      <c r="B236" s="54"/>
      <c r="C236" s="54"/>
      <c r="D236" s="54"/>
      <c r="E236" s="55"/>
      <c r="F236" s="75"/>
      <c r="G236" s="76"/>
      <c r="H236" s="76"/>
      <c r="I236" s="48"/>
      <c r="J236" s="70"/>
      <c r="K236" s="70"/>
      <c r="L236" s="183" t="s">
        <v>1140</v>
      </c>
      <c r="M236" s="184" t="s">
        <v>1227</v>
      </c>
      <c r="N236" s="183" t="s">
        <v>34</v>
      </c>
      <c r="O236" s="185">
        <v>2</v>
      </c>
      <c r="P236" s="187">
        <v>1042.5</v>
      </c>
      <c r="Q236" s="187">
        <v>2085</v>
      </c>
      <c r="R236" s="182"/>
      <c r="U236" s="128"/>
    </row>
    <row r="237" spans="1:21" ht="15.6" x14ac:dyDescent="0.3">
      <c r="A237" s="53"/>
      <c r="B237" s="54"/>
      <c r="C237" s="54"/>
      <c r="D237" s="54"/>
      <c r="E237" s="55"/>
      <c r="F237" s="75"/>
      <c r="G237" s="76"/>
      <c r="H237" s="76"/>
      <c r="I237" s="48"/>
      <c r="J237" s="70"/>
      <c r="K237" s="70"/>
      <c r="L237" s="183" t="s">
        <v>768</v>
      </c>
      <c r="M237" s="184" t="s">
        <v>769</v>
      </c>
      <c r="N237" s="183" t="s">
        <v>34</v>
      </c>
      <c r="O237" s="185">
        <v>7</v>
      </c>
      <c r="P237" s="186">
        <v>10</v>
      </c>
      <c r="Q237" s="186">
        <v>70</v>
      </c>
      <c r="R237" s="182"/>
      <c r="U237" s="128"/>
    </row>
    <row r="238" spans="1:21" ht="15.6" x14ac:dyDescent="0.3">
      <c r="A238" s="53"/>
      <c r="B238" s="54"/>
      <c r="C238" s="54"/>
      <c r="D238" s="54"/>
      <c r="E238" s="55"/>
      <c r="F238" s="75"/>
      <c r="G238" s="76"/>
      <c r="H238" s="76"/>
      <c r="I238" s="48"/>
      <c r="J238" s="70"/>
      <c r="K238" s="70"/>
      <c r="L238" s="183" t="s">
        <v>955</v>
      </c>
      <c r="M238" s="184" t="s">
        <v>770</v>
      </c>
      <c r="N238" s="183" t="s">
        <v>34</v>
      </c>
      <c r="O238" s="185">
        <v>1</v>
      </c>
      <c r="P238" s="186">
        <v>53</v>
      </c>
      <c r="Q238" s="186">
        <v>53</v>
      </c>
      <c r="R238" s="182"/>
      <c r="U238" s="128"/>
    </row>
    <row r="239" spans="1:21" ht="15.6" x14ac:dyDescent="0.3">
      <c r="A239" s="53"/>
      <c r="B239" s="54"/>
      <c r="C239" s="54"/>
      <c r="D239" s="54"/>
      <c r="E239" s="55"/>
      <c r="F239" s="75"/>
      <c r="G239" s="76"/>
      <c r="H239" s="76"/>
      <c r="I239" s="48"/>
      <c r="J239" s="70"/>
      <c r="K239" s="70"/>
      <c r="L239" s="183" t="s">
        <v>956</v>
      </c>
      <c r="M239" s="184" t="s">
        <v>328</v>
      </c>
      <c r="N239" s="183" t="s">
        <v>34</v>
      </c>
      <c r="O239" s="185">
        <v>13</v>
      </c>
      <c r="P239" s="186">
        <v>65.7</v>
      </c>
      <c r="Q239" s="186">
        <v>854.1</v>
      </c>
      <c r="R239" s="182"/>
      <c r="U239" s="128"/>
    </row>
    <row r="240" spans="1:21" ht="15.6" x14ac:dyDescent="0.3">
      <c r="A240" s="53"/>
      <c r="B240" s="54"/>
      <c r="C240" s="54"/>
      <c r="D240" s="54"/>
      <c r="E240" s="55"/>
      <c r="F240" s="75"/>
      <c r="G240" s="76"/>
      <c r="H240" s="76"/>
      <c r="I240" s="48"/>
      <c r="J240" s="70"/>
      <c r="K240" s="70"/>
      <c r="L240" s="183" t="s">
        <v>771</v>
      </c>
      <c r="M240" s="184" t="s">
        <v>772</v>
      </c>
      <c r="N240" s="183" t="s">
        <v>34</v>
      </c>
      <c r="O240" s="185">
        <v>6</v>
      </c>
      <c r="P240" s="186">
        <v>205.22</v>
      </c>
      <c r="Q240" s="187">
        <v>1231.33</v>
      </c>
      <c r="R240" s="182"/>
      <c r="U240" s="128"/>
    </row>
    <row r="241" spans="1:21" ht="15.6" x14ac:dyDescent="0.3">
      <c r="A241" s="53"/>
      <c r="B241" s="54"/>
      <c r="C241" s="54"/>
      <c r="D241" s="54"/>
      <c r="E241" s="55"/>
      <c r="F241" s="75"/>
      <c r="G241" s="76"/>
      <c r="H241" s="76"/>
      <c r="I241" s="48"/>
      <c r="J241" s="70"/>
      <c r="K241" s="70"/>
      <c r="L241" s="183" t="s">
        <v>957</v>
      </c>
      <c r="M241" s="184" t="s">
        <v>1049</v>
      </c>
      <c r="N241" s="183" t="s">
        <v>34</v>
      </c>
      <c r="O241" s="185">
        <v>10</v>
      </c>
      <c r="P241" s="186">
        <v>78.3</v>
      </c>
      <c r="Q241" s="186">
        <v>783</v>
      </c>
      <c r="R241" s="182"/>
      <c r="U241" s="128"/>
    </row>
    <row r="242" spans="1:21" ht="15.6" x14ac:dyDescent="0.3">
      <c r="A242" s="53"/>
      <c r="B242" s="54"/>
      <c r="C242" s="54"/>
      <c r="D242" s="54"/>
      <c r="E242" s="55"/>
      <c r="F242" s="75"/>
      <c r="G242" s="76"/>
      <c r="H242" s="76"/>
      <c r="I242" s="48"/>
      <c r="J242" s="70"/>
      <c r="K242" s="70"/>
      <c r="L242" s="183" t="s">
        <v>958</v>
      </c>
      <c r="M242" s="184" t="s">
        <v>337</v>
      </c>
      <c r="N242" s="183" t="s">
        <v>34</v>
      </c>
      <c r="O242" s="185">
        <v>2</v>
      </c>
      <c r="P242" s="186">
        <v>22.3</v>
      </c>
      <c r="Q242" s="186">
        <v>44.6</v>
      </c>
      <c r="R242" s="182"/>
      <c r="U242" s="128"/>
    </row>
    <row r="243" spans="1:21" ht="15.6" x14ac:dyDescent="0.3">
      <c r="A243" s="53"/>
      <c r="B243" s="54"/>
      <c r="C243" s="54"/>
      <c r="D243" s="54"/>
      <c r="E243" s="55"/>
      <c r="F243" s="75"/>
      <c r="G243" s="76"/>
      <c r="H243" s="76"/>
      <c r="I243" s="48"/>
      <c r="J243" s="70"/>
      <c r="K243" s="70"/>
      <c r="L243" s="183" t="s">
        <v>905</v>
      </c>
      <c r="M243" s="184" t="s">
        <v>906</v>
      </c>
      <c r="N243" s="183" t="s">
        <v>34</v>
      </c>
      <c r="O243" s="185">
        <v>3</v>
      </c>
      <c r="P243" s="186">
        <v>10</v>
      </c>
      <c r="Q243" s="186">
        <v>30</v>
      </c>
      <c r="R243" s="182"/>
      <c r="U243" s="128"/>
    </row>
    <row r="244" spans="1:21" ht="15.6" x14ac:dyDescent="0.3">
      <c r="A244" s="53"/>
      <c r="B244" s="54"/>
      <c r="C244" s="54"/>
      <c r="D244" s="54"/>
      <c r="E244" s="55"/>
      <c r="F244" s="75"/>
      <c r="G244" s="76"/>
      <c r="H244" s="76"/>
      <c r="I244" s="48"/>
      <c r="J244" s="70"/>
      <c r="K244" s="70"/>
      <c r="L244" s="183" t="s">
        <v>907</v>
      </c>
      <c r="M244" s="184" t="s">
        <v>908</v>
      </c>
      <c r="N244" s="183" t="s">
        <v>34</v>
      </c>
      <c r="O244" s="185">
        <v>3</v>
      </c>
      <c r="P244" s="186">
        <v>10</v>
      </c>
      <c r="Q244" s="186">
        <v>30</v>
      </c>
      <c r="R244" s="182"/>
      <c r="U244" s="128"/>
    </row>
    <row r="245" spans="1:21" ht="15.6" x14ac:dyDescent="0.3">
      <c r="A245" s="53"/>
      <c r="B245" s="54"/>
      <c r="C245" s="54"/>
      <c r="D245" s="54"/>
      <c r="E245" s="55"/>
      <c r="F245" s="75"/>
      <c r="G245" s="76"/>
      <c r="H245" s="76"/>
      <c r="I245" s="48"/>
      <c r="J245" s="70"/>
      <c r="K245" s="70"/>
      <c r="L245" s="183" t="s">
        <v>340</v>
      </c>
      <c r="M245" s="184" t="s">
        <v>341</v>
      </c>
      <c r="N245" s="183" t="s">
        <v>34</v>
      </c>
      <c r="O245" s="185">
        <v>1</v>
      </c>
      <c r="P245" s="186">
        <v>432.25</v>
      </c>
      <c r="Q245" s="186">
        <v>432.25</v>
      </c>
      <c r="R245" s="182"/>
      <c r="U245" s="128"/>
    </row>
    <row r="246" spans="1:21" ht="15.6" x14ac:dyDescent="0.3">
      <c r="A246" s="53"/>
      <c r="B246" s="54"/>
      <c r="C246" s="54"/>
      <c r="D246" s="54"/>
      <c r="E246" s="55"/>
      <c r="F246" s="75"/>
      <c r="G246" s="76"/>
      <c r="H246" s="76"/>
      <c r="I246" s="48"/>
      <c r="J246" s="70"/>
      <c r="K246" s="70"/>
      <c r="L246" s="183" t="s">
        <v>1147</v>
      </c>
      <c r="M246" s="184" t="s">
        <v>1234</v>
      </c>
      <c r="N246" s="183" t="s">
        <v>34</v>
      </c>
      <c r="O246" s="185">
        <v>1</v>
      </c>
      <c r="P246" s="186">
        <v>876.68</v>
      </c>
      <c r="Q246" s="186">
        <v>876.68</v>
      </c>
      <c r="R246" s="182"/>
      <c r="U246" s="128"/>
    </row>
    <row r="247" spans="1:21" ht="15.6" x14ac:dyDescent="0.3">
      <c r="A247" s="53"/>
      <c r="B247" s="54"/>
      <c r="C247" s="54"/>
      <c r="D247" s="54"/>
      <c r="E247" s="55"/>
      <c r="F247" s="75"/>
      <c r="G247" s="76"/>
      <c r="H247" s="76"/>
      <c r="I247" s="48"/>
      <c r="J247" s="70"/>
      <c r="K247" s="70"/>
      <c r="L247" s="183" t="s">
        <v>1148</v>
      </c>
      <c r="M247" s="184" t="s">
        <v>1235</v>
      </c>
      <c r="N247" s="183" t="s">
        <v>34</v>
      </c>
      <c r="O247" s="185">
        <v>1</v>
      </c>
      <c r="P247" s="186">
        <v>257.81</v>
      </c>
      <c r="Q247" s="186">
        <v>257.81</v>
      </c>
      <c r="R247" s="182"/>
      <c r="U247" s="128"/>
    </row>
    <row r="248" spans="1:21" ht="15.6" x14ac:dyDescent="0.3">
      <c r="A248" s="53"/>
      <c r="B248" s="54"/>
      <c r="C248" s="54"/>
      <c r="D248" s="54"/>
      <c r="E248" s="55"/>
      <c r="F248" s="75"/>
      <c r="G248" s="76"/>
      <c r="H248" s="76"/>
      <c r="I248" s="48"/>
      <c r="J248" s="70"/>
      <c r="K248" s="70"/>
      <c r="L248" s="183" t="s">
        <v>952</v>
      </c>
      <c r="M248" s="184" t="s">
        <v>777</v>
      </c>
      <c r="N248" s="183" t="s">
        <v>34</v>
      </c>
      <c r="O248" s="185">
        <v>0.5</v>
      </c>
      <c r="P248" s="186">
        <v>257.82</v>
      </c>
      <c r="Q248" s="186">
        <v>128.91</v>
      </c>
      <c r="R248" s="182"/>
      <c r="U248" s="128"/>
    </row>
    <row r="249" spans="1:21" ht="15.6" customHeight="1" x14ac:dyDescent="0.3">
      <c r="A249" s="53"/>
      <c r="B249" s="54"/>
      <c r="C249" s="54"/>
      <c r="D249" s="54"/>
      <c r="E249" s="55"/>
      <c r="F249" s="75"/>
      <c r="G249" s="76"/>
      <c r="H249" s="76"/>
      <c r="I249" s="48"/>
      <c r="J249" s="70"/>
      <c r="K249" s="70"/>
      <c r="L249" s="183" t="s">
        <v>766</v>
      </c>
      <c r="M249" s="184" t="s">
        <v>767</v>
      </c>
      <c r="N249" s="183" t="s">
        <v>34</v>
      </c>
      <c r="O249" s="185">
        <v>1</v>
      </c>
      <c r="P249" s="187">
        <v>10441.39</v>
      </c>
      <c r="Q249" s="187">
        <v>10441.39</v>
      </c>
      <c r="R249" s="182"/>
      <c r="U249" s="128"/>
    </row>
    <row r="250" spans="1:21" ht="15.6" x14ac:dyDescent="0.3">
      <c r="A250" s="53"/>
      <c r="B250" s="54"/>
      <c r="C250" s="54"/>
      <c r="D250" s="54"/>
      <c r="E250" s="55"/>
      <c r="F250" s="75"/>
      <c r="G250" s="76"/>
      <c r="H250" s="76"/>
      <c r="I250" s="48"/>
      <c r="J250" s="70"/>
      <c r="K250" s="70"/>
      <c r="L250" s="183" t="s">
        <v>1162</v>
      </c>
      <c r="M250" s="184" t="s">
        <v>1247</v>
      </c>
      <c r="N250" s="183" t="s">
        <v>34</v>
      </c>
      <c r="O250" s="185">
        <v>6</v>
      </c>
      <c r="P250" s="186">
        <v>466.46</v>
      </c>
      <c r="Q250" s="187">
        <v>2798.76</v>
      </c>
      <c r="R250" s="182"/>
      <c r="U250" s="128"/>
    </row>
    <row r="251" spans="1:21" ht="30" x14ac:dyDescent="0.3">
      <c r="A251" s="53"/>
      <c r="B251" s="54"/>
      <c r="C251" s="54"/>
      <c r="D251" s="54"/>
      <c r="E251" s="55"/>
      <c r="F251" s="75"/>
      <c r="G251" s="76"/>
      <c r="H251" s="76"/>
      <c r="I251" s="48"/>
      <c r="J251" s="70"/>
      <c r="K251" s="70"/>
      <c r="L251" s="183" t="s">
        <v>959</v>
      </c>
      <c r="M251" s="184" t="s">
        <v>1050</v>
      </c>
      <c r="N251" s="183" t="s">
        <v>34</v>
      </c>
      <c r="O251" s="185">
        <v>9</v>
      </c>
      <c r="P251" s="186">
        <v>13.9</v>
      </c>
      <c r="Q251" s="186">
        <v>125.1</v>
      </c>
      <c r="R251" s="182"/>
      <c r="U251" s="128"/>
    </row>
    <row r="252" spans="1:21" ht="30" x14ac:dyDescent="0.3">
      <c r="A252" s="53"/>
      <c r="B252" s="54"/>
      <c r="C252" s="54"/>
      <c r="D252" s="54"/>
      <c r="E252" s="55"/>
      <c r="F252" s="75"/>
      <c r="G252" s="76"/>
      <c r="H252" s="76"/>
      <c r="I252" s="48"/>
      <c r="J252" s="70"/>
      <c r="K252" s="70"/>
      <c r="L252" s="183" t="s">
        <v>960</v>
      </c>
      <c r="M252" s="184" t="s">
        <v>784</v>
      </c>
      <c r="N252" s="183" t="s">
        <v>34</v>
      </c>
      <c r="O252" s="185">
        <v>3</v>
      </c>
      <c r="P252" s="186">
        <v>13.9</v>
      </c>
      <c r="Q252" s="186">
        <v>41.7</v>
      </c>
      <c r="R252" s="182"/>
      <c r="U252" s="128"/>
    </row>
    <row r="253" spans="1:21" ht="15.6" x14ac:dyDescent="0.3">
      <c r="A253" s="53"/>
      <c r="B253" s="54"/>
      <c r="C253" s="54"/>
      <c r="D253" s="54"/>
      <c r="E253" s="55"/>
      <c r="F253" s="75"/>
      <c r="G253" s="76"/>
      <c r="H253" s="76"/>
      <c r="I253" s="48"/>
      <c r="J253" s="70"/>
      <c r="K253" s="70"/>
      <c r="L253" s="183" t="s">
        <v>363</v>
      </c>
      <c r="M253" s="184" t="s">
        <v>364</v>
      </c>
      <c r="N253" s="183" t="s">
        <v>34</v>
      </c>
      <c r="O253" s="185">
        <v>2</v>
      </c>
      <c r="P253" s="186">
        <v>108.4</v>
      </c>
      <c r="Q253" s="186">
        <v>216.8</v>
      </c>
      <c r="R253" s="182"/>
      <c r="U253" s="128"/>
    </row>
    <row r="254" spans="1:21" ht="15.6" x14ac:dyDescent="0.3">
      <c r="A254" s="53"/>
      <c r="B254" s="54"/>
      <c r="C254" s="54"/>
      <c r="D254" s="54"/>
      <c r="E254" s="55"/>
      <c r="F254" s="75"/>
      <c r="G254" s="76"/>
      <c r="H254" s="76"/>
      <c r="I254" s="48"/>
      <c r="J254" s="70"/>
      <c r="K254" s="70"/>
      <c r="L254" s="183" t="s">
        <v>188</v>
      </c>
      <c r="M254" s="184" t="s">
        <v>189</v>
      </c>
      <c r="N254" s="183" t="s">
        <v>34</v>
      </c>
      <c r="O254" s="185">
        <v>4</v>
      </c>
      <c r="P254" s="186">
        <v>55.1</v>
      </c>
      <c r="Q254" s="186">
        <v>220.4</v>
      </c>
      <c r="R254" s="182"/>
      <c r="U254" s="128"/>
    </row>
    <row r="255" spans="1:21" ht="15.6" x14ac:dyDescent="0.3">
      <c r="A255" s="53"/>
      <c r="B255" s="54"/>
      <c r="C255" s="54"/>
      <c r="D255" s="54"/>
      <c r="E255" s="55"/>
      <c r="F255" s="75"/>
      <c r="G255" s="76"/>
      <c r="H255" s="76"/>
      <c r="I255" s="48"/>
      <c r="J255" s="70"/>
      <c r="K255" s="70"/>
      <c r="L255" s="183" t="s">
        <v>732</v>
      </c>
      <c r="M255" s="184" t="s">
        <v>733</v>
      </c>
      <c r="N255" s="183" t="s">
        <v>34</v>
      </c>
      <c r="O255" s="185">
        <v>1</v>
      </c>
      <c r="P255" s="187">
        <v>15249.17</v>
      </c>
      <c r="Q255" s="187">
        <v>15249.17</v>
      </c>
      <c r="R255" s="182"/>
      <c r="U255" s="128"/>
    </row>
    <row r="256" spans="1:21" ht="15.6" x14ac:dyDescent="0.3">
      <c r="A256" s="53"/>
      <c r="B256" s="54"/>
      <c r="C256" s="54"/>
      <c r="D256" s="54"/>
      <c r="E256" s="55"/>
      <c r="F256" s="75"/>
      <c r="G256" s="76"/>
      <c r="H256" s="76"/>
      <c r="I256" s="48"/>
      <c r="J256" s="70"/>
      <c r="K256" s="70"/>
      <c r="L256" s="183" t="s">
        <v>371</v>
      </c>
      <c r="M256" s="184" t="s">
        <v>372</v>
      </c>
      <c r="N256" s="183" t="s">
        <v>34</v>
      </c>
      <c r="O256" s="185">
        <v>41</v>
      </c>
      <c r="P256" s="186">
        <v>15.96</v>
      </c>
      <c r="Q256" s="186">
        <v>654.36</v>
      </c>
      <c r="R256" s="182"/>
      <c r="U256" s="128"/>
    </row>
    <row r="257" spans="1:21" ht="15.6" x14ac:dyDescent="0.3">
      <c r="A257" s="53"/>
      <c r="B257" s="54"/>
      <c r="C257" s="54"/>
      <c r="D257" s="54"/>
      <c r="E257" s="55"/>
      <c r="F257" s="75"/>
      <c r="G257" s="76"/>
      <c r="H257" s="76"/>
      <c r="I257" s="48"/>
      <c r="J257" s="70"/>
      <c r="K257" s="70"/>
      <c r="L257" s="183" t="s">
        <v>785</v>
      </c>
      <c r="M257" s="184" t="s">
        <v>786</v>
      </c>
      <c r="N257" s="183" t="s">
        <v>34</v>
      </c>
      <c r="O257" s="185">
        <v>3</v>
      </c>
      <c r="P257" s="186">
        <v>171.34</v>
      </c>
      <c r="Q257" s="186">
        <v>514.02</v>
      </c>
      <c r="R257" s="182"/>
      <c r="U257" s="128"/>
    </row>
    <row r="258" spans="1:21" ht="15.6" x14ac:dyDescent="0.3">
      <c r="A258" s="53"/>
      <c r="B258" s="54"/>
      <c r="C258" s="54"/>
      <c r="D258" s="54"/>
      <c r="E258" s="55"/>
      <c r="F258" s="75"/>
      <c r="G258" s="76"/>
      <c r="H258" s="76"/>
      <c r="I258" s="48"/>
      <c r="J258" s="70"/>
      <c r="K258" s="70"/>
      <c r="L258" s="183" t="s">
        <v>373</v>
      </c>
      <c r="M258" s="184" t="s">
        <v>374</v>
      </c>
      <c r="N258" s="183" t="s">
        <v>34</v>
      </c>
      <c r="O258" s="185">
        <v>5</v>
      </c>
      <c r="P258" s="186">
        <v>17.32</v>
      </c>
      <c r="Q258" s="186">
        <v>86.62</v>
      </c>
      <c r="R258" s="182"/>
      <c r="U258" s="128"/>
    </row>
    <row r="259" spans="1:21" ht="15.6" x14ac:dyDescent="0.3">
      <c r="A259" s="53"/>
      <c r="B259" s="54"/>
      <c r="C259" s="54"/>
      <c r="D259" s="54"/>
      <c r="E259" s="55"/>
      <c r="F259" s="75"/>
      <c r="G259" s="76"/>
      <c r="H259" s="76"/>
      <c r="I259" s="48"/>
      <c r="J259" s="70"/>
      <c r="K259" s="70"/>
      <c r="L259" s="183" t="s">
        <v>1145</v>
      </c>
      <c r="M259" s="184" t="s">
        <v>1232</v>
      </c>
      <c r="N259" s="183" t="s">
        <v>34</v>
      </c>
      <c r="O259" s="185">
        <v>1</v>
      </c>
      <c r="P259" s="186">
        <v>64.75</v>
      </c>
      <c r="Q259" s="186">
        <v>64.75</v>
      </c>
      <c r="R259" s="182"/>
      <c r="U259" s="128"/>
    </row>
    <row r="260" spans="1:21" ht="15.6" x14ac:dyDescent="0.3">
      <c r="A260" s="53"/>
      <c r="B260" s="54"/>
      <c r="C260" s="54"/>
      <c r="D260" s="54"/>
      <c r="E260" s="55"/>
      <c r="F260" s="75"/>
      <c r="G260" s="76"/>
      <c r="H260" s="76"/>
      <c r="I260" s="48"/>
      <c r="J260" s="70"/>
      <c r="K260" s="70"/>
      <c r="L260" s="183" t="s">
        <v>961</v>
      </c>
      <c r="M260" s="184" t="s">
        <v>1051</v>
      </c>
      <c r="N260" s="183" t="s">
        <v>34</v>
      </c>
      <c r="O260" s="185">
        <v>0.14000000000000001</v>
      </c>
      <c r="P260" s="186">
        <v>27</v>
      </c>
      <c r="Q260" s="186">
        <v>3.78</v>
      </c>
      <c r="R260" s="182"/>
      <c r="U260" s="128"/>
    </row>
    <row r="261" spans="1:21" ht="30" x14ac:dyDescent="0.3">
      <c r="A261" s="53"/>
      <c r="B261" s="54"/>
      <c r="C261" s="54"/>
      <c r="D261" s="54"/>
      <c r="E261" s="55"/>
      <c r="F261" s="75"/>
      <c r="G261" s="76"/>
      <c r="H261" s="76"/>
      <c r="I261" s="48"/>
      <c r="J261" s="70"/>
      <c r="K261" s="70"/>
      <c r="L261" s="183" t="s">
        <v>962</v>
      </c>
      <c r="M261" s="184" t="s">
        <v>787</v>
      </c>
      <c r="N261" s="183" t="s">
        <v>34</v>
      </c>
      <c r="O261" s="185">
        <v>2</v>
      </c>
      <c r="P261" s="186">
        <v>153.6</v>
      </c>
      <c r="Q261" s="186">
        <v>307.2</v>
      </c>
      <c r="R261" s="182"/>
      <c r="U261" s="128"/>
    </row>
    <row r="262" spans="1:21" ht="15.6" x14ac:dyDescent="0.3">
      <c r="A262" s="53"/>
      <c r="B262" s="54"/>
      <c r="C262" s="54"/>
      <c r="D262" s="54"/>
      <c r="E262" s="55"/>
      <c r="F262" s="75"/>
      <c r="G262" s="76"/>
      <c r="H262" s="76"/>
      <c r="I262" s="48"/>
      <c r="J262" s="70"/>
      <c r="K262" s="70"/>
      <c r="L262" s="183" t="s">
        <v>963</v>
      </c>
      <c r="M262" s="184" t="s">
        <v>375</v>
      </c>
      <c r="N262" s="183" t="s">
        <v>34</v>
      </c>
      <c r="O262" s="185">
        <v>10</v>
      </c>
      <c r="P262" s="186">
        <v>167.95</v>
      </c>
      <c r="Q262" s="187">
        <v>1679.48</v>
      </c>
      <c r="R262" s="182"/>
      <c r="U262" s="128"/>
    </row>
    <row r="263" spans="1:21" ht="30" x14ac:dyDescent="0.3">
      <c r="A263" s="53"/>
      <c r="B263" s="54"/>
      <c r="C263" s="54"/>
      <c r="D263" s="54"/>
      <c r="E263" s="55"/>
      <c r="F263" s="75"/>
      <c r="G263" s="76"/>
      <c r="H263" s="76"/>
      <c r="I263" s="48"/>
      <c r="J263" s="70"/>
      <c r="K263" s="70"/>
      <c r="L263" s="183" t="s">
        <v>1146</v>
      </c>
      <c r="M263" s="184" t="s">
        <v>1233</v>
      </c>
      <c r="N263" s="183" t="s">
        <v>34</v>
      </c>
      <c r="O263" s="185">
        <v>2</v>
      </c>
      <c r="P263" s="186">
        <v>36</v>
      </c>
      <c r="Q263" s="186">
        <v>72</v>
      </c>
      <c r="R263" s="182"/>
      <c r="U263" s="128"/>
    </row>
    <row r="264" spans="1:21" ht="30" x14ac:dyDescent="0.3">
      <c r="A264" s="53"/>
      <c r="B264" s="54"/>
      <c r="C264" s="54"/>
      <c r="D264" s="54"/>
      <c r="E264" s="55"/>
      <c r="F264" s="75"/>
      <c r="G264" s="76"/>
      <c r="H264" s="76"/>
      <c r="I264" s="48"/>
      <c r="J264" s="70"/>
      <c r="K264" s="70"/>
      <c r="L264" s="183" t="s">
        <v>964</v>
      </c>
      <c r="M264" s="184" t="s">
        <v>788</v>
      </c>
      <c r="N264" s="183" t="s">
        <v>34</v>
      </c>
      <c r="O264" s="185">
        <v>1</v>
      </c>
      <c r="P264" s="186">
        <v>17.3</v>
      </c>
      <c r="Q264" s="186">
        <v>17.3</v>
      </c>
      <c r="R264" s="182"/>
      <c r="U264" s="128"/>
    </row>
    <row r="265" spans="1:21" ht="15.6" x14ac:dyDescent="0.3">
      <c r="A265" s="53"/>
      <c r="B265" s="54"/>
      <c r="C265" s="54"/>
      <c r="D265" s="54"/>
      <c r="E265" s="55"/>
      <c r="F265" s="75"/>
      <c r="G265" s="76"/>
      <c r="H265" s="76"/>
      <c r="I265" s="48"/>
      <c r="J265" s="70"/>
      <c r="K265" s="70"/>
      <c r="L265" s="183" t="s">
        <v>875</v>
      </c>
      <c r="M265" s="184" t="s">
        <v>876</v>
      </c>
      <c r="N265" s="183" t="s">
        <v>34</v>
      </c>
      <c r="O265" s="185">
        <v>1</v>
      </c>
      <c r="P265" s="187">
        <v>1603.96</v>
      </c>
      <c r="Q265" s="187">
        <v>1603.96</v>
      </c>
      <c r="R265" s="182"/>
      <c r="U265" s="128"/>
    </row>
    <row r="266" spans="1:21" ht="15.6" x14ac:dyDescent="0.3">
      <c r="A266" s="53"/>
      <c r="B266" s="54"/>
      <c r="C266" s="54"/>
      <c r="D266" s="54"/>
      <c r="E266" s="55"/>
      <c r="F266" s="75"/>
      <c r="G266" s="76"/>
      <c r="H266" s="76"/>
      <c r="I266" s="48"/>
      <c r="J266" s="70"/>
      <c r="K266" s="70"/>
      <c r="L266" s="183" t="s">
        <v>789</v>
      </c>
      <c r="M266" s="184" t="s">
        <v>790</v>
      </c>
      <c r="N266" s="183" t="s">
        <v>34</v>
      </c>
      <c r="O266" s="185">
        <v>16</v>
      </c>
      <c r="P266" s="186">
        <v>10</v>
      </c>
      <c r="Q266" s="186">
        <v>160</v>
      </c>
      <c r="R266" s="182"/>
      <c r="U266" s="128"/>
    </row>
    <row r="267" spans="1:21" ht="15.6" x14ac:dyDescent="0.3">
      <c r="A267" s="53"/>
      <c r="B267" s="54"/>
      <c r="C267" s="54"/>
      <c r="D267" s="54"/>
      <c r="E267" s="55"/>
      <c r="F267" s="75"/>
      <c r="G267" s="76"/>
      <c r="H267" s="76"/>
      <c r="I267" s="48"/>
      <c r="J267" s="70"/>
      <c r="K267" s="70"/>
      <c r="L267" s="183" t="s">
        <v>791</v>
      </c>
      <c r="M267" s="184" t="s">
        <v>792</v>
      </c>
      <c r="N267" s="183" t="s">
        <v>34</v>
      </c>
      <c r="O267" s="185">
        <v>5</v>
      </c>
      <c r="P267" s="186">
        <v>10</v>
      </c>
      <c r="Q267" s="186">
        <v>50</v>
      </c>
      <c r="R267" s="182"/>
      <c r="U267" s="128"/>
    </row>
    <row r="268" spans="1:21" ht="15.6" x14ac:dyDescent="0.3">
      <c r="A268" s="53"/>
      <c r="B268" s="54"/>
      <c r="C268" s="54"/>
      <c r="D268" s="54"/>
      <c r="E268" s="55"/>
      <c r="F268" s="75"/>
      <c r="G268" s="76"/>
      <c r="H268" s="76"/>
      <c r="I268" s="48"/>
      <c r="J268" s="70"/>
      <c r="K268" s="70"/>
      <c r="L268" s="183" t="s">
        <v>796</v>
      </c>
      <c r="M268" s="184" t="s">
        <v>797</v>
      </c>
      <c r="N268" s="183" t="s">
        <v>34</v>
      </c>
      <c r="O268" s="185">
        <v>1.0900000000000001</v>
      </c>
      <c r="P268" s="186">
        <v>338.33</v>
      </c>
      <c r="Q268" s="186">
        <v>368.78</v>
      </c>
      <c r="R268" s="182"/>
      <c r="U268" s="128"/>
    </row>
    <row r="269" spans="1:21" ht="15.6" x14ac:dyDescent="0.3">
      <c r="A269" s="53"/>
      <c r="B269" s="54"/>
      <c r="C269" s="54"/>
      <c r="D269" s="54"/>
      <c r="E269" s="55"/>
      <c r="F269" s="75"/>
      <c r="G269" s="76"/>
      <c r="H269" s="76"/>
      <c r="I269" s="48"/>
      <c r="J269" s="70"/>
      <c r="K269" s="70"/>
      <c r="L269" s="183" t="s">
        <v>877</v>
      </c>
      <c r="M269" s="184" t="s">
        <v>878</v>
      </c>
      <c r="N269" s="183" t="s">
        <v>34</v>
      </c>
      <c r="O269" s="185">
        <v>1</v>
      </c>
      <c r="P269" s="186">
        <v>366.36</v>
      </c>
      <c r="Q269" s="186">
        <v>366.36</v>
      </c>
      <c r="R269" s="182"/>
      <c r="U269" s="128"/>
    </row>
    <row r="270" spans="1:21" ht="15.6" x14ac:dyDescent="0.3">
      <c r="A270" s="53"/>
      <c r="B270" s="54"/>
      <c r="C270" s="54"/>
      <c r="D270" s="54"/>
      <c r="E270" s="55"/>
      <c r="F270" s="75"/>
      <c r="G270" s="76"/>
      <c r="H270" s="76"/>
      <c r="I270" s="48"/>
      <c r="J270" s="70"/>
      <c r="K270" s="70"/>
      <c r="L270" s="183" t="s">
        <v>887</v>
      </c>
      <c r="M270" s="184" t="s">
        <v>888</v>
      </c>
      <c r="N270" s="183" t="s">
        <v>34</v>
      </c>
      <c r="O270" s="185">
        <v>3</v>
      </c>
      <c r="P270" s="186">
        <v>44.6</v>
      </c>
      <c r="Q270" s="186">
        <v>133.80000000000001</v>
      </c>
      <c r="R270" s="182"/>
      <c r="U270" s="128"/>
    </row>
    <row r="271" spans="1:21" ht="15.6" x14ac:dyDescent="0.3">
      <c r="A271" s="53"/>
      <c r="B271" s="54"/>
      <c r="C271" s="54"/>
      <c r="D271" s="54"/>
      <c r="E271" s="55"/>
      <c r="F271" s="75"/>
      <c r="G271" s="76"/>
      <c r="H271" s="76"/>
      <c r="I271" s="48"/>
      <c r="J271" s="70"/>
      <c r="K271" s="70"/>
      <c r="L271" s="183" t="s">
        <v>915</v>
      </c>
      <c r="M271" s="184" t="s">
        <v>916</v>
      </c>
      <c r="N271" s="183" t="s">
        <v>34</v>
      </c>
      <c r="O271" s="185">
        <v>1</v>
      </c>
      <c r="P271" s="186">
        <v>21.9</v>
      </c>
      <c r="Q271" s="186">
        <v>21.9</v>
      </c>
      <c r="R271" s="182"/>
      <c r="U271" s="128"/>
    </row>
    <row r="272" spans="1:21" ht="15.6" x14ac:dyDescent="0.3">
      <c r="A272" s="53"/>
      <c r="B272" s="54"/>
      <c r="C272" s="54"/>
      <c r="D272" s="54"/>
      <c r="E272" s="55"/>
      <c r="F272" s="75"/>
      <c r="G272" s="76"/>
      <c r="H272" s="76"/>
      <c r="I272" s="48"/>
      <c r="J272" s="70"/>
      <c r="K272" s="70"/>
      <c r="L272" s="183" t="s">
        <v>891</v>
      </c>
      <c r="M272" s="184" t="s">
        <v>892</v>
      </c>
      <c r="N272" s="183" t="s">
        <v>34</v>
      </c>
      <c r="O272" s="185">
        <v>3</v>
      </c>
      <c r="P272" s="186">
        <v>718.01</v>
      </c>
      <c r="Q272" s="187">
        <v>2154.02</v>
      </c>
      <c r="R272" s="182"/>
      <c r="U272" s="128"/>
    </row>
    <row r="273" spans="1:21" ht="15.6" x14ac:dyDescent="0.3">
      <c r="A273" s="53"/>
      <c r="B273" s="54"/>
      <c r="C273" s="54"/>
      <c r="D273" s="54"/>
      <c r="E273" s="55"/>
      <c r="F273" s="75"/>
      <c r="G273" s="76"/>
      <c r="H273" s="76"/>
      <c r="I273" s="48"/>
      <c r="J273" s="70"/>
      <c r="K273" s="70"/>
      <c r="L273" s="183" t="s">
        <v>1154</v>
      </c>
      <c r="M273" s="184" t="s">
        <v>1241</v>
      </c>
      <c r="N273" s="183" t="s">
        <v>34</v>
      </c>
      <c r="O273" s="185">
        <v>2</v>
      </c>
      <c r="P273" s="186">
        <v>152</v>
      </c>
      <c r="Q273" s="186">
        <v>304</v>
      </c>
      <c r="R273" s="182"/>
      <c r="U273" s="128"/>
    </row>
    <row r="274" spans="1:21" ht="15.6" x14ac:dyDescent="0.3">
      <c r="A274" s="53"/>
      <c r="B274" s="54"/>
      <c r="C274" s="54"/>
      <c r="D274" s="54"/>
      <c r="E274" s="55"/>
      <c r="F274" s="75"/>
      <c r="G274" s="76"/>
      <c r="H274" s="76"/>
      <c r="I274" s="48"/>
      <c r="J274" s="70"/>
      <c r="K274" s="70"/>
      <c r="L274" s="183" t="s">
        <v>1013</v>
      </c>
      <c r="M274" s="184" t="s">
        <v>1074</v>
      </c>
      <c r="N274" s="183" t="s">
        <v>34</v>
      </c>
      <c r="O274" s="185">
        <v>6</v>
      </c>
      <c r="P274" s="186">
        <v>159.83000000000001</v>
      </c>
      <c r="Q274" s="186">
        <v>959</v>
      </c>
      <c r="R274" s="182"/>
      <c r="U274" s="128"/>
    </row>
    <row r="275" spans="1:21" ht="15.6" x14ac:dyDescent="0.3">
      <c r="A275" s="53"/>
      <c r="B275" s="54"/>
      <c r="C275" s="54"/>
      <c r="D275" s="54"/>
      <c r="E275" s="55"/>
      <c r="F275" s="75"/>
      <c r="G275" s="76"/>
      <c r="H275" s="76"/>
      <c r="I275" s="48"/>
      <c r="J275" s="70"/>
      <c r="K275" s="70"/>
      <c r="L275" s="183" t="s">
        <v>1014</v>
      </c>
      <c r="M275" s="184" t="s">
        <v>806</v>
      </c>
      <c r="N275" s="183" t="s">
        <v>34</v>
      </c>
      <c r="O275" s="185">
        <v>1</v>
      </c>
      <c r="P275" s="186">
        <v>47.92</v>
      </c>
      <c r="Q275" s="186">
        <v>47.92</v>
      </c>
      <c r="R275" s="182"/>
      <c r="U275" s="128"/>
    </row>
    <row r="276" spans="1:21" ht="15.6" x14ac:dyDescent="0.3">
      <c r="A276" s="53"/>
      <c r="B276" s="54"/>
      <c r="C276" s="54"/>
      <c r="D276" s="54"/>
      <c r="E276" s="55"/>
      <c r="F276" s="75"/>
      <c r="G276" s="76"/>
      <c r="H276" s="76"/>
      <c r="I276" s="48"/>
      <c r="J276" s="70"/>
      <c r="K276" s="70"/>
      <c r="L276" s="183" t="s">
        <v>1155</v>
      </c>
      <c r="M276" s="184" t="s">
        <v>1242</v>
      </c>
      <c r="N276" s="183" t="s">
        <v>34</v>
      </c>
      <c r="O276" s="185">
        <v>3</v>
      </c>
      <c r="P276" s="186">
        <v>20.18</v>
      </c>
      <c r="Q276" s="186">
        <v>60.54</v>
      </c>
      <c r="R276" s="182"/>
      <c r="U276" s="128"/>
    </row>
    <row r="277" spans="1:21" ht="15.6" x14ac:dyDescent="0.3">
      <c r="A277" s="53"/>
      <c r="B277" s="54"/>
      <c r="C277" s="54"/>
      <c r="D277" s="54"/>
      <c r="E277" s="55"/>
      <c r="F277" s="75"/>
      <c r="G277" s="76"/>
      <c r="H277" s="76"/>
      <c r="I277" s="48"/>
      <c r="J277" s="70"/>
      <c r="K277" s="70"/>
      <c r="L277" s="183" t="s">
        <v>1015</v>
      </c>
      <c r="M277" s="184" t="s">
        <v>393</v>
      </c>
      <c r="N277" s="183" t="s">
        <v>34</v>
      </c>
      <c r="O277" s="185">
        <v>4</v>
      </c>
      <c r="P277" s="186">
        <v>2.91</v>
      </c>
      <c r="Q277" s="186">
        <v>11.65</v>
      </c>
      <c r="R277" s="182"/>
      <c r="U277" s="128"/>
    </row>
    <row r="278" spans="1:21" ht="15.6" x14ac:dyDescent="0.3">
      <c r="A278" s="53"/>
      <c r="B278" s="54"/>
      <c r="C278" s="54"/>
      <c r="D278" s="54"/>
      <c r="E278" s="55"/>
      <c r="F278" s="75"/>
      <c r="G278" s="76"/>
      <c r="H278" s="76"/>
      <c r="I278" s="48"/>
      <c r="J278" s="70"/>
      <c r="K278" s="70"/>
      <c r="L278" s="183" t="s">
        <v>807</v>
      </c>
      <c r="M278" s="184" t="s">
        <v>808</v>
      </c>
      <c r="N278" s="183" t="s">
        <v>34</v>
      </c>
      <c r="O278" s="185">
        <v>1</v>
      </c>
      <c r="P278" s="186">
        <v>113</v>
      </c>
      <c r="Q278" s="186">
        <v>113</v>
      </c>
      <c r="R278" s="182"/>
      <c r="U278" s="128"/>
    </row>
    <row r="279" spans="1:21" ht="30" x14ac:dyDescent="0.3">
      <c r="A279" s="53"/>
      <c r="B279" s="54"/>
      <c r="C279" s="54"/>
      <c r="D279" s="54"/>
      <c r="E279" s="55"/>
      <c r="F279" s="75"/>
      <c r="G279" s="76"/>
      <c r="H279" s="76"/>
      <c r="I279" s="48"/>
      <c r="J279" s="70"/>
      <c r="K279" s="70"/>
      <c r="L279" s="183" t="s">
        <v>1156</v>
      </c>
      <c r="M279" s="184" t="s">
        <v>1243</v>
      </c>
      <c r="N279" s="183" t="s">
        <v>34</v>
      </c>
      <c r="O279" s="185">
        <v>1</v>
      </c>
      <c r="P279" s="186">
        <v>87.3</v>
      </c>
      <c r="Q279" s="186">
        <v>87.3</v>
      </c>
      <c r="R279" s="182"/>
      <c r="U279" s="128"/>
    </row>
    <row r="280" spans="1:21" ht="15.6" x14ac:dyDescent="0.3">
      <c r="A280" s="53"/>
      <c r="B280" s="54"/>
      <c r="C280" s="54"/>
      <c r="D280" s="54"/>
      <c r="E280" s="55"/>
      <c r="F280" s="75"/>
      <c r="G280" s="76"/>
      <c r="H280" s="76"/>
      <c r="I280" s="48"/>
      <c r="J280" s="70"/>
      <c r="K280" s="70"/>
      <c r="L280" s="183" t="s">
        <v>1016</v>
      </c>
      <c r="M280" s="184" t="s">
        <v>396</v>
      </c>
      <c r="N280" s="183" t="s">
        <v>34</v>
      </c>
      <c r="O280" s="185">
        <v>2</v>
      </c>
      <c r="P280" s="186">
        <v>25</v>
      </c>
      <c r="Q280" s="186">
        <v>50</v>
      </c>
      <c r="R280" s="182"/>
      <c r="U280" s="128"/>
    </row>
    <row r="281" spans="1:21" ht="15.6" x14ac:dyDescent="0.3">
      <c r="A281" s="53"/>
      <c r="B281" s="54"/>
      <c r="C281" s="54"/>
      <c r="D281" s="54"/>
      <c r="E281" s="55"/>
      <c r="F281" s="75"/>
      <c r="G281" s="76"/>
      <c r="H281" s="76"/>
      <c r="I281" s="48"/>
      <c r="J281" s="70"/>
      <c r="K281" s="70"/>
      <c r="L281" s="183" t="s">
        <v>1017</v>
      </c>
      <c r="M281" s="184" t="s">
        <v>397</v>
      </c>
      <c r="N281" s="183" t="s">
        <v>34</v>
      </c>
      <c r="O281" s="185">
        <v>3</v>
      </c>
      <c r="P281" s="186">
        <v>9.86</v>
      </c>
      <c r="Q281" s="186">
        <v>29.59</v>
      </c>
      <c r="R281" s="182"/>
      <c r="U281" s="128"/>
    </row>
    <row r="282" spans="1:21" ht="15.6" x14ac:dyDescent="0.3">
      <c r="A282" s="53"/>
      <c r="B282" s="54"/>
      <c r="C282" s="54"/>
      <c r="D282" s="54"/>
      <c r="E282" s="55"/>
      <c r="F282" s="75"/>
      <c r="G282" s="76"/>
      <c r="H282" s="76"/>
      <c r="I282" s="48"/>
      <c r="J282" s="70"/>
      <c r="K282" s="70"/>
      <c r="L282" s="183" t="s">
        <v>1018</v>
      </c>
      <c r="M282" s="184" t="s">
        <v>1075</v>
      </c>
      <c r="N282" s="183" t="s">
        <v>34</v>
      </c>
      <c r="O282" s="185">
        <v>2</v>
      </c>
      <c r="P282" s="187">
        <v>1290.8</v>
      </c>
      <c r="Q282" s="187">
        <v>2581.6</v>
      </c>
      <c r="R282" s="182"/>
      <c r="U282" s="128"/>
    </row>
    <row r="283" spans="1:21" ht="15.6" x14ac:dyDescent="0.3">
      <c r="A283" s="53"/>
      <c r="B283" s="54"/>
      <c r="C283" s="54"/>
      <c r="D283" s="54"/>
      <c r="E283" s="55"/>
      <c r="F283" s="75"/>
      <c r="G283" s="76"/>
      <c r="H283" s="76"/>
      <c r="I283" s="48"/>
      <c r="J283" s="70"/>
      <c r="K283" s="70"/>
      <c r="L283" s="183" t="s">
        <v>1157</v>
      </c>
      <c r="M283" s="184" t="s">
        <v>398</v>
      </c>
      <c r="N283" s="183" t="s">
        <v>34</v>
      </c>
      <c r="O283" s="185">
        <v>1</v>
      </c>
      <c r="P283" s="187">
        <v>1290.8</v>
      </c>
      <c r="Q283" s="187">
        <v>1290.8</v>
      </c>
      <c r="R283" s="182"/>
      <c r="U283" s="128"/>
    </row>
    <row r="284" spans="1:21" ht="15.6" x14ac:dyDescent="0.3">
      <c r="A284" s="53"/>
      <c r="B284" s="54"/>
      <c r="C284" s="54"/>
      <c r="D284" s="54"/>
      <c r="E284" s="55"/>
      <c r="F284" s="75"/>
      <c r="G284" s="76"/>
      <c r="H284" s="76"/>
      <c r="I284" s="48"/>
      <c r="J284" s="70"/>
      <c r="K284" s="70"/>
      <c r="L284" s="183" t="s">
        <v>809</v>
      </c>
      <c r="M284" s="184" t="s">
        <v>810</v>
      </c>
      <c r="N284" s="183" t="s">
        <v>34</v>
      </c>
      <c r="O284" s="185">
        <v>1</v>
      </c>
      <c r="P284" s="186">
        <v>837.13</v>
      </c>
      <c r="Q284" s="186">
        <v>837.13</v>
      </c>
      <c r="R284" s="182"/>
      <c r="U284" s="128"/>
    </row>
    <row r="285" spans="1:21" ht="15.6" x14ac:dyDescent="0.3">
      <c r="A285" s="53"/>
      <c r="B285" s="54"/>
      <c r="C285" s="54"/>
      <c r="D285" s="54"/>
      <c r="E285" s="55"/>
      <c r="F285" s="75"/>
      <c r="G285" s="76"/>
      <c r="H285" s="76"/>
      <c r="I285" s="48"/>
      <c r="J285" s="70"/>
      <c r="K285" s="70"/>
      <c r="L285" s="183" t="s">
        <v>871</v>
      </c>
      <c r="M285" s="184" t="s">
        <v>872</v>
      </c>
      <c r="N285" s="183" t="s">
        <v>34</v>
      </c>
      <c r="O285" s="185">
        <v>1</v>
      </c>
      <c r="P285" s="186">
        <v>989.36</v>
      </c>
      <c r="Q285" s="186">
        <v>989.36</v>
      </c>
      <c r="R285" s="182"/>
      <c r="U285" s="128"/>
    </row>
    <row r="286" spans="1:21" ht="15.6" x14ac:dyDescent="0.3">
      <c r="A286" s="53"/>
      <c r="B286" s="54"/>
      <c r="C286" s="54"/>
      <c r="D286" s="54"/>
      <c r="E286" s="55"/>
      <c r="F286" s="75"/>
      <c r="G286" s="76"/>
      <c r="H286" s="76"/>
      <c r="I286" s="48"/>
      <c r="J286" s="70"/>
      <c r="K286" s="70"/>
      <c r="L286" s="183" t="s">
        <v>873</v>
      </c>
      <c r="M286" s="184" t="s">
        <v>874</v>
      </c>
      <c r="N286" s="183" t="s">
        <v>34</v>
      </c>
      <c r="O286" s="185">
        <v>1</v>
      </c>
      <c r="P286" s="186">
        <v>736.46</v>
      </c>
      <c r="Q286" s="186">
        <v>736.46</v>
      </c>
      <c r="R286" s="182"/>
      <c r="U286" s="128"/>
    </row>
    <row r="287" spans="1:21" ht="15.6" x14ac:dyDescent="0.3">
      <c r="A287" s="53"/>
      <c r="B287" s="54"/>
      <c r="C287" s="54"/>
      <c r="D287" s="54"/>
      <c r="E287" s="55"/>
      <c r="F287" s="75"/>
      <c r="G287" s="76"/>
      <c r="H287" s="76"/>
      <c r="I287" s="48"/>
      <c r="J287" s="70"/>
      <c r="K287" s="70"/>
      <c r="L287" s="183" t="s">
        <v>953</v>
      </c>
      <c r="M287" s="184" t="s">
        <v>1046</v>
      </c>
      <c r="N287" s="183" t="s">
        <v>34</v>
      </c>
      <c r="O287" s="185">
        <v>0.27</v>
      </c>
      <c r="P287" s="186">
        <v>271</v>
      </c>
      <c r="Q287" s="186">
        <v>73.17</v>
      </c>
      <c r="R287" s="182"/>
      <c r="U287" s="128"/>
    </row>
    <row r="288" spans="1:21" ht="15.6" x14ac:dyDescent="0.3">
      <c r="A288" s="53"/>
      <c r="B288" s="54"/>
      <c r="C288" s="54"/>
      <c r="D288" s="54"/>
      <c r="E288" s="55"/>
      <c r="F288" s="75"/>
      <c r="G288" s="76"/>
      <c r="H288" s="76"/>
      <c r="I288" s="48"/>
      <c r="J288" s="70"/>
      <c r="K288" s="70"/>
      <c r="L288" s="183" t="s">
        <v>1141</v>
      </c>
      <c r="M288" s="184" t="s">
        <v>1228</v>
      </c>
      <c r="N288" s="183" t="s">
        <v>34</v>
      </c>
      <c r="O288" s="185">
        <v>1</v>
      </c>
      <c r="P288" s="186">
        <v>96</v>
      </c>
      <c r="Q288" s="186">
        <v>96</v>
      </c>
      <c r="R288" s="182"/>
      <c r="U288" s="128"/>
    </row>
    <row r="289" spans="1:21" ht="15.6" x14ac:dyDescent="0.3">
      <c r="A289" s="53"/>
      <c r="B289" s="54"/>
      <c r="C289" s="54"/>
      <c r="D289" s="54"/>
      <c r="E289" s="55"/>
      <c r="F289" s="75"/>
      <c r="G289" s="76"/>
      <c r="H289" s="76"/>
      <c r="I289" s="48"/>
      <c r="J289" s="70"/>
      <c r="K289" s="70"/>
      <c r="L289" s="183" t="s">
        <v>350</v>
      </c>
      <c r="M289" s="184" t="s">
        <v>351</v>
      </c>
      <c r="N289" s="183" t="s">
        <v>34</v>
      </c>
      <c r="O289" s="185">
        <v>29</v>
      </c>
      <c r="P289" s="186">
        <v>5.55</v>
      </c>
      <c r="Q289" s="186">
        <v>161.03</v>
      </c>
      <c r="R289" s="182"/>
      <c r="U289" s="128"/>
    </row>
    <row r="290" spans="1:21" ht="15.6" x14ac:dyDescent="0.3">
      <c r="A290" s="53"/>
      <c r="B290" s="54"/>
      <c r="C290" s="54"/>
      <c r="D290" s="54"/>
      <c r="E290" s="55"/>
      <c r="F290" s="75"/>
      <c r="G290" s="76"/>
      <c r="H290" s="76"/>
      <c r="I290" s="48"/>
      <c r="J290" s="70"/>
      <c r="K290" s="70"/>
      <c r="L290" s="183" t="s">
        <v>352</v>
      </c>
      <c r="M290" s="184" t="s">
        <v>353</v>
      </c>
      <c r="N290" s="183" t="s">
        <v>34</v>
      </c>
      <c r="O290" s="185">
        <v>7</v>
      </c>
      <c r="P290" s="186">
        <v>7.5</v>
      </c>
      <c r="Q290" s="186">
        <v>52.48</v>
      </c>
      <c r="R290" s="182"/>
      <c r="U290" s="128"/>
    </row>
    <row r="291" spans="1:21" ht="15.6" x14ac:dyDescent="0.3">
      <c r="A291" s="53"/>
      <c r="B291" s="54"/>
      <c r="C291" s="54"/>
      <c r="D291" s="54"/>
      <c r="E291" s="55"/>
      <c r="F291" s="75"/>
      <c r="G291" s="76"/>
      <c r="H291" s="76"/>
      <c r="I291" s="48"/>
      <c r="J291" s="70"/>
      <c r="K291" s="70"/>
      <c r="L291" s="183" t="s">
        <v>354</v>
      </c>
      <c r="M291" s="184" t="s">
        <v>355</v>
      </c>
      <c r="N291" s="183" t="s">
        <v>34</v>
      </c>
      <c r="O291" s="185">
        <v>5</v>
      </c>
      <c r="P291" s="186">
        <v>10.55</v>
      </c>
      <c r="Q291" s="186">
        <v>52.74</v>
      </c>
      <c r="R291" s="182"/>
      <c r="U291" s="128"/>
    </row>
    <row r="292" spans="1:21" ht="15.6" x14ac:dyDescent="0.3">
      <c r="A292" s="53"/>
      <c r="B292" s="54"/>
      <c r="C292" s="54"/>
      <c r="D292" s="54"/>
      <c r="E292" s="55"/>
      <c r="F292" s="75"/>
      <c r="G292" s="76"/>
      <c r="H292" s="76"/>
      <c r="I292" s="48"/>
      <c r="J292" s="70"/>
      <c r="K292" s="70"/>
      <c r="L292" s="183" t="s">
        <v>966</v>
      </c>
      <c r="M292" s="184" t="s">
        <v>1053</v>
      </c>
      <c r="N292" s="183" t="s">
        <v>34</v>
      </c>
      <c r="O292" s="185">
        <v>2</v>
      </c>
      <c r="P292" s="186">
        <v>166</v>
      </c>
      <c r="Q292" s="186">
        <v>332</v>
      </c>
      <c r="R292" s="182"/>
      <c r="U292" s="128"/>
    </row>
    <row r="293" spans="1:21" ht="15.6" x14ac:dyDescent="0.3">
      <c r="A293" s="53"/>
      <c r="B293" s="54"/>
      <c r="C293" s="54"/>
      <c r="D293" s="54"/>
      <c r="E293" s="55"/>
      <c r="F293" s="75"/>
      <c r="G293" s="76"/>
      <c r="H293" s="76"/>
      <c r="I293" s="48"/>
      <c r="J293" s="70"/>
      <c r="K293" s="70"/>
      <c r="L293" s="183" t="s">
        <v>1082</v>
      </c>
      <c r="M293" s="184" t="s">
        <v>1083</v>
      </c>
      <c r="N293" s="183" t="s">
        <v>34</v>
      </c>
      <c r="O293" s="185">
        <v>1</v>
      </c>
      <c r="P293" s="186">
        <v>195.75</v>
      </c>
      <c r="Q293" s="186">
        <v>195.75</v>
      </c>
      <c r="R293" s="182"/>
      <c r="U293" s="128"/>
    </row>
    <row r="294" spans="1:21" ht="15.6" x14ac:dyDescent="0.3">
      <c r="A294" s="53"/>
      <c r="B294" s="54"/>
      <c r="C294" s="54"/>
      <c r="D294" s="54"/>
      <c r="E294" s="55"/>
      <c r="F294" s="75"/>
      <c r="G294" s="76"/>
      <c r="H294" s="76"/>
      <c r="I294" s="48"/>
      <c r="J294" s="70"/>
      <c r="K294" s="70"/>
      <c r="L294" s="183" t="s">
        <v>1143</v>
      </c>
      <c r="M294" s="184" t="s">
        <v>1230</v>
      </c>
      <c r="N294" s="183" t="s">
        <v>34</v>
      </c>
      <c r="O294" s="185">
        <v>1</v>
      </c>
      <c r="P294" s="186">
        <v>176.27</v>
      </c>
      <c r="Q294" s="186">
        <v>176.27</v>
      </c>
      <c r="R294" s="182"/>
      <c r="U294" s="128"/>
    </row>
    <row r="295" spans="1:21" ht="15.6" x14ac:dyDescent="0.3">
      <c r="A295" s="53"/>
      <c r="B295" s="54"/>
      <c r="C295" s="54"/>
      <c r="D295" s="54"/>
      <c r="E295" s="55"/>
      <c r="F295" s="75"/>
      <c r="G295" s="76"/>
      <c r="H295" s="76"/>
      <c r="I295" s="48"/>
      <c r="J295" s="70"/>
      <c r="K295" s="70"/>
      <c r="L295" s="183" t="s">
        <v>780</v>
      </c>
      <c r="M295" s="184" t="s">
        <v>781</v>
      </c>
      <c r="N295" s="183" t="s">
        <v>34</v>
      </c>
      <c r="O295" s="185">
        <v>2</v>
      </c>
      <c r="P295" s="186">
        <v>108</v>
      </c>
      <c r="Q295" s="186">
        <v>216</v>
      </c>
      <c r="R295" s="182"/>
      <c r="U295" s="128"/>
    </row>
    <row r="296" spans="1:21" ht="15.6" x14ac:dyDescent="0.3">
      <c r="A296" s="53"/>
      <c r="B296" s="54"/>
      <c r="C296" s="54"/>
      <c r="D296" s="54"/>
      <c r="E296" s="55"/>
      <c r="F296" s="75"/>
      <c r="G296" s="76"/>
      <c r="H296" s="76"/>
      <c r="I296" s="48"/>
      <c r="J296" s="70"/>
      <c r="K296" s="70"/>
      <c r="L296" s="183" t="s">
        <v>911</v>
      </c>
      <c r="M296" s="184" t="s">
        <v>912</v>
      </c>
      <c r="N296" s="183" t="s">
        <v>34</v>
      </c>
      <c r="O296" s="185">
        <v>1</v>
      </c>
      <c r="P296" s="186">
        <v>103</v>
      </c>
      <c r="Q296" s="186">
        <v>103</v>
      </c>
      <c r="R296" s="182"/>
      <c r="U296" s="128"/>
    </row>
    <row r="297" spans="1:21" ht="15.6" x14ac:dyDescent="0.3">
      <c r="A297" s="53"/>
      <c r="B297" s="54"/>
      <c r="C297" s="54"/>
      <c r="D297" s="54"/>
      <c r="E297" s="55"/>
      <c r="F297" s="75"/>
      <c r="G297" s="76"/>
      <c r="H297" s="76"/>
      <c r="I297" s="48"/>
      <c r="J297" s="70"/>
      <c r="K297" s="70"/>
      <c r="L297" s="183" t="s">
        <v>1144</v>
      </c>
      <c r="M297" s="184" t="s">
        <v>1231</v>
      </c>
      <c r="N297" s="183" t="s">
        <v>34</v>
      </c>
      <c r="O297" s="185">
        <v>2</v>
      </c>
      <c r="P297" s="186">
        <v>3.17</v>
      </c>
      <c r="Q297" s="186">
        <v>6.34</v>
      </c>
      <c r="R297" s="182"/>
      <c r="U297" s="128"/>
    </row>
    <row r="298" spans="1:21" ht="15.6" x14ac:dyDescent="0.3">
      <c r="A298" s="53"/>
      <c r="B298" s="54"/>
      <c r="C298" s="54"/>
      <c r="D298" s="54"/>
      <c r="E298" s="55"/>
      <c r="F298" s="75"/>
      <c r="G298" s="76"/>
      <c r="H298" s="76"/>
      <c r="I298" s="48"/>
      <c r="J298" s="70"/>
      <c r="K298" s="70"/>
      <c r="L298" s="183" t="s">
        <v>859</v>
      </c>
      <c r="M298" s="184" t="s">
        <v>904</v>
      </c>
      <c r="N298" s="183" t="s">
        <v>34</v>
      </c>
      <c r="O298" s="185">
        <v>1</v>
      </c>
      <c r="P298" s="187">
        <v>3249.17</v>
      </c>
      <c r="Q298" s="187">
        <v>3249.17</v>
      </c>
      <c r="R298" s="182"/>
      <c r="U298" s="128"/>
    </row>
    <row r="299" spans="1:21" ht="15.6" x14ac:dyDescent="0.3">
      <c r="A299" s="53"/>
      <c r="B299" s="54"/>
      <c r="C299" s="54"/>
      <c r="D299" s="54"/>
      <c r="E299" s="55"/>
      <c r="F299" s="75"/>
      <c r="G299" s="76"/>
      <c r="H299" s="76"/>
      <c r="I299" s="48"/>
      <c r="J299" s="70"/>
      <c r="K299" s="70"/>
      <c r="L299" s="183" t="s">
        <v>868</v>
      </c>
      <c r="M299" s="184" t="s">
        <v>1047</v>
      </c>
      <c r="N299" s="183" t="s">
        <v>34</v>
      </c>
      <c r="O299" s="185">
        <v>1</v>
      </c>
      <c r="P299" s="186">
        <v>586.46</v>
      </c>
      <c r="Q299" s="186">
        <v>586.46</v>
      </c>
      <c r="R299" s="182"/>
      <c r="U299" s="128"/>
    </row>
    <row r="300" spans="1:21" ht="15.6" x14ac:dyDescent="0.3">
      <c r="A300" s="53"/>
      <c r="B300" s="54"/>
      <c r="C300" s="54"/>
      <c r="D300" s="54"/>
      <c r="E300" s="55"/>
      <c r="F300" s="75"/>
      <c r="G300" s="76"/>
      <c r="H300" s="76"/>
      <c r="I300" s="48"/>
      <c r="J300" s="70"/>
      <c r="K300" s="70"/>
      <c r="L300" s="183" t="s">
        <v>1152</v>
      </c>
      <c r="M300" s="184" t="s">
        <v>1239</v>
      </c>
      <c r="N300" s="183" t="s">
        <v>34</v>
      </c>
      <c r="O300" s="185">
        <v>1</v>
      </c>
      <c r="P300" s="186">
        <v>382</v>
      </c>
      <c r="Q300" s="186">
        <v>382</v>
      </c>
      <c r="R300" s="182"/>
      <c r="U300" s="128"/>
    </row>
    <row r="301" spans="1:21" ht="15.6" x14ac:dyDescent="0.3">
      <c r="A301" s="53"/>
      <c r="B301" s="54"/>
      <c r="C301" s="54"/>
      <c r="D301" s="54"/>
      <c r="E301" s="55"/>
      <c r="F301" s="75"/>
      <c r="G301" s="76"/>
      <c r="H301" s="76"/>
      <c r="I301" s="48"/>
      <c r="J301" s="70"/>
      <c r="K301" s="70"/>
      <c r="L301" s="183" t="s">
        <v>1149</v>
      </c>
      <c r="M301" s="184" t="s">
        <v>1236</v>
      </c>
      <c r="N301" s="183" t="s">
        <v>34</v>
      </c>
      <c r="O301" s="185">
        <v>1</v>
      </c>
      <c r="P301" s="186">
        <v>17.420000000000002</v>
      </c>
      <c r="Q301" s="186">
        <v>17.420000000000002</v>
      </c>
      <c r="R301" s="182"/>
      <c r="U301" s="128"/>
    </row>
    <row r="302" spans="1:21" ht="15.6" x14ac:dyDescent="0.3">
      <c r="A302" s="53"/>
      <c r="B302" s="54"/>
      <c r="C302" s="54"/>
      <c r="D302" s="54"/>
      <c r="E302" s="55"/>
      <c r="F302" s="75"/>
      <c r="G302" s="76"/>
      <c r="H302" s="76"/>
      <c r="I302" s="48"/>
      <c r="J302" s="70"/>
      <c r="K302" s="70"/>
      <c r="L302" s="183" t="s">
        <v>1150</v>
      </c>
      <c r="M302" s="184" t="s">
        <v>1237</v>
      </c>
      <c r="N302" s="183" t="s">
        <v>34</v>
      </c>
      <c r="O302" s="185">
        <v>116</v>
      </c>
      <c r="P302" s="186">
        <v>27.72</v>
      </c>
      <c r="Q302" s="187">
        <v>3215.52</v>
      </c>
      <c r="R302" s="182"/>
      <c r="U302" s="128"/>
    </row>
    <row r="303" spans="1:21" ht="15.6" x14ac:dyDescent="0.3">
      <c r="A303" s="53"/>
      <c r="B303" s="54"/>
      <c r="C303" s="54"/>
      <c r="D303" s="54"/>
      <c r="E303" s="55"/>
      <c r="F303" s="75"/>
      <c r="G303" s="76"/>
      <c r="H303" s="76"/>
      <c r="I303" s="48"/>
      <c r="J303" s="70"/>
      <c r="K303" s="70"/>
      <c r="L303" s="183" t="s">
        <v>793</v>
      </c>
      <c r="M303" s="184" t="s">
        <v>1052</v>
      </c>
      <c r="N303" s="183" t="s">
        <v>34</v>
      </c>
      <c r="O303" s="185">
        <v>73</v>
      </c>
      <c r="P303" s="186">
        <v>6.44</v>
      </c>
      <c r="Q303" s="186">
        <v>470.12</v>
      </c>
      <c r="R303" s="182"/>
      <c r="U303" s="128"/>
    </row>
    <row r="304" spans="1:21" ht="15.6" x14ac:dyDescent="0.3">
      <c r="A304" s="53"/>
      <c r="B304" s="54"/>
      <c r="C304" s="54"/>
      <c r="D304" s="54"/>
      <c r="E304" s="55"/>
      <c r="F304" s="75"/>
      <c r="G304" s="76"/>
      <c r="H304" s="76"/>
      <c r="I304" s="48"/>
      <c r="J304" s="70"/>
      <c r="K304" s="70"/>
      <c r="L304" s="183" t="s">
        <v>965</v>
      </c>
      <c r="M304" s="184" t="s">
        <v>382</v>
      </c>
      <c r="N304" s="183" t="s">
        <v>34</v>
      </c>
      <c r="O304" s="185">
        <v>16</v>
      </c>
      <c r="P304" s="186">
        <v>3.8</v>
      </c>
      <c r="Q304" s="186">
        <v>60.8</v>
      </c>
      <c r="R304" s="182"/>
      <c r="U304" s="128"/>
    </row>
    <row r="305" spans="1:21" ht="15.6" x14ac:dyDescent="0.3">
      <c r="A305" s="53"/>
      <c r="B305" s="54"/>
      <c r="C305" s="54"/>
      <c r="D305" s="54"/>
      <c r="E305" s="55"/>
      <c r="F305" s="75"/>
      <c r="G305" s="76"/>
      <c r="H305" s="76"/>
      <c r="I305" s="48"/>
      <c r="J305" s="70"/>
      <c r="K305" s="70"/>
      <c r="L305" s="183" t="s">
        <v>794</v>
      </c>
      <c r="M305" s="184" t="s">
        <v>795</v>
      </c>
      <c r="N305" s="183" t="s">
        <v>57</v>
      </c>
      <c r="O305" s="185">
        <v>216</v>
      </c>
      <c r="P305" s="186">
        <v>18.13</v>
      </c>
      <c r="Q305" s="187">
        <v>3916.08</v>
      </c>
      <c r="R305" s="182"/>
      <c r="U305" s="128"/>
    </row>
    <row r="306" spans="1:21" ht="15.6" x14ac:dyDescent="0.3">
      <c r="A306" s="53"/>
      <c r="B306" s="54"/>
      <c r="C306" s="54"/>
      <c r="D306" s="54"/>
      <c r="E306" s="55"/>
      <c r="F306" s="75"/>
      <c r="G306" s="76"/>
      <c r="H306" s="76"/>
      <c r="I306" s="48"/>
      <c r="J306" s="70"/>
      <c r="K306" s="70"/>
      <c r="L306" s="183" t="s">
        <v>1184</v>
      </c>
      <c r="M306" s="184" t="s">
        <v>1267</v>
      </c>
      <c r="N306" s="183" t="s">
        <v>57</v>
      </c>
      <c r="O306" s="185">
        <v>23</v>
      </c>
      <c r="P306" s="186">
        <v>28</v>
      </c>
      <c r="Q306" s="186">
        <v>644</v>
      </c>
      <c r="R306" s="182"/>
      <c r="U306" s="128"/>
    </row>
    <row r="307" spans="1:21" ht="15.6" x14ac:dyDescent="0.3">
      <c r="A307" s="53"/>
      <c r="B307" s="54"/>
      <c r="C307" s="54"/>
      <c r="D307" s="54"/>
      <c r="E307" s="55"/>
      <c r="F307" s="75"/>
      <c r="G307" s="76"/>
      <c r="H307" s="76"/>
      <c r="I307" s="48"/>
      <c r="J307" s="70"/>
      <c r="K307" s="70"/>
      <c r="L307" s="183" t="s">
        <v>913</v>
      </c>
      <c r="M307" s="184" t="s">
        <v>914</v>
      </c>
      <c r="N307" s="183" t="s">
        <v>57</v>
      </c>
      <c r="O307" s="185">
        <v>74</v>
      </c>
      <c r="P307" s="186">
        <v>27.85</v>
      </c>
      <c r="Q307" s="187">
        <v>2060.64</v>
      </c>
      <c r="R307" s="182"/>
      <c r="U307" s="128"/>
    </row>
    <row r="308" spans="1:21" ht="15.6" x14ac:dyDescent="0.3">
      <c r="A308" s="53"/>
      <c r="B308" s="54"/>
      <c r="C308" s="54"/>
      <c r="D308" s="54"/>
      <c r="E308" s="55"/>
      <c r="F308" s="75"/>
      <c r="G308" s="76"/>
      <c r="H308" s="76"/>
      <c r="I308" s="48"/>
      <c r="J308" s="70"/>
      <c r="K308" s="70"/>
      <c r="L308" s="183" t="s">
        <v>1181</v>
      </c>
      <c r="M308" s="184" t="s">
        <v>1264</v>
      </c>
      <c r="N308" s="183" t="s">
        <v>57</v>
      </c>
      <c r="O308" s="185">
        <v>0.8</v>
      </c>
      <c r="P308" s="186">
        <v>18.13</v>
      </c>
      <c r="Q308" s="186">
        <v>14.5</v>
      </c>
      <c r="R308" s="182"/>
      <c r="U308" s="128"/>
    </row>
    <row r="309" spans="1:21" ht="15.6" x14ac:dyDescent="0.3">
      <c r="A309" s="53"/>
      <c r="B309" s="54"/>
      <c r="C309" s="54"/>
      <c r="D309" s="54"/>
      <c r="E309" s="55"/>
      <c r="F309" s="75"/>
      <c r="G309" s="76"/>
      <c r="H309" s="76"/>
      <c r="I309" s="48"/>
      <c r="J309" s="70"/>
      <c r="K309" s="70"/>
      <c r="L309" s="183" t="s">
        <v>1183</v>
      </c>
      <c r="M309" s="184" t="s">
        <v>1266</v>
      </c>
      <c r="N309" s="183" t="s">
        <v>57</v>
      </c>
      <c r="O309" s="185">
        <v>67</v>
      </c>
      <c r="P309" s="186">
        <v>20.38</v>
      </c>
      <c r="Q309" s="187">
        <v>1365.46</v>
      </c>
      <c r="R309" s="182"/>
      <c r="U309" s="128"/>
    </row>
    <row r="310" spans="1:21" ht="15.6" x14ac:dyDescent="0.3">
      <c r="A310" s="53"/>
      <c r="B310" s="54"/>
      <c r="C310" s="54"/>
      <c r="D310" s="54"/>
      <c r="E310" s="55"/>
      <c r="F310" s="75"/>
      <c r="G310" s="76"/>
      <c r="H310" s="76"/>
      <c r="I310" s="48"/>
      <c r="J310" s="70"/>
      <c r="K310" s="70"/>
      <c r="L310" s="183" t="s">
        <v>820</v>
      </c>
      <c r="M310" s="184" t="s">
        <v>821</v>
      </c>
      <c r="N310" s="183" t="s">
        <v>57</v>
      </c>
      <c r="O310" s="185">
        <v>130</v>
      </c>
      <c r="P310" s="186">
        <v>17.149999999999999</v>
      </c>
      <c r="Q310" s="187">
        <v>2229.5</v>
      </c>
      <c r="R310" s="182"/>
      <c r="U310" s="128"/>
    </row>
    <row r="311" spans="1:21" ht="15.6" x14ac:dyDescent="0.3">
      <c r="A311" s="53"/>
      <c r="B311" s="54"/>
      <c r="C311" s="54"/>
      <c r="D311" s="54"/>
      <c r="E311" s="55"/>
      <c r="F311" s="75"/>
      <c r="G311" s="76"/>
      <c r="H311" s="76"/>
      <c r="I311" s="48"/>
      <c r="J311" s="70"/>
      <c r="K311" s="70"/>
      <c r="L311" s="183" t="s">
        <v>822</v>
      </c>
      <c r="M311" s="184" t="s">
        <v>213</v>
      </c>
      <c r="N311" s="183" t="s">
        <v>57</v>
      </c>
      <c r="O311" s="185">
        <v>70</v>
      </c>
      <c r="P311" s="186">
        <v>36.24</v>
      </c>
      <c r="Q311" s="187">
        <v>2536.8000000000002</v>
      </c>
      <c r="R311" s="182"/>
      <c r="U311" s="128"/>
    </row>
    <row r="312" spans="1:21" ht="15.6" x14ac:dyDescent="0.3">
      <c r="A312" s="53"/>
      <c r="B312" s="54"/>
      <c r="C312" s="54"/>
      <c r="D312" s="54"/>
      <c r="E312" s="55"/>
      <c r="F312" s="75"/>
      <c r="G312" s="76"/>
      <c r="H312" s="76"/>
      <c r="I312" s="48"/>
      <c r="J312" s="70"/>
      <c r="K312" s="70"/>
      <c r="L312" s="183" t="s">
        <v>1182</v>
      </c>
      <c r="M312" s="184" t="s">
        <v>1265</v>
      </c>
      <c r="N312" s="183" t="s">
        <v>57</v>
      </c>
      <c r="O312" s="185">
        <v>115</v>
      </c>
      <c r="P312" s="186">
        <v>40.270000000000003</v>
      </c>
      <c r="Q312" s="187">
        <v>4631.05</v>
      </c>
      <c r="R312" s="182"/>
      <c r="U312" s="128"/>
    </row>
    <row r="313" spans="1:21" ht="30" x14ac:dyDescent="0.3">
      <c r="A313" s="53"/>
      <c r="B313" s="54"/>
      <c r="C313" s="54"/>
      <c r="D313" s="54"/>
      <c r="E313" s="55"/>
      <c r="F313" s="75"/>
      <c r="G313" s="76"/>
      <c r="H313" s="76"/>
      <c r="I313" s="48"/>
      <c r="J313" s="70"/>
      <c r="K313" s="70"/>
      <c r="L313" s="183" t="s">
        <v>1019</v>
      </c>
      <c r="M313" s="184" t="s">
        <v>836</v>
      </c>
      <c r="N313" s="183" t="s">
        <v>57</v>
      </c>
      <c r="O313" s="185">
        <v>44</v>
      </c>
      <c r="P313" s="186">
        <v>6.09</v>
      </c>
      <c r="Q313" s="186">
        <v>267.95999999999998</v>
      </c>
      <c r="R313" s="182"/>
      <c r="U313" s="128"/>
    </row>
    <row r="314" spans="1:21" ht="30" x14ac:dyDescent="0.3">
      <c r="A314" s="53"/>
      <c r="B314" s="54"/>
      <c r="C314" s="54"/>
      <c r="D314" s="54"/>
      <c r="E314" s="55"/>
      <c r="F314" s="75"/>
      <c r="G314" s="76"/>
      <c r="H314" s="76"/>
      <c r="I314" s="48"/>
      <c r="J314" s="70"/>
      <c r="K314" s="70"/>
      <c r="L314" s="183" t="s">
        <v>238</v>
      </c>
      <c r="M314" s="184" t="s">
        <v>239</v>
      </c>
      <c r="N314" s="183" t="s">
        <v>57</v>
      </c>
      <c r="O314" s="185">
        <v>50</v>
      </c>
      <c r="P314" s="186">
        <v>7.92</v>
      </c>
      <c r="Q314" s="186">
        <v>396</v>
      </c>
      <c r="R314" s="182"/>
      <c r="U314" s="128"/>
    </row>
    <row r="315" spans="1:21" ht="30" x14ac:dyDescent="0.3">
      <c r="A315" s="53"/>
      <c r="B315" s="54"/>
      <c r="C315" s="54"/>
      <c r="D315" s="54"/>
      <c r="E315" s="55"/>
      <c r="F315" s="75"/>
      <c r="G315" s="76"/>
      <c r="H315" s="76"/>
      <c r="I315" s="48"/>
      <c r="J315" s="70"/>
      <c r="K315" s="70"/>
      <c r="L315" s="183" t="s">
        <v>1020</v>
      </c>
      <c r="M315" s="184" t="s">
        <v>102</v>
      </c>
      <c r="N315" s="183" t="s">
        <v>57</v>
      </c>
      <c r="O315" s="185">
        <v>7</v>
      </c>
      <c r="P315" s="186">
        <v>7.92</v>
      </c>
      <c r="Q315" s="186">
        <v>55.44</v>
      </c>
      <c r="R315" s="182"/>
      <c r="U315" s="128"/>
    </row>
    <row r="316" spans="1:21" ht="15.6" x14ac:dyDescent="0.3">
      <c r="A316" s="53"/>
      <c r="B316" s="54"/>
      <c r="C316" s="54"/>
      <c r="D316" s="54"/>
      <c r="E316" s="55"/>
      <c r="F316" s="75"/>
      <c r="G316" s="76"/>
      <c r="H316" s="76"/>
      <c r="I316" s="48"/>
      <c r="J316" s="70"/>
      <c r="K316" s="70"/>
      <c r="L316" s="183" t="s">
        <v>1021</v>
      </c>
      <c r="M316" s="184" t="s">
        <v>483</v>
      </c>
      <c r="N316" s="183" t="s">
        <v>57</v>
      </c>
      <c r="O316" s="185">
        <v>7</v>
      </c>
      <c r="P316" s="186">
        <v>44.81</v>
      </c>
      <c r="Q316" s="186">
        <v>313.67</v>
      </c>
      <c r="R316" s="182"/>
      <c r="U316" s="128"/>
    </row>
    <row r="317" spans="1:21" ht="15.6" x14ac:dyDescent="0.3">
      <c r="A317" s="53"/>
      <c r="B317" s="54"/>
      <c r="C317" s="54"/>
      <c r="D317" s="54"/>
      <c r="E317" s="55"/>
      <c r="F317" s="75"/>
      <c r="G317" s="76"/>
      <c r="H317" s="76"/>
      <c r="I317" s="48"/>
      <c r="J317" s="70"/>
      <c r="K317" s="70"/>
      <c r="L317" s="183" t="s">
        <v>1022</v>
      </c>
      <c r="M317" s="184" t="s">
        <v>178</v>
      </c>
      <c r="N317" s="183" t="s">
        <v>56</v>
      </c>
      <c r="O317" s="185">
        <v>5.0000000000000001E-3</v>
      </c>
      <c r="P317" s="187">
        <v>40802</v>
      </c>
      <c r="Q317" s="186">
        <v>204.01</v>
      </c>
      <c r="R317" s="182"/>
      <c r="U317" s="128"/>
    </row>
    <row r="318" spans="1:21" ht="15.6" x14ac:dyDescent="0.3">
      <c r="A318" s="53"/>
      <c r="B318" s="54"/>
      <c r="C318" s="54"/>
      <c r="D318" s="54"/>
      <c r="E318" s="55"/>
      <c r="F318" s="75"/>
      <c r="G318" s="76"/>
      <c r="H318" s="76"/>
      <c r="I318" s="48"/>
      <c r="J318" s="70"/>
      <c r="K318" s="70"/>
      <c r="L318" s="183" t="s">
        <v>1023</v>
      </c>
      <c r="M318" s="184" t="s">
        <v>70</v>
      </c>
      <c r="N318" s="183" t="s">
        <v>56</v>
      </c>
      <c r="O318" s="185">
        <v>0.1</v>
      </c>
      <c r="P318" s="187">
        <v>27143.1</v>
      </c>
      <c r="Q318" s="187">
        <v>2714.31</v>
      </c>
      <c r="R318" s="182"/>
      <c r="U318" s="128"/>
    </row>
    <row r="319" spans="1:21" ht="15.6" x14ac:dyDescent="0.3">
      <c r="A319" s="53"/>
      <c r="B319" s="54"/>
      <c r="C319" s="54"/>
      <c r="D319" s="54"/>
      <c r="E319" s="55"/>
      <c r="F319" s="75"/>
      <c r="G319" s="76"/>
      <c r="H319" s="76"/>
      <c r="I319" s="48"/>
      <c r="J319" s="70"/>
      <c r="K319" s="70"/>
      <c r="L319" s="183" t="s">
        <v>1024</v>
      </c>
      <c r="M319" s="184" t="s">
        <v>71</v>
      </c>
      <c r="N319" s="183" t="s">
        <v>56</v>
      </c>
      <c r="O319" s="185">
        <v>0.1</v>
      </c>
      <c r="P319" s="187">
        <v>43560</v>
      </c>
      <c r="Q319" s="187">
        <v>4356</v>
      </c>
      <c r="R319" s="182"/>
      <c r="U319" s="128"/>
    </row>
    <row r="320" spans="1:21" ht="15.6" x14ac:dyDescent="0.3">
      <c r="A320" s="53"/>
      <c r="B320" s="54"/>
      <c r="C320" s="54"/>
      <c r="D320" s="54"/>
      <c r="E320" s="55"/>
      <c r="F320" s="75"/>
      <c r="G320" s="76"/>
      <c r="H320" s="76"/>
      <c r="I320" s="48"/>
      <c r="J320" s="70"/>
      <c r="K320" s="70"/>
      <c r="L320" s="183" t="s">
        <v>1025</v>
      </c>
      <c r="M320" s="184" t="s">
        <v>72</v>
      </c>
      <c r="N320" s="183" t="s">
        <v>56</v>
      </c>
      <c r="O320" s="185">
        <v>2.4E-2</v>
      </c>
      <c r="P320" s="187">
        <v>67610</v>
      </c>
      <c r="Q320" s="187">
        <v>1622.64</v>
      </c>
      <c r="R320" s="182"/>
      <c r="U320" s="128"/>
    </row>
    <row r="321" spans="1:21" ht="15.6" x14ac:dyDescent="0.3">
      <c r="A321" s="53"/>
      <c r="B321" s="54"/>
      <c r="C321" s="54"/>
      <c r="D321" s="54"/>
      <c r="E321" s="55"/>
      <c r="F321" s="75"/>
      <c r="G321" s="76"/>
      <c r="H321" s="76"/>
      <c r="I321" s="48"/>
      <c r="J321" s="70"/>
      <c r="K321" s="70"/>
      <c r="L321" s="183" t="s">
        <v>1027</v>
      </c>
      <c r="M321" s="184" t="s">
        <v>803</v>
      </c>
      <c r="N321" s="183" t="s">
        <v>45</v>
      </c>
      <c r="O321" s="185">
        <v>34</v>
      </c>
      <c r="P321" s="186">
        <v>333.25</v>
      </c>
      <c r="Q321" s="187">
        <v>11330.51</v>
      </c>
      <c r="R321" s="182"/>
      <c r="U321" s="128"/>
    </row>
    <row r="322" spans="1:21" ht="15.6" x14ac:dyDescent="0.3">
      <c r="A322" s="53"/>
      <c r="B322" s="54"/>
      <c r="C322" s="54"/>
      <c r="D322" s="54"/>
      <c r="E322" s="55"/>
      <c r="F322" s="75"/>
      <c r="G322" s="76"/>
      <c r="H322" s="76"/>
      <c r="I322" s="48"/>
      <c r="J322" s="70"/>
      <c r="K322" s="70"/>
      <c r="L322" s="183" t="s">
        <v>1185</v>
      </c>
      <c r="M322" s="184" t="s">
        <v>1268</v>
      </c>
      <c r="N322" s="183" t="s">
        <v>45</v>
      </c>
      <c r="O322" s="185">
        <v>5</v>
      </c>
      <c r="P322" s="186">
        <v>226</v>
      </c>
      <c r="Q322" s="187">
        <v>1130</v>
      </c>
      <c r="R322" s="182"/>
      <c r="U322" s="128"/>
    </row>
    <row r="323" spans="1:21" ht="15.6" x14ac:dyDescent="0.3">
      <c r="A323" s="53"/>
      <c r="B323" s="54"/>
      <c r="C323" s="54"/>
      <c r="D323" s="54"/>
      <c r="E323" s="55"/>
      <c r="F323" s="75"/>
      <c r="G323" s="76"/>
      <c r="H323" s="76"/>
      <c r="I323" s="48"/>
      <c r="J323" s="70"/>
      <c r="K323" s="70"/>
      <c r="L323" s="183" t="s">
        <v>746</v>
      </c>
      <c r="M323" s="184" t="s">
        <v>895</v>
      </c>
      <c r="N323" s="183" t="s">
        <v>45</v>
      </c>
      <c r="O323" s="185">
        <v>18</v>
      </c>
      <c r="P323" s="186">
        <v>280</v>
      </c>
      <c r="Q323" s="187">
        <v>5040</v>
      </c>
      <c r="R323" s="182"/>
      <c r="U323" s="128"/>
    </row>
    <row r="324" spans="1:21" ht="15.6" x14ac:dyDescent="0.3">
      <c r="A324" s="53"/>
      <c r="B324" s="54"/>
      <c r="C324" s="54"/>
      <c r="D324" s="54"/>
      <c r="E324" s="55"/>
      <c r="F324" s="75"/>
      <c r="G324" s="76"/>
      <c r="H324" s="76"/>
      <c r="I324" s="48"/>
      <c r="J324" s="70"/>
      <c r="K324" s="70"/>
      <c r="L324" s="183" t="s">
        <v>1186</v>
      </c>
      <c r="M324" s="184" t="s">
        <v>1269</v>
      </c>
      <c r="N324" s="183" t="s">
        <v>45</v>
      </c>
      <c r="O324" s="185">
        <v>11</v>
      </c>
      <c r="P324" s="186">
        <v>486.48</v>
      </c>
      <c r="Q324" s="187">
        <v>5351.28</v>
      </c>
      <c r="R324" s="182"/>
      <c r="U324" s="128"/>
    </row>
    <row r="325" spans="1:21" ht="15.6" x14ac:dyDescent="0.3">
      <c r="A325" s="53"/>
      <c r="B325" s="54"/>
      <c r="C325" s="54"/>
      <c r="D325" s="54"/>
      <c r="E325" s="55"/>
      <c r="F325" s="75"/>
      <c r="G325" s="76"/>
      <c r="H325" s="76"/>
      <c r="I325" s="48"/>
      <c r="J325" s="70"/>
      <c r="K325" s="70"/>
      <c r="L325" s="183" t="s">
        <v>1026</v>
      </c>
      <c r="M325" s="184" t="s">
        <v>80</v>
      </c>
      <c r="N325" s="183" t="s">
        <v>45</v>
      </c>
      <c r="O325" s="185">
        <v>139</v>
      </c>
      <c r="P325" s="186">
        <v>73.66</v>
      </c>
      <c r="Q325" s="187">
        <v>10238.31</v>
      </c>
      <c r="R325" s="182"/>
      <c r="U325" s="128"/>
    </row>
    <row r="326" spans="1:21" ht="15.6" x14ac:dyDescent="0.3">
      <c r="A326" s="53"/>
      <c r="B326" s="54"/>
      <c r="C326" s="54"/>
      <c r="D326" s="54"/>
      <c r="E326" s="55"/>
      <c r="F326" s="75"/>
      <c r="G326" s="76"/>
      <c r="H326" s="76"/>
      <c r="I326" s="48"/>
      <c r="J326" s="70"/>
      <c r="K326" s="70"/>
      <c r="L326" s="183" t="s">
        <v>1028</v>
      </c>
      <c r="M326" s="184" t="s">
        <v>1076</v>
      </c>
      <c r="N326" s="183" t="s">
        <v>45</v>
      </c>
      <c r="O326" s="185">
        <v>9.25</v>
      </c>
      <c r="P326" s="186">
        <v>160</v>
      </c>
      <c r="Q326" s="187">
        <v>1480</v>
      </c>
      <c r="R326" s="182"/>
      <c r="U326" s="128"/>
    </row>
    <row r="327" spans="1:21" ht="15.6" x14ac:dyDescent="0.3">
      <c r="A327" s="53"/>
      <c r="B327" s="54"/>
      <c r="C327" s="54"/>
      <c r="D327" s="54"/>
      <c r="E327" s="55"/>
      <c r="F327" s="75"/>
      <c r="G327" s="76"/>
      <c r="H327" s="76"/>
      <c r="I327" s="48"/>
      <c r="J327" s="70"/>
      <c r="K327" s="70"/>
      <c r="L327" s="183" t="s">
        <v>775</v>
      </c>
      <c r="M327" s="184" t="s">
        <v>776</v>
      </c>
      <c r="N327" s="183" t="s">
        <v>45</v>
      </c>
      <c r="O327" s="185">
        <v>24.3</v>
      </c>
      <c r="P327" s="186">
        <v>460</v>
      </c>
      <c r="Q327" s="187">
        <v>11178</v>
      </c>
      <c r="R327" s="182"/>
      <c r="U327" s="128"/>
    </row>
    <row r="328" spans="1:21" ht="15.6" x14ac:dyDescent="0.3">
      <c r="A328" s="53"/>
      <c r="B328" s="54"/>
      <c r="C328" s="54"/>
      <c r="D328" s="54"/>
      <c r="E328" s="55"/>
      <c r="F328" s="75"/>
      <c r="G328" s="76"/>
      <c r="H328" s="76"/>
      <c r="I328" s="48"/>
      <c r="J328" s="70"/>
      <c r="K328" s="70"/>
      <c r="L328" s="183" t="s">
        <v>1187</v>
      </c>
      <c r="M328" s="184" t="s">
        <v>1270</v>
      </c>
      <c r="N328" s="183" t="s">
        <v>45</v>
      </c>
      <c r="O328" s="185">
        <v>1.1819999999999999</v>
      </c>
      <c r="P328" s="186">
        <v>150.16999999999999</v>
      </c>
      <c r="Q328" s="186">
        <v>177.5</v>
      </c>
      <c r="R328" s="182"/>
      <c r="U328" s="128"/>
    </row>
    <row r="329" spans="1:21" ht="15.6" x14ac:dyDescent="0.3">
      <c r="A329" s="53"/>
      <c r="B329" s="54"/>
      <c r="C329" s="54"/>
      <c r="D329" s="54"/>
      <c r="E329" s="55"/>
      <c r="F329" s="75"/>
      <c r="G329" s="76"/>
      <c r="H329" s="76"/>
      <c r="I329" s="48"/>
      <c r="J329" s="70"/>
      <c r="K329" s="70"/>
      <c r="L329" s="183" t="s">
        <v>1030</v>
      </c>
      <c r="M329" s="184" t="s">
        <v>1078</v>
      </c>
      <c r="N329" s="183" t="s">
        <v>214</v>
      </c>
      <c r="O329" s="185">
        <v>0.36499999999999999</v>
      </c>
      <c r="P329" s="187">
        <v>8966.68</v>
      </c>
      <c r="Q329" s="187">
        <v>3272.84</v>
      </c>
      <c r="R329" s="182"/>
      <c r="U329" s="128"/>
    </row>
    <row r="330" spans="1:21" ht="15.6" x14ac:dyDescent="0.3">
      <c r="A330" s="53"/>
      <c r="B330" s="54"/>
      <c r="C330" s="54"/>
      <c r="D330" s="54"/>
      <c r="E330" s="55"/>
      <c r="F330" s="75"/>
      <c r="G330" s="76"/>
      <c r="H330" s="76"/>
      <c r="I330" s="48"/>
      <c r="J330" s="70"/>
      <c r="K330" s="70"/>
      <c r="L330" s="183" t="s">
        <v>1188</v>
      </c>
      <c r="M330" s="184" t="s">
        <v>1271</v>
      </c>
      <c r="N330" s="183" t="s">
        <v>214</v>
      </c>
      <c r="O330" s="185">
        <v>0.09</v>
      </c>
      <c r="P330" s="187">
        <v>14916.11</v>
      </c>
      <c r="Q330" s="187">
        <v>1342.45</v>
      </c>
      <c r="R330" s="182"/>
      <c r="U330" s="128"/>
    </row>
    <row r="331" spans="1:21" ht="15.6" x14ac:dyDescent="0.3">
      <c r="A331" s="53"/>
      <c r="B331" s="54"/>
      <c r="C331" s="54"/>
      <c r="D331" s="54"/>
      <c r="E331" s="55"/>
      <c r="F331" s="75"/>
      <c r="G331" s="76"/>
      <c r="H331" s="76"/>
      <c r="I331" s="48"/>
      <c r="J331" s="70"/>
      <c r="K331" s="70"/>
      <c r="L331" s="183" t="s">
        <v>1029</v>
      </c>
      <c r="M331" s="184" t="s">
        <v>1077</v>
      </c>
      <c r="N331" s="183" t="s">
        <v>214</v>
      </c>
      <c r="O331" s="185">
        <v>9.6000000000000002E-2</v>
      </c>
      <c r="P331" s="187">
        <v>10443.33</v>
      </c>
      <c r="Q331" s="187">
        <v>1002.56</v>
      </c>
      <c r="R331" s="182"/>
      <c r="U331" s="128"/>
    </row>
    <row r="332" spans="1:21" ht="15.6" x14ac:dyDescent="0.3">
      <c r="A332" s="53"/>
      <c r="B332" s="54"/>
      <c r="C332" s="54"/>
      <c r="D332" s="54"/>
      <c r="E332" s="55"/>
      <c r="F332" s="75"/>
      <c r="G332" s="76"/>
      <c r="H332" s="76"/>
      <c r="I332" s="48"/>
      <c r="J332" s="70"/>
      <c r="K332" s="70"/>
      <c r="L332" s="183" t="s">
        <v>893</v>
      </c>
      <c r="M332" s="184" t="s">
        <v>894</v>
      </c>
      <c r="N332" s="183" t="s">
        <v>214</v>
      </c>
      <c r="O332" s="185">
        <v>0.3</v>
      </c>
      <c r="P332" s="187">
        <v>10760</v>
      </c>
      <c r="Q332" s="187">
        <v>3228</v>
      </c>
      <c r="R332" s="182"/>
      <c r="U332" s="128"/>
    </row>
    <row r="333" spans="1:21" ht="15.6" x14ac:dyDescent="0.3">
      <c r="A333" s="53"/>
      <c r="B333" s="54"/>
      <c r="C333" s="54"/>
      <c r="D333" s="54"/>
      <c r="E333" s="55"/>
      <c r="F333" s="75"/>
      <c r="G333" s="76"/>
      <c r="H333" s="76"/>
      <c r="I333" s="48"/>
      <c r="J333" s="70"/>
      <c r="K333" s="70"/>
      <c r="L333" s="183" t="s">
        <v>1382</v>
      </c>
      <c r="M333" s="184" t="s">
        <v>1410</v>
      </c>
      <c r="N333" s="183" t="s">
        <v>39</v>
      </c>
      <c r="O333" s="185">
        <v>1.4E-2</v>
      </c>
      <c r="P333" s="187">
        <v>35795</v>
      </c>
      <c r="Q333" s="186">
        <v>501.13</v>
      </c>
      <c r="R333" s="182"/>
      <c r="U333" s="128"/>
    </row>
    <row r="334" spans="1:21" ht="15.6" x14ac:dyDescent="0.3">
      <c r="A334" s="53"/>
      <c r="B334" s="54"/>
      <c r="C334" s="54"/>
      <c r="D334" s="54"/>
      <c r="E334" s="55"/>
      <c r="F334" s="75"/>
      <c r="G334" s="76"/>
      <c r="H334" s="76"/>
      <c r="I334" s="48"/>
      <c r="J334" s="70"/>
      <c r="K334" s="70"/>
      <c r="L334" s="183" t="s">
        <v>1316</v>
      </c>
      <c r="M334" s="184" t="s">
        <v>1350</v>
      </c>
      <c r="N334" s="183" t="s">
        <v>39</v>
      </c>
      <c r="O334" s="185">
        <v>1.2999999999999999E-2</v>
      </c>
      <c r="P334" s="187">
        <v>31616.92</v>
      </c>
      <c r="Q334" s="186">
        <v>411.02</v>
      </c>
      <c r="R334" s="182"/>
      <c r="U334" s="128"/>
    </row>
    <row r="335" spans="1:21" ht="15.6" x14ac:dyDescent="0.3">
      <c r="A335" s="53"/>
      <c r="B335" s="54"/>
      <c r="C335" s="54"/>
      <c r="D335" s="54"/>
      <c r="E335" s="55"/>
      <c r="F335" s="75"/>
      <c r="G335" s="76"/>
      <c r="H335" s="76"/>
      <c r="I335" s="48"/>
      <c r="J335" s="70"/>
      <c r="K335" s="70"/>
      <c r="L335" s="183" t="s">
        <v>1423</v>
      </c>
      <c r="M335" s="184" t="s">
        <v>1446</v>
      </c>
      <c r="N335" s="183" t="s">
        <v>39</v>
      </c>
      <c r="O335" s="185">
        <v>5.8999999999999997E-2</v>
      </c>
      <c r="P335" s="187">
        <v>31816.95</v>
      </c>
      <c r="Q335" s="187">
        <v>1877.2</v>
      </c>
      <c r="R335" s="182"/>
      <c r="U335" s="128"/>
    </row>
    <row r="336" spans="1:21" ht="15.6" x14ac:dyDescent="0.3">
      <c r="A336" s="53"/>
      <c r="B336" s="54"/>
      <c r="C336" s="54"/>
      <c r="D336" s="54"/>
      <c r="E336" s="55"/>
      <c r="F336" s="75"/>
      <c r="G336" s="76"/>
      <c r="H336" s="76"/>
      <c r="I336" s="48"/>
      <c r="J336" s="70"/>
      <c r="K336" s="70"/>
      <c r="L336" s="183" t="s">
        <v>1424</v>
      </c>
      <c r="M336" s="184" t="s">
        <v>228</v>
      </c>
      <c r="N336" s="183" t="s">
        <v>39</v>
      </c>
      <c r="O336" s="185">
        <v>0.03</v>
      </c>
      <c r="P336" s="187">
        <v>31733.33</v>
      </c>
      <c r="Q336" s="186">
        <v>952</v>
      </c>
      <c r="R336" s="182"/>
      <c r="U336" s="128"/>
    </row>
    <row r="337" spans="1:21" ht="15.6" x14ac:dyDescent="0.3">
      <c r="A337" s="53"/>
      <c r="B337" s="54"/>
      <c r="C337" s="54"/>
      <c r="D337" s="54"/>
      <c r="E337" s="55"/>
      <c r="F337" s="75"/>
      <c r="G337" s="76"/>
      <c r="H337" s="76"/>
      <c r="I337" s="48"/>
      <c r="J337" s="70"/>
      <c r="K337" s="70"/>
      <c r="L337" s="183" t="s">
        <v>1847</v>
      </c>
      <c r="M337" s="184" t="s">
        <v>1849</v>
      </c>
      <c r="N337" s="183" t="s">
        <v>39</v>
      </c>
      <c r="O337" s="185">
        <v>0.01</v>
      </c>
      <c r="P337" s="187">
        <v>34578</v>
      </c>
      <c r="Q337" s="186">
        <v>345.78</v>
      </c>
      <c r="R337" s="182"/>
      <c r="U337" s="128"/>
    </row>
    <row r="338" spans="1:21" ht="15.6" customHeight="1" x14ac:dyDescent="0.3">
      <c r="A338" s="53"/>
      <c r="B338" s="54"/>
      <c r="C338" s="54"/>
      <c r="D338" s="54"/>
      <c r="E338" s="55"/>
      <c r="F338" s="75"/>
      <c r="G338" s="76"/>
      <c r="H338" s="76"/>
      <c r="I338" s="48"/>
      <c r="J338" s="70"/>
      <c r="K338" s="70"/>
      <c r="L338" s="183" t="s">
        <v>1031</v>
      </c>
      <c r="M338" s="184" t="s">
        <v>834</v>
      </c>
      <c r="N338" s="183" t="s">
        <v>39</v>
      </c>
      <c r="O338" s="185">
        <v>0.113</v>
      </c>
      <c r="P338" s="187">
        <v>32771.33</v>
      </c>
      <c r="Q338" s="187">
        <v>3703.16</v>
      </c>
      <c r="R338" s="182"/>
      <c r="U338" s="128"/>
    </row>
    <row r="339" spans="1:21" ht="15.6" x14ac:dyDescent="0.3">
      <c r="A339" s="53"/>
      <c r="B339" s="54"/>
      <c r="C339" s="54"/>
      <c r="D339" s="54"/>
      <c r="E339" s="55"/>
      <c r="F339" s="75"/>
      <c r="G339" s="76"/>
      <c r="H339" s="76"/>
      <c r="I339" s="48"/>
      <c r="J339" s="70"/>
      <c r="K339" s="70"/>
      <c r="L339" s="183"/>
      <c r="M339" s="184"/>
      <c r="N339" s="183"/>
      <c r="O339" s="185"/>
      <c r="P339" s="186"/>
      <c r="Q339" s="186"/>
      <c r="R339" s="182"/>
      <c r="U339" s="128"/>
    </row>
    <row r="340" spans="1:21" ht="15.6" x14ac:dyDescent="0.3">
      <c r="A340" s="53"/>
      <c r="B340" s="54"/>
      <c r="C340" s="54"/>
      <c r="D340" s="54"/>
      <c r="E340" s="55"/>
      <c r="F340" s="75"/>
      <c r="G340" s="76"/>
      <c r="H340" s="76"/>
      <c r="I340" s="48"/>
      <c r="J340" s="70"/>
      <c r="K340" s="70"/>
      <c r="L340" s="183"/>
      <c r="M340" s="184"/>
      <c r="N340" s="183"/>
      <c r="O340" s="185"/>
      <c r="P340" s="186"/>
      <c r="Q340" s="186"/>
      <c r="R340" s="182"/>
      <c r="U340" s="128"/>
    </row>
    <row r="341" spans="1:21" ht="15.6" x14ac:dyDescent="0.3">
      <c r="A341" s="53"/>
      <c r="B341" s="54"/>
      <c r="C341" s="54"/>
      <c r="D341" s="54"/>
      <c r="E341" s="55"/>
      <c r="F341" s="75"/>
      <c r="G341" s="76"/>
      <c r="H341" s="76"/>
      <c r="I341" s="48"/>
      <c r="J341" s="70"/>
      <c r="K341" s="70"/>
      <c r="L341" s="183"/>
      <c r="M341" s="184"/>
      <c r="N341" s="183"/>
      <c r="O341" s="185"/>
      <c r="P341" s="186"/>
      <c r="Q341" s="186"/>
      <c r="R341" s="182"/>
      <c r="U341" s="128"/>
    </row>
    <row r="342" spans="1:21" ht="18.600000000000001" thickBot="1" x14ac:dyDescent="0.35">
      <c r="A342" s="164"/>
      <c r="B342" s="148"/>
      <c r="C342" s="148"/>
      <c r="D342" s="148"/>
      <c r="E342" s="149"/>
      <c r="F342" s="165"/>
      <c r="G342" s="166"/>
      <c r="H342" s="166"/>
      <c r="I342" s="150"/>
      <c r="J342" s="151"/>
      <c r="K342" s="151"/>
      <c r="L342" s="167"/>
      <c r="M342" s="168"/>
      <c r="N342" s="167"/>
      <c r="O342" s="169"/>
      <c r="P342" s="170"/>
      <c r="Q342" s="170"/>
      <c r="R342" s="152"/>
      <c r="U342" s="128"/>
    </row>
    <row r="343" spans="1:21" ht="18.600000000000001" thickBot="1" x14ac:dyDescent="0.35">
      <c r="A343" s="231"/>
      <c r="B343" s="232"/>
      <c r="C343" s="232"/>
      <c r="D343" s="232"/>
      <c r="E343" s="233"/>
      <c r="F343" s="234"/>
      <c r="G343" s="235"/>
      <c r="H343" s="235"/>
      <c r="I343" s="236"/>
      <c r="J343" s="237"/>
      <c r="K343" s="237"/>
      <c r="L343" s="238"/>
      <c r="M343" s="239"/>
      <c r="N343" s="238"/>
      <c r="O343" s="240"/>
      <c r="P343" s="241"/>
      <c r="Q343" s="241">
        <f>SUM(Q19:Q341)</f>
        <v>569352.37000000011</v>
      </c>
      <c r="R343" s="242"/>
      <c r="U343" s="128"/>
    </row>
    <row r="344" spans="1:21" ht="15.6" x14ac:dyDescent="0.3">
      <c r="A344" s="171"/>
      <c r="B344" s="172"/>
      <c r="C344" s="172"/>
      <c r="D344" s="172"/>
      <c r="E344" s="173"/>
      <c r="F344" s="75"/>
      <c r="G344" s="76"/>
      <c r="H344" s="76"/>
      <c r="I344" s="174"/>
      <c r="J344" s="175"/>
      <c r="K344" s="175"/>
      <c r="L344" s="278" t="s">
        <v>1459</v>
      </c>
      <c r="M344" s="184" t="s">
        <v>1538</v>
      </c>
      <c r="N344" s="278" t="s">
        <v>34</v>
      </c>
      <c r="O344" s="279">
        <v>1</v>
      </c>
      <c r="P344" s="186">
        <v>554.5</v>
      </c>
      <c r="Q344" s="186">
        <v>554.5</v>
      </c>
      <c r="R344" s="280"/>
      <c r="U344" s="128"/>
    </row>
    <row r="345" spans="1:21" ht="15.6" x14ac:dyDescent="0.3">
      <c r="A345" s="53"/>
      <c r="B345" s="54"/>
      <c r="C345" s="54"/>
      <c r="D345" s="54"/>
      <c r="E345" s="55"/>
      <c r="F345" s="75"/>
      <c r="G345" s="76"/>
      <c r="H345" s="76"/>
      <c r="I345" s="48"/>
      <c r="J345" s="70"/>
      <c r="K345" s="70"/>
      <c r="L345" s="278" t="s">
        <v>1460</v>
      </c>
      <c r="M345" s="184" t="s">
        <v>1539</v>
      </c>
      <c r="N345" s="278" t="s">
        <v>34</v>
      </c>
      <c r="O345" s="279">
        <v>1</v>
      </c>
      <c r="P345" s="186">
        <v>16.600000000000001</v>
      </c>
      <c r="Q345" s="186">
        <v>16.600000000000001</v>
      </c>
      <c r="R345" s="182"/>
      <c r="U345" s="128"/>
    </row>
    <row r="346" spans="1:21" ht="15.6" x14ac:dyDescent="0.3">
      <c r="A346" s="53"/>
      <c r="B346" s="54"/>
      <c r="C346" s="54"/>
      <c r="D346" s="54"/>
      <c r="E346" s="55"/>
      <c r="F346" s="75"/>
      <c r="G346" s="76"/>
      <c r="H346" s="76"/>
      <c r="I346" s="48"/>
      <c r="J346" s="70"/>
      <c r="K346" s="70"/>
      <c r="L346" s="278" t="s">
        <v>1461</v>
      </c>
      <c r="M346" s="184" t="s">
        <v>1540</v>
      </c>
      <c r="N346" s="278" t="s">
        <v>34</v>
      </c>
      <c r="O346" s="279">
        <v>4</v>
      </c>
      <c r="P346" s="186">
        <v>213.13</v>
      </c>
      <c r="Q346" s="186">
        <v>852.5</v>
      </c>
      <c r="R346" s="182"/>
      <c r="U346" s="128"/>
    </row>
    <row r="347" spans="1:21" ht="15.6" x14ac:dyDescent="0.3">
      <c r="A347" s="53"/>
      <c r="B347" s="54"/>
      <c r="C347" s="54"/>
      <c r="D347" s="54"/>
      <c r="E347" s="55"/>
      <c r="F347" s="75"/>
      <c r="G347" s="76"/>
      <c r="H347" s="76"/>
      <c r="I347" s="48"/>
      <c r="J347" s="70"/>
      <c r="K347" s="70"/>
      <c r="L347" s="278" t="s">
        <v>1671</v>
      </c>
      <c r="M347" s="184" t="s">
        <v>1689</v>
      </c>
      <c r="N347" s="278" t="s">
        <v>34</v>
      </c>
      <c r="O347" s="279">
        <v>1</v>
      </c>
      <c r="P347" s="186">
        <v>206.84</v>
      </c>
      <c r="Q347" s="186">
        <v>206.84</v>
      </c>
      <c r="R347" s="182"/>
      <c r="U347" s="128"/>
    </row>
    <row r="348" spans="1:21" ht="15.6" x14ac:dyDescent="0.3">
      <c r="A348" s="53"/>
      <c r="B348" s="54"/>
      <c r="C348" s="54"/>
      <c r="D348" s="54"/>
      <c r="E348" s="55"/>
      <c r="F348" s="75"/>
      <c r="G348" s="76"/>
      <c r="H348" s="76"/>
      <c r="I348" s="48"/>
      <c r="J348" s="70"/>
      <c r="K348" s="70"/>
      <c r="L348" s="278" t="s">
        <v>1464</v>
      </c>
      <c r="M348" s="184" t="s">
        <v>1543</v>
      </c>
      <c r="N348" s="278" t="s">
        <v>34</v>
      </c>
      <c r="O348" s="279">
        <v>5</v>
      </c>
      <c r="P348" s="186">
        <v>115.83</v>
      </c>
      <c r="Q348" s="186">
        <v>579.15</v>
      </c>
      <c r="R348" s="182"/>
      <c r="U348" s="128"/>
    </row>
    <row r="349" spans="1:21" ht="15.6" x14ac:dyDescent="0.3">
      <c r="A349" s="53"/>
      <c r="B349" s="54"/>
      <c r="C349" s="54"/>
      <c r="D349" s="54"/>
      <c r="E349" s="55"/>
      <c r="F349" s="75"/>
      <c r="G349" s="76"/>
      <c r="H349" s="76"/>
      <c r="I349" s="48"/>
      <c r="J349" s="70"/>
      <c r="K349" s="70"/>
      <c r="L349" s="278" t="s">
        <v>1465</v>
      </c>
      <c r="M349" s="184" t="s">
        <v>1544</v>
      </c>
      <c r="N349" s="278" t="s">
        <v>34</v>
      </c>
      <c r="O349" s="279">
        <v>1</v>
      </c>
      <c r="P349" s="186">
        <v>68.33</v>
      </c>
      <c r="Q349" s="186">
        <v>68.33</v>
      </c>
      <c r="R349" s="182"/>
      <c r="U349" s="128"/>
    </row>
    <row r="350" spans="1:21" ht="15.6" x14ac:dyDescent="0.3">
      <c r="A350" s="53"/>
      <c r="B350" s="54"/>
      <c r="C350" s="54"/>
      <c r="D350" s="54"/>
      <c r="E350" s="55"/>
      <c r="F350" s="75"/>
      <c r="G350" s="76"/>
      <c r="H350" s="76"/>
      <c r="I350" s="48"/>
      <c r="J350" s="70"/>
      <c r="K350" s="70"/>
      <c r="L350" s="278" t="s">
        <v>1470</v>
      </c>
      <c r="M350" s="184" t="s">
        <v>1549</v>
      </c>
      <c r="N350" s="278" t="s">
        <v>34</v>
      </c>
      <c r="O350" s="279">
        <v>6</v>
      </c>
      <c r="P350" s="186">
        <v>121.67</v>
      </c>
      <c r="Q350" s="186">
        <v>730.02</v>
      </c>
      <c r="R350" s="182"/>
      <c r="U350" s="128"/>
    </row>
    <row r="351" spans="1:21" ht="15.6" x14ac:dyDescent="0.3">
      <c r="A351" s="53"/>
      <c r="B351" s="54"/>
      <c r="C351" s="54"/>
      <c r="D351" s="54"/>
      <c r="E351" s="55"/>
      <c r="F351" s="75"/>
      <c r="G351" s="76"/>
      <c r="H351" s="76"/>
      <c r="I351" s="48"/>
      <c r="J351" s="70"/>
      <c r="K351" s="70"/>
      <c r="L351" s="278" t="s">
        <v>1471</v>
      </c>
      <c r="M351" s="184" t="s">
        <v>1550</v>
      </c>
      <c r="N351" s="278" t="s">
        <v>34</v>
      </c>
      <c r="O351" s="281">
        <v>1809</v>
      </c>
      <c r="P351" s="186">
        <v>0.11</v>
      </c>
      <c r="Q351" s="186">
        <v>193.56</v>
      </c>
      <c r="R351" s="182"/>
      <c r="U351" s="128"/>
    </row>
    <row r="352" spans="1:21" ht="15.6" x14ac:dyDescent="0.3">
      <c r="A352" s="53"/>
      <c r="B352" s="54"/>
      <c r="C352" s="54"/>
      <c r="D352" s="54"/>
      <c r="E352" s="55"/>
      <c r="F352" s="75"/>
      <c r="G352" s="76"/>
      <c r="H352" s="76"/>
      <c r="I352" s="48"/>
      <c r="J352" s="70"/>
      <c r="K352" s="70"/>
      <c r="L352" s="278" t="s">
        <v>625</v>
      </c>
      <c r="M352" s="184" t="s">
        <v>136</v>
      </c>
      <c r="N352" s="278" t="s">
        <v>34</v>
      </c>
      <c r="O352" s="279">
        <v>6</v>
      </c>
      <c r="P352" s="186">
        <v>66.5</v>
      </c>
      <c r="Q352" s="186">
        <v>399</v>
      </c>
      <c r="R352" s="182"/>
      <c r="U352" s="128"/>
    </row>
    <row r="353" spans="1:21" ht="15.6" x14ac:dyDescent="0.3">
      <c r="A353" s="53"/>
      <c r="B353" s="54"/>
      <c r="C353" s="54"/>
      <c r="D353" s="54"/>
      <c r="E353" s="55"/>
      <c r="F353" s="75"/>
      <c r="G353" s="76"/>
      <c r="H353" s="76"/>
      <c r="I353" s="48"/>
      <c r="J353" s="70"/>
      <c r="K353" s="70"/>
      <c r="L353" s="278" t="s">
        <v>698</v>
      </c>
      <c r="M353" s="184" t="s">
        <v>97</v>
      </c>
      <c r="N353" s="278" t="s">
        <v>34</v>
      </c>
      <c r="O353" s="281">
        <v>3267</v>
      </c>
      <c r="P353" s="186">
        <v>0.11</v>
      </c>
      <c r="Q353" s="186">
        <v>349.57</v>
      </c>
      <c r="R353" s="182"/>
      <c r="U353" s="128"/>
    </row>
    <row r="354" spans="1:21" ht="15.6" x14ac:dyDescent="0.3">
      <c r="A354" s="53"/>
      <c r="B354" s="54"/>
      <c r="C354" s="54"/>
      <c r="D354" s="54"/>
      <c r="E354" s="55"/>
      <c r="F354" s="75"/>
      <c r="G354" s="76"/>
      <c r="H354" s="76"/>
      <c r="I354" s="48"/>
      <c r="J354" s="70"/>
      <c r="K354" s="70"/>
      <c r="L354" s="278" t="s">
        <v>1473</v>
      </c>
      <c r="M354" s="184" t="s">
        <v>1552</v>
      </c>
      <c r="N354" s="278" t="s">
        <v>34</v>
      </c>
      <c r="O354" s="279">
        <v>2</v>
      </c>
      <c r="P354" s="186">
        <v>239</v>
      </c>
      <c r="Q354" s="186">
        <v>478</v>
      </c>
      <c r="R354" s="182"/>
      <c r="U354" s="128"/>
    </row>
    <row r="355" spans="1:21" ht="15.6" x14ac:dyDescent="0.3">
      <c r="A355" s="53"/>
      <c r="B355" s="54"/>
      <c r="C355" s="54"/>
      <c r="D355" s="54"/>
      <c r="E355" s="55"/>
      <c r="F355" s="75"/>
      <c r="G355" s="76"/>
      <c r="H355" s="76"/>
      <c r="I355" s="48"/>
      <c r="J355" s="70"/>
      <c r="K355" s="70"/>
      <c r="L355" s="278" t="s">
        <v>1474</v>
      </c>
      <c r="M355" s="184" t="s">
        <v>1553</v>
      </c>
      <c r="N355" s="278" t="s">
        <v>34</v>
      </c>
      <c r="O355" s="279">
        <v>1</v>
      </c>
      <c r="P355" s="186">
        <v>203.33</v>
      </c>
      <c r="Q355" s="186">
        <v>203.33</v>
      </c>
      <c r="R355" s="182"/>
      <c r="U355" s="128"/>
    </row>
    <row r="356" spans="1:21" ht="15.6" x14ac:dyDescent="0.3">
      <c r="A356" s="53"/>
      <c r="B356" s="54"/>
      <c r="C356" s="54"/>
      <c r="D356" s="54"/>
      <c r="E356" s="55"/>
      <c r="F356" s="75"/>
      <c r="G356" s="76"/>
      <c r="H356" s="76"/>
      <c r="I356" s="48"/>
      <c r="J356" s="70"/>
      <c r="K356" s="70"/>
      <c r="L356" s="278" t="s">
        <v>677</v>
      </c>
      <c r="M356" s="184" t="s">
        <v>1554</v>
      </c>
      <c r="N356" s="278" t="s">
        <v>34</v>
      </c>
      <c r="O356" s="279">
        <v>4</v>
      </c>
      <c r="P356" s="186">
        <v>73.02</v>
      </c>
      <c r="Q356" s="186">
        <v>292.08</v>
      </c>
      <c r="R356" s="182"/>
      <c r="U356" s="128"/>
    </row>
    <row r="357" spans="1:21" ht="15.6" x14ac:dyDescent="0.3">
      <c r="A357" s="53"/>
      <c r="B357" s="54"/>
      <c r="C357" s="54"/>
      <c r="D357" s="54"/>
      <c r="E357" s="55"/>
      <c r="F357" s="75"/>
      <c r="G357" s="76"/>
      <c r="H357" s="76"/>
      <c r="I357" s="48"/>
      <c r="J357" s="70"/>
      <c r="K357" s="70"/>
      <c r="L357" s="278" t="s">
        <v>1142</v>
      </c>
      <c r="M357" s="184" t="s">
        <v>1229</v>
      </c>
      <c r="N357" s="278" t="s">
        <v>34</v>
      </c>
      <c r="O357" s="279">
        <v>19</v>
      </c>
      <c r="P357" s="186">
        <v>192.06</v>
      </c>
      <c r="Q357" s="187">
        <v>3649.19</v>
      </c>
      <c r="R357" s="182"/>
      <c r="U357" s="128"/>
    </row>
    <row r="358" spans="1:21" ht="15.6" x14ac:dyDescent="0.3">
      <c r="A358" s="53"/>
      <c r="B358" s="54"/>
      <c r="C358" s="54"/>
      <c r="D358" s="54"/>
      <c r="E358" s="55"/>
      <c r="F358" s="75"/>
      <c r="G358" s="76"/>
      <c r="H358" s="76"/>
      <c r="I358" s="48"/>
      <c r="J358" s="70"/>
      <c r="K358" s="70"/>
      <c r="L358" s="278" t="s">
        <v>1475</v>
      </c>
      <c r="M358" s="184" t="s">
        <v>1555</v>
      </c>
      <c r="N358" s="278" t="s">
        <v>64</v>
      </c>
      <c r="O358" s="279">
        <v>1</v>
      </c>
      <c r="P358" s="186">
        <v>160.32</v>
      </c>
      <c r="Q358" s="186">
        <v>160.32</v>
      </c>
      <c r="R358" s="182"/>
      <c r="U358" s="128"/>
    </row>
    <row r="359" spans="1:21" ht="15.6" x14ac:dyDescent="0.3">
      <c r="A359" s="53"/>
      <c r="B359" s="54"/>
      <c r="C359" s="54"/>
      <c r="D359" s="54"/>
      <c r="E359" s="55"/>
      <c r="F359" s="75"/>
      <c r="G359" s="76"/>
      <c r="H359" s="76"/>
      <c r="I359" s="48"/>
      <c r="J359" s="70"/>
      <c r="K359" s="70"/>
      <c r="L359" s="278" t="s">
        <v>597</v>
      </c>
      <c r="M359" s="184" t="s">
        <v>598</v>
      </c>
      <c r="N359" s="278" t="s">
        <v>34</v>
      </c>
      <c r="O359" s="279">
        <v>2</v>
      </c>
      <c r="P359" s="186">
        <v>139.11000000000001</v>
      </c>
      <c r="Q359" s="186">
        <v>278.22000000000003</v>
      </c>
      <c r="R359" s="182"/>
      <c r="U359" s="128"/>
    </row>
    <row r="360" spans="1:21" ht="15.6" x14ac:dyDescent="0.3">
      <c r="A360" s="53"/>
      <c r="B360" s="54"/>
      <c r="C360" s="54"/>
      <c r="D360" s="54"/>
      <c r="E360" s="55"/>
      <c r="F360" s="75"/>
      <c r="G360" s="76"/>
      <c r="H360" s="76"/>
      <c r="I360" s="48"/>
      <c r="J360" s="70"/>
      <c r="K360" s="70"/>
      <c r="L360" s="278" t="s">
        <v>1672</v>
      </c>
      <c r="M360" s="184" t="s">
        <v>1690</v>
      </c>
      <c r="N360" s="278" t="s">
        <v>57</v>
      </c>
      <c r="O360" s="279">
        <v>1</v>
      </c>
      <c r="P360" s="186">
        <v>35</v>
      </c>
      <c r="Q360" s="186">
        <v>35</v>
      </c>
      <c r="R360" s="182"/>
      <c r="U360" s="128"/>
    </row>
    <row r="361" spans="1:21" ht="15.6" x14ac:dyDescent="0.3">
      <c r="A361" s="53"/>
      <c r="B361" s="54"/>
      <c r="C361" s="54"/>
      <c r="D361" s="54"/>
      <c r="E361" s="55"/>
      <c r="F361" s="75"/>
      <c r="G361" s="76"/>
      <c r="H361" s="76"/>
      <c r="I361" s="48"/>
      <c r="J361" s="70"/>
      <c r="K361" s="70"/>
      <c r="L361" s="278" t="s">
        <v>159</v>
      </c>
      <c r="M361" s="184" t="s">
        <v>160</v>
      </c>
      <c r="N361" s="278" t="s">
        <v>37</v>
      </c>
      <c r="O361" s="279">
        <v>3</v>
      </c>
      <c r="P361" s="186">
        <v>21</v>
      </c>
      <c r="Q361" s="186">
        <v>63</v>
      </c>
      <c r="R361" s="182"/>
      <c r="U361" s="128"/>
    </row>
    <row r="362" spans="1:21" ht="15.6" x14ac:dyDescent="0.3">
      <c r="A362" s="53"/>
      <c r="B362" s="54"/>
      <c r="C362" s="54"/>
      <c r="D362" s="54"/>
      <c r="E362" s="55"/>
      <c r="F362" s="75"/>
      <c r="G362" s="76"/>
      <c r="H362" s="76"/>
      <c r="I362" s="48"/>
      <c r="J362" s="70"/>
      <c r="K362" s="70"/>
      <c r="L362" s="278" t="s">
        <v>1478</v>
      </c>
      <c r="M362" s="184" t="s">
        <v>1558</v>
      </c>
      <c r="N362" s="278" t="s">
        <v>34</v>
      </c>
      <c r="O362" s="279">
        <v>1</v>
      </c>
      <c r="P362" s="187">
        <v>1273.5</v>
      </c>
      <c r="Q362" s="187">
        <v>1273.5</v>
      </c>
      <c r="R362" s="182"/>
      <c r="U362" s="128"/>
    </row>
    <row r="363" spans="1:21" ht="15.6" x14ac:dyDescent="0.3">
      <c r="A363" s="53"/>
      <c r="B363" s="54"/>
      <c r="C363" s="54"/>
      <c r="D363" s="54"/>
      <c r="E363" s="55"/>
      <c r="F363" s="75"/>
      <c r="G363" s="76"/>
      <c r="H363" s="76"/>
      <c r="I363" s="48"/>
      <c r="J363" s="70"/>
      <c r="K363" s="70"/>
      <c r="L363" s="278" t="s">
        <v>1480</v>
      </c>
      <c r="M363" s="184" t="s">
        <v>1560</v>
      </c>
      <c r="N363" s="278" t="s">
        <v>34</v>
      </c>
      <c r="O363" s="279">
        <v>1</v>
      </c>
      <c r="P363" s="186">
        <v>206</v>
      </c>
      <c r="Q363" s="186">
        <v>206</v>
      </c>
      <c r="R363" s="182"/>
      <c r="U363" s="128"/>
    </row>
    <row r="364" spans="1:21" ht="15.6" x14ac:dyDescent="0.3">
      <c r="A364" s="53"/>
      <c r="B364" s="54"/>
      <c r="C364" s="54"/>
      <c r="D364" s="54"/>
      <c r="E364" s="55"/>
      <c r="F364" s="75"/>
      <c r="G364" s="76"/>
      <c r="H364" s="76"/>
      <c r="I364" s="48"/>
      <c r="J364" s="70"/>
      <c r="K364" s="70"/>
      <c r="L364" s="278" t="s">
        <v>1481</v>
      </c>
      <c r="M364" s="184" t="s">
        <v>1561</v>
      </c>
      <c r="N364" s="278" t="s">
        <v>34</v>
      </c>
      <c r="O364" s="279">
        <v>2</v>
      </c>
      <c r="P364" s="186">
        <v>52</v>
      </c>
      <c r="Q364" s="186">
        <v>104</v>
      </c>
      <c r="R364" s="182"/>
      <c r="U364" s="128"/>
    </row>
    <row r="365" spans="1:21" ht="15.6" x14ac:dyDescent="0.3">
      <c r="A365" s="53"/>
      <c r="B365" s="54"/>
      <c r="C365" s="54"/>
      <c r="D365" s="54"/>
      <c r="E365" s="55"/>
      <c r="F365" s="75"/>
      <c r="G365" s="76"/>
      <c r="H365" s="76"/>
      <c r="I365" s="48"/>
      <c r="J365" s="70"/>
      <c r="K365" s="70"/>
      <c r="L365" s="278" t="s">
        <v>157</v>
      </c>
      <c r="M365" s="184" t="s">
        <v>158</v>
      </c>
      <c r="N365" s="278" t="s">
        <v>34</v>
      </c>
      <c r="O365" s="279">
        <v>3</v>
      </c>
      <c r="P365" s="186">
        <v>104.03</v>
      </c>
      <c r="Q365" s="186">
        <v>312.08</v>
      </c>
      <c r="R365" s="182"/>
      <c r="U365" s="128"/>
    </row>
    <row r="366" spans="1:21" ht="15.6" x14ac:dyDescent="0.3">
      <c r="A366" s="53"/>
      <c r="B366" s="54"/>
      <c r="C366" s="54"/>
      <c r="D366" s="54"/>
      <c r="E366" s="55"/>
      <c r="F366" s="75"/>
      <c r="G366" s="76"/>
      <c r="H366" s="76"/>
      <c r="I366" s="48"/>
      <c r="J366" s="70"/>
      <c r="K366" s="70"/>
      <c r="L366" s="278" t="s">
        <v>254</v>
      </c>
      <c r="M366" s="184" t="s">
        <v>255</v>
      </c>
      <c r="N366" s="278" t="s">
        <v>34</v>
      </c>
      <c r="O366" s="279">
        <v>1</v>
      </c>
      <c r="P366" s="186">
        <v>926</v>
      </c>
      <c r="Q366" s="186">
        <v>926</v>
      </c>
      <c r="R366" s="182"/>
      <c r="U366" s="128"/>
    </row>
    <row r="367" spans="1:21" ht="15.6" x14ac:dyDescent="0.3">
      <c r="A367" s="53"/>
      <c r="B367" s="54"/>
      <c r="C367" s="54"/>
      <c r="D367" s="54"/>
      <c r="E367" s="55"/>
      <c r="F367" s="75"/>
      <c r="G367" s="76"/>
      <c r="H367" s="76"/>
      <c r="I367" s="48"/>
      <c r="J367" s="70"/>
      <c r="K367" s="70"/>
      <c r="L367" s="278" t="s">
        <v>627</v>
      </c>
      <c r="M367" s="184" t="s">
        <v>628</v>
      </c>
      <c r="N367" s="278" t="s">
        <v>34</v>
      </c>
      <c r="O367" s="279">
        <v>2</v>
      </c>
      <c r="P367" s="186">
        <v>25</v>
      </c>
      <c r="Q367" s="186">
        <v>50</v>
      </c>
      <c r="R367" s="182"/>
      <c r="U367" s="128"/>
    </row>
    <row r="368" spans="1:21" ht="15.6" x14ac:dyDescent="0.3">
      <c r="A368" s="53"/>
      <c r="B368" s="54"/>
      <c r="C368" s="54"/>
      <c r="D368" s="54"/>
      <c r="E368" s="55"/>
      <c r="F368" s="75"/>
      <c r="G368" s="76"/>
      <c r="H368" s="76"/>
      <c r="I368" s="48"/>
      <c r="J368" s="70"/>
      <c r="K368" s="70"/>
      <c r="L368" s="278" t="s">
        <v>1482</v>
      </c>
      <c r="M368" s="184" t="s">
        <v>1562</v>
      </c>
      <c r="N368" s="278" t="s">
        <v>34</v>
      </c>
      <c r="O368" s="279">
        <v>1</v>
      </c>
      <c r="P368" s="186">
        <v>75.400000000000006</v>
      </c>
      <c r="Q368" s="186">
        <v>75.400000000000006</v>
      </c>
      <c r="R368" s="182"/>
      <c r="U368" s="128"/>
    </row>
    <row r="369" spans="1:21" ht="15.6" x14ac:dyDescent="0.3">
      <c r="A369" s="53"/>
      <c r="B369" s="54"/>
      <c r="C369" s="54"/>
      <c r="D369" s="54"/>
      <c r="E369" s="55"/>
      <c r="F369" s="75"/>
      <c r="G369" s="76"/>
      <c r="H369" s="76"/>
      <c r="I369" s="48"/>
      <c r="J369" s="70"/>
      <c r="K369" s="70"/>
      <c r="L369" s="278" t="s">
        <v>127</v>
      </c>
      <c r="M369" s="184" t="s">
        <v>128</v>
      </c>
      <c r="N369" s="278" t="s">
        <v>34</v>
      </c>
      <c r="O369" s="279">
        <v>1</v>
      </c>
      <c r="P369" s="186">
        <v>500.28</v>
      </c>
      <c r="Q369" s="186">
        <v>500.28</v>
      </c>
      <c r="R369" s="182"/>
      <c r="U369" s="128"/>
    </row>
    <row r="370" spans="1:21" ht="15.6" x14ac:dyDescent="0.3">
      <c r="A370" s="53"/>
      <c r="B370" s="54"/>
      <c r="C370" s="54"/>
      <c r="D370" s="54"/>
      <c r="E370" s="55"/>
      <c r="F370" s="75"/>
      <c r="G370" s="76"/>
      <c r="H370" s="76"/>
      <c r="I370" s="48"/>
      <c r="J370" s="70"/>
      <c r="K370" s="70"/>
      <c r="L370" s="278" t="s">
        <v>1483</v>
      </c>
      <c r="M370" s="184" t="s">
        <v>1563</v>
      </c>
      <c r="N370" s="278" t="s">
        <v>34</v>
      </c>
      <c r="O370" s="279">
        <v>3</v>
      </c>
      <c r="P370" s="186">
        <v>117.22</v>
      </c>
      <c r="Q370" s="186">
        <v>351.66</v>
      </c>
      <c r="R370" s="182"/>
      <c r="U370" s="128"/>
    </row>
    <row r="371" spans="1:21" ht="15.6" x14ac:dyDescent="0.3">
      <c r="A371" s="53"/>
      <c r="B371" s="54"/>
      <c r="C371" s="54"/>
      <c r="D371" s="54"/>
      <c r="E371" s="55"/>
      <c r="F371" s="75"/>
      <c r="G371" s="76"/>
      <c r="H371" s="76"/>
      <c r="I371" s="48"/>
      <c r="J371" s="70"/>
      <c r="K371" s="70"/>
      <c r="L371" s="278" t="s">
        <v>98</v>
      </c>
      <c r="M371" s="184" t="s">
        <v>99</v>
      </c>
      <c r="N371" s="278" t="s">
        <v>37</v>
      </c>
      <c r="O371" s="279">
        <v>4</v>
      </c>
      <c r="P371" s="186">
        <v>131</v>
      </c>
      <c r="Q371" s="186">
        <v>524</v>
      </c>
      <c r="R371" s="182"/>
      <c r="U371" s="128"/>
    </row>
    <row r="372" spans="1:21" ht="15.6" x14ac:dyDescent="0.3">
      <c r="A372" s="53"/>
      <c r="B372" s="54"/>
      <c r="C372" s="54"/>
      <c r="D372" s="54"/>
      <c r="E372" s="55"/>
      <c r="F372" s="75"/>
      <c r="G372" s="76"/>
      <c r="H372" s="76"/>
      <c r="I372" s="48"/>
      <c r="J372" s="70"/>
      <c r="K372" s="70"/>
      <c r="L372" s="278" t="s">
        <v>1673</v>
      </c>
      <c r="M372" s="184" t="s">
        <v>1691</v>
      </c>
      <c r="N372" s="278" t="s">
        <v>34</v>
      </c>
      <c r="O372" s="279">
        <v>1</v>
      </c>
      <c r="P372" s="186">
        <v>717</v>
      </c>
      <c r="Q372" s="186">
        <v>717</v>
      </c>
      <c r="R372" s="182"/>
      <c r="U372" s="128"/>
    </row>
    <row r="373" spans="1:21" ht="15.6" x14ac:dyDescent="0.3">
      <c r="A373" s="53"/>
      <c r="B373" s="54"/>
      <c r="C373" s="54"/>
      <c r="D373" s="54"/>
      <c r="E373" s="55"/>
      <c r="F373" s="75"/>
      <c r="G373" s="76"/>
      <c r="H373" s="76"/>
      <c r="I373" s="48"/>
      <c r="J373" s="70"/>
      <c r="K373" s="70"/>
      <c r="L373" s="278" t="s">
        <v>1485</v>
      </c>
      <c r="M373" s="184" t="s">
        <v>1565</v>
      </c>
      <c r="N373" s="278" t="s">
        <v>34</v>
      </c>
      <c r="O373" s="279">
        <v>4</v>
      </c>
      <c r="P373" s="186">
        <v>30.69</v>
      </c>
      <c r="Q373" s="186">
        <v>122.76</v>
      </c>
      <c r="R373" s="182"/>
      <c r="U373" s="128"/>
    </row>
    <row r="374" spans="1:21" ht="15.6" x14ac:dyDescent="0.3">
      <c r="A374" s="53"/>
      <c r="B374" s="54"/>
      <c r="C374" s="54"/>
      <c r="D374" s="54"/>
      <c r="E374" s="55"/>
      <c r="F374" s="75"/>
      <c r="G374" s="76"/>
      <c r="H374" s="76"/>
      <c r="I374" s="48"/>
      <c r="J374" s="70"/>
      <c r="K374" s="70"/>
      <c r="L374" s="278" t="s">
        <v>1626</v>
      </c>
      <c r="M374" s="184" t="s">
        <v>1652</v>
      </c>
      <c r="N374" s="278" t="s">
        <v>34</v>
      </c>
      <c r="O374" s="279">
        <v>1</v>
      </c>
      <c r="P374" s="186">
        <v>160.83000000000001</v>
      </c>
      <c r="Q374" s="186">
        <v>160.83000000000001</v>
      </c>
      <c r="R374" s="182"/>
      <c r="U374" s="128"/>
    </row>
    <row r="375" spans="1:21" ht="15.6" x14ac:dyDescent="0.3">
      <c r="A375" s="53"/>
      <c r="B375" s="54"/>
      <c r="C375" s="54"/>
      <c r="D375" s="54"/>
      <c r="E375" s="55"/>
      <c r="F375" s="75"/>
      <c r="G375" s="76"/>
      <c r="H375" s="76"/>
      <c r="I375" s="48"/>
      <c r="J375" s="70"/>
      <c r="K375" s="70"/>
      <c r="L375" s="278" t="s">
        <v>1674</v>
      </c>
      <c r="M375" s="184" t="s">
        <v>1692</v>
      </c>
      <c r="N375" s="278" t="s">
        <v>34</v>
      </c>
      <c r="O375" s="279">
        <v>1</v>
      </c>
      <c r="P375" s="186">
        <v>321.11</v>
      </c>
      <c r="Q375" s="186">
        <v>321.11</v>
      </c>
      <c r="R375" s="182"/>
      <c r="U375" s="128"/>
    </row>
    <row r="376" spans="1:21" ht="15.6" x14ac:dyDescent="0.3">
      <c r="A376" s="53"/>
      <c r="B376" s="54"/>
      <c r="C376" s="54"/>
      <c r="D376" s="54"/>
      <c r="E376" s="55"/>
      <c r="F376" s="75"/>
      <c r="G376" s="76"/>
      <c r="H376" s="76"/>
      <c r="I376" s="48"/>
      <c r="J376" s="70"/>
      <c r="K376" s="70"/>
      <c r="L376" s="278" t="s">
        <v>710</v>
      </c>
      <c r="M376" s="184" t="s">
        <v>711</v>
      </c>
      <c r="N376" s="278" t="s">
        <v>34</v>
      </c>
      <c r="O376" s="279">
        <v>5</v>
      </c>
      <c r="P376" s="186">
        <v>65</v>
      </c>
      <c r="Q376" s="186">
        <v>325</v>
      </c>
      <c r="R376" s="182"/>
      <c r="U376" s="128"/>
    </row>
    <row r="377" spans="1:21" ht="15.6" x14ac:dyDescent="0.3">
      <c r="A377" s="53"/>
      <c r="B377" s="54"/>
      <c r="C377" s="54"/>
      <c r="D377" s="54"/>
      <c r="E377" s="55"/>
      <c r="F377" s="75"/>
      <c r="G377" s="76"/>
      <c r="H377" s="76"/>
      <c r="I377" s="48"/>
      <c r="J377" s="70"/>
      <c r="K377" s="70"/>
      <c r="L377" s="278" t="s">
        <v>651</v>
      </c>
      <c r="M377" s="184" t="s">
        <v>652</v>
      </c>
      <c r="N377" s="278" t="s">
        <v>34</v>
      </c>
      <c r="O377" s="279">
        <v>1</v>
      </c>
      <c r="P377" s="186">
        <v>147.91999999999999</v>
      </c>
      <c r="Q377" s="186">
        <v>147.91999999999999</v>
      </c>
      <c r="R377" s="182"/>
      <c r="U377" s="128"/>
    </row>
    <row r="378" spans="1:21" ht="15.6" x14ac:dyDescent="0.3">
      <c r="A378" s="53"/>
      <c r="B378" s="54"/>
      <c r="C378" s="54"/>
      <c r="D378" s="54"/>
      <c r="E378" s="55"/>
      <c r="F378" s="75"/>
      <c r="G378" s="76"/>
      <c r="H378" s="76"/>
      <c r="I378" s="48"/>
      <c r="J378" s="70"/>
      <c r="K378" s="70"/>
      <c r="L378" s="278" t="s">
        <v>638</v>
      </c>
      <c r="M378" s="184" t="s">
        <v>639</v>
      </c>
      <c r="N378" s="278" t="s">
        <v>64</v>
      </c>
      <c r="O378" s="279">
        <v>2</v>
      </c>
      <c r="P378" s="186">
        <v>149.16999999999999</v>
      </c>
      <c r="Q378" s="186">
        <v>298.33999999999997</v>
      </c>
      <c r="R378" s="182"/>
      <c r="U378" s="128"/>
    </row>
    <row r="379" spans="1:21" ht="15.6" x14ac:dyDescent="0.3">
      <c r="A379" s="53"/>
      <c r="B379" s="54"/>
      <c r="C379" s="54"/>
      <c r="D379" s="54"/>
      <c r="E379" s="55"/>
      <c r="F379" s="75"/>
      <c r="G379" s="76"/>
      <c r="H379" s="76"/>
      <c r="I379" s="48"/>
      <c r="J379" s="70"/>
      <c r="K379" s="70"/>
      <c r="L379" s="278" t="s">
        <v>1486</v>
      </c>
      <c r="M379" s="184" t="s">
        <v>1566</v>
      </c>
      <c r="N379" s="278" t="s">
        <v>34</v>
      </c>
      <c r="O379" s="279">
        <v>2</v>
      </c>
      <c r="P379" s="186">
        <v>244</v>
      </c>
      <c r="Q379" s="186">
        <v>488</v>
      </c>
      <c r="R379" s="182"/>
      <c r="U379" s="128"/>
    </row>
    <row r="380" spans="1:21" ht="15.6" x14ac:dyDescent="0.3">
      <c r="A380" s="53"/>
      <c r="B380" s="54"/>
      <c r="C380" s="54"/>
      <c r="D380" s="54"/>
      <c r="E380" s="55"/>
      <c r="F380" s="75"/>
      <c r="G380" s="76"/>
      <c r="H380" s="76"/>
      <c r="I380" s="48"/>
      <c r="J380" s="70"/>
      <c r="K380" s="70"/>
      <c r="L380" s="278" t="s">
        <v>1487</v>
      </c>
      <c r="M380" s="184" t="s">
        <v>1567</v>
      </c>
      <c r="N380" s="278" t="s">
        <v>34</v>
      </c>
      <c r="O380" s="279">
        <v>2</v>
      </c>
      <c r="P380" s="186">
        <v>34</v>
      </c>
      <c r="Q380" s="186">
        <v>68</v>
      </c>
      <c r="R380" s="182"/>
      <c r="U380" s="128"/>
    </row>
    <row r="381" spans="1:21" ht="15.6" x14ac:dyDescent="0.3">
      <c r="A381" s="53"/>
      <c r="B381" s="54"/>
      <c r="C381" s="54"/>
      <c r="D381" s="54"/>
      <c r="E381" s="55"/>
      <c r="F381" s="75"/>
      <c r="G381" s="76"/>
      <c r="H381" s="76"/>
      <c r="I381" s="48"/>
      <c r="J381" s="70"/>
      <c r="K381" s="70"/>
      <c r="L381" s="278" t="s">
        <v>1489</v>
      </c>
      <c r="M381" s="184" t="s">
        <v>1569</v>
      </c>
      <c r="N381" s="278" t="s">
        <v>34</v>
      </c>
      <c r="O381" s="279">
        <v>1</v>
      </c>
      <c r="P381" s="186">
        <v>71</v>
      </c>
      <c r="Q381" s="186">
        <v>71</v>
      </c>
      <c r="R381" s="182"/>
      <c r="U381" s="128"/>
    </row>
    <row r="382" spans="1:21" ht="15.6" x14ac:dyDescent="0.3">
      <c r="A382" s="53"/>
      <c r="B382" s="54"/>
      <c r="C382" s="54"/>
      <c r="D382" s="54"/>
      <c r="E382" s="55"/>
      <c r="F382" s="75"/>
      <c r="G382" s="76"/>
      <c r="H382" s="76"/>
      <c r="I382" s="48"/>
      <c r="J382" s="70"/>
      <c r="K382" s="70"/>
      <c r="L382" s="278" t="s">
        <v>1490</v>
      </c>
      <c r="M382" s="184" t="s">
        <v>1570</v>
      </c>
      <c r="N382" s="278" t="s">
        <v>34</v>
      </c>
      <c r="O382" s="279">
        <v>3</v>
      </c>
      <c r="P382" s="186">
        <v>216.66</v>
      </c>
      <c r="Q382" s="186">
        <v>649.98</v>
      </c>
      <c r="R382" s="182"/>
      <c r="U382" s="128"/>
    </row>
    <row r="383" spans="1:21" ht="15.6" x14ac:dyDescent="0.3">
      <c r="A383" s="53"/>
      <c r="B383" s="54"/>
      <c r="C383" s="54"/>
      <c r="D383" s="54"/>
      <c r="E383" s="55"/>
      <c r="F383" s="75"/>
      <c r="G383" s="76"/>
      <c r="H383" s="76"/>
      <c r="I383" s="48"/>
      <c r="J383" s="70"/>
      <c r="K383" s="70"/>
      <c r="L383" s="278" t="s">
        <v>1491</v>
      </c>
      <c r="M383" s="184" t="s">
        <v>1571</v>
      </c>
      <c r="N383" s="278" t="s">
        <v>34</v>
      </c>
      <c r="O383" s="279">
        <v>1</v>
      </c>
      <c r="P383" s="186">
        <v>100.83</v>
      </c>
      <c r="Q383" s="186">
        <v>100.83</v>
      </c>
      <c r="R383" s="182"/>
      <c r="U383" s="128"/>
    </row>
    <row r="384" spans="1:21" ht="15.6" x14ac:dyDescent="0.3">
      <c r="A384" s="53"/>
      <c r="B384" s="54"/>
      <c r="C384" s="54"/>
      <c r="D384" s="54"/>
      <c r="E384" s="55"/>
      <c r="F384" s="75"/>
      <c r="G384" s="76"/>
      <c r="H384" s="76"/>
      <c r="I384" s="48"/>
      <c r="J384" s="70"/>
      <c r="K384" s="70"/>
      <c r="L384" s="278" t="s">
        <v>1675</v>
      </c>
      <c r="M384" s="184" t="s">
        <v>1693</v>
      </c>
      <c r="N384" s="278" t="s">
        <v>34</v>
      </c>
      <c r="O384" s="279">
        <v>1</v>
      </c>
      <c r="P384" s="186">
        <v>265.83</v>
      </c>
      <c r="Q384" s="186">
        <v>265.83</v>
      </c>
      <c r="R384" s="182"/>
      <c r="U384" s="128"/>
    </row>
    <row r="385" spans="1:21" ht="15.6" x14ac:dyDescent="0.3">
      <c r="A385" s="53"/>
      <c r="B385" s="54"/>
      <c r="C385" s="54"/>
      <c r="D385" s="54"/>
      <c r="E385" s="55"/>
      <c r="F385" s="75"/>
      <c r="G385" s="76"/>
      <c r="H385" s="76"/>
      <c r="I385" s="48"/>
      <c r="J385" s="70"/>
      <c r="K385" s="70"/>
      <c r="L385" s="278" t="s">
        <v>1492</v>
      </c>
      <c r="M385" s="184" t="s">
        <v>1572</v>
      </c>
      <c r="N385" s="278" t="s">
        <v>34</v>
      </c>
      <c r="O385" s="279">
        <v>1</v>
      </c>
      <c r="P385" s="186">
        <v>89</v>
      </c>
      <c r="Q385" s="186">
        <v>89</v>
      </c>
      <c r="R385" s="182"/>
      <c r="U385" s="128"/>
    </row>
    <row r="386" spans="1:21" ht="15.6" x14ac:dyDescent="0.3">
      <c r="A386" s="53"/>
      <c r="B386" s="54"/>
      <c r="C386" s="54"/>
      <c r="D386" s="54"/>
      <c r="E386" s="55"/>
      <c r="F386" s="75"/>
      <c r="G386" s="76"/>
      <c r="H386" s="76"/>
      <c r="I386" s="48"/>
      <c r="J386" s="70"/>
      <c r="K386" s="70"/>
      <c r="L386" s="278" t="s">
        <v>1676</v>
      </c>
      <c r="M386" s="184" t="s">
        <v>1694</v>
      </c>
      <c r="N386" s="278" t="s">
        <v>64</v>
      </c>
      <c r="O386" s="279">
        <v>1</v>
      </c>
      <c r="P386" s="186">
        <v>194.17</v>
      </c>
      <c r="Q386" s="186">
        <v>194.17</v>
      </c>
      <c r="R386" s="182"/>
      <c r="U386" s="128"/>
    </row>
    <row r="387" spans="1:21" ht="15.6" x14ac:dyDescent="0.3">
      <c r="A387" s="53"/>
      <c r="B387" s="54"/>
      <c r="C387" s="54"/>
      <c r="D387" s="54"/>
      <c r="E387" s="55"/>
      <c r="F387" s="75"/>
      <c r="G387" s="76"/>
      <c r="H387" s="76"/>
      <c r="I387" s="48"/>
      <c r="J387" s="70"/>
      <c r="K387" s="70"/>
      <c r="L387" s="278" t="s">
        <v>1286</v>
      </c>
      <c r="M387" s="184" t="s">
        <v>1321</v>
      </c>
      <c r="N387" s="278" t="s">
        <v>34</v>
      </c>
      <c r="O387" s="279">
        <v>1</v>
      </c>
      <c r="P387" s="186">
        <v>107</v>
      </c>
      <c r="Q387" s="186">
        <v>107</v>
      </c>
      <c r="R387" s="182"/>
      <c r="U387" s="128"/>
    </row>
    <row r="388" spans="1:21" ht="15.6" x14ac:dyDescent="0.3">
      <c r="A388" s="53"/>
      <c r="B388" s="54"/>
      <c r="C388" s="54"/>
      <c r="D388" s="54"/>
      <c r="E388" s="55"/>
      <c r="F388" s="75"/>
      <c r="G388" s="76"/>
      <c r="H388" s="76"/>
      <c r="I388" s="48"/>
      <c r="J388" s="70"/>
      <c r="K388" s="70"/>
      <c r="L388" s="278" t="s">
        <v>1493</v>
      </c>
      <c r="M388" s="184" t="s">
        <v>1573</v>
      </c>
      <c r="N388" s="278" t="s">
        <v>34</v>
      </c>
      <c r="O388" s="279">
        <v>1</v>
      </c>
      <c r="P388" s="186">
        <v>97.5</v>
      </c>
      <c r="Q388" s="186">
        <v>97.5</v>
      </c>
      <c r="R388" s="182"/>
      <c r="U388" s="128"/>
    </row>
    <row r="389" spans="1:21" ht="15.6" x14ac:dyDescent="0.3">
      <c r="A389" s="53"/>
      <c r="B389" s="54"/>
      <c r="C389" s="54"/>
      <c r="D389" s="54"/>
      <c r="E389" s="55"/>
      <c r="F389" s="75"/>
      <c r="G389" s="76"/>
      <c r="H389" s="76"/>
      <c r="I389" s="48"/>
      <c r="J389" s="70"/>
      <c r="K389" s="70"/>
      <c r="L389" s="278" t="s">
        <v>1494</v>
      </c>
      <c r="M389" s="184" t="s">
        <v>1574</v>
      </c>
      <c r="N389" s="278" t="s">
        <v>64</v>
      </c>
      <c r="O389" s="279">
        <v>1</v>
      </c>
      <c r="P389" s="186">
        <v>179.2</v>
      </c>
      <c r="Q389" s="186">
        <v>179.2</v>
      </c>
      <c r="R389" s="182"/>
      <c r="U389" s="128"/>
    </row>
    <row r="390" spans="1:21" ht="15.6" x14ac:dyDescent="0.3">
      <c r="A390" s="53"/>
      <c r="B390" s="54"/>
      <c r="C390" s="54"/>
      <c r="D390" s="54"/>
      <c r="E390" s="55"/>
      <c r="F390" s="75"/>
      <c r="G390" s="76"/>
      <c r="H390" s="76"/>
      <c r="I390" s="48"/>
      <c r="J390" s="70"/>
      <c r="K390" s="70"/>
      <c r="L390" s="278" t="s">
        <v>1495</v>
      </c>
      <c r="M390" s="184" t="s">
        <v>1575</v>
      </c>
      <c r="N390" s="278" t="s">
        <v>34</v>
      </c>
      <c r="O390" s="279">
        <v>1</v>
      </c>
      <c r="P390" s="186">
        <v>74.17</v>
      </c>
      <c r="Q390" s="186">
        <v>74.17</v>
      </c>
      <c r="R390" s="182"/>
      <c r="U390" s="128"/>
    </row>
    <row r="391" spans="1:21" ht="15.6" x14ac:dyDescent="0.3">
      <c r="A391" s="53"/>
      <c r="B391" s="54"/>
      <c r="C391" s="54"/>
      <c r="D391" s="54"/>
      <c r="E391" s="55"/>
      <c r="F391" s="75"/>
      <c r="G391" s="76"/>
      <c r="H391" s="76"/>
      <c r="I391" s="48"/>
      <c r="J391" s="70"/>
      <c r="K391" s="70"/>
      <c r="L391" s="278" t="s">
        <v>1677</v>
      </c>
      <c r="M391" s="184" t="s">
        <v>1695</v>
      </c>
      <c r="N391" s="278" t="s">
        <v>64</v>
      </c>
      <c r="O391" s="279">
        <v>1</v>
      </c>
      <c r="P391" s="186">
        <v>61</v>
      </c>
      <c r="Q391" s="186">
        <v>61</v>
      </c>
      <c r="R391" s="182"/>
      <c r="U391" s="128"/>
    </row>
    <row r="392" spans="1:21" ht="15.6" x14ac:dyDescent="0.3">
      <c r="A392" s="53"/>
      <c r="B392" s="54"/>
      <c r="C392" s="54"/>
      <c r="D392" s="54"/>
      <c r="E392" s="55"/>
      <c r="F392" s="75"/>
      <c r="G392" s="76"/>
      <c r="H392" s="76"/>
      <c r="I392" s="48"/>
      <c r="J392" s="70"/>
      <c r="K392" s="70"/>
      <c r="L392" s="278" t="s">
        <v>1678</v>
      </c>
      <c r="M392" s="184" t="s">
        <v>1696</v>
      </c>
      <c r="N392" s="278" t="s">
        <v>34</v>
      </c>
      <c r="O392" s="279">
        <v>1</v>
      </c>
      <c r="P392" s="186">
        <v>19.5</v>
      </c>
      <c r="Q392" s="186">
        <v>19.5</v>
      </c>
      <c r="R392" s="182"/>
      <c r="U392" s="128"/>
    </row>
    <row r="393" spans="1:21" ht="15.6" x14ac:dyDescent="0.3">
      <c r="A393" s="53"/>
      <c r="B393" s="54"/>
      <c r="C393" s="54"/>
      <c r="D393" s="54"/>
      <c r="E393" s="55"/>
      <c r="F393" s="75"/>
      <c r="G393" s="76"/>
      <c r="H393" s="76"/>
      <c r="I393" s="48"/>
      <c r="J393" s="70"/>
      <c r="K393" s="70"/>
      <c r="L393" s="278" t="s">
        <v>1498</v>
      </c>
      <c r="M393" s="184" t="s">
        <v>1578</v>
      </c>
      <c r="N393" s="278" t="s">
        <v>34</v>
      </c>
      <c r="O393" s="279">
        <v>5</v>
      </c>
      <c r="P393" s="186">
        <v>203.7</v>
      </c>
      <c r="Q393" s="187">
        <v>1018.5</v>
      </c>
      <c r="R393" s="182"/>
      <c r="U393" s="128"/>
    </row>
    <row r="394" spans="1:21" ht="15.6" x14ac:dyDescent="0.3">
      <c r="A394" s="53"/>
      <c r="B394" s="54"/>
      <c r="C394" s="54"/>
      <c r="D394" s="54"/>
      <c r="E394" s="55"/>
      <c r="F394" s="75"/>
      <c r="G394" s="76"/>
      <c r="H394" s="76"/>
      <c r="I394" s="48"/>
      <c r="J394" s="70"/>
      <c r="K394" s="70"/>
      <c r="L394" s="278" t="s">
        <v>1501</v>
      </c>
      <c r="M394" s="184" t="s">
        <v>1581</v>
      </c>
      <c r="N394" s="278" t="s">
        <v>64</v>
      </c>
      <c r="O394" s="279">
        <v>2</v>
      </c>
      <c r="P394" s="186">
        <v>51</v>
      </c>
      <c r="Q394" s="186">
        <v>102</v>
      </c>
      <c r="R394" s="182"/>
      <c r="U394" s="128"/>
    </row>
    <row r="395" spans="1:21" ht="15.6" x14ac:dyDescent="0.3">
      <c r="A395" s="53"/>
      <c r="B395" s="54"/>
      <c r="C395" s="54"/>
      <c r="D395" s="54"/>
      <c r="E395" s="55"/>
      <c r="F395" s="75"/>
      <c r="G395" s="76"/>
      <c r="H395" s="76"/>
      <c r="I395" s="48"/>
      <c r="J395" s="70"/>
      <c r="K395" s="70"/>
      <c r="L395" s="278" t="s">
        <v>1633</v>
      </c>
      <c r="M395" s="184" t="s">
        <v>1659</v>
      </c>
      <c r="N395" s="278" t="s">
        <v>64</v>
      </c>
      <c r="O395" s="279">
        <v>1</v>
      </c>
      <c r="P395" s="186">
        <v>51</v>
      </c>
      <c r="Q395" s="186">
        <v>51</v>
      </c>
      <c r="R395" s="182"/>
      <c r="U395" s="128"/>
    </row>
    <row r="396" spans="1:21" ht="15.6" x14ac:dyDescent="0.3">
      <c r="A396" s="53"/>
      <c r="B396" s="54"/>
      <c r="C396" s="54"/>
      <c r="D396" s="54"/>
      <c r="E396" s="55"/>
      <c r="F396" s="75"/>
      <c r="G396" s="76"/>
      <c r="H396" s="76"/>
      <c r="I396" s="48"/>
      <c r="J396" s="70"/>
      <c r="K396" s="70"/>
      <c r="L396" s="278" t="s">
        <v>1502</v>
      </c>
      <c r="M396" s="184" t="s">
        <v>1582</v>
      </c>
      <c r="N396" s="278" t="s">
        <v>64</v>
      </c>
      <c r="O396" s="279">
        <v>1</v>
      </c>
      <c r="P396" s="186">
        <v>301.7</v>
      </c>
      <c r="Q396" s="186">
        <v>301.7</v>
      </c>
      <c r="R396" s="182"/>
      <c r="U396" s="128"/>
    </row>
    <row r="397" spans="1:21" ht="15.6" x14ac:dyDescent="0.3">
      <c r="A397" s="53"/>
      <c r="B397" s="54"/>
      <c r="C397" s="54"/>
      <c r="D397" s="54"/>
      <c r="E397" s="55"/>
      <c r="F397" s="75"/>
      <c r="G397" s="76"/>
      <c r="H397" s="76"/>
      <c r="I397" s="48"/>
      <c r="J397" s="70"/>
      <c r="K397" s="70"/>
      <c r="L397" s="278" t="s">
        <v>1503</v>
      </c>
      <c r="M397" s="184" t="s">
        <v>1583</v>
      </c>
      <c r="N397" s="278" t="s">
        <v>35</v>
      </c>
      <c r="O397" s="279">
        <v>1</v>
      </c>
      <c r="P397" s="186">
        <v>65</v>
      </c>
      <c r="Q397" s="186">
        <v>65</v>
      </c>
      <c r="R397" s="182"/>
      <c r="U397" s="128"/>
    </row>
    <row r="398" spans="1:21" ht="15.6" x14ac:dyDescent="0.3">
      <c r="A398" s="53"/>
      <c r="B398" s="54"/>
      <c r="C398" s="54"/>
      <c r="D398" s="54"/>
      <c r="E398" s="55"/>
      <c r="F398" s="75"/>
      <c r="G398" s="76"/>
      <c r="H398" s="76"/>
      <c r="I398" s="48"/>
      <c r="J398" s="70"/>
      <c r="K398" s="70"/>
      <c r="L398" s="278" t="s">
        <v>629</v>
      </c>
      <c r="M398" s="184" t="s">
        <v>138</v>
      </c>
      <c r="N398" s="278" t="s">
        <v>34</v>
      </c>
      <c r="O398" s="279">
        <v>1</v>
      </c>
      <c r="P398" s="186">
        <v>118</v>
      </c>
      <c r="Q398" s="186">
        <v>118</v>
      </c>
      <c r="R398" s="182"/>
      <c r="U398" s="128"/>
    </row>
    <row r="399" spans="1:21" ht="15.6" x14ac:dyDescent="0.3">
      <c r="A399" s="53"/>
      <c r="B399" s="54"/>
      <c r="C399" s="54"/>
      <c r="D399" s="54"/>
      <c r="E399" s="55"/>
      <c r="F399" s="75"/>
      <c r="G399" s="76"/>
      <c r="H399" s="76"/>
      <c r="I399" s="48"/>
      <c r="J399" s="70"/>
      <c r="K399" s="70"/>
      <c r="L399" s="278" t="s">
        <v>1679</v>
      </c>
      <c r="M399" s="184" t="s">
        <v>1697</v>
      </c>
      <c r="N399" s="278" t="s">
        <v>34</v>
      </c>
      <c r="O399" s="279">
        <v>1</v>
      </c>
      <c r="P399" s="186">
        <v>40.85</v>
      </c>
      <c r="Q399" s="186">
        <v>40.85</v>
      </c>
      <c r="R399" s="182"/>
      <c r="U399" s="128"/>
    </row>
    <row r="400" spans="1:21" ht="15.6" x14ac:dyDescent="0.3">
      <c r="A400" s="53"/>
      <c r="B400" s="54"/>
      <c r="C400" s="54"/>
      <c r="D400" s="54"/>
      <c r="E400" s="55"/>
      <c r="F400" s="75"/>
      <c r="G400" s="76"/>
      <c r="H400" s="76"/>
      <c r="I400" s="48"/>
      <c r="J400" s="70"/>
      <c r="K400" s="70"/>
      <c r="L400" s="278" t="s">
        <v>1506</v>
      </c>
      <c r="M400" s="184" t="s">
        <v>1586</v>
      </c>
      <c r="N400" s="278" t="s">
        <v>64</v>
      </c>
      <c r="O400" s="279">
        <v>0.14000000000000001</v>
      </c>
      <c r="P400" s="187">
        <v>4165.79</v>
      </c>
      <c r="Q400" s="186">
        <v>583.21</v>
      </c>
      <c r="R400" s="182"/>
      <c r="U400" s="128"/>
    </row>
    <row r="401" spans="1:21" ht="15.6" x14ac:dyDescent="0.3">
      <c r="A401" s="53"/>
      <c r="B401" s="54"/>
      <c r="C401" s="54"/>
      <c r="D401" s="54"/>
      <c r="E401" s="55"/>
      <c r="F401" s="75"/>
      <c r="G401" s="76"/>
      <c r="H401" s="76"/>
      <c r="I401" s="48"/>
      <c r="J401" s="70"/>
      <c r="K401" s="70"/>
      <c r="L401" s="278" t="s">
        <v>546</v>
      </c>
      <c r="M401" s="184" t="s">
        <v>253</v>
      </c>
      <c r="N401" s="278" t="s">
        <v>34</v>
      </c>
      <c r="O401" s="279">
        <v>1</v>
      </c>
      <c r="P401" s="186">
        <v>78</v>
      </c>
      <c r="Q401" s="186">
        <v>78</v>
      </c>
      <c r="R401" s="182"/>
      <c r="U401" s="128"/>
    </row>
    <row r="402" spans="1:21" ht="15.6" x14ac:dyDescent="0.3">
      <c r="A402" s="53"/>
      <c r="B402" s="54"/>
      <c r="C402" s="54"/>
      <c r="D402" s="54"/>
      <c r="E402" s="55"/>
      <c r="F402" s="75"/>
      <c r="G402" s="76"/>
      <c r="H402" s="76"/>
      <c r="I402" s="48"/>
      <c r="J402" s="70"/>
      <c r="K402" s="70"/>
      <c r="L402" s="278" t="s">
        <v>1420</v>
      </c>
      <c r="M402" s="184" t="s">
        <v>1443</v>
      </c>
      <c r="N402" s="278" t="s">
        <v>34</v>
      </c>
      <c r="O402" s="279">
        <v>5</v>
      </c>
      <c r="P402" s="186">
        <v>165</v>
      </c>
      <c r="Q402" s="186">
        <v>825</v>
      </c>
      <c r="R402" s="182"/>
      <c r="U402" s="128"/>
    </row>
    <row r="403" spans="1:21" ht="15.6" x14ac:dyDescent="0.3">
      <c r="A403" s="53"/>
      <c r="B403" s="54"/>
      <c r="C403" s="54"/>
      <c r="D403" s="54"/>
      <c r="E403" s="55"/>
      <c r="F403" s="75"/>
      <c r="G403" s="76"/>
      <c r="H403" s="76"/>
      <c r="I403" s="48"/>
      <c r="J403" s="70"/>
      <c r="K403" s="70"/>
      <c r="L403" s="278" t="s">
        <v>1507</v>
      </c>
      <c r="M403" s="184" t="s">
        <v>1587</v>
      </c>
      <c r="N403" s="278" t="s">
        <v>34</v>
      </c>
      <c r="O403" s="279">
        <v>1</v>
      </c>
      <c r="P403" s="186">
        <v>25</v>
      </c>
      <c r="Q403" s="186">
        <v>25</v>
      </c>
      <c r="R403" s="182"/>
      <c r="U403" s="128"/>
    </row>
    <row r="404" spans="1:21" ht="15.6" x14ac:dyDescent="0.3">
      <c r="A404" s="53"/>
      <c r="B404" s="54"/>
      <c r="C404" s="54"/>
      <c r="D404" s="54"/>
      <c r="E404" s="55"/>
      <c r="F404" s="75"/>
      <c r="G404" s="76"/>
      <c r="H404" s="76"/>
      <c r="I404" s="48"/>
      <c r="J404" s="70"/>
      <c r="K404" s="70"/>
      <c r="L404" s="278" t="s">
        <v>1680</v>
      </c>
      <c r="M404" s="184" t="s">
        <v>1698</v>
      </c>
      <c r="N404" s="278" t="s">
        <v>34</v>
      </c>
      <c r="O404" s="279">
        <v>1</v>
      </c>
      <c r="P404" s="186">
        <v>228</v>
      </c>
      <c r="Q404" s="186">
        <v>228</v>
      </c>
      <c r="R404" s="182"/>
      <c r="U404" s="128"/>
    </row>
    <row r="405" spans="1:21" ht="15.6" x14ac:dyDescent="0.3">
      <c r="A405" s="53"/>
      <c r="B405" s="54"/>
      <c r="C405" s="54"/>
      <c r="D405" s="54"/>
      <c r="E405" s="55"/>
      <c r="F405" s="75"/>
      <c r="G405" s="76"/>
      <c r="H405" s="76"/>
      <c r="I405" s="48"/>
      <c r="J405" s="70"/>
      <c r="K405" s="70"/>
      <c r="L405" s="278" t="s">
        <v>646</v>
      </c>
      <c r="M405" s="184" t="s">
        <v>647</v>
      </c>
      <c r="N405" s="278" t="s">
        <v>34</v>
      </c>
      <c r="O405" s="279">
        <v>2</v>
      </c>
      <c r="P405" s="186">
        <v>268.25</v>
      </c>
      <c r="Q405" s="186">
        <v>536.5</v>
      </c>
      <c r="R405" s="182"/>
      <c r="U405" s="128"/>
    </row>
    <row r="406" spans="1:21" ht="15.6" x14ac:dyDescent="0.3">
      <c r="A406" s="53"/>
      <c r="B406" s="54"/>
      <c r="C406" s="54"/>
      <c r="D406" s="54"/>
      <c r="E406" s="55"/>
      <c r="F406" s="75"/>
      <c r="G406" s="76"/>
      <c r="H406" s="76"/>
      <c r="I406" s="48"/>
      <c r="J406" s="70"/>
      <c r="K406" s="70"/>
      <c r="L406" s="278" t="s">
        <v>660</v>
      </c>
      <c r="M406" s="184" t="s">
        <v>1588</v>
      </c>
      <c r="N406" s="278" t="s">
        <v>147</v>
      </c>
      <c r="O406" s="279">
        <v>41</v>
      </c>
      <c r="P406" s="186">
        <v>24.2</v>
      </c>
      <c r="Q406" s="186">
        <v>992.2</v>
      </c>
      <c r="R406" s="182"/>
      <c r="U406" s="128"/>
    </row>
    <row r="407" spans="1:21" ht="15.6" x14ac:dyDescent="0.3">
      <c r="A407" s="53"/>
      <c r="B407" s="54"/>
      <c r="C407" s="54"/>
      <c r="D407" s="54"/>
      <c r="E407" s="55"/>
      <c r="F407" s="75"/>
      <c r="G407" s="76"/>
      <c r="H407" s="76"/>
      <c r="I407" s="48"/>
      <c r="J407" s="70"/>
      <c r="K407" s="70"/>
      <c r="L407" s="278" t="s">
        <v>538</v>
      </c>
      <c r="M407" s="184" t="s">
        <v>117</v>
      </c>
      <c r="N407" s="278" t="s">
        <v>34</v>
      </c>
      <c r="O407" s="279">
        <v>3</v>
      </c>
      <c r="P407" s="186">
        <v>112.31</v>
      </c>
      <c r="Q407" s="186">
        <v>336.92</v>
      </c>
      <c r="R407" s="182"/>
      <c r="U407" s="128"/>
    </row>
    <row r="408" spans="1:21" ht="15.6" x14ac:dyDescent="0.3">
      <c r="A408" s="53"/>
      <c r="B408" s="54"/>
      <c r="C408" s="54"/>
      <c r="D408" s="54"/>
      <c r="E408" s="55"/>
      <c r="F408" s="75"/>
      <c r="G408" s="76"/>
      <c r="H408" s="76"/>
      <c r="I408" s="48"/>
      <c r="J408" s="70"/>
      <c r="K408" s="70"/>
      <c r="L408" s="278" t="s">
        <v>634</v>
      </c>
      <c r="M408" s="184" t="s">
        <v>139</v>
      </c>
      <c r="N408" s="278" t="s">
        <v>34</v>
      </c>
      <c r="O408" s="279">
        <v>1</v>
      </c>
      <c r="P408" s="186">
        <v>127</v>
      </c>
      <c r="Q408" s="186">
        <v>127</v>
      </c>
      <c r="R408" s="182"/>
      <c r="U408" s="128"/>
    </row>
    <row r="409" spans="1:21" ht="15.6" x14ac:dyDescent="0.3">
      <c r="A409" s="53"/>
      <c r="B409" s="54"/>
      <c r="C409" s="54"/>
      <c r="D409" s="54"/>
      <c r="E409" s="55"/>
      <c r="F409" s="75"/>
      <c r="G409" s="76"/>
      <c r="H409" s="76"/>
      <c r="I409" s="48"/>
      <c r="J409" s="70"/>
      <c r="K409" s="70"/>
      <c r="L409" s="278" t="s">
        <v>1509</v>
      </c>
      <c r="M409" s="184" t="s">
        <v>1590</v>
      </c>
      <c r="N409" s="278" t="s">
        <v>147</v>
      </c>
      <c r="O409" s="279">
        <v>5</v>
      </c>
      <c r="P409" s="186">
        <v>129</v>
      </c>
      <c r="Q409" s="186">
        <v>645</v>
      </c>
      <c r="R409" s="182"/>
      <c r="U409" s="128"/>
    </row>
    <row r="410" spans="1:21" ht="15.6" x14ac:dyDescent="0.3">
      <c r="A410" s="53"/>
      <c r="B410" s="54"/>
      <c r="C410" s="54"/>
      <c r="D410" s="54"/>
      <c r="E410" s="55"/>
      <c r="F410" s="75"/>
      <c r="G410" s="76"/>
      <c r="H410" s="76"/>
      <c r="I410" s="48"/>
      <c r="J410" s="70"/>
      <c r="K410" s="70"/>
      <c r="L410" s="278" t="s">
        <v>1510</v>
      </c>
      <c r="M410" s="184" t="s">
        <v>1591</v>
      </c>
      <c r="N410" s="278" t="s">
        <v>34</v>
      </c>
      <c r="O410" s="279">
        <v>1</v>
      </c>
      <c r="P410" s="186">
        <v>156.66999999999999</v>
      </c>
      <c r="Q410" s="186">
        <v>156.66999999999999</v>
      </c>
      <c r="R410" s="182"/>
      <c r="U410" s="128"/>
    </row>
    <row r="411" spans="1:21" ht="15.6" x14ac:dyDescent="0.3">
      <c r="A411" s="53"/>
      <c r="B411" s="54"/>
      <c r="C411" s="54"/>
      <c r="D411" s="54"/>
      <c r="E411" s="55"/>
      <c r="F411" s="75"/>
      <c r="G411" s="76"/>
      <c r="H411" s="76"/>
      <c r="I411" s="48"/>
      <c r="J411" s="70"/>
      <c r="K411" s="70"/>
      <c r="L411" s="278" t="s">
        <v>630</v>
      </c>
      <c r="M411" s="184" t="s">
        <v>631</v>
      </c>
      <c r="N411" s="278" t="s">
        <v>34</v>
      </c>
      <c r="O411" s="279">
        <v>1</v>
      </c>
      <c r="P411" s="186">
        <v>57</v>
      </c>
      <c r="Q411" s="186">
        <v>57</v>
      </c>
      <c r="R411" s="182"/>
      <c r="U411" s="128"/>
    </row>
    <row r="412" spans="1:21" ht="15.6" x14ac:dyDescent="0.3">
      <c r="A412" s="53"/>
      <c r="B412" s="54"/>
      <c r="C412" s="54"/>
      <c r="D412" s="54"/>
      <c r="E412" s="55"/>
      <c r="F412" s="75"/>
      <c r="G412" s="76"/>
      <c r="H412" s="76"/>
      <c r="I412" s="48"/>
      <c r="J412" s="70"/>
      <c r="K412" s="70"/>
      <c r="L412" s="278" t="s">
        <v>1511</v>
      </c>
      <c r="M412" s="184" t="s">
        <v>1592</v>
      </c>
      <c r="N412" s="278" t="s">
        <v>34</v>
      </c>
      <c r="O412" s="279">
        <v>9</v>
      </c>
      <c r="P412" s="186">
        <v>4.6500000000000004</v>
      </c>
      <c r="Q412" s="186">
        <v>41.85</v>
      </c>
      <c r="R412" s="182"/>
      <c r="U412" s="128"/>
    </row>
    <row r="413" spans="1:21" ht="15.6" x14ac:dyDescent="0.3">
      <c r="A413" s="53"/>
      <c r="B413" s="54"/>
      <c r="C413" s="54"/>
      <c r="D413" s="54"/>
      <c r="E413" s="55"/>
      <c r="F413" s="75"/>
      <c r="G413" s="76"/>
      <c r="H413" s="76"/>
      <c r="I413" s="48"/>
      <c r="J413" s="70"/>
      <c r="K413" s="70"/>
      <c r="L413" s="278" t="s">
        <v>1512</v>
      </c>
      <c r="M413" s="184" t="s">
        <v>1593</v>
      </c>
      <c r="N413" s="278" t="s">
        <v>34</v>
      </c>
      <c r="O413" s="279">
        <v>1</v>
      </c>
      <c r="P413" s="186">
        <v>7.5</v>
      </c>
      <c r="Q413" s="186">
        <v>7.5</v>
      </c>
      <c r="R413" s="182"/>
      <c r="U413" s="128"/>
    </row>
    <row r="414" spans="1:21" ht="15.6" x14ac:dyDescent="0.3">
      <c r="A414" s="53"/>
      <c r="B414" s="54"/>
      <c r="C414" s="54"/>
      <c r="D414" s="54"/>
      <c r="E414" s="55"/>
      <c r="F414" s="75"/>
      <c r="G414" s="76"/>
      <c r="H414" s="76"/>
      <c r="I414" s="48"/>
      <c r="J414" s="70"/>
      <c r="K414" s="70"/>
      <c r="L414" s="278" t="s">
        <v>1514</v>
      </c>
      <c r="M414" s="184" t="s">
        <v>1595</v>
      </c>
      <c r="N414" s="278" t="s">
        <v>34</v>
      </c>
      <c r="O414" s="279">
        <v>5</v>
      </c>
      <c r="P414" s="186">
        <v>30.33</v>
      </c>
      <c r="Q414" s="186">
        <v>151.66</v>
      </c>
      <c r="R414" s="182"/>
      <c r="U414" s="128"/>
    </row>
    <row r="415" spans="1:21" ht="15.6" x14ac:dyDescent="0.3">
      <c r="A415" s="53"/>
      <c r="B415" s="54"/>
      <c r="C415" s="54"/>
      <c r="D415" s="54"/>
      <c r="E415" s="55"/>
      <c r="F415" s="75"/>
      <c r="G415" s="76"/>
      <c r="H415" s="76"/>
      <c r="I415" s="48"/>
      <c r="J415" s="70"/>
      <c r="K415" s="70"/>
      <c r="L415" s="278" t="s">
        <v>1515</v>
      </c>
      <c r="M415" s="184" t="s">
        <v>1596</v>
      </c>
      <c r="N415" s="278" t="s">
        <v>34</v>
      </c>
      <c r="O415" s="279">
        <v>1</v>
      </c>
      <c r="P415" s="186">
        <v>121.67</v>
      </c>
      <c r="Q415" s="186">
        <v>121.67</v>
      </c>
      <c r="R415" s="182"/>
      <c r="U415" s="128"/>
    </row>
    <row r="416" spans="1:21" ht="15.6" x14ac:dyDescent="0.3">
      <c r="A416" s="53"/>
      <c r="B416" s="54"/>
      <c r="C416" s="54"/>
      <c r="D416" s="54"/>
      <c r="E416" s="55"/>
      <c r="F416" s="75"/>
      <c r="G416" s="76"/>
      <c r="H416" s="76"/>
      <c r="I416" s="48"/>
      <c r="J416" s="70"/>
      <c r="K416" s="70"/>
      <c r="L416" s="278" t="s">
        <v>1516</v>
      </c>
      <c r="M416" s="184" t="s">
        <v>1597</v>
      </c>
      <c r="N416" s="278" t="s">
        <v>34</v>
      </c>
      <c r="O416" s="279">
        <v>1</v>
      </c>
      <c r="P416" s="186">
        <v>84</v>
      </c>
      <c r="Q416" s="186">
        <v>84</v>
      </c>
      <c r="R416" s="182"/>
      <c r="U416" s="128"/>
    </row>
    <row r="417" spans="1:21" ht="15.6" x14ac:dyDescent="0.3">
      <c r="A417" s="53"/>
      <c r="B417" s="54"/>
      <c r="C417" s="54"/>
      <c r="D417" s="54"/>
      <c r="E417" s="55"/>
      <c r="F417" s="75"/>
      <c r="G417" s="76"/>
      <c r="H417" s="76"/>
      <c r="I417" s="48"/>
      <c r="J417" s="70"/>
      <c r="K417" s="70"/>
      <c r="L417" s="278" t="s">
        <v>703</v>
      </c>
      <c r="M417" s="184" t="s">
        <v>704</v>
      </c>
      <c r="N417" s="278" t="s">
        <v>34</v>
      </c>
      <c r="O417" s="279">
        <v>1</v>
      </c>
      <c r="P417" s="186">
        <v>89.5</v>
      </c>
      <c r="Q417" s="186">
        <v>89.5</v>
      </c>
      <c r="R417" s="182"/>
      <c r="U417" s="128"/>
    </row>
    <row r="418" spans="1:21" ht="15.6" x14ac:dyDescent="0.3">
      <c r="A418" s="53"/>
      <c r="B418" s="54"/>
      <c r="C418" s="54"/>
      <c r="D418" s="54"/>
      <c r="E418" s="55"/>
      <c r="F418" s="75"/>
      <c r="G418" s="76"/>
      <c r="H418" s="76"/>
      <c r="I418" s="48"/>
      <c r="J418" s="70"/>
      <c r="K418" s="70"/>
      <c r="L418" s="278" t="s">
        <v>1518</v>
      </c>
      <c r="M418" s="184" t="s">
        <v>1599</v>
      </c>
      <c r="N418" s="278" t="s">
        <v>34</v>
      </c>
      <c r="O418" s="279">
        <v>1</v>
      </c>
      <c r="P418" s="186">
        <v>112</v>
      </c>
      <c r="Q418" s="186">
        <v>112</v>
      </c>
      <c r="R418" s="182"/>
      <c r="U418" s="128"/>
    </row>
    <row r="419" spans="1:21" ht="15.6" x14ac:dyDescent="0.3">
      <c r="A419" s="53"/>
      <c r="B419" s="54"/>
      <c r="C419" s="54"/>
      <c r="D419" s="54"/>
      <c r="E419" s="55"/>
      <c r="F419" s="75"/>
      <c r="G419" s="76"/>
      <c r="H419" s="76"/>
      <c r="I419" s="48"/>
      <c r="J419" s="70"/>
      <c r="K419" s="70"/>
      <c r="L419" s="278" t="s">
        <v>649</v>
      </c>
      <c r="M419" s="184" t="s">
        <v>650</v>
      </c>
      <c r="N419" s="278" t="s">
        <v>34</v>
      </c>
      <c r="O419" s="279">
        <v>3</v>
      </c>
      <c r="P419" s="186">
        <v>23</v>
      </c>
      <c r="Q419" s="186">
        <v>69</v>
      </c>
      <c r="R419" s="182"/>
      <c r="U419" s="128"/>
    </row>
    <row r="420" spans="1:21" ht="15.6" x14ac:dyDescent="0.3">
      <c r="A420" s="53"/>
      <c r="B420" s="54"/>
      <c r="C420" s="54"/>
      <c r="D420" s="54"/>
      <c r="E420" s="55"/>
      <c r="F420" s="75"/>
      <c r="G420" s="76"/>
      <c r="H420" s="76"/>
      <c r="I420" s="48"/>
      <c r="J420" s="70"/>
      <c r="K420" s="70"/>
      <c r="L420" s="278" t="s">
        <v>648</v>
      </c>
      <c r="M420" s="184" t="s">
        <v>145</v>
      </c>
      <c r="N420" s="278" t="s">
        <v>37</v>
      </c>
      <c r="O420" s="279">
        <v>22</v>
      </c>
      <c r="P420" s="186">
        <v>61.25</v>
      </c>
      <c r="Q420" s="187">
        <v>1347.5</v>
      </c>
      <c r="R420" s="182"/>
      <c r="U420" s="128"/>
    </row>
    <row r="421" spans="1:21" ht="15.6" x14ac:dyDescent="0.3">
      <c r="A421" s="53"/>
      <c r="B421" s="54"/>
      <c r="C421" s="54"/>
      <c r="D421" s="54"/>
      <c r="E421" s="55"/>
      <c r="F421" s="75"/>
      <c r="G421" s="76"/>
      <c r="H421" s="76"/>
      <c r="I421" s="48"/>
      <c r="J421" s="70"/>
      <c r="K421" s="70"/>
      <c r="L421" s="278" t="s">
        <v>1521</v>
      </c>
      <c r="M421" s="184" t="s">
        <v>1602</v>
      </c>
      <c r="N421" s="278" t="s">
        <v>34</v>
      </c>
      <c r="O421" s="279">
        <v>1</v>
      </c>
      <c r="P421" s="186">
        <v>48.5</v>
      </c>
      <c r="Q421" s="186">
        <v>48.5</v>
      </c>
      <c r="R421" s="182"/>
      <c r="U421" s="128"/>
    </row>
    <row r="422" spans="1:21" ht="15.6" x14ac:dyDescent="0.3">
      <c r="A422" s="53"/>
      <c r="B422" s="54"/>
      <c r="C422" s="54"/>
      <c r="D422" s="54"/>
      <c r="E422" s="55"/>
      <c r="F422" s="75"/>
      <c r="G422" s="76"/>
      <c r="H422" s="76"/>
      <c r="I422" s="48"/>
      <c r="J422" s="70"/>
      <c r="K422" s="70"/>
      <c r="L422" s="278" t="s">
        <v>1638</v>
      </c>
      <c r="M422" s="184" t="s">
        <v>1664</v>
      </c>
      <c r="N422" s="278" t="s">
        <v>34</v>
      </c>
      <c r="O422" s="279">
        <v>1</v>
      </c>
      <c r="P422" s="187">
        <v>1056</v>
      </c>
      <c r="Q422" s="187">
        <v>1056</v>
      </c>
      <c r="R422" s="182"/>
      <c r="U422" s="128"/>
    </row>
    <row r="423" spans="1:21" ht="15.6" x14ac:dyDescent="0.3">
      <c r="A423" s="53"/>
      <c r="B423" s="54"/>
      <c r="C423" s="54"/>
      <c r="D423" s="54"/>
      <c r="E423" s="55"/>
      <c r="F423" s="75"/>
      <c r="G423" s="76"/>
      <c r="H423" s="76"/>
      <c r="I423" s="48"/>
      <c r="J423" s="70"/>
      <c r="K423" s="70"/>
      <c r="L423" s="278" t="s">
        <v>607</v>
      </c>
      <c r="M423" s="184" t="s">
        <v>608</v>
      </c>
      <c r="N423" s="278" t="s">
        <v>34</v>
      </c>
      <c r="O423" s="279">
        <v>12</v>
      </c>
      <c r="P423" s="186">
        <v>39.200000000000003</v>
      </c>
      <c r="Q423" s="186">
        <v>470.4</v>
      </c>
      <c r="R423" s="182"/>
      <c r="U423" s="128"/>
    </row>
    <row r="424" spans="1:21" ht="15.6" x14ac:dyDescent="0.3">
      <c r="A424" s="53"/>
      <c r="B424" s="54"/>
      <c r="C424" s="54"/>
      <c r="D424" s="54"/>
      <c r="E424" s="55"/>
      <c r="F424" s="75"/>
      <c r="G424" s="76"/>
      <c r="H424" s="76"/>
      <c r="I424" s="48"/>
      <c r="J424" s="70"/>
      <c r="K424" s="70"/>
      <c r="L424" s="278" t="s">
        <v>600</v>
      </c>
      <c r="M424" s="184" t="s">
        <v>258</v>
      </c>
      <c r="N424" s="278" t="s">
        <v>34</v>
      </c>
      <c r="O424" s="279">
        <v>2</v>
      </c>
      <c r="P424" s="186">
        <v>149.16999999999999</v>
      </c>
      <c r="Q424" s="186">
        <v>298.33999999999997</v>
      </c>
      <c r="R424" s="182"/>
      <c r="U424" s="128"/>
    </row>
    <row r="425" spans="1:21" ht="15.6" x14ac:dyDescent="0.3">
      <c r="A425" s="53"/>
      <c r="B425" s="54"/>
      <c r="C425" s="54"/>
      <c r="D425" s="54"/>
      <c r="E425" s="55"/>
      <c r="F425" s="75"/>
      <c r="G425" s="76"/>
      <c r="H425" s="76"/>
      <c r="I425" s="48"/>
      <c r="J425" s="70"/>
      <c r="K425" s="70"/>
      <c r="L425" s="278" t="s">
        <v>1523</v>
      </c>
      <c r="M425" s="184" t="s">
        <v>1604</v>
      </c>
      <c r="N425" s="278" t="s">
        <v>34</v>
      </c>
      <c r="O425" s="279">
        <v>1</v>
      </c>
      <c r="P425" s="186">
        <v>108.33</v>
      </c>
      <c r="Q425" s="186">
        <v>108.33</v>
      </c>
      <c r="R425" s="182"/>
      <c r="U425" s="128"/>
    </row>
    <row r="426" spans="1:21" ht="15.6" x14ac:dyDescent="0.3">
      <c r="A426" s="53"/>
      <c r="B426" s="54"/>
      <c r="C426" s="54"/>
      <c r="D426" s="54"/>
      <c r="E426" s="55"/>
      <c r="F426" s="75"/>
      <c r="G426" s="76"/>
      <c r="H426" s="76"/>
      <c r="I426" s="48"/>
      <c r="J426" s="70"/>
      <c r="K426" s="70"/>
      <c r="L426" s="278" t="s">
        <v>1524</v>
      </c>
      <c r="M426" s="184" t="s">
        <v>1605</v>
      </c>
      <c r="N426" s="278" t="s">
        <v>34</v>
      </c>
      <c r="O426" s="279">
        <v>1</v>
      </c>
      <c r="P426" s="186">
        <v>263</v>
      </c>
      <c r="Q426" s="186">
        <v>263</v>
      </c>
      <c r="R426" s="182"/>
      <c r="U426" s="128"/>
    </row>
    <row r="427" spans="1:21" ht="15.6" x14ac:dyDescent="0.3">
      <c r="A427" s="53"/>
      <c r="B427" s="54"/>
      <c r="C427" s="54"/>
      <c r="D427" s="54"/>
      <c r="E427" s="55"/>
      <c r="F427" s="75"/>
      <c r="G427" s="76"/>
      <c r="H427" s="76"/>
      <c r="I427" s="48"/>
      <c r="J427" s="70"/>
      <c r="K427" s="70"/>
      <c r="L427" s="278" t="s">
        <v>1525</v>
      </c>
      <c r="M427" s="184" t="s">
        <v>1606</v>
      </c>
      <c r="N427" s="278" t="s">
        <v>34</v>
      </c>
      <c r="O427" s="279">
        <v>1</v>
      </c>
      <c r="P427" s="186">
        <v>93.6</v>
      </c>
      <c r="Q427" s="186">
        <v>93.6</v>
      </c>
      <c r="R427" s="182"/>
      <c r="U427" s="128"/>
    </row>
    <row r="428" spans="1:21" ht="15.6" x14ac:dyDescent="0.3">
      <c r="A428" s="53"/>
      <c r="B428" s="54"/>
      <c r="C428" s="54"/>
      <c r="D428" s="54"/>
      <c r="E428" s="55"/>
      <c r="F428" s="75"/>
      <c r="G428" s="76"/>
      <c r="H428" s="76"/>
      <c r="I428" s="48"/>
      <c r="J428" s="70"/>
      <c r="K428" s="70"/>
      <c r="L428" s="278" t="s">
        <v>1681</v>
      </c>
      <c r="M428" s="184" t="s">
        <v>1699</v>
      </c>
      <c r="N428" s="278" t="s">
        <v>34</v>
      </c>
      <c r="O428" s="279">
        <v>1</v>
      </c>
      <c r="P428" s="186">
        <v>31</v>
      </c>
      <c r="Q428" s="186">
        <v>31</v>
      </c>
      <c r="R428" s="182"/>
      <c r="U428" s="128"/>
    </row>
    <row r="429" spans="1:21" ht="15.6" x14ac:dyDescent="0.3">
      <c r="A429" s="53"/>
      <c r="B429" s="54"/>
      <c r="C429" s="54"/>
      <c r="D429" s="54"/>
      <c r="E429" s="55"/>
      <c r="F429" s="75"/>
      <c r="G429" s="76"/>
      <c r="H429" s="76"/>
      <c r="I429" s="48"/>
      <c r="J429" s="70"/>
      <c r="K429" s="70"/>
      <c r="L429" s="278" t="s">
        <v>1527</v>
      </c>
      <c r="M429" s="184" t="s">
        <v>1608</v>
      </c>
      <c r="N429" s="278" t="s">
        <v>34</v>
      </c>
      <c r="O429" s="279">
        <v>11</v>
      </c>
      <c r="P429" s="186">
        <v>79.25</v>
      </c>
      <c r="Q429" s="186">
        <v>871.75</v>
      </c>
      <c r="R429" s="182"/>
      <c r="U429" s="128"/>
    </row>
    <row r="430" spans="1:21" ht="15.6" x14ac:dyDescent="0.3">
      <c r="A430" s="53"/>
      <c r="B430" s="54"/>
      <c r="C430" s="54"/>
      <c r="D430" s="54"/>
      <c r="E430" s="55"/>
      <c r="F430" s="75"/>
      <c r="G430" s="76"/>
      <c r="H430" s="76"/>
      <c r="I430" s="48"/>
      <c r="J430" s="70"/>
      <c r="K430" s="70"/>
      <c r="L430" s="278" t="s">
        <v>1528</v>
      </c>
      <c r="M430" s="184" t="s">
        <v>1609</v>
      </c>
      <c r="N430" s="278" t="s">
        <v>34</v>
      </c>
      <c r="O430" s="279">
        <v>1</v>
      </c>
      <c r="P430" s="186">
        <v>59</v>
      </c>
      <c r="Q430" s="186">
        <v>59</v>
      </c>
      <c r="R430" s="182"/>
      <c r="U430" s="128"/>
    </row>
    <row r="431" spans="1:21" ht="15.6" x14ac:dyDescent="0.3">
      <c r="A431" s="53"/>
      <c r="B431" s="54"/>
      <c r="C431" s="54"/>
      <c r="D431" s="54"/>
      <c r="E431" s="55"/>
      <c r="F431" s="75"/>
      <c r="G431" s="76"/>
      <c r="H431" s="76"/>
      <c r="I431" s="48"/>
      <c r="J431" s="70"/>
      <c r="K431" s="70"/>
      <c r="L431" s="278" t="s">
        <v>1529</v>
      </c>
      <c r="M431" s="184" t="s">
        <v>410</v>
      </c>
      <c r="N431" s="278" t="s">
        <v>34</v>
      </c>
      <c r="O431" s="279">
        <v>9</v>
      </c>
      <c r="P431" s="186">
        <v>193.33</v>
      </c>
      <c r="Q431" s="187">
        <v>1740</v>
      </c>
      <c r="R431" s="182"/>
      <c r="U431" s="128"/>
    </row>
    <row r="432" spans="1:21" ht="15.6" x14ac:dyDescent="0.3">
      <c r="A432" s="53"/>
      <c r="B432" s="54"/>
      <c r="C432" s="54"/>
      <c r="D432" s="54"/>
      <c r="E432" s="55"/>
      <c r="F432" s="75"/>
      <c r="G432" s="76"/>
      <c r="H432" s="76"/>
      <c r="I432" s="48"/>
      <c r="J432" s="70"/>
      <c r="K432" s="70"/>
      <c r="L432" s="278" t="s">
        <v>1682</v>
      </c>
      <c r="M432" s="184" t="s">
        <v>1700</v>
      </c>
      <c r="N432" s="278" t="s">
        <v>34</v>
      </c>
      <c r="O432" s="279">
        <v>1</v>
      </c>
      <c r="P432" s="186">
        <v>68.599999999999994</v>
      </c>
      <c r="Q432" s="186">
        <v>68.599999999999994</v>
      </c>
      <c r="R432" s="182"/>
      <c r="U432" s="128"/>
    </row>
    <row r="433" spans="1:21" ht="15.6" x14ac:dyDescent="0.3">
      <c r="A433" s="53"/>
      <c r="B433" s="54"/>
      <c r="C433" s="54"/>
      <c r="D433" s="54"/>
      <c r="E433" s="55"/>
      <c r="F433" s="75"/>
      <c r="G433" s="76"/>
      <c r="H433" s="76"/>
      <c r="I433" s="48"/>
      <c r="J433" s="70"/>
      <c r="K433" s="70"/>
      <c r="L433" s="278" t="s">
        <v>1683</v>
      </c>
      <c r="M433" s="184" t="s">
        <v>1701</v>
      </c>
      <c r="N433" s="278" t="s">
        <v>34</v>
      </c>
      <c r="O433" s="279">
        <v>1</v>
      </c>
      <c r="P433" s="186">
        <v>20</v>
      </c>
      <c r="Q433" s="186">
        <v>20</v>
      </c>
      <c r="R433" s="182"/>
      <c r="U433" s="128"/>
    </row>
    <row r="434" spans="1:21" ht="15.6" x14ac:dyDescent="0.3">
      <c r="A434" s="53"/>
      <c r="B434" s="54"/>
      <c r="C434" s="54"/>
      <c r="D434" s="54"/>
      <c r="E434" s="55"/>
      <c r="F434" s="75"/>
      <c r="G434" s="76"/>
      <c r="H434" s="76"/>
      <c r="I434" s="48"/>
      <c r="J434" s="70"/>
      <c r="K434" s="70"/>
      <c r="L434" s="278" t="s">
        <v>1684</v>
      </c>
      <c r="M434" s="184" t="s">
        <v>1702</v>
      </c>
      <c r="N434" s="278" t="s">
        <v>34</v>
      </c>
      <c r="O434" s="279">
        <v>1</v>
      </c>
      <c r="P434" s="186">
        <v>280.83999999999997</v>
      </c>
      <c r="Q434" s="186">
        <v>280.83999999999997</v>
      </c>
      <c r="R434" s="182"/>
      <c r="U434" s="128"/>
    </row>
    <row r="435" spans="1:21" ht="15.6" x14ac:dyDescent="0.3">
      <c r="A435" s="53"/>
      <c r="B435" s="54"/>
      <c r="C435" s="54"/>
      <c r="D435" s="54"/>
      <c r="E435" s="55"/>
      <c r="F435" s="75"/>
      <c r="G435" s="76"/>
      <c r="H435" s="76"/>
      <c r="I435" s="48"/>
      <c r="J435" s="70"/>
      <c r="K435" s="70"/>
      <c r="L435" s="278" t="s">
        <v>1685</v>
      </c>
      <c r="M435" s="184" t="s">
        <v>1703</v>
      </c>
      <c r="N435" s="278" t="s">
        <v>34</v>
      </c>
      <c r="O435" s="279">
        <v>1</v>
      </c>
      <c r="P435" s="187">
        <v>1466.87</v>
      </c>
      <c r="Q435" s="187">
        <v>1466.87</v>
      </c>
      <c r="R435" s="182"/>
      <c r="U435" s="128"/>
    </row>
    <row r="436" spans="1:21" ht="15.6" x14ac:dyDescent="0.3">
      <c r="A436" s="53"/>
      <c r="B436" s="54"/>
      <c r="C436" s="54"/>
      <c r="D436" s="54"/>
      <c r="E436" s="55"/>
      <c r="F436" s="75"/>
      <c r="G436" s="76"/>
      <c r="H436" s="76"/>
      <c r="I436" s="48"/>
      <c r="J436" s="70"/>
      <c r="K436" s="70"/>
      <c r="L436" s="278" t="s">
        <v>1531</v>
      </c>
      <c r="M436" s="184" t="s">
        <v>1611</v>
      </c>
      <c r="N436" s="278" t="s">
        <v>34</v>
      </c>
      <c r="O436" s="279">
        <v>3</v>
      </c>
      <c r="P436" s="186">
        <v>44.5</v>
      </c>
      <c r="Q436" s="186">
        <v>133.5</v>
      </c>
      <c r="R436" s="182"/>
      <c r="U436" s="128"/>
    </row>
    <row r="437" spans="1:21" ht="15.6" x14ac:dyDescent="0.3">
      <c r="A437" s="53"/>
      <c r="B437" s="54"/>
      <c r="C437" s="54"/>
      <c r="D437" s="54"/>
      <c r="E437" s="55"/>
      <c r="F437" s="75"/>
      <c r="G437" s="76"/>
      <c r="H437" s="76"/>
      <c r="I437" s="48"/>
      <c r="J437" s="70"/>
      <c r="K437" s="70"/>
      <c r="L437" s="278" t="s">
        <v>1641</v>
      </c>
      <c r="M437" s="184" t="s">
        <v>1667</v>
      </c>
      <c r="N437" s="278" t="s">
        <v>64</v>
      </c>
      <c r="O437" s="279">
        <v>1</v>
      </c>
      <c r="P437" s="186">
        <v>24</v>
      </c>
      <c r="Q437" s="186">
        <v>24</v>
      </c>
      <c r="R437" s="182"/>
      <c r="U437" s="128"/>
    </row>
    <row r="438" spans="1:21" ht="15.6" x14ac:dyDescent="0.3">
      <c r="A438" s="53"/>
      <c r="B438" s="54"/>
      <c r="C438" s="54"/>
      <c r="D438" s="54"/>
      <c r="E438" s="55"/>
      <c r="F438" s="75"/>
      <c r="G438" s="76"/>
      <c r="H438" s="76"/>
      <c r="I438" s="48"/>
      <c r="J438" s="70"/>
      <c r="K438" s="70"/>
      <c r="L438" s="278" t="s">
        <v>1686</v>
      </c>
      <c r="M438" s="184" t="s">
        <v>1704</v>
      </c>
      <c r="N438" s="278" t="s">
        <v>34</v>
      </c>
      <c r="O438" s="279">
        <v>1</v>
      </c>
      <c r="P438" s="186">
        <v>690</v>
      </c>
      <c r="Q438" s="186">
        <v>690</v>
      </c>
      <c r="R438" s="182"/>
      <c r="U438" s="128"/>
    </row>
    <row r="439" spans="1:21" ht="15.6" x14ac:dyDescent="0.3">
      <c r="A439" s="53"/>
      <c r="B439" s="54"/>
      <c r="C439" s="54"/>
      <c r="D439" s="54"/>
      <c r="E439" s="55"/>
      <c r="F439" s="75"/>
      <c r="G439" s="76"/>
      <c r="H439" s="76"/>
      <c r="I439" s="48"/>
      <c r="J439" s="70"/>
      <c r="K439" s="70"/>
      <c r="L439" s="278" t="s">
        <v>1687</v>
      </c>
      <c r="M439" s="184" t="s">
        <v>1705</v>
      </c>
      <c r="N439" s="278" t="s">
        <v>34</v>
      </c>
      <c r="O439" s="279">
        <v>1</v>
      </c>
      <c r="P439" s="186">
        <v>306.67</v>
      </c>
      <c r="Q439" s="186">
        <v>306.67</v>
      </c>
      <c r="R439" s="182"/>
      <c r="U439" s="128"/>
    </row>
    <row r="440" spans="1:21" ht="15.6" x14ac:dyDescent="0.3">
      <c r="A440" s="53"/>
      <c r="B440" s="54"/>
      <c r="C440" s="54"/>
      <c r="D440" s="54"/>
      <c r="E440" s="55"/>
      <c r="F440" s="75"/>
      <c r="G440" s="76"/>
      <c r="H440" s="76"/>
      <c r="I440" s="48"/>
      <c r="J440" s="70"/>
      <c r="K440" s="70"/>
      <c r="L440" s="278" t="s">
        <v>1533</v>
      </c>
      <c r="M440" s="184" t="s">
        <v>1613</v>
      </c>
      <c r="N440" s="278" t="s">
        <v>34</v>
      </c>
      <c r="O440" s="279">
        <v>1</v>
      </c>
      <c r="P440" s="186">
        <v>713.33</v>
      </c>
      <c r="Q440" s="186">
        <v>713.33</v>
      </c>
      <c r="R440" s="182"/>
      <c r="U440" s="128"/>
    </row>
    <row r="441" spans="1:21" ht="15.6" x14ac:dyDescent="0.3">
      <c r="A441" s="53"/>
      <c r="B441" s="54"/>
      <c r="C441" s="54"/>
      <c r="D441" s="54"/>
      <c r="E441" s="55"/>
      <c r="F441" s="75"/>
      <c r="G441" s="76"/>
      <c r="H441" s="76"/>
      <c r="I441" s="48"/>
      <c r="J441" s="70"/>
      <c r="K441" s="70"/>
      <c r="L441" s="278" t="s">
        <v>1534</v>
      </c>
      <c r="M441" s="184" t="s">
        <v>1614</v>
      </c>
      <c r="N441" s="278" t="s">
        <v>34</v>
      </c>
      <c r="O441" s="279">
        <v>1</v>
      </c>
      <c r="P441" s="186">
        <v>24.75</v>
      </c>
      <c r="Q441" s="186">
        <v>24.75</v>
      </c>
      <c r="R441" s="182"/>
      <c r="U441" s="128"/>
    </row>
    <row r="442" spans="1:21" ht="15.6" x14ac:dyDescent="0.3">
      <c r="A442" s="53"/>
      <c r="B442" s="54"/>
      <c r="C442" s="54"/>
      <c r="D442" s="54"/>
      <c r="E442" s="55"/>
      <c r="F442" s="75"/>
      <c r="G442" s="76"/>
      <c r="H442" s="76"/>
      <c r="I442" s="48"/>
      <c r="J442" s="70"/>
      <c r="K442" s="70"/>
      <c r="L442" s="278" t="s">
        <v>1688</v>
      </c>
      <c r="M442" s="184" t="s">
        <v>1706</v>
      </c>
      <c r="N442" s="278" t="s">
        <v>34</v>
      </c>
      <c r="O442" s="279">
        <v>1</v>
      </c>
      <c r="P442" s="186">
        <v>105</v>
      </c>
      <c r="Q442" s="186">
        <v>105</v>
      </c>
      <c r="R442" s="182"/>
      <c r="U442" s="128"/>
    </row>
    <row r="443" spans="1:21" ht="18" x14ac:dyDescent="0.3">
      <c r="A443" s="15"/>
      <c r="B443" s="20"/>
      <c r="C443" s="6"/>
      <c r="D443" s="44"/>
      <c r="E443" s="44"/>
      <c r="F443" s="75"/>
      <c r="G443" s="76"/>
      <c r="H443" s="76"/>
      <c r="I443" s="49"/>
      <c r="J443" s="49"/>
      <c r="K443" s="49"/>
      <c r="L443" s="278" t="s">
        <v>1537</v>
      </c>
      <c r="M443" s="184" t="s">
        <v>1617</v>
      </c>
      <c r="N443" s="278" t="s">
        <v>34</v>
      </c>
      <c r="O443" s="279">
        <v>1</v>
      </c>
      <c r="P443" s="186">
        <v>69</v>
      </c>
      <c r="Q443" s="186">
        <v>69</v>
      </c>
      <c r="R443" s="282"/>
      <c r="T443" s="4"/>
      <c r="U443" s="128"/>
    </row>
    <row r="444" spans="1:21" ht="18" x14ac:dyDescent="0.3">
      <c r="A444" s="15"/>
      <c r="B444" s="20"/>
      <c r="C444" s="6"/>
      <c r="D444" s="44"/>
      <c r="E444" s="44"/>
      <c r="F444" s="75"/>
      <c r="G444" s="76"/>
      <c r="H444" s="76"/>
      <c r="I444" s="49"/>
      <c r="J444" s="49"/>
      <c r="K444" s="49"/>
      <c r="L444" s="267" t="s">
        <v>1843</v>
      </c>
      <c r="M444" s="268" t="s">
        <v>1844</v>
      </c>
      <c r="N444" s="267" t="s">
        <v>1845</v>
      </c>
      <c r="O444" s="269">
        <v>0.2</v>
      </c>
      <c r="P444" s="270">
        <v>1042.5</v>
      </c>
      <c r="Q444" s="271">
        <v>208.5</v>
      </c>
      <c r="R444" s="19"/>
      <c r="T444" s="4"/>
      <c r="U444" s="128"/>
    </row>
    <row r="445" spans="1:21" ht="18" x14ac:dyDescent="0.3">
      <c r="A445" s="15"/>
      <c r="B445" s="20"/>
      <c r="C445" s="6"/>
      <c r="D445" s="44"/>
      <c r="E445" s="44"/>
      <c r="F445" s="75"/>
      <c r="G445" s="76"/>
      <c r="H445" s="76"/>
      <c r="I445" s="49"/>
      <c r="J445" s="49"/>
      <c r="K445" s="49"/>
      <c r="L445" s="130"/>
      <c r="M445" s="131"/>
      <c r="N445" s="130"/>
      <c r="O445" s="129"/>
      <c r="P445" s="135"/>
      <c r="Q445" s="135"/>
      <c r="R445" s="19"/>
      <c r="T445" s="4"/>
      <c r="U445" s="128"/>
    </row>
    <row r="446" spans="1:21" ht="18" x14ac:dyDescent="0.3">
      <c r="A446" s="15"/>
      <c r="B446" s="20"/>
      <c r="C446" s="6"/>
      <c r="D446" s="44"/>
      <c r="E446" s="44"/>
      <c r="F446" s="75"/>
      <c r="G446" s="76"/>
      <c r="H446" s="76"/>
      <c r="I446" s="49"/>
      <c r="J446" s="49"/>
      <c r="K446" s="49"/>
      <c r="L446" s="67"/>
      <c r="M446" s="68"/>
      <c r="N446" s="68"/>
      <c r="O446" s="45"/>
      <c r="P446" s="45"/>
      <c r="Q446" s="45"/>
      <c r="R446" s="19"/>
      <c r="T446" s="4"/>
      <c r="U446" s="128"/>
    </row>
    <row r="447" spans="1:21" ht="18.600000000000001" thickBot="1" x14ac:dyDescent="0.35">
      <c r="A447" s="15"/>
      <c r="B447" s="20"/>
      <c r="C447" s="6"/>
      <c r="D447" s="44"/>
      <c r="E447" s="44"/>
      <c r="F447" s="75"/>
      <c r="G447" s="76"/>
      <c r="H447" s="76"/>
      <c r="I447" s="49"/>
      <c r="J447" s="49"/>
      <c r="K447" s="49"/>
      <c r="L447" s="67"/>
      <c r="M447" s="68"/>
      <c r="N447" s="68"/>
      <c r="O447" s="45"/>
      <c r="P447" s="45"/>
      <c r="Q447" s="45"/>
      <c r="R447" s="19"/>
      <c r="T447" s="4"/>
      <c r="U447" s="128"/>
    </row>
    <row r="448" spans="1:21" ht="21.6" thickBot="1" x14ac:dyDescent="0.35">
      <c r="A448" s="28"/>
      <c r="B448" s="29" t="s">
        <v>29</v>
      </c>
      <c r="C448" s="30"/>
      <c r="D448" s="31">
        <f>SUM(D443:D447)</f>
        <v>0</v>
      </c>
      <c r="E448" s="31"/>
      <c r="F448" s="71"/>
      <c r="G448" s="71"/>
      <c r="H448" s="71"/>
      <c r="I448" s="71"/>
      <c r="J448" s="71"/>
      <c r="K448" s="71"/>
      <c r="L448" s="120"/>
      <c r="M448" s="121"/>
      <c r="N448" s="121"/>
      <c r="O448" s="34"/>
      <c r="P448" s="34"/>
      <c r="Q448" s="34">
        <f>SUM(Q344:Q444)</f>
        <v>35453.479999999996</v>
      </c>
      <c r="R448" s="35"/>
    </row>
    <row r="449" spans="1:18" ht="21.6" thickBot="1" x14ac:dyDescent="0.35">
      <c r="A449" s="36"/>
      <c r="B449" s="37" t="s">
        <v>30</v>
      </c>
      <c r="C449" s="38"/>
      <c r="D449" s="39"/>
      <c r="E449" s="39"/>
      <c r="F449" s="73"/>
      <c r="G449" s="73"/>
      <c r="H449" s="73"/>
      <c r="I449" s="73"/>
      <c r="J449" s="73"/>
      <c r="K449" s="73"/>
      <c r="L449" s="122"/>
      <c r="M449" s="123"/>
      <c r="N449" s="123"/>
      <c r="O449" s="42"/>
      <c r="P449" s="42"/>
      <c r="Q449" s="42">
        <f>Q448+Q343</f>
        <v>604805.85000000009</v>
      </c>
      <c r="R449" s="43"/>
    </row>
    <row r="450" spans="1:18" ht="25.2" customHeight="1" x14ac:dyDescent="0.4">
      <c r="A450" s="288" t="s">
        <v>12</v>
      </c>
      <c r="B450" s="288"/>
      <c r="C450" s="288"/>
      <c r="D450" s="288"/>
      <c r="E450" s="288"/>
      <c r="F450" s="288"/>
      <c r="G450" s="288"/>
      <c r="H450" s="288"/>
      <c r="I450" s="288"/>
      <c r="J450" s="288"/>
      <c r="K450" s="288"/>
      <c r="L450" s="288"/>
      <c r="M450" s="288"/>
      <c r="N450" s="288"/>
      <c r="O450" s="124"/>
      <c r="P450" s="137"/>
      <c r="Q450" s="137"/>
      <c r="R450" s="5"/>
    </row>
    <row r="451" spans="1:18" ht="25.2" customHeight="1" x14ac:dyDescent="0.4">
      <c r="A451" s="288" t="s">
        <v>13</v>
      </c>
      <c r="B451" s="288"/>
      <c r="C451" s="288"/>
      <c r="D451" s="288"/>
      <c r="E451" s="288"/>
      <c r="F451" s="288"/>
      <c r="G451" s="288"/>
      <c r="H451" s="288"/>
      <c r="I451" s="288"/>
      <c r="J451" s="288"/>
      <c r="K451" s="288"/>
      <c r="L451" s="288"/>
      <c r="M451" s="288"/>
      <c r="N451" s="288"/>
      <c r="O451" s="124"/>
      <c r="P451" s="137"/>
      <c r="Q451" s="137"/>
      <c r="R451" s="5"/>
    </row>
    <row r="452" spans="1:18" ht="25.2" customHeight="1" x14ac:dyDescent="0.4">
      <c r="A452" s="290" t="s">
        <v>14</v>
      </c>
      <c r="B452" s="290"/>
      <c r="C452" s="290"/>
      <c r="D452" s="290"/>
      <c r="E452" s="290"/>
      <c r="F452" s="290"/>
      <c r="G452" s="290"/>
      <c r="H452" s="290"/>
      <c r="I452" s="290"/>
      <c r="J452" s="290"/>
      <c r="K452" s="290"/>
      <c r="L452" s="290"/>
      <c r="M452" s="290"/>
      <c r="N452" s="290"/>
      <c r="O452" s="125"/>
      <c r="P452" s="138"/>
      <c r="Q452" s="138"/>
      <c r="R452" s="5"/>
    </row>
    <row r="453" spans="1:18" ht="25.2" customHeight="1" x14ac:dyDescent="0.4">
      <c r="A453" s="288" t="s">
        <v>15</v>
      </c>
      <c r="B453" s="288"/>
      <c r="C453" s="288"/>
      <c r="D453" s="288"/>
      <c r="E453" s="288"/>
      <c r="F453" s="288"/>
      <c r="G453" s="288"/>
      <c r="H453" s="288"/>
      <c r="I453" s="288"/>
      <c r="J453" s="288"/>
      <c r="K453" s="288"/>
      <c r="L453" s="288"/>
      <c r="M453" s="288"/>
      <c r="N453" s="288"/>
      <c r="O453" s="124"/>
      <c r="P453" s="137"/>
      <c r="Q453" s="137"/>
      <c r="R453" s="5"/>
    </row>
    <row r="454" spans="1:18" ht="25.2" customHeight="1" x14ac:dyDescent="0.4">
      <c r="A454" s="288" t="s">
        <v>16</v>
      </c>
      <c r="B454" s="288"/>
      <c r="C454" s="288"/>
      <c r="D454" s="288"/>
      <c r="E454" s="288"/>
      <c r="F454" s="288"/>
      <c r="G454" s="288"/>
      <c r="H454" s="288"/>
      <c r="I454" s="288"/>
      <c r="J454" s="288"/>
      <c r="K454" s="288"/>
      <c r="L454" s="288"/>
      <c r="M454" s="288"/>
      <c r="N454" s="288"/>
      <c r="O454" s="124"/>
      <c r="P454" s="137"/>
      <c r="Q454" s="137"/>
      <c r="R454" s="5"/>
    </row>
    <row r="455" spans="1:18" ht="25.2" customHeight="1" x14ac:dyDescent="0.4">
      <c r="A455" s="288" t="s">
        <v>17</v>
      </c>
      <c r="B455" s="288"/>
      <c r="C455" s="288"/>
      <c r="D455" s="288"/>
      <c r="E455" s="288"/>
      <c r="F455" s="288"/>
      <c r="G455" s="288"/>
      <c r="H455" s="288"/>
      <c r="I455" s="288"/>
      <c r="J455" s="288"/>
      <c r="K455" s="288"/>
      <c r="L455" s="288"/>
      <c r="M455" s="288"/>
      <c r="N455" s="288"/>
      <c r="O455" s="124"/>
      <c r="P455" s="137"/>
      <c r="Q455" s="137"/>
      <c r="R455" s="5"/>
    </row>
    <row r="456" spans="1:18" ht="25.2" customHeight="1" x14ac:dyDescent="0.4">
      <c r="A456" s="288" t="s">
        <v>1852</v>
      </c>
      <c r="B456" s="288"/>
      <c r="C456" s="288"/>
      <c r="D456" s="288"/>
      <c r="E456" s="288"/>
      <c r="F456" s="288"/>
      <c r="G456" s="288"/>
      <c r="H456" s="288"/>
      <c r="I456" s="288"/>
      <c r="J456" s="288"/>
      <c r="K456" s="288"/>
      <c r="L456" s="288"/>
      <c r="M456" s="288"/>
      <c r="N456" s="288"/>
      <c r="O456" s="124"/>
      <c r="P456" s="137"/>
      <c r="Q456" s="137"/>
      <c r="R456" s="5"/>
    </row>
    <row r="457" spans="1:18" ht="25.2" customHeight="1" x14ac:dyDescent="0.4">
      <c r="A457" s="288" t="s">
        <v>17</v>
      </c>
      <c r="B457" s="288"/>
      <c r="C457" s="288"/>
      <c r="D457" s="288"/>
      <c r="E457" s="288"/>
      <c r="F457" s="288"/>
      <c r="G457" s="288"/>
      <c r="H457" s="288"/>
      <c r="I457" s="288"/>
      <c r="J457" s="288"/>
      <c r="K457" s="288"/>
      <c r="L457" s="288"/>
      <c r="M457" s="288"/>
      <c r="N457" s="288"/>
      <c r="O457" s="124"/>
      <c r="P457" s="137"/>
      <c r="Q457" s="137"/>
      <c r="R457" s="5"/>
    </row>
    <row r="458" spans="1:18" ht="25.2" customHeight="1" x14ac:dyDescent="0.4">
      <c r="A458" s="288" t="s">
        <v>19</v>
      </c>
      <c r="B458" s="288"/>
      <c r="C458" s="288"/>
      <c r="D458" s="288"/>
      <c r="E458" s="288"/>
      <c r="F458" s="288"/>
      <c r="G458" s="288"/>
      <c r="H458" s="288"/>
      <c r="I458" s="288"/>
      <c r="J458" s="288"/>
      <c r="K458" s="288"/>
      <c r="L458" s="288"/>
      <c r="M458" s="288"/>
      <c r="N458" s="288"/>
      <c r="O458" s="124"/>
      <c r="P458" s="137"/>
      <c r="Q458" s="137"/>
      <c r="R458" s="5"/>
    </row>
    <row r="459" spans="1:18" ht="25.2" customHeight="1" x14ac:dyDescent="0.4">
      <c r="A459" s="288" t="s">
        <v>11</v>
      </c>
      <c r="B459" s="288"/>
      <c r="C459" s="288"/>
      <c r="D459" s="288"/>
      <c r="E459" s="288"/>
      <c r="F459" s="288"/>
      <c r="G459" s="288"/>
      <c r="H459" s="288"/>
      <c r="I459" s="288"/>
      <c r="J459" s="288"/>
      <c r="K459" s="288"/>
      <c r="L459" s="288"/>
      <c r="M459" s="288"/>
      <c r="N459" s="288"/>
      <c r="O459" s="124"/>
      <c r="P459" s="137"/>
      <c r="Q459" s="137"/>
      <c r="R459" s="5"/>
    </row>
    <row r="460" spans="1:18" ht="25.2" customHeight="1" x14ac:dyDescent="0.4">
      <c r="A460" s="288" t="s">
        <v>1855</v>
      </c>
      <c r="B460" s="288"/>
      <c r="C460" s="288"/>
      <c r="D460" s="288"/>
      <c r="E460" s="288"/>
      <c r="F460" s="288"/>
      <c r="G460" s="288"/>
      <c r="H460" s="288"/>
      <c r="I460" s="288"/>
      <c r="J460" s="288"/>
      <c r="K460" s="288"/>
      <c r="L460" s="288"/>
      <c r="M460" s="288"/>
      <c r="N460" s="288"/>
      <c r="O460" s="124"/>
      <c r="P460" s="137"/>
      <c r="Q460" s="137"/>
      <c r="R460" s="5"/>
    </row>
    <row r="461" spans="1:18" ht="25.2" customHeight="1" x14ac:dyDescent="0.4">
      <c r="A461" s="289" t="s">
        <v>31</v>
      </c>
      <c r="B461" s="289"/>
      <c r="C461" s="289"/>
      <c r="D461" s="289"/>
      <c r="E461" s="289"/>
      <c r="F461" s="289"/>
      <c r="G461" s="289"/>
      <c r="H461" s="289"/>
      <c r="I461" s="289"/>
      <c r="J461" s="289"/>
      <c r="K461" s="289"/>
      <c r="L461" s="289"/>
      <c r="M461" s="289"/>
      <c r="N461" s="289"/>
      <c r="O461" s="126"/>
      <c r="P461" s="139"/>
      <c r="Q461" s="139"/>
      <c r="R461" s="5"/>
    </row>
    <row r="462" spans="1:18" ht="36" customHeight="1" x14ac:dyDescent="0.3"/>
  </sheetData>
  <autoFilter ref="A18:U461" xr:uid="{DE685D05-9FEE-404B-AA01-BE2D5B544193}"/>
  <mergeCells count="36">
    <mergeCell ref="A450:N450"/>
    <mergeCell ref="A451:N451"/>
    <mergeCell ref="A452:N452"/>
    <mergeCell ref="A460:N460"/>
    <mergeCell ref="A453:N453"/>
    <mergeCell ref="A461:N461"/>
    <mergeCell ref="A454:N454"/>
    <mergeCell ref="A455:N455"/>
    <mergeCell ref="A456:N456"/>
    <mergeCell ref="A457:N457"/>
    <mergeCell ref="A458:N458"/>
    <mergeCell ref="A459:N459"/>
    <mergeCell ref="A13:R13"/>
    <mergeCell ref="A14:Q14"/>
    <mergeCell ref="A15:K15"/>
    <mergeCell ref="L15:R15"/>
    <mergeCell ref="C16:C17"/>
    <mergeCell ref="D16:D17"/>
    <mergeCell ref="E16:E17"/>
    <mergeCell ref="M16:Q16"/>
    <mergeCell ref="A16:A17"/>
    <mergeCell ref="B16:B17"/>
    <mergeCell ref="A11:R11"/>
    <mergeCell ref="M1:R2"/>
    <mergeCell ref="M4:R4"/>
    <mergeCell ref="M5:R5"/>
    <mergeCell ref="M7:R7"/>
    <mergeCell ref="A10:R10"/>
    <mergeCell ref="R16:R17"/>
    <mergeCell ref="F16:F17"/>
    <mergeCell ref="G16:G17"/>
    <mergeCell ref="H16:H17"/>
    <mergeCell ref="I16:I17"/>
    <mergeCell ref="J16:J17"/>
    <mergeCell ref="K16:K17"/>
    <mergeCell ref="A12:R12"/>
  </mergeCells>
  <pageMargins left="0.25" right="0.25" top="0.75" bottom="0.75" header="0.3" footer="0.3"/>
  <pageSetup paperSize="9" scale="36" fitToHeight="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73AA-28AE-42F0-A455-6EC9F8C59602}">
  <sheetPr>
    <tabColor rgb="FFFFFF00"/>
    <pageSetUpPr fitToPage="1"/>
  </sheetPr>
  <dimension ref="A1:U476"/>
  <sheetViews>
    <sheetView topLeftCell="C444" zoomScale="55" zoomScaleNormal="55" workbookViewId="0">
      <selection activeCell="A466" sqref="A466:N466"/>
    </sheetView>
  </sheetViews>
  <sheetFormatPr defaultRowHeight="14.4" x14ac:dyDescent="0.3"/>
  <cols>
    <col min="1" max="1" width="6.6640625" style="140" customWidth="1"/>
    <col min="2" max="2" width="63.109375" customWidth="1"/>
    <col min="3" max="3" width="10.44140625" style="140" customWidth="1"/>
    <col min="4" max="4" width="11.109375" style="140" customWidth="1"/>
    <col min="5" max="5" width="13.109375" style="140" customWidth="1"/>
    <col min="6" max="6" width="20.109375" style="140" customWidth="1"/>
    <col min="7" max="11" width="13.109375" style="140" customWidth="1"/>
    <col min="12" max="12" width="17.33203125" style="4" customWidth="1"/>
    <col min="13" max="13" width="61" style="4" customWidth="1"/>
    <col min="14" max="15" width="11.6640625" style="4" customWidth="1"/>
    <col min="16" max="16" width="19.77734375" style="4" customWidth="1"/>
    <col min="17" max="17" width="15.44140625" style="4" bestFit="1" customWidth="1"/>
    <col min="18" max="18" width="35.44140625" customWidth="1"/>
    <col min="19" max="19" width="12.109375" bestFit="1" customWidth="1"/>
    <col min="21" max="21" width="9.88671875" bestFit="1" customWidth="1"/>
  </cols>
  <sheetData>
    <row r="1" spans="1:20" ht="15.75" customHeight="1" x14ac:dyDescent="0.3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06" t="s">
        <v>26</v>
      </c>
      <c r="N1" s="306"/>
      <c r="O1" s="306"/>
      <c r="P1" s="306"/>
      <c r="Q1" s="306"/>
      <c r="R1" s="306"/>
      <c r="S1" s="13"/>
      <c r="T1" s="13"/>
    </row>
    <row r="2" spans="1:20" ht="15" customHeight="1" x14ac:dyDescent="0.3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07"/>
      <c r="N2" s="307"/>
      <c r="O2" s="307"/>
      <c r="P2" s="307"/>
      <c r="Q2" s="307"/>
      <c r="R2" s="307"/>
      <c r="S2" s="13"/>
      <c r="T2" s="13"/>
    </row>
    <row r="3" spans="1:20" ht="15.6" x14ac:dyDescent="0.3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19"/>
      <c r="N3" s="119"/>
      <c r="O3" s="119"/>
      <c r="P3" s="136"/>
      <c r="Q3" s="136"/>
      <c r="R3" s="136"/>
      <c r="S3" s="13"/>
      <c r="T3" s="13"/>
    </row>
    <row r="4" spans="1:20" ht="23.4" x14ac:dyDescent="0.4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08" t="s">
        <v>27</v>
      </c>
      <c r="N4" s="308"/>
      <c r="O4" s="308"/>
      <c r="P4" s="308"/>
      <c r="Q4" s="308"/>
      <c r="R4" s="308"/>
      <c r="S4" s="13"/>
      <c r="T4" s="13"/>
    </row>
    <row r="5" spans="1:20" ht="21" x14ac:dyDescent="0.4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09" t="s">
        <v>28</v>
      </c>
      <c r="N5" s="309"/>
      <c r="O5" s="309"/>
      <c r="P5" s="309"/>
      <c r="Q5" s="309"/>
      <c r="R5" s="309"/>
      <c r="S5" s="13"/>
      <c r="T5" s="13"/>
    </row>
    <row r="6" spans="1:20" ht="15.6" x14ac:dyDescent="0.3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9"/>
      <c r="O6" s="9"/>
      <c r="P6" s="10"/>
      <c r="Q6" s="11"/>
      <c r="R6" s="12"/>
      <c r="S6" s="13"/>
      <c r="T6" s="13"/>
    </row>
    <row r="7" spans="1:20" ht="18" x14ac:dyDescent="0.35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10" t="s">
        <v>33</v>
      </c>
      <c r="N7" s="310"/>
      <c r="O7" s="310"/>
      <c r="P7" s="310"/>
      <c r="Q7" s="310"/>
      <c r="R7" s="310"/>
      <c r="S7" s="13"/>
      <c r="T7" s="13"/>
    </row>
    <row r="8" spans="1:20" ht="15.6" x14ac:dyDescent="0.3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S8" s="13"/>
      <c r="T8" s="13"/>
    </row>
    <row r="9" spans="1:20" ht="15.6" x14ac:dyDescent="0.3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S9" s="13"/>
      <c r="T9" s="13"/>
    </row>
    <row r="10" spans="1:20" ht="18" customHeight="1" x14ac:dyDescent="0.3">
      <c r="A10" s="305" t="s">
        <v>0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13"/>
      <c r="T10" s="13"/>
    </row>
    <row r="11" spans="1:20" ht="18" customHeight="1" x14ac:dyDescent="0.3">
      <c r="A11" s="305" t="s">
        <v>1</v>
      </c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13"/>
      <c r="T11" s="13"/>
    </row>
    <row r="12" spans="1:20" ht="18" customHeight="1" x14ac:dyDescent="0.3">
      <c r="A12" s="305" t="s">
        <v>2</v>
      </c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13"/>
      <c r="T12" s="13"/>
    </row>
    <row r="13" spans="1:20" ht="63.6" customHeight="1" x14ac:dyDescent="0.3">
      <c r="A13" s="311" t="s">
        <v>1277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</row>
    <row r="14" spans="1:20" ht="27" customHeight="1" thickBot="1" x14ac:dyDescent="0.35">
      <c r="A14" s="313" t="s">
        <v>36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  <c r="Q14" s="313"/>
    </row>
    <row r="15" spans="1:20" ht="30.6" customHeight="1" thickBot="1" x14ac:dyDescent="0.35">
      <c r="A15" s="314" t="s">
        <v>24</v>
      </c>
      <c r="B15" s="315"/>
      <c r="C15" s="315"/>
      <c r="D15" s="315"/>
      <c r="E15" s="315"/>
      <c r="F15" s="315"/>
      <c r="G15" s="315"/>
      <c r="H15" s="315"/>
      <c r="I15" s="315"/>
      <c r="J15" s="315"/>
      <c r="K15" s="315"/>
      <c r="L15" s="316" t="s">
        <v>25</v>
      </c>
      <c r="M15" s="317"/>
      <c r="N15" s="317"/>
      <c r="O15" s="317"/>
      <c r="P15" s="317"/>
      <c r="Q15" s="317"/>
      <c r="R15" s="318"/>
    </row>
    <row r="16" spans="1:20" ht="15" customHeight="1" x14ac:dyDescent="0.3">
      <c r="A16" s="298" t="s">
        <v>3</v>
      </c>
      <c r="B16" s="300" t="s">
        <v>4</v>
      </c>
      <c r="C16" s="300"/>
      <c r="D16" s="293" t="s">
        <v>5</v>
      </c>
      <c r="E16" s="300" t="s">
        <v>6</v>
      </c>
      <c r="F16" s="291"/>
      <c r="G16" s="293"/>
      <c r="H16" s="293"/>
      <c r="I16" s="294"/>
      <c r="J16" s="293" t="s">
        <v>21</v>
      </c>
      <c r="K16" s="296" t="s">
        <v>22</v>
      </c>
      <c r="L16" s="16"/>
      <c r="M16" s="302" t="s">
        <v>7</v>
      </c>
      <c r="N16" s="303"/>
      <c r="O16" s="303"/>
      <c r="P16" s="303"/>
      <c r="Q16" s="304"/>
      <c r="R16" s="296" t="s">
        <v>8</v>
      </c>
    </row>
    <row r="17" spans="1:21" ht="34.200000000000003" customHeight="1" x14ac:dyDescent="0.3">
      <c r="A17" s="299"/>
      <c r="B17" s="301"/>
      <c r="C17" s="301"/>
      <c r="D17" s="292"/>
      <c r="E17" s="301"/>
      <c r="F17" s="292"/>
      <c r="G17" s="292"/>
      <c r="H17" s="292"/>
      <c r="I17" s="295"/>
      <c r="J17" s="292"/>
      <c r="K17" s="297"/>
      <c r="L17" s="17" t="s">
        <v>20</v>
      </c>
      <c r="M17" s="14" t="s">
        <v>9</v>
      </c>
      <c r="N17" s="18" t="s">
        <v>10</v>
      </c>
      <c r="O17" s="7" t="s">
        <v>6</v>
      </c>
      <c r="P17" s="8" t="s">
        <v>21</v>
      </c>
      <c r="Q17" s="8" t="s">
        <v>22</v>
      </c>
      <c r="R17" s="297"/>
    </row>
    <row r="18" spans="1:21" ht="15" thickBot="1" x14ac:dyDescent="0.35">
      <c r="A18" s="21">
        <v>1</v>
      </c>
      <c r="B18" s="22">
        <v>2</v>
      </c>
      <c r="C18" s="22"/>
      <c r="D18" s="22">
        <v>3</v>
      </c>
      <c r="E18" s="22">
        <v>4</v>
      </c>
      <c r="F18" s="22"/>
      <c r="G18" s="22"/>
      <c r="H18" s="22"/>
      <c r="I18" s="74"/>
      <c r="J18" s="22">
        <v>5</v>
      </c>
      <c r="K18" s="23">
        <v>6</v>
      </c>
      <c r="L18" s="83">
        <v>7</v>
      </c>
      <c r="M18" s="7">
        <v>8</v>
      </c>
      <c r="N18" s="7">
        <v>9</v>
      </c>
      <c r="O18" s="7">
        <v>10</v>
      </c>
      <c r="P18" s="7">
        <v>11</v>
      </c>
      <c r="Q18" s="7">
        <v>12</v>
      </c>
      <c r="R18" s="127">
        <v>13</v>
      </c>
      <c r="U18" s="128"/>
    </row>
    <row r="19" spans="1:21" ht="33.6" customHeight="1" x14ac:dyDescent="0.3">
      <c r="A19" s="60"/>
      <c r="B19" s="80" t="s">
        <v>1278</v>
      </c>
      <c r="C19" s="80"/>
      <c r="D19" s="80" t="s">
        <v>34</v>
      </c>
      <c r="E19" s="80">
        <v>1</v>
      </c>
      <c r="F19" s="69"/>
      <c r="G19" s="69"/>
      <c r="H19" s="69"/>
      <c r="I19" s="69"/>
      <c r="J19" s="69"/>
      <c r="K19" s="69"/>
      <c r="L19" s="193" t="s">
        <v>778</v>
      </c>
      <c r="M19" s="194" t="s">
        <v>779</v>
      </c>
      <c r="N19" s="193" t="s">
        <v>37</v>
      </c>
      <c r="O19" s="195">
        <v>3</v>
      </c>
      <c r="P19" s="196">
        <v>74.900000000000006</v>
      </c>
      <c r="Q19" s="196">
        <v>224.7</v>
      </c>
      <c r="R19" s="181"/>
      <c r="U19" s="128"/>
    </row>
    <row r="20" spans="1:21" ht="15.6" x14ac:dyDescent="0.3">
      <c r="A20" s="51"/>
      <c r="B20" s="59"/>
      <c r="C20" s="47"/>
      <c r="D20" s="61"/>
      <c r="E20" s="62"/>
      <c r="F20" s="75"/>
      <c r="G20" s="76"/>
      <c r="H20" s="76"/>
      <c r="I20" s="48"/>
      <c r="J20" s="48"/>
      <c r="K20" s="48"/>
      <c r="L20" s="193" t="s">
        <v>1103</v>
      </c>
      <c r="M20" s="194" t="s">
        <v>1189</v>
      </c>
      <c r="N20" s="193" t="s">
        <v>37</v>
      </c>
      <c r="O20" s="195">
        <v>27</v>
      </c>
      <c r="P20" s="196">
        <v>28.61</v>
      </c>
      <c r="Q20" s="196">
        <v>772.47</v>
      </c>
      <c r="R20" s="182"/>
      <c r="U20" s="128"/>
    </row>
    <row r="21" spans="1:21" ht="15.6" x14ac:dyDescent="0.3">
      <c r="A21" s="51"/>
      <c r="B21" s="59"/>
      <c r="C21" s="47"/>
      <c r="D21" s="61"/>
      <c r="E21" s="62"/>
      <c r="F21" s="75"/>
      <c r="G21" s="76"/>
      <c r="H21" s="76"/>
      <c r="I21" s="48"/>
      <c r="J21" s="48"/>
      <c r="K21" s="48"/>
      <c r="L21" s="193" t="s">
        <v>429</v>
      </c>
      <c r="M21" s="194" t="s">
        <v>430</v>
      </c>
      <c r="N21" s="193" t="s">
        <v>37</v>
      </c>
      <c r="O21" s="195">
        <v>0.8</v>
      </c>
      <c r="P21" s="196">
        <v>11.5</v>
      </c>
      <c r="Q21" s="196">
        <v>9.1999999999999993</v>
      </c>
      <c r="R21" s="182"/>
      <c r="U21" s="128"/>
    </row>
    <row r="22" spans="1:21" ht="15.6" x14ac:dyDescent="0.3">
      <c r="A22" s="53"/>
      <c r="B22" s="54"/>
      <c r="C22" s="54"/>
      <c r="D22" s="54"/>
      <c r="E22" s="55"/>
      <c r="F22" s="75"/>
      <c r="G22" s="76"/>
      <c r="H22" s="76"/>
      <c r="I22" s="48"/>
      <c r="J22" s="70"/>
      <c r="K22" s="70"/>
      <c r="L22" s="193" t="s">
        <v>98</v>
      </c>
      <c r="M22" s="194" t="s">
        <v>99</v>
      </c>
      <c r="N22" s="193" t="s">
        <v>37</v>
      </c>
      <c r="O22" s="195">
        <v>1.0900000000000001</v>
      </c>
      <c r="P22" s="196">
        <v>131</v>
      </c>
      <c r="Q22" s="196">
        <v>142.79</v>
      </c>
      <c r="R22" s="182"/>
      <c r="U22" s="128"/>
    </row>
    <row r="23" spans="1:21" ht="15.6" x14ac:dyDescent="0.3">
      <c r="A23" s="53"/>
      <c r="B23" s="54"/>
      <c r="C23" s="54"/>
      <c r="D23" s="54"/>
      <c r="E23" s="55"/>
      <c r="F23" s="75"/>
      <c r="G23" s="76"/>
      <c r="H23" s="76"/>
      <c r="I23" s="48"/>
      <c r="J23" s="70"/>
      <c r="K23" s="70"/>
      <c r="L23" s="193" t="s">
        <v>1105</v>
      </c>
      <c r="M23" s="194" t="s">
        <v>1191</v>
      </c>
      <c r="N23" s="193" t="s">
        <v>37</v>
      </c>
      <c r="O23" s="195">
        <v>3</v>
      </c>
      <c r="P23" s="196">
        <v>9.58</v>
      </c>
      <c r="Q23" s="196">
        <v>28.74</v>
      </c>
      <c r="R23" s="182"/>
      <c r="U23" s="128"/>
    </row>
    <row r="24" spans="1:21" ht="15.6" x14ac:dyDescent="0.3">
      <c r="A24" s="53"/>
      <c r="B24" s="54"/>
      <c r="C24" s="54"/>
      <c r="D24" s="54"/>
      <c r="E24" s="55"/>
      <c r="F24" s="75"/>
      <c r="G24" s="76"/>
      <c r="H24" s="76"/>
      <c r="I24" s="48"/>
      <c r="J24" s="70"/>
      <c r="K24" s="70"/>
      <c r="L24" s="193" t="s">
        <v>38</v>
      </c>
      <c r="M24" s="194" t="s">
        <v>100</v>
      </c>
      <c r="N24" s="193" t="s">
        <v>37</v>
      </c>
      <c r="O24" s="195">
        <v>0.8</v>
      </c>
      <c r="P24" s="196">
        <v>71</v>
      </c>
      <c r="Q24" s="196">
        <v>56.8</v>
      </c>
      <c r="R24" s="182"/>
      <c r="U24" s="128"/>
    </row>
    <row r="25" spans="1:21" ht="15.6" x14ac:dyDescent="0.3">
      <c r="A25" s="53"/>
      <c r="B25" s="54"/>
      <c r="C25" s="54"/>
      <c r="D25" s="54"/>
      <c r="E25" s="55"/>
      <c r="F25" s="75"/>
      <c r="G25" s="76"/>
      <c r="H25" s="76"/>
      <c r="I25" s="48"/>
      <c r="J25" s="70"/>
      <c r="K25" s="70"/>
      <c r="L25" s="193" t="s">
        <v>1104</v>
      </c>
      <c r="M25" s="194" t="s">
        <v>1190</v>
      </c>
      <c r="N25" s="193" t="s">
        <v>37</v>
      </c>
      <c r="O25" s="195">
        <v>2.7</v>
      </c>
      <c r="P25" s="196">
        <v>266.25</v>
      </c>
      <c r="Q25" s="196">
        <v>718.87</v>
      </c>
      <c r="R25" s="182"/>
      <c r="U25" s="128"/>
    </row>
    <row r="26" spans="1:21" ht="15.6" x14ac:dyDescent="0.3">
      <c r="A26" s="53"/>
      <c r="B26" s="54"/>
      <c r="C26" s="54"/>
      <c r="D26" s="54"/>
      <c r="E26" s="55"/>
      <c r="F26" s="75"/>
      <c r="G26" s="76"/>
      <c r="H26" s="76"/>
      <c r="I26" s="48"/>
      <c r="J26" s="70"/>
      <c r="K26" s="70"/>
      <c r="L26" s="193" t="s">
        <v>933</v>
      </c>
      <c r="M26" s="194" t="s">
        <v>932</v>
      </c>
      <c r="N26" s="193" t="s">
        <v>37</v>
      </c>
      <c r="O26" s="195">
        <v>1.8</v>
      </c>
      <c r="P26" s="196">
        <v>18.899999999999999</v>
      </c>
      <c r="Q26" s="196">
        <v>34.020000000000003</v>
      </c>
      <c r="R26" s="182"/>
      <c r="U26" s="128"/>
    </row>
    <row r="27" spans="1:21" ht="15.6" x14ac:dyDescent="0.3">
      <c r="A27" s="53"/>
      <c r="B27" s="54"/>
      <c r="C27" s="54"/>
      <c r="D27" s="54"/>
      <c r="E27" s="55"/>
      <c r="F27" s="75"/>
      <c r="G27" s="76"/>
      <c r="H27" s="76"/>
      <c r="I27" s="48"/>
      <c r="J27" s="70"/>
      <c r="K27" s="70"/>
      <c r="L27" s="193" t="s">
        <v>1106</v>
      </c>
      <c r="M27" s="194" t="s">
        <v>1192</v>
      </c>
      <c r="N27" s="193" t="s">
        <v>1272</v>
      </c>
      <c r="O27" s="195">
        <v>93</v>
      </c>
      <c r="P27" s="196">
        <v>0.69</v>
      </c>
      <c r="Q27" s="196">
        <v>64.319999999999993</v>
      </c>
      <c r="R27" s="182"/>
      <c r="U27" s="128"/>
    </row>
    <row r="28" spans="1:21" ht="15.6" x14ac:dyDescent="0.3">
      <c r="A28" s="53"/>
      <c r="B28" s="54"/>
      <c r="C28" s="54"/>
      <c r="D28" s="54"/>
      <c r="E28" s="55"/>
      <c r="F28" s="75"/>
      <c r="G28" s="76"/>
      <c r="H28" s="76"/>
      <c r="I28" s="48"/>
      <c r="J28" s="70"/>
      <c r="K28" s="70"/>
      <c r="L28" s="193" t="s">
        <v>934</v>
      </c>
      <c r="M28" s="194" t="s">
        <v>1033</v>
      </c>
      <c r="N28" s="193" t="s">
        <v>64</v>
      </c>
      <c r="O28" s="195">
        <v>0.83299999999999996</v>
      </c>
      <c r="P28" s="196">
        <v>735.89</v>
      </c>
      <c r="Q28" s="196">
        <v>613</v>
      </c>
      <c r="R28" s="182"/>
      <c r="U28" s="128"/>
    </row>
    <row r="29" spans="1:21" ht="15.6" x14ac:dyDescent="0.3">
      <c r="A29" s="53"/>
      <c r="B29" s="54"/>
      <c r="C29" s="54"/>
      <c r="D29" s="54"/>
      <c r="E29" s="55"/>
      <c r="F29" s="75"/>
      <c r="G29" s="76"/>
      <c r="H29" s="76"/>
      <c r="I29" s="48"/>
      <c r="J29" s="70"/>
      <c r="K29" s="70"/>
      <c r="L29" s="193" t="s">
        <v>935</v>
      </c>
      <c r="M29" s="194" t="s">
        <v>1034</v>
      </c>
      <c r="N29" s="193" t="s">
        <v>64</v>
      </c>
      <c r="O29" s="195">
        <v>23</v>
      </c>
      <c r="P29" s="196">
        <v>736.67</v>
      </c>
      <c r="Q29" s="197">
        <v>16943.41</v>
      </c>
      <c r="R29" s="182"/>
      <c r="U29" s="128"/>
    </row>
    <row r="30" spans="1:21" ht="15.6" x14ac:dyDescent="0.3">
      <c r="A30" s="53"/>
      <c r="B30" s="54"/>
      <c r="C30" s="54"/>
      <c r="D30" s="54"/>
      <c r="E30" s="55"/>
      <c r="F30" s="75"/>
      <c r="G30" s="76"/>
      <c r="H30" s="76"/>
      <c r="I30" s="48"/>
      <c r="J30" s="70"/>
      <c r="K30" s="70"/>
      <c r="L30" s="193" t="s">
        <v>936</v>
      </c>
      <c r="M30" s="194" t="s">
        <v>1035</v>
      </c>
      <c r="N30" s="193" t="s">
        <v>64</v>
      </c>
      <c r="O30" s="195">
        <v>2</v>
      </c>
      <c r="P30" s="196">
        <v>736.67</v>
      </c>
      <c r="Q30" s="197">
        <v>1473.33</v>
      </c>
      <c r="R30" s="182"/>
      <c r="U30" s="128"/>
    </row>
    <row r="31" spans="1:21" ht="15.6" x14ac:dyDescent="0.3">
      <c r="A31" s="53"/>
      <c r="B31" s="54"/>
      <c r="C31" s="54"/>
      <c r="D31" s="54"/>
      <c r="E31" s="55"/>
      <c r="F31" s="75"/>
      <c r="G31" s="76"/>
      <c r="H31" s="76"/>
      <c r="I31" s="48"/>
      <c r="J31" s="70"/>
      <c r="K31" s="70"/>
      <c r="L31" s="193" t="s">
        <v>937</v>
      </c>
      <c r="M31" s="194" t="s">
        <v>1036</v>
      </c>
      <c r="N31" s="193" t="s">
        <v>269</v>
      </c>
      <c r="O31" s="195">
        <v>2</v>
      </c>
      <c r="P31" s="196">
        <v>773.99</v>
      </c>
      <c r="Q31" s="197">
        <v>1547.98</v>
      </c>
      <c r="R31" s="182"/>
      <c r="U31" s="128"/>
    </row>
    <row r="32" spans="1:21" ht="15.6" x14ac:dyDescent="0.3">
      <c r="A32" s="53"/>
      <c r="B32" s="54"/>
      <c r="C32" s="54"/>
      <c r="D32" s="54"/>
      <c r="E32" s="55"/>
      <c r="F32" s="75"/>
      <c r="G32" s="76"/>
      <c r="H32" s="76"/>
      <c r="I32" s="48"/>
      <c r="J32" s="70"/>
      <c r="K32" s="70"/>
      <c r="L32" s="193" t="s">
        <v>938</v>
      </c>
      <c r="M32" s="194" t="s">
        <v>1037</v>
      </c>
      <c r="N32" s="193" t="s">
        <v>269</v>
      </c>
      <c r="O32" s="195">
        <v>2</v>
      </c>
      <c r="P32" s="196">
        <v>793.84</v>
      </c>
      <c r="Q32" s="197">
        <v>1587.67</v>
      </c>
      <c r="R32" s="182"/>
      <c r="U32" s="128"/>
    </row>
    <row r="33" spans="1:21" ht="15.6" x14ac:dyDescent="0.3">
      <c r="A33" s="53"/>
      <c r="B33" s="54"/>
      <c r="C33" s="54"/>
      <c r="D33" s="54"/>
      <c r="E33" s="55"/>
      <c r="F33" s="75"/>
      <c r="G33" s="76"/>
      <c r="H33" s="76"/>
      <c r="I33" s="48"/>
      <c r="J33" s="70"/>
      <c r="K33" s="70"/>
      <c r="L33" s="193" t="s">
        <v>440</v>
      </c>
      <c r="M33" s="194" t="s">
        <v>441</v>
      </c>
      <c r="N33" s="193" t="s">
        <v>442</v>
      </c>
      <c r="O33" s="195">
        <v>3</v>
      </c>
      <c r="P33" s="196">
        <v>75.22</v>
      </c>
      <c r="Q33" s="196">
        <v>225.65</v>
      </c>
      <c r="R33" s="182"/>
      <c r="U33" s="128"/>
    </row>
    <row r="34" spans="1:21" ht="15.6" x14ac:dyDescent="0.3">
      <c r="A34" s="53"/>
      <c r="B34" s="54"/>
      <c r="C34" s="54"/>
      <c r="D34" s="54"/>
      <c r="E34" s="55"/>
      <c r="F34" s="75"/>
      <c r="G34" s="76"/>
      <c r="H34" s="76"/>
      <c r="I34" s="48"/>
      <c r="J34" s="70"/>
      <c r="K34" s="70"/>
      <c r="L34" s="193" t="s">
        <v>1846</v>
      </c>
      <c r="M34" s="194" t="s">
        <v>1848</v>
      </c>
      <c r="N34" s="193" t="s">
        <v>63</v>
      </c>
      <c r="O34" s="195">
        <v>3.5999999999999997E-2</v>
      </c>
      <c r="P34" s="197">
        <v>35332.78</v>
      </c>
      <c r="Q34" s="197">
        <v>1271.98</v>
      </c>
      <c r="R34" s="182"/>
      <c r="U34" s="128"/>
    </row>
    <row r="35" spans="1:21" ht="15.6" x14ac:dyDescent="0.3">
      <c r="A35" s="53"/>
      <c r="B35" s="54"/>
      <c r="C35" s="54"/>
      <c r="D35" s="54"/>
      <c r="E35" s="55"/>
      <c r="F35" s="75"/>
      <c r="G35" s="76"/>
      <c r="H35" s="76"/>
      <c r="I35" s="48"/>
      <c r="J35" s="70"/>
      <c r="K35" s="70"/>
      <c r="L35" s="193" t="s">
        <v>939</v>
      </c>
      <c r="M35" s="194" t="s">
        <v>798</v>
      </c>
      <c r="N35" s="193" t="s">
        <v>63</v>
      </c>
      <c r="O35" s="195">
        <v>0.18</v>
      </c>
      <c r="P35" s="197">
        <v>28501.67</v>
      </c>
      <c r="Q35" s="197">
        <v>5130.3</v>
      </c>
      <c r="R35" s="182"/>
      <c r="U35" s="128"/>
    </row>
    <row r="36" spans="1:21" ht="15.6" x14ac:dyDescent="0.3">
      <c r="A36" s="53"/>
      <c r="B36" s="54"/>
      <c r="C36" s="54"/>
      <c r="D36" s="54"/>
      <c r="E36" s="55"/>
      <c r="F36" s="75"/>
      <c r="G36" s="76"/>
      <c r="H36" s="76"/>
      <c r="I36" s="48"/>
      <c r="J36" s="70"/>
      <c r="K36" s="70"/>
      <c r="L36" s="193" t="s">
        <v>940</v>
      </c>
      <c r="M36" s="194" t="s">
        <v>1038</v>
      </c>
      <c r="N36" s="193" t="s">
        <v>63</v>
      </c>
      <c r="O36" s="195">
        <v>1.4999999999999999E-2</v>
      </c>
      <c r="P36" s="197">
        <v>32907.33</v>
      </c>
      <c r="Q36" s="196">
        <v>493.61</v>
      </c>
      <c r="R36" s="182"/>
      <c r="U36" s="128"/>
    </row>
    <row r="37" spans="1:21" ht="15.6" x14ac:dyDescent="0.3">
      <c r="A37" s="53"/>
      <c r="B37" s="54"/>
      <c r="C37" s="54"/>
      <c r="D37" s="54"/>
      <c r="E37" s="55"/>
      <c r="F37" s="75"/>
      <c r="G37" s="76"/>
      <c r="H37" s="76"/>
      <c r="I37" s="48"/>
      <c r="J37" s="70"/>
      <c r="K37" s="70"/>
      <c r="L37" s="193" t="s">
        <v>1113</v>
      </c>
      <c r="M37" s="194" t="s">
        <v>1199</v>
      </c>
      <c r="N37" s="193" t="s">
        <v>903</v>
      </c>
      <c r="O37" s="195">
        <v>0.11</v>
      </c>
      <c r="P37" s="197">
        <v>10416.64</v>
      </c>
      <c r="Q37" s="197">
        <v>1145.83</v>
      </c>
      <c r="R37" s="182"/>
      <c r="U37" s="128"/>
    </row>
    <row r="38" spans="1:21" ht="15.6" x14ac:dyDescent="0.3">
      <c r="A38" s="53"/>
      <c r="B38" s="54"/>
      <c r="C38" s="54"/>
      <c r="D38" s="54"/>
      <c r="E38" s="55"/>
      <c r="F38" s="75"/>
      <c r="G38" s="76"/>
      <c r="H38" s="76"/>
      <c r="I38" s="48"/>
      <c r="J38" s="70"/>
      <c r="K38" s="70"/>
      <c r="L38" s="193" t="s">
        <v>1109</v>
      </c>
      <c r="M38" s="194" t="s">
        <v>1195</v>
      </c>
      <c r="N38" s="193" t="s">
        <v>903</v>
      </c>
      <c r="O38" s="195">
        <v>9.0999999999999998E-2</v>
      </c>
      <c r="P38" s="197">
        <v>3916.7</v>
      </c>
      <c r="Q38" s="196">
        <v>356.42</v>
      </c>
      <c r="R38" s="182"/>
      <c r="U38" s="128"/>
    </row>
    <row r="39" spans="1:21" ht="15.6" x14ac:dyDescent="0.3">
      <c r="A39" s="53"/>
      <c r="B39" s="54"/>
      <c r="C39" s="54"/>
      <c r="D39" s="54"/>
      <c r="E39" s="55"/>
      <c r="F39" s="75"/>
      <c r="G39" s="76"/>
      <c r="H39" s="76"/>
      <c r="I39" s="48"/>
      <c r="J39" s="70"/>
      <c r="K39" s="70"/>
      <c r="L39" s="193" t="s">
        <v>941</v>
      </c>
      <c r="M39" s="194" t="s">
        <v>1040</v>
      </c>
      <c r="N39" s="193" t="s">
        <v>903</v>
      </c>
      <c r="O39" s="195">
        <v>0.104</v>
      </c>
      <c r="P39" s="197">
        <v>9122.8799999999992</v>
      </c>
      <c r="Q39" s="196">
        <v>948.78</v>
      </c>
      <c r="R39" s="182"/>
      <c r="U39" s="128"/>
    </row>
    <row r="40" spans="1:21" ht="15.6" x14ac:dyDescent="0.3">
      <c r="A40" s="53"/>
      <c r="B40" s="54"/>
      <c r="C40" s="54"/>
      <c r="D40" s="54"/>
      <c r="E40" s="55"/>
      <c r="F40" s="75"/>
      <c r="G40" s="76"/>
      <c r="H40" s="76"/>
      <c r="I40" s="48"/>
      <c r="J40" s="70"/>
      <c r="K40" s="70"/>
      <c r="L40" s="193" t="s">
        <v>741</v>
      </c>
      <c r="M40" s="194" t="s">
        <v>742</v>
      </c>
      <c r="N40" s="193" t="s">
        <v>903</v>
      </c>
      <c r="O40" s="195">
        <v>0.436</v>
      </c>
      <c r="P40" s="197">
        <v>8966.67</v>
      </c>
      <c r="Q40" s="197">
        <v>3909.47</v>
      </c>
      <c r="R40" s="182"/>
      <c r="U40" s="128"/>
    </row>
    <row r="41" spans="1:21" ht="15.6" x14ac:dyDescent="0.3">
      <c r="A41" s="53"/>
      <c r="B41" s="54"/>
      <c r="C41" s="54"/>
      <c r="D41" s="54"/>
      <c r="E41" s="55"/>
      <c r="F41" s="75"/>
      <c r="G41" s="76"/>
      <c r="H41" s="76"/>
      <c r="I41" s="48"/>
      <c r="J41" s="70"/>
      <c r="K41" s="70"/>
      <c r="L41" s="193" t="s">
        <v>943</v>
      </c>
      <c r="M41" s="194" t="s">
        <v>745</v>
      </c>
      <c r="N41" s="193" t="s">
        <v>903</v>
      </c>
      <c r="O41" s="195">
        <v>0.127</v>
      </c>
      <c r="P41" s="197">
        <v>9590</v>
      </c>
      <c r="Q41" s="197">
        <v>1217.93</v>
      </c>
      <c r="R41" s="182"/>
      <c r="U41" s="128"/>
    </row>
    <row r="42" spans="1:21" ht="15.6" x14ac:dyDescent="0.3">
      <c r="A42" s="53"/>
      <c r="B42" s="54"/>
      <c r="C42" s="54"/>
      <c r="D42" s="54"/>
      <c r="E42" s="55"/>
      <c r="F42" s="75"/>
      <c r="G42" s="76"/>
      <c r="H42" s="76"/>
      <c r="I42" s="48"/>
      <c r="J42" s="70"/>
      <c r="K42" s="70"/>
      <c r="L42" s="193" t="s">
        <v>743</v>
      </c>
      <c r="M42" s="194" t="s">
        <v>744</v>
      </c>
      <c r="N42" s="193" t="s">
        <v>903</v>
      </c>
      <c r="O42" s="195">
        <v>1.2</v>
      </c>
      <c r="P42" s="197">
        <v>9557.33</v>
      </c>
      <c r="Q42" s="197">
        <v>11468.8</v>
      </c>
      <c r="R42" s="182"/>
      <c r="U42" s="128"/>
    </row>
    <row r="43" spans="1:21" ht="15.6" x14ac:dyDescent="0.3">
      <c r="A43" s="53"/>
      <c r="B43" s="54"/>
      <c r="C43" s="54"/>
      <c r="D43" s="54"/>
      <c r="E43" s="55"/>
      <c r="F43" s="75"/>
      <c r="G43" s="76"/>
      <c r="H43" s="76"/>
      <c r="I43" s="48"/>
      <c r="J43" s="70"/>
      <c r="K43" s="70"/>
      <c r="L43" s="193" t="s">
        <v>1112</v>
      </c>
      <c r="M43" s="194" t="s">
        <v>1198</v>
      </c>
      <c r="N43" s="193" t="s">
        <v>903</v>
      </c>
      <c r="O43" s="195">
        <v>0.4</v>
      </c>
      <c r="P43" s="197">
        <v>24113</v>
      </c>
      <c r="Q43" s="197">
        <v>9645.2000000000007</v>
      </c>
      <c r="R43" s="182"/>
      <c r="U43" s="128"/>
    </row>
    <row r="44" spans="1:21" ht="15.6" x14ac:dyDescent="0.3">
      <c r="A44" s="53"/>
      <c r="B44" s="54"/>
      <c r="C44" s="54"/>
      <c r="D44" s="54"/>
      <c r="E44" s="55"/>
      <c r="F44" s="75"/>
      <c r="G44" s="76"/>
      <c r="H44" s="76"/>
      <c r="I44" s="48"/>
      <c r="J44" s="70"/>
      <c r="K44" s="70"/>
      <c r="L44" s="193" t="s">
        <v>942</v>
      </c>
      <c r="M44" s="194" t="s">
        <v>740</v>
      </c>
      <c r="N44" s="193" t="s">
        <v>903</v>
      </c>
      <c r="O44" s="195">
        <v>0.9</v>
      </c>
      <c r="P44" s="197">
        <v>8966.68</v>
      </c>
      <c r="Q44" s="197">
        <v>8070.01</v>
      </c>
      <c r="R44" s="182"/>
      <c r="U44" s="128"/>
    </row>
    <row r="45" spans="1:21" ht="15.6" x14ac:dyDescent="0.3">
      <c r="A45" s="53"/>
      <c r="B45" s="54"/>
      <c r="C45" s="54"/>
      <c r="D45" s="54"/>
      <c r="E45" s="55"/>
      <c r="F45" s="75"/>
      <c r="G45" s="76"/>
      <c r="H45" s="76"/>
      <c r="I45" s="48"/>
      <c r="J45" s="70"/>
      <c r="K45" s="70"/>
      <c r="L45" s="193" t="s">
        <v>1283</v>
      </c>
      <c r="M45" s="194" t="s">
        <v>1318</v>
      </c>
      <c r="N45" s="193" t="s">
        <v>903</v>
      </c>
      <c r="O45" s="195">
        <v>0.5</v>
      </c>
      <c r="P45" s="197">
        <v>8966.66</v>
      </c>
      <c r="Q45" s="197">
        <v>4483.33</v>
      </c>
      <c r="R45" s="182"/>
      <c r="U45" s="128"/>
    </row>
    <row r="46" spans="1:21" ht="15.6" x14ac:dyDescent="0.3">
      <c r="A46" s="53"/>
      <c r="B46" s="54"/>
      <c r="C46" s="54"/>
      <c r="D46" s="54"/>
      <c r="E46" s="55"/>
      <c r="F46" s="75"/>
      <c r="G46" s="76"/>
      <c r="H46" s="76"/>
      <c r="I46" s="48"/>
      <c r="J46" s="70"/>
      <c r="K46" s="70"/>
      <c r="L46" s="193" t="s">
        <v>1110</v>
      </c>
      <c r="M46" s="194" t="s">
        <v>1196</v>
      </c>
      <c r="N46" s="193" t="s">
        <v>903</v>
      </c>
      <c r="O46" s="195">
        <v>0.3</v>
      </c>
      <c r="P46" s="197">
        <v>26855</v>
      </c>
      <c r="Q46" s="197">
        <v>8056.5</v>
      </c>
      <c r="R46" s="182"/>
      <c r="U46" s="128"/>
    </row>
    <row r="47" spans="1:21" ht="15.6" x14ac:dyDescent="0.3">
      <c r="A47" s="53"/>
      <c r="B47" s="54"/>
      <c r="C47" s="54"/>
      <c r="D47" s="54"/>
      <c r="E47" s="55"/>
      <c r="F47" s="75"/>
      <c r="G47" s="76"/>
      <c r="H47" s="76"/>
      <c r="I47" s="48"/>
      <c r="J47" s="70"/>
      <c r="K47" s="70"/>
      <c r="L47" s="193" t="s">
        <v>1111</v>
      </c>
      <c r="M47" s="194" t="s">
        <v>1197</v>
      </c>
      <c r="N47" s="193" t="s">
        <v>903</v>
      </c>
      <c r="O47" s="195">
        <v>0.08</v>
      </c>
      <c r="P47" s="197">
        <v>26855</v>
      </c>
      <c r="Q47" s="197">
        <v>2148.4</v>
      </c>
      <c r="R47" s="182"/>
      <c r="U47" s="128"/>
    </row>
    <row r="48" spans="1:21" ht="15.6" x14ac:dyDescent="0.3">
      <c r="A48" s="53"/>
      <c r="B48" s="54"/>
      <c r="C48" s="54"/>
      <c r="D48" s="54"/>
      <c r="E48" s="55"/>
      <c r="F48" s="75"/>
      <c r="G48" s="76"/>
      <c r="H48" s="76"/>
      <c r="I48" s="48"/>
      <c r="J48" s="70"/>
      <c r="K48" s="70"/>
      <c r="L48" s="193" t="s">
        <v>902</v>
      </c>
      <c r="M48" s="194" t="s">
        <v>1039</v>
      </c>
      <c r="N48" s="193" t="s">
        <v>903</v>
      </c>
      <c r="O48" s="195">
        <v>0.41</v>
      </c>
      <c r="P48" s="197">
        <v>25111.07</v>
      </c>
      <c r="Q48" s="197">
        <v>10295.540000000001</v>
      </c>
      <c r="R48" s="182"/>
      <c r="U48" s="128"/>
    </row>
    <row r="49" spans="1:21" ht="15.6" x14ac:dyDescent="0.3">
      <c r="A49" s="53"/>
      <c r="B49" s="54"/>
      <c r="C49" s="54"/>
      <c r="D49" s="54"/>
      <c r="E49" s="55"/>
      <c r="F49" s="75"/>
      <c r="G49" s="76"/>
      <c r="H49" s="76"/>
      <c r="I49" s="48"/>
      <c r="J49" s="70"/>
      <c r="K49" s="70"/>
      <c r="L49" s="193" t="s">
        <v>1366</v>
      </c>
      <c r="M49" s="194" t="s">
        <v>1395</v>
      </c>
      <c r="N49" s="193" t="s">
        <v>903</v>
      </c>
      <c r="O49" s="195">
        <v>6.0999999999999999E-2</v>
      </c>
      <c r="P49" s="197">
        <v>24262.46</v>
      </c>
      <c r="Q49" s="197">
        <v>1480.01</v>
      </c>
      <c r="R49" s="182"/>
      <c r="U49" s="128"/>
    </row>
    <row r="50" spans="1:21" ht="15.6" x14ac:dyDescent="0.3">
      <c r="A50" s="53"/>
      <c r="B50" s="54"/>
      <c r="C50" s="54"/>
      <c r="D50" s="54"/>
      <c r="E50" s="55"/>
      <c r="F50" s="75"/>
      <c r="G50" s="76"/>
      <c r="H50" s="76"/>
      <c r="I50" s="48"/>
      <c r="J50" s="70"/>
      <c r="K50" s="70"/>
      <c r="L50" s="193" t="s">
        <v>944</v>
      </c>
      <c r="M50" s="194" t="s">
        <v>1041</v>
      </c>
      <c r="N50" s="193" t="s">
        <v>903</v>
      </c>
      <c r="O50" s="195">
        <v>2.8</v>
      </c>
      <c r="P50" s="197">
        <v>1270.1300000000001</v>
      </c>
      <c r="Q50" s="197">
        <v>3556.36</v>
      </c>
      <c r="R50" s="182"/>
      <c r="U50" s="128"/>
    </row>
    <row r="51" spans="1:21" ht="15.6" x14ac:dyDescent="0.3">
      <c r="A51" s="53"/>
      <c r="B51" s="54"/>
      <c r="C51" s="54"/>
      <c r="D51" s="54"/>
      <c r="E51" s="55"/>
      <c r="F51" s="75"/>
      <c r="G51" s="76"/>
      <c r="H51" s="76"/>
      <c r="I51" s="48"/>
      <c r="J51" s="70"/>
      <c r="K51" s="70"/>
      <c r="L51" s="193" t="s">
        <v>1108</v>
      </c>
      <c r="M51" s="194" t="s">
        <v>1194</v>
      </c>
      <c r="N51" s="193" t="s">
        <v>903</v>
      </c>
      <c r="O51" s="195">
        <v>3</v>
      </c>
      <c r="P51" s="197">
        <v>1192.4100000000001</v>
      </c>
      <c r="Q51" s="197">
        <v>3577.24</v>
      </c>
      <c r="R51" s="182"/>
      <c r="U51" s="128"/>
    </row>
    <row r="52" spans="1:21" ht="30" x14ac:dyDescent="0.3">
      <c r="A52" s="53"/>
      <c r="B52" s="54"/>
      <c r="C52" s="54"/>
      <c r="D52" s="54"/>
      <c r="E52" s="55"/>
      <c r="F52" s="75"/>
      <c r="G52" s="76"/>
      <c r="H52" s="76"/>
      <c r="I52" s="48"/>
      <c r="J52" s="70"/>
      <c r="K52" s="70"/>
      <c r="L52" s="193" t="s">
        <v>1360</v>
      </c>
      <c r="M52" s="194" t="s">
        <v>1389</v>
      </c>
      <c r="N52" s="193" t="s">
        <v>903</v>
      </c>
      <c r="O52" s="195">
        <v>0.25</v>
      </c>
      <c r="P52" s="197">
        <v>3625</v>
      </c>
      <c r="Q52" s="196">
        <v>906.25</v>
      </c>
      <c r="R52" s="182"/>
      <c r="U52" s="128"/>
    </row>
    <row r="53" spans="1:21" ht="15.6" x14ac:dyDescent="0.3">
      <c r="A53" s="53"/>
      <c r="B53" s="54"/>
      <c r="C53" s="54"/>
      <c r="D53" s="54"/>
      <c r="E53" s="55"/>
      <c r="F53" s="75"/>
      <c r="G53" s="76"/>
      <c r="H53" s="76"/>
      <c r="I53" s="48"/>
      <c r="J53" s="70"/>
      <c r="K53" s="70"/>
      <c r="L53" s="193" t="s">
        <v>1114</v>
      </c>
      <c r="M53" s="194" t="s">
        <v>1200</v>
      </c>
      <c r="N53" s="193" t="s">
        <v>68</v>
      </c>
      <c r="O53" s="195">
        <v>2</v>
      </c>
      <c r="P53" s="196">
        <v>36</v>
      </c>
      <c r="Q53" s="196">
        <v>72</v>
      </c>
      <c r="R53" s="182"/>
      <c r="U53" s="128"/>
    </row>
    <row r="54" spans="1:21" ht="15.6" x14ac:dyDescent="0.3">
      <c r="A54" s="53"/>
      <c r="B54" s="54"/>
      <c r="C54" s="54"/>
      <c r="D54" s="54"/>
      <c r="E54" s="55"/>
      <c r="F54" s="75"/>
      <c r="G54" s="76"/>
      <c r="H54" s="76"/>
      <c r="I54" s="48"/>
      <c r="J54" s="70"/>
      <c r="K54" s="70"/>
      <c r="L54" s="193" t="s">
        <v>1115</v>
      </c>
      <c r="M54" s="194" t="s">
        <v>1201</v>
      </c>
      <c r="N54" s="193" t="s">
        <v>68</v>
      </c>
      <c r="O54" s="195">
        <v>1.2</v>
      </c>
      <c r="P54" s="196">
        <v>186.67</v>
      </c>
      <c r="Q54" s="196">
        <v>224</v>
      </c>
      <c r="R54" s="182"/>
      <c r="U54" s="128"/>
    </row>
    <row r="55" spans="1:21" ht="15.6" x14ac:dyDescent="0.3">
      <c r="A55" s="53"/>
      <c r="B55" s="54"/>
      <c r="C55" s="54"/>
      <c r="D55" s="54"/>
      <c r="E55" s="55"/>
      <c r="F55" s="75"/>
      <c r="G55" s="76"/>
      <c r="H55" s="76"/>
      <c r="I55" s="48"/>
      <c r="J55" s="70"/>
      <c r="K55" s="70"/>
      <c r="L55" s="193" t="s">
        <v>1116</v>
      </c>
      <c r="M55" s="194" t="s">
        <v>1202</v>
      </c>
      <c r="N55" s="193" t="s">
        <v>68</v>
      </c>
      <c r="O55" s="195">
        <v>25.6</v>
      </c>
      <c r="P55" s="196">
        <v>169.01</v>
      </c>
      <c r="Q55" s="197">
        <v>4326.59</v>
      </c>
      <c r="R55" s="182"/>
      <c r="U55" s="128"/>
    </row>
    <row r="56" spans="1:21" ht="15.6" x14ac:dyDescent="0.3">
      <c r="A56" s="53"/>
      <c r="B56" s="54"/>
      <c r="C56" s="54"/>
      <c r="D56" s="54"/>
      <c r="E56" s="55"/>
      <c r="F56" s="75"/>
      <c r="G56" s="76"/>
      <c r="H56" s="76"/>
      <c r="I56" s="48"/>
      <c r="J56" s="70"/>
      <c r="K56" s="70"/>
      <c r="L56" s="193" t="s">
        <v>207</v>
      </c>
      <c r="M56" s="194" t="s">
        <v>858</v>
      </c>
      <c r="N56" s="193" t="s">
        <v>68</v>
      </c>
      <c r="O56" s="195">
        <v>1.4</v>
      </c>
      <c r="P56" s="196">
        <v>343.29</v>
      </c>
      <c r="Q56" s="196">
        <v>480.6</v>
      </c>
      <c r="R56" s="182"/>
      <c r="U56" s="128"/>
    </row>
    <row r="57" spans="1:21" ht="15.6" x14ac:dyDescent="0.3">
      <c r="A57" s="53"/>
      <c r="B57" s="54"/>
      <c r="C57" s="54"/>
      <c r="D57" s="54"/>
      <c r="E57" s="55"/>
      <c r="F57" s="75"/>
      <c r="G57" s="76"/>
      <c r="H57" s="76"/>
      <c r="I57" s="48"/>
      <c r="J57" s="70"/>
      <c r="K57" s="70"/>
      <c r="L57" s="193" t="s">
        <v>945</v>
      </c>
      <c r="M57" s="194" t="s">
        <v>1032</v>
      </c>
      <c r="N57" s="193" t="s">
        <v>68</v>
      </c>
      <c r="O57" s="195">
        <v>41</v>
      </c>
      <c r="P57" s="196">
        <v>302.5</v>
      </c>
      <c r="Q57" s="197">
        <v>12402.5</v>
      </c>
      <c r="R57" s="182"/>
      <c r="U57" s="128"/>
    </row>
    <row r="58" spans="1:21" ht="15.6" x14ac:dyDescent="0.3">
      <c r="A58" s="53"/>
      <c r="B58" s="54"/>
      <c r="C58" s="54"/>
      <c r="D58" s="54"/>
      <c r="E58" s="55"/>
      <c r="F58" s="75"/>
      <c r="G58" s="76"/>
      <c r="H58" s="76"/>
      <c r="I58" s="48"/>
      <c r="J58" s="70"/>
      <c r="K58" s="70"/>
      <c r="L58" s="193" t="s">
        <v>747</v>
      </c>
      <c r="M58" s="194" t="s">
        <v>748</v>
      </c>
      <c r="N58" s="193" t="s">
        <v>68</v>
      </c>
      <c r="O58" s="195">
        <v>73</v>
      </c>
      <c r="P58" s="196">
        <v>280</v>
      </c>
      <c r="Q58" s="197">
        <v>20440</v>
      </c>
      <c r="R58" s="182"/>
      <c r="U58" s="128"/>
    </row>
    <row r="59" spans="1:21" ht="15.6" x14ac:dyDescent="0.3">
      <c r="A59" s="53"/>
      <c r="B59" s="54"/>
      <c r="C59" s="54"/>
      <c r="D59" s="54"/>
      <c r="E59" s="55"/>
      <c r="F59" s="75"/>
      <c r="G59" s="76"/>
      <c r="H59" s="76"/>
      <c r="I59" s="48"/>
      <c r="J59" s="70"/>
      <c r="K59" s="70"/>
      <c r="L59" s="193" t="s">
        <v>882</v>
      </c>
      <c r="M59" s="194" t="s">
        <v>883</v>
      </c>
      <c r="N59" s="193" t="s">
        <v>68</v>
      </c>
      <c r="O59" s="195">
        <v>2</v>
      </c>
      <c r="P59" s="196">
        <v>188.33</v>
      </c>
      <c r="Q59" s="196">
        <v>376.66</v>
      </c>
      <c r="R59" s="182"/>
      <c r="U59" s="128"/>
    </row>
    <row r="60" spans="1:21" ht="15.6" x14ac:dyDescent="0.3">
      <c r="A60" s="53"/>
      <c r="B60" s="54"/>
      <c r="C60" s="54"/>
      <c r="D60" s="54"/>
      <c r="E60" s="55"/>
      <c r="F60" s="75"/>
      <c r="G60" s="76"/>
      <c r="H60" s="76"/>
      <c r="I60" s="48"/>
      <c r="J60" s="70"/>
      <c r="K60" s="70"/>
      <c r="L60" s="193" t="s">
        <v>1117</v>
      </c>
      <c r="M60" s="194" t="s">
        <v>1203</v>
      </c>
      <c r="N60" s="193" t="s">
        <v>68</v>
      </c>
      <c r="O60" s="195">
        <v>6.75</v>
      </c>
      <c r="P60" s="196">
        <v>188.33</v>
      </c>
      <c r="Q60" s="197">
        <v>1271.23</v>
      </c>
      <c r="R60" s="182"/>
      <c r="U60" s="128"/>
    </row>
    <row r="61" spans="1:21" ht="15.6" x14ac:dyDescent="0.3">
      <c r="A61" s="53"/>
      <c r="B61" s="54"/>
      <c r="C61" s="54"/>
      <c r="D61" s="54"/>
      <c r="E61" s="55"/>
      <c r="F61" s="75"/>
      <c r="G61" s="76"/>
      <c r="H61" s="76"/>
      <c r="I61" s="48"/>
      <c r="J61" s="70"/>
      <c r="K61" s="70"/>
      <c r="L61" s="193" t="s">
        <v>1118</v>
      </c>
      <c r="M61" s="194" t="s">
        <v>1204</v>
      </c>
      <c r="N61" s="193" t="s">
        <v>68</v>
      </c>
      <c r="O61" s="195">
        <v>60</v>
      </c>
      <c r="P61" s="196">
        <v>27</v>
      </c>
      <c r="Q61" s="197">
        <v>1620</v>
      </c>
      <c r="R61" s="182"/>
      <c r="U61" s="128"/>
    </row>
    <row r="62" spans="1:21" ht="15.6" x14ac:dyDescent="0.3">
      <c r="A62" s="53"/>
      <c r="B62" s="54"/>
      <c r="C62" s="54"/>
      <c r="D62" s="54"/>
      <c r="E62" s="55"/>
      <c r="F62" s="75"/>
      <c r="G62" s="76"/>
      <c r="H62" s="76"/>
      <c r="I62" s="48"/>
      <c r="J62" s="70"/>
      <c r="K62" s="70"/>
      <c r="L62" s="193" t="s">
        <v>391</v>
      </c>
      <c r="M62" s="194" t="s">
        <v>392</v>
      </c>
      <c r="N62" s="193" t="s">
        <v>68</v>
      </c>
      <c r="O62" s="195">
        <v>3</v>
      </c>
      <c r="P62" s="197">
        <v>5102.0200000000004</v>
      </c>
      <c r="Q62" s="197">
        <v>15306.06</v>
      </c>
      <c r="R62" s="182"/>
      <c r="U62" s="128"/>
    </row>
    <row r="63" spans="1:21" ht="15.6" x14ac:dyDescent="0.3">
      <c r="A63" s="53"/>
      <c r="B63" s="54"/>
      <c r="C63" s="54"/>
      <c r="D63" s="54"/>
      <c r="E63" s="55"/>
      <c r="F63" s="75"/>
      <c r="G63" s="76"/>
      <c r="H63" s="76"/>
      <c r="I63" s="48"/>
      <c r="J63" s="70"/>
      <c r="K63" s="70"/>
      <c r="L63" s="193" t="s">
        <v>909</v>
      </c>
      <c r="M63" s="194" t="s">
        <v>910</v>
      </c>
      <c r="N63" s="193" t="s">
        <v>68</v>
      </c>
      <c r="O63" s="195">
        <v>0.41699999999999998</v>
      </c>
      <c r="P63" s="196">
        <v>749.02</v>
      </c>
      <c r="Q63" s="196">
        <v>312.33999999999997</v>
      </c>
      <c r="R63" s="182"/>
      <c r="U63" s="128"/>
    </row>
    <row r="64" spans="1:21" ht="15.6" x14ac:dyDescent="0.3">
      <c r="A64" s="53"/>
      <c r="B64" s="54"/>
      <c r="C64" s="54"/>
      <c r="D64" s="54"/>
      <c r="E64" s="55"/>
      <c r="F64" s="75"/>
      <c r="G64" s="76"/>
      <c r="H64" s="76"/>
      <c r="I64" s="48"/>
      <c r="J64" s="70"/>
      <c r="K64" s="70"/>
      <c r="L64" s="193" t="s">
        <v>884</v>
      </c>
      <c r="M64" s="194" t="s">
        <v>885</v>
      </c>
      <c r="N64" s="193" t="s">
        <v>82</v>
      </c>
      <c r="O64" s="195">
        <v>1</v>
      </c>
      <c r="P64" s="197">
        <v>18062</v>
      </c>
      <c r="Q64" s="197">
        <v>18062</v>
      </c>
      <c r="R64" s="182"/>
      <c r="U64" s="128"/>
    </row>
    <row r="65" spans="1:21" ht="15.6" x14ac:dyDescent="0.3">
      <c r="A65" s="53"/>
      <c r="B65" s="54"/>
      <c r="C65" s="54"/>
      <c r="D65" s="54"/>
      <c r="E65" s="55"/>
      <c r="F65" s="75"/>
      <c r="G65" s="76"/>
      <c r="H65" s="76"/>
      <c r="I65" s="48"/>
      <c r="J65" s="70"/>
      <c r="K65" s="70"/>
      <c r="L65" s="193" t="s">
        <v>889</v>
      </c>
      <c r="M65" s="194" t="s">
        <v>890</v>
      </c>
      <c r="N65" s="193" t="s">
        <v>82</v>
      </c>
      <c r="O65" s="195">
        <v>1</v>
      </c>
      <c r="P65" s="197">
        <v>20943</v>
      </c>
      <c r="Q65" s="197">
        <v>20943</v>
      </c>
      <c r="R65" s="182"/>
      <c r="U65" s="128"/>
    </row>
    <row r="66" spans="1:21" ht="15.6" x14ac:dyDescent="0.3">
      <c r="A66" s="53"/>
      <c r="B66" s="54"/>
      <c r="C66" s="54"/>
      <c r="D66" s="54"/>
      <c r="E66" s="55"/>
      <c r="F66" s="75"/>
      <c r="G66" s="76"/>
      <c r="H66" s="76"/>
      <c r="I66" s="48"/>
      <c r="J66" s="70"/>
      <c r="K66" s="70"/>
      <c r="L66" s="193" t="s">
        <v>1119</v>
      </c>
      <c r="M66" s="194" t="s">
        <v>1205</v>
      </c>
      <c r="N66" s="193" t="s">
        <v>35</v>
      </c>
      <c r="O66" s="195">
        <v>3</v>
      </c>
      <c r="P66" s="196">
        <v>78.33</v>
      </c>
      <c r="Q66" s="196">
        <v>234.99</v>
      </c>
      <c r="R66" s="182"/>
      <c r="U66" s="128"/>
    </row>
    <row r="67" spans="1:21" ht="15.6" x14ac:dyDescent="0.3">
      <c r="A67" s="53"/>
      <c r="B67" s="54"/>
      <c r="C67" s="54"/>
      <c r="D67" s="54"/>
      <c r="E67" s="55"/>
      <c r="F67" s="75"/>
      <c r="G67" s="76"/>
      <c r="H67" s="76"/>
      <c r="I67" s="48"/>
      <c r="J67" s="70"/>
      <c r="K67" s="70"/>
      <c r="L67" s="193" t="s">
        <v>1120</v>
      </c>
      <c r="M67" s="194" t="s">
        <v>1206</v>
      </c>
      <c r="N67" s="193" t="s">
        <v>35</v>
      </c>
      <c r="O67" s="195">
        <v>10</v>
      </c>
      <c r="P67" s="196">
        <v>135.59</v>
      </c>
      <c r="Q67" s="197">
        <v>1355.9</v>
      </c>
      <c r="R67" s="182"/>
      <c r="U67" s="128"/>
    </row>
    <row r="68" spans="1:21" ht="15.6" x14ac:dyDescent="0.3">
      <c r="A68" s="53"/>
      <c r="B68" s="54"/>
      <c r="C68" s="54"/>
      <c r="D68" s="54"/>
      <c r="E68" s="55"/>
      <c r="F68" s="75"/>
      <c r="G68" s="76"/>
      <c r="H68" s="76"/>
      <c r="I68" s="48"/>
      <c r="J68" s="70"/>
      <c r="K68" s="70"/>
      <c r="L68" s="193" t="s">
        <v>1436</v>
      </c>
      <c r="M68" s="194" t="s">
        <v>1458</v>
      </c>
      <c r="N68" s="193" t="s">
        <v>35</v>
      </c>
      <c r="O68" s="195">
        <v>1.2999999999999999E-2</v>
      </c>
      <c r="P68" s="196">
        <v>307.69</v>
      </c>
      <c r="Q68" s="196">
        <v>4</v>
      </c>
      <c r="R68" s="182"/>
      <c r="U68" s="128"/>
    </row>
    <row r="69" spans="1:21" ht="15.6" x14ac:dyDescent="0.3">
      <c r="A69" s="53"/>
      <c r="B69" s="54"/>
      <c r="C69" s="54"/>
      <c r="D69" s="54"/>
      <c r="E69" s="55"/>
      <c r="F69" s="75"/>
      <c r="G69" s="76"/>
      <c r="H69" s="76"/>
      <c r="I69" s="48"/>
      <c r="J69" s="70"/>
      <c r="K69" s="70"/>
      <c r="L69" s="193" t="s">
        <v>1178</v>
      </c>
      <c r="M69" s="194" t="s">
        <v>1262</v>
      </c>
      <c r="N69" s="193" t="s">
        <v>34</v>
      </c>
      <c r="O69" s="195">
        <v>1</v>
      </c>
      <c r="P69" s="196">
        <v>36.729999999999997</v>
      </c>
      <c r="Q69" s="196">
        <v>36.729999999999997</v>
      </c>
      <c r="R69" s="182"/>
      <c r="U69" s="128"/>
    </row>
    <row r="70" spans="1:21" ht="30" x14ac:dyDescent="0.3">
      <c r="A70" s="53"/>
      <c r="B70" s="54"/>
      <c r="C70" s="54"/>
      <c r="D70" s="54"/>
      <c r="E70" s="55"/>
      <c r="F70" s="75"/>
      <c r="G70" s="76"/>
      <c r="H70" s="76"/>
      <c r="I70" s="48"/>
      <c r="J70" s="70"/>
      <c r="K70" s="70"/>
      <c r="L70" s="193" t="s">
        <v>987</v>
      </c>
      <c r="M70" s="194" t="s">
        <v>837</v>
      </c>
      <c r="N70" s="193" t="s">
        <v>34</v>
      </c>
      <c r="O70" s="195">
        <v>2</v>
      </c>
      <c r="P70" s="196">
        <v>54.92</v>
      </c>
      <c r="Q70" s="196">
        <v>109.84</v>
      </c>
      <c r="R70" s="182"/>
      <c r="U70" s="128"/>
    </row>
    <row r="71" spans="1:21" ht="30" x14ac:dyDescent="0.3">
      <c r="A71" s="53"/>
      <c r="B71" s="54"/>
      <c r="C71" s="54"/>
      <c r="D71" s="54"/>
      <c r="E71" s="55"/>
      <c r="F71" s="75"/>
      <c r="G71" s="76"/>
      <c r="H71" s="76"/>
      <c r="I71" s="48"/>
      <c r="J71" s="70"/>
      <c r="K71" s="70"/>
      <c r="L71" s="193" t="s">
        <v>484</v>
      </c>
      <c r="M71" s="194" t="s">
        <v>1061</v>
      </c>
      <c r="N71" s="193" t="s">
        <v>34</v>
      </c>
      <c r="O71" s="195">
        <v>1</v>
      </c>
      <c r="P71" s="196">
        <v>36.25</v>
      </c>
      <c r="Q71" s="196">
        <v>36.25</v>
      </c>
      <c r="R71" s="182"/>
      <c r="U71" s="128"/>
    </row>
    <row r="72" spans="1:21" ht="15.6" x14ac:dyDescent="0.3">
      <c r="A72" s="53"/>
      <c r="B72" s="54"/>
      <c r="C72" s="54"/>
      <c r="D72" s="54"/>
      <c r="E72" s="55"/>
      <c r="F72" s="75"/>
      <c r="G72" s="76"/>
      <c r="H72" s="76"/>
      <c r="I72" s="48"/>
      <c r="J72" s="70"/>
      <c r="K72" s="70"/>
      <c r="L72" s="193" t="s">
        <v>986</v>
      </c>
      <c r="M72" s="194" t="s">
        <v>835</v>
      </c>
      <c r="N72" s="193" t="s">
        <v>34</v>
      </c>
      <c r="O72" s="195">
        <v>3.5</v>
      </c>
      <c r="P72" s="196">
        <v>252.23</v>
      </c>
      <c r="Q72" s="196">
        <v>882.8</v>
      </c>
      <c r="R72" s="182"/>
      <c r="U72" s="128"/>
    </row>
    <row r="73" spans="1:21" ht="15.6" x14ac:dyDescent="0.3">
      <c r="A73" s="53"/>
      <c r="B73" s="54"/>
      <c r="C73" s="54"/>
      <c r="D73" s="54"/>
      <c r="E73" s="55"/>
      <c r="F73" s="75"/>
      <c r="G73" s="76"/>
      <c r="H73" s="76"/>
      <c r="I73" s="48"/>
      <c r="J73" s="70"/>
      <c r="K73" s="70"/>
      <c r="L73" s="193" t="s">
        <v>930</v>
      </c>
      <c r="M73" s="194" t="s">
        <v>931</v>
      </c>
      <c r="N73" s="193" t="s">
        <v>34</v>
      </c>
      <c r="O73" s="195">
        <v>1</v>
      </c>
      <c r="P73" s="196">
        <v>103.33</v>
      </c>
      <c r="Q73" s="196">
        <v>103.33</v>
      </c>
      <c r="R73" s="182"/>
      <c r="U73" s="128"/>
    </row>
    <row r="74" spans="1:21" ht="15.6" x14ac:dyDescent="0.3">
      <c r="A74" s="53"/>
      <c r="B74" s="54"/>
      <c r="C74" s="54"/>
      <c r="D74" s="54"/>
      <c r="E74" s="55"/>
      <c r="F74" s="75"/>
      <c r="G74" s="76"/>
      <c r="H74" s="76"/>
      <c r="I74" s="48"/>
      <c r="J74" s="70"/>
      <c r="K74" s="70"/>
      <c r="L74" s="193" t="s">
        <v>1315</v>
      </c>
      <c r="M74" s="194" t="s">
        <v>1349</v>
      </c>
      <c r="N74" s="193" t="s">
        <v>34</v>
      </c>
      <c r="O74" s="195">
        <v>1</v>
      </c>
      <c r="P74" s="196">
        <v>414</v>
      </c>
      <c r="Q74" s="196">
        <v>414</v>
      </c>
      <c r="R74" s="182"/>
      <c r="U74" s="128"/>
    </row>
    <row r="75" spans="1:21" ht="15.6" x14ac:dyDescent="0.3">
      <c r="A75" s="53"/>
      <c r="B75" s="54"/>
      <c r="C75" s="54"/>
      <c r="D75" s="54"/>
      <c r="E75" s="55"/>
      <c r="F75" s="75"/>
      <c r="G75" s="76"/>
      <c r="H75" s="76"/>
      <c r="I75" s="48"/>
      <c r="J75" s="70"/>
      <c r="K75" s="70"/>
      <c r="L75" s="193" t="s">
        <v>1179</v>
      </c>
      <c r="M75" s="194" t="s">
        <v>1263</v>
      </c>
      <c r="N75" s="193" t="s">
        <v>34</v>
      </c>
      <c r="O75" s="195">
        <v>1</v>
      </c>
      <c r="P75" s="196">
        <v>561</v>
      </c>
      <c r="Q75" s="196">
        <v>561</v>
      </c>
      <c r="R75" s="182"/>
      <c r="U75" s="128"/>
    </row>
    <row r="76" spans="1:21" ht="15.6" x14ac:dyDescent="0.3">
      <c r="A76" s="53"/>
      <c r="B76" s="54"/>
      <c r="C76" s="54"/>
      <c r="D76" s="54"/>
      <c r="E76" s="55"/>
      <c r="F76" s="75"/>
      <c r="G76" s="76"/>
      <c r="H76" s="76"/>
      <c r="I76" s="48"/>
      <c r="J76" s="70"/>
      <c r="K76" s="70"/>
      <c r="L76" s="193" t="s">
        <v>1091</v>
      </c>
      <c r="M76" s="194" t="s">
        <v>1095</v>
      </c>
      <c r="N76" s="193" t="s">
        <v>34</v>
      </c>
      <c r="O76" s="195">
        <v>1</v>
      </c>
      <c r="P76" s="196">
        <v>133.97999999999999</v>
      </c>
      <c r="Q76" s="196">
        <v>133.97999999999999</v>
      </c>
      <c r="R76" s="182"/>
      <c r="U76" s="128"/>
    </row>
    <row r="77" spans="1:21" ht="15.6" x14ac:dyDescent="0.3">
      <c r="A77" s="53"/>
      <c r="B77" s="54"/>
      <c r="C77" s="54"/>
      <c r="D77" s="54"/>
      <c r="E77" s="55"/>
      <c r="F77" s="75"/>
      <c r="G77" s="76"/>
      <c r="H77" s="76"/>
      <c r="I77" s="48"/>
      <c r="J77" s="70"/>
      <c r="K77" s="70"/>
      <c r="L77" s="193" t="s">
        <v>1317</v>
      </c>
      <c r="M77" s="194" t="s">
        <v>1351</v>
      </c>
      <c r="N77" s="193" t="s">
        <v>34</v>
      </c>
      <c r="O77" s="195">
        <v>1</v>
      </c>
      <c r="P77" s="197">
        <v>3310.38</v>
      </c>
      <c r="Q77" s="197">
        <v>3310.38</v>
      </c>
      <c r="R77" s="182"/>
      <c r="U77" s="128"/>
    </row>
    <row r="78" spans="1:21" ht="15.6" x14ac:dyDescent="0.3">
      <c r="A78" s="53"/>
      <c r="B78" s="54"/>
      <c r="C78" s="54"/>
      <c r="D78" s="54"/>
      <c r="E78" s="55"/>
      <c r="F78" s="75"/>
      <c r="G78" s="76"/>
      <c r="H78" s="76"/>
      <c r="I78" s="48"/>
      <c r="J78" s="70"/>
      <c r="K78" s="70"/>
      <c r="L78" s="193" t="s">
        <v>488</v>
      </c>
      <c r="M78" s="194" t="s">
        <v>1062</v>
      </c>
      <c r="N78" s="193" t="s">
        <v>34</v>
      </c>
      <c r="O78" s="195">
        <v>1</v>
      </c>
      <c r="P78" s="196">
        <v>851.18</v>
      </c>
      <c r="Q78" s="196">
        <v>851.18</v>
      </c>
      <c r="R78" s="182"/>
      <c r="U78" s="128"/>
    </row>
    <row r="79" spans="1:21" ht="15.6" x14ac:dyDescent="0.3">
      <c r="A79" s="53"/>
      <c r="B79" s="54"/>
      <c r="C79" s="54"/>
      <c r="D79" s="54"/>
      <c r="E79" s="55"/>
      <c r="F79" s="75"/>
      <c r="G79" s="76"/>
      <c r="H79" s="76"/>
      <c r="I79" s="48"/>
      <c r="J79" s="70"/>
      <c r="K79" s="70"/>
      <c r="L79" s="193" t="s">
        <v>1180</v>
      </c>
      <c r="M79" s="194" t="s">
        <v>105</v>
      </c>
      <c r="N79" s="193" t="s">
        <v>34</v>
      </c>
      <c r="O79" s="195">
        <v>636</v>
      </c>
      <c r="P79" s="196">
        <v>0.54</v>
      </c>
      <c r="Q79" s="196">
        <v>345.14</v>
      </c>
      <c r="R79" s="182"/>
      <c r="U79" s="128"/>
    </row>
    <row r="80" spans="1:21" ht="15.6" x14ac:dyDescent="0.3">
      <c r="A80" s="53"/>
      <c r="B80" s="54"/>
      <c r="C80" s="54"/>
      <c r="D80" s="54"/>
      <c r="E80" s="55"/>
      <c r="F80" s="75"/>
      <c r="G80" s="76"/>
      <c r="H80" s="76"/>
      <c r="I80" s="48"/>
      <c r="J80" s="70"/>
      <c r="K80" s="70"/>
      <c r="L80" s="193" t="s">
        <v>988</v>
      </c>
      <c r="M80" s="194" t="s">
        <v>106</v>
      </c>
      <c r="N80" s="193" t="s">
        <v>34</v>
      </c>
      <c r="O80" s="198">
        <v>1430</v>
      </c>
      <c r="P80" s="196">
        <v>0.71</v>
      </c>
      <c r="Q80" s="197">
        <v>1009.71</v>
      </c>
      <c r="R80" s="182"/>
      <c r="U80" s="128"/>
    </row>
    <row r="81" spans="1:21" ht="15.6" x14ac:dyDescent="0.3">
      <c r="A81" s="53"/>
      <c r="B81" s="54"/>
      <c r="C81" s="54"/>
      <c r="D81" s="54"/>
      <c r="E81" s="55"/>
      <c r="F81" s="75"/>
      <c r="G81" s="76"/>
      <c r="H81" s="76"/>
      <c r="I81" s="48"/>
      <c r="J81" s="70"/>
      <c r="K81" s="70"/>
      <c r="L81" s="193" t="s">
        <v>838</v>
      </c>
      <c r="M81" s="194" t="s">
        <v>839</v>
      </c>
      <c r="N81" s="193" t="s">
        <v>34</v>
      </c>
      <c r="O81" s="195">
        <v>109</v>
      </c>
      <c r="P81" s="196">
        <v>2.12</v>
      </c>
      <c r="Q81" s="196">
        <v>231.14</v>
      </c>
      <c r="R81" s="182"/>
      <c r="U81" s="128"/>
    </row>
    <row r="82" spans="1:21" ht="15.6" x14ac:dyDescent="0.3">
      <c r="A82" s="53"/>
      <c r="B82" s="54"/>
      <c r="C82" s="54"/>
      <c r="D82" s="54"/>
      <c r="E82" s="55"/>
      <c r="F82" s="75"/>
      <c r="G82" s="76"/>
      <c r="H82" s="76"/>
      <c r="I82" s="48"/>
      <c r="J82" s="70"/>
      <c r="K82" s="70"/>
      <c r="L82" s="193" t="s">
        <v>490</v>
      </c>
      <c r="M82" s="194" t="s">
        <v>491</v>
      </c>
      <c r="N82" s="193" t="s">
        <v>34</v>
      </c>
      <c r="O82" s="195">
        <v>1</v>
      </c>
      <c r="P82" s="197">
        <v>3293.25</v>
      </c>
      <c r="Q82" s="197">
        <v>3293.25</v>
      </c>
      <c r="R82" s="182"/>
      <c r="U82" s="128"/>
    </row>
    <row r="83" spans="1:21" ht="15.6" x14ac:dyDescent="0.3">
      <c r="A83" s="53"/>
      <c r="B83" s="54"/>
      <c r="C83" s="54"/>
      <c r="D83" s="54"/>
      <c r="E83" s="55"/>
      <c r="F83" s="75"/>
      <c r="G83" s="76"/>
      <c r="H83" s="76"/>
      <c r="I83" s="48"/>
      <c r="J83" s="70"/>
      <c r="K83" s="70"/>
      <c r="L83" s="193" t="s">
        <v>947</v>
      </c>
      <c r="M83" s="194" t="s">
        <v>1043</v>
      </c>
      <c r="N83" s="193" t="s">
        <v>34</v>
      </c>
      <c r="O83" s="195">
        <v>5</v>
      </c>
      <c r="P83" s="196">
        <v>423</v>
      </c>
      <c r="Q83" s="197">
        <v>2115</v>
      </c>
      <c r="R83" s="182"/>
      <c r="U83" s="128"/>
    </row>
    <row r="84" spans="1:21" ht="15.6" x14ac:dyDescent="0.3">
      <c r="A84" s="53"/>
      <c r="B84" s="54"/>
      <c r="C84" s="54"/>
      <c r="D84" s="54"/>
      <c r="E84" s="55"/>
      <c r="F84" s="75"/>
      <c r="G84" s="76"/>
      <c r="H84" s="76"/>
      <c r="I84" s="48"/>
      <c r="J84" s="70"/>
      <c r="K84" s="70"/>
      <c r="L84" s="193" t="s">
        <v>948</v>
      </c>
      <c r="M84" s="194" t="s">
        <v>1044</v>
      </c>
      <c r="N84" s="193" t="s">
        <v>34</v>
      </c>
      <c r="O84" s="195">
        <v>3</v>
      </c>
      <c r="P84" s="196">
        <v>44</v>
      </c>
      <c r="Q84" s="196">
        <v>132</v>
      </c>
      <c r="R84" s="182"/>
      <c r="U84" s="128"/>
    </row>
    <row r="85" spans="1:21" ht="15.6" x14ac:dyDescent="0.3">
      <c r="A85" s="53"/>
      <c r="B85" s="54"/>
      <c r="C85" s="54"/>
      <c r="D85" s="54"/>
      <c r="E85" s="55"/>
      <c r="F85" s="75"/>
      <c r="G85" s="76"/>
      <c r="H85" s="76"/>
      <c r="I85" s="48"/>
      <c r="J85" s="70"/>
      <c r="K85" s="70"/>
      <c r="L85" s="193" t="s">
        <v>1165</v>
      </c>
      <c r="M85" s="194" t="s">
        <v>1250</v>
      </c>
      <c r="N85" s="193" t="s">
        <v>34</v>
      </c>
      <c r="O85" s="195">
        <v>0.7</v>
      </c>
      <c r="P85" s="197">
        <v>2778.33</v>
      </c>
      <c r="Q85" s="197">
        <v>1944.83</v>
      </c>
      <c r="R85" s="182"/>
      <c r="U85" s="128"/>
    </row>
    <row r="86" spans="1:21" ht="30" x14ac:dyDescent="0.3">
      <c r="A86" s="53"/>
      <c r="B86" s="54"/>
      <c r="C86" s="54"/>
      <c r="D86" s="54"/>
      <c r="E86" s="55"/>
      <c r="F86" s="75"/>
      <c r="G86" s="76"/>
      <c r="H86" s="76"/>
      <c r="I86" s="48"/>
      <c r="J86" s="70"/>
      <c r="K86" s="70"/>
      <c r="L86" s="193" t="s">
        <v>1079</v>
      </c>
      <c r="M86" s="194" t="s">
        <v>842</v>
      </c>
      <c r="N86" s="193" t="s">
        <v>34</v>
      </c>
      <c r="O86" s="195">
        <v>1</v>
      </c>
      <c r="P86" s="196">
        <v>26.08</v>
      </c>
      <c r="Q86" s="196">
        <v>26.08</v>
      </c>
      <c r="R86" s="182"/>
      <c r="U86" s="128"/>
    </row>
    <row r="87" spans="1:21" ht="15.6" x14ac:dyDescent="0.3">
      <c r="A87" s="53"/>
      <c r="B87" s="54"/>
      <c r="C87" s="54"/>
      <c r="D87" s="54"/>
      <c r="E87" s="55"/>
      <c r="F87" s="75"/>
      <c r="G87" s="76"/>
      <c r="H87" s="76"/>
      <c r="I87" s="48"/>
      <c r="J87" s="70"/>
      <c r="K87" s="70"/>
      <c r="L87" s="193" t="s">
        <v>949</v>
      </c>
      <c r="M87" s="194" t="s">
        <v>494</v>
      </c>
      <c r="N87" s="193" t="s">
        <v>34</v>
      </c>
      <c r="O87" s="195">
        <v>38</v>
      </c>
      <c r="P87" s="196">
        <v>1.75</v>
      </c>
      <c r="Q87" s="196">
        <v>66.5</v>
      </c>
      <c r="R87" s="182"/>
      <c r="U87" s="128"/>
    </row>
    <row r="88" spans="1:21" ht="30" x14ac:dyDescent="0.3">
      <c r="A88" s="53"/>
      <c r="B88" s="54"/>
      <c r="C88" s="54"/>
      <c r="D88" s="54"/>
      <c r="E88" s="55"/>
      <c r="F88" s="75"/>
      <c r="G88" s="76"/>
      <c r="H88" s="76"/>
      <c r="I88" s="48"/>
      <c r="J88" s="70"/>
      <c r="K88" s="70"/>
      <c r="L88" s="193" t="s">
        <v>950</v>
      </c>
      <c r="M88" s="194" t="s">
        <v>843</v>
      </c>
      <c r="N88" s="193" t="s">
        <v>34</v>
      </c>
      <c r="O88" s="195">
        <v>1</v>
      </c>
      <c r="P88" s="196">
        <v>42.67</v>
      </c>
      <c r="Q88" s="196">
        <v>42.67</v>
      </c>
      <c r="R88" s="182"/>
      <c r="U88" s="128"/>
    </row>
    <row r="89" spans="1:21" ht="30" x14ac:dyDescent="0.3">
      <c r="A89" s="53"/>
      <c r="B89" s="54"/>
      <c r="C89" s="54"/>
      <c r="D89" s="54"/>
      <c r="E89" s="55"/>
      <c r="F89" s="75"/>
      <c r="G89" s="76"/>
      <c r="H89" s="76"/>
      <c r="I89" s="48"/>
      <c r="J89" s="70"/>
      <c r="K89" s="70"/>
      <c r="L89" s="193" t="s">
        <v>951</v>
      </c>
      <c r="M89" s="194" t="s">
        <v>844</v>
      </c>
      <c r="N89" s="193" t="s">
        <v>34</v>
      </c>
      <c r="O89" s="195">
        <v>3</v>
      </c>
      <c r="P89" s="196">
        <v>31.92</v>
      </c>
      <c r="Q89" s="196">
        <v>95.76</v>
      </c>
      <c r="R89" s="182"/>
      <c r="U89" s="128"/>
    </row>
    <row r="90" spans="1:21" ht="15.6" x14ac:dyDescent="0.3">
      <c r="A90" s="53"/>
      <c r="B90" s="54"/>
      <c r="C90" s="54"/>
      <c r="D90" s="54"/>
      <c r="E90" s="55"/>
      <c r="F90" s="75"/>
      <c r="G90" s="76"/>
      <c r="H90" s="76"/>
      <c r="I90" s="48"/>
      <c r="J90" s="70"/>
      <c r="K90" s="70"/>
      <c r="L90" s="193" t="s">
        <v>845</v>
      </c>
      <c r="M90" s="194" t="s">
        <v>846</v>
      </c>
      <c r="N90" s="193" t="s">
        <v>34</v>
      </c>
      <c r="O90" s="195">
        <v>1</v>
      </c>
      <c r="P90" s="196">
        <v>182.25</v>
      </c>
      <c r="Q90" s="196">
        <v>182.25</v>
      </c>
      <c r="R90" s="182"/>
      <c r="U90" s="128"/>
    </row>
    <row r="91" spans="1:21" ht="15.6" x14ac:dyDescent="0.3">
      <c r="A91" s="53"/>
      <c r="B91" s="54"/>
      <c r="C91" s="54"/>
      <c r="D91" s="54"/>
      <c r="E91" s="55"/>
      <c r="F91" s="75"/>
      <c r="G91" s="76"/>
      <c r="H91" s="76"/>
      <c r="I91" s="48"/>
      <c r="J91" s="70"/>
      <c r="K91" s="70"/>
      <c r="L91" s="193" t="s">
        <v>1166</v>
      </c>
      <c r="M91" s="194" t="s">
        <v>1251</v>
      </c>
      <c r="N91" s="193" t="s">
        <v>34</v>
      </c>
      <c r="O91" s="195">
        <v>327</v>
      </c>
      <c r="P91" s="196">
        <v>0.57999999999999996</v>
      </c>
      <c r="Q91" s="196">
        <v>188.48</v>
      </c>
      <c r="R91" s="182"/>
      <c r="U91" s="128"/>
    </row>
    <row r="92" spans="1:21" ht="15.6" x14ac:dyDescent="0.3">
      <c r="A92" s="53"/>
      <c r="B92" s="54"/>
      <c r="C92" s="54"/>
      <c r="D92" s="54"/>
      <c r="E92" s="55"/>
      <c r="F92" s="75"/>
      <c r="G92" s="76"/>
      <c r="H92" s="76"/>
      <c r="I92" s="48"/>
      <c r="J92" s="70"/>
      <c r="K92" s="70"/>
      <c r="L92" s="193" t="s">
        <v>1167</v>
      </c>
      <c r="M92" s="194" t="s">
        <v>1252</v>
      </c>
      <c r="N92" s="193" t="s">
        <v>34</v>
      </c>
      <c r="O92" s="195">
        <v>0.5</v>
      </c>
      <c r="P92" s="196">
        <v>196</v>
      </c>
      <c r="Q92" s="196">
        <v>98</v>
      </c>
      <c r="R92" s="182"/>
      <c r="U92" s="128"/>
    </row>
    <row r="93" spans="1:21" ht="15.6" x14ac:dyDescent="0.3">
      <c r="A93" s="53"/>
      <c r="B93" s="54"/>
      <c r="C93" s="54"/>
      <c r="D93" s="54"/>
      <c r="E93" s="55"/>
      <c r="F93" s="75"/>
      <c r="G93" s="76"/>
      <c r="H93" s="76"/>
      <c r="I93" s="48"/>
      <c r="J93" s="70"/>
      <c r="K93" s="70"/>
      <c r="L93" s="193" t="s">
        <v>1431</v>
      </c>
      <c r="M93" s="194" t="s">
        <v>1453</v>
      </c>
      <c r="N93" s="193" t="s">
        <v>34</v>
      </c>
      <c r="O93" s="195">
        <v>0.4</v>
      </c>
      <c r="P93" s="196">
        <v>185</v>
      </c>
      <c r="Q93" s="196">
        <v>74</v>
      </c>
      <c r="R93" s="182"/>
      <c r="U93" s="128"/>
    </row>
    <row r="94" spans="1:21" ht="15.6" x14ac:dyDescent="0.3">
      <c r="A94" s="53"/>
      <c r="B94" s="54"/>
      <c r="C94" s="54"/>
      <c r="D94" s="54"/>
      <c r="E94" s="55"/>
      <c r="F94" s="75"/>
      <c r="G94" s="76"/>
      <c r="H94" s="76"/>
      <c r="I94" s="48"/>
      <c r="J94" s="70"/>
      <c r="K94" s="70"/>
      <c r="L94" s="193" t="s">
        <v>1432</v>
      </c>
      <c r="M94" s="194" t="s">
        <v>1454</v>
      </c>
      <c r="N94" s="193" t="s">
        <v>34</v>
      </c>
      <c r="O94" s="195">
        <v>0.09</v>
      </c>
      <c r="P94" s="196">
        <v>178</v>
      </c>
      <c r="Q94" s="196">
        <v>16.02</v>
      </c>
      <c r="R94" s="182"/>
      <c r="U94" s="128"/>
    </row>
    <row r="95" spans="1:21" ht="15.6" x14ac:dyDescent="0.3">
      <c r="A95" s="53"/>
      <c r="B95" s="54"/>
      <c r="C95" s="54"/>
      <c r="D95" s="54"/>
      <c r="E95" s="55"/>
      <c r="F95" s="75"/>
      <c r="G95" s="76"/>
      <c r="H95" s="76"/>
      <c r="I95" s="48"/>
      <c r="J95" s="70"/>
      <c r="K95" s="70"/>
      <c r="L95" s="193" t="s">
        <v>989</v>
      </c>
      <c r="M95" s="194" t="s">
        <v>848</v>
      </c>
      <c r="N95" s="193" t="s">
        <v>34</v>
      </c>
      <c r="O95" s="195">
        <v>1</v>
      </c>
      <c r="P95" s="196">
        <v>119.53</v>
      </c>
      <c r="Q95" s="196">
        <v>119.53</v>
      </c>
      <c r="R95" s="182"/>
      <c r="U95" s="128"/>
    </row>
    <row r="96" spans="1:21" ht="15.6" x14ac:dyDescent="0.3">
      <c r="A96" s="53"/>
      <c r="B96" s="54"/>
      <c r="C96" s="54"/>
      <c r="D96" s="54"/>
      <c r="E96" s="55"/>
      <c r="F96" s="75"/>
      <c r="G96" s="76"/>
      <c r="H96" s="76"/>
      <c r="I96" s="48"/>
      <c r="J96" s="70"/>
      <c r="K96" s="70"/>
      <c r="L96" s="193" t="s">
        <v>1168</v>
      </c>
      <c r="M96" s="194" t="s">
        <v>1253</v>
      </c>
      <c r="N96" s="193" t="s">
        <v>34</v>
      </c>
      <c r="O96" s="195">
        <v>1</v>
      </c>
      <c r="P96" s="196">
        <v>110</v>
      </c>
      <c r="Q96" s="196">
        <v>110</v>
      </c>
      <c r="R96" s="182"/>
      <c r="U96" s="128"/>
    </row>
    <row r="97" spans="1:21" ht="15.6" x14ac:dyDescent="0.3">
      <c r="A97" s="53"/>
      <c r="B97" s="54"/>
      <c r="C97" s="54"/>
      <c r="D97" s="54"/>
      <c r="E97" s="55"/>
      <c r="F97" s="75"/>
      <c r="G97" s="76"/>
      <c r="H97" s="76"/>
      <c r="I97" s="48"/>
      <c r="J97" s="70"/>
      <c r="K97" s="70"/>
      <c r="L97" s="193" t="s">
        <v>1169</v>
      </c>
      <c r="M97" s="194" t="s">
        <v>1254</v>
      </c>
      <c r="N97" s="193" t="s">
        <v>34</v>
      </c>
      <c r="O97" s="195">
        <v>2</v>
      </c>
      <c r="P97" s="196">
        <v>110</v>
      </c>
      <c r="Q97" s="196">
        <v>220</v>
      </c>
      <c r="R97" s="182"/>
      <c r="U97" s="128"/>
    </row>
    <row r="98" spans="1:21" ht="15.6" x14ac:dyDescent="0.3">
      <c r="A98" s="53"/>
      <c r="B98" s="54"/>
      <c r="C98" s="54"/>
      <c r="D98" s="54"/>
      <c r="E98" s="55"/>
      <c r="F98" s="75"/>
      <c r="G98" s="76"/>
      <c r="H98" s="76"/>
      <c r="I98" s="48"/>
      <c r="J98" s="70"/>
      <c r="K98" s="70"/>
      <c r="L98" s="193" t="s">
        <v>990</v>
      </c>
      <c r="M98" s="194" t="s">
        <v>1064</v>
      </c>
      <c r="N98" s="193" t="s">
        <v>34</v>
      </c>
      <c r="O98" s="195">
        <v>320</v>
      </c>
      <c r="P98" s="196">
        <v>0.92</v>
      </c>
      <c r="Q98" s="196">
        <v>294.39999999999998</v>
      </c>
      <c r="R98" s="182"/>
      <c r="U98" s="128"/>
    </row>
    <row r="99" spans="1:21" ht="15.6" x14ac:dyDescent="0.3">
      <c r="A99" s="53"/>
      <c r="B99" s="54"/>
      <c r="C99" s="54"/>
      <c r="D99" s="54"/>
      <c r="E99" s="55"/>
      <c r="F99" s="75"/>
      <c r="G99" s="76"/>
      <c r="H99" s="76"/>
      <c r="I99" s="48"/>
      <c r="J99" s="70"/>
      <c r="K99" s="70"/>
      <c r="L99" s="193" t="s">
        <v>1170</v>
      </c>
      <c r="M99" s="194" t="s">
        <v>1255</v>
      </c>
      <c r="N99" s="193" t="s">
        <v>34</v>
      </c>
      <c r="O99" s="195">
        <v>11</v>
      </c>
      <c r="P99" s="196">
        <v>1.74</v>
      </c>
      <c r="Q99" s="196">
        <v>19.14</v>
      </c>
      <c r="R99" s="182"/>
      <c r="U99" s="128"/>
    </row>
    <row r="100" spans="1:21" ht="15.6" x14ac:dyDescent="0.3">
      <c r="A100" s="53"/>
      <c r="B100" s="54"/>
      <c r="C100" s="54"/>
      <c r="D100" s="54"/>
      <c r="E100" s="55"/>
      <c r="F100" s="75"/>
      <c r="G100" s="76"/>
      <c r="H100" s="76"/>
      <c r="I100" s="48"/>
      <c r="J100" s="70"/>
      <c r="K100" s="70"/>
      <c r="L100" s="193" t="s">
        <v>991</v>
      </c>
      <c r="M100" s="194" t="s">
        <v>1065</v>
      </c>
      <c r="N100" s="193" t="s">
        <v>34</v>
      </c>
      <c r="O100" s="195">
        <v>372</v>
      </c>
      <c r="P100" s="196">
        <v>0.5</v>
      </c>
      <c r="Q100" s="196">
        <v>186</v>
      </c>
      <c r="R100" s="182"/>
      <c r="U100" s="128"/>
    </row>
    <row r="101" spans="1:21" ht="15.6" x14ac:dyDescent="0.3">
      <c r="A101" s="53"/>
      <c r="B101" s="54"/>
      <c r="C101" s="54"/>
      <c r="D101" s="54"/>
      <c r="E101" s="55"/>
      <c r="F101" s="75"/>
      <c r="G101" s="76"/>
      <c r="H101" s="76"/>
      <c r="I101" s="48"/>
      <c r="J101" s="70"/>
      <c r="K101" s="70"/>
      <c r="L101" s="193" t="s">
        <v>1171</v>
      </c>
      <c r="M101" s="194" t="s">
        <v>1256</v>
      </c>
      <c r="N101" s="193" t="s">
        <v>34</v>
      </c>
      <c r="O101" s="195">
        <v>400</v>
      </c>
      <c r="P101" s="196">
        <v>0.17</v>
      </c>
      <c r="Q101" s="196">
        <v>68</v>
      </c>
      <c r="R101" s="182"/>
      <c r="U101" s="128"/>
    </row>
    <row r="102" spans="1:21" ht="15.6" x14ac:dyDescent="0.3">
      <c r="A102" s="53"/>
      <c r="B102" s="54"/>
      <c r="C102" s="54"/>
      <c r="D102" s="54"/>
      <c r="E102" s="55"/>
      <c r="F102" s="75"/>
      <c r="G102" s="76"/>
      <c r="H102" s="76"/>
      <c r="I102" s="48"/>
      <c r="J102" s="70"/>
      <c r="K102" s="70"/>
      <c r="L102" s="193" t="s">
        <v>992</v>
      </c>
      <c r="M102" s="194" t="s">
        <v>849</v>
      </c>
      <c r="N102" s="193" t="s">
        <v>34</v>
      </c>
      <c r="O102" s="195">
        <v>32</v>
      </c>
      <c r="P102" s="196">
        <v>0.92</v>
      </c>
      <c r="Q102" s="196">
        <v>29.44</v>
      </c>
      <c r="R102" s="182"/>
      <c r="U102" s="128"/>
    </row>
    <row r="103" spans="1:21" ht="15.6" x14ac:dyDescent="0.3">
      <c r="A103" s="53"/>
      <c r="B103" s="54"/>
      <c r="C103" s="54"/>
      <c r="D103" s="54"/>
      <c r="E103" s="55"/>
      <c r="F103" s="75"/>
      <c r="G103" s="76"/>
      <c r="H103" s="76"/>
      <c r="I103" s="48"/>
      <c r="J103" s="70"/>
      <c r="K103" s="70"/>
      <c r="L103" s="193" t="s">
        <v>850</v>
      </c>
      <c r="M103" s="194" t="s">
        <v>851</v>
      </c>
      <c r="N103" s="193" t="s">
        <v>34</v>
      </c>
      <c r="O103" s="195">
        <v>10</v>
      </c>
      <c r="P103" s="196">
        <v>3.62</v>
      </c>
      <c r="Q103" s="196">
        <v>36.200000000000003</v>
      </c>
      <c r="R103" s="182"/>
      <c r="U103" s="128"/>
    </row>
    <row r="104" spans="1:21" ht="15.6" x14ac:dyDescent="0.3">
      <c r="A104" s="53"/>
      <c r="B104" s="54"/>
      <c r="C104" s="54"/>
      <c r="D104" s="54"/>
      <c r="E104" s="55"/>
      <c r="F104" s="75"/>
      <c r="G104" s="76"/>
      <c r="H104" s="76"/>
      <c r="I104" s="48"/>
      <c r="J104" s="70"/>
      <c r="K104" s="70"/>
      <c r="L104" s="193" t="s">
        <v>993</v>
      </c>
      <c r="M104" s="194" t="s">
        <v>852</v>
      </c>
      <c r="N104" s="193" t="s">
        <v>34</v>
      </c>
      <c r="O104" s="195">
        <v>327</v>
      </c>
      <c r="P104" s="196">
        <v>0.5</v>
      </c>
      <c r="Q104" s="196">
        <v>163.5</v>
      </c>
      <c r="R104" s="182"/>
      <c r="U104" s="128"/>
    </row>
    <row r="105" spans="1:21" ht="15.6" x14ac:dyDescent="0.3">
      <c r="A105" s="53"/>
      <c r="B105" s="54"/>
      <c r="C105" s="54"/>
      <c r="D105" s="54"/>
      <c r="E105" s="55"/>
      <c r="F105" s="75"/>
      <c r="G105" s="76"/>
      <c r="H105" s="76"/>
      <c r="I105" s="48"/>
      <c r="J105" s="70"/>
      <c r="K105" s="70"/>
      <c r="L105" s="193" t="s">
        <v>996</v>
      </c>
      <c r="M105" s="194" t="s">
        <v>501</v>
      </c>
      <c r="N105" s="193" t="s">
        <v>34</v>
      </c>
      <c r="O105" s="195">
        <v>4</v>
      </c>
      <c r="P105" s="196">
        <v>36.08</v>
      </c>
      <c r="Q105" s="196">
        <v>144.32</v>
      </c>
      <c r="R105" s="182"/>
      <c r="U105" s="128"/>
    </row>
    <row r="106" spans="1:21" ht="15.6" x14ac:dyDescent="0.3">
      <c r="A106" s="53"/>
      <c r="B106" s="54"/>
      <c r="C106" s="54"/>
      <c r="D106" s="54"/>
      <c r="E106" s="55"/>
      <c r="F106" s="75"/>
      <c r="G106" s="76"/>
      <c r="H106" s="76"/>
      <c r="I106" s="48"/>
      <c r="J106" s="70"/>
      <c r="K106" s="70"/>
      <c r="L106" s="193" t="s">
        <v>1172</v>
      </c>
      <c r="M106" s="194" t="s">
        <v>1257</v>
      </c>
      <c r="N106" s="193" t="s">
        <v>34</v>
      </c>
      <c r="O106" s="195">
        <v>1</v>
      </c>
      <c r="P106" s="196">
        <v>285</v>
      </c>
      <c r="Q106" s="196">
        <v>285</v>
      </c>
      <c r="R106" s="182"/>
      <c r="U106" s="128"/>
    </row>
    <row r="107" spans="1:21" ht="15.6" x14ac:dyDescent="0.3">
      <c r="A107" s="53"/>
      <c r="B107" s="54"/>
      <c r="C107" s="54"/>
      <c r="D107" s="54"/>
      <c r="E107" s="55"/>
      <c r="F107" s="75"/>
      <c r="G107" s="76"/>
      <c r="H107" s="76"/>
      <c r="I107" s="48"/>
      <c r="J107" s="70"/>
      <c r="K107" s="70"/>
      <c r="L107" s="193" t="s">
        <v>997</v>
      </c>
      <c r="M107" s="194" t="s">
        <v>853</v>
      </c>
      <c r="N107" s="193" t="s">
        <v>34</v>
      </c>
      <c r="O107" s="195">
        <v>25</v>
      </c>
      <c r="P107" s="196">
        <v>48</v>
      </c>
      <c r="Q107" s="197">
        <v>1200</v>
      </c>
      <c r="R107" s="182"/>
      <c r="U107" s="128"/>
    </row>
    <row r="108" spans="1:21" ht="15.6" x14ac:dyDescent="0.3">
      <c r="A108" s="53"/>
      <c r="B108" s="54"/>
      <c r="C108" s="54"/>
      <c r="D108" s="54"/>
      <c r="E108" s="55"/>
      <c r="F108" s="75"/>
      <c r="G108" s="76"/>
      <c r="H108" s="76"/>
      <c r="I108" s="48"/>
      <c r="J108" s="70"/>
      <c r="K108" s="70"/>
      <c r="L108" s="193" t="s">
        <v>998</v>
      </c>
      <c r="M108" s="194" t="s">
        <v>1068</v>
      </c>
      <c r="N108" s="193" t="s">
        <v>34</v>
      </c>
      <c r="O108" s="195">
        <v>2</v>
      </c>
      <c r="P108" s="196">
        <v>66.86</v>
      </c>
      <c r="Q108" s="196">
        <v>133.72</v>
      </c>
      <c r="R108" s="182"/>
      <c r="U108" s="128"/>
    </row>
    <row r="109" spans="1:21" ht="15.6" x14ac:dyDescent="0.3">
      <c r="A109" s="53"/>
      <c r="B109" s="54"/>
      <c r="C109" s="54"/>
      <c r="D109" s="54"/>
      <c r="E109" s="55"/>
      <c r="F109" s="75"/>
      <c r="G109" s="76"/>
      <c r="H109" s="76"/>
      <c r="I109" s="48"/>
      <c r="J109" s="70"/>
      <c r="K109" s="70"/>
      <c r="L109" s="193" t="s">
        <v>999</v>
      </c>
      <c r="M109" s="194" t="s">
        <v>1069</v>
      </c>
      <c r="N109" s="193" t="s">
        <v>34</v>
      </c>
      <c r="O109" s="198">
        <v>1806</v>
      </c>
      <c r="P109" s="196">
        <v>0.27</v>
      </c>
      <c r="Q109" s="196">
        <v>484.95</v>
      </c>
      <c r="R109" s="182"/>
      <c r="U109" s="128"/>
    </row>
    <row r="110" spans="1:21" ht="15.6" x14ac:dyDescent="0.3">
      <c r="A110" s="53"/>
      <c r="B110" s="54"/>
      <c r="C110" s="54"/>
      <c r="D110" s="54"/>
      <c r="E110" s="55"/>
      <c r="F110" s="75"/>
      <c r="G110" s="76"/>
      <c r="H110" s="76"/>
      <c r="I110" s="48"/>
      <c r="J110" s="70"/>
      <c r="K110" s="70"/>
      <c r="L110" s="193" t="s">
        <v>1173</v>
      </c>
      <c r="M110" s="194" t="s">
        <v>109</v>
      </c>
      <c r="N110" s="193" t="s">
        <v>34</v>
      </c>
      <c r="O110" s="195">
        <v>13</v>
      </c>
      <c r="P110" s="196">
        <v>0.27</v>
      </c>
      <c r="Q110" s="196">
        <v>3.49</v>
      </c>
      <c r="R110" s="182"/>
      <c r="U110" s="128"/>
    </row>
    <row r="111" spans="1:21" ht="15.6" x14ac:dyDescent="0.3">
      <c r="A111" s="53"/>
      <c r="B111" s="54"/>
      <c r="C111" s="54"/>
      <c r="D111" s="54"/>
      <c r="E111" s="55"/>
      <c r="F111" s="75"/>
      <c r="G111" s="76"/>
      <c r="H111" s="76"/>
      <c r="I111" s="48"/>
      <c r="J111" s="70"/>
      <c r="K111" s="70"/>
      <c r="L111" s="193" t="s">
        <v>856</v>
      </c>
      <c r="M111" s="194" t="s">
        <v>857</v>
      </c>
      <c r="N111" s="193" t="s">
        <v>34</v>
      </c>
      <c r="O111" s="198">
        <v>2863</v>
      </c>
      <c r="P111" s="196">
        <v>0.44</v>
      </c>
      <c r="Q111" s="197">
        <v>1262.58</v>
      </c>
      <c r="R111" s="182"/>
      <c r="U111" s="128"/>
    </row>
    <row r="112" spans="1:21" ht="15.6" x14ac:dyDescent="0.3">
      <c r="A112" s="53"/>
      <c r="B112" s="54"/>
      <c r="C112" s="54"/>
      <c r="D112" s="54"/>
      <c r="E112" s="55"/>
      <c r="F112" s="75"/>
      <c r="G112" s="76"/>
      <c r="H112" s="76"/>
      <c r="I112" s="48"/>
      <c r="J112" s="70"/>
      <c r="K112" s="70"/>
      <c r="L112" s="193" t="s">
        <v>1000</v>
      </c>
      <c r="M112" s="194" t="s">
        <v>248</v>
      </c>
      <c r="N112" s="193" t="s">
        <v>34</v>
      </c>
      <c r="O112" s="195">
        <v>409</v>
      </c>
      <c r="P112" s="196">
        <v>0.24</v>
      </c>
      <c r="Q112" s="196">
        <v>99.5</v>
      </c>
      <c r="R112" s="182"/>
      <c r="U112" s="128"/>
    </row>
    <row r="113" spans="1:21" ht="15.6" x14ac:dyDescent="0.3">
      <c r="A113" s="53"/>
      <c r="B113" s="54"/>
      <c r="C113" s="54"/>
      <c r="D113" s="54"/>
      <c r="E113" s="55"/>
      <c r="F113" s="75"/>
      <c r="G113" s="76"/>
      <c r="H113" s="76"/>
      <c r="I113" s="48"/>
      <c r="J113" s="70"/>
      <c r="K113" s="70"/>
      <c r="L113" s="193" t="s">
        <v>816</v>
      </c>
      <c r="M113" s="194" t="s">
        <v>817</v>
      </c>
      <c r="N113" s="193" t="s">
        <v>34</v>
      </c>
      <c r="O113" s="195">
        <v>1</v>
      </c>
      <c r="P113" s="196">
        <v>4.4000000000000004</v>
      </c>
      <c r="Q113" s="196">
        <v>4.4000000000000004</v>
      </c>
      <c r="R113" s="182"/>
      <c r="U113" s="128"/>
    </row>
    <row r="114" spans="1:21" ht="15.6" x14ac:dyDescent="0.3">
      <c r="A114" s="53"/>
      <c r="B114" s="54"/>
      <c r="C114" s="54"/>
      <c r="D114" s="54"/>
      <c r="E114" s="55"/>
      <c r="F114" s="75"/>
      <c r="G114" s="76"/>
      <c r="H114" s="76"/>
      <c r="I114" s="48"/>
      <c r="J114" s="70"/>
      <c r="K114" s="70"/>
      <c r="L114" s="193" t="s">
        <v>422</v>
      </c>
      <c r="M114" s="194" t="s">
        <v>423</v>
      </c>
      <c r="N114" s="193" t="s">
        <v>34</v>
      </c>
      <c r="O114" s="195">
        <v>1</v>
      </c>
      <c r="P114" s="196">
        <v>177</v>
      </c>
      <c r="Q114" s="196">
        <v>177</v>
      </c>
      <c r="R114" s="182"/>
      <c r="U114" s="128"/>
    </row>
    <row r="115" spans="1:21" ht="15.6" x14ac:dyDescent="0.3">
      <c r="A115" s="53"/>
      <c r="B115" s="54"/>
      <c r="C115" s="54"/>
      <c r="D115" s="54"/>
      <c r="E115" s="55"/>
      <c r="F115" s="75"/>
      <c r="G115" s="76"/>
      <c r="H115" s="76"/>
      <c r="I115" s="48"/>
      <c r="J115" s="70"/>
      <c r="K115" s="70"/>
      <c r="L115" s="193" t="s">
        <v>818</v>
      </c>
      <c r="M115" s="194" t="s">
        <v>819</v>
      </c>
      <c r="N115" s="193" t="s">
        <v>34</v>
      </c>
      <c r="O115" s="195">
        <v>1.7</v>
      </c>
      <c r="P115" s="196">
        <v>185.06</v>
      </c>
      <c r="Q115" s="196">
        <v>314.60000000000002</v>
      </c>
      <c r="R115" s="182"/>
      <c r="U115" s="128"/>
    </row>
    <row r="116" spans="1:21" ht="15.6" x14ac:dyDescent="0.3">
      <c r="A116" s="53"/>
      <c r="B116" s="54"/>
      <c r="C116" s="54"/>
      <c r="D116" s="54"/>
      <c r="E116" s="55"/>
      <c r="F116" s="75"/>
      <c r="G116" s="76"/>
      <c r="H116" s="76"/>
      <c r="I116" s="48"/>
      <c r="J116" s="70"/>
      <c r="K116" s="70"/>
      <c r="L116" s="193" t="s">
        <v>1002</v>
      </c>
      <c r="M116" s="194" t="s">
        <v>1070</v>
      </c>
      <c r="N116" s="193" t="s">
        <v>34</v>
      </c>
      <c r="O116" s="195">
        <v>0.54</v>
      </c>
      <c r="P116" s="196">
        <v>63</v>
      </c>
      <c r="Q116" s="196">
        <v>34.020000000000003</v>
      </c>
      <c r="R116" s="182"/>
      <c r="U116" s="128"/>
    </row>
    <row r="117" spans="1:21" ht="15.6" x14ac:dyDescent="0.3">
      <c r="A117" s="53"/>
      <c r="B117" s="54"/>
      <c r="C117" s="54"/>
      <c r="D117" s="54"/>
      <c r="E117" s="55"/>
      <c r="F117" s="75"/>
      <c r="G117" s="76"/>
      <c r="H117" s="76"/>
      <c r="I117" s="48"/>
      <c r="J117" s="70"/>
      <c r="K117" s="70"/>
      <c r="L117" s="193" t="s">
        <v>1003</v>
      </c>
      <c r="M117" s="194" t="s">
        <v>1071</v>
      </c>
      <c r="N117" s="193" t="s">
        <v>34</v>
      </c>
      <c r="O117" s="195">
        <v>0.18</v>
      </c>
      <c r="P117" s="196">
        <v>195</v>
      </c>
      <c r="Q117" s="196">
        <v>35.1</v>
      </c>
      <c r="R117" s="182"/>
      <c r="U117" s="128"/>
    </row>
    <row r="118" spans="1:21" ht="15.6" x14ac:dyDescent="0.3">
      <c r="A118" s="53"/>
      <c r="B118" s="54"/>
      <c r="C118" s="54"/>
      <c r="D118" s="54"/>
      <c r="E118" s="55"/>
      <c r="F118" s="75"/>
      <c r="G118" s="76"/>
      <c r="H118" s="76"/>
      <c r="I118" s="48"/>
      <c r="J118" s="70"/>
      <c r="K118" s="70"/>
      <c r="L118" s="193" t="s">
        <v>1363</v>
      </c>
      <c r="M118" s="194" t="s">
        <v>1392</v>
      </c>
      <c r="N118" s="193" t="s">
        <v>34</v>
      </c>
      <c r="O118" s="195">
        <v>0.27</v>
      </c>
      <c r="P118" s="196">
        <v>499</v>
      </c>
      <c r="Q118" s="196">
        <v>134.72999999999999</v>
      </c>
      <c r="R118" s="182"/>
      <c r="U118" s="128"/>
    </row>
    <row r="119" spans="1:21" ht="15.6" x14ac:dyDescent="0.3">
      <c r="A119" s="53"/>
      <c r="B119" s="54"/>
      <c r="C119" s="54"/>
      <c r="D119" s="54"/>
      <c r="E119" s="55"/>
      <c r="F119" s="75"/>
      <c r="G119" s="76"/>
      <c r="H119" s="76"/>
      <c r="I119" s="48"/>
      <c r="J119" s="70"/>
      <c r="K119" s="70"/>
      <c r="L119" s="193" t="s">
        <v>1364</v>
      </c>
      <c r="M119" s="194" t="s">
        <v>1393</v>
      </c>
      <c r="N119" s="193" t="s">
        <v>34</v>
      </c>
      <c r="O119" s="195">
        <v>0.3</v>
      </c>
      <c r="P119" s="196">
        <v>144</v>
      </c>
      <c r="Q119" s="196">
        <v>43.2</v>
      </c>
      <c r="R119" s="182"/>
      <c r="U119" s="128"/>
    </row>
    <row r="120" spans="1:21" ht="15.6" x14ac:dyDescent="0.3">
      <c r="A120" s="53"/>
      <c r="B120" s="54"/>
      <c r="C120" s="54"/>
      <c r="D120" s="54"/>
      <c r="E120" s="55"/>
      <c r="F120" s="75"/>
      <c r="G120" s="76"/>
      <c r="H120" s="76"/>
      <c r="I120" s="48"/>
      <c r="J120" s="70"/>
      <c r="K120" s="70"/>
      <c r="L120" s="193" t="s">
        <v>1365</v>
      </c>
      <c r="M120" s="194" t="s">
        <v>1394</v>
      </c>
      <c r="N120" s="193" t="s">
        <v>34</v>
      </c>
      <c r="O120" s="195">
        <v>0.18</v>
      </c>
      <c r="P120" s="196">
        <v>140</v>
      </c>
      <c r="Q120" s="196">
        <v>25.2</v>
      </c>
      <c r="R120" s="182"/>
      <c r="U120" s="128"/>
    </row>
    <row r="121" spans="1:21" ht="15.6" x14ac:dyDescent="0.3">
      <c r="A121" s="53"/>
      <c r="B121" s="54"/>
      <c r="C121" s="54"/>
      <c r="D121" s="54"/>
      <c r="E121" s="55"/>
      <c r="F121" s="75"/>
      <c r="G121" s="76"/>
      <c r="H121" s="76"/>
      <c r="I121" s="48"/>
      <c r="J121" s="70"/>
      <c r="K121" s="70"/>
      <c r="L121" s="193" t="s">
        <v>432</v>
      </c>
      <c r="M121" s="194" t="s">
        <v>433</v>
      </c>
      <c r="N121" s="193" t="s">
        <v>34</v>
      </c>
      <c r="O121" s="195">
        <v>4</v>
      </c>
      <c r="P121" s="196">
        <v>27.6</v>
      </c>
      <c r="Q121" s="196">
        <v>110.4</v>
      </c>
      <c r="R121" s="182"/>
      <c r="U121" s="128"/>
    </row>
    <row r="122" spans="1:21" ht="15.6" x14ac:dyDescent="0.3">
      <c r="A122" s="53"/>
      <c r="B122" s="54"/>
      <c r="C122" s="54"/>
      <c r="D122" s="54"/>
      <c r="E122" s="55"/>
      <c r="F122" s="75"/>
      <c r="G122" s="76"/>
      <c r="H122" s="76"/>
      <c r="I122" s="48"/>
      <c r="J122" s="70"/>
      <c r="K122" s="70"/>
      <c r="L122" s="193" t="s">
        <v>1159</v>
      </c>
      <c r="M122" s="194" t="s">
        <v>1245</v>
      </c>
      <c r="N122" s="193" t="s">
        <v>34</v>
      </c>
      <c r="O122" s="195">
        <v>1</v>
      </c>
      <c r="P122" s="196">
        <v>36.08</v>
      </c>
      <c r="Q122" s="196">
        <v>36.08</v>
      </c>
      <c r="R122" s="182"/>
      <c r="U122" s="128"/>
    </row>
    <row r="123" spans="1:21" ht="15.6" x14ac:dyDescent="0.3">
      <c r="A123" s="53"/>
      <c r="B123" s="54"/>
      <c r="C123" s="54"/>
      <c r="D123" s="54"/>
      <c r="E123" s="55"/>
      <c r="F123" s="75"/>
      <c r="G123" s="76"/>
      <c r="H123" s="76"/>
      <c r="I123" s="48"/>
      <c r="J123" s="70"/>
      <c r="K123" s="70"/>
      <c r="L123" s="193" t="s">
        <v>1001</v>
      </c>
      <c r="M123" s="194" t="s">
        <v>415</v>
      </c>
      <c r="N123" s="193" t="s">
        <v>34</v>
      </c>
      <c r="O123" s="195">
        <v>11</v>
      </c>
      <c r="P123" s="196">
        <v>59.58</v>
      </c>
      <c r="Q123" s="196">
        <v>655.38</v>
      </c>
      <c r="R123" s="182"/>
      <c r="U123" s="128"/>
    </row>
    <row r="124" spans="1:21" ht="15.6" x14ac:dyDescent="0.3">
      <c r="A124" s="53"/>
      <c r="B124" s="54"/>
      <c r="C124" s="54"/>
      <c r="D124" s="54"/>
      <c r="E124" s="55"/>
      <c r="F124" s="75"/>
      <c r="G124" s="76"/>
      <c r="H124" s="76"/>
      <c r="I124" s="48"/>
      <c r="J124" s="70"/>
      <c r="K124" s="70"/>
      <c r="L124" s="193" t="s">
        <v>946</v>
      </c>
      <c r="M124" s="194" t="s">
        <v>1042</v>
      </c>
      <c r="N124" s="193" t="s">
        <v>34</v>
      </c>
      <c r="O124" s="195">
        <v>4</v>
      </c>
      <c r="P124" s="196">
        <v>205.47</v>
      </c>
      <c r="Q124" s="196">
        <v>821.88</v>
      </c>
      <c r="R124" s="182"/>
      <c r="U124" s="128"/>
    </row>
    <row r="125" spans="1:21" ht="15.6" x14ac:dyDescent="0.3">
      <c r="A125" s="53"/>
      <c r="B125" s="54"/>
      <c r="C125" s="54"/>
      <c r="D125" s="54"/>
      <c r="E125" s="55"/>
      <c r="F125" s="75"/>
      <c r="G125" s="76"/>
      <c r="H125" s="76"/>
      <c r="I125" s="48"/>
      <c r="J125" s="70"/>
      <c r="K125" s="70"/>
      <c r="L125" s="193" t="s">
        <v>403</v>
      </c>
      <c r="M125" s="194" t="s">
        <v>1073</v>
      </c>
      <c r="N125" s="193" t="s">
        <v>34</v>
      </c>
      <c r="O125" s="195">
        <v>2</v>
      </c>
      <c r="P125" s="196">
        <v>37.1</v>
      </c>
      <c r="Q125" s="196">
        <v>74.2</v>
      </c>
      <c r="R125" s="182"/>
      <c r="U125" s="128"/>
    </row>
    <row r="126" spans="1:21" ht="15.6" x14ac:dyDescent="0.3">
      <c r="A126" s="53"/>
      <c r="B126" s="54"/>
      <c r="C126" s="54"/>
      <c r="D126" s="54"/>
      <c r="E126" s="55"/>
      <c r="F126" s="75"/>
      <c r="G126" s="76"/>
      <c r="H126" s="76"/>
      <c r="I126" s="48"/>
      <c r="J126" s="70"/>
      <c r="K126" s="70"/>
      <c r="L126" s="193" t="s">
        <v>920</v>
      </c>
      <c r="M126" s="194" t="s">
        <v>921</v>
      </c>
      <c r="N126" s="193" t="s">
        <v>34</v>
      </c>
      <c r="O126" s="195">
        <v>1</v>
      </c>
      <c r="P126" s="196">
        <v>29.1</v>
      </c>
      <c r="Q126" s="196">
        <v>29.1</v>
      </c>
      <c r="R126" s="182"/>
      <c r="U126" s="128"/>
    </row>
    <row r="127" spans="1:21" ht="15.6" x14ac:dyDescent="0.3">
      <c r="A127" s="53"/>
      <c r="B127" s="54"/>
      <c r="C127" s="54"/>
      <c r="D127" s="54"/>
      <c r="E127" s="55"/>
      <c r="F127" s="75"/>
      <c r="G127" s="76"/>
      <c r="H127" s="76"/>
      <c r="I127" s="48"/>
      <c r="J127" s="70"/>
      <c r="K127" s="70"/>
      <c r="L127" s="193" t="s">
        <v>1008</v>
      </c>
      <c r="M127" s="194" t="s">
        <v>407</v>
      </c>
      <c r="N127" s="193" t="s">
        <v>34</v>
      </c>
      <c r="O127" s="195">
        <v>1</v>
      </c>
      <c r="P127" s="196">
        <v>45.9</v>
      </c>
      <c r="Q127" s="196">
        <v>45.9</v>
      </c>
      <c r="R127" s="182"/>
      <c r="U127" s="128"/>
    </row>
    <row r="128" spans="1:21" ht="15.6" x14ac:dyDescent="0.3">
      <c r="A128" s="53"/>
      <c r="B128" s="54"/>
      <c r="C128" s="54"/>
      <c r="D128" s="54"/>
      <c r="E128" s="55"/>
      <c r="F128" s="75"/>
      <c r="G128" s="76"/>
      <c r="H128" s="76"/>
      <c r="I128" s="48"/>
      <c r="J128" s="70"/>
      <c r="K128" s="70"/>
      <c r="L128" s="193" t="s">
        <v>1009</v>
      </c>
      <c r="M128" s="194" t="s">
        <v>811</v>
      </c>
      <c r="N128" s="193" t="s">
        <v>34</v>
      </c>
      <c r="O128" s="195">
        <v>5</v>
      </c>
      <c r="P128" s="196">
        <v>91</v>
      </c>
      <c r="Q128" s="196">
        <v>455</v>
      </c>
      <c r="R128" s="182"/>
      <c r="U128" s="128"/>
    </row>
    <row r="129" spans="1:21" ht="15.6" x14ac:dyDescent="0.3">
      <c r="A129" s="53"/>
      <c r="B129" s="54"/>
      <c r="C129" s="54"/>
      <c r="D129" s="54"/>
      <c r="E129" s="55"/>
      <c r="F129" s="75"/>
      <c r="G129" s="76"/>
      <c r="H129" s="76"/>
      <c r="I129" s="48"/>
      <c r="J129" s="70"/>
      <c r="K129" s="70"/>
      <c r="L129" s="193" t="s">
        <v>1158</v>
      </c>
      <c r="M129" s="194" t="s">
        <v>1244</v>
      </c>
      <c r="N129" s="193" t="s">
        <v>34</v>
      </c>
      <c r="O129" s="195">
        <v>1</v>
      </c>
      <c r="P129" s="196">
        <v>238</v>
      </c>
      <c r="Q129" s="196">
        <v>238</v>
      </c>
      <c r="R129" s="182"/>
      <c r="U129" s="128"/>
    </row>
    <row r="130" spans="1:21" ht="15.6" x14ac:dyDescent="0.3">
      <c r="A130" s="53"/>
      <c r="B130" s="54"/>
      <c r="C130" s="54"/>
      <c r="D130" s="54"/>
      <c r="E130" s="55"/>
      <c r="F130" s="75"/>
      <c r="G130" s="76"/>
      <c r="H130" s="76"/>
      <c r="I130" s="48"/>
      <c r="J130" s="70"/>
      <c r="K130" s="70"/>
      <c r="L130" s="193" t="s">
        <v>411</v>
      </c>
      <c r="M130" s="194" t="s">
        <v>412</v>
      </c>
      <c r="N130" s="193" t="s">
        <v>34</v>
      </c>
      <c r="O130" s="195">
        <v>9.8000000000000007</v>
      </c>
      <c r="P130" s="196">
        <v>58.83</v>
      </c>
      <c r="Q130" s="196">
        <v>576.51</v>
      </c>
      <c r="R130" s="182"/>
      <c r="U130" s="128"/>
    </row>
    <row r="131" spans="1:21" ht="15.6" x14ac:dyDescent="0.3">
      <c r="A131" s="53"/>
      <c r="B131" s="54"/>
      <c r="C131" s="54"/>
      <c r="D131" s="54"/>
      <c r="E131" s="55"/>
      <c r="F131" s="75"/>
      <c r="G131" s="76"/>
      <c r="H131" s="76"/>
      <c r="I131" s="48"/>
      <c r="J131" s="70"/>
      <c r="K131" s="70"/>
      <c r="L131" s="193" t="s">
        <v>1163</v>
      </c>
      <c r="M131" s="194" t="s">
        <v>1248</v>
      </c>
      <c r="N131" s="193" t="s">
        <v>34</v>
      </c>
      <c r="O131" s="195">
        <v>1</v>
      </c>
      <c r="P131" s="196">
        <v>579.16</v>
      </c>
      <c r="Q131" s="196">
        <v>579.16</v>
      </c>
      <c r="R131" s="182"/>
      <c r="U131" s="128"/>
    </row>
    <row r="132" spans="1:21" ht="15.6" x14ac:dyDescent="0.3">
      <c r="A132" s="53"/>
      <c r="B132" s="54"/>
      <c r="C132" s="54"/>
      <c r="D132" s="54"/>
      <c r="E132" s="55"/>
      <c r="F132" s="75"/>
      <c r="G132" s="76"/>
      <c r="H132" s="76"/>
      <c r="I132" s="48"/>
      <c r="J132" s="70"/>
      <c r="K132" s="70"/>
      <c r="L132" s="193" t="s">
        <v>1010</v>
      </c>
      <c r="M132" s="194" t="s">
        <v>814</v>
      </c>
      <c r="N132" s="193" t="s">
        <v>34</v>
      </c>
      <c r="O132" s="195">
        <v>6</v>
      </c>
      <c r="P132" s="196">
        <v>557.91999999999996</v>
      </c>
      <c r="Q132" s="197">
        <v>3347.52</v>
      </c>
      <c r="R132" s="182"/>
      <c r="U132" s="128"/>
    </row>
    <row r="133" spans="1:21" ht="15.6" x14ac:dyDescent="0.3">
      <c r="A133" s="53"/>
      <c r="B133" s="54"/>
      <c r="C133" s="54"/>
      <c r="D133" s="54"/>
      <c r="E133" s="55"/>
      <c r="F133" s="75"/>
      <c r="G133" s="76"/>
      <c r="H133" s="76"/>
      <c r="I133" s="48"/>
      <c r="J133" s="70"/>
      <c r="K133" s="70"/>
      <c r="L133" s="193" t="s">
        <v>1164</v>
      </c>
      <c r="M133" s="194" t="s">
        <v>1249</v>
      </c>
      <c r="N133" s="193" t="s">
        <v>34</v>
      </c>
      <c r="O133" s="195">
        <v>0.5</v>
      </c>
      <c r="P133" s="196">
        <v>349.1</v>
      </c>
      <c r="Q133" s="196">
        <v>174.55</v>
      </c>
      <c r="R133" s="182"/>
      <c r="U133" s="128"/>
    </row>
    <row r="134" spans="1:21" ht="15.6" x14ac:dyDescent="0.3">
      <c r="A134" s="53"/>
      <c r="B134" s="54"/>
      <c r="C134" s="54"/>
      <c r="D134" s="54"/>
      <c r="E134" s="55"/>
      <c r="F134" s="75"/>
      <c r="G134" s="76"/>
      <c r="H134" s="76"/>
      <c r="I134" s="48"/>
      <c r="J134" s="70"/>
      <c r="K134" s="70"/>
      <c r="L134" s="193" t="s">
        <v>1012</v>
      </c>
      <c r="M134" s="194" t="s">
        <v>413</v>
      </c>
      <c r="N134" s="193" t="s">
        <v>34</v>
      </c>
      <c r="O134" s="195">
        <v>0.5</v>
      </c>
      <c r="P134" s="196">
        <v>524.16</v>
      </c>
      <c r="Q134" s="196">
        <v>262.08</v>
      </c>
      <c r="R134" s="182"/>
      <c r="U134" s="128"/>
    </row>
    <row r="135" spans="1:21" ht="15.6" x14ac:dyDescent="0.3">
      <c r="A135" s="53"/>
      <c r="B135" s="54"/>
      <c r="C135" s="54"/>
      <c r="D135" s="54"/>
      <c r="E135" s="55"/>
      <c r="F135" s="75"/>
      <c r="G135" s="76"/>
      <c r="H135" s="76"/>
      <c r="I135" s="48"/>
      <c r="J135" s="70"/>
      <c r="K135" s="70"/>
      <c r="L135" s="193" t="s">
        <v>823</v>
      </c>
      <c r="M135" s="194" t="s">
        <v>824</v>
      </c>
      <c r="N135" s="193" t="s">
        <v>34</v>
      </c>
      <c r="O135" s="195">
        <v>5</v>
      </c>
      <c r="P135" s="196">
        <v>236.48</v>
      </c>
      <c r="Q135" s="197">
        <v>1182.3800000000001</v>
      </c>
      <c r="R135" s="182"/>
      <c r="U135" s="128"/>
    </row>
    <row r="136" spans="1:21" ht="15.6" x14ac:dyDescent="0.3">
      <c r="A136" s="53"/>
      <c r="B136" s="54"/>
      <c r="C136" s="54"/>
      <c r="D136" s="54"/>
      <c r="E136" s="55"/>
      <c r="F136" s="75"/>
      <c r="G136" s="76"/>
      <c r="H136" s="76"/>
      <c r="I136" s="48"/>
      <c r="J136" s="70"/>
      <c r="K136" s="70"/>
      <c r="L136" s="193" t="s">
        <v>1161</v>
      </c>
      <c r="M136" s="194" t="s">
        <v>436</v>
      </c>
      <c r="N136" s="193" t="s">
        <v>34</v>
      </c>
      <c r="O136" s="195">
        <v>1</v>
      </c>
      <c r="P136" s="196">
        <v>96.18</v>
      </c>
      <c r="Q136" s="196">
        <v>96.18</v>
      </c>
      <c r="R136" s="182"/>
      <c r="U136" s="128"/>
    </row>
    <row r="137" spans="1:21" ht="15.6" customHeight="1" x14ac:dyDescent="0.3">
      <c r="A137" s="53"/>
      <c r="B137" s="54"/>
      <c r="C137" s="54"/>
      <c r="D137" s="54"/>
      <c r="E137" s="55"/>
      <c r="F137" s="75"/>
      <c r="G137" s="76"/>
      <c r="H137" s="76"/>
      <c r="I137" s="48"/>
      <c r="J137" s="70"/>
      <c r="K137" s="70"/>
      <c r="L137" s="193" t="s">
        <v>1004</v>
      </c>
      <c r="M137" s="194" t="s">
        <v>95</v>
      </c>
      <c r="N137" s="193" t="s">
        <v>34</v>
      </c>
      <c r="O137" s="195">
        <v>9</v>
      </c>
      <c r="P137" s="196">
        <v>181.79</v>
      </c>
      <c r="Q137" s="197">
        <v>1636.08</v>
      </c>
      <c r="R137" s="182"/>
      <c r="U137" s="128"/>
    </row>
    <row r="138" spans="1:21" ht="15.6" x14ac:dyDescent="0.3">
      <c r="A138" s="53"/>
      <c r="B138" s="54"/>
      <c r="C138" s="54"/>
      <c r="D138" s="54"/>
      <c r="E138" s="55"/>
      <c r="F138" s="75"/>
      <c r="G138" s="76"/>
      <c r="H138" s="76"/>
      <c r="I138" s="48"/>
      <c r="J138" s="70"/>
      <c r="K138" s="70"/>
      <c r="L138" s="193" t="s">
        <v>437</v>
      </c>
      <c r="M138" s="194" t="s">
        <v>438</v>
      </c>
      <c r="N138" s="193" t="s">
        <v>34</v>
      </c>
      <c r="O138" s="195">
        <v>4</v>
      </c>
      <c r="P138" s="196">
        <v>166.32</v>
      </c>
      <c r="Q138" s="196">
        <v>665.28</v>
      </c>
      <c r="R138" s="182"/>
      <c r="U138" s="128"/>
    </row>
    <row r="139" spans="1:21" ht="15.6" x14ac:dyDescent="0.3">
      <c r="A139" s="53"/>
      <c r="B139" s="54"/>
      <c r="C139" s="54"/>
      <c r="D139" s="54"/>
      <c r="E139" s="55"/>
      <c r="F139" s="75"/>
      <c r="G139" s="76"/>
      <c r="H139" s="76"/>
      <c r="I139" s="48"/>
      <c r="J139" s="70"/>
      <c r="K139" s="70"/>
      <c r="L139" s="193" t="s">
        <v>1090</v>
      </c>
      <c r="M139" s="194" t="s">
        <v>439</v>
      </c>
      <c r="N139" s="193" t="s">
        <v>34</v>
      </c>
      <c r="O139" s="195">
        <v>1</v>
      </c>
      <c r="P139" s="196">
        <v>94.36</v>
      </c>
      <c r="Q139" s="196">
        <v>94.36</v>
      </c>
      <c r="R139" s="182"/>
      <c r="U139" s="128"/>
    </row>
    <row r="140" spans="1:21" ht="15.6" x14ac:dyDescent="0.3">
      <c r="A140" s="53"/>
      <c r="B140" s="54"/>
      <c r="C140" s="54"/>
      <c r="D140" s="54"/>
      <c r="E140" s="55"/>
      <c r="F140" s="75"/>
      <c r="G140" s="76"/>
      <c r="H140" s="76"/>
      <c r="I140" s="48"/>
      <c r="J140" s="70"/>
      <c r="K140" s="70"/>
      <c r="L140" s="193" t="s">
        <v>1005</v>
      </c>
      <c r="M140" s="194" t="s">
        <v>825</v>
      </c>
      <c r="N140" s="193" t="s">
        <v>34</v>
      </c>
      <c r="O140" s="195">
        <v>4</v>
      </c>
      <c r="P140" s="196">
        <v>272.07</v>
      </c>
      <c r="Q140" s="197">
        <v>1088.28</v>
      </c>
      <c r="R140" s="182"/>
      <c r="U140" s="128"/>
    </row>
    <row r="141" spans="1:21" ht="15.6" x14ac:dyDescent="0.3">
      <c r="A141" s="53"/>
      <c r="B141" s="54"/>
      <c r="C141" s="54"/>
      <c r="D141" s="54"/>
      <c r="E141" s="55"/>
      <c r="F141" s="75"/>
      <c r="G141" s="76"/>
      <c r="H141" s="76"/>
      <c r="I141" s="48"/>
      <c r="J141" s="70"/>
      <c r="K141" s="70"/>
      <c r="L141" s="193" t="s">
        <v>1006</v>
      </c>
      <c r="M141" s="194" t="s">
        <v>923</v>
      </c>
      <c r="N141" s="193" t="s">
        <v>34</v>
      </c>
      <c r="O141" s="195">
        <v>570</v>
      </c>
      <c r="P141" s="196">
        <v>0.41</v>
      </c>
      <c r="Q141" s="196">
        <v>235.84</v>
      </c>
      <c r="R141" s="182"/>
      <c r="U141" s="128"/>
    </row>
    <row r="142" spans="1:21" ht="15.6" x14ac:dyDescent="0.3">
      <c r="A142" s="53"/>
      <c r="B142" s="54"/>
      <c r="C142" s="54"/>
      <c r="D142" s="54"/>
      <c r="E142" s="55"/>
      <c r="F142" s="75"/>
      <c r="G142" s="76"/>
      <c r="H142" s="76"/>
      <c r="I142" s="48"/>
      <c r="J142" s="70"/>
      <c r="K142" s="70"/>
      <c r="L142" s="193" t="s">
        <v>1160</v>
      </c>
      <c r="M142" s="194" t="s">
        <v>1246</v>
      </c>
      <c r="N142" s="193" t="s">
        <v>34</v>
      </c>
      <c r="O142" s="195">
        <v>409</v>
      </c>
      <c r="P142" s="196">
        <v>0.69</v>
      </c>
      <c r="Q142" s="196">
        <v>282.89</v>
      </c>
      <c r="R142" s="182"/>
      <c r="U142" s="128"/>
    </row>
    <row r="143" spans="1:21" ht="30" x14ac:dyDescent="0.3">
      <c r="A143" s="53"/>
      <c r="B143" s="54"/>
      <c r="C143" s="54"/>
      <c r="D143" s="54"/>
      <c r="E143" s="55"/>
      <c r="F143" s="75"/>
      <c r="G143" s="76"/>
      <c r="H143" s="76"/>
      <c r="I143" s="48"/>
      <c r="J143" s="70"/>
      <c r="K143" s="70"/>
      <c r="L143" s="193" t="s">
        <v>1174</v>
      </c>
      <c r="M143" s="194" t="s">
        <v>1258</v>
      </c>
      <c r="N143" s="193" t="s">
        <v>34</v>
      </c>
      <c r="O143" s="195">
        <v>45</v>
      </c>
      <c r="P143" s="196">
        <v>0.66</v>
      </c>
      <c r="Q143" s="196">
        <v>29.63</v>
      </c>
      <c r="R143" s="182"/>
      <c r="U143" s="128"/>
    </row>
    <row r="144" spans="1:21" ht="15.6" x14ac:dyDescent="0.3">
      <c r="A144" s="53"/>
      <c r="B144" s="54"/>
      <c r="C144" s="54"/>
      <c r="D144" s="54"/>
      <c r="E144" s="55"/>
      <c r="F144" s="75"/>
      <c r="G144" s="76"/>
      <c r="H144" s="76"/>
      <c r="I144" s="48"/>
      <c r="J144" s="70"/>
      <c r="K144" s="70"/>
      <c r="L144" s="193" t="s">
        <v>1175</v>
      </c>
      <c r="M144" s="194" t="s">
        <v>1259</v>
      </c>
      <c r="N144" s="193" t="s">
        <v>34</v>
      </c>
      <c r="O144" s="195">
        <v>1</v>
      </c>
      <c r="P144" s="196">
        <v>2</v>
      </c>
      <c r="Q144" s="196">
        <v>2</v>
      </c>
      <c r="R144" s="182"/>
      <c r="U144" s="128"/>
    </row>
    <row r="145" spans="1:21" ht="15.6" x14ac:dyDescent="0.3">
      <c r="A145" s="53"/>
      <c r="B145" s="54"/>
      <c r="C145" s="54"/>
      <c r="D145" s="54"/>
      <c r="E145" s="55"/>
      <c r="F145" s="75"/>
      <c r="G145" s="76"/>
      <c r="H145" s="76"/>
      <c r="I145" s="48"/>
      <c r="J145" s="70"/>
      <c r="K145" s="70"/>
      <c r="L145" s="193" t="s">
        <v>1176</v>
      </c>
      <c r="M145" s="194" t="s">
        <v>1260</v>
      </c>
      <c r="N145" s="193" t="s">
        <v>34</v>
      </c>
      <c r="O145" s="195">
        <v>1</v>
      </c>
      <c r="P145" s="196">
        <v>1.5</v>
      </c>
      <c r="Q145" s="196">
        <v>1.5</v>
      </c>
      <c r="R145" s="182"/>
      <c r="U145" s="128"/>
    </row>
    <row r="146" spans="1:21" ht="15.6" x14ac:dyDescent="0.3">
      <c r="A146" s="53"/>
      <c r="B146" s="54"/>
      <c r="C146" s="54"/>
      <c r="D146" s="54"/>
      <c r="E146" s="55"/>
      <c r="F146" s="75"/>
      <c r="G146" s="76"/>
      <c r="H146" s="76"/>
      <c r="I146" s="48"/>
      <c r="J146" s="70"/>
      <c r="K146" s="70"/>
      <c r="L146" s="193" t="s">
        <v>826</v>
      </c>
      <c r="M146" s="194" t="s">
        <v>827</v>
      </c>
      <c r="N146" s="193" t="s">
        <v>34</v>
      </c>
      <c r="O146" s="195">
        <v>1</v>
      </c>
      <c r="P146" s="196">
        <v>4.5</v>
      </c>
      <c r="Q146" s="196">
        <v>4.5</v>
      </c>
      <c r="R146" s="182"/>
      <c r="U146" s="128"/>
    </row>
    <row r="147" spans="1:21" ht="15.6" x14ac:dyDescent="0.3">
      <c r="A147" s="53"/>
      <c r="B147" s="54"/>
      <c r="C147" s="54"/>
      <c r="D147" s="54"/>
      <c r="E147" s="55"/>
      <c r="F147" s="75"/>
      <c r="G147" s="76"/>
      <c r="H147" s="76"/>
      <c r="I147" s="48"/>
      <c r="J147" s="70"/>
      <c r="K147" s="70"/>
      <c r="L147" s="193" t="s">
        <v>1177</v>
      </c>
      <c r="M147" s="194" t="s">
        <v>1261</v>
      </c>
      <c r="N147" s="193" t="s">
        <v>34</v>
      </c>
      <c r="O147" s="195">
        <v>1</v>
      </c>
      <c r="P147" s="196">
        <v>130.21</v>
      </c>
      <c r="Q147" s="196">
        <v>130.21</v>
      </c>
      <c r="R147" s="182"/>
      <c r="U147" s="128"/>
    </row>
    <row r="148" spans="1:21" ht="15.6" x14ac:dyDescent="0.3">
      <c r="A148" s="53"/>
      <c r="B148" s="54"/>
      <c r="C148" s="54"/>
      <c r="D148" s="54"/>
      <c r="E148" s="55"/>
      <c r="F148" s="75"/>
      <c r="G148" s="76"/>
      <c r="H148" s="76"/>
      <c r="I148" s="48"/>
      <c r="J148" s="70"/>
      <c r="K148" s="70"/>
      <c r="L148" s="193" t="s">
        <v>1007</v>
      </c>
      <c r="M148" s="194" t="s">
        <v>447</v>
      </c>
      <c r="N148" s="193" t="s">
        <v>34</v>
      </c>
      <c r="O148" s="195">
        <v>7</v>
      </c>
      <c r="P148" s="196">
        <v>131.47</v>
      </c>
      <c r="Q148" s="196">
        <v>920.31</v>
      </c>
      <c r="R148" s="182"/>
      <c r="U148" s="128"/>
    </row>
    <row r="149" spans="1:21" ht="15.6" x14ac:dyDescent="0.3">
      <c r="A149" s="53"/>
      <c r="B149" s="54"/>
      <c r="C149" s="54"/>
      <c r="D149" s="54"/>
      <c r="E149" s="55"/>
      <c r="F149" s="75"/>
      <c r="G149" s="76"/>
      <c r="H149" s="76"/>
      <c r="I149" s="48"/>
      <c r="J149" s="70"/>
      <c r="K149" s="70"/>
      <c r="L149" s="193" t="s">
        <v>886</v>
      </c>
      <c r="M149" s="194" t="s">
        <v>1072</v>
      </c>
      <c r="N149" s="193" t="s">
        <v>34</v>
      </c>
      <c r="O149" s="195">
        <v>3</v>
      </c>
      <c r="P149" s="196">
        <v>336.18</v>
      </c>
      <c r="Q149" s="197">
        <v>1008.54</v>
      </c>
      <c r="R149" s="182"/>
      <c r="U149" s="128"/>
    </row>
    <row r="150" spans="1:21" ht="15.6" x14ac:dyDescent="0.3">
      <c r="A150" s="53"/>
      <c r="B150" s="54"/>
      <c r="C150" s="54"/>
      <c r="D150" s="54"/>
      <c r="E150" s="55"/>
      <c r="F150" s="75"/>
      <c r="G150" s="76"/>
      <c r="H150" s="76"/>
      <c r="I150" s="48"/>
      <c r="J150" s="70"/>
      <c r="K150" s="70"/>
      <c r="L150" s="193" t="s">
        <v>828</v>
      </c>
      <c r="M150" s="194" t="s">
        <v>829</v>
      </c>
      <c r="N150" s="193" t="s">
        <v>34</v>
      </c>
      <c r="O150" s="195">
        <v>1</v>
      </c>
      <c r="P150" s="196">
        <v>133.15</v>
      </c>
      <c r="Q150" s="196">
        <v>133.15</v>
      </c>
      <c r="R150" s="182"/>
      <c r="U150" s="128"/>
    </row>
    <row r="151" spans="1:21" ht="15.6" x14ac:dyDescent="0.3">
      <c r="A151" s="53"/>
      <c r="B151" s="54"/>
      <c r="C151" s="54"/>
      <c r="D151" s="54"/>
      <c r="E151" s="55"/>
      <c r="F151" s="75"/>
      <c r="G151" s="76"/>
      <c r="H151" s="76"/>
      <c r="I151" s="48"/>
      <c r="J151" s="70"/>
      <c r="K151" s="70"/>
      <c r="L151" s="193" t="s">
        <v>830</v>
      </c>
      <c r="M151" s="194" t="s">
        <v>831</v>
      </c>
      <c r="N151" s="193" t="s">
        <v>34</v>
      </c>
      <c r="O151" s="195">
        <v>1</v>
      </c>
      <c r="P151" s="196">
        <v>693</v>
      </c>
      <c r="Q151" s="196">
        <v>693</v>
      </c>
      <c r="R151" s="182"/>
      <c r="U151" s="128"/>
    </row>
    <row r="152" spans="1:21" ht="15.6" x14ac:dyDescent="0.3">
      <c r="A152" s="53"/>
      <c r="B152" s="54"/>
      <c r="C152" s="54"/>
      <c r="D152" s="54"/>
      <c r="E152" s="55"/>
      <c r="F152" s="75"/>
      <c r="G152" s="76"/>
      <c r="H152" s="76"/>
      <c r="I152" s="48"/>
      <c r="J152" s="70"/>
      <c r="K152" s="70"/>
      <c r="L152" s="193" t="s">
        <v>924</v>
      </c>
      <c r="M152" s="194" t="s">
        <v>925</v>
      </c>
      <c r="N152" s="193" t="s">
        <v>34</v>
      </c>
      <c r="O152" s="195">
        <v>1</v>
      </c>
      <c r="P152" s="196">
        <v>69.34</v>
      </c>
      <c r="Q152" s="196">
        <v>69.34</v>
      </c>
      <c r="R152" s="182"/>
      <c r="U152" s="128"/>
    </row>
    <row r="153" spans="1:21" ht="15.6" x14ac:dyDescent="0.3">
      <c r="A153" s="53"/>
      <c r="B153" s="54"/>
      <c r="C153" s="54"/>
      <c r="D153" s="54"/>
      <c r="E153" s="55"/>
      <c r="F153" s="75"/>
      <c r="G153" s="76"/>
      <c r="H153" s="76"/>
      <c r="I153" s="48"/>
      <c r="J153" s="70"/>
      <c r="K153" s="70"/>
      <c r="L153" s="193" t="s">
        <v>455</v>
      </c>
      <c r="M153" s="194" t="s">
        <v>456</v>
      </c>
      <c r="N153" s="193" t="s">
        <v>34</v>
      </c>
      <c r="O153" s="195">
        <v>2</v>
      </c>
      <c r="P153" s="196">
        <v>275.73</v>
      </c>
      <c r="Q153" s="196">
        <v>551.46</v>
      </c>
      <c r="R153" s="182"/>
      <c r="U153" s="128"/>
    </row>
    <row r="154" spans="1:21" ht="15.6" x14ac:dyDescent="0.3">
      <c r="A154" s="53"/>
      <c r="B154" s="54"/>
      <c r="C154" s="54"/>
      <c r="D154" s="54"/>
      <c r="E154" s="55"/>
      <c r="F154" s="75"/>
      <c r="G154" s="76"/>
      <c r="H154" s="76"/>
      <c r="I154" s="48"/>
      <c r="J154" s="70"/>
      <c r="K154" s="70"/>
      <c r="L154" s="193" t="s">
        <v>927</v>
      </c>
      <c r="M154" s="194" t="s">
        <v>928</v>
      </c>
      <c r="N154" s="193" t="s">
        <v>34</v>
      </c>
      <c r="O154" s="195">
        <v>2</v>
      </c>
      <c r="P154" s="197">
        <v>1830.8</v>
      </c>
      <c r="Q154" s="197">
        <v>3661.59</v>
      </c>
      <c r="R154" s="182"/>
      <c r="U154" s="128"/>
    </row>
    <row r="155" spans="1:21" ht="15.6" x14ac:dyDescent="0.3">
      <c r="A155" s="53"/>
      <c r="B155" s="54"/>
      <c r="C155" s="54"/>
      <c r="D155" s="54"/>
      <c r="E155" s="55"/>
      <c r="F155" s="75"/>
      <c r="G155" s="76"/>
      <c r="H155" s="76"/>
      <c r="I155" s="48"/>
      <c r="J155" s="70"/>
      <c r="K155" s="70"/>
      <c r="L155" s="193" t="s">
        <v>219</v>
      </c>
      <c r="M155" s="194" t="s">
        <v>220</v>
      </c>
      <c r="N155" s="193" t="s">
        <v>34</v>
      </c>
      <c r="O155" s="195">
        <v>2</v>
      </c>
      <c r="P155" s="196">
        <v>112.79</v>
      </c>
      <c r="Q155" s="196">
        <v>225.58</v>
      </c>
      <c r="R155" s="182"/>
      <c r="U155" s="128"/>
    </row>
    <row r="156" spans="1:21" ht="15.6" x14ac:dyDescent="0.3">
      <c r="A156" s="53"/>
      <c r="B156" s="54"/>
      <c r="C156" s="54"/>
      <c r="D156" s="54"/>
      <c r="E156" s="55"/>
      <c r="F156" s="75"/>
      <c r="G156" s="76"/>
      <c r="H156" s="76"/>
      <c r="I156" s="48"/>
      <c r="J156" s="70"/>
      <c r="K156" s="70"/>
      <c r="L156" s="193" t="s">
        <v>1422</v>
      </c>
      <c r="M156" s="194" t="s">
        <v>1445</v>
      </c>
      <c r="N156" s="193" t="s">
        <v>34</v>
      </c>
      <c r="O156" s="195">
        <v>0.13600000000000001</v>
      </c>
      <c r="P156" s="196">
        <v>230</v>
      </c>
      <c r="Q156" s="196">
        <v>31.28</v>
      </c>
      <c r="R156" s="182"/>
      <c r="U156" s="128"/>
    </row>
    <row r="157" spans="1:21" ht="15.6" x14ac:dyDescent="0.3">
      <c r="A157" s="53"/>
      <c r="B157" s="54"/>
      <c r="C157" s="54"/>
      <c r="D157" s="54"/>
      <c r="E157" s="55"/>
      <c r="F157" s="75"/>
      <c r="G157" s="76"/>
      <c r="H157" s="76"/>
      <c r="I157" s="48"/>
      <c r="J157" s="70"/>
      <c r="K157" s="70"/>
      <c r="L157" s="193" t="s">
        <v>1371</v>
      </c>
      <c r="M157" s="194" t="s">
        <v>99</v>
      </c>
      <c r="N157" s="193" t="s">
        <v>34</v>
      </c>
      <c r="O157" s="195">
        <v>0.27300000000000002</v>
      </c>
      <c r="P157" s="197">
        <v>1041.6500000000001</v>
      </c>
      <c r="Q157" s="196">
        <v>284.37</v>
      </c>
      <c r="R157" s="182"/>
      <c r="U157" s="128"/>
    </row>
    <row r="158" spans="1:21" ht="15.6" x14ac:dyDescent="0.3">
      <c r="A158" s="53"/>
      <c r="B158" s="54"/>
      <c r="C158" s="54"/>
      <c r="D158" s="54"/>
      <c r="E158" s="55"/>
      <c r="F158" s="75"/>
      <c r="G158" s="76"/>
      <c r="H158" s="76"/>
      <c r="I158" s="48"/>
      <c r="J158" s="70"/>
      <c r="K158" s="70"/>
      <c r="L158" s="193" t="s">
        <v>1373</v>
      </c>
      <c r="M158" s="194" t="s">
        <v>1401</v>
      </c>
      <c r="N158" s="193" t="s">
        <v>34</v>
      </c>
      <c r="O158" s="195">
        <v>1</v>
      </c>
      <c r="P158" s="196">
        <v>19.489999999999998</v>
      </c>
      <c r="Q158" s="196">
        <v>19.489999999999998</v>
      </c>
      <c r="R158" s="182"/>
      <c r="U158" s="128"/>
    </row>
    <row r="159" spans="1:21" ht="15.6" x14ac:dyDescent="0.3">
      <c r="A159" s="53"/>
      <c r="B159" s="54"/>
      <c r="C159" s="54"/>
      <c r="D159" s="54"/>
      <c r="E159" s="55"/>
      <c r="F159" s="75"/>
      <c r="G159" s="76"/>
      <c r="H159" s="76"/>
      <c r="I159" s="48"/>
      <c r="J159" s="70"/>
      <c r="K159" s="70"/>
      <c r="L159" s="193" t="s">
        <v>510</v>
      </c>
      <c r="M159" s="194" t="s">
        <v>1060</v>
      </c>
      <c r="N159" s="193" t="s">
        <v>34</v>
      </c>
      <c r="O159" s="195">
        <v>0.27</v>
      </c>
      <c r="P159" s="196">
        <v>169</v>
      </c>
      <c r="Q159" s="196">
        <v>45.63</v>
      </c>
      <c r="R159" s="182"/>
      <c r="U159" s="128"/>
    </row>
    <row r="160" spans="1:21" ht="15.6" x14ac:dyDescent="0.3">
      <c r="A160" s="53"/>
      <c r="B160" s="54"/>
      <c r="C160" s="54"/>
      <c r="D160" s="54"/>
      <c r="E160" s="55"/>
      <c r="F160" s="75"/>
      <c r="G160" s="76"/>
      <c r="H160" s="76"/>
      <c r="I160" s="48"/>
      <c r="J160" s="70"/>
      <c r="K160" s="70"/>
      <c r="L160" s="193" t="s">
        <v>1374</v>
      </c>
      <c r="M160" s="194" t="s">
        <v>1402</v>
      </c>
      <c r="N160" s="193" t="s">
        <v>34</v>
      </c>
      <c r="O160" s="195">
        <v>4.4999999999999998E-2</v>
      </c>
      <c r="P160" s="196">
        <v>108</v>
      </c>
      <c r="Q160" s="196">
        <v>4.8600000000000003</v>
      </c>
      <c r="R160" s="182"/>
      <c r="U160" s="128"/>
    </row>
    <row r="161" spans="1:21" ht="15.6" x14ac:dyDescent="0.3">
      <c r="A161" s="53"/>
      <c r="B161" s="54"/>
      <c r="C161" s="54"/>
      <c r="D161" s="54"/>
      <c r="E161" s="55"/>
      <c r="F161" s="75"/>
      <c r="G161" s="76"/>
      <c r="H161" s="76"/>
      <c r="I161" s="48"/>
      <c r="J161" s="70"/>
      <c r="K161" s="70"/>
      <c r="L161" s="193" t="s">
        <v>1312</v>
      </c>
      <c r="M161" s="194" t="s">
        <v>1346</v>
      </c>
      <c r="N161" s="193" t="s">
        <v>34</v>
      </c>
      <c r="O161" s="195">
        <v>1</v>
      </c>
      <c r="P161" s="196">
        <v>57.18</v>
      </c>
      <c r="Q161" s="196">
        <v>57.18</v>
      </c>
      <c r="R161" s="182"/>
      <c r="U161" s="128"/>
    </row>
    <row r="162" spans="1:21" ht="15.6" x14ac:dyDescent="0.3">
      <c r="A162" s="53"/>
      <c r="B162" s="54"/>
      <c r="C162" s="54"/>
      <c r="D162" s="54"/>
      <c r="E162" s="55"/>
      <c r="F162" s="75"/>
      <c r="G162" s="76"/>
      <c r="H162" s="76"/>
      <c r="I162" s="48"/>
      <c r="J162" s="70"/>
      <c r="K162" s="70"/>
      <c r="L162" s="193" t="s">
        <v>1080</v>
      </c>
      <c r="M162" s="194" t="s">
        <v>1081</v>
      </c>
      <c r="N162" s="193" t="s">
        <v>34</v>
      </c>
      <c r="O162" s="195">
        <v>1</v>
      </c>
      <c r="P162" s="196">
        <v>4.25</v>
      </c>
      <c r="Q162" s="196">
        <v>4.25</v>
      </c>
      <c r="R162" s="182"/>
      <c r="U162" s="128"/>
    </row>
    <row r="163" spans="1:21" ht="15.6" x14ac:dyDescent="0.3">
      <c r="A163" s="53"/>
      <c r="B163" s="54"/>
      <c r="C163" s="54"/>
      <c r="D163" s="54"/>
      <c r="E163" s="55"/>
      <c r="F163" s="75"/>
      <c r="G163" s="76"/>
      <c r="H163" s="76"/>
      <c r="I163" s="48"/>
      <c r="J163" s="70"/>
      <c r="K163" s="70"/>
      <c r="L163" s="193" t="s">
        <v>983</v>
      </c>
      <c r="M163" s="194" t="s">
        <v>471</v>
      </c>
      <c r="N163" s="193" t="s">
        <v>34</v>
      </c>
      <c r="O163" s="195">
        <v>3</v>
      </c>
      <c r="P163" s="196">
        <v>31</v>
      </c>
      <c r="Q163" s="196">
        <v>93</v>
      </c>
      <c r="R163" s="182"/>
      <c r="U163" s="128"/>
    </row>
    <row r="164" spans="1:21" ht="15.6" x14ac:dyDescent="0.3">
      <c r="A164" s="53"/>
      <c r="B164" s="54"/>
      <c r="C164" s="54"/>
      <c r="D164" s="54"/>
      <c r="E164" s="55"/>
      <c r="F164" s="75"/>
      <c r="G164" s="76"/>
      <c r="H164" s="76"/>
      <c r="I164" s="48"/>
      <c r="J164" s="70"/>
      <c r="K164" s="70"/>
      <c r="L164" s="193" t="s">
        <v>984</v>
      </c>
      <c r="M164" s="194" t="s">
        <v>472</v>
      </c>
      <c r="N164" s="193" t="s">
        <v>34</v>
      </c>
      <c r="O164" s="195">
        <v>5</v>
      </c>
      <c r="P164" s="196">
        <v>7.5</v>
      </c>
      <c r="Q164" s="196">
        <v>37.5</v>
      </c>
      <c r="R164" s="182"/>
      <c r="U164" s="128"/>
    </row>
    <row r="165" spans="1:21" ht="15.6" x14ac:dyDescent="0.3">
      <c r="A165" s="53"/>
      <c r="B165" s="54"/>
      <c r="C165" s="54"/>
      <c r="D165" s="54"/>
      <c r="E165" s="55"/>
      <c r="F165" s="75"/>
      <c r="G165" s="76"/>
      <c r="H165" s="76"/>
      <c r="I165" s="48"/>
      <c r="J165" s="70"/>
      <c r="K165" s="70"/>
      <c r="L165" s="193" t="s">
        <v>832</v>
      </c>
      <c r="M165" s="194" t="s">
        <v>833</v>
      </c>
      <c r="N165" s="193" t="s">
        <v>34</v>
      </c>
      <c r="O165" s="195">
        <v>2</v>
      </c>
      <c r="P165" s="196">
        <v>57.2</v>
      </c>
      <c r="Q165" s="196">
        <v>114.4</v>
      </c>
      <c r="R165" s="182"/>
      <c r="U165" s="128"/>
    </row>
    <row r="166" spans="1:21" ht="15.6" x14ac:dyDescent="0.3">
      <c r="A166" s="53"/>
      <c r="B166" s="54"/>
      <c r="C166" s="54"/>
      <c r="D166" s="54"/>
      <c r="E166" s="55"/>
      <c r="F166" s="75"/>
      <c r="G166" s="76"/>
      <c r="H166" s="76"/>
      <c r="I166" s="48"/>
      <c r="J166" s="70"/>
      <c r="K166" s="70"/>
      <c r="L166" s="193" t="s">
        <v>985</v>
      </c>
      <c r="M166" s="194" t="s">
        <v>473</v>
      </c>
      <c r="N166" s="193" t="s">
        <v>34</v>
      </c>
      <c r="O166" s="195">
        <v>1</v>
      </c>
      <c r="P166" s="196">
        <v>31.42</v>
      </c>
      <c r="Q166" s="196">
        <v>31.42</v>
      </c>
      <c r="R166" s="182"/>
      <c r="U166" s="128"/>
    </row>
    <row r="167" spans="1:21" ht="15.6" x14ac:dyDescent="0.3">
      <c r="A167" s="53"/>
      <c r="B167" s="54"/>
      <c r="C167" s="54"/>
      <c r="D167" s="54"/>
      <c r="E167" s="55"/>
      <c r="F167" s="75"/>
      <c r="G167" s="76"/>
      <c r="H167" s="76"/>
      <c r="I167" s="48"/>
      <c r="J167" s="70"/>
      <c r="K167" s="70"/>
      <c r="L167" s="193" t="s">
        <v>1087</v>
      </c>
      <c r="M167" s="194" t="s">
        <v>1089</v>
      </c>
      <c r="N167" s="193" t="s">
        <v>34</v>
      </c>
      <c r="O167" s="195">
        <v>1</v>
      </c>
      <c r="P167" s="196">
        <v>73</v>
      </c>
      <c r="Q167" s="196">
        <v>73</v>
      </c>
      <c r="R167" s="182"/>
      <c r="U167" s="128"/>
    </row>
    <row r="168" spans="1:21" ht="15.6" x14ac:dyDescent="0.3">
      <c r="A168" s="53"/>
      <c r="B168" s="54"/>
      <c r="C168" s="54"/>
      <c r="D168" s="54"/>
      <c r="E168" s="55"/>
      <c r="F168" s="75"/>
      <c r="G168" s="76"/>
      <c r="H168" s="76"/>
      <c r="I168" s="48"/>
      <c r="J168" s="70"/>
      <c r="K168" s="70"/>
      <c r="L168" s="193" t="s">
        <v>49</v>
      </c>
      <c r="M168" s="194" t="s">
        <v>74</v>
      </c>
      <c r="N168" s="193" t="s">
        <v>34</v>
      </c>
      <c r="O168" s="195">
        <v>17</v>
      </c>
      <c r="P168" s="196">
        <v>128.91999999999999</v>
      </c>
      <c r="Q168" s="197">
        <v>2191.64</v>
      </c>
      <c r="R168" s="182"/>
      <c r="U168" s="128"/>
    </row>
    <row r="169" spans="1:21" ht="15.6" x14ac:dyDescent="0.3">
      <c r="A169" s="53"/>
      <c r="B169" s="54"/>
      <c r="C169" s="54"/>
      <c r="D169" s="54"/>
      <c r="E169" s="55"/>
      <c r="F169" s="75"/>
      <c r="G169" s="76"/>
      <c r="H169" s="76"/>
      <c r="I169" s="48"/>
      <c r="J169" s="70"/>
      <c r="K169" s="70"/>
      <c r="L169" s="193" t="s">
        <v>967</v>
      </c>
      <c r="M169" s="194" t="s">
        <v>1056</v>
      </c>
      <c r="N169" s="193" t="s">
        <v>34</v>
      </c>
      <c r="O169" s="195">
        <v>3</v>
      </c>
      <c r="P169" s="196">
        <v>0.43</v>
      </c>
      <c r="Q169" s="196">
        <v>1.29</v>
      </c>
      <c r="R169" s="182"/>
      <c r="U169" s="128"/>
    </row>
    <row r="170" spans="1:21" ht="15.6" x14ac:dyDescent="0.3">
      <c r="A170" s="53"/>
      <c r="B170" s="54"/>
      <c r="C170" s="54"/>
      <c r="D170" s="54"/>
      <c r="E170" s="55"/>
      <c r="F170" s="75"/>
      <c r="G170" s="76"/>
      <c r="H170" s="76"/>
      <c r="I170" s="48"/>
      <c r="J170" s="70"/>
      <c r="K170" s="70"/>
      <c r="L170" s="193" t="s">
        <v>968</v>
      </c>
      <c r="M170" s="194" t="s">
        <v>756</v>
      </c>
      <c r="N170" s="193" t="s">
        <v>34</v>
      </c>
      <c r="O170" s="195">
        <v>250</v>
      </c>
      <c r="P170" s="196">
        <v>0.94</v>
      </c>
      <c r="Q170" s="196">
        <v>235</v>
      </c>
      <c r="R170" s="182"/>
      <c r="U170" s="128"/>
    </row>
    <row r="171" spans="1:21" ht="15.6" x14ac:dyDescent="0.3">
      <c r="A171" s="53"/>
      <c r="B171" s="54"/>
      <c r="C171" s="54"/>
      <c r="D171" s="54"/>
      <c r="E171" s="55"/>
      <c r="F171" s="75"/>
      <c r="G171" s="76"/>
      <c r="H171" s="76"/>
      <c r="I171" s="48"/>
      <c r="J171" s="70"/>
      <c r="K171" s="70"/>
      <c r="L171" s="193" t="s">
        <v>969</v>
      </c>
      <c r="M171" s="194" t="s">
        <v>75</v>
      </c>
      <c r="N171" s="193" t="s">
        <v>34</v>
      </c>
      <c r="O171" s="195">
        <v>12</v>
      </c>
      <c r="P171" s="196">
        <v>1.8</v>
      </c>
      <c r="Q171" s="196">
        <v>21.56</v>
      </c>
      <c r="R171" s="182"/>
      <c r="U171" s="128"/>
    </row>
    <row r="172" spans="1:21" ht="15.6" x14ac:dyDescent="0.3">
      <c r="A172" s="53"/>
      <c r="B172" s="54"/>
      <c r="C172" s="54"/>
      <c r="D172" s="54"/>
      <c r="E172" s="55"/>
      <c r="F172" s="75"/>
      <c r="G172" s="76"/>
      <c r="H172" s="76"/>
      <c r="I172" s="48"/>
      <c r="J172" s="70"/>
      <c r="K172" s="70"/>
      <c r="L172" s="193" t="s">
        <v>1122</v>
      </c>
      <c r="M172" s="194" t="s">
        <v>1208</v>
      </c>
      <c r="N172" s="193" t="s">
        <v>34</v>
      </c>
      <c r="O172" s="195">
        <v>1</v>
      </c>
      <c r="P172" s="196">
        <v>212</v>
      </c>
      <c r="Q172" s="196">
        <v>212</v>
      </c>
      <c r="R172" s="182"/>
      <c r="U172" s="128"/>
    </row>
    <row r="173" spans="1:21" ht="15.6" x14ac:dyDescent="0.3">
      <c r="A173" s="53"/>
      <c r="B173" s="54"/>
      <c r="C173" s="54"/>
      <c r="D173" s="54"/>
      <c r="E173" s="55"/>
      <c r="F173" s="75"/>
      <c r="G173" s="76"/>
      <c r="H173" s="76"/>
      <c r="I173" s="48"/>
      <c r="J173" s="70"/>
      <c r="K173" s="70"/>
      <c r="L173" s="193" t="s">
        <v>757</v>
      </c>
      <c r="M173" s="194" t="s">
        <v>758</v>
      </c>
      <c r="N173" s="193" t="s">
        <v>34</v>
      </c>
      <c r="O173" s="195">
        <v>0.2</v>
      </c>
      <c r="P173" s="197">
        <v>2803</v>
      </c>
      <c r="Q173" s="196">
        <v>560.6</v>
      </c>
      <c r="R173" s="182"/>
      <c r="U173" s="128"/>
    </row>
    <row r="174" spans="1:21" ht="15.6" x14ac:dyDescent="0.3">
      <c r="A174" s="53"/>
      <c r="B174" s="54"/>
      <c r="C174" s="54"/>
      <c r="D174" s="54"/>
      <c r="E174" s="55"/>
      <c r="F174" s="75"/>
      <c r="G174" s="76"/>
      <c r="H174" s="76"/>
      <c r="I174" s="48"/>
      <c r="J174" s="70"/>
      <c r="K174" s="70"/>
      <c r="L174" s="193" t="s">
        <v>1124</v>
      </c>
      <c r="M174" s="194" t="s">
        <v>1210</v>
      </c>
      <c r="N174" s="193" t="s">
        <v>34</v>
      </c>
      <c r="O174" s="195">
        <v>1</v>
      </c>
      <c r="P174" s="196">
        <v>108.49</v>
      </c>
      <c r="Q174" s="196">
        <v>108.49</v>
      </c>
      <c r="R174" s="182"/>
      <c r="U174" s="128"/>
    </row>
    <row r="175" spans="1:21" ht="15.6" x14ac:dyDescent="0.3">
      <c r="A175" s="53"/>
      <c r="B175" s="54"/>
      <c r="C175" s="54"/>
      <c r="D175" s="54"/>
      <c r="E175" s="55"/>
      <c r="F175" s="75"/>
      <c r="G175" s="76"/>
      <c r="H175" s="76"/>
      <c r="I175" s="48"/>
      <c r="J175" s="70"/>
      <c r="K175" s="70"/>
      <c r="L175" s="193" t="s">
        <v>970</v>
      </c>
      <c r="M175" s="194" t="s">
        <v>294</v>
      </c>
      <c r="N175" s="193" t="s">
        <v>34</v>
      </c>
      <c r="O175" s="195">
        <v>4</v>
      </c>
      <c r="P175" s="196">
        <v>172.3</v>
      </c>
      <c r="Q175" s="196">
        <v>689.2</v>
      </c>
      <c r="R175" s="182"/>
      <c r="U175" s="128"/>
    </row>
    <row r="176" spans="1:21" ht="15.6" x14ac:dyDescent="0.3">
      <c r="A176" s="53"/>
      <c r="B176" s="54"/>
      <c r="C176" s="54"/>
      <c r="D176" s="54"/>
      <c r="E176" s="55"/>
      <c r="F176" s="75"/>
      <c r="G176" s="76"/>
      <c r="H176" s="76"/>
      <c r="I176" s="48"/>
      <c r="J176" s="70"/>
      <c r="K176" s="70"/>
      <c r="L176" s="193" t="s">
        <v>971</v>
      </c>
      <c r="M176" s="194" t="s">
        <v>296</v>
      </c>
      <c r="N176" s="193" t="s">
        <v>34</v>
      </c>
      <c r="O176" s="195">
        <v>3</v>
      </c>
      <c r="P176" s="196">
        <v>131.5</v>
      </c>
      <c r="Q176" s="196">
        <v>394.5</v>
      </c>
      <c r="R176" s="182"/>
      <c r="U176" s="128"/>
    </row>
    <row r="177" spans="1:21" ht="15.6" x14ac:dyDescent="0.3">
      <c r="A177" s="53"/>
      <c r="B177" s="54"/>
      <c r="C177" s="54"/>
      <c r="D177" s="54"/>
      <c r="E177" s="55"/>
      <c r="F177" s="75"/>
      <c r="G177" s="76"/>
      <c r="H177" s="76"/>
      <c r="I177" s="48"/>
      <c r="J177" s="70"/>
      <c r="K177" s="70"/>
      <c r="L177" s="193" t="s">
        <v>972</v>
      </c>
      <c r="M177" s="194" t="s">
        <v>297</v>
      </c>
      <c r="N177" s="193" t="s">
        <v>34</v>
      </c>
      <c r="O177" s="195">
        <v>1</v>
      </c>
      <c r="P177" s="196">
        <v>167</v>
      </c>
      <c r="Q177" s="196">
        <v>167</v>
      </c>
      <c r="R177" s="182"/>
      <c r="U177" s="128"/>
    </row>
    <row r="178" spans="1:21" ht="15.6" x14ac:dyDescent="0.3">
      <c r="A178" s="53"/>
      <c r="B178" s="54"/>
      <c r="C178" s="54"/>
      <c r="D178" s="54"/>
      <c r="E178" s="55"/>
      <c r="F178" s="75"/>
      <c r="G178" s="76"/>
      <c r="H178" s="76"/>
      <c r="I178" s="48"/>
      <c r="J178" s="70"/>
      <c r="K178" s="70"/>
      <c r="L178" s="193" t="s">
        <v>1125</v>
      </c>
      <c r="M178" s="194" t="s">
        <v>1211</v>
      </c>
      <c r="N178" s="193" t="s">
        <v>34</v>
      </c>
      <c r="O178" s="195">
        <v>1</v>
      </c>
      <c r="P178" s="196">
        <v>106.25</v>
      </c>
      <c r="Q178" s="196">
        <v>106.25</v>
      </c>
      <c r="R178" s="182"/>
      <c r="U178" s="128"/>
    </row>
    <row r="179" spans="1:21" ht="15.6" x14ac:dyDescent="0.3">
      <c r="A179" s="53"/>
      <c r="B179" s="54"/>
      <c r="C179" s="54"/>
      <c r="D179" s="54"/>
      <c r="E179" s="55"/>
      <c r="F179" s="75"/>
      <c r="G179" s="76"/>
      <c r="H179" s="76"/>
      <c r="I179" s="48"/>
      <c r="J179" s="70"/>
      <c r="K179" s="70"/>
      <c r="L179" s="193" t="s">
        <v>298</v>
      </c>
      <c r="M179" s="194" t="s">
        <v>299</v>
      </c>
      <c r="N179" s="193" t="s">
        <v>34</v>
      </c>
      <c r="O179" s="195">
        <v>5</v>
      </c>
      <c r="P179" s="196">
        <v>205.63</v>
      </c>
      <c r="Q179" s="197">
        <v>1028.1300000000001</v>
      </c>
      <c r="R179" s="182"/>
      <c r="U179" s="128"/>
    </row>
    <row r="180" spans="1:21" ht="15.6" x14ac:dyDescent="0.3">
      <c r="A180" s="53"/>
      <c r="B180" s="54"/>
      <c r="C180" s="54"/>
      <c r="D180" s="54"/>
      <c r="E180" s="55"/>
      <c r="F180" s="75"/>
      <c r="G180" s="76"/>
      <c r="H180" s="76"/>
      <c r="I180" s="48"/>
      <c r="J180" s="70"/>
      <c r="K180" s="70"/>
      <c r="L180" s="193" t="s">
        <v>896</v>
      </c>
      <c r="M180" s="194" t="s">
        <v>897</v>
      </c>
      <c r="N180" s="193" t="s">
        <v>34</v>
      </c>
      <c r="O180" s="195">
        <v>1.3</v>
      </c>
      <c r="P180" s="196">
        <v>466.43</v>
      </c>
      <c r="Q180" s="196">
        <v>606.36</v>
      </c>
      <c r="R180" s="182"/>
      <c r="U180" s="128"/>
    </row>
    <row r="181" spans="1:21" ht="15.6" x14ac:dyDescent="0.3">
      <c r="A181" s="53"/>
      <c r="B181" s="54"/>
      <c r="C181" s="54"/>
      <c r="D181" s="54"/>
      <c r="E181" s="55"/>
      <c r="F181" s="75"/>
      <c r="G181" s="76"/>
      <c r="H181" s="76"/>
      <c r="I181" s="48"/>
      <c r="J181" s="70"/>
      <c r="K181" s="70"/>
      <c r="L181" s="193" t="s">
        <v>1128</v>
      </c>
      <c r="M181" s="194" t="s">
        <v>1214</v>
      </c>
      <c r="N181" s="193" t="s">
        <v>34</v>
      </c>
      <c r="O181" s="195">
        <v>1</v>
      </c>
      <c r="P181" s="196">
        <v>464.55</v>
      </c>
      <c r="Q181" s="196">
        <v>464.55</v>
      </c>
      <c r="R181" s="182"/>
      <c r="U181" s="128"/>
    </row>
    <row r="182" spans="1:21" ht="15.6" x14ac:dyDescent="0.3">
      <c r="A182" s="53"/>
      <c r="B182" s="54"/>
      <c r="C182" s="54"/>
      <c r="D182" s="54"/>
      <c r="E182" s="55"/>
      <c r="F182" s="75"/>
      <c r="G182" s="76"/>
      <c r="H182" s="76"/>
      <c r="I182" s="48"/>
      <c r="J182" s="70"/>
      <c r="K182" s="70"/>
      <c r="L182" s="193" t="s">
        <v>1129</v>
      </c>
      <c r="M182" s="194" t="s">
        <v>1215</v>
      </c>
      <c r="N182" s="193" t="s">
        <v>34</v>
      </c>
      <c r="O182" s="195">
        <v>1</v>
      </c>
      <c r="P182" s="196">
        <v>489</v>
      </c>
      <c r="Q182" s="196">
        <v>489</v>
      </c>
      <c r="R182" s="182"/>
      <c r="U182" s="128"/>
    </row>
    <row r="183" spans="1:21" ht="15.6" x14ac:dyDescent="0.3">
      <c r="A183" s="53"/>
      <c r="B183" s="54"/>
      <c r="C183" s="54"/>
      <c r="D183" s="54"/>
      <c r="E183" s="55"/>
      <c r="F183" s="75"/>
      <c r="G183" s="76"/>
      <c r="H183" s="76"/>
      <c r="I183" s="48"/>
      <c r="J183" s="70"/>
      <c r="K183" s="70"/>
      <c r="L183" s="193" t="s">
        <v>1131</v>
      </c>
      <c r="M183" s="194" t="s">
        <v>1217</v>
      </c>
      <c r="N183" s="193" t="s">
        <v>34</v>
      </c>
      <c r="O183" s="195">
        <v>1</v>
      </c>
      <c r="P183" s="197">
        <v>2217.4499999999998</v>
      </c>
      <c r="Q183" s="197">
        <v>2217.4499999999998</v>
      </c>
      <c r="R183" s="182"/>
      <c r="U183" s="128"/>
    </row>
    <row r="184" spans="1:21" ht="15.6" x14ac:dyDescent="0.3">
      <c r="A184" s="53"/>
      <c r="B184" s="54"/>
      <c r="C184" s="54"/>
      <c r="D184" s="54"/>
      <c r="E184" s="55"/>
      <c r="F184" s="75"/>
      <c r="G184" s="76"/>
      <c r="H184" s="76"/>
      <c r="I184" s="48"/>
      <c r="J184" s="70"/>
      <c r="K184" s="70"/>
      <c r="L184" s="193" t="s">
        <v>1132</v>
      </c>
      <c r="M184" s="194" t="s">
        <v>1218</v>
      </c>
      <c r="N184" s="193" t="s">
        <v>34</v>
      </c>
      <c r="O184" s="195">
        <v>2</v>
      </c>
      <c r="P184" s="197">
        <v>2217.4499999999998</v>
      </c>
      <c r="Q184" s="197">
        <v>4434.8999999999996</v>
      </c>
      <c r="R184" s="182"/>
      <c r="U184" s="128"/>
    </row>
    <row r="185" spans="1:21" ht="15.6" x14ac:dyDescent="0.3">
      <c r="A185" s="53"/>
      <c r="B185" s="54"/>
      <c r="C185" s="54"/>
      <c r="D185" s="54"/>
      <c r="E185" s="55"/>
      <c r="F185" s="75"/>
      <c r="G185" s="76"/>
      <c r="H185" s="76"/>
      <c r="I185" s="48"/>
      <c r="J185" s="70"/>
      <c r="K185" s="70"/>
      <c r="L185" s="193" t="s">
        <v>304</v>
      </c>
      <c r="M185" s="194" t="s">
        <v>305</v>
      </c>
      <c r="N185" s="193" t="s">
        <v>34</v>
      </c>
      <c r="O185" s="195">
        <v>7</v>
      </c>
      <c r="P185" s="196">
        <v>63.7</v>
      </c>
      <c r="Q185" s="196">
        <v>445.9</v>
      </c>
      <c r="R185" s="182"/>
      <c r="U185" s="128"/>
    </row>
    <row r="186" spans="1:21" ht="15.6" x14ac:dyDescent="0.3">
      <c r="A186" s="53"/>
      <c r="B186" s="54"/>
      <c r="C186" s="54"/>
      <c r="D186" s="54"/>
      <c r="E186" s="55"/>
      <c r="F186" s="75"/>
      <c r="G186" s="76"/>
      <c r="H186" s="76"/>
      <c r="I186" s="48"/>
      <c r="J186" s="70"/>
      <c r="K186" s="70"/>
      <c r="L186" s="193" t="s">
        <v>761</v>
      </c>
      <c r="M186" s="194" t="s">
        <v>762</v>
      </c>
      <c r="N186" s="193" t="s">
        <v>34</v>
      </c>
      <c r="O186" s="195">
        <v>19</v>
      </c>
      <c r="P186" s="196">
        <v>74.78</v>
      </c>
      <c r="Q186" s="197">
        <v>1420.85</v>
      </c>
      <c r="R186" s="182"/>
      <c r="U186" s="128"/>
    </row>
    <row r="187" spans="1:21" ht="15.6" x14ac:dyDescent="0.3">
      <c r="A187" s="53"/>
      <c r="B187" s="54"/>
      <c r="C187" s="54"/>
      <c r="D187" s="54"/>
      <c r="E187" s="55"/>
      <c r="F187" s="75"/>
      <c r="G187" s="76"/>
      <c r="H187" s="76"/>
      <c r="I187" s="48"/>
      <c r="J187" s="70"/>
      <c r="K187" s="70"/>
      <c r="L187" s="193" t="s">
        <v>975</v>
      </c>
      <c r="M187" s="194" t="s">
        <v>763</v>
      </c>
      <c r="N187" s="193" t="s">
        <v>34</v>
      </c>
      <c r="O187" s="195">
        <v>8</v>
      </c>
      <c r="P187" s="196">
        <v>109.4</v>
      </c>
      <c r="Q187" s="196">
        <v>875.2</v>
      </c>
      <c r="R187" s="182"/>
      <c r="U187" s="128"/>
    </row>
    <row r="188" spans="1:21" ht="15.6" x14ac:dyDescent="0.3">
      <c r="A188" s="53"/>
      <c r="B188" s="54"/>
      <c r="C188" s="54"/>
      <c r="D188" s="54"/>
      <c r="E188" s="55"/>
      <c r="F188" s="75"/>
      <c r="G188" s="76"/>
      <c r="H188" s="76"/>
      <c r="I188" s="48"/>
      <c r="J188" s="70"/>
      <c r="K188" s="70"/>
      <c r="L188" s="193" t="s">
        <v>869</v>
      </c>
      <c r="M188" s="194" t="s">
        <v>898</v>
      </c>
      <c r="N188" s="193" t="s">
        <v>34</v>
      </c>
      <c r="O188" s="195">
        <v>1</v>
      </c>
      <c r="P188" s="196">
        <v>728.71</v>
      </c>
      <c r="Q188" s="196">
        <v>728.71</v>
      </c>
      <c r="R188" s="182"/>
      <c r="U188" s="128"/>
    </row>
    <row r="189" spans="1:21" ht="15.6" x14ac:dyDescent="0.3">
      <c r="A189" s="53"/>
      <c r="B189" s="54"/>
      <c r="C189" s="54"/>
      <c r="D189" s="54"/>
      <c r="E189" s="55"/>
      <c r="F189" s="75"/>
      <c r="G189" s="76"/>
      <c r="H189" s="76"/>
      <c r="I189" s="48"/>
      <c r="J189" s="70"/>
      <c r="K189" s="70"/>
      <c r="L189" s="193" t="s">
        <v>870</v>
      </c>
      <c r="M189" s="194" t="s">
        <v>899</v>
      </c>
      <c r="N189" s="193" t="s">
        <v>34</v>
      </c>
      <c r="O189" s="195">
        <v>1</v>
      </c>
      <c r="P189" s="197">
        <v>1816.27</v>
      </c>
      <c r="Q189" s="197">
        <v>1816.27</v>
      </c>
      <c r="R189" s="182"/>
      <c r="U189" s="128"/>
    </row>
    <row r="190" spans="1:21" ht="15.6" x14ac:dyDescent="0.3">
      <c r="A190" s="53"/>
      <c r="B190" s="54"/>
      <c r="C190" s="54"/>
      <c r="D190" s="54"/>
      <c r="E190" s="55"/>
      <c r="F190" s="75"/>
      <c r="G190" s="76"/>
      <c r="H190" s="76"/>
      <c r="I190" s="48"/>
      <c r="J190" s="70"/>
      <c r="K190" s="70"/>
      <c r="L190" s="193" t="s">
        <v>900</v>
      </c>
      <c r="M190" s="194" t="s">
        <v>901</v>
      </c>
      <c r="N190" s="193" t="s">
        <v>34</v>
      </c>
      <c r="O190" s="195">
        <v>1</v>
      </c>
      <c r="P190" s="196">
        <v>64</v>
      </c>
      <c r="Q190" s="196">
        <v>64</v>
      </c>
      <c r="R190" s="182"/>
      <c r="U190" s="128"/>
    </row>
    <row r="191" spans="1:21" ht="15.6" x14ac:dyDescent="0.3">
      <c r="A191" s="53"/>
      <c r="B191" s="54"/>
      <c r="C191" s="54"/>
      <c r="D191" s="54"/>
      <c r="E191" s="55"/>
      <c r="F191" s="75"/>
      <c r="G191" s="76"/>
      <c r="H191" s="76"/>
      <c r="I191" s="48"/>
      <c r="J191" s="70"/>
      <c r="K191" s="70"/>
      <c r="L191" s="193" t="s">
        <v>866</v>
      </c>
      <c r="M191" s="194" t="s">
        <v>919</v>
      </c>
      <c r="N191" s="193" t="s">
        <v>34</v>
      </c>
      <c r="O191" s="195">
        <v>2</v>
      </c>
      <c r="P191" s="197">
        <v>2690</v>
      </c>
      <c r="Q191" s="197">
        <v>5380</v>
      </c>
      <c r="R191" s="182"/>
      <c r="U191" s="128"/>
    </row>
    <row r="192" spans="1:21" ht="15.6" x14ac:dyDescent="0.3">
      <c r="A192" s="53"/>
      <c r="B192" s="54"/>
      <c r="C192" s="54"/>
      <c r="D192" s="54"/>
      <c r="E192" s="55"/>
      <c r="F192" s="75"/>
      <c r="G192" s="76"/>
      <c r="H192" s="76"/>
      <c r="I192" s="48"/>
      <c r="J192" s="70"/>
      <c r="K192" s="70"/>
      <c r="L192" s="193" t="s">
        <v>782</v>
      </c>
      <c r="M192" s="194" t="s">
        <v>783</v>
      </c>
      <c r="N192" s="193" t="s">
        <v>34</v>
      </c>
      <c r="O192" s="195">
        <v>2</v>
      </c>
      <c r="P192" s="197">
        <v>2778.33</v>
      </c>
      <c r="Q192" s="197">
        <v>5556.66</v>
      </c>
      <c r="R192" s="182"/>
      <c r="U192" s="128"/>
    </row>
    <row r="193" spans="1:21" ht="15.6" x14ac:dyDescent="0.3">
      <c r="A193" s="53"/>
      <c r="B193" s="54"/>
      <c r="C193" s="54"/>
      <c r="D193" s="54"/>
      <c r="E193" s="55"/>
      <c r="F193" s="75"/>
      <c r="G193" s="76"/>
      <c r="H193" s="76"/>
      <c r="I193" s="48"/>
      <c r="J193" s="70"/>
      <c r="K193" s="70"/>
      <c r="L193" s="193" t="s">
        <v>766</v>
      </c>
      <c r="M193" s="194" t="s">
        <v>767</v>
      </c>
      <c r="N193" s="193" t="s">
        <v>34</v>
      </c>
      <c r="O193" s="195">
        <v>1</v>
      </c>
      <c r="P193" s="197">
        <v>9995.33</v>
      </c>
      <c r="Q193" s="197">
        <v>9995.33</v>
      </c>
      <c r="R193" s="182"/>
      <c r="U193" s="128"/>
    </row>
    <row r="194" spans="1:21" ht="15.6" x14ac:dyDescent="0.3">
      <c r="A194" s="53"/>
      <c r="B194" s="54"/>
      <c r="C194" s="54"/>
      <c r="D194" s="54"/>
      <c r="E194" s="55"/>
      <c r="F194" s="75"/>
      <c r="G194" s="76"/>
      <c r="H194" s="76"/>
      <c r="I194" s="48"/>
      <c r="J194" s="70"/>
      <c r="K194" s="70"/>
      <c r="L194" s="193" t="s">
        <v>1162</v>
      </c>
      <c r="M194" s="194" t="s">
        <v>1247</v>
      </c>
      <c r="N194" s="193" t="s">
        <v>34</v>
      </c>
      <c r="O194" s="195">
        <v>6</v>
      </c>
      <c r="P194" s="196">
        <v>466.46</v>
      </c>
      <c r="Q194" s="197">
        <v>2798.76</v>
      </c>
      <c r="R194" s="182"/>
      <c r="U194" s="128"/>
    </row>
    <row r="195" spans="1:21" ht="15.6" x14ac:dyDescent="0.3">
      <c r="A195" s="53"/>
      <c r="B195" s="54"/>
      <c r="C195" s="54"/>
      <c r="D195" s="54"/>
      <c r="E195" s="55"/>
      <c r="F195" s="75"/>
      <c r="G195" s="76"/>
      <c r="H195" s="76"/>
      <c r="I195" s="48"/>
      <c r="J195" s="70"/>
      <c r="K195" s="70"/>
      <c r="L195" s="193" t="s">
        <v>754</v>
      </c>
      <c r="M195" s="194" t="s">
        <v>755</v>
      </c>
      <c r="N195" s="193" t="s">
        <v>34</v>
      </c>
      <c r="O195" s="195">
        <v>1</v>
      </c>
      <c r="P195" s="197">
        <v>7141.42</v>
      </c>
      <c r="Q195" s="197">
        <v>7141.42</v>
      </c>
      <c r="R195" s="182"/>
      <c r="U195" s="128"/>
    </row>
    <row r="196" spans="1:21" ht="15.6" x14ac:dyDescent="0.3">
      <c r="A196" s="53"/>
      <c r="B196" s="54"/>
      <c r="C196" s="54"/>
      <c r="D196" s="54"/>
      <c r="E196" s="55"/>
      <c r="F196" s="75"/>
      <c r="G196" s="76"/>
      <c r="H196" s="76"/>
      <c r="I196" s="48"/>
      <c r="J196" s="70"/>
      <c r="K196" s="70"/>
      <c r="L196" s="193" t="s">
        <v>995</v>
      </c>
      <c r="M196" s="194" t="s">
        <v>1067</v>
      </c>
      <c r="N196" s="193" t="s">
        <v>34</v>
      </c>
      <c r="O196" s="195">
        <v>1</v>
      </c>
      <c r="P196" s="197">
        <v>7750</v>
      </c>
      <c r="Q196" s="197">
        <v>7750</v>
      </c>
      <c r="R196" s="182"/>
      <c r="U196" s="128"/>
    </row>
    <row r="197" spans="1:21" ht="15.6" x14ac:dyDescent="0.3">
      <c r="A197" s="53"/>
      <c r="B197" s="54"/>
      <c r="C197" s="54"/>
      <c r="D197" s="54"/>
      <c r="E197" s="55"/>
      <c r="F197" s="75"/>
      <c r="G197" s="76"/>
      <c r="H197" s="76"/>
      <c r="I197" s="48"/>
      <c r="J197" s="70"/>
      <c r="K197" s="70"/>
      <c r="L197" s="193" t="s">
        <v>994</v>
      </c>
      <c r="M197" s="194" t="s">
        <v>1066</v>
      </c>
      <c r="N197" s="193" t="s">
        <v>34</v>
      </c>
      <c r="O197" s="195">
        <v>1</v>
      </c>
      <c r="P197" s="197">
        <v>7750</v>
      </c>
      <c r="Q197" s="197">
        <v>7750</v>
      </c>
      <c r="R197" s="182"/>
      <c r="U197" s="128"/>
    </row>
    <row r="198" spans="1:21" ht="15.6" x14ac:dyDescent="0.3">
      <c r="A198" s="53"/>
      <c r="B198" s="54"/>
      <c r="C198" s="54"/>
      <c r="D198" s="54"/>
      <c r="E198" s="55"/>
      <c r="F198" s="75"/>
      <c r="G198" s="76"/>
      <c r="H198" s="76"/>
      <c r="I198" s="48"/>
      <c r="J198" s="70"/>
      <c r="K198" s="70"/>
      <c r="L198" s="193" t="s">
        <v>1093</v>
      </c>
      <c r="M198" s="194" t="s">
        <v>1097</v>
      </c>
      <c r="N198" s="193" t="s">
        <v>34</v>
      </c>
      <c r="O198" s="195">
        <v>1</v>
      </c>
      <c r="P198" s="197">
        <v>6116.67</v>
      </c>
      <c r="Q198" s="197">
        <v>6116.67</v>
      </c>
      <c r="R198" s="182"/>
      <c r="U198" s="128"/>
    </row>
    <row r="199" spans="1:21" ht="15.6" x14ac:dyDescent="0.3">
      <c r="A199" s="53"/>
      <c r="B199" s="54"/>
      <c r="C199" s="54"/>
      <c r="D199" s="54"/>
      <c r="E199" s="55"/>
      <c r="F199" s="75"/>
      <c r="G199" s="76"/>
      <c r="H199" s="76"/>
      <c r="I199" s="48"/>
      <c r="J199" s="70"/>
      <c r="K199" s="70"/>
      <c r="L199" s="193" t="s">
        <v>812</v>
      </c>
      <c r="M199" s="194" t="s">
        <v>813</v>
      </c>
      <c r="N199" s="193" t="s">
        <v>34</v>
      </c>
      <c r="O199" s="195">
        <v>1</v>
      </c>
      <c r="P199" s="197">
        <v>6500</v>
      </c>
      <c r="Q199" s="197">
        <v>6500</v>
      </c>
      <c r="R199" s="182"/>
      <c r="U199" s="128"/>
    </row>
    <row r="200" spans="1:21" ht="15.6" x14ac:dyDescent="0.3">
      <c r="A200" s="53"/>
      <c r="B200" s="54"/>
      <c r="C200" s="54"/>
      <c r="D200" s="54"/>
      <c r="E200" s="55"/>
      <c r="F200" s="75"/>
      <c r="G200" s="76"/>
      <c r="H200" s="76"/>
      <c r="I200" s="48"/>
      <c r="J200" s="70"/>
      <c r="K200" s="70"/>
      <c r="L200" s="193" t="s">
        <v>764</v>
      </c>
      <c r="M200" s="194" t="s">
        <v>765</v>
      </c>
      <c r="N200" s="193" t="s">
        <v>34</v>
      </c>
      <c r="O200" s="195">
        <v>14</v>
      </c>
      <c r="P200" s="196">
        <v>462.66</v>
      </c>
      <c r="Q200" s="197">
        <v>6477.24</v>
      </c>
      <c r="R200" s="182"/>
      <c r="U200" s="128"/>
    </row>
    <row r="201" spans="1:21" ht="15.6" x14ac:dyDescent="0.3">
      <c r="A201" s="53"/>
      <c r="B201" s="54"/>
      <c r="C201" s="54"/>
      <c r="D201" s="54"/>
      <c r="E201" s="55"/>
      <c r="F201" s="75"/>
      <c r="G201" s="76"/>
      <c r="H201" s="76"/>
      <c r="I201" s="48"/>
      <c r="J201" s="70"/>
      <c r="K201" s="70"/>
      <c r="L201" s="193" t="s">
        <v>973</v>
      </c>
      <c r="M201" s="194" t="s">
        <v>759</v>
      </c>
      <c r="N201" s="193" t="s">
        <v>34</v>
      </c>
      <c r="O201" s="195">
        <v>11</v>
      </c>
      <c r="P201" s="196">
        <v>567.96</v>
      </c>
      <c r="Q201" s="197">
        <v>6247.56</v>
      </c>
      <c r="R201" s="182"/>
      <c r="U201" s="128"/>
    </row>
    <row r="202" spans="1:21" ht="15.6" x14ac:dyDescent="0.3">
      <c r="A202" s="53"/>
      <c r="B202" s="54"/>
      <c r="C202" s="54"/>
      <c r="D202" s="54"/>
      <c r="E202" s="55"/>
      <c r="F202" s="75"/>
      <c r="G202" s="76"/>
      <c r="H202" s="76"/>
      <c r="I202" s="48"/>
      <c r="J202" s="70"/>
      <c r="K202" s="70"/>
      <c r="L202" s="193" t="s">
        <v>881</v>
      </c>
      <c r="M202" s="194" t="s">
        <v>1054</v>
      </c>
      <c r="N202" s="193" t="s">
        <v>34</v>
      </c>
      <c r="O202" s="195">
        <v>17</v>
      </c>
      <c r="P202" s="196">
        <v>362.83</v>
      </c>
      <c r="Q202" s="197">
        <v>6168.03</v>
      </c>
      <c r="R202" s="182"/>
      <c r="U202" s="128"/>
    </row>
    <row r="203" spans="1:21" ht="15.6" x14ac:dyDescent="0.3">
      <c r="A203" s="53"/>
      <c r="B203" s="54"/>
      <c r="C203" s="54"/>
      <c r="D203" s="54"/>
      <c r="E203" s="55"/>
      <c r="F203" s="75"/>
      <c r="G203" s="76"/>
      <c r="H203" s="76"/>
      <c r="I203" s="48"/>
      <c r="J203" s="70"/>
      <c r="K203" s="70"/>
      <c r="L203" s="193" t="s">
        <v>1130</v>
      </c>
      <c r="M203" s="194" t="s">
        <v>1216</v>
      </c>
      <c r="N203" s="193" t="s">
        <v>34</v>
      </c>
      <c r="O203" s="195">
        <v>1</v>
      </c>
      <c r="P203" s="197">
        <v>6063.7</v>
      </c>
      <c r="Q203" s="197">
        <v>6063.7</v>
      </c>
      <c r="R203" s="182"/>
      <c r="U203" s="128"/>
    </row>
    <row r="204" spans="1:21" ht="15.6" x14ac:dyDescent="0.3">
      <c r="A204" s="53"/>
      <c r="B204" s="54"/>
      <c r="C204" s="54"/>
      <c r="D204" s="54"/>
      <c r="E204" s="55"/>
      <c r="F204" s="75"/>
      <c r="G204" s="76"/>
      <c r="H204" s="76"/>
      <c r="I204" s="48"/>
      <c r="J204" s="70"/>
      <c r="K204" s="70"/>
      <c r="L204" s="193" t="s">
        <v>1123</v>
      </c>
      <c r="M204" s="194" t="s">
        <v>1209</v>
      </c>
      <c r="N204" s="193" t="s">
        <v>34</v>
      </c>
      <c r="O204" s="195">
        <v>1</v>
      </c>
      <c r="P204" s="196">
        <v>192.6</v>
      </c>
      <c r="Q204" s="196">
        <v>192.6</v>
      </c>
      <c r="R204" s="182"/>
      <c r="U204" s="128"/>
    </row>
    <row r="205" spans="1:21" ht="15.6" x14ac:dyDescent="0.3">
      <c r="A205" s="53"/>
      <c r="B205" s="54"/>
      <c r="C205" s="54"/>
      <c r="D205" s="54"/>
      <c r="E205" s="55"/>
      <c r="F205" s="75"/>
      <c r="G205" s="76"/>
      <c r="H205" s="76"/>
      <c r="I205" s="48"/>
      <c r="J205" s="70"/>
      <c r="K205" s="70"/>
      <c r="L205" s="193" t="s">
        <v>1136</v>
      </c>
      <c r="M205" s="194" t="s">
        <v>1223</v>
      </c>
      <c r="N205" s="193" t="s">
        <v>34</v>
      </c>
      <c r="O205" s="195">
        <v>0.13600000000000001</v>
      </c>
      <c r="P205" s="196">
        <v>152.5</v>
      </c>
      <c r="Q205" s="196">
        <v>20.74</v>
      </c>
      <c r="R205" s="182"/>
      <c r="U205" s="128"/>
    </row>
    <row r="206" spans="1:21" ht="15.6" x14ac:dyDescent="0.3">
      <c r="A206" s="53"/>
      <c r="B206" s="54"/>
      <c r="C206" s="54"/>
      <c r="D206" s="54"/>
      <c r="E206" s="55"/>
      <c r="F206" s="75"/>
      <c r="G206" s="76"/>
      <c r="H206" s="76"/>
      <c r="I206" s="48"/>
      <c r="J206" s="70"/>
      <c r="K206" s="70"/>
      <c r="L206" s="193" t="s">
        <v>977</v>
      </c>
      <c r="M206" s="194" t="s">
        <v>1057</v>
      </c>
      <c r="N206" s="193" t="s">
        <v>34</v>
      </c>
      <c r="O206" s="195">
        <v>111</v>
      </c>
      <c r="P206" s="196">
        <v>3.94</v>
      </c>
      <c r="Q206" s="196">
        <v>437.34</v>
      </c>
      <c r="R206" s="182"/>
      <c r="U206" s="128"/>
    </row>
    <row r="207" spans="1:21" ht="15.6" x14ac:dyDescent="0.3">
      <c r="A207" s="53"/>
      <c r="B207" s="54"/>
      <c r="C207" s="54"/>
      <c r="D207" s="54"/>
      <c r="E207" s="55"/>
      <c r="F207" s="75"/>
      <c r="G207" s="76"/>
      <c r="H207" s="76"/>
      <c r="I207" s="48"/>
      <c r="J207" s="70"/>
      <c r="K207" s="70"/>
      <c r="L207" s="193" t="s">
        <v>978</v>
      </c>
      <c r="M207" s="194" t="s">
        <v>1058</v>
      </c>
      <c r="N207" s="193" t="s">
        <v>34</v>
      </c>
      <c r="O207" s="195">
        <v>190</v>
      </c>
      <c r="P207" s="196">
        <v>2.4300000000000002</v>
      </c>
      <c r="Q207" s="196">
        <v>461.7</v>
      </c>
      <c r="R207" s="182"/>
      <c r="U207" s="128"/>
    </row>
    <row r="208" spans="1:21" ht="15.6" x14ac:dyDescent="0.3">
      <c r="A208" s="53"/>
      <c r="B208" s="54"/>
      <c r="C208" s="54"/>
      <c r="D208" s="54"/>
      <c r="E208" s="55"/>
      <c r="F208" s="75"/>
      <c r="G208" s="76"/>
      <c r="H208" s="76"/>
      <c r="I208" s="48"/>
      <c r="J208" s="70"/>
      <c r="K208" s="70"/>
      <c r="L208" s="193" t="s">
        <v>736</v>
      </c>
      <c r="M208" s="194" t="s">
        <v>737</v>
      </c>
      <c r="N208" s="193" t="s">
        <v>34</v>
      </c>
      <c r="O208" s="195">
        <v>170</v>
      </c>
      <c r="P208" s="196">
        <v>3.94</v>
      </c>
      <c r="Q208" s="196">
        <v>669.8</v>
      </c>
      <c r="R208" s="182"/>
      <c r="U208" s="128"/>
    </row>
    <row r="209" spans="1:21" ht="15.6" x14ac:dyDescent="0.3">
      <c r="A209" s="53"/>
      <c r="B209" s="54"/>
      <c r="C209" s="54"/>
      <c r="D209" s="54"/>
      <c r="E209" s="55"/>
      <c r="F209" s="75"/>
      <c r="G209" s="76"/>
      <c r="H209" s="76"/>
      <c r="I209" s="48"/>
      <c r="J209" s="70"/>
      <c r="K209" s="70"/>
      <c r="L209" s="193" t="s">
        <v>738</v>
      </c>
      <c r="M209" s="194" t="s">
        <v>739</v>
      </c>
      <c r="N209" s="193" t="s">
        <v>34</v>
      </c>
      <c r="O209" s="195">
        <v>186</v>
      </c>
      <c r="P209" s="196">
        <v>5.39</v>
      </c>
      <c r="Q209" s="197">
        <v>1002.54</v>
      </c>
      <c r="R209" s="182"/>
      <c r="U209" s="128"/>
    </row>
    <row r="210" spans="1:21" ht="15.6" x14ac:dyDescent="0.3">
      <c r="A210" s="53"/>
      <c r="B210" s="54"/>
      <c r="C210" s="54"/>
      <c r="D210" s="54"/>
      <c r="E210" s="55"/>
      <c r="F210" s="75"/>
      <c r="G210" s="76"/>
      <c r="H210" s="76"/>
      <c r="I210" s="48"/>
      <c r="J210" s="70"/>
      <c r="K210" s="70"/>
      <c r="L210" s="193" t="s">
        <v>271</v>
      </c>
      <c r="M210" s="194" t="s">
        <v>1059</v>
      </c>
      <c r="N210" s="193" t="s">
        <v>34</v>
      </c>
      <c r="O210" s="195">
        <v>4</v>
      </c>
      <c r="P210" s="196">
        <v>52.87</v>
      </c>
      <c r="Q210" s="196">
        <v>211.49</v>
      </c>
      <c r="R210" s="182"/>
      <c r="U210" s="128"/>
    </row>
    <row r="211" spans="1:21" ht="15.6" x14ac:dyDescent="0.3">
      <c r="A211" s="53"/>
      <c r="B211" s="54"/>
      <c r="C211" s="54"/>
      <c r="D211" s="54"/>
      <c r="E211" s="55"/>
      <c r="F211" s="75"/>
      <c r="G211" s="76"/>
      <c r="H211" s="76"/>
      <c r="I211" s="48"/>
      <c r="J211" s="70"/>
      <c r="K211" s="70"/>
      <c r="L211" s="193" t="s">
        <v>58</v>
      </c>
      <c r="M211" s="194" t="s">
        <v>67</v>
      </c>
      <c r="N211" s="193" t="s">
        <v>34</v>
      </c>
      <c r="O211" s="195">
        <v>9</v>
      </c>
      <c r="P211" s="196">
        <v>53.76</v>
      </c>
      <c r="Q211" s="196">
        <v>483.84</v>
      </c>
      <c r="R211" s="182"/>
      <c r="U211" s="128"/>
    </row>
    <row r="212" spans="1:21" ht="30" x14ac:dyDescent="0.3">
      <c r="A212" s="53"/>
      <c r="B212" s="54"/>
      <c r="C212" s="54"/>
      <c r="D212" s="54"/>
      <c r="E212" s="55"/>
      <c r="F212" s="75"/>
      <c r="G212" s="76"/>
      <c r="H212" s="76"/>
      <c r="I212" s="48"/>
      <c r="J212" s="70"/>
      <c r="K212" s="70"/>
      <c r="L212" s="193" t="s">
        <v>273</v>
      </c>
      <c r="M212" s="194" t="s">
        <v>274</v>
      </c>
      <c r="N212" s="193" t="s">
        <v>34</v>
      </c>
      <c r="O212" s="195">
        <v>2</v>
      </c>
      <c r="P212" s="196">
        <v>54.97</v>
      </c>
      <c r="Q212" s="196">
        <v>109.94</v>
      </c>
      <c r="R212" s="182"/>
      <c r="U212" s="128"/>
    </row>
    <row r="213" spans="1:21" ht="15.6" x14ac:dyDescent="0.3">
      <c r="A213" s="53"/>
      <c r="B213" s="54"/>
      <c r="C213" s="54"/>
      <c r="D213" s="54"/>
      <c r="E213" s="55"/>
      <c r="F213" s="75"/>
      <c r="G213" s="76"/>
      <c r="H213" s="76"/>
      <c r="I213" s="48"/>
      <c r="J213" s="70"/>
      <c r="K213" s="70"/>
      <c r="L213" s="193" t="s">
        <v>1011</v>
      </c>
      <c r="M213" s="194" t="s">
        <v>815</v>
      </c>
      <c r="N213" s="193" t="s">
        <v>34</v>
      </c>
      <c r="O213" s="195">
        <v>14</v>
      </c>
      <c r="P213" s="196">
        <v>865.5</v>
      </c>
      <c r="Q213" s="197">
        <v>12117</v>
      </c>
      <c r="R213" s="182"/>
      <c r="U213" s="128"/>
    </row>
    <row r="214" spans="1:21" ht="15.6" x14ac:dyDescent="0.3">
      <c r="A214" s="53"/>
      <c r="B214" s="54"/>
      <c r="C214" s="54"/>
      <c r="D214" s="54"/>
      <c r="E214" s="55"/>
      <c r="F214" s="75"/>
      <c r="G214" s="76"/>
      <c r="H214" s="76"/>
      <c r="I214" s="48"/>
      <c r="J214" s="70"/>
      <c r="K214" s="70"/>
      <c r="L214" s="193" t="s">
        <v>864</v>
      </c>
      <c r="M214" s="194" t="s">
        <v>929</v>
      </c>
      <c r="N214" s="193" t="s">
        <v>34</v>
      </c>
      <c r="O214" s="195">
        <v>4</v>
      </c>
      <c r="P214" s="197">
        <v>2466.88</v>
      </c>
      <c r="Q214" s="197">
        <v>9867.5</v>
      </c>
      <c r="R214" s="182"/>
      <c r="U214" s="128"/>
    </row>
    <row r="215" spans="1:21" ht="15.6" x14ac:dyDescent="0.3">
      <c r="A215" s="53"/>
      <c r="B215" s="54"/>
      <c r="C215" s="54"/>
      <c r="D215" s="54"/>
      <c r="E215" s="55"/>
      <c r="F215" s="75"/>
      <c r="G215" s="76"/>
      <c r="H215" s="76"/>
      <c r="I215" s="48"/>
      <c r="J215" s="70"/>
      <c r="K215" s="70"/>
      <c r="L215" s="193" t="s">
        <v>860</v>
      </c>
      <c r="M215" s="194" t="s">
        <v>922</v>
      </c>
      <c r="N215" s="193" t="s">
        <v>34</v>
      </c>
      <c r="O215" s="195">
        <v>1</v>
      </c>
      <c r="P215" s="197">
        <v>9165.83</v>
      </c>
      <c r="Q215" s="197">
        <v>9165.83</v>
      </c>
      <c r="R215" s="182"/>
      <c r="U215" s="128"/>
    </row>
    <row r="216" spans="1:21" ht="15.6" x14ac:dyDescent="0.3">
      <c r="A216" s="53"/>
      <c r="B216" s="54"/>
      <c r="C216" s="54"/>
      <c r="D216" s="54"/>
      <c r="E216" s="55"/>
      <c r="F216" s="75"/>
      <c r="G216" s="76"/>
      <c r="H216" s="76"/>
      <c r="I216" s="48"/>
      <c r="J216" s="70"/>
      <c r="K216" s="70"/>
      <c r="L216" s="193" t="s">
        <v>974</v>
      </c>
      <c r="M216" s="194" t="s">
        <v>760</v>
      </c>
      <c r="N216" s="193" t="s">
        <v>34</v>
      </c>
      <c r="O216" s="195">
        <v>4</v>
      </c>
      <c r="P216" s="197">
        <v>2213.64</v>
      </c>
      <c r="Q216" s="197">
        <v>8854.56</v>
      </c>
      <c r="R216" s="182"/>
      <c r="U216" s="128"/>
    </row>
    <row r="217" spans="1:21" ht="15.6" x14ac:dyDescent="0.3">
      <c r="A217" s="53"/>
      <c r="B217" s="54"/>
      <c r="C217" s="54"/>
      <c r="D217" s="54"/>
      <c r="E217" s="55"/>
      <c r="F217" s="75"/>
      <c r="G217" s="76"/>
      <c r="H217" s="76"/>
      <c r="I217" s="48"/>
      <c r="J217" s="70"/>
      <c r="K217" s="70"/>
      <c r="L217" s="193" t="s">
        <v>863</v>
      </c>
      <c r="M217" s="194" t="s">
        <v>926</v>
      </c>
      <c r="N217" s="193" t="s">
        <v>34</v>
      </c>
      <c r="O217" s="195">
        <v>1</v>
      </c>
      <c r="P217" s="197">
        <v>8590</v>
      </c>
      <c r="Q217" s="197">
        <v>8590</v>
      </c>
      <c r="R217" s="182"/>
      <c r="U217" s="128"/>
    </row>
    <row r="218" spans="1:21" ht="15.6" x14ac:dyDescent="0.3">
      <c r="A218" s="53"/>
      <c r="B218" s="54"/>
      <c r="C218" s="54"/>
      <c r="D218" s="54"/>
      <c r="E218" s="55"/>
      <c r="F218" s="75"/>
      <c r="G218" s="76"/>
      <c r="H218" s="76"/>
      <c r="I218" s="48"/>
      <c r="J218" s="70"/>
      <c r="K218" s="70"/>
      <c r="L218" s="193" t="s">
        <v>861</v>
      </c>
      <c r="M218" s="194" t="s">
        <v>917</v>
      </c>
      <c r="N218" s="193" t="s">
        <v>34</v>
      </c>
      <c r="O218" s="195">
        <v>1</v>
      </c>
      <c r="P218" s="197">
        <v>8250</v>
      </c>
      <c r="Q218" s="197">
        <v>8250</v>
      </c>
      <c r="R218" s="182"/>
      <c r="U218" s="128"/>
    </row>
    <row r="219" spans="1:21" ht="15.6" x14ac:dyDescent="0.3">
      <c r="A219" s="53"/>
      <c r="B219" s="54"/>
      <c r="C219" s="54"/>
      <c r="D219" s="54"/>
      <c r="E219" s="55"/>
      <c r="F219" s="75"/>
      <c r="G219" s="76"/>
      <c r="H219" s="76"/>
      <c r="I219" s="48"/>
      <c r="J219" s="70"/>
      <c r="K219" s="70"/>
      <c r="L219" s="193" t="s">
        <v>979</v>
      </c>
      <c r="M219" s="194" t="s">
        <v>73</v>
      </c>
      <c r="N219" s="193" t="s">
        <v>34</v>
      </c>
      <c r="O219" s="195">
        <v>3</v>
      </c>
      <c r="P219" s="196">
        <v>377.87</v>
      </c>
      <c r="Q219" s="197">
        <v>1133.6099999999999</v>
      </c>
      <c r="R219" s="182"/>
      <c r="U219" s="128"/>
    </row>
    <row r="220" spans="1:21" ht="15.6" x14ac:dyDescent="0.3">
      <c r="A220" s="53"/>
      <c r="B220" s="54"/>
      <c r="C220" s="54"/>
      <c r="D220" s="54"/>
      <c r="E220" s="55"/>
      <c r="F220" s="75"/>
      <c r="G220" s="76"/>
      <c r="H220" s="76"/>
      <c r="I220" s="48"/>
      <c r="J220" s="70"/>
      <c r="K220" s="70"/>
      <c r="L220" s="193" t="s">
        <v>1099</v>
      </c>
      <c r="M220" s="194" t="s">
        <v>1100</v>
      </c>
      <c r="N220" s="193" t="s">
        <v>34</v>
      </c>
      <c r="O220" s="195">
        <v>1</v>
      </c>
      <c r="P220" s="196">
        <v>35</v>
      </c>
      <c r="Q220" s="196">
        <v>35</v>
      </c>
      <c r="R220" s="182"/>
      <c r="U220" s="128"/>
    </row>
    <row r="221" spans="1:21" ht="15.6" x14ac:dyDescent="0.3">
      <c r="A221" s="53"/>
      <c r="B221" s="54"/>
      <c r="C221" s="54"/>
      <c r="D221" s="54"/>
      <c r="E221" s="55"/>
      <c r="F221" s="75"/>
      <c r="G221" s="76"/>
      <c r="H221" s="76"/>
      <c r="I221" s="48"/>
      <c r="J221" s="70"/>
      <c r="K221" s="70"/>
      <c r="L221" s="193" t="s">
        <v>164</v>
      </c>
      <c r="M221" s="194" t="s">
        <v>165</v>
      </c>
      <c r="N221" s="193" t="s">
        <v>34</v>
      </c>
      <c r="O221" s="195">
        <v>1</v>
      </c>
      <c r="P221" s="196">
        <v>402.25</v>
      </c>
      <c r="Q221" s="196">
        <v>402.25</v>
      </c>
      <c r="R221" s="182"/>
      <c r="U221" s="128"/>
    </row>
    <row r="222" spans="1:21" ht="15.6" x14ac:dyDescent="0.3">
      <c r="A222" s="53"/>
      <c r="B222" s="54"/>
      <c r="C222" s="54"/>
      <c r="D222" s="54"/>
      <c r="E222" s="55"/>
      <c r="F222" s="75"/>
      <c r="G222" s="76"/>
      <c r="H222" s="76"/>
      <c r="I222" s="48"/>
      <c r="J222" s="70"/>
      <c r="K222" s="70"/>
      <c r="L222" s="193" t="s">
        <v>282</v>
      </c>
      <c r="M222" s="194" t="s">
        <v>283</v>
      </c>
      <c r="N222" s="193" t="s">
        <v>34</v>
      </c>
      <c r="O222" s="195">
        <v>1</v>
      </c>
      <c r="P222" s="196">
        <v>81.599999999999994</v>
      </c>
      <c r="Q222" s="196">
        <v>81.599999999999994</v>
      </c>
      <c r="R222" s="182"/>
      <c r="U222" s="128"/>
    </row>
    <row r="223" spans="1:21" ht="15.6" x14ac:dyDescent="0.3">
      <c r="A223" s="53"/>
      <c r="B223" s="54"/>
      <c r="C223" s="54"/>
      <c r="D223" s="54"/>
      <c r="E223" s="55"/>
      <c r="F223" s="75"/>
      <c r="G223" s="76"/>
      <c r="H223" s="76"/>
      <c r="I223" s="48"/>
      <c r="J223" s="70"/>
      <c r="K223" s="70"/>
      <c r="L223" s="193" t="s">
        <v>980</v>
      </c>
      <c r="M223" s="194" t="s">
        <v>284</v>
      </c>
      <c r="N223" s="193" t="s">
        <v>34</v>
      </c>
      <c r="O223" s="195">
        <v>3</v>
      </c>
      <c r="P223" s="196">
        <v>84.36</v>
      </c>
      <c r="Q223" s="196">
        <v>253.08</v>
      </c>
      <c r="R223" s="182"/>
      <c r="U223" s="128"/>
    </row>
    <row r="224" spans="1:21" ht="15.6" x14ac:dyDescent="0.3">
      <c r="A224" s="53"/>
      <c r="B224" s="54"/>
      <c r="C224" s="54"/>
      <c r="D224" s="54"/>
      <c r="E224" s="55"/>
      <c r="F224" s="75"/>
      <c r="G224" s="76"/>
      <c r="H224" s="76"/>
      <c r="I224" s="48"/>
      <c r="J224" s="70"/>
      <c r="K224" s="70"/>
      <c r="L224" s="193" t="s">
        <v>1092</v>
      </c>
      <c r="M224" s="194" t="s">
        <v>1096</v>
      </c>
      <c r="N224" s="193" t="s">
        <v>34</v>
      </c>
      <c r="O224" s="195">
        <v>1</v>
      </c>
      <c r="P224" s="196">
        <v>128.24</v>
      </c>
      <c r="Q224" s="196">
        <v>128.24</v>
      </c>
      <c r="R224" s="182"/>
      <c r="U224" s="128"/>
    </row>
    <row r="225" spans="1:21" ht="15.6" x14ac:dyDescent="0.3">
      <c r="A225" s="53"/>
      <c r="B225" s="54"/>
      <c r="C225" s="54"/>
      <c r="D225" s="54"/>
      <c r="E225" s="55"/>
      <c r="F225" s="75"/>
      <c r="G225" s="76"/>
      <c r="H225" s="76"/>
      <c r="I225" s="48"/>
      <c r="J225" s="70"/>
      <c r="K225" s="70"/>
      <c r="L225" s="193" t="s">
        <v>879</v>
      </c>
      <c r="M225" s="194" t="s">
        <v>880</v>
      </c>
      <c r="N225" s="193" t="s">
        <v>34</v>
      </c>
      <c r="O225" s="195">
        <v>1</v>
      </c>
      <c r="P225" s="197">
        <v>2999.16</v>
      </c>
      <c r="Q225" s="197">
        <v>2999.16</v>
      </c>
      <c r="R225" s="182"/>
      <c r="U225" s="128"/>
    </row>
    <row r="226" spans="1:21" ht="15.6" x14ac:dyDescent="0.3">
      <c r="A226" s="53"/>
      <c r="B226" s="54"/>
      <c r="C226" s="54"/>
      <c r="D226" s="54"/>
      <c r="E226" s="55"/>
      <c r="F226" s="75"/>
      <c r="G226" s="76"/>
      <c r="H226" s="76"/>
      <c r="I226" s="48"/>
      <c r="J226" s="70"/>
      <c r="K226" s="70"/>
      <c r="L226" s="193" t="s">
        <v>1138</v>
      </c>
      <c r="M226" s="194" t="s">
        <v>1225</v>
      </c>
      <c r="N226" s="193" t="s">
        <v>34</v>
      </c>
      <c r="O226" s="195">
        <v>2</v>
      </c>
      <c r="P226" s="196">
        <v>99.92</v>
      </c>
      <c r="Q226" s="196">
        <v>199.84</v>
      </c>
      <c r="R226" s="182"/>
      <c r="U226" s="128"/>
    </row>
    <row r="227" spans="1:21" ht="15.6" x14ac:dyDescent="0.3">
      <c r="A227" s="53"/>
      <c r="B227" s="54"/>
      <c r="C227" s="54"/>
      <c r="D227" s="54"/>
      <c r="E227" s="55"/>
      <c r="F227" s="75"/>
      <c r="G227" s="76"/>
      <c r="H227" s="76"/>
      <c r="I227" s="48"/>
      <c r="J227" s="70"/>
      <c r="K227" s="70"/>
      <c r="L227" s="193" t="s">
        <v>981</v>
      </c>
      <c r="M227" s="194" t="s">
        <v>285</v>
      </c>
      <c r="N227" s="193" t="s">
        <v>34</v>
      </c>
      <c r="O227" s="195">
        <v>1</v>
      </c>
      <c r="P227" s="196">
        <v>85.3</v>
      </c>
      <c r="Q227" s="196">
        <v>85.3</v>
      </c>
      <c r="R227" s="182"/>
      <c r="U227" s="128"/>
    </row>
    <row r="228" spans="1:21" ht="15.6" x14ac:dyDescent="0.3">
      <c r="A228" s="53"/>
      <c r="B228" s="54"/>
      <c r="C228" s="54"/>
      <c r="D228" s="54"/>
      <c r="E228" s="55"/>
      <c r="F228" s="75"/>
      <c r="G228" s="76"/>
      <c r="H228" s="76"/>
      <c r="I228" s="48"/>
      <c r="J228" s="70"/>
      <c r="K228" s="70"/>
      <c r="L228" s="193" t="s">
        <v>982</v>
      </c>
      <c r="M228" s="194" t="s">
        <v>751</v>
      </c>
      <c r="N228" s="193" t="s">
        <v>34</v>
      </c>
      <c r="O228" s="195">
        <v>3</v>
      </c>
      <c r="P228" s="196">
        <v>15.5</v>
      </c>
      <c r="Q228" s="196">
        <v>46.5</v>
      </c>
      <c r="R228" s="182"/>
      <c r="U228" s="128"/>
    </row>
    <row r="229" spans="1:21" ht="15.6" x14ac:dyDescent="0.3">
      <c r="A229" s="53"/>
      <c r="B229" s="54"/>
      <c r="C229" s="54"/>
      <c r="D229" s="54"/>
      <c r="E229" s="55"/>
      <c r="F229" s="75"/>
      <c r="G229" s="76"/>
      <c r="H229" s="76"/>
      <c r="I229" s="48"/>
      <c r="J229" s="70"/>
      <c r="K229" s="70"/>
      <c r="L229" s="193" t="s">
        <v>862</v>
      </c>
      <c r="M229" s="194" t="s">
        <v>1045</v>
      </c>
      <c r="N229" s="193" t="s">
        <v>34</v>
      </c>
      <c r="O229" s="195">
        <v>1</v>
      </c>
      <c r="P229" s="197">
        <v>14582.5</v>
      </c>
      <c r="Q229" s="197">
        <v>14582.5</v>
      </c>
      <c r="R229" s="182"/>
      <c r="U229" s="128"/>
    </row>
    <row r="230" spans="1:21" ht="15.6" x14ac:dyDescent="0.3">
      <c r="A230" s="53"/>
      <c r="B230" s="54"/>
      <c r="C230" s="54"/>
      <c r="D230" s="54"/>
      <c r="E230" s="55"/>
      <c r="F230" s="75"/>
      <c r="G230" s="76"/>
      <c r="H230" s="76"/>
      <c r="I230" s="48"/>
      <c r="J230" s="70"/>
      <c r="K230" s="70"/>
      <c r="L230" s="193" t="s">
        <v>954</v>
      </c>
      <c r="M230" s="194" t="s">
        <v>1048</v>
      </c>
      <c r="N230" s="193" t="s">
        <v>34</v>
      </c>
      <c r="O230" s="195">
        <v>0.05</v>
      </c>
      <c r="P230" s="196">
        <v>291</v>
      </c>
      <c r="Q230" s="196">
        <v>14.55</v>
      </c>
      <c r="R230" s="182"/>
      <c r="U230" s="128"/>
    </row>
    <row r="231" spans="1:21" ht="15.6" x14ac:dyDescent="0.3">
      <c r="A231" s="53"/>
      <c r="B231" s="54"/>
      <c r="C231" s="54"/>
      <c r="D231" s="54"/>
      <c r="E231" s="55"/>
      <c r="F231" s="75"/>
      <c r="G231" s="76"/>
      <c r="H231" s="76"/>
      <c r="I231" s="48"/>
      <c r="J231" s="70"/>
      <c r="K231" s="70"/>
      <c r="L231" s="193" t="s">
        <v>1140</v>
      </c>
      <c r="M231" s="194" t="s">
        <v>1227</v>
      </c>
      <c r="N231" s="193" t="s">
        <v>34</v>
      </c>
      <c r="O231" s="195">
        <v>2</v>
      </c>
      <c r="P231" s="197">
        <v>1042.5</v>
      </c>
      <c r="Q231" s="197">
        <v>2085</v>
      </c>
      <c r="R231" s="182"/>
      <c r="U231" s="128"/>
    </row>
    <row r="232" spans="1:21" ht="15.6" x14ac:dyDescent="0.3">
      <c r="A232" s="53"/>
      <c r="B232" s="54"/>
      <c r="C232" s="54"/>
      <c r="D232" s="54"/>
      <c r="E232" s="55"/>
      <c r="F232" s="75"/>
      <c r="G232" s="76"/>
      <c r="H232" s="76"/>
      <c r="I232" s="48"/>
      <c r="J232" s="70"/>
      <c r="K232" s="70"/>
      <c r="L232" s="193" t="s">
        <v>768</v>
      </c>
      <c r="M232" s="194" t="s">
        <v>769</v>
      </c>
      <c r="N232" s="193" t="s">
        <v>34</v>
      </c>
      <c r="O232" s="195">
        <v>7</v>
      </c>
      <c r="P232" s="196">
        <v>10</v>
      </c>
      <c r="Q232" s="196">
        <v>70</v>
      </c>
      <c r="R232" s="182"/>
      <c r="U232" s="128"/>
    </row>
    <row r="233" spans="1:21" ht="15.6" x14ac:dyDescent="0.3">
      <c r="A233" s="53"/>
      <c r="B233" s="54"/>
      <c r="C233" s="54"/>
      <c r="D233" s="54"/>
      <c r="E233" s="55"/>
      <c r="F233" s="75"/>
      <c r="G233" s="76"/>
      <c r="H233" s="76"/>
      <c r="I233" s="48"/>
      <c r="J233" s="70"/>
      <c r="K233" s="70"/>
      <c r="L233" s="193" t="s">
        <v>955</v>
      </c>
      <c r="M233" s="194" t="s">
        <v>770</v>
      </c>
      <c r="N233" s="193" t="s">
        <v>34</v>
      </c>
      <c r="O233" s="195">
        <v>1</v>
      </c>
      <c r="P233" s="196">
        <v>53</v>
      </c>
      <c r="Q233" s="196">
        <v>53</v>
      </c>
      <c r="R233" s="182"/>
      <c r="U233" s="128"/>
    </row>
    <row r="234" spans="1:21" ht="15.6" x14ac:dyDescent="0.3">
      <c r="A234" s="53"/>
      <c r="B234" s="54"/>
      <c r="C234" s="54"/>
      <c r="D234" s="54"/>
      <c r="E234" s="55"/>
      <c r="F234" s="75"/>
      <c r="G234" s="76"/>
      <c r="H234" s="76"/>
      <c r="I234" s="48"/>
      <c r="J234" s="70"/>
      <c r="K234" s="70"/>
      <c r="L234" s="193" t="s">
        <v>956</v>
      </c>
      <c r="M234" s="194" t="s">
        <v>328</v>
      </c>
      <c r="N234" s="193" t="s">
        <v>34</v>
      </c>
      <c r="O234" s="195">
        <v>13</v>
      </c>
      <c r="P234" s="196">
        <v>65.42</v>
      </c>
      <c r="Q234" s="196">
        <v>850.5</v>
      </c>
      <c r="R234" s="182"/>
      <c r="U234" s="128"/>
    </row>
    <row r="235" spans="1:21" ht="15.6" x14ac:dyDescent="0.3">
      <c r="A235" s="53"/>
      <c r="B235" s="54"/>
      <c r="C235" s="54"/>
      <c r="D235" s="54"/>
      <c r="E235" s="55"/>
      <c r="F235" s="75"/>
      <c r="G235" s="76"/>
      <c r="H235" s="76"/>
      <c r="I235" s="48"/>
      <c r="J235" s="70"/>
      <c r="K235" s="70"/>
      <c r="L235" s="193" t="s">
        <v>771</v>
      </c>
      <c r="M235" s="194" t="s">
        <v>772</v>
      </c>
      <c r="N235" s="193" t="s">
        <v>34</v>
      </c>
      <c r="O235" s="195">
        <v>6</v>
      </c>
      <c r="P235" s="196">
        <v>228.01</v>
      </c>
      <c r="Q235" s="197">
        <v>1368.07</v>
      </c>
      <c r="R235" s="182"/>
      <c r="U235" s="128"/>
    </row>
    <row r="236" spans="1:21" ht="15.6" x14ac:dyDescent="0.3">
      <c r="A236" s="53"/>
      <c r="B236" s="54"/>
      <c r="C236" s="54"/>
      <c r="D236" s="54"/>
      <c r="E236" s="55"/>
      <c r="F236" s="75"/>
      <c r="G236" s="76"/>
      <c r="H236" s="76"/>
      <c r="I236" s="48"/>
      <c r="J236" s="70"/>
      <c r="K236" s="70"/>
      <c r="L236" s="193" t="s">
        <v>957</v>
      </c>
      <c r="M236" s="194" t="s">
        <v>1049</v>
      </c>
      <c r="N236" s="193" t="s">
        <v>34</v>
      </c>
      <c r="O236" s="195">
        <v>10</v>
      </c>
      <c r="P236" s="196">
        <v>78.3</v>
      </c>
      <c r="Q236" s="196">
        <v>783</v>
      </c>
      <c r="R236" s="182"/>
      <c r="U236" s="128"/>
    </row>
    <row r="237" spans="1:21" ht="15.6" x14ac:dyDescent="0.3">
      <c r="A237" s="53"/>
      <c r="B237" s="54"/>
      <c r="C237" s="54"/>
      <c r="D237" s="54"/>
      <c r="E237" s="55"/>
      <c r="F237" s="75"/>
      <c r="G237" s="76"/>
      <c r="H237" s="76"/>
      <c r="I237" s="48"/>
      <c r="J237" s="70"/>
      <c r="K237" s="70"/>
      <c r="L237" s="193" t="s">
        <v>958</v>
      </c>
      <c r="M237" s="194" t="s">
        <v>337</v>
      </c>
      <c r="N237" s="193" t="s">
        <v>34</v>
      </c>
      <c r="O237" s="195">
        <v>2</v>
      </c>
      <c r="P237" s="196">
        <v>22.3</v>
      </c>
      <c r="Q237" s="196">
        <v>44.6</v>
      </c>
      <c r="R237" s="182"/>
      <c r="U237" s="128"/>
    </row>
    <row r="238" spans="1:21" ht="15.6" x14ac:dyDescent="0.3">
      <c r="A238" s="53"/>
      <c r="B238" s="54"/>
      <c r="C238" s="54"/>
      <c r="D238" s="54"/>
      <c r="E238" s="55"/>
      <c r="F238" s="75"/>
      <c r="G238" s="76"/>
      <c r="H238" s="76"/>
      <c r="I238" s="48"/>
      <c r="J238" s="70"/>
      <c r="K238" s="70"/>
      <c r="L238" s="193" t="s">
        <v>905</v>
      </c>
      <c r="M238" s="194" t="s">
        <v>906</v>
      </c>
      <c r="N238" s="193" t="s">
        <v>34</v>
      </c>
      <c r="O238" s="195">
        <v>3</v>
      </c>
      <c r="P238" s="196">
        <v>10</v>
      </c>
      <c r="Q238" s="196">
        <v>30</v>
      </c>
      <c r="R238" s="182"/>
      <c r="U238" s="128"/>
    </row>
    <row r="239" spans="1:21" ht="15.6" x14ac:dyDescent="0.3">
      <c r="A239" s="53"/>
      <c r="B239" s="54"/>
      <c r="C239" s="54"/>
      <c r="D239" s="54"/>
      <c r="E239" s="55"/>
      <c r="F239" s="75"/>
      <c r="G239" s="76"/>
      <c r="H239" s="76"/>
      <c r="I239" s="48"/>
      <c r="J239" s="70"/>
      <c r="K239" s="70"/>
      <c r="L239" s="193" t="s">
        <v>907</v>
      </c>
      <c r="M239" s="194" t="s">
        <v>908</v>
      </c>
      <c r="N239" s="193" t="s">
        <v>34</v>
      </c>
      <c r="O239" s="195">
        <v>3</v>
      </c>
      <c r="P239" s="196">
        <v>10</v>
      </c>
      <c r="Q239" s="196">
        <v>30</v>
      </c>
      <c r="R239" s="182"/>
      <c r="U239" s="128"/>
    </row>
    <row r="240" spans="1:21" ht="15.6" x14ac:dyDescent="0.3">
      <c r="A240" s="53"/>
      <c r="B240" s="54"/>
      <c r="C240" s="54"/>
      <c r="D240" s="54"/>
      <c r="E240" s="55"/>
      <c r="F240" s="75"/>
      <c r="G240" s="76"/>
      <c r="H240" s="76"/>
      <c r="I240" s="48"/>
      <c r="J240" s="70"/>
      <c r="K240" s="70"/>
      <c r="L240" s="193" t="s">
        <v>340</v>
      </c>
      <c r="M240" s="194" t="s">
        <v>341</v>
      </c>
      <c r="N240" s="193" t="s">
        <v>34</v>
      </c>
      <c r="O240" s="195">
        <v>1</v>
      </c>
      <c r="P240" s="196">
        <v>432.75</v>
      </c>
      <c r="Q240" s="196">
        <v>432.75</v>
      </c>
      <c r="R240" s="182"/>
      <c r="U240" s="128"/>
    </row>
    <row r="241" spans="1:21" ht="15.6" x14ac:dyDescent="0.3">
      <c r="A241" s="53"/>
      <c r="B241" s="54"/>
      <c r="C241" s="54"/>
      <c r="D241" s="54"/>
      <c r="E241" s="55"/>
      <c r="F241" s="75"/>
      <c r="G241" s="76"/>
      <c r="H241" s="76"/>
      <c r="I241" s="48"/>
      <c r="J241" s="70"/>
      <c r="K241" s="70"/>
      <c r="L241" s="193" t="s">
        <v>1147</v>
      </c>
      <c r="M241" s="194" t="s">
        <v>1234</v>
      </c>
      <c r="N241" s="193" t="s">
        <v>34</v>
      </c>
      <c r="O241" s="195">
        <v>1</v>
      </c>
      <c r="P241" s="196">
        <v>876.68</v>
      </c>
      <c r="Q241" s="196">
        <v>876.68</v>
      </c>
      <c r="R241" s="182"/>
      <c r="U241" s="128"/>
    </row>
    <row r="242" spans="1:21" ht="15.6" x14ac:dyDescent="0.3">
      <c r="A242" s="53"/>
      <c r="B242" s="54"/>
      <c r="C242" s="54"/>
      <c r="D242" s="54"/>
      <c r="E242" s="55"/>
      <c r="F242" s="75"/>
      <c r="G242" s="76"/>
      <c r="H242" s="76"/>
      <c r="I242" s="48"/>
      <c r="J242" s="70"/>
      <c r="K242" s="70"/>
      <c r="L242" s="193" t="s">
        <v>1148</v>
      </c>
      <c r="M242" s="194" t="s">
        <v>1235</v>
      </c>
      <c r="N242" s="193" t="s">
        <v>34</v>
      </c>
      <c r="O242" s="195">
        <v>1</v>
      </c>
      <c r="P242" s="196">
        <v>257.81</v>
      </c>
      <c r="Q242" s="196">
        <v>257.81</v>
      </c>
      <c r="R242" s="182"/>
      <c r="U242" s="128"/>
    </row>
    <row r="243" spans="1:21" ht="15.6" customHeight="1" x14ac:dyDescent="0.3">
      <c r="A243" s="53"/>
      <c r="B243" s="54"/>
      <c r="C243" s="54"/>
      <c r="D243" s="54"/>
      <c r="E243" s="55"/>
      <c r="F243" s="75"/>
      <c r="G243" s="76"/>
      <c r="H243" s="76"/>
      <c r="I243" s="48"/>
      <c r="J243" s="70"/>
      <c r="K243" s="70"/>
      <c r="L243" s="193" t="s">
        <v>952</v>
      </c>
      <c r="M243" s="194" t="s">
        <v>777</v>
      </c>
      <c r="N243" s="193" t="s">
        <v>34</v>
      </c>
      <c r="O243" s="195">
        <v>0.5</v>
      </c>
      <c r="P243" s="196">
        <v>257.82</v>
      </c>
      <c r="Q243" s="196">
        <v>128.91</v>
      </c>
      <c r="R243" s="182"/>
      <c r="U243" s="128"/>
    </row>
    <row r="244" spans="1:21" ht="15.6" x14ac:dyDescent="0.3">
      <c r="A244" s="53"/>
      <c r="B244" s="54"/>
      <c r="C244" s="54"/>
      <c r="D244" s="54"/>
      <c r="E244" s="55"/>
      <c r="F244" s="75"/>
      <c r="G244" s="76"/>
      <c r="H244" s="76"/>
      <c r="I244" s="48"/>
      <c r="J244" s="70"/>
      <c r="K244" s="70"/>
      <c r="L244" s="193" t="s">
        <v>871</v>
      </c>
      <c r="M244" s="194" t="s">
        <v>872</v>
      </c>
      <c r="N244" s="193" t="s">
        <v>34</v>
      </c>
      <c r="O244" s="195">
        <v>1</v>
      </c>
      <c r="P244" s="196">
        <v>989.35</v>
      </c>
      <c r="Q244" s="196">
        <v>989.35</v>
      </c>
      <c r="R244" s="182"/>
      <c r="U244" s="128"/>
    </row>
    <row r="245" spans="1:21" ht="15.6" x14ac:dyDescent="0.3">
      <c r="A245" s="53"/>
      <c r="B245" s="54"/>
      <c r="C245" s="54"/>
      <c r="D245" s="54"/>
      <c r="E245" s="55"/>
      <c r="F245" s="75"/>
      <c r="G245" s="76"/>
      <c r="H245" s="76"/>
      <c r="I245" s="48"/>
      <c r="J245" s="70"/>
      <c r="K245" s="70"/>
      <c r="L245" s="193" t="s">
        <v>873</v>
      </c>
      <c r="M245" s="194" t="s">
        <v>874</v>
      </c>
      <c r="N245" s="193" t="s">
        <v>34</v>
      </c>
      <c r="O245" s="195">
        <v>1</v>
      </c>
      <c r="P245" s="196">
        <v>736.46</v>
      </c>
      <c r="Q245" s="196">
        <v>736.46</v>
      </c>
      <c r="R245" s="182"/>
      <c r="U245" s="128"/>
    </row>
    <row r="246" spans="1:21" ht="15.6" x14ac:dyDescent="0.3">
      <c r="A246" s="53"/>
      <c r="B246" s="54"/>
      <c r="C246" s="54"/>
      <c r="D246" s="54"/>
      <c r="E246" s="55"/>
      <c r="F246" s="75"/>
      <c r="G246" s="76"/>
      <c r="H246" s="76"/>
      <c r="I246" s="48"/>
      <c r="J246" s="70"/>
      <c r="K246" s="70"/>
      <c r="L246" s="193" t="s">
        <v>953</v>
      </c>
      <c r="M246" s="194" t="s">
        <v>1046</v>
      </c>
      <c r="N246" s="193" t="s">
        <v>34</v>
      </c>
      <c r="O246" s="195">
        <v>0.27</v>
      </c>
      <c r="P246" s="196">
        <v>245.52</v>
      </c>
      <c r="Q246" s="196">
        <v>66.290000000000006</v>
      </c>
      <c r="R246" s="182"/>
      <c r="U246" s="128"/>
    </row>
    <row r="247" spans="1:21" ht="15.6" x14ac:dyDescent="0.3">
      <c r="A247" s="53"/>
      <c r="B247" s="54"/>
      <c r="C247" s="54"/>
      <c r="D247" s="54"/>
      <c r="E247" s="55"/>
      <c r="F247" s="75"/>
      <c r="G247" s="76"/>
      <c r="H247" s="76"/>
      <c r="I247" s="48"/>
      <c r="J247" s="70"/>
      <c r="K247" s="70"/>
      <c r="L247" s="193" t="s">
        <v>1141</v>
      </c>
      <c r="M247" s="194" t="s">
        <v>1228</v>
      </c>
      <c r="N247" s="193" t="s">
        <v>34</v>
      </c>
      <c r="O247" s="195">
        <v>1</v>
      </c>
      <c r="P247" s="196">
        <v>96</v>
      </c>
      <c r="Q247" s="196">
        <v>96</v>
      </c>
      <c r="R247" s="182"/>
      <c r="U247" s="128"/>
    </row>
    <row r="248" spans="1:21" ht="15.6" x14ac:dyDescent="0.3">
      <c r="A248" s="53"/>
      <c r="B248" s="54"/>
      <c r="C248" s="54"/>
      <c r="D248" s="54"/>
      <c r="E248" s="55"/>
      <c r="F248" s="75"/>
      <c r="G248" s="76"/>
      <c r="H248" s="76"/>
      <c r="I248" s="48"/>
      <c r="J248" s="70"/>
      <c r="K248" s="70"/>
      <c r="L248" s="193" t="s">
        <v>350</v>
      </c>
      <c r="M248" s="194" t="s">
        <v>351</v>
      </c>
      <c r="N248" s="193" t="s">
        <v>34</v>
      </c>
      <c r="O248" s="195">
        <v>29</v>
      </c>
      <c r="P248" s="196">
        <v>5.55</v>
      </c>
      <c r="Q248" s="196">
        <v>161.04</v>
      </c>
      <c r="R248" s="182"/>
      <c r="U248" s="128"/>
    </row>
    <row r="249" spans="1:21" ht="15.6" x14ac:dyDescent="0.3">
      <c r="A249" s="53"/>
      <c r="B249" s="54"/>
      <c r="C249" s="54"/>
      <c r="D249" s="54"/>
      <c r="E249" s="55"/>
      <c r="F249" s="75"/>
      <c r="G249" s="76"/>
      <c r="H249" s="76"/>
      <c r="I249" s="48"/>
      <c r="J249" s="70"/>
      <c r="K249" s="70"/>
      <c r="L249" s="193" t="s">
        <v>352</v>
      </c>
      <c r="M249" s="194" t="s">
        <v>353</v>
      </c>
      <c r="N249" s="193" t="s">
        <v>34</v>
      </c>
      <c r="O249" s="195">
        <v>7</v>
      </c>
      <c r="P249" s="196">
        <v>7.5</v>
      </c>
      <c r="Q249" s="196">
        <v>52.48</v>
      </c>
      <c r="R249" s="182"/>
      <c r="U249" s="128"/>
    </row>
    <row r="250" spans="1:21" ht="15.6" x14ac:dyDescent="0.3">
      <c r="A250" s="53"/>
      <c r="B250" s="54"/>
      <c r="C250" s="54"/>
      <c r="D250" s="54"/>
      <c r="E250" s="55"/>
      <c r="F250" s="75"/>
      <c r="G250" s="76"/>
      <c r="H250" s="76"/>
      <c r="I250" s="48"/>
      <c r="J250" s="70"/>
      <c r="K250" s="70"/>
      <c r="L250" s="193" t="s">
        <v>354</v>
      </c>
      <c r="M250" s="194" t="s">
        <v>355</v>
      </c>
      <c r="N250" s="193" t="s">
        <v>34</v>
      </c>
      <c r="O250" s="195">
        <v>5</v>
      </c>
      <c r="P250" s="196">
        <v>10.55</v>
      </c>
      <c r="Q250" s="196">
        <v>52.74</v>
      </c>
      <c r="R250" s="182"/>
      <c r="U250" s="128"/>
    </row>
    <row r="251" spans="1:21" ht="15.6" x14ac:dyDescent="0.3">
      <c r="A251" s="53"/>
      <c r="B251" s="54"/>
      <c r="C251" s="54"/>
      <c r="D251" s="54"/>
      <c r="E251" s="55"/>
      <c r="F251" s="75"/>
      <c r="G251" s="76"/>
      <c r="H251" s="76"/>
      <c r="I251" s="48"/>
      <c r="J251" s="70"/>
      <c r="K251" s="70"/>
      <c r="L251" s="193" t="s">
        <v>966</v>
      </c>
      <c r="M251" s="194" t="s">
        <v>1053</v>
      </c>
      <c r="N251" s="193" t="s">
        <v>34</v>
      </c>
      <c r="O251" s="195">
        <v>2</v>
      </c>
      <c r="P251" s="196">
        <v>180.88</v>
      </c>
      <c r="Q251" s="196">
        <v>361.75</v>
      </c>
      <c r="R251" s="182"/>
      <c r="U251" s="128"/>
    </row>
    <row r="252" spans="1:21" ht="15.6" x14ac:dyDescent="0.3">
      <c r="A252" s="53"/>
      <c r="B252" s="54"/>
      <c r="C252" s="54"/>
      <c r="D252" s="54"/>
      <c r="E252" s="55"/>
      <c r="F252" s="75"/>
      <c r="G252" s="76"/>
      <c r="H252" s="76"/>
      <c r="I252" s="48"/>
      <c r="J252" s="70"/>
      <c r="K252" s="70"/>
      <c r="L252" s="193" t="s">
        <v>1082</v>
      </c>
      <c r="M252" s="194" t="s">
        <v>1083</v>
      </c>
      <c r="N252" s="193" t="s">
        <v>34</v>
      </c>
      <c r="O252" s="195">
        <v>1</v>
      </c>
      <c r="P252" s="196">
        <v>195.75</v>
      </c>
      <c r="Q252" s="196">
        <v>195.75</v>
      </c>
      <c r="R252" s="182"/>
      <c r="U252" s="128"/>
    </row>
    <row r="253" spans="1:21" ht="15.6" x14ac:dyDescent="0.3">
      <c r="A253" s="53"/>
      <c r="B253" s="54"/>
      <c r="C253" s="54"/>
      <c r="D253" s="54"/>
      <c r="E253" s="55"/>
      <c r="F253" s="75"/>
      <c r="G253" s="76"/>
      <c r="H253" s="76"/>
      <c r="I253" s="48"/>
      <c r="J253" s="70"/>
      <c r="K253" s="70"/>
      <c r="L253" s="193" t="s">
        <v>1143</v>
      </c>
      <c r="M253" s="194" t="s">
        <v>1230</v>
      </c>
      <c r="N253" s="193" t="s">
        <v>34</v>
      </c>
      <c r="O253" s="195">
        <v>1</v>
      </c>
      <c r="P253" s="196">
        <v>176.27</v>
      </c>
      <c r="Q253" s="196">
        <v>176.27</v>
      </c>
      <c r="R253" s="182"/>
      <c r="U253" s="128"/>
    </row>
    <row r="254" spans="1:21" ht="15.6" x14ac:dyDescent="0.3">
      <c r="A254" s="53"/>
      <c r="B254" s="54"/>
      <c r="C254" s="54"/>
      <c r="D254" s="54"/>
      <c r="E254" s="55"/>
      <c r="F254" s="75"/>
      <c r="G254" s="76"/>
      <c r="H254" s="76"/>
      <c r="I254" s="48"/>
      <c r="J254" s="70"/>
      <c r="K254" s="70"/>
      <c r="L254" s="193" t="s">
        <v>911</v>
      </c>
      <c r="M254" s="194" t="s">
        <v>912</v>
      </c>
      <c r="N254" s="193" t="s">
        <v>34</v>
      </c>
      <c r="O254" s="195">
        <v>1</v>
      </c>
      <c r="P254" s="196">
        <v>103</v>
      </c>
      <c r="Q254" s="196">
        <v>103</v>
      </c>
      <c r="R254" s="182"/>
      <c r="U254" s="128"/>
    </row>
    <row r="255" spans="1:21" ht="15.6" x14ac:dyDescent="0.3">
      <c r="A255" s="53"/>
      <c r="B255" s="54"/>
      <c r="C255" s="54"/>
      <c r="D255" s="54"/>
      <c r="E255" s="55"/>
      <c r="F255" s="75"/>
      <c r="G255" s="76"/>
      <c r="H255" s="76"/>
      <c r="I255" s="48"/>
      <c r="J255" s="70"/>
      <c r="K255" s="70"/>
      <c r="L255" s="193" t="s">
        <v>1144</v>
      </c>
      <c r="M255" s="194" t="s">
        <v>1231</v>
      </c>
      <c r="N255" s="193" t="s">
        <v>34</v>
      </c>
      <c r="O255" s="195">
        <v>2</v>
      </c>
      <c r="P255" s="196">
        <v>3.17</v>
      </c>
      <c r="Q255" s="196">
        <v>6.34</v>
      </c>
      <c r="R255" s="182"/>
      <c r="U255" s="128"/>
    </row>
    <row r="256" spans="1:21" ht="30" x14ac:dyDescent="0.3">
      <c r="A256" s="53"/>
      <c r="B256" s="54"/>
      <c r="C256" s="54"/>
      <c r="D256" s="54"/>
      <c r="E256" s="55"/>
      <c r="F256" s="75"/>
      <c r="G256" s="76"/>
      <c r="H256" s="76"/>
      <c r="I256" s="48"/>
      <c r="J256" s="70"/>
      <c r="K256" s="70"/>
      <c r="L256" s="193" t="s">
        <v>959</v>
      </c>
      <c r="M256" s="194" t="s">
        <v>1050</v>
      </c>
      <c r="N256" s="193" t="s">
        <v>34</v>
      </c>
      <c r="O256" s="195">
        <v>9</v>
      </c>
      <c r="P256" s="196">
        <v>13.9</v>
      </c>
      <c r="Q256" s="196">
        <v>125.1</v>
      </c>
      <c r="R256" s="182"/>
      <c r="U256" s="128"/>
    </row>
    <row r="257" spans="1:21" ht="30" x14ac:dyDescent="0.3">
      <c r="A257" s="53"/>
      <c r="B257" s="54"/>
      <c r="C257" s="54"/>
      <c r="D257" s="54"/>
      <c r="E257" s="55"/>
      <c r="F257" s="75"/>
      <c r="G257" s="76"/>
      <c r="H257" s="76"/>
      <c r="I257" s="48"/>
      <c r="J257" s="70"/>
      <c r="K257" s="70"/>
      <c r="L257" s="193" t="s">
        <v>960</v>
      </c>
      <c r="M257" s="194" t="s">
        <v>784</v>
      </c>
      <c r="N257" s="193" t="s">
        <v>34</v>
      </c>
      <c r="O257" s="195">
        <v>3</v>
      </c>
      <c r="P257" s="196">
        <v>13.9</v>
      </c>
      <c r="Q257" s="196">
        <v>41.7</v>
      </c>
      <c r="R257" s="182"/>
      <c r="U257" s="128"/>
    </row>
    <row r="258" spans="1:21" ht="15.6" x14ac:dyDescent="0.3">
      <c r="A258" s="53"/>
      <c r="B258" s="54"/>
      <c r="C258" s="54"/>
      <c r="D258" s="54"/>
      <c r="E258" s="55"/>
      <c r="F258" s="75"/>
      <c r="G258" s="76"/>
      <c r="H258" s="76"/>
      <c r="I258" s="48"/>
      <c r="J258" s="70"/>
      <c r="K258" s="70"/>
      <c r="L258" s="193" t="s">
        <v>363</v>
      </c>
      <c r="M258" s="194" t="s">
        <v>364</v>
      </c>
      <c r="N258" s="193" t="s">
        <v>34</v>
      </c>
      <c r="O258" s="195">
        <v>2</v>
      </c>
      <c r="P258" s="196">
        <v>108.4</v>
      </c>
      <c r="Q258" s="196">
        <v>216.8</v>
      </c>
      <c r="R258" s="182"/>
      <c r="U258" s="128"/>
    </row>
    <row r="259" spans="1:21" ht="15.6" x14ac:dyDescent="0.3">
      <c r="A259" s="53"/>
      <c r="B259" s="54"/>
      <c r="C259" s="54"/>
      <c r="D259" s="54"/>
      <c r="E259" s="55"/>
      <c r="F259" s="75"/>
      <c r="G259" s="76"/>
      <c r="H259" s="76"/>
      <c r="I259" s="48"/>
      <c r="J259" s="70"/>
      <c r="K259" s="70"/>
      <c r="L259" s="193" t="s">
        <v>188</v>
      </c>
      <c r="M259" s="194" t="s">
        <v>189</v>
      </c>
      <c r="N259" s="193" t="s">
        <v>34</v>
      </c>
      <c r="O259" s="195">
        <v>4</v>
      </c>
      <c r="P259" s="196">
        <v>55.1</v>
      </c>
      <c r="Q259" s="196">
        <v>220.4</v>
      </c>
      <c r="R259" s="182"/>
      <c r="U259" s="128"/>
    </row>
    <row r="260" spans="1:21" ht="15.6" x14ac:dyDescent="0.3">
      <c r="A260" s="53"/>
      <c r="B260" s="54"/>
      <c r="C260" s="54"/>
      <c r="D260" s="54"/>
      <c r="E260" s="55"/>
      <c r="F260" s="75"/>
      <c r="G260" s="76"/>
      <c r="H260" s="76"/>
      <c r="I260" s="48"/>
      <c r="J260" s="70"/>
      <c r="K260" s="70"/>
      <c r="L260" s="193" t="s">
        <v>732</v>
      </c>
      <c r="M260" s="194" t="s">
        <v>733</v>
      </c>
      <c r="N260" s="193" t="s">
        <v>34</v>
      </c>
      <c r="O260" s="195">
        <v>1</v>
      </c>
      <c r="P260" s="197">
        <v>15249.17</v>
      </c>
      <c r="Q260" s="197">
        <v>15249.17</v>
      </c>
      <c r="R260" s="182"/>
      <c r="U260" s="128"/>
    </row>
    <row r="261" spans="1:21" ht="15.6" x14ac:dyDescent="0.3">
      <c r="A261" s="53"/>
      <c r="B261" s="54"/>
      <c r="C261" s="54"/>
      <c r="D261" s="54"/>
      <c r="E261" s="55"/>
      <c r="F261" s="75"/>
      <c r="G261" s="76"/>
      <c r="H261" s="76"/>
      <c r="I261" s="48"/>
      <c r="J261" s="70"/>
      <c r="K261" s="70"/>
      <c r="L261" s="193" t="s">
        <v>371</v>
      </c>
      <c r="M261" s="194" t="s">
        <v>372</v>
      </c>
      <c r="N261" s="193" t="s">
        <v>34</v>
      </c>
      <c r="O261" s="195">
        <v>41</v>
      </c>
      <c r="P261" s="196">
        <v>15.83</v>
      </c>
      <c r="Q261" s="196">
        <v>648.96</v>
      </c>
      <c r="R261" s="182"/>
      <c r="U261" s="128"/>
    </row>
    <row r="262" spans="1:21" ht="15.6" x14ac:dyDescent="0.3">
      <c r="A262" s="53"/>
      <c r="B262" s="54"/>
      <c r="C262" s="54"/>
      <c r="D262" s="54"/>
      <c r="E262" s="55"/>
      <c r="F262" s="75"/>
      <c r="G262" s="76"/>
      <c r="H262" s="76"/>
      <c r="I262" s="48"/>
      <c r="J262" s="70"/>
      <c r="K262" s="70"/>
      <c r="L262" s="193" t="s">
        <v>785</v>
      </c>
      <c r="M262" s="194" t="s">
        <v>786</v>
      </c>
      <c r="N262" s="193" t="s">
        <v>34</v>
      </c>
      <c r="O262" s="195">
        <v>3</v>
      </c>
      <c r="P262" s="196">
        <v>171.34</v>
      </c>
      <c r="Q262" s="196">
        <v>514.02</v>
      </c>
      <c r="R262" s="182"/>
      <c r="U262" s="128"/>
    </row>
    <row r="263" spans="1:21" ht="15.6" x14ac:dyDescent="0.3">
      <c r="A263" s="53"/>
      <c r="B263" s="54"/>
      <c r="C263" s="54"/>
      <c r="D263" s="54"/>
      <c r="E263" s="55"/>
      <c r="F263" s="75"/>
      <c r="G263" s="76"/>
      <c r="H263" s="76"/>
      <c r="I263" s="48"/>
      <c r="J263" s="70"/>
      <c r="K263" s="70"/>
      <c r="L263" s="193" t="s">
        <v>373</v>
      </c>
      <c r="M263" s="194" t="s">
        <v>374</v>
      </c>
      <c r="N263" s="193" t="s">
        <v>34</v>
      </c>
      <c r="O263" s="195">
        <v>5</v>
      </c>
      <c r="P263" s="196">
        <v>17.32</v>
      </c>
      <c r="Q263" s="196">
        <v>86.62</v>
      </c>
      <c r="R263" s="182"/>
      <c r="U263" s="128"/>
    </row>
    <row r="264" spans="1:21" ht="15.6" x14ac:dyDescent="0.3">
      <c r="A264" s="53"/>
      <c r="B264" s="54"/>
      <c r="C264" s="54"/>
      <c r="D264" s="54"/>
      <c r="E264" s="55"/>
      <c r="F264" s="75"/>
      <c r="G264" s="76"/>
      <c r="H264" s="76"/>
      <c r="I264" s="48"/>
      <c r="J264" s="70"/>
      <c r="K264" s="70"/>
      <c r="L264" s="193" t="s">
        <v>1145</v>
      </c>
      <c r="M264" s="194" t="s">
        <v>1232</v>
      </c>
      <c r="N264" s="193" t="s">
        <v>34</v>
      </c>
      <c r="O264" s="195">
        <v>1</v>
      </c>
      <c r="P264" s="196">
        <v>58.27</v>
      </c>
      <c r="Q264" s="196">
        <v>58.27</v>
      </c>
      <c r="R264" s="182"/>
      <c r="U264" s="128"/>
    </row>
    <row r="265" spans="1:21" ht="15.6" x14ac:dyDescent="0.3">
      <c r="A265" s="53"/>
      <c r="B265" s="54"/>
      <c r="C265" s="54"/>
      <c r="D265" s="54"/>
      <c r="E265" s="55"/>
      <c r="F265" s="75"/>
      <c r="G265" s="76"/>
      <c r="H265" s="76"/>
      <c r="I265" s="48"/>
      <c r="J265" s="70"/>
      <c r="K265" s="70"/>
      <c r="L265" s="193" t="s">
        <v>961</v>
      </c>
      <c r="M265" s="194" t="s">
        <v>1051</v>
      </c>
      <c r="N265" s="193" t="s">
        <v>34</v>
      </c>
      <c r="O265" s="195">
        <v>0.14000000000000001</v>
      </c>
      <c r="P265" s="196">
        <v>27</v>
      </c>
      <c r="Q265" s="196">
        <v>3.78</v>
      </c>
      <c r="R265" s="182"/>
      <c r="U265" s="128"/>
    </row>
    <row r="266" spans="1:21" ht="30" x14ac:dyDescent="0.3">
      <c r="A266" s="53"/>
      <c r="B266" s="54"/>
      <c r="C266" s="54"/>
      <c r="D266" s="54"/>
      <c r="E266" s="55"/>
      <c r="F266" s="75"/>
      <c r="G266" s="76"/>
      <c r="H266" s="76"/>
      <c r="I266" s="48"/>
      <c r="J266" s="70"/>
      <c r="K266" s="70"/>
      <c r="L266" s="193" t="s">
        <v>962</v>
      </c>
      <c r="M266" s="194" t="s">
        <v>787</v>
      </c>
      <c r="N266" s="193" t="s">
        <v>34</v>
      </c>
      <c r="O266" s="195">
        <v>2</v>
      </c>
      <c r="P266" s="196">
        <v>153.6</v>
      </c>
      <c r="Q266" s="196">
        <v>307.2</v>
      </c>
      <c r="R266" s="182"/>
      <c r="U266" s="128"/>
    </row>
    <row r="267" spans="1:21" ht="15.6" x14ac:dyDescent="0.3">
      <c r="A267" s="53"/>
      <c r="B267" s="54"/>
      <c r="C267" s="54"/>
      <c r="D267" s="54"/>
      <c r="E267" s="55"/>
      <c r="F267" s="75"/>
      <c r="G267" s="76"/>
      <c r="H267" s="76"/>
      <c r="I267" s="48"/>
      <c r="J267" s="70"/>
      <c r="K267" s="70"/>
      <c r="L267" s="193" t="s">
        <v>963</v>
      </c>
      <c r="M267" s="194" t="s">
        <v>375</v>
      </c>
      <c r="N267" s="193" t="s">
        <v>34</v>
      </c>
      <c r="O267" s="195">
        <v>10</v>
      </c>
      <c r="P267" s="196">
        <v>172.8</v>
      </c>
      <c r="Q267" s="197">
        <v>1728</v>
      </c>
      <c r="R267" s="182"/>
      <c r="U267" s="128"/>
    </row>
    <row r="268" spans="1:21" ht="30" x14ac:dyDescent="0.3">
      <c r="A268" s="53"/>
      <c r="B268" s="54"/>
      <c r="C268" s="54"/>
      <c r="D268" s="54"/>
      <c r="E268" s="55"/>
      <c r="F268" s="75"/>
      <c r="G268" s="76"/>
      <c r="H268" s="76"/>
      <c r="I268" s="48"/>
      <c r="J268" s="70"/>
      <c r="K268" s="70"/>
      <c r="L268" s="193" t="s">
        <v>1146</v>
      </c>
      <c r="M268" s="194" t="s">
        <v>1233</v>
      </c>
      <c r="N268" s="193" t="s">
        <v>34</v>
      </c>
      <c r="O268" s="195">
        <v>2</v>
      </c>
      <c r="P268" s="196">
        <v>36</v>
      </c>
      <c r="Q268" s="196">
        <v>72</v>
      </c>
      <c r="R268" s="182"/>
      <c r="U268" s="128"/>
    </row>
    <row r="269" spans="1:21" ht="30" x14ac:dyDescent="0.3">
      <c r="A269" s="53"/>
      <c r="B269" s="54"/>
      <c r="C269" s="54"/>
      <c r="D269" s="54"/>
      <c r="E269" s="55"/>
      <c r="F269" s="75"/>
      <c r="G269" s="76"/>
      <c r="H269" s="76"/>
      <c r="I269" s="48"/>
      <c r="J269" s="70"/>
      <c r="K269" s="70"/>
      <c r="L269" s="193" t="s">
        <v>964</v>
      </c>
      <c r="M269" s="194" t="s">
        <v>788</v>
      </c>
      <c r="N269" s="193" t="s">
        <v>34</v>
      </c>
      <c r="O269" s="195">
        <v>1</v>
      </c>
      <c r="P269" s="196">
        <v>17.3</v>
      </c>
      <c r="Q269" s="196">
        <v>17.3</v>
      </c>
      <c r="R269" s="182"/>
      <c r="U269" s="128"/>
    </row>
    <row r="270" spans="1:21" ht="15.6" x14ac:dyDescent="0.3">
      <c r="A270" s="53"/>
      <c r="B270" s="54"/>
      <c r="C270" s="54"/>
      <c r="D270" s="54"/>
      <c r="E270" s="55"/>
      <c r="F270" s="75"/>
      <c r="G270" s="76"/>
      <c r="H270" s="76"/>
      <c r="I270" s="48"/>
      <c r="J270" s="70"/>
      <c r="K270" s="70"/>
      <c r="L270" s="193" t="s">
        <v>875</v>
      </c>
      <c r="M270" s="194" t="s">
        <v>876</v>
      </c>
      <c r="N270" s="193" t="s">
        <v>34</v>
      </c>
      <c r="O270" s="195">
        <v>1</v>
      </c>
      <c r="P270" s="197">
        <v>1603.96</v>
      </c>
      <c r="Q270" s="197">
        <v>1603.96</v>
      </c>
      <c r="R270" s="182"/>
      <c r="U270" s="128"/>
    </row>
    <row r="271" spans="1:21" ht="15.6" x14ac:dyDescent="0.3">
      <c r="A271" s="53"/>
      <c r="B271" s="54"/>
      <c r="C271" s="54"/>
      <c r="D271" s="54"/>
      <c r="E271" s="55"/>
      <c r="F271" s="75"/>
      <c r="G271" s="76"/>
      <c r="H271" s="76"/>
      <c r="I271" s="48"/>
      <c r="J271" s="70"/>
      <c r="K271" s="70"/>
      <c r="L271" s="193" t="s">
        <v>789</v>
      </c>
      <c r="M271" s="194" t="s">
        <v>790</v>
      </c>
      <c r="N271" s="193" t="s">
        <v>34</v>
      </c>
      <c r="O271" s="195">
        <v>16</v>
      </c>
      <c r="P271" s="196">
        <v>10</v>
      </c>
      <c r="Q271" s="196">
        <v>160</v>
      </c>
      <c r="R271" s="182"/>
      <c r="U271" s="128"/>
    </row>
    <row r="272" spans="1:21" ht="15.6" x14ac:dyDescent="0.3">
      <c r="A272" s="53"/>
      <c r="B272" s="54"/>
      <c r="C272" s="54"/>
      <c r="D272" s="54"/>
      <c r="E272" s="55"/>
      <c r="F272" s="75"/>
      <c r="G272" s="76"/>
      <c r="H272" s="76"/>
      <c r="I272" s="48"/>
      <c r="J272" s="70"/>
      <c r="K272" s="70"/>
      <c r="L272" s="193" t="s">
        <v>791</v>
      </c>
      <c r="M272" s="194" t="s">
        <v>792</v>
      </c>
      <c r="N272" s="193" t="s">
        <v>34</v>
      </c>
      <c r="O272" s="195">
        <v>5</v>
      </c>
      <c r="P272" s="196">
        <v>10</v>
      </c>
      <c r="Q272" s="196">
        <v>50</v>
      </c>
      <c r="R272" s="182"/>
      <c r="U272" s="128"/>
    </row>
    <row r="273" spans="1:21" ht="15.6" x14ac:dyDescent="0.3">
      <c r="A273" s="53"/>
      <c r="B273" s="54"/>
      <c r="C273" s="54"/>
      <c r="D273" s="54"/>
      <c r="E273" s="55"/>
      <c r="F273" s="75"/>
      <c r="G273" s="76"/>
      <c r="H273" s="76"/>
      <c r="I273" s="48"/>
      <c r="J273" s="70"/>
      <c r="K273" s="70"/>
      <c r="L273" s="193" t="s">
        <v>796</v>
      </c>
      <c r="M273" s="194" t="s">
        <v>797</v>
      </c>
      <c r="N273" s="193" t="s">
        <v>34</v>
      </c>
      <c r="O273" s="195">
        <v>1.0900000000000001</v>
      </c>
      <c r="P273" s="196">
        <v>338.33</v>
      </c>
      <c r="Q273" s="196">
        <v>368.78</v>
      </c>
      <c r="R273" s="182"/>
      <c r="U273" s="128"/>
    </row>
    <row r="274" spans="1:21" ht="15.6" x14ac:dyDescent="0.3">
      <c r="A274" s="53"/>
      <c r="B274" s="54"/>
      <c r="C274" s="54"/>
      <c r="D274" s="54"/>
      <c r="E274" s="55"/>
      <c r="F274" s="75"/>
      <c r="G274" s="76"/>
      <c r="H274" s="76"/>
      <c r="I274" s="48"/>
      <c r="J274" s="70"/>
      <c r="K274" s="70"/>
      <c r="L274" s="193" t="s">
        <v>877</v>
      </c>
      <c r="M274" s="194" t="s">
        <v>878</v>
      </c>
      <c r="N274" s="193" t="s">
        <v>34</v>
      </c>
      <c r="O274" s="195">
        <v>1</v>
      </c>
      <c r="P274" s="196">
        <v>366.36</v>
      </c>
      <c r="Q274" s="196">
        <v>366.36</v>
      </c>
      <c r="R274" s="182"/>
      <c r="U274" s="128"/>
    </row>
    <row r="275" spans="1:21" ht="15.6" x14ac:dyDescent="0.3">
      <c r="A275" s="53"/>
      <c r="B275" s="54"/>
      <c r="C275" s="54"/>
      <c r="D275" s="54"/>
      <c r="E275" s="55"/>
      <c r="F275" s="75"/>
      <c r="G275" s="76"/>
      <c r="H275" s="76"/>
      <c r="I275" s="48"/>
      <c r="J275" s="70"/>
      <c r="K275" s="70"/>
      <c r="L275" s="193" t="s">
        <v>887</v>
      </c>
      <c r="M275" s="194" t="s">
        <v>888</v>
      </c>
      <c r="N275" s="193" t="s">
        <v>34</v>
      </c>
      <c r="O275" s="195">
        <v>3</v>
      </c>
      <c r="P275" s="196">
        <v>44.6</v>
      </c>
      <c r="Q275" s="196">
        <v>133.80000000000001</v>
      </c>
      <c r="R275" s="182"/>
      <c r="U275" s="128"/>
    </row>
    <row r="276" spans="1:21" ht="15.6" x14ac:dyDescent="0.3">
      <c r="A276" s="53"/>
      <c r="B276" s="54"/>
      <c r="C276" s="54"/>
      <c r="D276" s="54"/>
      <c r="E276" s="55"/>
      <c r="F276" s="75"/>
      <c r="G276" s="76"/>
      <c r="H276" s="76"/>
      <c r="I276" s="48"/>
      <c r="J276" s="70"/>
      <c r="K276" s="70"/>
      <c r="L276" s="193" t="s">
        <v>915</v>
      </c>
      <c r="M276" s="194" t="s">
        <v>916</v>
      </c>
      <c r="N276" s="193" t="s">
        <v>34</v>
      </c>
      <c r="O276" s="195">
        <v>1</v>
      </c>
      <c r="P276" s="196">
        <v>21.9</v>
      </c>
      <c r="Q276" s="196">
        <v>21.9</v>
      </c>
      <c r="R276" s="182"/>
      <c r="U276" s="128"/>
    </row>
    <row r="277" spans="1:21" ht="15.6" x14ac:dyDescent="0.3">
      <c r="A277" s="53"/>
      <c r="B277" s="54"/>
      <c r="C277" s="54"/>
      <c r="D277" s="54"/>
      <c r="E277" s="55"/>
      <c r="F277" s="75"/>
      <c r="G277" s="76"/>
      <c r="H277" s="76"/>
      <c r="I277" s="48"/>
      <c r="J277" s="70"/>
      <c r="K277" s="70"/>
      <c r="L277" s="193" t="s">
        <v>53</v>
      </c>
      <c r="M277" s="194" t="s">
        <v>85</v>
      </c>
      <c r="N277" s="193" t="s">
        <v>34</v>
      </c>
      <c r="O277" s="195">
        <v>5</v>
      </c>
      <c r="P277" s="196">
        <v>47</v>
      </c>
      <c r="Q277" s="196">
        <v>235</v>
      </c>
      <c r="R277" s="182"/>
      <c r="U277" s="128"/>
    </row>
    <row r="278" spans="1:21" ht="15.6" x14ac:dyDescent="0.3">
      <c r="A278" s="53"/>
      <c r="B278" s="54"/>
      <c r="C278" s="54"/>
      <c r="D278" s="54"/>
      <c r="E278" s="55"/>
      <c r="F278" s="75"/>
      <c r="G278" s="76"/>
      <c r="H278" s="76"/>
      <c r="I278" s="48"/>
      <c r="J278" s="70"/>
      <c r="K278" s="70"/>
      <c r="L278" s="193" t="s">
        <v>1154</v>
      </c>
      <c r="M278" s="194" t="s">
        <v>1241</v>
      </c>
      <c r="N278" s="193" t="s">
        <v>34</v>
      </c>
      <c r="O278" s="195">
        <v>2</v>
      </c>
      <c r="P278" s="196">
        <v>152</v>
      </c>
      <c r="Q278" s="196">
        <v>304</v>
      </c>
      <c r="R278" s="182"/>
      <c r="U278" s="128"/>
    </row>
    <row r="279" spans="1:21" ht="15.6" x14ac:dyDescent="0.3">
      <c r="A279" s="53"/>
      <c r="B279" s="54"/>
      <c r="C279" s="54"/>
      <c r="D279" s="54"/>
      <c r="E279" s="55"/>
      <c r="F279" s="75"/>
      <c r="G279" s="76"/>
      <c r="H279" s="76"/>
      <c r="I279" s="48"/>
      <c r="J279" s="70"/>
      <c r="K279" s="70"/>
      <c r="L279" s="193" t="s">
        <v>1013</v>
      </c>
      <c r="M279" s="194" t="s">
        <v>1074</v>
      </c>
      <c r="N279" s="193" t="s">
        <v>34</v>
      </c>
      <c r="O279" s="195">
        <v>6</v>
      </c>
      <c r="P279" s="196">
        <v>159</v>
      </c>
      <c r="Q279" s="196">
        <v>954</v>
      </c>
      <c r="R279" s="182"/>
      <c r="U279" s="128"/>
    </row>
    <row r="280" spans="1:21" ht="15.6" x14ac:dyDescent="0.3">
      <c r="A280" s="53"/>
      <c r="B280" s="54"/>
      <c r="C280" s="54"/>
      <c r="D280" s="54"/>
      <c r="E280" s="55"/>
      <c r="F280" s="75"/>
      <c r="G280" s="76"/>
      <c r="H280" s="76"/>
      <c r="I280" s="48"/>
      <c r="J280" s="70"/>
      <c r="K280" s="70"/>
      <c r="L280" s="193" t="s">
        <v>1014</v>
      </c>
      <c r="M280" s="194" t="s">
        <v>806</v>
      </c>
      <c r="N280" s="193" t="s">
        <v>34</v>
      </c>
      <c r="O280" s="195">
        <v>1</v>
      </c>
      <c r="P280" s="196">
        <v>48.17</v>
      </c>
      <c r="Q280" s="196">
        <v>48.17</v>
      </c>
      <c r="R280" s="182"/>
      <c r="U280" s="128"/>
    </row>
    <row r="281" spans="1:21" ht="15.6" x14ac:dyDescent="0.3">
      <c r="A281" s="53"/>
      <c r="B281" s="54"/>
      <c r="C281" s="54"/>
      <c r="D281" s="54"/>
      <c r="E281" s="55"/>
      <c r="F281" s="75"/>
      <c r="G281" s="76"/>
      <c r="H281" s="76"/>
      <c r="I281" s="48"/>
      <c r="J281" s="70"/>
      <c r="K281" s="70"/>
      <c r="L281" s="193" t="s">
        <v>1155</v>
      </c>
      <c r="M281" s="194" t="s">
        <v>1242</v>
      </c>
      <c r="N281" s="193" t="s">
        <v>34</v>
      </c>
      <c r="O281" s="195">
        <v>3</v>
      </c>
      <c r="P281" s="196">
        <v>20.18</v>
      </c>
      <c r="Q281" s="196">
        <v>60.54</v>
      </c>
      <c r="R281" s="182"/>
      <c r="U281" s="128"/>
    </row>
    <row r="282" spans="1:21" ht="15.6" x14ac:dyDescent="0.3">
      <c r="A282" s="53"/>
      <c r="B282" s="54"/>
      <c r="C282" s="54"/>
      <c r="D282" s="54"/>
      <c r="E282" s="55"/>
      <c r="F282" s="75"/>
      <c r="G282" s="76"/>
      <c r="H282" s="76"/>
      <c r="I282" s="48"/>
      <c r="J282" s="70"/>
      <c r="K282" s="70"/>
      <c r="L282" s="193" t="s">
        <v>1015</v>
      </c>
      <c r="M282" s="194" t="s">
        <v>393</v>
      </c>
      <c r="N282" s="193" t="s">
        <v>34</v>
      </c>
      <c r="O282" s="195">
        <v>4</v>
      </c>
      <c r="P282" s="196">
        <v>4.9000000000000004</v>
      </c>
      <c r="Q282" s="196">
        <v>19.600000000000001</v>
      </c>
      <c r="R282" s="182"/>
      <c r="U282" s="128"/>
    </row>
    <row r="283" spans="1:21" ht="15.6" x14ac:dyDescent="0.3">
      <c r="A283" s="53"/>
      <c r="B283" s="54"/>
      <c r="C283" s="54"/>
      <c r="D283" s="54"/>
      <c r="E283" s="55"/>
      <c r="F283" s="75"/>
      <c r="G283" s="76"/>
      <c r="H283" s="76"/>
      <c r="I283" s="48"/>
      <c r="J283" s="70"/>
      <c r="K283" s="70"/>
      <c r="L283" s="193" t="s">
        <v>807</v>
      </c>
      <c r="M283" s="194" t="s">
        <v>808</v>
      </c>
      <c r="N283" s="193" t="s">
        <v>34</v>
      </c>
      <c r="O283" s="195">
        <v>1</v>
      </c>
      <c r="P283" s="196">
        <v>113</v>
      </c>
      <c r="Q283" s="196">
        <v>113</v>
      </c>
      <c r="R283" s="182"/>
      <c r="U283" s="128"/>
    </row>
    <row r="284" spans="1:21" ht="30" x14ac:dyDescent="0.3">
      <c r="A284" s="53"/>
      <c r="B284" s="54"/>
      <c r="C284" s="54"/>
      <c r="D284" s="54"/>
      <c r="E284" s="55"/>
      <c r="F284" s="75"/>
      <c r="G284" s="76"/>
      <c r="H284" s="76"/>
      <c r="I284" s="48"/>
      <c r="J284" s="70"/>
      <c r="K284" s="70"/>
      <c r="L284" s="193" t="s">
        <v>1156</v>
      </c>
      <c r="M284" s="194" t="s">
        <v>1243</v>
      </c>
      <c r="N284" s="193" t="s">
        <v>34</v>
      </c>
      <c r="O284" s="195">
        <v>1</v>
      </c>
      <c r="P284" s="196">
        <v>87.3</v>
      </c>
      <c r="Q284" s="196">
        <v>87.3</v>
      </c>
      <c r="R284" s="182"/>
      <c r="U284" s="128"/>
    </row>
    <row r="285" spans="1:21" ht="15.6" x14ac:dyDescent="0.3">
      <c r="A285" s="53"/>
      <c r="B285" s="54"/>
      <c r="C285" s="54"/>
      <c r="D285" s="54"/>
      <c r="E285" s="55"/>
      <c r="F285" s="75"/>
      <c r="G285" s="76"/>
      <c r="H285" s="76"/>
      <c r="I285" s="48"/>
      <c r="J285" s="70"/>
      <c r="K285" s="70"/>
      <c r="L285" s="193" t="s">
        <v>1016</v>
      </c>
      <c r="M285" s="194" t="s">
        <v>396</v>
      </c>
      <c r="N285" s="193" t="s">
        <v>34</v>
      </c>
      <c r="O285" s="195">
        <v>2</v>
      </c>
      <c r="P285" s="196">
        <v>24.58</v>
      </c>
      <c r="Q285" s="196">
        <v>49.16</v>
      </c>
      <c r="R285" s="182"/>
      <c r="U285" s="128"/>
    </row>
    <row r="286" spans="1:21" ht="15.6" x14ac:dyDescent="0.3">
      <c r="A286" s="53"/>
      <c r="B286" s="54"/>
      <c r="C286" s="54"/>
      <c r="D286" s="54"/>
      <c r="E286" s="55"/>
      <c r="F286" s="75"/>
      <c r="G286" s="76"/>
      <c r="H286" s="76"/>
      <c r="I286" s="48"/>
      <c r="J286" s="70"/>
      <c r="K286" s="70"/>
      <c r="L286" s="193" t="s">
        <v>1017</v>
      </c>
      <c r="M286" s="194" t="s">
        <v>397</v>
      </c>
      <c r="N286" s="193" t="s">
        <v>34</v>
      </c>
      <c r="O286" s="195">
        <v>3</v>
      </c>
      <c r="P286" s="196">
        <v>21.98</v>
      </c>
      <c r="Q286" s="196">
        <v>65.95</v>
      </c>
      <c r="R286" s="182"/>
      <c r="U286" s="128"/>
    </row>
    <row r="287" spans="1:21" ht="15.6" x14ac:dyDescent="0.3">
      <c r="A287" s="53"/>
      <c r="B287" s="54"/>
      <c r="C287" s="54"/>
      <c r="D287" s="54"/>
      <c r="E287" s="55"/>
      <c r="F287" s="75"/>
      <c r="G287" s="76"/>
      <c r="H287" s="76"/>
      <c r="I287" s="48"/>
      <c r="J287" s="70"/>
      <c r="K287" s="70"/>
      <c r="L287" s="193" t="s">
        <v>1018</v>
      </c>
      <c r="M287" s="194" t="s">
        <v>1075</v>
      </c>
      <c r="N287" s="193" t="s">
        <v>34</v>
      </c>
      <c r="O287" s="195">
        <v>2</v>
      </c>
      <c r="P287" s="197">
        <v>1290.8</v>
      </c>
      <c r="Q287" s="197">
        <v>2581.6</v>
      </c>
      <c r="R287" s="182"/>
      <c r="U287" s="128"/>
    </row>
    <row r="288" spans="1:21" ht="15.6" x14ac:dyDescent="0.3">
      <c r="A288" s="53"/>
      <c r="B288" s="54"/>
      <c r="C288" s="54"/>
      <c r="D288" s="54"/>
      <c r="E288" s="55"/>
      <c r="F288" s="75"/>
      <c r="G288" s="76"/>
      <c r="H288" s="76"/>
      <c r="I288" s="48"/>
      <c r="J288" s="70"/>
      <c r="K288" s="70"/>
      <c r="L288" s="193" t="s">
        <v>1157</v>
      </c>
      <c r="M288" s="194" t="s">
        <v>398</v>
      </c>
      <c r="N288" s="193" t="s">
        <v>34</v>
      </c>
      <c r="O288" s="195">
        <v>1</v>
      </c>
      <c r="P288" s="197">
        <v>1290.8</v>
      </c>
      <c r="Q288" s="197">
        <v>1290.8</v>
      </c>
      <c r="R288" s="182"/>
      <c r="U288" s="128"/>
    </row>
    <row r="289" spans="1:21" ht="15.6" x14ac:dyDescent="0.3">
      <c r="A289" s="53"/>
      <c r="B289" s="54"/>
      <c r="C289" s="54"/>
      <c r="D289" s="54"/>
      <c r="E289" s="55"/>
      <c r="F289" s="75"/>
      <c r="G289" s="76"/>
      <c r="H289" s="76"/>
      <c r="I289" s="48"/>
      <c r="J289" s="70"/>
      <c r="K289" s="70"/>
      <c r="L289" s="193" t="s">
        <v>809</v>
      </c>
      <c r="M289" s="194" t="s">
        <v>810</v>
      </c>
      <c r="N289" s="193" t="s">
        <v>34</v>
      </c>
      <c r="O289" s="195">
        <v>1</v>
      </c>
      <c r="P289" s="196">
        <v>854.38</v>
      </c>
      <c r="Q289" s="196">
        <v>854.38</v>
      </c>
      <c r="R289" s="182"/>
      <c r="U289" s="128"/>
    </row>
    <row r="290" spans="1:21" ht="15.6" x14ac:dyDescent="0.3">
      <c r="A290" s="53"/>
      <c r="B290" s="54"/>
      <c r="C290" s="54"/>
      <c r="D290" s="54"/>
      <c r="E290" s="55"/>
      <c r="F290" s="75"/>
      <c r="G290" s="76"/>
      <c r="H290" s="76"/>
      <c r="I290" s="48"/>
      <c r="J290" s="70"/>
      <c r="K290" s="70"/>
      <c r="L290" s="193" t="s">
        <v>859</v>
      </c>
      <c r="M290" s="194" t="s">
        <v>904</v>
      </c>
      <c r="N290" s="193" t="s">
        <v>34</v>
      </c>
      <c r="O290" s="195">
        <v>1</v>
      </c>
      <c r="P290" s="197">
        <v>3249.16</v>
      </c>
      <c r="Q290" s="197">
        <v>3249.16</v>
      </c>
      <c r="R290" s="182"/>
      <c r="U290" s="128"/>
    </row>
    <row r="291" spans="1:21" ht="15.6" x14ac:dyDescent="0.3">
      <c r="A291" s="53"/>
      <c r="B291" s="54"/>
      <c r="C291" s="54"/>
      <c r="D291" s="54"/>
      <c r="E291" s="55"/>
      <c r="F291" s="75"/>
      <c r="G291" s="76"/>
      <c r="H291" s="76"/>
      <c r="I291" s="48"/>
      <c r="J291" s="70"/>
      <c r="K291" s="70"/>
      <c r="L291" s="193" t="s">
        <v>868</v>
      </c>
      <c r="M291" s="194" t="s">
        <v>1047</v>
      </c>
      <c r="N291" s="193" t="s">
        <v>34</v>
      </c>
      <c r="O291" s="195">
        <v>1</v>
      </c>
      <c r="P291" s="196">
        <v>586.45000000000005</v>
      </c>
      <c r="Q291" s="196">
        <v>586.45000000000005</v>
      </c>
      <c r="R291" s="182"/>
      <c r="U291" s="128"/>
    </row>
    <row r="292" spans="1:21" ht="15.6" x14ac:dyDescent="0.3">
      <c r="A292" s="53"/>
      <c r="B292" s="54"/>
      <c r="C292" s="54"/>
      <c r="D292" s="54"/>
      <c r="E292" s="55"/>
      <c r="F292" s="75"/>
      <c r="G292" s="76"/>
      <c r="H292" s="76"/>
      <c r="I292" s="48"/>
      <c r="J292" s="70"/>
      <c r="K292" s="70"/>
      <c r="L292" s="193" t="s">
        <v>1152</v>
      </c>
      <c r="M292" s="194" t="s">
        <v>1239</v>
      </c>
      <c r="N292" s="193" t="s">
        <v>34</v>
      </c>
      <c r="O292" s="195">
        <v>1</v>
      </c>
      <c r="P292" s="196">
        <v>382</v>
      </c>
      <c r="Q292" s="196">
        <v>382</v>
      </c>
      <c r="R292" s="182"/>
      <c r="U292" s="128"/>
    </row>
    <row r="293" spans="1:21" ht="15.6" x14ac:dyDescent="0.3">
      <c r="A293" s="53"/>
      <c r="B293" s="54"/>
      <c r="C293" s="54"/>
      <c r="D293" s="54"/>
      <c r="E293" s="55"/>
      <c r="F293" s="75"/>
      <c r="G293" s="76"/>
      <c r="H293" s="76"/>
      <c r="I293" s="48"/>
      <c r="J293" s="70"/>
      <c r="K293" s="70"/>
      <c r="L293" s="193" t="s">
        <v>1149</v>
      </c>
      <c r="M293" s="194" t="s">
        <v>1236</v>
      </c>
      <c r="N293" s="193" t="s">
        <v>34</v>
      </c>
      <c r="O293" s="195">
        <v>1</v>
      </c>
      <c r="P293" s="196">
        <v>17.420000000000002</v>
      </c>
      <c r="Q293" s="196">
        <v>17.420000000000002</v>
      </c>
      <c r="R293" s="182"/>
      <c r="U293" s="128"/>
    </row>
    <row r="294" spans="1:21" ht="15.6" x14ac:dyDescent="0.3">
      <c r="A294" s="53"/>
      <c r="B294" s="54"/>
      <c r="C294" s="54"/>
      <c r="D294" s="54"/>
      <c r="E294" s="55"/>
      <c r="F294" s="75"/>
      <c r="G294" s="76"/>
      <c r="H294" s="76"/>
      <c r="I294" s="48"/>
      <c r="J294" s="70"/>
      <c r="K294" s="70"/>
      <c r="L294" s="193" t="s">
        <v>1150</v>
      </c>
      <c r="M294" s="194" t="s">
        <v>1237</v>
      </c>
      <c r="N294" s="193" t="s">
        <v>34</v>
      </c>
      <c r="O294" s="195">
        <v>116</v>
      </c>
      <c r="P294" s="196">
        <v>27.72</v>
      </c>
      <c r="Q294" s="197">
        <v>3215.52</v>
      </c>
      <c r="R294" s="182"/>
      <c r="U294" s="128"/>
    </row>
    <row r="295" spans="1:21" ht="15.6" x14ac:dyDescent="0.3">
      <c r="A295" s="53"/>
      <c r="B295" s="54"/>
      <c r="C295" s="54"/>
      <c r="D295" s="54"/>
      <c r="E295" s="55"/>
      <c r="F295" s="75"/>
      <c r="G295" s="76"/>
      <c r="H295" s="76"/>
      <c r="I295" s="48"/>
      <c r="J295" s="70"/>
      <c r="K295" s="70"/>
      <c r="L295" s="193" t="s">
        <v>793</v>
      </c>
      <c r="M295" s="194" t="s">
        <v>1052</v>
      </c>
      <c r="N295" s="193" t="s">
        <v>34</v>
      </c>
      <c r="O295" s="195">
        <v>73</v>
      </c>
      <c r="P295" s="196">
        <v>6.44</v>
      </c>
      <c r="Q295" s="196">
        <v>470.12</v>
      </c>
      <c r="R295" s="182"/>
      <c r="U295" s="128"/>
    </row>
    <row r="296" spans="1:21" ht="15.6" x14ac:dyDescent="0.3">
      <c r="A296" s="53"/>
      <c r="B296" s="54"/>
      <c r="C296" s="54"/>
      <c r="D296" s="54"/>
      <c r="E296" s="55"/>
      <c r="F296" s="75"/>
      <c r="G296" s="76"/>
      <c r="H296" s="76"/>
      <c r="I296" s="48"/>
      <c r="J296" s="70"/>
      <c r="K296" s="70"/>
      <c r="L296" s="193" t="s">
        <v>965</v>
      </c>
      <c r="M296" s="194" t="s">
        <v>382</v>
      </c>
      <c r="N296" s="193" t="s">
        <v>34</v>
      </c>
      <c r="O296" s="195">
        <v>16</v>
      </c>
      <c r="P296" s="196">
        <v>3.8</v>
      </c>
      <c r="Q296" s="196">
        <v>60.8</v>
      </c>
      <c r="R296" s="182"/>
      <c r="U296" s="128"/>
    </row>
    <row r="297" spans="1:21" ht="15.6" x14ac:dyDescent="0.3">
      <c r="A297" s="53"/>
      <c r="B297" s="54"/>
      <c r="C297" s="54"/>
      <c r="D297" s="54"/>
      <c r="E297" s="55"/>
      <c r="F297" s="75"/>
      <c r="G297" s="76"/>
      <c r="H297" s="76"/>
      <c r="I297" s="48"/>
      <c r="J297" s="70"/>
      <c r="K297" s="70"/>
      <c r="L297" s="193" t="s">
        <v>891</v>
      </c>
      <c r="M297" s="194" t="s">
        <v>892</v>
      </c>
      <c r="N297" s="193" t="s">
        <v>34</v>
      </c>
      <c r="O297" s="195">
        <v>3</v>
      </c>
      <c r="P297" s="196">
        <v>720</v>
      </c>
      <c r="Q297" s="197">
        <v>2160</v>
      </c>
      <c r="R297" s="182"/>
      <c r="U297" s="128"/>
    </row>
    <row r="298" spans="1:21" ht="15.6" x14ac:dyDescent="0.3">
      <c r="A298" s="53"/>
      <c r="B298" s="54"/>
      <c r="C298" s="54"/>
      <c r="D298" s="54"/>
      <c r="E298" s="55"/>
      <c r="F298" s="75"/>
      <c r="G298" s="76"/>
      <c r="H298" s="76"/>
      <c r="I298" s="48"/>
      <c r="J298" s="70"/>
      <c r="K298" s="70"/>
      <c r="L298" s="193" t="s">
        <v>865</v>
      </c>
      <c r="M298" s="194" t="s">
        <v>1055</v>
      </c>
      <c r="N298" s="193" t="s">
        <v>34</v>
      </c>
      <c r="O298" s="195">
        <v>1</v>
      </c>
      <c r="P298" s="197">
        <v>4916.67</v>
      </c>
      <c r="Q298" s="197">
        <v>4916.67</v>
      </c>
      <c r="R298" s="182"/>
      <c r="U298" s="128"/>
    </row>
    <row r="299" spans="1:21" ht="15.6" x14ac:dyDescent="0.3">
      <c r="A299" s="53"/>
      <c r="B299" s="54"/>
      <c r="C299" s="54"/>
      <c r="D299" s="54"/>
      <c r="E299" s="55"/>
      <c r="F299" s="75"/>
      <c r="G299" s="76"/>
      <c r="H299" s="76"/>
      <c r="I299" s="48"/>
      <c r="J299" s="70"/>
      <c r="K299" s="70"/>
      <c r="L299" s="193" t="s">
        <v>799</v>
      </c>
      <c r="M299" s="194" t="s">
        <v>800</v>
      </c>
      <c r="N299" s="193" t="s">
        <v>34</v>
      </c>
      <c r="O299" s="195">
        <v>1</v>
      </c>
      <c r="P299" s="196">
        <v>308.12</v>
      </c>
      <c r="Q299" s="196">
        <v>308.12</v>
      </c>
      <c r="R299" s="182"/>
      <c r="U299" s="128"/>
    </row>
    <row r="300" spans="1:21" ht="15.6" x14ac:dyDescent="0.3">
      <c r="A300" s="53"/>
      <c r="B300" s="54"/>
      <c r="C300" s="54"/>
      <c r="D300" s="54"/>
      <c r="E300" s="55"/>
      <c r="F300" s="75"/>
      <c r="G300" s="76"/>
      <c r="H300" s="76"/>
      <c r="I300" s="48"/>
      <c r="J300" s="70"/>
      <c r="K300" s="70"/>
      <c r="L300" s="193" t="s">
        <v>801</v>
      </c>
      <c r="M300" s="194" t="s">
        <v>802</v>
      </c>
      <c r="N300" s="193" t="s">
        <v>34</v>
      </c>
      <c r="O300" s="195">
        <v>1</v>
      </c>
      <c r="P300" s="196">
        <v>308.12</v>
      </c>
      <c r="Q300" s="196">
        <v>308.12</v>
      </c>
      <c r="R300" s="182"/>
      <c r="U300" s="128"/>
    </row>
    <row r="301" spans="1:21" ht="15.6" x14ac:dyDescent="0.3">
      <c r="A301" s="53"/>
      <c r="B301" s="54"/>
      <c r="C301" s="54"/>
      <c r="D301" s="54"/>
      <c r="E301" s="55"/>
      <c r="F301" s="75"/>
      <c r="G301" s="76"/>
      <c r="H301" s="76"/>
      <c r="I301" s="48"/>
      <c r="J301" s="70"/>
      <c r="K301" s="70"/>
      <c r="L301" s="193" t="s">
        <v>1153</v>
      </c>
      <c r="M301" s="194" t="s">
        <v>1240</v>
      </c>
      <c r="N301" s="193" t="s">
        <v>34</v>
      </c>
      <c r="O301" s="195">
        <v>1</v>
      </c>
      <c r="P301" s="197">
        <v>1546</v>
      </c>
      <c r="Q301" s="197">
        <v>1546</v>
      </c>
      <c r="R301" s="182"/>
      <c r="U301" s="128"/>
    </row>
    <row r="302" spans="1:21" ht="15.6" x14ac:dyDescent="0.3">
      <c r="A302" s="53"/>
      <c r="B302" s="54"/>
      <c r="C302" s="54"/>
      <c r="D302" s="54"/>
      <c r="E302" s="55"/>
      <c r="F302" s="75"/>
      <c r="G302" s="76"/>
      <c r="H302" s="76"/>
      <c r="I302" s="48"/>
      <c r="J302" s="70"/>
      <c r="K302" s="70"/>
      <c r="L302" s="193" t="s">
        <v>804</v>
      </c>
      <c r="M302" s="194" t="s">
        <v>805</v>
      </c>
      <c r="N302" s="193" t="s">
        <v>34</v>
      </c>
      <c r="O302" s="195">
        <v>0.6</v>
      </c>
      <c r="P302" s="197">
        <v>1250</v>
      </c>
      <c r="Q302" s="196">
        <v>750</v>
      </c>
      <c r="R302" s="182"/>
      <c r="U302" s="128"/>
    </row>
    <row r="303" spans="1:21" ht="15.6" x14ac:dyDescent="0.3">
      <c r="A303" s="53"/>
      <c r="B303" s="54"/>
      <c r="C303" s="54"/>
      <c r="D303" s="54"/>
      <c r="E303" s="55"/>
      <c r="F303" s="75"/>
      <c r="G303" s="76"/>
      <c r="H303" s="76"/>
      <c r="I303" s="48"/>
      <c r="J303" s="70"/>
      <c r="K303" s="70"/>
      <c r="L303" s="193" t="s">
        <v>867</v>
      </c>
      <c r="M303" s="194" t="s">
        <v>918</v>
      </c>
      <c r="N303" s="193" t="s">
        <v>34</v>
      </c>
      <c r="O303" s="195">
        <v>1</v>
      </c>
      <c r="P303" s="197">
        <v>4050</v>
      </c>
      <c r="Q303" s="197">
        <v>4050</v>
      </c>
      <c r="R303" s="182"/>
      <c r="U303" s="128"/>
    </row>
    <row r="304" spans="1:21" ht="15.6" x14ac:dyDescent="0.3">
      <c r="A304" s="53"/>
      <c r="B304" s="54"/>
      <c r="C304" s="54"/>
      <c r="D304" s="54"/>
      <c r="E304" s="55"/>
      <c r="F304" s="75"/>
      <c r="G304" s="76"/>
      <c r="H304" s="76"/>
      <c r="I304" s="48"/>
      <c r="J304" s="70"/>
      <c r="K304" s="70"/>
      <c r="L304" s="193" t="s">
        <v>194</v>
      </c>
      <c r="M304" s="194" t="s">
        <v>195</v>
      </c>
      <c r="N304" s="193" t="s">
        <v>34</v>
      </c>
      <c r="O304" s="195">
        <v>0.2</v>
      </c>
      <c r="P304" s="197">
        <v>1500</v>
      </c>
      <c r="Q304" s="196">
        <v>300</v>
      </c>
      <c r="R304" s="182"/>
      <c r="U304" s="128"/>
    </row>
    <row r="305" spans="1:21" ht="15.6" x14ac:dyDescent="0.3">
      <c r="A305" s="53"/>
      <c r="B305" s="54"/>
      <c r="C305" s="54"/>
      <c r="D305" s="54"/>
      <c r="E305" s="55"/>
      <c r="F305" s="75"/>
      <c r="G305" s="76"/>
      <c r="H305" s="76"/>
      <c r="I305" s="48"/>
      <c r="J305" s="70"/>
      <c r="K305" s="70"/>
      <c r="L305" s="193" t="s">
        <v>794</v>
      </c>
      <c r="M305" s="194" t="s">
        <v>795</v>
      </c>
      <c r="N305" s="193" t="s">
        <v>57</v>
      </c>
      <c r="O305" s="195">
        <v>216</v>
      </c>
      <c r="P305" s="196">
        <v>18.13</v>
      </c>
      <c r="Q305" s="197">
        <v>3915.45</v>
      </c>
      <c r="R305" s="182"/>
      <c r="U305" s="128"/>
    </row>
    <row r="306" spans="1:21" ht="15.6" x14ac:dyDescent="0.3">
      <c r="A306" s="53"/>
      <c r="B306" s="54"/>
      <c r="C306" s="54"/>
      <c r="D306" s="54"/>
      <c r="E306" s="55"/>
      <c r="F306" s="75"/>
      <c r="G306" s="76"/>
      <c r="H306" s="76"/>
      <c r="I306" s="48"/>
      <c r="J306" s="70"/>
      <c r="K306" s="70"/>
      <c r="L306" s="193" t="s">
        <v>1184</v>
      </c>
      <c r="M306" s="194" t="s">
        <v>1267</v>
      </c>
      <c r="N306" s="193" t="s">
        <v>57</v>
      </c>
      <c r="O306" s="195">
        <v>23</v>
      </c>
      <c r="P306" s="196">
        <v>28</v>
      </c>
      <c r="Q306" s="196">
        <v>644</v>
      </c>
      <c r="R306" s="182"/>
      <c r="U306" s="128"/>
    </row>
    <row r="307" spans="1:21" ht="15.6" x14ac:dyDescent="0.3">
      <c r="A307" s="53"/>
      <c r="B307" s="54"/>
      <c r="C307" s="54"/>
      <c r="D307" s="54"/>
      <c r="E307" s="55"/>
      <c r="F307" s="75"/>
      <c r="G307" s="76"/>
      <c r="H307" s="76"/>
      <c r="I307" s="48"/>
      <c r="J307" s="70"/>
      <c r="K307" s="70"/>
      <c r="L307" s="193" t="s">
        <v>913</v>
      </c>
      <c r="M307" s="194" t="s">
        <v>914</v>
      </c>
      <c r="N307" s="193" t="s">
        <v>57</v>
      </c>
      <c r="O307" s="195">
        <v>74</v>
      </c>
      <c r="P307" s="196">
        <v>28.61</v>
      </c>
      <c r="Q307" s="197">
        <v>2117.14</v>
      </c>
      <c r="R307" s="182"/>
      <c r="U307" s="128"/>
    </row>
    <row r="308" spans="1:21" ht="15.6" x14ac:dyDescent="0.3">
      <c r="A308" s="53"/>
      <c r="B308" s="54"/>
      <c r="C308" s="54"/>
      <c r="D308" s="54"/>
      <c r="E308" s="55"/>
      <c r="F308" s="75"/>
      <c r="G308" s="76"/>
      <c r="H308" s="76"/>
      <c r="I308" s="48"/>
      <c r="J308" s="70"/>
      <c r="K308" s="70"/>
      <c r="L308" s="193" t="s">
        <v>1183</v>
      </c>
      <c r="M308" s="194" t="s">
        <v>1266</v>
      </c>
      <c r="N308" s="193" t="s">
        <v>57</v>
      </c>
      <c r="O308" s="195">
        <v>67</v>
      </c>
      <c r="P308" s="196">
        <v>20.38</v>
      </c>
      <c r="Q308" s="197">
        <v>1365.46</v>
      </c>
      <c r="R308" s="182"/>
      <c r="U308" s="128"/>
    </row>
    <row r="309" spans="1:21" ht="15.6" x14ac:dyDescent="0.3">
      <c r="A309" s="53"/>
      <c r="B309" s="54"/>
      <c r="C309" s="54"/>
      <c r="D309" s="54"/>
      <c r="E309" s="55"/>
      <c r="F309" s="75"/>
      <c r="G309" s="76"/>
      <c r="H309" s="76"/>
      <c r="I309" s="48"/>
      <c r="J309" s="70"/>
      <c r="K309" s="70"/>
      <c r="L309" s="193" t="s">
        <v>1181</v>
      </c>
      <c r="M309" s="194" t="s">
        <v>1264</v>
      </c>
      <c r="N309" s="193" t="s">
        <v>57</v>
      </c>
      <c r="O309" s="195">
        <v>0.8</v>
      </c>
      <c r="P309" s="196">
        <v>18.13</v>
      </c>
      <c r="Q309" s="196">
        <v>14.5</v>
      </c>
      <c r="R309" s="182"/>
      <c r="U309" s="128"/>
    </row>
    <row r="310" spans="1:21" ht="15.6" x14ac:dyDescent="0.3">
      <c r="A310" s="53"/>
      <c r="B310" s="54"/>
      <c r="C310" s="54"/>
      <c r="D310" s="54"/>
      <c r="E310" s="55"/>
      <c r="F310" s="75"/>
      <c r="G310" s="76"/>
      <c r="H310" s="76"/>
      <c r="I310" s="48"/>
      <c r="J310" s="70"/>
      <c r="K310" s="70"/>
      <c r="L310" s="193" t="s">
        <v>820</v>
      </c>
      <c r="M310" s="194" t="s">
        <v>821</v>
      </c>
      <c r="N310" s="193" t="s">
        <v>57</v>
      </c>
      <c r="O310" s="195">
        <v>130</v>
      </c>
      <c r="P310" s="196">
        <v>17.149999999999999</v>
      </c>
      <c r="Q310" s="197">
        <v>2229.5</v>
      </c>
      <c r="R310" s="182"/>
      <c r="U310" s="128"/>
    </row>
    <row r="311" spans="1:21" ht="15.6" x14ac:dyDescent="0.3">
      <c r="A311" s="53"/>
      <c r="B311" s="54"/>
      <c r="C311" s="54"/>
      <c r="D311" s="54"/>
      <c r="E311" s="55"/>
      <c r="F311" s="75"/>
      <c r="G311" s="76"/>
      <c r="H311" s="76"/>
      <c r="I311" s="48"/>
      <c r="J311" s="70"/>
      <c r="K311" s="70"/>
      <c r="L311" s="193" t="s">
        <v>822</v>
      </c>
      <c r="M311" s="194" t="s">
        <v>213</v>
      </c>
      <c r="N311" s="193" t="s">
        <v>57</v>
      </c>
      <c r="O311" s="195">
        <v>70</v>
      </c>
      <c r="P311" s="196">
        <v>36.24</v>
      </c>
      <c r="Q311" s="197">
        <v>2536.8000000000002</v>
      </c>
      <c r="R311" s="182"/>
      <c r="U311" s="128"/>
    </row>
    <row r="312" spans="1:21" ht="15.6" x14ac:dyDescent="0.3">
      <c r="A312" s="53"/>
      <c r="B312" s="54"/>
      <c r="C312" s="54"/>
      <c r="D312" s="54"/>
      <c r="E312" s="55"/>
      <c r="F312" s="75"/>
      <c r="G312" s="76"/>
      <c r="H312" s="76"/>
      <c r="I312" s="48"/>
      <c r="J312" s="70"/>
      <c r="K312" s="70"/>
      <c r="L312" s="193" t="s">
        <v>1182</v>
      </c>
      <c r="M312" s="194" t="s">
        <v>1265</v>
      </c>
      <c r="N312" s="193" t="s">
        <v>57</v>
      </c>
      <c r="O312" s="195">
        <v>115</v>
      </c>
      <c r="P312" s="196">
        <v>40.270000000000003</v>
      </c>
      <c r="Q312" s="197">
        <v>4631.05</v>
      </c>
      <c r="R312" s="182"/>
      <c r="U312" s="128"/>
    </row>
    <row r="313" spans="1:21" ht="30" x14ac:dyDescent="0.3">
      <c r="A313" s="53"/>
      <c r="B313" s="54"/>
      <c r="C313" s="54"/>
      <c r="D313" s="54"/>
      <c r="E313" s="55"/>
      <c r="F313" s="75"/>
      <c r="G313" s="76"/>
      <c r="H313" s="76"/>
      <c r="I313" s="48"/>
      <c r="J313" s="70"/>
      <c r="K313" s="70"/>
      <c r="L313" s="193" t="s">
        <v>1019</v>
      </c>
      <c r="M313" s="194" t="s">
        <v>836</v>
      </c>
      <c r="N313" s="193" t="s">
        <v>57</v>
      </c>
      <c r="O313" s="195">
        <v>44</v>
      </c>
      <c r="P313" s="196">
        <v>6.09</v>
      </c>
      <c r="Q313" s="196">
        <v>267.95999999999998</v>
      </c>
      <c r="R313" s="182"/>
      <c r="U313" s="128"/>
    </row>
    <row r="314" spans="1:21" ht="30" x14ac:dyDescent="0.3">
      <c r="A314" s="53"/>
      <c r="B314" s="54"/>
      <c r="C314" s="54"/>
      <c r="D314" s="54"/>
      <c r="E314" s="55"/>
      <c r="F314" s="75"/>
      <c r="G314" s="76"/>
      <c r="H314" s="76"/>
      <c r="I314" s="48"/>
      <c r="J314" s="70"/>
      <c r="K314" s="70"/>
      <c r="L314" s="193" t="s">
        <v>238</v>
      </c>
      <c r="M314" s="194" t="s">
        <v>239</v>
      </c>
      <c r="N314" s="193" t="s">
        <v>57</v>
      </c>
      <c r="O314" s="195">
        <v>50</v>
      </c>
      <c r="P314" s="196">
        <v>7.92</v>
      </c>
      <c r="Q314" s="196">
        <v>396</v>
      </c>
      <c r="R314" s="182"/>
      <c r="U314" s="128"/>
    </row>
    <row r="315" spans="1:21" ht="30" x14ac:dyDescent="0.3">
      <c r="A315" s="53"/>
      <c r="B315" s="54"/>
      <c r="C315" s="54"/>
      <c r="D315" s="54"/>
      <c r="E315" s="55"/>
      <c r="F315" s="75"/>
      <c r="G315" s="76"/>
      <c r="H315" s="76"/>
      <c r="I315" s="48"/>
      <c r="J315" s="70"/>
      <c r="K315" s="70"/>
      <c r="L315" s="193" t="s">
        <v>1020</v>
      </c>
      <c r="M315" s="194" t="s">
        <v>102</v>
      </c>
      <c r="N315" s="193" t="s">
        <v>57</v>
      </c>
      <c r="O315" s="195">
        <v>7</v>
      </c>
      <c r="P315" s="196">
        <v>7.92</v>
      </c>
      <c r="Q315" s="196">
        <v>55.44</v>
      </c>
      <c r="R315" s="182"/>
      <c r="U315" s="128"/>
    </row>
    <row r="316" spans="1:21" ht="15.6" x14ac:dyDescent="0.3">
      <c r="A316" s="53"/>
      <c r="B316" s="54"/>
      <c r="C316" s="54"/>
      <c r="D316" s="54"/>
      <c r="E316" s="55"/>
      <c r="F316" s="75"/>
      <c r="G316" s="76"/>
      <c r="H316" s="76"/>
      <c r="I316" s="48"/>
      <c r="J316" s="70"/>
      <c r="K316" s="70"/>
      <c r="L316" s="193" t="s">
        <v>1021</v>
      </c>
      <c r="M316" s="194" t="s">
        <v>483</v>
      </c>
      <c r="N316" s="193" t="s">
        <v>57</v>
      </c>
      <c r="O316" s="195">
        <v>7</v>
      </c>
      <c r="P316" s="196">
        <v>44.81</v>
      </c>
      <c r="Q316" s="196">
        <v>313.67</v>
      </c>
      <c r="R316" s="182"/>
      <c r="U316" s="128"/>
    </row>
    <row r="317" spans="1:21" ht="15.6" x14ac:dyDescent="0.3">
      <c r="A317" s="53"/>
      <c r="B317" s="54"/>
      <c r="C317" s="54"/>
      <c r="D317" s="54"/>
      <c r="E317" s="55"/>
      <c r="F317" s="75"/>
      <c r="G317" s="76"/>
      <c r="H317" s="76"/>
      <c r="I317" s="48"/>
      <c r="J317" s="70"/>
      <c r="K317" s="70"/>
      <c r="L317" s="193" t="s">
        <v>1022</v>
      </c>
      <c r="M317" s="194" t="s">
        <v>178</v>
      </c>
      <c r="N317" s="193" t="s">
        <v>56</v>
      </c>
      <c r="O317" s="195">
        <v>5.0000000000000001E-3</v>
      </c>
      <c r="P317" s="197">
        <v>40804</v>
      </c>
      <c r="Q317" s="196">
        <v>204.02</v>
      </c>
      <c r="R317" s="182"/>
      <c r="U317" s="128"/>
    </row>
    <row r="318" spans="1:21" ht="15.6" x14ac:dyDescent="0.3">
      <c r="A318" s="53"/>
      <c r="B318" s="54"/>
      <c r="C318" s="54"/>
      <c r="D318" s="54"/>
      <c r="E318" s="55"/>
      <c r="F318" s="75"/>
      <c r="G318" s="76"/>
      <c r="H318" s="76"/>
      <c r="I318" s="48"/>
      <c r="J318" s="70"/>
      <c r="K318" s="70"/>
      <c r="L318" s="193" t="s">
        <v>1023</v>
      </c>
      <c r="M318" s="194" t="s">
        <v>70</v>
      </c>
      <c r="N318" s="193" t="s">
        <v>56</v>
      </c>
      <c r="O318" s="195">
        <v>0.1</v>
      </c>
      <c r="P318" s="197">
        <v>27143</v>
      </c>
      <c r="Q318" s="197">
        <v>2714.3</v>
      </c>
      <c r="R318" s="182"/>
      <c r="U318" s="128"/>
    </row>
    <row r="319" spans="1:21" ht="15.6" x14ac:dyDescent="0.3">
      <c r="A319" s="53"/>
      <c r="B319" s="54"/>
      <c r="C319" s="54"/>
      <c r="D319" s="54"/>
      <c r="E319" s="55"/>
      <c r="F319" s="75"/>
      <c r="G319" s="76"/>
      <c r="H319" s="76"/>
      <c r="I319" s="48"/>
      <c r="J319" s="70"/>
      <c r="K319" s="70"/>
      <c r="L319" s="193" t="s">
        <v>1024</v>
      </c>
      <c r="M319" s="194" t="s">
        <v>71</v>
      </c>
      <c r="N319" s="193" t="s">
        <v>56</v>
      </c>
      <c r="O319" s="195">
        <v>0.1</v>
      </c>
      <c r="P319" s="197">
        <v>43560</v>
      </c>
      <c r="Q319" s="197">
        <v>4356</v>
      </c>
      <c r="R319" s="182"/>
      <c r="U319" s="128"/>
    </row>
    <row r="320" spans="1:21" ht="15.6" x14ac:dyDescent="0.3">
      <c r="A320" s="53"/>
      <c r="B320" s="54"/>
      <c r="C320" s="54"/>
      <c r="D320" s="54"/>
      <c r="E320" s="55"/>
      <c r="F320" s="75"/>
      <c r="G320" s="76"/>
      <c r="H320" s="76"/>
      <c r="I320" s="48"/>
      <c r="J320" s="70"/>
      <c r="K320" s="70"/>
      <c r="L320" s="193" t="s">
        <v>1025</v>
      </c>
      <c r="M320" s="194" t="s">
        <v>72</v>
      </c>
      <c r="N320" s="193" t="s">
        <v>56</v>
      </c>
      <c r="O320" s="195">
        <v>2.4E-2</v>
      </c>
      <c r="P320" s="197">
        <v>67490</v>
      </c>
      <c r="Q320" s="197">
        <v>1619.76</v>
      </c>
      <c r="R320" s="182"/>
      <c r="U320" s="128"/>
    </row>
    <row r="321" spans="1:21" ht="15.6" x14ac:dyDescent="0.3">
      <c r="A321" s="53"/>
      <c r="B321" s="54"/>
      <c r="C321" s="54"/>
      <c r="D321" s="54"/>
      <c r="E321" s="55"/>
      <c r="F321" s="75"/>
      <c r="G321" s="76"/>
      <c r="H321" s="76"/>
      <c r="I321" s="48"/>
      <c r="J321" s="70"/>
      <c r="K321" s="70"/>
      <c r="L321" s="193" t="s">
        <v>1185</v>
      </c>
      <c r="M321" s="194" t="s">
        <v>1268</v>
      </c>
      <c r="N321" s="193" t="s">
        <v>45</v>
      </c>
      <c r="O321" s="195">
        <v>5</v>
      </c>
      <c r="P321" s="196">
        <v>226</v>
      </c>
      <c r="Q321" s="197">
        <v>1130</v>
      </c>
      <c r="R321" s="182"/>
      <c r="U321" s="128"/>
    </row>
    <row r="322" spans="1:21" ht="15.6" x14ac:dyDescent="0.3">
      <c r="A322" s="53"/>
      <c r="B322" s="54"/>
      <c r="C322" s="54"/>
      <c r="D322" s="54"/>
      <c r="E322" s="55"/>
      <c r="F322" s="75"/>
      <c r="G322" s="76"/>
      <c r="H322" s="76"/>
      <c r="I322" s="48"/>
      <c r="J322" s="70"/>
      <c r="K322" s="70"/>
      <c r="L322" s="193" t="s">
        <v>1027</v>
      </c>
      <c r="M322" s="194" t="s">
        <v>803</v>
      </c>
      <c r="N322" s="193" t="s">
        <v>45</v>
      </c>
      <c r="O322" s="195">
        <v>34</v>
      </c>
      <c r="P322" s="196">
        <v>355.37</v>
      </c>
      <c r="Q322" s="197">
        <v>12082.58</v>
      </c>
      <c r="R322" s="182"/>
      <c r="U322" s="128"/>
    </row>
    <row r="323" spans="1:21" ht="15.6" x14ac:dyDescent="0.3">
      <c r="A323" s="53"/>
      <c r="B323" s="54"/>
      <c r="C323" s="54"/>
      <c r="D323" s="54"/>
      <c r="E323" s="55"/>
      <c r="F323" s="75"/>
      <c r="G323" s="76"/>
      <c r="H323" s="76"/>
      <c r="I323" s="48"/>
      <c r="J323" s="70"/>
      <c r="K323" s="70"/>
      <c r="L323" s="193" t="s">
        <v>775</v>
      </c>
      <c r="M323" s="194" t="s">
        <v>776</v>
      </c>
      <c r="N323" s="193" t="s">
        <v>45</v>
      </c>
      <c r="O323" s="195">
        <v>13.94</v>
      </c>
      <c r="P323" s="196">
        <v>460</v>
      </c>
      <c r="Q323" s="197">
        <v>6412.4</v>
      </c>
      <c r="R323" s="182"/>
      <c r="U323" s="128"/>
    </row>
    <row r="324" spans="1:21" ht="15.6" x14ac:dyDescent="0.3">
      <c r="A324" s="53"/>
      <c r="B324" s="54"/>
      <c r="C324" s="54"/>
      <c r="D324" s="54"/>
      <c r="E324" s="55"/>
      <c r="F324" s="75"/>
      <c r="G324" s="76"/>
      <c r="H324" s="76"/>
      <c r="I324" s="48"/>
      <c r="J324" s="70"/>
      <c r="K324" s="70"/>
      <c r="L324" s="193" t="s">
        <v>746</v>
      </c>
      <c r="M324" s="194" t="s">
        <v>895</v>
      </c>
      <c r="N324" s="193" t="s">
        <v>45</v>
      </c>
      <c r="O324" s="195">
        <v>18</v>
      </c>
      <c r="P324" s="196">
        <v>280</v>
      </c>
      <c r="Q324" s="197">
        <v>5040</v>
      </c>
      <c r="R324" s="182"/>
      <c r="U324" s="128"/>
    </row>
    <row r="325" spans="1:21" ht="15.6" x14ac:dyDescent="0.3">
      <c r="A325" s="53"/>
      <c r="B325" s="54"/>
      <c r="C325" s="54"/>
      <c r="D325" s="54"/>
      <c r="E325" s="55"/>
      <c r="F325" s="75"/>
      <c r="G325" s="76"/>
      <c r="H325" s="76"/>
      <c r="I325" s="48"/>
      <c r="J325" s="70"/>
      <c r="K325" s="70"/>
      <c r="L325" s="193" t="s">
        <v>1186</v>
      </c>
      <c r="M325" s="194" t="s">
        <v>1269</v>
      </c>
      <c r="N325" s="193" t="s">
        <v>45</v>
      </c>
      <c r="O325" s="195">
        <v>11</v>
      </c>
      <c r="P325" s="196">
        <v>486.48</v>
      </c>
      <c r="Q325" s="197">
        <v>5351.28</v>
      </c>
      <c r="R325" s="182"/>
      <c r="U325" s="128"/>
    </row>
    <row r="326" spans="1:21" ht="15.6" x14ac:dyDescent="0.3">
      <c r="A326" s="53"/>
      <c r="B326" s="54"/>
      <c r="C326" s="54"/>
      <c r="D326" s="54"/>
      <c r="E326" s="55"/>
      <c r="F326" s="75"/>
      <c r="G326" s="76"/>
      <c r="H326" s="76"/>
      <c r="I326" s="48"/>
      <c r="J326" s="70"/>
      <c r="K326" s="70"/>
      <c r="L326" s="193" t="s">
        <v>1187</v>
      </c>
      <c r="M326" s="194" t="s">
        <v>1270</v>
      </c>
      <c r="N326" s="193" t="s">
        <v>45</v>
      </c>
      <c r="O326" s="195">
        <v>1.1819999999999999</v>
      </c>
      <c r="P326" s="196">
        <v>150.16999999999999</v>
      </c>
      <c r="Q326" s="196">
        <v>177.5</v>
      </c>
      <c r="R326" s="182"/>
      <c r="U326" s="128"/>
    </row>
    <row r="327" spans="1:21" ht="15.6" x14ac:dyDescent="0.3">
      <c r="A327" s="53"/>
      <c r="B327" s="54"/>
      <c r="C327" s="54"/>
      <c r="D327" s="54"/>
      <c r="E327" s="55"/>
      <c r="F327" s="75"/>
      <c r="G327" s="76"/>
      <c r="H327" s="76"/>
      <c r="I327" s="48"/>
      <c r="J327" s="70"/>
      <c r="K327" s="70"/>
      <c r="L327" s="193" t="s">
        <v>1030</v>
      </c>
      <c r="M327" s="194" t="s">
        <v>1078</v>
      </c>
      <c r="N327" s="193" t="s">
        <v>214</v>
      </c>
      <c r="O327" s="195">
        <v>0.36499999999999999</v>
      </c>
      <c r="P327" s="197">
        <v>9193.23</v>
      </c>
      <c r="Q327" s="197">
        <v>3355.53</v>
      </c>
      <c r="R327" s="182"/>
      <c r="U327" s="128"/>
    </row>
    <row r="328" spans="1:21" ht="15.6" x14ac:dyDescent="0.3">
      <c r="A328" s="53"/>
      <c r="B328" s="54"/>
      <c r="C328" s="54"/>
      <c r="D328" s="54"/>
      <c r="E328" s="55"/>
      <c r="F328" s="75"/>
      <c r="G328" s="76"/>
      <c r="H328" s="76"/>
      <c r="I328" s="48"/>
      <c r="J328" s="70"/>
      <c r="K328" s="70"/>
      <c r="L328" s="193" t="s">
        <v>1188</v>
      </c>
      <c r="M328" s="194" t="s">
        <v>1271</v>
      </c>
      <c r="N328" s="193" t="s">
        <v>214</v>
      </c>
      <c r="O328" s="195">
        <v>0.09</v>
      </c>
      <c r="P328" s="197">
        <v>14916.11</v>
      </c>
      <c r="Q328" s="197">
        <v>1342.45</v>
      </c>
      <c r="R328" s="182"/>
      <c r="U328" s="128"/>
    </row>
    <row r="329" spans="1:21" ht="15.6" x14ac:dyDescent="0.3">
      <c r="A329" s="53"/>
      <c r="B329" s="54"/>
      <c r="C329" s="54"/>
      <c r="D329" s="54"/>
      <c r="E329" s="55"/>
      <c r="F329" s="75"/>
      <c r="G329" s="76"/>
      <c r="H329" s="76"/>
      <c r="I329" s="48"/>
      <c r="J329" s="70"/>
      <c r="K329" s="70"/>
      <c r="L329" s="193" t="s">
        <v>1029</v>
      </c>
      <c r="M329" s="194" t="s">
        <v>1077</v>
      </c>
      <c r="N329" s="193" t="s">
        <v>214</v>
      </c>
      <c r="O329" s="195">
        <v>9.6000000000000002E-2</v>
      </c>
      <c r="P329" s="197">
        <v>10443.33</v>
      </c>
      <c r="Q329" s="197">
        <v>1002.56</v>
      </c>
      <c r="R329" s="182"/>
      <c r="U329" s="128"/>
    </row>
    <row r="330" spans="1:21" ht="15.6" x14ac:dyDescent="0.3">
      <c r="A330" s="53"/>
      <c r="B330" s="54"/>
      <c r="C330" s="54"/>
      <c r="D330" s="54"/>
      <c r="E330" s="55"/>
      <c r="F330" s="75"/>
      <c r="G330" s="76"/>
      <c r="H330" s="76"/>
      <c r="I330" s="48"/>
      <c r="J330" s="70"/>
      <c r="K330" s="70"/>
      <c r="L330" s="193" t="s">
        <v>893</v>
      </c>
      <c r="M330" s="194" t="s">
        <v>894</v>
      </c>
      <c r="N330" s="193" t="s">
        <v>214</v>
      </c>
      <c r="O330" s="195">
        <v>0.3</v>
      </c>
      <c r="P330" s="197">
        <v>10760</v>
      </c>
      <c r="Q330" s="197">
        <v>3228</v>
      </c>
      <c r="R330" s="182"/>
      <c r="U330" s="128"/>
    </row>
    <row r="331" spans="1:21" ht="15.6" x14ac:dyDescent="0.3">
      <c r="A331" s="53"/>
      <c r="B331" s="54"/>
      <c r="C331" s="54"/>
      <c r="D331" s="54"/>
      <c r="E331" s="55"/>
      <c r="F331" s="75"/>
      <c r="G331" s="76"/>
      <c r="H331" s="76"/>
      <c r="I331" s="48"/>
      <c r="J331" s="70"/>
      <c r="K331" s="70"/>
      <c r="L331" s="193" t="s">
        <v>1316</v>
      </c>
      <c r="M331" s="194" t="s">
        <v>1350</v>
      </c>
      <c r="N331" s="193" t="s">
        <v>39</v>
      </c>
      <c r="O331" s="195">
        <v>1.2999999999999999E-2</v>
      </c>
      <c r="P331" s="197">
        <v>31617.69</v>
      </c>
      <c r="Q331" s="196">
        <v>411.03</v>
      </c>
      <c r="R331" s="182"/>
      <c r="U331" s="128"/>
    </row>
    <row r="332" spans="1:21" ht="15.6" x14ac:dyDescent="0.3">
      <c r="A332" s="53"/>
      <c r="B332" s="54"/>
      <c r="C332" s="54"/>
      <c r="D332" s="54"/>
      <c r="E332" s="55"/>
      <c r="F332" s="75"/>
      <c r="G332" s="76"/>
      <c r="H332" s="76"/>
      <c r="I332" s="48"/>
      <c r="J332" s="70"/>
      <c r="K332" s="70"/>
      <c r="L332" s="193" t="s">
        <v>1382</v>
      </c>
      <c r="M332" s="194" t="s">
        <v>1410</v>
      </c>
      <c r="N332" s="193" t="s">
        <v>39</v>
      </c>
      <c r="O332" s="195">
        <v>1.4E-2</v>
      </c>
      <c r="P332" s="197">
        <v>35795</v>
      </c>
      <c r="Q332" s="196">
        <v>501.13</v>
      </c>
      <c r="R332" s="182"/>
      <c r="U332" s="128"/>
    </row>
    <row r="333" spans="1:21" ht="15.6" x14ac:dyDescent="0.3">
      <c r="A333" s="53"/>
      <c r="B333" s="54"/>
      <c r="C333" s="54"/>
      <c r="D333" s="54"/>
      <c r="E333" s="55"/>
      <c r="F333" s="75"/>
      <c r="G333" s="76"/>
      <c r="H333" s="76"/>
      <c r="I333" s="48"/>
      <c r="J333" s="70"/>
      <c r="K333" s="70"/>
      <c r="L333" s="193" t="s">
        <v>1423</v>
      </c>
      <c r="M333" s="194" t="s">
        <v>1446</v>
      </c>
      <c r="N333" s="193" t="s">
        <v>39</v>
      </c>
      <c r="O333" s="195">
        <v>5.8999999999999997E-2</v>
      </c>
      <c r="P333" s="197">
        <v>31816.95</v>
      </c>
      <c r="Q333" s="197">
        <v>1877.2</v>
      </c>
      <c r="R333" s="182"/>
      <c r="U333" s="128"/>
    </row>
    <row r="334" spans="1:21" ht="15.6" x14ac:dyDescent="0.3">
      <c r="A334" s="53"/>
      <c r="B334" s="54"/>
      <c r="C334" s="54"/>
      <c r="D334" s="54"/>
      <c r="E334" s="55"/>
      <c r="F334" s="75"/>
      <c r="G334" s="76"/>
      <c r="H334" s="76"/>
      <c r="I334" s="48"/>
      <c r="J334" s="70"/>
      <c r="K334" s="70"/>
      <c r="L334" s="193" t="s">
        <v>1424</v>
      </c>
      <c r="M334" s="194" t="s">
        <v>228</v>
      </c>
      <c r="N334" s="193" t="s">
        <v>39</v>
      </c>
      <c r="O334" s="195">
        <v>0.03</v>
      </c>
      <c r="P334" s="197">
        <v>31733</v>
      </c>
      <c r="Q334" s="196">
        <v>951.99</v>
      </c>
      <c r="R334" s="182"/>
      <c r="U334" s="128"/>
    </row>
    <row r="335" spans="1:21" ht="15.6" x14ac:dyDescent="0.3">
      <c r="A335" s="53"/>
      <c r="B335" s="54"/>
      <c r="C335" s="54"/>
      <c r="D335" s="54"/>
      <c r="E335" s="55"/>
      <c r="F335" s="75"/>
      <c r="G335" s="76"/>
      <c r="H335" s="76"/>
      <c r="I335" s="48"/>
      <c r="J335" s="70"/>
      <c r="K335" s="70"/>
      <c r="L335" s="193" t="s">
        <v>1847</v>
      </c>
      <c r="M335" s="194" t="s">
        <v>1849</v>
      </c>
      <c r="N335" s="193" t="s">
        <v>39</v>
      </c>
      <c r="O335" s="195">
        <v>0.01</v>
      </c>
      <c r="P335" s="197">
        <v>34578</v>
      </c>
      <c r="Q335" s="196">
        <v>345.78</v>
      </c>
      <c r="R335" s="182"/>
      <c r="U335" s="128"/>
    </row>
    <row r="336" spans="1:21" ht="15.6" x14ac:dyDescent="0.3">
      <c r="A336" s="53"/>
      <c r="B336" s="54"/>
      <c r="C336" s="54"/>
      <c r="D336" s="54"/>
      <c r="E336" s="55"/>
      <c r="F336" s="75"/>
      <c r="G336" s="76"/>
      <c r="H336" s="76"/>
      <c r="I336" s="48"/>
      <c r="J336" s="70"/>
      <c r="K336" s="70"/>
      <c r="L336" s="193" t="s">
        <v>1031</v>
      </c>
      <c r="M336" s="194" t="s">
        <v>834</v>
      </c>
      <c r="N336" s="193" t="s">
        <v>39</v>
      </c>
      <c r="O336" s="195">
        <v>0.113</v>
      </c>
      <c r="P336" s="197">
        <v>32771.33</v>
      </c>
      <c r="Q336" s="197">
        <v>3703.16</v>
      </c>
      <c r="R336" s="182"/>
      <c r="U336" s="128"/>
    </row>
    <row r="337" spans="1:21" ht="15.6" x14ac:dyDescent="0.3">
      <c r="A337" s="53"/>
      <c r="B337" s="54"/>
      <c r="C337" s="54"/>
      <c r="D337" s="54"/>
      <c r="E337" s="55"/>
      <c r="F337" s="75"/>
      <c r="G337" s="76"/>
      <c r="H337" s="76"/>
      <c r="I337" s="48"/>
      <c r="J337" s="70"/>
      <c r="K337" s="70"/>
      <c r="L337" s="193"/>
      <c r="M337" s="194"/>
      <c r="N337" s="193"/>
      <c r="O337" s="195"/>
      <c r="P337" s="196"/>
      <c r="Q337" s="196"/>
      <c r="R337" s="182"/>
      <c r="U337" s="128"/>
    </row>
    <row r="338" spans="1:21" ht="15.6" x14ac:dyDescent="0.3">
      <c r="A338" s="53"/>
      <c r="B338" s="54"/>
      <c r="C338" s="54"/>
      <c r="D338" s="54"/>
      <c r="E338" s="55"/>
      <c r="F338" s="75"/>
      <c r="G338" s="76"/>
      <c r="H338" s="76"/>
      <c r="I338" s="48"/>
      <c r="J338" s="70"/>
      <c r="K338" s="70"/>
      <c r="L338" s="193"/>
      <c r="M338" s="194"/>
      <c r="N338" s="193"/>
      <c r="O338" s="195"/>
      <c r="P338" s="196"/>
      <c r="Q338" s="197"/>
      <c r="R338" s="182"/>
      <c r="U338" s="128"/>
    </row>
    <row r="339" spans="1:21" ht="18.600000000000001" thickBot="1" x14ac:dyDescent="0.35">
      <c r="A339" s="164"/>
      <c r="B339" s="148"/>
      <c r="C339" s="148"/>
      <c r="D339" s="148"/>
      <c r="E339" s="149"/>
      <c r="F339" s="165"/>
      <c r="G339" s="166"/>
      <c r="H339" s="166"/>
      <c r="I339" s="150"/>
      <c r="J339" s="151"/>
      <c r="K339" s="151"/>
      <c r="L339" s="167"/>
      <c r="M339" s="168"/>
      <c r="N339" s="167"/>
      <c r="O339" s="169"/>
      <c r="P339" s="170"/>
      <c r="Q339" s="170"/>
      <c r="R339" s="152"/>
      <c r="U339" s="128"/>
    </row>
    <row r="340" spans="1:21" ht="18.600000000000001" thickBot="1" x14ac:dyDescent="0.35">
      <c r="A340" s="231"/>
      <c r="B340" s="232"/>
      <c r="C340" s="232"/>
      <c r="D340" s="232"/>
      <c r="E340" s="233"/>
      <c r="F340" s="234"/>
      <c r="G340" s="235"/>
      <c r="H340" s="235"/>
      <c r="I340" s="236"/>
      <c r="J340" s="237"/>
      <c r="K340" s="237"/>
      <c r="L340" s="238"/>
      <c r="M340" s="239"/>
      <c r="N340" s="238"/>
      <c r="O340" s="240"/>
      <c r="P340" s="241"/>
      <c r="Q340" s="241">
        <f>SUM(Q19:Q338)</f>
        <v>561779.5199999999</v>
      </c>
      <c r="R340" s="242"/>
      <c r="U340" s="128"/>
    </row>
    <row r="341" spans="1:21" ht="18" x14ac:dyDescent="0.3">
      <c r="A341" s="171"/>
      <c r="B341" s="172"/>
      <c r="C341" s="172"/>
      <c r="D341" s="172"/>
      <c r="E341" s="173"/>
      <c r="F341" s="75"/>
      <c r="G341" s="76"/>
      <c r="H341" s="76"/>
      <c r="I341" s="174"/>
      <c r="J341" s="175"/>
      <c r="K341" s="175"/>
      <c r="L341" s="245" t="s">
        <v>1707</v>
      </c>
      <c r="M341" s="246" t="s">
        <v>1728</v>
      </c>
      <c r="N341" s="245" t="s">
        <v>34</v>
      </c>
      <c r="O341" s="247">
        <v>1</v>
      </c>
      <c r="P341" s="248">
        <v>160.84</v>
      </c>
      <c r="Q341" s="248">
        <v>160.84</v>
      </c>
      <c r="R341" s="176"/>
      <c r="U341" s="128"/>
    </row>
    <row r="342" spans="1:21" ht="18" x14ac:dyDescent="0.3">
      <c r="A342" s="171"/>
      <c r="B342" s="172"/>
      <c r="C342" s="172"/>
      <c r="D342" s="172"/>
      <c r="E342" s="173"/>
      <c r="F342" s="75"/>
      <c r="G342" s="76"/>
      <c r="H342" s="76"/>
      <c r="I342" s="174"/>
      <c r="J342" s="175"/>
      <c r="K342" s="175"/>
      <c r="L342" s="245" t="s">
        <v>1459</v>
      </c>
      <c r="M342" s="246" t="s">
        <v>1538</v>
      </c>
      <c r="N342" s="245" t="s">
        <v>34</v>
      </c>
      <c r="O342" s="247">
        <v>1</v>
      </c>
      <c r="P342" s="248">
        <v>554.5</v>
      </c>
      <c r="Q342" s="248">
        <v>554.5</v>
      </c>
      <c r="R342" s="176"/>
      <c r="U342" s="128"/>
    </row>
    <row r="343" spans="1:21" ht="18" x14ac:dyDescent="0.3">
      <c r="A343" s="171"/>
      <c r="B343" s="172"/>
      <c r="C343" s="172"/>
      <c r="D343" s="172"/>
      <c r="E343" s="173"/>
      <c r="F343" s="75"/>
      <c r="G343" s="76"/>
      <c r="H343" s="76"/>
      <c r="I343" s="174"/>
      <c r="J343" s="175"/>
      <c r="K343" s="175"/>
      <c r="L343" s="245" t="s">
        <v>1708</v>
      </c>
      <c r="M343" s="246" t="s">
        <v>1729</v>
      </c>
      <c r="N343" s="245" t="s">
        <v>34</v>
      </c>
      <c r="O343" s="247">
        <v>1</v>
      </c>
      <c r="P343" s="248">
        <v>267.75</v>
      </c>
      <c r="Q343" s="248">
        <v>267.75</v>
      </c>
      <c r="R343" s="176"/>
      <c r="U343" s="128"/>
    </row>
    <row r="344" spans="1:21" ht="18" x14ac:dyDescent="0.3">
      <c r="A344" s="171"/>
      <c r="B344" s="172"/>
      <c r="C344" s="172"/>
      <c r="D344" s="172"/>
      <c r="E344" s="173"/>
      <c r="F344" s="75"/>
      <c r="G344" s="76"/>
      <c r="H344" s="76"/>
      <c r="I344" s="174"/>
      <c r="J344" s="175"/>
      <c r="K344" s="175"/>
      <c r="L344" s="245" t="s">
        <v>1460</v>
      </c>
      <c r="M344" s="246" t="s">
        <v>1539</v>
      </c>
      <c r="N344" s="245" t="s">
        <v>34</v>
      </c>
      <c r="O344" s="247">
        <v>1</v>
      </c>
      <c r="P344" s="248">
        <v>16.600000000000001</v>
      </c>
      <c r="Q344" s="248">
        <v>16.600000000000001</v>
      </c>
      <c r="R344" s="176"/>
      <c r="U344" s="128"/>
    </row>
    <row r="345" spans="1:21" ht="18" x14ac:dyDescent="0.3">
      <c r="A345" s="171"/>
      <c r="B345" s="172"/>
      <c r="C345" s="172"/>
      <c r="D345" s="172"/>
      <c r="E345" s="173"/>
      <c r="F345" s="75"/>
      <c r="G345" s="76"/>
      <c r="H345" s="76"/>
      <c r="I345" s="174"/>
      <c r="J345" s="175"/>
      <c r="K345" s="175"/>
      <c r="L345" s="245" t="s">
        <v>1461</v>
      </c>
      <c r="M345" s="246" t="s">
        <v>1540</v>
      </c>
      <c r="N345" s="245" t="s">
        <v>34</v>
      </c>
      <c r="O345" s="247">
        <v>5</v>
      </c>
      <c r="P345" s="248">
        <v>250.43</v>
      </c>
      <c r="Q345" s="249">
        <v>1252.17</v>
      </c>
      <c r="R345" s="176"/>
      <c r="U345" s="128"/>
    </row>
    <row r="346" spans="1:21" ht="18" x14ac:dyDescent="0.3">
      <c r="A346" s="171"/>
      <c r="B346" s="172"/>
      <c r="C346" s="172"/>
      <c r="D346" s="172"/>
      <c r="E346" s="173"/>
      <c r="F346" s="75"/>
      <c r="G346" s="76"/>
      <c r="H346" s="76"/>
      <c r="I346" s="174"/>
      <c r="J346" s="175"/>
      <c r="K346" s="175"/>
      <c r="L346" s="245" t="s">
        <v>1671</v>
      </c>
      <c r="M346" s="246" t="s">
        <v>1689</v>
      </c>
      <c r="N346" s="245" t="s">
        <v>34</v>
      </c>
      <c r="O346" s="247">
        <v>1</v>
      </c>
      <c r="P346" s="248">
        <v>206.84</v>
      </c>
      <c r="Q346" s="248">
        <v>206.84</v>
      </c>
      <c r="R346" s="176"/>
      <c r="U346" s="128"/>
    </row>
    <row r="347" spans="1:21" ht="18" customHeight="1" x14ac:dyDescent="0.3">
      <c r="A347" s="171"/>
      <c r="B347" s="172"/>
      <c r="C347" s="172"/>
      <c r="D347" s="172"/>
      <c r="E347" s="173"/>
      <c r="F347" s="75"/>
      <c r="G347" s="76"/>
      <c r="H347" s="76"/>
      <c r="I347" s="174"/>
      <c r="J347" s="175"/>
      <c r="K347" s="175"/>
      <c r="L347" s="245" t="s">
        <v>563</v>
      </c>
      <c r="M347" s="246" t="s">
        <v>256</v>
      </c>
      <c r="N347" s="245" t="s">
        <v>34</v>
      </c>
      <c r="O347" s="247">
        <v>1</v>
      </c>
      <c r="P347" s="248">
        <v>372</v>
      </c>
      <c r="Q347" s="248">
        <v>372</v>
      </c>
      <c r="R347" s="176"/>
      <c r="U347" s="128"/>
    </row>
    <row r="348" spans="1:21" ht="30" x14ac:dyDescent="0.3">
      <c r="A348" s="171"/>
      <c r="B348" s="172"/>
      <c r="C348" s="172"/>
      <c r="D348" s="172"/>
      <c r="E348" s="173"/>
      <c r="F348" s="75"/>
      <c r="G348" s="76"/>
      <c r="H348" s="76"/>
      <c r="I348" s="174"/>
      <c r="J348" s="175"/>
      <c r="K348" s="175"/>
      <c r="L348" s="245" t="s">
        <v>1463</v>
      </c>
      <c r="M348" s="246" t="s">
        <v>1542</v>
      </c>
      <c r="N348" s="245" t="s">
        <v>34</v>
      </c>
      <c r="O348" s="247">
        <v>1</v>
      </c>
      <c r="P348" s="248">
        <v>124.92</v>
      </c>
      <c r="Q348" s="248">
        <v>124.92</v>
      </c>
      <c r="R348" s="176"/>
      <c r="U348" s="128"/>
    </row>
    <row r="349" spans="1:21" ht="18" x14ac:dyDescent="0.3">
      <c r="A349" s="171"/>
      <c r="B349" s="172"/>
      <c r="C349" s="172"/>
      <c r="D349" s="172"/>
      <c r="E349" s="173"/>
      <c r="F349" s="75"/>
      <c r="G349" s="76"/>
      <c r="H349" s="76"/>
      <c r="I349" s="174"/>
      <c r="J349" s="175"/>
      <c r="K349" s="175"/>
      <c r="L349" s="245" t="s">
        <v>1709</v>
      </c>
      <c r="M349" s="246" t="s">
        <v>1730</v>
      </c>
      <c r="N349" s="245" t="s">
        <v>34</v>
      </c>
      <c r="O349" s="247">
        <v>1</v>
      </c>
      <c r="P349" s="248">
        <v>103.2</v>
      </c>
      <c r="Q349" s="248">
        <v>103.2</v>
      </c>
      <c r="R349" s="176"/>
      <c r="U349" s="128"/>
    </row>
    <row r="350" spans="1:21" ht="18" x14ac:dyDescent="0.3">
      <c r="A350" s="171"/>
      <c r="B350" s="172"/>
      <c r="C350" s="172"/>
      <c r="D350" s="172"/>
      <c r="E350" s="173"/>
      <c r="F350" s="75"/>
      <c r="G350" s="76"/>
      <c r="H350" s="76"/>
      <c r="I350" s="174"/>
      <c r="J350" s="175"/>
      <c r="K350" s="175"/>
      <c r="L350" s="245" t="s">
        <v>1464</v>
      </c>
      <c r="M350" s="246" t="s">
        <v>1543</v>
      </c>
      <c r="N350" s="245" t="s">
        <v>34</v>
      </c>
      <c r="O350" s="247">
        <v>5</v>
      </c>
      <c r="P350" s="248">
        <v>115.83</v>
      </c>
      <c r="Q350" s="248">
        <v>579.15</v>
      </c>
      <c r="R350" s="176"/>
      <c r="U350" s="128"/>
    </row>
    <row r="351" spans="1:21" ht="18" x14ac:dyDescent="0.3">
      <c r="A351" s="171"/>
      <c r="B351" s="172"/>
      <c r="C351" s="172"/>
      <c r="D351" s="172"/>
      <c r="E351" s="173"/>
      <c r="F351" s="75"/>
      <c r="G351" s="76"/>
      <c r="H351" s="76"/>
      <c r="I351" s="174"/>
      <c r="J351" s="175"/>
      <c r="K351" s="175"/>
      <c r="L351" s="245" t="s">
        <v>663</v>
      </c>
      <c r="M351" s="246" t="s">
        <v>151</v>
      </c>
      <c r="N351" s="245" t="s">
        <v>34</v>
      </c>
      <c r="O351" s="247">
        <v>1</v>
      </c>
      <c r="P351" s="248">
        <v>12</v>
      </c>
      <c r="Q351" s="248">
        <v>12</v>
      </c>
      <c r="R351" s="176"/>
      <c r="U351" s="128"/>
    </row>
    <row r="352" spans="1:21" ht="18" x14ac:dyDescent="0.3">
      <c r="A352" s="171"/>
      <c r="B352" s="172"/>
      <c r="C352" s="172"/>
      <c r="D352" s="172"/>
      <c r="E352" s="173"/>
      <c r="F352" s="75"/>
      <c r="G352" s="76"/>
      <c r="H352" s="76"/>
      <c r="I352" s="174"/>
      <c r="J352" s="175"/>
      <c r="K352" s="175"/>
      <c r="L352" s="245" t="s">
        <v>1465</v>
      </c>
      <c r="M352" s="246" t="s">
        <v>1544</v>
      </c>
      <c r="N352" s="245" t="s">
        <v>34</v>
      </c>
      <c r="O352" s="247">
        <v>1</v>
      </c>
      <c r="P352" s="248">
        <v>68.33</v>
      </c>
      <c r="Q352" s="248">
        <v>68.33</v>
      </c>
      <c r="R352" s="176"/>
      <c r="U352" s="128"/>
    </row>
    <row r="353" spans="1:21" ht="18" x14ac:dyDescent="0.3">
      <c r="A353" s="171"/>
      <c r="B353" s="172"/>
      <c r="C353" s="172"/>
      <c r="D353" s="172"/>
      <c r="E353" s="173"/>
      <c r="F353" s="75"/>
      <c r="G353" s="76"/>
      <c r="H353" s="76"/>
      <c r="I353" s="174"/>
      <c r="J353" s="175"/>
      <c r="K353" s="175"/>
      <c r="L353" s="245" t="s">
        <v>719</v>
      </c>
      <c r="M353" s="246" t="s">
        <v>161</v>
      </c>
      <c r="N353" s="245" t="s">
        <v>37</v>
      </c>
      <c r="O353" s="247">
        <v>1</v>
      </c>
      <c r="P353" s="248">
        <v>38.5</v>
      </c>
      <c r="Q353" s="248">
        <v>38.5</v>
      </c>
      <c r="R353" s="176"/>
      <c r="U353" s="128"/>
    </row>
    <row r="354" spans="1:21" ht="30" x14ac:dyDescent="0.3">
      <c r="A354" s="171"/>
      <c r="B354" s="172"/>
      <c r="C354" s="172"/>
      <c r="D354" s="172"/>
      <c r="E354" s="173"/>
      <c r="F354" s="75"/>
      <c r="G354" s="76"/>
      <c r="H354" s="76"/>
      <c r="I354" s="174"/>
      <c r="J354" s="175"/>
      <c r="K354" s="175"/>
      <c r="L354" s="245" t="s">
        <v>1467</v>
      </c>
      <c r="M354" s="246" t="s">
        <v>1546</v>
      </c>
      <c r="N354" s="245" t="s">
        <v>34</v>
      </c>
      <c r="O354" s="247">
        <v>1</v>
      </c>
      <c r="P354" s="248">
        <v>1</v>
      </c>
      <c r="Q354" s="248">
        <v>1</v>
      </c>
      <c r="R354" s="176"/>
      <c r="U354" s="128"/>
    </row>
    <row r="355" spans="1:21" ht="18" x14ac:dyDescent="0.3">
      <c r="A355" s="171"/>
      <c r="B355" s="172"/>
      <c r="C355" s="172"/>
      <c r="D355" s="172"/>
      <c r="E355" s="173"/>
      <c r="F355" s="75"/>
      <c r="G355" s="76"/>
      <c r="H355" s="76"/>
      <c r="I355" s="174"/>
      <c r="J355" s="175"/>
      <c r="K355" s="175"/>
      <c r="L355" s="245" t="s">
        <v>1468</v>
      </c>
      <c r="M355" s="246" t="s">
        <v>1547</v>
      </c>
      <c r="N355" s="245" t="s">
        <v>34</v>
      </c>
      <c r="O355" s="247">
        <v>1</v>
      </c>
      <c r="P355" s="248">
        <v>49</v>
      </c>
      <c r="Q355" s="248">
        <v>49</v>
      </c>
      <c r="R355" s="176"/>
      <c r="U355" s="128"/>
    </row>
    <row r="356" spans="1:21" ht="18" x14ac:dyDescent="0.3">
      <c r="A356" s="171"/>
      <c r="B356" s="172"/>
      <c r="C356" s="172"/>
      <c r="D356" s="172"/>
      <c r="E356" s="173"/>
      <c r="F356" s="75"/>
      <c r="G356" s="76"/>
      <c r="H356" s="76"/>
      <c r="I356" s="174"/>
      <c r="J356" s="175"/>
      <c r="K356" s="175"/>
      <c r="L356" s="245" t="s">
        <v>1710</v>
      </c>
      <c r="M356" s="246" t="s">
        <v>1731</v>
      </c>
      <c r="N356" s="245" t="s">
        <v>34</v>
      </c>
      <c r="O356" s="247">
        <v>1</v>
      </c>
      <c r="P356" s="248">
        <v>190</v>
      </c>
      <c r="Q356" s="248">
        <v>190</v>
      </c>
      <c r="R356" s="176"/>
      <c r="U356" s="128"/>
    </row>
    <row r="357" spans="1:21" ht="18" x14ac:dyDescent="0.3">
      <c r="A357" s="171"/>
      <c r="B357" s="172"/>
      <c r="C357" s="172"/>
      <c r="D357" s="172"/>
      <c r="E357" s="173"/>
      <c r="F357" s="75"/>
      <c r="G357" s="76"/>
      <c r="H357" s="76"/>
      <c r="I357" s="174"/>
      <c r="J357" s="175"/>
      <c r="K357" s="175"/>
      <c r="L357" s="245" t="s">
        <v>1470</v>
      </c>
      <c r="M357" s="246" t="s">
        <v>1549</v>
      </c>
      <c r="N357" s="245" t="s">
        <v>34</v>
      </c>
      <c r="O357" s="247">
        <v>6</v>
      </c>
      <c r="P357" s="248">
        <v>121.67</v>
      </c>
      <c r="Q357" s="248">
        <v>730.02</v>
      </c>
      <c r="R357" s="176"/>
      <c r="U357" s="128"/>
    </row>
    <row r="358" spans="1:21" ht="18" x14ac:dyDescent="0.3">
      <c r="A358" s="171"/>
      <c r="B358" s="172"/>
      <c r="C358" s="172"/>
      <c r="D358" s="172"/>
      <c r="E358" s="173"/>
      <c r="F358" s="75"/>
      <c r="G358" s="76"/>
      <c r="H358" s="76"/>
      <c r="I358" s="174"/>
      <c r="J358" s="175"/>
      <c r="K358" s="175"/>
      <c r="L358" s="245" t="s">
        <v>1471</v>
      </c>
      <c r="M358" s="246" t="s">
        <v>1550</v>
      </c>
      <c r="N358" s="245" t="s">
        <v>34</v>
      </c>
      <c r="O358" s="250">
        <v>1809</v>
      </c>
      <c r="P358" s="248">
        <v>0.11</v>
      </c>
      <c r="Q358" s="248">
        <v>193.56</v>
      </c>
      <c r="R358" s="176"/>
      <c r="U358" s="128"/>
    </row>
    <row r="359" spans="1:21" ht="18" x14ac:dyDescent="0.3">
      <c r="A359" s="171"/>
      <c r="B359" s="172"/>
      <c r="C359" s="172"/>
      <c r="D359" s="172"/>
      <c r="E359" s="173"/>
      <c r="F359" s="75"/>
      <c r="G359" s="76"/>
      <c r="H359" s="76"/>
      <c r="I359" s="174"/>
      <c r="J359" s="175"/>
      <c r="K359" s="175"/>
      <c r="L359" s="245" t="s">
        <v>1711</v>
      </c>
      <c r="M359" s="246" t="s">
        <v>1732</v>
      </c>
      <c r="N359" s="245" t="s">
        <v>34</v>
      </c>
      <c r="O359" s="247">
        <v>1</v>
      </c>
      <c r="P359" s="248">
        <v>103</v>
      </c>
      <c r="Q359" s="248">
        <v>103</v>
      </c>
      <c r="R359" s="176"/>
      <c r="U359" s="128"/>
    </row>
    <row r="360" spans="1:21" ht="18" x14ac:dyDescent="0.3">
      <c r="A360" s="171"/>
      <c r="B360" s="172"/>
      <c r="C360" s="172"/>
      <c r="D360" s="172"/>
      <c r="E360" s="173"/>
      <c r="F360" s="75"/>
      <c r="G360" s="76"/>
      <c r="H360" s="76"/>
      <c r="I360" s="174"/>
      <c r="J360" s="175"/>
      <c r="K360" s="175"/>
      <c r="L360" s="245" t="s">
        <v>625</v>
      </c>
      <c r="M360" s="246" t="s">
        <v>136</v>
      </c>
      <c r="N360" s="245" t="s">
        <v>34</v>
      </c>
      <c r="O360" s="247">
        <v>6</v>
      </c>
      <c r="P360" s="248">
        <v>34</v>
      </c>
      <c r="Q360" s="248">
        <v>204</v>
      </c>
      <c r="R360" s="176"/>
      <c r="U360" s="128"/>
    </row>
    <row r="361" spans="1:21" ht="18" x14ac:dyDescent="0.3">
      <c r="A361" s="171"/>
      <c r="B361" s="172"/>
      <c r="C361" s="172"/>
      <c r="D361" s="172"/>
      <c r="E361" s="173"/>
      <c r="F361" s="75"/>
      <c r="G361" s="76"/>
      <c r="H361" s="76"/>
      <c r="I361" s="174"/>
      <c r="J361" s="175"/>
      <c r="K361" s="175"/>
      <c r="L361" s="245" t="s">
        <v>682</v>
      </c>
      <c r="M361" s="246" t="s">
        <v>683</v>
      </c>
      <c r="N361" s="245" t="s">
        <v>34</v>
      </c>
      <c r="O361" s="247">
        <v>1</v>
      </c>
      <c r="P361" s="248">
        <v>21.5</v>
      </c>
      <c r="Q361" s="248">
        <v>21.5</v>
      </c>
      <c r="R361" s="176"/>
      <c r="U361" s="128"/>
    </row>
    <row r="362" spans="1:21" ht="18" x14ac:dyDescent="0.3">
      <c r="A362" s="171"/>
      <c r="B362" s="172"/>
      <c r="C362" s="172"/>
      <c r="D362" s="172"/>
      <c r="E362" s="173"/>
      <c r="F362" s="75"/>
      <c r="G362" s="76"/>
      <c r="H362" s="76"/>
      <c r="I362" s="174"/>
      <c r="J362" s="175"/>
      <c r="K362" s="175"/>
      <c r="L362" s="245" t="s">
        <v>698</v>
      </c>
      <c r="M362" s="246" t="s">
        <v>97</v>
      </c>
      <c r="N362" s="245" t="s">
        <v>34</v>
      </c>
      <c r="O362" s="250">
        <v>3266</v>
      </c>
      <c r="P362" s="248">
        <v>0.11</v>
      </c>
      <c r="Q362" s="248">
        <v>349.46</v>
      </c>
      <c r="R362" s="176"/>
      <c r="U362" s="128"/>
    </row>
    <row r="363" spans="1:21" ht="18" x14ac:dyDescent="0.3">
      <c r="A363" s="171"/>
      <c r="B363" s="172"/>
      <c r="C363" s="172"/>
      <c r="D363" s="172"/>
      <c r="E363" s="173"/>
      <c r="F363" s="75"/>
      <c r="G363" s="76"/>
      <c r="H363" s="76"/>
      <c r="I363" s="174"/>
      <c r="J363" s="175"/>
      <c r="K363" s="175"/>
      <c r="L363" s="245" t="s">
        <v>1472</v>
      </c>
      <c r="M363" s="246" t="s">
        <v>1551</v>
      </c>
      <c r="N363" s="245" t="s">
        <v>34</v>
      </c>
      <c r="O363" s="247">
        <v>1</v>
      </c>
      <c r="P363" s="248">
        <v>146.25</v>
      </c>
      <c r="Q363" s="248">
        <v>146.25</v>
      </c>
      <c r="R363" s="176"/>
      <c r="U363" s="128"/>
    </row>
    <row r="364" spans="1:21" ht="18" x14ac:dyDescent="0.3">
      <c r="A364" s="171"/>
      <c r="B364" s="172"/>
      <c r="C364" s="172"/>
      <c r="D364" s="172"/>
      <c r="E364" s="173"/>
      <c r="F364" s="75"/>
      <c r="G364" s="76"/>
      <c r="H364" s="76"/>
      <c r="I364" s="174"/>
      <c r="J364" s="175"/>
      <c r="K364" s="175"/>
      <c r="L364" s="245" t="s">
        <v>1473</v>
      </c>
      <c r="M364" s="246" t="s">
        <v>1552</v>
      </c>
      <c r="N364" s="245" t="s">
        <v>34</v>
      </c>
      <c r="O364" s="247">
        <v>3</v>
      </c>
      <c r="P364" s="248">
        <v>239</v>
      </c>
      <c r="Q364" s="248">
        <v>717</v>
      </c>
      <c r="R364" s="176"/>
      <c r="U364" s="128"/>
    </row>
    <row r="365" spans="1:21" ht="18" x14ac:dyDescent="0.3">
      <c r="A365" s="171"/>
      <c r="B365" s="172"/>
      <c r="C365" s="172"/>
      <c r="D365" s="172"/>
      <c r="E365" s="173"/>
      <c r="F365" s="75"/>
      <c r="G365" s="76"/>
      <c r="H365" s="76"/>
      <c r="I365" s="174"/>
      <c r="J365" s="175"/>
      <c r="K365" s="175"/>
      <c r="L365" s="245" t="s">
        <v>677</v>
      </c>
      <c r="M365" s="246" t="s">
        <v>1554</v>
      </c>
      <c r="N365" s="245" t="s">
        <v>34</v>
      </c>
      <c r="O365" s="247">
        <v>3</v>
      </c>
      <c r="P365" s="248">
        <v>73.02</v>
      </c>
      <c r="Q365" s="248">
        <v>219.06</v>
      </c>
      <c r="R365" s="176"/>
      <c r="U365" s="128"/>
    </row>
    <row r="366" spans="1:21" ht="18" x14ac:dyDescent="0.3">
      <c r="A366" s="171"/>
      <c r="B366" s="172"/>
      <c r="C366" s="172"/>
      <c r="D366" s="172"/>
      <c r="E366" s="173"/>
      <c r="F366" s="75"/>
      <c r="G366" s="76"/>
      <c r="H366" s="76"/>
      <c r="I366" s="174"/>
      <c r="J366" s="175"/>
      <c r="K366" s="175"/>
      <c r="L366" s="245" t="s">
        <v>1142</v>
      </c>
      <c r="M366" s="246" t="s">
        <v>1229</v>
      </c>
      <c r="N366" s="245" t="s">
        <v>34</v>
      </c>
      <c r="O366" s="247">
        <v>19</v>
      </c>
      <c r="P366" s="248">
        <v>220</v>
      </c>
      <c r="Q366" s="249">
        <v>4180</v>
      </c>
      <c r="R366" s="176"/>
      <c r="U366" s="128"/>
    </row>
    <row r="367" spans="1:21" ht="18" x14ac:dyDescent="0.3">
      <c r="A367" s="171"/>
      <c r="B367" s="172"/>
      <c r="C367" s="172"/>
      <c r="D367" s="172"/>
      <c r="E367" s="173"/>
      <c r="F367" s="75"/>
      <c r="G367" s="76"/>
      <c r="H367" s="76"/>
      <c r="I367" s="174"/>
      <c r="J367" s="175"/>
      <c r="K367" s="175"/>
      <c r="L367" s="245" t="s">
        <v>1475</v>
      </c>
      <c r="M367" s="246" t="s">
        <v>1555</v>
      </c>
      <c r="N367" s="245" t="s">
        <v>64</v>
      </c>
      <c r="O367" s="247">
        <v>1</v>
      </c>
      <c r="P367" s="248">
        <v>160.32</v>
      </c>
      <c r="Q367" s="248">
        <v>160.32</v>
      </c>
      <c r="R367" s="176"/>
      <c r="U367" s="128"/>
    </row>
    <row r="368" spans="1:21" ht="18" x14ac:dyDescent="0.3">
      <c r="A368" s="171"/>
      <c r="B368" s="172"/>
      <c r="C368" s="172"/>
      <c r="D368" s="172"/>
      <c r="E368" s="173"/>
      <c r="F368" s="75"/>
      <c r="G368" s="76"/>
      <c r="H368" s="76"/>
      <c r="I368" s="174"/>
      <c r="J368" s="175"/>
      <c r="K368" s="175"/>
      <c r="L368" s="245" t="s">
        <v>597</v>
      </c>
      <c r="M368" s="246" t="s">
        <v>598</v>
      </c>
      <c r="N368" s="245" t="s">
        <v>34</v>
      </c>
      <c r="O368" s="247">
        <v>2</v>
      </c>
      <c r="P368" s="248">
        <v>139.11000000000001</v>
      </c>
      <c r="Q368" s="248">
        <v>278.22000000000003</v>
      </c>
      <c r="R368" s="176"/>
      <c r="U368" s="128"/>
    </row>
    <row r="369" spans="1:21" ht="18" x14ac:dyDescent="0.3">
      <c r="A369" s="171"/>
      <c r="B369" s="172"/>
      <c r="C369" s="172"/>
      <c r="D369" s="172"/>
      <c r="E369" s="173"/>
      <c r="F369" s="75"/>
      <c r="G369" s="76"/>
      <c r="H369" s="76"/>
      <c r="I369" s="174"/>
      <c r="J369" s="175"/>
      <c r="K369" s="175"/>
      <c r="L369" s="245" t="s">
        <v>1672</v>
      </c>
      <c r="M369" s="246" t="s">
        <v>1690</v>
      </c>
      <c r="N369" s="245" t="s">
        <v>57</v>
      </c>
      <c r="O369" s="247">
        <v>1</v>
      </c>
      <c r="P369" s="248">
        <v>35</v>
      </c>
      <c r="Q369" s="248">
        <v>35</v>
      </c>
      <c r="R369" s="176"/>
      <c r="U369" s="128"/>
    </row>
    <row r="370" spans="1:21" ht="18" x14ac:dyDescent="0.3">
      <c r="A370" s="171"/>
      <c r="B370" s="172"/>
      <c r="C370" s="172"/>
      <c r="D370" s="172"/>
      <c r="E370" s="173"/>
      <c r="F370" s="75"/>
      <c r="G370" s="76"/>
      <c r="H370" s="76"/>
      <c r="I370" s="174"/>
      <c r="J370" s="175"/>
      <c r="K370" s="175"/>
      <c r="L370" s="245" t="s">
        <v>159</v>
      </c>
      <c r="M370" s="246" t="s">
        <v>160</v>
      </c>
      <c r="N370" s="245" t="s">
        <v>37</v>
      </c>
      <c r="O370" s="247">
        <v>3</v>
      </c>
      <c r="P370" s="248">
        <v>21</v>
      </c>
      <c r="Q370" s="248">
        <v>63</v>
      </c>
      <c r="R370" s="176"/>
      <c r="U370" s="128"/>
    </row>
    <row r="371" spans="1:21" ht="18" x14ac:dyDescent="0.3">
      <c r="A371" s="171"/>
      <c r="B371" s="172"/>
      <c r="C371" s="172"/>
      <c r="D371" s="172"/>
      <c r="E371" s="173"/>
      <c r="F371" s="75"/>
      <c r="G371" s="76"/>
      <c r="H371" s="76"/>
      <c r="I371" s="174"/>
      <c r="J371" s="175"/>
      <c r="K371" s="175"/>
      <c r="L371" s="245" t="s">
        <v>1478</v>
      </c>
      <c r="M371" s="246" t="s">
        <v>1558</v>
      </c>
      <c r="N371" s="245" t="s">
        <v>34</v>
      </c>
      <c r="O371" s="247">
        <v>1</v>
      </c>
      <c r="P371" s="249">
        <v>1273.5</v>
      </c>
      <c r="Q371" s="249">
        <v>1273.5</v>
      </c>
      <c r="R371" s="176"/>
      <c r="U371" s="128"/>
    </row>
    <row r="372" spans="1:21" ht="18" x14ac:dyDescent="0.3">
      <c r="A372" s="171"/>
      <c r="B372" s="172"/>
      <c r="C372" s="172"/>
      <c r="D372" s="172"/>
      <c r="E372" s="173"/>
      <c r="F372" s="75"/>
      <c r="G372" s="76"/>
      <c r="H372" s="76"/>
      <c r="I372" s="174"/>
      <c r="J372" s="175"/>
      <c r="K372" s="175"/>
      <c r="L372" s="245" t="s">
        <v>1479</v>
      </c>
      <c r="M372" s="246" t="s">
        <v>1559</v>
      </c>
      <c r="N372" s="245" t="s">
        <v>34</v>
      </c>
      <c r="O372" s="247">
        <v>1</v>
      </c>
      <c r="P372" s="248">
        <v>135</v>
      </c>
      <c r="Q372" s="248">
        <v>135</v>
      </c>
      <c r="R372" s="176"/>
      <c r="U372" s="128"/>
    </row>
    <row r="373" spans="1:21" ht="18" x14ac:dyDescent="0.3">
      <c r="A373" s="171"/>
      <c r="B373" s="172"/>
      <c r="C373" s="172"/>
      <c r="D373" s="172"/>
      <c r="E373" s="173"/>
      <c r="F373" s="75"/>
      <c r="G373" s="76"/>
      <c r="H373" s="76"/>
      <c r="I373" s="174"/>
      <c r="J373" s="175"/>
      <c r="K373" s="175"/>
      <c r="L373" s="245" t="s">
        <v>1480</v>
      </c>
      <c r="M373" s="246" t="s">
        <v>1560</v>
      </c>
      <c r="N373" s="245" t="s">
        <v>34</v>
      </c>
      <c r="O373" s="247">
        <v>1</v>
      </c>
      <c r="P373" s="248">
        <v>206</v>
      </c>
      <c r="Q373" s="248">
        <v>206</v>
      </c>
      <c r="R373" s="176"/>
      <c r="U373" s="128"/>
    </row>
    <row r="374" spans="1:21" ht="18" x14ac:dyDescent="0.3">
      <c r="A374" s="171"/>
      <c r="B374" s="172"/>
      <c r="C374" s="172"/>
      <c r="D374" s="172"/>
      <c r="E374" s="173"/>
      <c r="F374" s="75"/>
      <c r="G374" s="76"/>
      <c r="H374" s="76"/>
      <c r="I374" s="174"/>
      <c r="J374" s="175"/>
      <c r="K374" s="175"/>
      <c r="L374" s="245" t="s">
        <v>1481</v>
      </c>
      <c r="M374" s="246" t="s">
        <v>1561</v>
      </c>
      <c r="N374" s="245" t="s">
        <v>34</v>
      </c>
      <c r="O374" s="247">
        <v>2</v>
      </c>
      <c r="P374" s="248">
        <v>52</v>
      </c>
      <c r="Q374" s="248">
        <v>104</v>
      </c>
      <c r="R374" s="176"/>
      <c r="U374" s="128"/>
    </row>
    <row r="375" spans="1:21" ht="18" x14ac:dyDescent="0.3">
      <c r="A375" s="171"/>
      <c r="B375" s="172"/>
      <c r="C375" s="172"/>
      <c r="D375" s="172"/>
      <c r="E375" s="173"/>
      <c r="F375" s="75"/>
      <c r="G375" s="76"/>
      <c r="H375" s="76"/>
      <c r="I375" s="174"/>
      <c r="J375" s="175"/>
      <c r="K375" s="175"/>
      <c r="L375" s="245" t="s">
        <v>157</v>
      </c>
      <c r="M375" s="246" t="s">
        <v>158</v>
      </c>
      <c r="N375" s="245" t="s">
        <v>34</v>
      </c>
      <c r="O375" s="247">
        <v>2</v>
      </c>
      <c r="P375" s="248">
        <v>97.5</v>
      </c>
      <c r="Q375" s="248">
        <v>195</v>
      </c>
      <c r="R375" s="176"/>
      <c r="U375" s="128"/>
    </row>
    <row r="376" spans="1:21" ht="18" x14ac:dyDescent="0.3">
      <c r="A376" s="171"/>
      <c r="B376" s="172"/>
      <c r="C376" s="172"/>
      <c r="D376" s="172"/>
      <c r="E376" s="173"/>
      <c r="F376" s="75"/>
      <c r="G376" s="76"/>
      <c r="H376" s="76"/>
      <c r="I376" s="174"/>
      <c r="J376" s="175"/>
      <c r="K376" s="175"/>
      <c r="L376" s="245" t="s">
        <v>627</v>
      </c>
      <c r="M376" s="246" t="s">
        <v>628</v>
      </c>
      <c r="N376" s="245" t="s">
        <v>34</v>
      </c>
      <c r="O376" s="247">
        <v>2</v>
      </c>
      <c r="P376" s="248">
        <v>25</v>
      </c>
      <c r="Q376" s="248">
        <v>50</v>
      </c>
      <c r="R376" s="176"/>
      <c r="U376" s="128"/>
    </row>
    <row r="377" spans="1:21" ht="18" x14ac:dyDescent="0.3">
      <c r="A377" s="171"/>
      <c r="B377" s="172"/>
      <c r="C377" s="172"/>
      <c r="D377" s="172"/>
      <c r="E377" s="173"/>
      <c r="F377" s="75"/>
      <c r="G377" s="76"/>
      <c r="H377" s="76"/>
      <c r="I377" s="174"/>
      <c r="J377" s="175"/>
      <c r="K377" s="175"/>
      <c r="L377" s="245" t="s">
        <v>1482</v>
      </c>
      <c r="M377" s="246" t="s">
        <v>1562</v>
      </c>
      <c r="N377" s="245" t="s">
        <v>34</v>
      </c>
      <c r="O377" s="247">
        <v>1</v>
      </c>
      <c r="P377" s="248">
        <v>75.400000000000006</v>
      </c>
      <c r="Q377" s="248">
        <v>75.400000000000006</v>
      </c>
      <c r="R377" s="176"/>
      <c r="U377" s="128"/>
    </row>
    <row r="378" spans="1:21" ht="18" x14ac:dyDescent="0.3">
      <c r="A378" s="171"/>
      <c r="B378" s="172"/>
      <c r="C378" s="172"/>
      <c r="D378" s="172"/>
      <c r="E378" s="173"/>
      <c r="F378" s="75"/>
      <c r="G378" s="76"/>
      <c r="H378" s="76"/>
      <c r="I378" s="174"/>
      <c r="J378" s="175"/>
      <c r="K378" s="175"/>
      <c r="L378" s="245" t="s">
        <v>1483</v>
      </c>
      <c r="M378" s="246" t="s">
        <v>1563</v>
      </c>
      <c r="N378" s="245" t="s">
        <v>34</v>
      </c>
      <c r="O378" s="247">
        <v>2</v>
      </c>
      <c r="P378" s="248">
        <v>110</v>
      </c>
      <c r="Q378" s="248">
        <v>220</v>
      </c>
      <c r="R378" s="176"/>
      <c r="U378" s="128"/>
    </row>
    <row r="379" spans="1:21" ht="18" x14ac:dyDescent="0.3">
      <c r="A379" s="171"/>
      <c r="B379" s="172"/>
      <c r="C379" s="172"/>
      <c r="D379" s="172"/>
      <c r="E379" s="173"/>
      <c r="F379" s="75"/>
      <c r="G379" s="76"/>
      <c r="H379" s="76"/>
      <c r="I379" s="174"/>
      <c r="J379" s="175"/>
      <c r="K379" s="175"/>
      <c r="L379" s="245" t="s">
        <v>1484</v>
      </c>
      <c r="M379" s="246" t="s">
        <v>1564</v>
      </c>
      <c r="N379" s="245" t="s">
        <v>34</v>
      </c>
      <c r="O379" s="247">
        <v>1</v>
      </c>
      <c r="P379" s="248">
        <v>114.17</v>
      </c>
      <c r="Q379" s="248">
        <v>114.17</v>
      </c>
      <c r="R379" s="176"/>
      <c r="U379" s="128"/>
    </row>
    <row r="380" spans="1:21" ht="18" x14ac:dyDescent="0.3">
      <c r="A380" s="171"/>
      <c r="B380" s="172"/>
      <c r="C380" s="172"/>
      <c r="D380" s="172"/>
      <c r="E380" s="173"/>
      <c r="F380" s="75"/>
      <c r="G380" s="76"/>
      <c r="H380" s="76"/>
      <c r="I380" s="174"/>
      <c r="J380" s="175"/>
      <c r="K380" s="175"/>
      <c r="L380" s="245" t="s">
        <v>98</v>
      </c>
      <c r="M380" s="246" t="s">
        <v>99</v>
      </c>
      <c r="N380" s="245" t="s">
        <v>37</v>
      </c>
      <c r="O380" s="247">
        <v>4</v>
      </c>
      <c r="P380" s="248">
        <v>131</v>
      </c>
      <c r="Q380" s="248">
        <v>524</v>
      </c>
      <c r="R380" s="176"/>
      <c r="U380" s="128"/>
    </row>
    <row r="381" spans="1:21" ht="18" x14ac:dyDescent="0.3">
      <c r="A381" s="171"/>
      <c r="B381" s="172"/>
      <c r="C381" s="172"/>
      <c r="D381" s="172"/>
      <c r="E381" s="173"/>
      <c r="F381" s="75"/>
      <c r="G381" s="76"/>
      <c r="H381" s="76"/>
      <c r="I381" s="174"/>
      <c r="J381" s="175"/>
      <c r="K381" s="175"/>
      <c r="L381" s="245" t="s">
        <v>679</v>
      </c>
      <c r="M381" s="246" t="s">
        <v>680</v>
      </c>
      <c r="N381" s="245" t="s">
        <v>34</v>
      </c>
      <c r="O381" s="247">
        <v>1</v>
      </c>
      <c r="P381" s="248">
        <v>5</v>
      </c>
      <c r="Q381" s="248">
        <v>5</v>
      </c>
      <c r="R381" s="176"/>
      <c r="U381" s="128"/>
    </row>
    <row r="382" spans="1:21" ht="18" x14ac:dyDescent="0.3">
      <c r="A382" s="171"/>
      <c r="B382" s="172"/>
      <c r="C382" s="172"/>
      <c r="D382" s="172"/>
      <c r="E382" s="173"/>
      <c r="F382" s="75"/>
      <c r="G382" s="76"/>
      <c r="H382" s="76"/>
      <c r="I382" s="174"/>
      <c r="J382" s="175"/>
      <c r="K382" s="175"/>
      <c r="L382" s="245" t="s">
        <v>1485</v>
      </c>
      <c r="M382" s="246" t="s">
        <v>1565</v>
      </c>
      <c r="N382" s="245" t="s">
        <v>34</v>
      </c>
      <c r="O382" s="247">
        <v>4</v>
      </c>
      <c r="P382" s="248">
        <v>20.09</v>
      </c>
      <c r="Q382" s="248">
        <v>80.349999999999994</v>
      </c>
      <c r="R382" s="176"/>
      <c r="U382" s="128"/>
    </row>
    <row r="383" spans="1:21" ht="18" x14ac:dyDescent="0.3">
      <c r="A383" s="171"/>
      <c r="B383" s="172"/>
      <c r="C383" s="172"/>
      <c r="D383" s="172"/>
      <c r="E383" s="173"/>
      <c r="F383" s="75"/>
      <c r="G383" s="76"/>
      <c r="H383" s="76"/>
      <c r="I383" s="174"/>
      <c r="J383" s="175"/>
      <c r="K383" s="175"/>
      <c r="L383" s="245" t="s">
        <v>1712</v>
      </c>
      <c r="M383" s="246" t="s">
        <v>1733</v>
      </c>
      <c r="N383" s="245" t="s">
        <v>34</v>
      </c>
      <c r="O383" s="247">
        <v>1</v>
      </c>
      <c r="P383" s="248">
        <v>220</v>
      </c>
      <c r="Q383" s="248">
        <v>220</v>
      </c>
      <c r="R383" s="176"/>
      <c r="U383" s="128"/>
    </row>
    <row r="384" spans="1:21" ht="18" x14ac:dyDescent="0.3">
      <c r="A384" s="171"/>
      <c r="B384" s="172"/>
      <c r="C384" s="172"/>
      <c r="D384" s="172"/>
      <c r="E384" s="173"/>
      <c r="F384" s="75"/>
      <c r="G384" s="76"/>
      <c r="H384" s="76"/>
      <c r="I384" s="174"/>
      <c r="J384" s="175"/>
      <c r="K384" s="175"/>
      <c r="L384" s="245" t="s">
        <v>1674</v>
      </c>
      <c r="M384" s="246" t="s">
        <v>1692</v>
      </c>
      <c r="N384" s="245" t="s">
        <v>34</v>
      </c>
      <c r="O384" s="247">
        <v>1</v>
      </c>
      <c r="P384" s="248">
        <v>415.83</v>
      </c>
      <c r="Q384" s="248">
        <v>415.83</v>
      </c>
      <c r="R384" s="176"/>
      <c r="U384" s="128"/>
    </row>
    <row r="385" spans="1:21" ht="18" x14ac:dyDescent="0.3">
      <c r="A385" s="171"/>
      <c r="B385" s="172"/>
      <c r="C385" s="172"/>
      <c r="D385" s="172"/>
      <c r="E385" s="173"/>
      <c r="F385" s="75"/>
      <c r="G385" s="76"/>
      <c r="H385" s="76"/>
      <c r="I385" s="174"/>
      <c r="J385" s="175"/>
      <c r="K385" s="175"/>
      <c r="L385" s="245" t="s">
        <v>710</v>
      </c>
      <c r="M385" s="246" t="s">
        <v>711</v>
      </c>
      <c r="N385" s="245" t="s">
        <v>34</v>
      </c>
      <c r="O385" s="247">
        <v>4</v>
      </c>
      <c r="P385" s="248">
        <v>65</v>
      </c>
      <c r="Q385" s="248">
        <v>260</v>
      </c>
      <c r="R385" s="176"/>
      <c r="U385" s="128"/>
    </row>
    <row r="386" spans="1:21" ht="18" x14ac:dyDescent="0.3">
      <c r="A386" s="171"/>
      <c r="B386" s="172"/>
      <c r="C386" s="172"/>
      <c r="D386" s="172"/>
      <c r="E386" s="173"/>
      <c r="F386" s="75"/>
      <c r="G386" s="76"/>
      <c r="H386" s="76"/>
      <c r="I386" s="174"/>
      <c r="J386" s="175"/>
      <c r="K386" s="175"/>
      <c r="L386" s="245" t="s">
        <v>1713</v>
      </c>
      <c r="M386" s="246" t="s">
        <v>1734</v>
      </c>
      <c r="N386" s="245" t="s">
        <v>34</v>
      </c>
      <c r="O386" s="247">
        <v>1</v>
      </c>
      <c r="P386" s="248">
        <v>189.17</v>
      </c>
      <c r="Q386" s="248">
        <v>189.17</v>
      </c>
      <c r="R386" s="176"/>
      <c r="U386" s="128"/>
    </row>
    <row r="387" spans="1:21" ht="18" x14ac:dyDescent="0.3">
      <c r="A387" s="171"/>
      <c r="B387" s="172"/>
      <c r="C387" s="172"/>
      <c r="D387" s="172"/>
      <c r="E387" s="173"/>
      <c r="F387" s="75"/>
      <c r="G387" s="76"/>
      <c r="H387" s="76"/>
      <c r="I387" s="174"/>
      <c r="J387" s="175"/>
      <c r="K387" s="175"/>
      <c r="L387" s="245" t="s">
        <v>651</v>
      </c>
      <c r="M387" s="246" t="s">
        <v>652</v>
      </c>
      <c r="N387" s="245" t="s">
        <v>34</v>
      </c>
      <c r="O387" s="247">
        <v>1</v>
      </c>
      <c r="P387" s="248">
        <v>147.91</v>
      </c>
      <c r="Q387" s="248">
        <v>147.91</v>
      </c>
      <c r="R387" s="176"/>
      <c r="U387" s="128"/>
    </row>
    <row r="388" spans="1:21" ht="18" x14ac:dyDescent="0.3">
      <c r="A388" s="171"/>
      <c r="B388" s="172"/>
      <c r="C388" s="172"/>
      <c r="D388" s="172"/>
      <c r="E388" s="173"/>
      <c r="F388" s="75"/>
      <c r="G388" s="76"/>
      <c r="H388" s="76"/>
      <c r="I388" s="174"/>
      <c r="J388" s="175"/>
      <c r="K388" s="175"/>
      <c r="L388" s="245" t="s">
        <v>638</v>
      </c>
      <c r="M388" s="246" t="s">
        <v>639</v>
      </c>
      <c r="N388" s="245" t="s">
        <v>64</v>
      </c>
      <c r="O388" s="247">
        <v>2</v>
      </c>
      <c r="P388" s="248">
        <v>149.16999999999999</v>
      </c>
      <c r="Q388" s="248">
        <v>298.33999999999997</v>
      </c>
      <c r="R388" s="176"/>
      <c r="U388" s="128"/>
    </row>
    <row r="389" spans="1:21" ht="18" x14ac:dyDescent="0.3">
      <c r="A389" s="171"/>
      <c r="B389" s="172"/>
      <c r="C389" s="172"/>
      <c r="D389" s="172"/>
      <c r="E389" s="173"/>
      <c r="F389" s="75"/>
      <c r="G389" s="76"/>
      <c r="H389" s="76"/>
      <c r="I389" s="174"/>
      <c r="J389" s="175"/>
      <c r="K389" s="175"/>
      <c r="L389" s="245" t="s">
        <v>1486</v>
      </c>
      <c r="M389" s="246" t="s">
        <v>1566</v>
      </c>
      <c r="N389" s="245" t="s">
        <v>34</v>
      </c>
      <c r="O389" s="247">
        <v>3</v>
      </c>
      <c r="P389" s="248">
        <v>259.33</v>
      </c>
      <c r="Q389" s="248">
        <v>778</v>
      </c>
      <c r="R389" s="176"/>
      <c r="U389" s="128"/>
    </row>
    <row r="390" spans="1:21" ht="18" x14ac:dyDescent="0.3">
      <c r="A390" s="171"/>
      <c r="B390" s="172"/>
      <c r="C390" s="172"/>
      <c r="D390" s="172"/>
      <c r="E390" s="173"/>
      <c r="F390" s="75"/>
      <c r="G390" s="76"/>
      <c r="H390" s="76"/>
      <c r="I390" s="174"/>
      <c r="J390" s="175"/>
      <c r="K390" s="175"/>
      <c r="L390" s="245" t="s">
        <v>1714</v>
      </c>
      <c r="M390" s="246" t="s">
        <v>1735</v>
      </c>
      <c r="N390" s="245" t="s">
        <v>34</v>
      </c>
      <c r="O390" s="247">
        <v>1</v>
      </c>
      <c r="P390" s="248">
        <v>500.03</v>
      </c>
      <c r="Q390" s="248">
        <v>500.03</v>
      </c>
      <c r="R390" s="176"/>
      <c r="U390" s="128"/>
    </row>
    <row r="391" spans="1:21" ht="18" x14ac:dyDescent="0.3">
      <c r="A391" s="171"/>
      <c r="B391" s="172"/>
      <c r="C391" s="172"/>
      <c r="D391" s="172"/>
      <c r="E391" s="173"/>
      <c r="F391" s="75"/>
      <c r="G391" s="76"/>
      <c r="H391" s="76"/>
      <c r="I391" s="174"/>
      <c r="J391" s="175"/>
      <c r="K391" s="175"/>
      <c r="L391" s="245" t="s">
        <v>1487</v>
      </c>
      <c r="M391" s="246" t="s">
        <v>1567</v>
      </c>
      <c r="N391" s="245" t="s">
        <v>34</v>
      </c>
      <c r="O391" s="247">
        <v>2</v>
      </c>
      <c r="P391" s="248">
        <v>34</v>
      </c>
      <c r="Q391" s="248">
        <v>68</v>
      </c>
      <c r="R391" s="176"/>
      <c r="U391" s="128"/>
    </row>
    <row r="392" spans="1:21" ht="18" x14ac:dyDescent="0.3">
      <c r="A392" s="171"/>
      <c r="B392" s="172"/>
      <c r="C392" s="172"/>
      <c r="D392" s="172"/>
      <c r="E392" s="173"/>
      <c r="F392" s="75"/>
      <c r="G392" s="76"/>
      <c r="H392" s="76"/>
      <c r="I392" s="174"/>
      <c r="J392" s="175"/>
      <c r="K392" s="175"/>
      <c r="L392" s="245" t="s">
        <v>1489</v>
      </c>
      <c r="M392" s="246" t="s">
        <v>1569</v>
      </c>
      <c r="N392" s="245" t="s">
        <v>34</v>
      </c>
      <c r="O392" s="247">
        <v>1</v>
      </c>
      <c r="P392" s="248">
        <v>71</v>
      </c>
      <c r="Q392" s="248">
        <v>71</v>
      </c>
      <c r="R392" s="176"/>
      <c r="U392" s="128"/>
    </row>
    <row r="393" spans="1:21" ht="18" x14ac:dyDescent="0.3">
      <c r="A393" s="171"/>
      <c r="B393" s="172"/>
      <c r="C393" s="172"/>
      <c r="D393" s="172"/>
      <c r="E393" s="173"/>
      <c r="F393" s="75"/>
      <c r="G393" s="76"/>
      <c r="H393" s="76"/>
      <c r="I393" s="174"/>
      <c r="J393" s="175"/>
      <c r="K393" s="175"/>
      <c r="L393" s="245" t="s">
        <v>1490</v>
      </c>
      <c r="M393" s="246" t="s">
        <v>1570</v>
      </c>
      <c r="N393" s="245" t="s">
        <v>34</v>
      </c>
      <c r="O393" s="247">
        <v>3</v>
      </c>
      <c r="P393" s="248">
        <v>216.66</v>
      </c>
      <c r="Q393" s="248">
        <v>649.98</v>
      </c>
      <c r="R393" s="176"/>
      <c r="U393" s="128"/>
    </row>
    <row r="394" spans="1:21" ht="18" x14ac:dyDescent="0.3">
      <c r="A394" s="171"/>
      <c r="B394" s="172"/>
      <c r="C394" s="172"/>
      <c r="D394" s="172"/>
      <c r="E394" s="173"/>
      <c r="F394" s="75"/>
      <c r="G394" s="76"/>
      <c r="H394" s="76"/>
      <c r="I394" s="174"/>
      <c r="J394" s="175"/>
      <c r="K394" s="175"/>
      <c r="L394" s="245" t="s">
        <v>1715</v>
      </c>
      <c r="M394" s="246" t="s">
        <v>1736</v>
      </c>
      <c r="N394" s="245" t="s">
        <v>37</v>
      </c>
      <c r="O394" s="247">
        <v>2</v>
      </c>
      <c r="P394" s="248">
        <v>20.5</v>
      </c>
      <c r="Q394" s="248">
        <v>41</v>
      </c>
      <c r="R394" s="176"/>
      <c r="U394" s="128"/>
    </row>
    <row r="395" spans="1:21" ht="18" x14ac:dyDescent="0.3">
      <c r="A395" s="171"/>
      <c r="B395" s="172"/>
      <c r="C395" s="172"/>
      <c r="D395" s="172"/>
      <c r="E395" s="173"/>
      <c r="F395" s="75"/>
      <c r="G395" s="76"/>
      <c r="H395" s="76"/>
      <c r="I395" s="174"/>
      <c r="J395" s="175"/>
      <c r="K395" s="175"/>
      <c r="L395" s="245" t="s">
        <v>1716</v>
      </c>
      <c r="M395" s="246" t="s">
        <v>1737</v>
      </c>
      <c r="N395" s="245" t="s">
        <v>34</v>
      </c>
      <c r="O395" s="247">
        <v>1</v>
      </c>
      <c r="P395" s="248">
        <v>329.29</v>
      </c>
      <c r="Q395" s="248">
        <v>329.29</v>
      </c>
      <c r="R395" s="176"/>
      <c r="U395" s="128"/>
    </row>
    <row r="396" spans="1:21" ht="18" x14ac:dyDescent="0.3">
      <c r="A396" s="171"/>
      <c r="B396" s="172"/>
      <c r="C396" s="172"/>
      <c r="D396" s="172"/>
      <c r="E396" s="173"/>
      <c r="F396" s="75"/>
      <c r="G396" s="76"/>
      <c r="H396" s="76"/>
      <c r="I396" s="174"/>
      <c r="J396" s="175"/>
      <c r="K396" s="175"/>
      <c r="L396" s="245" t="s">
        <v>1629</v>
      </c>
      <c r="M396" s="246" t="s">
        <v>1655</v>
      </c>
      <c r="N396" s="245" t="s">
        <v>34</v>
      </c>
      <c r="O396" s="247">
        <v>1</v>
      </c>
      <c r="P396" s="248">
        <v>180</v>
      </c>
      <c r="Q396" s="248">
        <v>180</v>
      </c>
      <c r="R396" s="176"/>
      <c r="U396" s="128"/>
    </row>
    <row r="397" spans="1:21" ht="18" x14ac:dyDescent="0.3">
      <c r="A397" s="171"/>
      <c r="B397" s="172"/>
      <c r="C397" s="172"/>
      <c r="D397" s="172"/>
      <c r="E397" s="173"/>
      <c r="F397" s="75"/>
      <c r="G397" s="76"/>
      <c r="H397" s="76"/>
      <c r="I397" s="174"/>
      <c r="J397" s="175"/>
      <c r="K397" s="175"/>
      <c r="L397" s="245" t="s">
        <v>1492</v>
      </c>
      <c r="M397" s="246" t="s">
        <v>1572</v>
      </c>
      <c r="N397" s="245" t="s">
        <v>34</v>
      </c>
      <c r="O397" s="247">
        <v>2</v>
      </c>
      <c r="P397" s="248">
        <v>89</v>
      </c>
      <c r="Q397" s="248">
        <v>178</v>
      </c>
      <c r="R397" s="176"/>
      <c r="U397" s="128"/>
    </row>
    <row r="398" spans="1:21" ht="18" x14ac:dyDescent="0.3">
      <c r="A398" s="171"/>
      <c r="B398" s="172"/>
      <c r="C398" s="172"/>
      <c r="D398" s="172"/>
      <c r="E398" s="173"/>
      <c r="F398" s="75"/>
      <c r="G398" s="76"/>
      <c r="H398" s="76"/>
      <c r="I398" s="174"/>
      <c r="J398" s="175"/>
      <c r="K398" s="175"/>
      <c r="L398" s="245" t="s">
        <v>1493</v>
      </c>
      <c r="M398" s="246" t="s">
        <v>1573</v>
      </c>
      <c r="N398" s="245" t="s">
        <v>34</v>
      </c>
      <c r="O398" s="247">
        <v>1</v>
      </c>
      <c r="P398" s="248">
        <v>97.5</v>
      </c>
      <c r="Q398" s="248">
        <v>97.5</v>
      </c>
      <c r="R398" s="176"/>
      <c r="U398" s="128"/>
    </row>
    <row r="399" spans="1:21" ht="18" x14ac:dyDescent="0.3">
      <c r="A399" s="171"/>
      <c r="B399" s="172"/>
      <c r="C399" s="172"/>
      <c r="D399" s="172"/>
      <c r="E399" s="173"/>
      <c r="F399" s="75"/>
      <c r="G399" s="76"/>
      <c r="H399" s="76"/>
      <c r="I399" s="174"/>
      <c r="J399" s="175"/>
      <c r="K399" s="175"/>
      <c r="L399" s="245" t="s">
        <v>1494</v>
      </c>
      <c r="M399" s="246" t="s">
        <v>1574</v>
      </c>
      <c r="N399" s="245" t="s">
        <v>64</v>
      </c>
      <c r="O399" s="247">
        <v>1</v>
      </c>
      <c r="P399" s="248">
        <v>179.2</v>
      </c>
      <c r="Q399" s="248">
        <v>179.2</v>
      </c>
      <c r="R399" s="176"/>
      <c r="U399" s="128"/>
    </row>
    <row r="400" spans="1:21" ht="18" x14ac:dyDescent="0.3">
      <c r="A400" s="171"/>
      <c r="B400" s="172"/>
      <c r="C400" s="172"/>
      <c r="D400" s="172"/>
      <c r="E400" s="173"/>
      <c r="F400" s="75"/>
      <c r="G400" s="76"/>
      <c r="H400" s="76"/>
      <c r="I400" s="174"/>
      <c r="J400" s="175"/>
      <c r="K400" s="175"/>
      <c r="L400" s="245" t="s">
        <v>1495</v>
      </c>
      <c r="M400" s="246" t="s">
        <v>1575</v>
      </c>
      <c r="N400" s="245" t="s">
        <v>34</v>
      </c>
      <c r="O400" s="247">
        <v>1</v>
      </c>
      <c r="P400" s="248">
        <v>54.17</v>
      </c>
      <c r="Q400" s="248">
        <v>54.17</v>
      </c>
      <c r="R400" s="176"/>
      <c r="U400" s="128"/>
    </row>
    <row r="401" spans="1:21" ht="18" x14ac:dyDescent="0.3">
      <c r="A401" s="171"/>
      <c r="B401" s="172"/>
      <c r="C401" s="172"/>
      <c r="D401" s="172"/>
      <c r="E401" s="173"/>
      <c r="F401" s="75"/>
      <c r="G401" s="76"/>
      <c r="H401" s="76"/>
      <c r="I401" s="174"/>
      <c r="J401" s="175"/>
      <c r="K401" s="175"/>
      <c r="L401" s="245" t="s">
        <v>1631</v>
      </c>
      <c r="M401" s="246" t="s">
        <v>1657</v>
      </c>
      <c r="N401" s="245" t="s">
        <v>34</v>
      </c>
      <c r="O401" s="247">
        <v>1</v>
      </c>
      <c r="P401" s="248">
        <v>56</v>
      </c>
      <c r="Q401" s="248">
        <v>56</v>
      </c>
      <c r="R401" s="176"/>
      <c r="U401" s="128"/>
    </row>
    <row r="402" spans="1:21" ht="18" x14ac:dyDescent="0.3">
      <c r="A402" s="171"/>
      <c r="B402" s="172"/>
      <c r="C402" s="172"/>
      <c r="D402" s="172"/>
      <c r="E402" s="173"/>
      <c r="F402" s="75"/>
      <c r="G402" s="76"/>
      <c r="H402" s="76"/>
      <c r="I402" s="174"/>
      <c r="J402" s="175"/>
      <c r="K402" s="175"/>
      <c r="L402" s="245" t="s">
        <v>1717</v>
      </c>
      <c r="M402" s="246" t="s">
        <v>1738</v>
      </c>
      <c r="N402" s="245" t="s">
        <v>34</v>
      </c>
      <c r="O402" s="247">
        <v>1</v>
      </c>
      <c r="P402" s="248">
        <v>136.66999999999999</v>
      </c>
      <c r="Q402" s="248">
        <v>136.66999999999999</v>
      </c>
      <c r="R402" s="176"/>
      <c r="U402" s="128"/>
    </row>
    <row r="403" spans="1:21" ht="18" x14ac:dyDescent="0.3">
      <c r="A403" s="171"/>
      <c r="B403" s="172"/>
      <c r="C403" s="172"/>
      <c r="D403" s="172"/>
      <c r="E403" s="173"/>
      <c r="F403" s="75"/>
      <c r="G403" s="76"/>
      <c r="H403" s="76"/>
      <c r="I403" s="174"/>
      <c r="J403" s="175"/>
      <c r="K403" s="175"/>
      <c r="L403" s="245" t="s">
        <v>1718</v>
      </c>
      <c r="M403" s="246" t="s">
        <v>1739</v>
      </c>
      <c r="N403" s="245" t="s">
        <v>34</v>
      </c>
      <c r="O403" s="247">
        <v>1</v>
      </c>
      <c r="P403" s="248">
        <v>91</v>
      </c>
      <c r="Q403" s="248">
        <v>91</v>
      </c>
      <c r="R403" s="176"/>
      <c r="U403" s="128"/>
    </row>
    <row r="404" spans="1:21" ht="18" x14ac:dyDescent="0.3">
      <c r="A404" s="171"/>
      <c r="B404" s="172"/>
      <c r="C404" s="172"/>
      <c r="D404" s="172"/>
      <c r="E404" s="173"/>
      <c r="F404" s="75"/>
      <c r="G404" s="76"/>
      <c r="H404" s="76"/>
      <c r="I404" s="174"/>
      <c r="J404" s="175"/>
      <c r="K404" s="175"/>
      <c r="L404" s="245" t="s">
        <v>1719</v>
      </c>
      <c r="M404" s="246" t="s">
        <v>1740</v>
      </c>
      <c r="N404" s="245" t="s">
        <v>34</v>
      </c>
      <c r="O404" s="247">
        <v>1</v>
      </c>
      <c r="P404" s="248">
        <v>215.8</v>
      </c>
      <c r="Q404" s="248">
        <v>215.8</v>
      </c>
      <c r="R404" s="176"/>
      <c r="U404" s="128"/>
    </row>
    <row r="405" spans="1:21" ht="18" x14ac:dyDescent="0.3">
      <c r="A405" s="171"/>
      <c r="B405" s="172"/>
      <c r="C405" s="172"/>
      <c r="D405" s="172"/>
      <c r="E405" s="173"/>
      <c r="F405" s="75"/>
      <c r="G405" s="76"/>
      <c r="H405" s="76"/>
      <c r="I405" s="174"/>
      <c r="J405" s="175"/>
      <c r="K405" s="175"/>
      <c r="L405" s="245" t="s">
        <v>1720</v>
      </c>
      <c r="M405" s="246" t="s">
        <v>1741</v>
      </c>
      <c r="N405" s="245" t="s">
        <v>34</v>
      </c>
      <c r="O405" s="247">
        <v>1</v>
      </c>
      <c r="P405" s="248">
        <v>467.84</v>
      </c>
      <c r="Q405" s="248">
        <v>467.84</v>
      </c>
      <c r="R405" s="176"/>
      <c r="U405" s="128"/>
    </row>
    <row r="406" spans="1:21" ht="18" x14ac:dyDescent="0.3">
      <c r="A406" s="171"/>
      <c r="B406" s="172"/>
      <c r="C406" s="172"/>
      <c r="D406" s="172"/>
      <c r="E406" s="173"/>
      <c r="F406" s="75"/>
      <c r="G406" s="76"/>
      <c r="H406" s="76"/>
      <c r="I406" s="174"/>
      <c r="J406" s="175"/>
      <c r="K406" s="175"/>
      <c r="L406" s="245" t="s">
        <v>1497</v>
      </c>
      <c r="M406" s="246" t="s">
        <v>1577</v>
      </c>
      <c r="N406" s="245" t="s">
        <v>34</v>
      </c>
      <c r="O406" s="247">
        <v>1</v>
      </c>
      <c r="P406" s="248">
        <v>166.5</v>
      </c>
      <c r="Q406" s="248">
        <v>166.5</v>
      </c>
      <c r="R406" s="176"/>
      <c r="U406" s="128"/>
    </row>
    <row r="407" spans="1:21" ht="18" x14ac:dyDescent="0.3">
      <c r="A407" s="171"/>
      <c r="B407" s="172"/>
      <c r="C407" s="172"/>
      <c r="D407" s="172"/>
      <c r="E407" s="173"/>
      <c r="F407" s="75"/>
      <c r="G407" s="76"/>
      <c r="H407" s="76"/>
      <c r="I407" s="174"/>
      <c r="J407" s="175"/>
      <c r="K407" s="175"/>
      <c r="L407" s="245" t="s">
        <v>1498</v>
      </c>
      <c r="M407" s="246" t="s">
        <v>1578</v>
      </c>
      <c r="N407" s="245" t="s">
        <v>34</v>
      </c>
      <c r="O407" s="247">
        <v>5</v>
      </c>
      <c r="P407" s="248">
        <v>270.77</v>
      </c>
      <c r="Q407" s="249">
        <v>1353.86</v>
      </c>
      <c r="R407" s="176"/>
      <c r="U407" s="128"/>
    </row>
    <row r="408" spans="1:21" ht="18" x14ac:dyDescent="0.3">
      <c r="A408" s="171"/>
      <c r="B408" s="172"/>
      <c r="C408" s="172"/>
      <c r="D408" s="172"/>
      <c r="E408" s="173"/>
      <c r="F408" s="75"/>
      <c r="G408" s="76"/>
      <c r="H408" s="76"/>
      <c r="I408" s="174"/>
      <c r="J408" s="175"/>
      <c r="K408" s="175"/>
      <c r="L408" s="245" t="s">
        <v>1721</v>
      </c>
      <c r="M408" s="246" t="s">
        <v>1742</v>
      </c>
      <c r="N408" s="245" t="s">
        <v>34</v>
      </c>
      <c r="O408" s="247">
        <v>1</v>
      </c>
      <c r="P408" s="248">
        <v>40.799999999999997</v>
      </c>
      <c r="Q408" s="248">
        <v>40.799999999999997</v>
      </c>
      <c r="R408" s="176"/>
      <c r="U408" s="128"/>
    </row>
    <row r="409" spans="1:21" ht="18" x14ac:dyDescent="0.3">
      <c r="A409" s="171"/>
      <c r="B409" s="172"/>
      <c r="C409" s="172"/>
      <c r="D409" s="172"/>
      <c r="E409" s="173"/>
      <c r="F409" s="75"/>
      <c r="G409" s="76"/>
      <c r="H409" s="76"/>
      <c r="I409" s="174"/>
      <c r="J409" s="175"/>
      <c r="K409" s="175"/>
      <c r="L409" s="245" t="s">
        <v>1500</v>
      </c>
      <c r="M409" s="246" t="s">
        <v>1580</v>
      </c>
      <c r="N409" s="245" t="s">
        <v>34</v>
      </c>
      <c r="O409" s="247">
        <v>1</v>
      </c>
      <c r="P409" s="248">
        <v>22</v>
      </c>
      <c r="Q409" s="248">
        <v>22</v>
      </c>
      <c r="R409" s="176"/>
      <c r="U409" s="128"/>
    </row>
    <row r="410" spans="1:21" ht="18" x14ac:dyDescent="0.3">
      <c r="A410" s="171"/>
      <c r="B410" s="172"/>
      <c r="C410" s="172"/>
      <c r="D410" s="172"/>
      <c r="E410" s="173"/>
      <c r="F410" s="75"/>
      <c r="G410" s="76"/>
      <c r="H410" s="76"/>
      <c r="I410" s="174"/>
      <c r="J410" s="175"/>
      <c r="K410" s="175"/>
      <c r="L410" s="245" t="s">
        <v>1501</v>
      </c>
      <c r="M410" s="246" t="s">
        <v>1581</v>
      </c>
      <c r="N410" s="245" t="s">
        <v>64</v>
      </c>
      <c r="O410" s="247">
        <v>3</v>
      </c>
      <c r="P410" s="248">
        <v>51</v>
      </c>
      <c r="Q410" s="248">
        <v>153</v>
      </c>
      <c r="R410" s="176"/>
      <c r="U410" s="128"/>
    </row>
    <row r="411" spans="1:21" ht="18" x14ac:dyDescent="0.3">
      <c r="A411" s="171"/>
      <c r="B411" s="172"/>
      <c r="C411" s="172"/>
      <c r="D411" s="172"/>
      <c r="E411" s="173"/>
      <c r="F411" s="75"/>
      <c r="G411" s="76"/>
      <c r="H411" s="76"/>
      <c r="I411" s="174"/>
      <c r="J411" s="175"/>
      <c r="K411" s="175"/>
      <c r="L411" s="245" t="s">
        <v>1633</v>
      </c>
      <c r="M411" s="246" t="s">
        <v>1659</v>
      </c>
      <c r="N411" s="245" t="s">
        <v>64</v>
      </c>
      <c r="O411" s="247">
        <v>1</v>
      </c>
      <c r="P411" s="248">
        <v>51</v>
      </c>
      <c r="Q411" s="248">
        <v>51</v>
      </c>
      <c r="R411" s="176"/>
      <c r="U411" s="128"/>
    </row>
    <row r="412" spans="1:21" ht="18" x14ac:dyDescent="0.3">
      <c r="A412" s="171"/>
      <c r="B412" s="172"/>
      <c r="C412" s="172"/>
      <c r="D412" s="172"/>
      <c r="E412" s="173"/>
      <c r="F412" s="75"/>
      <c r="G412" s="76"/>
      <c r="H412" s="76"/>
      <c r="I412" s="174"/>
      <c r="J412" s="175"/>
      <c r="K412" s="175"/>
      <c r="L412" s="245" t="s">
        <v>1502</v>
      </c>
      <c r="M412" s="246" t="s">
        <v>1582</v>
      </c>
      <c r="N412" s="245" t="s">
        <v>64</v>
      </c>
      <c r="O412" s="247">
        <v>1</v>
      </c>
      <c r="P412" s="248">
        <v>301.7</v>
      </c>
      <c r="Q412" s="248">
        <v>301.7</v>
      </c>
      <c r="R412" s="176"/>
      <c r="U412" s="128"/>
    </row>
    <row r="413" spans="1:21" ht="18" x14ac:dyDescent="0.3">
      <c r="A413" s="171"/>
      <c r="B413" s="172"/>
      <c r="C413" s="172"/>
      <c r="D413" s="172"/>
      <c r="E413" s="173"/>
      <c r="F413" s="75"/>
      <c r="G413" s="76"/>
      <c r="H413" s="76"/>
      <c r="I413" s="174"/>
      <c r="J413" s="175"/>
      <c r="K413" s="175"/>
      <c r="L413" s="245" t="s">
        <v>1503</v>
      </c>
      <c r="M413" s="246" t="s">
        <v>1583</v>
      </c>
      <c r="N413" s="245" t="s">
        <v>35</v>
      </c>
      <c r="O413" s="247">
        <v>2</v>
      </c>
      <c r="P413" s="248">
        <v>65</v>
      </c>
      <c r="Q413" s="248">
        <v>130</v>
      </c>
      <c r="R413" s="176"/>
      <c r="U413" s="128"/>
    </row>
    <row r="414" spans="1:21" ht="18" x14ac:dyDescent="0.3">
      <c r="A414" s="171"/>
      <c r="B414" s="172"/>
      <c r="C414" s="172"/>
      <c r="D414" s="172"/>
      <c r="E414" s="173"/>
      <c r="F414" s="75"/>
      <c r="G414" s="76"/>
      <c r="H414" s="76"/>
      <c r="I414" s="174"/>
      <c r="J414" s="175"/>
      <c r="K414" s="175"/>
      <c r="L414" s="245" t="s">
        <v>1722</v>
      </c>
      <c r="M414" s="246" t="s">
        <v>1743</v>
      </c>
      <c r="N414" s="245" t="s">
        <v>34</v>
      </c>
      <c r="O414" s="247">
        <v>1</v>
      </c>
      <c r="P414" s="248">
        <v>214</v>
      </c>
      <c r="Q414" s="248">
        <v>214</v>
      </c>
      <c r="R414" s="176"/>
      <c r="U414" s="128"/>
    </row>
    <row r="415" spans="1:21" ht="18" x14ac:dyDescent="0.3">
      <c r="A415" s="171"/>
      <c r="B415" s="172"/>
      <c r="C415" s="172"/>
      <c r="D415" s="172"/>
      <c r="E415" s="173"/>
      <c r="F415" s="75"/>
      <c r="G415" s="76"/>
      <c r="H415" s="76"/>
      <c r="I415" s="174"/>
      <c r="J415" s="175"/>
      <c r="K415" s="175"/>
      <c r="L415" s="245" t="s">
        <v>629</v>
      </c>
      <c r="M415" s="246" t="s">
        <v>138</v>
      </c>
      <c r="N415" s="245" t="s">
        <v>34</v>
      </c>
      <c r="O415" s="247">
        <v>1</v>
      </c>
      <c r="P415" s="248">
        <v>118</v>
      </c>
      <c r="Q415" s="248">
        <v>118</v>
      </c>
      <c r="R415" s="176"/>
      <c r="U415" s="128"/>
    </row>
    <row r="416" spans="1:21" ht="18" x14ac:dyDescent="0.3">
      <c r="A416" s="171"/>
      <c r="B416" s="172"/>
      <c r="C416" s="172"/>
      <c r="D416" s="172"/>
      <c r="E416" s="173"/>
      <c r="F416" s="75"/>
      <c r="G416" s="76"/>
      <c r="H416" s="76"/>
      <c r="I416" s="174"/>
      <c r="J416" s="175"/>
      <c r="K416" s="175"/>
      <c r="L416" s="245" t="s">
        <v>1723</v>
      </c>
      <c r="M416" s="246" t="s">
        <v>1744</v>
      </c>
      <c r="N416" s="245" t="s">
        <v>34</v>
      </c>
      <c r="O416" s="247">
        <v>1</v>
      </c>
      <c r="P416" s="248">
        <v>165</v>
      </c>
      <c r="Q416" s="248">
        <v>165</v>
      </c>
      <c r="R416" s="176"/>
      <c r="U416" s="128"/>
    </row>
    <row r="417" spans="1:21" ht="18" x14ac:dyDescent="0.3">
      <c r="A417" s="171"/>
      <c r="B417" s="172"/>
      <c r="C417" s="172"/>
      <c r="D417" s="172"/>
      <c r="E417" s="173"/>
      <c r="F417" s="75"/>
      <c r="G417" s="76"/>
      <c r="H417" s="76"/>
      <c r="I417" s="174"/>
      <c r="J417" s="175"/>
      <c r="K417" s="175"/>
      <c r="L417" s="245" t="s">
        <v>1505</v>
      </c>
      <c r="M417" s="246" t="s">
        <v>1585</v>
      </c>
      <c r="N417" s="245" t="s">
        <v>34</v>
      </c>
      <c r="O417" s="247">
        <v>1</v>
      </c>
      <c r="P417" s="248">
        <v>49</v>
      </c>
      <c r="Q417" s="248">
        <v>49</v>
      </c>
      <c r="R417" s="176"/>
      <c r="U417" s="128"/>
    </row>
    <row r="418" spans="1:21" ht="18" x14ac:dyDescent="0.3">
      <c r="A418" s="171"/>
      <c r="B418" s="172"/>
      <c r="C418" s="172"/>
      <c r="D418" s="172"/>
      <c r="E418" s="173"/>
      <c r="F418" s="75"/>
      <c r="G418" s="76"/>
      <c r="H418" s="76"/>
      <c r="I418" s="174"/>
      <c r="J418" s="175"/>
      <c r="K418" s="175"/>
      <c r="L418" s="245" t="s">
        <v>1636</v>
      </c>
      <c r="M418" s="246" t="s">
        <v>1662</v>
      </c>
      <c r="N418" s="245" t="s">
        <v>34</v>
      </c>
      <c r="O418" s="247">
        <v>1</v>
      </c>
      <c r="P418" s="248">
        <v>51</v>
      </c>
      <c r="Q418" s="248">
        <v>51</v>
      </c>
      <c r="R418" s="176"/>
      <c r="U418" s="128"/>
    </row>
    <row r="419" spans="1:21" ht="18" x14ac:dyDescent="0.3">
      <c r="A419" s="171"/>
      <c r="B419" s="172"/>
      <c r="C419" s="172"/>
      <c r="D419" s="172"/>
      <c r="E419" s="173"/>
      <c r="F419" s="75"/>
      <c r="G419" s="76"/>
      <c r="H419" s="76"/>
      <c r="I419" s="174"/>
      <c r="J419" s="175"/>
      <c r="K419" s="175"/>
      <c r="L419" s="245" t="s">
        <v>1506</v>
      </c>
      <c r="M419" s="246" t="s">
        <v>1586</v>
      </c>
      <c r="N419" s="245" t="s">
        <v>64</v>
      </c>
      <c r="O419" s="247">
        <v>0.14000000000000001</v>
      </c>
      <c r="P419" s="249">
        <v>4165.79</v>
      </c>
      <c r="Q419" s="248">
        <v>583.21</v>
      </c>
      <c r="R419" s="176"/>
      <c r="U419" s="128"/>
    </row>
    <row r="420" spans="1:21" ht="18" x14ac:dyDescent="0.3">
      <c r="A420" s="171"/>
      <c r="B420" s="172"/>
      <c r="C420" s="172"/>
      <c r="D420" s="172"/>
      <c r="E420" s="173"/>
      <c r="F420" s="75"/>
      <c r="G420" s="76"/>
      <c r="H420" s="76"/>
      <c r="I420" s="174"/>
      <c r="J420" s="175"/>
      <c r="K420" s="175"/>
      <c r="L420" s="245" t="s">
        <v>546</v>
      </c>
      <c r="M420" s="246" t="s">
        <v>253</v>
      </c>
      <c r="N420" s="245" t="s">
        <v>34</v>
      </c>
      <c r="O420" s="247">
        <v>2</v>
      </c>
      <c r="P420" s="248">
        <v>78</v>
      </c>
      <c r="Q420" s="248">
        <v>156</v>
      </c>
      <c r="R420" s="176"/>
      <c r="U420" s="128"/>
    </row>
    <row r="421" spans="1:21" ht="18" x14ac:dyDescent="0.3">
      <c r="A421" s="171"/>
      <c r="B421" s="172"/>
      <c r="C421" s="172"/>
      <c r="D421" s="172"/>
      <c r="E421" s="173"/>
      <c r="F421" s="75"/>
      <c r="G421" s="76"/>
      <c r="H421" s="76"/>
      <c r="I421" s="174"/>
      <c r="J421" s="175"/>
      <c r="K421" s="175"/>
      <c r="L421" s="245" t="s">
        <v>1724</v>
      </c>
      <c r="M421" s="246" t="s">
        <v>1745</v>
      </c>
      <c r="N421" s="245" t="s">
        <v>34</v>
      </c>
      <c r="O421" s="247">
        <v>1</v>
      </c>
      <c r="P421" s="248">
        <v>206</v>
      </c>
      <c r="Q421" s="248">
        <v>206</v>
      </c>
      <c r="R421" s="176"/>
      <c r="U421" s="128"/>
    </row>
    <row r="422" spans="1:21" ht="18" x14ac:dyDescent="0.3">
      <c r="A422" s="53"/>
      <c r="B422" s="54"/>
      <c r="C422" s="54"/>
      <c r="D422" s="54"/>
      <c r="E422" s="55"/>
      <c r="F422" s="75"/>
      <c r="G422" s="76"/>
      <c r="H422" s="76"/>
      <c r="I422" s="48"/>
      <c r="J422" s="70"/>
      <c r="K422" s="70"/>
      <c r="L422" s="245" t="s">
        <v>1420</v>
      </c>
      <c r="M422" s="246" t="s">
        <v>1443</v>
      </c>
      <c r="N422" s="245" t="s">
        <v>34</v>
      </c>
      <c r="O422" s="247">
        <v>5</v>
      </c>
      <c r="P422" s="248">
        <v>25</v>
      </c>
      <c r="Q422" s="248">
        <v>125</v>
      </c>
      <c r="R422" s="134"/>
      <c r="U422" s="128"/>
    </row>
    <row r="423" spans="1:21" ht="18" x14ac:dyDescent="0.3">
      <c r="A423" s="53"/>
      <c r="B423" s="54"/>
      <c r="C423" s="54"/>
      <c r="D423" s="54"/>
      <c r="E423" s="55"/>
      <c r="F423" s="75"/>
      <c r="G423" s="76"/>
      <c r="H423" s="76"/>
      <c r="I423" s="48"/>
      <c r="J423" s="70"/>
      <c r="K423" s="70"/>
      <c r="L423" s="245" t="s">
        <v>1680</v>
      </c>
      <c r="M423" s="246" t="s">
        <v>1698</v>
      </c>
      <c r="N423" s="245" t="s">
        <v>34</v>
      </c>
      <c r="O423" s="247">
        <v>1</v>
      </c>
      <c r="P423" s="248">
        <v>241.67</v>
      </c>
      <c r="Q423" s="248">
        <v>241.67</v>
      </c>
      <c r="R423" s="134"/>
      <c r="U423" s="128"/>
    </row>
    <row r="424" spans="1:21" ht="18" x14ac:dyDescent="0.3">
      <c r="A424" s="53"/>
      <c r="B424" s="54"/>
      <c r="C424" s="54"/>
      <c r="D424" s="54"/>
      <c r="E424" s="55"/>
      <c r="F424" s="75"/>
      <c r="G424" s="76"/>
      <c r="H424" s="76"/>
      <c r="I424" s="48"/>
      <c r="J424" s="70"/>
      <c r="K424" s="70"/>
      <c r="L424" s="245" t="s">
        <v>646</v>
      </c>
      <c r="M424" s="246" t="s">
        <v>647</v>
      </c>
      <c r="N424" s="245" t="s">
        <v>34</v>
      </c>
      <c r="O424" s="247">
        <v>2</v>
      </c>
      <c r="P424" s="248">
        <v>305</v>
      </c>
      <c r="Q424" s="248">
        <v>610</v>
      </c>
      <c r="R424" s="134"/>
      <c r="U424" s="128"/>
    </row>
    <row r="425" spans="1:21" ht="18" x14ac:dyDescent="0.3">
      <c r="A425" s="53"/>
      <c r="B425" s="54"/>
      <c r="C425" s="54"/>
      <c r="D425" s="54"/>
      <c r="E425" s="55"/>
      <c r="F425" s="75"/>
      <c r="G425" s="76"/>
      <c r="H425" s="76"/>
      <c r="I425" s="48"/>
      <c r="J425" s="70"/>
      <c r="K425" s="70"/>
      <c r="L425" s="245" t="s">
        <v>660</v>
      </c>
      <c r="M425" s="246" t="s">
        <v>1588</v>
      </c>
      <c r="N425" s="245" t="s">
        <v>147</v>
      </c>
      <c r="O425" s="247">
        <v>41</v>
      </c>
      <c r="P425" s="248">
        <v>25.86</v>
      </c>
      <c r="Q425" s="249">
        <v>1060.2</v>
      </c>
      <c r="R425" s="134"/>
      <c r="U425" s="128"/>
    </row>
    <row r="426" spans="1:21" ht="18" x14ac:dyDescent="0.3">
      <c r="A426" s="53"/>
      <c r="B426" s="54"/>
      <c r="C426" s="54"/>
      <c r="D426" s="54"/>
      <c r="E426" s="55"/>
      <c r="F426" s="75"/>
      <c r="G426" s="76"/>
      <c r="H426" s="76"/>
      <c r="I426" s="48"/>
      <c r="J426" s="70"/>
      <c r="K426" s="70"/>
      <c r="L426" s="245" t="s">
        <v>538</v>
      </c>
      <c r="M426" s="246" t="s">
        <v>117</v>
      </c>
      <c r="N426" s="245" t="s">
        <v>34</v>
      </c>
      <c r="O426" s="247">
        <v>3</v>
      </c>
      <c r="P426" s="248">
        <v>172.75</v>
      </c>
      <c r="Q426" s="248">
        <v>518.25</v>
      </c>
      <c r="R426" s="134"/>
      <c r="U426" s="128"/>
    </row>
    <row r="427" spans="1:21" ht="18" x14ac:dyDescent="0.3">
      <c r="A427" s="53"/>
      <c r="B427" s="54"/>
      <c r="C427" s="54"/>
      <c r="D427" s="54"/>
      <c r="E427" s="55"/>
      <c r="F427" s="75"/>
      <c r="G427" s="76"/>
      <c r="H427" s="76"/>
      <c r="I427" s="48"/>
      <c r="J427" s="70"/>
      <c r="K427" s="70"/>
      <c r="L427" s="245" t="s">
        <v>634</v>
      </c>
      <c r="M427" s="246" t="s">
        <v>139</v>
      </c>
      <c r="N427" s="245" t="s">
        <v>34</v>
      </c>
      <c r="O427" s="247">
        <v>1</v>
      </c>
      <c r="P427" s="248">
        <v>127</v>
      </c>
      <c r="Q427" s="248">
        <v>127</v>
      </c>
      <c r="R427" s="134"/>
      <c r="U427" s="128"/>
    </row>
    <row r="428" spans="1:21" ht="18" x14ac:dyDescent="0.3">
      <c r="A428" s="53"/>
      <c r="B428" s="54"/>
      <c r="C428" s="54"/>
      <c r="D428" s="54"/>
      <c r="E428" s="55"/>
      <c r="F428" s="75"/>
      <c r="G428" s="76"/>
      <c r="H428" s="76"/>
      <c r="I428" s="48"/>
      <c r="J428" s="70"/>
      <c r="K428" s="70"/>
      <c r="L428" s="245" t="s">
        <v>1725</v>
      </c>
      <c r="M428" s="246" t="s">
        <v>1746</v>
      </c>
      <c r="N428" s="245" t="s">
        <v>34</v>
      </c>
      <c r="O428" s="247">
        <v>1</v>
      </c>
      <c r="P428" s="248">
        <v>80</v>
      </c>
      <c r="Q428" s="248">
        <v>80</v>
      </c>
      <c r="R428" s="134"/>
      <c r="U428" s="128"/>
    </row>
    <row r="429" spans="1:21" ht="18" x14ac:dyDescent="0.3">
      <c r="A429" s="53"/>
      <c r="B429" s="54"/>
      <c r="C429" s="54"/>
      <c r="D429" s="54"/>
      <c r="E429" s="55"/>
      <c r="F429" s="75"/>
      <c r="G429" s="76"/>
      <c r="H429" s="76"/>
      <c r="I429" s="48"/>
      <c r="J429" s="70"/>
      <c r="K429" s="70"/>
      <c r="L429" s="245" t="s">
        <v>599</v>
      </c>
      <c r="M429" s="246" t="s">
        <v>129</v>
      </c>
      <c r="N429" s="245" t="s">
        <v>34</v>
      </c>
      <c r="O429" s="247">
        <v>1</v>
      </c>
      <c r="P429" s="248">
        <v>23</v>
      </c>
      <c r="Q429" s="248">
        <v>23</v>
      </c>
      <c r="R429" s="134"/>
      <c r="U429" s="128"/>
    </row>
    <row r="430" spans="1:21" ht="18" x14ac:dyDescent="0.3">
      <c r="A430" s="53"/>
      <c r="B430" s="54"/>
      <c r="C430" s="54"/>
      <c r="D430" s="54"/>
      <c r="E430" s="55"/>
      <c r="F430" s="75"/>
      <c r="G430" s="76"/>
      <c r="H430" s="76"/>
      <c r="I430" s="48"/>
      <c r="J430" s="70"/>
      <c r="K430" s="70"/>
      <c r="L430" s="245" t="s">
        <v>1509</v>
      </c>
      <c r="M430" s="246" t="s">
        <v>1590</v>
      </c>
      <c r="N430" s="245" t="s">
        <v>147</v>
      </c>
      <c r="O430" s="247">
        <v>5</v>
      </c>
      <c r="P430" s="248">
        <v>137</v>
      </c>
      <c r="Q430" s="248">
        <v>685</v>
      </c>
      <c r="R430" s="134"/>
      <c r="U430" s="128"/>
    </row>
    <row r="431" spans="1:21" ht="18" x14ac:dyDescent="0.3">
      <c r="A431" s="53"/>
      <c r="B431" s="54"/>
      <c r="C431" s="54"/>
      <c r="D431" s="54"/>
      <c r="E431" s="55"/>
      <c r="F431" s="75"/>
      <c r="G431" s="76"/>
      <c r="H431" s="76"/>
      <c r="I431" s="48"/>
      <c r="J431" s="70"/>
      <c r="K431" s="70"/>
      <c r="L431" s="245" t="s">
        <v>1510</v>
      </c>
      <c r="M431" s="246" t="s">
        <v>1591</v>
      </c>
      <c r="N431" s="245" t="s">
        <v>34</v>
      </c>
      <c r="O431" s="247">
        <v>1</v>
      </c>
      <c r="P431" s="248">
        <v>156.66999999999999</v>
      </c>
      <c r="Q431" s="248">
        <v>156.66999999999999</v>
      </c>
      <c r="R431" s="134"/>
      <c r="U431" s="128"/>
    </row>
    <row r="432" spans="1:21" ht="18" x14ac:dyDescent="0.3">
      <c r="A432" s="53"/>
      <c r="B432" s="54"/>
      <c r="C432" s="54"/>
      <c r="D432" s="54"/>
      <c r="E432" s="55"/>
      <c r="F432" s="75"/>
      <c r="G432" s="76"/>
      <c r="H432" s="76"/>
      <c r="I432" s="48"/>
      <c r="J432" s="70"/>
      <c r="K432" s="70"/>
      <c r="L432" s="245" t="s">
        <v>1511</v>
      </c>
      <c r="M432" s="246" t="s">
        <v>1592</v>
      </c>
      <c r="N432" s="245" t="s">
        <v>34</v>
      </c>
      <c r="O432" s="247">
        <v>9</v>
      </c>
      <c r="P432" s="248">
        <v>4.6500000000000004</v>
      </c>
      <c r="Q432" s="248">
        <v>41.85</v>
      </c>
      <c r="R432" s="134"/>
      <c r="U432" s="128"/>
    </row>
    <row r="433" spans="1:21" ht="18" x14ac:dyDescent="0.3">
      <c r="A433" s="53"/>
      <c r="B433" s="54"/>
      <c r="C433" s="54"/>
      <c r="D433" s="54"/>
      <c r="E433" s="55"/>
      <c r="F433" s="75"/>
      <c r="G433" s="76"/>
      <c r="H433" s="76"/>
      <c r="I433" s="48"/>
      <c r="J433" s="70"/>
      <c r="K433" s="70"/>
      <c r="L433" s="245" t="s">
        <v>1512</v>
      </c>
      <c r="M433" s="246" t="s">
        <v>1593</v>
      </c>
      <c r="N433" s="245" t="s">
        <v>34</v>
      </c>
      <c r="O433" s="247">
        <v>1</v>
      </c>
      <c r="P433" s="248">
        <v>7.5</v>
      </c>
      <c r="Q433" s="248">
        <v>7.5</v>
      </c>
      <c r="R433" s="134"/>
      <c r="U433" s="128"/>
    </row>
    <row r="434" spans="1:21" ht="18" x14ac:dyDescent="0.3">
      <c r="A434" s="53"/>
      <c r="B434" s="54"/>
      <c r="C434" s="54"/>
      <c r="D434" s="54"/>
      <c r="E434" s="55"/>
      <c r="F434" s="75"/>
      <c r="G434" s="76"/>
      <c r="H434" s="76"/>
      <c r="I434" s="48"/>
      <c r="J434" s="70"/>
      <c r="K434" s="70"/>
      <c r="L434" s="245" t="s">
        <v>1513</v>
      </c>
      <c r="M434" s="246" t="s">
        <v>1594</v>
      </c>
      <c r="N434" s="245" t="s">
        <v>34</v>
      </c>
      <c r="O434" s="247">
        <v>1</v>
      </c>
      <c r="P434" s="248">
        <v>400</v>
      </c>
      <c r="Q434" s="248">
        <v>400</v>
      </c>
      <c r="R434" s="134"/>
      <c r="U434" s="128"/>
    </row>
    <row r="435" spans="1:21" ht="18" x14ac:dyDescent="0.3">
      <c r="A435" s="53"/>
      <c r="B435" s="54"/>
      <c r="C435" s="54"/>
      <c r="D435" s="54"/>
      <c r="E435" s="55"/>
      <c r="F435" s="75"/>
      <c r="G435" s="76"/>
      <c r="H435" s="76"/>
      <c r="I435" s="48"/>
      <c r="J435" s="70"/>
      <c r="K435" s="70"/>
      <c r="L435" s="245" t="s">
        <v>1514</v>
      </c>
      <c r="M435" s="246" t="s">
        <v>1595</v>
      </c>
      <c r="N435" s="245" t="s">
        <v>34</v>
      </c>
      <c r="O435" s="247">
        <v>5</v>
      </c>
      <c r="P435" s="248">
        <v>32.53</v>
      </c>
      <c r="Q435" s="248">
        <v>162.66999999999999</v>
      </c>
      <c r="R435" s="134"/>
      <c r="U435" s="128"/>
    </row>
    <row r="436" spans="1:21" ht="18" x14ac:dyDescent="0.3">
      <c r="A436" s="53"/>
      <c r="B436" s="54"/>
      <c r="C436" s="54"/>
      <c r="D436" s="54"/>
      <c r="E436" s="55"/>
      <c r="F436" s="75"/>
      <c r="G436" s="76"/>
      <c r="H436" s="76"/>
      <c r="I436" s="48"/>
      <c r="J436" s="70"/>
      <c r="K436" s="70"/>
      <c r="L436" s="245" t="s">
        <v>1516</v>
      </c>
      <c r="M436" s="246" t="s">
        <v>1597</v>
      </c>
      <c r="N436" s="245" t="s">
        <v>34</v>
      </c>
      <c r="O436" s="247">
        <v>1</v>
      </c>
      <c r="P436" s="248">
        <v>84</v>
      </c>
      <c r="Q436" s="248">
        <v>84</v>
      </c>
      <c r="R436" s="134"/>
      <c r="U436" s="128"/>
    </row>
    <row r="437" spans="1:21" ht="18" x14ac:dyDescent="0.3">
      <c r="A437" s="53"/>
      <c r="B437" s="54"/>
      <c r="C437" s="54"/>
      <c r="D437" s="54"/>
      <c r="E437" s="55"/>
      <c r="F437" s="75"/>
      <c r="G437" s="76"/>
      <c r="H437" s="76"/>
      <c r="I437" s="48"/>
      <c r="J437" s="70"/>
      <c r="K437" s="70"/>
      <c r="L437" s="245" t="s">
        <v>703</v>
      </c>
      <c r="M437" s="246" t="s">
        <v>704</v>
      </c>
      <c r="N437" s="245" t="s">
        <v>34</v>
      </c>
      <c r="O437" s="247">
        <v>1</v>
      </c>
      <c r="P437" s="248">
        <v>89.5</v>
      </c>
      <c r="Q437" s="248">
        <v>89.5</v>
      </c>
      <c r="R437" s="134"/>
      <c r="U437" s="128"/>
    </row>
    <row r="438" spans="1:21" ht="18" x14ac:dyDescent="0.3">
      <c r="A438" s="53"/>
      <c r="B438" s="54"/>
      <c r="C438" s="54"/>
      <c r="D438" s="54"/>
      <c r="E438" s="55"/>
      <c r="F438" s="75"/>
      <c r="G438" s="76"/>
      <c r="H438" s="76"/>
      <c r="I438" s="48"/>
      <c r="J438" s="70"/>
      <c r="K438" s="70"/>
      <c r="L438" s="245" t="s">
        <v>649</v>
      </c>
      <c r="M438" s="246" t="s">
        <v>650</v>
      </c>
      <c r="N438" s="245" t="s">
        <v>34</v>
      </c>
      <c r="O438" s="247">
        <v>3</v>
      </c>
      <c r="P438" s="248">
        <v>23</v>
      </c>
      <c r="Q438" s="248">
        <v>69</v>
      </c>
      <c r="R438" s="134"/>
      <c r="U438" s="128"/>
    </row>
    <row r="439" spans="1:21" ht="18" x14ac:dyDescent="0.3">
      <c r="A439" s="53"/>
      <c r="B439" s="54"/>
      <c r="C439" s="54"/>
      <c r="D439" s="54"/>
      <c r="E439" s="55"/>
      <c r="F439" s="75"/>
      <c r="G439" s="76"/>
      <c r="H439" s="76"/>
      <c r="I439" s="48"/>
      <c r="J439" s="70"/>
      <c r="K439" s="70"/>
      <c r="L439" s="245" t="s">
        <v>648</v>
      </c>
      <c r="M439" s="246" t="s">
        <v>145</v>
      </c>
      <c r="N439" s="245" t="s">
        <v>37</v>
      </c>
      <c r="O439" s="247">
        <v>22</v>
      </c>
      <c r="P439" s="248">
        <v>61.25</v>
      </c>
      <c r="Q439" s="249">
        <v>1347.5</v>
      </c>
      <c r="R439" s="134"/>
      <c r="U439" s="128"/>
    </row>
    <row r="440" spans="1:21" ht="18" x14ac:dyDescent="0.3">
      <c r="A440" s="53"/>
      <c r="B440" s="54"/>
      <c r="C440" s="54"/>
      <c r="D440" s="54"/>
      <c r="E440" s="55"/>
      <c r="F440" s="75"/>
      <c r="G440" s="76"/>
      <c r="H440" s="76"/>
      <c r="I440" s="48"/>
      <c r="J440" s="70"/>
      <c r="K440" s="70"/>
      <c r="L440" s="245" t="s">
        <v>1521</v>
      </c>
      <c r="M440" s="246" t="s">
        <v>1602</v>
      </c>
      <c r="N440" s="245" t="s">
        <v>34</v>
      </c>
      <c r="O440" s="247">
        <v>1</v>
      </c>
      <c r="P440" s="248">
        <v>48.5</v>
      </c>
      <c r="Q440" s="248">
        <v>48.5</v>
      </c>
      <c r="R440" s="134"/>
      <c r="U440" s="128"/>
    </row>
    <row r="441" spans="1:21" ht="18" x14ac:dyDescent="0.3">
      <c r="A441" s="53"/>
      <c r="B441" s="54"/>
      <c r="C441" s="54"/>
      <c r="D441" s="54"/>
      <c r="E441" s="55"/>
      <c r="F441" s="75"/>
      <c r="G441" s="76"/>
      <c r="H441" s="76"/>
      <c r="I441" s="48"/>
      <c r="J441" s="70"/>
      <c r="K441" s="70"/>
      <c r="L441" s="245" t="s">
        <v>607</v>
      </c>
      <c r="M441" s="246" t="s">
        <v>608</v>
      </c>
      <c r="N441" s="245" t="s">
        <v>34</v>
      </c>
      <c r="O441" s="247">
        <v>13</v>
      </c>
      <c r="P441" s="248">
        <v>40.549999999999997</v>
      </c>
      <c r="Q441" s="248">
        <v>527.1</v>
      </c>
      <c r="R441" s="134"/>
      <c r="U441" s="128"/>
    </row>
    <row r="442" spans="1:21" ht="18" x14ac:dyDescent="0.3">
      <c r="A442" s="53"/>
      <c r="B442" s="54"/>
      <c r="C442" s="54"/>
      <c r="D442" s="54"/>
      <c r="E442" s="55"/>
      <c r="F442" s="75"/>
      <c r="G442" s="76"/>
      <c r="H442" s="76"/>
      <c r="I442" s="48"/>
      <c r="J442" s="70"/>
      <c r="K442" s="70"/>
      <c r="L442" s="245" t="s">
        <v>600</v>
      </c>
      <c r="M442" s="246" t="s">
        <v>258</v>
      </c>
      <c r="N442" s="245" t="s">
        <v>34</v>
      </c>
      <c r="O442" s="247">
        <v>2</v>
      </c>
      <c r="P442" s="248">
        <v>149.16999999999999</v>
      </c>
      <c r="Q442" s="248">
        <v>298.33999999999997</v>
      </c>
      <c r="R442" s="134"/>
      <c r="U442" s="128"/>
    </row>
    <row r="443" spans="1:21" ht="18" x14ac:dyDescent="0.3">
      <c r="A443" s="53"/>
      <c r="B443" s="54"/>
      <c r="C443" s="54"/>
      <c r="D443" s="54"/>
      <c r="E443" s="55"/>
      <c r="F443" s="75"/>
      <c r="G443" s="76"/>
      <c r="H443" s="76"/>
      <c r="I443" s="48"/>
      <c r="J443" s="70"/>
      <c r="K443" s="70"/>
      <c r="L443" s="245" t="s">
        <v>586</v>
      </c>
      <c r="M443" s="246" t="s">
        <v>257</v>
      </c>
      <c r="N443" s="245" t="s">
        <v>34</v>
      </c>
      <c r="O443" s="247">
        <v>1</v>
      </c>
      <c r="P443" s="248">
        <v>89</v>
      </c>
      <c r="Q443" s="248">
        <v>89</v>
      </c>
      <c r="R443" s="134"/>
      <c r="U443" s="128"/>
    </row>
    <row r="444" spans="1:21" ht="18" x14ac:dyDescent="0.3">
      <c r="A444" s="15"/>
      <c r="B444" s="20"/>
      <c r="C444" s="6"/>
      <c r="D444" s="44"/>
      <c r="E444" s="44"/>
      <c r="F444" s="75"/>
      <c r="G444" s="76"/>
      <c r="H444" s="76"/>
      <c r="I444" s="49"/>
      <c r="J444" s="49"/>
      <c r="K444" s="49"/>
      <c r="L444" s="245" t="s">
        <v>1523</v>
      </c>
      <c r="M444" s="246" t="s">
        <v>1604</v>
      </c>
      <c r="N444" s="245" t="s">
        <v>34</v>
      </c>
      <c r="O444" s="247">
        <v>1</v>
      </c>
      <c r="P444" s="248">
        <v>108.33</v>
      </c>
      <c r="Q444" s="248">
        <v>108.33</v>
      </c>
      <c r="R444" s="19"/>
      <c r="T444" s="4"/>
      <c r="U444" s="128"/>
    </row>
    <row r="445" spans="1:21" ht="18" x14ac:dyDescent="0.3">
      <c r="A445" s="15"/>
      <c r="B445" s="20"/>
      <c r="C445" s="6"/>
      <c r="D445" s="44"/>
      <c r="E445" s="44"/>
      <c r="F445" s="75"/>
      <c r="G445" s="76"/>
      <c r="H445" s="76"/>
      <c r="I445" s="49"/>
      <c r="J445" s="49"/>
      <c r="K445" s="49"/>
      <c r="L445" s="245" t="s">
        <v>1525</v>
      </c>
      <c r="M445" s="246" t="s">
        <v>1606</v>
      </c>
      <c r="N445" s="245" t="s">
        <v>34</v>
      </c>
      <c r="O445" s="247">
        <v>1</v>
      </c>
      <c r="P445" s="248">
        <v>93.6</v>
      </c>
      <c r="Q445" s="248">
        <v>93.6</v>
      </c>
      <c r="R445" s="19"/>
      <c r="T445" s="4"/>
      <c r="U445" s="128"/>
    </row>
    <row r="446" spans="1:21" ht="18" x14ac:dyDescent="0.3">
      <c r="A446" s="15"/>
      <c r="B446" s="20"/>
      <c r="C446" s="6"/>
      <c r="D446" s="44"/>
      <c r="E446" s="44"/>
      <c r="F446" s="75"/>
      <c r="G446" s="76"/>
      <c r="H446" s="76"/>
      <c r="I446" s="49"/>
      <c r="J446" s="49"/>
      <c r="K446" s="49"/>
      <c r="L446" s="245" t="s">
        <v>1681</v>
      </c>
      <c r="M446" s="246" t="s">
        <v>1699</v>
      </c>
      <c r="N446" s="245" t="s">
        <v>34</v>
      </c>
      <c r="O446" s="247">
        <v>1</v>
      </c>
      <c r="P446" s="248">
        <v>31</v>
      </c>
      <c r="Q446" s="248">
        <v>31</v>
      </c>
      <c r="R446" s="19"/>
      <c r="T446" s="4"/>
      <c r="U446" s="128"/>
    </row>
    <row r="447" spans="1:21" ht="18" x14ac:dyDescent="0.3">
      <c r="A447" s="15"/>
      <c r="B447" s="20"/>
      <c r="C447" s="6"/>
      <c r="D447" s="44"/>
      <c r="E447" s="44"/>
      <c r="F447" s="75"/>
      <c r="G447" s="76"/>
      <c r="H447" s="76"/>
      <c r="I447" s="49"/>
      <c r="J447" s="49"/>
      <c r="K447" s="49"/>
      <c r="L447" s="245" t="s">
        <v>1526</v>
      </c>
      <c r="M447" s="246" t="s">
        <v>1607</v>
      </c>
      <c r="N447" s="245" t="s">
        <v>34</v>
      </c>
      <c r="O447" s="247">
        <v>1</v>
      </c>
      <c r="P447" s="248">
        <v>152.9</v>
      </c>
      <c r="Q447" s="248">
        <v>152.9</v>
      </c>
      <c r="R447" s="19"/>
      <c r="T447" s="4"/>
      <c r="U447" s="128"/>
    </row>
    <row r="448" spans="1:21" ht="18" x14ac:dyDescent="0.3">
      <c r="A448" s="15"/>
      <c r="B448" s="20"/>
      <c r="C448" s="6"/>
      <c r="D448" s="44"/>
      <c r="E448" s="44"/>
      <c r="F448" s="75"/>
      <c r="G448" s="76"/>
      <c r="H448" s="76"/>
      <c r="I448" s="49"/>
      <c r="J448" s="49"/>
      <c r="K448" s="49"/>
      <c r="L448" s="245" t="s">
        <v>1640</v>
      </c>
      <c r="M448" s="246" t="s">
        <v>1666</v>
      </c>
      <c r="N448" s="245" t="s">
        <v>34</v>
      </c>
      <c r="O448" s="247">
        <v>1</v>
      </c>
      <c r="P448" s="248">
        <v>288</v>
      </c>
      <c r="Q448" s="248">
        <v>288</v>
      </c>
      <c r="R448" s="19"/>
      <c r="T448" s="4"/>
      <c r="U448" s="128"/>
    </row>
    <row r="449" spans="1:21" ht="18" x14ac:dyDescent="0.3">
      <c r="A449" s="15"/>
      <c r="B449" s="20"/>
      <c r="C449" s="6"/>
      <c r="D449" s="44"/>
      <c r="E449" s="44"/>
      <c r="F449" s="75"/>
      <c r="G449" s="76"/>
      <c r="H449" s="76"/>
      <c r="I449" s="49"/>
      <c r="J449" s="49"/>
      <c r="K449" s="49"/>
      <c r="L449" s="245" t="s">
        <v>1726</v>
      </c>
      <c r="M449" s="246" t="s">
        <v>1747</v>
      </c>
      <c r="N449" s="245" t="s">
        <v>34</v>
      </c>
      <c r="O449" s="247">
        <v>1</v>
      </c>
      <c r="P449" s="248">
        <v>92</v>
      </c>
      <c r="Q449" s="248">
        <v>92</v>
      </c>
      <c r="R449" s="19"/>
      <c r="T449" s="4"/>
      <c r="U449" s="128"/>
    </row>
    <row r="450" spans="1:21" ht="18" x14ac:dyDescent="0.3">
      <c r="A450" s="15"/>
      <c r="B450" s="20"/>
      <c r="C450" s="6"/>
      <c r="D450" s="44"/>
      <c r="E450" s="44"/>
      <c r="F450" s="75"/>
      <c r="G450" s="76"/>
      <c r="H450" s="76"/>
      <c r="I450" s="49"/>
      <c r="J450" s="49"/>
      <c r="K450" s="49"/>
      <c r="L450" s="245" t="s">
        <v>1527</v>
      </c>
      <c r="M450" s="246" t="s">
        <v>1608</v>
      </c>
      <c r="N450" s="245" t="s">
        <v>34</v>
      </c>
      <c r="O450" s="247">
        <v>12</v>
      </c>
      <c r="P450" s="248">
        <v>61.22</v>
      </c>
      <c r="Q450" s="248">
        <v>734.64</v>
      </c>
      <c r="R450" s="19"/>
      <c r="T450" s="4"/>
      <c r="U450" s="128"/>
    </row>
    <row r="451" spans="1:21" ht="18" x14ac:dyDescent="0.3">
      <c r="A451" s="15"/>
      <c r="B451" s="20"/>
      <c r="C451" s="6"/>
      <c r="D451" s="44"/>
      <c r="E451" s="44"/>
      <c r="F451" s="75"/>
      <c r="G451" s="76"/>
      <c r="H451" s="76"/>
      <c r="I451" s="49"/>
      <c r="J451" s="49"/>
      <c r="K451" s="49"/>
      <c r="L451" s="245" t="s">
        <v>1528</v>
      </c>
      <c r="M451" s="246" t="s">
        <v>1609</v>
      </c>
      <c r="N451" s="245" t="s">
        <v>34</v>
      </c>
      <c r="O451" s="247">
        <v>1</v>
      </c>
      <c r="P451" s="248">
        <v>59</v>
      </c>
      <c r="Q451" s="248">
        <v>59</v>
      </c>
      <c r="R451" s="19"/>
      <c r="T451" s="4"/>
      <c r="U451" s="128"/>
    </row>
    <row r="452" spans="1:21" ht="18" x14ac:dyDescent="0.3">
      <c r="A452" s="15"/>
      <c r="B452" s="20"/>
      <c r="C452" s="6"/>
      <c r="D452" s="44"/>
      <c r="E452" s="44"/>
      <c r="F452" s="75"/>
      <c r="G452" s="76"/>
      <c r="H452" s="76"/>
      <c r="I452" s="49"/>
      <c r="J452" s="49"/>
      <c r="K452" s="49"/>
      <c r="L452" s="245" t="s">
        <v>1529</v>
      </c>
      <c r="M452" s="246" t="s">
        <v>410</v>
      </c>
      <c r="N452" s="245" t="s">
        <v>34</v>
      </c>
      <c r="O452" s="247">
        <v>9</v>
      </c>
      <c r="P452" s="248">
        <v>226.32</v>
      </c>
      <c r="Q452" s="249">
        <v>2036.92</v>
      </c>
      <c r="R452" s="19"/>
      <c r="T452" s="4"/>
      <c r="U452" s="128"/>
    </row>
    <row r="453" spans="1:21" ht="18" x14ac:dyDescent="0.3">
      <c r="A453" s="15"/>
      <c r="B453" s="20"/>
      <c r="C453" s="6"/>
      <c r="D453" s="44"/>
      <c r="E453" s="44"/>
      <c r="F453" s="75"/>
      <c r="G453" s="76"/>
      <c r="H453" s="76"/>
      <c r="I453" s="49"/>
      <c r="J453" s="49"/>
      <c r="K453" s="49"/>
      <c r="L453" s="245" t="s">
        <v>1727</v>
      </c>
      <c r="M453" s="246" t="s">
        <v>1748</v>
      </c>
      <c r="N453" s="245" t="s">
        <v>34</v>
      </c>
      <c r="O453" s="247">
        <v>1</v>
      </c>
      <c r="P453" s="248">
        <v>342</v>
      </c>
      <c r="Q453" s="248">
        <v>342</v>
      </c>
      <c r="R453" s="19"/>
      <c r="T453" s="4"/>
      <c r="U453" s="128"/>
    </row>
    <row r="454" spans="1:21" ht="18" x14ac:dyDescent="0.3">
      <c r="A454" s="15"/>
      <c r="B454" s="20"/>
      <c r="C454" s="6"/>
      <c r="D454" s="44"/>
      <c r="E454" s="44"/>
      <c r="F454" s="75"/>
      <c r="G454" s="76"/>
      <c r="H454" s="76"/>
      <c r="I454" s="49"/>
      <c r="J454" s="49"/>
      <c r="K454" s="49"/>
      <c r="L454" s="245" t="s">
        <v>1684</v>
      </c>
      <c r="M454" s="246" t="s">
        <v>1702</v>
      </c>
      <c r="N454" s="245" t="s">
        <v>34</v>
      </c>
      <c r="O454" s="247">
        <v>1</v>
      </c>
      <c r="P454" s="248">
        <v>265.8</v>
      </c>
      <c r="Q454" s="248">
        <v>265.8</v>
      </c>
      <c r="R454" s="19"/>
      <c r="T454" s="4"/>
      <c r="U454" s="128"/>
    </row>
    <row r="455" spans="1:21" ht="18" x14ac:dyDescent="0.3">
      <c r="A455" s="15"/>
      <c r="B455" s="20"/>
      <c r="C455" s="6"/>
      <c r="D455" s="44"/>
      <c r="E455" s="44"/>
      <c r="F455" s="75"/>
      <c r="G455" s="76"/>
      <c r="H455" s="76"/>
      <c r="I455" s="49"/>
      <c r="J455" s="49"/>
      <c r="K455" s="49"/>
      <c r="L455" s="245" t="s">
        <v>1531</v>
      </c>
      <c r="M455" s="246" t="s">
        <v>1611</v>
      </c>
      <c r="N455" s="245" t="s">
        <v>34</v>
      </c>
      <c r="O455" s="247">
        <v>2</v>
      </c>
      <c r="P455" s="248">
        <v>56.62</v>
      </c>
      <c r="Q455" s="248">
        <v>113.23</v>
      </c>
      <c r="R455" s="19"/>
      <c r="T455" s="4"/>
      <c r="U455" s="128"/>
    </row>
    <row r="456" spans="1:21" ht="18" x14ac:dyDescent="0.3">
      <c r="A456" s="15"/>
      <c r="B456" s="20"/>
      <c r="C456" s="6"/>
      <c r="D456" s="44"/>
      <c r="E456" s="44"/>
      <c r="F456" s="75"/>
      <c r="G456" s="76"/>
      <c r="H456" s="76"/>
      <c r="I456" s="49"/>
      <c r="J456" s="49"/>
      <c r="K456" s="49"/>
      <c r="L456" s="245" t="s">
        <v>1641</v>
      </c>
      <c r="M456" s="246" t="s">
        <v>1667</v>
      </c>
      <c r="N456" s="245" t="s">
        <v>64</v>
      </c>
      <c r="O456" s="247">
        <v>1</v>
      </c>
      <c r="P456" s="248">
        <v>24</v>
      </c>
      <c r="Q456" s="248">
        <v>24</v>
      </c>
      <c r="R456" s="19"/>
      <c r="T456" s="4"/>
      <c r="U456" s="128"/>
    </row>
    <row r="457" spans="1:21" ht="18" x14ac:dyDescent="0.3">
      <c r="A457" s="15"/>
      <c r="B457" s="20"/>
      <c r="C457" s="6"/>
      <c r="D457" s="44"/>
      <c r="E457" s="44"/>
      <c r="F457" s="75"/>
      <c r="G457" s="76"/>
      <c r="H457" s="76"/>
      <c r="I457" s="49"/>
      <c r="J457" s="49"/>
      <c r="K457" s="49"/>
      <c r="L457" s="245" t="s">
        <v>674</v>
      </c>
      <c r="M457" s="246" t="s">
        <v>675</v>
      </c>
      <c r="N457" s="245" t="s">
        <v>34</v>
      </c>
      <c r="O457" s="247">
        <v>1</v>
      </c>
      <c r="P457" s="248">
        <v>28.08</v>
      </c>
      <c r="Q457" s="248">
        <v>28.08</v>
      </c>
      <c r="R457" s="19"/>
      <c r="T457" s="4"/>
      <c r="U457" s="128"/>
    </row>
    <row r="458" spans="1:21" ht="18" x14ac:dyDescent="0.3">
      <c r="A458" s="15"/>
      <c r="B458" s="20"/>
      <c r="C458" s="6"/>
      <c r="D458" s="44"/>
      <c r="E458" s="44"/>
      <c r="F458" s="75"/>
      <c r="G458" s="76"/>
      <c r="H458" s="76"/>
      <c r="I458" s="49"/>
      <c r="J458" s="49"/>
      <c r="K458" s="49"/>
      <c r="L458" s="245" t="s">
        <v>1532</v>
      </c>
      <c r="M458" s="246" t="s">
        <v>1612</v>
      </c>
      <c r="N458" s="245" t="s">
        <v>64</v>
      </c>
      <c r="O458" s="247">
        <v>1</v>
      </c>
      <c r="P458" s="248">
        <v>288.8</v>
      </c>
      <c r="Q458" s="248">
        <v>288.8</v>
      </c>
      <c r="R458" s="19"/>
      <c r="T458" s="4"/>
      <c r="U458" s="128"/>
    </row>
    <row r="459" spans="1:21" ht="18" x14ac:dyDescent="0.3">
      <c r="A459" s="15"/>
      <c r="B459" s="20"/>
      <c r="C459" s="6"/>
      <c r="D459" s="44"/>
      <c r="E459" s="44"/>
      <c r="F459" s="75"/>
      <c r="G459" s="76"/>
      <c r="H459" s="76"/>
      <c r="I459" s="49"/>
      <c r="J459" s="49"/>
      <c r="K459" s="49"/>
      <c r="L459" s="245" t="s">
        <v>1642</v>
      </c>
      <c r="M459" s="246" t="s">
        <v>1668</v>
      </c>
      <c r="N459" s="245" t="s">
        <v>34</v>
      </c>
      <c r="O459" s="247">
        <v>1</v>
      </c>
      <c r="P459" s="248">
        <v>104.2</v>
      </c>
      <c r="Q459" s="248">
        <v>104.2</v>
      </c>
      <c r="R459" s="19"/>
      <c r="T459" s="4"/>
      <c r="U459" s="128"/>
    </row>
    <row r="460" spans="1:21" ht="18" x14ac:dyDescent="0.3">
      <c r="A460" s="15"/>
      <c r="B460" s="20"/>
      <c r="C460" s="6"/>
      <c r="D460" s="44"/>
      <c r="E460" s="44"/>
      <c r="F460" s="75"/>
      <c r="G460" s="76"/>
      <c r="H460" s="76"/>
      <c r="I460" s="49"/>
      <c r="J460" s="49"/>
      <c r="K460" s="49"/>
      <c r="L460" s="245" t="s">
        <v>1643</v>
      </c>
      <c r="M460" s="246" t="s">
        <v>1669</v>
      </c>
      <c r="N460" s="245" t="s">
        <v>34</v>
      </c>
      <c r="O460" s="247">
        <v>1</v>
      </c>
      <c r="P460" s="248">
        <v>197.5</v>
      </c>
      <c r="Q460" s="248">
        <v>197.5</v>
      </c>
      <c r="R460" s="19"/>
      <c r="T460" s="4"/>
      <c r="U460" s="128"/>
    </row>
    <row r="461" spans="1:21" ht="18.600000000000001" thickBot="1" x14ac:dyDescent="0.35">
      <c r="A461" s="15"/>
      <c r="B461" s="20"/>
      <c r="C461" s="6"/>
      <c r="D461" s="44"/>
      <c r="E461" s="44"/>
      <c r="F461" s="75"/>
      <c r="G461" s="76"/>
      <c r="H461" s="76"/>
      <c r="I461" s="49"/>
      <c r="J461" s="49"/>
      <c r="K461" s="49"/>
      <c r="L461" s="267" t="s">
        <v>1843</v>
      </c>
      <c r="M461" s="268" t="s">
        <v>1844</v>
      </c>
      <c r="N461" s="267" t="s">
        <v>1845</v>
      </c>
      <c r="O461" s="269">
        <v>0.2</v>
      </c>
      <c r="P461" s="270">
        <v>1042.5</v>
      </c>
      <c r="Q461" s="271">
        <v>208.5</v>
      </c>
      <c r="R461" s="19"/>
      <c r="T461" s="4"/>
      <c r="U461" s="128"/>
    </row>
    <row r="462" spans="1:21" ht="21.6" thickBot="1" x14ac:dyDescent="0.35">
      <c r="A462" s="28"/>
      <c r="B462" s="29" t="s">
        <v>29</v>
      </c>
      <c r="C462" s="30"/>
      <c r="D462" s="31">
        <f>SUM(D444:D461)</f>
        <v>0</v>
      </c>
      <c r="E462" s="31"/>
      <c r="F462" s="71"/>
      <c r="G462" s="71"/>
      <c r="H462" s="71"/>
      <c r="I462" s="71"/>
      <c r="J462" s="71"/>
      <c r="K462" s="71"/>
      <c r="L462" s="120"/>
      <c r="M462" s="121"/>
      <c r="N462" s="121"/>
      <c r="O462" s="34"/>
      <c r="P462" s="34"/>
      <c r="Q462" s="34">
        <f>SUM(Q341:Q461)</f>
        <v>35725.659999999996</v>
      </c>
      <c r="R462" s="35"/>
    </row>
    <row r="463" spans="1:21" ht="21.6" thickBot="1" x14ac:dyDescent="0.35">
      <c r="A463" s="36"/>
      <c r="B463" s="37" t="s">
        <v>30</v>
      </c>
      <c r="C463" s="38"/>
      <c r="D463" s="39" t="e">
        <f>#REF!+D462</f>
        <v>#REF!</v>
      </c>
      <c r="E463" s="39"/>
      <c r="F463" s="73"/>
      <c r="G463" s="73"/>
      <c r="H463" s="73"/>
      <c r="I463" s="73"/>
      <c r="J463" s="73"/>
      <c r="K463" s="73"/>
      <c r="L463" s="122"/>
      <c r="M463" s="123"/>
      <c r="N463" s="123"/>
      <c r="O463" s="42"/>
      <c r="P463" s="42"/>
      <c r="Q463" s="42">
        <f>Q462+Q340</f>
        <v>597505.17999999993</v>
      </c>
      <c r="R463" s="43"/>
    </row>
    <row r="464" spans="1:21" ht="25.2" customHeight="1" x14ac:dyDescent="0.4">
      <c r="A464" s="288" t="s">
        <v>12</v>
      </c>
      <c r="B464" s="288"/>
      <c r="C464" s="288"/>
      <c r="D464" s="288"/>
      <c r="E464" s="288"/>
      <c r="F464" s="288"/>
      <c r="G464" s="288"/>
      <c r="H464" s="288"/>
      <c r="I464" s="288"/>
      <c r="J464" s="288"/>
      <c r="K464" s="288"/>
      <c r="L464" s="288"/>
      <c r="M464" s="288"/>
      <c r="N464" s="288"/>
      <c r="O464" s="124"/>
      <c r="P464" s="137"/>
      <c r="Q464" s="137"/>
      <c r="R464" s="5"/>
    </row>
    <row r="465" spans="1:18" ht="25.2" customHeight="1" x14ac:dyDescent="0.4">
      <c r="A465" s="288" t="s">
        <v>13</v>
      </c>
      <c r="B465" s="288"/>
      <c r="C465" s="288"/>
      <c r="D465" s="288"/>
      <c r="E465" s="288"/>
      <c r="F465" s="288"/>
      <c r="G465" s="288"/>
      <c r="H465" s="288"/>
      <c r="I465" s="288"/>
      <c r="J465" s="288"/>
      <c r="K465" s="288"/>
      <c r="L465" s="288"/>
      <c r="M465" s="288"/>
      <c r="N465" s="288"/>
      <c r="O465" s="124"/>
      <c r="P465" s="137"/>
      <c r="Q465" s="137"/>
      <c r="R465" s="5"/>
    </row>
    <row r="466" spans="1:18" ht="25.2" customHeight="1" x14ac:dyDescent="0.4">
      <c r="A466" s="290" t="s">
        <v>14</v>
      </c>
      <c r="B466" s="290"/>
      <c r="C466" s="290"/>
      <c r="D466" s="290"/>
      <c r="E466" s="290"/>
      <c r="F466" s="290"/>
      <c r="G466" s="290"/>
      <c r="H466" s="290"/>
      <c r="I466" s="290"/>
      <c r="J466" s="290"/>
      <c r="K466" s="290"/>
      <c r="L466" s="290"/>
      <c r="M466" s="290"/>
      <c r="N466" s="290"/>
      <c r="O466" s="125"/>
      <c r="P466" s="138"/>
      <c r="Q466" s="138"/>
      <c r="R466" s="5"/>
    </row>
    <row r="467" spans="1:18" ht="25.2" customHeight="1" x14ac:dyDescent="0.4">
      <c r="A467" s="288" t="s">
        <v>15</v>
      </c>
      <c r="B467" s="288"/>
      <c r="C467" s="288"/>
      <c r="D467" s="288"/>
      <c r="E467" s="288"/>
      <c r="F467" s="288"/>
      <c r="G467" s="288"/>
      <c r="H467" s="288"/>
      <c r="I467" s="288"/>
      <c r="J467" s="288"/>
      <c r="K467" s="288"/>
      <c r="L467" s="288"/>
      <c r="M467" s="288"/>
      <c r="N467" s="288"/>
      <c r="O467" s="124"/>
      <c r="P467" s="137"/>
      <c r="Q467" s="137"/>
      <c r="R467" s="5"/>
    </row>
    <row r="468" spans="1:18" ht="25.2" customHeight="1" x14ac:dyDescent="0.4">
      <c r="A468" s="288" t="s">
        <v>16</v>
      </c>
      <c r="B468" s="288"/>
      <c r="C468" s="288"/>
      <c r="D468" s="288"/>
      <c r="E468" s="288"/>
      <c r="F468" s="288"/>
      <c r="G468" s="288"/>
      <c r="H468" s="288"/>
      <c r="I468" s="288"/>
      <c r="J468" s="288"/>
      <c r="K468" s="288"/>
      <c r="L468" s="288"/>
      <c r="M468" s="288"/>
      <c r="N468" s="288"/>
      <c r="O468" s="124"/>
      <c r="P468" s="137"/>
      <c r="Q468" s="137"/>
      <c r="R468" s="5"/>
    </row>
    <row r="469" spans="1:18" ht="25.2" customHeight="1" x14ac:dyDescent="0.4">
      <c r="A469" s="288" t="s">
        <v>17</v>
      </c>
      <c r="B469" s="288"/>
      <c r="C469" s="288"/>
      <c r="D469" s="288"/>
      <c r="E469" s="288"/>
      <c r="F469" s="288"/>
      <c r="G469" s="288"/>
      <c r="H469" s="288"/>
      <c r="I469" s="288"/>
      <c r="J469" s="288"/>
      <c r="K469" s="288"/>
      <c r="L469" s="288"/>
      <c r="M469" s="288"/>
      <c r="N469" s="288"/>
      <c r="O469" s="124"/>
      <c r="P469" s="137"/>
      <c r="Q469" s="137"/>
      <c r="R469" s="5"/>
    </row>
    <row r="470" spans="1:18" ht="25.2" customHeight="1" x14ac:dyDescent="0.4">
      <c r="A470" s="288" t="s">
        <v>1852</v>
      </c>
      <c r="B470" s="288"/>
      <c r="C470" s="288"/>
      <c r="D470" s="288"/>
      <c r="E470" s="288"/>
      <c r="F470" s="288"/>
      <c r="G470" s="288"/>
      <c r="H470" s="288"/>
      <c r="I470" s="288"/>
      <c r="J470" s="288"/>
      <c r="K470" s="288"/>
      <c r="L470" s="288"/>
      <c r="M470" s="288"/>
      <c r="N470" s="288"/>
      <c r="O470" s="124"/>
      <c r="P470" s="137"/>
      <c r="Q470" s="137"/>
      <c r="R470" s="5"/>
    </row>
    <row r="471" spans="1:18" ht="25.2" customHeight="1" x14ac:dyDescent="0.4">
      <c r="A471" s="288" t="s">
        <v>17</v>
      </c>
      <c r="B471" s="288"/>
      <c r="C471" s="288"/>
      <c r="D471" s="288"/>
      <c r="E471" s="288"/>
      <c r="F471" s="288"/>
      <c r="G471" s="288"/>
      <c r="H471" s="288"/>
      <c r="I471" s="288"/>
      <c r="J471" s="288"/>
      <c r="K471" s="288"/>
      <c r="L471" s="288"/>
      <c r="M471" s="288"/>
      <c r="N471" s="288"/>
      <c r="O471" s="124"/>
      <c r="P471" s="137"/>
      <c r="Q471" s="137"/>
      <c r="R471" s="5"/>
    </row>
    <row r="472" spans="1:18" ht="25.2" customHeight="1" x14ac:dyDescent="0.4">
      <c r="A472" s="288" t="s">
        <v>19</v>
      </c>
      <c r="B472" s="288"/>
      <c r="C472" s="288"/>
      <c r="D472" s="288"/>
      <c r="E472" s="288"/>
      <c r="F472" s="288"/>
      <c r="G472" s="288"/>
      <c r="H472" s="288"/>
      <c r="I472" s="288"/>
      <c r="J472" s="288"/>
      <c r="K472" s="288"/>
      <c r="L472" s="288"/>
      <c r="M472" s="288"/>
      <c r="N472" s="288"/>
      <c r="O472" s="124"/>
      <c r="P472" s="137"/>
      <c r="Q472" s="137"/>
      <c r="R472" s="5"/>
    </row>
    <row r="473" spans="1:18" ht="25.2" customHeight="1" x14ac:dyDescent="0.4">
      <c r="A473" s="288" t="s">
        <v>11</v>
      </c>
      <c r="B473" s="288"/>
      <c r="C473" s="288"/>
      <c r="D473" s="288"/>
      <c r="E473" s="288"/>
      <c r="F473" s="288"/>
      <c r="G473" s="288"/>
      <c r="H473" s="288"/>
      <c r="I473" s="288"/>
      <c r="J473" s="288"/>
      <c r="K473" s="288"/>
      <c r="L473" s="288"/>
      <c r="M473" s="288"/>
      <c r="N473" s="288"/>
      <c r="O473" s="124"/>
      <c r="P473" s="137"/>
      <c r="Q473" s="137"/>
      <c r="R473" s="5"/>
    </row>
    <row r="474" spans="1:18" ht="25.2" customHeight="1" x14ac:dyDescent="0.4">
      <c r="A474" s="288" t="s">
        <v>1856</v>
      </c>
      <c r="B474" s="288"/>
      <c r="C474" s="288"/>
      <c r="D474" s="288"/>
      <c r="E474" s="288"/>
      <c r="F474" s="288"/>
      <c r="G474" s="288"/>
      <c r="H474" s="288"/>
      <c r="I474" s="288"/>
      <c r="J474" s="288"/>
      <c r="K474" s="288"/>
      <c r="L474" s="288"/>
      <c r="M474" s="288"/>
      <c r="N474" s="288"/>
      <c r="O474" s="124"/>
      <c r="P474" s="137"/>
      <c r="Q474" s="137"/>
      <c r="R474" s="5"/>
    </row>
    <row r="475" spans="1:18" ht="25.2" customHeight="1" x14ac:dyDescent="0.4">
      <c r="A475" s="289" t="s">
        <v>31</v>
      </c>
      <c r="B475" s="289"/>
      <c r="C475" s="289"/>
      <c r="D475" s="289"/>
      <c r="E475" s="289"/>
      <c r="F475" s="289"/>
      <c r="G475" s="289"/>
      <c r="H475" s="289"/>
      <c r="I475" s="289"/>
      <c r="J475" s="289"/>
      <c r="K475" s="289"/>
      <c r="L475" s="289"/>
      <c r="M475" s="289"/>
      <c r="N475" s="289"/>
      <c r="O475" s="126"/>
      <c r="P475" s="139"/>
      <c r="Q475" s="139"/>
      <c r="R475" s="5"/>
    </row>
    <row r="476" spans="1:18" ht="36" customHeight="1" x14ac:dyDescent="0.3"/>
  </sheetData>
  <autoFilter ref="A18:U475" xr:uid="{DE685D05-9FEE-404B-AA01-BE2D5B544193}"/>
  <mergeCells count="36">
    <mergeCell ref="A464:N464"/>
    <mergeCell ref="A465:N465"/>
    <mergeCell ref="A466:N466"/>
    <mergeCell ref="A474:N474"/>
    <mergeCell ref="A467:N467"/>
    <mergeCell ref="A475:N475"/>
    <mergeCell ref="A468:N468"/>
    <mergeCell ref="A469:N469"/>
    <mergeCell ref="A470:N470"/>
    <mergeCell ref="A471:N471"/>
    <mergeCell ref="A472:N472"/>
    <mergeCell ref="A473:N473"/>
    <mergeCell ref="A13:R13"/>
    <mergeCell ref="A14:Q14"/>
    <mergeCell ref="A15:K15"/>
    <mergeCell ref="L15:R15"/>
    <mergeCell ref="C16:C17"/>
    <mergeCell ref="D16:D17"/>
    <mergeCell ref="E16:E17"/>
    <mergeCell ref="M16:Q16"/>
    <mergeCell ref="A16:A17"/>
    <mergeCell ref="B16:B17"/>
    <mergeCell ref="A11:R11"/>
    <mergeCell ref="M1:R2"/>
    <mergeCell ref="M4:R4"/>
    <mergeCell ref="M5:R5"/>
    <mergeCell ref="M7:R7"/>
    <mergeCell ref="A10:R10"/>
    <mergeCell ref="R16:R17"/>
    <mergeCell ref="F16:F17"/>
    <mergeCell ref="G16:G17"/>
    <mergeCell ref="H16:H17"/>
    <mergeCell ref="I16:I17"/>
    <mergeCell ref="J16:J17"/>
    <mergeCell ref="K16:K17"/>
    <mergeCell ref="A12:R12"/>
  </mergeCells>
  <pageMargins left="0.25" right="0.25" top="0.75" bottom="0.75" header="0.3" footer="0.3"/>
  <pageSetup paperSize="9" scale="36" fitToHeight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5126-0E69-4B46-8136-4870D5AE3879}">
  <sheetPr>
    <tabColor rgb="FFFFFF00"/>
    <pageSetUpPr fitToPage="1"/>
  </sheetPr>
  <dimension ref="A1:U497"/>
  <sheetViews>
    <sheetView topLeftCell="A485" zoomScale="73" zoomScaleNormal="73" workbookViewId="0">
      <selection activeCell="A495" sqref="A495:N495"/>
    </sheetView>
  </sheetViews>
  <sheetFormatPr defaultRowHeight="14.4" x14ac:dyDescent="0.3"/>
  <cols>
    <col min="1" max="1" width="6.6640625" style="140" customWidth="1"/>
    <col min="2" max="2" width="63.109375" customWidth="1"/>
    <col min="3" max="3" width="10.44140625" style="140" customWidth="1"/>
    <col min="4" max="4" width="11.109375" style="140" customWidth="1"/>
    <col min="5" max="5" width="13.109375" style="140" customWidth="1"/>
    <col min="6" max="6" width="20.109375" style="140" customWidth="1"/>
    <col min="7" max="11" width="13.109375" style="140" customWidth="1"/>
    <col min="12" max="12" width="17.33203125" style="4" customWidth="1"/>
    <col min="13" max="13" width="61" style="4" customWidth="1"/>
    <col min="14" max="15" width="11.6640625" style="4" customWidth="1"/>
    <col min="16" max="16" width="19.77734375" style="4" customWidth="1"/>
    <col min="17" max="17" width="15.44140625" style="4" bestFit="1" customWidth="1"/>
    <col min="18" max="18" width="35.44140625" customWidth="1"/>
    <col min="19" max="19" width="12.109375" bestFit="1" customWidth="1"/>
    <col min="21" max="21" width="9.88671875" bestFit="1" customWidth="1"/>
  </cols>
  <sheetData>
    <row r="1" spans="1:20" ht="15.75" customHeight="1" x14ac:dyDescent="0.3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06" t="s">
        <v>26</v>
      </c>
      <c r="N1" s="306"/>
      <c r="O1" s="306"/>
      <c r="P1" s="306"/>
      <c r="Q1" s="306"/>
      <c r="R1" s="306"/>
      <c r="S1" s="13"/>
      <c r="T1" s="13"/>
    </row>
    <row r="2" spans="1:20" ht="15" customHeight="1" x14ac:dyDescent="0.3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07"/>
      <c r="N2" s="307"/>
      <c r="O2" s="307"/>
      <c r="P2" s="307"/>
      <c r="Q2" s="307"/>
      <c r="R2" s="307"/>
      <c r="S2" s="13"/>
      <c r="T2" s="13"/>
    </row>
    <row r="3" spans="1:20" ht="15.6" x14ac:dyDescent="0.3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19"/>
      <c r="N3" s="119"/>
      <c r="O3" s="119"/>
      <c r="P3" s="136"/>
      <c r="Q3" s="136"/>
      <c r="R3" s="136"/>
      <c r="S3" s="13"/>
      <c r="T3" s="13"/>
    </row>
    <row r="4" spans="1:20" ht="23.4" x14ac:dyDescent="0.4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08" t="s">
        <v>27</v>
      </c>
      <c r="N4" s="308"/>
      <c r="O4" s="308"/>
      <c r="P4" s="308"/>
      <c r="Q4" s="308"/>
      <c r="R4" s="308"/>
      <c r="S4" s="13"/>
      <c r="T4" s="13"/>
    </row>
    <row r="5" spans="1:20" ht="21" x14ac:dyDescent="0.4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09" t="s">
        <v>28</v>
      </c>
      <c r="N5" s="309"/>
      <c r="O5" s="309"/>
      <c r="P5" s="309"/>
      <c r="Q5" s="309"/>
      <c r="R5" s="309"/>
      <c r="S5" s="13"/>
      <c r="T5" s="13"/>
    </row>
    <row r="6" spans="1:20" ht="15.6" x14ac:dyDescent="0.3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9"/>
      <c r="O6" s="9"/>
      <c r="P6" s="10"/>
      <c r="Q6" s="11"/>
      <c r="R6" s="12"/>
      <c r="S6" s="13"/>
      <c r="T6" s="13"/>
    </row>
    <row r="7" spans="1:20" ht="18" x14ac:dyDescent="0.35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10" t="s">
        <v>33</v>
      </c>
      <c r="N7" s="310"/>
      <c r="O7" s="310"/>
      <c r="P7" s="310"/>
      <c r="Q7" s="310"/>
      <c r="R7" s="310"/>
      <c r="S7" s="13"/>
      <c r="T7" s="13"/>
    </row>
    <row r="8" spans="1:20" ht="15.6" x14ac:dyDescent="0.3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S8" s="13"/>
      <c r="T8" s="13"/>
    </row>
    <row r="9" spans="1:20" ht="15.6" x14ac:dyDescent="0.3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S9" s="13"/>
      <c r="T9" s="13"/>
    </row>
    <row r="10" spans="1:20" ht="18" customHeight="1" x14ac:dyDescent="0.3">
      <c r="A10" s="305" t="s">
        <v>0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13"/>
      <c r="T10" s="13"/>
    </row>
    <row r="11" spans="1:20" ht="18" customHeight="1" x14ac:dyDescent="0.3">
      <c r="A11" s="305" t="s">
        <v>1</v>
      </c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13"/>
      <c r="T11" s="13"/>
    </row>
    <row r="12" spans="1:20" ht="18" customHeight="1" x14ac:dyDescent="0.3">
      <c r="A12" s="305" t="s">
        <v>2</v>
      </c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13"/>
      <c r="T12" s="13"/>
    </row>
    <row r="13" spans="1:20" ht="63.6" customHeight="1" x14ac:dyDescent="0.3">
      <c r="A13" s="311" t="s">
        <v>1281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</row>
    <row r="14" spans="1:20" ht="27" customHeight="1" thickBot="1" x14ac:dyDescent="0.35">
      <c r="A14" s="313" t="s">
        <v>36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  <c r="Q14" s="313"/>
    </row>
    <row r="15" spans="1:20" ht="30.6" customHeight="1" thickBot="1" x14ac:dyDescent="0.35">
      <c r="A15" s="314" t="s">
        <v>24</v>
      </c>
      <c r="B15" s="315"/>
      <c r="C15" s="315"/>
      <c r="D15" s="315"/>
      <c r="E15" s="315"/>
      <c r="F15" s="315"/>
      <c r="G15" s="315"/>
      <c r="H15" s="315"/>
      <c r="I15" s="315"/>
      <c r="J15" s="315"/>
      <c r="K15" s="315"/>
      <c r="L15" s="316" t="s">
        <v>25</v>
      </c>
      <c r="M15" s="317"/>
      <c r="N15" s="317"/>
      <c r="O15" s="317"/>
      <c r="P15" s="317"/>
      <c r="Q15" s="317"/>
      <c r="R15" s="318"/>
    </row>
    <row r="16" spans="1:20" ht="15" customHeight="1" x14ac:dyDescent="0.3">
      <c r="A16" s="298" t="s">
        <v>3</v>
      </c>
      <c r="B16" s="300" t="s">
        <v>4</v>
      </c>
      <c r="C16" s="300"/>
      <c r="D16" s="293" t="s">
        <v>5</v>
      </c>
      <c r="E16" s="300" t="s">
        <v>6</v>
      </c>
      <c r="F16" s="291"/>
      <c r="G16" s="293"/>
      <c r="H16" s="293"/>
      <c r="I16" s="294"/>
      <c r="J16" s="293" t="s">
        <v>21</v>
      </c>
      <c r="K16" s="296" t="s">
        <v>22</v>
      </c>
      <c r="L16" s="16"/>
      <c r="M16" s="302" t="s">
        <v>7</v>
      </c>
      <c r="N16" s="303"/>
      <c r="O16" s="303"/>
      <c r="P16" s="303"/>
      <c r="Q16" s="304"/>
      <c r="R16" s="296" t="s">
        <v>8</v>
      </c>
    </row>
    <row r="17" spans="1:21" ht="34.200000000000003" customHeight="1" x14ac:dyDescent="0.3">
      <c r="A17" s="299"/>
      <c r="B17" s="301"/>
      <c r="C17" s="301"/>
      <c r="D17" s="292"/>
      <c r="E17" s="301"/>
      <c r="F17" s="292"/>
      <c r="G17" s="292"/>
      <c r="H17" s="292"/>
      <c r="I17" s="295"/>
      <c r="J17" s="292"/>
      <c r="K17" s="297"/>
      <c r="L17" s="17" t="s">
        <v>20</v>
      </c>
      <c r="M17" s="14" t="s">
        <v>9</v>
      </c>
      <c r="N17" s="18" t="s">
        <v>10</v>
      </c>
      <c r="O17" s="7" t="s">
        <v>6</v>
      </c>
      <c r="P17" s="8" t="s">
        <v>21</v>
      </c>
      <c r="Q17" s="8" t="s">
        <v>22</v>
      </c>
      <c r="R17" s="297"/>
    </row>
    <row r="18" spans="1:21" ht="15" thickBot="1" x14ac:dyDescent="0.35">
      <c r="A18" s="21">
        <v>1</v>
      </c>
      <c r="B18" s="22">
        <v>2</v>
      </c>
      <c r="C18" s="22"/>
      <c r="D18" s="22">
        <v>3</v>
      </c>
      <c r="E18" s="22">
        <v>4</v>
      </c>
      <c r="F18" s="22"/>
      <c r="G18" s="22"/>
      <c r="H18" s="22"/>
      <c r="I18" s="74"/>
      <c r="J18" s="22">
        <v>5</v>
      </c>
      <c r="K18" s="23">
        <v>6</v>
      </c>
      <c r="L18" s="83">
        <v>7</v>
      </c>
      <c r="M18" s="7">
        <v>8</v>
      </c>
      <c r="N18" s="7">
        <v>9</v>
      </c>
      <c r="O18" s="7">
        <v>10</v>
      </c>
      <c r="P18" s="7">
        <v>11</v>
      </c>
      <c r="Q18" s="7">
        <v>12</v>
      </c>
      <c r="R18" s="127">
        <v>13</v>
      </c>
      <c r="U18" s="128"/>
    </row>
    <row r="19" spans="1:21" ht="33.6" customHeight="1" x14ac:dyDescent="0.3">
      <c r="A19" s="60"/>
      <c r="B19" s="80" t="s">
        <v>1282</v>
      </c>
      <c r="C19" s="80"/>
      <c r="D19" s="80" t="s">
        <v>34</v>
      </c>
      <c r="E19" s="80">
        <v>1</v>
      </c>
      <c r="F19" s="69"/>
      <c r="G19" s="69"/>
      <c r="H19" s="69"/>
      <c r="I19" s="69"/>
      <c r="J19" s="69"/>
      <c r="K19" s="69"/>
      <c r="L19" s="261" t="s">
        <v>778</v>
      </c>
      <c r="M19" s="199" t="s">
        <v>779</v>
      </c>
      <c r="N19" s="261" t="s">
        <v>37</v>
      </c>
      <c r="O19" s="262">
        <v>3</v>
      </c>
      <c r="P19" s="200">
        <v>74.900000000000006</v>
      </c>
      <c r="Q19" s="200">
        <v>224.7</v>
      </c>
      <c r="R19" s="181"/>
      <c r="U19" s="128"/>
    </row>
    <row r="20" spans="1:21" ht="15.6" x14ac:dyDescent="0.3">
      <c r="A20" s="51"/>
      <c r="B20" s="59"/>
      <c r="C20" s="47"/>
      <c r="D20" s="61"/>
      <c r="E20" s="62"/>
      <c r="F20" s="75"/>
      <c r="G20" s="76"/>
      <c r="H20" s="76"/>
      <c r="I20" s="48"/>
      <c r="J20" s="48"/>
      <c r="K20" s="48"/>
      <c r="L20" s="261" t="s">
        <v>1103</v>
      </c>
      <c r="M20" s="199" t="s">
        <v>1189</v>
      </c>
      <c r="N20" s="261" t="s">
        <v>37</v>
      </c>
      <c r="O20" s="262">
        <v>27</v>
      </c>
      <c r="P20" s="200">
        <v>28.61</v>
      </c>
      <c r="Q20" s="200">
        <v>772.47</v>
      </c>
      <c r="R20" s="182"/>
      <c r="U20" s="128"/>
    </row>
    <row r="21" spans="1:21" ht="15.6" x14ac:dyDescent="0.3">
      <c r="A21" s="51"/>
      <c r="B21" s="59"/>
      <c r="C21" s="47"/>
      <c r="D21" s="61"/>
      <c r="E21" s="62"/>
      <c r="F21" s="75"/>
      <c r="G21" s="76"/>
      <c r="H21" s="76"/>
      <c r="I21" s="48"/>
      <c r="J21" s="48"/>
      <c r="K21" s="48"/>
      <c r="L21" s="261" t="s">
        <v>429</v>
      </c>
      <c r="M21" s="199" t="s">
        <v>430</v>
      </c>
      <c r="N21" s="261" t="s">
        <v>37</v>
      </c>
      <c r="O21" s="262">
        <v>0.8</v>
      </c>
      <c r="P21" s="200">
        <v>11.5</v>
      </c>
      <c r="Q21" s="200">
        <v>9.1999999999999993</v>
      </c>
      <c r="R21" s="182"/>
      <c r="U21" s="128"/>
    </row>
    <row r="22" spans="1:21" ht="15.6" x14ac:dyDescent="0.3">
      <c r="A22" s="53"/>
      <c r="B22" s="54"/>
      <c r="C22" s="54"/>
      <c r="D22" s="54"/>
      <c r="E22" s="55"/>
      <c r="F22" s="75"/>
      <c r="G22" s="76"/>
      <c r="H22" s="76"/>
      <c r="I22" s="48"/>
      <c r="J22" s="70"/>
      <c r="K22" s="70"/>
      <c r="L22" s="261" t="s">
        <v>98</v>
      </c>
      <c r="M22" s="199" t="s">
        <v>99</v>
      </c>
      <c r="N22" s="261" t="s">
        <v>37</v>
      </c>
      <c r="O22" s="262">
        <v>1.0900000000000001</v>
      </c>
      <c r="P22" s="200">
        <v>131</v>
      </c>
      <c r="Q22" s="200">
        <v>142.79</v>
      </c>
      <c r="R22" s="182"/>
      <c r="U22" s="128"/>
    </row>
    <row r="23" spans="1:21" ht="15.6" x14ac:dyDescent="0.3">
      <c r="A23" s="53"/>
      <c r="B23" s="54"/>
      <c r="C23" s="54"/>
      <c r="D23" s="54"/>
      <c r="E23" s="55"/>
      <c r="F23" s="75"/>
      <c r="G23" s="76"/>
      <c r="H23" s="76"/>
      <c r="I23" s="48"/>
      <c r="J23" s="70"/>
      <c r="K23" s="70"/>
      <c r="L23" s="261" t="s">
        <v>1105</v>
      </c>
      <c r="M23" s="199" t="s">
        <v>1191</v>
      </c>
      <c r="N23" s="261" t="s">
        <v>37</v>
      </c>
      <c r="O23" s="262">
        <v>3</v>
      </c>
      <c r="P23" s="200">
        <v>9.58</v>
      </c>
      <c r="Q23" s="200">
        <v>28.74</v>
      </c>
      <c r="R23" s="182"/>
      <c r="U23" s="128"/>
    </row>
    <row r="24" spans="1:21" ht="15.6" x14ac:dyDescent="0.3">
      <c r="A24" s="53"/>
      <c r="B24" s="54"/>
      <c r="C24" s="54"/>
      <c r="D24" s="54"/>
      <c r="E24" s="55"/>
      <c r="F24" s="75"/>
      <c r="G24" s="76"/>
      <c r="H24" s="76"/>
      <c r="I24" s="48"/>
      <c r="J24" s="70"/>
      <c r="K24" s="70"/>
      <c r="L24" s="261" t="s">
        <v>1104</v>
      </c>
      <c r="M24" s="199" t="s">
        <v>1190</v>
      </c>
      <c r="N24" s="261" t="s">
        <v>37</v>
      </c>
      <c r="O24" s="262">
        <v>2.7</v>
      </c>
      <c r="P24" s="200">
        <v>266.25</v>
      </c>
      <c r="Q24" s="200">
        <v>718.87</v>
      </c>
      <c r="R24" s="182"/>
      <c r="U24" s="128"/>
    </row>
    <row r="25" spans="1:21" ht="15.6" x14ac:dyDescent="0.3">
      <c r="A25" s="53"/>
      <c r="B25" s="54"/>
      <c r="C25" s="54"/>
      <c r="D25" s="54"/>
      <c r="E25" s="55"/>
      <c r="F25" s="75"/>
      <c r="G25" s="76"/>
      <c r="H25" s="76"/>
      <c r="I25" s="48"/>
      <c r="J25" s="70"/>
      <c r="K25" s="70"/>
      <c r="L25" s="261" t="s">
        <v>38</v>
      </c>
      <c r="M25" s="199" t="s">
        <v>100</v>
      </c>
      <c r="N25" s="261" t="s">
        <v>37</v>
      </c>
      <c r="O25" s="262">
        <v>0.8</v>
      </c>
      <c r="P25" s="200">
        <v>71</v>
      </c>
      <c r="Q25" s="200">
        <v>56.8</v>
      </c>
      <c r="R25" s="182"/>
      <c r="U25" s="128"/>
    </row>
    <row r="26" spans="1:21" ht="15.6" x14ac:dyDescent="0.3">
      <c r="A26" s="53"/>
      <c r="B26" s="54"/>
      <c r="C26" s="54"/>
      <c r="D26" s="54"/>
      <c r="E26" s="55"/>
      <c r="F26" s="75"/>
      <c r="G26" s="76"/>
      <c r="H26" s="76"/>
      <c r="I26" s="48"/>
      <c r="J26" s="70"/>
      <c r="K26" s="70"/>
      <c r="L26" s="261" t="s">
        <v>933</v>
      </c>
      <c r="M26" s="199" t="s">
        <v>932</v>
      </c>
      <c r="N26" s="261" t="s">
        <v>37</v>
      </c>
      <c r="O26" s="262">
        <v>1.8</v>
      </c>
      <c r="P26" s="200">
        <v>18.899999999999999</v>
      </c>
      <c r="Q26" s="200">
        <v>34.020000000000003</v>
      </c>
      <c r="R26" s="182"/>
      <c r="U26" s="128"/>
    </row>
    <row r="27" spans="1:21" ht="15.6" x14ac:dyDescent="0.3">
      <c r="A27" s="53"/>
      <c r="B27" s="54"/>
      <c r="C27" s="54"/>
      <c r="D27" s="54"/>
      <c r="E27" s="55"/>
      <c r="F27" s="75"/>
      <c r="G27" s="76"/>
      <c r="H27" s="76"/>
      <c r="I27" s="48"/>
      <c r="J27" s="70"/>
      <c r="K27" s="70"/>
      <c r="L27" s="261" t="s">
        <v>1106</v>
      </c>
      <c r="M27" s="199" t="s">
        <v>1192</v>
      </c>
      <c r="N27" s="261" t="s">
        <v>1272</v>
      </c>
      <c r="O27" s="262">
        <v>93</v>
      </c>
      <c r="P27" s="200">
        <v>0.69</v>
      </c>
      <c r="Q27" s="200">
        <v>64.33</v>
      </c>
      <c r="R27" s="182"/>
      <c r="U27" s="128"/>
    </row>
    <row r="28" spans="1:21" ht="15.6" x14ac:dyDescent="0.3">
      <c r="A28" s="53"/>
      <c r="B28" s="54"/>
      <c r="C28" s="54"/>
      <c r="D28" s="54"/>
      <c r="E28" s="55"/>
      <c r="F28" s="75"/>
      <c r="G28" s="76"/>
      <c r="H28" s="76"/>
      <c r="I28" s="48"/>
      <c r="J28" s="70"/>
      <c r="K28" s="70"/>
      <c r="L28" s="261" t="s">
        <v>934</v>
      </c>
      <c r="M28" s="199" t="s">
        <v>1033</v>
      </c>
      <c r="N28" s="261" t="s">
        <v>64</v>
      </c>
      <c r="O28" s="262">
        <v>0.83299999999999996</v>
      </c>
      <c r="P28" s="200">
        <v>735.91</v>
      </c>
      <c r="Q28" s="200">
        <v>613.01</v>
      </c>
      <c r="R28" s="182"/>
      <c r="U28" s="128"/>
    </row>
    <row r="29" spans="1:21" ht="15.6" x14ac:dyDescent="0.3">
      <c r="A29" s="53"/>
      <c r="B29" s="54"/>
      <c r="C29" s="54"/>
      <c r="D29" s="54"/>
      <c r="E29" s="55"/>
      <c r="F29" s="75"/>
      <c r="G29" s="76"/>
      <c r="H29" s="76"/>
      <c r="I29" s="48"/>
      <c r="J29" s="70"/>
      <c r="K29" s="70"/>
      <c r="L29" s="261" t="s">
        <v>935</v>
      </c>
      <c r="M29" s="199" t="s">
        <v>1034</v>
      </c>
      <c r="N29" s="261" t="s">
        <v>64</v>
      </c>
      <c r="O29" s="262">
        <v>23</v>
      </c>
      <c r="P29" s="200">
        <v>736.65</v>
      </c>
      <c r="Q29" s="201">
        <v>16942.95</v>
      </c>
      <c r="R29" s="182"/>
      <c r="U29" s="128"/>
    </row>
    <row r="30" spans="1:21" ht="15.6" x14ac:dyDescent="0.3">
      <c r="A30" s="53"/>
      <c r="B30" s="54"/>
      <c r="C30" s="54"/>
      <c r="D30" s="54"/>
      <c r="E30" s="55"/>
      <c r="F30" s="75"/>
      <c r="G30" s="76"/>
      <c r="H30" s="76"/>
      <c r="I30" s="48"/>
      <c r="J30" s="70"/>
      <c r="K30" s="70"/>
      <c r="L30" s="261" t="s">
        <v>936</v>
      </c>
      <c r="M30" s="199" t="s">
        <v>1035</v>
      </c>
      <c r="N30" s="261" t="s">
        <v>64</v>
      </c>
      <c r="O30" s="262">
        <v>2</v>
      </c>
      <c r="P30" s="200">
        <v>736.67</v>
      </c>
      <c r="Q30" s="201">
        <v>1473.34</v>
      </c>
      <c r="R30" s="182"/>
      <c r="U30" s="128"/>
    </row>
    <row r="31" spans="1:21" ht="15.6" x14ac:dyDescent="0.3">
      <c r="A31" s="53"/>
      <c r="B31" s="54"/>
      <c r="C31" s="54"/>
      <c r="D31" s="54"/>
      <c r="E31" s="55"/>
      <c r="F31" s="75"/>
      <c r="G31" s="76"/>
      <c r="H31" s="76"/>
      <c r="I31" s="48"/>
      <c r="J31" s="70"/>
      <c r="K31" s="70"/>
      <c r="L31" s="261" t="s">
        <v>1284</v>
      </c>
      <c r="M31" s="199" t="s">
        <v>1319</v>
      </c>
      <c r="N31" s="261" t="s">
        <v>269</v>
      </c>
      <c r="O31" s="262">
        <v>1</v>
      </c>
      <c r="P31" s="201">
        <v>1251</v>
      </c>
      <c r="Q31" s="201">
        <v>1251</v>
      </c>
      <c r="R31" s="182"/>
      <c r="U31" s="128"/>
    </row>
    <row r="32" spans="1:21" ht="15.6" x14ac:dyDescent="0.3">
      <c r="A32" s="53"/>
      <c r="B32" s="54"/>
      <c r="C32" s="54"/>
      <c r="D32" s="54"/>
      <c r="E32" s="55"/>
      <c r="F32" s="75"/>
      <c r="G32" s="76"/>
      <c r="H32" s="76"/>
      <c r="I32" s="48"/>
      <c r="J32" s="70"/>
      <c r="K32" s="70"/>
      <c r="L32" s="261" t="s">
        <v>937</v>
      </c>
      <c r="M32" s="199" t="s">
        <v>1036</v>
      </c>
      <c r="N32" s="261" t="s">
        <v>269</v>
      </c>
      <c r="O32" s="262">
        <v>2</v>
      </c>
      <c r="P32" s="200">
        <v>773.99</v>
      </c>
      <c r="Q32" s="201">
        <v>1547.98</v>
      </c>
      <c r="R32" s="182"/>
      <c r="U32" s="128"/>
    </row>
    <row r="33" spans="1:21" ht="15.6" x14ac:dyDescent="0.3">
      <c r="A33" s="53"/>
      <c r="B33" s="54"/>
      <c r="C33" s="54"/>
      <c r="D33" s="54"/>
      <c r="E33" s="55"/>
      <c r="F33" s="75"/>
      <c r="G33" s="76"/>
      <c r="H33" s="76"/>
      <c r="I33" s="48"/>
      <c r="J33" s="70"/>
      <c r="K33" s="70"/>
      <c r="L33" s="261" t="s">
        <v>938</v>
      </c>
      <c r="M33" s="199" t="s">
        <v>1037</v>
      </c>
      <c r="N33" s="261" t="s">
        <v>269</v>
      </c>
      <c r="O33" s="262">
        <v>2</v>
      </c>
      <c r="P33" s="200">
        <v>803.42</v>
      </c>
      <c r="Q33" s="201">
        <v>1606.83</v>
      </c>
      <c r="R33" s="182"/>
      <c r="U33" s="128"/>
    </row>
    <row r="34" spans="1:21" ht="15.6" x14ac:dyDescent="0.3">
      <c r="A34" s="53"/>
      <c r="B34" s="54"/>
      <c r="C34" s="54"/>
      <c r="D34" s="54"/>
      <c r="E34" s="55"/>
      <c r="F34" s="75"/>
      <c r="G34" s="76"/>
      <c r="H34" s="76"/>
      <c r="I34" s="48"/>
      <c r="J34" s="70"/>
      <c r="K34" s="70"/>
      <c r="L34" s="261" t="s">
        <v>440</v>
      </c>
      <c r="M34" s="199" t="s">
        <v>441</v>
      </c>
      <c r="N34" s="261" t="s">
        <v>442</v>
      </c>
      <c r="O34" s="262">
        <v>3</v>
      </c>
      <c r="P34" s="200">
        <v>75.22</v>
      </c>
      <c r="Q34" s="200">
        <v>225.65</v>
      </c>
      <c r="R34" s="182"/>
      <c r="U34" s="128"/>
    </row>
    <row r="35" spans="1:21" ht="15.6" x14ac:dyDescent="0.3">
      <c r="A35" s="53"/>
      <c r="B35" s="54"/>
      <c r="C35" s="54"/>
      <c r="D35" s="54"/>
      <c r="E35" s="55"/>
      <c r="F35" s="75"/>
      <c r="G35" s="76"/>
      <c r="H35" s="76"/>
      <c r="I35" s="48"/>
      <c r="J35" s="70"/>
      <c r="K35" s="70"/>
      <c r="L35" s="261" t="s">
        <v>939</v>
      </c>
      <c r="M35" s="199" t="s">
        <v>798</v>
      </c>
      <c r="N35" s="261" t="s">
        <v>63</v>
      </c>
      <c r="O35" s="262">
        <v>0.18</v>
      </c>
      <c r="P35" s="201">
        <v>28501.67</v>
      </c>
      <c r="Q35" s="201">
        <v>5130.3</v>
      </c>
      <c r="R35" s="182"/>
      <c r="U35" s="128"/>
    </row>
    <row r="36" spans="1:21" ht="15.6" x14ac:dyDescent="0.3">
      <c r="A36" s="53"/>
      <c r="B36" s="54"/>
      <c r="C36" s="54"/>
      <c r="D36" s="54"/>
      <c r="E36" s="55"/>
      <c r="F36" s="75"/>
      <c r="G36" s="76"/>
      <c r="H36" s="76"/>
      <c r="I36" s="48"/>
      <c r="J36" s="70"/>
      <c r="K36" s="70"/>
      <c r="L36" s="261" t="s">
        <v>940</v>
      </c>
      <c r="M36" s="199" t="s">
        <v>1038</v>
      </c>
      <c r="N36" s="261" t="s">
        <v>63</v>
      </c>
      <c r="O36" s="262">
        <v>1.4999999999999999E-2</v>
      </c>
      <c r="P36" s="201">
        <v>32908</v>
      </c>
      <c r="Q36" s="200">
        <v>493.62</v>
      </c>
      <c r="R36" s="182"/>
      <c r="U36" s="128"/>
    </row>
    <row r="37" spans="1:21" ht="15.6" x14ac:dyDescent="0.3">
      <c r="A37" s="53"/>
      <c r="B37" s="54"/>
      <c r="C37" s="54"/>
      <c r="D37" s="54"/>
      <c r="E37" s="55"/>
      <c r="F37" s="75"/>
      <c r="G37" s="76"/>
      <c r="H37" s="76"/>
      <c r="I37" s="48"/>
      <c r="J37" s="70"/>
      <c r="K37" s="70"/>
      <c r="L37" s="261" t="s">
        <v>1846</v>
      </c>
      <c r="M37" s="199" t="s">
        <v>1848</v>
      </c>
      <c r="N37" s="261" t="s">
        <v>63</v>
      </c>
      <c r="O37" s="262">
        <v>3.5999999999999997E-2</v>
      </c>
      <c r="P37" s="201">
        <v>35332.78</v>
      </c>
      <c r="Q37" s="201">
        <v>1271.98</v>
      </c>
      <c r="R37" s="182"/>
      <c r="U37" s="128"/>
    </row>
    <row r="38" spans="1:21" ht="15.6" x14ac:dyDescent="0.3">
      <c r="A38" s="53"/>
      <c r="B38" s="54"/>
      <c r="C38" s="54"/>
      <c r="D38" s="54"/>
      <c r="E38" s="55"/>
      <c r="F38" s="75"/>
      <c r="G38" s="76"/>
      <c r="H38" s="76"/>
      <c r="I38" s="48"/>
      <c r="J38" s="70"/>
      <c r="K38" s="70"/>
      <c r="L38" s="261" t="s">
        <v>1366</v>
      </c>
      <c r="M38" s="199" t="s">
        <v>1395</v>
      </c>
      <c r="N38" s="261" t="s">
        <v>903</v>
      </c>
      <c r="O38" s="262">
        <v>6.0999999999999999E-2</v>
      </c>
      <c r="P38" s="201">
        <v>24262.46</v>
      </c>
      <c r="Q38" s="201">
        <v>1480.01</v>
      </c>
      <c r="R38" s="182"/>
      <c r="U38" s="128"/>
    </row>
    <row r="39" spans="1:21" ht="15.6" x14ac:dyDescent="0.3">
      <c r="A39" s="53"/>
      <c r="B39" s="54"/>
      <c r="C39" s="54"/>
      <c r="D39" s="54"/>
      <c r="E39" s="55"/>
      <c r="F39" s="75"/>
      <c r="G39" s="76"/>
      <c r="H39" s="76"/>
      <c r="I39" s="48"/>
      <c r="J39" s="70"/>
      <c r="K39" s="70"/>
      <c r="L39" s="261" t="s">
        <v>944</v>
      </c>
      <c r="M39" s="199" t="s">
        <v>1041</v>
      </c>
      <c r="N39" s="261" t="s">
        <v>903</v>
      </c>
      <c r="O39" s="262">
        <v>2.8</v>
      </c>
      <c r="P39" s="201">
        <v>1270.1300000000001</v>
      </c>
      <c r="Q39" s="201">
        <v>3556.37</v>
      </c>
      <c r="R39" s="182"/>
      <c r="U39" s="128"/>
    </row>
    <row r="40" spans="1:21" ht="15.6" x14ac:dyDescent="0.3">
      <c r="A40" s="53"/>
      <c r="B40" s="54"/>
      <c r="C40" s="54"/>
      <c r="D40" s="54"/>
      <c r="E40" s="55"/>
      <c r="F40" s="75"/>
      <c r="G40" s="76"/>
      <c r="H40" s="76"/>
      <c r="I40" s="48"/>
      <c r="J40" s="70"/>
      <c r="K40" s="70"/>
      <c r="L40" s="261" t="s">
        <v>1108</v>
      </c>
      <c r="M40" s="199" t="s">
        <v>1194</v>
      </c>
      <c r="N40" s="261" t="s">
        <v>903</v>
      </c>
      <c r="O40" s="262">
        <v>3</v>
      </c>
      <c r="P40" s="201">
        <v>1192.42</v>
      </c>
      <c r="Q40" s="201">
        <v>3577.25</v>
      </c>
      <c r="R40" s="182"/>
      <c r="U40" s="128"/>
    </row>
    <row r="41" spans="1:21" ht="30" x14ac:dyDescent="0.3">
      <c r="A41" s="53"/>
      <c r="B41" s="54"/>
      <c r="C41" s="54"/>
      <c r="D41" s="54"/>
      <c r="E41" s="55"/>
      <c r="F41" s="75"/>
      <c r="G41" s="76"/>
      <c r="H41" s="76"/>
      <c r="I41" s="48"/>
      <c r="J41" s="70"/>
      <c r="K41" s="70"/>
      <c r="L41" s="261" t="s">
        <v>1360</v>
      </c>
      <c r="M41" s="199" t="s">
        <v>1389</v>
      </c>
      <c r="N41" s="261" t="s">
        <v>903</v>
      </c>
      <c r="O41" s="262">
        <v>0.25</v>
      </c>
      <c r="P41" s="201">
        <v>3625</v>
      </c>
      <c r="Q41" s="200">
        <v>906.25</v>
      </c>
      <c r="R41" s="182"/>
      <c r="U41" s="128"/>
    </row>
    <row r="42" spans="1:21" ht="15.6" x14ac:dyDescent="0.3">
      <c r="A42" s="53"/>
      <c r="B42" s="54"/>
      <c r="C42" s="54"/>
      <c r="D42" s="54"/>
      <c r="E42" s="55"/>
      <c r="F42" s="75"/>
      <c r="G42" s="76"/>
      <c r="H42" s="76"/>
      <c r="I42" s="48"/>
      <c r="J42" s="70"/>
      <c r="K42" s="70"/>
      <c r="L42" s="261" t="s">
        <v>1109</v>
      </c>
      <c r="M42" s="199" t="s">
        <v>1195</v>
      </c>
      <c r="N42" s="261" t="s">
        <v>903</v>
      </c>
      <c r="O42" s="262">
        <v>9.0999999999999998E-2</v>
      </c>
      <c r="P42" s="201">
        <v>3916.7</v>
      </c>
      <c r="Q42" s="200">
        <v>356.42</v>
      </c>
      <c r="R42" s="182"/>
      <c r="U42" s="128"/>
    </row>
    <row r="43" spans="1:21" ht="15.6" x14ac:dyDescent="0.3">
      <c r="A43" s="53"/>
      <c r="B43" s="54"/>
      <c r="C43" s="54"/>
      <c r="D43" s="54"/>
      <c r="E43" s="55"/>
      <c r="F43" s="75"/>
      <c r="G43" s="76"/>
      <c r="H43" s="76"/>
      <c r="I43" s="48"/>
      <c r="J43" s="70"/>
      <c r="K43" s="70"/>
      <c r="L43" s="261" t="s">
        <v>941</v>
      </c>
      <c r="M43" s="199" t="s">
        <v>1040</v>
      </c>
      <c r="N43" s="261" t="s">
        <v>903</v>
      </c>
      <c r="O43" s="262">
        <v>0.104</v>
      </c>
      <c r="P43" s="201">
        <v>10443.27</v>
      </c>
      <c r="Q43" s="201">
        <v>1086.0999999999999</v>
      </c>
      <c r="R43" s="182"/>
      <c r="U43" s="128"/>
    </row>
    <row r="44" spans="1:21" ht="15.6" x14ac:dyDescent="0.3">
      <c r="A44" s="53"/>
      <c r="B44" s="54"/>
      <c r="C44" s="54"/>
      <c r="D44" s="54"/>
      <c r="E44" s="55"/>
      <c r="F44" s="75"/>
      <c r="G44" s="76"/>
      <c r="H44" s="76"/>
      <c r="I44" s="48"/>
      <c r="J44" s="70"/>
      <c r="K44" s="70"/>
      <c r="L44" s="261" t="s">
        <v>741</v>
      </c>
      <c r="M44" s="199" t="s">
        <v>742</v>
      </c>
      <c r="N44" s="261" t="s">
        <v>903</v>
      </c>
      <c r="O44" s="262">
        <v>0.436</v>
      </c>
      <c r="P44" s="201">
        <v>10253.67</v>
      </c>
      <c r="Q44" s="201">
        <v>4470.6000000000004</v>
      </c>
      <c r="R44" s="182"/>
      <c r="U44" s="128"/>
    </row>
    <row r="45" spans="1:21" ht="15.6" x14ac:dyDescent="0.3">
      <c r="A45" s="53"/>
      <c r="B45" s="54"/>
      <c r="C45" s="54"/>
      <c r="D45" s="54"/>
      <c r="E45" s="55"/>
      <c r="F45" s="75"/>
      <c r="G45" s="76"/>
      <c r="H45" s="76"/>
      <c r="I45" s="48"/>
      <c r="J45" s="70"/>
      <c r="K45" s="70"/>
      <c r="L45" s="261" t="s">
        <v>943</v>
      </c>
      <c r="M45" s="199" t="s">
        <v>745</v>
      </c>
      <c r="N45" s="261" t="s">
        <v>903</v>
      </c>
      <c r="O45" s="262">
        <v>0.127</v>
      </c>
      <c r="P45" s="201">
        <v>9590</v>
      </c>
      <c r="Q45" s="201">
        <v>1217.93</v>
      </c>
      <c r="R45" s="182"/>
      <c r="U45" s="128"/>
    </row>
    <row r="46" spans="1:21" ht="15.6" x14ac:dyDescent="0.3">
      <c r="A46" s="53"/>
      <c r="B46" s="54"/>
      <c r="C46" s="54"/>
      <c r="D46" s="54"/>
      <c r="E46" s="55"/>
      <c r="F46" s="75"/>
      <c r="G46" s="76"/>
      <c r="H46" s="76"/>
      <c r="I46" s="48"/>
      <c r="J46" s="70"/>
      <c r="K46" s="70"/>
      <c r="L46" s="261" t="s">
        <v>743</v>
      </c>
      <c r="M46" s="199" t="s">
        <v>744</v>
      </c>
      <c r="N46" s="261" t="s">
        <v>903</v>
      </c>
      <c r="O46" s="262">
        <v>1.2</v>
      </c>
      <c r="P46" s="201">
        <v>10272.67</v>
      </c>
      <c r="Q46" s="201">
        <v>12327.2</v>
      </c>
      <c r="R46" s="182"/>
      <c r="U46" s="128"/>
    </row>
    <row r="47" spans="1:21" ht="15.6" x14ac:dyDescent="0.3">
      <c r="A47" s="53"/>
      <c r="B47" s="54"/>
      <c r="C47" s="54"/>
      <c r="D47" s="54"/>
      <c r="E47" s="55"/>
      <c r="F47" s="75"/>
      <c r="G47" s="76"/>
      <c r="H47" s="76"/>
      <c r="I47" s="48"/>
      <c r="J47" s="70"/>
      <c r="K47" s="70"/>
      <c r="L47" s="261" t="s">
        <v>1112</v>
      </c>
      <c r="M47" s="199" t="s">
        <v>1198</v>
      </c>
      <c r="N47" s="261" t="s">
        <v>903</v>
      </c>
      <c r="O47" s="262">
        <v>0.4</v>
      </c>
      <c r="P47" s="201">
        <v>24113</v>
      </c>
      <c r="Q47" s="201">
        <v>9645.2000000000007</v>
      </c>
      <c r="R47" s="182"/>
      <c r="U47" s="128"/>
    </row>
    <row r="48" spans="1:21" ht="15.6" x14ac:dyDescent="0.3">
      <c r="A48" s="53"/>
      <c r="B48" s="54"/>
      <c r="C48" s="54"/>
      <c r="D48" s="54"/>
      <c r="E48" s="55"/>
      <c r="F48" s="75"/>
      <c r="G48" s="76"/>
      <c r="H48" s="76"/>
      <c r="I48" s="48"/>
      <c r="J48" s="70"/>
      <c r="K48" s="70"/>
      <c r="L48" s="261" t="s">
        <v>942</v>
      </c>
      <c r="M48" s="199" t="s">
        <v>740</v>
      </c>
      <c r="N48" s="261" t="s">
        <v>903</v>
      </c>
      <c r="O48" s="262">
        <v>0.9</v>
      </c>
      <c r="P48" s="201">
        <v>10148</v>
      </c>
      <c r="Q48" s="201">
        <v>9133.2000000000007</v>
      </c>
      <c r="R48" s="182"/>
      <c r="U48" s="128"/>
    </row>
    <row r="49" spans="1:21" ht="15.6" x14ac:dyDescent="0.3">
      <c r="A49" s="53"/>
      <c r="B49" s="54"/>
      <c r="C49" s="54"/>
      <c r="D49" s="54"/>
      <c r="E49" s="55"/>
      <c r="F49" s="75"/>
      <c r="G49" s="76"/>
      <c r="H49" s="76"/>
      <c r="I49" s="48"/>
      <c r="J49" s="70"/>
      <c r="K49" s="70"/>
      <c r="L49" s="261" t="s">
        <v>1283</v>
      </c>
      <c r="M49" s="199" t="s">
        <v>1318</v>
      </c>
      <c r="N49" s="261" t="s">
        <v>903</v>
      </c>
      <c r="O49" s="262">
        <v>0.5</v>
      </c>
      <c r="P49" s="201">
        <v>8966.68</v>
      </c>
      <c r="Q49" s="201">
        <v>4483.34</v>
      </c>
      <c r="R49" s="182"/>
      <c r="U49" s="128"/>
    </row>
    <row r="50" spans="1:21" ht="15.6" x14ac:dyDescent="0.3">
      <c r="A50" s="53"/>
      <c r="B50" s="54"/>
      <c r="C50" s="54"/>
      <c r="D50" s="54"/>
      <c r="E50" s="55"/>
      <c r="F50" s="75"/>
      <c r="G50" s="76"/>
      <c r="H50" s="76"/>
      <c r="I50" s="48"/>
      <c r="J50" s="70"/>
      <c r="K50" s="70"/>
      <c r="L50" s="261" t="s">
        <v>1110</v>
      </c>
      <c r="M50" s="199" t="s">
        <v>1196</v>
      </c>
      <c r="N50" s="261" t="s">
        <v>903</v>
      </c>
      <c r="O50" s="262">
        <v>0.3</v>
      </c>
      <c r="P50" s="201">
        <v>26855</v>
      </c>
      <c r="Q50" s="201">
        <v>8056.5</v>
      </c>
      <c r="R50" s="182"/>
      <c r="U50" s="128"/>
    </row>
    <row r="51" spans="1:21" ht="15.6" x14ac:dyDescent="0.3">
      <c r="A51" s="53"/>
      <c r="B51" s="54"/>
      <c r="C51" s="54"/>
      <c r="D51" s="54"/>
      <c r="E51" s="55"/>
      <c r="F51" s="75"/>
      <c r="G51" s="76"/>
      <c r="H51" s="76"/>
      <c r="I51" s="48"/>
      <c r="J51" s="70"/>
      <c r="K51" s="70"/>
      <c r="L51" s="261" t="s">
        <v>1111</v>
      </c>
      <c r="M51" s="199" t="s">
        <v>1197</v>
      </c>
      <c r="N51" s="261" t="s">
        <v>903</v>
      </c>
      <c r="O51" s="262">
        <v>4.2999999999999997E-2</v>
      </c>
      <c r="P51" s="201">
        <v>26854.880000000001</v>
      </c>
      <c r="Q51" s="201">
        <v>1154.76</v>
      </c>
      <c r="R51" s="182"/>
      <c r="U51" s="128"/>
    </row>
    <row r="52" spans="1:21" ht="15.6" x14ac:dyDescent="0.3">
      <c r="A52" s="53"/>
      <c r="B52" s="54"/>
      <c r="C52" s="54"/>
      <c r="D52" s="54"/>
      <c r="E52" s="55"/>
      <c r="F52" s="75"/>
      <c r="G52" s="76"/>
      <c r="H52" s="76"/>
      <c r="I52" s="48"/>
      <c r="J52" s="70"/>
      <c r="K52" s="70"/>
      <c r="L52" s="261" t="s">
        <v>1113</v>
      </c>
      <c r="M52" s="199" t="s">
        <v>1199</v>
      </c>
      <c r="N52" s="261" t="s">
        <v>903</v>
      </c>
      <c r="O52" s="262">
        <v>0.11</v>
      </c>
      <c r="P52" s="201">
        <v>10416.64</v>
      </c>
      <c r="Q52" s="201">
        <v>1145.83</v>
      </c>
      <c r="R52" s="182"/>
      <c r="U52" s="128"/>
    </row>
    <row r="53" spans="1:21" ht="15.6" x14ac:dyDescent="0.3">
      <c r="A53" s="53"/>
      <c r="B53" s="54"/>
      <c r="C53" s="54"/>
      <c r="D53" s="54"/>
      <c r="E53" s="55"/>
      <c r="F53" s="75"/>
      <c r="G53" s="76"/>
      <c r="H53" s="76"/>
      <c r="I53" s="48"/>
      <c r="J53" s="70"/>
      <c r="K53" s="70"/>
      <c r="L53" s="261" t="s">
        <v>945</v>
      </c>
      <c r="M53" s="199" t="s">
        <v>1032</v>
      </c>
      <c r="N53" s="261" t="s">
        <v>68</v>
      </c>
      <c r="O53" s="262">
        <v>41</v>
      </c>
      <c r="P53" s="200">
        <v>302.5</v>
      </c>
      <c r="Q53" s="201">
        <v>12402.5</v>
      </c>
      <c r="R53" s="182"/>
      <c r="U53" s="128"/>
    </row>
    <row r="54" spans="1:21" ht="15.6" x14ac:dyDescent="0.3">
      <c r="A54" s="53"/>
      <c r="B54" s="54"/>
      <c r="C54" s="54"/>
      <c r="D54" s="54"/>
      <c r="E54" s="55"/>
      <c r="F54" s="75"/>
      <c r="G54" s="76"/>
      <c r="H54" s="76"/>
      <c r="I54" s="48"/>
      <c r="J54" s="70"/>
      <c r="K54" s="70"/>
      <c r="L54" s="261" t="s">
        <v>747</v>
      </c>
      <c r="M54" s="199" t="s">
        <v>748</v>
      </c>
      <c r="N54" s="261" t="s">
        <v>68</v>
      </c>
      <c r="O54" s="262">
        <v>70</v>
      </c>
      <c r="P54" s="200">
        <v>280</v>
      </c>
      <c r="Q54" s="201">
        <v>19600</v>
      </c>
      <c r="R54" s="182"/>
      <c r="U54" s="128"/>
    </row>
    <row r="55" spans="1:21" ht="15.6" x14ac:dyDescent="0.3">
      <c r="A55" s="53"/>
      <c r="B55" s="54"/>
      <c r="C55" s="54"/>
      <c r="D55" s="54"/>
      <c r="E55" s="55"/>
      <c r="F55" s="75"/>
      <c r="G55" s="76"/>
      <c r="H55" s="76"/>
      <c r="I55" s="48"/>
      <c r="J55" s="70"/>
      <c r="K55" s="70"/>
      <c r="L55" s="261" t="s">
        <v>909</v>
      </c>
      <c r="M55" s="199" t="s">
        <v>910</v>
      </c>
      <c r="N55" s="261" t="s">
        <v>68</v>
      </c>
      <c r="O55" s="262">
        <v>0.41699999999999998</v>
      </c>
      <c r="P55" s="200">
        <v>749.02</v>
      </c>
      <c r="Q55" s="200">
        <v>312.33999999999997</v>
      </c>
      <c r="R55" s="182"/>
      <c r="U55" s="128"/>
    </row>
    <row r="56" spans="1:21" ht="15.6" x14ac:dyDescent="0.3">
      <c r="A56" s="53"/>
      <c r="B56" s="54"/>
      <c r="C56" s="54"/>
      <c r="D56" s="54"/>
      <c r="E56" s="55"/>
      <c r="F56" s="75"/>
      <c r="G56" s="76"/>
      <c r="H56" s="76"/>
      <c r="I56" s="48"/>
      <c r="J56" s="70"/>
      <c r="K56" s="70"/>
      <c r="L56" s="261" t="s">
        <v>207</v>
      </c>
      <c r="M56" s="199" t="s">
        <v>858</v>
      </c>
      <c r="N56" s="261" t="s">
        <v>68</v>
      </c>
      <c r="O56" s="262">
        <v>1.4</v>
      </c>
      <c r="P56" s="200">
        <v>343.29</v>
      </c>
      <c r="Q56" s="200">
        <v>480.6</v>
      </c>
      <c r="R56" s="182"/>
      <c r="U56" s="128"/>
    </row>
    <row r="57" spans="1:21" ht="15.6" x14ac:dyDescent="0.3">
      <c r="A57" s="53"/>
      <c r="B57" s="54"/>
      <c r="C57" s="54"/>
      <c r="D57" s="54"/>
      <c r="E57" s="55"/>
      <c r="F57" s="75"/>
      <c r="G57" s="76"/>
      <c r="H57" s="76"/>
      <c r="I57" s="48"/>
      <c r="J57" s="70"/>
      <c r="K57" s="70"/>
      <c r="L57" s="261" t="s">
        <v>1114</v>
      </c>
      <c r="M57" s="199" t="s">
        <v>1200</v>
      </c>
      <c r="N57" s="261" t="s">
        <v>68</v>
      </c>
      <c r="O57" s="262">
        <v>2</v>
      </c>
      <c r="P57" s="200">
        <v>36</v>
      </c>
      <c r="Q57" s="200">
        <v>72</v>
      </c>
      <c r="R57" s="182"/>
      <c r="U57" s="128"/>
    </row>
    <row r="58" spans="1:21" ht="15.6" x14ac:dyDescent="0.3">
      <c r="A58" s="53"/>
      <c r="B58" s="54"/>
      <c r="C58" s="54"/>
      <c r="D58" s="54"/>
      <c r="E58" s="55"/>
      <c r="F58" s="75"/>
      <c r="G58" s="76"/>
      <c r="H58" s="76"/>
      <c r="I58" s="48"/>
      <c r="J58" s="70"/>
      <c r="K58" s="70"/>
      <c r="L58" s="261" t="s">
        <v>1115</v>
      </c>
      <c r="M58" s="199" t="s">
        <v>1201</v>
      </c>
      <c r="N58" s="261" t="s">
        <v>68</v>
      </c>
      <c r="O58" s="262">
        <v>1.2</v>
      </c>
      <c r="P58" s="200">
        <v>186.67</v>
      </c>
      <c r="Q58" s="200">
        <v>224</v>
      </c>
      <c r="R58" s="182"/>
      <c r="U58" s="128"/>
    </row>
    <row r="59" spans="1:21" ht="15.6" x14ac:dyDescent="0.3">
      <c r="A59" s="53"/>
      <c r="B59" s="54"/>
      <c r="C59" s="54"/>
      <c r="D59" s="54"/>
      <c r="E59" s="55"/>
      <c r="F59" s="75"/>
      <c r="G59" s="76"/>
      <c r="H59" s="76"/>
      <c r="I59" s="48"/>
      <c r="J59" s="70"/>
      <c r="K59" s="70"/>
      <c r="L59" s="261" t="s">
        <v>1116</v>
      </c>
      <c r="M59" s="199" t="s">
        <v>1202</v>
      </c>
      <c r="N59" s="261" t="s">
        <v>68</v>
      </c>
      <c r="O59" s="262">
        <v>25.6</v>
      </c>
      <c r="P59" s="200">
        <v>163.33000000000001</v>
      </c>
      <c r="Q59" s="201">
        <v>4181.34</v>
      </c>
      <c r="R59" s="182"/>
      <c r="U59" s="128"/>
    </row>
    <row r="60" spans="1:21" ht="15.6" x14ac:dyDescent="0.3">
      <c r="A60" s="53"/>
      <c r="B60" s="54"/>
      <c r="C60" s="54"/>
      <c r="D60" s="54"/>
      <c r="E60" s="55"/>
      <c r="F60" s="75"/>
      <c r="G60" s="76"/>
      <c r="H60" s="76"/>
      <c r="I60" s="48"/>
      <c r="J60" s="70"/>
      <c r="K60" s="70"/>
      <c r="L60" s="261" t="s">
        <v>882</v>
      </c>
      <c r="M60" s="199" t="s">
        <v>883</v>
      </c>
      <c r="N60" s="261" t="s">
        <v>68</v>
      </c>
      <c r="O60" s="262">
        <v>2</v>
      </c>
      <c r="P60" s="200">
        <v>188.33</v>
      </c>
      <c r="Q60" s="200">
        <v>376.66</v>
      </c>
      <c r="R60" s="182"/>
      <c r="U60" s="128"/>
    </row>
    <row r="61" spans="1:21" ht="15.6" x14ac:dyDescent="0.3">
      <c r="A61" s="53"/>
      <c r="B61" s="54"/>
      <c r="C61" s="54"/>
      <c r="D61" s="54"/>
      <c r="E61" s="55"/>
      <c r="F61" s="75"/>
      <c r="G61" s="76"/>
      <c r="H61" s="76"/>
      <c r="I61" s="48"/>
      <c r="J61" s="70"/>
      <c r="K61" s="70"/>
      <c r="L61" s="261" t="s">
        <v>1117</v>
      </c>
      <c r="M61" s="199" t="s">
        <v>1203</v>
      </c>
      <c r="N61" s="261" t="s">
        <v>68</v>
      </c>
      <c r="O61" s="262">
        <v>6.75</v>
      </c>
      <c r="P61" s="200">
        <v>188.33</v>
      </c>
      <c r="Q61" s="201">
        <v>1271.23</v>
      </c>
      <c r="R61" s="182"/>
      <c r="U61" s="128"/>
    </row>
    <row r="62" spans="1:21" ht="15.6" x14ac:dyDescent="0.3">
      <c r="A62" s="53"/>
      <c r="B62" s="54"/>
      <c r="C62" s="54"/>
      <c r="D62" s="54"/>
      <c r="E62" s="55"/>
      <c r="F62" s="75"/>
      <c r="G62" s="76"/>
      <c r="H62" s="76"/>
      <c r="I62" s="48"/>
      <c r="J62" s="70"/>
      <c r="K62" s="70"/>
      <c r="L62" s="261" t="s">
        <v>1118</v>
      </c>
      <c r="M62" s="199" t="s">
        <v>1204</v>
      </c>
      <c r="N62" s="261" t="s">
        <v>68</v>
      </c>
      <c r="O62" s="262">
        <v>60</v>
      </c>
      <c r="P62" s="200">
        <v>27</v>
      </c>
      <c r="Q62" s="201">
        <v>1620</v>
      </c>
      <c r="R62" s="182"/>
      <c r="U62" s="128"/>
    </row>
    <row r="63" spans="1:21" ht="15.6" x14ac:dyDescent="0.3">
      <c r="A63" s="53"/>
      <c r="B63" s="54"/>
      <c r="C63" s="54"/>
      <c r="D63" s="54"/>
      <c r="E63" s="55"/>
      <c r="F63" s="75"/>
      <c r="G63" s="76"/>
      <c r="H63" s="76"/>
      <c r="I63" s="48"/>
      <c r="J63" s="70"/>
      <c r="K63" s="70"/>
      <c r="L63" s="261" t="s">
        <v>391</v>
      </c>
      <c r="M63" s="199" t="s">
        <v>392</v>
      </c>
      <c r="N63" s="261" t="s">
        <v>68</v>
      </c>
      <c r="O63" s="262">
        <v>3</v>
      </c>
      <c r="P63" s="201">
        <v>5102.0200000000004</v>
      </c>
      <c r="Q63" s="201">
        <v>15306.06</v>
      </c>
      <c r="R63" s="182"/>
      <c r="U63" s="128"/>
    </row>
    <row r="64" spans="1:21" ht="15.6" x14ac:dyDescent="0.3">
      <c r="A64" s="53"/>
      <c r="B64" s="54"/>
      <c r="C64" s="54"/>
      <c r="D64" s="54"/>
      <c r="E64" s="55"/>
      <c r="F64" s="75"/>
      <c r="G64" s="76"/>
      <c r="H64" s="76"/>
      <c r="I64" s="48"/>
      <c r="J64" s="70"/>
      <c r="K64" s="70"/>
      <c r="L64" s="261" t="s">
        <v>889</v>
      </c>
      <c r="M64" s="199" t="s">
        <v>890</v>
      </c>
      <c r="N64" s="261" t="s">
        <v>82</v>
      </c>
      <c r="O64" s="262">
        <v>1</v>
      </c>
      <c r="P64" s="201">
        <v>22261</v>
      </c>
      <c r="Q64" s="201">
        <v>22261</v>
      </c>
      <c r="R64" s="182"/>
      <c r="U64" s="128"/>
    </row>
    <row r="65" spans="1:21" ht="15.6" x14ac:dyDescent="0.3">
      <c r="A65" s="53"/>
      <c r="B65" s="54"/>
      <c r="C65" s="54"/>
      <c r="D65" s="54"/>
      <c r="E65" s="55"/>
      <c r="F65" s="75"/>
      <c r="G65" s="76"/>
      <c r="H65" s="76"/>
      <c r="I65" s="48"/>
      <c r="J65" s="70"/>
      <c r="K65" s="70"/>
      <c r="L65" s="261" t="s">
        <v>884</v>
      </c>
      <c r="M65" s="199" t="s">
        <v>885</v>
      </c>
      <c r="N65" s="261" t="s">
        <v>82</v>
      </c>
      <c r="O65" s="262">
        <v>1</v>
      </c>
      <c r="P65" s="201">
        <v>18062</v>
      </c>
      <c r="Q65" s="201">
        <v>18062</v>
      </c>
      <c r="R65" s="182"/>
      <c r="U65" s="128"/>
    </row>
    <row r="66" spans="1:21" ht="15.6" x14ac:dyDescent="0.3">
      <c r="A66" s="53"/>
      <c r="B66" s="54"/>
      <c r="C66" s="54"/>
      <c r="D66" s="54"/>
      <c r="E66" s="55"/>
      <c r="F66" s="75"/>
      <c r="G66" s="76"/>
      <c r="H66" s="76"/>
      <c r="I66" s="48"/>
      <c r="J66" s="70"/>
      <c r="K66" s="70"/>
      <c r="L66" s="261" t="s">
        <v>1119</v>
      </c>
      <c r="M66" s="199" t="s">
        <v>1205</v>
      </c>
      <c r="N66" s="261" t="s">
        <v>35</v>
      </c>
      <c r="O66" s="262">
        <v>3</v>
      </c>
      <c r="P66" s="200">
        <v>78.33</v>
      </c>
      <c r="Q66" s="200">
        <v>234.99</v>
      </c>
      <c r="R66" s="182"/>
      <c r="U66" s="128"/>
    </row>
    <row r="67" spans="1:21" ht="15.6" x14ac:dyDescent="0.3">
      <c r="A67" s="53"/>
      <c r="B67" s="54"/>
      <c r="C67" s="54"/>
      <c r="D67" s="54"/>
      <c r="E67" s="55"/>
      <c r="F67" s="75"/>
      <c r="G67" s="76"/>
      <c r="H67" s="76"/>
      <c r="I67" s="48"/>
      <c r="J67" s="70"/>
      <c r="K67" s="70"/>
      <c r="L67" s="261" t="s">
        <v>1120</v>
      </c>
      <c r="M67" s="199" t="s">
        <v>1206</v>
      </c>
      <c r="N67" s="261" t="s">
        <v>35</v>
      </c>
      <c r="O67" s="262">
        <v>10</v>
      </c>
      <c r="P67" s="200">
        <v>135.59</v>
      </c>
      <c r="Q67" s="201">
        <v>1355.9</v>
      </c>
      <c r="R67" s="182"/>
      <c r="U67" s="128"/>
    </row>
    <row r="68" spans="1:21" ht="15.6" x14ac:dyDescent="0.3">
      <c r="A68" s="53"/>
      <c r="B68" s="54"/>
      <c r="C68" s="54"/>
      <c r="D68" s="54"/>
      <c r="E68" s="55"/>
      <c r="F68" s="75"/>
      <c r="G68" s="76"/>
      <c r="H68" s="76"/>
      <c r="I68" s="48"/>
      <c r="J68" s="70"/>
      <c r="K68" s="70"/>
      <c r="L68" s="261" t="s">
        <v>1436</v>
      </c>
      <c r="M68" s="199" t="s">
        <v>1458</v>
      </c>
      <c r="N68" s="261" t="s">
        <v>35</v>
      </c>
      <c r="O68" s="262">
        <v>1.2999999999999999E-2</v>
      </c>
      <c r="P68" s="200">
        <v>307.69</v>
      </c>
      <c r="Q68" s="200">
        <v>4</v>
      </c>
      <c r="R68" s="182"/>
      <c r="U68" s="128"/>
    </row>
    <row r="69" spans="1:21" ht="15.6" x14ac:dyDescent="0.3">
      <c r="A69" s="53"/>
      <c r="B69" s="54"/>
      <c r="C69" s="54"/>
      <c r="D69" s="54"/>
      <c r="E69" s="55"/>
      <c r="F69" s="75"/>
      <c r="G69" s="76"/>
      <c r="H69" s="76"/>
      <c r="I69" s="48"/>
      <c r="J69" s="70"/>
      <c r="K69" s="70"/>
      <c r="L69" s="261" t="s">
        <v>1162</v>
      </c>
      <c r="M69" s="199" t="s">
        <v>1247</v>
      </c>
      <c r="N69" s="261" t="s">
        <v>34</v>
      </c>
      <c r="O69" s="262">
        <v>6</v>
      </c>
      <c r="P69" s="200">
        <v>466.46</v>
      </c>
      <c r="Q69" s="201">
        <v>2798.76</v>
      </c>
      <c r="R69" s="182"/>
      <c r="U69" s="128"/>
    </row>
    <row r="70" spans="1:21" ht="15.6" x14ac:dyDescent="0.3">
      <c r="A70" s="53"/>
      <c r="B70" s="54"/>
      <c r="C70" s="54"/>
      <c r="D70" s="54"/>
      <c r="E70" s="55"/>
      <c r="F70" s="75"/>
      <c r="G70" s="76"/>
      <c r="H70" s="76"/>
      <c r="I70" s="48"/>
      <c r="J70" s="70"/>
      <c r="K70" s="70"/>
      <c r="L70" s="261" t="s">
        <v>1178</v>
      </c>
      <c r="M70" s="199" t="s">
        <v>1262</v>
      </c>
      <c r="N70" s="261" t="s">
        <v>34</v>
      </c>
      <c r="O70" s="262">
        <v>1</v>
      </c>
      <c r="P70" s="200">
        <v>36.72</v>
      </c>
      <c r="Q70" s="200">
        <v>36.72</v>
      </c>
      <c r="R70" s="182"/>
      <c r="U70" s="128"/>
    </row>
    <row r="71" spans="1:21" ht="30" x14ac:dyDescent="0.3">
      <c r="A71" s="53"/>
      <c r="B71" s="54"/>
      <c r="C71" s="54"/>
      <c r="D71" s="54"/>
      <c r="E71" s="55"/>
      <c r="F71" s="75"/>
      <c r="G71" s="76"/>
      <c r="H71" s="76"/>
      <c r="I71" s="48"/>
      <c r="J71" s="70"/>
      <c r="K71" s="70"/>
      <c r="L71" s="261" t="s">
        <v>987</v>
      </c>
      <c r="M71" s="199" t="s">
        <v>837</v>
      </c>
      <c r="N71" s="261" t="s">
        <v>34</v>
      </c>
      <c r="O71" s="262">
        <v>2</v>
      </c>
      <c r="P71" s="200">
        <v>53</v>
      </c>
      <c r="Q71" s="200">
        <v>106</v>
      </c>
      <c r="R71" s="182"/>
      <c r="U71" s="128"/>
    </row>
    <row r="72" spans="1:21" ht="15.6" x14ac:dyDescent="0.3">
      <c r="A72" s="53"/>
      <c r="B72" s="54"/>
      <c r="C72" s="54"/>
      <c r="D72" s="54"/>
      <c r="E72" s="55"/>
      <c r="F72" s="75"/>
      <c r="G72" s="76"/>
      <c r="H72" s="76"/>
      <c r="I72" s="48"/>
      <c r="J72" s="70"/>
      <c r="K72" s="70"/>
      <c r="L72" s="261" t="s">
        <v>484</v>
      </c>
      <c r="M72" s="199" t="s">
        <v>1061</v>
      </c>
      <c r="N72" s="261" t="s">
        <v>34</v>
      </c>
      <c r="O72" s="262">
        <v>1</v>
      </c>
      <c r="P72" s="200">
        <v>36.25</v>
      </c>
      <c r="Q72" s="200">
        <v>36.25</v>
      </c>
      <c r="R72" s="182"/>
      <c r="U72" s="128"/>
    </row>
    <row r="73" spans="1:21" ht="15.6" x14ac:dyDescent="0.3">
      <c r="A73" s="53"/>
      <c r="B73" s="54"/>
      <c r="C73" s="54"/>
      <c r="D73" s="54"/>
      <c r="E73" s="55"/>
      <c r="F73" s="75"/>
      <c r="G73" s="76"/>
      <c r="H73" s="76"/>
      <c r="I73" s="48"/>
      <c r="J73" s="70"/>
      <c r="K73" s="70"/>
      <c r="L73" s="261" t="s">
        <v>49</v>
      </c>
      <c r="M73" s="199" t="s">
        <v>74</v>
      </c>
      <c r="N73" s="261" t="s">
        <v>34</v>
      </c>
      <c r="O73" s="262">
        <v>17</v>
      </c>
      <c r="P73" s="200">
        <v>127.94</v>
      </c>
      <c r="Q73" s="201">
        <v>2174.98</v>
      </c>
      <c r="R73" s="182"/>
      <c r="U73" s="128"/>
    </row>
    <row r="74" spans="1:21" ht="15.6" x14ac:dyDescent="0.3">
      <c r="A74" s="53"/>
      <c r="B74" s="54"/>
      <c r="C74" s="54"/>
      <c r="D74" s="54"/>
      <c r="E74" s="55"/>
      <c r="F74" s="75"/>
      <c r="G74" s="76"/>
      <c r="H74" s="76"/>
      <c r="I74" s="48"/>
      <c r="J74" s="70"/>
      <c r="K74" s="70"/>
      <c r="L74" s="261" t="s">
        <v>967</v>
      </c>
      <c r="M74" s="199" t="s">
        <v>1056</v>
      </c>
      <c r="N74" s="261" t="s">
        <v>34</v>
      </c>
      <c r="O74" s="262">
        <v>3</v>
      </c>
      <c r="P74" s="200">
        <v>0.43</v>
      </c>
      <c r="Q74" s="200">
        <v>1.29</v>
      </c>
      <c r="R74" s="182"/>
      <c r="U74" s="128"/>
    </row>
    <row r="75" spans="1:21" ht="15.6" x14ac:dyDescent="0.3">
      <c r="A75" s="53"/>
      <c r="B75" s="54"/>
      <c r="C75" s="54"/>
      <c r="D75" s="54"/>
      <c r="E75" s="55"/>
      <c r="F75" s="75"/>
      <c r="G75" s="76"/>
      <c r="H75" s="76"/>
      <c r="I75" s="48"/>
      <c r="J75" s="70"/>
      <c r="K75" s="70"/>
      <c r="L75" s="261" t="s">
        <v>968</v>
      </c>
      <c r="M75" s="199" t="s">
        <v>756</v>
      </c>
      <c r="N75" s="261" t="s">
        <v>34</v>
      </c>
      <c r="O75" s="262">
        <v>250</v>
      </c>
      <c r="P75" s="200">
        <v>1.3</v>
      </c>
      <c r="Q75" s="200">
        <v>325.10000000000002</v>
      </c>
      <c r="R75" s="182"/>
      <c r="U75" s="128"/>
    </row>
    <row r="76" spans="1:21" ht="15.6" x14ac:dyDescent="0.3">
      <c r="A76" s="53"/>
      <c r="B76" s="54"/>
      <c r="C76" s="54"/>
      <c r="D76" s="54"/>
      <c r="E76" s="55"/>
      <c r="F76" s="75"/>
      <c r="G76" s="76"/>
      <c r="H76" s="76"/>
      <c r="I76" s="48"/>
      <c r="J76" s="70"/>
      <c r="K76" s="70"/>
      <c r="L76" s="261" t="s">
        <v>969</v>
      </c>
      <c r="M76" s="199" t="s">
        <v>75</v>
      </c>
      <c r="N76" s="261" t="s">
        <v>34</v>
      </c>
      <c r="O76" s="262">
        <v>12</v>
      </c>
      <c r="P76" s="200">
        <v>1.8</v>
      </c>
      <c r="Q76" s="200">
        <v>21.55</v>
      </c>
      <c r="R76" s="182"/>
      <c r="U76" s="128"/>
    </row>
    <row r="77" spans="1:21" ht="15.6" x14ac:dyDescent="0.3">
      <c r="A77" s="53"/>
      <c r="B77" s="54"/>
      <c r="C77" s="54"/>
      <c r="D77" s="54"/>
      <c r="E77" s="55"/>
      <c r="F77" s="75"/>
      <c r="G77" s="76"/>
      <c r="H77" s="76"/>
      <c r="I77" s="48"/>
      <c r="J77" s="70"/>
      <c r="K77" s="70"/>
      <c r="L77" s="261" t="s">
        <v>1122</v>
      </c>
      <c r="M77" s="199" t="s">
        <v>1208</v>
      </c>
      <c r="N77" s="261" t="s">
        <v>34</v>
      </c>
      <c r="O77" s="262">
        <v>1</v>
      </c>
      <c r="P77" s="200">
        <v>212</v>
      </c>
      <c r="Q77" s="200">
        <v>212</v>
      </c>
      <c r="R77" s="182"/>
      <c r="U77" s="128"/>
    </row>
    <row r="78" spans="1:21" ht="15.6" x14ac:dyDescent="0.3">
      <c r="A78" s="53"/>
      <c r="B78" s="54"/>
      <c r="C78" s="54"/>
      <c r="D78" s="54"/>
      <c r="E78" s="55"/>
      <c r="F78" s="75"/>
      <c r="G78" s="76"/>
      <c r="H78" s="76"/>
      <c r="I78" s="48"/>
      <c r="J78" s="70"/>
      <c r="K78" s="70"/>
      <c r="L78" s="261" t="s">
        <v>757</v>
      </c>
      <c r="M78" s="199" t="s">
        <v>758</v>
      </c>
      <c r="N78" s="261" t="s">
        <v>34</v>
      </c>
      <c r="O78" s="262">
        <v>0.2</v>
      </c>
      <c r="P78" s="201">
        <v>2803</v>
      </c>
      <c r="Q78" s="200">
        <v>560.6</v>
      </c>
      <c r="R78" s="182"/>
      <c r="U78" s="128"/>
    </row>
    <row r="79" spans="1:21" ht="15.6" x14ac:dyDescent="0.3">
      <c r="A79" s="53"/>
      <c r="B79" s="54"/>
      <c r="C79" s="54"/>
      <c r="D79" s="54"/>
      <c r="E79" s="55"/>
      <c r="F79" s="75"/>
      <c r="G79" s="76"/>
      <c r="H79" s="76"/>
      <c r="I79" s="48"/>
      <c r="J79" s="70"/>
      <c r="K79" s="70"/>
      <c r="L79" s="261" t="s">
        <v>970</v>
      </c>
      <c r="M79" s="199" t="s">
        <v>294</v>
      </c>
      <c r="N79" s="261" t="s">
        <v>34</v>
      </c>
      <c r="O79" s="262">
        <v>4</v>
      </c>
      <c r="P79" s="200">
        <v>133.57</v>
      </c>
      <c r="Q79" s="200">
        <v>534.26</v>
      </c>
      <c r="R79" s="182"/>
      <c r="U79" s="128"/>
    </row>
    <row r="80" spans="1:21" ht="15.6" x14ac:dyDescent="0.3">
      <c r="A80" s="53"/>
      <c r="B80" s="54"/>
      <c r="C80" s="54"/>
      <c r="D80" s="54"/>
      <c r="E80" s="55"/>
      <c r="F80" s="75"/>
      <c r="G80" s="76"/>
      <c r="H80" s="76"/>
      <c r="I80" s="48"/>
      <c r="J80" s="70"/>
      <c r="K80" s="70"/>
      <c r="L80" s="261" t="s">
        <v>971</v>
      </c>
      <c r="M80" s="199" t="s">
        <v>296</v>
      </c>
      <c r="N80" s="261" t="s">
        <v>34</v>
      </c>
      <c r="O80" s="262">
        <v>3</v>
      </c>
      <c r="P80" s="200">
        <v>131.5</v>
      </c>
      <c r="Q80" s="200">
        <v>394.5</v>
      </c>
      <c r="R80" s="182"/>
      <c r="U80" s="128"/>
    </row>
    <row r="81" spans="1:21" ht="15.6" x14ac:dyDescent="0.3">
      <c r="A81" s="53"/>
      <c r="B81" s="54"/>
      <c r="C81" s="54"/>
      <c r="D81" s="54"/>
      <c r="E81" s="55"/>
      <c r="F81" s="75"/>
      <c r="G81" s="76"/>
      <c r="H81" s="76"/>
      <c r="I81" s="48"/>
      <c r="J81" s="70"/>
      <c r="K81" s="70"/>
      <c r="L81" s="261" t="s">
        <v>972</v>
      </c>
      <c r="M81" s="199" t="s">
        <v>297</v>
      </c>
      <c r="N81" s="261" t="s">
        <v>34</v>
      </c>
      <c r="O81" s="262">
        <v>1</v>
      </c>
      <c r="P81" s="200">
        <v>167</v>
      </c>
      <c r="Q81" s="200">
        <v>167</v>
      </c>
      <c r="R81" s="182"/>
      <c r="U81" s="128"/>
    </row>
    <row r="82" spans="1:21" ht="15.6" x14ac:dyDescent="0.3">
      <c r="A82" s="53"/>
      <c r="B82" s="54"/>
      <c r="C82" s="54"/>
      <c r="D82" s="54"/>
      <c r="E82" s="55"/>
      <c r="F82" s="75"/>
      <c r="G82" s="76"/>
      <c r="H82" s="76"/>
      <c r="I82" s="48"/>
      <c r="J82" s="70"/>
      <c r="K82" s="70"/>
      <c r="L82" s="261" t="s">
        <v>1125</v>
      </c>
      <c r="M82" s="199" t="s">
        <v>1211</v>
      </c>
      <c r="N82" s="261" t="s">
        <v>34</v>
      </c>
      <c r="O82" s="262">
        <v>1</v>
      </c>
      <c r="P82" s="200">
        <v>106.25</v>
      </c>
      <c r="Q82" s="200">
        <v>106.25</v>
      </c>
      <c r="R82" s="182"/>
      <c r="U82" s="128"/>
    </row>
    <row r="83" spans="1:21" ht="15.6" x14ac:dyDescent="0.3">
      <c r="A83" s="53"/>
      <c r="B83" s="54"/>
      <c r="C83" s="54"/>
      <c r="D83" s="54"/>
      <c r="E83" s="55"/>
      <c r="F83" s="75"/>
      <c r="G83" s="76"/>
      <c r="H83" s="76"/>
      <c r="I83" s="48"/>
      <c r="J83" s="70"/>
      <c r="K83" s="70"/>
      <c r="L83" s="261" t="s">
        <v>298</v>
      </c>
      <c r="M83" s="199" t="s">
        <v>299</v>
      </c>
      <c r="N83" s="261" t="s">
        <v>34</v>
      </c>
      <c r="O83" s="262">
        <v>5</v>
      </c>
      <c r="P83" s="200">
        <v>205.62</v>
      </c>
      <c r="Q83" s="201">
        <v>1028.1199999999999</v>
      </c>
      <c r="R83" s="182"/>
      <c r="U83" s="128"/>
    </row>
    <row r="84" spans="1:21" ht="15.6" x14ac:dyDescent="0.3">
      <c r="A84" s="53"/>
      <c r="B84" s="54"/>
      <c r="C84" s="54"/>
      <c r="D84" s="54"/>
      <c r="E84" s="55"/>
      <c r="F84" s="75"/>
      <c r="G84" s="76"/>
      <c r="H84" s="76"/>
      <c r="I84" s="48"/>
      <c r="J84" s="70"/>
      <c r="K84" s="70"/>
      <c r="L84" s="261" t="s">
        <v>896</v>
      </c>
      <c r="M84" s="199" t="s">
        <v>897</v>
      </c>
      <c r="N84" s="261" t="s">
        <v>34</v>
      </c>
      <c r="O84" s="262">
        <v>1.3</v>
      </c>
      <c r="P84" s="200">
        <v>486.48</v>
      </c>
      <c r="Q84" s="200">
        <v>632.41999999999996</v>
      </c>
      <c r="R84" s="182"/>
      <c r="U84" s="128"/>
    </row>
    <row r="85" spans="1:21" ht="15.6" x14ac:dyDescent="0.3">
      <c r="A85" s="53"/>
      <c r="B85" s="54"/>
      <c r="C85" s="54"/>
      <c r="D85" s="54"/>
      <c r="E85" s="55"/>
      <c r="F85" s="75"/>
      <c r="G85" s="76"/>
      <c r="H85" s="76"/>
      <c r="I85" s="48"/>
      <c r="J85" s="70"/>
      <c r="K85" s="70"/>
      <c r="L85" s="261" t="s">
        <v>1129</v>
      </c>
      <c r="M85" s="199" t="s">
        <v>1215</v>
      </c>
      <c r="N85" s="261" t="s">
        <v>34</v>
      </c>
      <c r="O85" s="262">
        <v>1</v>
      </c>
      <c r="P85" s="200">
        <v>489</v>
      </c>
      <c r="Q85" s="200">
        <v>489</v>
      </c>
      <c r="R85" s="182"/>
      <c r="U85" s="128"/>
    </row>
    <row r="86" spans="1:21" ht="15.6" x14ac:dyDescent="0.3">
      <c r="A86" s="53"/>
      <c r="B86" s="54"/>
      <c r="C86" s="54"/>
      <c r="D86" s="54"/>
      <c r="E86" s="55"/>
      <c r="F86" s="75"/>
      <c r="G86" s="76"/>
      <c r="H86" s="76"/>
      <c r="I86" s="48"/>
      <c r="J86" s="70"/>
      <c r="K86" s="70"/>
      <c r="L86" s="261" t="s">
        <v>1131</v>
      </c>
      <c r="M86" s="199" t="s">
        <v>1217</v>
      </c>
      <c r="N86" s="261" t="s">
        <v>34</v>
      </c>
      <c r="O86" s="262">
        <v>1</v>
      </c>
      <c r="P86" s="201">
        <v>2217.4499999999998</v>
      </c>
      <c r="Q86" s="201">
        <v>2217.4499999999998</v>
      </c>
      <c r="R86" s="182"/>
      <c r="U86" s="128"/>
    </row>
    <row r="87" spans="1:21" ht="15.6" x14ac:dyDescent="0.3">
      <c r="A87" s="53"/>
      <c r="B87" s="54"/>
      <c r="C87" s="54"/>
      <c r="D87" s="54"/>
      <c r="E87" s="55"/>
      <c r="F87" s="75"/>
      <c r="G87" s="76"/>
      <c r="H87" s="76"/>
      <c r="I87" s="48"/>
      <c r="J87" s="70"/>
      <c r="K87" s="70"/>
      <c r="L87" s="261" t="s">
        <v>1132</v>
      </c>
      <c r="M87" s="199" t="s">
        <v>1218</v>
      </c>
      <c r="N87" s="261" t="s">
        <v>34</v>
      </c>
      <c r="O87" s="262">
        <v>2</v>
      </c>
      <c r="P87" s="201">
        <v>2217.4499999999998</v>
      </c>
      <c r="Q87" s="201">
        <v>4434.8999999999996</v>
      </c>
      <c r="R87" s="182"/>
      <c r="U87" s="128"/>
    </row>
    <row r="88" spans="1:21" ht="15.6" x14ac:dyDescent="0.3">
      <c r="A88" s="53"/>
      <c r="B88" s="54"/>
      <c r="C88" s="54"/>
      <c r="D88" s="54"/>
      <c r="E88" s="55"/>
      <c r="F88" s="75"/>
      <c r="G88" s="76"/>
      <c r="H88" s="76"/>
      <c r="I88" s="48"/>
      <c r="J88" s="70"/>
      <c r="K88" s="70"/>
      <c r="L88" s="261" t="s">
        <v>304</v>
      </c>
      <c r="M88" s="199" t="s">
        <v>305</v>
      </c>
      <c r="N88" s="261" t="s">
        <v>34</v>
      </c>
      <c r="O88" s="262">
        <v>7</v>
      </c>
      <c r="P88" s="200">
        <v>63.7</v>
      </c>
      <c r="Q88" s="200">
        <v>445.9</v>
      </c>
      <c r="R88" s="182"/>
      <c r="U88" s="128"/>
    </row>
    <row r="89" spans="1:21" ht="15.6" x14ac:dyDescent="0.3">
      <c r="A89" s="53"/>
      <c r="B89" s="54"/>
      <c r="C89" s="54"/>
      <c r="D89" s="54"/>
      <c r="E89" s="55"/>
      <c r="F89" s="75"/>
      <c r="G89" s="76"/>
      <c r="H89" s="76"/>
      <c r="I89" s="48"/>
      <c r="J89" s="70"/>
      <c r="K89" s="70"/>
      <c r="L89" s="261" t="s">
        <v>761</v>
      </c>
      <c r="M89" s="199" t="s">
        <v>762</v>
      </c>
      <c r="N89" s="261" t="s">
        <v>34</v>
      </c>
      <c r="O89" s="262">
        <v>19</v>
      </c>
      <c r="P89" s="200">
        <v>65.64</v>
      </c>
      <c r="Q89" s="201">
        <v>1247.1600000000001</v>
      </c>
      <c r="R89" s="182"/>
      <c r="U89" s="128"/>
    </row>
    <row r="90" spans="1:21" ht="15.6" x14ac:dyDescent="0.3">
      <c r="A90" s="53"/>
      <c r="B90" s="54"/>
      <c r="C90" s="54"/>
      <c r="D90" s="54"/>
      <c r="E90" s="55"/>
      <c r="F90" s="75"/>
      <c r="G90" s="76"/>
      <c r="H90" s="76"/>
      <c r="I90" s="48"/>
      <c r="J90" s="70"/>
      <c r="K90" s="70"/>
      <c r="L90" s="261" t="s">
        <v>975</v>
      </c>
      <c r="M90" s="199" t="s">
        <v>763</v>
      </c>
      <c r="N90" s="261" t="s">
        <v>34</v>
      </c>
      <c r="O90" s="262">
        <v>8</v>
      </c>
      <c r="P90" s="200">
        <v>128.69</v>
      </c>
      <c r="Q90" s="201">
        <v>1029.52</v>
      </c>
      <c r="R90" s="182"/>
      <c r="U90" s="128"/>
    </row>
    <row r="91" spans="1:21" ht="15.6" x14ac:dyDescent="0.3">
      <c r="A91" s="53"/>
      <c r="B91" s="54"/>
      <c r="C91" s="54"/>
      <c r="D91" s="54"/>
      <c r="E91" s="55"/>
      <c r="F91" s="75"/>
      <c r="G91" s="76"/>
      <c r="H91" s="76"/>
      <c r="I91" s="48"/>
      <c r="J91" s="70"/>
      <c r="K91" s="70"/>
      <c r="L91" s="261" t="s">
        <v>869</v>
      </c>
      <c r="M91" s="199" t="s">
        <v>898</v>
      </c>
      <c r="N91" s="261" t="s">
        <v>34</v>
      </c>
      <c r="O91" s="262">
        <v>1</v>
      </c>
      <c r="P91" s="200">
        <v>368</v>
      </c>
      <c r="Q91" s="200">
        <v>368</v>
      </c>
      <c r="R91" s="182"/>
      <c r="U91" s="128"/>
    </row>
    <row r="92" spans="1:21" ht="15.6" x14ac:dyDescent="0.3">
      <c r="A92" s="53"/>
      <c r="B92" s="54"/>
      <c r="C92" s="54"/>
      <c r="D92" s="54"/>
      <c r="E92" s="55"/>
      <c r="F92" s="75"/>
      <c r="G92" s="76"/>
      <c r="H92" s="76"/>
      <c r="I92" s="48"/>
      <c r="J92" s="70"/>
      <c r="K92" s="70"/>
      <c r="L92" s="261" t="s">
        <v>870</v>
      </c>
      <c r="M92" s="199" t="s">
        <v>899</v>
      </c>
      <c r="N92" s="261" t="s">
        <v>34</v>
      </c>
      <c r="O92" s="262">
        <v>1</v>
      </c>
      <c r="P92" s="201">
        <v>1074.4000000000001</v>
      </c>
      <c r="Q92" s="201">
        <v>1074.4000000000001</v>
      </c>
      <c r="R92" s="182"/>
      <c r="U92" s="128"/>
    </row>
    <row r="93" spans="1:21" ht="15.6" x14ac:dyDescent="0.3">
      <c r="A93" s="53"/>
      <c r="B93" s="54"/>
      <c r="C93" s="54"/>
      <c r="D93" s="54"/>
      <c r="E93" s="55"/>
      <c r="F93" s="75"/>
      <c r="G93" s="76"/>
      <c r="H93" s="76"/>
      <c r="I93" s="48"/>
      <c r="J93" s="70"/>
      <c r="K93" s="70"/>
      <c r="L93" s="261" t="s">
        <v>900</v>
      </c>
      <c r="M93" s="199" t="s">
        <v>901</v>
      </c>
      <c r="N93" s="261" t="s">
        <v>34</v>
      </c>
      <c r="O93" s="262">
        <v>1</v>
      </c>
      <c r="P93" s="200">
        <v>64</v>
      </c>
      <c r="Q93" s="200">
        <v>64</v>
      </c>
      <c r="R93" s="182"/>
      <c r="U93" s="128"/>
    </row>
    <row r="94" spans="1:21" ht="15.6" x14ac:dyDescent="0.3">
      <c r="A94" s="53"/>
      <c r="B94" s="54"/>
      <c r="C94" s="54"/>
      <c r="D94" s="54"/>
      <c r="E94" s="55"/>
      <c r="F94" s="75"/>
      <c r="G94" s="76"/>
      <c r="H94" s="76"/>
      <c r="I94" s="48"/>
      <c r="J94" s="70"/>
      <c r="K94" s="70"/>
      <c r="L94" s="261" t="s">
        <v>866</v>
      </c>
      <c r="M94" s="199" t="s">
        <v>919</v>
      </c>
      <c r="N94" s="261" t="s">
        <v>34</v>
      </c>
      <c r="O94" s="262">
        <v>2</v>
      </c>
      <c r="P94" s="201">
        <v>2690</v>
      </c>
      <c r="Q94" s="201">
        <v>5380</v>
      </c>
      <c r="R94" s="182"/>
      <c r="U94" s="128"/>
    </row>
    <row r="95" spans="1:21" ht="15.6" x14ac:dyDescent="0.3">
      <c r="A95" s="53"/>
      <c r="B95" s="54"/>
      <c r="C95" s="54"/>
      <c r="D95" s="54"/>
      <c r="E95" s="55"/>
      <c r="F95" s="75"/>
      <c r="G95" s="76"/>
      <c r="H95" s="76"/>
      <c r="I95" s="48"/>
      <c r="J95" s="70"/>
      <c r="K95" s="70"/>
      <c r="L95" s="261" t="s">
        <v>782</v>
      </c>
      <c r="M95" s="199" t="s">
        <v>783</v>
      </c>
      <c r="N95" s="261" t="s">
        <v>34</v>
      </c>
      <c r="O95" s="262">
        <v>2</v>
      </c>
      <c r="P95" s="201">
        <v>2778.33</v>
      </c>
      <c r="Q95" s="201">
        <v>5556.66</v>
      </c>
      <c r="R95" s="182"/>
      <c r="U95" s="128"/>
    </row>
    <row r="96" spans="1:21" ht="15.6" x14ac:dyDescent="0.3">
      <c r="A96" s="53"/>
      <c r="B96" s="54"/>
      <c r="C96" s="54"/>
      <c r="D96" s="54"/>
      <c r="E96" s="55"/>
      <c r="F96" s="75"/>
      <c r="G96" s="76"/>
      <c r="H96" s="76"/>
      <c r="I96" s="48"/>
      <c r="J96" s="70"/>
      <c r="K96" s="70"/>
      <c r="L96" s="261" t="s">
        <v>754</v>
      </c>
      <c r="M96" s="199" t="s">
        <v>755</v>
      </c>
      <c r="N96" s="261" t="s">
        <v>34</v>
      </c>
      <c r="O96" s="262">
        <v>1</v>
      </c>
      <c r="P96" s="201">
        <v>7084</v>
      </c>
      <c r="Q96" s="201">
        <v>7084</v>
      </c>
      <c r="R96" s="182"/>
      <c r="U96" s="128"/>
    </row>
    <row r="97" spans="1:21" ht="15.6" x14ac:dyDescent="0.3">
      <c r="A97" s="53"/>
      <c r="B97" s="54"/>
      <c r="C97" s="54"/>
      <c r="D97" s="54"/>
      <c r="E97" s="55"/>
      <c r="F97" s="75"/>
      <c r="G97" s="76"/>
      <c r="H97" s="76"/>
      <c r="I97" s="48"/>
      <c r="J97" s="70"/>
      <c r="K97" s="70"/>
      <c r="L97" s="261" t="s">
        <v>995</v>
      </c>
      <c r="M97" s="199" t="s">
        <v>1067</v>
      </c>
      <c r="N97" s="261" t="s">
        <v>34</v>
      </c>
      <c r="O97" s="262">
        <v>1</v>
      </c>
      <c r="P97" s="201">
        <v>7750</v>
      </c>
      <c r="Q97" s="201">
        <v>7750</v>
      </c>
      <c r="R97" s="182"/>
      <c r="U97" s="128"/>
    </row>
    <row r="98" spans="1:21" ht="15.6" x14ac:dyDescent="0.3">
      <c r="A98" s="53"/>
      <c r="B98" s="54"/>
      <c r="C98" s="54"/>
      <c r="D98" s="54"/>
      <c r="E98" s="55"/>
      <c r="F98" s="75"/>
      <c r="G98" s="76"/>
      <c r="H98" s="76"/>
      <c r="I98" s="48"/>
      <c r="J98" s="70"/>
      <c r="K98" s="70"/>
      <c r="L98" s="261" t="s">
        <v>994</v>
      </c>
      <c r="M98" s="199" t="s">
        <v>1066</v>
      </c>
      <c r="N98" s="261" t="s">
        <v>34</v>
      </c>
      <c r="O98" s="262">
        <v>1</v>
      </c>
      <c r="P98" s="201">
        <v>7750</v>
      </c>
      <c r="Q98" s="201">
        <v>7750</v>
      </c>
      <c r="R98" s="182"/>
      <c r="U98" s="128"/>
    </row>
    <row r="99" spans="1:21" ht="15.6" x14ac:dyDescent="0.3">
      <c r="A99" s="53"/>
      <c r="B99" s="54"/>
      <c r="C99" s="54"/>
      <c r="D99" s="54"/>
      <c r="E99" s="55"/>
      <c r="F99" s="75"/>
      <c r="G99" s="76"/>
      <c r="H99" s="76"/>
      <c r="I99" s="48"/>
      <c r="J99" s="70"/>
      <c r="K99" s="70"/>
      <c r="L99" s="261" t="s">
        <v>1093</v>
      </c>
      <c r="M99" s="199" t="s">
        <v>1097</v>
      </c>
      <c r="N99" s="261" t="s">
        <v>34</v>
      </c>
      <c r="O99" s="262">
        <v>1</v>
      </c>
      <c r="P99" s="201">
        <v>6116.67</v>
      </c>
      <c r="Q99" s="201">
        <v>6116.67</v>
      </c>
      <c r="R99" s="182"/>
      <c r="U99" s="128"/>
    </row>
    <row r="100" spans="1:21" ht="15.6" x14ac:dyDescent="0.3">
      <c r="A100" s="53"/>
      <c r="B100" s="54"/>
      <c r="C100" s="54"/>
      <c r="D100" s="54"/>
      <c r="E100" s="55"/>
      <c r="F100" s="75"/>
      <c r="G100" s="76"/>
      <c r="H100" s="76"/>
      <c r="I100" s="48"/>
      <c r="J100" s="70"/>
      <c r="K100" s="70"/>
      <c r="L100" s="261" t="s">
        <v>812</v>
      </c>
      <c r="M100" s="199" t="s">
        <v>813</v>
      </c>
      <c r="N100" s="261" t="s">
        <v>34</v>
      </c>
      <c r="O100" s="262">
        <v>1</v>
      </c>
      <c r="P100" s="201">
        <v>6500</v>
      </c>
      <c r="Q100" s="201">
        <v>6500</v>
      </c>
      <c r="R100" s="182"/>
      <c r="U100" s="128"/>
    </row>
    <row r="101" spans="1:21" ht="15.6" x14ac:dyDescent="0.3">
      <c r="A101" s="53"/>
      <c r="B101" s="54"/>
      <c r="C101" s="54"/>
      <c r="D101" s="54"/>
      <c r="E101" s="55"/>
      <c r="F101" s="75"/>
      <c r="G101" s="76"/>
      <c r="H101" s="76"/>
      <c r="I101" s="48"/>
      <c r="J101" s="70"/>
      <c r="K101" s="70"/>
      <c r="L101" s="261" t="s">
        <v>764</v>
      </c>
      <c r="M101" s="199" t="s">
        <v>765</v>
      </c>
      <c r="N101" s="261" t="s">
        <v>34</v>
      </c>
      <c r="O101" s="262">
        <v>14</v>
      </c>
      <c r="P101" s="200">
        <v>462.66</v>
      </c>
      <c r="Q101" s="201">
        <v>6477.24</v>
      </c>
      <c r="R101" s="182"/>
      <c r="U101" s="128"/>
    </row>
    <row r="102" spans="1:21" ht="15.6" x14ac:dyDescent="0.3">
      <c r="A102" s="53"/>
      <c r="B102" s="54"/>
      <c r="C102" s="54"/>
      <c r="D102" s="54"/>
      <c r="E102" s="55"/>
      <c r="F102" s="75"/>
      <c r="G102" s="76"/>
      <c r="H102" s="76"/>
      <c r="I102" s="48"/>
      <c r="J102" s="70"/>
      <c r="K102" s="70"/>
      <c r="L102" s="261" t="s">
        <v>973</v>
      </c>
      <c r="M102" s="199" t="s">
        <v>759</v>
      </c>
      <c r="N102" s="261" t="s">
        <v>34</v>
      </c>
      <c r="O102" s="262">
        <v>11</v>
      </c>
      <c r="P102" s="200">
        <v>567.96</v>
      </c>
      <c r="Q102" s="201">
        <v>6247.56</v>
      </c>
      <c r="R102" s="182"/>
      <c r="U102" s="128"/>
    </row>
    <row r="103" spans="1:21" ht="15.6" x14ac:dyDescent="0.3">
      <c r="A103" s="53"/>
      <c r="B103" s="54"/>
      <c r="C103" s="54"/>
      <c r="D103" s="54"/>
      <c r="E103" s="55"/>
      <c r="F103" s="75"/>
      <c r="G103" s="76"/>
      <c r="H103" s="76"/>
      <c r="I103" s="48"/>
      <c r="J103" s="70"/>
      <c r="K103" s="70"/>
      <c r="L103" s="261" t="s">
        <v>881</v>
      </c>
      <c r="M103" s="199" t="s">
        <v>1054</v>
      </c>
      <c r="N103" s="261" t="s">
        <v>34</v>
      </c>
      <c r="O103" s="262">
        <v>17</v>
      </c>
      <c r="P103" s="200">
        <v>366.22</v>
      </c>
      <c r="Q103" s="201">
        <v>6225.74</v>
      </c>
      <c r="R103" s="182"/>
      <c r="U103" s="128"/>
    </row>
    <row r="104" spans="1:21" ht="15.6" x14ac:dyDescent="0.3">
      <c r="A104" s="53"/>
      <c r="B104" s="54"/>
      <c r="C104" s="54"/>
      <c r="D104" s="54"/>
      <c r="E104" s="55"/>
      <c r="F104" s="75"/>
      <c r="G104" s="76"/>
      <c r="H104" s="76"/>
      <c r="I104" s="48"/>
      <c r="J104" s="70"/>
      <c r="K104" s="70"/>
      <c r="L104" s="261" t="s">
        <v>1130</v>
      </c>
      <c r="M104" s="199" t="s">
        <v>1216</v>
      </c>
      <c r="N104" s="261" t="s">
        <v>34</v>
      </c>
      <c r="O104" s="262">
        <v>1</v>
      </c>
      <c r="P104" s="201">
        <v>6064.17</v>
      </c>
      <c r="Q104" s="201">
        <v>6064.17</v>
      </c>
      <c r="R104" s="182"/>
      <c r="U104" s="128"/>
    </row>
    <row r="105" spans="1:21" ht="15.6" x14ac:dyDescent="0.3">
      <c r="A105" s="53"/>
      <c r="B105" s="54"/>
      <c r="C105" s="54"/>
      <c r="D105" s="54"/>
      <c r="E105" s="55"/>
      <c r="F105" s="75"/>
      <c r="G105" s="76"/>
      <c r="H105" s="76"/>
      <c r="I105" s="48"/>
      <c r="J105" s="70"/>
      <c r="K105" s="70"/>
      <c r="L105" s="261" t="s">
        <v>1123</v>
      </c>
      <c r="M105" s="199" t="s">
        <v>1209</v>
      </c>
      <c r="N105" s="261" t="s">
        <v>34</v>
      </c>
      <c r="O105" s="262">
        <v>1</v>
      </c>
      <c r="P105" s="200">
        <v>192.6</v>
      </c>
      <c r="Q105" s="200">
        <v>192.6</v>
      </c>
      <c r="R105" s="182"/>
      <c r="U105" s="128"/>
    </row>
    <row r="106" spans="1:21" ht="15.6" x14ac:dyDescent="0.3">
      <c r="A106" s="53"/>
      <c r="B106" s="54"/>
      <c r="C106" s="54"/>
      <c r="D106" s="54"/>
      <c r="E106" s="55"/>
      <c r="F106" s="75"/>
      <c r="G106" s="76"/>
      <c r="H106" s="76"/>
      <c r="I106" s="48"/>
      <c r="J106" s="70"/>
      <c r="K106" s="70"/>
      <c r="L106" s="261" t="s">
        <v>1136</v>
      </c>
      <c r="M106" s="199" t="s">
        <v>1223</v>
      </c>
      <c r="N106" s="261" t="s">
        <v>34</v>
      </c>
      <c r="O106" s="262">
        <v>0.13600000000000001</v>
      </c>
      <c r="P106" s="200">
        <v>152.5</v>
      </c>
      <c r="Q106" s="200">
        <v>20.74</v>
      </c>
      <c r="R106" s="182"/>
      <c r="U106" s="128"/>
    </row>
    <row r="107" spans="1:21" ht="15.6" x14ac:dyDescent="0.3">
      <c r="A107" s="53"/>
      <c r="B107" s="54"/>
      <c r="C107" s="54"/>
      <c r="D107" s="54"/>
      <c r="E107" s="55"/>
      <c r="F107" s="75"/>
      <c r="G107" s="76"/>
      <c r="H107" s="76"/>
      <c r="I107" s="48"/>
      <c r="J107" s="70"/>
      <c r="K107" s="70"/>
      <c r="L107" s="261" t="s">
        <v>977</v>
      </c>
      <c r="M107" s="199" t="s">
        <v>1057</v>
      </c>
      <c r="N107" s="261" t="s">
        <v>34</v>
      </c>
      <c r="O107" s="262">
        <v>111</v>
      </c>
      <c r="P107" s="200">
        <v>3.94</v>
      </c>
      <c r="Q107" s="200">
        <v>437.34</v>
      </c>
      <c r="R107" s="182"/>
      <c r="U107" s="128"/>
    </row>
    <row r="108" spans="1:21" ht="15.6" x14ac:dyDescent="0.3">
      <c r="A108" s="53"/>
      <c r="B108" s="54"/>
      <c r="C108" s="54"/>
      <c r="D108" s="54"/>
      <c r="E108" s="55"/>
      <c r="F108" s="75"/>
      <c r="G108" s="76"/>
      <c r="H108" s="76"/>
      <c r="I108" s="48"/>
      <c r="J108" s="70"/>
      <c r="K108" s="70"/>
      <c r="L108" s="261" t="s">
        <v>978</v>
      </c>
      <c r="M108" s="199" t="s">
        <v>1058</v>
      </c>
      <c r="N108" s="261" t="s">
        <v>34</v>
      </c>
      <c r="O108" s="262">
        <v>190</v>
      </c>
      <c r="P108" s="200">
        <v>2.4300000000000002</v>
      </c>
      <c r="Q108" s="200">
        <v>461.7</v>
      </c>
      <c r="R108" s="182"/>
      <c r="U108" s="128"/>
    </row>
    <row r="109" spans="1:21" ht="15.6" x14ac:dyDescent="0.3">
      <c r="A109" s="53"/>
      <c r="B109" s="54"/>
      <c r="C109" s="54"/>
      <c r="D109" s="54"/>
      <c r="E109" s="55"/>
      <c r="F109" s="75"/>
      <c r="G109" s="76"/>
      <c r="H109" s="76"/>
      <c r="I109" s="48"/>
      <c r="J109" s="70"/>
      <c r="K109" s="70"/>
      <c r="L109" s="261" t="s">
        <v>736</v>
      </c>
      <c r="M109" s="199" t="s">
        <v>737</v>
      </c>
      <c r="N109" s="261" t="s">
        <v>34</v>
      </c>
      <c r="O109" s="262">
        <v>170</v>
      </c>
      <c r="P109" s="200">
        <v>3.94</v>
      </c>
      <c r="Q109" s="200">
        <v>669.8</v>
      </c>
      <c r="R109" s="182"/>
      <c r="U109" s="128"/>
    </row>
    <row r="110" spans="1:21" ht="15.6" x14ac:dyDescent="0.3">
      <c r="A110" s="53"/>
      <c r="B110" s="54"/>
      <c r="C110" s="54"/>
      <c r="D110" s="54"/>
      <c r="E110" s="55"/>
      <c r="F110" s="75"/>
      <c r="G110" s="76"/>
      <c r="H110" s="76"/>
      <c r="I110" s="48"/>
      <c r="J110" s="70"/>
      <c r="K110" s="70"/>
      <c r="L110" s="261" t="s">
        <v>738</v>
      </c>
      <c r="M110" s="199" t="s">
        <v>739</v>
      </c>
      <c r="N110" s="261" t="s">
        <v>34</v>
      </c>
      <c r="O110" s="262">
        <v>186</v>
      </c>
      <c r="P110" s="200">
        <v>5.6</v>
      </c>
      <c r="Q110" s="201">
        <v>1041.9100000000001</v>
      </c>
      <c r="R110" s="182"/>
      <c r="U110" s="128"/>
    </row>
    <row r="111" spans="1:21" ht="15.6" x14ac:dyDescent="0.3">
      <c r="A111" s="53"/>
      <c r="B111" s="54"/>
      <c r="C111" s="54"/>
      <c r="D111" s="54"/>
      <c r="E111" s="55"/>
      <c r="F111" s="75"/>
      <c r="G111" s="76"/>
      <c r="H111" s="76"/>
      <c r="I111" s="48"/>
      <c r="J111" s="70"/>
      <c r="K111" s="70"/>
      <c r="L111" s="261" t="s">
        <v>271</v>
      </c>
      <c r="M111" s="199" t="s">
        <v>1059</v>
      </c>
      <c r="N111" s="261" t="s">
        <v>34</v>
      </c>
      <c r="O111" s="262">
        <v>4</v>
      </c>
      <c r="P111" s="200">
        <v>52.89</v>
      </c>
      <c r="Q111" s="200">
        <v>211.54</v>
      </c>
      <c r="R111" s="182"/>
      <c r="U111" s="128"/>
    </row>
    <row r="112" spans="1:21" ht="15.6" x14ac:dyDescent="0.3">
      <c r="A112" s="53"/>
      <c r="B112" s="54"/>
      <c r="C112" s="54"/>
      <c r="D112" s="54"/>
      <c r="E112" s="55"/>
      <c r="F112" s="75"/>
      <c r="G112" s="76"/>
      <c r="H112" s="76"/>
      <c r="I112" s="48"/>
      <c r="J112" s="70"/>
      <c r="K112" s="70"/>
      <c r="L112" s="261" t="s">
        <v>58</v>
      </c>
      <c r="M112" s="199" t="s">
        <v>67</v>
      </c>
      <c r="N112" s="261" t="s">
        <v>34</v>
      </c>
      <c r="O112" s="262">
        <v>9</v>
      </c>
      <c r="P112" s="200">
        <v>53.76</v>
      </c>
      <c r="Q112" s="200">
        <v>483.84</v>
      </c>
      <c r="R112" s="182"/>
      <c r="U112" s="128"/>
    </row>
    <row r="113" spans="1:21" ht="30" x14ac:dyDescent="0.3">
      <c r="A113" s="53"/>
      <c r="B113" s="54"/>
      <c r="C113" s="54"/>
      <c r="D113" s="54"/>
      <c r="E113" s="55"/>
      <c r="F113" s="75"/>
      <c r="G113" s="76"/>
      <c r="H113" s="76"/>
      <c r="I113" s="48"/>
      <c r="J113" s="70"/>
      <c r="K113" s="70"/>
      <c r="L113" s="261" t="s">
        <v>273</v>
      </c>
      <c r="M113" s="199" t="s">
        <v>274</v>
      </c>
      <c r="N113" s="261" t="s">
        <v>34</v>
      </c>
      <c r="O113" s="262">
        <v>2</v>
      </c>
      <c r="P113" s="200">
        <v>54.97</v>
      </c>
      <c r="Q113" s="200">
        <v>109.94</v>
      </c>
      <c r="R113" s="182"/>
      <c r="U113" s="128"/>
    </row>
    <row r="114" spans="1:21" ht="15.6" x14ac:dyDescent="0.3">
      <c r="A114" s="53"/>
      <c r="B114" s="54"/>
      <c r="C114" s="54"/>
      <c r="D114" s="54"/>
      <c r="E114" s="55"/>
      <c r="F114" s="75"/>
      <c r="G114" s="76"/>
      <c r="H114" s="76"/>
      <c r="I114" s="48"/>
      <c r="J114" s="70"/>
      <c r="K114" s="70"/>
      <c r="L114" s="261" t="s">
        <v>766</v>
      </c>
      <c r="M114" s="199" t="s">
        <v>767</v>
      </c>
      <c r="N114" s="261" t="s">
        <v>34</v>
      </c>
      <c r="O114" s="262">
        <v>1</v>
      </c>
      <c r="P114" s="201">
        <v>10432.950000000001</v>
      </c>
      <c r="Q114" s="201">
        <v>10432.950000000001</v>
      </c>
      <c r="R114" s="182"/>
      <c r="U114" s="128"/>
    </row>
    <row r="115" spans="1:21" ht="15.6" x14ac:dyDescent="0.3">
      <c r="A115" s="53"/>
      <c r="B115" s="54"/>
      <c r="C115" s="54"/>
      <c r="D115" s="54"/>
      <c r="E115" s="55"/>
      <c r="F115" s="75"/>
      <c r="G115" s="76"/>
      <c r="H115" s="76"/>
      <c r="I115" s="48"/>
      <c r="J115" s="70"/>
      <c r="K115" s="70"/>
      <c r="L115" s="261" t="s">
        <v>1011</v>
      </c>
      <c r="M115" s="199" t="s">
        <v>815</v>
      </c>
      <c r="N115" s="261" t="s">
        <v>34</v>
      </c>
      <c r="O115" s="262">
        <v>14</v>
      </c>
      <c r="P115" s="200">
        <v>865.5</v>
      </c>
      <c r="Q115" s="201">
        <v>12117</v>
      </c>
      <c r="R115" s="182"/>
      <c r="U115" s="128"/>
    </row>
    <row r="116" spans="1:21" ht="15.6" x14ac:dyDescent="0.3">
      <c r="A116" s="53"/>
      <c r="B116" s="54"/>
      <c r="C116" s="54"/>
      <c r="D116" s="54"/>
      <c r="E116" s="55"/>
      <c r="F116" s="75"/>
      <c r="G116" s="76"/>
      <c r="H116" s="76"/>
      <c r="I116" s="48"/>
      <c r="J116" s="70"/>
      <c r="K116" s="70"/>
      <c r="L116" s="261" t="s">
        <v>864</v>
      </c>
      <c r="M116" s="199" t="s">
        <v>929</v>
      </c>
      <c r="N116" s="261" t="s">
        <v>34</v>
      </c>
      <c r="O116" s="262">
        <v>4</v>
      </c>
      <c r="P116" s="201">
        <v>2220.42</v>
      </c>
      <c r="Q116" s="201">
        <v>8881.68</v>
      </c>
      <c r="R116" s="182"/>
      <c r="U116" s="128"/>
    </row>
    <row r="117" spans="1:21" ht="15.6" x14ac:dyDescent="0.3">
      <c r="A117" s="53"/>
      <c r="B117" s="54"/>
      <c r="C117" s="54"/>
      <c r="D117" s="54"/>
      <c r="E117" s="55"/>
      <c r="F117" s="75"/>
      <c r="G117" s="76"/>
      <c r="H117" s="76"/>
      <c r="I117" s="48"/>
      <c r="J117" s="70"/>
      <c r="K117" s="70"/>
      <c r="L117" s="261" t="s">
        <v>860</v>
      </c>
      <c r="M117" s="199" t="s">
        <v>922</v>
      </c>
      <c r="N117" s="261" t="s">
        <v>34</v>
      </c>
      <c r="O117" s="262">
        <v>1</v>
      </c>
      <c r="P117" s="201">
        <v>8518.91</v>
      </c>
      <c r="Q117" s="201">
        <v>8518.91</v>
      </c>
      <c r="R117" s="182"/>
      <c r="U117" s="128"/>
    </row>
    <row r="118" spans="1:21" ht="15.6" x14ac:dyDescent="0.3">
      <c r="A118" s="53"/>
      <c r="B118" s="54"/>
      <c r="C118" s="54"/>
      <c r="D118" s="54"/>
      <c r="E118" s="55"/>
      <c r="F118" s="75"/>
      <c r="G118" s="76"/>
      <c r="H118" s="76"/>
      <c r="I118" s="48"/>
      <c r="J118" s="70"/>
      <c r="K118" s="70"/>
      <c r="L118" s="261" t="s">
        <v>974</v>
      </c>
      <c r="M118" s="199" t="s">
        <v>760</v>
      </c>
      <c r="N118" s="261" t="s">
        <v>34</v>
      </c>
      <c r="O118" s="262">
        <v>4</v>
      </c>
      <c r="P118" s="201">
        <v>2213.64</v>
      </c>
      <c r="Q118" s="201">
        <v>8854.56</v>
      </c>
      <c r="R118" s="182"/>
      <c r="U118" s="128"/>
    </row>
    <row r="119" spans="1:21" ht="15.6" x14ac:dyDescent="0.3">
      <c r="A119" s="53"/>
      <c r="B119" s="54"/>
      <c r="C119" s="54"/>
      <c r="D119" s="54"/>
      <c r="E119" s="55"/>
      <c r="F119" s="75"/>
      <c r="G119" s="76"/>
      <c r="H119" s="76"/>
      <c r="I119" s="48"/>
      <c r="J119" s="70"/>
      <c r="K119" s="70"/>
      <c r="L119" s="261" t="s">
        <v>863</v>
      </c>
      <c r="M119" s="199" t="s">
        <v>926</v>
      </c>
      <c r="N119" s="261" t="s">
        <v>34</v>
      </c>
      <c r="O119" s="262">
        <v>1</v>
      </c>
      <c r="P119" s="201">
        <v>8590</v>
      </c>
      <c r="Q119" s="201">
        <v>8590</v>
      </c>
      <c r="R119" s="182"/>
      <c r="U119" s="128"/>
    </row>
    <row r="120" spans="1:21" ht="15.6" x14ac:dyDescent="0.3">
      <c r="A120" s="53"/>
      <c r="B120" s="54"/>
      <c r="C120" s="54"/>
      <c r="D120" s="54"/>
      <c r="E120" s="55"/>
      <c r="F120" s="75"/>
      <c r="G120" s="76"/>
      <c r="H120" s="76"/>
      <c r="I120" s="48"/>
      <c r="J120" s="70"/>
      <c r="K120" s="70"/>
      <c r="L120" s="261" t="s">
        <v>861</v>
      </c>
      <c r="M120" s="199" t="s">
        <v>917</v>
      </c>
      <c r="N120" s="261" t="s">
        <v>34</v>
      </c>
      <c r="O120" s="262">
        <v>1</v>
      </c>
      <c r="P120" s="201">
        <v>8250</v>
      </c>
      <c r="Q120" s="201">
        <v>8250</v>
      </c>
      <c r="R120" s="182"/>
      <c r="U120" s="128"/>
    </row>
    <row r="121" spans="1:21" ht="15.6" x14ac:dyDescent="0.3">
      <c r="A121" s="53"/>
      <c r="B121" s="54"/>
      <c r="C121" s="54"/>
      <c r="D121" s="54"/>
      <c r="E121" s="55"/>
      <c r="F121" s="75"/>
      <c r="G121" s="76"/>
      <c r="H121" s="76"/>
      <c r="I121" s="48"/>
      <c r="J121" s="70"/>
      <c r="K121" s="70"/>
      <c r="L121" s="261" t="s">
        <v>979</v>
      </c>
      <c r="M121" s="199" t="s">
        <v>73</v>
      </c>
      <c r="N121" s="261" t="s">
        <v>34</v>
      </c>
      <c r="O121" s="262">
        <v>3</v>
      </c>
      <c r="P121" s="200">
        <v>377.87</v>
      </c>
      <c r="Q121" s="201">
        <v>1133.6099999999999</v>
      </c>
      <c r="R121" s="182"/>
      <c r="U121" s="128"/>
    </row>
    <row r="122" spans="1:21" ht="15.6" x14ac:dyDescent="0.3">
      <c r="A122" s="53"/>
      <c r="B122" s="54"/>
      <c r="C122" s="54"/>
      <c r="D122" s="54"/>
      <c r="E122" s="55"/>
      <c r="F122" s="75"/>
      <c r="G122" s="76"/>
      <c r="H122" s="76"/>
      <c r="I122" s="48"/>
      <c r="J122" s="70"/>
      <c r="K122" s="70"/>
      <c r="L122" s="261" t="s">
        <v>1099</v>
      </c>
      <c r="M122" s="199" t="s">
        <v>1100</v>
      </c>
      <c r="N122" s="261" t="s">
        <v>34</v>
      </c>
      <c r="O122" s="262">
        <v>1</v>
      </c>
      <c r="P122" s="200">
        <v>35</v>
      </c>
      <c r="Q122" s="200">
        <v>35</v>
      </c>
      <c r="R122" s="182"/>
      <c r="U122" s="128"/>
    </row>
    <row r="123" spans="1:21" ht="15.6" x14ac:dyDescent="0.3">
      <c r="A123" s="53"/>
      <c r="B123" s="54"/>
      <c r="C123" s="54"/>
      <c r="D123" s="54"/>
      <c r="E123" s="55"/>
      <c r="F123" s="75"/>
      <c r="G123" s="76"/>
      <c r="H123" s="76"/>
      <c r="I123" s="48"/>
      <c r="J123" s="70"/>
      <c r="K123" s="70"/>
      <c r="L123" s="261" t="s">
        <v>164</v>
      </c>
      <c r="M123" s="199" t="s">
        <v>165</v>
      </c>
      <c r="N123" s="261" t="s">
        <v>34</v>
      </c>
      <c r="O123" s="262">
        <v>1</v>
      </c>
      <c r="P123" s="200">
        <v>323.88</v>
      </c>
      <c r="Q123" s="200">
        <v>323.88</v>
      </c>
      <c r="R123" s="182"/>
      <c r="U123" s="128"/>
    </row>
    <row r="124" spans="1:21" ht="15.6" x14ac:dyDescent="0.3">
      <c r="A124" s="53"/>
      <c r="B124" s="54"/>
      <c r="C124" s="54"/>
      <c r="D124" s="54"/>
      <c r="E124" s="55"/>
      <c r="F124" s="75"/>
      <c r="G124" s="76"/>
      <c r="H124" s="76"/>
      <c r="I124" s="48"/>
      <c r="J124" s="70"/>
      <c r="K124" s="70"/>
      <c r="L124" s="261" t="s">
        <v>282</v>
      </c>
      <c r="M124" s="199" t="s">
        <v>283</v>
      </c>
      <c r="N124" s="261" t="s">
        <v>34</v>
      </c>
      <c r="O124" s="262">
        <v>1</v>
      </c>
      <c r="P124" s="200">
        <v>81.599999999999994</v>
      </c>
      <c r="Q124" s="200">
        <v>81.599999999999994</v>
      </c>
      <c r="R124" s="182"/>
      <c r="U124" s="128"/>
    </row>
    <row r="125" spans="1:21" ht="15.6" x14ac:dyDescent="0.3">
      <c r="A125" s="53"/>
      <c r="B125" s="54"/>
      <c r="C125" s="54"/>
      <c r="D125" s="54"/>
      <c r="E125" s="55"/>
      <c r="F125" s="75"/>
      <c r="G125" s="76"/>
      <c r="H125" s="76"/>
      <c r="I125" s="48"/>
      <c r="J125" s="70"/>
      <c r="K125" s="70"/>
      <c r="L125" s="261" t="s">
        <v>980</v>
      </c>
      <c r="M125" s="199" t="s">
        <v>284</v>
      </c>
      <c r="N125" s="261" t="s">
        <v>34</v>
      </c>
      <c r="O125" s="262">
        <v>3</v>
      </c>
      <c r="P125" s="200">
        <v>84.36</v>
      </c>
      <c r="Q125" s="200">
        <v>253.08</v>
      </c>
      <c r="R125" s="182"/>
      <c r="U125" s="128"/>
    </row>
    <row r="126" spans="1:21" ht="15.6" x14ac:dyDescent="0.3">
      <c r="A126" s="53"/>
      <c r="B126" s="54"/>
      <c r="C126" s="54"/>
      <c r="D126" s="54"/>
      <c r="E126" s="55"/>
      <c r="F126" s="75"/>
      <c r="G126" s="76"/>
      <c r="H126" s="76"/>
      <c r="I126" s="48"/>
      <c r="J126" s="70"/>
      <c r="K126" s="70"/>
      <c r="L126" s="261" t="s">
        <v>1092</v>
      </c>
      <c r="M126" s="199" t="s">
        <v>1096</v>
      </c>
      <c r="N126" s="261" t="s">
        <v>34</v>
      </c>
      <c r="O126" s="262">
        <v>1</v>
      </c>
      <c r="P126" s="200">
        <v>128.24</v>
      </c>
      <c r="Q126" s="200">
        <v>128.24</v>
      </c>
      <c r="R126" s="182"/>
      <c r="U126" s="128"/>
    </row>
    <row r="127" spans="1:21" ht="15.6" x14ac:dyDescent="0.3">
      <c r="A127" s="53"/>
      <c r="B127" s="54"/>
      <c r="C127" s="54"/>
      <c r="D127" s="54"/>
      <c r="E127" s="55"/>
      <c r="F127" s="75"/>
      <c r="G127" s="76"/>
      <c r="H127" s="76"/>
      <c r="I127" s="48"/>
      <c r="J127" s="70"/>
      <c r="K127" s="70"/>
      <c r="L127" s="261" t="s">
        <v>879</v>
      </c>
      <c r="M127" s="199" t="s">
        <v>880</v>
      </c>
      <c r="N127" s="261" t="s">
        <v>34</v>
      </c>
      <c r="O127" s="262">
        <v>1</v>
      </c>
      <c r="P127" s="201">
        <v>2454.9899999999998</v>
      </c>
      <c r="Q127" s="201">
        <v>2454.9899999999998</v>
      </c>
      <c r="R127" s="182"/>
      <c r="U127" s="128"/>
    </row>
    <row r="128" spans="1:21" ht="15.6" x14ac:dyDescent="0.3">
      <c r="A128" s="53"/>
      <c r="B128" s="54"/>
      <c r="C128" s="54"/>
      <c r="D128" s="54"/>
      <c r="E128" s="55"/>
      <c r="F128" s="75"/>
      <c r="G128" s="76"/>
      <c r="H128" s="76"/>
      <c r="I128" s="48"/>
      <c r="J128" s="70"/>
      <c r="K128" s="70"/>
      <c r="L128" s="261" t="s">
        <v>1138</v>
      </c>
      <c r="M128" s="199" t="s">
        <v>1225</v>
      </c>
      <c r="N128" s="261" t="s">
        <v>34</v>
      </c>
      <c r="O128" s="262">
        <v>2</v>
      </c>
      <c r="P128" s="200">
        <v>99.92</v>
      </c>
      <c r="Q128" s="200">
        <v>199.84</v>
      </c>
      <c r="R128" s="182"/>
      <c r="U128" s="128"/>
    </row>
    <row r="129" spans="1:21" ht="15.6" x14ac:dyDescent="0.3">
      <c r="A129" s="53"/>
      <c r="B129" s="54"/>
      <c r="C129" s="54"/>
      <c r="D129" s="54"/>
      <c r="E129" s="55"/>
      <c r="F129" s="75"/>
      <c r="G129" s="76"/>
      <c r="H129" s="76"/>
      <c r="I129" s="48"/>
      <c r="J129" s="70"/>
      <c r="K129" s="70"/>
      <c r="L129" s="261" t="s">
        <v>981</v>
      </c>
      <c r="M129" s="199" t="s">
        <v>285</v>
      </c>
      <c r="N129" s="261" t="s">
        <v>34</v>
      </c>
      <c r="O129" s="262">
        <v>1</v>
      </c>
      <c r="P129" s="200">
        <v>85.3</v>
      </c>
      <c r="Q129" s="200">
        <v>85.3</v>
      </c>
      <c r="R129" s="182"/>
      <c r="U129" s="128"/>
    </row>
    <row r="130" spans="1:21" ht="15.6" x14ac:dyDescent="0.3">
      <c r="A130" s="53"/>
      <c r="B130" s="54"/>
      <c r="C130" s="54"/>
      <c r="D130" s="54"/>
      <c r="E130" s="55"/>
      <c r="F130" s="75"/>
      <c r="G130" s="76"/>
      <c r="H130" s="76"/>
      <c r="I130" s="48"/>
      <c r="J130" s="70"/>
      <c r="K130" s="70"/>
      <c r="L130" s="261" t="s">
        <v>982</v>
      </c>
      <c r="M130" s="199" t="s">
        <v>751</v>
      </c>
      <c r="N130" s="261" t="s">
        <v>34</v>
      </c>
      <c r="O130" s="262">
        <v>3</v>
      </c>
      <c r="P130" s="200">
        <v>15.5</v>
      </c>
      <c r="Q130" s="200">
        <v>46.5</v>
      </c>
      <c r="R130" s="182"/>
      <c r="U130" s="128"/>
    </row>
    <row r="131" spans="1:21" ht="15.6" x14ac:dyDescent="0.3">
      <c r="A131" s="53"/>
      <c r="B131" s="54"/>
      <c r="C131" s="54"/>
      <c r="D131" s="54"/>
      <c r="E131" s="55"/>
      <c r="F131" s="75"/>
      <c r="G131" s="76"/>
      <c r="H131" s="76"/>
      <c r="I131" s="48"/>
      <c r="J131" s="70"/>
      <c r="K131" s="70"/>
      <c r="L131" s="261" t="s">
        <v>862</v>
      </c>
      <c r="M131" s="199" t="s">
        <v>1045</v>
      </c>
      <c r="N131" s="261" t="s">
        <v>34</v>
      </c>
      <c r="O131" s="262">
        <v>1</v>
      </c>
      <c r="P131" s="201">
        <v>14908.72</v>
      </c>
      <c r="Q131" s="201">
        <v>14908.72</v>
      </c>
      <c r="R131" s="182"/>
      <c r="U131" s="128"/>
    </row>
    <row r="132" spans="1:21" ht="15.6" x14ac:dyDescent="0.3">
      <c r="A132" s="53"/>
      <c r="B132" s="54"/>
      <c r="C132" s="54"/>
      <c r="D132" s="54"/>
      <c r="E132" s="55"/>
      <c r="F132" s="75"/>
      <c r="G132" s="76"/>
      <c r="H132" s="76"/>
      <c r="I132" s="48"/>
      <c r="J132" s="70"/>
      <c r="K132" s="70"/>
      <c r="L132" s="261" t="s">
        <v>954</v>
      </c>
      <c r="M132" s="199" t="s">
        <v>1048</v>
      </c>
      <c r="N132" s="261" t="s">
        <v>34</v>
      </c>
      <c r="O132" s="262">
        <v>0.05</v>
      </c>
      <c r="P132" s="200">
        <v>291</v>
      </c>
      <c r="Q132" s="200">
        <v>14.55</v>
      </c>
      <c r="R132" s="182"/>
      <c r="U132" s="128"/>
    </row>
    <row r="133" spans="1:21" ht="15.6" x14ac:dyDescent="0.3">
      <c r="A133" s="53"/>
      <c r="B133" s="54"/>
      <c r="C133" s="54"/>
      <c r="D133" s="54"/>
      <c r="E133" s="55"/>
      <c r="F133" s="75"/>
      <c r="G133" s="76"/>
      <c r="H133" s="76"/>
      <c r="I133" s="48"/>
      <c r="J133" s="70"/>
      <c r="K133" s="70"/>
      <c r="L133" s="261" t="s">
        <v>1140</v>
      </c>
      <c r="M133" s="199" t="s">
        <v>1227</v>
      </c>
      <c r="N133" s="261" t="s">
        <v>34</v>
      </c>
      <c r="O133" s="262">
        <v>2</v>
      </c>
      <c r="P133" s="201">
        <v>1042.5</v>
      </c>
      <c r="Q133" s="201">
        <v>2085</v>
      </c>
      <c r="R133" s="182"/>
      <c r="U133" s="128"/>
    </row>
    <row r="134" spans="1:21" ht="15.6" x14ac:dyDescent="0.3">
      <c r="A134" s="53"/>
      <c r="B134" s="54"/>
      <c r="C134" s="54"/>
      <c r="D134" s="54"/>
      <c r="E134" s="55"/>
      <c r="F134" s="75"/>
      <c r="G134" s="76"/>
      <c r="H134" s="76"/>
      <c r="I134" s="48"/>
      <c r="J134" s="70"/>
      <c r="K134" s="70"/>
      <c r="L134" s="261" t="s">
        <v>859</v>
      </c>
      <c r="M134" s="199" t="s">
        <v>904</v>
      </c>
      <c r="N134" s="261" t="s">
        <v>34</v>
      </c>
      <c r="O134" s="262">
        <v>1</v>
      </c>
      <c r="P134" s="201">
        <v>4233.3500000000004</v>
      </c>
      <c r="Q134" s="201">
        <v>4233.3500000000004</v>
      </c>
      <c r="R134" s="182"/>
      <c r="U134" s="128"/>
    </row>
    <row r="135" spans="1:21" ht="15.6" x14ac:dyDescent="0.3">
      <c r="A135" s="53"/>
      <c r="B135" s="54"/>
      <c r="C135" s="54"/>
      <c r="D135" s="54"/>
      <c r="E135" s="55"/>
      <c r="F135" s="75"/>
      <c r="G135" s="76"/>
      <c r="H135" s="76"/>
      <c r="I135" s="48"/>
      <c r="J135" s="70"/>
      <c r="K135" s="70"/>
      <c r="L135" s="261" t="s">
        <v>868</v>
      </c>
      <c r="M135" s="199" t="s">
        <v>1047</v>
      </c>
      <c r="N135" s="261" t="s">
        <v>34</v>
      </c>
      <c r="O135" s="262">
        <v>1</v>
      </c>
      <c r="P135" s="200">
        <v>845.99</v>
      </c>
      <c r="Q135" s="200">
        <v>845.99</v>
      </c>
      <c r="R135" s="182"/>
      <c r="U135" s="128"/>
    </row>
    <row r="136" spans="1:21" ht="15.6" x14ac:dyDescent="0.3">
      <c r="A136" s="53"/>
      <c r="B136" s="54"/>
      <c r="C136" s="54"/>
      <c r="D136" s="54"/>
      <c r="E136" s="55"/>
      <c r="F136" s="75"/>
      <c r="G136" s="76"/>
      <c r="H136" s="76"/>
      <c r="I136" s="48"/>
      <c r="J136" s="70"/>
      <c r="K136" s="70"/>
      <c r="L136" s="261" t="s">
        <v>1291</v>
      </c>
      <c r="M136" s="199" t="s">
        <v>1326</v>
      </c>
      <c r="N136" s="261" t="s">
        <v>34</v>
      </c>
      <c r="O136" s="262">
        <v>1</v>
      </c>
      <c r="P136" s="200">
        <v>180</v>
      </c>
      <c r="Q136" s="200">
        <v>180</v>
      </c>
      <c r="R136" s="182"/>
      <c r="U136" s="128"/>
    </row>
    <row r="137" spans="1:21" ht="15.6" x14ac:dyDescent="0.3">
      <c r="A137" s="53"/>
      <c r="B137" s="54"/>
      <c r="C137" s="54"/>
      <c r="D137" s="54"/>
      <c r="E137" s="55"/>
      <c r="F137" s="75"/>
      <c r="G137" s="76"/>
      <c r="H137" s="76"/>
      <c r="I137" s="48"/>
      <c r="J137" s="70"/>
      <c r="K137" s="70"/>
      <c r="L137" s="261" t="s">
        <v>789</v>
      </c>
      <c r="M137" s="199" t="s">
        <v>790</v>
      </c>
      <c r="N137" s="261" t="s">
        <v>34</v>
      </c>
      <c r="O137" s="262">
        <v>16</v>
      </c>
      <c r="P137" s="200">
        <v>10</v>
      </c>
      <c r="Q137" s="200">
        <v>160</v>
      </c>
      <c r="R137" s="182"/>
      <c r="U137" s="128"/>
    </row>
    <row r="138" spans="1:21" ht="15.6" x14ac:dyDescent="0.3">
      <c r="A138" s="53"/>
      <c r="B138" s="54"/>
      <c r="C138" s="54"/>
      <c r="D138" s="54"/>
      <c r="E138" s="55"/>
      <c r="F138" s="75"/>
      <c r="G138" s="76"/>
      <c r="H138" s="76"/>
      <c r="I138" s="48"/>
      <c r="J138" s="70"/>
      <c r="K138" s="70"/>
      <c r="L138" s="261" t="s">
        <v>791</v>
      </c>
      <c r="M138" s="199" t="s">
        <v>792</v>
      </c>
      <c r="N138" s="261" t="s">
        <v>34</v>
      </c>
      <c r="O138" s="262">
        <v>5</v>
      </c>
      <c r="P138" s="200">
        <v>10</v>
      </c>
      <c r="Q138" s="200">
        <v>50</v>
      </c>
      <c r="R138" s="182"/>
      <c r="U138" s="128"/>
    </row>
    <row r="139" spans="1:21" ht="15.6" x14ac:dyDescent="0.3">
      <c r="A139" s="53"/>
      <c r="B139" s="54"/>
      <c r="C139" s="54"/>
      <c r="D139" s="54"/>
      <c r="E139" s="55"/>
      <c r="F139" s="75"/>
      <c r="G139" s="76"/>
      <c r="H139" s="76"/>
      <c r="I139" s="48"/>
      <c r="J139" s="70"/>
      <c r="K139" s="70"/>
      <c r="L139" s="261" t="s">
        <v>796</v>
      </c>
      <c r="M139" s="199" t="s">
        <v>797</v>
      </c>
      <c r="N139" s="261" t="s">
        <v>34</v>
      </c>
      <c r="O139" s="262">
        <v>1.0900000000000001</v>
      </c>
      <c r="P139" s="200">
        <v>338.33</v>
      </c>
      <c r="Q139" s="200">
        <v>368.78</v>
      </c>
      <c r="R139" s="182"/>
      <c r="U139" s="128"/>
    </row>
    <row r="140" spans="1:21" ht="15.6" x14ac:dyDescent="0.3">
      <c r="A140" s="53"/>
      <c r="B140" s="54"/>
      <c r="C140" s="54"/>
      <c r="D140" s="54"/>
      <c r="E140" s="55"/>
      <c r="F140" s="75"/>
      <c r="G140" s="76"/>
      <c r="H140" s="76"/>
      <c r="I140" s="48"/>
      <c r="J140" s="70"/>
      <c r="K140" s="70"/>
      <c r="L140" s="261" t="s">
        <v>877</v>
      </c>
      <c r="M140" s="199" t="s">
        <v>878</v>
      </c>
      <c r="N140" s="261" t="s">
        <v>34</v>
      </c>
      <c r="O140" s="262">
        <v>1</v>
      </c>
      <c r="P140" s="200">
        <v>312.48</v>
      </c>
      <c r="Q140" s="200">
        <v>312.48</v>
      </c>
      <c r="R140" s="182"/>
      <c r="U140" s="128"/>
    </row>
    <row r="141" spans="1:21" ht="15.6" x14ac:dyDescent="0.3">
      <c r="A141" s="53"/>
      <c r="B141" s="54"/>
      <c r="C141" s="54"/>
      <c r="D141" s="54"/>
      <c r="E141" s="55"/>
      <c r="F141" s="75"/>
      <c r="G141" s="76"/>
      <c r="H141" s="76"/>
      <c r="I141" s="48"/>
      <c r="J141" s="70"/>
      <c r="K141" s="70"/>
      <c r="L141" s="261" t="s">
        <v>887</v>
      </c>
      <c r="M141" s="199" t="s">
        <v>888</v>
      </c>
      <c r="N141" s="261" t="s">
        <v>34</v>
      </c>
      <c r="O141" s="262">
        <v>3</v>
      </c>
      <c r="P141" s="200">
        <v>44.6</v>
      </c>
      <c r="Q141" s="200">
        <v>133.80000000000001</v>
      </c>
      <c r="R141" s="182"/>
      <c r="U141" s="128"/>
    </row>
    <row r="142" spans="1:21" ht="15.6" x14ac:dyDescent="0.3">
      <c r="A142" s="53"/>
      <c r="B142" s="54"/>
      <c r="C142" s="54"/>
      <c r="D142" s="54"/>
      <c r="E142" s="55"/>
      <c r="F142" s="75"/>
      <c r="G142" s="76"/>
      <c r="H142" s="76"/>
      <c r="I142" s="48"/>
      <c r="J142" s="70"/>
      <c r="K142" s="70"/>
      <c r="L142" s="261" t="s">
        <v>915</v>
      </c>
      <c r="M142" s="199" t="s">
        <v>916</v>
      </c>
      <c r="N142" s="261" t="s">
        <v>34</v>
      </c>
      <c r="O142" s="262">
        <v>1</v>
      </c>
      <c r="P142" s="200">
        <v>38.03</v>
      </c>
      <c r="Q142" s="200">
        <v>38.03</v>
      </c>
      <c r="R142" s="182"/>
      <c r="U142" s="128"/>
    </row>
    <row r="143" spans="1:21" ht="15.6" x14ac:dyDescent="0.3">
      <c r="A143" s="53"/>
      <c r="B143" s="54"/>
      <c r="C143" s="54"/>
      <c r="D143" s="54"/>
      <c r="E143" s="55"/>
      <c r="F143" s="75"/>
      <c r="G143" s="76"/>
      <c r="H143" s="76"/>
      <c r="I143" s="48"/>
      <c r="J143" s="70"/>
      <c r="K143" s="70"/>
      <c r="L143" s="261" t="s">
        <v>1149</v>
      </c>
      <c r="M143" s="199" t="s">
        <v>1236</v>
      </c>
      <c r="N143" s="261" t="s">
        <v>34</v>
      </c>
      <c r="O143" s="262">
        <v>1</v>
      </c>
      <c r="P143" s="200">
        <v>17.420000000000002</v>
      </c>
      <c r="Q143" s="200">
        <v>17.420000000000002</v>
      </c>
      <c r="R143" s="182"/>
      <c r="U143" s="128"/>
    </row>
    <row r="144" spans="1:21" ht="15.6" x14ac:dyDescent="0.3">
      <c r="A144" s="53"/>
      <c r="B144" s="54"/>
      <c r="C144" s="54"/>
      <c r="D144" s="54"/>
      <c r="E144" s="55"/>
      <c r="F144" s="75"/>
      <c r="G144" s="76"/>
      <c r="H144" s="76"/>
      <c r="I144" s="48"/>
      <c r="J144" s="70"/>
      <c r="K144" s="70"/>
      <c r="L144" s="261" t="s">
        <v>1150</v>
      </c>
      <c r="M144" s="199" t="s">
        <v>1237</v>
      </c>
      <c r="N144" s="261" t="s">
        <v>34</v>
      </c>
      <c r="O144" s="262">
        <v>116</v>
      </c>
      <c r="P144" s="200">
        <v>27.72</v>
      </c>
      <c r="Q144" s="201">
        <v>3215.52</v>
      </c>
      <c r="R144" s="182"/>
      <c r="U144" s="128"/>
    </row>
    <row r="145" spans="1:21" ht="15.6" x14ac:dyDescent="0.3">
      <c r="A145" s="53"/>
      <c r="B145" s="54"/>
      <c r="C145" s="54"/>
      <c r="D145" s="54"/>
      <c r="E145" s="55"/>
      <c r="F145" s="75"/>
      <c r="G145" s="76"/>
      <c r="H145" s="76"/>
      <c r="I145" s="48"/>
      <c r="J145" s="70"/>
      <c r="K145" s="70"/>
      <c r="L145" s="261" t="s">
        <v>793</v>
      </c>
      <c r="M145" s="199" t="s">
        <v>1052</v>
      </c>
      <c r="N145" s="261" t="s">
        <v>34</v>
      </c>
      <c r="O145" s="262">
        <v>73</v>
      </c>
      <c r="P145" s="200">
        <v>6.44</v>
      </c>
      <c r="Q145" s="200">
        <v>470.12</v>
      </c>
      <c r="R145" s="182"/>
      <c r="U145" s="128"/>
    </row>
    <row r="146" spans="1:21" ht="15.6" x14ac:dyDescent="0.3">
      <c r="A146" s="53"/>
      <c r="B146" s="54"/>
      <c r="C146" s="54"/>
      <c r="D146" s="54"/>
      <c r="E146" s="55"/>
      <c r="F146" s="75"/>
      <c r="G146" s="76"/>
      <c r="H146" s="76"/>
      <c r="I146" s="48"/>
      <c r="J146" s="70"/>
      <c r="K146" s="70"/>
      <c r="L146" s="261" t="s">
        <v>965</v>
      </c>
      <c r="M146" s="199" t="s">
        <v>382</v>
      </c>
      <c r="N146" s="261" t="s">
        <v>34</v>
      </c>
      <c r="O146" s="262">
        <v>16</v>
      </c>
      <c r="P146" s="200">
        <v>3.8</v>
      </c>
      <c r="Q146" s="200">
        <v>60.8</v>
      </c>
      <c r="R146" s="182"/>
      <c r="U146" s="128"/>
    </row>
    <row r="147" spans="1:21" ht="30" x14ac:dyDescent="0.3">
      <c r="A147" s="53"/>
      <c r="B147" s="54"/>
      <c r="C147" s="54"/>
      <c r="D147" s="54"/>
      <c r="E147" s="55"/>
      <c r="F147" s="75"/>
      <c r="G147" s="76"/>
      <c r="H147" s="76"/>
      <c r="I147" s="48"/>
      <c r="J147" s="70"/>
      <c r="K147" s="70"/>
      <c r="L147" s="261" t="s">
        <v>959</v>
      </c>
      <c r="M147" s="199" t="s">
        <v>1050</v>
      </c>
      <c r="N147" s="261" t="s">
        <v>34</v>
      </c>
      <c r="O147" s="262">
        <v>9</v>
      </c>
      <c r="P147" s="200">
        <v>13.9</v>
      </c>
      <c r="Q147" s="200">
        <v>125.1</v>
      </c>
      <c r="R147" s="182"/>
      <c r="U147" s="128"/>
    </row>
    <row r="148" spans="1:21" ht="30" x14ac:dyDescent="0.3">
      <c r="A148" s="53"/>
      <c r="B148" s="54"/>
      <c r="C148" s="54"/>
      <c r="D148" s="54"/>
      <c r="E148" s="55"/>
      <c r="F148" s="75"/>
      <c r="G148" s="76"/>
      <c r="H148" s="76"/>
      <c r="I148" s="48"/>
      <c r="J148" s="70"/>
      <c r="K148" s="70"/>
      <c r="L148" s="261" t="s">
        <v>960</v>
      </c>
      <c r="M148" s="199" t="s">
        <v>784</v>
      </c>
      <c r="N148" s="261" t="s">
        <v>34</v>
      </c>
      <c r="O148" s="262">
        <v>3</v>
      </c>
      <c r="P148" s="200">
        <v>13.9</v>
      </c>
      <c r="Q148" s="200">
        <v>41.7</v>
      </c>
      <c r="R148" s="182"/>
      <c r="U148" s="128"/>
    </row>
    <row r="149" spans="1:21" ht="15.6" x14ac:dyDescent="0.3">
      <c r="A149" s="53"/>
      <c r="B149" s="54"/>
      <c r="C149" s="54"/>
      <c r="D149" s="54"/>
      <c r="E149" s="55"/>
      <c r="F149" s="75"/>
      <c r="G149" s="76"/>
      <c r="H149" s="76"/>
      <c r="I149" s="48"/>
      <c r="J149" s="70"/>
      <c r="K149" s="70"/>
      <c r="L149" s="261" t="s">
        <v>363</v>
      </c>
      <c r="M149" s="199" t="s">
        <v>364</v>
      </c>
      <c r="N149" s="261" t="s">
        <v>34</v>
      </c>
      <c r="O149" s="262">
        <v>2</v>
      </c>
      <c r="P149" s="200">
        <v>108.4</v>
      </c>
      <c r="Q149" s="200">
        <v>216.8</v>
      </c>
      <c r="R149" s="182"/>
      <c r="U149" s="128"/>
    </row>
    <row r="150" spans="1:21" ht="15.6" x14ac:dyDescent="0.3">
      <c r="A150" s="53"/>
      <c r="B150" s="54"/>
      <c r="C150" s="54"/>
      <c r="D150" s="54"/>
      <c r="E150" s="55"/>
      <c r="F150" s="75"/>
      <c r="G150" s="76"/>
      <c r="H150" s="76"/>
      <c r="I150" s="48"/>
      <c r="J150" s="70"/>
      <c r="K150" s="70"/>
      <c r="L150" s="261" t="s">
        <v>188</v>
      </c>
      <c r="M150" s="199" t="s">
        <v>189</v>
      </c>
      <c r="N150" s="261" t="s">
        <v>34</v>
      </c>
      <c r="O150" s="262">
        <v>4</v>
      </c>
      <c r="P150" s="200">
        <v>55.1</v>
      </c>
      <c r="Q150" s="200">
        <v>220.4</v>
      </c>
      <c r="R150" s="182"/>
      <c r="U150" s="128"/>
    </row>
    <row r="151" spans="1:21" ht="15.6" x14ac:dyDescent="0.3">
      <c r="A151" s="53"/>
      <c r="B151" s="54"/>
      <c r="C151" s="54"/>
      <c r="D151" s="54"/>
      <c r="E151" s="55"/>
      <c r="F151" s="75"/>
      <c r="G151" s="76"/>
      <c r="H151" s="76"/>
      <c r="I151" s="48"/>
      <c r="J151" s="70"/>
      <c r="K151" s="70"/>
      <c r="L151" s="261" t="s">
        <v>1297</v>
      </c>
      <c r="M151" s="199" t="s">
        <v>1331</v>
      </c>
      <c r="N151" s="261" t="s">
        <v>34</v>
      </c>
      <c r="O151" s="262">
        <v>1</v>
      </c>
      <c r="P151" s="200">
        <v>516</v>
      </c>
      <c r="Q151" s="200">
        <v>516</v>
      </c>
      <c r="R151" s="182"/>
      <c r="U151" s="128"/>
    </row>
    <row r="152" spans="1:21" ht="15.6" x14ac:dyDescent="0.3">
      <c r="A152" s="53"/>
      <c r="B152" s="54"/>
      <c r="C152" s="54"/>
      <c r="D152" s="54"/>
      <c r="E152" s="55"/>
      <c r="F152" s="75"/>
      <c r="G152" s="76"/>
      <c r="H152" s="76"/>
      <c r="I152" s="48"/>
      <c r="J152" s="70"/>
      <c r="K152" s="70"/>
      <c r="L152" s="261" t="s">
        <v>732</v>
      </c>
      <c r="M152" s="199" t="s">
        <v>733</v>
      </c>
      <c r="N152" s="261" t="s">
        <v>34</v>
      </c>
      <c r="O152" s="262">
        <v>1</v>
      </c>
      <c r="P152" s="201">
        <v>19165.830000000002</v>
      </c>
      <c r="Q152" s="201">
        <v>19165.830000000002</v>
      </c>
      <c r="R152" s="182"/>
      <c r="U152" s="128"/>
    </row>
    <row r="153" spans="1:21" ht="15.6" x14ac:dyDescent="0.3">
      <c r="A153" s="53"/>
      <c r="B153" s="54"/>
      <c r="C153" s="54"/>
      <c r="D153" s="54"/>
      <c r="E153" s="55"/>
      <c r="F153" s="75"/>
      <c r="G153" s="76"/>
      <c r="H153" s="76"/>
      <c r="I153" s="48"/>
      <c r="J153" s="70"/>
      <c r="K153" s="70"/>
      <c r="L153" s="261" t="s">
        <v>1298</v>
      </c>
      <c r="M153" s="199" t="s">
        <v>1332</v>
      </c>
      <c r="N153" s="261" t="s">
        <v>34</v>
      </c>
      <c r="O153" s="262">
        <v>1</v>
      </c>
      <c r="P153" s="201">
        <v>1245.5</v>
      </c>
      <c r="Q153" s="201">
        <v>1245.5</v>
      </c>
      <c r="R153" s="182"/>
      <c r="U153" s="128"/>
    </row>
    <row r="154" spans="1:21" ht="15.6" x14ac:dyDescent="0.3">
      <c r="A154" s="53"/>
      <c r="B154" s="54"/>
      <c r="C154" s="54"/>
      <c r="D154" s="54"/>
      <c r="E154" s="55"/>
      <c r="F154" s="75"/>
      <c r="G154" s="76"/>
      <c r="H154" s="76"/>
      <c r="I154" s="48"/>
      <c r="J154" s="70"/>
      <c r="K154" s="70"/>
      <c r="L154" s="261" t="s">
        <v>371</v>
      </c>
      <c r="M154" s="199" t="s">
        <v>372</v>
      </c>
      <c r="N154" s="261" t="s">
        <v>34</v>
      </c>
      <c r="O154" s="262">
        <v>41</v>
      </c>
      <c r="P154" s="200">
        <v>14.88</v>
      </c>
      <c r="Q154" s="200">
        <v>610.08000000000004</v>
      </c>
      <c r="R154" s="182"/>
      <c r="U154" s="128"/>
    </row>
    <row r="155" spans="1:21" ht="15.6" x14ac:dyDescent="0.3">
      <c r="A155" s="53"/>
      <c r="B155" s="54"/>
      <c r="C155" s="54"/>
      <c r="D155" s="54"/>
      <c r="E155" s="55"/>
      <c r="F155" s="75"/>
      <c r="G155" s="76"/>
      <c r="H155" s="76"/>
      <c r="I155" s="48"/>
      <c r="J155" s="70"/>
      <c r="K155" s="70"/>
      <c r="L155" s="261" t="s">
        <v>785</v>
      </c>
      <c r="M155" s="199" t="s">
        <v>786</v>
      </c>
      <c r="N155" s="261" t="s">
        <v>34</v>
      </c>
      <c r="O155" s="262">
        <v>3</v>
      </c>
      <c r="P155" s="200">
        <v>171.34</v>
      </c>
      <c r="Q155" s="200">
        <v>514.02</v>
      </c>
      <c r="R155" s="182"/>
      <c r="U155" s="128"/>
    </row>
    <row r="156" spans="1:21" ht="15.6" x14ac:dyDescent="0.3">
      <c r="A156" s="53"/>
      <c r="B156" s="54"/>
      <c r="C156" s="54"/>
      <c r="D156" s="54"/>
      <c r="E156" s="55"/>
      <c r="F156" s="75"/>
      <c r="G156" s="76"/>
      <c r="H156" s="76"/>
      <c r="I156" s="48"/>
      <c r="J156" s="70"/>
      <c r="K156" s="70"/>
      <c r="L156" s="261" t="s">
        <v>373</v>
      </c>
      <c r="M156" s="199" t="s">
        <v>374</v>
      </c>
      <c r="N156" s="261" t="s">
        <v>34</v>
      </c>
      <c r="O156" s="262">
        <v>5</v>
      </c>
      <c r="P156" s="200">
        <v>17.32</v>
      </c>
      <c r="Q156" s="200">
        <v>86.62</v>
      </c>
      <c r="R156" s="182"/>
      <c r="U156" s="128"/>
    </row>
    <row r="157" spans="1:21" ht="15.6" x14ac:dyDescent="0.3">
      <c r="A157" s="53"/>
      <c r="B157" s="54"/>
      <c r="C157" s="54"/>
      <c r="D157" s="54"/>
      <c r="E157" s="55"/>
      <c r="F157" s="75"/>
      <c r="G157" s="76"/>
      <c r="H157" s="76"/>
      <c r="I157" s="48"/>
      <c r="J157" s="70"/>
      <c r="K157" s="70"/>
      <c r="L157" s="261" t="s">
        <v>1145</v>
      </c>
      <c r="M157" s="199" t="s">
        <v>1232</v>
      </c>
      <c r="N157" s="261" t="s">
        <v>34</v>
      </c>
      <c r="O157" s="262">
        <v>1</v>
      </c>
      <c r="P157" s="200">
        <v>64.75</v>
      </c>
      <c r="Q157" s="200">
        <v>64.75</v>
      </c>
      <c r="R157" s="182"/>
      <c r="U157" s="128"/>
    </row>
    <row r="158" spans="1:21" ht="15.6" x14ac:dyDescent="0.3">
      <c r="A158" s="53"/>
      <c r="B158" s="54"/>
      <c r="C158" s="54"/>
      <c r="D158" s="54"/>
      <c r="E158" s="55"/>
      <c r="F158" s="75"/>
      <c r="G158" s="76"/>
      <c r="H158" s="76"/>
      <c r="I158" s="48"/>
      <c r="J158" s="70"/>
      <c r="K158" s="70"/>
      <c r="L158" s="261" t="s">
        <v>1299</v>
      </c>
      <c r="M158" s="199" t="s">
        <v>1333</v>
      </c>
      <c r="N158" s="261" t="s">
        <v>34</v>
      </c>
      <c r="O158" s="262">
        <v>1</v>
      </c>
      <c r="P158" s="200">
        <v>22</v>
      </c>
      <c r="Q158" s="200">
        <v>22</v>
      </c>
      <c r="R158" s="182"/>
      <c r="U158" s="128"/>
    </row>
    <row r="159" spans="1:21" ht="15.6" x14ac:dyDescent="0.3">
      <c r="A159" s="53"/>
      <c r="B159" s="54"/>
      <c r="C159" s="54"/>
      <c r="D159" s="54"/>
      <c r="E159" s="55"/>
      <c r="F159" s="75"/>
      <c r="G159" s="76"/>
      <c r="H159" s="76"/>
      <c r="I159" s="48"/>
      <c r="J159" s="70"/>
      <c r="K159" s="70"/>
      <c r="L159" s="261" t="s">
        <v>1300</v>
      </c>
      <c r="M159" s="199" t="s">
        <v>1334</v>
      </c>
      <c r="N159" s="261" t="s">
        <v>34</v>
      </c>
      <c r="O159" s="262">
        <v>1</v>
      </c>
      <c r="P159" s="200">
        <v>32</v>
      </c>
      <c r="Q159" s="200">
        <v>32</v>
      </c>
      <c r="R159" s="182"/>
      <c r="U159" s="128"/>
    </row>
    <row r="160" spans="1:21" ht="15.6" x14ac:dyDescent="0.3">
      <c r="A160" s="53"/>
      <c r="B160" s="54"/>
      <c r="C160" s="54"/>
      <c r="D160" s="54"/>
      <c r="E160" s="55"/>
      <c r="F160" s="75"/>
      <c r="G160" s="76"/>
      <c r="H160" s="76"/>
      <c r="I160" s="48"/>
      <c r="J160" s="70"/>
      <c r="K160" s="70"/>
      <c r="L160" s="261" t="s">
        <v>1301</v>
      </c>
      <c r="M160" s="199" t="s">
        <v>1335</v>
      </c>
      <c r="N160" s="261" t="s">
        <v>34</v>
      </c>
      <c r="O160" s="262">
        <v>1</v>
      </c>
      <c r="P160" s="200">
        <v>21</v>
      </c>
      <c r="Q160" s="200">
        <v>21</v>
      </c>
      <c r="R160" s="182"/>
      <c r="U160" s="128"/>
    </row>
    <row r="161" spans="1:21" ht="15.6" x14ac:dyDescent="0.3">
      <c r="A161" s="53"/>
      <c r="B161" s="54"/>
      <c r="C161" s="54"/>
      <c r="D161" s="54"/>
      <c r="E161" s="55"/>
      <c r="F161" s="75"/>
      <c r="G161" s="76"/>
      <c r="H161" s="76"/>
      <c r="I161" s="48"/>
      <c r="J161" s="70"/>
      <c r="K161" s="70"/>
      <c r="L161" s="261" t="s">
        <v>961</v>
      </c>
      <c r="M161" s="199" t="s">
        <v>1051</v>
      </c>
      <c r="N161" s="261" t="s">
        <v>34</v>
      </c>
      <c r="O161" s="262">
        <v>0.14000000000000001</v>
      </c>
      <c r="P161" s="200">
        <v>27</v>
      </c>
      <c r="Q161" s="200">
        <v>3.78</v>
      </c>
      <c r="R161" s="182"/>
      <c r="U161" s="128"/>
    </row>
    <row r="162" spans="1:21" ht="30" x14ac:dyDescent="0.3">
      <c r="A162" s="53"/>
      <c r="B162" s="54"/>
      <c r="C162" s="54"/>
      <c r="D162" s="54"/>
      <c r="E162" s="55"/>
      <c r="F162" s="75"/>
      <c r="G162" s="76"/>
      <c r="H162" s="76"/>
      <c r="I162" s="48"/>
      <c r="J162" s="70"/>
      <c r="K162" s="70"/>
      <c r="L162" s="261" t="s">
        <v>1302</v>
      </c>
      <c r="M162" s="199" t="s">
        <v>1336</v>
      </c>
      <c r="N162" s="261" t="s">
        <v>34</v>
      </c>
      <c r="O162" s="262">
        <v>1</v>
      </c>
      <c r="P162" s="200">
        <v>143.16999999999999</v>
      </c>
      <c r="Q162" s="200">
        <v>143.16999999999999</v>
      </c>
      <c r="R162" s="182"/>
      <c r="U162" s="128"/>
    </row>
    <row r="163" spans="1:21" ht="30" x14ac:dyDescent="0.3">
      <c r="A163" s="53"/>
      <c r="B163" s="54"/>
      <c r="C163" s="54"/>
      <c r="D163" s="54"/>
      <c r="E163" s="55"/>
      <c r="F163" s="75"/>
      <c r="G163" s="76"/>
      <c r="H163" s="76"/>
      <c r="I163" s="48"/>
      <c r="J163" s="70"/>
      <c r="K163" s="70"/>
      <c r="L163" s="261" t="s">
        <v>962</v>
      </c>
      <c r="M163" s="199" t="s">
        <v>787</v>
      </c>
      <c r="N163" s="261" t="s">
        <v>34</v>
      </c>
      <c r="O163" s="262">
        <v>2</v>
      </c>
      <c r="P163" s="200">
        <v>167.76</v>
      </c>
      <c r="Q163" s="200">
        <v>335.52</v>
      </c>
      <c r="R163" s="182"/>
      <c r="U163" s="128"/>
    </row>
    <row r="164" spans="1:21" ht="15.6" x14ac:dyDescent="0.3">
      <c r="A164" s="53"/>
      <c r="B164" s="54"/>
      <c r="C164" s="54"/>
      <c r="D164" s="54"/>
      <c r="E164" s="55"/>
      <c r="F164" s="75"/>
      <c r="G164" s="76"/>
      <c r="H164" s="76"/>
      <c r="I164" s="48"/>
      <c r="J164" s="70"/>
      <c r="K164" s="70"/>
      <c r="L164" s="261" t="s">
        <v>963</v>
      </c>
      <c r="M164" s="199" t="s">
        <v>375</v>
      </c>
      <c r="N164" s="261" t="s">
        <v>34</v>
      </c>
      <c r="O164" s="262">
        <v>10</v>
      </c>
      <c r="P164" s="200">
        <v>172.8</v>
      </c>
      <c r="Q164" s="201">
        <v>1728</v>
      </c>
      <c r="R164" s="182"/>
      <c r="U164" s="128"/>
    </row>
    <row r="165" spans="1:21" ht="15.6" x14ac:dyDescent="0.3">
      <c r="A165" s="53"/>
      <c r="B165" s="54"/>
      <c r="C165" s="54"/>
      <c r="D165" s="54"/>
      <c r="E165" s="55"/>
      <c r="F165" s="75"/>
      <c r="G165" s="76"/>
      <c r="H165" s="76"/>
      <c r="I165" s="48"/>
      <c r="J165" s="70"/>
      <c r="K165" s="70"/>
      <c r="L165" s="261" t="s">
        <v>1303</v>
      </c>
      <c r="M165" s="199" t="s">
        <v>1337</v>
      </c>
      <c r="N165" s="261" t="s">
        <v>34</v>
      </c>
      <c r="O165" s="262">
        <v>1</v>
      </c>
      <c r="P165" s="201">
        <v>1160</v>
      </c>
      <c r="Q165" s="201">
        <v>1160</v>
      </c>
      <c r="R165" s="182"/>
      <c r="U165" s="128"/>
    </row>
    <row r="166" spans="1:21" ht="30" x14ac:dyDescent="0.3">
      <c r="A166" s="53"/>
      <c r="B166" s="54"/>
      <c r="C166" s="54"/>
      <c r="D166" s="54"/>
      <c r="E166" s="55"/>
      <c r="F166" s="75"/>
      <c r="G166" s="76"/>
      <c r="H166" s="76"/>
      <c r="I166" s="48"/>
      <c r="J166" s="70"/>
      <c r="K166" s="70"/>
      <c r="L166" s="261" t="s">
        <v>1146</v>
      </c>
      <c r="M166" s="199" t="s">
        <v>1233</v>
      </c>
      <c r="N166" s="261" t="s">
        <v>34</v>
      </c>
      <c r="O166" s="262">
        <v>2</v>
      </c>
      <c r="P166" s="200">
        <v>36</v>
      </c>
      <c r="Q166" s="200">
        <v>72</v>
      </c>
      <c r="R166" s="182"/>
      <c r="U166" s="128"/>
    </row>
    <row r="167" spans="1:21" ht="30" x14ac:dyDescent="0.3">
      <c r="A167" s="53"/>
      <c r="B167" s="54"/>
      <c r="C167" s="54"/>
      <c r="D167" s="54"/>
      <c r="E167" s="55"/>
      <c r="F167" s="75"/>
      <c r="G167" s="76"/>
      <c r="H167" s="76"/>
      <c r="I167" s="48"/>
      <c r="J167" s="70"/>
      <c r="K167" s="70"/>
      <c r="L167" s="261" t="s">
        <v>964</v>
      </c>
      <c r="M167" s="199" t="s">
        <v>788</v>
      </c>
      <c r="N167" s="261" t="s">
        <v>34</v>
      </c>
      <c r="O167" s="262">
        <v>1</v>
      </c>
      <c r="P167" s="200">
        <v>17.3</v>
      </c>
      <c r="Q167" s="200">
        <v>17.3</v>
      </c>
      <c r="R167" s="182"/>
      <c r="U167" s="128"/>
    </row>
    <row r="168" spans="1:21" ht="15.6" x14ac:dyDescent="0.3">
      <c r="A168" s="53"/>
      <c r="B168" s="54"/>
      <c r="C168" s="54"/>
      <c r="D168" s="54"/>
      <c r="E168" s="55"/>
      <c r="F168" s="75"/>
      <c r="G168" s="76"/>
      <c r="H168" s="76"/>
      <c r="I168" s="48"/>
      <c r="J168" s="70"/>
      <c r="K168" s="70"/>
      <c r="L168" s="261" t="s">
        <v>875</v>
      </c>
      <c r="M168" s="199" t="s">
        <v>876</v>
      </c>
      <c r="N168" s="261" t="s">
        <v>34</v>
      </c>
      <c r="O168" s="262">
        <v>1</v>
      </c>
      <c r="P168" s="201">
        <v>1577.49</v>
      </c>
      <c r="Q168" s="201">
        <v>1577.49</v>
      </c>
      <c r="R168" s="182"/>
      <c r="U168" s="128"/>
    </row>
    <row r="169" spans="1:21" ht="15.6" x14ac:dyDescent="0.3">
      <c r="A169" s="53"/>
      <c r="B169" s="54"/>
      <c r="C169" s="54"/>
      <c r="D169" s="54"/>
      <c r="E169" s="55"/>
      <c r="F169" s="75"/>
      <c r="G169" s="76"/>
      <c r="H169" s="76"/>
      <c r="I169" s="48"/>
      <c r="J169" s="70"/>
      <c r="K169" s="70"/>
      <c r="L169" s="261" t="s">
        <v>871</v>
      </c>
      <c r="M169" s="199" t="s">
        <v>872</v>
      </c>
      <c r="N169" s="261" t="s">
        <v>34</v>
      </c>
      <c r="O169" s="262">
        <v>1</v>
      </c>
      <c r="P169" s="201">
        <v>1327.85</v>
      </c>
      <c r="Q169" s="201">
        <v>1327.85</v>
      </c>
      <c r="R169" s="182"/>
      <c r="U169" s="128"/>
    </row>
    <row r="170" spans="1:21" ht="15.6" x14ac:dyDescent="0.3">
      <c r="A170" s="53"/>
      <c r="B170" s="54"/>
      <c r="C170" s="54"/>
      <c r="D170" s="54"/>
      <c r="E170" s="55"/>
      <c r="F170" s="75"/>
      <c r="G170" s="76"/>
      <c r="H170" s="76"/>
      <c r="I170" s="48"/>
      <c r="J170" s="70"/>
      <c r="K170" s="70"/>
      <c r="L170" s="261" t="s">
        <v>873</v>
      </c>
      <c r="M170" s="199" t="s">
        <v>874</v>
      </c>
      <c r="N170" s="261" t="s">
        <v>34</v>
      </c>
      <c r="O170" s="262">
        <v>1</v>
      </c>
      <c r="P170" s="200">
        <v>509.82</v>
      </c>
      <c r="Q170" s="200">
        <v>509.82</v>
      </c>
      <c r="R170" s="182"/>
      <c r="U170" s="128"/>
    </row>
    <row r="171" spans="1:21" ht="15.6" x14ac:dyDescent="0.3">
      <c r="A171" s="53"/>
      <c r="B171" s="54"/>
      <c r="C171" s="54"/>
      <c r="D171" s="54"/>
      <c r="E171" s="55"/>
      <c r="F171" s="75"/>
      <c r="G171" s="76"/>
      <c r="H171" s="76"/>
      <c r="I171" s="48"/>
      <c r="J171" s="70"/>
      <c r="K171" s="70"/>
      <c r="L171" s="261" t="s">
        <v>1292</v>
      </c>
      <c r="M171" s="199" t="s">
        <v>1327</v>
      </c>
      <c r="N171" s="261" t="s">
        <v>34</v>
      </c>
      <c r="O171" s="262">
        <v>1</v>
      </c>
      <c r="P171" s="201">
        <v>1375</v>
      </c>
      <c r="Q171" s="201">
        <v>1375</v>
      </c>
      <c r="R171" s="182"/>
      <c r="U171" s="128"/>
    </row>
    <row r="172" spans="1:21" ht="15.6" x14ac:dyDescent="0.3">
      <c r="A172" s="53"/>
      <c r="B172" s="54"/>
      <c r="C172" s="54"/>
      <c r="D172" s="54"/>
      <c r="E172" s="55"/>
      <c r="F172" s="75"/>
      <c r="G172" s="76"/>
      <c r="H172" s="76"/>
      <c r="I172" s="48"/>
      <c r="J172" s="70"/>
      <c r="K172" s="70"/>
      <c r="L172" s="261" t="s">
        <v>1293</v>
      </c>
      <c r="M172" s="199" t="s">
        <v>346</v>
      </c>
      <c r="N172" s="261" t="s">
        <v>34</v>
      </c>
      <c r="O172" s="262">
        <v>1</v>
      </c>
      <c r="P172" s="200">
        <v>203.2</v>
      </c>
      <c r="Q172" s="200">
        <v>203.2</v>
      </c>
      <c r="R172" s="182"/>
      <c r="U172" s="128"/>
    </row>
    <row r="173" spans="1:21" ht="15.6" x14ac:dyDescent="0.3">
      <c r="A173" s="53"/>
      <c r="B173" s="54"/>
      <c r="C173" s="54"/>
      <c r="D173" s="54"/>
      <c r="E173" s="55"/>
      <c r="F173" s="75"/>
      <c r="G173" s="76"/>
      <c r="H173" s="76"/>
      <c r="I173" s="48"/>
      <c r="J173" s="70"/>
      <c r="K173" s="70"/>
      <c r="L173" s="261" t="s">
        <v>953</v>
      </c>
      <c r="M173" s="199" t="s">
        <v>1046</v>
      </c>
      <c r="N173" s="261" t="s">
        <v>34</v>
      </c>
      <c r="O173" s="262">
        <v>0.27</v>
      </c>
      <c r="P173" s="200">
        <v>185</v>
      </c>
      <c r="Q173" s="200">
        <v>49.95</v>
      </c>
      <c r="R173" s="182"/>
      <c r="U173" s="128"/>
    </row>
    <row r="174" spans="1:21" ht="15.6" x14ac:dyDescent="0.3">
      <c r="A174" s="53"/>
      <c r="B174" s="54"/>
      <c r="C174" s="54"/>
      <c r="D174" s="54"/>
      <c r="E174" s="55"/>
      <c r="F174" s="75"/>
      <c r="G174" s="76"/>
      <c r="H174" s="76"/>
      <c r="I174" s="48"/>
      <c r="J174" s="70"/>
      <c r="K174" s="70"/>
      <c r="L174" s="261" t="s">
        <v>184</v>
      </c>
      <c r="M174" s="199" t="s">
        <v>185</v>
      </c>
      <c r="N174" s="261" t="s">
        <v>34</v>
      </c>
      <c r="O174" s="262">
        <v>1</v>
      </c>
      <c r="P174" s="201">
        <v>1415</v>
      </c>
      <c r="Q174" s="201">
        <v>1415</v>
      </c>
      <c r="R174" s="182"/>
      <c r="U174" s="128"/>
    </row>
    <row r="175" spans="1:21" ht="15.6" x14ac:dyDescent="0.3">
      <c r="A175" s="53"/>
      <c r="B175" s="54"/>
      <c r="C175" s="54"/>
      <c r="D175" s="54"/>
      <c r="E175" s="55"/>
      <c r="F175" s="75"/>
      <c r="G175" s="76"/>
      <c r="H175" s="76"/>
      <c r="I175" s="48"/>
      <c r="J175" s="70"/>
      <c r="K175" s="70"/>
      <c r="L175" s="261" t="s">
        <v>1294</v>
      </c>
      <c r="M175" s="199" t="s">
        <v>1328</v>
      </c>
      <c r="N175" s="261" t="s">
        <v>34</v>
      </c>
      <c r="O175" s="262">
        <v>1</v>
      </c>
      <c r="P175" s="201">
        <v>3300</v>
      </c>
      <c r="Q175" s="201">
        <v>3300</v>
      </c>
      <c r="R175" s="182"/>
      <c r="U175" s="128"/>
    </row>
    <row r="176" spans="1:21" ht="15.6" x14ac:dyDescent="0.3">
      <c r="A176" s="53"/>
      <c r="B176" s="54"/>
      <c r="C176" s="54"/>
      <c r="D176" s="54"/>
      <c r="E176" s="55"/>
      <c r="F176" s="75"/>
      <c r="G176" s="76"/>
      <c r="H176" s="76"/>
      <c r="I176" s="48"/>
      <c r="J176" s="70"/>
      <c r="K176" s="70"/>
      <c r="L176" s="261" t="s">
        <v>1295</v>
      </c>
      <c r="M176" s="199" t="s">
        <v>1329</v>
      </c>
      <c r="N176" s="261" t="s">
        <v>34</v>
      </c>
      <c r="O176" s="262">
        <v>1</v>
      </c>
      <c r="P176" s="200">
        <v>273.89999999999998</v>
      </c>
      <c r="Q176" s="200">
        <v>273.89999999999998</v>
      </c>
      <c r="R176" s="182"/>
      <c r="U176" s="128"/>
    </row>
    <row r="177" spans="1:21" ht="15.6" x14ac:dyDescent="0.3">
      <c r="A177" s="53"/>
      <c r="B177" s="54"/>
      <c r="C177" s="54"/>
      <c r="D177" s="54"/>
      <c r="E177" s="55"/>
      <c r="F177" s="75"/>
      <c r="G177" s="76"/>
      <c r="H177" s="76"/>
      <c r="I177" s="48"/>
      <c r="J177" s="70"/>
      <c r="K177" s="70"/>
      <c r="L177" s="261" t="s">
        <v>1141</v>
      </c>
      <c r="M177" s="199" t="s">
        <v>1228</v>
      </c>
      <c r="N177" s="261" t="s">
        <v>34</v>
      </c>
      <c r="O177" s="262">
        <v>1</v>
      </c>
      <c r="P177" s="200">
        <v>96</v>
      </c>
      <c r="Q177" s="200">
        <v>96</v>
      </c>
      <c r="R177" s="182"/>
      <c r="U177" s="128"/>
    </row>
    <row r="178" spans="1:21" ht="15.6" x14ac:dyDescent="0.3">
      <c r="A178" s="53"/>
      <c r="B178" s="54"/>
      <c r="C178" s="54"/>
      <c r="D178" s="54"/>
      <c r="E178" s="55"/>
      <c r="F178" s="75"/>
      <c r="G178" s="76"/>
      <c r="H178" s="76"/>
      <c r="I178" s="48"/>
      <c r="J178" s="70"/>
      <c r="K178" s="70"/>
      <c r="L178" s="261" t="s">
        <v>1296</v>
      </c>
      <c r="M178" s="199" t="s">
        <v>1330</v>
      </c>
      <c r="N178" s="261" t="s">
        <v>34</v>
      </c>
      <c r="O178" s="262">
        <v>1</v>
      </c>
      <c r="P178" s="200">
        <v>8</v>
      </c>
      <c r="Q178" s="200">
        <v>8</v>
      </c>
      <c r="R178" s="182"/>
      <c r="U178" s="128"/>
    </row>
    <row r="179" spans="1:21" ht="15.6" x14ac:dyDescent="0.3">
      <c r="A179" s="53"/>
      <c r="B179" s="54"/>
      <c r="C179" s="54"/>
      <c r="D179" s="54"/>
      <c r="E179" s="55"/>
      <c r="F179" s="75"/>
      <c r="G179" s="76"/>
      <c r="H179" s="76"/>
      <c r="I179" s="48"/>
      <c r="J179" s="70"/>
      <c r="K179" s="70"/>
      <c r="L179" s="261" t="s">
        <v>350</v>
      </c>
      <c r="M179" s="199" t="s">
        <v>351</v>
      </c>
      <c r="N179" s="261" t="s">
        <v>34</v>
      </c>
      <c r="O179" s="262">
        <v>29</v>
      </c>
      <c r="P179" s="200">
        <v>5.55</v>
      </c>
      <c r="Q179" s="200">
        <v>161.04</v>
      </c>
      <c r="R179" s="182"/>
      <c r="U179" s="128"/>
    </row>
    <row r="180" spans="1:21" ht="15.6" x14ac:dyDescent="0.3">
      <c r="A180" s="53"/>
      <c r="B180" s="54"/>
      <c r="C180" s="54"/>
      <c r="D180" s="54"/>
      <c r="E180" s="55"/>
      <c r="F180" s="75"/>
      <c r="G180" s="76"/>
      <c r="H180" s="76"/>
      <c r="I180" s="48"/>
      <c r="J180" s="70"/>
      <c r="K180" s="70"/>
      <c r="L180" s="261" t="s">
        <v>352</v>
      </c>
      <c r="M180" s="199" t="s">
        <v>353</v>
      </c>
      <c r="N180" s="261" t="s">
        <v>34</v>
      </c>
      <c r="O180" s="262">
        <v>7</v>
      </c>
      <c r="P180" s="200">
        <v>7.5</v>
      </c>
      <c r="Q180" s="200">
        <v>52.48</v>
      </c>
      <c r="R180" s="182"/>
      <c r="U180" s="128"/>
    </row>
    <row r="181" spans="1:21" ht="15.6" x14ac:dyDescent="0.3">
      <c r="A181" s="53"/>
      <c r="B181" s="54"/>
      <c r="C181" s="54"/>
      <c r="D181" s="54"/>
      <c r="E181" s="55"/>
      <c r="F181" s="75"/>
      <c r="G181" s="76"/>
      <c r="H181" s="76"/>
      <c r="I181" s="48"/>
      <c r="J181" s="70"/>
      <c r="K181" s="70"/>
      <c r="L181" s="261" t="s">
        <v>354</v>
      </c>
      <c r="M181" s="199" t="s">
        <v>355</v>
      </c>
      <c r="N181" s="261" t="s">
        <v>34</v>
      </c>
      <c r="O181" s="262">
        <v>5</v>
      </c>
      <c r="P181" s="200">
        <v>10.55</v>
      </c>
      <c r="Q181" s="200">
        <v>52.74</v>
      </c>
      <c r="R181" s="182"/>
      <c r="U181" s="128"/>
    </row>
    <row r="182" spans="1:21" ht="15.6" x14ac:dyDescent="0.3">
      <c r="A182" s="53"/>
      <c r="B182" s="54"/>
      <c r="C182" s="54"/>
      <c r="D182" s="54"/>
      <c r="E182" s="55"/>
      <c r="F182" s="75"/>
      <c r="G182" s="76"/>
      <c r="H182" s="76"/>
      <c r="I182" s="48"/>
      <c r="J182" s="70"/>
      <c r="K182" s="70"/>
      <c r="L182" s="261" t="s">
        <v>966</v>
      </c>
      <c r="M182" s="199" t="s">
        <v>1053</v>
      </c>
      <c r="N182" s="261" t="s">
        <v>34</v>
      </c>
      <c r="O182" s="262">
        <v>2</v>
      </c>
      <c r="P182" s="200">
        <v>195.75</v>
      </c>
      <c r="Q182" s="200">
        <v>391.5</v>
      </c>
      <c r="R182" s="182"/>
      <c r="U182" s="128"/>
    </row>
    <row r="183" spans="1:21" ht="15.6" x14ac:dyDescent="0.3">
      <c r="A183" s="53"/>
      <c r="B183" s="54"/>
      <c r="C183" s="54"/>
      <c r="D183" s="54"/>
      <c r="E183" s="55"/>
      <c r="F183" s="75"/>
      <c r="G183" s="76"/>
      <c r="H183" s="76"/>
      <c r="I183" s="48"/>
      <c r="J183" s="70"/>
      <c r="K183" s="70"/>
      <c r="L183" s="261" t="s">
        <v>1082</v>
      </c>
      <c r="M183" s="199" t="s">
        <v>1083</v>
      </c>
      <c r="N183" s="261" t="s">
        <v>34</v>
      </c>
      <c r="O183" s="262">
        <v>1</v>
      </c>
      <c r="P183" s="200">
        <v>195.75</v>
      </c>
      <c r="Q183" s="200">
        <v>195.75</v>
      </c>
      <c r="R183" s="182"/>
      <c r="U183" s="128"/>
    </row>
    <row r="184" spans="1:21" ht="15.6" x14ac:dyDescent="0.3">
      <c r="A184" s="53"/>
      <c r="B184" s="54"/>
      <c r="C184" s="54"/>
      <c r="D184" s="54"/>
      <c r="E184" s="55"/>
      <c r="F184" s="75"/>
      <c r="G184" s="76"/>
      <c r="H184" s="76"/>
      <c r="I184" s="48"/>
      <c r="J184" s="70"/>
      <c r="K184" s="70"/>
      <c r="L184" s="261" t="s">
        <v>1143</v>
      </c>
      <c r="M184" s="199" t="s">
        <v>1230</v>
      </c>
      <c r="N184" s="261" t="s">
        <v>34</v>
      </c>
      <c r="O184" s="262">
        <v>1</v>
      </c>
      <c r="P184" s="200">
        <v>176.27</v>
      </c>
      <c r="Q184" s="200">
        <v>176.27</v>
      </c>
      <c r="R184" s="182"/>
      <c r="U184" s="128"/>
    </row>
    <row r="185" spans="1:21" ht="15.6" x14ac:dyDescent="0.3">
      <c r="A185" s="53"/>
      <c r="B185" s="54"/>
      <c r="C185" s="54"/>
      <c r="D185" s="54"/>
      <c r="E185" s="55"/>
      <c r="F185" s="75"/>
      <c r="G185" s="76"/>
      <c r="H185" s="76"/>
      <c r="I185" s="48"/>
      <c r="J185" s="70"/>
      <c r="K185" s="70"/>
      <c r="L185" s="261" t="s">
        <v>911</v>
      </c>
      <c r="M185" s="199" t="s">
        <v>912</v>
      </c>
      <c r="N185" s="261" t="s">
        <v>34</v>
      </c>
      <c r="O185" s="262">
        <v>1</v>
      </c>
      <c r="P185" s="200">
        <v>103</v>
      </c>
      <c r="Q185" s="200">
        <v>103</v>
      </c>
      <c r="R185" s="182"/>
      <c r="U185" s="128"/>
    </row>
    <row r="186" spans="1:21" ht="15.6" x14ac:dyDescent="0.3">
      <c r="A186" s="53"/>
      <c r="B186" s="54"/>
      <c r="C186" s="54"/>
      <c r="D186" s="54"/>
      <c r="E186" s="55"/>
      <c r="F186" s="75"/>
      <c r="G186" s="76"/>
      <c r="H186" s="76"/>
      <c r="I186" s="48"/>
      <c r="J186" s="70"/>
      <c r="K186" s="70"/>
      <c r="L186" s="261" t="s">
        <v>1144</v>
      </c>
      <c r="M186" s="199" t="s">
        <v>1231</v>
      </c>
      <c r="N186" s="261" t="s">
        <v>34</v>
      </c>
      <c r="O186" s="262">
        <v>2</v>
      </c>
      <c r="P186" s="200">
        <v>3.17</v>
      </c>
      <c r="Q186" s="200">
        <v>6.34</v>
      </c>
      <c r="R186" s="182"/>
      <c r="U186" s="128"/>
    </row>
    <row r="187" spans="1:21" ht="15.6" x14ac:dyDescent="0.3">
      <c r="A187" s="53"/>
      <c r="B187" s="54"/>
      <c r="C187" s="54"/>
      <c r="D187" s="54"/>
      <c r="E187" s="55"/>
      <c r="F187" s="75"/>
      <c r="G187" s="76"/>
      <c r="H187" s="76"/>
      <c r="I187" s="48"/>
      <c r="J187" s="70"/>
      <c r="K187" s="70"/>
      <c r="L187" s="261" t="s">
        <v>1279</v>
      </c>
      <c r="M187" s="199" t="s">
        <v>1280</v>
      </c>
      <c r="N187" s="261" t="s">
        <v>34</v>
      </c>
      <c r="O187" s="262">
        <v>1</v>
      </c>
      <c r="P187" s="200">
        <v>109.4</v>
      </c>
      <c r="Q187" s="200">
        <v>109.4</v>
      </c>
      <c r="R187" s="182"/>
      <c r="U187" s="128"/>
    </row>
    <row r="188" spans="1:21" ht="15.6" x14ac:dyDescent="0.3">
      <c r="A188" s="53"/>
      <c r="B188" s="54"/>
      <c r="C188" s="54"/>
      <c r="D188" s="54"/>
      <c r="E188" s="55"/>
      <c r="F188" s="75"/>
      <c r="G188" s="76"/>
      <c r="H188" s="76"/>
      <c r="I188" s="48"/>
      <c r="J188" s="70"/>
      <c r="K188" s="70"/>
      <c r="L188" s="261" t="s">
        <v>768</v>
      </c>
      <c r="M188" s="199" t="s">
        <v>769</v>
      </c>
      <c r="N188" s="261" t="s">
        <v>34</v>
      </c>
      <c r="O188" s="262">
        <v>7</v>
      </c>
      <c r="P188" s="200">
        <v>10</v>
      </c>
      <c r="Q188" s="200">
        <v>70</v>
      </c>
      <c r="R188" s="182"/>
      <c r="U188" s="128"/>
    </row>
    <row r="189" spans="1:21" ht="15.6" x14ac:dyDescent="0.3">
      <c r="A189" s="53"/>
      <c r="B189" s="54"/>
      <c r="C189" s="54"/>
      <c r="D189" s="54"/>
      <c r="E189" s="55"/>
      <c r="F189" s="75"/>
      <c r="G189" s="76"/>
      <c r="H189" s="76"/>
      <c r="I189" s="48"/>
      <c r="J189" s="70"/>
      <c r="K189" s="70"/>
      <c r="L189" s="261" t="s">
        <v>955</v>
      </c>
      <c r="M189" s="199" t="s">
        <v>770</v>
      </c>
      <c r="N189" s="261" t="s">
        <v>34</v>
      </c>
      <c r="O189" s="262">
        <v>1</v>
      </c>
      <c r="P189" s="200">
        <v>53</v>
      </c>
      <c r="Q189" s="200">
        <v>53</v>
      </c>
      <c r="R189" s="182"/>
      <c r="U189" s="128"/>
    </row>
    <row r="190" spans="1:21" ht="15.6" x14ac:dyDescent="0.3">
      <c r="A190" s="53"/>
      <c r="B190" s="54"/>
      <c r="C190" s="54"/>
      <c r="D190" s="54"/>
      <c r="E190" s="55"/>
      <c r="F190" s="75"/>
      <c r="G190" s="76"/>
      <c r="H190" s="76"/>
      <c r="I190" s="48"/>
      <c r="J190" s="70"/>
      <c r="K190" s="70"/>
      <c r="L190" s="261" t="s">
        <v>956</v>
      </c>
      <c r="M190" s="199" t="s">
        <v>328</v>
      </c>
      <c r="N190" s="261" t="s">
        <v>34</v>
      </c>
      <c r="O190" s="262">
        <v>13</v>
      </c>
      <c r="P190" s="200">
        <v>65.400000000000006</v>
      </c>
      <c r="Q190" s="200">
        <v>850.2</v>
      </c>
      <c r="R190" s="182"/>
      <c r="U190" s="128"/>
    </row>
    <row r="191" spans="1:21" ht="15.6" x14ac:dyDescent="0.3">
      <c r="A191" s="53"/>
      <c r="B191" s="54"/>
      <c r="C191" s="54"/>
      <c r="D191" s="54"/>
      <c r="E191" s="55"/>
      <c r="F191" s="75"/>
      <c r="G191" s="76"/>
      <c r="H191" s="76"/>
      <c r="I191" s="48"/>
      <c r="J191" s="70"/>
      <c r="K191" s="70"/>
      <c r="L191" s="261" t="s">
        <v>771</v>
      </c>
      <c r="M191" s="199" t="s">
        <v>772</v>
      </c>
      <c r="N191" s="261" t="s">
        <v>34</v>
      </c>
      <c r="O191" s="262">
        <v>6</v>
      </c>
      <c r="P191" s="200">
        <v>228.01</v>
      </c>
      <c r="Q191" s="201">
        <v>1368.07</v>
      </c>
      <c r="R191" s="182"/>
      <c r="U191" s="128"/>
    </row>
    <row r="192" spans="1:21" ht="15.6" x14ac:dyDescent="0.3">
      <c r="A192" s="53"/>
      <c r="B192" s="54"/>
      <c r="C192" s="54"/>
      <c r="D192" s="54"/>
      <c r="E192" s="55"/>
      <c r="F192" s="75"/>
      <c r="G192" s="76"/>
      <c r="H192" s="76"/>
      <c r="I192" s="48"/>
      <c r="J192" s="70"/>
      <c r="K192" s="70"/>
      <c r="L192" s="261" t="s">
        <v>957</v>
      </c>
      <c r="M192" s="199" t="s">
        <v>1049</v>
      </c>
      <c r="N192" s="261" t="s">
        <v>34</v>
      </c>
      <c r="O192" s="262">
        <v>10</v>
      </c>
      <c r="P192" s="200">
        <v>78.3</v>
      </c>
      <c r="Q192" s="200">
        <v>783</v>
      </c>
      <c r="R192" s="182"/>
      <c r="U192" s="128"/>
    </row>
    <row r="193" spans="1:21" ht="15.6" x14ac:dyDescent="0.3">
      <c r="A193" s="53"/>
      <c r="B193" s="54"/>
      <c r="C193" s="54"/>
      <c r="D193" s="54"/>
      <c r="E193" s="55"/>
      <c r="F193" s="75"/>
      <c r="G193" s="76"/>
      <c r="H193" s="76"/>
      <c r="I193" s="48"/>
      <c r="J193" s="70"/>
      <c r="K193" s="70"/>
      <c r="L193" s="261" t="s">
        <v>1285</v>
      </c>
      <c r="M193" s="199" t="s">
        <v>1320</v>
      </c>
      <c r="N193" s="261" t="s">
        <v>34</v>
      </c>
      <c r="O193" s="262">
        <v>1</v>
      </c>
      <c r="P193" s="200">
        <v>12</v>
      </c>
      <c r="Q193" s="200">
        <v>12</v>
      </c>
      <c r="R193" s="182"/>
      <c r="U193" s="128"/>
    </row>
    <row r="194" spans="1:21" ht="15.6" x14ac:dyDescent="0.3">
      <c r="A194" s="53"/>
      <c r="B194" s="54"/>
      <c r="C194" s="54"/>
      <c r="D194" s="54"/>
      <c r="E194" s="55"/>
      <c r="F194" s="75"/>
      <c r="G194" s="76"/>
      <c r="H194" s="76"/>
      <c r="I194" s="48"/>
      <c r="J194" s="70"/>
      <c r="K194" s="70"/>
      <c r="L194" s="261" t="s">
        <v>1286</v>
      </c>
      <c r="M194" s="199" t="s">
        <v>1321</v>
      </c>
      <c r="N194" s="261" t="s">
        <v>34</v>
      </c>
      <c r="O194" s="262">
        <v>1</v>
      </c>
      <c r="P194" s="200">
        <v>107</v>
      </c>
      <c r="Q194" s="200">
        <v>107</v>
      </c>
      <c r="R194" s="182"/>
      <c r="U194" s="128"/>
    </row>
    <row r="195" spans="1:21" ht="15.6" x14ac:dyDescent="0.3">
      <c r="A195" s="53"/>
      <c r="B195" s="54"/>
      <c r="C195" s="54"/>
      <c r="D195" s="54"/>
      <c r="E195" s="55"/>
      <c r="F195" s="75"/>
      <c r="G195" s="76"/>
      <c r="H195" s="76"/>
      <c r="I195" s="48"/>
      <c r="J195" s="70"/>
      <c r="K195" s="70"/>
      <c r="L195" s="261" t="s">
        <v>958</v>
      </c>
      <c r="M195" s="199" t="s">
        <v>337</v>
      </c>
      <c r="N195" s="261" t="s">
        <v>34</v>
      </c>
      <c r="O195" s="262">
        <v>2</v>
      </c>
      <c r="P195" s="200">
        <v>31.86</v>
      </c>
      <c r="Q195" s="200">
        <v>63.72</v>
      </c>
      <c r="R195" s="182"/>
      <c r="U195" s="128"/>
    </row>
    <row r="196" spans="1:21" ht="15.6" x14ac:dyDescent="0.3">
      <c r="A196" s="53"/>
      <c r="B196" s="54"/>
      <c r="C196" s="54"/>
      <c r="D196" s="54"/>
      <c r="E196" s="55"/>
      <c r="F196" s="75"/>
      <c r="G196" s="76"/>
      <c r="H196" s="76"/>
      <c r="I196" s="48"/>
      <c r="J196" s="70"/>
      <c r="K196" s="70"/>
      <c r="L196" s="261" t="s">
        <v>905</v>
      </c>
      <c r="M196" s="199" t="s">
        <v>906</v>
      </c>
      <c r="N196" s="261" t="s">
        <v>34</v>
      </c>
      <c r="O196" s="262">
        <v>3</v>
      </c>
      <c r="P196" s="200">
        <v>10</v>
      </c>
      <c r="Q196" s="200">
        <v>30</v>
      </c>
      <c r="R196" s="182"/>
      <c r="U196" s="128"/>
    </row>
    <row r="197" spans="1:21" ht="15.6" x14ac:dyDescent="0.3">
      <c r="A197" s="53"/>
      <c r="B197" s="54"/>
      <c r="C197" s="54"/>
      <c r="D197" s="54"/>
      <c r="E197" s="55"/>
      <c r="F197" s="75"/>
      <c r="G197" s="76"/>
      <c r="H197" s="76"/>
      <c r="I197" s="48"/>
      <c r="J197" s="70"/>
      <c r="K197" s="70"/>
      <c r="L197" s="261" t="s">
        <v>907</v>
      </c>
      <c r="M197" s="199" t="s">
        <v>908</v>
      </c>
      <c r="N197" s="261" t="s">
        <v>34</v>
      </c>
      <c r="O197" s="262">
        <v>3</v>
      </c>
      <c r="P197" s="200">
        <v>10</v>
      </c>
      <c r="Q197" s="200">
        <v>30</v>
      </c>
      <c r="R197" s="182"/>
      <c r="U197" s="128"/>
    </row>
    <row r="198" spans="1:21" ht="15.6" x14ac:dyDescent="0.3">
      <c r="A198" s="53"/>
      <c r="B198" s="54"/>
      <c r="C198" s="54"/>
      <c r="D198" s="54"/>
      <c r="E198" s="55"/>
      <c r="F198" s="75"/>
      <c r="G198" s="76"/>
      <c r="H198" s="76"/>
      <c r="I198" s="48"/>
      <c r="J198" s="70"/>
      <c r="K198" s="70"/>
      <c r="L198" s="261" t="s">
        <v>1287</v>
      </c>
      <c r="M198" s="199" t="s">
        <v>1322</v>
      </c>
      <c r="N198" s="261" t="s">
        <v>34</v>
      </c>
      <c r="O198" s="262">
        <v>1</v>
      </c>
      <c r="P198" s="200">
        <v>340</v>
      </c>
      <c r="Q198" s="200">
        <v>340</v>
      </c>
      <c r="R198" s="182"/>
      <c r="U198" s="128"/>
    </row>
    <row r="199" spans="1:21" ht="15.6" x14ac:dyDescent="0.3">
      <c r="A199" s="53"/>
      <c r="B199" s="54"/>
      <c r="C199" s="54"/>
      <c r="D199" s="54"/>
      <c r="E199" s="55"/>
      <c r="F199" s="75"/>
      <c r="G199" s="76"/>
      <c r="H199" s="76"/>
      <c r="I199" s="48"/>
      <c r="J199" s="70"/>
      <c r="K199" s="70"/>
      <c r="L199" s="261" t="s">
        <v>340</v>
      </c>
      <c r="M199" s="199" t="s">
        <v>341</v>
      </c>
      <c r="N199" s="261" t="s">
        <v>34</v>
      </c>
      <c r="O199" s="262">
        <v>1</v>
      </c>
      <c r="P199" s="201">
        <v>1622.9</v>
      </c>
      <c r="Q199" s="201">
        <v>1622.9</v>
      </c>
      <c r="R199" s="182"/>
      <c r="U199" s="128"/>
    </row>
    <row r="200" spans="1:21" ht="15.6" x14ac:dyDescent="0.3">
      <c r="A200" s="53"/>
      <c r="B200" s="54"/>
      <c r="C200" s="54"/>
      <c r="D200" s="54"/>
      <c r="E200" s="55"/>
      <c r="F200" s="75"/>
      <c r="G200" s="76"/>
      <c r="H200" s="76"/>
      <c r="I200" s="48"/>
      <c r="J200" s="70"/>
      <c r="K200" s="70"/>
      <c r="L200" s="261" t="s">
        <v>1288</v>
      </c>
      <c r="M200" s="199" t="s">
        <v>1323</v>
      </c>
      <c r="N200" s="261" t="s">
        <v>34</v>
      </c>
      <c r="O200" s="262">
        <v>1</v>
      </c>
      <c r="P200" s="200">
        <v>40</v>
      </c>
      <c r="Q200" s="200">
        <v>40</v>
      </c>
      <c r="R200" s="182"/>
      <c r="U200" s="128"/>
    </row>
    <row r="201" spans="1:21" ht="15.6" x14ac:dyDescent="0.3">
      <c r="A201" s="53"/>
      <c r="B201" s="54"/>
      <c r="C201" s="54"/>
      <c r="D201" s="54"/>
      <c r="E201" s="55"/>
      <c r="F201" s="75"/>
      <c r="G201" s="76"/>
      <c r="H201" s="76"/>
      <c r="I201" s="48"/>
      <c r="J201" s="70"/>
      <c r="K201" s="70"/>
      <c r="L201" s="261" t="s">
        <v>1147</v>
      </c>
      <c r="M201" s="199" t="s">
        <v>1234</v>
      </c>
      <c r="N201" s="261" t="s">
        <v>34</v>
      </c>
      <c r="O201" s="262">
        <v>1</v>
      </c>
      <c r="P201" s="200">
        <v>876.68</v>
      </c>
      <c r="Q201" s="200">
        <v>876.68</v>
      </c>
      <c r="R201" s="182"/>
      <c r="U201" s="128"/>
    </row>
    <row r="202" spans="1:21" ht="15.6" x14ac:dyDescent="0.3">
      <c r="A202" s="53"/>
      <c r="B202" s="54"/>
      <c r="C202" s="54"/>
      <c r="D202" s="54"/>
      <c r="E202" s="55"/>
      <c r="F202" s="75"/>
      <c r="G202" s="76"/>
      <c r="H202" s="76"/>
      <c r="I202" s="48"/>
      <c r="J202" s="70"/>
      <c r="K202" s="70"/>
      <c r="L202" s="261" t="s">
        <v>1289</v>
      </c>
      <c r="M202" s="199" t="s">
        <v>1324</v>
      </c>
      <c r="N202" s="261" t="s">
        <v>34</v>
      </c>
      <c r="O202" s="262">
        <v>1</v>
      </c>
      <c r="P202" s="200">
        <v>280</v>
      </c>
      <c r="Q202" s="200">
        <v>280</v>
      </c>
      <c r="R202" s="182"/>
      <c r="U202" s="128"/>
    </row>
    <row r="203" spans="1:21" ht="15.6" x14ac:dyDescent="0.3">
      <c r="A203" s="53"/>
      <c r="B203" s="54"/>
      <c r="C203" s="54"/>
      <c r="D203" s="54"/>
      <c r="E203" s="55"/>
      <c r="F203" s="75"/>
      <c r="G203" s="76"/>
      <c r="H203" s="76"/>
      <c r="I203" s="48"/>
      <c r="J203" s="70"/>
      <c r="K203" s="70"/>
      <c r="L203" s="261" t="s">
        <v>1148</v>
      </c>
      <c r="M203" s="199" t="s">
        <v>1235</v>
      </c>
      <c r="N203" s="261" t="s">
        <v>34</v>
      </c>
      <c r="O203" s="262">
        <v>1</v>
      </c>
      <c r="P203" s="200">
        <v>257.81</v>
      </c>
      <c r="Q203" s="200">
        <v>257.81</v>
      </c>
      <c r="R203" s="182"/>
      <c r="U203" s="128"/>
    </row>
    <row r="204" spans="1:21" ht="15.6" x14ac:dyDescent="0.3">
      <c r="A204" s="53"/>
      <c r="B204" s="54"/>
      <c r="C204" s="54"/>
      <c r="D204" s="54"/>
      <c r="E204" s="55"/>
      <c r="F204" s="75"/>
      <c r="G204" s="76"/>
      <c r="H204" s="76"/>
      <c r="I204" s="48"/>
      <c r="J204" s="70"/>
      <c r="K204" s="70"/>
      <c r="L204" s="261" t="s">
        <v>1290</v>
      </c>
      <c r="M204" s="199" t="s">
        <v>1325</v>
      </c>
      <c r="N204" s="261" t="s">
        <v>34</v>
      </c>
      <c r="O204" s="262">
        <v>1</v>
      </c>
      <c r="P204" s="200">
        <v>387</v>
      </c>
      <c r="Q204" s="200">
        <v>387</v>
      </c>
      <c r="R204" s="182"/>
      <c r="U204" s="128"/>
    </row>
    <row r="205" spans="1:21" ht="15.6" x14ac:dyDescent="0.3">
      <c r="A205" s="53"/>
      <c r="B205" s="54"/>
      <c r="C205" s="54"/>
      <c r="D205" s="54"/>
      <c r="E205" s="55"/>
      <c r="F205" s="75"/>
      <c r="G205" s="76"/>
      <c r="H205" s="76"/>
      <c r="I205" s="48"/>
      <c r="J205" s="70"/>
      <c r="K205" s="70"/>
      <c r="L205" s="261" t="s">
        <v>952</v>
      </c>
      <c r="M205" s="199" t="s">
        <v>777</v>
      </c>
      <c r="N205" s="261" t="s">
        <v>34</v>
      </c>
      <c r="O205" s="262">
        <v>0.5</v>
      </c>
      <c r="P205" s="200">
        <v>257.82</v>
      </c>
      <c r="Q205" s="200">
        <v>128.91</v>
      </c>
      <c r="R205" s="182"/>
      <c r="U205" s="128"/>
    </row>
    <row r="206" spans="1:21" ht="15.6" x14ac:dyDescent="0.3">
      <c r="A206" s="53"/>
      <c r="B206" s="54"/>
      <c r="C206" s="54"/>
      <c r="D206" s="54"/>
      <c r="E206" s="55"/>
      <c r="F206" s="75"/>
      <c r="G206" s="76"/>
      <c r="H206" s="76"/>
      <c r="I206" s="48"/>
      <c r="J206" s="70"/>
      <c r="K206" s="70"/>
      <c r="L206" s="261" t="s">
        <v>1154</v>
      </c>
      <c r="M206" s="199" t="s">
        <v>1241</v>
      </c>
      <c r="N206" s="261" t="s">
        <v>34</v>
      </c>
      <c r="O206" s="262">
        <v>2</v>
      </c>
      <c r="P206" s="200">
        <v>152</v>
      </c>
      <c r="Q206" s="200">
        <v>304</v>
      </c>
      <c r="R206" s="182"/>
      <c r="U206" s="128"/>
    </row>
    <row r="207" spans="1:21" ht="15.6" x14ac:dyDescent="0.3">
      <c r="A207" s="53"/>
      <c r="B207" s="54"/>
      <c r="C207" s="54"/>
      <c r="D207" s="54"/>
      <c r="E207" s="55"/>
      <c r="F207" s="75"/>
      <c r="G207" s="76"/>
      <c r="H207" s="76"/>
      <c r="I207" s="48"/>
      <c r="J207" s="70"/>
      <c r="K207" s="70"/>
      <c r="L207" s="261" t="s">
        <v>1013</v>
      </c>
      <c r="M207" s="199" t="s">
        <v>1074</v>
      </c>
      <c r="N207" s="261" t="s">
        <v>34</v>
      </c>
      <c r="O207" s="262">
        <v>6</v>
      </c>
      <c r="P207" s="200">
        <v>159</v>
      </c>
      <c r="Q207" s="200">
        <v>954</v>
      </c>
      <c r="R207" s="182"/>
      <c r="U207" s="128"/>
    </row>
    <row r="208" spans="1:21" ht="15.6" x14ac:dyDescent="0.3">
      <c r="A208" s="53"/>
      <c r="B208" s="54"/>
      <c r="C208" s="54"/>
      <c r="D208" s="54"/>
      <c r="E208" s="55"/>
      <c r="F208" s="75"/>
      <c r="G208" s="76"/>
      <c r="H208" s="76"/>
      <c r="I208" s="48"/>
      <c r="J208" s="70"/>
      <c r="K208" s="70"/>
      <c r="L208" s="261" t="s">
        <v>1014</v>
      </c>
      <c r="M208" s="199" t="s">
        <v>806</v>
      </c>
      <c r="N208" s="261" t="s">
        <v>34</v>
      </c>
      <c r="O208" s="262">
        <v>1</v>
      </c>
      <c r="P208" s="200">
        <v>60.4</v>
      </c>
      <c r="Q208" s="200">
        <v>60.4</v>
      </c>
      <c r="R208" s="182"/>
      <c r="U208" s="128"/>
    </row>
    <row r="209" spans="1:21" ht="15.6" x14ac:dyDescent="0.3">
      <c r="A209" s="53"/>
      <c r="B209" s="54"/>
      <c r="C209" s="54"/>
      <c r="D209" s="54"/>
      <c r="E209" s="55"/>
      <c r="F209" s="75"/>
      <c r="G209" s="76"/>
      <c r="H209" s="76"/>
      <c r="I209" s="48"/>
      <c r="J209" s="70"/>
      <c r="K209" s="70"/>
      <c r="L209" s="261" t="s">
        <v>1308</v>
      </c>
      <c r="M209" s="199" t="s">
        <v>1342</v>
      </c>
      <c r="N209" s="261" t="s">
        <v>34</v>
      </c>
      <c r="O209" s="262">
        <v>1</v>
      </c>
      <c r="P209" s="200">
        <v>91.3</v>
      </c>
      <c r="Q209" s="200">
        <v>91.3</v>
      </c>
      <c r="R209" s="182"/>
      <c r="U209" s="128"/>
    </row>
    <row r="210" spans="1:21" ht="15.6" x14ac:dyDescent="0.3">
      <c r="A210" s="53"/>
      <c r="B210" s="54"/>
      <c r="C210" s="54"/>
      <c r="D210" s="54"/>
      <c r="E210" s="55"/>
      <c r="F210" s="75"/>
      <c r="G210" s="76"/>
      <c r="H210" s="76"/>
      <c r="I210" s="48"/>
      <c r="J210" s="70"/>
      <c r="K210" s="70"/>
      <c r="L210" s="261" t="s">
        <v>1309</v>
      </c>
      <c r="M210" s="199" t="s">
        <v>1343</v>
      </c>
      <c r="N210" s="261" t="s">
        <v>34</v>
      </c>
      <c r="O210" s="262">
        <v>1</v>
      </c>
      <c r="P210" s="200">
        <v>12.6</v>
      </c>
      <c r="Q210" s="200">
        <v>12.6</v>
      </c>
      <c r="R210" s="182"/>
      <c r="U210" s="128"/>
    </row>
    <row r="211" spans="1:21" ht="15.6" x14ac:dyDescent="0.3">
      <c r="A211" s="53"/>
      <c r="B211" s="54"/>
      <c r="C211" s="54"/>
      <c r="D211" s="54"/>
      <c r="E211" s="55"/>
      <c r="F211" s="75"/>
      <c r="G211" s="76"/>
      <c r="H211" s="76"/>
      <c r="I211" s="48"/>
      <c r="J211" s="70"/>
      <c r="K211" s="70"/>
      <c r="L211" s="261" t="s">
        <v>1310</v>
      </c>
      <c r="M211" s="199" t="s">
        <v>1344</v>
      </c>
      <c r="N211" s="261" t="s">
        <v>34</v>
      </c>
      <c r="O211" s="262">
        <v>1</v>
      </c>
      <c r="P211" s="200">
        <v>101</v>
      </c>
      <c r="Q211" s="200">
        <v>101</v>
      </c>
      <c r="R211" s="182"/>
      <c r="U211" s="128"/>
    </row>
    <row r="212" spans="1:21" ht="15.6" x14ac:dyDescent="0.3">
      <c r="A212" s="53"/>
      <c r="B212" s="54"/>
      <c r="C212" s="54"/>
      <c r="D212" s="54"/>
      <c r="E212" s="55"/>
      <c r="F212" s="75"/>
      <c r="G212" s="76"/>
      <c r="H212" s="76"/>
      <c r="I212" s="48"/>
      <c r="J212" s="70"/>
      <c r="K212" s="70"/>
      <c r="L212" s="261" t="s">
        <v>1311</v>
      </c>
      <c r="M212" s="199" t="s">
        <v>1345</v>
      </c>
      <c r="N212" s="261" t="s">
        <v>34</v>
      </c>
      <c r="O212" s="262">
        <v>1</v>
      </c>
      <c r="P212" s="200">
        <v>21.25</v>
      </c>
      <c r="Q212" s="200">
        <v>21.25</v>
      </c>
      <c r="R212" s="182"/>
      <c r="U212" s="128"/>
    </row>
    <row r="213" spans="1:21" ht="15.6" x14ac:dyDescent="0.3">
      <c r="A213" s="53"/>
      <c r="B213" s="54"/>
      <c r="C213" s="54"/>
      <c r="D213" s="54"/>
      <c r="E213" s="55"/>
      <c r="F213" s="75"/>
      <c r="G213" s="76"/>
      <c r="H213" s="76"/>
      <c r="I213" s="48"/>
      <c r="J213" s="70"/>
      <c r="K213" s="70"/>
      <c r="L213" s="261" t="s">
        <v>1155</v>
      </c>
      <c r="M213" s="199" t="s">
        <v>1242</v>
      </c>
      <c r="N213" s="261" t="s">
        <v>34</v>
      </c>
      <c r="O213" s="262">
        <v>3</v>
      </c>
      <c r="P213" s="200">
        <v>20.18</v>
      </c>
      <c r="Q213" s="200">
        <v>60.53</v>
      </c>
      <c r="R213" s="182"/>
      <c r="U213" s="128"/>
    </row>
    <row r="214" spans="1:21" ht="15.6" x14ac:dyDescent="0.3">
      <c r="A214" s="53"/>
      <c r="B214" s="54"/>
      <c r="C214" s="54"/>
      <c r="D214" s="54"/>
      <c r="E214" s="55"/>
      <c r="F214" s="75"/>
      <c r="G214" s="76"/>
      <c r="H214" s="76"/>
      <c r="I214" s="48"/>
      <c r="J214" s="70"/>
      <c r="K214" s="70"/>
      <c r="L214" s="261" t="s">
        <v>1015</v>
      </c>
      <c r="M214" s="199" t="s">
        <v>393</v>
      </c>
      <c r="N214" s="261" t="s">
        <v>34</v>
      </c>
      <c r="O214" s="262">
        <v>4</v>
      </c>
      <c r="P214" s="200">
        <v>4.9000000000000004</v>
      </c>
      <c r="Q214" s="200">
        <v>19.600000000000001</v>
      </c>
      <c r="R214" s="182"/>
      <c r="U214" s="128"/>
    </row>
    <row r="215" spans="1:21" ht="15.6" x14ac:dyDescent="0.3">
      <c r="A215" s="53"/>
      <c r="B215" s="54"/>
      <c r="C215" s="54"/>
      <c r="D215" s="54"/>
      <c r="E215" s="55"/>
      <c r="F215" s="75"/>
      <c r="G215" s="76"/>
      <c r="H215" s="76"/>
      <c r="I215" s="48"/>
      <c r="J215" s="70"/>
      <c r="K215" s="70"/>
      <c r="L215" s="261" t="s">
        <v>807</v>
      </c>
      <c r="M215" s="199" t="s">
        <v>808</v>
      </c>
      <c r="N215" s="261" t="s">
        <v>34</v>
      </c>
      <c r="O215" s="262">
        <v>1</v>
      </c>
      <c r="P215" s="200">
        <v>113</v>
      </c>
      <c r="Q215" s="200">
        <v>113</v>
      </c>
      <c r="R215" s="182"/>
      <c r="U215" s="128"/>
    </row>
    <row r="216" spans="1:21" ht="30" x14ac:dyDescent="0.3">
      <c r="A216" s="53"/>
      <c r="B216" s="54"/>
      <c r="C216" s="54"/>
      <c r="D216" s="54"/>
      <c r="E216" s="55"/>
      <c r="F216" s="75"/>
      <c r="G216" s="76"/>
      <c r="H216" s="76"/>
      <c r="I216" s="48"/>
      <c r="J216" s="70"/>
      <c r="K216" s="70"/>
      <c r="L216" s="261" t="s">
        <v>1156</v>
      </c>
      <c r="M216" s="199" t="s">
        <v>1243</v>
      </c>
      <c r="N216" s="261" t="s">
        <v>34</v>
      </c>
      <c r="O216" s="262">
        <v>1</v>
      </c>
      <c r="P216" s="200">
        <v>87.3</v>
      </c>
      <c r="Q216" s="200">
        <v>87.3</v>
      </c>
      <c r="R216" s="182"/>
      <c r="U216" s="128"/>
    </row>
    <row r="217" spans="1:21" ht="15.6" x14ac:dyDescent="0.3">
      <c r="A217" s="53"/>
      <c r="B217" s="54"/>
      <c r="C217" s="54"/>
      <c r="D217" s="54"/>
      <c r="E217" s="55"/>
      <c r="F217" s="75"/>
      <c r="G217" s="76"/>
      <c r="H217" s="76"/>
      <c r="I217" s="48"/>
      <c r="J217" s="70"/>
      <c r="K217" s="70"/>
      <c r="L217" s="261" t="s">
        <v>1016</v>
      </c>
      <c r="M217" s="199" t="s">
        <v>396</v>
      </c>
      <c r="N217" s="261" t="s">
        <v>34</v>
      </c>
      <c r="O217" s="262">
        <v>2</v>
      </c>
      <c r="P217" s="200">
        <v>41.7</v>
      </c>
      <c r="Q217" s="200">
        <v>83.4</v>
      </c>
      <c r="R217" s="182"/>
      <c r="U217" s="128"/>
    </row>
    <row r="218" spans="1:21" ht="15.6" x14ac:dyDescent="0.3">
      <c r="A218" s="53"/>
      <c r="B218" s="54"/>
      <c r="C218" s="54"/>
      <c r="D218" s="54"/>
      <c r="E218" s="55"/>
      <c r="F218" s="75"/>
      <c r="G218" s="76"/>
      <c r="H218" s="76"/>
      <c r="I218" s="48"/>
      <c r="J218" s="70"/>
      <c r="K218" s="70"/>
      <c r="L218" s="261" t="s">
        <v>1017</v>
      </c>
      <c r="M218" s="199" t="s">
        <v>397</v>
      </c>
      <c r="N218" s="261" t="s">
        <v>34</v>
      </c>
      <c r="O218" s="262">
        <v>3</v>
      </c>
      <c r="P218" s="200">
        <v>28.1</v>
      </c>
      <c r="Q218" s="200">
        <v>84.3</v>
      </c>
      <c r="R218" s="182"/>
      <c r="U218" s="128"/>
    </row>
    <row r="219" spans="1:21" ht="15.6" x14ac:dyDescent="0.3">
      <c r="A219" s="53"/>
      <c r="B219" s="54"/>
      <c r="C219" s="54"/>
      <c r="D219" s="54"/>
      <c r="E219" s="55"/>
      <c r="F219" s="75"/>
      <c r="G219" s="76"/>
      <c r="H219" s="76"/>
      <c r="I219" s="48"/>
      <c r="J219" s="70"/>
      <c r="K219" s="70"/>
      <c r="L219" s="261" t="s">
        <v>1018</v>
      </c>
      <c r="M219" s="199" t="s">
        <v>1075</v>
      </c>
      <c r="N219" s="261" t="s">
        <v>34</v>
      </c>
      <c r="O219" s="262">
        <v>2</v>
      </c>
      <c r="P219" s="201">
        <v>1290.8</v>
      </c>
      <c r="Q219" s="201">
        <v>2581.6</v>
      </c>
      <c r="R219" s="182"/>
      <c r="U219" s="128"/>
    </row>
    <row r="220" spans="1:21" ht="15.6" x14ac:dyDescent="0.3">
      <c r="A220" s="53"/>
      <c r="B220" s="54"/>
      <c r="C220" s="54"/>
      <c r="D220" s="54"/>
      <c r="E220" s="55"/>
      <c r="F220" s="75"/>
      <c r="G220" s="76"/>
      <c r="H220" s="76"/>
      <c r="I220" s="48"/>
      <c r="J220" s="70"/>
      <c r="K220" s="70"/>
      <c r="L220" s="261" t="s">
        <v>1157</v>
      </c>
      <c r="M220" s="199" t="s">
        <v>398</v>
      </c>
      <c r="N220" s="261" t="s">
        <v>34</v>
      </c>
      <c r="O220" s="262">
        <v>1</v>
      </c>
      <c r="P220" s="201">
        <v>1290.8</v>
      </c>
      <c r="Q220" s="201">
        <v>1290.8</v>
      </c>
      <c r="R220" s="182"/>
      <c r="U220" s="128"/>
    </row>
    <row r="221" spans="1:21" ht="15.6" x14ac:dyDescent="0.3">
      <c r="A221" s="53"/>
      <c r="B221" s="54"/>
      <c r="C221" s="54"/>
      <c r="D221" s="54"/>
      <c r="E221" s="55"/>
      <c r="F221" s="75"/>
      <c r="G221" s="76"/>
      <c r="H221" s="76"/>
      <c r="I221" s="48"/>
      <c r="J221" s="70"/>
      <c r="K221" s="70"/>
      <c r="L221" s="261" t="s">
        <v>809</v>
      </c>
      <c r="M221" s="199" t="s">
        <v>810</v>
      </c>
      <c r="N221" s="261" t="s">
        <v>34</v>
      </c>
      <c r="O221" s="262">
        <v>1</v>
      </c>
      <c r="P221" s="200">
        <v>989.3</v>
      </c>
      <c r="Q221" s="200">
        <v>989.3</v>
      </c>
      <c r="R221" s="182"/>
      <c r="U221" s="128"/>
    </row>
    <row r="222" spans="1:21" ht="15.6" x14ac:dyDescent="0.3">
      <c r="A222" s="53"/>
      <c r="B222" s="54"/>
      <c r="C222" s="54"/>
      <c r="D222" s="54"/>
      <c r="E222" s="55"/>
      <c r="F222" s="75"/>
      <c r="G222" s="76"/>
      <c r="H222" s="76"/>
      <c r="I222" s="48"/>
      <c r="J222" s="70"/>
      <c r="K222" s="70"/>
      <c r="L222" s="261" t="s">
        <v>53</v>
      </c>
      <c r="M222" s="199" t="s">
        <v>85</v>
      </c>
      <c r="N222" s="261" t="s">
        <v>34</v>
      </c>
      <c r="O222" s="262">
        <v>5</v>
      </c>
      <c r="P222" s="200">
        <v>47</v>
      </c>
      <c r="Q222" s="200">
        <v>235</v>
      </c>
      <c r="R222" s="182"/>
      <c r="U222" s="128"/>
    </row>
    <row r="223" spans="1:21" ht="15.6" x14ac:dyDescent="0.3">
      <c r="A223" s="53"/>
      <c r="B223" s="54"/>
      <c r="C223" s="54"/>
      <c r="D223" s="54"/>
      <c r="E223" s="55"/>
      <c r="F223" s="75"/>
      <c r="G223" s="76"/>
      <c r="H223" s="76"/>
      <c r="I223" s="48"/>
      <c r="J223" s="70"/>
      <c r="K223" s="70"/>
      <c r="L223" s="261" t="s">
        <v>403</v>
      </c>
      <c r="M223" s="199" t="s">
        <v>1073</v>
      </c>
      <c r="N223" s="261" t="s">
        <v>34</v>
      </c>
      <c r="O223" s="262">
        <v>2</v>
      </c>
      <c r="P223" s="200">
        <v>37.1</v>
      </c>
      <c r="Q223" s="200">
        <v>74.2</v>
      </c>
      <c r="R223" s="182"/>
      <c r="U223" s="128"/>
    </row>
    <row r="224" spans="1:21" ht="15.6" x14ac:dyDescent="0.3">
      <c r="A224" s="53"/>
      <c r="B224" s="54"/>
      <c r="C224" s="54"/>
      <c r="D224" s="54"/>
      <c r="E224" s="55"/>
      <c r="F224" s="75"/>
      <c r="G224" s="76"/>
      <c r="H224" s="76"/>
      <c r="I224" s="48"/>
      <c r="J224" s="70"/>
      <c r="K224" s="70"/>
      <c r="L224" s="261" t="s">
        <v>920</v>
      </c>
      <c r="M224" s="199" t="s">
        <v>921</v>
      </c>
      <c r="N224" s="261" t="s">
        <v>34</v>
      </c>
      <c r="O224" s="262">
        <v>1</v>
      </c>
      <c r="P224" s="200">
        <v>29.1</v>
      </c>
      <c r="Q224" s="200">
        <v>29.1</v>
      </c>
      <c r="R224" s="182"/>
      <c r="U224" s="128"/>
    </row>
    <row r="225" spans="1:21" ht="15.6" x14ac:dyDescent="0.3">
      <c r="A225" s="53"/>
      <c r="B225" s="54"/>
      <c r="C225" s="54"/>
      <c r="D225" s="54"/>
      <c r="E225" s="55"/>
      <c r="F225" s="75"/>
      <c r="G225" s="76"/>
      <c r="H225" s="76"/>
      <c r="I225" s="48"/>
      <c r="J225" s="70"/>
      <c r="K225" s="70"/>
      <c r="L225" s="261" t="s">
        <v>1008</v>
      </c>
      <c r="M225" s="199" t="s">
        <v>407</v>
      </c>
      <c r="N225" s="261" t="s">
        <v>34</v>
      </c>
      <c r="O225" s="262">
        <v>1</v>
      </c>
      <c r="P225" s="200">
        <v>45.9</v>
      </c>
      <c r="Q225" s="200">
        <v>45.9</v>
      </c>
      <c r="R225" s="182"/>
      <c r="U225" s="128"/>
    </row>
    <row r="226" spans="1:21" ht="15.6" x14ac:dyDescent="0.3">
      <c r="A226" s="53"/>
      <c r="B226" s="54"/>
      <c r="C226" s="54"/>
      <c r="D226" s="54"/>
      <c r="E226" s="55"/>
      <c r="F226" s="75"/>
      <c r="G226" s="76"/>
      <c r="H226" s="76"/>
      <c r="I226" s="48"/>
      <c r="J226" s="70"/>
      <c r="K226" s="70"/>
      <c r="L226" s="261" t="s">
        <v>1009</v>
      </c>
      <c r="M226" s="199" t="s">
        <v>811</v>
      </c>
      <c r="N226" s="261" t="s">
        <v>34</v>
      </c>
      <c r="O226" s="262">
        <v>5</v>
      </c>
      <c r="P226" s="200">
        <v>91</v>
      </c>
      <c r="Q226" s="200">
        <v>455</v>
      </c>
      <c r="R226" s="182"/>
      <c r="U226" s="128"/>
    </row>
    <row r="227" spans="1:21" ht="15.6" x14ac:dyDescent="0.3">
      <c r="A227" s="53"/>
      <c r="B227" s="54"/>
      <c r="C227" s="54"/>
      <c r="D227" s="54"/>
      <c r="E227" s="55"/>
      <c r="F227" s="75"/>
      <c r="G227" s="76"/>
      <c r="H227" s="76"/>
      <c r="I227" s="48"/>
      <c r="J227" s="70"/>
      <c r="K227" s="70"/>
      <c r="L227" s="261" t="s">
        <v>1158</v>
      </c>
      <c r="M227" s="199" t="s">
        <v>1244</v>
      </c>
      <c r="N227" s="261" t="s">
        <v>34</v>
      </c>
      <c r="O227" s="262">
        <v>1</v>
      </c>
      <c r="P227" s="200">
        <v>238</v>
      </c>
      <c r="Q227" s="200">
        <v>238</v>
      </c>
      <c r="R227" s="182"/>
      <c r="U227" s="128"/>
    </row>
    <row r="228" spans="1:21" ht="15.6" x14ac:dyDescent="0.3">
      <c r="A228" s="53"/>
      <c r="B228" s="54"/>
      <c r="C228" s="54"/>
      <c r="D228" s="54"/>
      <c r="E228" s="55"/>
      <c r="F228" s="75"/>
      <c r="G228" s="76"/>
      <c r="H228" s="76"/>
      <c r="I228" s="48"/>
      <c r="J228" s="70"/>
      <c r="K228" s="70"/>
      <c r="L228" s="261" t="s">
        <v>411</v>
      </c>
      <c r="M228" s="199" t="s">
        <v>412</v>
      </c>
      <c r="N228" s="261" t="s">
        <v>34</v>
      </c>
      <c r="O228" s="262">
        <v>9.8000000000000007</v>
      </c>
      <c r="P228" s="200">
        <v>58.83</v>
      </c>
      <c r="Q228" s="200">
        <v>576.5</v>
      </c>
      <c r="R228" s="182"/>
      <c r="U228" s="128"/>
    </row>
    <row r="229" spans="1:21" ht="15.6" x14ac:dyDescent="0.3">
      <c r="A229" s="53"/>
      <c r="B229" s="54"/>
      <c r="C229" s="54"/>
      <c r="D229" s="54"/>
      <c r="E229" s="55"/>
      <c r="F229" s="75"/>
      <c r="G229" s="76"/>
      <c r="H229" s="76"/>
      <c r="I229" s="48"/>
      <c r="J229" s="70"/>
      <c r="K229" s="70"/>
      <c r="L229" s="261" t="s">
        <v>891</v>
      </c>
      <c r="M229" s="199" t="s">
        <v>892</v>
      </c>
      <c r="N229" s="261" t="s">
        <v>34</v>
      </c>
      <c r="O229" s="262">
        <v>3</v>
      </c>
      <c r="P229" s="200">
        <v>720</v>
      </c>
      <c r="Q229" s="201">
        <v>2160</v>
      </c>
      <c r="R229" s="182"/>
      <c r="U229" s="128"/>
    </row>
    <row r="230" spans="1:21" ht="15.6" x14ac:dyDescent="0.3">
      <c r="A230" s="53"/>
      <c r="B230" s="54"/>
      <c r="C230" s="54"/>
      <c r="D230" s="54"/>
      <c r="E230" s="55"/>
      <c r="F230" s="75"/>
      <c r="G230" s="76"/>
      <c r="H230" s="76"/>
      <c r="I230" s="48"/>
      <c r="J230" s="70"/>
      <c r="K230" s="70"/>
      <c r="L230" s="261" t="s">
        <v>865</v>
      </c>
      <c r="M230" s="199" t="s">
        <v>1055</v>
      </c>
      <c r="N230" s="261" t="s">
        <v>34</v>
      </c>
      <c r="O230" s="262">
        <v>1</v>
      </c>
      <c r="P230" s="201">
        <v>4916.67</v>
      </c>
      <c r="Q230" s="201">
        <v>4916.67</v>
      </c>
      <c r="R230" s="182"/>
      <c r="U230" s="128"/>
    </row>
    <row r="231" spans="1:21" ht="15.6" x14ac:dyDescent="0.3">
      <c r="A231" s="53"/>
      <c r="B231" s="54"/>
      <c r="C231" s="54"/>
      <c r="D231" s="54"/>
      <c r="E231" s="55"/>
      <c r="F231" s="75"/>
      <c r="G231" s="76"/>
      <c r="H231" s="76"/>
      <c r="I231" s="48"/>
      <c r="J231" s="70"/>
      <c r="K231" s="70"/>
      <c r="L231" s="261" t="s">
        <v>799</v>
      </c>
      <c r="M231" s="199" t="s">
        <v>800</v>
      </c>
      <c r="N231" s="261" t="s">
        <v>34</v>
      </c>
      <c r="O231" s="262">
        <v>1</v>
      </c>
      <c r="P231" s="200">
        <v>308.13</v>
      </c>
      <c r="Q231" s="200">
        <v>308.13</v>
      </c>
      <c r="R231" s="182"/>
      <c r="U231" s="128"/>
    </row>
    <row r="232" spans="1:21" ht="15.6" x14ac:dyDescent="0.3">
      <c r="A232" s="53"/>
      <c r="B232" s="54"/>
      <c r="C232" s="54"/>
      <c r="D232" s="54"/>
      <c r="E232" s="55"/>
      <c r="F232" s="75"/>
      <c r="G232" s="76"/>
      <c r="H232" s="76"/>
      <c r="I232" s="48"/>
      <c r="J232" s="70"/>
      <c r="K232" s="70"/>
      <c r="L232" s="261" t="s">
        <v>801</v>
      </c>
      <c r="M232" s="199" t="s">
        <v>802</v>
      </c>
      <c r="N232" s="261" t="s">
        <v>34</v>
      </c>
      <c r="O232" s="262">
        <v>1</v>
      </c>
      <c r="P232" s="200">
        <v>308.13</v>
      </c>
      <c r="Q232" s="200">
        <v>308.13</v>
      </c>
      <c r="R232" s="182"/>
      <c r="U232" s="128"/>
    </row>
    <row r="233" spans="1:21" ht="15.6" x14ac:dyDescent="0.3">
      <c r="A233" s="53"/>
      <c r="B233" s="54"/>
      <c r="C233" s="54"/>
      <c r="D233" s="54"/>
      <c r="E233" s="55"/>
      <c r="F233" s="75"/>
      <c r="G233" s="76"/>
      <c r="H233" s="76"/>
      <c r="I233" s="48"/>
      <c r="J233" s="70"/>
      <c r="K233" s="70"/>
      <c r="L233" s="261" t="s">
        <v>1305</v>
      </c>
      <c r="M233" s="199" t="s">
        <v>1339</v>
      </c>
      <c r="N233" s="261" t="s">
        <v>34</v>
      </c>
      <c r="O233" s="262">
        <v>1</v>
      </c>
      <c r="P233" s="200">
        <v>79.17</v>
      </c>
      <c r="Q233" s="200">
        <v>79.17</v>
      </c>
      <c r="R233" s="182"/>
      <c r="U233" s="128"/>
    </row>
    <row r="234" spans="1:21" ht="15.6" x14ac:dyDescent="0.3">
      <c r="A234" s="53"/>
      <c r="B234" s="54"/>
      <c r="C234" s="54"/>
      <c r="D234" s="54"/>
      <c r="E234" s="55"/>
      <c r="F234" s="75"/>
      <c r="G234" s="76"/>
      <c r="H234" s="76"/>
      <c r="I234" s="48"/>
      <c r="J234" s="70"/>
      <c r="K234" s="70"/>
      <c r="L234" s="261" t="s">
        <v>1306</v>
      </c>
      <c r="M234" s="199" t="s">
        <v>1340</v>
      </c>
      <c r="N234" s="261" t="s">
        <v>34</v>
      </c>
      <c r="O234" s="262">
        <v>1</v>
      </c>
      <c r="P234" s="200">
        <v>299</v>
      </c>
      <c r="Q234" s="200">
        <v>299</v>
      </c>
      <c r="R234" s="182"/>
      <c r="U234" s="128"/>
    </row>
    <row r="235" spans="1:21" ht="15.6" x14ac:dyDescent="0.3">
      <c r="A235" s="53"/>
      <c r="B235" s="54"/>
      <c r="C235" s="54"/>
      <c r="D235" s="54"/>
      <c r="E235" s="55"/>
      <c r="F235" s="75"/>
      <c r="G235" s="76"/>
      <c r="H235" s="76"/>
      <c r="I235" s="48"/>
      <c r="J235" s="70"/>
      <c r="K235" s="70"/>
      <c r="L235" s="261" t="s">
        <v>1307</v>
      </c>
      <c r="M235" s="199" t="s">
        <v>1341</v>
      </c>
      <c r="N235" s="261" t="s">
        <v>34</v>
      </c>
      <c r="O235" s="262">
        <v>1</v>
      </c>
      <c r="P235" s="201">
        <v>1749</v>
      </c>
      <c r="Q235" s="201">
        <v>1749</v>
      </c>
      <c r="R235" s="182"/>
      <c r="U235" s="128"/>
    </row>
    <row r="236" spans="1:21" ht="15.6" x14ac:dyDescent="0.3">
      <c r="A236" s="53"/>
      <c r="B236" s="54"/>
      <c r="C236" s="54"/>
      <c r="D236" s="54"/>
      <c r="E236" s="55"/>
      <c r="F236" s="75"/>
      <c r="G236" s="76"/>
      <c r="H236" s="76"/>
      <c r="I236" s="48"/>
      <c r="J236" s="70"/>
      <c r="K236" s="70"/>
      <c r="L236" s="261" t="s">
        <v>1153</v>
      </c>
      <c r="M236" s="199" t="s">
        <v>1240</v>
      </c>
      <c r="N236" s="261" t="s">
        <v>34</v>
      </c>
      <c r="O236" s="262">
        <v>1</v>
      </c>
      <c r="P236" s="201">
        <v>1546</v>
      </c>
      <c r="Q236" s="201">
        <v>1546</v>
      </c>
      <c r="R236" s="182"/>
      <c r="U236" s="128"/>
    </row>
    <row r="237" spans="1:21" ht="15.6" x14ac:dyDescent="0.3">
      <c r="A237" s="53"/>
      <c r="B237" s="54"/>
      <c r="C237" s="54"/>
      <c r="D237" s="54"/>
      <c r="E237" s="55"/>
      <c r="F237" s="75"/>
      <c r="G237" s="76"/>
      <c r="H237" s="76"/>
      <c r="I237" s="48"/>
      <c r="J237" s="70"/>
      <c r="K237" s="70"/>
      <c r="L237" s="261" t="s">
        <v>804</v>
      </c>
      <c r="M237" s="199" t="s">
        <v>805</v>
      </c>
      <c r="N237" s="261" t="s">
        <v>34</v>
      </c>
      <c r="O237" s="262">
        <v>0.6</v>
      </c>
      <c r="P237" s="201">
        <v>1250</v>
      </c>
      <c r="Q237" s="200">
        <v>750</v>
      </c>
      <c r="R237" s="182"/>
      <c r="U237" s="128"/>
    </row>
    <row r="238" spans="1:21" ht="15.6" x14ac:dyDescent="0.3">
      <c r="A238" s="53"/>
      <c r="B238" s="54"/>
      <c r="C238" s="54"/>
      <c r="D238" s="54"/>
      <c r="E238" s="55"/>
      <c r="F238" s="75"/>
      <c r="G238" s="76"/>
      <c r="H238" s="76"/>
      <c r="I238" s="48"/>
      <c r="J238" s="70"/>
      <c r="K238" s="70"/>
      <c r="L238" s="261" t="s">
        <v>867</v>
      </c>
      <c r="M238" s="199" t="s">
        <v>918</v>
      </c>
      <c r="N238" s="261" t="s">
        <v>34</v>
      </c>
      <c r="O238" s="262">
        <v>1</v>
      </c>
      <c r="P238" s="201">
        <v>4050</v>
      </c>
      <c r="Q238" s="201">
        <v>4050</v>
      </c>
      <c r="R238" s="182"/>
      <c r="U238" s="128"/>
    </row>
    <row r="239" spans="1:21" ht="15.6" x14ac:dyDescent="0.3">
      <c r="A239" s="53"/>
      <c r="B239" s="54"/>
      <c r="C239" s="54"/>
      <c r="D239" s="54"/>
      <c r="E239" s="55"/>
      <c r="F239" s="75"/>
      <c r="G239" s="76"/>
      <c r="H239" s="76"/>
      <c r="I239" s="48"/>
      <c r="J239" s="70"/>
      <c r="K239" s="70"/>
      <c r="L239" s="261" t="s">
        <v>194</v>
      </c>
      <c r="M239" s="199" t="s">
        <v>195</v>
      </c>
      <c r="N239" s="261" t="s">
        <v>34</v>
      </c>
      <c r="O239" s="262">
        <v>0.2</v>
      </c>
      <c r="P239" s="201">
        <v>1500</v>
      </c>
      <c r="Q239" s="200">
        <v>300</v>
      </c>
      <c r="R239" s="182"/>
      <c r="U239" s="128"/>
    </row>
    <row r="240" spans="1:21" ht="15.6" x14ac:dyDescent="0.3">
      <c r="A240" s="53"/>
      <c r="B240" s="54"/>
      <c r="C240" s="54"/>
      <c r="D240" s="54"/>
      <c r="E240" s="55"/>
      <c r="F240" s="75"/>
      <c r="G240" s="76"/>
      <c r="H240" s="76"/>
      <c r="I240" s="48"/>
      <c r="J240" s="70"/>
      <c r="K240" s="70"/>
      <c r="L240" s="261" t="s">
        <v>432</v>
      </c>
      <c r="M240" s="199" t="s">
        <v>433</v>
      </c>
      <c r="N240" s="261" t="s">
        <v>34</v>
      </c>
      <c r="O240" s="262">
        <v>4</v>
      </c>
      <c r="P240" s="200">
        <v>28.26</v>
      </c>
      <c r="Q240" s="200">
        <v>113.04</v>
      </c>
      <c r="R240" s="182"/>
      <c r="U240" s="128"/>
    </row>
    <row r="241" spans="1:21" ht="15.6" x14ac:dyDescent="0.3">
      <c r="A241" s="53"/>
      <c r="B241" s="54"/>
      <c r="C241" s="54"/>
      <c r="D241" s="54"/>
      <c r="E241" s="55"/>
      <c r="F241" s="75"/>
      <c r="G241" s="76"/>
      <c r="H241" s="76"/>
      <c r="I241" s="48"/>
      <c r="J241" s="70"/>
      <c r="K241" s="70"/>
      <c r="L241" s="261" t="s">
        <v>1159</v>
      </c>
      <c r="M241" s="199" t="s">
        <v>1245</v>
      </c>
      <c r="N241" s="261" t="s">
        <v>34</v>
      </c>
      <c r="O241" s="262">
        <v>1</v>
      </c>
      <c r="P241" s="200">
        <v>36.08</v>
      </c>
      <c r="Q241" s="200">
        <v>36.08</v>
      </c>
      <c r="R241" s="182"/>
      <c r="U241" s="128"/>
    </row>
    <row r="242" spans="1:21" ht="15.6" x14ac:dyDescent="0.3">
      <c r="A242" s="53"/>
      <c r="B242" s="54"/>
      <c r="C242" s="54"/>
      <c r="D242" s="54"/>
      <c r="E242" s="55"/>
      <c r="F242" s="75"/>
      <c r="G242" s="76"/>
      <c r="H242" s="76"/>
      <c r="I242" s="48"/>
      <c r="J242" s="70"/>
      <c r="K242" s="70"/>
      <c r="L242" s="261" t="s">
        <v>1001</v>
      </c>
      <c r="M242" s="199" t="s">
        <v>415</v>
      </c>
      <c r="N242" s="261" t="s">
        <v>34</v>
      </c>
      <c r="O242" s="262">
        <v>11</v>
      </c>
      <c r="P242" s="200">
        <v>59.58</v>
      </c>
      <c r="Q242" s="200">
        <v>655.38</v>
      </c>
      <c r="R242" s="182"/>
      <c r="U242" s="128"/>
    </row>
    <row r="243" spans="1:21" ht="15.6" x14ac:dyDescent="0.3">
      <c r="A243" s="53"/>
      <c r="B243" s="54"/>
      <c r="C243" s="54"/>
      <c r="D243" s="54"/>
      <c r="E243" s="55"/>
      <c r="F243" s="75"/>
      <c r="G243" s="76"/>
      <c r="H243" s="76"/>
      <c r="I243" s="48"/>
      <c r="J243" s="70"/>
      <c r="K243" s="70"/>
      <c r="L243" s="261" t="s">
        <v>946</v>
      </c>
      <c r="M243" s="199" t="s">
        <v>1042</v>
      </c>
      <c r="N243" s="261" t="s">
        <v>34</v>
      </c>
      <c r="O243" s="262">
        <v>4</v>
      </c>
      <c r="P243" s="200">
        <v>205.47</v>
      </c>
      <c r="Q243" s="200">
        <v>821.88</v>
      </c>
      <c r="R243" s="182"/>
      <c r="U243" s="128"/>
    </row>
    <row r="244" spans="1:21" ht="15.6" x14ac:dyDescent="0.3">
      <c r="A244" s="53"/>
      <c r="B244" s="54"/>
      <c r="C244" s="54"/>
      <c r="D244" s="54"/>
      <c r="E244" s="55"/>
      <c r="F244" s="75"/>
      <c r="G244" s="76"/>
      <c r="H244" s="76"/>
      <c r="I244" s="48"/>
      <c r="J244" s="70"/>
      <c r="K244" s="70"/>
      <c r="L244" s="261" t="s">
        <v>823</v>
      </c>
      <c r="M244" s="199" t="s">
        <v>824</v>
      </c>
      <c r="N244" s="261" t="s">
        <v>34</v>
      </c>
      <c r="O244" s="262">
        <v>5</v>
      </c>
      <c r="P244" s="200">
        <v>221.38</v>
      </c>
      <c r="Q244" s="201">
        <v>1106.8900000000001</v>
      </c>
      <c r="R244" s="182"/>
      <c r="U244" s="128"/>
    </row>
    <row r="245" spans="1:21" ht="15.6" x14ac:dyDescent="0.3">
      <c r="A245" s="53"/>
      <c r="B245" s="54"/>
      <c r="C245" s="54"/>
      <c r="D245" s="54"/>
      <c r="E245" s="55"/>
      <c r="F245" s="75"/>
      <c r="G245" s="76"/>
      <c r="H245" s="76"/>
      <c r="I245" s="48"/>
      <c r="J245" s="70"/>
      <c r="K245" s="70"/>
      <c r="L245" s="261" t="s">
        <v>1161</v>
      </c>
      <c r="M245" s="199" t="s">
        <v>436</v>
      </c>
      <c r="N245" s="261" t="s">
        <v>34</v>
      </c>
      <c r="O245" s="262">
        <v>1</v>
      </c>
      <c r="P245" s="200">
        <v>96.18</v>
      </c>
      <c r="Q245" s="200">
        <v>96.18</v>
      </c>
      <c r="R245" s="182"/>
      <c r="U245" s="128"/>
    </row>
    <row r="246" spans="1:21" ht="30" x14ac:dyDescent="0.3">
      <c r="A246" s="53"/>
      <c r="B246" s="54"/>
      <c r="C246" s="54"/>
      <c r="D246" s="54"/>
      <c r="E246" s="55"/>
      <c r="F246" s="75"/>
      <c r="G246" s="76"/>
      <c r="H246" s="76"/>
      <c r="I246" s="48"/>
      <c r="J246" s="70"/>
      <c r="K246" s="70"/>
      <c r="L246" s="261" t="s">
        <v>1004</v>
      </c>
      <c r="M246" s="199" t="s">
        <v>95</v>
      </c>
      <c r="N246" s="261" t="s">
        <v>34</v>
      </c>
      <c r="O246" s="262">
        <v>9</v>
      </c>
      <c r="P246" s="200">
        <v>181.2</v>
      </c>
      <c r="Q246" s="201">
        <v>1630.8</v>
      </c>
      <c r="R246" s="182"/>
      <c r="U246" s="128"/>
    </row>
    <row r="247" spans="1:21" ht="15.6" x14ac:dyDescent="0.3">
      <c r="A247" s="53"/>
      <c r="B247" s="54"/>
      <c r="C247" s="54"/>
      <c r="D247" s="54"/>
      <c r="E247" s="55"/>
      <c r="F247" s="75"/>
      <c r="G247" s="76"/>
      <c r="H247" s="76"/>
      <c r="I247" s="48"/>
      <c r="J247" s="70"/>
      <c r="K247" s="70"/>
      <c r="L247" s="261" t="s">
        <v>437</v>
      </c>
      <c r="M247" s="199" t="s">
        <v>438</v>
      </c>
      <c r="N247" s="261" t="s">
        <v>34</v>
      </c>
      <c r="O247" s="262">
        <v>4</v>
      </c>
      <c r="P247" s="200">
        <v>166.32</v>
      </c>
      <c r="Q247" s="200">
        <v>665.28</v>
      </c>
      <c r="R247" s="182"/>
      <c r="U247" s="128"/>
    </row>
    <row r="248" spans="1:21" ht="15.6" x14ac:dyDescent="0.3">
      <c r="A248" s="53"/>
      <c r="B248" s="54"/>
      <c r="C248" s="54"/>
      <c r="D248" s="54"/>
      <c r="E248" s="55"/>
      <c r="F248" s="75"/>
      <c r="G248" s="76"/>
      <c r="H248" s="76"/>
      <c r="I248" s="48"/>
      <c r="J248" s="70"/>
      <c r="K248" s="70"/>
      <c r="L248" s="261" t="s">
        <v>1090</v>
      </c>
      <c r="M248" s="199" t="s">
        <v>439</v>
      </c>
      <c r="N248" s="261" t="s">
        <v>34</v>
      </c>
      <c r="O248" s="262">
        <v>1</v>
      </c>
      <c r="P248" s="200">
        <v>94.36</v>
      </c>
      <c r="Q248" s="200">
        <v>94.36</v>
      </c>
      <c r="R248" s="182"/>
      <c r="U248" s="128"/>
    </row>
    <row r="249" spans="1:21" ht="15.6" x14ac:dyDescent="0.3">
      <c r="A249" s="53"/>
      <c r="B249" s="54"/>
      <c r="C249" s="54"/>
      <c r="D249" s="54"/>
      <c r="E249" s="55"/>
      <c r="F249" s="75"/>
      <c r="G249" s="76"/>
      <c r="H249" s="76"/>
      <c r="I249" s="48"/>
      <c r="J249" s="70"/>
      <c r="K249" s="70"/>
      <c r="L249" s="261" t="s">
        <v>816</v>
      </c>
      <c r="M249" s="199" t="s">
        <v>817</v>
      </c>
      <c r="N249" s="261" t="s">
        <v>34</v>
      </c>
      <c r="O249" s="262">
        <v>1</v>
      </c>
      <c r="P249" s="200">
        <v>4.4000000000000004</v>
      </c>
      <c r="Q249" s="200">
        <v>4.4000000000000004</v>
      </c>
      <c r="R249" s="182"/>
      <c r="U249" s="128"/>
    </row>
    <row r="250" spans="1:21" ht="15.6" x14ac:dyDescent="0.3">
      <c r="A250" s="53"/>
      <c r="B250" s="54"/>
      <c r="C250" s="54"/>
      <c r="D250" s="54"/>
      <c r="E250" s="55"/>
      <c r="F250" s="75"/>
      <c r="G250" s="76"/>
      <c r="H250" s="76"/>
      <c r="I250" s="48"/>
      <c r="J250" s="70"/>
      <c r="K250" s="70"/>
      <c r="L250" s="261" t="s">
        <v>422</v>
      </c>
      <c r="M250" s="199" t="s">
        <v>423</v>
      </c>
      <c r="N250" s="261" t="s">
        <v>34</v>
      </c>
      <c r="O250" s="262">
        <v>1</v>
      </c>
      <c r="P250" s="200">
        <v>177</v>
      </c>
      <c r="Q250" s="200">
        <v>177</v>
      </c>
      <c r="R250" s="182"/>
      <c r="U250" s="128"/>
    </row>
    <row r="251" spans="1:21" ht="15.6" x14ac:dyDescent="0.3">
      <c r="A251" s="53"/>
      <c r="B251" s="54"/>
      <c r="C251" s="54"/>
      <c r="D251" s="54"/>
      <c r="E251" s="55"/>
      <c r="F251" s="75"/>
      <c r="G251" s="76"/>
      <c r="H251" s="76"/>
      <c r="I251" s="48"/>
      <c r="J251" s="70"/>
      <c r="K251" s="70"/>
      <c r="L251" s="261" t="s">
        <v>818</v>
      </c>
      <c r="M251" s="199" t="s">
        <v>819</v>
      </c>
      <c r="N251" s="261" t="s">
        <v>34</v>
      </c>
      <c r="O251" s="262">
        <v>1.7</v>
      </c>
      <c r="P251" s="200">
        <v>175</v>
      </c>
      <c r="Q251" s="200">
        <v>297.5</v>
      </c>
      <c r="R251" s="182"/>
      <c r="U251" s="128"/>
    </row>
    <row r="252" spans="1:21" ht="15.6" x14ac:dyDescent="0.3">
      <c r="A252" s="53"/>
      <c r="B252" s="54"/>
      <c r="C252" s="54"/>
      <c r="D252" s="54"/>
      <c r="E252" s="55"/>
      <c r="F252" s="75"/>
      <c r="G252" s="76"/>
      <c r="H252" s="76"/>
      <c r="I252" s="48"/>
      <c r="J252" s="70"/>
      <c r="K252" s="70"/>
      <c r="L252" s="261" t="s">
        <v>1002</v>
      </c>
      <c r="M252" s="199" t="s">
        <v>1070</v>
      </c>
      <c r="N252" s="261" t="s">
        <v>34</v>
      </c>
      <c r="O252" s="262">
        <v>0.54</v>
      </c>
      <c r="P252" s="200">
        <v>63</v>
      </c>
      <c r="Q252" s="200">
        <v>34.020000000000003</v>
      </c>
      <c r="R252" s="182"/>
      <c r="U252" s="128"/>
    </row>
    <row r="253" spans="1:21" ht="15.6" x14ac:dyDescent="0.3">
      <c r="A253" s="53"/>
      <c r="B253" s="54"/>
      <c r="C253" s="54"/>
      <c r="D253" s="54"/>
      <c r="E253" s="55"/>
      <c r="F253" s="75"/>
      <c r="G253" s="76"/>
      <c r="H253" s="76"/>
      <c r="I253" s="48"/>
      <c r="J253" s="70"/>
      <c r="K253" s="70"/>
      <c r="L253" s="261" t="s">
        <v>1003</v>
      </c>
      <c r="M253" s="199" t="s">
        <v>1071</v>
      </c>
      <c r="N253" s="261" t="s">
        <v>34</v>
      </c>
      <c r="O253" s="262">
        <v>0.18</v>
      </c>
      <c r="P253" s="200">
        <v>195</v>
      </c>
      <c r="Q253" s="200">
        <v>35.1</v>
      </c>
      <c r="R253" s="182"/>
      <c r="U253" s="128"/>
    </row>
    <row r="254" spans="1:21" ht="15.6" x14ac:dyDescent="0.3">
      <c r="A254" s="53"/>
      <c r="B254" s="54"/>
      <c r="C254" s="54"/>
      <c r="D254" s="54"/>
      <c r="E254" s="55"/>
      <c r="F254" s="75"/>
      <c r="G254" s="76"/>
      <c r="H254" s="76"/>
      <c r="I254" s="48"/>
      <c r="J254" s="70"/>
      <c r="K254" s="70"/>
      <c r="L254" s="261" t="s">
        <v>1363</v>
      </c>
      <c r="M254" s="199" t="s">
        <v>1392</v>
      </c>
      <c r="N254" s="261" t="s">
        <v>34</v>
      </c>
      <c r="O254" s="262">
        <v>0.27</v>
      </c>
      <c r="P254" s="200">
        <v>499</v>
      </c>
      <c r="Q254" s="200">
        <v>134.72999999999999</v>
      </c>
      <c r="R254" s="182"/>
      <c r="U254" s="128"/>
    </row>
    <row r="255" spans="1:21" ht="15.6" x14ac:dyDescent="0.3">
      <c r="A255" s="53"/>
      <c r="B255" s="54"/>
      <c r="C255" s="54"/>
      <c r="D255" s="54"/>
      <c r="E255" s="55"/>
      <c r="F255" s="75"/>
      <c r="G255" s="76"/>
      <c r="H255" s="76"/>
      <c r="I255" s="48"/>
      <c r="J255" s="70"/>
      <c r="K255" s="70"/>
      <c r="L255" s="261" t="s">
        <v>1364</v>
      </c>
      <c r="M255" s="199" t="s">
        <v>1393</v>
      </c>
      <c r="N255" s="261" t="s">
        <v>34</v>
      </c>
      <c r="O255" s="262">
        <v>0.3</v>
      </c>
      <c r="P255" s="200">
        <v>144</v>
      </c>
      <c r="Q255" s="200">
        <v>43.2</v>
      </c>
      <c r="R255" s="182"/>
      <c r="U255" s="128"/>
    </row>
    <row r="256" spans="1:21" ht="15.6" x14ac:dyDescent="0.3">
      <c r="A256" s="53"/>
      <c r="B256" s="54"/>
      <c r="C256" s="54"/>
      <c r="D256" s="54"/>
      <c r="E256" s="55"/>
      <c r="F256" s="75"/>
      <c r="G256" s="76"/>
      <c r="H256" s="76"/>
      <c r="I256" s="48"/>
      <c r="J256" s="70"/>
      <c r="K256" s="70"/>
      <c r="L256" s="261" t="s">
        <v>1365</v>
      </c>
      <c r="M256" s="199" t="s">
        <v>1394</v>
      </c>
      <c r="N256" s="261" t="s">
        <v>34</v>
      </c>
      <c r="O256" s="262">
        <v>0.18</v>
      </c>
      <c r="P256" s="200">
        <v>140</v>
      </c>
      <c r="Q256" s="200">
        <v>25.2</v>
      </c>
      <c r="R256" s="182"/>
      <c r="U256" s="128"/>
    </row>
    <row r="257" spans="1:21" ht="15.6" x14ac:dyDescent="0.3">
      <c r="A257" s="53"/>
      <c r="B257" s="54"/>
      <c r="C257" s="54"/>
      <c r="D257" s="54"/>
      <c r="E257" s="55"/>
      <c r="F257" s="75"/>
      <c r="G257" s="76"/>
      <c r="H257" s="76"/>
      <c r="I257" s="48"/>
      <c r="J257" s="70"/>
      <c r="K257" s="70"/>
      <c r="L257" s="261" t="s">
        <v>1163</v>
      </c>
      <c r="M257" s="199" t="s">
        <v>1248</v>
      </c>
      <c r="N257" s="261" t="s">
        <v>34</v>
      </c>
      <c r="O257" s="262">
        <v>1</v>
      </c>
      <c r="P257" s="200">
        <v>579.16999999999996</v>
      </c>
      <c r="Q257" s="200">
        <v>579.16999999999996</v>
      </c>
      <c r="R257" s="182"/>
      <c r="U257" s="128"/>
    </row>
    <row r="258" spans="1:21" ht="15.6" x14ac:dyDescent="0.3">
      <c r="A258" s="53"/>
      <c r="B258" s="54"/>
      <c r="C258" s="54"/>
      <c r="D258" s="54"/>
      <c r="E258" s="55"/>
      <c r="F258" s="75"/>
      <c r="G258" s="76"/>
      <c r="H258" s="76"/>
      <c r="I258" s="48"/>
      <c r="J258" s="70"/>
      <c r="K258" s="70"/>
      <c r="L258" s="261" t="s">
        <v>1010</v>
      </c>
      <c r="M258" s="199" t="s">
        <v>814</v>
      </c>
      <c r="N258" s="261" t="s">
        <v>34</v>
      </c>
      <c r="O258" s="262">
        <v>6</v>
      </c>
      <c r="P258" s="200">
        <v>557.91999999999996</v>
      </c>
      <c r="Q258" s="201">
        <v>3347.51</v>
      </c>
      <c r="R258" s="182"/>
      <c r="U258" s="128"/>
    </row>
    <row r="259" spans="1:21" ht="15.6" x14ac:dyDescent="0.3">
      <c r="A259" s="53"/>
      <c r="B259" s="54"/>
      <c r="C259" s="54"/>
      <c r="D259" s="54"/>
      <c r="E259" s="55"/>
      <c r="F259" s="75"/>
      <c r="G259" s="76"/>
      <c r="H259" s="76"/>
      <c r="I259" s="48"/>
      <c r="J259" s="70"/>
      <c r="K259" s="70"/>
      <c r="L259" s="261" t="s">
        <v>1164</v>
      </c>
      <c r="M259" s="199" t="s">
        <v>1249</v>
      </c>
      <c r="N259" s="261" t="s">
        <v>34</v>
      </c>
      <c r="O259" s="262">
        <v>0.5</v>
      </c>
      <c r="P259" s="200">
        <v>349.1</v>
      </c>
      <c r="Q259" s="200">
        <v>174.55</v>
      </c>
      <c r="R259" s="182"/>
      <c r="U259" s="128"/>
    </row>
    <row r="260" spans="1:21" ht="15.6" x14ac:dyDescent="0.3">
      <c r="A260" s="53"/>
      <c r="B260" s="54"/>
      <c r="C260" s="54"/>
      <c r="D260" s="54"/>
      <c r="E260" s="55"/>
      <c r="F260" s="75"/>
      <c r="G260" s="76"/>
      <c r="H260" s="76"/>
      <c r="I260" s="48"/>
      <c r="J260" s="70"/>
      <c r="K260" s="70"/>
      <c r="L260" s="261" t="s">
        <v>1012</v>
      </c>
      <c r="M260" s="199" t="s">
        <v>413</v>
      </c>
      <c r="N260" s="261" t="s">
        <v>34</v>
      </c>
      <c r="O260" s="262">
        <v>0.5</v>
      </c>
      <c r="P260" s="200">
        <v>524.17999999999995</v>
      </c>
      <c r="Q260" s="200">
        <v>262.08999999999997</v>
      </c>
      <c r="R260" s="182"/>
      <c r="U260" s="128"/>
    </row>
    <row r="261" spans="1:21" ht="15.6" x14ac:dyDescent="0.3">
      <c r="A261" s="53"/>
      <c r="B261" s="54"/>
      <c r="C261" s="54"/>
      <c r="D261" s="54"/>
      <c r="E261" s="55"/>
      <c r="F261" s="75"/>
      <c r="G261" s="76"/>
      <c r="H261" s="76"/>
      <c r="I261" s="48"/>
      <c r="J261" s="70"/>
      <c r="K261" s="70"/>
      <c r="L261" s="261" t="s">
        <v>1005</v>
      </c>
      <c r="M261" s="199" t="s">
        <v>825</v>
      </c>
      <c r="N261" s="261" t="s">
        <v>34</v>
      </c>
      <c r="O261" s="262">
        <v>4</v>
      </c>
      <c r="P261" s="200">
        <v>272.07</v>
      </c>
      <c r="Q261" s="201">
        <v>1088.28</v>
      </c>
      <c r="R261" s="182"/>
      <c r="U261" s="128"/>
    </row>
    <row r="262" spans="1:21" ht="15.6" x14ac:dyDescent="0.3">
      <c r="A262" s="53"/>
      <c r="B262" s="54"/>
      <c r="C262" s="54"/>
      <c r="D262" s="54"/>
      <c r="E262" s="55"/>
      <c r="F262" s="75"/>
      <c r="G262" s="76"/>
      <c r="H262" s="76"/>
      <c r="I262" s="48"/>
      <c r="J262" s="70"/>
      <c r="K262" s="70"/>
      <c r="L262" s="261" t="s">
        <v>1006</v>
      </c>
      <c r="M262" s="199" t="s">
        <v>923</v>
      </c>
      <c r="N262" s="261" t="s">
        <v>34</v>
      </c>
      <c r="O262" s="262">
        <v>570</v>
      </c>
      <c r="P262" s="200">
        <v>0.19</v>
      </c>
      <c r="Q262" s="200">
        <v>109.92</v>
      </c>
      <c r="R262" s="182"/>
      <c r="U262" s="128"/>
    </row>
    <row r="263" spans="1:21" ht="15.6" x14ac:dyDescent="0.3">
      <c r="A263" s="53"/>
      <c r="B263" s="54"/>
      <c r="C263" s="54"/>
      <c r="D263" s="54"/>
      <c r="E263" s="55"/>
      <c r="F263" s="75"/>
      <c r="G263" s="76"/>
      <c r="H263" s="76"/>
      <c r="I263" s="48"/>
      <c r="J263" s="70"/>
      <c r="K263" s="70"/>
      <c r="L263" s="261" t="s">
        <v>1160</v>
      </c>
      <c r="M263" s="199" t="s">
        <v>1246</v>
      </c>
      <c r="N263" s="261" t="s">
        <v>34</v>
      </c>
      <c r="O263" s="262">
        <v>409</v>
      </c>
      <c r="P263" s="200">
        <v>0.69</v>
      </c>
      <c r="Q263" s="200">
        <v>282.89999999999998</v>
      </c>
      <c r="R263" s="182"/>
      <c r="U263" s="128"/>
    </row>
    <row r="264" spans="1:21" ht="15.6" x14ac:dyDescent="0.3">
      <c r="A264" s="53"/>
      <c r="B264" s="54"/>
      <c r="C264" s="54"/>
      <c r="D264" s="54"/>
      <c r="E264" s="55"/>
      <c r="F264" s="75"/>
      <c r="G264" s="76"/>
      <c r="H264" s="76"/>
      <c r="I264" s="48"/>
      <c r="J264" s="70"/>
      <c r="K264" s="70"/>
      <c r="L264" s="261" t="s">
        <v>927</v>
      </c>
      <c r="M264" s="199" t="s">
        <v>928</v>
      </c>
      <c r="N264" s="261" t="s">
        <v>34</v>
      </c>
      <c r="O264" s="262">
        <v>2</v>
      </c>
      <c r="P264" s="201">
        <v>1628.77</v>
      </c>
      <c r="Q264" s="201">
        <v>3257.53</v>
      </c>
      <c r="R264" s="182"/>
      <c r="U264" s="128"/>
    </row>
    <row r="265" spans="1:21" ht="15.6" x14ac:dyDescent="0.3">
      <c r="A265" s="53"/>
      <c r="B265" s="54"/>
      <c r="C265" s="54"/>
      <c r="D265" s="54"/>
      <c r="E265" s="55"/>
      <c r="F265" s="75"/>
      <c r="G265" s="76"/>
      <c r="H265" s="76"/>
      <c r="I265" s="48"/>
      <c r="J265" s="70"/>
      <c r="K265" s="70"/>
      <c r="L265" s="261" t="s">
        <v>219</v>
      </c>
      <c r="M265" s="199" t="s">
        <v>220</v>
      </c>
      <c r="N265" s="261" t="s">
        <v>34</v>
      </c>
      <c r="O265" s="262">
        <v>2</v>
      </c>
      <c r="P265" s="200">
        <v>112.79</v>
      </c>
      <c r="Q265" s="200">
        <v>225.58</v>
      </c>
      <c r="R265" s="182"/>
      <c r="U265" s="128"/>
    </row>
    <row r="266" spans="1:21" ht="15.6" x14ac:dyDescent="0.3">
      <c r="A266" s="53"/>
      <c r="B266" s="54"/>
      <c r="C266" s="54"/>
      <c r="D266" s="54"/>
      <c r="E266" s="55"/>
      <c r="F266" s="75"/>
      <c r="G266" s="76"/>
      <c r="H266" s="76"/>
      <c r="I266" s="48"/>
      <c r="J266" s="70"/>
      <c r="K266" s="70"/>
      <c r="L266" s="261" t="s">
        <v>1422</v>
      </c>
      <c r="M266" s="199" t="s">
        <v>1445</v>
      </c>
      <c r="N266" s="261" t="s">
        <v>34</v>
      </c>
      <c r="O266" s="262">
        <v>0.13600000000000001</v>
      </c>
      <c r="P266" s="200">
        <v>230</v>
      </c>
      <c r="Q266" s="200">
        <v>31.28</v>
      </c>
      <c r="R266" s="182"/>
      <c r="U266" s="128"/>
    </row>
    <row r="267" spans="1:21" ht="15.6" x14ac:dyDescent="0.3">
      <c r="A267" s="53"/>
      <c r="B267" s="54"/>
      <c r="C267" s="54"/>
      <c r="D267" s="54"/>
      <c r="E267" s="55"/>
      <c r="F267" s="75"/>
      <c r="G267" s="76"/>
      <c r="H267" s="76"/>
      <c r="I267" s="48"/>
      <c r="J267" s="70"/>
      <c r="K267" s="70"/>
      <c r="L267" s="261" t="s">
        <v>986</v>
      </c>
      <c r="M267" s="199" t="s">
        <v>835</v>
      </c>
      <c r="N267" s="261" t="s">
        <v>34</v>
      </c>
      <c r="O267" s="262">
        <v>3.5</v>
      </c>
      <c r="P267" s="200">
        <v>267.99</v>
      </c>
      <c r="Q267" s="200">
        <v>937.98</v>
      </c>
      <c r="R267" s="182"/>
      <c r="U267" s="128"/>
    </row>
    <row r="268" spans="1:21" ht="15.6" x14ac:dyDescent="0.3">
      <c r="A268" s="53"/>
      <c r="B268" s="54"/>
      <c r="C268" s="54"/>
      <c r="D268" s="54"/>
      <c r="E268" s="55"/>
      <c r="F268" s="75"/>
      <c r="G268" s="76"/>
      <c r="H268" s="76"/>
      <c r="I268" s="48"/>
      <c r="J268" s="70"/>
      <c r="K268" s="70"/>
      <c r="L268" s="261" t="s">
        <v>930</v>
      </c>
      <c r="M268" s="199" t="s">
        <v>931</v>
      </c>
      <c r="N268" s="261" t="s">
        <v>34</v>
      </c>
      <c r="O268" s="262">
        <v>1</v>
      </c>
      <c r="P268" s="200">
        <v>124</v>
      </c>
      <c r="Q268" s="200">
        <v>124</v>
      </c>
      <c r="R268" s="182"/>
      <c r="U268" s="128"/>
    </row>
    <row r="269" spans="1:21" ht="15.6" x14ac:dyDescent="0.3">
      <c r="A269" s="53"/>
      <c r="B269" s="54"/>
      <c r="C269" s="54"/>
      <c r="D269" s="54"/>
      <c r="E269" s="55"/>
      <c r="F269" s="75"/>
      <c r="G269" s="76"/>
      <c r="H269" s="76"/>
      <c r="I269" s="48"/>
      <c r="J269" s="70"/>
      <c r="K269" s="70"/>
      <c r="L269" s="261" t="s">
        <v>1314</v>
      </c>
      <c r="M269" s="199" t="s">
        <v>1348</v>
      </c>
      <c r="N269" s="261" t="s">
        <v>34</v>
      </c>
      <c r="O269" s="262">
        <v>1</v>
      </c>
      <c r="P269" s="200">
        <v>414</v>
      </c>
      <c r="Q269" s="200">
        <v>414</v>
      </c>
      <c r="R269" s="182"/>
      <c r="U269" s="128"/>
    </row>
    <row r="270" spans="1:21" ht="15.6" customHeight="1" x14ac:dyDescent="0.3">
      <c r="A270" s="53"/>
      <c r="B270" s="54"/>
      <c r="C270" s="54"/>
      <c r="D270" s="54"/>
      <c r="E270" s="55"/>
      <c r="F270" s="75"/>
      <c r="G270" s="76"/>
      <c r="H270" s="76"/>
      <c r="I270" s="48"/>
      <c r="J270" s="70"/>
      <c r="K270" s="70"/>
      <c r="L270" s="261" t="s">
        <v>1179</v>
      </c>
      <c r="M270" s="199" t="s">
        <v>1263</v>
      </c>
      <c r="N270" s="261" t="s">
        <v>34</v>
      </c>
      <c r="O270" s="262">
        <v>1</v>
      </c>
      <c r="P270" s="200">
        <v>561</v>
      </c>
      <c r="Q270" s="200">
        <v>561</v>
      </c>
      <c r="R270" s="182"/>
      <c r="U270" s="128"/>
    </row>
    <row r="271" spans="1:21" ht="15.6" x14ac:dyDescent="0.3">
      <c r="A271" s="53"/>
      <c r="B271" s="54"/>
      <c r="C271" s="54"/>
      <c r="D271" s="54"/>
      <c r="E271" s="55"/>
      <c r="F271" s="75"/>
      <c r="G271" s="76"/>
      <c r="H271" s="76"/>
      <c r="I271" s="48"/>
      <c r="J271" s="70"/>
      <c r="K271" s="70"/>
      <c r="L271" s="261" t="s">
        <v>1091</v>
      </c>
      <c r="M271" s="199" t="s">
        <v>1095</v>
      </c>
      <c r="N271" s="261" t="s">
        <v>34</v>
      </c>
      <c r="O271" s="262">
        <v>1</v>
      </c>
      <c r="P271" s="200">
        <v>139.80000000000001</v>
      </c>
      <c r="Q271" s="200">
        <v>139.80000000000001</v>
      </c>
      <c r="R271" s="182"/>
      <c r="U271" s="128"/>
    </row>
    <row r="272" spans="1:21" ht="30" x14ac:dyDescent="0.3">
      <c r="A272" s="53"/>
      <c r="B272" s="54"/>
      <c r="C272" s="54"/>
      <c r="D272" s="54"/>
      <c r="E272" s="55"/>
      <c r="F272" s="75"/>
      <c r="G272" s="76"/>
      <c r="H272" s="76"/>
      <c r="I272" s="48"/>
      <c r="J272" s="70"/>
      <c r="K272" s="70"/>
      <c r="L272" s="261" t="s">
        <v>1174</v>
      </c>
      <c r="M272" s="199" t="s">
        <v>1258</v>
      </c>
      <c r="N272" s="261" t="s">
        <v>34</v>
      </c>
      <c r="O272" s="262">
        <v>45</v>
      </c>
      <c r="P272" s="200">
        <v>0.66</v>
      </c>
      <c r="Q272" s="200">
        <v>29.62</v>
      </c>
      <c r="R272" s="182"/>
      <c r="U272" s="128"/>
    </row>
    <row r="273" spans="1:21" ht="15.6" x14ac:dyDescent="0.3">
      <c r="A273" s="53"/>
      <c r="B273" s="54"/>
      <c r="C273" s="54"/>
      <c r="D273" s="54"/>
      <c r="E273" s="55"/>
      <c r="F273" s="75"/>
      <c r="G273" s="76"/>
      <c r="H273" s="76"/>
      <c r="I273" s="48"/>
      <c r="J273" s="70"/>
      <c r="K273" s="70"/>
      <c r="L273" s="261" t="s">
        <v>1175</v>
      </c>
      <c r="M273" s="199" t="s">
        <v>1259</v>
      </c>
      <c r="N273" s="261" t="s">
        <v>34</v>
      </c>
      <c r="O273" s="262">
        <v>1</v>
      </c>
      <c r="P273" s="200">
        <v>2</v>
      </c>
      <c r="Q273" s="200">
        <v>2</v>
      </c>
      <c r="R273" s="182"/>
      <c r="U273" s="128"/>
    </row>
    <row r="274" spans="1:21" ht="15.6" x14ac:dyDescent="0.3">
      <c r="A274" s="53"/>
      <c r="B274" s="54"/>
      <c r="C274" s="54"/>
      <c r="D274" s="54"/>
      <c r="E274" s="55"/>
      <c r="F274" s="75"/>
      <c r="G274" s="76"/>
      <c r="H274" s="76"/>
      <c r="I274" s="48"/>
      <c r="J274" s="70"/>
      <c r="K274" s="70"/>
      <c r="L274" s="261" t="s">
        <v>1176</v>
      </c>
      <c r="M274" s="199" t="s">
        <v>1260</v>
      </c>
      <c r="N274" s="261" t="s">
        <v>34</v>
      </c>
      <c r="O274" s="262">
        <v>1</v>
      </c>
      <c r="P274" s="200">
        <v>1.5</v>
      </c>
      <c r="Q274" s="200">
        <v>1.5</v>
      </c>
      <c r="R274" s="182"/>
      <c r="U274" s="128"/>
    </row>
    <row r="275" spans="1:21" ht="15.6" x14ac:dyDescent="0.3">
      <c r="A275" s="53"/>
      <c r="B275" s="54"/>
      <c r="C275" s="54"/>
      <c r="D275" s="54"/>
      <c r="E275" s="55"/>
      <c r="F275" s="75"/>
      <c r="G275" s="76"/>
      <c r="H275" s="76"/>
      <c r="I275" s="48"/>
      <c r="J275" s="70"/>
      <c r="K275" s="70"/>
      <c r="L275" s="261" t="s">
        <v>826</v>
      </c>
      <c r="M275" s="199" t="s">
        <v>827</v>
      </c>
      <c r="N275" s="261" t="s">
        <v>34</v>
      </c>
      <c r="O275" s="262">
        <v>1</v>
      </c>
      <c r="P275" s="200">
        <v>4.5</v>
      </c>
      <c r="Q275" s="200">
        <v>4.5</v>
      </c>
      <c r="R275" s="182"/>
      <c r="U275" s="128"/>
    </row>
    <row r="276" spans="1:21" ht="15.6" x14ac:dyDescent="0.3">
      <c r="A276" s="53"/>
      <c r="B276" s="54"/>
      <c r="C276" s="54"/>
      <c r="D276" s="54"/>
      <c r="E276" s="55"/>
      <c r="F276" s="75"/>
      <c r="G276" s="76"/>
      <c r="H276" s="76"/>
      <c r="I276" s="48"/>
      <c r="J276" s="70"/>
      <c r="K276" s="70"/>
      <c r="L276" s="261" t="s">
        <v>1177</v>
      </c>
      <c r="M276" s="199" t="s">
        <v>1261</v>
      </c>
      <c r="N276" s="261" t="s">
        <v>34</v>
      </c>
      <c r="O276" s="262">
        <v>1</v>
      </c>
      <c r="P276" s="200">
        <v>130.21</v>
      </c>
      <c r="Q276" s="200">
        <v>130.21</v>
      </c>
      <c r="R276" s="182"/>
      <c r="U276" s="128"/>
    </row>
    <row r="277" spans="1:21" ht="15.6" x14ac:dyDescent="0.3">
      <c r="A277" s="53"/>
      <c r="B277" s="54"/>
      <c r="C277" s="54"/>
      <c r="D277" s="54"/>
      <c r="E277" s="55"/>
      <c r="F277" s="75"/>
      <c r="G277" s="76"/>
      <c r="H277" s="76"/>
      <c r="I277" s="48"/>
      <c r="J277" s="70"/>
      <c r="K277" s="70"/>
      <c r="L277" s="261" t="s">
        <v>1007</v>
      </c>
      <c r="M277" s="199" t="s">
        <v>447</v>
      </c>
      <c r="N277" s="261" t="s">
        <v>34</v>
      </c>
      <c r="O277" s="262">
        <v>7</v>
      </c>
      <c r="P277" s="200">
        <v>128.09</v>
      </c>
      <c r="Q277" s="200">
        <v>896.62</v>
      </c>
      <c r="R277" s="182"/>
      <c r="U277" s="128"/>
    </row>
    <row r="278" spans="1:21" ht="15.6" x14ac:dyDescent="0.3">
      <c r="A278" s="53"/>
      <c r="B278" s="54"/>
      <c r="C278" s="54"/>
      <c r="D278" s="54"/>
      <c r="E278" s="55"/>
      <c r="F278" s="75"/>
      <c r="G278" s="76"/>
      <c r="H278" s="76"/>
      <c r="I278" s="48"/>
      <c r="J278" s="70"/>
      <c r="K278" s="70"/>
      <c r="L278" s="261" t="s">
        <v>886</v>
      </c>
      <c r="M278" s="199" t="s">
        <v>1072</v>
      </c>
      <c r="N278" s="261" t="s">
        <v>34</v>
      </c>
      <c r="O278" s="262">
        <v>3</v>
      </c>
      <c r="P278" s="200">
        <v>350.19</v>
      </c>
      <c r="Q278" s="201">
        <v>1050.56</v>
      </c>
      <c r="R278" s="182"/>
      <c r="U278" s="128"/>
    </row>
    <row r="279" spans="1:21" ht="15.6" x14ac:dyDescent="0.3">
      <c r="A279" s="53"/>
      <c r="B279" s="54"/>
      <c r="C279" s="54"/>
      <c r="D279" s="54"/>
      <c r="E279" s="55"/>
      <c r="F279" s="75"/>
      <c r="G279" s="76"/>
      <c r="H279" s="76"/>
      <c r="I279" s="48"/>
      <c r="J279" s="70"/>
      <c r="K279" s="70"/>
      <c r="L279" s="261" t="s">
        <v>828</v>
      </c>
      <c r="M279" s="199" t="s">
        <v>829</v>
      </c>
      <c r="N279" s="261" t="s">
        <v>34</v>
      </c>
      <c r="O279" s="262">
        <v>1</v>
      </c>
      <c r="P279" s="200">
        <v>133.15</v>
      </c>
      <c r="Q279" s="200">
        <v>133.15</v>
      </c>
      <c r="R279" s="182"/>
      <c r="U279" s="128"/>
    </row>
    <row r="280" spans="1:21" ht="15.6" x14ac:dyDescent="0.3">
      <c r="A280" s="53"/>
      <c r="B280" s="54"/>
      <c r="C280" s="54"/>
      <c r="D280" s="54"/>
      <c r="E280" s="55"/>
      <c r="F280" s="75"/>
      <c r="G280" s="76"/>
      <c r="H280" s="76"/>
      <c r="I280" s="48"/>
      <c r="J280" s="70"/>
      <c r="K280" s="70"/>
      <c r="L280" s="261" t="s">
        <v>830</v>
      </c>
      <c r="M280" s="199" t="s">
        <v>831</v>
      </c>
      <c r="N280" s="261" t="s">
        <v>34</v>
      </c>
      <c r="O280" s="262">
        <v>1</v>
      </c>
      <c r="P280" s="200">
        <v>693</v>
      </c>
      <c r="Q280" s="200">
        <v>693</v>
      </c>
      <c r="R280" s="182"/>
      <c r="U280" s="128"/>
    </row>
    <row r="281" spans="1:21" ht="15.6" x14ac:dyDescent="0.3">
      <c r="A281" s="53"/>
      <c r="B281" s="54"/>
      <c r="C281" s="54"/>
      <c r="D281" s="54"/>
      <c r="E281" s="55"/>
      <c r="F281" s="75"/>
      <c r="G281" s="76"/>
      <c r="H281" s="76"/>
      <c r="I281" s="48"/>
      <c r="J281" s="70"/>
      <c r="K281" s="70"/>
      <c r="L281" s="261" t="s">
        <v>924</v>
      </c>
      <c r="M281" s="199" t="s">
        <v>925</v>
      </c>
      <c r="N281" s="261" t="s">
        <v>34</v>
      </c>
      <c r="O281" s="262">
        <v>1</v>
      </c>
      <c r="P281" s="200">
        <v>84.5</v>
      </c>
      <c r="Q281" s="200">
        <v>84.5</v>
      </c>
      <c r="R281" s="182"/>
      <c r="U281" s="128"/>
    </row>
    <row r="282" spans="1:21" ht="15.6" x14ac:dyDescent="0.3">
      <c r="A282" s="53"/>
      <c r="B282" s="54"/>
      <c r="C282" s="54"/>
      <c r="D282" s="54"/>
      <c r="E282" s="55"/>
      <c r="F282" s="75"/>
      <c r="G282" s="76"/>
      <c r="H282" s="76"/>
      <c r="I282" s="48"/>
      <c r="J282" s="70"/>
      <c r="K282" s="70"/>
      <c r="L282" s="261" t="s">
        <v>455</v>
      </c>
      <c r="M282" s="199" t="s">
        <v>456</v>
      </c>
      <c r="N282" s="261" t="s">
        <v>34</v>
      </c>
      <c r="O282" s="262">
        <v>2</v>
      </c>
      <c r="P282" s="200">
        <v>275.73</v>
      </c>
      <c r="Q282" s="200">
        <v>551.46</v>
      </c>
      <c r="R282" s="182"/>
      <c r="U282" s="128"/>
    </row>
    <row r="283" spans="1:21" ht="15.6" x14ac:dyDescent="0.3">
      <c r="A283" s="53"/>
      <c r="B283" s="54"/>
      <c r="C283" s="54"/>
      <c r="D283" s="54"/>
      <c r="E283" s="55"/>
      <c r="F283" s="75"/>
      <c r="G283" s="76"/>
      <c r="H283" s="76"/>
      <c r="I283" s="48"/>
      <c r="J283" s="70"/>
      <c r="K283" s="70"/>
      <c r="L283" s="261" t="s">
        <v>1371</v>
      </c>
      <c r="M283" s="199" t="s">
        <v>99</v>
      </c>
      <c r="N283" s="261" t="s">
        <v>34</v>
      </c>
      <c r="O283" s="262">
        <v>0.27300000000000002</v>
      </c>
      <c r="P283" s="201">
        <v>1041.6500000000001</v>
      </c>
      <c r="Q283" s="200">
        <v>284.37</v>
      </c>
      <c r="R283" s="182"/>
      <c r="U283" s="128"/>
    </row>
    <row r="284" spans="1:21" ht="15.6" x14ac:dyDescent="0.3">
      <c r="A284" s="53"/>
      <c r="B284" s="54"/>
      <c r="C284" s="54"/>
      <c r="D284" s="54"/>
      <c r="E284" s="55"/>
      <c r="F284" s="75"/>
      <c r="G284" s="76"/>
      <c r="H284" s="76"/>
      <c r="I284" s="48"/>
      <c r="J284" s="70"/>
      <c r="K284" s="70"/>
      <c r="L284" s="261" t="s">
        <v>1372</v>
      </c>
      <c r="M284" s="199" t="s">
        <v>1400</v>
      </c>
      <c r="N284" s="261" t="s">
        <v>34</v>
      </c>
      <c r="O284" s="262">
        <v>1</v>
      </c>
      <c r="P284" s="200">
        <v>108.38</v>
      </c>
      <c r="Q284" s="200">
        <v>108.38</v>
      </c>
      <c r="R284" s="182"/>
      <c r="U284" s="128"/>
    </row>
    <row r="285" spans="1:21" ht="15.6" x14ac:dyDescent="0.3">
      <c r="A285" s="53"/>
      <c r="B285" s="54"/>
      <c r="C285" s="54"/>
      <c r="D285" s="54"/>
      <c r="E285" s="55"/>
      <c r="F285" s="75"/>
      <c r="G285" s="76"/>
      <c r="H285" s="76"/>
      <c r="I285" s="48"/>
      <c r="J285" s="70"/>
      <c r="K285" s="70"/>
      <c r="L285" s="261" t="s">
        <v>510</v>
      </c>
      <c r="M285" s="199" t="s">
        <v>1060</v>
      </c>
      <c r="N285" s="261" t="s">
        <v>34</v>
      </c>
      <c r="O285" s="262">
        <v>0.27</v>
      </c>
      <c r="P285" s="200">
        <v>169</v>
      </c>
      <c r="Q285" s="200">
        <v>45.63</v>
      </c>
      <c r="R285" s="182"/>
      <c r="U285" s="128"/>
    </row>
    <row r="286" spans="1:21" ht="15.6" x14ac:dyDescent="0.3">
      <c r="A286" s="53"/>
      <c r="B286" s="54"/>
      <c r="C286" s="54"/>
      <c r="D286" s="54"/>
      <c r="E286" s="55"/>
      <c r="F286" s="75"/>
      <c r="G286" s="76"/>
      <c r="H286" s="76"/>
      <c r="I286" s="48"/>
      <c r="J286" s="70"/>
      <c r="K286" s="70"/>
      <c r="L286" s="261" t="s">
        <v>1374</v>
      </c>
      <c r="M286" s="199" t="s">
        <v>1402</v>
      </c>
      <c r="N286" s="261" t="s">
        <v>34</v>
      </c>
      <c r="O286" s="262">
        <v>4.4999999999999998E-2</v>
      </c>
      <c r="P286" s="200">
        <v>108</v>
      </c>
      <c r="Q286" s="200">
        <v>4.8600000000000003</v>
      </c>
      <c r="R286" s="182"/>
      <c r="U286" s="128"/>
    </row>
    <row r="287" spans="1:21" ht="15.6" x14ac:dyDescent="0.3">
      <c r="A287" s="53"/>
      <c r="B287" s="54"/>
      <c r="C287" s="54"/>
      <c r="D287" s="54"/>
      <c r="E287" s="55"/>
      <c r="F287" s="75"/>
      <c r="G287" s="76"/>
      <c r="H287" s="76"/>
      <c r="I287" s="48"/>
      <c r="J287" s="70"/>
      <c r="K287" s="70"/>
      <c r="L287" s="261" t="s">
        <v>1312</v>
      </c>
      <c r="M287" s="199" t="s">
        <v>1346</v>
      </c>
      <c r="N287" s="261" t="s">
        <v>34</v>
      </c>
      <c r="O287" s="262">
        <v>1</v>
      </c>
      <c r="P287" s="200">
        <v>57.18</v>
      </c>
      <c r="Q287" s="200">
        <v>57.18</v>
      </c>
      <c r="R287" s="182"/>
      <c r="U287" s="128"/>
    </row>
    <row r="288" spans="1:21" ht="15.6" x14ac:dyDescent="0.3">
      <c r="A288" s="53"/>
      <c r="B288" s="54"/>
      <c r="C288" s="54"/>
      <c r="D288" s="54"/>
      <c r="E288" s="55"/>
      <c r="F288" s="75"/>
      <c r="G288" s="76"/>
      <c r="H288" s="76"/>
      <c r="I288" s="48"/>
      <c r="J288" s="70"/>
      <c r="K288" s="70"/>
      <c r="L288" s="261" t="s">
        <v>1313</v>
      </c>
      <c r="M288" s="199" t="s">
        <v>1347</v>
      </c>
      <c r="N288" s="261" t="s">
        <v>34</v>
      </c>
      <c r="O288" s="262">
        <v>1</v>
      </c>
      <c r="P288" s="200">
        <v>72</v>
      </c>
      <c r="Q288" s="200">
        <v>72</v>
      </c>
      <c r="R288" s="182"/>
      <c r="U288" s="128"/>
    </row>
    <row r="289" spans="1:21" ht="15.6" x14ac:dyDescent="0.3">
      <c r="A289" s="53"/>
      <c r="B289" s="54"/>
      <c r="C289" s="54"/>
      <c r="D289" s="54"/>
      <c r="E289" s="55"/>
      <c r="F289" s="75"/>
      <c r="G289" s="76"/>
      <c r="H289" s="76"/>
      <c r="I289" s="48"/>
      <c r="J289" s="70"/>
      <c r="K289" s="70"/>
      <c r="L289" s="261" t="s">
        <v>1080</v>
      </c>
      <c r="M289" s="199" t="s">
        <v>1081</v>
      </c>
      <c r="N289" s="261" t="s">
        <v>34</v>
      </c>
      <c r="O289" s="262">
        <v>1</v>
      </c>
      <c r="P289" s="200">
        <v>4.25</v>
      </c>
      <c r="Q289" s="200">
        <v>4.25</v>
      </c>
      <c r="R289" s="182"/>
      <c r="U289" s="128"/>
    </row>
    <row r="290" spans="1:21" ht="15.6" x14ac:dyDescent="0.3">
      <c r="A290" s="53"/>
      <c r="B290" s="54"/>
      <c r="C290" s="54"/>
      <c r="D290" s="54"/>
      <c r="E290" s="55"/>
      <c r="F290" s="75"/>
      <c r="G290" s="76"/>
      <c r="H290" s="76"/>
      <c r="I290" s="48"/>
      <c r="J290" s="70"/>
      <c r="K290" s="70"/>
      <c r="L290" s="261" t="s">
        <v>983</v>
      </c>
      <c r="M290" s="199" t="s">
        <v>471</v>
      </c>
      <c r="N290" s="261" t="s">
        <v>34</v>
      </c>
      <c r="O290" s="262">
        <v>3</v>
      </c>
      <c r="P290" s="200">
        <v>31</v>
      </c>
      <c r="Q290" s="200">
        <v>93</v>
      </c>
      <c r="R290" s="182"/>
      <c r="U290" s="128"/>
    </row>
    <row r="291" spans="1:21" ht="15.6" customHeight="1" x14ac:dyDescent="0.3">
      <c r="A291" s="53"/>
      <c r="B291" s="54"/>
      <c r="C291" s="54"/>
      <c r="D291" s="54"/>
      <c r="E291" s="55"/>
      <c r="F291" s="75"/>
      <c r="G291" s="76"/>
      <c r="H291" s="76"/>
      <c r="I291" s="48"/>
      <c r="J291" s="70"/>
      <c r="K291" s="70"/>
      <c r="L291" s="261" t="s">
        <v>984</v>
      </c>
      <c r="M291" s="199" t="s">
        <v>472</v>
      </c>
      <c r="N291" s="261" t="s">
        <v>34</v>
      </c>
      <c r="O291" s="262">
        <v>5</v>
      </c>
      <c r="P291" s="200">
        <v>7.5</v>
      </c>
      <c r="Q291" s="200">
        <v>37.5</v>
      </c>
      <c r="R291" s="182"/>
      <c r="U291" s="128"/>
    </row>
    <row r="292" spans="1:21" ht="15.6" x14ac:dyDescent="0.3">
      <c r="A292" s="53"/>
      <c r="B292" s="54"/>
      <c r="C292" s="54"/>
      <c r="D292" s="54"/>
      <c r="E292" s="55"/>
      <c r="F292" s="75"/>
      <c r="G292" s="76"/>
      <c r="H292" s="76"/>
      <c r="I292" s="48"/>
      <c r="J292" s="70"/>
      <c r="K292" s="70"/>
      <c r="L292" s="261" t="s">
        <v>832</v>
      </c>
      <c r="M292" s="199" t="s">
        <v>833</v>
      </c>
      <c r="N292" s="261" t="s">
        <v>34</v>
      </c>
      <c r="O292" s="262">
        <v>2</v>
      </c>
      <c r="P292" s="200">
        <v>42.23</v>
      </c>
      <c r="Q292" s="200">
        <v>84.45</v>
      </c>
      <c r="R292" s="182"/>
      <c r="U292" s="128"/>
    </row>
    <row r="293" spans="1:21" ht="15.6" x14ac:dyDescent="0.3">
      <c r="A293" s="53"/>
      <c r="B293" s="54"/>
      <c r="C293" s="54"/>
      <c r="D293" s="54"/>
      <c r="E293" s="55"/>
      <c r="F293" s="75"/>
      <c r="G293" s="76"/>
      <c r="H293" s="76"/>
      <c r="I293" s="48"/>
      <c r="J293" s="70"/>
      <c r="K293" s="70"/>
      <c r="L293" s="261" t="s">
        <v>985</v>
      </c>
      <c r="M293" s="199" t="s">
        <v>473</v>
      </c>
      <c r="N293" s="261" t="s">
        <v>34</v>
      </c>
      <c r="O293" s="262">
        <v>1</v>
      </c>
      <c r="P293" s="200">
        <v>31.42</v>
      </c>
      <c r="Q293" s="200">
        <v>31.42</v>
      </c>
      <c r="R293" s="182"/>
      <c r="U293" s="128"/>
    </row>
    <row r="294" spans="1:21" ht="15.6" x14ac:dyDescent="0.3">
      <c r="A294" s="53"/>
      <c r="B294" s="54"/>
      <c r="C294" s="54"/>
      <c r="D294" s="54"/>
      <c r="E294" s="55"/>
      <c r="F294" s="75"/>
      <c r="G294" s="76"/>
      <c r="H294" s="76"/>
      <c r="I294" s="48"/>
      <c r="J294" s="70"/>
      <c r="K294" s="70"/>
      <c r="L294" s="261" t="s">
        <v>1087</v>
      </c>
      <c r="M294" s="199" t="s">
        <v>1089</v>
      </c>
      <c r="N294" s="261" t="s">
        <v>34</v>
      </c>
      <c r="O294" s="262">
        <v>1</v>
      </c>
      <c r="P294" s="200">
        <v>73</v>
      </c>
      <c r="Q294" s="200">
        <v>73</v>
      </c>
      <c r="R294" s="182"/>
      <c r="U294" s="128"/>
    </row>
    <row r="295" spans="1:21" ht="15.6" x14ac:dyDescent="0.3">
      <c r="A295" s="53"/>
      <c r="B295" s="54"/>
      <c r="C295" s="54"/>
      <c r="D295" s="54"/>
      <c r="E295" s="55"/>
      <c r="F295" s="75"/>
      <c r="G295" s="76"/>
      <c r="H295" s="76"/>
      <c r="I295" s="48"/>
      <c r="J295" s="70"/>
      <c r="K295" s="70"/>
      <c r="L295" s="261" t="s">
        <v>488</v>
      </c>
      <c r="M295" s="199" t="s">
        <v>1062</v>
      </c>
      <c r="N295" s="261" t="s">
        <v>34</v>
      </c>
      <c r="O295" s="262">
        <v>1</v>
      </c>
      <c r="P295" s="200">
        <v>985.5</v>
      </c>
      <c r="Q295" s="200">
        <v>985.5</v>
      </c>
      <c r="R295" s="182"/>
      <c r="U295" s="128"/>
    </row>
    <row r="296" spans="1:21" ht="15.6" x14ac:dyDescent="0.3">
      <c r="A296" s="53"/>
      <c r="B296" s="54"/>
      <c r="C296" s="54"/>
      <c r="D296" s="54"/>
      <c r="E296" s="55"/>
      <c r="F296" s="75"/>
      <c r="G296" s="76"/>
      <c r="H296" s="76"/>
      <c r="I296" s="48"/>
      <c r="J296" s="70"/>
      <c r="K296" s="70"/>
      <c r="L296" s="261" t="s">
        <v>1180</v>
      </c>
      <c r="M296" s="199" t="s">
        <v>105</v>
      </c>
      <c r="N296" s="261" t="s">
        <v>34</v>
      </c>
      <c r="O296" s="262">
        <v>636</v>
      </c>
      <c r="P296" s="200">
        <v>0.54</v>
      </c>
      <c r="Q296" s="200">
        <v>345.15</v>
      </c>
      <c r="R296" s="182"/>
      <c r="U296" s="128"/>
    </row>
    <row r="297" spans="1:21" ht="15.6" x14ac:dyDescent="0.3">
      <c r="A297" s="53"/>
      <c r="B297" s="54"/>
      <c r="C297" s="54"/>
      <c r="D297" s="54"/>
      <c r="E297" s="55"/>
      <c r="F297" s="75"/>
      <c r="G297" s="76"/>
      <c r="H297" s="76"/>
      <c r="I297" s="48"/>
      <c r="J297" s="70"/>
      <c r="K297" s="70"/>
      <c r="L297" s="261" t="s">
        <v>988</v>
      </c>
      <c r="M297" s="199" t="s">
        <v>106</v>
      </c>
      <c r="N297" s="261" t="s">
        <v>34</v>
      </c>
      <c r="O297" s="263">
        <v>1430</v>
      </c>
      <c r="P297" s="200">
        <v>0.71</v>
      </c>
      <c r="Q297" s="201">
        <v>1009.71</v>
      </c>
      <c r="R297" s="182"/>
      <c r="U297" s="128"/>
    </row>
    <row r="298" spans="1:21" ht="15.6" customHeight="1" x14ac:dyDescent="0.3">
      <c r="A298" s="53"/>
      <c r="B298" s="54"/>
      <c r="C298" s="54"/>
      <c r="D298" s="54"/>
      <c r="E298" s="55"/>
      <c r="F298" s="75"/>
      <c r="G298" s="76"/>
      <c r="H298" s="76"/>
      <c r="I298" s="48"/>
      <c r="J298" s="70"/>
      <c r="K298" s="70"/>
      <c r="L298" s="261" t="s">
        <v>838</v>
      </c>
      <c r="M298" s="199" t="s">
        <v>839</v>
      </c>
      <c r="N298" s="261" t="s">
        <v>34</v>
      </c>
      <c r="O298" s="262">
        <v>109</v>
      </c>
      <c r="P298" s="200">
        <v>2.12</v>
      </c>
      <c r="Q298" s="200">
        <v>231.13</v>
      </c>
      <c r="R298" s="182"/>
      <c r="U298" s="128"/>
    </row>
    <row r="299" spans="1:21" ht="15.6" x14ac:dyDescent="0.3">
      <c r="A299" s="53"/>
      <c r="B299" s="54"/>
      <c r="C299" s="54"/>
      <c r="D299" s="54"/>
      <c r="E299" s="55"/>
      <c r="F299" s="75"/>
      <c r="G299" s="76"/>
      <c r="H299" s="76"/>
      <c r="I299" s="48"/>
      <c r="J299" s="70"/>
      <c r="K299" s="70"/>
      <c r="L299" s="261" t="s">
        <v>490</v>
      </c>
      <c r="M299" s="199" t="s">
        <v>491</v>
      </c>
      <c r="N299" s="261" t="s">
        <v>34</v>
      </c>
      <c r="O299" s="262">
        <v>1</v>
      </c>
      <c r="P299" s="201">
        <v>2999.3</v>
      </c>
      <c r="Q299" s="201">
        <v>2999.3</v>
      </c>
      <c r="R299" s="182"/>
      <c r="U299" s="128"/>
    </row>
    <row r="300" spans="1:21" ht="15.6" x14ac:dyDescent="0.3">
      <c r="A300" s="53"/>
      <c r="B300" s="54"/>
      <c r="C300" s="54"/>
      <c r="D300" s="54"/>
      <c r="E300" s="55"/>
      <c r="F300" s="75"/>
      <c r="G300" s="76"/>
      <c r="H300" s="76"/>
      <c r="I300" s="48"/>
      <c r="J300" s="70"/>
      <c r="K300" s="70"/>
      <c r="L300" s="261" t="s">
        <v>947</v>
      </c>
      <c r="M300" s="199" t="s">
        <v>1043</v>
      </c>
      <c r="N300" s="261" t="s">
        <v>34</v>
      </c>
      <c r="O300" s="262">
        <v>5</v>
      </c>
      <c r="P300" s="200">
        <v>423</v>
      </c>
      <c r="Q300" s="201">
        <v>2115</v>
      </c>
      <c r="R300" s="182"/>
      <c r="U300" s="128"/>
    </row>
    <row r="301" spans="1:21" ht="15.6" x14ac:dyDescent="0.3">
      <c r="A301" s="53"/>
      <c r="B301" s="54"/>
      <c r="C301" s="54"/>
      <c r="D301" s="54"/>
      <c r="E301" s="55"/>
      <c r="F301" s="75"/>
      <c r="G301" s="76"/>
      <c r="H301" s="76"/>
      <c r="I301" s="48"/>
      <c r="J301" s="70"/>
      <c r="K301" s="70"/>
      <c r="L301" s="261" t="s">
        <v>948</v>
      </c>
      <c r="M301" s="199" t="s">
        <v>1044</v>
      </c>
      <c r="N301" s="261" t="s">
        <v>34</v>
      </c>
      <c r="O301" s="262">
        <v>3</v>
      </c>
      <c r="P301" s="200">
        <v>44</v>
      </c>
      <c r="Q301" s="200">
        <v>132</v>
      </c>
      <c r="R301" s="182"/>
      <c r="U301" s="128"/>
    </row>
    <row r="302" spans="1:21" ht="15.6" x14ac:dyDescent="0.3">
      <c r="A302" s="53"/>
      <c r="B302" s="54"/>
      <c r="C302" s="54"/>
      <c r="D302" s="54"/>
      <c r="E302" s="55"/>
      <c r="F302" s="75"/>
      <c r="G302" s="76"/>
      <c r="H302" s="76"/>
      <c r="I302" s="48"/>
      <c r="J302" s="70"/>
      <c r="K302" s="70"/>
      <c r="L302" s="261" t="s">
        <v>1165</v>
      </c>
      <c r="M302" s="199" t="s">
        <v>1250</v>
      </c>
      <c r="N302" s="261" t="s">
        <v>34</v>
      </c>
      <c r="O302" s="262">
        <v>0.7</v>
      </c>
      <c r="P302" s="201">
        <v>2778.33</v>
      </c>
      <c r="Q302" s="201">
        <v>1944.83</v>
      </c>
      <c r="R302" s="182"/>
      <c r="U302" s="128"/>
    </row>
    <row r="303" spans="1:21" ht="18" customHeight="1" x14ac:dyDescent="0.3">
      <c r="A303" s="53"/>
      <c r="B303" s="54"/>
      <c r="C303" s="54"/>
      <c r="D303" s="54"/>
      <c r="E303" s="55"/>
      <c r="F303" s="75"/>
      <c r="G303" s="76"/>
      <c r="H303" s="76"/>
      <c r="I303" s="48"/>
      <c r="J303" s="70"/>
      <c r="K303" s="70"/>
      <c r="L303" s="261" t="s">
        <v>1079</v>
      </c>
      <c r="M303" s="199" t="s">
        <v>842</v>
      </c>
      <c r="N303" s="261" t="s">
        <v>34</v>
      </c>
      <c r="O303" s="262">
        <v>1</v>
      </c>
      <c r="P303" s="200">
        <v>26.33</v>
      </c>
      <c r="Q303" s="200">
        <v>26.33</v>
      </c>
      <c r="R303" s="182"/>
      <c r="U303" s="128"/>
    </row>
    <row r="304" spans="1:21" ht="15.6" x14ac:dyDescent="0.3">
      <c r="A304" s="53"/>
      <c r="B304" s="54"/>
      <c r="C304" s="54"/>
      <c r="D304" s="54"/>
      <c r="E304" s="55"/>
      <c r="F304" s="75"/>
      <c r="G304" s="76"/>
      <c r="H304" s="76"/>
      <c r="I304" s="48"/>
      <c r="J304" s="70"/>
      <c r="K304" s="70"/>
      <c r="L304" s="261" t="s">
        <v>949</v>
      </c>
      <c r="M304" s="199" t="s">
        <v>494</v>
      </c>
      <c r="N304" s="261" t="s">
        <v>34</v>
      </c>
      <c r="O304" s="262">
        <v>38</v>
      </c>
      <c r="P304" s="200">
        <v>2.34</v>
      </c>
      <c r="Q304" s="200">
        <v>89</v>
      </c>
      <c r="R304" s="182"/>
      <c r="U304" s="128"/>
    </row>
    <row r="305" spans="1:21" ht="30" x14ac:dyDescent="0.3">
      <c r="A305" s="53"/>
      <c r="B305" s="54"/>
      <c r="C305" s="54"/>
      <c r="D305" s="54"/>
      <c r="E305" s="55"/>
      <c r="F305" s="75"/>
      <c r="G305" s="76"/>
      <c r="H305" s="76"/>
      <c r="I305" s="48"/>
      <c r="J305" s="70"/>
      <c r="K305" s="70"/>
      <c r="L305" s="261" t="s">
        <v>950</v>
      </c>
      <c r="M305" s="199" t="s">
        <v>843</v>
      </c>
      <c r="N305" s="261" t="s">
        <v>34</v>
      </c>
      <c r="O305" s="262">
        <v>1</v>
      </c>
      <c r="P305" s="200">
        <v>42.67</v>
      </c>
      <c r="Q305" s="200">
        <v>42.67</v>
      </c>
      <c r="R305" s="182"/>
      <c r="U305" s="128"/>
    </row>
    <row r="306" spans="1:21" ht="30" x14ac:dyDescent="0.3">
      <c r="A306" s="53"/>
      <c r="B306" s="54"/>
      <c r="C306" s="54"/>
      <c r="D306" s="54"/>
      <c r="E306" s="55"/>
      <c r="F306" s="75"/>
      <c r="G306" s="76"/>
      <c r="H306" s="76"/>
      <c r="I306" s="48"/>
      <c r="J306" s="70"/>
      <c r="K306" s="70"/>
      <c r="L306" s="261" t="s">
        <v>951</v>
      </c>
      <c r="M306" s="199" t="s">
        <v>844</v>
      </c>
      <c r="N306" s="261" t="s">
        <v>34</v>
      </c>
      <c r="O306" s="262">
        <v>3</v>
      </c>
      <c r="P306" s="200">
        <v>31.92</v>
      </c>
      <c r="Q306" s="200">
        <v>95.76</v>
      </c>
      <c r="R306" s="182"/>
      <c r="U306" s="128"/>
    </row>
    <row r="307" spans="1:21" ht="15.6" x14ac:dyDescent="0.3">
      <c r="A307" s="53"/>
      <c r="B307" s="54"/>
      <c r="C307" s="54"/>
      <c r="D307" s="54"/>
      <c r="E307" s="55"/>
      <c r="F307" s="75"/>
      <c r="G307" s="76"/>
      <c r="H307" s="76"/>
      <c r="I307" s="48"/>
      <c r="J307" s="70"/>
      <c r="K307" s="70"/>
      <c r="L307" s="261" t="s">
        <v>845</v>
      </c>
      <c r="M307" s="199" t="s">
        <v>846</v>
      </c>
      <c r="N307" s="261" t="s">
        <v>34</v>
      </c>
      <c r="O307" s="262">
        <v>1</v>
      </c>
      <c r="P307" s="200">
        <v>302.8</v>
      </c>
      <c r="Q307" s="200">
        <v>302.8</v>
      </c>
      <c r="R307" s="182"/>
      <c r="U307" s="128"/>
    </row>
    <row r="308" spans="1:21" ht="15.6" x14ac:dyDescent="0.3">
      <c r="A308" s="53"/>
      <c r="B308" s="54"/>
      <c r="C308" s="54"/>
      <c r="D308" s="54"/>
      <c r="E308" s="55"/>
      <c r="F308" s="75"/>
      <c r="G308" s="76"/>
      <c r="H308" s="76"/>
      <c r="I308" s="48"/>
      <c r="J308" s="70"/>
      <c r="K308" s="70"/>
      <c r="L308" s="261" t="s">
        <v>1166</v>
      </c>
      <c r="M308" s="199" t="s">
        <v>1251</v>
      </c>
      <c r="N308" s="261" t="s">
        <v>34</v>
      </c>
      <c r="O308" s="262">
        <v>327</v>
      </c>
      <c r="P308" s="200">
        <v>0.57999999999999996</v>
      </c>
      <c r="Q308" s="200">
        <v>188.48</v>
      </c>
      <c r="R308" s="182"/>
      <c r="U308" s="128"/>
    </row>
    <row r="309" spans="1:21" ht="15.6" x14ac:dyDescent="0.3">
      <c r="A309" s="53"/>
      <c r="B309" s="54"/>
      <c r="C309" s="54"/>
      <c r="D309" s="54"/>
      <c r="E309" s="55"/>
      <c r="F309" s="75"/>
      <c r="G309" s="76"/>
      <c r="H309" s="76"/>
      <c r="I309" s="48"/>
      <c r="J309" s="70"/>
      <c r="K309" s="70"/>
      <c r="L309" s="261" t="s">
        <v>1167</v>
      </c>
      <c r="M309" s="199" t="s">
        <v>1252</v>
      </c>
      <c r="N309" s="261" t="s">
        <v>34</v>
      </c>
      <c r="O309" s="262">
        <v>0.5</v>
      </c>
      <c r="P309" s="200">
        <v>196</v>
      </c>
      <c r="Q309" s="200">
        <v>98</v>
      </c>
      <c r="R309" s="182"/>
      <c r="U309" s="128"/>
    </row>
    <row r="310" spans="1:21" ht="15.6" x14ac:dyDescent="0.3">
      <c r="A310" s="53"/>
      <c r="B310" s="54"/>
      <c r="C310" s="54"/>
      <c r="D310" s="54"/>
      <c r="E310" s="55"/>
      <c r="F310" s="75"/>
      <c r="G310" s="76"/>
      <c r="H310" s="76"/>
      <c r="I310" s="48"/>
      <c r="J310" s="70"/>
      <c r="K310" s="70"/>
      <c r="L310" s="261" t="s">
        <v>1431</v>
      </c>
      <c r="M310" s="199" t="s">
        <v>1453</v>
      </c>
      <c r="N310" s="261" t="s">
        <v>34</v>
      </c>
      <c r="O310" s="262">
        <v>0.4</v>
      </c>
      <c r="P310" s="200">
        <v>185</v>
      </c>
      <c r="Q310" s="200">
        <v>74</v>
      </c>
      <c r="R310" s="182"/>
      <c r="U310" s="128"/>
    </row>
    <row r="311" spans="1:21" ht="15.6" x14ac:dyDescent="0.3">
      <c r="A311" s="53"/>
      <c r="B311" s="54"/>
      <c r="C311" s="54"/>
      <c r="D311" s="54"/>
      <c r="E311" s="55"/>
      <c r="F311" s="75"/>
      <c r="G311" s="76"/>
      <c r="H311" s="76"/>
      <c r="I311" s="48"/>
      <c r="J311" s="70"/>
      <c r="K311" s="70"/>
      <c r="L311" s="261" t="s">
        <v>1432</v>
      </c>
      <c r="M311" s="199" t="s">
        <v>1454</v>
      </c>
      <c r="N311" s="261" t="s">
        <v>34</v>
      </c>
      <c r="O311" s="262">
        <v>0.09</v>
      </c>
      <c r="P311" s="200">
        <v>178</v>
      </c>
      <c r="Q311" s="200">
        <v>16.02</v>
      </c>
      <c r="R311" s="182"/>
      <c r="U311" s="128"/>
    </row>
    <row r="312" spans="1:21" ht="15.6" x14ac:dyDescent="0.3">
      <c r="A312" s="53"/>
      <c r="B312" s="54"/>
      <c r="C312" s="54"/>
      <c r="D312" s="54"/>
      <c r="E312" s="55"/>
      <c r="F312" s="75"/>
      <c r="G312" s="76"/>
      <c r="H312" s="76"/>
      <c r="I312" s="48"/>
      <c r="J312" s="70"/>
      <c r="K312" s="70"/>
      <c r="L312" s="261" t="s">
        <v>989</v>
      </c>
      <c r="M312" s="199" t="s">
        <v>848</v>
      </c>
      <c r="N312" s="261" t="s">
        <v>34</v>
      </c>
      <c r="O312" s="262">
        <v>1</v>
      </c>
      <c r="P312" s="200">
        <v>119.53</v>
      </c>
      <c r="Q312" s="200">
        <v>119.53</v>
      </c>
      <c r="R312" s="182"/>
      <c r="U312" s="128"/>
    </row>
    <row r="313" spans="1:21" ht="15.6" x14ac:dyDescent="0.3">
      <c r="A313" s="53"/>
      <c r="B313" s="54"/>
      <c r="C313" s="54"/>
      <c r="D313" s="54"/>
      <c r="E313" s="55"/>
      <c r="F313" s="75"/>
      <c r="G313" s="76"/>
      <c r="H313" s="76"/>
      <c r="I313" s="48"/>
      <c r="J313" s="70"/>
      <c r="K313" s="70"/>
      <c r="L313" s="261" t="s">
        <v>1168</v>
      </c>
      <c r="M313" s="199" t="s">
        <v>1253</v>
      </c>
      <c r="N313" s="261" t="s">
        <v>34</v>
      </c>
      <c r="O313" s="262">
        <v>1</v>
      </c>
      <c r="P313" s="200">
        <v>110</v>
      </c>
      <c r="Q313" s="200">
        <v>110</v>
      </c>
      <c r="R313" s="182"/>
      <c r="U313" s="128"/>
    </row>
    <row r="314" spans="1:21" ht="15.6" x14ac:dyDescent="0.3">
      <c r="A314" s="53"/>
      <c r="B314" s="54"/>
      <c r="C314" s="54"/>
      <c r="D314" s="54"/>
      <c r="E314" s="55"/>
      <c r="F314" s="75"/>
      <c r="G314" s="76"/>
      <c r="H314" s="76"/>
      <c r="I314" s="48"/>
      <c r="J314" s="70"/>
      <c r="K314" s="70"/>
      <c r="L314" s="261" t="s">
        <v>1169</v>
      </c>
      <c r="M314" s="199" t="s">
        <v>1254</v>
      </c>
      <c r="N314" s="261" t="s">
        <v>34</v>
      </c>
      <c r="O314" s="262">
        <v>2</v>
      </c>
      <c r="P314" s="200">
        <v>110</v>
      </c>
      <c r="Q314" s="200">
        <v>220</v>
      </c>
      <c r="R314" s="182"/>
      <c r="U314" s="128"/>
    </row>
    <row r="315" spans="1:21" ht="15.6" x14ac:dyDescent="0.3">
      <c r="A315" s="53"/>
      <c r="B315" s="54"/>
      <c r="C315" s="54"/>
      <c r="D315" s="54"/>
      <c r="E315" s="55"/>
      <c r="F315" s="75"/>
      <c r="G315" s="76"/>
      <c r="H315" s="76"/>
      <c r="I315" s="48"/>
      <c r="J315" s="70"/>
      <c r="K315" s="70"/>
      <c r="L315" s="261" t="s">
        <v>990</v>
      </c>
      <c r="M315" s="199" t="s">
        <v>1064</v>
      </c>
      <c r="N315" s="261" t="s">
        <v>34</v>
      </c>
      <c r="O315" s="262">
        <v>320</v>
      </c>
      <c r="P315" s="200">
        <v>0.92</v>
      </c>
      <c r="Q315" s="200">
        <v>294.39999999999998</v>
      </c>
      <c r="R315" s="182"/>
      <c r="U315" s="128"/>
    </row>
    <row r="316" spans="1:21" ht="15.6" x14ac:dyDescent="0.3">
      <c r="A316" s="53"/>
      <c r="B316" s="54"/>
      <c r="C316" s="54"/>
      <c r="D316" s="54"/>
      <c r="E316" s="55"/>
      <c r="F316" s="75"/>
      <c r="G316" s="76"/>
      <c r="H316" s="76"/>
      <c r="I316" s="48"/>
      <c r="J316" s="70"/>
      <c r="K316" s="70"/>
      <c r="L316" s="261" t="s">
        <v>1170</v>
      </c>
      <c r="M316" s="199" t="s">
        <v>1255</v>
      </c>
      <c r="N316" s="261" t="s">
        <v>34</v>
      </c>
      <c r="O316" s="262">
        <v>11</v>
      </c>
      <c r="P316" s="200">
        <v>1.74</v>
      </c>
      <c r="Q316" s="200">
        <v>19.14</v>
      </c>
      <c r="R316" s="182"/>
      <c r="U316" s="128"/>
    </row>
    <row r="317" spans="1:21" ht="15.6" x14ac:dyDescent="0.3">
      <c r="A317" s="53"/>
      <c r="B317" s="54"/>
      <c r="C317" s="54"/>
      <c r="D317" s="54"/>
      <c r="E317" s="55"/>
      <c r="F317" s="75"/>
      <c r="G317" s="76"/>
      <c r="H317" s="76"/>
      <c r="I317" s="48"/>
      <c r="J317" s="70"/>
      <c r="K317" s="70"/>
      <c r="L317" s="261" t="s">
        <v>991</v>
      </c>
      <c r="M317" s="199" t="s">
        <v>1065</v>
      </c>
      <c r="N317" s="261" t="s">
        <v>34</v>
      </c>
      <c r="O317" s="262">
        <v>372</v>
      </c>
      <c r="P317" s="200">
        <v>0.5</v>
      </c>
      <c r="Q317" s="200">
        <v>186</v>
      </c>
      <c r="R317" s="182"/>
      <c r="U317" s="128"/>
    </row>
    <row r="318" spans="1:21" ht="15.6" x14ac:dyDescent="0.3">
      <c r="A318" s="53"/>
      <c r="B318" s="54"/>
      <c r="C318" s="54"/>
      <c r="D318" s="54"/>
      <c r="E318" s="55"/>
      <c r="F318" s="75"/>
      <c r="G318" s="76"/>
      <c r="H318" s="76"/>
      <c r="I318" s="48"/>
      <c r="J318" s="70"/>
      <c r="K318" s="70"/>
      <c r="L318" s="261" t="s">
        <v>1171</v>
      </c>
      <c r="M318" s="199" t="s">
        <v>1256</v>
      </c>
      <c r="N318" s="261" t="s">
        <v>34</v>
      </c>
      <c r="O318" s="262">
        <v>400</v>
      </c>
      <c r="P318" s="200">
        <v>0.17</v>
      </c>
      <c r="Q318" s="200">
        <v>68</v>
      </c>
      <c r="R318" s="182"/>
      <c r="U318" s="128"/>
    </row>
    <row r="319" spans="1:21" ht="18" customHeight="1" x14ac:dyDescent="0.3">
      <c r="A319" s="53"/>
      <c r="B319" s="54"/>
      <c r="C319" s="54"/>
      <c r="D319" s="54"/>
      <c r="E319" s="55"/>
      <c r="F319" s="75"/>
      <c r="G319" s="76"/>
      <c r="H319" s="76"/>
      <c r="I319" s="48"/>
      <c r="J319" s="70"/>
      <c r="K319" s="70"/>
      <c r="L319" s="261" t="s">
        <v>992</v>
      </c>
      <c r="M319" s="199" t="s">
        <v>849</v>
      </c>
      <c r="N319" s="261" t="s">
        <v>34</v>
      </c>
      <c r="O319" s="262">
        <v>32</v>
      </c>
      <c r="P319" s="200">
        <v>0.92</v>
      </c>
      <c r="Q319" s="200">
        <v>29.44</v>
      </c>
      <c r="R319" s="182"/>
      <c r="U319" s="128"/>
    </row>
    <row r="320" spans="1:21" ht="15.6" customHeight="1" x14ac:dyDescent="0.3">
      <c r="A320" s="53"/>
      <c r="B320" s="54"/>
      <c r="C320" s="54"/>
      <c r="D320" s="54"/>
      <c r="E320" s="55"/>
      <c r="F320" s="75"/>
      <c r="G320" s="76"/>
      <c r="H320" s="76"/>
      <c r="I320" s="48"/>
      <c r="J320" s="70"/>
      <c r="K320" s="70"/>
      <c r="L320" s="261" t="s">
        <v>850</v>
      </c>
      <c r="M320" s="199" t="s">
        <v>851</v>
      </c>
      <c r="N320" s="261" t="s">
        <v>34</v>
      </c>
      <c r="O320" s="262">
        <v>10</v>
      </c>
      <c r="P320" s="200">
        <v>3.62</v>
      </c>
      <c r="Q320" s="200">
        <v>36.200000000000003</v>
      </c>
      <c r="R320" s="182"/>
      <c r="U320" s="128"/>
    </row>
    <row r="321" spans="1:21" ht="15.6" x14ac:dyDescent="0.3">
      <c r="A321" s="53"/>
      <c r="B321" s="54"/>
      <c r="C321" s="54"/>
      <c r="D321" s="54"/>
      <c r="E321" s="55"/>
      <c r="F321" s="75"/>
      <c r="G321" s="76"/>
      <c r="H321" s="76"/>
      <c r="I321" s="48"/>
      <c r="J321" s="70"/>
      <c r="K321" s="70"/>
      <c r="L321" s="261" t="s">
        <v>993</v>
      </c>
      <c r="M321" s="199" t="s">
        <v>852</v>
      </c>
      <c r="N321" s="261" t="s">
        <v>34</v>
      </c>
      <c r="O321" s="262">
        <v>327</v>
      </c>
      <c r="P321" s="200">
        <v>0.5</v>
      </c>
      <c r="Q321" s="200">
        <v>163.5</v>
      </c>
      <c r="R321" s="182"/>
      <c r="U321" s="128"/>
    </row>
    <row r="322" spans="1:21" ht="15.6" x14ac:dyDescent="0.3">
      <c r="A322" s="53"/>
      <c r="B322" s="54"/>
      <c r="C322" s="54"/>
      <c r="D322" s="54"/>
      <c r="E322" s="55"/>
      <c r="F322" s="75"/>
      <c r="G322" s="76"/>
      <c r="H322" s="76"/>
      <c r="I322" s="48"/>
      <c r="J322" s="70"/>
      <c r="K322" s="70"/>
      <c r="L322" s="261" t="s">
        <v>996</v>
      </c>
      <c r="M322" s="199" t="s">
        <v>501</v>
      </c>
      <c r="N322" s="261" t="s">
        <v>34</v>
      </c>
      <c r="O322" s="262">
        <v>4</v>
      </c>
      <c r="P322" s="200">
        <v>36.08</v>
      </c>
      <c r="Q322" s="200">
        <v>144.32</v>
      </c>
      <c r="R322" s="182"/>
      <c r="U322" s="128"/>
    </row>
    <row r="323" spans="1:21" ht="15.6" x14ac:dyDescent="0.3">
      <c r="A323" s="53"/>
      <c r="B323" s="54"/>
      <c r="C323" s="54"/>
      <c r="D323" s="54"/>
      <c r="E323" s="55"/>
      <c r="F323" s="75"/>
      <c r="G323" s="76"/>
      <c r="H323" s="76"/>
      <c r="I323" s="48"/>
      <c r="J323" s="70"/>
      <c r="K323" s="70"/>
      <c r="L323" s="261" t="s">
        <v>1172</v>
      </c>
      <c r="M323" s="199" t="s">
        <v>1257</v>
      </c>
      <c r="N323" s="261" t="s">
        <v>34</v>
      </c>
      <c r="O323" s="262">
        <v>1</v>
      </c>
      <c r="P323" s="200">
        <v>285</v>
      </c>
      <c r="Q323" s="200">
        <v>285</v>
      </c>
      <c r="R323" s="182"/>
      <c r="U323" s="128"/>
    </row>
    <row r="324" spans="1:21" ht="15.6" x14ac:dyDescent="0.3">
      <c r="A324" s="53"/>
      <c r="B324" s="54"/>
      <c r="C324" s="54"/>
      <c r="D324" s="54"/>
      <c r="E324" s="55"/>
      <c r="F324" s="75"/>
      <c r="G324" s="76"/>
      <c r="H324" s="76"/>
      <c r="I324" s="48"/>
      <c r="J324" s="70"/>
      <c r="K324" s="70"/>
      <c r="L324" s="261" t="s">
        <v>997</v>
      </c>
      <c r="M324" s="199" t="s">
        <v>853</v>
      </c>
      <c r="N324" s="261" t="s">
        <v>34</v>
      </c>
      <c r="O324" s="262">
        <v>25</v>
      </c>
      <c r="P324" s="200">
        <v>48</v>
      </c>
      <c r="Q324" s="201">
        <v>1200</v>
      </c>
      <c r="R324" s="182"/>
      <c r="U324" s="128"/>
    </row>
    <row r="325" spans="1:21" ht="15.6" x14ac:dyDescent="0.3">
      <c r="A325" s="53"/>
      <c r="B325" s="54"/>
      <c r="C325" s="54"/>
      <c r="D325" s="54"/>
      <c r="E325" s="55"/>
      <c r="F325" s="75"/>
      <c r="G325" s="76"/>
      <c r="H325" s="76"/>
      <c r="I325" s="48"/>
      <c r="J325" s="70"/>
      <c r="K325" s="70"/>
      <c r="L325" s="261" t="s">
        <v>998</v>
      </c>
      <c r="M325" s="199" t="s">
        <v>1068</v>
      </c>
      <c r="N325" s="261" t="s">
        <v>34</v>
      </c>
      <c r="O325" s="262">
        <v>2</v>
      </c>
      <c r="P325" s="200">
        <v>66.86</v>
      </c>
      <c r="Q325" s="200">
        <v>133.72</v>
      </c>
      <c r="R325" s="182"/>
      <c r="U325" s="128"/>
    </row>
    <row r="326" spans="1:21" ht="15.6" x14ac:dyDescent="0.3">
      <c r="A326" s="53"/>
      <c r="B326" s="54"/>
      <c r="C326" s="54"/>
      <c r="D326" s="54"/>
      <c r="E326" s="55"/>
      <c r="F326" s="75"/>
      <c r="G326" s="76"/>
      <c r="H326" s="76"/>
      <c r="I326" s="48"/>
      <c r="J326" s="70"/>
      <c r="K326" s="70"/>
      <c r="L326" s="261" t="s">
        <v>999</v>
      </c>
      <c r="M326" s="199" t="s">
        <v>1069</v>
      </c>
      <c r="N326" s="261" t="s">
        <v>34</v>
      </c>
      <c r="O326" s="263">
        <v>1806</v>
      </c>
      <c r="P326" s="200">
        <v>0.24</v>
      </c>
      <c r="Q326" s="200">
        <v>440.02</v>
      </c>
      <c r="R326" s="182"/>
      <c r="U326" s="128"/>
    </row>
    <row r="327" spans="1:21" ht="15.6" x14ac:dyDescent="0.3">
      <c r="A327" s="53"/>
      <c r="B327" s="54"/>
      <c r="C327" s="54"/>
      <c r="D327" s="54"/>
      <c r="E327" s="55"/>
      <c r="F327" s="75"/>
      <c r="G327" s="76"/>
      <c r="H327" s="76"/>
      <c r="I327" s="48"/>
      <c r="J327" s="70"/>
      <c r="K327" s="70"/>
      <c r="L327" s="261" t="s">
        <v>1173</v>
      </c>
      <c r="M327" s="199" t="s">
        <v>109</v>
      </c>
      <c r="N327" s="261" t="s">
        <v>34</v>
      </c>
      <c r="O327" s="262">
        <v>13</v>
      </c>
      <c r="P327" s="200">
        <v>0.27</v>
      </c>
      <c r="Q327" s="200">
        <v>3.49</v>
      </c>
      <c r="R327" s="182"/>
      <c r="U327" s="128"/>
    </row>
    <row r="328" spans="1:21" ht="15.6" x14ac:dyDescent="0.3">
      <c r="A328" s="53"/>
      <c r="B328" s="54"/>
      <c r="C328" s="54"/>
      <c r="D328" s="54"/>
      <c r="E328" s="55"/>
      <c r="F328" s="75"/>
      <c r="G328" s="76"/>
      <c r="H328" s="76"/>
      <c r="I328" s="48"/>
      <c r="J328" s="70"/>
      <c r="K328" s="70"/>
      <c r="L328" s="261" t="s">
        <v>856</v>
      </c>
      <c r="M328" s="199" t="s">
        <v>857</v>
      </c>
      <c r="N328" s="261" t="s">
        <v>34</v>
      </c>
      <c r="O328" s="263">
        <v>2863</v>
      </c>
      <c r="P328" s="200">
        <v>0.44</v>
      </c>
      <c r="Q328" s="201">
        <v>1262.58</v>
      </c>
      <c r="R328" s="182"/>
      <c r="U328" s="128"/>
    </row>
    <row r="329" spans="1:21" ht="15.6" x14ac:dyDescent="0.3">
      <c r="A329" s="53"/>
      <c r="B329" s="54"/>
      <c r="C329" s="54"/>
      <c r="D329" s="54"/>
      <c r="E329" s="55"/>
      <c r="F329" s="75"/>
      <c r="G329" s="76"/>
      <c r="H329" s="76"/>
      <c r="I329" s="48"/>
      <c r="J329" s="70"/>
      <c r="K329" s="70"/>
      <c r="L329" s="261" t="s">
        <v>1000</v>
      </c>
      <c r="M329" s="199" t="s">
        <v>248</v>
      </c>
      <c r="N329" s="261" t="s">
        <v>34</v>
      </c>
      <c r="O329" s="262">
        <v>409</v>
      </c>
      <c r="P329" s="200">
        <v>0.24</v>
      </c>
      <c r="Q329" s="200">
        <v>99.5</v>
      </c>
      <c r="R329" s="182"/>
      <c r="U329" s="128"/>
    </row>
    <row r="330" spans="1:21" ht="30" x14ac:dyDescent="0.3">
      <c r="A330" s="53"/>
      <c r="B330" s="54"/>
      <c r="C330" s="54"/>
      <c r="D330" s="54"/>
      <c r="E330" s="55"/>
      <c r="F330" s="75"/>
      <c r="G330" s="76"/>
      <c r="H330" s="76"/>
      <c r="I330" s="48"/>
      <c r="J330" s="70"/>
      <c r="K330" s="70"/>
      <c r="L330" s="261" t="s">
        <v>1019</v>
      </c>
      <c r="M330" s="199" t="s">
        <v>836</v>
      </c>
      <c r="N330" s="261" t="s">
        <v>57</v>
      </c>
      <c r="O330" s="262">
        <v>44</v>
      </c>
      <c r="P330" s="200">
        <v>6.09</v>
      </c>
      <c r="Q330" s="200">
        <v>267.95999999999998</v>
      </c>
      <c r="R330" s="182"/>
      <c r="U330" s="128"/>
    </row>
    <row r="331" spans="1:21" ht="30" x14ac:dyDescent="0.3">
      <c r="A331" s="53"/>
      <c r="B331" s="54"/>
      <c r="C331" s="54"/>
      <c r="D331" s="54"/>
      <c r="E331" s="55"/>
      <c r="F331" s="75"/>
      <c r="G331" s="76"/>
      <c r="H331" s="76"/>
      <c r="I331" s="48"/>
      <c r="J331" s="70"/>
      <c r="K331" s="70"/>
      <c r="L331" s="261" t="s">
        <v>238</v>
      </c>
      <c r="M331" s="199" t="s">
        <v>239</v>
      </c>
      <c r="N331" s="261" t="s">
        <v>57</v>
      </c>
      <c r="O331" s="262">
        <v>50</v>
      </c>
      <c r="P331" s="200">
        <v>7.92</v>
      </c>
      <c r="Q331" s="200">
        <v>396</v>
      </c>
      <c r="R331" s="182"/>
      <c r="U331" s="128"/>
    </row>
    <row r="332" spans="1:21" ht="30" x14ac:dyDescent="0.3">
      <c r="A332" s="53"/>
      <c r="B332" s="54"/>
      <c r="C332" s="54"/>
      <c r="D332" s="54"/>
      <c r="E332" s="55"/>
      <c r="F332" s="75"/>
      <c r="G332" s="76"/>
      <c r="H332" s="76"/>
      <c r="I332" s="48"/>
      <c r="J332" s="70"/>
      <c r="K332" s="70"/>
      <c r="L332" s="261" t="s">
        <v>1020</v>
      </c>
      <c r="M332" s="199" t="s">
        <v>102</v>
      </c>
      <c r="N332" s="261" t="s">
        <v>57</v>
      </c>
      <c r="O332" s="262">
        <v>7</v>
      </c>
      <c r="P332" s="200">
        <v>7.92</v>
      </c>
      <c r="Q332" s="200">
        <v>55.44</v>
      </c>
      <c r="R332" s="182"/>
      <c r="U332" s="128"/>
    </row>
    <row r="333" spans="1:21" ht="15.6" x14ac:dyDescent="0.3">
      <c r="A333" s="53"/>
      <c r="B333" s="54"/>
      <c r="C333" s="54"/>
      <c r="D333" s="54"/>
      <c r="E333" s="55"/>
      <c r="F333" s="75"/>
      <c r="G333" s="76"/>
      <c r="H333" s="76"/>
      <c r="I333" s="48"/>
      <c r="J333" s="70"/>
      <c r="K333" s="70"/>
      <c r="L333" s="261" t="s">
        <v>1181</v>
      </c>
      <c r="M333" s="199" t="s">
        <v>1264</v>
      </c>
      <c r="N333" s="261" t="s">
        <v>57</v>
      </c>
      <c r="O333" s="262">
        <v>0.8</v>
      </c>
      <c r="P333" s="200">
        <v>18.13</v>
      </c>
      <c r="Q333" s="200">
        <v>14.5</v>
      </c>
      <c r="R333" s="182"/>
      <c r="U333" s="128"/>
    </row>
    <row r="334" spans="1:21" ht="15.6" x14ac:dyDescent="0.3">
      <c r="A334" s="53"/>
      <c r="B334" s="54"/>
      <c r="C334" s="54"/>
      <c r="D334" s="54"/>
      <c r="E334" s="55"/>
      <c r="F334" s="75"/>
      <c r="G334" s="76"/>
      <c r="H334" s="76"/>
      <c r="I334" s="48"/>
      <c r="J334" s="70"/>
      <c r="K334" s="70"/>
      <c r="L334" s="261" t="s">
        <v>820</v>
      </c>
      <c r="M334" s="199" t="s">
        <v>821</v>
      </c>
      <c r="N334" s="261" t="s">
        <v>57</v>
      </c>
      <c r="O334" s="262">
        <v>130</v>
      </c>
      <c r="P334" s="200">
        <v>17.149999999999999</v>
      </c>
      <c r="Q334" s="201">
        <v>2229.5</v>
      </c>
      <c r="R334" s="182"/>
      <c r="U334" s="128"/>
    </row>
    <row r="335" spans="1:21" ht="15.6" x14ac:dyDescent="0.3">
      <c r="A335" s="53"/>
      <c r="B335" s="54"/>
      <c r="C335" s="54"/>
      <c r="D335" s="54"/>
      <c r="E335" s="55"/>
      <c r="F335" s="75"/>
      <c r="G335" s="76"/>
      <c r="H335" s="76"/>
      <c r="I335" s="48"/>
      <c r="J335" s="70"/>
      <c r="K335" s="70"/>
      <c r="L335" s="261" t="s">
        <v>822</v>
      </c>
      <c r="M335" s="199" t="s">
        <v>213</v>
      </c>
      <c r="N335" s="261" t="s">
        <v>57</v>
      </c>
      <c r="O335" s="262">
        <v>70</v>
      </c>
      <c r="P335" s="200">
        <v>36.24</v>
      </c>
      <c r="Q335" s="201">
        <v>2536.8000000000002</v>
      </c>
      <c r="R335" s="182"/>
      <c r="U335" s="128"/>
    </row>
    <row r="336" spans="1:21" ht="15.6" x14ac:dyDescent="0.3">
      <c r="A336" s="53"/>
      <c r="B336" s="54"/>
      <c r="C336" s="54"/>
      <c r="D336" s="54"/>
      <c r="E336" s="55"/>
      <c r="F336" s="75"/>
      <c r="G336" s="76"/>
      <c r="H336" s="76"/>
      <c r="I336" s="48"/>
      <c r="J336" s="70"/>
      <c r="K336" s="70"/>
      <c r="L336" s="261" t="s">
        <v>1182</v>
      </c>
      <c r="M336" s="199" t="s">
        <v>1265</v>
      </c>
      <c r="N336" s="261" t="s">
        <v>57</v>
      </c>
      <c r="O336" s="262">
        <v>115</v>
      </c>
      <c r="P336" s="200">
        <v>40.270000000000003</v>
      </c>
      <c r="Q336" s="201">
        <v>4631.05</v>
      </c>
      <c r="R336" s="182"/>
      <c r="U336" s="128"/>
    </row>
    <row r="337" spans="1:21" ht="15.6" x14ac:dyDescent="0.3">
      <c r="A337" s="53"/>
      <c r="B337" s="54"/>
      <c r="C337" s="54"/>
      <c r="D337" s="54"/>
      <c r="E337" s="55"/>
      <c r="F337" s="75"/>
      <c r="G337" s="76"/>
      <c r="H337" s="76"/>
      <c r="I337" s="48"/>
      <c r="J337" s="70"/>
      <c r="K337" s="70"/>
      <c r="L337" s="261" t="s">
        <v>1183</v>
      </c>
      <c r="M337" s="199" t="s">
        <v>1266</v>
      </c>
      <c r="N337" s="261" t="s">
        <v>57</v>
      </c>
      <c r="O337" s="262">
        <v>67</v>
      </c>
      <c r="P337" s="200">
        <v>20.38</v>
      </c>
      <c r="Q337" s="201">
        <v>1365.46</v>
      </c>
      <c r="R337" s="182"/>
      <c r="U337" s="128"/>
    </row>
    <row r="338" spans="1:21" ht="15.6" x14ac:dyDescent="0.3">
      <c r="A338" s="53"/>
      <c r="B338" s="54"/>
      <c r="C338" s="54"/>
      <c r="D338" s="54"/>
      <c r="E338" s="55"/>
      <c r="F338" s="75"/>
      <c r="G338" s="76"/>
      <c r="H338" s="76"/>
      <c r="I338" s="48"/>
      <c r="J338" s="70"/>
      <c r="K338" s="70"/>
      <c r="L338" s="261" t="s">
        <v>794</v>
      </c>
      <c r="M338" s="199" t="s">
        <v>795</v>
      </c>
      <c r="N338" s="261" t="s">
        <v>57</v>
      </c>
      <c r="O338" s="262">
        <v>216</v>
      </c>
      <c r="P338" s="200">
        <v>18.12</v>
      </c>
      <c r="Q338" s="201">
        <v>3913.92</v>
      </c>
      <c r="R338" s="182"/>
      <c r="U338" s="128"/>
    </row>
    <row r="339" spans="1:21" ht="15.6" x14ac:dyDescent="0.3">
      <c r="A339" s="53"/>
      <c r="B339" s="54"/>
      <c r="C339" s="54"/>
      <c r="D339" s="54"/>
      <c r="E339" s="55"/>
      <c r="F339" s="75"/>
      <c r="G339" s="76"/>
      <c r="H339" s="76"/>
      <c r="I339" s="48"/>
      <c r="J339" s="70"/>
      <c r="K339" s="70"/>
      <c r="L339" s="261" t="s">
        <v>1184</v>
      </c>
      <c r="M339" s="199" t="s">
        <v>1267</v>
      </c>
      <c r="N339" s="261" t="s">
        <v>57</v>
      </c>
      <c r="O339" s="262">
        <v>23</v>
      </c>
      <c r="P339" s="200">
        <v>28</v>
      </c>
      <c r="Q339" s="200">
        <v>644</v>
      </c>
      <c r="R339" s="182"/>
      <c r="U339" s="128"/>
    </row>
    <row r="340" spans="1:21" ht="15.6" x14ac:dyDescent="0.3">
      <c r="A340" s="53"/>
      <c r="B340" s="54"/>
      <c r="C340" s="54"/>
      <c r="D340" s="54"/>
      <c r="E340" s="55"/>
      <c r="F340" s="75"/>
      <c r="G340" s="76"/>
      <c r="H340" s="76"/>
      <c r="I340" s="48"/>
      <c r="J340" s="70"/>
      <c r="K340" s="70"/>
      <c r="L340" s="261" t="s">
        <v>913</v>
      </c>
      <c r="M340" s="199" t="s">
        <v>914</v>
      </c>
      <c r="N340" s="261" t="s">
        <v>57</v>
      </c>
      <c r="O340" s="262">
        <v>74</v>
      </c>
      <c r="P340" s="200">
        <v>28.61</v>
      </c>
      <c r="Q340" s="201">
        <v>2117.14</v>
      </c>
      <c r="R340" s="182"/>
      <c r="U340" s="128"/>
    </row>
    <row r="341" spans="1:21" ht="15.6" x14ac:dyDescent="0.3">
      <c r="A341" s="53"/>
      <c r="B341" s="54"/>
      <c r="C341" s="54"/>
      <c r="D341" s="54"/>
      <c r="E341" s="55"/>
      <c r="F341" s="75"/>
      <c r="G341" s="76"/>
      <c r="H341" s="76"/>
      <c r="I341" s="48"/>
      <c r="J341" s="70"/>
      <c r="K341" s="70"/>
      <c r="L341" s="261" t="s">
        <v>1021</v>
      </c>
      <c r="M341" s="199" t="s">
        <v>483</v>
      </c>
      <c r="N341" s="261" t="s">
        <v>57</v>
      </c>
      <c r="O341" s="262">
        <v>7</v>
      </c>
      <c r="P341" s="200">
        <v>44.81</v>
      </c>
      <c r="Q341" s="200">
        <v>313.67</v>
      </c>
      <c r="R341" s="182"/>
      <c r="U341" s="128"/>
    </row>
    <row r="342" spans="1:21" ht="15.6" x14ac:dyDescent="0.3">
      <c r="A342" s="53"/>
      <c r="B342" s="54"/>
      <c r="C342" s="54"/>
      <c r="D342" s="54"/>
      <c r="E342" s="55"/>
      <c r="F342" s="75"/>
      <c r="G342" s="76"/>
      <c r="H342" s="76"/>
      <c r="I342" s="48"/>
      <c r="J342" s="70"/>
      <c r="K342" s="70"/>
      <c r="L342" s="261" t="s">
        <v>1023</v>
      </c>
      <c r="M342" s="199" t="s">
        <v>70</v>
      </c>
      <c r="N342" s="261" t="s">
        <v>56</v>
      </c>
      <c r="O342" s="262">
        <v>0.1</v>
      </c>
      <c r="P342" s="201">
        <v>27143.1</v>
      </c>
      <c r="Q342" s="201">
        <v>2714.31</v>
      </c>
      <c r="R342" s="182"/>
      <c r="U342" s="128"/>
    </row>
    <row r="343" spans="1:21" ht="15.6" x14ac:dyDescent="0.3">
      <c r="A343" s="53"/>
      <c r="B343" s="54"/>
      <c r="C343" s="54"/>
      <c r="D343" s="54"/>
      <c r="E343" s="55"/>
      <c r="F343" s="75"/>
      <c r="G343" s="76"/>
      <c r="H343" s="76"/>
      <c r="I343" s="48"/>
      <c r="J343" s="70"/>
      <c r="K343" s="70"/>
      <c r="L343" s="261" t="s">
        <v>1024</v>
      </c>
      <c r="M343" s="199" t="s">
        <v>71</v>
      </c>
      <c r="N343" s="261" t="s">
        <v>56</v>
      </c>
      <c r="O343" s="262">
        <v>0.1</v>
      </c>
      <c r="P343" s="201">
        <v>43747</v>
      </c>
      <c r="Q343" s="201">
        <v>4374.7</v>
      </c>
      <c r="R343" s="182"/>
      <c r="U343" s="128"/>
    </row>
    <row r="344" spans="1:21" ht="15.6" x14ac:dyDescent="0.3">
      <c r="A344" s="53"/>
      <c r="B344" s="54"/>
      <c r="C344" s="54"/>
      <c r="D344" s="54"/>
      <c r="E344" s="55"/>
      <c r="F344" s="75"/>
      <c r="G344" s="76"/>
      <c r="H344" s="76"/>
      <c r="I344" s="48"/>
      <c r="J344" s="70"/>
      <c r="K344" s="70"/>
      <c r="L344" s="261" t="s">
        <v>1025</v>
      </c>
      <c r="M344" s="199" t="s">
        <v>72</v>
      </c>
      <c r="N344" s="261" t="s">
        <v>56</v>
      </c>
      <c r="O344" s="262">
        <v>2.4E-2</v>
      </c>
      <c r="P344" s="201">
        <v>67490.42</v>
      </c>
      <c r="Q344" s="201">
        <v>1619.77</v>
      </c>
      <c r="R344" s="182"/>
      <c r="U344" s="128"/>
    </row>
    <row r="345" spans="1:21" ht="15.6" x14ac:dyDescent="0.3">
      <c r="A345" s="53"/>
      <c r="B345" s="54"/>
      <c r="C345" s="54"/>
      <c r="D345" s="54"/>
      <c r="E345" s="55"/>
      <c r="F345" s="75"/>
      <c r="G345" s="76"/>
      <c r="H345" s="76"/>
      <c r="I345" s="48"/>
      <c r="J345" s="70"/>
      <c r="K345" s="70"/>
      <c r="L345" s="261" t="s">
        <v>1022</v>
      </c>
      <c r="M345" s="199" t="s">
        <v>178</v>
      </c>
      <c r="N345" s="261" t="s">
        <v>56</v>
      </c>
      <c r="O345" s="262">
        <v>5.0000000000000001E-3</v>
      </c>
      <c r="P345" s="201">
        <v>40802</v>
      </c>
      <c r="Q345" s="200">
        <v>204.01</v>
      </c>
      <c r="R345" s="182"/>
      <c r="U345" s="128"/>
    </row>
    <row r="346" spans="1:21" ht="15.6" x14ac:dyDescent="0.3">
      <c r="A346" s="53"/>
      <c r="B346" s="54"/>
      <c r="C346" s="54"/>
      <c r="D346" s="54"/>
      <c r="E346" s="55"/>
      <c r="F346" s="75"/>
      <c r="G346" s="76"/>
      <c r="H346" s="76"/>
      <c r="I346" s="48"/>
      <c r="J346" s="70"/>
      <c r="K346" s="70"/>
      <c r="L346" s="261" t="s">
        <v>1186</v>
      </c>
      <c r="M346" s="199" t="s">
        <v>1269</v>
      </c>
      <c r="N346" s="261" t="s">
        <v>45</v>
      </c>
      <c r="O346" s="262">
        <v>11</v>
      </c>
      <c r="P346" s="200">
        <v>486.48</v>
      </c>
      <c r="Q346" s="201">
        <v>5351.28</v>
      </c>
      <c r="R346" s="182"/>
      <c r="U346" s="128"/>
    </row>
    <row r="347" spans="1:21" ht="15.6" x14ac:dyDescent="0.3">
      <c r="A347" s="53"/>
      <c r="B347" s="54"/>
      <c r="C347" s="54"/>
      <c r="D347" s="54"/>
      <c r="E347" s="55"/>
      <c r="F347" s="75"/>
      <c r="G347" s="76"/>
      <c r="H347" s="76"/>
      <c r="I347" s="48"/>
      <c r="J347" s="70"/>
      <c r="K347" s="70"/>
      <c r="L347" s="261" t="s">
        <v>1026</v>
      </c>
      <c r="M347" s="199" t="s">
        <v>80</v>
      </c>
      <c r="N347" s="261" t="s">
        <v>45</v>
      </c>
      <c r="O347" s="262">
        <v>27</v>
      </c>
      <c r="P347" s="200">
        <v>73.66</v>
      </c>
      <c r="Q347" s="201">
        <v>1988.74</v>
      </c>
      <c r="R347" s="182"/>
      <c r="U347" s="128"/>
    </row>
    <row r="348" spans="1:21" ht="15.6" x14ac:dyDescent="0.3">
      <c r="A348" s="53"/>
      <c r="B348" s="54"/>
      <c r="C348" s="54"/>
      <c r="D348" s="54"/>
      <c r="E348" s="55"/>
      <c r="F348" s="75"/>
      <c r="G348" s="76"/>
      <c r="H348" s="76"/>
      <c r="I348" s="48"/>
      <c r="J348" s="70"/>
      <c r="K348" s="70"/>
      <c r="L348" s="261" t="s">
        <v>746</v>
      </c>
      <c r="M348" s="199" t="s">
        <v>895</v>
      </c>
      <c r="N348" s="261" t="s">
        <v>45</v>
      </c>
      <c r="O348" s="262">
        <v>18</v>
      </c>
      <c r="P348" s="200">
        <v>280</v>
      </c>
      <c r="Q348" s="201">
        <v>5040</v>
      </c>
      <c r="R348" s="182"/>
      <c r="U348" s="128"/>
    </row>
    <row r="349" spans="1:21" ht="15.6" x14ac:dyDescent="0.3">
      <c r="A349" s="53"/>
      <c r="B349" s="54"/>
      <c r="C349" s="54"/>
      <c r="D349" s="54"/>
      <c r="E349" s="55"/>
      <c r="F349" s="75"/>
      <c r="G349" s="76"/>
      <c r="H349" s="76"/>
      <c r="I349" s="48"/>
      <c r="J349" s="70"/>
      <c r="K349" s="70"/>
      <c r="L349" s="261" t="s">
        <v>1185</v>
      </c>
      <c r="M349" s="199" t="s">
        <v>1268</v>
      </c>
      <c r="N349" s="261" t="s">
        <v>45</v>
      </c>
      <c r="O349" s="262">
        <v>5</v>
      </c>
      <c r="P349" s="200">
        <v>226</v>
      </c>
      <c r="Q349" s="201">
        <v>1130</v>
      </c>
      <c r="R349" s="182"/>
      <c r="U349" s="128"/>
    </row>
    <row r="350" spans="1:21" ht="15.6" x14ac:dyDescent="0.3">
      <c r="A350" s="53"/>
      <c r="B350" s="54"/>
      <c r="C350" s="54"/>
      <c r="D350" s="54"/>
      <c r="E350" s="55"/>
      <c r="F350" s="75"/>
      <c r="G350" s="76"/>
      <c r="H350" s="76"/>
      <c r="I350" s="48"/>
      <c r="J350" s="70"/>
      <c r="K350" s="70"/>
      <c r="L350" s="261" t="s">
        <v>1027</v>
      </c>
      <c r="M350" s="199" t="s">
        <v>803</v>
      </c>
      <c r="N350" s="261" t="s">
        <v>45</v>
      </c>
      <c r="O350" s="262">
        <v>34</v>
      </c>
      <c r="P350" s="200">
        <v>399.17</v>
      </c>
      <c r="Q350" s="201">
        <v>13571.78</v>
      </c>
      <c r="R350" s="182"/>
      <c r="U350" s="128"/>
    </row>
    <row r="351" spans="1:21" ht="15.6" x14ac:dyDescent="0.3">
      <c r="A351" s="53"/>
      <c r="B351" s="54"/>
      <c r="C351" s="54"/>
      <c r="D351" s="54"/>
      <c r="E351" s="55"/>
      <c r="F351" s="75"/>
      <c r="G351" s="76"/>
      <c r="H351" s="76"/>
      <c r="I351" s="48"/>
      <c r="J351" s="70"/>
      <c r="K351" s="70"/>
      <c r="L351" s="261" t="s">
        <v>1187</v>
      </c>
      <c r="M351" s="199" t="s">
        <v>1270</v>
      </c>
      <c r="N351" s="261" t="s">
        <v>45</v>
      </c>
      <c r="O351" s="262">
        <v>1.1819999999999999</v>
      </c>
      <c r="P351" s="200">
        <v>150.16999999999999</v>
      </c>
      <c r="Q351" s="200">
        <v>177.5</v>
      </c>
      <c r="R351" s="182"/>
      <c r="U351" s="128"/>
    </row>
    <row r="352" spans="1:21" ht="15.6" x14ac:dyDescent="0.3">
      <c r="A352" s="53"/>
      <c r="B352" s="54"/>
      <c r="C352" s="54"/>
      <c r="D352" s="54"/>
      <c r="E352" s="55"/>
      <c r="F352" s="75"/>
      <c r="G352" s="76"/>
      <c r="H352" s="76"/>
      <c r="I352" s="48"/>
      <c r="J352" s="70"/>
      <c r="K352" s="70"/>
      <c r="L352" s="261" t="s">
        <v>1029</v>
      </c>
      <c r="M352" s="199" t="s">
        <v>1077</v>
      </c>
      <c r="N352" s="261" t="s">
        <v>214</v>
      </c>
      <c r="O352" s="262">
        <v>9.6000000000000002E-2</v>
      </c>
      <c r="P352" s="201">
        <v>10566.88</v>
      </c>
      <c r="Q352" s="201">
        <v>1014.42</v>
      </c>
      <c r="R352" s="182"/>
      <c r="U352" s="128"/>
    </row>
    <row r="353" spans="1:21" ht="15.6" x14ac:dyDescent="0.3">
      <c r="A353" s="53"/>
      <c r="B353" s="54"/>
      <c r="C353" s="54"/>
      <c r="D353" s="54"/>
      <c r="E353" s="55"/>
      <c r="F353" s="75"/>
      <c r="G353" s="76"/>
      <c r="H353" s="76"/>
      <c r="I353" s="48"/>
      <c r="J353" s="70"/>
      <c r="K353" s="70"/>
      <c r="L353" s="261" t="s">
        <v>893</v>
      </c>
      <c r="M353" s="199" t="s">
        <v>894</v>
      </c>
      <c r="N353" s="261" t="s">
        <v>214</v>
      </c>
      <c r="O353" s="262">
        <v>0.3</v>
      </c>
      <c r="P353" s="201">
        <v>10760</v>
      </c>
      <c r="Q353" s="201">
        <v>3228</v>
      </c>
      <c r="R353" s="182"/>
      <c r="U353" s="128"/>
    </row>
    <row r="354" spans="1:21" ht="15.6" x14ac:dyDescent="0.3">
      <c r="A354" s="53"/>
      <c r="B354" s="54"/>
      <c r="C354" s="54"/>
      <c r="D354" s="54"/>
      <c r="E354" s="55"/>
      <c r="F354" s="75"/>
      <c r="G354" s="76"/>
      <c r="H354" s="76"/>
      <c r="I354" s="48"/>
      <c r="J354" s="70"/>
      <c r="K354" s="70"/>
      <c r="L354" s="261" t="s">
        <v>1030</v>
      </c>
      <c r="M354" s="199" t="s">
        <v>1078</v>
      </c>
      <c r="N354" s="261" t="s">
        <v>214</v>
      </c>
      <c r="O354" s="262">
        <v>0.36499999999999999</v>
      </c>
      <c r="P354" s="201">
        <v>10443.32</v>
      </c>
      <c r="Q354" s="201">
        <v>3811.81</v>
      </c>
      <c r="R354" s="182"/>
      <c r="U354" s="128"/>
    </row>
    <row r="355" spans="1:21" ht="15.6" x14ac:dyDescent="0.3">
      <c r="A355" s="53"/>
      <c r="B355" s="54"/>
      <c r="C355" s="54"/>
      <c r="D355" s="54"/>
      <c r="E355" s="55"/>
      <c r="F355" s="75"/>
      <c r="G355" s="76"/>
      <c r="H355" s="76"/>
      <c r="I355" s="48"/>
      <c r="J355" s="70"/>
      <c r="K355" s="70"/>
      <c r="L355" s="261" t="s">
        <v>1188</v>
      </c>
      <c r="M355" s="199" t="s">
        <v>1271</v>
      </c>
      <c r="N355" s="261" t="s">
        <v>214</v>
      </c>
      <c r="O355" s="262">
        <v>0.09</v>
      </c>
      <c r="P355" s="201">
        <v>14916.11</v>
      </c>
      <c r="Q355" s="201">
        <v>1342.45</v>
      </c>
      <c r="R355" s="182"/>
      <c r="U355" s="128"/>
    </row>
    <row r="356" spans="1:21" ht="15.6" x14ac:dyDescent="0.3">
      <c r="A356" s="53"/>
      <c r="B356" s="54"/>
      <c r="C356" s="54"/>
      <c r="D356" s="54"/>
      <c r="E356" s="55"/>
      <c r="F356" s="75"/>
      <c r="G356" s="76"/>
      <c r="H356" s="76"/>
      <c r="I356" s="48"/>
      <c r="J356" s="70"/>
      <c r="K356" s="70"/>
      <c r="L356" s="261" t="s">
        <v>1304</v>
      </c>
      <c r="M356" s="199" t="s">
        <v>1338</v>
      </c>
      <c r="N356" s="261" t="s">
        <v>39</v>
      </c>
      <c r="O356" s="262">
        <v>5.5E-2</v>
      </c>
      <c r="P356" s="201">
        <v>31681.09</v>
      </c>
      <c r="Q356" s="201">
        <v>1742.46</v>
      </c>
      <c r="R356" s="182"/>
      <c r="U356" s="128"/>
    </row>
    <row r="357" spans="1:21" ht="15.6" x14ac:dyDescent="0.3">
      <c r="A357" s="53"/>
      <c r="B357" s="54"/>
      <c r="C357" s="54"/>
      <c r="D357" s="54"/>
      <c r="E357" s="55"/>
      <c r="F357" s="75"/>
      <c r="G357" s="76"/>
      <c r="H357" s="76"/>
      <c r="I357" s="48"/>
      <c r="J357" s="70"/>
      <c r="K357" s="70"/>
      <c r="L357" s="261" t="s">
        <v>1423</v>
      </c>
      <c r="M357" s="199" t="s">
        <v>1446</v>
      </c>
      <c r="N357" s="261" t="s">
        <v>39</v>
      </c>
      <c r="O357" s="262">
        <v>5.8999999999999997E-2</v>
      </c>
      <c r="P357" s="201">
        <v>31816.95</v>
      </c>
      <c r="Q357" s="201">
        <v>1877.2</v>
      </c>
      <c r="R357" s="182"/>
      <c r="U357" s="128"/>
    </row>
    <row r="358" spans="1:21" ht="15.6" x14ac:dyDescent="0.3">
      <c r="A358" s="53"/>
      <c r="B358" s="54"/>
      <c r="C358" s="54"/>
      <c r="D358" s="54"/>
      <c r="E358" s="55"/>
      <c r="F358" s="75"/>
      <c r="G358" s="76"/>
      <c r="H358" s="76"/>
      <c r="I358" s="48"/>
      <c r="J358" s="70"/>
      <c r="K358" s="70"/>
      <c r="L358" s="261" t="s">
        <v>1424</v>
      </c>
      <c r="M358" s="199" t="s">
        <v>228</v>
      </c>
      <c r="N358" s="261" t="s">
        <v>39</v>
      </c>
      <c r="O358" s="262">
        <v>0.03</v>
      </c>
      <c r="P358" s="201">
        <v>34333</v>
      </c>
      <c r="Q358" s="201">
        <v>1029.99</v>
      </c>
      <c r="R358" s="182"/>
      <c r="U358" s="128"/>
    </row>
    <row r="359" spans="1:21" ht="15.6" x14ac:dyDescent="0.3">
      <c r="A359" s="53"/>
      <c r="B359" s="54"/>
      <c r="C359" s="54"/>
      <c r="D359" s="54"/>
      <c r="E359" s="55"/>
      <c r="F359" s="75"/>
      <c r="G359" s="76"/>
      <c r="H359" s="76"/>
      <c r="I359" s="48"/>
      <c r="J359" s="70"/>
      <c r="K359" s="70"/>
      <c r="L359" s="261" t="s">
        <v>1382</v>
      </c>
      <c r="M359" s="199" t="s">
        <v>1410</v>
      </c>
      <c r="N359" s="261" t="s">
        <v>39</v>
      </c>
      <c r="O359" s="262">
        <v>1.4E-2</v>
      </c>
      <c r="P359" s="201">
        <v>35795</v>
      </c>
      <c r="Q359" s="200">
        <v>501.13</v>
      </c>
      <c r="R359" s="182"/>
      <c r="U359" s="128"/>
    </row>
    <row r="360" spans="1:21" ht="15.6" x14ac:dyDescent="0.3">
      <c r="A360" s="53"/>
      <c r="B360" s="54"/>
      <c r="C360" s="54"/>
      <c r="D360" s="54"/>
      <c r="E360" s="55"/>
      <c r="F360" s="75"/>
      <c r="G360" s="76"/>
      <c r="H360" s="76"/>
      <c r="I360" s="48"/>
      <c r="J360" s="70"/>
      <c r="K360" s="70"/>
      <c r="L360" s="261" t="s">
        <v>1316</v>
      </c>
      <c r="M360" s="199" t="s">
        <v>1350</v>
      </c>
      <c r="N360" s="261" t="s">
        <v>39</v>
      </c>
      <c r="O360" s="262">
        <v>1.2999999999999999E-2</v>
      </c>
      <c r="P360" s="201">
        <v>31616.92</v>
      </c>
      <c r="Q360" s="200">
        <v>411.02</v>
      </c>
      <c r="R360" s="182"/>
      <c r="U360" s="128"/>
    </row>
    <row r="361" spans="1:21" ht="15.6" x14ac:dyDescent="0.3">
      <c r="A361" s="53"/>
      <c r="B361" s="54"/>
      <c r="C361" s="54"/>
      <c r="D361" s="54"/>
      <c r="E361" s="55"/>
      <c r="F361" s="75"/>
      <c r="G361" s="76"/>
      <c r="H361" s="76"/>
      <c r="I361" s="48"/>
      <c r="J361" s="70"/>
      <c r="K361" s="70"/>
      <c r="L361" s="261" t="s">
        <v>1847</v>
      </c>
      <c r="M361" s="199" t="s">
        <v>1849</v>
      </c>
      <c r="N361" s="261" t="s">
        <v>39</v>
      </c>
      <c r="O361" s="262">
        <v>0.01</v>
      </c>
      <c r="P361" s="201">
        <v>34578</v>
      </c>
      <c r="Q361" s="200">
        <v>345.78</v>
      </c>
      <c r="R361" s="182"/>
      <c r="U361" s="128"/>
    </row>
    <row r="362" spans="1:21" ht="15.6" x14ac:dyDescent="0.3">
      <c r="A362" s="53"/>
      <c r="B362" s="54"/>
      <c r="C362" s="54"/>
      <c r="D362" s="54"/>
      <c r="E362" s="55"/>
      <c r="F362" s="75"/>
      <c r="G362" s="76"/>
      <c r="H362" s="76"/>
      <c r="I362" s="48"/>
      <c r="J362" s="70"/>
      <c r="K362" s="70"/>
      <c r="L362" s="261" t="s">
        <v>1031</v>
      </c>
      <c r="M362" s="199" t="s">
        <v>834</v>
      </c>
      <c r="N362" s="261" t="s">
        <v>39</v>
      </c>
      <c r="O362" s="262">
        <v>0.113</v>
      </c>
      <c r="P362" s="201">
        <v>36503.980000000003</v>
      </c>
      <c r="Q362" s="201">
        <v>4124.95</v>
      </c>
      <c r="R362" s="182"/>
      <c r="U362" s="128"/>
    </row>
    <row r="363" spans="1:21" ht="15.6" x14ac:dyDescent="0.3">
      <c r="A363" s="53"/>
      <c r="B363" s="54"/>
      <c r="C363" s="54"/>
      <c r="D363" s="54"/>
      <c r="E363" s="55"/>
      <c r="F363" s="75"/>
      <c r="G363" s="76"/>
      <c r="H363" s="76"/>
      <c r="I363" s="48"/>
      <c r="J363" s="70"/>
      <c r="K363" s="70"/>
      <c r="L363" s="261"/>
      <c r="M363" s="199"/>
      <c r="N363" s="261"/>
      <c r="O363" s="262"/>
      <c r="P363" s="200"/>
      <c r="Q363" s="200"/>
      <c r="R363" s="182"/>
      <c r="U363" s="128"/>
    </row>
    <row r="364" spans="1:21" ht="15.6" x14ac:dyDescent="0.3">
      <c r="A364" s="53"/>
      <c r="B364" s="54"/>
      <c r="C364" s="54"/>
      <c r="D364" s="54"/>
      <c r="E364" s="55"/>
      <c r="F364" s="75"/>
      <c r="G364" s="76"/>
      <c r="H364" s="76"/>
      <c r="I364" s="48"/>
      <c r="J364" s="70"/>
      <c r="K364" s="70"/>
      <c r="L364" s="261"/>
      <c r="M364" s="199"/>
      <c r="N364" s="261"/>
      <c r="O364" s="262"/>
      <c r="P364" s="200"/>
      <c r="Q364" s="200"/>
      <c r="R364" s="182"/>
      <c r="U364" s="128"/>
    </row>
    <row r="365" spans="1:21" ht="18.600000000000001" thickBot="1" x14ac:dyDescent="0.35">
      <c r="A365" s="202"/>
      <c r="B365" s="203"/>
      <c r="C365" s="204"/>
      <c r="D365" s="205"/>
      <c r="E365" s="205"/>
      <c r="F365" s="165"/>
      <c r="G365" s="166"/>
      <c r="H365" s="166"/>
      <c r="I365" s="206"/>
      <c r="J365" s="206"/>
      <c r="K365" s="206"/>
      <c r="L365" s="207"/>
      <c r="M365" s="208"/>
      <c r="N365" s="207"/>
      <c r="O365" s="209"/>
      <c r="P365" s="210"/>
      <c r="Q365" s="210"/>
      <c r="R365" s="211"/>
      <c r="T365" s="4"/>
      <c r="U365" s="128"/>
    </row>
    <row r="366" spans="1:21" ht="18.600000000000001" thickBot="1" x14ac:dyDescent="0.35">
      <c r="A366" s="251"/>
      <c r="B366" s="252"/>
      <c r="C366" s="253"/>
      <c r="D366" s="254"/>
      <c r="E366" s="254"/>
      <c r="F366" s="234"/>
      <c r="G366" s="235"/>
      <c r="H366" s="235"/>
      <c r="I366" s="255"/>
      <c r="J366" s="255"/>
      <c r="K366" s="255"/>
      <c r="L366" s="256"/>
      <c r="M366" s="257"/>
      <c r="N366" s="256"/>
      <c r="O366" s="258"/>
      <c r="P366" s="259"/>
      <c r="Q366" s="260">
        <f>SUM(Q19:Q365)</f>
        <v>567317.26000000024</v>
      </c>
      <c r="R366" s="35"/>
      <c r="T366" s="4"/>
      <c r="U366" s="128"/>
    </row>
    <row r="367" spans="1:21" ht="18" x14ac:dyDescent="0.3">
      <c r="A367" s="153"/>
      <c r="B367" s="20"/>
      <c r="C367" s="154"/>
      <c r="D367" s="155"/>
      <c r="E367" s="155"/>
      <c r="F367" s="75"/>
      <c r="G367" s="76"/>
      <c r="H367" s="76"/>
      <c r="I367" s="156"/>
      <c r="J367" s="156"/>
      <c r="K367" s="156"/>
      <c r="L367" s="261" t="s">
        <v>1460</v>
      </c>
      <c r="M367" s="199" t="s">
        <v>1539</v>
      </c>
      <c r="N367" s="261" t="s">
        <v>34</v>
      </c>
      <c r="O367" s="262">
        <v>1</v>
      </c>
      <c r="P367" s="200">
        <v>16.600000000000001</v>
      </c>
      <c r="Q367" s="200">
        <v>16.600000000000001</v>
      </c>
      <c r="R367" s="157"/>
      <c r="T367" s="4"/>
      <c r="U367" s="128"/>
    </row>
    <row r="368" spans="1:21" ht="18" x14ac:dyDescent="0.3">
      <c r="A368" s="153"/>
      <c r="B368" s="20"/>
      <c r="C368" s="154"/>
      <c r="D368" s="155"/>
      <c r="E368" s="155"/>
      <c r="F368" s="75"/>
      <c r="G368" s="76"/>
      <c r="H368" s="76"/>
      <c r="I368" s="156"/>
      <c r="J368" s="156"/>
      <c r="K368" s="156"/>
      <c r="L368" s="261" t="s">
        <v>1749</v>
      </c>
      <c r="M368" s="199" t="s">
        <v>291</v>
      </c>
      <c r="N368" s="261" t="s">
        <v>34</v>
      </c>
      <c r="O368" s="262">
        <v>1</v>
      </c>
      <c r="P368" s="200">
        <v>110.83</v>
      </c>
      <c r="Q368" s="200">
        <v>110.83</v>
      </c>
      <c r="R368" s="157"/>
      <c r="T368" s="4"/>
      <c r="U368" s="128"/>
    </row>
    <row r="369" spans="1:21" ht="18" x14ac:dyDescent="0.3">
      <c r="A369" s="153"/>
      <c r="B369" s="20"/>
      <c r="C369" s="154"/>
      <c r="D369" s="155"/>
      <c r="E369" s="155"/>
      <c r="F369" s="75"/>
      <c r="G369" s="76"/>
      <c r="H369" s="76"/>
      <c r="I369" s="156"/>
      <c r="J369" s="156"/>
      <c r="K369" s="156"/>
      <c r="L369" s="261" t="s">
        <v>1461</v>
      </c>
      <c r="M369" s="199" t="s">
        <v>1540</v>
      </c>
      <c r="N369" s="261" t="s">
        <v>34</v>
      </c>
      <c r="O369" s="262">
        <v>5</v>
      </c>
      <c r="P369" s="200">
        <v>277.33</v>
      </c>
      <c r="Q369" s="201">
        <v>1386.67</v>
      </c>
      <c r="R369" s="157"/>
      <c r="T369" s="4"/>
      <c r="U369" s="128"/>
    </row>
    <row r="370" spans="1:21" ht="18" x14ac:dyDescent="0.3">
      <c r="A370" s="153"/>
      <c r="B370" s="20"/>
      <c r="C370" s="154"/>
      <c r="D370" s="155"/>
      <c r="E370" s="155"/>
      <c r="F370" s="75"/>
      <c r="G370" s="76"/>
      <c r="H370" s="76"/>
      <c r="I370" s="156"/>
      <c r="J370" s="156"/>
      <c r="K370" s="156"/>
      <c r="L370" s="261" t="s">
        <v>1671</v>
      </c>
      <c r="M370" s="199" t="s">
        <v>1689</v>
      </c>
      <c r="N370" s="261" t="s">
        <v>34</v>
      </c>
      <c r="O370" s="262">
        <v>1</v>
      </c>
      <c r="P370" s="200">
        <v>206.84</v>
      </c>
      <c r="Q370" s="200">
        <v>206.84</v>
      </c>
      <c r="R370" s="157"/>
      <c r="T370" s="4"/>
      <c r="U370" s="128"/>
    </row>
    <row r="371" spans="1:21" ht="30" x14ac:dyDescent="0.3">
      <c r="A371" s="153"/>
      <c r="B371" s="20"/>
      <c r="C371" s="154"/>
      <c r="D371" s="155"/>
      <c r="E371" s="155"/>
      <c r="F371" s="75"/>
      <c r="G371" s="76"/>
      <c r="H371" s="76"/>
      <c r="I371" s="156"/>
      <c r="J371" s="156"/>
      <c r="K371" s="156"/>
      <c r="L371" s="261" t="s">
        <v>1463</v>
      </c>
      <c r="M371" s="199" t="s">
        <v>1542</v>
      </c>
      <c r="N371" s="261" t="s">
        <v>34</v>
      </c>
      <c r="O371" s="262">
        <v>1</v>
      </c>
      <c r="P371" s="200">
        <v>124.92</v>
      </c>
      <c r="Q371" s="200">
        <v>124.92</v>
      </c>
      <c r="R371" s="157"/>
      <c r="T371" s="4"/>
      <c r="U371" s="128"/>
    </row>
    <row r="372" spans="1:21" ht="18" x14ac:dyDescent="0.3">
      <c r="A372" s="153"/>
      <c r="B372" s="20"/>
      <c r="C372" s="154"/>
      <c r="D372" s="155"/>
      <c r="E372" s="155"/>
      <c r="F372" s="75"/>
      <c r="G372" s="76"/>
      <c r="H372" s="76"/>
      <c r="I372" s="156"/>
      <c r="J372" s="156"/>
      <c r="K372" s="156"/>
      <c r="L372" s="261" t="s">
        <v>1464</v>
      </c>
      <c r="M372" s="199" t="s">
        <v>1543</v>
      </c>
      <c r="N372" s="261" t="s">
        <v>34</v>
      </c>
      <c r="O372" s="262">
        <v>5</v>
      </c>
      <c r="P372" s="200">
        <v>115.83</v>
      </c>
      <c r="Q372" s="200">
        <v>579.15</v>
      </c>
      <c r="R372" s="157"/>
      <c r="T372" s="4"/>
      <c r="U372" s="128"/>
    </row>
    <row r="373" spans="1:21" ht="18" x14ac:dyDescent="0.3">
      <c r="A373" s="153"/>
      <c r="B373" s="20"/>
      <c r="C373" s="154"/>
      <c r="D373" s="155"/>
      <c r="E373" s="155"/>
      <c r="F373" s="75"/>
      <c r="G373" s="76"/>
      <c r="H373" s="76"/>
      <c r="I373" s="156"/>
      <c r="J373" s="156"/>
      <c r="K373" s="156"/>
      <c r="L373" s="261" t="s">
        <v>663</v>
      </c>
      <c r="M373" s="199" t="s">
        <v>151</v>
      </c>
      <c r="N373" s="261" t="s">
        <v>34</v>
      </c>
      <c r="O373" s="262">
        <v>1</v>
      </c>
      <c r="P373" s="200">
        <v>12</v>
      </c>
      <c r="Q373" s="200">
        <v>12</v>
      </c>
      <c r="R373" s="157"/>
      <c r="T373" s="4"/>
      <c r="U373" s="128"/>
    </row>
    <row r="374" spans="1:21" ht="18" x14ac:dyDescent="0.3">
      <c r="A374" s="153"/>
      <c r="B374" s="20"/>
      <c r="C374" s="154"/>
      <c r="D374" s="155"/>
      <c r="E374" s="155"/>
      <c r="F374" s="75"/>
      <c r="G374" s="76"/>
      <c r="H374" s="76"/>
      <c r="I374" s="156"/>
      <c r="J374" s="156"/>
      <c r="K374" s="156"/>
      <c r="L374" s="261" t="s">
        <v>1465</v>
      </c>
      <c r="M374" s="199" t="s">
        <v>1544</v>
      </c>
      <c r="N374" s="261" t="s">
        <v>34</v>
      </c>
      <c r="O374" s="262">
        <v>1</v>
      </c>
      <c r="P374" s="200">
        <v>68.33</v>
      </c>
      <c r="Q374" s="200">
        <v>68.33</v>
      </c>
      <c r="R374" s="157"/>
      <c r="T374" s="4"/>
      <c r="U374" s="128"/>
    </row>
    <row r="375" spans="1:21" ht="18" x14ac:dyDescent="0.3">
      <c r="A375" s="153"/>
      <c r="B375" s="20"/>
      <c r="C375" s="154"/>
      <c r="D375" s="155"/>
      <c r="E375" s="155"/>
      <c r="F375" s="75"/>
      <c r="G375" s="76"/>
      <c r="H375" s="76"/>
      <c r="I375" s="156"/>
      <c r="J375" s="156"/>
      <c r="K375" s="156"/>
      <c r="L375" s="261" t="s">
        <v>719</v>
      </c>
      <c r="M375" s="199" t="s">
        <v>161</v>
      </c>
      <c r="N375" s="261" t="s">
        <v>37</v>
      </c>
      <c r="O375" s="262">
        <v>2</v>
      </c>
      <c r="P375" s="200">
        <v>38.5</v>
      </c>
      <c r="Q375" s="200">
        <v>77</v>
      </c>
      <c r="R375" s="157"/>
      <c r="T375" s="4"/>
      <c r="U375" s="128"/>
    </row>
    <row r="376" spans="1:21" ht="18" x14ac:dyDescent="0.3">
      <c r="A376" s="153"/>
      <c r="B376" s="20"/>
      <c r="C376" s="154"/>
      <c r="D376" s="155"/>
      <c r="E376" s="155"/>
      <c r="F376" s="75"/>
      <c r="G376" s="76"/>
      <c r="H376" s="76"/>
      <c r="I376" s="156"/>
      <c r="J376" s="156"/>
      <c r="K376" s="156"/>
      <c r="L376" s="261" t="s">
        <v>275</v>
      </c>
      <c r="M376" s="199" t="s">
        <v>276</v>
      </c>
      <c r="N376" s="261" t="s">
        <v>34</v>
      </c>
      <c r="O376" s="262">
        <v>1</v>
      </c>
      <c r="P376" s="200">
        <v>105</v>
      </c>
      <c r="Q376" s="200">
        <v>105</v>
      </c>
      <c r="R376" s="157"/>
      <c r="T376" s="4"/>
      <c r="U376" s="128"/>
    </row>
    <row r="377" spans="1:21" ht="18" x14ac:dyDescent="0.3">
      <c r="A377" s="153"/>
      <c r="B377" s="20"/>
      <c r="C377" s="154"/>
      <c r="D377" s="155"/>
      <c r="E377" s="155"/>
      <c r="F377" s="75"/>
      <c r="G377" s="76"/>
      <c r="H377" s="76"/>
      <c r="I377" s="156"/>
      <c r="J377" s="156"/>
      <c r="K377" s="156"/>
      <c r="L377" s="261" t="s">
        <v>1470</v>
      </c>
      <c r="M377" s="199" t="s">
        <v>1549</v>
      </c>
      <c r="N377" s="261" t="s">
        <v>34</v>
      </c>
      <c r="O377" s="262">
        <v>6</v>
      </c>
      <c r="P377" s="200">
        <v>121.67</v>
      </c>
      <c r="Q377" s="200">
        <v>730.02</v>
      </c>
      <c r="R377" s="157"/>
      <c r="T377" s="4"/>
      <c r="U377" s="128"/>
    </row>
    <row r="378" spans="1:21" ht="18" x14ac:dyDescent="0.3">
      <c r="A378" s="153"/>
      <c r="B378" s="20"/>
      <c r="C378" s="154"/>
      <c r="D378" s="155"/>
      <c r="E378" s="155"/>
      <c r="F378" s="75"/>
      <c r="G378" s="76"/>
      <c r="H378" s="76"/>
      <c r="I378" s="156"/>
      <c r="J378" s="156"/>
      <c r="K378" s="156"/>
      <c r="L378" s="261" t="s">
        <v>1471</v>
      </c>
      <c r="M378" s="199" t="s">
        <v>1550</v>
      </c>
      <c r="N378" s="261" t="s">
        <v>34</v>
      </c>
      <c r="O378" s="263">
        <v>1808</v>
      </c>
      <c r="P378" s="200">
        <v>0.11</v>
      </c>
      <c r="Q378" s="200">
        <v>193.46</v>
      </c>
      <c r="R378" s="157"/>
      <c r="T378" s="4"/>
      <c r="U378" s="128"/>
    </row>
    <row r="379" spans="1:21" ht="18" x14ac:dyDescent="0.3">
      <c r="A379" s="153"/>
      <c r="B379" s="20"/>
      <c r="C379" s="154"/>
      <c r="D379" s="155"/>
      <c r="E379" s="155"/>
      <c r="F379" s="75"/>
      <c r="G379" s="76"/>
      <c r="H379" s="76"/>
      <c r="I379" s="156"/>
      <c r="J379" s="156"/>
      <c r="K379" s="156"/>
      <c r="L379" s="261" t="s">
        <v>625</v>
      </c>
      <c r="M379" s="199" t="s">
        <v>136</v>
      </c>
      <c r="N379" s="261" t="s">
        <v>34</v>
      </c>
      <c r="O379" s="262">
        <v>1</v>
      </c>
      <c r="P379" s="200">
        <v>34</v>
      </c>
      <c r="Q379" s="200">
        <v>34</v>
      </c>
      <c r="R379" s="157"/>
      <c r="T379" s="4"/>
      <c r="U379" s="128"/>
    </row>
    <row r="380" spans="1:21" ht="18" x14ac:dyDescent="0.3">
      <c r="A380" s="153"/>
      <c r="B380" s="20"/>
      <c r="C380" s="154"/>
      <c r="D380" s="155"/>
      <c r="E380" s="155"/>
      <c r="F380" s="75"/>
      <c r="G380" s="76"/>
      <c r="H380" s="76"/>
      <c r="I380" s="156"/>
      <c r="J380" s="156"/>
      <c r="K380" s="156"/>
      <c r="L380" s="261" t="s">
        <v>698</v>
      </c>
      <c r="M380" s="199" t="s">
        <v>97</v>
      </c>
      <c r="N380" s="261" t="s">
        <v>34</v>
      </c>
      <c r="O380" s="263">
        <v>3266</v>
      </c>
      <c r="P380" s="200">
        <v>0.11</v>
      </c>
      <c r="Q380" s="200">
        <v>349.46</v>
      </c>
      <c r="R380" s="157"/>
      <c r="T380" s="4"/>
      <c r="U380" s="128"/>
    </row>
    <row r="381" spans="1:21" ht="18" x14ac:dyDescent="0.3">
      <c r="A381" s="153"/>
      <c r="B381" s="20"/>
      <c r="C381" s="154"/>
      <c r="D381" s="155"/>
      <c r="E381" s="155"/>
      <c r="F381" s="75"/>
      <c r="G381" s="76"/>
      <c r="H381" s="76"/>
      <c r="I381" s="156"/>
      <c r="J381" s="156"/>
      <c r="K381" s="156"/>
      <c r="L381" s="261" t="s">
        <v>1750</v>
      </c>
      <c r="M381" s="199" t="s">
        <v>1770</v>
      </c>
      <c r="N381" s="261" t="s">
        <v>34</v>
      </c>
      <c r="O381" s="262">
        <v>1</v>
      </c>
      <c r="P381" s="200">
        <v>82.5</v>
      </c>
      <c r="Q381" s="200">
        <v>82.5</v>
      </c>
      <c r="R381" s="157"/>
      <c r="T381" s="4"/>
      <c r="U381" s="128"/>
    </row>
    <row r="382" spans="1:21" ht="18" x14ac:dyDescent="0.3">
      <c r="A382" s="153"/>
      <c r="B382" s="20"/>
      <c r="C382" s="154"/>
      <c r="D382" s="155"/>
      <c r="E382" s="155"/>
      <c r="F382" s="75"/>
      <c r="G382" s="76"/>
      <c r="H382" s="76"/>
      <c r="I382" s="156"/>
      <c r="J382" s="156"/>
      <c r="K382" s="156"/>
      <c r="L382" s="261" t="s">
        <v>1472</v>
      </c>
      <c r="M382" s="199" t="s">
        <v>1551</v>
      </c>
      <c r="N382" s="261" t="s">
        <v>34</v>
      </c>
      <c r="O382" s="262">
        <v>1</v>
      </c>
      <c r="P382" s="200">
        <v>146.25</v>
      </c>
      <c r="Q382" s="200">
        <v>146.25</v>
      </c>
      <c r="R382" s="157"/>
      <c r="T382" s="4"/>
      <c r="U382" s="128"/>
    </row>
    <row r="383" spans="1:21" ht="18" x14ac:dyDescent="0.3">
      <c r="A383" s="153"/>
      <c r="B383" s="20"/>
      <c r="C383" s="154"/>
      <c r="D383" s="155"/>
      <c r="E383" s="155"/>
      <c r="F383" s="75"/>
      <c r="G383" s="76"/>
      <c r="H383" s="76"/>
      <c r="I383" s="156"/>
      <c r="J383" s="156"/>
      <c r="K383" s="156"/>
      <c r="L383" s="261" t="s">
        <v>1473</v>
      </c>
      <c r="M383" s="199" t="s">
        <v>1552</v>
      </c>
      <c r="N383" s="261" t="s">
        <v>34</v>
      </c>
      <c r="O383" s="262">
        <v>2</v>
      </c>
      <c r="P383" s="200">
        <v>239</v>
      </c>
      <c r="Q383" s="200">
        <v>478</v>
      </c>
      <c r="R383" s="157"/>
      <c r="T383" s="4"/>
      <c r="U383" s="128"/>
    </row>
    <row r="384" spans="1:21" ht="18" x14ac:dyDescent="0.3">
      <c r="A384" s="153"/>
      <c r="B384" s="20"/>
      <c r="C384" s="154"/>
      <c r="D384" s="155"/>
      <c r="E384" s="155"/>
      <c r="F384" s="75"/>
      <c r="G384" s="76"/>
      <c r="H384" s="76"/>
      <c r="I384" s="156"/>
      <c r="J384" s="156"/>
      <c r="K384" s="156"/>
      <c r="L384" s="261" t="s">
        <v>1751</v>
      </c>
      <c r="M384" s="199" t="s">
        <v>1771</v>
      </c>
      <c r="N384" s="261" t="s">
        <v>34</v>
      </c>
      <c r="O384" s="262">
        <v>1</v>
      </c>
      <c r="P384" s="200">
        <v>30</v>
      </c>
      <c r="Q384" s="200">
        <v>30</v>
      </c>
      <c r="R384" s="157"/>
      <c r="T384" s="4"/>
      <c r="U384" s="128"/>
    </row>
    <row r="385" spans="1:21" ht="18" x14ac:dyDescent="0.3">
      <c r="A385" s="153"/>
      <c r="B385" s="20"/>
      <c r="C385" s="154"/>
      <c r="D385" s="155"/>
      <c r="E385" s="155"/>
      <c r="F385" s="75"/>
      <c r="G385" s="76"/>
      <c r="H385" s="76"/>
      <c r="I385" s="156"/>
      <c r="J385" s="156"/>
      <c r="K385" s="156"/>
      <c r="L385" s="261" t="s">
        <v>677</v>
      </c>
      <c r="M385" s="199" t="s">
        <v>1554</v>
      </c>
      <c r="N385" s="261" t="s">
        <v>34</v>
      </c>
      <c r="O385" s="262">
        <v>3</v>
      </c>
      <c r="P385" s="200">
        <v>62.14</v>
      </c>
      <c r="Q385" s="200">
        <v>186.42</v>
      </c>
      <c r="R385" s="157"/>
      <c r="T385" s="4"/>
      <c r="U385" s="128"/>
    </row>
    <row r="386" spans="1:21" ht="18" x14ac:dyDescent="0.3">
      <c r="A386" s="153"/>
      <c r="B386" s="20"/>
      <c r="C386" s="154"/>
      <c r="D386" s="155"/>
      <c r="E386" s="155"/>
      <c r="F386" s="75"/>
      <c r="G386" s="76"/>
      <c r="H386" s="76"/>
      <c r="I386" s="156"/>
      <c r="J386" s="156"/>
      <c r="K386" s="156"/>
      <c r="L386" s="261" t="s">
        <v>246</v>
      </c>
      <c r="M386" s="199" t="s">
        <v>247</v>
      </c>
      <c r="N386" s="261" t="s">
        <v>34</v>
      </c>
      <c r="O386" s="262">
        <v>1</v>
      </c>
      <c r="P386" s="200">
        <v>229</v>
      </c>
      <c r="Q386" s="200">
        <v>229</v>
      </c>
      <c r="R386" s="157"/>
      <c r="T386" s="4"/>
      <c r="U386" s="128"/>
    </row>
    <row r="387" spans="1:21" ht="18" x14ac:dyDescent="0.3">
      <c r="A387" s="153"/>
      <c r="B387" s="20"/>
      <c r="C387" s="154"/>
      <c r="D387" s="155"/>
      <c r="E387" s="155"/>
      <c r="F387" s="75"/>
      <c r="G387" s="76"/>
      <c r="H387" s="76"/>
      <c r="I387" s="156"/>
      <c r="J387" s="156"/>
      <c r="K387" s="156"/>
      <c r="L387" s="261" t="s">
        <v>1142</v>
      </c>
      <c r="M387" s="199" t="s">
        <v>1229</v>
      </c>
      <c r="N387" s="261" t="s">
        <v>34</v>
      </c>
      <c r="O387" s="262">
        <v>19</v>
      </c>
      <c r="P387" s="200">
        <v>268.32</v>
      </c>
      <c r="Q387" s="201">
        <v>5098</v>
      </c>
      <c r="R387" s="157"/>
      <c r="T387" s="4"/>
      <c r="U387" s="128"/>
    </row>
    <row r="388" spans="1:21" ht="18" x14ac:dyDescent="0.3">
      <c r="A388" s="153"/>
      <c r="B388" s="20"/>
      <c r="C388" s="154"/>
      <c r="D388" s="155"/>
      <c r="E388" s="155"/>
      <c r="F388" s="75"/>
      <c r="G388" s="76"/>
      <c r="H388" s="76"/>
      <c r="I388" s="156"/>
      <c r="J388" s="156"/>
      <c r="K388" s="156"/>
      <c r="L388" s="261" t="s">
        <v>1475</v>
      </c>
      <c r="M388" s="199" t="s">
        <v>1555</v>
      </c>
      <c r="N388" s="261" t="s">
        <v>64</v>
      </c>
      <c r="O388" s="262">
        <v>1</v>
      </c>
      <c r="P388" s="200">
        <v>160.32</v>
      </c>
      <c r="Q388" s="200">
        <v>160.32</v>
      </c>
      <c r="R388" s="157"/>
      <c r="T388" s="4"/>
      <c r="U388" s="128"/>
    </row>
    <row r="389" spans="1:21" ht="18" x14ac:dyDescent="0.3">
      <c r="A389" s="153"/>
      <c r="B389" s="20"/>
      <c r="C389" s="154"/>
      <c r="D389" s="155"/>
      <c r="E389" s="155"/>
      <c r="F389" s="75"/>
      <c r="G389" s="76"/>
      <c r="H389" s="76"/>
      <c r="I389" s="156"/>
      <c r="J389" s="156"/>
      <c r="K389" s="156"/>
      <c r="L389" s="261" t="s">
        <v>597</v>
      </c>
      <c r="M389" s="199" t="s">
        <v>598</v>
      </c>
      <c r="N389" s="261" t="s">
        <v>34</v>
      </c>
      <c r="O389" s="262">
        <v>2</v>
      </c>
      <c r="P389" s="200">
        <v>139.11000000000001</v>
      </c>
      <c r="Q389" s="200">
        <v>278.22000000000003</v>
      </c>
      <c r="R389" s="157"/>
      <c r="T389" s="4"/>
      <c r="U389" s="128"/>
    </row>
    <row r="390" spans="1:21" ht="18" x14ac:dyDescent="0.3">
      <c r="A390" s="153"/>
      <c r="B390" s="20"/>
      <c r="C390" s="154"/>
      <c r="D390" s="155"/>
      <c r="E390" s="155"/>
      <c r="F390" s="75"/>
      <c r="G390" s="76"/>
      <c r="H390" s="76"/>
      <c r="I390" s="156"/>
      <c r="J390" s="156"/>
      <c r="K390" s="156"/>
      <c r="L390" s="261" t="s">
        <v>159</v>
      </c>
      <c r="M390" s="199" t="s">
        <v>160</v>
      </c>
      <c r="N390" s="261" t="s">
        <v>37</v>
      </c>
      <c r="O390" s="262">
        <v>3</v>
      </c>
      <c r="P390" s="200">
        <v>21</v>
      </c>
      <c r="Q390" s="200">
        <v>63</v>
      </c>
      <c r="R390" s="157"/>
      <c r="T390" s="4"/>
      <c r="U390" s="128"/>
    </row>
    <row r="391" spans="1:21" ht="18" x14ac:dyDescent="0.3">
      <c r="A391" s="153"/>
      <c r="B391" s="20"/>
      <c r="C391" s="154"/>
      <c r="D391" s="155"/>
      <c r="E391" s="155"/>
      <c r="F391" s="75"/>
      <c r="G391" s="76"/>
      <c r="H391" s="76"/>
      <c r="I391" s="156"/>
      <c r="J391" s="156"/>
      <c r="K391" s="156"/>
      <c r="L391" s="261" t="s">
        <v>1478</v>
      </c>
      <c r="M391" s="199" t="s">
        <v>1558</v>
      </c>
      <c r="N391" s="261" t="s">
        <v>34</v>
      </c>
      <c r="O391" s="262">
        <v>1</v>
      </c>
      <c r="P391" s="201">
        <v>1273.5</v>
      </c>
      <c r="Q391" s="201">
        <v>1273.5</v>
      </c>
      <c r="R391" s="157"/>
      <c r="T391" s="4"/>
      <c r="U391" s="128"/>
    </row>
    <row r="392" spans="1:21" ht="18" x14ac:dyDescent="0.3">
      <c r="A392" s="153"/>
      <c r="B392" s="20"/>
      <c r="C392" s="154"/>
      <c r="D392" s="155"/>
      <c r="E392" s="155"/>
      <c r="F392" s="75"/>
      <c r="G392" s="76"/>
      <c r="H392" s="76"/>
      <c r="I392" s="156"/>
      <c r="J392" s="156"/>
      <c r="K392" s="156"/>
      <c r="L392" s="261" t="s">
        <v>1480</v>
      </c>
      <c r="M392" s="199" t="s">
        <v>1560</v>
      </c>
      <c r="N392" s="261" t="s">
        <v>34</v>
      </c>
      <c r="O392" s="262">
        <v>1</v>
      </c>
      <c r="P392" s="200">
        <v>206</v>
      </c>
      <c r="Q392" s="200">
        <v>206</v>
      </c>
      <c r="R392" s="157"/>
      <c r="T392" s="4"/>
      <c r="U392" s="128"/>
    </row>
    <row r="393" spans="1:21" ht="18" x14ac:dyDescent="0.3">
      <c r="A393" s="153"/>
      <c r="B393" s="20"/>
      <c r="C393" s="154"/>
      <c r="D393" s="155"/>
      <c r="E393" s="155"/>
      <c r="F393" s="75"/>
      <c r="G393" s="76"/>
      <c r="H393" s="76"/>
      <c r="I393" s="156"/>
      <c r="J393" s="156"/>
      <c r="K393" s="156"/>
      <c r="L393" s="261" t="s">
        <v>1481</v>
      </c>
      <c r="M393" s="199" t="s">
        <v>1561</v>
      </c>
      <c r="N393" s="261" t="s">
        <v>34</v>
      </c>
      <c r="O393" s="262">
        <v>2</v>
      </c>
      <c r="P393" s="200">
        <v>52</v>
      </c>
      <c r="Q393" s="200">
        <v>104</v>
      </c>
      <c r="R393" s="157"/>
      <c r="T393" s="4"/>
      <c r="U393" s="128"/>
    </row>
    <row r="394" spans="1:21" ht="18" x14ac:dyDescent="0.3">
      <c r="A394" s="153"/>
      <c r="B394" s="20"/>
      <c r="C394" s="154"/>
      <c r="D394" s="155"/>
      <c r="E394" s="155"/>
      <c r="F394" s="75"/>
      <c r="G394" s="76"/>
      <c r="H394" s="76"/>
      <c r="I394" s="156"/>
      <c r="J394" s="156"/>
      <c r="K394" s="156"/>
      <c r="L394" s="261" t="s">
        <v>157</v>
      </c>
      <c r="M394" s="199" t="s">
        <v>158</v>
      </c>
      <c r="N394" s="261" t="s">
        <v>34</v>
      </c>
      <c r="O394" s="262">
        <v>3</v>
      </c>
      <c r="P394" s="200">
        <v>97.5</v>
      </c>
      <c r="Q394" s="200">
        <v>292.5</v>
      </c>
      <c r="R394" s="157"/>
      <c r="T394" s="4"/>
      <c r="U394" s="128"/>
    </row>
    <row r="395" spans="1:21" ht="18" x14ac:dyDescent="0.3">
      <c r="A395" s="153"/>
      <c r="B395" s="20"/>
      <c r="C395" s="154"/>
      <c r="D395" s="155"/>
      <c r="E395" s="155"/>
      <c r="F395" s="75"/>
      <c r="G395" s="76"/>
      <c r="H395" s="76"/>
      <c r="I395" s="156"/>
      <c r="J395" s="156"/>
      <c r="K395" s="156"/>
      <c r="L395" s="261" t="s">
        <v>627</v>
      </c>
      <c r="M395" s="199" t="s">
        <v>628</v>
      </c>
      <c r="N395" s="261" t="s">
        <v>34</v>
      </c>
      <c r="O395" s="262">
        <v>2</v>
      </c>
      <c r="P395" s="200">
        <v>25</v>
      </c>
      <c r="Q395" s="200">
        <v>50</v>
      </c>
      <c r="R395" s="157"/>
      <c r="T395" s="4"/>
      <c r="U395" s="128"/>
    </row>
    <row r="396" spans="1:21" ht="18" x14ac:dyDescent="0.3">
      <c r="A396" s="153"/>
      <c r="B396" s="20"/>
      <c r="C396" s="154"/>
      <c r="D396" s="155"/>
      <c r="E396" s="155"/>
      <c r="F396" s="75"/>
      <c r="G396" s="76"/>
      <c r="H396" s="76"/>
      <c r="I396" s="156"/>
      <c r="J396" s="156"/>
      <c r="K396" s="156"/>
      <c r="L396" s="261" t="s">
        <v>1482</v>
      </c>
      <c r="M396" s="199" t="s">
        <v>1562</v>
      </c>
      <c r="N396" s="261" t="s">
        <v>34</v>
      </c>
      <c r="O396" s="262">
        <v>1</v>
      </c>
      <c r="P396" s="200">
        <v>75.400000000000006</v>
      </c>
      <c r="Q396" s="200">
        <v>75.400000000000006</v>
      </c>
      <c r="R396" s="157"/>
      <c r="T396" s="4"/>
      <c r="U396" s="128"/>
    </row>
    <row r="397" spans="1:21" ht="18" x14ac:dyDescent="0.3">
      <c r="A397" s="153"/>
      <c r="B397" s="20"/>
      <c r="C397" s="154"/>
      <c r="D397" s="155"/>
      <c r="E397" s="155"/>
      <c r="F397" s="75"/>
      <c r="G397" s="76"/>
      <c r="H397" s="76"/>
      <c r="I397" s="156"/>
      <c r="J397" s="156"/>
      <c r="K397" s="156"/>
      <c r="L397" s="261" t="s">
        <v>666</v>
      </c>
      <c r="M397" s="199" t="s">
        <v>667</v>
      </c>
      <c r="N397" s="261" t="s">
        <v>34</v>
      </c>
      <c r="O397" s="262">
        <v>1</v>
      </c>
      <c r="P397" s="200">
        <v>674</v>
      </c>
      <c r="Q397" s="200">
        <v>674</v>
      </c>
      <c r="R397" s="157"/>
      <c r="T397" s="4"/>
      <c r="U397" s="128"/>
    </row>
    <row r="398" spans="1:21" ht="18" x14ac:dyDescent="0.3">
      <c r="A398" s="153"/>
      <c r="B398" s="20"/>
      <c r="C398" s="154"/>
      <c r="D398" s="155"/>
      <c r="E398" s="155"/>
      <c r="F398" s="75"/>
      <c r="G398" s="76"/>
      <c r="H398" s="76"/>
      <c r="I398" s="156"/>
      <c r="J398" s="156"/>
      <c r="K398" s="156"/>
      <c r="L398" s="261" t="s">
        <v>127</v>
      </c>
      <c r="M398" s="199" t="s">
        <v>128</v>
      </c>
      <c r="N398" s="261" t="s">
        <v>34</v>
      </c>
      <c r="O398" s="262">
        <v>1</v>
      </c>
      <c r="P398" s="200">
        <v>500.28</v>
      </c>
      <c r="Q398" s="200">
        <v>500.28</v>
      </c>
      <c r="R398" s="157"/>
      <c r="T398" s="4"/>
      <c r="U398" s="128"/>
    </row>
    <row r="399" spans="1:21" ht="18" x14ac:dyDescent="0.3">
      <c r="A399" s="153"/>
      <c r="B399" s="20"/>
      <c r="C399" s="154"/>
      <c r="D399" s="155"/>
      <c r="E399" s="155"/>
      <c r="F399" s="75"/>
      <c r="G399" s="76"/>
      <c r="H399" s="76"/>
      <c r="I399" s="156"/>
      <c r="J399" s="156"/>
      <c r="K399" s="156"/>
      <c r="L399" s="261" t="s">
        <v>1483</v>
      </c>
      <c r="M399" s="199" t="s">
        <v>1563</v>
      </c>
      <c r="N399" s="261" t="s">
        <v>34</v>
      </c>
      <c r="O399" s="262">
        <v>2</v>
      </c>
      <c r="P399" s="200">
        <v>110</v>
      </c>
      <c r="Q399" s="200">
        <v>220</v>
      </c>
      <c r="R399" s="157"/>
      <c r="T399" s="4"/>
      <c r="U399" s="128"/>
    </row>
    <row r="400" spans="1:21" ht="18" x14ac:dyDescent="0.3">
      <c r="A400" s="153"/>
      <c r="B400" s="20"/>
      <c r="C400" s="154"/>
      <c r="D400" s="155"/>
      <c r="E400" s="155"/>
      <c r="F400" s="75"/>
      <c r="G400" s="76"/>
      <c r="H400" s="76"/>
      <c r="I400" s="156"/>
      <c r="J400" s="156"/>
      <c r="K400" s="156"/>
      <c r="L400" s="261" t="s">
        <v>98</v>
      </c>
      <c r="M400" s="199" t="s">
        <v>99</v>
      </c>
      <c r="N400" s="261" t="s">
        <v>37</v>
      </c>
      <c r="O400" s="262">
        <v>5</v>
      </c>
      <c r="P400" s="200">
        <v>131</v>
      </c>
      <c r="Q400" s="200">
        <v>655</v>
      </c>
      <c r="R400" s="157"/>
      <c r="T400" s="4"/>
      <c r="U400" s="128"/>
    </row>
    <row r="401" spans="1:21" ht="18" x14ac:dyDescent="0.3">
      <c r="A401" s="153"/>
      <c r="B401" s="20"/>
      <c r="C401" s="154"/>
      <c r="D401" s="155"/>
      <c r="E401" s="155"/>
      <c r="F401" s="75"/>
      <c r="G401" s="76"/>
      <c r="H401" s="76"/>
      <c r="I401" s="156"/>
      <c r="J401" s="156"/>
      <c r="K401" s="156"/>
      <c r="L401" s="261" t="s">
        <v>1752</v>
      </c>
      <c r="M401" s="199" t="s">
        <v>1772</v>
      </c>
      <c r="N401" s="261" t="s">
        <v>34</v>
      </c>
      <c r="O401" s="262">
        <v>1</v>
      </c>
      <c r="P401" s="200">
        <v>35</v>
      </c>
      <c r="Q401" s="200">
        <v>35</v>
      </c>
      <c r="R401" s="157"/>
      <c r="T401" s="4"/>
      <c r="U401" s="128"/>
    </row>
    <row r="402" spans="1:21" ht="18" x14ac:dyDescent="0.3">
      <c r="A402" s="153"/>
      <c r="B402" s="20"/>
      <c r="C402" s="154"/>
      <c r="D402" s="155"/>
      <c r="E402" s="155"/>
      <c r="F402" s="75"/>
      <c r="G402" s="76"/>
      <c r="H402" s="76"/>
      <c r="I402" s="156"/>
      <c r="J402" s="156"/>
      <c r="K402" s="156"/>
      <c r="L402" s="261" t="s">
        <v>1753</v>
      </c>
      <c r="M402" s="199" t="s">
        <v>1773</v>
      </c>
      <c r="N402" s="261" t="s">
        <v>34</v>
      </c>
      <c r="O402" s="262">
        <v>1</v>
      </c>
      <c r="P402" s="200">
        <v>41.7</v>
      </c>
      <c r="Q402" s="200">
        <v>41.7</v>
      </c>
      <c r="R402" s="157"/>
      <c r="T402" s="4"/>
      <c r="U402" s="128"/>
    </row>
    <row r="403" spans="1:21" ht="18" x14ac:dyDescent="0.3">
      <c r="A403" s="153"/>
      <c r="B403" s="20"/>
      <c r="C403" s="154"/>
      <c r="D403" s="155"/>
      <c r="E403" s="155"/>
      <c r="F403" s="75"/>
      <c r="G403" s="76"/>
      <c r="H403" s="76"/>
      <c r="I403" s="156"/>
      <c r="J403" s="156"/>
      <c r="K403" s="156"/>
      <c r="L403" s="261" t="s">
        <v>1485</v>
      </c>
      <c r="M403" s="199" t="s">
        <v>1565</v>
      </c>
      <c r="N403" s="261" t="s">
        <v>34</v>
      </c>
      <c r="O403" s="262">
        <v>3</v>
      </c>
      <c r="P403" s="200">
        <v>20.09</v>
      </c>
      <c r="Q403" s="200">
        <v>60.26</v>
      </c>
      <c r="R403" s="157"/>
      <c r="T403" s="4"/>
      <c r="U403" s="128"/>
    </row>
    <row r="404" spans="1:21" ht="18" x14ac:dyDescent="0.3">
      <c r="A404" s="153"/>
      <c r="B404" s="20"/>
      <c r="C404" s="154"/>
      <c r="D404" s="155"/>
      <c r="E404" s="155"/>
      <c r="F404" s="75"/>
      <c r="G404" s="76"/>
      <c r="H404" s="76"/>
      <c r="I404" s="156"/>
      <c r="J404" s="156"/>
      <c r="K404" s="156"/>
      <c r="L404" s="261" t="s">
        <v>561</v>
      </c>
      <c r="M404" s="199" t="s">
        <v>562</v>
      </c>
      <c r="N404" s="261" t="s">
        <v>34</v>
      </c>
      <c r="O404" s="262">
        <v>1</v>
      </c>
      <c r="P404" s="200">
        <v>139.5</v>
      </c>
      <c r="Q404" s="200">
        <v>139.5</v>
      </c>
      <c r="R404" s="157"/>
      <c r="T404" s="4"/>
      <c r="U404" s="128"/>
    </row>
    <row r="405" spans="1:21" ht="18" x14ac:dyDescent="0.3">
      <c r="A405" s="153"/>
      <c r="B405" s="20"/>
      <c r="C405" s="154"/>
      <c r="D405" s="155"/>
      <c r="E405" s="155"/>
      <c r="F405" s="75"/>
      <c r="G405" s="76"/>
      <c r="H405" s="76"/>
      <c r="I405" s="156"/>
      <c r="J405" s="156"/>
      <c r="K405" s="156"/>
      <c r="L405" s="261" t="s">
        <v>589</v>
      </c>
      <c r="M405" s="199" t="s">
        <v>590</v>
      </c>
      <c r="N405" s="261" t="s">
        <v>34</v>
      </c>
      <c r="O405" s="262">
        <v>1</v>
      </c>
      <c r="P405" s="200">
        <v>346.09</v>
      </c>
      <c r="Q405" s="200">
        <v>346.09</v>
      </c>
      <c r="R405" s="157"/>
      <c r="T405" s="4"/>
      <c r="U405" s="128"/>
    </row>
    <row r="406" spans="1:21" ht="18" x14ac:dyDescent="0.3">
      <c r="A406" s="153"/>
      <c r="B406" s="20"/>
      <c r="C406" s="154"/>
      <c r="D406" s="155"/>
      <c r="E406" s="155"/>
      <c r="F406" s="75"/>
      <c r="G406" s="76"/>
      <c r="H406" s="76"/>
      <c r="I406" s="156"/>
      <c r="J406" s="156"/>
      <c r="K406" s="156"/>
      <c r="L406" s="261" t="s">
        <v>1674</v>
      </c>
      <c r="M406" s="199" t="s">
        <v>1692</v>
      </c>
      <c r="N406" s="261" t="s">
        <v>34</v>
      </c>
      <c r="O406" s="262">
        <v>1</v>
      </c>
      <c r="P406" s="200">
        <v>331</v>
      </c>
      <c r="Q406" s="200">
        <v>331</v>
      </c>
      <c r="R406" s="157"/>
      <c r="T406" s="4"/>
      <c r="U406" s="128"/>
    </row>
    <row r="407" spans="1:21" ht="18" x14ac:dyDescent="0.3">
      <c r="A407" s="153"/>
      <c r="B407" s="20"/>
      <c r="C407" s="154"/>
      <c r="D407" s="155"/>
      <c r="E407" s="155"/>
      <c r="F407" s="75"/>
      <c r="G407" s="76"/>
      <c r="H407" s="76"/>
      <c r="I407" s="156"/>
      <c r="J407" s="156"/>
      <c r="K407" s="156"/>
      <c r="L407" s="261" t="s">
        <v>710</v>
      </c>
      <c r="M407" s="199" t="s">
        <v>711</v>
      </c>
      <c r="N407" s="261" t="s">
        <v>34</v>
      </c>
      <c r="O407" s="262">
        <v>4</v>
      </c>
      <c r="P407" s="200">
        <v>73</v>
      </c>
      <c r="Q407" s="200">
        <v>292</v>
      </c>
      <c r="R407" s="157"/>
      <c r="T407" s="4"/>
      <c r="U407" s="128"/>
    </row>
    <row r="408" spans="1:21" ht="18" x14ac:dyDescent="0.3">
      <c r="A408" s="153"/>
      <c r="B408" s="20"/>
      <c r="C408" s="154"/>
      <c r="D408" s="155"/>
      <c r="E408" s="155"/>
      <c r="F408" s="75"/>
      <c r="G408" s="76"/>
      <c r="H408" s="76"/>
      <c r="I408" s="156"/>
      <c r="J408" s="156"/>
      <c r="K408" s="156"/>
      <c r="L408" s="261" t="s">
        <v>638</v>
      </c>
      <c r="M408" s="199" t="s">
        <v>639</v>
      </c>
      <c r="N408" s="261" t="s">
        <v>64</v>
      </c>
      <c r="O408" s="262">
        <v>2</v>
      </c>
      <c r="P408" s="200">
        <v>149.16999999999999</v>
      </c>
      <c r="Q408" s="200">
        <v>298.33999999999997</v>
      </c>
      <c r="R408" s="157"/>
      <c r="T408" s="4"/>
      <c r="U408" s="128"/>
    </row>
    <row r="409" spans="1:21" ht="18" x14ac:dyDescent="0.3">
      <c r="A409" s="153"/>
      <c r="B409" s="20"/>
      <c r="C409" s="154"/>
      <c r="D409" s="155"/>
      <c r="E409" s="155"/>
      <c r="F409" s="75"/>
      <c r="G409" s="76"/>
      <c r="H409" s="76"/>
      <c r="I409" s="156"/>
      <c r="J409" s="156"/>
      <c r="K409" s="156"/>
      <c r="L409" s="261" t="s">
        <v>1486</v>
      </c>
      <c r="M409" s="199" t="s">
        <v>1566</v>
      </c>
      <c r="N409" s="261" t="s">
        <v>34</v>
      </c>
      <c r="O409" s="262">
        <v>2</v>
      </c>
      <c r="P409" s="200">
        <v>290</v>
      </c>
      <c r="Q409" s="200">
        <v>580</v>
      </c>
      <c r="R409" s="157"/>
      <c r="T409" s="4"/>
      <c r="U409" s="128"/>
    </row>
    <row r="410" spans="1:21" ht="18" x14ac:dyDescent="0.3">
      <c r="A410" s="153"/>
      <c r="B410" s="20"/>
      <c r="C410" s="154"/>
      <c r="D410" s="155"/>
      <c r="E410" s="155"/>
      <c r="F410" s="75"/>
      <c r="G410" s="76"/>
      <c r="H410" s="76"/>
      <c r="I410" s="156"/>
      <c r="J410" s="156"/>
      <c r="K410" s="156"/>
      <c r="L410" s="261" t="s">
        <v>1487</v>
      </c>
      <c r="M410" s="199" t="s">
        <v>1567</v>
      </c>
      <c r="N410" s="261" t="s">
        <v>34</v>
      </c>
      <c r="O410" s="262">
        <v>2</v>
      </c>
      <c r="P410" s="200">
        <v>34</v>
      </c>
      <c r="Q410" s="200">
        <v>68</v>
      </c>
      <c r="R410" s="157"/>
      <c r="T410" s="4"/>
      <c r="U410" s="128"/>
    </row>
    <row r="411" spans="1:21" ht="18" x14ac:dyDescent="0.3">
      <c r="A411" s="153"/>
      <c r="B411" s="20"/>
      <c r="C411" s="154"/>
      <c r="D411" s="155"/>
      <c r="E411" s="155"/>
      <c r="F411" s="75"/>
      <c r="G411" s="76"/>
      <c r="H411" s="76"/>
      <c r="I411" s="156"/>
      <c r="J411" s="156"/>
      <c r="K411" s="156"/>
      <c r="L411" s="261" t="s">
        <v>1489</v>
      </c>
      <c r="M411" s="199" t="s">
        <v>1569</v>
      </c>
      <c r="N411" s="261" t="s">
        <v>34</v>
      </c>
      <c r="O411" s="262">
        <v>1</v>
      </c>
      <c r="P411" s="200">
        <v>71</v>
      </c>
      <c r="Q411" s="200">
        <v>71</v>
      </c>
      <c r="R411" s="157"/>
      <c r="T411" s="4"/>
      <c r="U411" s="128"/>
    </row>
    <row r="412" spans="1:21" ht="18" x14ac:dyDescent="0.3">
      <c r="A412" s="153"/>
      <c r="B412" s="20"/>
      <c r="C412" s="154"/>
      <c r="D412" s="155"/>
      <c r="E412" s="155"/>
      <c r="F412" s="75"/>
      <c r="G412" s="76"/>
      <c r="H412" s="76"/>
      <c r="I412" s="156"/>
      <c r="J412" s="156"/>
      <c r="K412" s="156"/>
      <c r="L412" s="261" t="s">
        <v>1490</v>
      </c>
      <c r="M412" s="199" t="s">
        <v>1570</v>
      </c>
      <c r="N412" s="261" t="s">
        <v>34</v>
      </c>
      <c r="O412" s="262">
        <v>3</v>
      </c>
      <c r="P412" s="200">
        <v>216.66</v>
      </c>
      <c r="Q412" s="200">
        <v>649.98</v>
      </c>
      <c r="R412" s="157"/>
      <c r="T412" s="4"/>
      <c r="U412" s="128"/>
    </row>
    <row r="413" spans="1:21" ht="18" x14ac:dyDescent="0.3">
      <c r="A413" s="153"/>
      <c r="B413" s="20"/>
      <c r="C413" s="154"/>
      <c r="D413" s="155"/>
      <c r="E413" s="155"/>
      <c r="F413" s="75"/>
      <c r="G413" s="76"/>
      <c r="H413" s="76"/>
      <c r="I413" s="156"/>
      <c r="J413" s="156"/>
      <c r="K413" s="156"/>
      <c r="L413" s="261" t="s">
        <v>1491</v>
      </c>
      <c r="M413" s="199" t="s">
        <v>1571</v>
      </c>
      <c r="N413" s="261" t="s">
        <v>34</v>
      </c>
      <c r="O413" s="262">
        <v>1</v>
      </c>
      <c r="P413" s="200">
        <v>3.67</v>
      </c>
      <c r="Q413" s="200">
        <v>3.67</v>
      </c>
      <c r="R413" s="157"/>
      <c r="T413" s="4"/>
      <c r="U413" s="128"/>
    </row>
    <row r="414" spans="1:21" ht="18" x14ac:dyDescent="0.3">
      <c r="A414" s="153"/>
      <c r="B414" s="20"/>
      <c r="C414" s="154"/>
      <c r="D414" s="155"/>
      <c r="E414" s="155"/>
      <c r="F414" s="75"/>
      <c r="G414" s="76"/>
      <c r="H414" s="76"/>
      <c r="I414" s="156"/>
      <c r="J414" s="156"/>
      <c r="K414" s="156"/>
      <c r="L414" s="261" t="s">
        <v>1715</v>
      </c>
      <c r="M414" s="199" t="s">
        <v>1736</v>
      </c>
      <c r="N414" s="261" t="s">
        <v>37</v>
      </c>
      <c r="O414" s="262">
        <v>1</v>
      </c>
      <c r="P414" s="200">
        <v>20.5</v>
      </c>
      <c r="Q414" s="200">
        <v>20.5</v>
      </c>
      <c r="R414" s="157"/>
      <c r="T414" s="4"/>
      <c r="U414" s="128"/>
    </row>
    <row r="415" spans="1:21" ht="18" x14ac:dyDescent="0.3">
      <c r="A415" s="153"/>
      <c r="B415" s="20"/>
      <c r="C415" s="154"/>
      <c r="D415" s="155"/>
      <c r="E415" s="155"/>
      <c r="F415" s="75"/>
      <c r="G415" s="76"/>
      <c r="H415" s="76"/>
      <c r="I415" s="156"/>
      <c r="J415" s="156"/>
      <c r="K415" s="156"/>
      <c r="L415" s="261" t="s">
        <v>1754</v>
      </c>
      <c r="M415" s="199" t="s">
        <v>1774</v>
      </c>
      <c r="N415" s="261" t="s">
        <v>34</v>
      </c>
      <c r="O415" s="262">
        <v>1</v>
      </c>
      <c r="P415" s="200">
        <v>77.5</v>
      </c>
      <c r="Q415" s="200">
        <v>77.5</v>
      </c>
      <c r="R415" s="157"/>
      <c r="T415" s="4"/>
      <c r="U415" s="128"/>
    </row>
    <row r="416" spans="1:21" ht="18" x14ac:dyDescent="0.3">
      <c r="A416" s="153"/>
      <c r="B416" s="20"/>
      <c r="C416" s="154"/>
      <c r="D416" s="155"/>
      <c r="E416" s="155"/>
      <c r="F416" s="75"/>
      <c r="G416" s="76"/>
      <c r="H416" s="76"/>
      <c r="I416" s="156"/>
      <c r="J416" s="156"/>
      <c r="K416" s="156"/>
      <c r="L416" s="261" t="s">
        <v>1629</v>
      </c>
      <c r="M416" s="199" t="s">
        <v>1655</v>
      </c>
      <c r="N416" s="261" t="s">
        <v>34</v>
      </c>
      <c r="O416" s="262">
        <v>1</v>
      </c>
      <c r="P416" s="200">
        <v>180</v>
      </c>
      <c r="Q416" s="200">
        <v>180</v>
      </c>
      <c r="R416" s="157"/>
      <c r="T416" s="4"/>
      <c r="U416" s="128"/>
    </row>
    <row r="417" spans="1:21" ht="18" x14ac:dyDescent="0.3">
      <c r="A417" s="153"/>
      <c r="B417" s="20"/>
      <c r="C417" s="154"/>
      <c r="D417" s="155"/>
      <c r="E417" s="155"/>
      <c r="F417" s="75"/>
      <c r="G417" s="76"/>
      <c r="H417" s="76"/>
      <c r="I417" s="156"/>
      <c r="J417" s="156"/>
      <c r="K417" s="156"/>
      <c r="L417" s="261" t="s">
        <v>1492</v>
      </c>
      <c r="M417" s="199" t="s">
        <v>1572</v>
      </c>
      <c r="N417" s="261" t="s">
        <v>34</v>
      </c>
      <c r="O417" s="262">
        <v>1</v>
      </c>
      <c r="P417" s="200">
        <v>89</v>
      </c>
      <c r="Q417" s="200">
        <v>89</v>
      </c>
      <c r="R417" s="157"/>
      <c r="T417" s="4"/>
      <c r="U417" s="128"/>
    </row>
    <row r="418" spans="1:21" ht="18" x14ac:dyDescent="0.3">
      <c r="A418" s="153"/>
      <c r="B418" s="20"/>
      <c r="C418" s="154"/>
      <c r="D418" s="155"/>
      <c r="E418" s="155"/>
      <c r="F418" s="75"/>
      <c r="G418" s="76"/>
      <c r="H418" s="76"/>
      <c r="I418" s="156"/>
      <c r="J418" s="156"/>
      <c r="K418" s="156"/>
      <c r="L418" s="261" t="s">
        <v>1676</v>
      </c>
      <c r="M418" s="199" t="s">
        <v>1694</v>
      </c>
      <c r="N418" s="261" t="s">
        <v>64</v>
      </c>
      <c r="O418" s="262">
        <v>1</v>
      </c>
      <c r="P418" s="200">
        <v>194.17</v>
      </c>
      <c r="Q418" s="200">
        <v>194.17</v>
      </c>
      <c r="R418" s="157"/>
      <c r="T418" s="4"/>
      <c r="U418" s="128"/>
    </row>
    <row r="419" spans="1:21" ht="18" x14ac:dyDescent="0.3">
      <c r="A419" s="153"/>
      <c r="B419" s="20"/>
      <c r="C419" s="154"/>
      <c r="D419" s="155"/>
      <c r="E419" s="155"/>
      <c r="F419" s="75"/>
      <c r="G419" s="76"/>
      <c r="H419" s="76"/>
      <c r="I419" s="156"/>
      <c r="J419" s="156"/>
      <c r="K419" s="156"/>
      <c r="L419" s="261" t="s">
        <v>1493</v>
      </c>
      <c r="M419" s="199" t="s">
        <v>1573</v>
      </c>
      <c r="N419" s="261" t="s">
        <v>34</v>
      </c>
      <c r="O419" s="262">
        <v>1</v>
      </c>
      <c r="P419" s="200">
        <v>97.5</v>
      </c>
      <c r="Q419" s="200">
        <v>97.5</v>
      </c>
      <c r="R419" s="157"/>
      <c r="T419" s="4"/>
      <c r="U419" s="128"/>
    </row>
    <row r="420" spans="1:21" ht="18" x14ac:dyDescent="0.3">
      <c r="A420" s="153"/>
      <c r="B420" s="20"/>
      <c r="C420" s="154"/>
      <c r="D420" s="155"/>
      <c r="E420" s="155"/>
      <c r="F420" s="75"/>
      <c r="G420" s="76"/>
      <c r="H420" s="76"/>
      <c r="I420" s="156"/>
      <c r="J420" s="156"/>
      <c r="K420" s="156"/>
      <c r="L420" s="261" t="s">
        <v>1495</v>
      </c>
      <c r="M420" s="199" t="s">
        <v>1575</v>
      </c>
      <c r="N420" s="261" t="s">
        <v>34</v>
      </c>
      <c r="O420" s="262">
        <v>1</v>
      </c>
      <c r="P420" s="200">
        <v>54.17</v>
      </c>
      <c r="Q420" s="200">
        <v>54.17</v>
      </c>
      <c r="R420" s="157"/>
      <c r="T420" s="4"/>
      <c r="U420" s="128"/>
    </row>
    <row r="421" spans="1:21" ht="18" x14ac:dyDescent="0.3">
      <c r="A421" s="153"/>
      <c r="B421" s="20"/>
      <c r="C421" s="154"/>
      <c r="D421" s="155"/>
      <c r="E421" s="155"/>
      <c r="F421" s="75"/>
      <c r="G421" s="76"/>
      <c r="H421" s="76"/>
      <c r="I421" s="156"/>
      <c r="J421" s="156"/>
      <c r="K421" s="156"/>
      <c r="L421" s="261" t="s">
        <v>1717</v>
      </c>
      <c r="M421" s="199" t="s">
        <v>1738</v>
      </c>
      <c r="N421" s="261" t="s">
        <v>34</v>
      </c>
      <c r="O421" s="262">
        <v>1</v>
      </c>
      <c r="P421" s="200">
        <v>136.66999999999999</v>
      </c>
      <c r="Q421" s="200">
        <v>136.66999999999999</v>
      </c>
      <c r="R421" s="157"/>
      <c r="T421" s="4"/>
      <c r="U421" s="128"/>
    </row>
    <row r="422" spans="1:21" ht="18" x14ac:dyDescent="0.3">
      <c r="A422" s="153"/>
      <c r="B422" s="20"/>
      <c r="C422" s="154"/>
      <c r="D422" s="155"/>
      <c r="E422" s="155"/>
      <c r="F422" s="75"/>
      <c r="G422" s="76"/>
      <c r="H422" s="76"/>
      <c r="I422" s="156"/>
      <c r="J422" s="156"/>
      <c r="K422" s="156"/>
      <c r="L422" s="261" t="s">
        <v>1718</v>
      </c>
      <c r="M422" s="199" t="s">
        <v>1739</v>
      </c>
      <c r="N422" s="261" t="s">
        <v>34</v>
      </c>
      <c r="O422" s="262">
        <v>1</v>
      </c>
      <c r="P422" s="200">
        <v>91</v>
      </c>
      <c r="Q422" s="200">
        <v>91</v>
      </c>
      <c r="R422" s="157"/>
      <c r="T422" s="4"/>
      <c r="U422" s="128"/>
    </row>
    <row r="423" spans="1:21" ht="18" x14ac:dyDescent="0.3">
      <c r="A423" s="153"/>
      <c r="B423" s="20"/>
      <c r="C423" s="154"/>
      <c r="D423" s="155"/>
      <c r="E423" s="155"/>
      <c r="F423" s="75"/>
      <c r="G423" s="76"/>
      <c r="H423" s="76"/>
      <c r="I423" s="156"/>
      <c r="J423" s="156"/>
      <c r="K423" s="156"/>
      <c r="L423" s="261" t="s">
        <v>1755</v>
      </c>
      <c r="M423" s="199" t="s">
        <v>1775</v>
      </c>
      <c r="N423" s="261" t="s">
        <v>34</v>
      </c>
      <c r="O423" s="262">
        <v>1</v>
      </c>
      <c r="P423" s="200">
        <v>157.5</v>
      </c>
      <c r="Q423" s="200">
        <v>157.5</v>
      </c>
      <c r="R423" s="157"/>
      <c r="T423" s="4"/>
      <c r="U423" s="128"/>
    </row>
    <row r="424" spans="1:21" ht="18" x14ac:dyDescent="0.3">
      <c r="A424" s="153"/>
      <c r="B424" s="20"/>
      <c r="C424" s="154"/>
      <c r="D424" s="155"/>
      <c r="E424" s="155"/>
      <c r="F424" s="75"/>
      <c r="G424" s="76"/>
      <c r="H424" s="76"/>
      <c r="I424" s="156"/>
      <c r="J424" s="156"/>
      <c r="K424" s="156"/>
      <c r="L424" s="261" t="s">
        <v>1498</v>
      </c>
      <c r="M424" s="199" t="s">
        <v>1578</v>
      </c>
      <c r="N424" s="261" t="s">
        <v>34</v>
      </c>
      <c r="O424" s="262">
        <v>5</v>
      </c>
      <c r="P424" s="200">
        <v>315.49</v>
      </c>
      <c r="Q424" s="201">
        <v>1577.44</v>
      </c>
      <c r="R424" s="157"/>
      <c r="T424" s="4"/>
      <c r="U424" s="128"/>
    </row>
    <row r="425" spans="1:21" ht="18" x14ac:dyDescent="0.3">
      <c r="A425" s="153"/>
      <c r="B425" s="20"/>
      <c r="C425" s="154"/>
      <c r="D425" s="155"/>
      <c r="E425" s="155"/>
      <c r="F425" s="75"/>
      <c r="G425" s="76"/>
      <c r="H425" s="76"/>
      <c r="I425" s="156"/>
      <c r="J425" s="156"/>
      <c r="K425" s="156"/>
      <c r="L425" s="261" t="s">
        <v>1501</v>
      </c>
      <c r="M425" s="199" t="s">
        <v>1581</v>
      </c>
      <c r="N425" s="261" t="s">
        <v>64</v>
      </c>
      <c r="O425" s="262">
        <v>2</v>
      </c>
      <c r="P425" s="200">
        <v>51</v>
      </c>
      <c r="Q425" s="200">
        <v>102</v>
      </c>
      <c r="R425" s="157"/>
      <c r="T425" s="4"/>
      <c r="U425" s="128"/>
    </row>
    <row r="426" spans="1:21" ht="18" x14ac:dyDescent="0.3">
      <c r="A426" s="153"/>
      <c r="B426" s="20"/>
      <c r="C426" s="154"/>
      <c r="D426" s="155"/>
      <c r="E426" s="155"/>
      <c r="F426" s="75"/>
      <c r="G426" s="76"/>
      <c r="H426" s="76"/>
      <c r="I426" s="156"/>
      <c r="J426" s="156"/>
      <c r="K426" s="156"/>
      <c r="L426" s="261" t="s">
        <v>1633</v>
      </c>
      <c r="M426" s="199" t="s">
        <v>1659</v>
      </c>
      <c r="N426" s="261" t="s">
        <v>64</v>
      </c>
      <c r="O426" s="262">
        <v>1</v>
      </c>
      <c r="P426" s="200">
        <v>51</v>
      </c>
      <c r="Q426" s="200">
        <v>51</v>
      </c>
      <c r="R426" s="157"/>
      <c r="T426" s="4"/>
      <c r="U426" s="128"/>
    </row>
    <row r="427" spans="1:21" ht="18" x14ac:dyDescent="0.3">
      <c r="A427" s="153"/>
      <c r="B427" s="20"/>
      <c r="C427" s="154"/>
      <c r="D427" s="155"/>
      <c r="E427" s="155"/>
      <c r="F427" s="75"/>
      <c r="G427" s="76"/>
      <c r="H427" s="76"/>
      <c r="I427" s="156"/>
      <c r="J427" s="156"/>
      <c r="K427" s="156"/>
      <c r="L427" s="261" t="s">
        <v>1503</v>
      </c>
      <c r="M427" s="199" t="s">
        <v>1583</v>
      </c>
      <c r="N427" s="261" t="s">
        <v>35</v>
      </c>
      <c r="O427" s="262">
        <v>2</v>
      </c>
      <c r="P427" s="200">
        <v>65</v>
      </c>
      <c r="Q427" s="200">
        <v>130</v>
      </c>
      <c r="R427" s="157"/>
      <c r="T427" s="4"/>
      <c r="U427" s="128"/>
    </row>
    <row r="428" spans="1:21" ht="18" x14ac:dyDescent="0.3">
      <c r="A428" s="153"/>
      <c r="B428" s="20"/>
      <c r="C428" s="154"/>
      <c r="D428" s="155"/>
      <c r="E428" s="155"/>
      <c r="F428" s="75"/>
      <c r="G428" s="76"/>
      <c r="H428" s="76"/>
      <c r="I428" s="156"/>
      <c r="J428" s="156"/>
      <c r="K428" s="156"/>
      <c r="L428" s="261" t="s">
        <v>629</v>
      </c>
      <c r="M428" s="199" t="s">
        <v>138</v>
      </c>
      <c r="N428" s="261" t="s">
        <v>34</v>
      </c>
      <c r="O428" s="262">
        <v>1</v>
      </c>
      <c r="P428" s="200">
        <v>118</v>
      </c>
      <c r="Q428" s="200">
        <v>118</v>
      </c>
      <c r="R428" s="157"/>
      <c r="T428" s="4"/>
      <c r="U428" s="128"/>
    </row>
    <row r="429" spans="1:21" ht="18" x14ac:dyDescent="0.3">
      <c r="A429" s="153"/>
      <c r="B429" s="20"/>
      <c r="C429" s="154"/>
      <c r="D429" s="155"/>
      <c r="E429" s="155"/>
      <c r="F429" s="75"/>
      <c r="G429" s="76"/>
      <c r="H429" s="76"/>
      <c r="I429" s="156"/>
      <c r="J429" s="156"/>
      <c r="K429" s="156"/>
      <c r="L429" s="261" t="s">
        <v>1756</v>
      </c>
      <c r="M429" s="199" t="s">
        <v>1776</v>
      </c>
      <c r="N429" s="261" t="s">
        <v>34</v>
      </c>
      <c r="O429" s="262">
        <v>1</v>
      </c>
      <c r="P429" s="200">
        <v>37</v>
      </c>
      <c r="Q429" s="200">
        <v>37</v>
      </c>
      <c r="R429" s="157"/>
      <c r="T429" s="4"/>
      <c r="U429" s="128"/>
    </row>
    <row r="430" spans="1:21" ht="18" x14ac:dyDescent="0.3">
      <c r="A430" s="153"/>
      <c r="B430" s="20"/>
      <c r="C430" s="154"/>
      <c r="D430" s="155"/>
      <c r="E430" s="155"/>
      <c r="F430" s="75"/>
      <c r="G430" s="76"/>
      <c r="H430" s="76"/>
      <c r="I430" s="156"/>
      <c r="J430" s="156"/>
      <c r="K430" s="156"/>
      <c r="L430" s="261" t="s">
        <v>1506</v>
      </c>
      <c r="M430" s="199" t="s">
        <v>1586</v>
      </c>
      <c r="N430" s="261" t="s">
        <v>64</v>
      </c>
      <c r="O430" s="262">
        <v>0.14000000000000001</v>
      </c>
      <c r="P430" s="201">
        <v>4165.79</v>
      </c>
      <c r="Q430" s="200">
        <v>583.21</v>
      </c>
      <c r="R430" s="157"/>
      <c r="T430" s="4"/>
      <c r="U430" s="128"/>
    </row>
    <row r="431" spans="1:21" ht="18" x14ac:dyDescent="0.3">
      <c r="A431" s="153"/>
      <c r="B431" s="20"/>
      <c r="C431" s="154"/>
      <c r="D431" s="155"/>
      <c r="E431" s="155"/>
      <c r="F431" s="75"/>
      <c r="G431" s="76"/>
      <c r="H431" s="76"/>
      <c r="I431" s="156"/>
      <c r="J431" s="156"/>
      <c r="K431" s="156"/>
      <c r="L431" s="261" t="s">
        <v>1757</v>
      </c>
      <c r="M431" s="199" t="s">
        <v>1777</v>
      </c>
      <c r="N431" s="261" t="s">
        <v>64</v>
      </c>
      <c r="O431" s="262">
        <v>1</v>
      </c>
      <c r="P431" s="200">
        <v>16.5</v>
      </c>
      <c r="Q431" s="200">
        <v>16.5</v>
      </c>
      <c r="R431" s="157"/>
      <c r="T431" s="4"/>
      <c r="U431" s="128"/>
    </row>
    <row r="432" spans="1:21" ht="18" x14ac:dyDescent="0.3">
      <c r="A432" s="153"/>
      <c r="B432" s="20"/>
      <c r="C432" s="154"/>
      <c r="D432" s="155"/>
      <c r="E432" s="155"/>
      <c r="F432" s="75"/>
      <c r="G432" s="76"/>
      <c r="H432" s="76"/>
      <c r="I432" s="156"/>
      <c r="J432" s="156"/>
      <c r="K432" s="156"/>
      <c r="L432" s="261" t="s">
        <v>546</v>
      </c>
      <c r="M432" s="199" t="s">
        <v>253</v>
      </c>
      <c r="N432" s="261" t="s">
        <v>34</v>
      </c>
      <c r="O432" s="262">
        <v>1</v>
      </c>
      <c r="P432" s="200">
        <v>78</v>
      </c>
      <c r="Q432" s="200">
        <v>78</v>
      </c>
      <c r="R432" s="157"/>
      <c r="T432" s="4"/>
      <c r="U432" s="128"/>
    </row>
    <row r="433" spans="1:21" ht="18" x14ac:dyDescent="0.3">
      <c r="A433" s="153"/>
      <c r="B433" s="20"/>
      <c r="C433" s="154"/>
      <c r="D433" s="155"/>
      <c r="E433" s="155"/>
      <c r="F433" s="75"/>
      <c r="G433" s="76"/>
      <c r="H433" s="76"/>
      <c r="I433" s="156"/>
      <c r="J433" s="156"/>
      <c r="K433" s="156"/>
      <c r="L433" s="261" t="s">
        <v>1420</v>
      </c>
      <c r="M433" s="199" t="s">
        <v>1443</v>
      </c>
      <c r="N433" s="261" t="s">
        <v>34</v>
      </c>
      <c r="O433" s="262">
        <v>6</v>
      </c>
      <c r="P433" s="200">
        <v>89.44</v>
      </c>
      <c r="Q433" s="200">
        <v>536.66</v>
      </c>
      <c r="R433" s="157"/>
      <c r="T433" s="4"/>
      <c r="U433" s="128"/>
    </row>
    <row r="434" spans="1:21" ht="18" x14ac:dyDescent="0.3">
      <c r="A434" s="153"/>
      <c r="B434" s="20"/>
      <c r="C434" s="154"/>
      <c r="D434" s="155"/>
      <c r="E434" s="155"/>
      <c r="F434" s="75"/>
      <c r="G434" s="76"/>
      <c r="H434" s="76"/>
      <c r="I434" s="156"/>
      <c r="J434" s="156"/>
      <c r="K434" s="156"/>
      <c r="L434" s="261" t="s">
        <v>1507</v>
      </c>
      <c r="M434" s="199" t="s">
        <v>1587</v>
      </c>
      <c r="N434" s="261" t="s">
        <v>34</v>
      </c>
      <c r="O434" s="262">
        <v>1</v>
      </c>
      <c r="P434" s="200">
        <v>25</v>
      </c>
      <c r="Q434" s="200">
        <v>25</v>
      </c>
      <c r="R434" s="157"/>
      <c r="T434" s="4"/>
      <c r="U434" s="128"/>
    </row>
    <row r="435" spans="1:21" ht="18" x14ac:dyDescent="0.3">
      <c r="A435" s="153"/>
      <c r="B435" s="20"/>
      <c r="C435" s="154"/>
      <c r="D435" s="155"/>
      <c r="E435" s="155"/>
      <c r="F435" s="75"/>
      <c r="G435" s="76"/>
      <c r="H435" s="76"/>
      <c r="I435" s="156"/>
      <c r="J435" s="156"/>
      <c r="K435" s="156"/>
      <c r="L435" s="261" t="s">
        <v>646</v>
      </c>
      <c r="M435" s="199" t="s">
        <v>647</v>
      </c>
      <c r="N435" s="261" t="s">
        <v>34</v>
      </c>
      <c r="O435" s="262">
        <v>2</v>
      </c>
      <c r="P435" s="200">
        <v>333.5</v>
      </c>
      <c r="Q435" s="200">
        <v>667</v>
      </c>
      <c r="R435" s="157"/>
      <c r="T435" s="4"/>
      <c r="U435" s="128"/>
    </row>
    <row r="436" spans="1:21" ht="18" x14ac:dyDescent="0.3">
      <c r="A436" s="153"/>
      <c r="B436" s="20"/>
      <c r="C436" s="154"/>
      <c r="D436" s="155"/>
      <c r="E436" s="155"/>
      <c r="F436" s="75"/>
      <c r="G436" s="76"/>
      <c r="H436" s="76"/>
      <c r="I436" s="156"/>
      <c r="J436" s="156"/>
      <c r="K436" s="156"/>
      <c r="L436" s="261" t="s">
        <v>660</v>
      </c>
      <c r="M436" s="199" t="s">
        <v>1588</v>
      </c>
      <c r="N436" s="261" t="s">
        <v>147</v>
      </c>
      <c r="O436" s="262">
        <v>41</v>
      </c>
      <c r="P436" s="200">
        <v>31</v>
      </c>
      <c r="Q436" s="201">
        <v>1271</v>
      </c>
      <c r="R436" s="157"/>
      <c r="T436" s="4"/>
      <c r="U436" s="128"/>
    </row>
    <row r="437" spans="1:21" ht="18" x14ac:dyDescent="0.3">
      <c r="A437" s="153"/>
      <c r="B437" s="20"/>
      <c r="C437" s="154"/>
      <c r="D437" s="155"/>
      <c r="E437" s="155"/>
      <c r="F437" s="75"/>
      <c r="G437" s="76"/>
      <c r="H437" s="76"/>
      <c r="I437" s="156"/>
      <c r="J437" s="156"/>
      <c r="K437" s="156"/>
      <c r="L437" s="261" t="s">
        <v>538</v>
      </c>
      <c r="M437" s="199" t="s">
        <v>117</v>
      </c>
      <c r="N437" s="261" t="s">
        <v>34</v>
      </c>
      <c r="O437" s="262">
        <v>4</v>
      </c>
      <c r="P437" s="200">
        <v>234.25</v>
      </c>
      <c r="Q437" s="200">
        <v>937</v>
      </c>
      <c r="R437" s="157"/>
      <c r="T437" s="4"/>
      <c r="U437" s="128"/>
    </row>
    <row r="438" spans="1:21" ht="18" x14ac:dyDescent="0.3">
      <c r="A438" s="153"/>
      <c r="B438" s="20"/>
      <c r="C438" s="154"/>
      <c r="D438" s="155"/>
      <c r="E438" s="155"/>
      <c r="F438" s="75"/>
      <c r="G438" s="76"/>
      <c r="H438" s="76"/>
      <c r="I438" s="156"/>
      <c r="J438" s="156"/>
      <c r="K438" s="156"/>
      <c r="L438" s="261" t="s">
        <v>1725</v>
      </c>
      <c r="M438" s="199" t="s">
        <v>1746</v>
      </c>
      <c r="N438" s="261" t="s">
        <v>34</v>
      </c>
      <c r="O438" s="262">
        <v>1</v>
      </c>
      <c r="P438" s="200">
        <v>80</v>
      </c>
      <c r="Q438" s="200">
        <v>80</v>
      </c>
      <c r="R438" s="157"/>
      <c r="T438" s="4"/>
      <c r="U438" s="128"/>
    </row>
    <row r="439" spans="1:21" ht="18" x14ac:dyDescent="0.3">
      <c r="A439" s="153"/>
      <c r="B439" s="20"/>
      <c r="C439" s="154"/>
      <c r="D439" s="155"/>
      <c r="E439" s="155"/>
      <c r="F439" s="75"/>
      <c r="G439" s="76"/>
      <c r="H439" s="76"/>
      <c r="I439" s="156"/>
      <c r="J439" s="156"/>
      <c r="K439" s="156"/>
      <c r="L439" s="261" t="s">
        <v>1758</v>
      </c>
      <c r="M439" s="199" t="s">
        <v>1778</v>
      </c>
      <c r="N439" s="261" t="s">
        <v>34</v>
      </c>
      <c r="O439" s="262">
        <v>1</v>
      </c>
      <c r="P439" s="200">
        <v>239</v>
      </c>
      <c r="Q439" s="200">
        <v>239</v>
      </c>
      <c r="R439" s="157"/>
      <c r="T439" s="4"/>
      <c r="U439" s="128"/>
    </row>
    <row r="440" spans="1:21" ht="18" x14ac:dyDescent="0.3">
      <c r="A440" s="153"/>
      <c r="B440" s="20"/>
      <c r="C440" s="154"/>
      <c r="D440" s="155"/>
      <c r="E440" s="155"/>
      <c r="F440" s="75"/>
      <c r="G440" s="76"/>
      <c r="H440" s="76"/>
      <c r="I440" s="156"/>
      <c r="J440" s="156"/>
      <c r="K440" s="156"/>
      <c r="L440" s="261" t="s">
        <v>1509</v>
      </c>
      <c r="M440" s="199" t="s">
        <v>1590</v>
      </c>
      <c r="N440" s="261" t="s">
        <v>147</v>
      </c>
      <c r="O440" s="262">
        <v>5</v>
      </c>
      <c r="P440" s="200">
        <v>137</v>
      </c>
      <c r="Q440" s="200">
        <v>685</v>
      </c>
      <c r="R440" s="157"/>
      <c r="T440" s="4"/>
      <c r="U440" s="128"/>
    </row>
    <row r="441" spans="1:21" ht="18" x14ac:dyDescent="0.3">
      <c r="A441" s="153"/>
      <c r="B441" s="20"/>
      <c r="C441" s="154"/>
      <c r="D441" s="155"/>
      <c r="E441" s="155"/>
      <c r="F441" s="75"/>
      <c r="G441" s="76"/>
      <c r="H441" s="76"/>
      <c r="I441" s="156"/>
      <c r="J441" s="156"/>
      <c r="K441" s="156"/>
      <c r="L441" s="261" t="s">
        <v>1510</v>
      </c>
      <c r="M441" s="199" t="s">
        <v>1591</v>
      </c>
      <c r="N441" s="261" t="s">
        <v>34</v>
      </c>
      <c r="O441" s="262">
        <v>2</v>
      </c>
      <c r="P441" s="200">
        <v>156.66999999999999</v>
      </c>
      <c r="Q441" s="200">
        <v>313.33999999999997</v>
      </c>
      <c r="R441" s="157"/>
      <c r="T441" s="4"/>
      <c r="U441" s="128"/>
    </row>
    <row r="442" spans="1:21" ht="18" x14ac:dyDescent="0.3">
      <c r="A442" s="153"/>
      <c r="B442" s="20"/>
      <c r="C442" s="154"/>
      <c r="D442" s="155"/>
      <c r="E442" s="155"/>
      <c r="F442" s="75"/>
      <c r="G442" s="76"/>
      <c r="H442" s="76"/>
      <c r="I442" s="156"/>
      <c r="J442" s="156"/>
      <c r="K442" s="156"/>
      <c r="L442" s="261" t="s">
        <v>630</v>
      </c>
      <c r="M442" s="199" t="s">
        <v>631</v>
      </c>
      <c r="N442" s="261" t="s">
        <v>34</v>
      </c>
      <c r="O442" s="262">
        <v>1</v>
      </c>
      <c r="P442" s="200">
        <v>57</v>
      </c>
      <c r="Q442" s="200">
        <v>57</v>
      </c>
      <c r="R442" s="157"/>
      <c r="T442" s="4"/>
      <c r="U442" s="128"/>
    </row>
    <row r="443" spans="1:21" ht="18" x14ac:dyDescent="0.3">
      <c r="A443" s="153"/>
      <c r="B443" s="20"/>
      <c r="C443" s="154"/>
      <c r="D443" s="155"/>
      <c r="E443" s="155"/>
      <c r="F443" s="75"/>
      <c r="G443" s="76"/>
      <c r="H443" s="76"/>
      <c r="I443" s="156"/>
      <c r="J443" s="156"/>
      <c r="K443" s="156"/>
      <c r="L443" s="261" t="s">
        <v>1511</v>
      </c>
      <c r="M443" s="199" t="s">
        <v>1592</v>
      </c>
      <c r="N443" s="261" t="s">
        <v>34</v>
      </c>
      <c r="O443" s="262">
        <v>9</v>
      </c>
      <c r="P443" s="200">
        <v>4.6500000000000004</v>
      </c>
      <c r="Q443" s="200">
        <v>41.85</v>
      </c>
      <c r="R443" s="157"/>
      <c r="T443" s="4"/>
      <c r="U443" s="128"/>
    </row>
    <row r="444" spans="1:21" ht="18" x14ac:dyDescent="0.3">
      <c r="A444" s="153"/>
      <c r="B444" s="20"/>
      <c r="C444" s="154"/>
      <c r="D444" s="155"/>
      <c r="E444" s="155"/>
      <c r="F444" s="75"/>
      <c r="G444" s="76"/>
      <c r="H444" s="76"/>
      <c r="I444" s="156"/>
      <c r="J444" s="156"/>
      <c r="K444" s="156"/>
      <c r="L444" s="261" t="s">
        <v>1512</v>
      </c>
      <c r="M444" s="199" t="s">
        <v>1593</v>
      </c>
      <c r="N444" s="261" t="s">
        <v>34</v>
      </c>
      <c r="O444" s="262">
        <v>1</v>
      </c>
      <c r="P444" s="200">
        <v>7.5</v>
      </c>
      <c r="Q444" s="200">
        <v>7.5</v>
      </c>
      <c r="R444" s="157"/>
      <c r="T444" s="4"/>
      <c r="U444" s="128"/>
    </row>
    <row r="445" spans="1:21" ht="18" x14ac:dyDescent="0.3">
      <c r="A445" s="153"/>
      <c r="B445" s="20"/>
      <c r="C445" s="154"/>
      <c r="D445" s="155"/>
      <c r="E445" s="155"/>
      <c r="F445" s="75"/>
      <c r="G445" s="76"/>
      <c r="H445" s="76"/>
      <c r="I445" s="156"/>
      <c r="J445" s="156"/>
      <c r="K445" s="156"/>
      <c r="L445" s="261" t="s">
        <v>1759</v>
      </c>
      <c r="M445" s="199" t="s">
        <v>1779</v>
      </c>
      <c r="N445" s="261" t="s">
        <v>34</v>
      </c>
      <c r="O445" s="262">
        <v>1</v>
      </c>
      <c r="P445" s="200">
        <v>394.6</v>
      </c>
      <c r="Q445" s="200">
        <v>394.6</v>
      </c>
      <c r="R445" s="157"/>
      <c r="T445" s="4"/>
      <c r="U445" s="128"/>
    </row>
    <row r="446" spans="1:21" ht="18" x14ac:dyDescent="0.3">
      <c r="A446" s="153"/>
      <c r="B446" s="20"/>
      <c r="C446" s="154"/>
      <c r="D446" s="155"/>
      <c r="E446" s="155"/>
      <c r="F446" s="75"/>
      <c r="G446" s="76"/>
      <c r="H446" s="76"/>
      <c r="I446" s="156"/>
      <c r="J446" s="156"/>
      <c r="K446" s="156"/>
      <c r="L446" s="261" t="s">
        <v>1514</v>
      </c>
      <c r="M446" s="199" t="s">
        <v>1595</v>
      </c>
      <c r="N446" s="261" t="s">
        <v>34</v>
      </c>
      <c r="O446" s="262">
        <v>5</v>
      </c>
      <c r="P446" s="200">
        <v>34</v>
      </c>
      <c r="Q446" s="200">
        <v>170</v>
      </c>
      <c r="R446" s="157"/>
      <c r="T446" s="4"/>
      <c r="U446" s="128"/>
    </row>
    <row r="447" spans="1:21" ht="18" x14ac:dyDescent="0.3">
      <c r="A447" s="153"/>
      <c r="B447" s="20"/>
      <c r="C447" s="154"/>
      <c r="D447" s="155"/>
      <c r="E447" s="155"/>
      <c r="F447" s="75"/>
      <c r="G447" s="76"/>
      <c r="H447" s="76"/>
      <c r="I447" s="156"/>
      <c r="J447" s="156"/>
      <c r="K447" s="156"/>
      <c r="L447" s="261" t="s">
        <v>1515</v>
      </c>
      <c r="M447" s="199" t="s">
        <v>1596</v>
      </c>
      <c r="N447" s="261" t="s">
        <v>34</v>
      </c>
      <c r="O447" s="262">
        <v>1</v>
      </c>
      <c r="P447" s="200">
        <v>121.67</v>
      </c>
      <c r="Q447" s="200">
        <v>121.67</v>
      </c>
      <c r="R447" s="157"/>
      <c r="T447" s="4"/>
      <c r="U447" s="128"/>
    </row>
    <row r="448" spans="1:21" ht="18" x14ac:dyDescent="0.3">
      <c r="A448" s="153"/>
      <c r="B448" s="20"/>
      <c r="C448" s="154"/>
      <c r="D448" s="155"/>
      <c r="E448" s="155"/>
      <c r="F448" s="75"/>
      <c r="G448" s="76"/>
      <c r="H448" s="76"/>
      <c r="I448" s="156"/>
      <c r="J448" s="156"/>
      <c r="K448" s="156"/>
      <c r="L448" s="261" t="s">
        <v>1516</v>
      </c>
      <c r="M448" s="199" t="s">
        <v>1597</v>
      </c>
      <c r="N448" s="261" t="s">
        <v>34</v>
      </c>
      <c r="O448" s="262">
        <v>2</v>
      </c>
      <c r="P448" s="200">
        <v>47.7</v>
      </c>
      <c r="Q448" s="200">
        <v>95.4</v>
      </c>
      <c r="R448" s="157"/>
      <c r="T448" s="4"/>
      <c r="U448" s="128"/>
    </row>
    <row r="449" spans="1:21" ht="18" x14ac:dyDescent="0.3">
      <c r="A449" s="153"/>
      <c r="B449" s="20"/>
      <c r="C449" s="154"/>
      <c r="D449" s="155"/>
      <c r="E449" s="155"/>
      <c r="F449" s="75"/>
      <c r="G449" s="76"/>
      <c r="H449" s="76"/>
      <c r="I449" s="156"/>
      <c r="J449" s="156"/>
      <c r="K449" s="156"/>
      <c r="L449" s="261" t="s">
        <v>709</v>
      </c>
      <c r="M449" s="199" t="s">
        <v>156</v>
      </c>
      <c r="N449" s="261" t="s">
        <v>34</v>
      </c>
      <c r="O449" s="262">
        <v>1</v>
      </c>
      <c r="P449" s="200">
        <v>225</v>
      </c>
      <c r="Q449" s="200">
        <v>225</v>
      </c>
      <c r="R449" s="157"/>
      <c r="T449" s="4"/>
      <c r="U449" s="128"/>
    </row>
    <row r="450" spans="1:21" ht="18" x14ac:dyDescent="0.3">
      <c r="A450" s="153"/>
      <c r="B450" s="20"/>
      <c r="C450" s="154"/>
      <c r="D450" s="155"/>
      <c r="E450" s="155"/>
      <c r="F450" s="75"/>
      <c r="G450" s="76"/>
      <c r="H450" s="76"/>
      <c r="I450" s="156"/>
      <c r="J450" s="156"/>
      <c r="K450" s="156"/>
      <c r="L450" s="261" t="s">
        <v>703</v>
      </c>
      <c r="M450" s="199" t="s">
        <v>704</v>
      </c>
      <c r="N450" s="261" t="s">
        <v>34</v>
      </c>
      <c r="O450" s="262">
        <v>3</v>
      </c>
      <c r="P450" s="200">
        <v>109.33</v>
      </c>
      <c r="Q450" s="200">
        <v>328</v>
      </c>
      <c r="R450" s="157"/>
      <c r="T450" s="4"/>
      <c r="U450" s="128"/>
    </row>
    <row r="451" spans="1:21" ht="18" x14ac:dyDescent="0.3">
      <c r="A451" s="153"/>
      <c r="B451" s="20"/>
      <c r="C451" s="154"/>
      <c r="D451" s="155"/>
      <c r="E451" s="155"/>
      <c r="F451" s="75"/>
      <c r="G451" s="76"/>
      <c r="H451" s="76"/>
      <c r="I451" s="156"/>
      <c r="J451" s="156"/>
      <c r="K451" s="156"/>
      <c r="L451" s="261" t="s">
        <v>1760</v>
      </c>
      <c r="M451" s="199" t="s">
        <v>1780</v>
      </c>
      <c r="N451" s="261" t="s">
        <v>34</v>
      </c>
      <c r="O451" s="262">
        <v>1</v>
      </c>
      <c r="P451" s="200">
        <v>410</v>
      </c>
      <c r="Q451" s="200">
        <v>410</v>
      </c>
      <c r="R451" s="157"/>
      <c r="T451" s="4"/>
      <c r="U451" s="128"/>
    </row>
    <row r="452" spans="1:21" ht="18" x14ac:dyDescent="0.3">
      <c r="A452" s="153"/>
      <c r="B452" s="20"/>
      <c r="C452" s="154"/>
      <c r="D452" s="155"/>
      <c r="E452" s="155"/>
      <c r="F452" s="75"/>
      <c r="G452" s="76"/>
      <c r="H452" s="76"/>
      <c r="I452" s="156"/>
      <c r="J452" s="156"/>
      <c r="K452" s="156"/>
      <c r="L452" s="261" t="s">
        <v>649</v>
      </c>
      <c r="M452" s="199" t="s">
        <v>650</v>
      </c>
      <c r="N452" s="261" t="s">
        <v>34</v>
      </c>
      <c r="O452" s="262">
        <v>3</v>
      </c>
      <c r="P452" s="200">
        <v>23</v>
      </c>
      <c r="Q452" s="200">
        <v>69</v>
      </c>
      <c r="R452" s="157"/>
      <c r="T452" s="4"/>
      <c r="U452" s="128"/>
    </row>
    <row r="453" spans="1:21" ht="18" x14ac:dyDescent="0.3">
      <c r="A453" s="153"/>
      <c r="B453" s="20"/>
      <c r="C453" s="154"/>
      <c r="D453" s="155"/>
      <c r="E453" s="155"/>
      <c r="F453" s="75"/>
      <c r="G453" s="76"/>
      <c r="H453" s="76"/>
      <c r="I453" s="156"/>
      <c r="J453" s="156"/>
      <c r="K453" s="156"/>
      <c r="L453" s="261" t="s">
        <v>1761</v>
      </c>
      <c r="M453" s="199" t="s">
        <v>1781</v>
      </c>
      <c r="N453" s="261" t="s">
        <v>34</v>
      </c>
      <c r="O453" s="262">
        <v>1</v>
      </c>
      <c r="P453" s="200">
        <v>185</v>
      </c>
      <c r="Q453" s="200">
        <v>185</v>
      </c>
      <c r="R453" s="157"/>
      <c r="T453" s="4"/>
      <c r="U453" s="128"/>
    </row>
    <row r="454" spans="1:21" ht="18" x14ac:dyDescent="0.3">
      <c r="A454" s="153"/>
      <c r="B454" s="20"/>
      <c r="C454" s="154"/>
      <c r="D454" s="155"/>
      <c r="E454" s="155"/>
      <c r="F454" s="75"/>
      <c r="G454" s="76"/>
      <c r="H454" s="76"/>
      <c r="I454" s="156"/>
      <c r="J454" s="156"/>
      <c r="K454" s="156"/>
      <c r="L454" s="261" t="s">
        <v>1520</v>
      </c>
      <c r="M454" s="199" t="s">
        <v>1601</v>
      </c>
      <c r="N454" s="261" t="s">
        <v>34</v>
      </c>
      <c r="O454" s="262">
        <v>1</v>
      </c>
      <c r="P454" s="200">
        <v>50.6</v>
      </c>
      <c r="Q454" s="200">
        <v>50.6</v>
      </c>
      <c r="R454" s="157"/>
      <c r="T454" s="4"/>
      <c r="U454" s="128"/>
    </row>
    <row r="455" spans="1:21" ht="18" x14ac:dyDescent="0.3">
      <c r="A455" s="153"/>
      <c r="B455" s="20"/>
      <c r="C455" s="154"/>
      <c r="D455" s="155"/>
      <c r="E455" s="155"/>
      <c r="F455" s="75"/>
      <c r="G455" s="76"/>
      <c r="H455" s="76"/>
      <c r="I455" s="156"/>
      <c r="J455" s="156"/>
      <c r="K455" s="156"/>
      <c r="L455" s="261" t="s">
        <v>648</v>
      </c>
      <c r="M455" s="199" t="s">
        <v>145</v>
      </c>
      <c r="N455" s="261" t="s">
        <v>37</v>
      </c>
      <c r="O455" s="262">
        <v>22</v>
      </c>
      <c r="P455" s="200">
        <v>61.25</v>
      </c>
      <c r="Q455" s="201">
        <v>1347.5</v>
      </c>
      <c r="R455" s="157"/>
      <c r="T455" s="4"/>
      <c r="U455" s="128"/>
    </row>
    <row r="456" spans="1:21" ht="18" x14ac:dyDescent="0.3">
      <c r="A456" s="153"/>
      <c r="B456" s="20"/>
      <c r="C456" s="154"/>
      <c r="D456" s="155"/>
      <c r="E456" s="155"/>
      <c r="F456" s="75"/>
      <c r="G456" s="76"/>
      <c r="H456" s="76"/>
      <c r="I456" s="156"/>
      <c r="J456" s="156"/>
      <c r="K456" s="156"/>
      <c r="L456" s="261" t="s">
        <v>1521</v>
      </c>
      <c r="M456" s="199" t="s">
        <v>1602</v>
      </c>
      <c r="N456" s="261" t="s">
        <v>34</v>
      </c>
      <c r="O456" s="262">
        <v>1</v>
      </c>
      <c r="P456" s="200">
        <v>48.5</v>
      </c>
      <c r="Q456" s="200">
        <v>48.5</v>
      </c>
      <c r="R456" s="157"/>
      <c r="T456" s="4"/>
      <c r="U456" s="128"/>
    </row>
    <row r="457" spans="1:21" ht="18" x14ac:dyDescent="0.3">
      <c r="A457" s="153"/>
      <c r="B457" s="20"/>
      <c r="C457" s="154"/>
      <c r="D457" s="155"/>
      <c r="E457" s="155"/>
      <c r="F457" s="75"/>
      <c r="G457" s="76"/>
      <c r="H457" s="76"/>
      <c r="I457" s="156"/>
      <c r="J457" s="156"/>
      <c r="K457" s="156"/>
      <c r="L457" s="261" t="s">
        <v>1762</v>
      </c>
      <c r="M457" s="199" t="s">
        <v>1782</v>
      </c>
      <c r="N457" s="261" t="s">
        <v>34</v>
      </c>
      <c r="O457" s="262">
        <v>1</v>
      </c>
      <c r="P457" s="200">
        <v>154.80000000000001</v>
      </c>
      <c r="Q457" s="200">
        <v>154.80000000000001</v>
      </c>
      <c r="R457" s="157"/>
      <c r="T457" s="4"/>
      <c r="U457" s="128"/>
    </row>
    <row r="458" spans="1:21" ht="18" x14ac:dyDescent="0.3">
      <c r="A458" s="153"/>
      <c r="B458" s="20"/>
      <c r="C458" s="154"/>
      <c r="D458" s="155"/>
      <c r="E458" s="155"/>
      <c r="F458" s="75"/>
      <c r="G458" s="76"/>
      <c r="H458" s="76"/>
      <c r="I458" s="156"/>
      <c r="J458" s="156"/>
      <c r="K458" s="156"/>
      <c r="L458" s="261" t="s">
        <v>607</v>
      </c>
      <c r="M458" s="199" t="s">
        <v>608</v>
      </c>
      <c r="N458" s="261" t="s">
        <v>34</v>
      </c>
      <c r="O458" s="262">
        <v>13</v>
      </c>
      <c r="P458" s="200">
        <v>20.38</v>
      </c>
      <c r="Q458" s="200">
        <v>264.89999999999998</v>
      </c>
      <c r="R458" s="157"/>
      <c r="T458" s="4"/>
      <c r="U458" s="128"/>
    </row>
    <row r="459" spans="1:21" ht="18" x14ac:dyDescent="0.3">
      <c r="A459" s="153"/>
      <c r="B459" s="20"/>
      <c r="C459" s="154"/>
      <c r="D459" s="155"/>
      <c r="E459" s="155"/>
      <c r="F459" s="75"/>
      <c r="G459" s="76"/>
      <c r="H459" s="76"/>
      <c r="I459" s="156"/>
      <c r="J459" s="156"/>
      <c r="K459" s="156"/>
      <c r="L459" s="261" t="s">
        <v>600</v>
      </c>
      <c r="M459" s="199" t="s">
        <v>258</v>
      </c>
      <c r="N459" s="261" t="s">
        <v>34</v>
      </c>
      <c r="O459" s="262">
        <v>3</v>
      </c>
      <c r="P459" s="200">
        <v>149.16999999999999</v>
      </c>
      <c r="Q459" s="200">
        <v>447.51</v>
      </c>
      <c r="R459" s="157"/>
      <c r="T459" s="4"/>
      <c r="U459" s="128"/>
    </row>
    <row r="460" spans="1:21" ht="18" x14ac:dyDescent="0.3">
      <c r="A460" s="153"/>
      <c r="B460" s="20"/>
      <c r="C460" s="154"/>
      <c r="D460" s="155"/>
      <c r="E460" s="155"/>
      <c r="F460" s="75"/>
      <c r="G460" s="76"/>
      <c r="H460" s="76"/>
      <c r="I460" s="156"/>
      <c r="J460" s="156"/>
      <c r="K460" s="156"/>
      <c r="L460" s="261" t="s">
        <v>1523</v>
      </c>
      <c r="M460" s="199" t="s">
        <v>1604</v>
      </c>
      <c r="N460" s="261" t="s">
        <v>34</v>
      </c>
      <c r="O460" s="262">
        <v>1</v>
      </c>
      <c r="P460" s="200">
        <v>108.33</v>
      </c>
      <c r="Q460" s="200">
        <v>108.33</v>
      </c>
      <c r="R460" s="157"/>
      <c r="T460" s="4"/>
      <c r="U460" s="128"/>
    </row>
    <row r="461" spans="1:21" ht="18" x14ac:dyDescent="0.3">
      <c r="A461" s="153"/>
      <c r="B461" s="20"/>
      <c r="C461" s="154"/>
      <c r="D461" s="155"/>
      <c r="E461" s="155"/>
      <c r="F461" s="75"/>
      <c r="G461" s="76"/>
      <c r="H461" s="76"/>
      <c r="I461" s="156"/>
      <c r="J461" s="156"/>
      <c r="K461" s="156"/>
      <c r="L461" s="261" t="s">
        <v>1763</v>
      </c>
      <c r="M461" s="199" t="s">
        <v>1783</v>
      </c>
      <c r="N461" s="261" t="s">
        <v>34</v>
      </c>
      <c r="O461" s="262">
        <v>1</v>
      </c>
      <c r="P461" s="200">
        <v>87</v>
      </c>
      <c r="Q461" s="200">
        <v>87</v>
      </c>
      <c r="R461" s="157"/>
      <c r="T461" s="4"/>
      <c r="U461" s="128"/>
    </row>
    <row r="462" spans="1:21" ht="18" x14ac:dyDescent="0.3">
      <c r="A462" s="153"/>
      <c r="B462" s="20"/>
      <c r="C462" s="154"/>
      <c r="D462" s="155"/>
      <c r="E462" s="155"/>
      <c r="F462" s="75"/>
      <c r="G462" s="76"/>
      <c r="H462" s="76"/>
      <c r="I462" s="156"/>
      <c r="J462" s="156"/>
      <c r="K462" s="156"/>
      <c r="L462" s="261" t="s">
        <v>1525</v>
      </c>
      <c r="M462" s="199" t="s">
        <v>1606</v>
      </c>
      <c r="N462" s="261" t="s">
        <v>34</v>
      </c>
      <c r="O462" s="262">
        <v>2</v>
      </c>
      <c r="P462" s="200">
        <v>93.6</v>
      </c>
      <c r="Q462" s="200">
        <v>187.2</v>
      </c>
      <c r="R462" s="157"/>
      <c r="T462" s="4"/>
      <c r="U462" s="128"/>
    </row>
    <row r="463" spans="1:21" ht="18" x14ac:dyDescent="0.3">
      <c r="A463" s="153"/>
      <c r="B463" s="20"/>
      <c r="C463" s="154"/>
      <c r="D463" s="155"/>
      <c r="E463" s="155"/>
      <c r="F463" s="75"/>
      <c r="G463" s="76"/>
      <c r="H463" s="76"/>
      <c r="I463" s="156"/>
      <c r="J463" s="156"/>
      <c r="K463" s="156"/>
      <c r="L463" s="261" t="s">
        <v>1764</v>
      </c>
      <c r="M463" s="199" t="s">
        <v>1784</v>
      </c>
      <c r="N463" s="261" t="s">
        <v>34</v>
      </c>
      <c r="O463" s="262">
        <v>1</v>
      </c>
      <c r="P463" s="200">
        <v>119.29</v>
      </c>
      <c r="Q463" s="200">
        <v>119.29</v>
      </c>
      <c r="R463" s="157"/>
      <c r="T463" s="4"/>
      <c r="U463" s="128"/>
    </row>
    <row r="464" spans="1:21" ht="18" x14ac:dyDescent="0.3">
      <c r="A464" s="153"/>
      <c r="B464" s="20"/>
      <c r="C464" s="154"/>
      <c r="D464" s="155"/>
      <c r="E464" s="155"/>
      <c r="F464" s="75"/>
      <c r="G464" s="76"/>
      <c r="H464" s="76"/>
      <c r="I464" s="156"/>
      <c r="J464" s="156"/>
      <c r="K464" s="156"/>
      <c r="L464" s="261" t="s">
        <v>1765</v>
      </c>
      <c r="M464" s="199" t="s">
        <v>1785</v>
      </c>
      <c r="N464" s="261" t="s">
        <v>34</v>
      </c>
      <c r="O464" s="262">
        <v>1</v>
      </c>
      <c r="P464" s="200">
        <v>296.67</v>
      </c>
      <c r="Q464" s="200">
        <v>296.67</v>
      </c>
      <c r="R464" s="157"/>
      <c r="T464" s="4"/>
      <c r="U464" s="128"/>
    </row>
    <row r="465" spans="1:21" ht="18" x14ac:dyDescent="0.3">
      <c r="A465" s="153"/>
      <c r="B465" s="20"/>
      <c r="C465" s="154"/>
      <c r="D465" s="155"/>
      <c r="E465" s="155"/>
      <c r="F465" s="75"/>
      <c r="G465" s="76"/>
      <c r="H465" s="76"/>
      <c r="I465" s="156"/>
      <c r="J465" s="156"/>
      <c r="K465" s="156"/>
      <c r="L465" s="261" t="s">
        <v>1640</v>
      </c>
      <c r="M465" s="199" t="s">
        <v>1666</v>
      </c>
      <c r="N465" s="261" t="s">
        <v>34</v>
      </c>
      <c r="O465" s="262">
        <v>1</v>
      </c>
      <c r="P465" s="200">
        <v>291</v>
      </c>
      <c r="Q465" s="200">
        <v>291</v>
      </c>
      <c r="R465" s="157"/>
      <c r="T465" s="4"/>
      <c r="U465" s="128"/>
    </row>
    <row r="466" spans="1:21" ht="18" x14ac:dyDescent="0.3">
      <c r="A466" s="153"/>
      <c r="B466" s="20"/>
      <c r="C466" s="154"/>
      <c r="D466" s="155"/>
      <c r="E466" s="155"/>
      <c r="F466" s="75"/>
      <c r="G466" s="76"/>
      <c r="H466" s="76"/>
      <c r="I466" s="156"/>
      <c r="J466" s="156"/>
      <c r="K466" s="156"/>
      <c r="L466" s="261" t="s">
        <v>1726</v>
      </c>
      <c r="M466" s="199" t="s">
        <v>1747</v>
      </c>
      <c r="N466" s="261" t="s">
        <v>34</v>
      </c>
      <c r="O466" s="262">
        <v>1</v>
      </c>
      <c r="P466" s="200">
        <v>115.42</v>
      </c>
      <c r="Q466" s="200">
        <v>115.42</v>
      </c>
      <c r="R466" s="157"/>
      <c r="T466" s="4"/>
      <c r="U466" s="128"/>
    </row>
    <row r="467" spans="1:21" ht="18" x14ac:dyDescent="0.3">
      <c r="A467" s="153"/>
      <c r="B467" s="20"/>
      <c r="C467" s="154"/>
      <c r="D467" s="155"/>
      <c r="E467" s="155"/>
      <c r="F467" s="75"/>
      <c r="G467" s="76"/>
      <c r="H467" s="76"/>
      <c r="I467" s="156"/>
      <c r="J467" s="156"/>
      <c r="K467" s="156"/>
      <c r="L467" s="261" t="s">
        <v>1527</v>
      </c>
      <c r="M467" s="199" t="s">
        <v>1608</v>
      </c>
      <c r="N467" s="261" t="s">
        <v>34</v>
      </c>
      <c r="O467" s="262">
        <v>12</v>
      </c>
      <c r="P467" s="200">
        <v>51.84</v>
      </c>
      <c r="Q467" s="200">
        <v>622.11</v>
      </c>
      <c r="R467" s="157"/>
      <c r="T467" s="4"/>
      <c r="U467" s="128"/>
    </row>
    <row r="468" spans="1:21" ht="18" x14ac:dyDescent="0.3">
      <c r="A468" s="153"/>
      <c r="B468" s="20"/>
      <c r="C468" s="154"/>
      <c r="D468" s="155"/>
      <c r="E468" s="155"/>
      <c r="F468" s="75"/>
      <c r="G468" s="76"/>
      <c r="H468" s="76"/>
      <c r="I468" s="156"/>
      <c r="J468" s="156"/>
      <c r="K468" s="156"/>
      <c r="L468" s="261" t="s">
        <v>1766</v>
      </c>
      <c r="M468" s="199" t="s">
        <v>1786</v>
      </c>
      <c r="N468" s="261" t="s">
        <v>34</v>
      </c>
      <c r="O468" s="262">
        <v>1</v>
      </c>
      <c r="P468" s="200">
        <v>44</v>
      </c>
      <c r="Q468" s="200">
        <v>44</v>
      </c>
      <c r="R468" s="157"/>
      <c r="T468" s="4"/>
      <c r="U468" s="128"/>
    </row>
    <row r="469" spans="1:21" ht="18" x14ac:dyDescent="0.3">
      <c r="A469" s="153"/>
      <c r="B469" s="20"/>
      <c r="C469" s="154"/>
      <c r="D469" s="155"/>
      <c r="E469" s="155"/>
      <c r="F469" s="75"/>
      <c r="G469" s="76"/>
      <c r="H469" s="76"/>
      <c r="I469" s="156"/>
      <c r="J469" s="156"/>
      <c r="K469" s="156"/>
      <c r="L469" s="261" t="s">
        <v>556</v>
      </c>
      <c r="M469" s="199" t="s">
        <v>557</v>
      </c>
      <c r="N469" s="261" t="s">
        <v>34</v>
      </c>
      <c r="O469" s="262">
        <v>1</v>
      </c>
      <c r="P469" s="200">
        <v>295.41000000000003</v>
      </c>
      <c r="Q469" s="200">
        <v>295.41000000000003</v>
      </c>
      <c r="R469" s="157"/>
      <c r="T469" s="4"/>
      <c r="U469" s="128"/>
    </row>
    <row r="470" spans="1:21" ht="18" x14ac:dyDescent="0.3">
      <c r="A470" s="153"/>
      <c r="B470" s="20"/>
      <c r="C470" s="154"/>
      <c r="D470" s="155"/>
      <c r="E470" s="155"/>
      <c r="F470" s="75"/>
      <c r="G470" s="76"/>
      <c r="H470" s="76"/>
      <c r="I470" s="156"/>
      <c r="J470" s="156"/>
      <c r="K470" s="156"/>
      <c r="L470" s="261" t="s">
        <v>1683</v>
      </c>
      <c r="M470" s="199" t="s">
        <v>1701</v>
      </c>
      <c r="N470" s="261" t="s">
        <v>34</v>
      </c>
      <c r="O470" s="262">
        <v>1</v>
      </c>
      <c r="P470" s="200">
        <v>20</v>
      </c>
      <c r="Q470" s="200">
        <v>20</v>
      </c>
      <c r="R470" s="157"/>
      <c r="T470" s="4"/>
      <c r="U470" s="128"/>
    </row>
    <row r="471" spans="1:21" ht="18" x14ac:dyDescent="0.3">
      <c r="A471" s="153"/>
      <c r="B471" s="20"/>
      <c r="C471" s="154"/>
      <c r="D471" s="155"/>
      <c r="E471" s="155"/>
      <c r="F471" s="75"/>
      <c r="G471" s="76"/>
      <c r="H471" s="76"/>
      <c r="I471" s="156"/>
      <c r="J471" s="156"/>
      <c r="K471" s="156"/>
      <c r="L471" s="261" t="s">
        <v>1767</v>
      </c>
      <c r="M471" s="199" t="s">
        <v>1787</v>
      </c>
      <c r="N471" s="261" t="s">
        <v>34</v>
      </c>
      <c r="O471" s="262">
        <v>1</v>
      </c>
      <c r="P471" s="200">
        <v>128.33000000000001</v>
      </c>
      <c r="Q471" s="200">
        <v>128.33000000000001</v>
      </c>
      <c r="R471" s="157"/>
      <c r="T471" s="4"/>
      <c r="U471" s="128"/>
    </row>
    <row r="472" spans="1:21" ht="18" x14ac:dyDescent="0.3">
      <c r="A472" s="153"/>
      <c r="B472" s="20"/>
      <c r="C472" s="154"/>
      <c r="D472" s="155"/>
      <c r="E472" s="155"/>
      <c r="F472" s="75"/>
      <c r="G472" s="76"/>
      <c r="H472" s="76"/>
      <c r="I472" s="156"/>
      <c r="J472" s="156"/>
      <c r="K472" s="156"/>
      <c r="L472" s="261" t="s">
        <v>1684</v>
      </c>
      <c r="M472" s="199" t="s">
        <v>1702</v>
      </c>
      <c r="N472" s="261" t="s">
        <v>34</v>
      </c>
      <c r="O472" s="262">
        <v>1</v>
      </c>
      <c r="P472" s="200">
        <v>265.8</v>
      </c>
      <c r="Q472" s="200">
        <v>265.8</v>
      </c>
      <c r="R472" s="157"/>
      <c r="T472" s="4"/>
      <c r="U472" s="128"/>
    </row>
    <row r="473" spans="1:21" ht="18" x14ac:dyDescent="0.3">
      <c r="A473" s="153"/>
      <c r="B473" s="20"/>
      <c r="C473" s="154"/>
      <c r="D473" s="155"/>
      <c r="E473" s="155"/>
      <c r="F473" s="75"/>
      <c r="G473" s="76"/>
      <c r="H473" s="76"/>
      <c r="I473" s="156"/>
      <c r="J473" s="156"/>
      <c r="K473" s="156"/>
      <c r="L473" s="261" t="s">
        <v>1531</v>
      </c>
      <c r="M473" s="199" t="s">
        <v>1611</v>
      </c>
      <c r="N473" s="261" t="s">
        <v>34</v>
      </c>
      <c r="O473" s="262">
        <v>2</v>
      </c>
      <c r="P473" s="200">
        <v>91.81</v>
      </c>
      <c r="Q473" s="200">
        <v>183.62</v>
      </c>
      <c r="R473" s="157"/>
      <c r="T473" s="4"/>
      <c r="U473" s="128"/>
    </row>
    <row r="474" spans="1:21" ht="18" x14ac:dyDescent="0.3">
      <c r="A474" s="153"/>
      <c r="B474" s="20"/>
      <c r="C474" s="154"/>
      <c r="D474" s="155"/>
      <c r="E474" s="155"/>
      <c r="F474" s="75"/>
      <c r="G474" s="76"/>
      <c r="H474" s="76"/>
      <c r="I474" s="156"/>
      <c r="J474" s="156"/>
      <c r="K474" s="156"/>
      <c r="L474" s="261" t="s">
        <v>1641</v>
      </c>
      <c r="M474" s="199" t="s">
        <v>1667</v>
      </c>
      <c r="N474" s="261" t="s">
        <v>64</v>
      </c>
      <c r="O474" s="262">
        <v>1</v>
      </c>
      <c r="P474" s="200">
        <v>24</v>
      </c>
      <c r="Q474" s="200">
        <v>24</v>
      </c>
      <c r="R474" s="157"/>
      <c r="T474" s="4"/>
      <c r="U474" s="128"/>
    </row>
    <row r="475" spans="1:21" ht="18" x14ac:dyDescent="0.3">
      <c r="A475" s="153"/>
      <c r="B475" s="20"/>
      <c r="C475" s="154"/>
      <c r="D475" s="155"/>
      <c r="E475" s="155"/>
      <c r="F475" s="75"/>
      <c r="G475" s="76"/>
      <c r="H475" s="76"/>
      <c r="I475" s="156"/>
      <c r="J475" s="156"/>
      <c r="K475" s="156"/>
      <c r="L475" s="261" t="s">
        <v>1768</v>
      </c>
      <c r="M475" s="199" t="s">
        <v>1788</v>
      </c>
      <c r="N475" s="261" t="s">
        <v>34</v>
      </c>
      <c r="O475" s="262">
        <v>1</v>
      </c>
      <c r="P475" s="200">
        <v>160.5</v>
      </c>
      <c r="Q475" s="200">
        <v>160.5</v>
      </c>
      <c r="R475" s="157"/>
      <c r="T475" s="4"/>
      <c r="U475" s="128"/>
    </row>
    <row r="476" spans="1:21" ht="18" x14ac:dyDescent="0.3">
      <c r="A476" s="153"/>
      <c r="B476" s="20"/>
      <c r="C476" s="154"/>
      <c r="D476" s="155"/>
      <c r="E476" s="155"/>
      <c r="F476" s="75"/>
      <c r="G476" s="76"/>
      <c r="H476" s="76"/>
      <c r="I476" s="156"/>
      <c r="J476" s="156"/>
      <c r="K476" s="156"/>
      <c r="L476" s="261" t="s">
        <v>1769</v>
      </c>
      <c r="M476" s="199" t="s">
        <v>1789</v>
      </c>
      <c r="N476" s="261" t="s">
        <v>34</v>
      </c>
      <c r="O476" s="262">
        <v>1</v>
      </c>
      <c r="P476" s="200">
        <v>132</v>
      </c>
      <c r="Q476" s="200">
        <v>132</v>
      </c>
      <c r="R476" s="157"/>
      <c r="T476" s="4"/>
      <c r="U476" s="128"/>
    </row>
    <row r="477" spans="1:21" ht="18" x14ac:dyDescent="0.3">
      <c r="A477" s="153"/>
      <c r="B477" s="20"/>
      <c r="C477" s="154"/>
      <c r="D477" s="155"/>
      <c r="E477" s="155"/>
      <c r="F477" s="75"/>
      <c r="G477" s="76"/>
      <c r="H477" s="76"/>
      <c r="I477" s="156"/>
      <c r="J477" s="156"/>
      <c r="K477" s="156"/>
      <c r="L477" s="261" t="s">
        <v>576</v>
      </c>
      <c r="M477" s="199" t="s">
        <v>577</v>
      </c>
      <c r="N477" s="261" t="s">
        <v>34</v>
      </c>
      <c r="O477" s="262">
        <v>1</v>
      </c>
      <c r="P477" s="200">
        <v>554</v>
      </c>
      <c r="Q477" s="200">
        <v>554</v>
      </c>
      <c r="R477" s="157"/>
      <c r="T477" s="4"/>
      <c r="U477" s="128"/>
    </row>
    <row r="478" spans="1:21" ht="18" x14ac:dyDescent="0.3">
      <c r="A478" s="153"/>
      <c r="B478" s="20"/>
      <c r="C478" s="154"/>
      <c r="D478" s="155"/>
      <c r="E478" s="155"/>
      <c r="F478" s="75"/>
      <c r="G478" s="76"/>
      <c r="H478" s="76"/>
      <c r="I478" s="156"/>
      <c r="J478" s="156"/>
      <c r="K478" s="156"/>
      <c r="L478" s="261" t="s">
        <v>617</v>
      </c>
      <c r="M478" s="199" t="s">
        <v>618</v>
      </c>
      <c r="N478" s="261" t="s">
        <v>34</v>
      </c>
      <c r="O478" s="262">
        <v>1</v>
      </c>
      <c r="P478" s="200">
        <v>156.66</v>
      </c>
      <c r="Q478" s="200">
        <v>156.66</v>
      </c>
      <c r="R478" s="157"/>
      <c r="T478" s="4"/>
      <c r="U478" s="128"/>
    </row>
    <row r="479" spans="1:21" ht="18" x14ac:dyDescent="0.3">
      <c r="A479" s="153"/>
      <c r="B479" s="20"/>
      <c r="C479" s="154"/>
      <c r="D479" s="155"/>
      <c r="E479" s="155"/>
      <c r="F479" s="75"/>
      <c r="G479" s="76"/>
      <c r="H479" s="76"/>
      <c r="I479" s="156"/>
      <c r="J479" s="156"/>
      <c r="K479" s="156"/>
      <c r="L479" s="261" t="s">
        <v>1533</v>
      </c>
      <c r="M479" s="199" t="s">
        <v>1613</v>
      </c>
      <c r="N479" s="261" t="s">
        <v>34</v>
      </c>
      <c r="O479" s="262">
        <v>1</v>
      </c>
      <c r="P479" s="200">
        <v>713.32</v>
      </c>
      <c r="Q479" s="200">
        <v>713.32</v>
      </c>
      <c r="R479" s="157"/>
      <c r="T479" s="4"/>
      <c r="U479" s="128"/>
    </row>
    <row r="480" spans="1:21" ht="18" x14ac:dyDescent="0.3">
      <c r="A480" s="153"/>
      <c r="B480" s="20"/>
      <c r="C480" s="154"/>
      <c r="D480" s="155"/>
      <c r="E480" s="155"/>
      <c r="F480" s="75"/>
      <c r="G480" s="76"/>
      <c r="H480" s="76"/>
      <c r="I480" s="156"/>
      <c r="J480" s="156"/>
      <c r="K480" s="156"/>
      <c r="L480" s="261" t="s">
        <v>1534</v>
      </c>
      <c r="M480" s="199" t="s">
        <v>1614</v>
      </c>
      <c r="N480" s="261" t="s">
        <v>34</v>
      </c>
      <c r="O480" s="262">
        <v>1</v>
      </c>
      <c r="P480" s="200">
        <v>24.75</v>
      </c>
      <c r="Q480" s="200">
        <v>24.75</v>
      </c>
      <c r="R480" s="157"/>
      <c r="T480" s="4"/>
      <c r="U480" s="128"/>
    </row>
    <row r="481" spans="1:21" ht="18" x14ac:dyDescent="0.3">
      <c r="A481" s="153"/>
      <c r="B481" s="20"/>
      <c r="C481" s="154"/>
      <c r="D481" s="155"/>
      <c r="E481" s="155"/>
      <c r="F481" s="75"/>
      <c r="G481" s="76"/>
      <c r="H481" s="76"/>
      <c r="I481" s="156"/>
      <c r="J481" s="156"/>
      <c r="K481" s="156"/>
      <c r="L481" s="267" t="s">
        <v>1843</v>
      </c>
      <c r="M481" s="268" t="s">
        <v>1844</v>
      </c>
      <c r="N481" s="267" t="s">
        <v>1845</v>
      </c>
      <c r="O481" s="269">
        <v>0.2</v>
      </c>
      <c r="P481" s="270">
        <v>1042.5</v>
      </c>
      <c r="Q481" s="271">
        <v>208.5</v>
      </c>
      <c r="R481" s="157"/>
      <c r="T481" s="4"/>
      <c r="U481" s="128"/>
    </row>
    <row r="482" spans="1:21" ht="18.600000000000001" thickBot="1" x14ac:dyDescent="0.35">
      <c r="A482" s="15"/>
      <c r="B482" s="20"/>
      <c r="C482" s="6"/>
      <c r="D482" s="44"/>
      <c r="E482" s="44"/>
      <c r="F482" s="75"/>
      <c r="G482" s="76"/>
      <c r="H482" s="76"/>
      <c r="I482" s="49"/>
      <c r="J482" s="49"/>
      <c r="K482" s="49"/>
      <c r="L482" s="67"/>
      <c r="M482" s="68"/>
      <c r="N482" s="68"/>
      <c r="O482" s="45"/>
      <c r="P482" s="45"/>
      <c r="Q482" s="45"/>
      <c r="R482" s="19"/>
      <c r="T482" s="4"/>
      <c r="U482" s="128"/>
    </row>
    <row r="483" spans="1:21" ht="21.6" thickBot="1" x14ac:dyDescent="0.35">
      <c r="A483" s="28"/>
      <c r="B483" s="29" t="s">
        <v>29</v>
      </c>
      <c r="C483" s="30"/>
      <c r="D483" s="31">
        <f>SUM(D365:D482)</f>
        <v>0</v>
      </c>
      <c r="E483" s="31"/>
      <c r="F483" s="71"/>
      <c r="G483" s="71"/>
      <c r="H483" s="71"/>
      <c r="I483" s="71"/>
      <c r="J483" s="71"/>
      <c r="K483" s="71"/>
      <c r="L483" s="120"/>
      <c r="M483" s="121"/>
      <c r="N483" s="121"/>
      <c r="O483" s="34"/>
      <c r="P483" s="34"/>
      <c r="Q483" s="34">
        <f>SUM(Q367:Q482)</f>
        <v>35415.11</v>
      </c>
      <c r="R483" s="35"/>
    </row>
    <row r="484" spans="1:21" ht="21.6" thickBot="1" x14ac:dyDescent="0.35">
      <c r="A484" s="36"/>
      <c r="B484" s="37" t="s">
        <v>30</v>
      </c>
      <c r="C484" s="38"/>
      <c r="D484" s="39"/>
      <c r="E484" s="39"/>
      <c r="F484" s="73"/>
      <c r="G484" s="73"/>
      <c r="H484" s="73"/>
      <c r="I484" s="73"/>
      <c r="J484" s="73"/>
      <c r="K484" s="73"/>
      <c r="L484" s="122"/>
      <c r="M484" s="123"/>
      <c r="N484" s="123"/>
      <c r="O484" s="42"/>
      <c r="P484" s="42"/>
      <c r="Q484" s="42">
        <f>Q483+Q366</f>
        <v>602732.37000000023</v>
      </c>
      <c r="R484" s="43"/>
    </row>
    <row r="485" spans="1:21" ht="25.2" customHeight="1" x14ac:dyDescent="0.4">
      <c r="A485" s="288" t="s">
        <v>12</v>
      </c>
      <c r="B485" s="288"/>
      <c r="C485" s="288"/>
      <c r="D485" s="288"/>
      <c r="E485" s="288"/>
      <c r="F485" s="288"/>
      <c r="G485" s="288"/>
      <c r="H485" s="288"/>
      <c r="I485" s="288"/>
      <c r="J485" s="288"/>
      <c r="K485" s="288"/>
      <c r="L485" s="288"/>
      <c r="M485" s="288"/>
      <c r="N485" s="288"/>
      <c r="O485" s="124"/>
      <c r="P485" s="137"/>
      <c r="Q485" s="137"/>
      <c r="R485" s="5"/>
    </row>
    <row r="486" spans="1:21" ht="25.2" customHeight="1" x14ac:dyDescent="0.4">
      <c r="A486" s="288" t="s">
        <v>13</v>
      </c>
      <c r="B486" s="288"/>
      <c r="C486" s="288"/>
      <c r="D486" s="288"/>
      <c r="E486" s="288"/>
      <c r="F486" s="288"/>
      <c r="G486" s="288"/>
      <c r="H486" s="288"/>
      <c r="I486" s="288"/>
      <c r="J486" s="288"/>
      <c r="K486" s="288"/>
      <c r="L486" s="288"/>
      <c r="M486" s="288"/>
      <c r="N486" s="288"/>
      <c r="O486" s="124"/>
      <c r="P486" s="137"/>
      <c r="Q486" s="137"/>
      <c r="R486" s="5"/>
    </row>
    <row r="487" spans="1:21" ht="25.2" customHeight="1" x14ac:dyDescent="0.4">
      <c r="A487" s="290" t="s">
        <v>14</v>
      </c>
      <c r="B487" s="290"/>
      <c r="C487" s="290"/>
      <c r="D487" s="290"/>
      <c r="E487" s="290"/>
      <c r="F487" s="290"/>
      <c r="G487" s="290"/>
      <c r="H487" s="290"/>
      <c r="I487" s="290"/>
      <c r="J487" s="290"/>
      <c r="K487" s="290"/>
      <c r="L487" s="290"/>
      <c r="M487" s="290"/>
      <c r="N487" s="290"/>
      <c r="O487" s="125"/>
      <c r="P487" s="138"/>
      <c r="Q487" s="138"/>
      <c r="R487" s="5"/>
    </row>
    <row r="488" spans="1:21" ht="25.2" customHeight="1" x14ac:dyDescent="0.4">
      <c r="A488" s="288" t="s">
        <v>15</v>
      </c>
      <c r="B488" s="288"/>
      <c r="C488" s="288"/>
      <c r="D488" s="288"/>
      <c r="E488" s="288"/>
      <c r="F488" s="288"/>
      <c r="G488" s="288"/>
      <c r="H488" s="288"/>
      <c r="I488" s="288"/>
      <c r="J488" s="288"/>
      <c r="K488" s="288"/>
      <c r="L488" s="288"/>
      <c r="M488" s="288"/>
      <c r="N488" s="288"/>
      <c r="O488" s="124"/>
      <c r="P488" s="137"/>
      <c r="Q488" s="137"/>
      <c r="R488" s="5"/>
    </row>
    <row r="489" spans="1:21" ht="25.2" customHeight="1" x14ac:dyDescent="0.4">
      <c r="A489" s="288" t="s">
        <v>16</v>
      </c>
      <c r="B489" s="288"/>
      <c r="C489" s="288"/>
      <c r="D489" s="288"/>
      <c r="E489" s="288"/>
      <c r="F489" s="288"/>
      <c r="G489" s="288"/>
      <c r="H489" s="288"/>
      <c r="I489" s="288"/>
      <c r="J489" s="288"/>
      <c r="K489" s="288"/>
      <c r="L489" s="288"/>
      <c r="M489" s="288"/>
      <c r="N489" s="288"/>
      <c r="O489" s="124"/>
      <c r="P489" s="137"/>
      <c r="Q489" s="137"/>
      <c r="R489" s="5"/>
    </row>
    <row r="490" spans="1:21" ht="25.2" customHeight="1" x14ac:dyDescent="0.4">
      <c r="A490" s="288" t="s">
        <v>17</v>
      </c>
      <c r="B490" s="288"/>
      <c r="C490" s="288"/>
      <c r="D490" s="288"/>
      <c r="E490" s="288"/>
      <c r="F490" s="288"/>
      <c r="G490" s="288"/>
      <c r="H490" s="288"/>
      <c r="I490" s="288"/>
      <c r="J490" s="288"/>
      <c r="K490" s="288"/>
      <c r="L490" s="288"/>
      <c r="M490" s="288"/>
      <c r="N490" s="288"/>
      <c r="O490" s="124"/>
      <c r="P490" s="137"/>
      <c r="Q490" s="137"/>
      <c r="R490" s="5"/>
    </row>
    <row r="491" spans="1:21" ht="25.2" customHeight="1" x14ac:dyDescent="0.4">
      <c r="A491" s="288" t="s">
        <v>1852</v>
      </c>
      <c r="B491" s="288"/>
      <c r="C491" s="288"/>
      <c r="D491" s="288"/>
      <c r="E491" s="288"/>
      <c r="F491" s="288"/>
      <c r="G491" s="288"/>
      <c r="H491" s="288"/>
      <c r="I491" s="288"/>
      <c r="J491" s="288"/>
      <c r="K491" s="288"/>
      <c r="L491" s="288"/>
      <c r="M491" s="288"/>
      <c r="N491" s="288"/>
      <c r="O491" s="124"/>
      <c r="P491" s="137"/>
      <c r="Q491" s="137"/>
      <c r="R491" s="5"/>
    </row>
    <row r="492" spans="1:21" ht="25.2" customHeight="1" x14ac:dyDescent="0.4">
      <c r="A492" s="288" t="s">
        <v>17</v>
      </c>
      <c r="B492" s="288"/>
      <c r="C492" s="288"/>
      <c r="D492" s="288"/>
      <c r="E492" s="288"/>
      <c r="F492" s="288"/>
      <c r="G492" s="288"/>
      <c r="H492" s="288"/>
      <c r="I492" s="288"/>
      <c r="J492" s="288"/>
      <c r="K492" s="288"/>
      <c r="L492" s="288"/>
      <c r="M492" s="288"/>
      <c r="N492" s="288"/>
      <c r="O492" s="124"/>
      <c r="P492" s="137"/>
      <c r="Q492" s="137"/>
      <c r="R492" s="5"/>
    </row>
    <row r="493" spans="1:21" ht="25.2" customHeight="1" x14ac:dyDescent="0.4">
      <c r="A493" s="288" t="s">
        <v>19</v>
      </c>
      <c r="B493" s="288"/>
      <c r="C493" s="288"/>
      <c r="D493" s="288"/>
      <c r="E493" s="288"/>
      <c r="F493" s="288"/>
      <c r="G493" s="288"/>
      <c r="H493" s="288"/>
      <c r="I493" s="288"/>
      <c r="J493" s="288"/>
      <c r="K493" s="288"/>
      <c r="L493" s="288"/>
      <c r="M493" s="288"/>
      <c r="N493" s="288"/>
      <c r="O493" s="124"/>
      <c r="P493" s="137"/>
      <c r="Q493" s="137"/>
      <c r="R493" s="5"/>
    </row>
    <row r="494" spans="1:21" ht="25.2" customHeight="1" x14ac:dyDescent="0.4">
      <c r="A494" s="288" t="s">
        <v>11</v>
      </c>
      <c r="B494" s="288"/>
      <c r="C494" s="288"/>
      <c r="D494" s="288"/>
      <c r="E494" s="288"/>
      <c r="F494" s="288"/>
      <c r="G494" s="288"/>
      <c r="H494" s="288"/>
      <c r="I494" s="288"/>
      <c r="J494" s="288"/>
      <c r="K494" s="288"/>
      <c r="L494" s="288"/>
      <c r="M494" s="288"/>
      <c r="N494" s="288"/>
      <c r="O494" s="124"/>
      <c r="P494" s="137"/>
      <c r="Q494" s="137"/>
      <c r="R494" s="5"/>
    </row>
    <row r="495" spans="1:21" ht="25.2" customHeight="1" x14ac:dyDescent="0.4">
      <c r="A495" s="288" t="s">
        <v>1857</v>
      </c>
      <c r="B495" s="288"/>
      <c r="C495" s="288"/>
      <c r="D495" s="288"/>
      <c r="E495" s="288"/>
      <c r="F495" s="288"/>
      <c r="G495" s="288"/>
      <c r="H495" s="288"/>
      <c r="I495" s="288"/>
      <c r="J495" s="288"/>
      <c r="K495" s="288"/>
      <c r="L495" s="288"/>
      <c r="M495" s="288"/>
      <c r="N495" s="288"/>
      <c r="O495" s="124"/>
      <c r="P495" s="137"/>
      <c r="Q495" s="137"/>
      <c r="R495" s="5"/>
    </row>
    <row r="496" spans="1:21" ht="25.2" customHeight="1" x14ac:dyDescent="0.4">
      <c r="A496" s="289" t="s">
        <v>31</v>
      </c>
      <c r="B496" s="289"/>
      <c r="C496" s="289"/>
      <c r="D496" s="289"/>
      <c r="E496" s="289"/>
      <c r="F496" s="289"/>
      <c r="G496" s="289"/>
      <c r="H496" s="289"/>
      <c r="I496" s="289"/>
      <c r="J496" s="289"/>
      <c r="K496" s="289"/>
      <c r="L496" s="289"/>
      <c r="M496" s="289"/>
      <c r="N496" s="289"/>
      <c r="O496" s="126"/>
      <c r="P496" s="139"/>
      <c r="Q496" s="139"/>
      <c r="R496" s="5"/>
    </row>
    <row r="497" ht="36" customHeight="1" x14ac:dyDescent="0.3"/>
  </sheetData>
  <autoFilter ref="A18:U496" xr:uid="{DE685D05-9FEE-404B-AA01-BE2D5B544193}"/>
  <mergeCells count="36">
    <mergeCell ref="A485:N485"/>
    <mergeCell ref="A486:N486"/>
    <mergeCell ref="A487:N487"/>
    <mergeCell ref="A495:N495"/>
    <mergeCell ref="A488:N488"/>
    <mergeCell ref="A496:N496"/>
    <mergeCell ref="A489:N489"/>
    <mergeCell ref="A490:N490"/>
    <mergeCell ref="A491:N491"/>
    <mergeCell ref="A492:N492"/>
    <mergeCell ref="A493:N493"/>
    <mergeCell ref="A494:N494"/>
    <mergeCell ref="A13:R13"/>
    <mergeCell ref="A14:Q14"/>
    <mergeCell ref="A15:K15"/>
    <mergeCell ref="L15:R15"/>
    <mergeCell ref="C16:C17"/>
    <mergeCell ref="D16:D17"/>
    <mergeCell ref="E16:E17"/>
    <mergeCell ref="M16:Q16"/>
    <mergeCell ref="A16:A17"/>
    <mergeCell ref="B16:B17"/>
    <mergeCell ref="A11:R11"/>
    <mergeCell ref="M1:R2"/>
    <mergeCell ref="M4:R4"/>
    <mergeCell ref="M5:R5"/>
    <mergeCell ref="M7:R7"/>
    <mergeCell ref="A10:R10"/>
    <mergeCell ref="R16:R17"/>
    <mergeCell ref="F16:F17"/>
    <mergeCell ref="G16:G17"/>
    <mergeCell ref="H16:H17"/>
    <mergeCell ref="I16:I17"/>
    <mergeCell ref="J16:J17"/>
    <mergeCell ref="K16:K17"/>
    <mergeCell ref="A12:R12"/>
  </mergeCells>
  <pageMargins left="0.25" right="0.25" top="0.75" bottom="0.75" header="0.3" footer="0.3"/>
  <pageSetup paperSize="9" scale="36" fitToHeight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A01D-B534-4DBF-B871-3F2774BF689B}">
  <sheetPr>
    <tabColor rgb="FFFFFF00"/>
    <pageSetUpPr fitToPage="1"/>
  </sheetPr>
  <dimension ref="A1:U501"/>
  <sheetViews>
    <sheetView topLeftCell="A493" zoomScale="88" zoomScaleNormal="88" workbookViewId="0">
      <selection activeCell="E505" sqref="E505"/>
    </sheetView>
  </sheetViews>
  <sheetFormatPr defaultRowHeight="14.4" x14ac:dyDescent="0.3"/>
  <cols>
    <col min="1" max="1" width="6.6640625" style="147" customWidth="1"/>
    <col min="2" max="2" width="63.109375" customWidth="1"/>
    <col min="3" max="3" width="10.44140625" style="147" customWidth="1"/>
    <col min="4" max="4" width="11.109375" style="147" customWidth="1"/>
    <col min="5" max="5" width="13.109375" style="147" customWidth="1"/>
    <col min="6" max="6" width="20.109375" style="147" customWidth="1"/>
    <col min="7" max="11" width="13.109375" style="147" customWidth="1"/>
    <col min="12" max="12" width="17.33203125" style="4" customWidth="1"/>
    <col min="13" max="13" width="61" style="4" customWidth="1"/>
    <col min="14" max="15" width="11.6640625" style="4" customWidth="1"/>
    <col min="16" max="16" width="19.77734375" style="4" customWidth="1"/>
    <col min="17" max="17" width="15.44140625" style="4" bestFit="1" customWidth="1"/>
    <col min="18" max="18" width="35.44140625" customWidth="1"/>
    <col min="19" max="19" width="12.109375" bestFit="1" customWidth="1"/>
    <col min="21" max="21" width="9.88671875" bestFit="1" customWidth="1"/>
  </cols>
  <sheetData>
    <row r="1" spans="1:20" ht="15.75" customHeight="1" x14ac:dyDescent="0.3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06" t="s">
        <v>26</v>
      </c>
      <c r="N1" s="306"/>
      <c r="O1" s="306"/>
      <c r="P1" s="306"/>
      <c r="Q1" s="306"/>
      <c r="R1" s="306"/>
      <c r="S1" s="13"/>
      <c r="T1" s="13"/>
    </row>
    <row r="2" spans="1:20" ht="15" customHeight="1" x14ac:dyDescent="0.3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07"/>
      <c r="N2" s="307"/>
      <c r="O2" s="307"/>
      <c r="P2" s="307"/>
      <c r="Q2" s="307"/>
      <c r="R2" s="307"/>
      <c r="S2" s="13"/>
      <c r="T2" s="13"/>
    </row>
    <row r="3" spans="1:20" ht="15.6" x14ac:dyDescent="0.3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19"/>
      <c r="N3" s="119"/>
      <c r="O3" s="119"/>
      <c r="P3" s="146"/>
      <c r="Q3" s="146"/>
      <c r="R3" s="146"/>
      <c r="S3" s="13"/>
      <c r="T3" s="13"/>
    </row>
    <row r="4" spans="1:20" ht="23.4" x14ac:dyDescent="0.4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08" t="s">
        <v>27</v>
      </c>
      <c r="N4" s="308"/>
      <c r="O4" s="308"/>
      <c r="P4" s="308"/>
      <c r="Q4" s="308"/>
      <c r="R4" s="308"/>
      <c r="S4" s="13"/>
      <c r="T4" s="13"/>
    </row>
    <row r="5" spans="1:20" ht="21" x14ac:dyDescent="0.4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09" t="s">
        <v>28</v>
      </c>
      <c r="N5" s="309"/>
      <c r="O5" s="309"/>
      <c r="P5" s="309"/>
      <c r="Q5" s="309"/>
      <c r="R5" s="309"/>
      <c r="S5" s="13"/>
      <c r="T5" s="13"/>
    </row>
    <row r="6" spans="1:20" ht="15.6" x14ac:dyDescent="0.3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9"/>
      <c r="O6" s="9"/>
      <c r="P6" s="10"/>
      <c r="Q6" s="11"/>
      <c r="R6" s="12"/>
      <c r="S6" s="13"/>
      <c r="T6" s="13"/>
    </row>
    <row r="7" spans="1:20" ht="18" x14ac:dyDescent="0.35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10" t="s">
        <v>33</v>
      </c>
      <c r="N7" s="310"/>
      <c r="O7" s="310"/>
      <c r="P7" s="310"/>
      <c r="Q7" s="310"/>
      <c r="R7" s="310"/>
      <c r="S7" s="13"/>
      <c r="T7" s="13"/>
    </row>
    <row r="8" spans="1:20" ht="15.6" x14ac:dyDescent="0.3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S8" s="13"/>
      <c r="T8" s="13"/>
    </row>
    <row r="9" spans="1:20" ht="15.6" x14ac:dyDescent="0.3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S9" s="13"/>
      <c r="T9" s="13"/>
    </row>
    <row r="10" spans="1:20" ht="18" customHeight="1" x14ac:dyDescent="0.3">
      <c r="A10" s="305" t="s">
        <v>0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13"/>
      <c r="T10" s="13"/>
    </row>
    <row r="11" spans="1:20" ht="18" customHeight="1" x14ac:dyDescent="0.3">
      <c r="A11" s="305" t="s">
        <v>1</v>
      </c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13"/>
      <c r="T11" s="13"/>
    </row>
    <row r="12" spans="1:20" ht="18" customHeight="1" x14ac:dyDescent="0.3">
      <c r="A12" s="305" t="s">
        <v>2</v>
      </c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13"/>
      <c r="T12" s="13"/>
    </row>
    <row r="13" spans="1:20" ht="63.6" customHeight="1" x14ac:dyDescent="0.3">
      <c r="A13" s="311" t="s">
        <v>1352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</row>
    <row r="14" spans="1:20" ht="27" customHeight="1" thickBot="1" x14ac:dyDescent="0.35">
      <c r="A14" s="313" t="s">
        <v>36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  <c r="Q14" s="313"/>
    </row>
    <row r="15" spans="1:20" ht="30.6" customHeight="1" thickBot="1" x14ac:dyDescent="0.35">
      <c r="A15" s="314" t="s">
        <v>24</v>
      </c>
      <c r="B15" s="315"/>
      <c r="C15" s="315"/>
      <c r="D15" s="315"/>
      <c r="E15" s="315"/>
      <c r="F15" s="315"/>
      <c r="G15" s="315"/>
      <c r="H15" s="315"/>
      <c r="I15" s="315"/>
      <c r="J15" s="315"/>
      <c r="K15" s="315"/>
      <c r="L15" s="316" t="s">
        <v>25</v>
      </c>
      <c r="M15" s="317"/>
      <c r="N15" s="317"/>
      <c r="O15" s="317"/>
      <c r="P15" s="317"/>
      <c r="Q15" s="317"/>
      <c r="R15" s="318"/>
    </row>
    <row r="16" spans="1:20" ht="15" customHeight="1" x14ac:dyDescent="0.3">
      <c r="A16" s="298" t="s">
        <v>3</v>
      </c>
      <c r="B16" s="300" t="s">
        <v>4</v>
      </c>
      <c r="C16" s="300"/>
      <c r="D16" s="293" t="s">
        <v>5</v>
      </c>
      <c r="E16" s="300" t="s">
        <v>6</v>
      </c>
      <c r="F16" s="291"/>
      <c r="G16" s="293"/>
      <c r="H16" s="293"/>
      <c r="I16" s="294"/>
      <c r="J16" s="293" t="s">
        <v>21</v>
      </c>
      <c r="K16" s="296" t="s">
        <v>22</v>
      </c>
      <c r="L16" s="16"/>
      <c r="M16" s="302" t="s">
        <v>7</v>
      </c>
      <c r="N16" s="303"/>
      <c r="O16" s="303"/>
      <c r="P16" s="303"/>
      <c r="Q16" s="304"/>
      <c r="R16" s="296" t="s">
        <v>8</v>
      </c>
    </row>
    <row r="17" spans="1:21" ht="34.200000000000003" customHeight="1" x14ac:dyDescent="0.3">
      <c r="A17" s="299"/>
      <c r="B17" s="301"/>
      <c r="C17" s="301"/>
      <c r="D17" s="292"/>
      <c r="E17" s="301"/>
      <c r="F17" s="292"/>
      <c r="G17" s="292"/>
      <c r="H17" s="292"/>
      <c r="I17" s="295"/>
      <c r="J17" s="292"/>
      <c r="K17" s="297"/>
      <c r="L17" s="17" t="s">
        <v>20</v>
      </c>
      <c r="M17" s="14" t="s">
        <v>9</v>
      </c>
      <c r="N17" s="18" t="s">
        <v>10</v>
      </c>
      <c r="O17" s="7" t="s">
        <v>6</v>
      </c>
      <c r="P17" s="8" t="s">
        <v>21</v>
      </c>
      <c r="Q17" s="8" t="s">
        <v>22</v>
      </c>
      <c r="R17" s="297"/>
    </row>
    <row r="18" spans="1:21" ht="15" thickBot="1" x14ac:dyDescent="0.35">
      <c r="A18" s="21">
        <v>1</v>
      </c>
      <c r="B18" s="22">
        <v>2</v>
      </c>
      <c r="C18" s="22"/>
      <c r="D18" s="22">
        <v>3</v>
      </c>
      <c r="E18" s="22">
        <v>4</v>
      </c>
      <c r="F18" s="22"/>
      <c r="G18" s="22"/>
      <c r="H18" s="22"/>
      <c r="I18" s="74"/>
      <c r="J18" s="22">
        <v>5</v>
      </c>
      <c r="K18" s="23">
        <v>6</v>
      </c>
      <c r="L18" s="83">
        <v>7</v>
      </c>
      <c r="M18" s="7">
        <v>8</v>
      </c>
      <c r="N18" s="7">
        <v>9</v>
      </c>
      <c r="O18" s="7">
        <v>10</v>
      </c>
      <c r="P18" s="7">
        <v>11</v>
      </c>
      <c r="Q18" s="7">
        <v>12</v>
      </c>
      <c r="R18" s="127">
        <v>13</v>
      </c>
      <c r="U18" s="128"/>
    </row>
    <row r="19" spans="1:21" ht="33.6" customHeight="1" x14ac:dyDescent="0.3">
      <c r="A19" s="60"/>
      <c r="B19" s="80" t="s">
        <v>1353</v>
      </c>
      <c r="C19" s="80"/>
      <c r="D19" s="80" t="s">
        <v>34</v>
      </c>
      <c r="E19" s="80">
        <v>1</v>
      </c>
      <c r="F19" s="69"/>
      <c r="G19" s="69"/>
      <c r="H19" s="69"/>
      <c r="I19" s="69"/>
      <c r="J19" s="69"/>
      <c r="K19" s="69"/>
      <c r="L19" s="227" t="s">
        <v>778</v>
      </c>
      <c r="M19" s="228" t="s">
        <v>779</v>
      </c>
      <c r="N19" s="227" t="s">
        <v>37</v>
      </c>
      <c r="O19" s="229">
        <v>3</v>
      </c>
      <c r="P19" s="230">
        <v>74.900000000000006</v>
      </c>
      <c r="Q19" s="230">
        <v>224.7</v>
      </c>
      <c r="R19" s="181"/>
      <c r="U19" s="128"/>
    </row>
    <row r="20" spans="1:21" ht="15.6" x14ac:dyDescent="0.3">
      <c r="A20" s="51"/>
      <c r="B20" s="59"/>
      <c r="C20" s="47"/>
      <c r="D20" s="61"/>
      <c r="E20" s="62"/>
      <c r="F20" s="75"/>
      <c r="G20" s="76"/>
      <c r="H20" s="76"/>
      <c r="I20" s="48"/>
      <c r="J20" s="48"/>
      <c r="K20" s="48"/>
      <c r="L20" s="227" t="s">
        <v>1103</v>
      </c>
      <c r="M20" s="228" t="s">
        <v>1189</v>
      </c>
      <c r="N20" s="227" t="s">
        <v>37</v>
      </c>
      <c r="O20" s="229">
        <v>27</v>
      </c>
      <c r="P20" s="230">
        <v>28.61</v>
      </c>
      <c r="Q20" s="230">
        <v>772.47</v>
      </c>
      <c r="R20" s="182"/>
      <c r="U20" s="128"/>
    </row>
    <row r="21" spans="1:21" ht="15.6" x14ac:dyDescent="0.3">
      <c r="A21" s="51"/>
      <c r="B21" s="59"/>
      <c r="C21" s="47"/>
      <c r="D21" s="61"/>
      <c r="E21" s="62"/>
      <c r="F21" s="75"/>
      <c r="G21" s="76"/>
      <c r="H21" s="76"/>
      <c r="I21" s="48"/>
      <c r="J21" s="48"/>
      <c r="K21" s="48"/>
      <c r="L21" s="227" t="s">
        <v>429</v>
      </c>
      <c r="M21" s="228" t="s">
        <v>430</v>
      </c>
      <c r="N21" s="227" t="s">
        <v>37</v>
      </c>
      <c r="O21" s="229">
        <v>0.8</v>
      </c>
      <c r="P21" s="230">
        <v>11.5</v>
      </c>
      <c r="Q21" s="230">
        <v>9.1999999999999993</v>
      </c>
      <c r="R21" s="182"/>
      <c r="U21" s="128"/>
    </row>
    <row r="22" spans="1:21" ht="15.6" x14ac:dyDescent="0.3">
      <c r="A22" s="53"/>
      <c r="B22" s="54"/>
      <c r="C22" s="54"/>
      <c r="D22" s="54"/>
      <c r="E22" s="55"/>
      <c r="F22" s="75"/>
      <c r="G22" s="76"/>
      <c r="H22" s="76"/>
      <c r="I22" s="48"/>
      <c r="J22" s="70"/>
      <c r="K22" s="70"/>
      <c r="L22" s="227" t="s">
        <v>98</v>
      </c>
      <c r="M22" s="228" t="s">
        <v>99</v>
      </c>
      <c r="N22" s="227" t="s">
        <v>37</v>
      </c>
      <c r="O22" s="229">
        <v>1.0900000000000001</v>
      </c>
      <c r="P22" s="230">
        <v>131</v>
      </c>
      <c r="Q22" s="230">
        <v>142.79</v>
      </c>
      <c r="R22" s="182"/>
      <c r="U22" s="128"/>
    </row>
    <row r="23" spans="1:21" ht="15.6" x14ac:dyDescent="0.3">
      <c r="A23" s="53"/>
      <c r="B23" s="54"/>
      <c r="C23" s="54"/>
      <c r="D23" s="54"/>
      <c r="E23" s="55"/>
      <c r="F23" s="75"/>
      <c r="G23" s="76"/>
      <c r="H23" s="76"/>
      <c r="I23" s="48"/>
      <c r="J23" s="70"/>
      <c r="K23" s="70"/>
      <c r="L23" s="227" t="s">
        <v>1105</v>
      </c>
      <c r="M23" s="228" t="s">
        <v>1191</v>
      </c>
      <c r="N23" s="227" t="s">
        <v>37</v>
      </c>
      <c r="O23" s="229">
        <v>3</v>
      </c>
      <c r="P23" s="230">
        <v>9.58</v>
      </c>
      <c r="Q23" s="230">
        <v>28.74</v>
      </c>
      <c r="R23" s="182"/>
      <c r="U23" s="128"/>
    </row>
    <row r="24" spans="1:21" ht="15.6" x14ac:dyDescent="0.3">
      <c r="A24" s="53"/>
      <c r="B24" s="54"/>
      <c r="C24" s="54"/>
      <c r="D24" s="54"/>
      <c r="E24" s="55"/>
      <c r="F24" s="75"/>
      <c r="G24" s="76"/>
      <c r="H24" s="76"/>
      <c r="I24" s="48"/>
      <c r="J24" s="70"/>
      <c r="K24" s="70"/>
      <c r="L24" s="227" t="s">
        <v>1104</v>
      </c>
      <c r="M24" s="228" t="s">
        <v>1190</v>
      </c>
      <c r="N24" s="227" t="s">
        <v>37</v>
      </c>
      <c r="O24" s="229">
        <v>2.7</v>
      </c>
      <c r="P24" s="230">
        <v>266.25</v>
      </c>
      <c r="Q24" s="230">
        <v>718.88</v>
      </c>
      <c r="R24" s="182"/>
      <c r="U24" s="128"/>
    </row>
    <row r="25" spans="1:21" ht="15.6" x14ac:dyDescent="0.3">
      <c r="A25" s="53"/>
      <c r="B25" s="54"/>
      <c r="C25" s="54"/>
      <c r="D25" s="54"/>
      <c r="E25" s="55"/>
      <c r="F25" s="75"/>
      <c r="G25" s="76"/>
      <c r="H25" s="76"/>
      <c r="I25" s="48"/>
      <c r="J25" s="70"/>
      <c r="K25" s="70"/>
      <c r="L25" s="227" t="s">
        <v>38</v>
      </c>
      <c r="M25" s="228" t="s">
        <v>100</v>
      </c>
      <c r="N25" s="227" t="s">
        <v>37</v>
      </c>
      <c r="O25" s="229">
        <v>0.8</v>
      </c>
      <c r="P25" s="230">
        <v>71</v>
      </c>
      <c r="Q25" s="230">
        <v>56.8</v>
      </c>
      <c r="R25" s="182"/>
      <c r="U25" s="128"/>
    </row>
    <row r="26" spans="1:21" ht="15.6" x14ac:dyDescent="0.3">
      <c r="A26" s="53"/>
      <c r="B26" s="54"/>
      <c r="C26" s="54"/>
      <c r="D26" s="54"/>
      <c r="E26" s="55"/>
      <c r="F26" s="75"/>
      <c r="G26" s="76"/>
      <c r="H26" s="76"/>
      <c r="I26" s="48"/>
      <c r="J26" s="70"/>
      <c r="K26" s="70"/>
      <c r="L26" s="227" t="s">
        <v>933</v>
      </c>
      <c r="M26" s="228" t="s">
        <v>932</v>
      </c>
      <c r="N26" s="227" t="s">
        <v>37</v>
      </c>
      <c r="O26" s="229">
        <v>1.8</v>
      </c>
      <c r="P26" s="230">
        <v>18.899999999999999</v>
      </c>
      <c r="Q26" s="230">
        <v>34.020000000000003</v>
      </c>
      <c r="R26" s="182"/>
      <c r="U26" s="128"/>
    </row>
    <row r="27" spans="1:21" ht="15.6" x14ac:dyDescent="0.3">
      <c r="A27" s="53"/>
      <c r="B27" s="54"/>
      <c r="C27" s="54"/>
      <c r="D27" s="54"/>
      <c r="E27" s="55"/>
      <c r="F27" s="75"/>
      <c r="G27" s="76"/>
      <c r="H27" s="76"/>
      <c r="I27" s="48"/>
      <c r="J27" s="70"/>
      <c r="K27" s="70"/>
      <c r="L27" s="227" t="s">
        <v>1106</v>
      </c>
      <c r="M27" s="228" t="s">
        <v>1192</v>
      </c>
      <c r="N27" s="227" t="s">
        <v>1272</v>
      </c>
      <c r="O27" s="229">
        <v>93</v>
      </c>
      <c r="P27" s="230">
        <v>0.69</v>
      </c>
      <c r="Q27" s="230">
        <v>64.319999999999993</v>
      </c>
      <c r="R27" s="182"/>
      <c r="U27" s="128"/>
    </row>
    <row r="28" spans="1:21" ht="15.6" x14ac:dyDescent="0.3">
      <c r="A28" s="53"/>
      <c r="B28" s="54"/>
      <c r="C28" s="54"/>
      <c r="D28" s="54"/>
      <c r="E28" s="55"/>
      <c r="F28" s="75"/>
      <c r="G28" s="76"/>
      <c r="H28" s="76"/>
      <c r="I28" s="48"/>
      <c r="J28" s="70"/>
      <c r="K28" s="70"/>
      <c r="L28" s="227" t="s">
        <v>934</v>
      </c>
      <c r="M28" s="228" t="s">
        <v>1033</v>
      </c>
      <c r="N28" s="227" t="s">
        <v>64</v>
      </c>
      <c r="O28" s="229">
        <v>0.83299999999999996</v>
      </c>
      <c r="P28" s="230">
        <v>735.89</v>
      </c>
      <c r="Q28" s="230">
        <v>613</v>
      </c>
      <c r="R28" s="182"/>
      <c r="U28" s="128"/>
    </row>
    <row r="29" spans="1:21" ht="15.6" x14ac:dyDescent="0.3">
      <c r="A29" s="53"/>
      <c r="B29" s="54"/>
      <c r="C29" s="54"/>
      <c r="D29" s="54"/>
      <c r="E29" s="55"/>
      <c r="F29" s="75"/>
      <c r="G29" s="76"/>
      <c r="H29" s="76"/>
      <c r="I29" s="48"/>
      <c r="J29" s="70"/>
      <c r="K29" s="70"/>
      <c r="L29" s="227" t="s">
        <v>935</v>
      </c>
      <c r="M29" s="228" t="s">
        <v>1034</v>
      </c>
      <c r="N29" s="227" t="s">
        <v>64</v>
      </c>
      <c r="O29" s="229">
        <v>23</v>
      </c>
      <c r="P29" s="230">
        <v>736.65</v>
      </c>
      <c r="Q29" s="264">
        <v>16942.95</v>
      </c>
      <c r="R29" s="182"/>
      <c r="U29" s="128"/>
    </row>
    <row r="30" spans="1:21" ht="15.6" x14ac:dyDescent="0.3">
      <c r="A30" s="53"/>
      <c r="B30" s="54"/>
      <c r="C30" s="54"/>
      <c r="D30" s="54"/>
      <c r="E30" s="55"/>
      <c r="F30" s="75"/>
      <c r="G30" s="76"/>
      <c r="H30" s="76"/>
      <c r="I30" s="48"/>
      <c r="J30" s="70"/>
      <c r="K30" s="70"/>
      <c r="L30" s="227" t="s">
        <v>936</v>
      </c>
      <c r="M30" s="228" t="s">
        <v>1035</v>
      </c>
      <c r="N30" s="227" t="s">
        <v>64</v>
      </c>
      <c r="O30" s="229">
        <v>2</v>
      </c>
      <c r="P30" s="230">
        <v>736.67</v>
      </c>
      <c r="Q30" s="264">
        <v>1473.33</v>
      </c>
      <c r="R30" s="182"/>
      <c r="U30" s="128"/>
    </row>
    <row r="31" spans="1:21" ht="15.6" x14ac:dyDescent="0.3">
      <c r="A31" s="53"/>
      <c r="B31" s="54"/>
      <c r="C31" s="54"/>
      <c r="D31" s="54"/>
      <c r="E31" s="55"/>
      <c r="F31" s="75"/>
      <c r="G31" s="76"/>
      <c r="H31" s="76"/>
      <c r="I31" s="48"/>
      <c r="J31" s="70"/>
      <c r="K31" s="70"/>
      <c r="L31" s="227" t="s">
        <v>1284</v>
      </c>
      <c r="M31" s="228" t="s">
        <v>1319</v>
      </c>
      <c r="N31" s="227" t="s">
        <v>269</v>
      </c>
      <c r="O31" s="229">
        <v>1</v>
      </c>
      <c r="P31" s="264">
        <v>1251</v>
      </c>
      <c r="Q31" s="264">
        <v>1251</v>
      </c>
      <c r="R31" s="182"/>
      <c r="U31" s="128"/>
    </row>
    <row r="32" spans="1:21" ht="15.6" x14ac:dyDescent="0.3">
      <c r="A32" s="53"/>
      <c r="B32" s="54"/>
      <c r="C32" s="54"/>
      <c r="D32" s="54"/>
      <c r="E32" s="55"/>
      <c r="F32" s="75"/>
      <c r="G32" s="76"/>
      <c r="H32" s="76"/>
      <c r="I32" s="48"/>
      <c r="J32" s="70"/>
      <c r="K32" s="70"/>
      <c r="L32" s="227" t="s">
        <v>938</v>
      </c>
      <c r="M32" s="228" t="s">
        <v>1037</v>
      </c>
      <c r="N32" s="227" t="s">
        <v>269</v>
      </c>
      <c r="O32" s="229">
        <v>2</v>
      </c>
      <c r="P32" s="230">
        <v>813</v>
      </c>
      <c r="Q32" s="264">
        <v>1626</v>
      </c>
      <c r="R32" s="182"/>
      <c r="U32" s="128"/>
    </row>
    <row r="33" spans="1:21" ht="15.6" x14ac:dyDescent="0.3">
      <c r="A33" s="53"/>
      <c r="B33" s="54"/>
      <c r="C33" s="54"/>
      <c r="D33" s="54"/>
      <c r="E33" s="55"/>
      <c r="F33" s="75"/>
      <c r="G33" s="76"/>
      <c r="H33" s="76"/>
      <c r="I33" s="48"/>
      <c r="J33" s="70"/>
      <c r="K33" s="70"/>
      <c r="L33" s="227" t="s">
        <v>937</v>
      </c>
      <c r="M33" s="228" t="s">
        <v>1036</v>
      </c>
      <c r="N33" s="227" t="s">
        <v>269</v>
      </c>
      <c r="O33" s="229">
        <v>2</v>
      </c>
      <c r="P33" s="230">
        <v>774</v>
      </c>
      <c r="Q33" s="264">
        <v>1547.99</v>
      </c>
      <c r="R33" s="182"/>
      <c r="U33" s="128"/>
    </row>
    <row r="34" spans="1:21" ht="15.6" x14ac:dyDescent="0.3">
      <c r="A34" s="53"/>
      <c r="B34" s="54"/>
      <c r="C34" s="54"/>
      <c r="D34" s="54"/>
      <c r="E34" s="55"/>
      <c r="F34" s="75"/>
      <c r="G34" s="76"/>
      <c r="H34" s="76"/>
      <c r="I34" s="48"/>
      <c r="J34" s="70"/>
      <c r="K34" s="70"/>
      <c r="L34" s="227" t="s">
        <v>440</v>
      </c>
      <c r="M34" s="228" t="s">
        <v>441</v>
      </c>
      <c r="N34" s="227" t="s">
        <v>442</v>
      </c>
      <c r="O34" s="229">
        <v>3</v>
      </c>
      <c r="P34" s="230">
        <v>75.22</v>
      </c>
      <c r="Q34" s="230">
        <v>225.66</v>
      </c>
      <c r="R34" s="182"/>
      <c r="U34" s="128"/>
    </row>
    <row r="35" spans="1:21" ht="15.6" x14ac:dyDescent="0.3">
      <c r="A35" s="53"/>
      <c r="B35" s="54"/>
      <c r="C35" s="54"/>
      <c r="D35" s="54"/>
      <c r="E35" s="55"/>
      <c r="F35" s="75"/>
      <c r="G35" s="76"/>
      <c r="H35" s="76"/>
      <c r="I35" s="48"/>
      <c r="J35" s="70"/>
      <c r="K35" s="70"/>
      <c r="L35" s="227" t="s">
        <v>939</v>
      </c>
      <c r="M35" s="228" t="s">
        <v>798</v>
      </c>
      <c r="N35" s="227" t="s">
        <v>63</v>
      </c>
      <c r="O35" s="229">
        <v>0.18</v>
      </c>
      <c r="P35" s="264">
        <v>28501.67</v>
      </c>
      <c r="Q35" s="264">
        <v>5130.3</v>
      </c>
      <c r="R35" s="182"/>
      <c r="U35" s="128"/>
    </row>
    <row r="36" spans="1:21" ht="15.6" x14ac:dyDescent="0.3">
      <c r="A36" s="53"/>
      <c r="B36" s="54"/>
      <c r="C36" s="54"/>
      <c r="D36" s="54"/>
      <c r="E36" s="55"/>
      <c r="F36" s="75"/>
      <c r="G36" s="76"/>
      <c r="H36" s="76"/>
      <c r="I36" s="48"/>
      <c r="J36" s="70"/>
      <c r="K36" s="70"/>
      <c r="L36" s="227" t="s">
        <v>940</v>
      </c>
      <c r="M36" s="228" t="s">
        <v>1038</v>
      </c>
      <c r="N36" s="227" t="s">
        <v>63</v>
      </c>
      <c r="O36" s="229">
        <v>1.4999999999999999E-2</v>
      </c>
      <c r="P36" s="264">
        <v>32907.33</v>
      </c>
      <c r="Q36" s="230">
        <v>493.61</v>
      </c>
      <c r="R36" s="182"/>
      <c r="U36" s="128"/>
    </row>
    <row r="37" spans="1:21" ht="15.6" x14ac:dyDescent="0.3">
      <c r="A37" s="53"/>
      <c r="B37" s="54"/>
      <c r="C37" s="54"/>
      <c r="D37" s="54"/>
      <c r="E37" s="55"/>
      <c r="F37" s="75"/>
      <c r="G37" s="76"/>
      <c r="H37" s="76"/>
      <c r="I37" s="48"/>
      <c r="J37" s="70"/>
      <c r="K37" s="70"/>
      <c r="L37" s="227" t="s">
        <v>1846</v>
      </c>
      <c r="M37" s="228" t="s">
        <v>1848</v>
      </c>
      <c r="N37" s="227" t="s">
        <v>63</v>
      </c>
      <c r="O37" s="229">
        <v>3.5999999999999997E-2</v>
      </c>
      <c r="P37" s="264">
        <v>35332.78</v>
      </c>
      <c r="Q37" s="264">
        <v>1271.98</v>
      </c>
      <c r="R37" s="182"/>
      <c r="U37" s="128"/>
    </row>
    <row r="38" spans="1:21" ht="15.6" x14ac:dyDescent="0.3">
      <c r="A38" s="53"/>
      <c r="B38" s="54"/>
      <c r="C38" s="54"/>
      <c r="D38" s="54"/>
      <c r="E38" s="55"/>
      <c r="F38" s="75"/>
      <c r="G38" s="76"/>
      <c r="H38" s="76"/>
      <c r="I38" s="48"/>
      <c r="J38" s="70"/>
      <c r="K38" s="70"/>
      <c r="L38" s="227" t="s">
        <v>1109</v>
      </c>
      <c r="M38" s="228" t="s">
        <v>1195</v>
      </c>
      <c r="N38" s="227" t="s">
        <v>903</v>
      </c>
      <c r="O38" s="229">
        <v>9.0999999999999998E-2</v>
      </c>
      <c r="P38" s="264">
        <v>3916.7</v>
      </c>
      <c r="Q38" s="230">
        <v>356.42</v>
      </c>
      <c r="R38" s="182"/>
      <c r="U38" s="128"/>
    </row>
    <row r="39" spans="1:21" ht="15.6" x14ac:dyDescent="0.3">
      <c r="A39" s="53"/>
      <c r="B39" s="54"/>
      <c r="C39" s="54"/>
      <c r="D39" s="54"/>
      <c r="E39" s="55"/>
      <c r="F39" s="75"/>
      <c r="G39" s="76"/>
      <c r="H39" s="76"/>
      <c r="I39" s="48"/>
      <c r="J39" s="70"/>
      <c r="K39" s="70"/>
      <c r="L39" s="227" t="s">
        <v>941</v>
      </c>
      <c r="M39" s="228" t="s">
        <v>1040</v>
      </c>
      <c r="N39" s="227" t="s">
        <v>903</v>
      </c>
      <c r="O39" s="229">
        <v>0.104</v>
      </c>
      <c r="P39" s="264">
        <v>9754.1299999999992</v>
      </c>
      <c r="Q39" s="264">
        <v>1014.43</v>
      </c>
      <c r="R39" s="182"/>
      <c r="U39" s="128"/>
    </row>
    <row r="40" spans="1:21" ht="15.6" x14ac:dyDescent="0.3">
      <c r="A40" s="53"/>
      <c r="B40" s="54"/>
      <c r="C40" s="54"/>
      <c r="D40" s="54"/>
      <c r="E40" s="55"/>
      <c r="F40" s="75"/>
      <c r="G40" s="76"/>
      <c r="H40" s="76"/>
      <c r="I40" s="48"/>
      <c r="J40" s="70"/>
      <c r="K40" s="70"/>
      <c r="L40" s="227" t="s">
        <v>741</v>
      </c>
      <c r="M40" s="228" t="s">
        <v>742</v>
      </c>
      <c r="N40" s="227" t="s">
        <v>903</v>
      </c>
      <c r="O40" s="229">
        <v>0.436</v>
      </c>
      <c r="P40" s="264">
        <v>10020.57</v>
      </c>
      <c r="Q40" s="264">
        <v>4368.97</v>
      </c>
      <c r="R40" s="182"/>
      <c r="U40" s="128"/>
    </row>
    <row r="41" spans="1:21" ht="15.6" x14ac:dyDescent="0.3">
      <c r="A41" s="53"/>
      <c r="B41" s="54"/>
      <c r="C41" s="54"/>
      <c r="D41" s="54"/>
      <c r="E41" s="55"/>
      <c r="F41" s="75"/>
      <c r="G41" s="76"/>
      <c r="H41" s="76"/>
      <c r="I41" s="48"/>
      <c r="J41" s="70"/>
      <c r="K41" s="70"/>
      <c r="L41" s="227" t="s">
        <v>943</v>
      </c>
      <c r="M41" s="228" t="s">
        <v>745</v>
      </c>
      <c r="N41" s="227" t="s">
        <v>903</v>
      </c>
      <c r="O41" s="229">
        <v>0.127</v>
      </c>
      <c r="P41" s="264">
        <v>9590</v>
      </c>
      <c r="Q41" s="264">
        <v>1217.93</v>
      </c>
      <c r="R41" s="182"/>
      <c r="U41" s="128"/>
    </row>
    <row r="42" spans="1:21" ht="15.6" x14ac:dyDescent="0.3">
      <c r="A42" s="53"/>
      <c r="B42" s="54"/>
      <c r="C42" s="54"/>
      <c r="D42" s="54"/>
      <c r="E42" s="55"/>
      <c r="F42" s="75"/>
      <c r="G42" s="76"/>
      <c r="H42" s="76"/>
      <c r="I42" s="48"/>
      <c r="J42" s="70"/>
      <c r="K42" s="70"/>
      <c r="L42" s="227" t="s">
        <v>743</v>
      </c>
      <c r="M42" s="228" t="s">
        <v>744</v>
      </c>
      <c r="N42" s="227" t="s">
        <v>903</v>
      </c>
      <c r="O42" s="229">
        <v>1.2</v>
      </c>
      <c r="P42" s="264">
        <v>9590</v>
      </c>
      <c r="Q42" s="264">
        <v>11508</v>
      </c>
      <c r="R42" s="182"/>
      <c r="U42" s="128"/>
    </row>
    <row r="43" spans="1:21" ht="15.6" x14ac:dyDescent="0.3">
      <c r="A43" s="53"/>
      <c r="B43" s="54"/>
      <c r="C43" s="54"/>
      <c r="D43" s="54"/>
      <c r="E43" s="55"/>
      <c r="F43" s="75"/>
      <c r="G43" s="76"/>
      <c r="H43" s="76"/>
      <c r="I43" s="48"/>
      <c r="J43" s="70"/>
      <c r="K43" s="70"/>
      <c r="L43" s="227" t="s">
        <v>1112</v>
      </c>
      <c r="M43" s="228" t="s">
        <v>1198</v>
      </c>
      <c r="N43" s="227" t="s">
        <v>903</v>
      </c>
      <c r="O43" s="229">
        <v>0.4</v>
      </c>
      <c r="P43" s="264">
        <v>24113</v>
      </c>
      <c r="Q43" s="264">
        <v>9645.2000000000007</v>
      </c>
      <c r="R43" s="182"/>
      <c r="U43" s="128"/>
    </row>
    <row r="44" spans="1:21" ht="15.6" x14ac:dyDescent="0.3">
      <c r="A44" s="53"/>
      <c r="B44" s="54"/>
      <c r="C44" s="54"/>
      <c r="D44" s="54"/>
      <c r="E44" s="55"/>
      <c r="F44" s="75"/>
      <c r="G44" s="76"/>
      <c r="H44" s="76"/>
      <c r="I44" s="48"/>
      <c r="J44" s="70"/>
      <c r="K44" s="70"/>
      <c r="L44" s="227" t="s">
        <v>942</v>
      </c>
      <c r="M44" s="228" t="s">
        <v>740</v>
      </c>
      <c r="N44" s="227" t="s">
        <v>903</v>
      </c>
      <c r="O44" s="229">
        <v>0.9</v>
      </c>
      <c r="P44" s="264">
        <v>10102</v>
      </c>
      <c r="Q44" s="264">
        <v>9091.7999999999993</v>
      </c>
      <c r="R44" s="182"/>
      <c r="U44" s="128"/>
    </row>
    <row r="45" spans="1:21" ht="15.6" x14ac:dyDescent="0.3">
      <c r="A45" s="53"/>
      <c r="B45" s="54"/>
      <c r="C45" s="54"/>
      <c r="D45" s="54"/>
      <c r="E45" s="55"/>
      <c r="F45" s="75"/>
      <c r="G45" s="76"/>
      <c r="H45" s="76"/>
      <c r="I45" s="48"/>
      <c r="J45" s="70"/>
      <c r="K45" s="70"/>
      <c r="L45" s="227" t="s">
        <v>1283</v>
      </c>
      <c r="M45" s="228" t="s">
        <v>1318</v>
      </c>
      <c r="N45" s="227" t="s">
        <v>903</v>
      </c>
      <c r="O45" s="229">
        <v>0.5</v>
      </c>
      <c r="P45" s="264">
        <v>9004.06</v>
      </c>
      <c r="Q45" s="264">
        <v>4502.03</v>
      </c>
      <c r="R45" s="182"/>
      <c r="U45" s="128"/>
    </row>
    <row r="46" spans="1:21" ht="15.6" x14ac:dyDescent="0.3">
      <c r="A46" s="53"/>
      <c r="B46" s="54"/>
      <c r="C46" s="54"/>
      <c r="D46" s="54"/>
      <c r="E46" s="55"/>
      <c r="F46" s="75"/>
      <c r="G46" s="76"/>
      <c r="H46" s="76"/>
      <c r="I46" s="48"/>
      <c r="J46" s="70"/>
      <c r="K46" s="70"/>
      <c r="L46" s="227" t="s">
        <v>1110</v>
      </c>
      <c r="M46" s="228" t="s">
        <v>1196</v>
      </c>
      <c r="N46" s="227" t="s">
        <v>903</v>
      </c>
      <c r="O46" s="229">
        <v>0.3</v>
      </c>
      <c r="P46" s="264">
        <v>26855</v>
      </c>
      <c r="Q46" s="264">
        <v>8056.5</v>
      </c>
      <c r="R46" s="182"/>
      <c r="U46" s="128"/>
    </row>
    <row r="47" spans="1:21" ht="15.6" x14ac:dyDescent="0.3">
      <c r="A47" s="53"/>
      <c r="B47" s="54"/>
      <c r="C47" s="54"/>
      <c r="D47" s="54"/>
      <c r="E47" s="55"/>
      <c r="F47" s="75"/>
      <c r="G47" s="76"/>
      <c r="H47" s="76"/>
      <c r="I47" s="48"/>
      <c r="J47" s="70"/>
      <c r="K47" s="70"/>
      <c r="L47" s="227" t="s">
        <v>1111</v>
      </c>
      <c r="M47" s="228" t="s">
        <v>1197</v>
      </c>
      <c r="N47" s="227" t="s">
        <v>903</v>
      </c>
      <c r="O47" s="229">
        <v>0.08</v>
      </c>
      <c r="P47" s="264">
        <v>26855</v>
      </c>
      <c r="Q47" s="264">
        <v>2148.4</v>
      </c>
      <c r="R47" s="182"/>
      <c r="U47" s="128"/>
    </row>
    <row r="48" spans="1:21" ht="15.6" x14ac:dyDescent="0.3">
      <c r="A48" s="53"/>
      <c r="B48" s="54"/>
      <c r="C48" s="54"/>
      <c r="D48" s="54"/>
      <c r="E48" s="55"/>
      <c r="F48" s="75"/>
      <c r="G48" s="76"/>
      <c r="H48" s="76"/>
      <c r="I48" s="48"/>
      <c r="J48" s="70"/>
      <c r="K48" s="70"/>
      <c r="L48" s="227" t="s">
        <v>902</v>
      </c>
      <c r="M48" s="228" t="s">
        <v>1039</v>
      </c>
      <c r="N48" s="227" t="s">
        <v>903</v>
      </c>
      <c r="O48" s="229">
        <v>0.30499999999999999</v>
      </c>
      <c r="P48" s="264">
        <v>25111.08</v>
      </c>
      <c r="Q48" s="264">
        <v>7658.88</v>
      </c>
      <c r="R48" s="182"/>
      <c r="U48" s="128"/>
    </row>
    <row r="49" spans="1:21" ht="15.6" x14ac:dyDescent="0.3">
      <c r="A49" s="53"/>
      <c r="B49" s="54"/>
      <c r="C49" s="54"/>
      <c r="D49" s="54"/>
      <c r="E49" s="55"/>
      <c r="F49" s="75"/>
      <c r="G49" s="76"/>
      <c r="H49" s="76"/>
      <c r="I49" s="48"/>
      <c r="J49" s="70"/>
      <c r="K49" s="70"/>
      <c r="L49" s="227" t="s">
        <v>1113</v>
      </c>
      <c r="M49" s="228" t="s">
        <v>1199</v>
      </c>
      <c r="N49" s="227" t="s">
        <v>903</v>
      </c>
      <c r="O49" s="229">
        <v>0.11</v>
      </c>
      <c r="P49" s="264">
        <v>10416.73</v>
      </c>
      <c r="Q49" s="264">
        <v>1145.8399999999999</v>
      </c>
      <c r="R49" s="182"/>
      <c r="U49" s="128"/>
    </row>
    <row r="50" spans="1:21" ht="15.6" x14ac:dyDescent="0.3">
      <c r="A50" s="53"/>
      <c r="B50" s="54"/>
      <c r="C50" s="54"/>
      <c r="D50" s="54"/>
      <c r="E50" s="55"/>
      <c r="F50" s="75"/>
      <c r="G50" s="76"/>
      <c r="H50" s="76"/>
      <c r="I50" s="48"/>
      <c r="J50" s="70"/>
      <c r="K50" s="70"/>
      <c r="L50" s="227" t="s">
        <v>1108</v>
      </c>
      <c r="M50" s="228" t="s">
        <v>1194</v>
      </c>
      <c r="N50" s="227" t="s">
        <v>903</v>
      </c>
      <c r="O50" s="229">
        <v>3</v>
      </c>
      <c r="P50" s="264">
        <v>1192.4100000000001</v>
      </c>
      <c r="Q50" s="264">
        <v>3577.24</v>
      </c>
      <c r="R50" s="182"/>
      <c r="U50" s="128"/>
    </row>
    <row r="51" spans="1:21" ht="30" x14ac:dyDescent="0.3">
      <c r="A51" s="53"/>
      <c r="B51" s="54"/>
      <c r="C51" s="54"/>
      <c r="D51" s="54"/>
      <c r="E51" s="55"/>
      <c r="F51" s="75"/>
      <c r="G51" s="76"/>
      <c r="H51" s="76"/>
      <c r="I51" s="48"/>
      <c r="J51" s="70"/>
      <c r="K51" s="70"/>
      <c r="L51" s="227" t="s">
        <v>1360</v>
      </c>
      <c r="M51" s="228" t="s">
        <v>1389</v>
      </c>
      <c r="N51" s="227" t="s">
        <v>903</v>
      </c>
      <c r="O51" s="229">
        <v>0.25</v>
      </c>
      <c r="P51" s="264">
        <v>3625</v>
      </c>
      <c r="Q51" s="230">
        <v>906.25</v>
      </c>
      <c r="R51" s="182"/>
      <c r="U51" s="128"/>
    </row>
    <row r="52" spans="1:21" ht="15.6" x14ac:dyDescent="0.3">
      <c r="A52" s="53"/>
      <c r="B52" s="54"/>
      <c r="C52" s="54"/>
      <c r="D52" s="54"/>
      <c r="E52" s="55"/>
      <c r="F52" s="75"/>
      <c r="G52" s="76"/>
      <c r="H52" s="76"/>
      <c r="I52" s="48"/>
      <c r="J52" s="70"/>
      <c r="K52" s="70"/>
      <c r="L52" s="227" t="s">
        <v>1366</v>
      </c>
      <c r="M52" s="228" t="s">
        <v>1395</v>
      </c>
      <c r="N52" s="227" t="s">
        <v>903</v>
      </c>
      <c r="O52" s="229">
        <v>6.0999999999999999E-2</v>
      </c>
      <c r="P52" s="264">
        <v>24262.46</v>
      </c>
      <c r="Q52" s="264">
        <v>1480.01</v>
      </c>
      <c r="R52" s="182"/>
      <c r="U52" s="128"/>
    </row>
    <row r="53" spans="1:21" ht="15.6" x14ac:dyDescent="0.3">
      <c r="A53" s="53"/>
      <c r="B53" s="54"/>
      <c r="C53" s="54"/>
      <c r="D53" s="54"/>
      <c r="E53" s="55"/>
      <c r="F53" s="75"/>
      <c r="G53" s="76"/>
      <c r="H53" s="76"/>
      <c r="I53" s="48"/>
      <c r="J53" s="70"/>
      <c r="K53" s="70"/>
      <c r="L53" s="227" t="s">
        <v>1381</v>
      </c>
      <c r="M53" s="228" t="s">
        <v>1409</v>
      </c>
      <c r="N53" s="227" t="s">
        <v>1411</v>
      </c>
      <c r="O53" s="229">
        <v>1</v>
      </c>
      <c r="P53" s="230">
        <v>109.44</v>
      </c>
      <c r="Q53" s="230">
        <v>109.44</v>
      </c>
      <c r="R53" s="182"/>
      <c r="U53" s="128"/>
    </row>
    <row r="54" spans="1:21" ht="15.6" x14ac:dyDescent="0.3">
      <c r="A54" s="53"/>
      <c r="B54" s="54"/>
      <c r="C54" s="54"/>
      <c r="D54" s="54"/>
      <c r="E54" s="55"/>
      <c r="F54" s="75"/>
      <c r="G54" s="76"/>
      <c r="H54" s="76"/>
      <c r="I54" s="48"/>
      <c r="J54" s="70"/>
      <c r="K54" s="70"/>
      <c r="L54" s="227" t="s">
        <v>207</v>
      </c>
      <c r="M54" s="228" t="s">
        <v>858</v>
      </c>
      <c r="N54" s="227" t="s">
        <v>68</v>
      </c>
      <c r="O54" s="229">
        <v>1.4</v>
      </c>
      <c r="P54" s="230">
        <v>343.29</v>
      </c>
      <c r="Q54" s="230">
        <v>480.6</v>
      </c>
      <c r="R54" s="182"/>
      <c r="U54" s="128"/>
    </row>
    <row r="55" spans="1:21" ht="15.6" x14ac:dyDescent="0.3">
      <c r="A55" s="53"/>
      <c r="B55" s="54"/>
      <c r="C55" s="54"/>
      <c r="D55" s="54"/>
      <c r="E55" s="55"/>
      <c r="F55" s="75"/>
      <c r="G55" s="76"/>
      <c r="H55" s="76"/>
      <c r="I55" s="48"/>
      <c r="J55" s="70"/>
      <c r="K55" s="70"/>
      <c r="L55" s="227" t="s">
        <v>1115</v>
      </c>
      <c r="M55" s="228" t="s">
        <v>1201</v>
      </c>
      <c r="N55" s="227" t="s">
        <v>68</v>
      </c>
      <c r="O55" s="229">
        <v>1.2</v>
      </c>
      <c r="P55" s="230">
        <v>186.67</v>
      </c>
      <c r="Q55" s="230">
        <v>224</v>
      </c>
      <c r="R55" s="182"/>
      <c r="U55" s="128"/>
    </row>
    <row r="56" spans="1:21" ht="15.6" x14ac:dyDescent="0.3">
      <c r="A56" s="53"/>
      <c r="B56" s="54"/>
      <c r="C56" s="54"/>
      <c r="D56" s="54"/>
      <c r="E56" s="55"/>
      <c r="F56" s="75"/>
      <c r="G56" s="76"/>
      <c r="H56" s="76"/>
      <c r="I56" s="48"/>
      <c r="J56" s="70"/>
      <c r="K56" s="70"/>
      <c r="L56" s="227" t="s">
        <v>1116</v>
      </c>
      <c r="M56" s="228" t="s">
        <v>1202</v>
      </c>
      <c r="N56" s="227" t="s">
        <v>68</v>
      </c>
      <c r="O56" s="229">
        <v>25.6</v>
      </c>
      <c r="P56" s="230">
        <v>167.22</v>
      </c>
      <c r="Q56" s="264">
        <v>4280.7299999999996</v>
      </c>
      <c r="R56" s="182"/>
      <c r="U56" s="128"/>
    </row>
    <row r="57" spans="1:21" ht="15.6" x14ac:dyDescent="0.3">
      <c r="A57" s="53"/>
      <c r="B57" s="54"/>
      <c r="C57" s="54"/>
      <c r="D57" s="54"/>
      <c r="E57" s="55"/>
      <c r="F57" s="75"/>
      <c r="G57" s="76"/>
      <c r="H57" s="76"/>
      <c r="I57" s="48"/>
      <c r="J57" s="70"/>
      <c r="K57" s="70"/>
      <c r="L57" s="227" t="s">
        <v>1114</v>
      </c>
      <c r="M57" s="228" t="s">
        <v>1200</v>
      </c>
      <c r="N57" s="227" t="s">
        <v>68</v>
      </c>
      <c r="O57" s="229">
        <v>2</v>
      </c>
      <c r="P57" s="230">
        <v>36</v>
      </c>
      <c r="Q57" s="230">
        <v>72</v>
      </c>
      <c r="R57" s="182"/>
      <c r="U57" s="128"/>
    </row>
    <row r="58" spans="1:21" ht="15.6" x14ac:dyDescent="0.3">
      <c r="A58" s="53"/>
      <c r="B58" s="54"/>
      <c r="C58" s="54"/>
      <c r="D58" s="54"/>
      <c r="E58" s="55"/>
      <c r="F58" s="75"/>
      <c r="G58" s="76"/>
      <c r="H58" s="76"/>
      <c r="I58" s="48"/>
      <c r="J58" s="70"/>
      <c r="K58" s="70"/>
      <c r="L58" s="227" t="s">
        <v>882</v>
      </c>
      <c r="M58" s="228" t="s">
        <v>883</v>
      </c>
      <c r="N58" s="227" t="s">
        <v>68</v>
      </c>
      <c r="O58" s="229">
        <v>2</v>
      </c>
      <c r="P58" s="230">
        <v>188.33</v>
      </c>
      <c r="Q58" s="230">
        <v>376.66</v>
      </c>
      <c r="R58" s="182"/>
      <c r="U58" s="128"/>
    </row>
    <row r="59" spans="1:21" ht="15.6" x14ac:dyDescent="0.3">
      <c r="A59" s="53"/>
      <c r="B59" s="54"/>
      <c r="C59" s="54"/>
      <c r="D59" s="54"/>
      <c r="E59" s="55"/>
      <c r="F59" s="75"/>
      <c r="G59" s="76"/>
      <c r="H59" s="76"/>
      <c r="I59" s="48"/>
      <c r="J59" s="70"/>
      <c r="K59" s="70"/>
      <c r="L59" s="227" t="s">
        <v>1117</v>
      </c>
      <c r="M59" s="228" t="s">
        <v>1203</v>
      </c>
      <c r="N59" s="227" t="s">
        <v>68</v>
      </c>
      <c r="O59" s="229">
        <v>6.75</v>
      </c>
      <c r="P59" s="230">
        <v>188.33</v>
      </c>
      <c r="Q59" s="264">
        <v>1271.23</v>
      </c>
      <c r="R59" s="182"/>
      <c r="U59" s="128"/>
    </row>
    <row r="60" spans="1:21" ht="15.6" x14ac:dyDescent="0.3">
      <c r="A60" s="53"/>
      <c r="B60" s="54"/>
      <c r="C60" s="54"/>
      <c r="D60" s="54"/>
      <c r="E60" s="55"/>
      <c r="F60" s="75"/>
      <c r="G60" s="76"/>
      <c r="H60" s="76"/>
      <c r="I60" s="48"/>
      <c r="J60" s="70"/>
      <c r="K60" s="70"/>
      <c r="L60" s="227" t="s">
        <v>1118</v>
      </c>
      <c r="M60" s="228" t="s">
        <v>1204</v>
      </c>
      <c r="N60" s="227" t="s">
        <v>68</v>
      </c>
      <c r="O60" s="229">
        <v>60</v>
      </c>
      <c r="P60" s="230">
        <v>27</v>
      </c>
      <c r="Q60" s="264">
        <v>1620</v>
      </c>
      <c r="R60" s="182"/>
      <c r="U60" s="128"/>
    </row>
    <row r="61" spans="1:21" ht="15.6" x14ac:dyDescent="0.3">
      <c r="A61" s="53"/>
      <c r="B61" s="54"/>
      <c r="C61" s="54"/>
      <c r="D61" s="54"/>
      <c r="E61" s="55"/>
      <c r="F61" s="75"/>
      <c r="G61" s="76"/>
      <c r="H61" s="76"/>
      <c r="I61" s="48"/>
      <c r="J61" s="70"/>
      <c r="K61" s="70"/>
      <c r="L61" s="227" t="s">
        <v>391</v>
      </c>
      <c r="M61" s="228" t="s">
        <v>392</v>
      </c>
      <c r="N61" s="227" t="s">
        <v>68</v>
      </c>
      <c r="O61" s="229">
        <v>3</v>
      </c>
      <c r="P61" s="264">
        <v>5102.0200000000004</v>
      </c>
      <c r="Q61" s="264">
        <v>15306.06</v>
      </c>
      <c r="R61" s="182"/>
      <c r="U61" s="128"/>
    </row>
    <row r="62" spans="1:21" ht="15.6" x14ac:dyDescent="0.3">
      <c r="A62" s="53"/>
      <c r="B62" s="54"/>
      <c r="C62" s="54"/>
      <c r="D62" s="54"/>
      <c r="E62" s="55"/>
      <c r="F62" s="75"/>
      <c r="G62" s="76"/>
      <c r="H62" s="76"/>
      <c r="I62" s="48"/>
      <c r="J62" s="70"/>
      <c r="K62" s="70"/>
      <c r="L62" s="227" t="s">
        <v>945</v>
      </c>
      <c r="M62" s="228" t="s">
        <v>1032</v>
      </c>
      <c r="N62" s="227" t="s">
        <v>68</v>
      </c>
      <c r="O62" s="229">
        <v>41</v>
      </c>
      <c r="P62" s="230">
        <v>302.5</v>
      </c>
      <c r="Q62" s="264">
        <v>12402.5</v>
      </c>
      <c r="R62" s="182"/>
      <c r="U62" s="128"/>
    </row>
    <row r="63" spans="1:21" ht="15.6" x14ac:dyDescent="0.3">
      <c r="A63" s="53"/>
      <c r="B63" s="54"/>
      <c r="C63" s="54"/>
      <c r="D63" s="54"/>
      <c r="E63" s="55"/>
      <c r="F63" s="75"/>
      <c r="G63" s="76"/>
      <c r="H63" s="76"/>
      <c r="I63" s="48"/>
      <c r="J63" s="70"/>
      <c r="K63" s="70"/>
      <c r="L63" s="227" t="s">
        <v>747</v>
      </c>
      <c r="M63" s="228" t="s">
        <v>748</v>
      </c>
      <c r="N63" s="227" t="s">
        <v>68</v>
      </c>
      <c r="O63" s="229">
        <v>73</v>
      </c>
      <c r="P63" s="230">
        <v>280</v>
      </c>
      <c r="Q63" s="264">
        <v>20440</v>
      </c>
      <c r="R63" s="182"/>
      <c r="U63" s="128"/>
    </row>
    <row r="64" spans="1:21" ht="15.6" x14ac:dyDescent="0.3">
      <c r="A64" s="53"/>
      <c r="B64" s="54"/>
      <c r="C64" s="54"/>
      <c r="D64" s="54"/>
      <c r="E64" s="55"/>
      <c r="F64" s="75"/>
      <c r="G64" s="76"/>
      <c r="H64" s="76"/>
      <c r="I64" s="48"/>
      <c r="J64" s="70"/>
      <c r="K64" s="70"/>
      <c r="L64" s="227" t="s">
        <v>909</v>
      </c>
      <c r="M64" s="228" t="s">
        <v>910</v>
      </c>
      <c r="N64" s="227" t="s">
        <v>68</v>
      </c>
      <c r="O64" s="229">
        <v>0.41699999999999998</v>
      </c>
      <c r="P64" s="230">
        <v>748.99</v>
      </c>
      <c r="Q64" s="230">
        <v>312.33</v>
      </c>
      <c r="R64" s="182"/>
      <c r="U64" s="128"/>
    </row>
    <row r="65" spans="1:21" ht="15.6" x14ac:dyDescent="0.3">
      <c r="A65" s="53"/>
      <c r="B65" s="54"/>
      <c r="C65" s="54"/>
      <c r="D65" s="54"/>
      <c r="E65" s="55"/>
      <c r="F65" s="75"/>
      <c r="G65" s="76"/>
      <c r="H65" s="76"/>
      <c r="I65" s="48"/>
      <c r="J65" s="70"/>
      <c r="K65" s="70"/>
      <c r="L65" s="227" t="s">
        <v>884</v>
      </c>
      <c r="M65" s="228" t="s">
        <v>885</v>
      </c>
      <c r="N65" s="227" t="s">
        <v>82</v>
      </c>
      <c r="O65" s="229">
        <v>1</v>
      </c>
      <c r="P65" s="264">
        <v>18062</v>
      </c>
      <c r="Q65" s="264">
        <v>18062</v>
      </c>
      <c r="R65" s="182"/>
      <c r="U65" s="128"/>
    </row>
    <row r="66" spans="1:21" ht="15.6" x14ac:dyDescent="0.3">
      <c r="A66" s="53"/>
      <c r="B66" s="54"/>
      <c r="C66" s="54"/>
      <c r="D66" s="54"/>
      <c r="E66" s="55"/>
      <c r="F66" s="75"/>
      <c r="G66" s="76"/>
      <c r="H66" s="76"/>
      <c r="I66" s="48"/>
      <c r="J66" s="70"/>
      <c r="K66" s="70"/>
      <c r="L66" s="227" t="s">
        <v>889</v>
      </c>
      <c r="M66" s="228" t="s">
        <v>890</v>
      </c>
      <c r="N66" s="227" t="s">
        <v>82</v>
      </c>
      <c r="O66" s="229">
        <v>1</v>
      </c>
      <c r="P66" s="264">
        <v>22261</v>
      </c>
      <c r="Q66" s="264">
        <v>22261</v>
      </c>
      <c r="R66" s="182"/>
      <c r="U66" s="128"/>
    </row>
    <row r="67" spans="1:21" ht="15.6" x14ac:dyDescent="0.3">
      <c r="A67" s="53"/>
      <c r="B67" s="54"/>
      <c r="C67" s="54"/>
      <c r="D67" s="54"/>
      <c r="E67" s="55"/>
      <c r="F67" s="75"/>
      <c r="G67" s="76"/>
      <c r="H67" s="76"/>
      <c r="I67" s="48"/>
      <c r="J67" s="70"/>
      <c r="K67" s="70"/>
      <c r="L67" s="227" t="s">
        <v>1119</v>
      </c>
      <c r="M67" s="228" t="s">
        <v>1205</v>
      </c>
      <c r="N67" s="227" t="s">
        <v>35</v>
      </c>
      <c r="O67" s="229">
        <v>3</v>
      </c>
      <c r="P67" s="230">
        <v>78.33</v>
      </c>
      <c r="Q67" s="230">
        <v>234.99</v>
      </c>
      <c r="R67" s="182"/>
      <c r="U67" s="128"/>
    </row>
    <row r="68" spans="1:21" ht="15.6" x14ac:dyDescent="0.3">
      <c r="A68" s="53"/>
      <c r="B68" s="54"/>
      <c r="C68" s="54"/>
      <c r="D68" s="54"/>
      <c r="E68" s="55"/>
      <c r="F68" s="75"/>
      <c r="G68" s="76"/>
      <c r="H68" s="76"/>
      <c r="I68" s="48"/>
      <c r="J68" s="70"/>
      <c r="K68" s="70"/>
      <c r="L68" s="227" t="s">
        <v>1120</v>
      </c>
      <c r="M68" s="228" t="s">
        <v>1206</v>
      </c>
      <c r="N68" s="227" t="s">
        <v>35</v>
      </c>
      <c r="O68" s="229">
        <v>10</v>
      </c>
      <c r="P68" s="230">
        <v>133.33000000000001</v>
      </c>
      <c r="Q68" s="264">
        <v>1333.3</v>
      </c>
      <c r="R68" s="182"/>
      <c r="U68" s="128"/>
    </row>
    <row r="69" spans="1:21" ht="15.6" x14ac:dyDescent="0.3">
      <c r="A69" s="53"/>
      <c r="B69" s="54"/>
      <c r="C69" s="54"/>
      <c r="D69" s="54"/>
      <c r="E69" s="55"/>
      <c r="F69" s="75"/>
      <c r="G69" s="76"/>
      <c r="H69" s="76"/>
      <c r="I69" s="48"/>
      <c r="J69" s="70"/>
      <c r="K69" s="70"/>
      <c r="L69" s="227" t="s">
        <v>1436</v>
      </c>
      <c r="M69" s="228" t="s">
        <v>1458</v>
      </c>
      <c r="N69" s="227" t="s">
        <v>35</v>
      </c>
      <c r="O69" s="229">
        <v>1.2999999999999999E-2</v>
      </c>
      <c r="P69" s="230">
        <v>307.69</v>
      </c>
      <c r="Q69" s="230">
        <v>4</v>
      </c>
      <c r="R69" s="182"/>
      <c r="U69" s="128"/>
    </row>
    <row r="70" spans="1:21" ht="15.6" x14ac:dyDescent="0.3">
      <c r="A70" s="53"/>
      <c r="B70" s="54"/>
      <c r="C70" s="54"/>
      <c r="D70" s="54"/>
      <c r="E70" s="55"/>
      <c r="F70" s="75"/>
      <c r="G70" s="76"/>
      <c r="H70" s="76"/>
      <c r="I70" s="48"/>
      <c r="J70" s="70"/>
      <c r="K70" s="70"/>
      <c r="L70" s="227" t="s">
        <v>1162</v>
      </c>
      <c r="M70" s="228" t="s">
        <v>1247</v>
      </c>
      <c r="N70" s="227" t="s">
        <v>34</v>
      </c>
      <c r="O70" s="229">
        <v>6</v>
      </c>
      <c r="P70" s="230">
        <v>466.46</v>
      </c>
      <c r="Q70" s="264">
        <v>2798.76</v>
      </c>
      <c r="R70" s="182"/>
      <c r="U70" s="128"/>
    </row>
    <row r="71" spans="1:21" ht="30" x14ac:dyDescent="0.3">
      <c r="A71" s="53"/>
      <c r="B71" s="54"/>
      <c r="C71" s="54"/>
      <c r="D71" s="54"/>
      <c r="E71" s="55"/>
      <c r="F71" s="75"/>
      <c r="G71" s="76"/>
      <c r="H71" s="76"/>
      <c r="I71" s="48"/>
      <c r="J71" s="70"/>
      <c r="K71" s="70"/>
      <c r="L71" s="227" t="s">
        <v>987</v>
      </c>
      <c r="M71" s="228" t="s">
        <v>837</v>
      </c>
      <c r="N71" s="227" t="s">
        <v>34</v>
      </c>
      <c r="O71" s="229">
        <v>2</v>
      </c>
      <c r="P71" s="230">
        <v>53</v>
      </c>
      <c r="Q71" s="230">
        <v>106</v>
      </c>
      <c r="R71" s="182"/>
      <c r="U71" s="128"/>
    </row>
    <row r="72" spans="1:21" ht="15.6" x14ac:dyDescent="0.3">
      <c r="A72" s="53"/>
      <c r="B72" s="54"/>
      <c r="C72" s="54"/>
      <c r="D72" s="54"/>
      <c r="E72" s="55"/>
      <c r="F72" s="75"/>
      <c r="G72" s="76"/>
      <c r="H72" s="76"/>
      <c r="I72" s="48"/>
      <c r="J72" s="70"/>
      <c r="K72" s="70"/>
      <c r="L72" s="227" t="s">
        <v>484</v>
      </c>
      <c r="M72" s="228" t="s">
        <v>1061</v>
      </c>
      <c r="N72" s="227" t="s">
        <v>34</v>
      </c>
      <c r="O72" s="229">
        <v>1</v>
      </c>
      <c r="P72" s="230">
        <v>36.25</v>
      </c>
      <c r="Q72" s="230">
        <v>36.25</v>
      </c>
      <c r="R72" s="182"/>
      <c r="U72" s="128"/>
    </row>
    <row r="73" spans="1:21" ht="15.6" x14ac:dyDescent="0.3">
      <c r="A73" s="53"/>
      <c r="B73" s="54"/>
      <c r="C73" s="54"/>
      <c r="D73" s="54"/>
      <c r="E73" s="55"/>
      <c r="F73" s="75"/>
      <c r="G73" s="76"/>
      <c r="H73" s="76"/>
      <c r="I73" s="48"/>
      <c r="J73" s="70"/>
      <c r="K73" s="70"/>
      <c r="L73" s="227" t="s">
        <v>1178</v>
      </c>
      <c r="M73" s="228" t="s">
        <v>1262</v>
      </c>
      <c r="N73" s="227" t="s">
        <v>34</v>
      </c>
      <c r="O73" s="229">
        <v>1</v>
      </c>
      <c r="P73" s="230">
        <v>36.729999999999997</v>
      </c>
      <c r="Q73" s="230">
        <v>36.729999999999997</v>
      </c>
      <c r="R73" s="182"/>
      <c r="U73" s="128"/>
    </row>
    <row r="74" spans="1:21" ht="15.6" x14ac:dyDescent="0.3">
      <c r="A74" s="53"/>
      <c r="B74" s="54"/>
      <c r="C74" s="54"/>
      <c r="D74" s="54"/>
      <c r="E74" s="55"/>
      <c r="F74" s="75"/>
      <c r="G74" s="76"/>
      <c r="H74" s="76"/>
      <c r="I74" s="48"/>
      <c r="J74" s="70"/>
      <c r="K74" s="70"/>
      <c r="L74" s="227" t="s">
        <v>1422</v>
      </c>
      <c r="M74" s="228" t="s">
        <v>1445</v>
      </c>
      <c r="N74" s="227" t="s">
        <v>34</v>
      </c>
      <c r="O74" s="229">
        <v>0.13600000000000001</v>
      </c>
      <c r="P74" s="230">
        <v>230</v>
      </c>
      <c r="Q74" s="230">
        <v>31.28</v>
      </c>
      <c r="R74" s="182"/>
      <c r="U74" s="128"/>
    </row>
    <row r="75" spans="1:21" ht="15.6" x14ac:dyDescent="0.3">
      <c r="A75" s="53"/>
      <c r="B75" s="54"/>
      <c r="C75" s="54"/>
      <c r="D75" s="54"/>
      <c r="E75" s="55"/>
      <c r="F75" s="75"/>
      <c r="G75" s="76"/>
      <c r="H75" s="76"/>
      <c r="I75" s="48"/>
      <c r="J75" s="70"/>
      <c r="K75" s="70"/>
      <c r="L75" s="227" t="s">
        <v>986</v>
      </c>
      <c r="M75" s="228" t="s">
        <v>835</v>
      </c>
      <c r="N75" s="227" t="s">
        <v>34</v>
      </c>
      <c r="O75" s="229">
        <v>3.5</v>
      </c>
      <c r="P75" s="230">
        <v>275.86</v>
      </c>
      <c r="Q75" s="230">
        <v>965.51</v>
      </c>
      <c r="R75" s="182"/>
      <c r="U75" s="128"/>
    </row>
    <row r="76" spans="1:21" ht="15.6" x14ac:dyDescent="0.3">
      <c r="A76" s="53"/>
      <c r="B76" s="54"/>
      <c r="C76" s="54"/>
      <c r="D76" s="54"/>
      <c r="E76" s="55"/>
      <c r="F76" s="75"/>
      <c r="G76" s="76"/>
      <c r="H76" s="76"/>
      <c r="I76" s="48"/>
      <c r="J76" s="70"/>
      <c r="K76" s="70"/>
      <c r="L76" s="227" t="s">
        <v>930</v>
      </c>
      <c r="M76" s="228" t="s">
        <v>931</v>
      </c>
      <c r="N76" s="227" t="s">
        <v>34</v>
      </c>
      <c r="O76" s="229">
        <v>1</v>
      </c>
      <c r="P76" s="230">
        <v>124</v>
      </c>
      <c r="Q76" s="230">
        <v>124</v>
      </c>
      <c r="R76" s="182"/>
      <c r="U76" s="128"/>
    </row>
    <row r="77" spans="1:21" ht="15.6" x14ac:dyDescent="0.3">
      <c r="A77" s="53"/>
      <c r="B77" s="54"/>
      <c r="C77" s="54"/>
      <c r="D77" s="54"/>
      <c r="E77" s="55"/>
      <c r="F77" s="75"/>
      <c r="G77" s="76"/>
      <c r="H77" s="76"/>
      <c r="I77" s="48"/>
      <c r="J77" s="70"/>
      <c r="K77" s="70"/>
      <c r="L77" s="227" t="s">
        <v>1314</v>
      </c>
      <c r="M77" s="228" t="s">
        <v>1348</v>
      </c>
      <c r="N77" s="227" t="s">
        <v>34</v>
      </c>
      <c r="O77" s="229">
        <v>1</v>
      </c>
      <c r="P77" s="230">
        <v>414</v>
      </c>
      <c r="Q77" s="230">
        <v>414</v>
      </c>
      <c r="R77" s="182"/>
      <c r="U77" s="128"/>
    </row>
    <row r="78" spans="1:21" ht="15.6" x14ac:dyDescent="0.3">
      <c r="A78" s="53"/>
      <c r="B78" s="54"/>
      <c r="C78" s="54"/>
      <c r="D78" s="54"/>
      <c r="E78" s="55"/>
      <c r="F78" s="75"/>
      <c r="G78" s="76"/>
      <c r="H78" s="76"/>
      <c r="I78" s="48"/>
      <c r="J78" s="70"/>
      <c r="K78" s="70"/>
      <c r="L78" s="227" t="s">
        <v>1179</v>
      </c>
      <c r="M78" s="228" t="s">
        <v>1263</v>
      </c>
      <c r="N78" s="227" t="s">
        <v>34</v>
      </c>
      <c r="O78" s="229">
        <v>1</v>
      </c>
      <c r="P78" s="230">
        <v>561</v>
      </c>
      <c r="Q78" s="230">
        <v>561</v>
      </c>
      <c r="R78" s="182"/>
      <c r="U78" s="128"/>
    </row>
    <row r="79" spans="1:21" ht="15.6" x14ac:dyDescent="0.3">
      <c r="A79" s="53"/>
      <c r="B79" s="54"/>
      <c r="C79" s="54"/>
      <c r="D79" s="54"/>
      <c r="E79" s="55"/>
      <c r="F79" s="75"/>
      <c r="G79" s="76"/>
      <c r="H79" s="76"/>
      <c r="I79" s="48"/>
      <c r="J79" s="70"/>
      <c r="K79" s="70"/>
      <c r="L79" s="227" t="s">
        <v>1091</v>
      </c>
      <c r="M79" s="228" t="s">
        <v>1095</v>
      </c>
      <c r="N79" s="227" t="s">
        <v>34</v>
      </c>
      <c r="O79" s="229">
        <v>1</v>
      </c>
      <c r="P79" s="230">
        <v>139.80000000000001</v>
      </c>
      <c r="Q79" s="230">
        <v>139.80000000000001</v>
      </c>
      <c r="R79" s="182"/>
      <c r="U79" s="128"/>
    </row>
    <row r="80" spans="1:21" ht="15.6" x14ac:dyDescent="0.3">
      <c r="A80" s="53"/>
      <c r="B80" s="54"/>
      <c r="C80" s="54"/>
      <c r="D80" s="54"/>
      <c r="E80" s="55"/>
      <c r="F80" s="75"/>
      <c r="G80" s="76"/>
      <c r="H80" s="76"/>
      <c r="I80" s="48"/>
      <c r="J80" s="70"/>
      <c r="K80" s="70"/>
      <c r="L80" s="227" t="s">
        <v>49</v>
      </c>
      <c r="M80" s="228" t="s">
        <v>74</v>
      </c>
      <c r="N80" s="227" t="s">
        <v>34</v>
      </c>
      <c r="O80" s="229">
        <v>17</v>
      </c>
      <c r="P80" s="230">
        <v>133.33000000000001</v>
      </c>
      <c r="Q80" s="264">
        <v>2266.61</v>
      </c>
      <c r="R80" s="182"/>
      <c r="U80" s="128"/>
    </row>
    <row r="81" spans="1:21" ht="15.6" x14ac:dyDescent="0.3">
      <c r="A81" s="53"/>
      <c r="B81" s="54"/>
      <c r="C81" s="54"/>
      <c r="D81" s="54"/>
      <c r="E81" s="55"/>
      <c r="F81" s="75"/>
      <c r="G81" s="76"/>
      <c r="H81" s="76"/>
      <c r="I81" s="48"/>
      <c r="J81" s="70"/>
      <c r="K81" s="70"/>
      <c r="L81" s="227" t="s">
        <v>967</v>
      </c>
      <c r="M81" s="228" t="s">
        <v>1056</v>
      </c>
      <c r="N81" s="227" t="s">
        <v>34</v>
      </c>
      <c r="O81" s="229">
        <v>3</v>
      </c>
      <c r="P81" s="230">
        <v>0.43</v>
      </c>
      <c r="Q81" s="230">
        <v>1.29</v>
      </c>
      <c r="R81" s="182"/>
      <c r="U81" s="128"/>
    </row>
    <row r="82" spans="1:21" ht="15.6" x14ac:dyDescent="0.3">
      <c r="A82" s="53"/>
      <c r="B82" s="54"/>
      <c r="C82" s="54"/>
      <c r="D82" s="54"/>
      <c r="E82" s="55"/>
      <c r="F82" s="75"/>
      <c r="G82" s="76"/>
      <c r="H82" s="76"/>
      <c r="I82" s="48"/>
      <c r="J82" s="70"/>
      <c r="K82" s="70"/>
      <c r="L82" s="227" t="s">
        <v>968</v>
      </c>
      <c r="M82" s="228" t="s">
        <v>756</v>
      </c>
      <c r="N82" s="227" t="s">
        <v>34</v>
      </c>
      <c r="O82" s="229">
        <v>250</v>
      </c>
      <c r="P82" s="230">
        <v>1.47</v>
      </c>
      <c r="Q82" s="230">
        <v>367.5</v>
      </c>
      <c r="R82" s="182"/>
      <c r="U82" s="128"/>
    </row>
    <row r="83" spans="1:21" ht="15.6" x14ac:dyDescent="0.3">
      <c r="A83" s="53"/>
      <c r="B83" s="54"/>
      <c r="C83" s="54"/>
      <c r="D83" s="54"/>
      <c r="E83" s="55"/>
      <c r="F83" s="75"/>
      <c r="G83" s="76"/>
      <c r="H83" s="76"/>
      <c r="I83" s="48"/>
      <c r="J83" s="70"/>
      <c r="K83" s="70"/>
      <c r="L83" s="227" t="s">
        <v>969</v>
      </c>
      <c r="M83" s="228" t="s">
        <v>75</v>
      </c>
      <c r="N83" s="227" t="s">
        <v>34</v>
      </c>
      <c r="O83" s="229">
        <v>12</v>
      </c>
      <c r="P83" s="230">
        <v>1.8</v>
      </c>
      <c r="Q83" s="230">
        <v>21.56</v>
      </c>
      <c r="R83" s="182"/>
      <c r="U83" s="128"/>
    </row>
    <row r="84" spans="1:21" ht="15.6" x14ac:dyDescent="0.3">
      <c r="A84" s="53"/>
      <c r="B84" s="54"/>
      <c r="C84" s="54"/>
      <c r="D84" s="54"/>
      <c r="E84" s="55"/>
      <c r="F84" s="75"/>
      <c r="G84" s="76"/>
      <c r="H84" s="76"/>
      <c r="I84" s="48"/>
      <c r="J84" s="70"/>
      <c r="K84" s="70"/>
      <c r="L84" s="227" t="s">
        <v>1122</v>
      </c>
      <c r="M84" s="228" t="s">
        <v>1208</v>
      </c>
      <c r="N84" s="227" t="s">
        <v>34</v>
      </c>
      <c r="O84" s="229">
        <v>1</v>
      </c>
      <c r="P84" s="230">
        <v>212</v>
      </c>
      <c r="Q84" s="230">
        <v>212</v>
      </c>
      <c r="R84" s="182"/>
      <c r="U84" s="128"/>
    </row>
    <row r="85" spans="1:21" ht="15.6" x14ac:dyDescent="0.3">
      <c r="A85" s="53"/>
      <c r="B85" s="54"/>
      <c r="C85" s="54"/>
      <c r="D85" s="54"/>
      <c r="E85" s="55"/>
      <c r="F85" s="75"/>
      <c r="G85" s="76"/>
      <c r="H85" s="76"/>
      <c r="I85" s="48"/>
      <c r="J85" s="70"/>
      <c r="K85" s="70"/>
      <c r="L85" s="227" t="s">
        <v>757</v>
      </c>
      <c r="M85" s="228" t="s">
        <v>758</v>
      </c>
      <c r="N85" s="227" t="s">
        <v>34</v>
      </c>
      <c r="O85" s="229">
        <v>0.2</v>
      </c>
      <c r="P85" s="264">
        <v>2803</v>
      </c>
      <c r="Q85" s="230">
        <v>560.6</v>
      </c>
      <c r="R85" s="182"/>
      <c r="U85" s="128"/>
    </row>
    <row r="86" spans="1:21" ht="15.6" x14ac:dyDescent="0.3">
      <c r="A86" s="53"/>
      <c r="B86" s="54"/>
      <c r="C86" s="54"/>
      <c r="D86" s="54"/>
      <c r="E86" s="55"/>
      <c r="F86" s="75"/>
      <c r="G86" s="76"/>
      <c r="H86" s="76"/>
      <c r="I86" s="48"/>
      <c r="J86" s="70"/>
      <c r="K86" s="70"/>
      <c r="L86" s="227" t="s">
        <v>970</v>
      </c>
      <c r="M86" s="228" t="s">
        <v>294</v>
      </c>
      <c r="N86" s="227" t="s">
        <v>34</v>
      </c>
      <c r="O86" s="229">
        <v>4</v>
      </c>
      <c r="P86" s="230">
        <v>94.83</v>
      </c>
      <c r="Q86" s="230">
        <v>379.32</v>
      </c>
      <c r="R86" s="182"/>
      <c r="U86" s="128"/>
    </row>
    <row r="87" spans="1:21" ht="15.6" x14ac:dyDescent="0.3">
      <c r="A87" s="53"/>
      <c r="B87" s="54"/>
      <c r="C87" s="54"/>
      <c r="D87" s="54"/>
      <c r="E87" s="55"/>
      <c r="F87" s="75"/>
      <c r="G87" s="76"/>
      <c r="H87" s="76"/>
      <c r="I87" s="48"/>
      <c r="J87" s="70"/>
      <c r="K87" s="70"/>
      <c r="L87" s="227" t="s">
        <v>971</v>
      </c>
      <c r="M87" s="228" t="s">
        <v>296</v>
      </c>
      <c r="N87" s="227" t="s">
        <v>34</v>
      </c>
      <c r="O87" s="229">
        <v>3</v>
      </c>
      <c r="P87" s="230">
        <v>131.5</v>
      </c>
      <c r="Q87" s="230">
        <v>394.5</v>
      </c>
      <c r="R87" s="182"/>
      <c r="U87" s="128"/>
    </row>
    <row r="88" spans="1:21" ht="15.6" x14ac:dyDescent="0.3">
      <c r="A88" s="53"/>
      <c r="B88" s="54"/>
      <c r="C88" s="54"/>
      <c r="D88" s="54"/>
      <c r="E88" s="55"/>
      <c r="F88" s="75"/>
      <c r="G88" s="76"/>
      <c r="H88" s="76"/>
      <c r="I88" s="48"/>
      <c r="J88" s="70"/>
      <c r="K88" s="70"/>
      <c r="L88" s="227" t="s">
        <v>972</v>
      </c>
      <c r="M88" s="228" t="s">
        <v>297</v>
      </c>
      <c r="N88" s="227" t="s">
        <v>34</v>
      </c>
      <c r="O88" s="229">
        <v>1</v>
      </c>
      <c r="P88" s="230">
        <v>167</v>
      </c>
      <c r="Q88" s="230">
        <v>167</v>
      </c>
      <c r="R88" s="182"/>
      <c r="U88" s="128"/>
    </row>
    <row r="89" spans="1:21" ht="15.6" x14ac:dyDescent="0.3">
      <c r="A89" s="53"/>
      <c r="B89" s="54"/>
      <c r="C89" s="54"/>
      <c r="D89" s="54"/>
      <c r="E89" s="55"/>
      <c r="F89" s="75"/>
      <c r="G89" s="76"/>
      <c r="H89" s="76"/>
      <c r="I89" s="48"/>
      <c r="J89" s="70"/>
      <c r="K89" s="70"/>
      <c r="L89" s="227" t="s">
        <v>1125</v>
      </c>
      <c r="M89" s="228" t="s">
        <v>1211</v>
      </c>
      <c r="N89" s="227" t="s">
        <v>34</v>
      </c>
      <c r="O89" s="229">
        <v>1</v>
      </c>
      <c r="P89" s="230">
        <v>106.25</v>
      </c>
      <c r="Q89" s="230">
        <v>106.25</v>
      </c>
      <c r="R89" s="182"/>
      <c r="U89" s="128"/>
    </row>
    <row r="90" spans="1:21" ht="15.6" x14ac:dyDescent="0.3">
      <c r="A90" s="53"/>
      <c r="B90" s="54"/>
      <c r="C90" s="54"/>
      <c r="D90" s="54"/>
      <c r="E90" s="55"/>
      <c r="F90" s="75"/>
      <c r="G90" s="76"/>
      <c r="H90" s="76"/>
      <c r="I90" s="48"/>
      <c r="J90" s="70"/>
      <c r="K90" s="70"/>
      <c r="L90" s="227" t="s">
        <v>298</v>
      </c>
      <c r="M90" s="228" t="s">
        <v>299</v>
      </c>
      <c r="N90" s="227" t="s">
        <v>34</v>
      </c>
      <c r="O90" s="229">
        <v>5</v>
      </c>
      <c r="P90" s="230">
        <v>205.63</v>
      </c>
      <c r="Q90" s="264">
        <v>1028.1300000000001</v>
      </c>
      <c r="R90" s="182"/>
      <c r="U90" s="128"/>
    </row>
    <row r="91" spans="1:21" ht="15.6" x14ac:dyDescent="0.3">
      <c r="A91" s="53"/>
      <c r="B91" s="54"/>
      <c r="C91" s="54"/>
      <c r="D91" s="54"/>
      <c r="E91" s="55"/>
      <c r="F91" s="75"/>
      <c r="G91" s="76"/>
      <c r="H91" s="76"/>
      <c r="I91" s="48"/>
      <c r="J91" s="70"/>
      <c r="K91" s="70"/>
      <c r="L91" s="227" t="s">
        <v>896</v>
      </c>
      <c r="M91" s="228" t="s">
        <v>897</v>
      </c>
      <c r="N91" s="227" t="s">
        <v>34</v>
      </c>
      <c r="O91" s="229">
        <v>1.3</v>
      </c>
      <c r="P91" s="230">
        <v>521.54999999999995</v>
      </c>
      <c r="Q91" s="230">
        <v>678.01</v>
      </c>
      <c r="R91" s="182"/>
      <c r="U91" s="128"/>
    </row>
    <row r="92" spans="1:21" ht="15.6" x14ac:dyDescent="0.3">
      <c r="A92" s="53"/>
      <c r="B92" s="54"/>
      <c r="C92" s="54"/>
      <c r="D92" s="54"/>
      <c r="E92" s="55"/>
      <c r="F92" s="75"/>
      <c r="G92" s="76"/>
      <c r="H92" s="76"/>
      <c r="I92" s="48"/>
      <c r="J92" s="70"/>
      <c r="K92" s="70"/>
      <c r="L92" s="227" t="s">
        <v>1129</v>
      </c>
      <c r="M92" s="228" t="s">
        <v>1215</v>
      </c>
      <c r="N92" s="227" t="s">
        <v>34</v>
      </c>
      <c r="O92" s="229">
        <v>1</v>
      </c>
      <c r="P92" s="230">
        <v>489</v>
      </c>
      <c r="Q92" s="230">
        <v>489</v>
      </c>
      <c r="R92" s="182"/>
      <c r="U92" s="128"/>
    </row>
    <row r="93" spans="1:21" ht="15.6" x14ac:dyDescent="0.3">
      <c r="A93" s="53"/>
      <c r="B93" s="54"/>
      <c r="C93" s="54"/>
      <c r="D93" s="54"/>
      <c r="E93" s="55"/>
      <c r="F93" s="75"/>
      <c r="G93" s="76"/>
      <c r="H93" s="76"/>
      <c r="I93" s="48"/>
      <c r="J93" s="70"/>
      <c r="K93" s="70"/>
      <c r="L93" s="227" t="s">
        <v>1131</v>
      </c>
      <c r="M93" s="228" t="s">
        <v>1217</v>
      </c>
      <c r="N93" s="227" t="s">
        <v>34</v>
      </c>
      <c r="O93" s="229">
        <v>1</v>
      </c>
      <c r="P93" s="264">
        <v>2217.4499999999998</v>
      </c>
      <c r="Q93" s="264">
        <v>2217.4499999999998</v>
      </c>
      <c r="R93" s="182"/>
      <c r="U93" s="128"/>
    </row>
    <row r="94" spans="1:21" ht="15.6" x14ac:dyDescent="0.3">
      <c r="A94" s="53"/>
      <c r="B94" s="54"/>
      <c r="C94" s="54"/>
      <c r="D94" s="54"/>
      <c r="E94" s="55"/>
      <c r="F94" s="75"/>
      <c r="G94" s="76"/>
      <c r="H94" s="76"/>
      <c r="I94" s="48"/>
      <c r="J94" s="70"/>
      <c r="K94" s="70"/>
      <c r="L94" s="227" t="s">
        <v>1132</v>
      </c>
      <c r="M94" s="228" t="s">
        <v>1218</v>
      </c>
      <c r="N94" s="227" t="s">
        <v>34</v>
      </c>
      <c r="O94" s="229">
        <v>2</v>
      </c>
      <c r="P94" s="264">
        <v>2217.4499999999998</v>
      </c>
      <c r="Q94" s="264">
        <v>4434.8999999999996</v>
      </c>
      <c r="R94" s="182"/>
      <c r="U94" s="128"/>
    </row>
    <row r="95" spans="1:21" ht="15.6" x14ac:dyDescent="0.3">
      <c r="A95" s="53"/>
      <c r="B95" s="54"/>
      <c r="C95" s="54"/>
      <c r="D95" s="54"/>
      <c r="E95" s="55"/>
      <c r="F95" s="75"/>
      <c r="G95" s="76"/>
      <c r="H95" s="76"/>
      <c r="I95" s="48"/>
      <c r="J95" s="70"/>
      <c r="K95" s="70"/>
      <c r="L95" s="227" t="s">
        <v>304</v>
      </c>
      <c r="M95" s="228" t="s">
        <v>305</v>
      </c>
      <c r="N95" s="227" t="s">
        <v>34</v>
      </c>
      <c r="O95" s="229">
        <v>7</v>
      </c>
      <c r="P95" s="230">
        <v>63.7</v>
      </c>
      <c r="Q95" s="230">
        <v>445.9</v>
      </c>
      <c r="R95" s="182"/>
      <c r="U95" s="128"/>
    </row>
    <row r="96" spans="1:21" ht="15.6" x14ac:dyDescent="0.3">
      <c r="A96" s="53"/>
      <c r="B96" s="54"/>
      <c r="C96" s="54"/>
      <c r="D96" s="54"/>
      <c r="E96" s="55"/>
      <c r="F96" s="75"/>
      <c r="G96" s="76"/>
      <c r="H96" s="76"/>
      <c r="I96" s="48"/>
      <c r="J96" s="70"/>
      <c r="K96" s="70"/>
      <c r="L96" s="227" t="s">
        <v>761</v>
      </c>
      <c r="M96" s="228" t="s">
        <v>762</v>
      </c>
      <c r="N96" s="227" t="s">
        <v>34</v>
      </c>
      <c r="O96" s="229">
        <v>19</v>
      </c>
      <c r="P96" s="230">
        <v>76.599999999999994</v>
      </c>
      <c r="Q96" s="264">
        <v>1455.42</v>
      </c>
      <c r="R96" s="182"/>
      <c r="U96" s="128"/>
    </row>
    <row r="97" spans="1:21" ht="15.6" x14ac:dyDescent="0.3">
      <c r="A97" s="53"/>
      <c r="B97" s="54"/>
      <c r="C97" s="54"/>
      <c r="D97" s="54"/>
      <c r="E97" s="55"/>
      <c r="F97" s="75"/>
      <c r="G97" s="76"/>
      <c r="H97" s="76"/>
      <c r="I97" s="48"/>
      <c r="J97" s="70"/>
      <c r="K97" s="70"/>
      <c r="L97" s="227" t="s">
        <v>975</v>
      </c>
      <c r="M97" s="228" t="s">
        <v>763</v>
      </c>
      <c r="N97" s="227" t="s">
        <v>34</v>
      </c>
      <c r="O97" s="229">
        <v>8</v>
      </c>
      <c r="P97" s="230">
        <v>128.69</v>
      </c>
      <c r="Q97" s="264">
        <v>1029.52</v>
      </c>
      <c r="R97" s="182"/>
      <c r="U97" s="128"/>
    </row>
    <row r="98" spans="1:21" ht="15.6" x14ac:dyDescent="0.3">
      <c r="A98" s="53"/>
      <c r="B98" s="54"/>
      <c r="C98" s="54"/>
      <c r="D98" s="54"/>
      <c r="E98" s="55"/>
      <c r="F98" s="75"/>
      <c r="G98" s="76"/>
      <c r="H98" s="76"/>
      <c r="I98" s="48"/>
      <c r="J98" s="70"/>
      <c r="K98" s="70"/>
      <c r="L98" s="227" t="s">
        <v>869</v>
      </c>
      <c r="M98" s="228" t="s">
        <v>898</v>
      </c>
      <c r="N98" s="227" t="s">
        <v>34</v>
      </c>
      <c r="O98" s="229">
        <v>1</v>
      </c>
      <c r="P98" s="230">
        <v>368</v>
      </c>
      <c r="Q98" s="230">
        <v>368</v>
      </c>
      <c r="R98" s="182"/>
      <c r="U98" s="128"/>
    </row>
    <row r="99" spans="1:21" ht="15.6" x14ac:dyDescent="0.3">
      <c r="A99" s="53"/>
      <c r="B99" s="54"/>
      <c r="C99" s="54"/>
      <c r="D99" s="54"/>
      <c r="E99" s="55"/>
      <c r="F99" s="75"/>
      <c r="G99" s="76"/>
      <c r="H99" s="76"/>
      <c r="I99" s="48"/>
      <c r="J99" s="70"/>
      <c r="K99" s="70"/>
      <c r="L99" s="227" t="s">
        <v>870</v>
      </c>
      <c r="M99" s="228" t="s">
        <v>899</v>
      </c>
      <c r="N99" s="227" t="s">
        <v>34</v>
      </c>
      <c r="O99" s="229">
        <v>1</v>
      </c>
      <c r="P99" s="264">
        <v>1074.4000000000001</v>
      </c>
      <c r="Q99" s="264">
        <v>1074.4000000000001</v>
      </c>
      <c r="R99" s="182"/>
      <c r="U99" s="128"/>
    </row>
    <row r="100" spans="1:21" ht="15.6" x14ac:dyDescent="0.3">
      <c r="A100" s="53"/>
      <c r="B100" s="54"/>
      <c r="C100" s="54"/>
      <c r="D100" s="54"/>
      <c r="E100" s="55"/>
      <c r="F100" s="75"/>
      <c r="G100" s="76"/>
      <c r="H100" s="76"/>
      <c r="I100" s="48"/>
      <c r="J100" s="70"/>
      <c r="K100" s="70"/>
      <c r="L100" s="227" t="s">
        <v>900</v>
      </c>
      <c r="M100" s="228" t="s">
        <v>901</v>
      </c>
      <c r="N100" s="227" t="s">
        <v>34</v>
      </c>
      <c r="O100" s="229">
        <v>1</v>
      </c>
      <c r="P100" s="230">
        <v>64</v>
      </c>
      <c r="Q100" s="230">
        <v>64</v>
      </c>
      <c r="R100" s="182"/>
      <c r="U100" s="128"/>
    </row>
    <row r="101" spans="1:21" ht="15.6" x14ac:dyDescent="0.3">
      <c r="A101" s="53"/>
      <c r="B101" s="54"/>
      <c r="C101" s="54"/>
      <c r="D101" s="54"/>
      <c r="E101" s="55"/>
      <c r="F101" s="75"/>
      <c r="G101" s="76"/>
      <c r="H101" s="76"/>
      <c r="I101" s="48"/>
      <c r="J101" s="70"/>
      <c r="K101" s="70"/>
      <c r="L101" s="227" t="s">
        <v>866</v>
      </c>
      <c r="M101" s="228" t="s">
        <v>919</v>
      </c>
      <c r="N101" s="227" t="s">
        <v>34</v>
      </c>
      <c r="O101" s="229">
        <v>2</v>
      </c>
      <c r="P101" s="264">
        <v>2690</v>
      </c>
      <c r="Q101" s="264">
        <v>5380</v>
      </c>
      <c r="R101" s="182"/>
      <c r="U101" s="128"/>
    </row>
    <row r="102" spans="1:21" ht="15.6" x14ac:dyDescent="0.3">
      <c r="A102" s="53"/>
      <c r="B102" s="54"/>
      <c r="C102" s="54"/>
      <c r="D102" s="54"/>
      <c r="E102" s="55"/>
      <c r="F102" s="75"/>
      <c r="G102" s="76"/>
      <c r="H102" s="76"/>
      <c r="I102" s="48"/>
      <c r="J102" s="70"/>
      <c r="K102" s="70"/>
      <c r="L102" s="227" t="s">
        <v>782</v>
      </c>
      <c r="M102" s="228" t="s">
        <v>783</v>
      </c>
      <c r="N102" s="227" t="s">
        <v>34</v>
      </c>
      <c r="O102" s="229">
        <v>2</v>
      </c>
      <c r="P102" s="264">
        <v>2778.33</v>
      </c>
      <c r="Q102" s="264">
        <v>5556.66</v>
      </c>
      <c r="R102" s="182"/>
      <c r="U102" s="128"/>
    </row>
    <row r="103" spans="1:21" ht="15.6" x14ac:dyDescent="0.3">
      <c r="A103" s="53"/>
      <c r="B103" s="54"/>
      <c r="C103" s="54"/>
      <c r="D103" s="54"/>
      <c r="E103" s="55"/>
      <c r="F103" s="75"/>
      <c r="G103" s="76"/>
      <c r="H103" s="76"/>
      <c r="I103" s="48"/>
      <c r="J103" s="70"/>
      <c r="K103" s="70"/>
      <c r="L103" s="227" t="s">
        <v>754</v>
      </c>
      <c r="M103" s="228" t="s">
        <v>755</v>
      </c>
      <c r="N103" s="227" t="s">
        <v>34</v>
      </c>
      <c r="O103" s="229">
        <v>1</v>
      </c>
      <c r="P103" s="264">
        <v>7084</v>
      </c>
      <c r="Q103" s="264">
        <v>7084</v>
      </c>
      <c r="R103" s="272"/>
      <c r="U103" s="128"/>
    </row>
    <row r="104" spans="1:21" ht="15.6" x14ac:dyDescent="0.3">
      <c r="A104" s="53"/>
      <c r="B104" s="54"/>
      <c r="C104" s="54"/>
      <c r="D104" s="54"/>
      <c r="E104" s="55"/>
      <c r="F104" s="75"/>
      <c r="G104" s="76"/>
      <c r="H104" s="76"/>
      <c r="I104" s="48"/>
      <c r="J104" s="70"/>
      <c r="K104" s="70"/>
      <c r="L104" s="227" t="s">
        <v>995</v>
      </c>
      <c r="M104" s="228" t="s">
        <v>1067</v>
      </c>
      <c r="N104" s="227" t="s">
        <v>34</v>
      </c>
      <c r="O104" s="229">
        <v>1</v>
      </c>
      <c r="P104" s="264">
        <v>7750</v>
      </c>
      <c r="Q104" s="264">
        <v>7750</v>
      </c>
      <c r="R104" s="182"/>
      <c r="U104" s="128"/>
    </row>
    <row r="105" spans="1:21" ht="15.6" x14ac:dyDescent="0.3">
      <c r="A105" s="53"/>
      <c r="B105" s="54"/>
      <c r="C105" s="54"/>
      <c r="D105" s="54"/>
      <c r="E105" s="55"/>
      <c r="F105" s="75"/>
      <c r="G105" s="76"/>
      <c r="H105" s="76"/>
      <c r="I105" s="48"/>
      <c r="J105" s="70"/>
      <c r="K105" s="70"/>
      <c r="L105" s="227" t="s">
        <v>994</v>
      </c>
      <c r="M105" s="228" t="s">
        <v>1066</v>
      </c>
      <c r="N105" s="227" t="s">
        <v>34</v>
      </c>
      <c r="O105" s="229">
        <v>1</v>
      </c>
      <c r="P105" s="264">
        <v>7750</v>
      </c>
      <c r="Q105" s="264">
        <v>7750</v>
      </c>
      <c r="R105" s="182"/>
      <c r="U105" s="128"/>
    </row>
    <row r="106" spans="1:21" ht="15.6" x14ac:dyDescent="0.3">
      <c r="A106" s="53"/>
      <c r="B106" s="54"/>
      <c r="C106" s="54"/>
      <c r="D106" s="54"/>
      <c r="E106" s="55"/>
      <c r="F106" s="75"/>
      <c r="G106" s="76"/>
      <c r="H106" s="76"/>
      <c r="I106" s="48"/>
      <c r="J106" s="70"/>
      <c r="K106" s="70"/>
      <c r="L106" s="227" t="s">
        <v>1093</v>
      </c>
      <c r="M106" s="228" t="s">
        <v>1097</v>
      </c>
      <c r="N106" s="227" t="s">
        <v>34</v>
      </c>
      <c r="O106" s="229">
        <v>1</v>
      </c>
      <c r="P106" s="264">
        <v>6116.67</v>
      </c>
      <c r="Q106" s="264">
        <v>6116.67</v>
      </c>
      <c r="R106" s="182"/>
      <c r="U106" s="128"/>
    </row>
    <row r="107" spans="1:21" ht="15.6" x14ac:dyDescent="0.3">
      <c r="A107" s="53"/>
      <c r="B107" s="54"/>
      <c r="C107" s="54"/>
      <c r="D107" s="54"/>
      <c r="E107" s="55"/>
      <c r="F107" s="75"/>
      <c r="G107" s="76"/>
      <c r="H107" s="76"/>
      <c r="I107" s="48"/>
      <c r="J107" s="70"/>
      <c r="K107" s="70"/>
      <c r="L107" s="227" t="s">
        <v>812</v>
      </c>
      <c r="M107" s="228" t="s">
        <v>813</v>
      </c>
      <c r="N107" s="227" t="s">
        <v>34</v>
      </c>
      <c r="O107" s="229">
        <v>1</v>
      </c>
      <c r="P107" s="264">
        <v>6500</v>
      </c>
      <c r="Q107" s="264">
        <v>6500</v>
      </c>
      <c r="R107" s="182"/>
      <c r="U107" s="128"/>
    </row>
    <row r="108" spans="1:21" ht="15.6" x14ac:dyDescent="0.3">
      <c r="A108" s="53"/>
      <c r="B108" s="54"/>
      <c r="C108" s="54"/>
      <c r="D108" s="54"/>
      <c r="E108" s="55"/>
      <c r="F108" s="75"/>
      <c r="G108" s="76"/>
      <c r="H108" s="76"/>
      <c r="I108" s="48"/>
      <c r="J108" s="70"/>
      <c r="K108" s="70"/>
      <c r="L108" s="227" t="s">
        <v>764</v>
      </c>
      <c r="M108" s="228" t="s">
        <v>765</v>
      </c>
      <c r="N108" s="227" t="s">
        <v>34</v>
      </c>
      <c r="O108" s="229">
        <v>14</v>
      </c>
      <c r="P108" s="230">
        <v>499.71</v>
      </c>
      <c r="Q108" s="264">
        <v>6995.94</v>
      </c>
      <c r="R108" s="182"/>
      <c r="U108" s="128"/>
    </row>
    <row r="109" spans="1:21" ht="15.6" x14ac:dyDescent="0.3">
      <c r="A109" s="53"/>
      <c r="B109" s="54"/>
      <c r="C109" s="54"/>
      <c r="D109" s="54"/>
      <c r="E109" s="55"/>
      <c r="F109" s="75"/>
      <c r="G109" s="76"/>
      <c r="H109" s="76"/>
      <c r="I109" s="48"/>
      <c r="J109" s="70"/>
      <c r="K109" s="70"/>
      <c r="L109" s="227" t="s">
        <v>973</v>
      </c>
      <c r="M109" s="228" t="s">
        <v>759</v>
      </c>
      <c r="N109" s="227" t="s">
        <v>34</v>
      </c>
      <c r="O109" s="229">
        <v>11</v>
      </c>
      <c r="P109" s="230">
        <v>609.33000000000004</v>
      </c>
      <c r="Q109" s="264">
        <v>6702.6</v>
      </c>
      <c r="R109" s="182"/>
      <c r="U109" s="128"/>
    </row>
    <row r="110" spans="1:21" ht="15.6" x14ac:dyDescent="0.3">
      <c r="A110" s="53"/>
      <c r="B110" s="54"/>
      <c r="C110" s="54"/>
      <c r="D110" s="54"/>
      <c r="E110" s="55"/>
      <c r="F110" s="75"/>
      <c r="G110" s="76"/>
      <c r="H110" s="76"/>
      <c r="I110" s="48"/>
      <c r="J110" s="70"/>
      <c r="K110" s="70"/>
      <c r="L110" s="227" t="s">
        <v>881</v>
      </c>
      <c r="M110" s="228" t="s">
        <v>1054</v>
      </c>
      <c r="N110" s="227" t="s">
        <v>34</v>
      </c>
      <c r="O110" s="229">
        <v>17</v>
      </c>
      <c r="P110" s="230">
        <v>366.22</v>
      </c>
      <c r="Q110" s="264">
        <v>6225.74</v>
      </c>
      <c r="R110" s="182"/>
      <c r="U110" s="128"/>
    </row>
    <row r="111" spans="1:21" ht="15.6" x14ac:dyDescent="0.3">
      <c r="A111" s="53"/>
      <c r="B111" s="54"/>
      <c r="C111" s="54"/>
      <c r="D111" s="54"/>
      <c r="E111" s="55"/>
      <c r="F111" s="75"/>
      <c r="G111" s="76"/>
      <c r="H111" s="76"/>
      <c r="I111" s="48"/>
      <c r="J111" s="70"/>
      <c r="K111" s="70"/>
      <c r="L111" s="227" t="s">
        <v>1130</v>
      </c>
      <c r="M111" s="228" t="s">
        <v>1216</v>
      </c>
      <c r="N111" s="227" t="s">
        <v>34</v>
      </c>
      <c r="O111" s="229">
        <v>1</v>
      </c>
      <c r="P111" s="264">
        <v>6064.17</v>
      </c>
      <c r="Q111" s="264">
        <v>6064.17</v>
      </c>
      <c r="R111" s="182"/>
      <c r="U111" s="128"/>
    </row>
    <row r="112" spans="1:21" ht="15.6" x14ac:dyDescent="0.3">
      <c r="A112" s="53"/>
      <c r="B112" s="54"/>
      <c r="C112" s="54"/>
      <c r="D112" s="54"/>
      <c r="E112" s="55"/>
      <c r="F112" s="75"/>
      <c r="G112" s="76"/>
      <c r="H112" s="76"/>
      <c r="I112" s="48"/>
      <c r="J112" s="70"/>
      <c r="K112" s="70"/>
      <c r="L112" s="227" t="s">
        <v>1123</v>
      </c>
      <c r="M112" s="228" t="s">
        <v>1209</v>
      </c>
      <c r="N112" s="227" t="s">
        <v>34</v>
      </c>
      <c r="O112" s="229">
        <v>1</v>
      </c>
      <c r="P112" s="230">
        <v>192.6</v>
      </c>
      <c r="Q112" s="230">
        <v>192.6</v>
      </c>
      <c r="R112" s="182"/>
      <c r="U112" s="128"/>
    </row>
    <row r="113" spans="1:21" ht="15.6" x14ac:dyDescent="0.3">
      <c r="A113" s="53"/>
      <c r="B113" s="54"/>
      <c r="C113" s="54"/>
      <c r="D113" s="54"/>
      <c r="E113" s="55"/>
      <c r="F113" s="75"/>
      <c r="G113" s="76"/>
      <c r="H113" s="76"/>
      <c r="I113" s="48"/>
      <c r="J113" s="70"/>
      <c r="K113" s="70"/>
      <c r="L113" s="227" t="s">
        <v>1136</v>
      </c>
      <c r="M113" s="228" t="s">
        <v>1223</v>
      </c>
      <c r="N113" s="227" t="s">
        <v>34</v>
      </c>
      <c r="O113" s="229">
        <v>0.13600000000000001</v>
      </c>
      <c r="P113" s="230">
        <v>152.5</v>
      </c>
      <c r="Q113" s="230">
        <v>20.74</v>
      </c>
      <c r="R113" s="182"/>
      <c r="U113" s="128"/>
    </row>
    <row r="114" spans="1:21" ht="15.6" x14ac:dyDescent="0.3">
      <c r="A114" s="53"/>
      <c r="B114" s="54"/>
      <c r="C114" s="54"/>
      <c r="D114" s="54"/>
      <c r="E114" s="55"/>
      <c r="F114" s="75"/>
      <c r="G114" s="76"/>
      <c r="H114" s="76"/>
      <c r="I114" s="48"/>
      <c r="J114" s="70"/>
      <c r="K114" s="70"/>
      <c r="L114" s="227" t="s">
        <v>977</v>
      </c>
      <c r="M114" s="228" t="s">
        <v>1057</v>
      </c>
      <c r="N114" s="227" t="s">
        <v>34</v>
      </c>
      <c r="O114" s="229">
        <v>111</v>
      </c>
      <c r="P114" s="230">
        <v>3.94</v>
      </c>
      <c r="Q114" s="230">
        <v>437.34</v>
      </c>
      <c r="R114" s="182"/>
      <c r="U114" s="128"/>
    </row>
    <row r="115" spans="1:21" ht="15.6" x14ac:dyDescent="0.3">
      <c r="A115" s="53"/>
      <c r="B115" s="54"/>
      <c r="C115" s="54"/>
      <c r="D115" s="54"/>
      <c r="E115" s="55"/>
      <c r="F115" s="75"/>
      <c r="G115" s="76"/>
      <c r="H115" s="76"/>
      <c r="I115" s="48"/>
      <c r="J115" s="70"/>
      <c r="K115" s="70"/>
      <c r="L115" s="227" t="s">
        <v>978</v>
      </c>
      <c r="M115" s="228" t="s">
        <v>1058</v>
      </c>
      <c r="N115" s="227" t="s">
        <v>34</v>
      </c>
      <c r="O115" s="229">
        <v>190</v>
      </c>
      <c r="P115" s="230">
        <v>2.4300000000000002</v>
      </c>
      <c r="Q115" s="230">
        <v>461.7</v>
      </c>
      <c r="R115" s="182"/>
      <c r="U115" s="128"/>
    </row>
    <row r="116" spans="1:21" ht="15.6" x14ac:dyDescent="0.3">
      <c r="A116" s="53"/>
      <c r="B116" s="54"/>
      <c r="C116" s="54"/>
      <c r="D116" s="54"/>
      <c r="E116" s="55"/>
      <c r="F116" s="75"/>
      <c r="G116" s="76"/>
      <c r="H116" s="76"/>
      <c r="I116" s="48"/>
      <c r="J116" s="70"/>
      <c r="K116" s="70"/>
      <c r="L116" s="227" t="s">
        <v>736</v>
      </c>
      <c r="M116" s="228" t="s">
        <v>737</v>
      </c>
      <c r="N116" s="227" t="s">
        <v>34</v>
      </c>
      <c r="O116" s="229">
        <v>170</v>
      </c>
      <c r="P116" s="230">
        <v>3.94</v>
      </c>
      <c r="Q116" s="230">
        <v>669.8</v>
      </c>
      <c r="R116" s="182"/>
      <c r="U116" s="128"/>
    </row>
    <row r="117" spans="1:21" ht="15.6" x14ac:dyDescent="0.3">
      <c r="A117" s="53"/>
      <c r="B117" s="54"/>
      <c r="C117" s="54"/>
      <c r="D117" s="54"/>
      <c r="E117" s="55"/>
      <c r="F117" s="75"/>
      <c r="G117" s="76"/>
      <c r="H117" s="76"/>
      <c r="I117" s="48"/>
      <c r="J117" s="70"/>
      <c r="K117" s="70"/>
      <c r="L117" s="227" t="s">
        <v>738</v>
      </c>
      <c r="M117" s="228" t="s">
        <v>739</v>
      </c>
      <c r="N117" s="227" t="s">
        <v>34</v>
      </c>
      <c r="O117" s="229">
        <v>186</v>
      </c>
      <c r="P117" s="230">
        <v>6.7</v>
      </c>
      <c r="Q117" s="264">
        <v>1246.6099999999999</v>
      </c>
      <c r="R117" s="182"/>
      <c r="U117" s="128"/>
    </row>
    <row r="118" spans="1:21" ht="15.6" x14ac:dyDescent="0.3">
      <c r="A118" s="53"/>
      <c r="B118" s="54"/>
      <c r="C118" s="54"/>
      <c r="D118" s="54"/>
      <c r="E118" s="55"/>
      <c r="F118" s="75"/>
      <c r="G118" s="76"/>
      <c r="H118" s="76"/>
      <c r="I118" s="48"/>
      <c r="J118" s="70"/>
      <c r="K118" s="70"/>
      <c r="L118" s="227" t="s">
        <v>271</v>
      </c>
      <c r="M118" s="228" t="s">
        <v>1059</v>
      </c>
      <c r="N118" s="227" t="s">
        <v>34</v>
      </c>
      <c r="O118" s="229">
        <v>4</v>
      </c>
      <c r="P118" s="230">
        <v>52.89</v>
      </c>
      <c r="Q118" s="230">
        <v>211.54</v>
      </c>
      <c r="R118" s="182"/>
      <c r="U118" s="128"/>
    </row>
    <row r="119" spans="1:21" ht="15.6" x14ac:dyDescent="0.3">
      <c r="A119" s="53"/>
      <c r="B119" s="54"/>
      <c r="C119" s="54"/>
      <c r="D119" s="54"/>
      <c r="E119" s="55"/>
      <c r="F119" s="75"/>
      <c r="G119" s="76"/>
      <c r="H119" s="76"/>
      <c r="I119" s="48"/>
      <c r="J119" s="70"/>
      <c r="K119" s="70"/>
      <c r="L119" s="227" t="s">
        <v>58</v>
      </c>
      <c r="M119" s="228" t="s">
        <v>67</v>
      </c>
      <c r="N119" s="227" t="s">
        <v>34</v>
      </c>
      <c r="O119" s="229">
        <v>9</v>
      </c>
      <c r="P119" s="230">
        <v>53.78</v>
      </c>
      <c r="Q119" s="230">
        <v>483.98</v>
      </c>
      <c r="R119" s="182"/>
      <c r="U119" s="128"/>
    </row>
    <row r="120" spans="1:21" ht="30" x14ac:dyDescent="0.3">
      <c r="A120" s="53"/>
      <c r="B120" s="54"/>
      <c r="C120" s="54"/>
      <c r="D120" s="54"/>
      <c r="E120" s="55"/>
      <c r="F120" s="75"/>
      <c r="G120" s="76"/>
      <c r="H120" s="76"/>
      <c r="I120" s="48"/>
      <c r="J120" s="70"/>
      <c r="K120" s="70"/>
      <c r="L120" s="227" t="s">
        <v>273</v>
      </c>
      <c r="M120" s="228" t="s">
        <v>274</v>
      </c>
      <c r="N120" s="227" t="s">
        <v>34</v>
      </c>
      <c r="O120" s="229">
        <v>2</v>
      </c>
      <c r="P120" s="230">
        <v>54.97</v>
      </c>
      <c r="Q120" s="230">
        <v>109.94</v>
      </c>
      <c r="R120" s="182"/>
      <c r="U120" s="128"/>
    </row>
    <row r="121" spans="1:21" ht="15.6" x14ac:dyDescent="0.3">
      <c r="A121" s="53"/>
      <c r="B121" s="54"/>
      <c r="C121" s="54"/>
      <c r="D121" s="54"/>
      <c r="E121" s="55"/>
      <c r="F121" s="75"/>
      <c r="G121" s="76"/>
      <c r="H121" s="76"/>
      <c r="I121" s="48"/>
      <c r="J121" s="70"/>
      <c r="K121" s="70"/>
      <c r="L121" s="227" t="s">
        <v>766</v>
      </c>
      <c r="M121" s="228" t="s">
        <v>767</v>
      </c>
      <c r="N121" s="227" t="s">
        <v>34</v>
      </c>
      <c r="O121" s="229">
        <v>1</v>
      </c>
      <c r="P121" s="264">
        <v>10432.950000000001</v>
      </c>
      <c r="Q121" s="264">
        <v>10432.950000000001</v>
      </c>
      <c r="R121" s="182"/>
      <c r="U121" s="128"/>
    </row>
    <row r="122" spans="1:21" ht="15.6" x14ac:dyDescent="0.3">
      <c r="A122" s="53"/>
      <c r="B122" s="54"/>
      <c r="C122" s="54"/>
      <c r="D122" s="54"/>
      <c r="E122" s="55"/>
      <c r="F122" s="75"/>
      <c r="G122" s="76"/>
      <c r="H122" s="76"/>
      <c r="I122" s="48"/>
      <c r="J122" s="70"/>
      <c r="K122" s="70"/>
      <c r="L122" s="227" t="s">
        <v>1011</v>
      </c>
      <c r="M122" s="228" t="s">
        <v>815</v>
      </c>
      <c r="N122" s="227" t="s">
        <v>34</v>
      </c>
      <c r="O122" s="229">
        <v>14</v>
      </c>
      <c r="P122" s="230">
        <v>865.5</v>
      </c>
      <c r="Q122" s="264">
        <v>12117</v>
      </c>
      <c r="R122" s="182"/>
      <c r="U122" s="128"/>
    </row>
    <row r="123" spans="1:21" ht="15.6" x14ac:dyDescent="0.3">
      <c r="A123" s="53"/>
      <c r="B123" s="54"/>
      <c r="C123" s="54"/>
      <c r="D123" s="54"/>
      <c r="E123" s="55"/>
      <c r="F123" s="75"/>
      <c r="G123" s="76"/>
      <c r="H123" s="76"/>
      <c r="I123" s="48"/>
      <c r="J123" s="70"/>
      <c r="K123" s="70"/>
      <c r="L123" s="227" t="s">
        <v>864</v>
      </c>
      <c r="M123" s="228" t="s">
        <v>929</v>
      </c>
      <c r="N123" s="227" t="s">
        <v>34</v>
      </c>
      <c r="O123" s="229">
        <v>4</v>
      </c>
      <c r="P123" s="264">
        <v>2220.42</v>
      </c>
      <c r="Q123" s="264">
        <v>8881.68</v>
      </c>
      <c r="R123" s="182"/>
      <c r="U123" s="128"/>
    </row>
    <row r="124" spans="1:21" ht="15.6" x14ac:dyDescent="0.3">
      <c r="A124" s="53"/>
      <c r="B124" s="54"/>
      <c r="C124" s="54"/>
      <c r="D124" s="54"/>
      <c r="E124" s="55"/>
      <c r="F124" s="75"/>
      <c r="G124" s="76"/>
      <c r="H124" s="76"/>
      <c r="I124" s="48"/>
      <c r="J124" s="70"/>
      <c r="K124" s="70"/>
      <c r="L124" s="227" t="s">
        <v>860</v>
      </c>
      <c r="M124" s="228" t="s">
        <v>922</v>
      </c>
      <c r="N124" s="227" t="s">
        <v>34</v>
      </c>
      <c r="O124" s="229">
        <v>1</v>
      </c>
      <c r="P124" s="264">
        <v>8518.9</v>
      </c>
      <c r="Q124" s="264">
        <v>8518.9</v>
      </c>
      <c r="R124" s="182"/>
      <c r="U124" s="128"/>
    </row>
    <row r="125" spans="1:21" ht="15.6" x14ac:dyDescent="0.3">
      <c r="A125" s="53"/>
      <c r="B125" s="54"/>
      <c r="C125" s="54"/>
      <c r="D125" s="54"/>
      <c r="E125" s="55"/>
      <c r="F125" s="75"/>
      <c r="G125" s="76"/>
      <c r="H125" s="76"/>
      <c r="I125" s="48"/>
      <c r="J125" s="70"/>
      <c r="K125" s="70"/>
      <c r="L125" s="227" t="s">
        <v>974</v>
      </c>
      <c r="M125" s="228" t="s">
        <v>760</v>
      </c>
      <c r="N125" s="227" t="s">
        <v>34</v>
      </c>
      <c r="O125" s="229">
        <v>4</v>
      </c>
      <c r="P125" s="264">
        <v>2213.64</v>
      </c>
      <c r="Q125" s="264">
        <v>8854.56</v>
      </c>
      <c r="R125" s="182"/>
      <c r="U125" s="128"/>
    </row>
    <row r="126" spans="1:21" ht="15.6" x14ac:dyDescent="0.3">
      <c r="A126" s="53"/>
      <c r="B126" s="54"/>
      <c r="C126" s="54"/>
      <c r="D126" s="54"/>
      <c r="E126" s="55"/>
      <c r="F126" s="75"/>
      <c r="G126" s="76"/>
      <c r="H126" s="76"/>
      <c r="I126" s="48"/>
      <c r="J126" s="70"/>
      <c r="K126" s="70"/>
      <c r="L126" s="227" t="s">
        <v>863</v>
      </c>
      <c r="M126" s="228" t="s">
        <v>926</v>
      </c>
      <c r="N126" s="227" t="s">
        <v>34</v>
      </c>
      <c r="O126" s="229">
        <v>1</v>
      </c>
      <c r="P126" s="264">
        <v>8590</v>
      </c>
      <c r="Q126" s="264">
        <v>8590</v>
      </c>
      <c r="R126" s="182"/>
      <c r="U126" s="128"/>
    </row>
    <row r="127" spans="1:21" ht="15.6" x14ac:dyDescent="0.3">
      <c r="A127" s="53"/>
      <c r="B127" s="54"/>
      <c r="C127" s="54"/>
      <c r="D127" s="54"/>
      <c r="E127" s="55"/>
      <c r="F127" s="75"/>
      <c r="G127" s="76"/>
      <c r="H127" s="76"/>
      <c r="I127" s="48"/>
      <c r="J127" s="70"/>
      <c r="K127" s="70"/>
      <c r="L127" s="227" t="s">
        <v>861</v>
      </c>
      <c r="M127" s="228" t="s">
        <v>917</v>
      </c>
      <c r="N127" s="227" t="s">
        <v>34</v>
      </c>
      <c r="O127" s="229">
        <v>1</v>
      </c>
      <c r="P127" s="264">
        <v>8250</v>
      </c>
      <c r="Q127" s="264">
        <v>8250</v>
      </c>
      <c r="R127" s="182"/>
      <c r="U127" s="128"/>
    </row>
    <row r="128" spans="1:21" ht="15.6" x14ac:dyDescent="0.3">
      <c r="A128" s="53"/>
      <c r="B128" s="54"/>
      <c r="C128" s="54"/>
      <c r="D128" s="54"/>
      <c r="E128" s="55"/>
      <c r="F128" s="75"/>
      <c r="G128" s="76"/>
      <c r="H128" s="76"/>
      <c r="I128" s="48"/>
      <c r="J128" s="70"/>
      <c r="K128" s="70"/>
      <c r="L128" s="227" t="s">
        <v>979</v>
      </c>
      <c r="M128" s="228" t="s">
        <v>73</v>
      </c>
      <c r="N128" s="227" t="s">
        <v>34</v>
      </c>
      <c r="O128" s="229">
        <v>3</v>
      </c>
      <c r="P128" s="230">
        <v>377.87</v>
      </c>
      <c r="Q128" s="264">
        <v>1133.6199999999999</v>
      </c>
      <c r="R128" s="182"/>
      <c r="U128" s="128"/>
    </row>
    <row r="129" spans="1:21" ht="15.6" x14ac:dyDescent="0.3">
      <c r="A129" s="53"/>
      <c r="B129" s="54"/>
      <c r="C129" s="54"/>
      <c r="D129" s="54"/>
      <c r="E129" s="55"/>
      <c r="F129" s="75"/>
      <c r="G129" s="76"/>
      <c r="H129" s="76"/>
      <c r="I129" s="48"/>
      <c r="J129" s="70"/>
      <c r="K129" s="70"/>
      <c r="L129" s="227" t="s">
        <v>1099</v>
      </c>
      <c r="M129" s="228" t="s">
        <v>1100</v>
      </c>
      <c r="N129" s="227" t="s">
        <v>34</v>
      </c>
      <c r="O129" s="229">
        <v>1</v>
      </c>
      <c r="P129" s="230">
        <v>35</v>
      </c>
      <c r="Q129" s="230">
        <v>35</v>
      </c>
      <c r="R129" s="182"/>
      <c r="U129" s="128"/>
    </row>
    <row r="130" spans="1:21" ht="15.6" x14ac:dyDescent="0.3">
      <c r="A130" s="53"/>
      <c r="B130" s="54"/>
      <c r="C130" s="54"/>
      <c r="D130" s="54"/>
      <c r="E130" s="55"/>
      <c r="F130" s="75"/>
      <c r="G130" s="76"/>
      <c r="H130" s="76"/>
      <c r="I130" s="48"/>
      <c r="J130" s="70"/>
      <c r="K130" s="70"/>
      <c r="L130" s="227" t="s">
        <v>164</v>
      </c>
      <c r="M130" s="228" t="s">
        <v>165</v>
      </c>
      <c r="N130" s="227" t="s">
        <v>34</v>
      </c>
      <c r="O130" s="229">
        <v>1</v>
      </c>
      <c r="P130" s="230">
        <v>323.88</v>
      </c>
      <c r="Q130" s="230">
        <v>323.88</v>
      </c>
      <c r="R130" s="182"/>
      <c r="U130" s="128"/>
    </row>
    <row r="131" spans="1:21" ht="15.6" x14ac:dyDescent="0.3">
      <c r="A131" s="53"/>
      <c r="B131" s="54"/>
      <c r="C131" s="54"/>
      <c r="D131" s="54"/>
      <c r="E131" s="55"/>
      <c r="F131" s="75"/>
      <c r="G131" s="76"/>
      <c r="H131" s="76"/>
      <c r="I131" s="48"/>
      <c r="J131" s="70"/>
      <c r="K131" s="70"/>
      <c r="L131" s="227" t="s">
        <v>282</v>
      </c>
      <c r="M131" s="228" t="s">
        <v>283</v>
      </c>
      <c r="N131" s="227" t="s">
        <v>34</v>
      </c>
      <c r="O131" s="229">
        <v>1</v>
      </c>
      <c r="P131" s="230">
        <v>81.599999999999994</v>
      </c>
      <c r="Q131" s="230">
        <v>81.599999999999994</v>
      </c>
      <c r="R131" s="182"/>
      <c r="U131" s="128"/>
    </row>
    <row r="132" spans="1:21" ht="15.6" x14ac:dyDescent="0.3">
      <c r="A132" s="53"/>
      <c r="B132" s="54"/>
      <c r="C132" s="54"/>
      <c r="D132" s="54"/>
      <c r="E132" s="55"/>
      <c r="F132" s="75"/>
      <c r="G132" s="76"/>
      <c r="H132" s="76"/>
      <c r="I132" s="48"/>
      <c r="J132" s="70"/>
      <c r="K132" s="70"/>
      <c r="L132" s="227" t="s">
        <v>980</v>
      </c>
      <c r="M132" s="228" t="s">
        <v>284</v>
      </c>
      <c r="N132" s="227" t="s">
        <v>34</v>
      </c>
      <c r="O132" s="229">
        <v>3</v>
      </c>
      <c r="P132" s="230">
        <v>84.36</v>
      </c>
      <c r="Q132" s="230">
        <v>253.08</v>
      </c>
      <c r="R132" s="182"/>
      <c r="U132" s="128"/>
    </row>
    <row r="133" spans="1:21" ht="15.6" x14ac:dyDescent="0.3">
      <c r="A133" s="53"/>
      <c r="B133" s="54"/>
      <c r="C133" s="54"/>
      <c r="D133" s="54"/>
      <c r="E133" s="55"/>
      <c r="F133" s="75"/>
      <c r="G133" s="76"/>
      <c r="H133" s="76"/>
      <c r="I133" s="48"/>
      <c r="J133" s="70"/>
      <c r="K133" s="70"/>
      <c r="L133" s="227" t="s">
        <v>1092</v>
      </c>
      <c r="M133" s="228" t="s">
        <v>1096</v>
      </c>
      <c r="N133" s="227" t="s">
        <v>34</v>
      </c>
      <c r="O133" s="229">
        <v>1</v>
      </c>
      <c r="P133" s="230">
        <v>128.24</v>
      </c>
      <c r="Q133" s="230">
        <v>128.24</v>
      </c>
      <c r="R133" s="182"/>
      <c r="U133" s="128"/>
    </row>
    <row r="134" spans="1:21" ht="15.6" x14ac:dyDescent="0.3">
      <c r="A134" s="53"/>
      <c r="B134" s="54"/>
      <c r="C134" s="54"/>
      <c r="D134" s="54"/>
      <c r="E134" s="55"/>
      <c r="F134" s="75"/>
      <c r="G134" s="76"/>
      <c r="H134" s="76"/>
      <c r="I134" s="48"/>
      <c r="J134" s="70"/>
      <c r="K134" s="70"/>
      <c r="L134" s="227" t="s">
        <v>879</v>
      </c>
      <c r="M134" s="228" t="s">
        <v>880</v>
      </c>
      <c r="N134" s="227" t="s">
        <v>34</v>
      </c>
      <c r="O134" s="229">
        <v>1</v>
      </c>
      <c r="P134" s="264">
        <v>2454.9899999999998</v>
      </c>
      <c r="Q134" s="264">
        <v>2454.9899999999998</v>
      </c>
      <c r="R134" s="182"/>
      <c r="U134" s="128"/>
    </row>
    <row r="135" spans="1:21" ht="15.6" x14ac:dyDescent="0.3">
      <c r="A135" s="53"/>
      <c r="B135" s="54"/>
      <c r="C135" s="54"/>
      <c r="D135" s="54"/>
      <c r="E135" s="55"/>
      <c r="F135" s="75"/>
      <c r="G135" s="76"/>
      <c r="H135" s="76"/>
      <c r="I135" s="48"/>
      <c r="J135" s="70"/>
      <c r="K135" s="70"/>
      <c r="L135" s="227" t="s">
        <v>1138</v>
      </c>
      <c r="M135" s="228" t="s">
        <v>1225</v>
      </c>
      <c r="N135" s="227" t="s">
        <v>34</v>
      </c>
      <c r="O135" s="229">
        <v>2</v>
      </c>
      <c r="P135" s="230">
        <v>99.92</v>
      </c>
      <c r="Q135" s="230">
        <v>199.84</v>
      </c>
      <c r="R135" s="182"/>
      <c r="U135" s="128"/>
    </row>
    <row r="136" spans="1:21" ht="15.6" x14ac:dyDescent="0.3">
      <c r="A136" s="53"/>
      <c r="B136" s="54"/>
      <c r="C136" s="54"/>
      <c r="D136" s="54"/>
      <c r="E136" s="55"/>
      <c r="F136" s="75"/>
      <c r="G136" s="76"/>
      <c r="H136" s="76"/>
      <c r="I136" s="48"/>
      <c r="J136" s="70"/>
      <c r="K136" s="70"/>
      <c r="L136" s="227" t="s">
        <v>981</v>
      </c>
      <c r="M136" s="228" t="s">
        <v>285</v>
      </c>
      <c r="N136" s="227" t="s">
        <v>34</v>
      </c>
      <c r="O136" s="229">
        <v>1</v>
      </c>
      <c r="P136" s="230">
        <v>84.9</v>
      </c>
      <c r="Q136" s="230">
        <v>84.9</v>
      </c>
      <c r="R136" s="182"/>
      <c r="U136" s="128"/>
    </row>
    <row r="137" spans="1:21" ht="15.6" x14ac:dyDescent="0.3">
      <c r="A137" s="53"/>
      <c r="B137" s="54"/>
      <c r="C137" s="54"/>
      <c r="D137" s="54"/>
      <c r="E137" s="55"/>
      <c r="F137" s="75"/>
      <c r="G137" s="76"/>
      <c r="H137" s="76"/>
      <c r="I137" s="48"/>
      <c r="J137" s="70"/>
      <c r="K137" s="70"/>
      <c r="L137" s="227" t="s">
        <v>982</v>
      </c>
      <c r="M137" s="228" t="s">
        <v>751</v>
      </c>
      <c r="N137" s="227" t="s">
        <v>34</v>
      </c>
      <c r="O137" s="229">
        <v>3</v>
      </c>
      <c r="P137" s="230">
        <v>15.5</v>
      </c>
      <c r="Q137" s="230">
        <v>46.5</v>
      </c>
      <c r="R137" s="182"/>
      <c r="U137" s="128"/>
    </row>
    <row r="138" spans="1:21" ht="15.6" x14ac:dyDescent="0.3">
      <c r="A138" s="53"/>
      <c r="B138" s="54"/>
      <c r="C138" s="54"/>
      <c r="D138" s="54"/>
      <c r="E138" s="55"/>
      <c r="F138" s="75"/>
      <c r="G138" s="76"/>
      <c r="H138" s="76"/>
      <c r="I138" s="48"/>
      <c r="J138" s="70"/>
      <c r="K138" s="70"/>
      <c r="L138" s="227" t="s">
        <v>862</v>
      </c>
      <c r="M138" s="228" t="s">
        <v>1045</v>
      </c>
      <c r="N138" s="227" t="s">
        <v>34</v>
      </c>
      <c r="O138" s="229">
        <v>1</v>
      </c>
      <c r="P138" s="264">
        <v>14582.5</v>
      </c>
      <c r="Q138" s="264">
        <v>14582.5</v>
      </c>
      <c r="R138" s="182"/>
      <c r="U138" s="128"/>
    </row>
    <row r="139" spans="1:21" ht="15.6" x14ac:dyDescent="0.3">
      <c r="A139" s="53"/>
      <c r="B139" s="54"/>
      <c r="C139" s="54"/>
      <c r="D139" s="54"/>
      <c r="E139" s="55"/>
      <c r="F139" s="75"/>
      <c r="G139" s="76"/>
      <c r="H139" s="76"/>
      <c r="I139" s="48"/>
      <c r="J139" s="70"/>
      <c r="K139" s="70"/>
      <c r="L139" s="227" t="s">
        <v>954</v>
      </c>
      <c r="M139" s="228" t="s">
        <v>1048</v>
      </c>
      <c r="N139" s="227" t="s">
        <v>34</v>
      </c>
      <c r="O139" s="229">
        <v>0.05</v>
      </c>
      <c r="P139" s="230">
        <v>291</v>
      </c>
      <c r="Q139" s="230">
        <v>14.55</v>
      </c>
      <c r="R139" s="182"/>
      <c r="U139" s="128"/>
    </row>
    <row r="140" spans="1:21" ht="15.6" x14ac:dyDescent="0.3">
      <c r="A140" s="53"/>
      <c r="B140" s="54"/>
      <c r="C140" s="54"/>
      <c r="D140" s="54"/>
      <c r="E140" s="55"/>
      <c r="F140" s="75"/>
      <c r="G140" s="76"/>
      <c r="H140" s="76"/>
      <c r="I140" s="48"/>
      <c r="J140" s="70"/>
      <c r="K140" s="70"/>
      <c r="L140" s="227" t="s">
        <v>1140</v>
      </c>
      <c r="M140" s="228" t="s">
        <v>1227</v>
      </c>
      <c r="N140" s="227" t="s">
        <v>34</v>
      </c>
      <c r="O140" s="229">
        <v>2</v>
      </c>
      <c r="P140" s="264">
        <v>1331</v>
      </c>
      <c r="Q140" s="264">
        <v>2662</v>
      </c>
      <c r="R140" s="182"/>
      <c r="U140" s="128"/>
    </row>
    <row r="141" spans="1:21" ht="15.6" x14ac:dyDescent="0.3">
      <c r="A141" s="53"/>
      <c r="B141" s="54"/>
      <c r="C141" s="54"/>
      <c r="D141" s="54"/>
      <c r="E141" s="55"/>
      <c r="F141" s="75"/>
      <c r="G141" s="76"/>
      <c r="H141" s="76"/>
      <c r="I141" s="48"/>
      <c r="J141" s="70"/>
      <c r="K141" s="70"/>
      <c r="L141" s="227" t="s">
        <v>859</v>
      </c>
      <c r="M141" s="228" t="s">
        <v>904</v>
      </c>
      <c r="N141" s="227" t="s">
        <v>34</v>
      </c>
      <c r="O141" s="229">
        <v>1</v>
      </c>
      <c r="P141" s="264">
        <v>4233.3599999999997</v>
      </c>
      <c r="Q141" s="264">
        <v>4233.3599999999997</v>
      </c>
      <c r="R141" s="182"/>
      <c r="U141" s="128"/>
    </row>
    <row r="142" spans="1:21" ht="15.6" x14ac:dyDescent="0.3">
      <c r="A142" s="53"/>
      <c r="B142" s="54"/>
      <c r="C142" s="54"/>
      <c r="D142" s="54"/>
      <c r="E142" s="55"/>
      <c r="F142" s="75"/>
      <c r="G142" s="76"/>
      <c r="H142" s="76"/>
      <c r="I142" s="48"/>
      <c r="J142" s="70"/>
      <c r="K142" s="70"/>
      <c r="L142" s="227" t="s">
        <v>868</v>
      </c>
      <c r="M142" s="228" t="s">
        <v>1047</v>
      </c>
      <c r="N142" s="227" t="s">
        <v>34</v>
      </c>
      <c r="O142" s="229">
        <v>1</v>
      </c>
      <c r="P142" s="230">
        <v>846</v>
      </c>
      <c r="Q142" s="230">
        <v>846</v>
      </c>
      <c r="R142" s="182"/>
      <c r="U142" s="128"/>
    </row>
    <row r="143" spans="1:21" ht="15.6" x14ac:dyDescent="0.3">
      <c r="A143" s="53"/>
      <c r="B143" s="54"/>
      <c r="C143" s="54"/>
      <c r="D143" s="54"/>
      <c r="E143" s="55"/>
      <c r="F143" s="75"/>
      <c r="G143" s="76"/>
      <c r="H143" s="76"/>
      <c r="I143" s="48"/>
      <c r="J143" s="70"/>
      <c r="K143" s="70"/>
      <c r="L143" s="227" t="s">
        <v>1149</v>
      </c>
      <c r="M143" s="228" t="s">
        <v>1236</v>
      </c>
      <c r="N143" s="227" t="s">
        <v>34</v>
      </c>
      <c r="O143" s="229">
        <v>1</v>
      </c>
      <c r="P143" s="230">
        <v>17.420000000000002</v>
      </c>
      <c r="Q143" s="230">
        <v>17.420000000000002</v>
      </c>
      <c r="R143" s="182"/>
      <c r="U143" s="128"/>
    </row>
    <row r="144" spans="1:21" ht="15.6" x14ac:dyDescent="0.3">
      <c r="A144" s="53"/>
      <c r="B144" s="54"/>
      <c r="C144" s="54"/>
      <c r="D144" s="54"/>
      <c r="E144" s="55"/>
      <c r="F144" s="75"/>
      <c r="G144" s="76"/>
      <c r="H144" s="76"/>
      <c r="I144" s="48"/>
      <c r="J144" s="70"/>
      <c r="K144" s="70"/>
      <c r="L144" s="227" t="s">
        <v>1150</v>
      </c>
      <c r="M144" s="228" t="s">
        <v>1237</v>
      </c>
      <c r="N144" s="227" t="s">
        <v>34</v>
      </c>
      <c r="O144" s="229">
        <v>116</v>
      </c>
      <c r="P144" s="230">
        <v>27.72</v>
      </c>
      <c r="Q144" s="264">
        <v>3215.52</v>
      </c>
      <c r="R144" s="182"/>
      <c r="U144" s="128"/>
    </row>
    <row r="145" spans="1:21" ht="15.6" x14ac:dyDescent="0.3">
      <c r="A145" s="53"/>
      <c r="B145" s="54"/>
      <c r="C145" s="54"/>
      <c r="D145" s="54"/>
      <c r="E145" s="55"/>
      <c r="F145" s="75"/>
      <c r="G145" s="76"/>
      <c r="H145" s="76"/>
      <c r="I145" s="48"/>
      <c r="J145" s="70"/>
      <c r="K145" s="70"/>
      <c r="L145" s="227" t="s">
        <v>793</v>
      </c>
      <c r="M145" s="228" t="s">
        <v>1052</v>
      </c>
      <c r="N145" s="227" t="s">
        <v>34</v>
      </c>
      <c r="O145" s="229">
        <v>73</v>
      </c>
      <c r="P145" s="230">
        <v>6.44</v>
      </c>
      <c r="Q145" s="230">
        <v>470.12</v>
      </c>
      <c r="R145" s="182"/>
      <c r="U145" s="128"/>
    </row>
    <row r="146" spans="1:21" ht="15.6" x14ac:dyDescent="0.3">
      <c r="A146" s="53"/>
      <c r="B146" s="54"/>
      <c r="C146" s="54"/>
      <c r="D146" s="54"/>
      <c r="E146" s="55"/>
      <c r="F146" s="75"/>
      <c r="G146" s="76"/>
      <c r="H146" s="76"/>
      <c r="I146" s="48"/>
      <c r="J146" s="70"/>
      <c r="K146" s="70"/>
      <c r="L146" s="227" t="s">
        <v>965</v>
      </c>
      <c r="M146" s="228" t="s">
        <v>382</v>
      </c>
      <c r="N146" s="227" t="s">
        <v>34</v>
      </c>
      <c r="O146" s="229">
        <v>16</v>
      </c>
      <c r="P146" s="230">
        <v>3.8</v>
      </c>
      <c r="Q146" s="230">
        <v>60.8</v>
      </c>
      <c r="R146" s="182"/>
      <c r="U146" s="128"/>
    </row>
    <row r="147" spans="1:21" ht="15.6" x14ac:dyDescent="0.3">
      <c r="A147" s="53"/>
      <c r="B147" s="54"/>
      <c r="C147" s="54"/>
      <c r="D147" s="54"/>
      <c r="E147" s="55"/>
      <c r="F147" s="75"/>
      <c r="G147" s="76"/>
      <c r="H147" s="76"/>
      <c r="I147" s="48"/>
      <c r="J147" s="70"/>
      <c r="K147" s="70"/>
      <c r="L147" s="227" t="s">
        <v>891</v>
      </c>
      <c r="M147" s="228" t="s">
        <v>892</v>
      </c>
      <c r="N147" s="227" t="s">
        <v>34</v>
      </c>
      <c r="O147" s="229">
        <v>3</v>
      </c>
      <c r="P147" s="230">
        <v>720</v>
      </c>
      <c r="Q147" s="264">
        <v>2160</v>
      </c>
      <c r="R147" s="182"/>
      <c r="U147" s="128"/>
    </row>
    <row r="148" spans="1:21" ht="15.6" x14ac:dyDescent="0.3">
      <c r="A148" s="53"/>
      <c r="B148" s="54"/>
      <c r="C148" s="54"/>
      <c r="D148" s="54"/>
      <c r="E148" s="55"/>
      <c r="F148" s="75"/>
      <c r="G148" s="76"/>
      <c r="H148" s="76"/>
      <c r="I148" s="48"/>
      <c r="J148" s="70"/>
      <c r="K148" s="70"/>
      <c r="L148" s="227" t="s">
        <v>865</v>
      </c>
      <c r="M148" s="228" t="s">
        <v>1055</v>
      </c>
      <c r="N148" s="227" t="s">
        <v>34</v>
      </c>
      <c r="O148" s="229">
        <v>1</v>
      </c>
      <c r="P148" s="264">
        <v>4916.67</v>
      </c>
      <c r="Q148" s="264">
        <v>4916.67</v>
      </c>
      <c r="R148" s="182"/>
      <c r="U148" s="128"/>
    </row>
    <row r="149" spans="1:21" ht="15.6" x14ac:dyDescent="0.3">
      <c r="A149" s="53"/>
      <c r="B149" s="54"/>
      <c r="C149" s="54"/>
      <c r="D149" s="54"/>
      <c r="E149" s="55"/>
      <c r="F149" s="75"/>
      <c r="G149" s="76"/>
      <c r="H149" s="76"/>
      <c r="I149" s="48"/>
      <c r="J149" s="70"/>
      <c r="K149" s="70"/>
      <c r="L149" s="227" t="s">
        <v>799</v>
      </c>
      <c r="M149" s="228" t="s">
        <v>800</v>
      </c>
      <c r="N149" s="227" t="s">
        <v>34</v>
      </c>
      <c r="O149" s="229">
        <v>1</v>
      </c>
      <c r="P149" s="230">
        <v>308.12</v>
      </c>
      <c r="Q149" s="230">
        <v>308.12</v>
      </c>
      <c r="R149" s="182"/>
      <c r="U149" s="128"/>
    </row>
    <row r="150" spans="1:21" ht="15.6" x14ac:dyDescent="0.3">
      <c r="A150" s="53"/>
      <c r="B150" s="54"/>
      <c r="C150" s="54"/>
      <c r="D150" s="54"/>
      <c r="E150" s="55"/>
      <c r="F150" s="75"/>
      <c r="G150" s="76"/>
      <c r="H150" s="76"/>
      <c r="I150" s="48"/>
      <c r="J150" s="70"/>
      <c r="K150" s="70"/>
      <c r="L150" s="227" t="s">
        <v>801</v>
      </c>
      <c r="M150" s="228" t="s">
        <v>802</v>
      </c>
      <c r="N150" s="227" t="s">
        <v>34</v>
      </c>
      <c r="O150" s="229">
        <v>1</v>
      </c>
      <c r="P150" s="230">
        <v>308.12</v>
      </c>
      <c r="Q150" s="230">
        <v>308.12</v>
      </c>
      <c r="R150" s="182"/>
      <c r="U150" s="128"/>
    </row>
    <row r="151" spans="1:21" ht="15.6" x14ac:dyDescent="0.3">
      <c r="A151" s="53"/>
      <c r="B151" s="54"/>
      <c r="C151" s="54"/>
      <c r="D151" s="54"/>
      <c r="E151" s="55"/>
      <c r="F151" s="75"/>
      <c r="G151" s="76"/>
      <c r="H151" s="76"/>
      <c r="I151" s="48"/>
      <c r="J151" s="70"/>
      <c r="K151" s="70"/>
      <c r="L151" s="227" t="s">
        <v>1305</v>
      </c>
      <c r="M151" s="228" t="s">
        <v>1339</v>
      </c>
      <c r="N151" s="227" t="s">
        <v>34</v>
      </c>
      <c r="O151" s="229">
        <v>1</v>
      </c>
      <c r="P151" s="230">
        <v>79.17</v>
      </c>
      <c r="Q151" s="230">
        <v>79.17</v>
      </c>
      <c r="R151" s="182"/>
      <c r="U151" s="128"/>
    </row>
    <row r="152" spans="1:21" ht="15.6" x14ac:dyDescent="0.3">
      <c r="A152" s="53"/>
      <c r="B152" s="54"/>
      <c r="C152" s="54"/>
      <c r="D152" s="54"/>
      <c r="E152" s="55"/>
      <c r="F152" s="75"/>
      <c r="G152" s="76"/>
      <c r="H152" s="76"/>
      <c r="I152" s="48"/>
      <c r="J152" s="70"/>
      <c r="K152" s="70"/>
      <c r="L152" s="227" t="s">
        <v>1153</v>
      </c>
      <c r="M152" s="228" t="s">
        <v>1240</v>
      </c>
      <c r="N152" s="227" t="s">
        <v>34</v>
      </c>
      <c r="O152" s="229">
        <v>1</v>
      </c>
      <c r="P152" s="264">
        <v>1546</v>
      </c>
      <c r="Q152" s="264">
        <v>1546</v>
      </c>
      <c r="R152" s="182"/>
      <c r="U152" s="128"/>
    </row>
    <row r="153" spans="1:21" ht="15.6" x14ac:dyDescent="0.3">
      <c r="A153" s="53"/>
      <c r="B153" s="54"/>
      <c r="C153" s="54"/>
      <c r="D153" s="54"/>
      <c r="E153" s="55"/>
      <c r="F153" s="75"/>
      <c r="G153" s="76"/>
      <c r="H153" s="76"/>
      <c r="I153" s="48"/>
      <c r="J153" s="70"/>
      <c r="K153" s="70"/>
      <c r="L153" s="227" t="s">
        <v>867</v>
      </c>
      <c r="M153" s="228" t="s">
        <v>918</v>
      </c>
      <c r="N153" s="227" t="s">
        <v>34</v>
      </c>
      <c r="O153" s="229">
        <v>1</v>
      </c>
      <c r="P153" s="264">
        <v>4050</v>
      </c>
      <c r="Q153" s="264">
        <v>4050</v>
      </c>
      <c r="R153" s="182"/>
      <c r="U153" s="128"/>
    </row>
    <row r="154" spans="1:21" ht="15.6" x14ac:dyDescent="0.3">
      <c r="A154" s="53"/>
      <c r="B154" s="54"/>
      <c r="C154" s="54"/>
      <c r="D154" s="54"/>
      <c r="E154" s="55"/>
      <c r="F154" s="75"/>
      <c r="G154" s="76"/>
      <c r="H154" s="76"/>
      <c r="I154" s="48"/>
      <c r="J154" s="70"/>
      <c r="K154" s="70"/>
      <c r="L154" s="227" t="s">
        <v>194</v>
      </c>
      <c r="M154" s="228" t="s">
        <v>195</v>
      </c>
      <c r="N154" s="227" t="s">
        <v>34</v>
      </c>
      <c r="O154" s="229">
        <v>0.2</v>
      </c>
      <c r="P154" s="264">
        <v>1500</v>
      </c>
      <c r="Q154" s="230">
        <v>300</v>
      </c>
      <c r="R154" s="182"/>
      <c r="U154" s="128"/>
    </row>
    <row r="155" spans="1:21" ht="30" x14ac:dyDescent="0.3">
      <c r="A155" s="53"/>
      <c r="B155" s="54"/>
      <c r="C155" s="54"/>
      <c r="D155" s="54"/>
      <c r="E155" s="55"/>
      <c r="F155" s="75"/>
      <c r="G155" s="76"/>
      <c r="H155" s="76"/>
      <c r="I155" s="48"/>
      <c r="J155" s="70"/>
      <c r="K155" s="70"/>
      <c r="L155" s="227" t="s">
        <v>959</v>
      </c>
      <c r="M155" s="228" t="s">
        <v>1050</v>
      </c>
      <c r="N155" s="227" t="s">
        <v>34</v>
      </c>
      <c r="O155" s="229">
        <v>9</v>
      </c>
      <c r="P155" s="230">
        <v>13.9</v>
      </c>
      <c r="Q155" s="230">
        <v>125.1</v>
      </c>
      <c r="R155" s="182"/>
      <c r="U155" s="128"/>
    </row>
    <row r="156" spans="1:21" ht="30" x14ac:dyDescent="0.3">
      <c r="A156" s="53"/>
      <c r="B156" s="54"/>
      <c r="C156" s="54"/>
      <c r="D156" s="54"/>
      <c r="E156" s="55"/>
      <c r="F156" s="75"/>
      <c r="G156" s="76"/>
      <c r="H156" s="76"/>
      <c r="I156" s="48"/>
      <c r="J156" s="70"/>
      <c r="K156" s="70"/>
      <c r="L156" s="227" t="s">
        <v>960</v>
      </c>
      <c r="M156" s="228" t="s">
        <v>784</v>
      </c>
      <c r="N156" s="227" t="s">
        <v>34</v>
      </c>
      <c r="O156" s="229">
        <v>3</v>
      </c>
      <c r="P156" s="230">
        <v>13.9</v>
      </c>
      <c r="Q156" s="230">
        <v>41.7</v>
      </c>
      <c r="R156" s="182"/>
      <c r="U156" s="128"/>
    </row>
    <row r="157" spans="1:21" ht="15.6" x14ac:dyDescent="0.3">
      <c r="A157" s="53"/>
      <c r="B157" s="54"/>
      <c r="C157" s="54"/>
      <c r="D157" s="54"/>
      <c r="E157" s="55"/>
      <c r="F157" s="75"/>
      <c r="G157" s="76"/>
      <c r="H157" s="76"/>
      <c r="I157" s="48"/>
      <c r="J157" s="70"/>
      <c r="K157" s="70"/>
      <c r="L157" s="227" t="s">
        <v>363</v>
      </c>
      <c r="M157" s="228" t="s">
        <v>364</v>
      </c>
      <c r="N157" s="227" t="s">
        <v>34</v>
      </c>
      <c r="O157" s="229">
        <v>2</v>
      </c>
      <c r="P157" s="230">
        <v>108.4</v>
      </c>
      <c r="Q157" s="230">
        <v>216.8</v>
      </c>
      <c r="R157" s="182"/>
      <c r="U157" s="128"/>
    </row>
    <row r="158" spans="1:21" ht="15.6" x14ac:dyDescent="0.3">
      <c r="A158" s="53"/>
      <c r="B158" s="54"/>
      <c r="C158" s="54"/>
      <c r="D158" s="54"/>
      <c r="E158" s="55"/>
      <c r="F158" s="75"/>
      <c r="G158" s="76"/>
      <c r="H158" s="76"/>
      <c r="I158" s="48"/>
      <c r="J158" s="70"/>
      <c r="K158" s="70"/>
      <c r="L158" s="227" t="s">
        <v>188</v>
      </c>
      <c r="M158" s="228" t="s">
        <v>189</v>
      </c>
      <c r="N158" s="227" t="s">
        <v>34</v>
      </c>
      <c r="O158" s="229">
        <v>4</v>
      </c>
      <c r="P158" s="230">
        <v>55.1</v>
      </c>
      <c r="Q158" s="230">
        <v>220.4</v>
      </c>
      <c r="R158" s="182"/>
      <c r="U158" s="128"/>
    </row>
    <row r="159" spans="1:21" ht="15.6" x14ac:dyDescent="0.3">
      <c r="A159" s="53"/>
      <c r="B159" s="54"/>
      <c r="C159" s="54"/>
      <c r="D159" s="54"/>
      <c r="E159" s="55"/>
      <c r="F159" s="75"/>
      <c r="G159" s="76"/>
      <c r="H159" s="76"/>
      <c r="I159" s="48"/>
      <c r="J159" s="70"/>
      <c r="K159" s="70"/>
      <c r="L159" s="227" t="s">
        <v>732</v>
      </c>
      <c r="M159" s="228" t="s">
        <v>733</v>
      </c>
      <c r="N159" s="227" t="s">
        <v>34</v>
      </c>
      <c r="O159" s="229">
        <v>1</v>
      </c>
      <c r="P159" s="264">
        <v>19165.830000000002</v>
      </c>
      <c r="Q159" s="264">
        <v>19165.830000000002</v>
      </c>
      <c r="R159" s="182"/>
      <c r="U159" s="128"/>
    </row>
    <row r="160" spans="1:21" ht="15.6" x14ac:dyDescent="0.3">
      <c r="A160" s="53"/>
      <c r="B160" s="54"/>
      <c r="C160" s="54"/>
      <c r="D160" s="54"/>
      <c r="E160" s="55"/>
      <c r="F160" s="75"/>
      <c r="G160" s="76"/>
      <c r="H160" s="76"/>
      <c r="I160" s="48"/>
      <c r="J160" s="70"/>
      <c r="K160" s="70"/>
      <c r="L160" s="227" t="s">
        <v>1298</v>
      </c>
      <c r="M160" s="228" t="s">
        <v>1332</v>
      </c>
      <c r="N160" s="227" t="s">
        <v>34</v>
      </c>
      <c r="O160" s="229">
        <v>1</v>
      </c>
      <c r="P160" s="264">
        <v>1245.5</v>
      </c>
      <c r="Q160" s="264">
        <v>1245.5</v>
      </c>
      <c r="R160" s="182"/>
      <c r="U160" s="128"/>
    </row>
    <row r="161" spans="1:21" ht="15.6" x14ac:dyDescent="0.3">
      <c r="A161" s="53"/>
      <c r="B161" s="54"/>
      <c r="C161" s="54"/>
      <c r="D161" s="54"/>
      <c r="E161" s="55"/>
      <c r="F161" s="75"/>
      <c r="G161" s="76"/>
      <c r="H161" s="76"/>
      <c r="I161" s="48"/>
      <c r="J161" s="70"/>
      <c r="K161" s="70"/>
      <c r="L161" s="227" t="s">
        <v>371</v>
      </c>
      <c r="M161" s="228" t="s">
        <v>372</v>
      </c>
      <c r="N161" s="227" t="s">
        <v>34</v>
      </c>
      <c r="O161" s="229">
        <v>41</v>
      </c>
      <c r="P161" s="230">
        <v>14.88</v>
      </c>
      <c r="Q161" s="230">
        <v>610.08000000000004</v>
      </c>
      <c r="R161" s="182"/>
      <c r="U161" s="128"/>
    </row>
    <row r="162" spans="1:21" ht="15.6" x14ac:dyDescent="0.3">
      <c r="A162" s="53"/>
      <c r="B162" s="54"/>
      <c r="C162" s="54"/>
      <c r="D162" s="54"/>
      <c r="E162" s="55"/>
      <c r="F162" s="75"/>
      <c r="G162" s="76"/>
      <c r="H162" s="76"/>
      <c r="I162" s="48"/>
      <c r="J162" s="70"/>
      <c r="K162" s="70"/>
      <c r="L162" s="227" t="s">
        <v>785</v>
      </c>
      <c r="M162" s="228" t="s">
        <v>786</v>
      </c>
      <c r="N162" s="227" t="s">
        <v>34</v>
      </c>
      <c r="O162" s="229">
        <v>3</v>
      </c>
      <c r="P162" s="230">
        <v>166.95</v>
      </c>
      <c r="Q162" s="230">
        <v>500.84</v>
      </c>
      <c r="R162" s="182"/>
      <c r="U162" s="128"/>
    </row>
    <row r="163" spans="1:21" ht="15.6" x14ac:dyDescent="0.3">
      <c r="A163" s="53"/>
      <c r="B163" s="54"/>
      <c r="C163" s="54"/>
      <c r="D163" s="54"/>
      <c r="E163" s="55"/>
      <c r="F163" s="75"/>
      <c r="G163" s="76"/>
      <c r="H163" s="76"/>
      <c r="I163" s="48"/>
      <c r="J163" s="70"/>
      <c r="K163" s="70"/>
      <c r="L163" s="227" t="s">
        <v>373</v>
      </c>
      <c r="M163" s="228" t="s">
        <v>374</v>
      </c>
      <c r="N163" s="227" t="s">
        <v>34</v>
      </c>
      <c r="O163" s="229">
        <v>5</v>
      </c>
      <c r="P163" s="230">
        <v>17.329999999999998</v>
      </c>
      <c r="Q163" s="230">
        <v>86.63</v>
      </c>
      <c r="R163" s="182"/>
      <c r="U163" s="128"/>
    </row>
    <row r="164" spans="1:21" ht="15.6" x14ac:dyDescent="0.3">
      <c r="A164" s="53"/>
      <c r="B164" s="54"/>
      <c r="C164" s="54"/>
      <c r="D164" s="54"/>
      <c r="E164" s="55"/>
      <c r="F164" s="75"/>
      <c r="G164" s="76"/>
      <c r="H164" s="76"/>
      <c r="I164" s="48"/>
      <c r="J164" s="70"/>
      <c r="K164" s="70"/>
      <c r="L164" s="227" t="s">
        <v>1145</v>
      </c>
      <c r="M164" s="228" t="s">
        <v>1232</v>
      </c>
      <c r="N164" s="227" t="s">
        <v>34</v>
      </c>
      <c r="O164" s="229">
        <v>1</v>
      </c>
      <c r="P164" s="230">
        <v>64.75</v>
      </c>
      <c r="Q164" s="230">
        <v>64.75</v>
      </c>
      <c r="R164" s="182"/>
      <c r="U164" s="128"/>
    </row>
    <row r="165" spans="1:21" ht="15.6" x14ac:dyDescent="0.3">
      <c r="A165" s="53"/>
      <c r="B165" s="54"/>
      <c r="C165" s="54"/>
      <c r="D165" s="54"/>
      <c r="E165" s="55"/>
      <c r="F165" s="75"/>
      <c r="G165" s="76"/>
      <c r="H165" s="76"/>
      <c r="I165" s="48"/>
      <c r="J165" s="70"/>
      <c r="K165" s="70"/>
      <c r="L165" s="227" t="s">
        <v>1301</v>
      </c>
      <c r="M165" s="228" t="s">
        <v>1335</v>
      </c>
      <c r="N165" s="227" t="s">
        <v>34</v>
      </c>
      <c r="O165" s="229">
        <v>1</v>
      </c>
      <c r="P165" s="230">
        <v>21</v>
      </c>
      <c r="Q165" s="230">
        <v>21</v>
      </c>
      <c r="R165" s="182"/>
      <c r="U165" s="128"/>
    </row>
    <row r="166" spans="1:21" ht="15.6" x14ac:dyDescent="0.3">
      <c r="A166" s="53"/>
      <c r="B166" s="54"/>
      <c r="C166" s="54"/>
      <c r="D166" s="54"/>
      <c r="E166" s="55"/>
      <c r="F166" s="75"/>
      <c r="G166" s="76"/>
      <c r="H166" s="76"/>
      <c r="I166" s="48"/>
      <c r="J166" s="70"/>
      <c r="K166" s="70"/>
      <c r="L166" s="227" t="s">
        <v>961</v>
      </c>
      <c r="M166" s="228" t="s">
        <v>1051</v>
      </c>
      <c r="N166" s="227" t="s">
        <v>34</v>
      </c>
      <c r="O166" s="229">
        <v>0.14000000000000001</v>
      </c>
      <c r="P166" s="230">
        <v>27</v>
      </c>
      <c r="Q166" s="230">
        <v>3.78</v>
      </c>
      <c r="R166" s="182"/>
      <c r="U166" s="128"/>
    </row>
    <row r="167" spans="1:21" ht="30" x14ac:dyDescent="0.3">
      <c r="A167" s="53"/>
      <c r="B167" s="54"/>
      <c r="C167" s="54"/>
      <c r="D167" s="54"/>
      <c r="E167" s="55"/>
      <c r="F167" s="75"/>
      <c r="G167" s="76"/>
      <c r="H167" s="76"/>
      <c r="I167" s="48"/>
      <c r="J167" s="70"/>
      <c r="K167" s="70"/>
      <c r="L167" s="227" t="s">
        <v>962</v>
      </c>
      <c r="M167" s="228" t="s">
        <v>787</v>
      </c>
      <c r="N167" s="227" t="s">
        <v>34</v>
      </c>
      <c r="O167" s="229">
        <v>2</v>
      </c>
      <c r="P167" s="230">
        <v>181.92</v>
      </c>
      <c r="Q167" s="230">
        <v>363.84</v>
      </c>
      <c r="R167" s="182"/>
      <c r="U167" s="128"/>
    </row>
    <row r="168" spans="1:21" ht="15.6" x14ac:dyDescent="0.3">
      <c r="A168" s="53"/>
      <c r="B168" s="54"/>
      <c r="C168" s="54"/>
      <c r="D168" s="54"/>
      <c r="E168" s="55"/>
      <c r="F168" s="75"/>
      <c r="G168" s="76"/>
      <c r="H168" s="76"/>
      <c r="I168" s="48"/>
      <c r="J168" s="70"/>
      <c r="K168" s="70"/>
      <c r="L168" s="227" t="s">
        <v>963</v>
      </c>
      <c r="M168" s="228" t="s">
        <v>375</v>
      </c>
      <c r="N168" s="227" t="s">
        <v>34</v>
      </c>
      <c r="O168" s="229">
        <v>10</v>
      </c>
      <c r="P168" s="230">
        <v>168.37</v>
      </c>
      <c r="Q168" s="264">
        <v>1683.72</v>
      </c>
      <c r="R168" s="182"/>
      <c r="U168" s="128"/>
    </row>
    <row r="169" spans="1:21" ht="15.6" x14ac:dyDescent="0.3">
      <c r="A169" s="53"/>
      <c r="B169" s="54"/>
      <c r="C169" s="54"/>
      <c r="D169" s="54"/>
      <c r="E169" s="55"/>
      <c r="F169" s="75"/>
      <c r="G169" s="76"/>
      <c r="H169" s="76"/>
      <c r="I169" s="48"/>
      <c r="J169" s="70"/>
      <c r="K169" s="70"/>
      <c r="L169" s="227" t="s">
        <v>1303</v>
      </c>
      <c r="M169" s="228" t="s">
        <v>1337</v>
      </c>
      <c r="N169" s="227" t="s">
        <v>34</v>
      </c>
      <c r="O169" s="229">
        <v>1</v>
      </c>
      <c r="P169" s="264">
        <v>1160</v>
      </c>
      <c r="Q169" s="264">
        <v>1160</v>
      </c>
      <c r="R169" s="182"/>
      <c r="U169" s="128"/>
    </row>
    <row r="170" spans="1:21" ht="30" x14ac:dyDescent="0.3">
      <c r="A170" s="53"/>
      <c r="B170" s="54"/>
      <c r="C170" s="54"/>
      <c r="D170" s="54"/>
      <c r="E170" s="55"/>
      <c r="F170" s="75"/>
      <c r="G170" s="76"/>
      <c r="H170" s="76"/>
      <c r="I170" s="48"/>
      <c r="J170" s="70"/>
      <c r="K170" s="70"/>
      <c r="L170" s="227" t="s">
        <v>1146</v>
      </c>
      <c r="M170" s="228" t="s">
        <v>1233</v>
      </c>
      <c r="N170" s="227" t="s">
        <v>34</v>
      </c>
      <c r="O170" s="229">
        <v>2</v>
      </c>
      <c r="P170" s="230">
        <v>36</v>
      </c>
      <c r="Q170" s="230">
        <v>72</v>
      </c>
      <c r="R170" s="182"/>
      <c r="U170" s="128"/>
    </row>
    <row r="171" spans="1:21" ht="15.6" x14ac:dyDescent="0.3">
      <c r="A171" s="53"/>
      <c r="B171" s="54"/>
      <c r="C171" s="54"/>
      <c r="D171" s="54"/>
      <c r="E171" s="55"/>
      <c r="F171" s="75"/>
      <c r="G171" s="76"/>
      <c r="H171" s="76"/>
      <c r="I171" s="48"/>
      <c r="J171" s="70"/>
      <c r="K171" s="70"/>
      <c r="L171" s="227" t="s">
        <v>875</v>
      </c>
      <c r="M171" s="228" t="s">
        <v>876</v>
      </c>
      <c r="N171" s="227" t="s">
        <v>34</v>
      </c>
      <c r="O171" s="229">
        <v>1</v>
      </c>
      <c r="P171" s="264">
        <v>1577.49</v>
      </c>
      <c r="Q171" s="264">
        <v>1577.49</v>
      </c>
      <c r="R171" s="182"/>
      <c r="U171" s="128"/>
    </row>
    <row r="172" spans="1:21" ht="15.6" x14ac:dyDescent="0.3">
      <c r="A172" s="53"/>
      <c r="B172" s="54"/>
      <c r="C172" s="54"/>
      <c r="D172" s="54"/>
      <c r="E172" s="55"/>
      <c r="F172" s="75"/>
      <c r="G172" s="76"/>
      <c r="H172" s="76"/>
      <c r="I172" s="48"/>
      <c r="J172" s="70"/>
      <c r="K172" s="70"/>
      <c r="L172" s="227" t="s">
        <v>789</v>
      </c>
      <c r="M172" s="228" t="s">
        <v>790</v>
      </c>
      <c r="N172" s="227" t="s">
        <v>34</v>
      </c>
      <c r="O172" s="229">
        <v>16</v>
      </c>
      <c r="P172" s="230">
        <v>10</v>
      </c>
      <c r="Q172" s="230">
        <v>160</v>
      </c>
      <c r="R172" s="182"/>
      <c r="U172" s="128"/>
    </row>
    <row r="173" spans="1:21" ht="15.6" x14ac:dyDescent="0.3">
      <c r="A173" s="53"/>
      <c r="B173" s="54"/>
      <c r="C173" s="54"/>
      <c r="D173" s="54"/>
      <c r="E173" s="55"/>
      <c r="F173" s="75"/>
      <c r="G173" s="76"/>
      <c r="H173" s="76"/>
      <c r="I173" s="48"/>
      <c r="J173" s="70"/>
      <c r="K173" s="70"/>
      <c r="L173" s="227" t="s">
        <v>791</v>
      </c>
      <c r="M173" s="228" t="s">
        <v>792</v>
      </c>
      <c r="N173" s="227" t="s">
        <v>34</v>
      </c>
      <c r="O173" s="229">
        <v>5</v>
      </c>
      <c r="P173" s="230">
        <v>10</v>
      </c>
      <c r="Q173" s="230">
        <v>50</v>
      </c>
      <c r="R173" s="182"/>
      <c r="U173" s="128"/>
    </row>
    <row r="174" spans="1:21" ht="15.6" x14ac:dyDescent="0.3">
      <c r="A174" s="53"/>
      <c r="B174" s="54"/>
      <c r="C174" s="54"/>
      <c r="D174" s="54"/>
      <c r="E174" s="55"/>
      <c r="F174" s="75"/>
      <c r="G174" s="76"/>
      <c r="H174" s="76"/>
      <c r="I174" s="48"/>
      <c r="J174" s="70"/>
      <c r="K174" s="70"/>
      <c r="L174" s="227" t="s">
        <v>871</v>
      </c>
      <c r="M174" s="228" t="s">
        <v>872</v>
      </c>
      <c r="N174" s="227" t="s">
        <v>34</v>
      </c>
      <c r="O174" s="229">
        <v>1</v>
      </c>
      <c r="P174" s="264">
        <v>1327.85</v>
      </c>
      <c r="Q174" s="264">
        <v>1327.85</v>
      </c>
      <c r="R174" s="182"/>
      <c r="U174" s="128"/>
    </row>
    <row r="175" spans="1:21" ht="15.6" x14ac:dyDescent="0.3">
      <c r="A175" s="53"/>
      <c r="B175" s="54"/>
      <c r="C175" s="54"/>
      <c r="D175" s="54"/>
      <c r="E175" s="55"/>
      <c r="F175" s="75"/>
      <c r="G175" s="76"/>
      <c r="H175" s="76"/>
      <c r="I175" s="48"/>
      <c r="J175" s="70"/>
      <c r="K175" s="70"/>
      <c r="L175" s="227" t="s">
        <v>873</v>
      </c>
      <c r="M175" s="228" t="s">
        <v>874</v>
      </c>
      <c r="N175" s="227" t="s">
        <v>34</v>
      </c>
      <c r="O175" s="229">
        <v>1</v>
      </c>
      <c r="P175" s="230">
        <v>509.83</v>
      </c>
      <c r="Q175" s="230">
        <v>509.83</v>
      </c>
      <c r="R175" s="182"/>
      <c r="U175" s="128"/>
    </row>
    <row r="176" spans="1:21" ht="15.6" x14ac:dyDescent="0.3">
      <c r="A176" s="53"/>
      <c r="B176" s="54"/>
      <c r="C176" s="54"/>
      <c r="D176" s="54"/>
      <c r="E176" s="55"/>
      <c r="F176" s="75"/>
      <c r="G176" s="76"/>
      <c r="H176" s="76"/>
      <c r="I176" s="48"/>
      <c r="J176" s="70"/>
      <c r="K176" s="70"/>
      <c r="L176" s="227" t="s">
        <v>1292</v>
      </c>
      <c r="M176" s="228" t="s">
        <v>1327</v>
      </c>
      <c r="N176" s="227" t="s">
        <v>34</v>
      </c>
      <c r="O176" s="229">
        <v>1</v>
      </c>
      <c r="P176" s="264">
        <v>1375</v>
      </c>
      <c r="Q176" s="264">
        <v>1375</v>
      </c>
      <c r="R176" s="182"/>
      <c r="U176" s="128"/>
    </row>
    <row r="177" spans="1:21" ht="15.6" x14ac:dyDescent="0.3">
      <c r="A177" s="53"/>
      <c r="B177" s="54"/>
      <c r="C177" s="54"/>
      <c r="D177" s="54"/>
      <c r="E177" s="55"/>
      <c r="F177" s="75"/>
      <c r="G177" s="76"/>
      <c r="H177" s="76"/>
      <c r="I177" s="48"/>
      <c r="J177" s="70"/>
      <c r="K177" s="70"/>
      <c r="L177" s="227" t="s">
        <v>1293</v>
      </c>
      <c r="M177" s="228" t="s">
        <v>346</v>
      </c>
      <c r="N177" s="227" t="s">
        <v>34</v>
      </c>
      <c r="O177" s="229">
        <v>1</v>
      </c>
      <c r="P177" s="230">
        <v>203.2</v>
      </c>
      <c r="Q177" s="230">
        <v>203.2</v>
      </c>
      <c r="R177" s="182"/>
      <c r="U177" s="128"/>
    </row>
    <row r="178" spans="1:21" ht="15.6" x14ac:dyDescent="0.3">
      <c r="A178" s="53"/>
      <c r="B178" s="54"/>
      <c r="C178" s="54"/>
      <c r="D178" s="54"/>
      <c r="E178" s="55"/>
      <c r="F178" s="75"/>
      <c r="G178" s="76"/>
      <c r="H178" s="76"/>
      <c r="I178" s="48"/>
      <c r="J178" s="70"/>
      <c r="K178" s="70"/>
      <c r="L178" s="227" t="s">
        <v>953</v>
      </c>
      <c r="M178" s="228" t="s">
        <v>1046</v>
      </c>
      <c r="N178" s="227" t="s">
        <v>34</v>
      </c>
      <c r="O178" s="229">
        <v>0.27</v>
      </c>
      <c r="P178" s="230">
        <v>185</v>
      </c>
      <c r="Q178" s="230">
        <v>49.95</v>
      </c>
      <c r="R178" s="182"/>
      <c r="U178" s="128"/>
    </row>
    <row r="179" spans="1:21" ht="15.6" x14ac:dyDescent="0.3">
      <c r="A179" s="53"/>
      <c r="B179" s="54"/>
      <c r="C179" s="54"/>
      <c r="D179" s="54"/>
      <c r="E179" s="55"/>
      <c r="F179" s="75"/>
      <c r="G179" s="76"/>
      <c r="H179" s="76"/>
      <c r="I179" s="48"/>
      <c r="J179" s="70"/>
      <c r="K179" s="70"/>
      <c r="L179" s="227" t="s">
        <v>184</v>
      </c>
      <c r="M179" s="228" t="s">
        <v>185</v>
      </c>
      <c r="N179" s="227" t="s">
        <v>34</v>
      </c>
      <c r="O179" s="229">
        <v>1</v>
      </c>
      <c r="P179" s="264">
        <v>1415</v>
      </c>
      <c r="Q179" s="264">
        <v>1415</v>
      </c>
      <c r="R179" s="182"/>
      <c r="U179" s="128"/>
    </row>
    <row r="180" spans="1:21" ht="15.6" x14ac:dyDescent="0.3">
      <c r="A180" s="53"/>
      <c r="B180" s="54"/>
      <c r="C180" s="54"/>
      <c r="D180" s="54"/>
      <c r="E180" s="55"/>
      <c r="F180" s="75"/>
      <c r="G180" s="76"/>
      <c r="H180" s="76"/>
      <c r="I180" s="48"/>
      <c r="J180" s="70"/>
      <c r="K180" s="70"/>
      <c r="L180" s="227" t="s">
        <v>1295</v>
      </c>
      <c r="M180" s="228" t="s">
        <v>1329</v>
      </c>
      <c r="N180" s="227" t="s">
        <v>34</v>
      </c>
      <c r="O180" s="229">
        <v>1</v>
      </c>
      <c r="P180" s="230">
        <v>273.89999999999998</v>
      </c>
      <c r="Q180" s="230">
        <v>273.89999999999998</v>
      </c>
      <c r="R180" s="182"/>
      <c r="U180" s="128"/>
    </row>
    <row r="181" spans="1:21" ht="15.6" x14ac:dyDescent="0.3">
      <c r="A181" s="53"/>
      <c r="B181" s="54"/>
      <c r="C181" s="54"/>
      <c r="D181" s="54"/>
      <c r="E181" s="55"/>
      <c r="F181" s="75"/>
      <c r="G181" s="76"/>
      <c r="H181" s="76"/>
      <c r="I181" s="48"/>
      <c r="J181" s="70"/>
      <c r="K181" s="70"/>
      <c r="L181" s="227" t="s">
        <v>1141</v>
      </c>
      <c r="M181" s="228" t="s">
        <v>1228</v>
      </c>
      <c r="N181" s="227" t="s">
        <v>34</v>
      </c>
      <c r="O181" s="229">
        <v>1</v>
      </c>
      <c r="P181" s="230">
        <v>96</v>
      </c>
      <c r="Q181" s="230">
        <v>96</v>
      </c>
      <c r="R181" s="182"/>
      <c r="U181" s="128"/>
    </row>
    <row r="182" spans="1:21" ht="15.6" x14ac:dyDescent="0.3">
      <c r="A182" s="53"/>
      <c r="B182" s="54"/>
      <c r="C182" s="54"/>
      <c r="D182" s="54"/>
      <c r="E182" s="55"/>
      <c r="F182" s="75"/>
      <c r="G182" s="76"/>
      <c r="H182" s="76"/>
      <c r="I182" s="48"/>
      <c r="J182" s="70"/>
      <c r="K182" s="70"/>
      <c r="L182" s="227" t="s">
        <v>1296</v>
      </c>
      <c r="M182" s="228" t="s">
        <v>1330</v>
      </c>
      <c r="N182" s="227" t="s">
        <v>34</v>
      </c>
      <c r="O182" s="229">
        <v>1</v>
      </c>
      <c r="P182" s="230">
        <v>8</v>
      </c>
      <c r="Q182" s="230">
        <v>8</v>
      </c>
      <c r="R182" s="182"/>
      <c r="U182" s="128"/>
    </row>
    <row r="183" spans="1:21" ht="15.6" x14ac:dyDescent="0.3">
      <c r="A183" s="53"/>
      <c r="B183" s="54"/>
      <c r="C183" s="54"/>
      <c r="D183" s="54"/>
      <c r="E183" s="55"/>
      <c r="F183" s="75"/>
      <c r="G183" s="76"/>
      <c r="H183" s="76"/>
      <c r="I183" s="48"/>
      <c r="J183" s="70"/>
      <c r="K183" s="70"/>
      <c r="L183" s="227" t="s">
        <v>350</v>
      </c>
      <c r="M183" s="228" t="s">
        <v>351</v>
      </c>
      <c r="N183" s="227" t="s">
        <v>34</v>
      </c>
      <c r="O183" s="229">
        <v>29</v>
      </c>
      <c r="P183" s="230">
        <v>5.55</v>
      </c>
      <c r="Q183" s="230">
        <v>161.03</v>
      </c>
      <c r="R183" s="182"/>
      <c r="U183" s="128"/>
    </row>
    <row r="184" spans="1:21" ht="15.6" x14ac:dyDescent="0.3">
      <c r="A184" s="53"/>
      <c r="B184" s="54"/>
      <c r="C184" s="54"/>
      <c r="D184" s="54"/>
      <c r="E184" s="55"/>
      <c r="F184" s="75"/>
      <c r="G184" s="76"/>
      <c r="H184" s="76"/>
      <c r="I184" s="48"/>
      <c r="J184" s="70"/>
      <c r="K184" s="70"/>
      <c r="L184" s="227" t="s">
        <v>352</v>
      </c>
      <c r="M184" s="228" t="s">
        <v>353</v>
      </c>
      <c r="N184" s="227" t="s">
        <v>34</v>
      </c>
      <c r="O184" s="229">
        <v>7</v>
      </c>
      <c r="P184" s="230">
        <v>7.5</v>
      </c>
      <c r="Q184" s="230">
        <v>52.47</v>
      </c>
      <c r="R184" s="182"/>
      <c r="U184" s="128"/>
    </row>
    <row r="185" spans="1:21" ht="15.6" x14ac:dyDescent="0.3">
      <c r="A185" s="53"/>
      <c r="B185" s="54"/>
      <c r="C185" s="54"/>
      <c r="D185" s="54"/>
      <c r="E185" s="55"/>
      <c r="F185" s="75"/>
      <c r="G185" s="76"/>
      <c r="H185" s="76"/>
      <c r="I185" s="48"/>
      <c r="J185" s="70"/>
      <c r="K185" s="70"/>
      <c r="L185" s="227" t="s">
        <v>354</v>
      </c>
      <c r="M185" s="228" t="s">
        <v>355</v>
      </c>
      <c r="N185" s="227" t="s">
        <v>34</v>
      </c>
      <c r="O185" s="229">
        <v>5</v>
      </c>
      <c r="P185" s="230">
        <v>10.55</v>
      </c>
      <c r="Q185" s="230">
        <v>52.74</v>
      </c>
      <c r="R185" s="182"/>
      <c r="U185" s="128"/>
    </row>
    <row r="186" spans="1:21" ht="15.6" x14ac:dyDescent="0.3">
      <c r="A186" s="53"/>
      <c r="B186" s="54"/>
      <c r="C186" s="54"/>
      <c r="D186" s="54"/>
      <c r="E186" s="55"/>
      <c r="F186" s="75"/>
      <c r="G186" s="76"/>
      <c r="H186" s="76"/>
      <c r="I186" s="48"/>
      <c r="J186" s="70"/>
      <c r="K186" s="70"/>
      <c r="L186" s="227" t="s">
        <v>966</v>
      </c>
      <c r="M186" s="228" t="s">
        <v>1053</v>
      </c>
      <c r="N186" s="227" t="s">
        <v>34</v>
      </c>
      <c r="O186" s="229">
        <v>2</v>
      </c>
      <c r="P186" s="230">
        <v>195.75</v>
      </c>
      <c r="Q186" s="230">
        <v>391.5</v>
      </c>
      <c r="R186" s="182"/>
      <c r="U186" s="128"/>
    </row>
    <row r="187" spans="1:21" ht="15.6" x14ac:dyDescent="0.3">
      <c r="A187" s="53"/>
      <c r="B187" s="54"/>
      <c r="C187" s="54"/>
      <c r="D187" s="54"/>
      <c r="E187" s="55"/>
      <c r="F187" s="75"/>
      <c r="G187" s="76"/>
      <c r="H187" s="76"/>
      <c r="I187" s="48"/>
      <c r="J187" s="70"/>
      <c r="K187" s="70"/>
      <c r="L187" s="227" t="s">
        <v>1082</v>
      </c>
      <c r="M187" s="228" t="s">
        <v>1083</v>
      </c>
      <c r="N187" s="227" t="s">
        <v>34</v>
      </c>
      <c r="O187" s="229">
        <v>1</v>
      </c>
      <c r="P187" s="230">
        <v>195.75</v>
      </c>
      <c r="Q187" s="230">
        <v>195.75</v>
      </c>
      <c r="R187" s="182"/>
      <c r="U187" s="128"/>
    </row>
    <row r="188" spans="1:21" ht="15.6" x14ac:dyDescent="0.3">
      <c r="A188" s="53"/>
      <c r="B188" s="54"/>
      <c r="C188" s="54"/>
      <c r="D188" s="54"/>
      <c r="E188" s="55"/>
      <c r="F188" s="75"/>
      <c r="G188" s="76"/>
      <c r="H188" s="76"/>
      <c r="I188" s="48"/>
      <c r="J188" s="70"/>
      <c r="K188" s="70"/>
      <c r="L188" s="227" t="s">
        <v>1143</v>
      </c>
      <c r="M188" s="228" t="s">
        <v>1230</v>
      </c>
      <c r="N188" s="227" t="s">
        <v>34</v>
      </c>
      <c r="O188" s="229">
        <v>1</v>
      </c>
      <c r="P188" s="230">
        <v>176.27</v>
      </c>
      <c r="Q188" s="230">
        <v>176.27</v>
      </c>
      <c r="R188" s="182"/>
      <c r="U188" s="128"/>
    </row>
    <row r="189" spans="1:21" ht="15.6" x14ac:dyDescent="0.3">
      <c r="A189" s="53"/>
      <c r="B189" s="54"/>
      <c r="C189" s="54"/>
      <c r="D189" s="54"/>
      <c r="E189" s="55"/>
      <c r="F189" s="75"/>
      <c r="G189" s="76"/>
      <c r="H189" s="76"/>
      <c r="I189" s="48"/>
      <c r="J189" s="70"/>
      <c r="K189" s="70"/>
      <c r="L189" s="227" t="s">
        <v>911</v>
      </c>
      <c r="M189" s="228" t="s">
        <v>912</v>
      </c>
      <c r="N189" s="227" t="s">
        <v>34</v>
      </c>
      <c r="O189" s="229">
        <v>1</v>
      </c>
      <c r="P189" s="230">
        <v>103</v>
      </c>
      <c r="Q189" s="230">
        <v>103</v>
      </c>
      <c r="R189" s="182"/>
      <c r="U189" s="128"/>
    </row>
    <row r="190" spans="1:21" ht="15.6" x14ac:dyDescent="0.3">
      <c r="A190" s="53"/>
      <c r="B190" s="54"/>
      <c r="C190" s="54"/>
      <c r="D190" s="54"/>
      <c r="E190" s="55"/>
      <c r="F190" s="75"/>
      <c r="G190" s="76"/>
      <c r="H190" s="76"/>
      <c r="I190" s="48"/>
      <c r="J190" s="70"/>
      <c r="K190" s="70"/>
      <c r="L190" s="227" t="s">
        <v>1144</v>
      </c>
      <c r="M190" s="228" t="s">
        <v>1231</v>
      </c>
      <c r="N190" s="227" t="s">
        <v>34</v>
      </c>
      <c r="O190" s="229">
        <v>2</v>
      </c>
      <c r="P190" s="230">
        <v>3.17</v>
      </c>
      <c r="Q190" s="230">
        <v>6.34</v>
      </c>
      <c r="R190" s="182"/>
      <c r="U190" s="128"/>
    </row>
    <row r="191" spans="1:21" ht="15.6" x14ac:dyDescent="0.3">
      <c r="A191" s="53"/>
      <c r="B191" s="54"/>
      <c r="C191" s="54"/>
      <c r="D191" s="54"/>
      <c r="E191" s="55"/>
      <c r="F191" s="75"/>
      <c r="G191" s="76"/>
      <c r="H191" s="76"/>
      <c r="I191" s="48"/>
      <c r="J191" s="70"/>
      <c r="K191" s="70"/>
      <c r="L191" s="227" t="s">
        <v>1279</v>
      </c>
      <c r="M191" s="228" t="s">
        <v>1280</v>
      </c>
      <c r="N191" s="227" t="s">
        <v>34</v>
      </c>
      <c r="O191" s="229">
        <v>1</v>
      </c>
      <c r="P191" s="230">
        <v>109.4</v>
      </c>
      <c r="Q191" s="230">
        <v>109.4</v>
      </c>
      <c r="R191" s="182"/>
      <c r="U191" s="128"/>
    </row>
    <row r="192" spans="1:21" ht="15.6" x14ac:dyDescent="0.3">
      <c r="A192" s="53"/>
      <c r="B192" s="54"/>
      <c r="C192" s="54"/>
      <c r="D192" s="54"/>
      <c r="E192" s="55"/>
      <c r="F192" s="75"/>
      <c r="G192" s="76"/>
      <c r="H192" s="76"/>
      <c r="I192" s="48"/>
      <c r="J192" s="70"/>
      <c r="K192" s="70"/>
      <c r="L192" s="227" t="s">
        <v>768</v>
      </c>
      <c r="M192" s="228" t="s">
        <v>769</v>
      </c>
      <c r="N192" s="227" t="s">
        <v>34</v>
      </c>
      <c r="O192" s="229">
        <v>7</v>
      </c>
      <c r="P192" s="230">
        <v>10</v>
      </c>
      <c r="Q192" s="230">
        <v>70</v>
      </c>
      <c r="R192" s="182"/>
      <c r="U192" s="128"/>
    </row>
    <row r="193" spans="1:21" ht="15.6" x14ac:dyDescent="0.3">
      <c r="A193" s="53"/>
      <c r="B193" s="54"/>
      <c r="C193" s="54"/>
      <c r="D193" s="54"/>
      <c r="E193" s="55"/>
      <c r="F193" s="75"/>
      <c r="G193" s="76"/>
      <c r="H193" s="76"/>
      <c r="I193" s="48"/>
      <c r="J193" s="70"/>
      <c r="K193" s="70"/>
      <c r="L193" s="227" t="s">
        <v>955</v>
      </c>
      <c r="M193" s="228" t="s">
        <v>770</v>
      </c>
      <c r="N193" s="227" t="s">
        <v>34</v>
      </c>
      <c r="O193" s="229">
        <v>1</v>
      </c>
      <c r="P193" s="230">
        <v>52.8</v>
      </c>
      <c r="Q193" s="230">
        <v>52.8</v>
      </c>
      <c r="R193" s="182"/>
      <c r="U193" s="128"/>
    </row>
    <row r="194" spans="1:21" ht="15.6" x14ac:dyDescent="0.3">
      <c r="A194" s="53"/>
      <c r="B194" s="54"/>
      <c r="C194" s="54"/>
      <c r="D194" s="54"/>
      <c r="E194" s="55"/>
      <c r="F194" s="75"/>
      <c r="G194" s="76"/>
      <c r="H194" s="76"/>
      <c r="I194" s="48"/>
      <c r="J194" s="70"/>
      <c r="K194" s="70"/>
      <c r="L194" s="227" t="s">
        <v>956</v>
      </c>
      <c r="M194" s="228" t="s">
        <v>328</v>
      </c>
      <c r="N194" s="227" t="s">
        <v>34</v>
      </c>
      <c r="O194" s="229">
        <v>13</v>
      </c>
      <c r="P194" s="230">
        <v>65.400000000000006</v>
      </c>
      <c r="Q194" s="230">
        <v>850.2</v>
      </c>
      <c r="R194" s="182"/>
      <c r="U194" s="128"/>
    </row>
    <row r="195" spans="1:21" ht="15.6" x14ac:dyDescent="0.3">
      <c r="A195" s="53"/>
      <c r="B195" s="54"/>
      <c r="C195" s="54"/>
      <c r="D195" s="54"/>
      <c r="E195" s="55"/>
      <c r="F195" s="75"/>
      <c r="G195" s="76"/>
      <c r="H195" s="76"/>
      <c r="I195" s="48"/>
      <c r="J195" s="70"/>
      <c r="K195" s="70"/>
      <c r="L195" s="227" t="s">
        <v>771</v>
      </c>
      <c r="M195" s="228" t="s">
        <v>772</v>
      </c>
      <c r="N195" s="227" t="s">
        <v>34</v>
      </c>
      <c r="O195" s="229">
        <v>6</v>
      </c>
      <c r="P195" s="230">
        <v>228.01</v>
      </c>
      <c r="Q195" s="264">
        <v>1368.07</v>
      </c>
      <c r="R195" s="182"/>
      <c r="U195" s="128"/>
    </row>
    <row r="196" spans="1:21" ht="15.6" x14ac:dyDescent="0.3">
      <c r="A196" s="53"/>
      <c r="B196" s="54"/>
      <c r="C196" s="54"/>
      <c r="D196" s="54"/>
      <c r="E196" s="55"/>
      <c r="F196" s="75"/>
      <c r="G196" s="76"/>
      <c r="H196" s="76"/>
      <c r="I196" s="48"/>
      <c r="J196" s="70"/>
      <c r="K196" s="70"/>
      <c r="L196" s="227" t="s">
        <v>957</v>
      </c>
      <c r="M196" s="228" t="s">
        <v>1049</v>
      </c>
      <c r="N196" s="227" t="s">
        <v>34</v>
      </c>
      <c r="O196" s="229">
        <v>10</v>
      </c>
      <c r="P196" s="230">
        <v>72.209999999999994</v>
      </c>
      <c r="Q196" s="230">
        <v>722.14</v>
      </c>
      <c r="R196" s="182"/>
      <c r="U196" s="128"/>
    </row>
    <row r="197" spans="1:21" ht="15.6" x14ac:dyDescent="0.3">
      <c r="A197" s="53"/>
      <c r="B197" s="54"/>
      <c r="C197" s="54"/>
      <c r="D197" s="54"/>
      <c r="E197" s="55"/>
      <c r="F197" s="75"/>
      <c r="G197" s="76"/>
      <c r="H197" s="76"/>
      <c r="I197" s="48"/>
      <c r="J197" s="70"/>
      <c r="K197" s="70"/>
      <c r="L197" s="227" t="s">
        <v>1285</v>
      </c>
      <c r="M197" s="228" t="s">
        <v>1320</v>
      </c>
      <c r="N197" s="227" t="s">
        <v>34</v>
      </c>
      <c r="O197" s="229">
        <v>1</v>
      </c>
      <c r="P197" s="230">
        <v>12</v>
      </c>
      <c r="Q197" s="230">
        <v>12</v>
      </c>
      <c r="R197" s="182"/>
      <c r="U197" s="128"/>
    </row>
    <row r="198" spans="1:21" ht="15.6" x14ac:dyDescent="0.3">
      <c r="A198" s="53"/>
      <c r="B198" s="54"/>
      <c r="C198" s="54"/>
      <c r="D198" s="54"/>
      <c r="E198" s="55"/>
      <c r="F198" s="75"/>
      <c r="G198" s="76"/>
      <c r="H198" s="76"/>
      <c r="I198" s="48"/>
      <c r="J198" s="70"/>
      <c r="K198" s="70"/>
      <c r="L198" s="227" t="s">
        <v>1286</v>
      </c>
      <c r="M198" s="228" t="s">
        <v>1321</v>
      </c>
      <c r="N198" s="227" t="s">
        <v>34</v>
      </c>
      <c r="O198" s="229">
        <v>1</v>
      </c>
      <c r="P198" s="230">
        <v>74.17</v>
      </c>
      <c r="Q198" s="230">
        <v>74.17</v>
      </c>
      <c r="R198" s="182"/>
      <c r="U198" s="128"/>
    </row>
    <row r="199" spans="1:21" ht="15.6" x14ac:dyDescent="0.3">
      <c r="A199" s="53"/>
      <c r="B199" s="54"/>
      <c r="C199" s="54"/>
      <c r="D199" s="54"/>
      <c r="E199" s="55"/>
      <c r="F199" s="75"/>
      <c r="G199" s="76"/>
      <c r="H199" s="76"/>
      <c r="I199" s="48"/>
      <c r="J199" s="70"/>
      <c r="K199" s="70"/>
      <c r="L199" s="227" t="s">
        <v>958</v>
      </c>
      <c r="M199" s="228" t="s">
        <v>337</v>
      </c>
      <c r="N199" s="227" t="s">
        <v>34</v>
      </c>
      <c r="O199" s="229">
        <v>2</v>
      </c>
      <c r="P199" s="230">
        <v>41.42</v>
      </c>
      <c r="Q199" s="230">
        <v>82.84</v>
      </c>
      <c r="R199" s="182"/>
      <c r="U199" s="128"/>
    </row>
    <row r="200" spans="1:21" ht="15.6" x14ac:dyDescent="0.3">
      <c r="A200" s="53"/>
      <c r="B200" s="54"/>
      <c r="C200" s="54"/>
      <c r="D200" s="54"/>
      <c r="E200" s="55"/>
      <c r="F200" s="75"/>
      <c r="G200" s="76"/>
      <c r="H200" s="76"/>
      <c r="I200" s="48"/>
      <c r="J200" s="70"/>
      <c r="K200" s="70"/>
      <c r="L200" s="227" t="s">
        <v>905</v>
      </c>
      <c r="M200" s="228" t="s">
        <v>906</v>
      </c>
      <c r="N200" s="227" t="s">
        <v>34</v>
      </c>
      <c r="O200" s="229">
        <v>3</v>
      </c>
      <c r="P200" s="230">
        <v>10</v>
      </c>
      <c r="Q200" s="230">
        <v>30</v>
      </c>
      <c r="R200" s="182"/>
      <c r="U200" s="128"/>
    </row>
    <row r="201" spans="1:21" ht="15.6" x14ac:dyDescent="0.3">
      <c r="A201" s="53"/>
      <c r="B201" s="54"/>
      <c r="C201" s="54"/>
      <c r="D201" s="54"/>
      <c r="E201" s="55"/>
      <c r="F201" s="75"/>
      <c r="G201" s="76"/>
      <c r="H201" s="76"/>
      <c r="I201" s="48"/>
      <c r="J201" s="70"/>
      <c r="K201" s="70"/>
      <c r="L201" s="227" t="s">
        <v>907</v>
      </c>
      <c r="M201" s="228" t="s">
        <v>908</v>
      </c>
      <c r="N201" s="227" t="s">
        <v>34</v>
      </c>
      <c r="O201" s="229">
        <v>3</v>
      </c>
      <c r="P201" s="230">
        <v>10</v>
      </c>
      <c r="Q201" s="230">
        <v>30</v>
      </c>
      <c r="R201" s="182"/>
      <c r="U201" s="128"/>
    </row>
    <row r="202" spans="1:21" ht="15.6" x14ac:dyDescent="0.3">
      <c r="A202" s="53"/>
      <c r="B202" s="54"/>
      <c r="C202" s="54"/>
      <c r="D202" s="54"/>
      <c r="E202" s="55"/>
      <c r="F202" s="75"/>
      <c r="G202" s="76"/>
      <c r="H202" s="76"/>
      <c r="I202" s="48"/>
      <c r="J202" s="70"/>
      <c r="K202" s="70"/>
      <c r="L202" s="227" t="s">
        <v>1287</v>
      </c>
      <c r="M202" s="228" t="s">
        <v>1322</v>
      </c>
      <c r="N202" s="227" t="s">
        <v>34</v>
      </c>
      <c r="O202" s="229">
        <v>1</v>
      </c>
      <c r="P202" s="230">
        <v>340</v>
      </c>
      <c r="Q202" s="230">
        <v>340</v>
      </c>
      <c r="R202" s="182"/>
      <c r="U202" s="128"/>
    </row>
    <row r="203" spans="1:21" ht="15.6" x14ac:dyDescent="0.3">
      <c r="A203" s="53"/>
      <c r="B203" s="54"/>
      <c r="C203" s="54"/>
      <c r="D203" s="54"/>
      <c r="E203" s="55"/>
      <c r="F203" s="75"/>
      <c r="G203" s="76"/>
      <c r="H203" s="76"/>
      <c r="I203" s="48"/>
      <c r="J203" s="70"/>
      <c r="K203" s="70"/>
      <c r="L203" s="227" t="s">
        <v>340</v>
      </c>
      <c r="M203" s="228" t="s">
        <v>341</v>
      </c>
      <c r="N203" s="227" t="s">
        <v>34</v>
      </c>
      <c r="O203" s="229">
        <v>1</v>
      </c>
      <c r="P203" s="264">
        <v>1622.9</v>
      </c>
      <c r="Q203" s="264">
        <v>1622.9</v>
      </c>
      <c r="R203" s="182"/>
      <c r="U203" s="128"/>
    </row>
    <row r="204" spans="1:21" ht="15.6" x14ac:dyDescent="0.3">
      <c r="A204" s="53"/>
      <c r="B204" s="54"/>
      <c r="C204" s="54"/>
      <c r="D204" s="54"/>
      <c r="E204" s="55"/>
      <c r="F204" s="75"/>
      <c r="G204" s="76"/>
      <c r="H204" s="76"/>
      <c r="I204" s="48"/>
      <c r="J204" s="70"/>
      <c r="K204" s="70"/>
      <c r="L204" s="227" t="s">
        <v>1147</v>
      </c>
      <c r="M204" s="228" t="s">
        <v>1234</v>
      </c>
      <c r="N204" s="227" t="s">
        <v>34</v>
      </c>
      <c r="O204" s="229">
        <v>1</v>
      </c>
      <c r="P204" s="230">
        <v>876.68</v>
      </c>
      <c r="Q204" s="230">
        <v>876.68</v>
      </c>
      <c r="R204" s="182"/>
      <c r="U204" s="128"/>
    </row>
    <row r="205" spans="1:21" ht="15.6" x14ac:dyDescent="0.3">
      <c r="A205" s="53"/>
      <c r="B205" s="54"/>
      <c r="C205" s="54"/>
      <c r="D205" s="54"/>
      <c r="E205" s="55"/>
      <c r="F205" s="75"/>
      <c r="G205" s="76"/>
      <c r="H205" s="76"/>
      <c r="I205" s="48"/>
      <c r="J205" s="70"/>
      <c r="K205" s="70"/>
      <c r="L205" s="227" t="s">
        <v>1148</v>
      </c>
      <c r="M205" s="228" t="s">
        <v>1235</v>
      </c>
      <c r="N205" s="227" t="s">
        <v>34</v>
      </c>
      <c r="O205" s="229">
        <v>1</v>
      </c>
      <c r="P205" s="230">
        <v>257.82</v>
      </c>
      <c r="Q205" s="230">
        <v>257.82</v>
      </c>
      <c r="R205" s="182"/>
      <c r="U205" s="128"/>
    </row>
    <row r="206" spans="1:21" ht="15.6" x14ac:dyDescent="0.3">
      <c r="A206" s="53"/>
      <c r="B206" s="54"/>
      <c r="C206" s="54"/>
      <c r="D206" s="54"/>
      <c r="E206" s="55"/>
      <c r="F206" s="75"/>
      <c r="G206" s="76"/>
      <c r="H206" s="76"/>
      <c r="I206" s="48"/>
      <c r="J206" s="70"/>
      <c r="K206" s="70"/>
      <c r="L206" s="227" t="s">
        <v>952</v>
      </c>
      <c r="M206" s="228" t="s">
        <v>777</v>
      </c>
      <c r="N206" s="227" t="s">
        <v>34</v>
      </c>
      <c r="O206" s="229">
        <v>0.5</v>
      </c>
      <c r="P206" s="230">
        <v>257.8</v>
      </c>
      <c r="Q206" s="230">
        <v>128.9</v>
      </c>
      <c r="R206" s="182"/>
      <c r="U206" s="128"/>
    </row>
    <row r="207" spans="1:21" ht="15.6" x14ac:dyDescent="0.3">
      <c r="A207" s="53"/>
      <c r="B207" s="54"/>
      <c r="C207" s="54"/>
      <c r="D207" s="54"/>
      <c r="E207" s="55"/>
      <c r="F207" s="75"/>
      <c r="G207" s="76"/>
      <c r="H207" s="76"/>
      <c r="I207" s="48"/>
      <c r="J207" s="70"/>
      <c r="K207" s="70"/>
      <c r="L207" s="227" t="s">
        <v>796</v>
      </c>
      <c r="M207" s="228" t="s">
        <v>797</v>
      </c>
      <c r="N207" s="227" t="s">
        <v>34</v>
      </c>
      <c r="O207" s="229">
        <v>1.0900000000000001</v>
      </c>
      <c r="P207" s="230">
        <v>338.33</v>
      </c>
      <c r="Q207" s="230">
        <v>368.78</v>
      </c>
      <c r="R207" s="182"/>
      <c r="U207" s="128"/>
    </row>
    <row r="208" spans="1:21" ht="15.6" x14ac:dyDescent="0.3">
      <c r="A208" s="53"/>
      <c r="B208" s="54"/>
      <c r="C208" s="54"/>
      <c r="D208" s="54"/>
      <c r="E208" s="55"/>
      <c r="F208" s="75"/>
      <c r="G208" s="76"/>
      <c r="H208" s="76"/>
      <c r="I208" s="48"/>
      <c r="J208" s="70"/>
      <c r="K208" s="70"/>
      <c r="L208" s="227" t="s">
        <v>877</v>
      </c>
      <c r="M208" s="228" t="s">
        <v>878</v>
      </c>
      <c r="N208" s="227" t="s">
        <v>34</v>
      </c>
      <c r="O208" s="229">
        <v>1</v>
      </c>
      <c r="P208" s="230">
        <v>312.49</v>
      </c>
      <c r="Q208" s="230">
        <v>312.49</v>
      </c>
      <c r="R208" s="182"/>
      <c r="U208" s="128"/>
    </row>
    <row r="209" spans="1:21" ht="15.6" x14ac:dyDescent="0.3">
      <c r="A209" s="53"/>
      <c r="B209" s="54"/>
      <c r="C209" s="54"/>
      <c r="D209" s="54"/>
      <c r="E209" s="55"/>
      <c r="F209" s="75"/>
      <c r="G209" s="76"/>
      <c r="H209" s="76"/>
      <c r="I209" s="48"/>
      <c r="J209" s="70"/>
      <c r="K209" s="70"/>
      <c r="L209" s="227" t="s">
        <v>887</v>
      </c>
      <c r="M209" s="228" t="s">
        <v>888</v>
      </c>
      <c r="N209" s="227" t="s">
        <v>34</v>
      </c>
      <c r="O209" s="229">
        <v>3</v>
      </c>
      <c r="P209" s="230">
        <v>44.6</v>
      </c>
      <c r="Q209" s="230">
        <v>133.80000000000001</v>
      </c>
      <c r="R209" s="182"/>
      <c r="U209" s="128"/>
    </row>
    <row r="210" spans="1:21" ht="15.6" x14ac:dyDescent="0.3">
      <c r="A210" s="53"/>
      <c r="B210" s="54"/>
      <c r="C210" s="54"/>
      <c r="D210" s="54"/>
      <c r="E210" s="55"/>
      <c r="F210" s="75"/>
      <c r="G210" s="76"/>
      <c r="H210" s="76"/>
      <c r="I210" s="48"/>
      <c r="J210" s="70"/>
      <c r="K210" s="70"/>
      <c r="L210" s="227" t="s">
        <v>915</v>
      </c>
      <c r="M210" s="228" t="s">
        <v>916</v>
      </c>
      <c r="N210" s="227" t="s">
        <v>34</v>
      </c>
      <c r="O210" s="229">
        <v>1</v>
      </c>
      <c r="P210" s="230">
        <v>38.03</v>
      </c>
      <c r="Q210" s="230">
        <v>38.03</v>
      </c>
      <c r="R210" s="182"/>
      <c r="U210" s="128"/>
    </row>
    <row r="211" spans="1:21" ht="15.6" x14ac:dyDescent="0.3">
      <c r="A211" s="53"/>
      <c r="B211" s="54"/>
      <c r="C211" s="54"/>
      <c r="D211" s="54"/>
      <c r="E211" s="55"/>
      <c r="F211" s="75"/>
      <c r="G211" s="76"/>
      <c r="H211" s="76"/>
      <c r="I211" s="48"/>
      <c r="J211" s="70"/>
      <c r="K211" s="70"/>
      <c r="L211" s="227" t="s">
        <v>53</v>
      </c>
      <c r="M211" s="228" t="s">
        <v>85</v>
      </c>
      <c r="N211" s="227" t="s">
        <v>34</v>
      </c>
      <c r="O211" s="229">
        <v>5</v>
      </c>
      <c r="P211" s="230">
        <v>47</v>
      </c>
      <c r="Q211" s="230">
        <v>235</v>
      </c>
      <c r="R211" s="182"/>
      <c r="U211" s="128"/>
    </row>
    <row r="212" spans="1:21" ht="15.6" x14ac:dyDescent="0.3">
      <c r="A212" s="53"/>
      <c r="B212" s="54"/>
      <c r="C212" s="54"/>
      <c r="D212" s="54"/>
      <c r="E212" s="55"/>
      <c r="F212" s="75"/>
      <c r="G212" s="76"/>
      <c r="H212" s="76"/>
      <c r="I212" s="48"/>
      <c r="J212" s="70"/>
      <c r="K212" s="70"/>
      <c r="L212" s="227" t="s">
        <v>1356</v>
      </c>
      <c r="M212" s="228" t="s">
        <v>1385</v>
      </c>
      <c r="N212" s="227" t="s">
        <v>34</v>
      </c>
      <c r="O212" s="229">
        <v>1</v>
      </c>
      <c r="P212" s="230">
        <v>103.5</v>
      </c>
      <c r="Q212" s="230">
        <v>103.5</v>
      </c>
      <c r="R212" s="182"/>
      <c r="U212" s="128"/>
    </row>
    <row r="213" spans="1:21" ht="15.6" x14ac:dyDescent="0.3">
      <c r="A213" s="53"/>
      <c r="B213" s="54"/>
      <c r="C213" s="54"/>
      <c r="D213" s="54"/>
      <c r="E213" s="55"/>
      <c r="F213" s="75"/>
      <c r="G213" s="76"/>
      <c r="H213" s="76"/>
      <c r="I213" s="48"/>
      <c r="J213" s="70"/>
      <c r="K213" s="70"/>
      <c r="L213" s="227" t="s">
        <v>403</v>
      </c>
      <c r="M213" s="228" t="s">
        <v>1073</v>
      </c>
      <c r="N213" s="227" t="s">
        <v>34</v>
      </c>
      <c r="O213" s="229">
        <v>2</v>
      </c>
      <c r="P213" s="230">
        <v>37.1</v>
      </c>
      <c r="Q213" s="230">
        <v>74.2</v>
      </c>
      <c r="R213" s="182"/>
      <c r="U213" s="128"/>
    </row>
    <row r="214" spans="1:21" ht="15.6" x14ac:dyDescent="0.3">
      <c r="A214" s="53"/>
      <c r="B214" s="54"/>
      <c r="C214" s="54"/>
      <c r="D214" s="54"/>
      <c r="E214" s="55"/>
      <c r="F214" s="75"/>
      <c r="G214" s="76"/>
      <c r="H214" s="76"/>
      <c r="I214" s="48"/>
      <c r="J214" s="70"/>
      <c r="K214" s="70"/>
      <c r="L214" s="227" t="s">
        <v>920</v>
      </c>
      <c r="M214" s="228" t="s">
        <v>921</v>
      </c>
      <c r="N214" s="227" t="s">
        <v>34</v>
      </c>
      <c r="O214" s="229">
        <v>1</v>
      </c>
      <c r="P214" s="230">
        <v>29.1</v>
      </c>
      <c r="Q214" s="230">
        <v>29.1</v>
      </c>
      <c r="R214" s="182"/>
      <c r="U214" s="128"/>
    </row>
    <row r="215" spans="1:21" ht="15.6" x14ac:dyDescent="0.3">
      <c r="A215" s="53"/>
      <c r="B215" s="54"/>
      <c r="C215" s="54"/>
      <c r="D215" s="54"/>
      <c r="E215" s="55"/>
      <c r="F215" s="75"/>
      <c r="G215" s="76"/>
      <c r="H215" s="76"/>
      <c r="I215" s="48"/>
      <c r="J215" s="70"/>
      <c r="K215" s="70"/>
      <c r="L215" s="227" t="s">
        <v>405</v>
      </c>
      <c r="M215" s="228" t="s">
        <v>406</v>
      </c>
      <c r="N215" s="227" t="s">
        <v>34</v>
      </c>
      <c r="O215" s="229">
        <v>1</v>
      </c>
      <c r="P215" s="230">
        <v>42.6</v>
      </c>
      <c r="Q215" s="230">
        <v>42.6</v>
      </c>
      <c r="R215" s="182"/>
      <c r="U215" s="128"/>
    </row>
    <row r="216" spans="1:21" ht="15.6" x14ac:dyDescent="0.3">
      <c r="A216" s="53"/>
      <c r="B216" s="54"/>
      <c r="C216" s="54"/>
      <c r="D216" s="54"/>
      <c r="E216" s="55"/>
      <c r="F216" s="75"/>
      <c r="G216" s="76"/>
      <c r="H216" s="76"/>
      <c r="I216" s="48"/>
      <c r="J216" s="70"/>
      <c r="K216" s="70"/>
      <c r="L216" s="227" t="s">
        <v>1357</v>
      </c>
      <c r="M216" s="228" t="s">
        <v>1386</v>
      </c>
      <c r="N216" s="227" t="s">
        <v>34</v>
      </c>
      <c r="O216" s="229">
        <v>1</v>
      </c>
      <c r="P216" s="230">
        <v>20.3</v>
      </c>
      <c r="Q216" s="230">
        <v>20.3</v>
      </c>
      <c r="R216" s="182"/>
      <c r="U216" s="128"/>
    </row>
    <row r="217" spans="1:21" ht="15.6" x14ac:dyDescent="0.3">
      <c r="A217" s="53"/>
      <c r="B217" s="54"/>
      <c r="C217" s="54"/>
      <c r="D217" s="54"/>
      <c r="E217" s="55"/>
      <c r="F217" s="75"/>
      <c r="G217" s="76"/>
      <c r="H217" s="76"/>
      <c r="I217" s="48"/>
      <c r="J217" s="70"/>
      <c r="K217" s="70"/>
      <c r="L217" s="227" t="s">
        <v>1009</v>
      </c>
      <c r="M217" s="228" t="s">
        <v>811</v>
      </c>
      <c r="N217" s="227" t="s">
        <v>34</v>
      </c>
      <c r="O217" s="229">
        <v>5</v>
      </c>
      <c r="P217" s="230">
        <v>91</v>
      </c>
      <c r="Q217" s="230">
        <v>455</v>
      </c>
      <c r="R217" s="182"/>
      <c r="U217" s="128"/>
    </row>
    <row r="218" spans="1:21" ht="15.6" x14ac:dyDescent="0.3">
      <c r="A218" s="53"/>
      <c r="B218" s="54"/>
      <c r="C218" s="54"/>
      <c r="D218" s="54"/>
      <c r="E218" s="55"/>
      <c r="F218" s="75"/>
      <c r="G218" s="76"/>
      <c r="H218" s="76"/>
      <c r="I218" s="48"/>
      <c r="J218" s="70"/>
      <c r="K218" s="70"/>
      <c r="L218" s="227" t="s">
        <v>1158</v>
      </c>
      <c r="M218" s="228" t="s">
        <v>1244</v>
      </c>
      <c r="N218" s="227" t="s">
        <v>34</v>
      </c>
      <c r="O218" s="229">
        <v>1</v>
      </c>
      <c r="P218" s="230">
        <v>238</v>
      </c>
      <c r="Q218" s="230">
        <v>238</v>
      </c>
      <c r="R218" s="182"/>
      <c r="U218" s="128"/>
    </row>
    <row r="219" spans="1:21" ht="15.6" x14ac:dyDescent="0.3">
      <c r="A219" s="53"/>
      <c r="B219" s="54"/>
      <c r="C219" s="54"/>
      <c r="D219" s="54"/>
      <c r="E219" s="55"/>
      <c r="F219" s="75"/>
      <c r="G219" s="76"/>
      <c r="H219" s="76"/>
      <c r="I219" s="48"/>
      <c r="J219" s="70"/>
      <c r="K219" s="70"/>
      <c r="L219" s="227" t="s">
        <v>411</v>
      </c>
      <c r="M219" s="228" t="s">
        <v>412</v>
      </c>
      <c r="N219" s="227" t="s">
        <v>34</v>
      </c>
      <c r="O219" s="229">
        <v>12.6</v>
      </c>
      <c r="P219" s="230">
        <v>58.83</v>
      </c>
      <c r="Q219" s="230">
        <v>741.22</v>
      </c>
      <c r="R219" s="182"/>
      <c r="U219" s="128"/>
    </row>
    <row r="220" spans="1:21" ht="15.6" x14ac:dyDescent="0.3">
      <c r="A220" s="53"/>
      <c r="B220" s="54"/>
      <c r="C220" s="54"/>
      <c r="D220" s="54"/>
      <c r="E220" s="55"/>
      <c r="F220" s="75"/>
      <c r="G220" s="76"/>
      <c r="H220" s="76"/>
      <c r="I220" s="48"/>
      <c r="J220" s="70"/>
      <c r="K220" s="70"/>
      <c r="L220" s="227" t="s">
        <v>1358</v>
      </c>
      <c r="M220" s="228" t="s">
        <v>1387</v>
      </c>
      <c r="N220" s="227" t="s">
        <v>34</v>
      </c>
      <c r="O220" s="229">
        <v>1</v>
      </c>
      <c r="P220" s="230">
        <v>310</v>
      </c>
      <c r="Q220" s="230">
        <v>310</v>
      </c>
      <c r="R220" s="182"/>
      <c r="U220" s="128"/>
    </row>
    <row r="221" spans="1:21" ht="15.6" x14ac:dyDescent="0.3">
      <c r="A221" s="53"/>
      <c r="B221" s="54"/>
      <c r="C221" s="54"/>
      <c r="D221" s="54"/>
      <c r="E221" s="55"/>
      <c r="F221" s="75"/>
      <c r="G221" s="76"/>
      <c r="H221" s="76"/>
      <c r="I221" s="48"/>
      <c r="J221" s="70"/>
      <c r="K221" s="70"/>
      <c r="L221" s="227" t="s">
        <v>1154</v>
      </c>
      <c r="M221" s="228" t="s">
        <v>1241</v>
      </c>
      <c r="N221" s="227" t="s">
        <v>34</v>
      </c>
      <c r="O221" s="229">
        <v>2</v>
      </c>
      <c r="P221" s="230">
        <v>152</v>
      </c>
      <c r="Q221" s="230">
        <v>304</v>
      </c>
      <c r="R221" s="182"/>
      <c r="U221" s="128"/>
    </row>
    <row r="222" spans="1:21" ht="15.6" x14ac:dyDescent="0.3">
      <c r="A222" s="53"/>
      <c r="B222" s="54"/>
      <c r="C222" s="54"/>
      <c r="D222" s="54"/>
      <c r="E222" s="55"/>
      <c r="F222" s="75"/>
      <c r="G222" s="76"/>
      <c r="H222" s="76"/>
      <c r="I222" s="48"/>
      <c r="J222" s="70"/>
      <c r="K222" s="70"/>
      <c r="L222" s="227" t="s">
        <v>1013</v>
      </c>
      <c r="M222" s="228" t="s">
        <v>1074</v>
      </c>
      <c r="N222" s="227" t="s">
        <v>34</v>
      </c>
      <c r="O222" s="229">
        <v>6</v>
      </c>
      <c r="P222" s="230">
        <v>159</v>
      </c>
      <c r="Q222" s="230">
        <v>954</v>
      </c>
      <c r="R222" s="182"/>
      <c r="U222" s="128"/>
    </row>
    <row r="223" spans="1:21" ht="15.6" x14ac:dyDescent="0.3">
      <c r="A223" s="53"/>
      <c r="B223" s="54"/>
      <c r="C223" s="54"/>
      <c r="D223" s="54"/>
      <c r="E223" s="55"/>
      <c r="F223" s="75"/>
      <c r="G223" s="76"/>
      <c r="H223" s="76"/>
      <c r="I223" s="48"/>
      <c r="J223" s="70"/>
      <c r="K223" s="70"/>
      <c r="L223" s="227" t="s">
        <v>1014</v>
      </c>
      <c r="M223" s="228" t="s">
        <v>806</v>
      </c>
      <c r="N223" s="227" t="s">
        <v>34</v>
      </c>
      <c r="O223" s="229">
        <v>1</v>
      </c>
      <c r="P223" s="230">
        <v>60.4</v>
      </c>
      <c r="Q223" s="230">
        <v>60.4</v>
      </c>
      <c r="R223" s="182"/>
      <c r="U223" s="128"/>
    </row>
    <row r="224" spans="1:21" ht="15.6" x14ac:dyDescent="0.3">
      <c r="A224" s="53"/>
      <c r="B224" s="54"/>
      <c r="C224" s="54"/>
      <c r="D224" s="54"/>
      <c r="E224" s="55"/>
      <c r="F224" s="75"/>
      <c r="G224" s="76"/>
      <c r="H224" s="76"/>
      <c r="I224" s="48"/>
      <c r="J224" s="70"/>
      <c r="K224" s="70"/>
      <c r="L224" s="227" t="s">
        <v>1309</v>
      </c>
      <c r="M224" s="228" t="s">
        <v>1343</v>
      </c>
      <c r="N224" s="227" t="s">
        <v>34</v>
      </c>
      <c r="O224" s="229">
        <v>1</v>
      </c>
      <c r="P224" s="230">
        <v>12.6</v>
      </c>
      <c r="Q224" s="230">
        <v>12.6</v>
      </c>
      <c r="R224" s="182"/>
      <c r="U224" s="128"/>
    </row>
    <row r="225" spans="1:21" ht="15.6" x14ac:dyDescent="0.3">
      <c r="A225" s="53"/>
      <c r="B225" s="54"/>
      <c r="C225" s="54"/>
      <c r="D225" s="54"/>
      <c r="E225" s="55"/>
      <c r="F225" s="75"/>
      <c r="G225" s="76"/>
      <c r="H225" s="76"/>
      <c r="I225" s="48"/>
      <c r="J225" s="70"/>
      <c r="K225" s="70"/>
      <c r="L225" s="227" t="s">
        <v>1310</v>
      </c>
      <c r="M225" s="228" t="s">
        <v>1344</v>
      </c>
      <c r="N225" s="227" t="s">
        <v>34</v>
      </c>
      <c r="O225" s="229">
        <v>1</v>
      </c>
      <c r="P225" s="230">
        <v>101</v>
      </c>
      <c r="Q225" s="230">
        <v>101</v>
      </c>
      <c r="R225" s="182"/>
      <c r="U225" s="128"/>
    </row>
    <row r="226" spans="1:21" ht="15.6" x14ac:dyDescent="0.3">
      <c r="A226" s="53"/>
      <c r="B226" s="54"/>
      <c r="C226" s="54"/>
      <c r="D226" s="54"/>
      <c r="E226" s="55"/>
      <c r="F226" s="75"/>
      <c r="G226" s="76"/>
      <c r="H226" s="76"/>
      <c r="I226" s="48"/>
      <c r="J226" s="70"/>
      <c r="K226" s="70"/>
      <c r="L226" s="227" t="s">
        <v>1311</v>
      </c>
      <c r="M226" s="228" t="s">
        <v>1345</v>
      </c>
      <c r="N226" s="227" t="s">
        <v>34</v>
      </c>
      <c r="O226" s="229">
        <v>1</v>
      </c>
      <c r="P226" s="230">
        <v>21.25</v>
      </c>
      <c r="Q226" s="230">
        <v>21.25</v>
      </c>
      <c r="R226" s="182"/>
      <c r="U226" s="128"/>
    </row>
    <row r="227" spans="1:21" ht="15.6" x14ac:dyDescent="0.3">
      <c r="A227" s="53"/>
      <c r="B227" s="54"/>
      <c r="C227" s="54"/>
      <c r="D227" s="54"/>
      <c r="E227" s="55"/>
      <c r="F227" s="75"/>
      <c r="G227" s="76"/>
      <c r="H227" s="76"/>
      <c r="I227" s="48"/>
      <c r="J227" s="70"/>
      <c r="K227" s="70"/>
      <c r="L227" s="227" t="s">
        <v>1155</v>
      </c>
      <c r="M227" s="228" t="s">
        <v>1242</v>
      </c>
      <c r="N227" s="227" t="s">
        <v>34</v>
      </c>
      <c r="O227" s="229">
        <v>3</v>
      </c>
      <c r="P227" s="230">
        <v>20.18</v>
      </c>
      <c r="Q227" s="230">
        <v>60.54</v>
      </c>
      <c r="R227" s="182"/>
      <c r="U227" s="128"/>
    </row>
    <row r="228" spans="1:21" ht="15.6" x14ac:dyDescent="0.3">
      <c r="A228" s="53"/>
      <c r="B228" s="54"/>
      <c r="C228" s="54"/>
      <c r="D228" s="54"/>
      <c r="E228" s="55"/>
      <c r="F228" s="75"/>
      <c r="G228" s="76"/>
      <c r="H228" s="76"/>
      <c r="I228" s="48"/>
      <c r="J228" s="70"/>
      <c r="K228" s="70"/>
      <c r="L228" s="227" t="s">
        <v>1015</v>
      </c>
      <c r="M228" s="228" t="s">
        <v>393</v>
      </c>
      <c r="N228" s="227" t="s">
        <v>34</v>
      </c>
      <c r="O228" s="229">
        <v>4</v>
      </c>
      <c r="P228" s="230">
        <v>17.5</v>
      </c>
      <c r="Q228" s="230">
        <v>70.010000000000005</v>
      </c>
      <c r="R228" s="182"/>
      <c r="U228" s="128"/>
    </row>
    <row r="229" spans="1:21" ht="15.6" x14ac:dyDescent="0.3">
      <c r="A229" s="53"/>
      <c r="B229" s="54"/>
      <c r="C229" s="54"/>
      <c r="D229" s="54"/>
      <c r="E229" s="55"/>
      <c r="F229" s="75"/>
      <c r="G229" s="76"/>
      <c r="H229" s="76"/>
      <c r="I229" s="48"/>
      <c r="J229" s="70"/>
      <c r="K229" s="70"/>
      <c r="L229" s="227" t="s">
        <v>807</v>
      </c>
      <c r="M229" s="228" t="s">
        <v>808</v>
      </c>
      <c r="N229" s="227" t="s">
        <v>34</v>
      </c>
      <c r="O229" s="229">
        <v>1</v>
      </c>
      <c r="P229" s="230">
        <v>113</v>
      </c>
      <c r="Q229" s="230">
        <v>113</v>
      </c>
      <c r="R229" s="182"/>
      <c r="U229" s="128"/>
    </row>
    <row r="230" spans="1:21" ht="30" x14ac:dyDescent="0.3">
      <c r="A230" s="53"/>
      <c r="B230" s="54"/>
      <c r="C230" s="54"/>
      <c r="D230" s="54"/>
      <c r="E230" s="55"/>
      <c r="F230" s="75"/>
      <c r="G230" s="76"/>
      <c r="H230" s="76"/>
      <c r="I230" s="48"/>
      <c r="J230" s="70"/>
      <c r="K230" s="70"/>
      <c r="L230" s="227" t="s">
        <v>1156</v>
      </c>
      <c r="M230" s="228" t="s">
        <v>1243</v>
      </c>
      <c r="N230" s="227" t="s">
        <v>34</v>
      </c>
      <c r="O230" s="229">
        <v>1</v>
      </c>
      <c r="P230" s="230">
        <v>87.3</v>
      </c>
      <c r="Q230" s="230">
        <v>87.3</v>
      </c>
      <c r="R230" s="182"/>
      <c r="U230" s="128"/>
    </row>
    <row r="231" spans="1:21" ht="15.6" x14ac:dyDescent="0.3">
      <c r="A231" s="53"/>
      <c r="B231" s="54"/>
      <c r="C231" s="54"/>
      <c r="D231" s="54"/>
      <c r="E231" s="55"/>
      <c r="F231" s="75"/>
      <c r="G231" s="76"/>
      <c r="H231" s="76"/>
      <c r="I231" s="48"/>
      <c r="J231" s="70"/>
      <c r="K231" s="70"/>
      <c r="L231" s="227" t="s">
        <v>1016</v>
      </c>
      <c r="M231" s="228" t="s">
        <v>396</v>
      </c>
      <c r="N231" s="227" t="s">
        <v>34</v>
      </c>
      <c r="O231" s="229">
        <v>2</v>
      </c>
      <c r="P231" s="230">
        <v>41.7</v>
      </c>
      <c r="Q231" s="230">
        <v>83.4</v>
      </c>
      <c r="R231" s="182"/>
      <c r="U231" s="128"/>
    </row>
    <row r="232" spans="1:21" ht="15.6" x14ac:dyDescent="0.3">
      <c r="A232" s="53"/>
      <c r="B232" s="54"/>
      <c r="C232" s="54"/>
      <c r="D232" s="54"/>
      <c r="E232" s="55"/>
      <c r="F232" s="75"/>
      <c r="G232" s="76"/>
      <c r="H232" s="76"/>
      <c r="I232" s="48"/>
      <c r="J232" s="70"/>
      <c r="K232" s="70"/>
      <c r="L232" s="227" t="s">
        <v>1017</v>
      </c>
      <c r="M232" s="228" t="s">
        <v>397</v>
      </c>
      <c r="N232" s="227" t="s">
        <v>34</v>
      </c>
      <c r="O232" s="229">
        <v>3</v>
      </c>
      <c r="P232" s="230">
        <v>28.1</v>
      </c>
      <c r="Q232" s="230">
        <v>84.3</v>
      </c>
      <c r="R232" s="182"/>
      <c r="U232" s="128"/>
    </row>
    <row r="233" spans="1:21" ht="15.6" x14ac:dyDescent="0.3">
      <c r="A233" s="53"/>
      <c r="B233" s="54"/>
      <c r="C233" s="54"/>
      <c r="D233" s="54"/>
      <c r="E233" s="55"/>
      <c r="F233" s="75"/>
      <c r="G233" s="76"/>
      <c r="H233" s="76"/>
      <c r="I233" s="48"/>
      <c r="J233" s="70"/>
      <c r="K233" s="70"/>
      <c r="L233" s="227" t="s">
        <v>1018</v>
      </c>
      <c r="M233" s="228" t="s">
        <v>1075</v>
      </c>
      <c r="N233" s="227" t="s">
        <v>34</v>
      </c>
      <c r="O233" s="229">
        <v>2</v>
      </c>
      <c r="P233" s="264">
        <v>1290.8</v>
      </c>
      <c r="Q233" s="264">
        <v>2581.6</v>
      </c>
      <c r="R233" s="182"/>
      <c r="U233" s="128"/>
    </row>
    <row r="234" spans="1:21" ht="15.6" x14ac:dyDescent="0.3">
      <c r="A234" s="53"/>
      <c r="B234" s="54"/>
      <c r="C234" s="54"/>
      <c r="D234" s="54"/>
      <c r="E234" s="55"/>
      <c r="F234" s="75"/>
      <c r="G234" s="76"/>
      <c r="H234" s="76"/>
      <c r="I234" s="48"/>
      <c r="J234" s="70"/>
      <c r="K234" s="70"/>
      <c r="L234" s="227" t="s">
        <v>1157</v>
      </c>
      <c r="M234" s="228" t="s">
        <v>398</v>
      </c>
      <c r="N234" s="227" t="s">
        <v>34</v>
      </c>
      <c r="O234" s="229">
        <v>1</v>
      </c>
      <c r="P234" s="264">
        <v>1290.8</v>
      </c>
      <c r="Q234" s="264">
        <v>1290.8</v>
      </c>
      <c r="R234" s="182"/>
      <c r="U234" s="128"/>
    </row>
    <row r="235" spans="1:21" ht="15.6" x14ac:dyDescent="0.3">
      <c r="A235" s="53"/>
      <c r="B235" s="54"/>
      <c r="C235" s="54"/>
      <c r="D235" s="54"/>
      <c r="E235" s="55"/>
      <c r="F235" s="75"/>
      <c r="G235" s="76"/>
      <c r="H235" s="76"/>
      <c r="I235" s="48"/>
      <c r="J235" s="70"/>
      <c r="K235" s="70"/>
      <c r="L235" s="227" t="s">
        <v>1354</v>
      </c>
      <c r="M235" s="228" t="s">
        <v>1383</v>
      </c>
      <c r="N235" s="227" t="s">
        <v>34</v>
      </c>
      <c r="O235" s="229">
        <v>1</v>
      </c>
      <c r="P235" s="230">
        <v>94</v>
      </c>
      <c r="Q235" s="230">
        <v>94</v>
      </c>
      <c r="R235" s="182"/>
      <c r="U235" s="128"/>
    </row>
    <row r="236" spans="1:21" ht="15.6" x14ac:dyDescent="0.3">
      <c r="A236" s="53"/>
      <c r="B236" s="54"/>
      <c r="C236" s="54"/>
      <c r="D236" s="54"/>
      <c r="E236" s="55"/>
      <c r="F236" s="75"/>
      <c r="G236" s="76"/>
      <c r="H236" s="76"/>
      <c r="I236" s="48"/>
      <c r="J236" s="70"/>
      <c r="K236" s="70"/>
      <c r="L236" s="227" t="s">
        <v>809</v>
      </c>
      <c r="M236" s="228" t="s">
        <v>810</v>
      </c>
      <c r="N236" s="227" t="s">
        <v>34</v>
      </c>
      <c r="O236" s="229">
        <v>1</v>
      </c>
      <c r="P236" s="230">
        <v>989.3</v>
      </c>
      <c r="Q236" s="230">
        <v>989.3</v>
      </c>
      <c r="R236" s="182"/>
      <c r="U236" s="128"/>
    </row>
    <row r="237" spans="1:21" ht="15.6" x14ac:dyDescent="0.3">
      <c r="A237" s="53"/>
      <c r="B237" s="54"/>
      <c r="C237" s="54"/>
      <c r="D237" s="54"/>
      <c r="E237" s="55"/>
      <c r="F237" s="75"/>
      <c r="G237" s="76"/>
      <c r="H237" s="76"/>
      <c r="I237" s="48"/>
      <c r="J237" s="70"/>
      <c r="K237" s="70"/>
      <c r="L237" s="227" t="s">
        <v>1355</v>
      </c>
      <c r="M237" s="228" t="s">
        <v>1384</v>
      </c>
      <c r="N237" s="227" t="s">
        <v>34</v>
      </c>
      <c r="O237" s="229">
        <v>1</v>
      </c>
      <c r="P237" s="230">
        <v>170</v>
      </c>
      <c r="Q237" s="230">
        <v>170</v>
      </c>
      <c r="R237" s="182"/>
      <c r="U237" s="128"/>
    </row>
    <row r="238" spans="1:21" ht="15.6" x14ac:dyDescent="0.3">
      <c r="A238" s="53"/>
      <c r="B238" s="54"/>
      <c r="C238" s="54"/>
      <c r="D238" s="54"/>
      <c r="E238" s="55"/>
      <c r="F238" s="75"/>
      <c r="G238" s="76"/>
      <c r="H238" s="76"/>
      <c r="I238" s="48"/>
      <c r="J238" s="70"/>
      <c r="K238" s="70"/>
      <c r="L238" s="227" t="s">
        <v>1359</v>
      </c>
      <c r="M238" s="228" t="s">
        <v>1388</v>
      </c>
      <c r="N238" s="227" t="s">
        <v>34</v>
      </c>
      <c r="O238" s="229">
        <v>1</v>
      </c>
      <c r="P238" s="230">
        <v>92.71</v>
      </c>
      <c r="Q238" s="230">
        <v>92.71</v>
      </c>
      <c r="R238" s="182"/>
      <c r="U238" s="128"/>
    </row>
    <row r="239" spans="1:21" ht="15.6" x14ac:dyDescent="0.3">
      <c r="A239" s="53"/>
      <c r="B239" s="54"/>
      <c r="C239" s="54"/>
      <c r="D239" s="54"/>
      <c r="E239" s="55"/>
      <c r="F239" s="75"/>
      <c r="G239" s="76"/>
      <c r="H239" s="76"/>
      <c r="I239" s="48"/>
      <c r="J239" s="70"/>
      <c r="K239" s="70"/>
      <c r="L239" s="227" t="s">
        <v>1163</v>
      </c>
      <c r="M239" s="228" t="s">
        <v>1248</v>
      </c>
      <c r="N239" s="227" t="s">
        <v>34</v>
      </c>
      <c r="O239" s="229">
        <v>1</v>
      </c>
      <c r="P239" s="230">
        <v>579.16</v>
      </c>
      <c r="Q239" s="230">
        <v>579.16</v>
      </c>
      <c r="R239" s="182"/>
      <c r="U239" s="128"/>
    </row>
    <row r="240" spans="1:21" ht="15.6" x14ac:dyDescent="0.3">
      <c r="A240" s="53"/>
      <c r="B240" s="54"/>
      <c r="C240" s="54"/>
      <c r="D240" s="54"/>
      <c r="E240" s="55"/>
      <c r="F240" s="75"/>
      <c r="G240" s="76"/>
      <c r="H240" s="76"/>
      <c r="I240" s="48"/>
      <c r="J240" s="70"/>
      <c r="K240" s="70"/>
      <c r="L240" s="227" t="s">
        <v>1010</v>
      </c>
      <c r="M240" s="228" t="s">
        <v>814</v>
      </c>
      <c r="N240" s="227" t="s">
        <v>34</v>
      </c>
      <c r="O240" s="229">
        <v>6</v>
      </c>
      <c r="P240" s="230">
        <v>629.19000000000005</v>
      </c>
      <c r="Q240" s="264">
        <v>3775.14</v>
      </c>
      <c r="R240" s="182"/>
      <c r="U240" s="128"/>
    </row>
    <row r="241" spans="1:21" ht="15.6" x14ac:dyDescent="0.3">
      <c r="A241" s="53"/>
      <c r="B241" s="54"/>
      <c r="C241" s="54"/>
      <c r="D241" s="54"/>
      <c r="E241" s="55"/>
      <c r="F241" s="75"/>
      <c r="G241" s="76"/>
      <c r="H241" s="76"/>
      <c r="I241" s="48"/>
      <c r="J241" s="70"/>
      <c r="K241" s="70"/>
      <c r="L241" s="227" t="s">
        <v>1164</v>
      </c>
      <c r="M241" s="228" t="s">
        <v>1249</v>
      </c>
      <c r="N241" s="227" t="s">
        <v>34</v>
      </c>
      <c r="O241" s="229">
        <v>0.5</v>
      </c>
      <c r="P241" s="230">
        <v>349.1</v>
      </c>
      <c r="Q241" s="230">
        <v>174.55</v>
      </c>
      <c r="R241" s="182"/>
      <c r="U241" s="128"/>
    </row>
    <row r="242" spans="1:21" ht="15.6" x14ac:dyDescent="0.3">
      <c r="A242" s="53"/>
      <c r="B242" s="54"/>
      <c r="C242" s="54"/>
      <c r="D242" s="54"/>
      <c r="E242" s="55"/>
      <c r="F242" s="75"/>
      <c r="G242" s="76"/>
      <c r="H242" s="76"/>
      <c r="I242" s="48"/>
      <c r="J242" s="70"/>
      <c r="K242" s="70"/>
      <c r="L242" s="227" t="s">
        <v>1012</v>
      </c>
      <c r="M242" s="228" t="s">
        <v>413</v>
      </c>
      <c r="N242" s="227" t="s">
        <v>34</v>
      </c>
      <c r="O242" s="229">
        <v>0.5</v>
      </c>
      <c r="P242" s="230">
        <v>524.16</v>
      </c>
      <c r="Q242" s="230">
        <v>262.08</v>
      </c>
      <c r="R242" s="182"/>
      <c r="U242" s="128"/>
    </row>
    <row r="243" spans="1:21" ht="15.6" x14ac:dyDescent="0.3">
      <c r="A243" s="53"/>
      <c r="B243" s="54"/>
      <c r="C243" s="54"/>
      <c r="D243" s="54"/>
      <c r="E243" s="55"/>
      <c r="F243" s="75"/>
      <c r="G243" s="76"/>
      <c r="H243" s="76"/>
      <c r="I243" s="48"/>
      <c r="J243" s="70"/>
      <c r="K243" s="70"/>
      <c r="L243" s="227" t="s">
        <v>816</v>
      </c>
      <c r="M243" s="228" t="s">
        <v>817</v>
      </c>
      <c r="N243" s="227" t="s">
        <v>34</v>
      </c>
      <c r="O243" s="229">
        <v>1</v>
      </c>
      <c r="P243" s="230">
        <v>4.4000000000000004</v>
      </c>
      <c r="Q243" s="230">
        <v>4.4000000000000004</v>
      </c>
      <c r="R243" s="182"/>
      <c r="U243" s="128"/>
    </row>
    <row r="244" spans="1:21" ht="15.6" x14ac:dyDescent="0.3">
      <c r="A244" s="53"/>
      <c r="B244" s="54"/>
      <c r="C244" s="54"/>
      <c r="D244" s="54"/>
      <c r="E244" s="55"/>
      <c r="F244" s="75"/>
      <c r="G244" s="76"/>
      <c r="H244" s="76"/>
      <c r="I244" s="48"/>
      <c r="J244" s="70"/>
      <c r="K244" s="70"/>
      <c r="L244" s="227" t="s">
        <v>422</v>
      </c>
      <c r="M244" s="228" t="s">
        <v>423</v>
      </c>
      <c r="N244" s="227" t="s">
        <v>34</v>
      </c>
      <c r="O244" s="229">
        <v>1</v>
      </c>
      <c r="P244" s="230">
        <v>177</v>
      </c>
      <c r="Q244" s="230">
        <v>177</v>
      </c>
      <c r="R244" s="182"/>
      <c r="U244" s="128"/>
    </row>
    <row r="245" spans="1:21" ht="15.6" x14ac:dyDescent="0.3">
      <c r="A245" s="53"/>
      <c r="B245" s="54"/>
      <c r="C245" s="54"/>
      <c r="D245" s="54"/>
      <c r="E245" s="55"/>
      <c r="F245" s="75"/>
      <c r="G245" s="76"/>
      <c r="H245" s="76"/>
      <c r="I245" s="48"/>
      <c r="J245" s="70"/>
      <c r="K245" s="70"/>
      <c r="L245" s="227" t="s">
        <v>818</v>
      </c>
      <c r="M245" s="228" t="s">
        <v>819</v>
      </c>
      <c r="N245" s="227" t="s">
        <v>34</v>
      </c>
      <c r="O245" s="229">
        <v>1.7</v>
      </c>
      <c r="P245" s="230">
        <v>175</v>
      </c>
      <c r="Q245" s="230">
        <v>297.5</v>
      </c>
      <c r="R245" s="182"/>
      <c r="U245" s="128"/>
    </row>
    <row r="246" spans="1:21" ht="15.6" x14ac:dyDescent="0.3">
      <c r="A246" s="53"/>
      <c r="B246" s="54"/>
      <c r="C246" s="54"/>
      <c r="D246" s="54"/>
      <c r="E246" s="55"/>
      <c r="F246" s="75"/>
      <c r="G246" s="76"/>
      <c r="H246" s="76"/>
      <c r="I246" s="48"/>
      <c r="J246" s="70"/>
      <c r="K246" s="70"/>
      <c r="L246" s="227" t="s">
        <v>1002</v>
      </c>
      <c r="M246" s="228" t="s">
        <v>1070</v>
      </c>
      <c r="N246" s="227" t="s">
        <v>34</v>
      </c>
      <c r="O246" s="229">
        <v>0.54</v>
      </c>
      <c r="P246" s="230">
        <v>63</v>
      </c>
      <c r="Q246" s="230">
        <v>34.020000000000003</v>
      </c>
      <c r="R246" s="182"/>
      <c r="U246" s="128"/>
    </row>
    <row r="247" spans="1:21" ht="15.6" x14ac:dyDescent="0.3">
      <c r="A247" s="53"/>
      <c r="B247" s="54"/>
      <c r="C247" s="54"/>
      <c r="D247" s="54"/>
      <c r="E247" s="55"/>
      <c r="F247" s="75"/>
      <c r="G247" s="76"/>
      <c r="H247" s="76"/>
      <c r="I247" s="48"/>
      <c r="J247" s="70"/>
      <c r="K247" s="70"/>
      <c r="L247" s="227" t="s">
        <v>424</v>
      </c>
      <c r="M247" s="228" t="s">
        <v>425</v>
      </c>
      <c r="N247" s="227" t="s">
        <v>34</v>
      </c>
      <c r="O247" s="229">
        <v>1</v>
      </c>
      <c r="P247" s="230">
        <v>201</v>
      </c>
      <c r="Q247" s="230">
        <v>201</v>
      </c>
      <c r="R247" s="182"/>
      <c r="U247" s="128"/>
    </row>
    <row r="248" spans="1:21" ht="15.6" x14ac:dyDescent="0.3">
      <c r="A248" s="53"/>
      <c r="B248" s="54"/>
      <c r="C248" s="54"/>
      <c r="D248" s="54"/>
      <c r="E248" s="55"/>
      <c r="F248" s="75"/>
      <c r="G248" s="76"/>
      <c r="H248" s="76"/>
      <c r="I248" s="48"/>
      <c r="J248" s="70"/>
      <c r="K248" s="70"/>
      <c r="L248" s="227" t="s">
        <v>1003</v>
      </c>
      <c r="M248" s="228" t="s">
        <v>1071</v>
      </c>
      <c r="N248" s="227" t="s">
        <v>34</v>
      </c>
      <c r="O248" s="229">
        <v>0.18</v>
      </c>
      <c r="P248" s="230">
        <v>195</v>
      </c>
      <c r="Q248" s="230">
        <v>35.1</v>
      </c>
      <c r="R248" s="182"/>
      <c r="U248" s="128"/>
    </row>
    <row r="249" spans="1:21" ht="15.6" x14ac:dyDescent="0.3">
      <c r="A249" s="53"/>
      <c r="B249" s="54"/>
      <c r="C249" s="54"/>
      <c r="D249" s="54"/>
      <c r="E249" s="55"/>
      <c r="F249" s="75"/>
      <c r="G249" s="76"/>
      <c r="H249" s="76"/>
      <c r="I249" s="48"/>
      <c r="J249" s="70"/>
      <c r="K249" s="70"/>
      <c r="L249" s="227" t="s">
        <v>1363</v>
      </c>
      <c r="M249" s="228" t="s">
        <v>1392</v>
      </c>
      <c r="N249" s="227" t="s">
        <v>34</v>
      </c>
      <c r="O249" s="229">
        <v>0.27</v>
      </c>
      <c r="P249" s="230">
        <v>499</v>
      </c>
      <c r="Q249" s="230">
        <v>134.72999999999999</v>
      </c>
      <c r="R249" s="182"/>
      <c r="U249" s="128"/>
    </row>
    <row r="250" spans="1:21" ht="15.6" x14ac:dyDescent="0.3">
      <c r="A250" s="53"/>
      <c r="B250" s="54"/>
      <c r="C250" s="54"/>
      <c r="D250" s="54"/>
      <c r="E250" s="55"/>
      <c r="F250" s="75"/>
      <c r="G250" s="76"/>
      <c r="H250" s="76"/>
      <c r="I250" s="48"/>
      <c r="J250" s="70"/>
      <c r="K250" s="70"/>
      <c r="L250" s="227" t="s">
        <v>1364</v>
      </c>
      <c r="M250" s="228" t="s">
        <v>1393</v>
      </c>
      <c r="N250" s="227" t="s">
        <v>34</v>
      </c>
      <c r="O250" s="229">
        <v>0.3</v>
      </c>
      <c r="P250" s="230">
        <v>144</v>
      </c>
      <c r="Q250" s="230">
        <v>43.2</v>
      </c>
      <c r="R250" s="182"/>
      <c r="U250" s="128"/>
    </row>
    <row r="251" spans="1:21" ht="15.6" x14ac:dyDescent="0.3">
      <c r="A251" s="53"/>
      <c r="B251" s="54"/>
      <c r="C251" s="54"/>
      <c r="D251" s="54"/>
      <c r="E251" s="55"/>
      <c r="F251" s="75"/>
      <c r="G251" s="76"/>
      <c r="H251" s="76"/>
      <c r="I251" s="48"/>
      <c r="J251" s="70"/>
      <c r="K251" s="70"/>
      <c r="L251" s="227" t="s">
        <v>1365</v>
      </c>
      <c r="M251" s="228" t="s">
        <v>1394</v>
      </c>
      <c r="N251" s="227" t="s">
        <v>34</v>
      </c>
      <c r="O251" s="229">
        <v>0.18</v>
      </c>
      <c r="P251" s="230">
        <v>140</v>
      </c>
      <c r="Q251" s="230">
        <v>25.2</v>
      </c>
      <c r="R251" s="182"/>
      <c r="U251" s="128"/>
    </row>
    <row r="252" spans="1:21" ht="15.6" x14ac:dyDescent="0.3">
      <c r="A252" s="53"/>
      <c r="B252" s="54"/>
      <c r="C252" s="54"/>
      <c r="D252" s="54"/>
      <c r="E252" s="55"/>
      <c r="F252" s="75"/>
      <c r="G252" s="76"/>
      <c r="H252" s="76"/>
      <c r="I252" s="48"/>
      <c r="J252" s="70"/>
      <c r="K252" s="70"/>
      <c r="L252" s="227" t="s">
        <v>432</v>
      </c>
      <c r="M252" s="228" t="s">
        <v>433</v>
      </c>
      <c r="N252" s="227" t="s">
        <v>34</v>
      </c>
      <c r="O252" s="229">
        <v>4</v>
      </c>
      <c r="P252" s="230">
        <v>27.6</v>
      </c>
      <c r="Q252" s="230">
        <v>110.4</v>
      </c>
      <c r="R252" s="182"/>
      <c r="U252" s="128"/>
    </row>
    <row r="253" spans="1:21" ht="15.6" x14ac:dyDescent="0.3">
      <c r="A253" s="53"/>
      <c r="B253" s="54"/>
      <c r="C253" s="54"/>
      <c r="D253" s="54"/>
      <c r="E253" s="55"/>
      <c r="F253" s="75"/>
      <c r="G253" s="76"/>
      <c r="H253" s="76"/>
      <c r="I253" s="48"/>
      <c r="J253" s="70"/>
      <c r="K253" s="70"/>
      <c r="L253" s="227" t="s">
        <v>1159</v>
      </c>
      <c r="M253" s="228" t="s">
        <v>1245</v>
      </c>
      <c r="N253" s="227" t="s">
        <v>34</v>
      </c>
      <c r="O253" s="229">
        <v>1</v>
      </c>
      <c r="P253" s="230">
        <v>36.08</v>
      </c>
      <c r="Q253" s="230">
        <v>36.08</v>
      </c>
      <c r="R253" s="182"/>
      <c r="U253" s="128"/>
    </row>
    <row r="254" spans="1:21" ht="15.6" x14ac:dyDescent="0.3">
      <c r="A254" s="53"/>
      <c r="B254" s="54"/>
      <c r="C254" s="54"/>
      <c r="D254" s="54"/>
      <c r="E254" s="55"/>
      <c r="F254" s="75"/>
      <c r="G254" s="76"/>
      <c r="H254" s="76"/>
      <c r="I254" s="48"/>
      <c r="J254" s="70"/>
      <c r="K254" s="70"/>
      <c r="L254" s="227" t="s">
        <v>1361</v>
      </c>
      <c r="M254" s="228" t="s">
        <v>1390</v>
      </c>
      <c r="N254" s="227" t="s">
        <v>34</v>
      </c>
      <c r="O254" s="229">
        <v>1</v>
      </c>
      <c r="P254" s="264">
        <v>2209</v>
      </c>
      <c r="Q254" s="264">
        <v>2209</v>
      </c>
      <c r="R254" s="182"/>
      <c r="U254" s="128"/>
    </row>
    <row r="255" spans="1:21" ht="15.6" x14ac:dyDescent="0.3">
      <c r="A255" s="53"/>
      <c r="B255" s="54"/>
      <c r="C255" s="54"/>
      <c r="D255" s="54"/>
      <c r="E255" s="55"/>
      <c r="F255" s="75"/>
      <c r="G255" s="76"/>
      <c r="H255" s="76"/>
      <c r="I255" s="48"/>
      <c r="J255" s="70"/>
      <c r="K255" s="70"/>
      <c r="L255" s="227" t="s">
        <v>1001</v>
      </c>
      <c r="M255" s="228" t="s">
        <v>415</v>
      </c>
      <c r="N255" s="227" t="s">
        <v>34</v>
      </c>
      <c r="O255" s="229">
        <v>11</v>
      </c>
      <c r="P255" s="230">
        <v>59.58</v>
      </c>
      <c r="Q255" s="230">
        <v>655.38</v>
      </c>
      <c r="R255" s="182"/>
      <c r="U255" s="128"/>
    </row>
    <row r="256" spans="1:21" ht="15.6" x14ac:dyDescent="0.3">
      <c r="A256" s="53"/>
      <c r="B256" s="54"/>
      <c r="C256" s="54"/>
      <c r="D256" s="54"/>
      <c r="E256" s="55"/>
      <c r="F256" s="75"/>
      <c r="G256" s="76"/>
      <c r="H256" s="76"/>
      <c r="I256" s="48"/>
      <c r="J256" s="70"/>
      <c r="K256" s="70"/>
      <c r="L256" s="227" t="s">
        <v>946</v>
      </c>
      <c r="M256" s="228" t="s">
        <v>1042</v>
      </c>
      <c r="N256" s="227" t="s">
        <v>34</v>
      </c>
      <c r="O256" s="229">
        <v>4</v>
      </c>
      <c r="P256" s="230">
        <v>127.1</v>
      </c>
      <c r="Q256" s="230">
        <v>508.4</v>
      </c>
      <c r="R256" s="182"/>
      <c r="U256" s="128"/>
    </row>
    <row r="257" spans="1:21" ht="15.6" x14ac:dyDescent="0.3">
      <c r="A257" s="53"/>
      <c r="B257" s="54"/>
      <c r="C257" s="54"/>
      <c r="D257" s="54"/>
      <c r="E257" s="55"/>
      <c r="F257" s="75"/>
      <c r="G257" s="76"/>
      <c r="H257" s="76"/>
      <c r="I257" s="48"/>
      <c r="J257" s="70"/>
      <c r="K257" s="70"/>
      <c r="L257" s="227" t="s">
        <v>823</v>
      </c>
      <c r="M257" s="228" t="s">
        <v>824</v>
      </c>
      <c r="N257" s="227" t="s">
        <v>34</v>
      </c>
      <c r="O257" s="229">
        <v>5</v>
      </c>
      <c r="P257" s="230">
        <v>251.57</v>
      </c>
      <c r="Q257" s="264">
        <v>1257.8499999999999</v>
      </c>
      <c r="R257" s="182"/>
      <c r="U257" s="128"/>
    </row>
    <row r="258" spans="1:21" ht="15.6" x14ac:dyDescent="0.3">
      <c r="A258" s="53"/>
      <c r="B258" s="54"/>
      <c r="C258" s="54"/>
      <c r="D258" s="54"/>
      <c r="E258" s="55"/>
      <c r="F258" s="75"/>
      <c r="G258" s="76"/>
      <c r="H258" s="76"/>
      <c r="I258" s="48"/>
      <c r="J258" s="70"/>
      <c r="K258" s="70"/>
      <c r="L258" s="227" t="s">
        <v>1161</v>
      </c>
      <c r="M258" s="228" t="s">
        <v>436</v>
      </c>
      <c r="N258" s="227" t="s">
        <v>34</v>
      </c>
      <c r="O258" s="229">
        <v>1</v>
      </c>
      <c r="P258" s="230">
        <v>96.18</v>
      </c>
      <c r="Q258" s="230">
        <v>96.18</v>
      </c>
      <c r="R258" s="182"/>
      <c r="U258" s="128"/>
    </row>
    <row r="259" spans="1:21" ht="30" x14ac:dyDescent="0.3">
      <c r="A259" s="53"/>
      <c r="B259" s="54"/>
      <c r="C259" s="54"/>
      <c r="D259" s="54"/>
      <c r="E259" s="55"/>
      <c r="F259" s="75"/>
      <c r="G259" s="76"/>
      <c r="H259" s="76"/>
      <c r="I259" s="48"/>
      <c r="J259" s="70"/>
      <c r="K259" s="70"/>
      <c r="L259" s="227" t="s">
        <v>1004</v>
      </c>
      <c r="M259" s="228" t="s">
        <v>95</v>
      </c>
      <c r="N259" s="227" t="s">
        <v>34</v>
      </c>
      <c r="O259" s="229">
        <v>9</v>
      </c>
      <c r="P259" s="230">
        <v>181.2</v>
      </c>
      <c r="Q259" s="264">
        <v>1630.8</v>
      </c>
      <c r="R259" s="182"/>
      <c r="U259" s="128"/>
    </row>
    <row r="260" spans="1:21" ht="15.6" x14ac:dyDescent="0.3">
      <c r="A260" s="53"/>
      <c r="B260" s="54"/>
      <c r="C260" s="54"/>
      <c r="D260" s="54"/>
      <c r="E260" s="55"/>
      <c r="F260" s="75"/>
      <c r="G260" s="76"/>
      <c r="H260" s="76"/>
      <c r="I260" s="48"/>
      <c r="J260" s="70"/>
      <c r="K260" s="70"/>
      <c r="L260" s="227" t="s">
        <v>437</v>
      </c>
      <c r="M260" s="228" t="s">
        <v>438</v>
      </c>
      <c r="N260" s="227" t="s">
        <v>34</v>
      </c>
      <c r="O260" s="229">
        <v>4</v>
      </c>
      <c r="P260" s="230">
        <v>166.32</v>
      </c>
      <c r="Q260" s="230">
        <v>665.28</v>
      </c>
      <c r="R260" s="182"/>
      <c r="U260" s="128"/>
    </row>
    <row r="261" spans="1:21" ht="15.6" x14ac:dyDescent="0.3">
      <c r="A261" s="53"/>
      <c r="B261" s="54"/>
      <c r="C261" s="54"/>
      <c r="D261" s="54"/>
      <c r="E261" s="55"/>
      <c r="F261" s="75"/>
      <c r="G261" s="76"/>
      <c r="H261" s="76"/>
      <c r="I261" s="48"/>
      <c r="J261" s="70"/>
      <c r="K261" s="70"/>
      <c r="L261" s="227" t="s">
        <v>1090</v>
      </c>
      <c r="M261" s="228" t="s">
        <v>439</v>
      </c>
      <c r="N261" s="227" t="s">
        <v>34</v>
      </c>
      <c r="O261" s="229">
        <v>1</v>
      </c>
      <c r="P261" s="230">
        <v>94.36</v>
      </c>
      <c r="Q261" s="230">
        <v>94.36</v>
      </c>
      <c r="R261" s="182"/>
      <c r="U261" s="128"/>
    </row>
    <row r="262" spans="1:21" ht="15.6" customHeight="1" x14ac:dyDescent="0.3">
      <c r="A262" s="53"/>
      <c r="B262" s="54"/>
      <c r="C262" s="54"/>
      <c r="D262" s="54"/>
      <c r="E262" s="55"/>
      <c r="F262" s="75"/>
      <c r="G262" s="76"/>
      <c r="H262" s="76"/>
      <c r="I262" s="48"/>
      <c r="J262" s="70"/>
      <c r="K262" s="70"/>
      <c r="L262" s="227" t="s">
        <v>927</v>
      </c>
      <c r="M262" s="228" t="s">
        <v>928</v>
      </c>
      <c r="N262" s="227" t="s">
        <v>34</v>
      </c>
      <c r="O262" s="229">
        <v>2</v>
      </c>
      <c r="P262" s="264">
        <v>1628.77</v>
      </c>
      <c r="Q262" s="264">
        <v>3257.53</v>
      </c>
      <c r="R262" s="182"/>
      <c r="U262" s="128"/>
    </row>
    <row r="263" spans="1:21" ht="15.6" x14ac:dyDescent="0.3">
      <c r="A263" s="53"/>
      <c r="B263" s="54"/>
      <c r="C263" s="54"/>
      <c r="D263" s="54"/>
      <c r="E263" s="55"/>
      <c r="F263" s="75"/>
      <c r="G263" s="76"/>
      <c r="H263" s="76"/>
      <c r="I263" s="48"/>
      <c r="J263" s="70"/>
      <c r="K263" s="70"/>
      <c r="L263" s="227" t="s">
        <v>219</v>
      </c>
      <c r="M263" s="228" t="s">
        <v>220</v>
      </c>
      <c r="N263" s="227" t="s">
        <v>34</v>
      </c>
      <c r="O263" s="229">
        <v>2</v>
      </c>
      <c r="P263" s="230">
        <v>112.79</v>
      </c>
      <c r="Q263" s="230">
        <v>225.58</v>
      </c>
      <c r="R263" s="182"/>
      <c r="U263" s="128"/>
    </row>
    <row r="264" spans="1:21" ht="15.6" x14ac:dyDescent="0.3">
      <c r="A264" s="53"/>
      <c r="B264" s="54"/>
      <c r="C264" s="54"/>
      <c r="D264" s="54"/>
      <c r="E264" s="55"/>
      <c r="F264" s="75"/>
      <c r="G264" s="76"/>
      <c r="H264" s="76"/>
      <c r="I264" s="48"/>
      <c r="J264" s="70"/>
      <c r="K264" s="70"/>
      <c r="L264" s="227" t="s">
        <v>1368</v>
      </c>
      <c r="M264" s="228" t="s">
        <v>1397</v>
      </c>
      <c r="N264" s="227" t="s">
        <v>34</v>
      </c>
      <c r="O264" s="229">
        <v>1</v>
      </c>
      <c r="P264" s="230">
        <v>480</v>
      </c>
      <c r="Q264" s="230">
        <v>480</v>
      </c>
      <c r="R264" s="182"/>
      <c r="U264" s="128"/>
    </row>
    <row r="265" spans="1:21" ht="15.6" x14ac:dyDescent="0.3">
      <c r="A265" s="53"/>
      <c r="B265" s="54"/>
      <c r="C265" s="54"/>
      <c r="D265" s="54"/>
      <c r="E265" s="55"/>
      <c r="F265" s="75"/>
      <c r="G265" s="76"/>
      <c r="H265" s="76"/>
      <c r="I265" s="48"/>
      <c r="J265" s="70"/>
      <c r="K265" s="70"/>
      <c r="L265" s="227" t="s">
        <v>1005</v>
      </c>
      <c r="M265" s="228" t="s">
        <v>825</v>
      </c>
      <c r="N265" s="227" t="s">
        <v>34</v>
      </c>
      <c r="O265" s="229">
        <v>4</v>
      </c>
      <c r="P265" s="230">
        <v>272.07</v>
      </c>
      <c r="Q265" s="264">
        <v>1088.28</v>
      </c>
      <c r="R265" s="182"/>
      <c r="U265" s="128"/>
    </row>
    <row r="266" spans="1:21" ht="15.6" x14ac:dyDescent="0.3">
      <c r="A266" s="53"/>
      <c r="B266" s="54"/>
      <c r="C266" s="54"/>
      <c r="D266" s="54"/>
      <c r="E266" s="55"/>
      <c r="F266" s="75"/>
      <c r="G266" s="76"/>
      <c r="H266" s="76"/>
      <c r="I266" s="48"/>
      <c r="J266" s="70"/>
      <c r="K266" s="70"/>
      <c r="L266" s="227" t="s">
        <v>1006</v>
      </c>
      <c r="M266" s="228" t="s">
        <v>923</v>
      </c>
      <c r="N266" s="227" t="s">
        <v>34</v>
      </c>
      <c r="O266" s="229">
        <v>570</v>
      </c>
      <c r="P266" s="230">
        <v>0.14000000000000001</v>
      </c>
      <c r="Q266" s="230">
        <v>78.62</v>
      </c>
      <c r="R266" s="182"/>
      <c r="U266" s="128"/>
    </row>
    <row r="267" spans="1:21" ht="15.6" x14ac:dyDescent="0.3">
      <c r="A267" s="53"/>
      <c r="B267" s="54"/>
      <c r="C267" s="54"/>
      <c r="D267" s="54"/>
      <c r="E267" s="55"/>
      <c r="F267" s="75"/>
      <c r="G267" s="76"/>
      <c r="H267" s="76"/>
      <c r="I267" s="48"/>
      <c r="J267" s="70"/>
      <c r="K267" s="70"/>
      <c r="L267" s="227" t="s">
        <v>1160</v>
      </c>
      <c r="M267" s="228" t="s">
        <v>1246</v>
      </c>
      <c r="N267" s="227" t="s">
        <v>34</v>
      </c>
      <c r="O267" s="229">
        <v>409</v>
      </c>
      <c r="P267" s="230">
        <v>0.69</v>
      </c>
      <c r="Q267" s="230">
        <v>282.89</v>
      </c>
      <c r="R267" s="182"/>
      <c r="U267" s="128"/>
    </row>
    <row r="268" spans="1:21" ht="30" x14ac:dyDescent="0.3">
      <c r="A268" s="53"/>
      <c r="B268" s="54"/>
      <c r="C268" s="54"/>
      <c r="D268" s="54"/>
      <c r="E268" s="55"/>
      <c r="F268" s="75"/>
      <c r="G268" s="76"/>
      <c r="H268" s="76"/>
      <c r="I268" s="48"/>
      <c r="J268" s="70"/>
      <c r="K268" s="70"/>
      <c r="L268" s="227" t="s">
        <v>1174</v>
      </c>
      <c r="M268" s="228" t="s">
        <v>1258</v>
      </c>
      <c r="N268" s="227" t="s">
        <v>34</v>
      </c>
      <c r="O268" s="229">
        <v>45</v>
      </c>
      <c r="P268" s="230">
        <v>0.66</v>
      </c>
      <c r="Q268" s="230">
        <v>29.63</v>
      </c>
      <c r="R268" s="182"/>
      <c r="U268" s="128"/>
    </row>
    <row r="269" spans="1:21" ht="15.6" x14ac:dyDescent="0.3">
      <c r="A269" s="53"/>
      <c r="B269" s="54"/>
      <c r="C269" s="54"/>
      <c r="D269" s="54"/>
      <c r="E269" s="55"/>
      <c r="F269" s="75"/>
      <c r="G269" s="76"/>
      <c r="H269" s="76"/>
      <c r="I269" s="48"/>
      <c r="J269" s="70"/>
      <c r="K269" s="70"/>
      <c r="L269" s="227" t="s">
        <v>1175</v>
      </c>
      <c r="M269" s="228" t="s">
        <v>1259</v>
      </c>
      <c r="N269" s="227" t="s">
        <v>34</v>
      </c>
      <c r="O269" s="229">
        <v>1</v>
      </c>
      <c r="P269" s="230">
        <v>2</v>
      </c>
      <c r="Q269" s="230">
        <v>2</v>
      </c>
      <c r="R269" s="182"/>
      <c r="U269" s="128"/>
    </row>
    <row r="270" spans="1:21" ht="15.6" x14ac:dyDescent="0.3">
      <c r="A270" s="53"/>
      <c r="B270" s="54"/>
      <c r="C270" s="54"/>
      <c r="D270" s="54"/>
      <c r="E270" s="55"/>
      <c r="F270" s="75"/>
      <c r="G270" s="76"/>
      <c r="H270" s="76"/>
      <c r="I270" s="48"/>
      <c r="J270" s="70"/>
      <c r="K270" s="70"/>
      <c r="L270" s="227" t="s">
        <v>1176</v>
      </c>
      <c r="M270" s="228" t="s">
        <v>1260</v>
      </c>
      <c r="N270" s="227" t="s">
        <v>34</v>
      </c>
      <c r="O270" s="229">
        <v>1</v>
      </c>
      <c r="P270" s="230">
        <v>1.5</v>
      </c>
      <c r="Q270" s="230">
        <v>1.5</v>
      </c>
      <c r="R270" s="182"/>
      <c r="U270" s="128"/>
    </row>
    <row r="271" spans="1:21" ht="15.6" x14ac:dyDescent="0.3">
      <c r="A271" s="53"/>
      <c r="B271" s="54"/>
      <c r="C271" s="54"/>
      <c r="D271" s="54"/>
      <c r="E271" s="55"/>
      <c r="F271" s="75"/>
      <c r="G271" s="76"/>
      <c r="H271" s="76"/>
      <c r="I271" s="48"/>
      <c r="J271" s="70"/>
      <c r="K271" s="70"/>
      <c r="L271" s="227" t="s">
        <v>826</v>
      </c>
      <c r="M271" s="228" t="s">
        <v>827</v>
      </c>
      <c r="N271" s="227" t="s">
        <v>34</v>
      </c>
      <c r="O271" s="229">
        <v>1</v>
      </c>
      <c r="P271" s="230">
        <v>4.5</v>
      </c>
      <c r="Q271" s="230">
        <v>4.5</v>
      </c>
      <c r="R271" s="182"/>
      <c r="U271" s="128"/>
    </row>
    <row r="272" spans="1:21" ht="15.6" x14ac:dyDescent="0.3">
      <c r="A272" s="53"/>
      <c r="B272" s="54"/>
      <c r="C272" s="54"/>
      <c r="D272" s="54"/>
      <c r="E272" s="55"/>
      <c r="F272" s="75"/>
      <c r="G272" s="76"/>
      <c r="H272" s="76"/>
      <c r="I272" s="48"/>
      <c r="J272" s="70"/>
      <c r="K272" s="70"/>
      <c r="L272" s="227" t="s">
        <v>1369</v>
      </c>
      <c r="M272" s="228" t="s">
        <v>1398</v>
      </c>
      <c r="N272" s="227" t="s">
        <v>34</v>
      </c>
      <c r="O272" s="229">
        <v>1</v>
      </c>
      <c r="P272" s="230">
        <v>4.5</v>
      </c>
      <c r="Q272" s="230">
        <v>4.5</v>
      </c>
      <c r="R272" s="182"/>
      <c r="U272" s="128"/>
    </row>
    <row r="273" spans="1:21" ht="15.6" x14ac:dyDescent="0.3">
      <c r="A273" s="53"/>
      <c r="B273" s="54"/>
      <c r="C273" s="54"/>
      <c r="D273" s="54"/>
      <c r="E273" s="55"/>
      <c r="F273" s="75"/>
      <c r="G273" s="76"/>
      <c r="H273" s="76"/>
      <c r="I273" s="48"/>
      <c r="J273" s="70"/>
      <c r="K273" s="70"/>
      <c r="L273" s="227" t="s">
        <v>1177</v>
      </c>
      <c r="M273" s="228" t="s">
        <v>1261</v>
      </c>
      <c r="N273" s="227" t="s">
        <v>34</v>
      </c>
      <c r="O273" s="229">
        <v>1</v>
      </c>
      <c r="P273" s="230">
        <v>130.21</v>
      </c>
      <c r="Q273" s="230">
        <v>130.21</v>
      </c>
      <c r="R273" s="182"/>
      <c r="U273" s="128"/>
    </row>
    <row r="274" spans="1:21" ht="15.6" x14ac:dyDescent="0.3">
      <c r="A274" s="53"/>
      <c r="B274" s="54"/>
      <c r="C274" s="54"/>
      <c r="D274" s="54"/>
      <c r="E274" s="55"/>
      <c r="F274" s="75"/>
      <c r="G274" s="76"/>
      <c r="H274" s="76"/>
      <c r="I274" s="48"/>
      <c r="J274" s="70"/>
      <c r="K274" s="70"/>
      <c r="L274" s="227" t="s">
        <v>1007</v>
      </c>
      <c r="M274" s="228" t="s">
        <v>447</v>
      </c>
      <c r="N274" s="227" t="s">
        <v>34</v>
      </c>
      <c r="O274" s="229">
        <v>7</v>
      </c>
      <c r="P274" s="230">
        <v>106.52</v>
      </c>
      <c r="Q274" s="230">
        <v>745.67</v>
      </c>
      <c r="R274" s="182"/>
      <c r="U274" s="128"/>
    </row>
    <row r="275" spans="1:21" ht="15.6" x14ac:dyDescent="0.3">
      <c r="A275" s="53"/>
      <c r="B275" s="54"/>
      <c r="C275" s="54"/>
      <c r="D275" s="54"/>
      <c r="E275" s="55"/>
      <c r="F275" s="75"/>
      <c r="G275" s="76"/>
      <c r="H275" s="76"/>
      <c r="I275" s="48"/>
      <c r="J275" s="70"/>
      <c r="K275" s="70"/>
      <c r="L275" s="227" t="s">
        <v>886</v>
      </c>
      <c r="M275" s="228" t="s">
        <v>1072</v>
      </c>
      <c r="N275" s="227" t="s">
        <v>34</v>
      </c>
      <c r="O275" s="229">
        <v>3</v>
      </c>
      <c r="P275" s="230">
        <v>350.19</v>
      </c>
      <c r="Q275" s="264">
        <v>1050.57</v>
      </c>
      <c r="R275" s="182"/>
      <c r="U275" s="128"/>
    </row>
    <row r="276" spans="1:21" ht="15.6" x14ac:dyDescent="0.3">
      <c r="A276" s="53"/>
      <c r="B276" s="54"/>
      <c r="C276" s="54"/>
      <c r="D276" s="54"/>
      <c r="E276" s="55"/>
      <c r="F276" s="75"/>
      <c r="G276" s="76"/>
      <c r="H276" s="76"/>
      <c r="I276" s="48"/>
      <c r="J276" s="70"/>
      <c r="K276" s="70"/>
      <c r="L276" s="227" t="s">
        <v>828</v>
      </c>
      <c r="M276" s="228" t="s">
        <v>829</v>
      </c>
      <c r="N276" s="227" t="s">
        <v>34</v>
      </c>
      <c r="O276" s="229">
        <v>1</v>
      </c>
      <c r="P276" s="230">
        <v>133.15</v>
      </c>
      <c r="Q276" s="230">
        <v>133.15</v>
      </c>
      <c r="R276" s="182"/>
      <c r="U276" s="128"/>
    </row>
    <row r="277" spans="1:21" ht="15.6" x14ac:dyDescent="0.3">
      <c r="A277" s="53"/>
      <c r="B277" s="54"/>
      <c r="C277" s="54"/>
      <c r="D277" s="54"/>
      <c r="E277" s="55"/>
      <c r="F277" s="75"/>
      <c r="G277" s="76"/>
      <c r="H277" s="76"/>
      <c r="I277" s="48"/>
      <c r="J277" s="70"/>
      <c r="K277" s="70"/>
      <c r="L277" s="227" t="s">
        <v>830</v>
      </c>
      <c r="M277" s="228" t="s">
        <v>831</v>
      </c>
      <c r="N277" s="227" t="s">
        <v>34</v>
      </c>
      <c r="O277" s="229">
        <v>1</v>
      </c>
      <c r="P277" s="230">
        <v>693</v>
      </c>
      <c r="Q277" s="230">
        <v>693</v>
      </c>
      <c r="R277" s="182"/>
      <c r="U277" s="128"/>
    </row>
    <row r="278" spans="1:21" ht="15.6" x14ac:dyDescent="0.3">
      <c r="A278" s="53"/>
      <c r="B278" s="54"/>
      <c r="C278" s="54"/>
      <c r="D278" s="54"/>
      <c r="E278" s="55"/>
      <c r="F278" s="75"/>
      <c r="G278" s="76"/>
      <c r="H278" s="76"/>
      <c r="I278" s="48"/>
      <c r="J278" s="70"/>
      <c r="K278" s="70"/>
      <c r="L278" s="227" t="s">
        <v>1370</v>
      </c>
      <c r="M278" s="228" t="s">
        <v>1399</v>
      </c>
      <c r="N278" s="227" t="s">
        <v>34</v>
      </c>
      <c r="O278" s="229">
        <v>1</v>
      </c>
      <c r="P278" s="230">
        <v>69.34</v>
      </c>
      <c r="Q278" s="230">
        <v>69.34</v>
      </c>
      <c r="R278" s="182"/>
      <c r="U278" s="128"/>
    </row>
    <row r="279" spans="1:21" ht="15.6" x14ac:dyDescent="0.3">
      <c r="A279" s="53"/>
      <c r="B279" s="54"/>
      <c r="C279" s="54"/>
      <c r="D279" s="54"/>
      <c r="E279" s="55"/>
      <c r="F279" s="75"/>
      <c r="G279" s="76"/>
      <c r="H279" s="76"/>
      <c r="I279" s="48"/>
      <c r="J279" s="70"/>
      <c r="K279" s="70"/>
      <c r="L279" s="227" t="s">
        <v>924</v>
      </c>
      <c r="M279" s="228" t="s">
        <v>925</v>
      </c>
      <c r="N279" s="227" t="s">
        <v>34</v>
      </c>
      <c r="O279" s="229">
        <v>1</v>
      </c>
      <c r="P279" s="230">
        <v>84.5</v>
      </c>
      <c r="Q279" s="230">
        <v>84.5</v>
      </c>
      <c r="R279" s="182"/>
      <c r="U279" s="128"/>
    </row>
    <row r="280" spans="1:21" ht="15.6" x14ac:dyDescent="0.3">
      <c r="A280" s="53"/>
      <c r="B280" s="54"/>
      <c r="C280" s="54"/>
      <c r="D280" s="54"/>
      <c r="E280" s="55"/>
      <c r="F280" s="75"/>
      <c r="G280" s="76"/>
      <c r="H280" s="76"/>
      <c r="I280" s="48"/>
      <c r="J280" s="70"/>
      <c r="K280" s="70"/>
      <c r="L280" s="227" t="s">
        <v>455</v>
      </c>
      <c r="M280" s="228" t="s">
        <v>456</v>
      </c>
      <c r="N280" s="227" t="s">
        <v>34</v>
      </c>
      <c r="O280" s="229">
        <v>2</v>
      </c>
      <c r="P280" s="230">
        <v>275.73</v>
      </c>
      <c r="Q280" s="230">
        <v>551.46</v>
      </c>
      <c r="R280" s="182"/>
      <c r="U280" s="128"/>
    </row>
    <row r="281" spans="1:21" ht="15.6" x14ac:dyDescent="0.3">
      <c r="A281" s="53"/>
      <c r="B281" s="54"/>
      <c r="C281" s="54"/>
      <c r="D281" s="54"/>
      <c r="E281" s="55"/>
      <c r="F281" s="75"/>
      <c r="G281" s="76"/>
      <c r="H281" s="76"/>
      <c r="I281" s="48"/>
      <c r="J281" s="70"/>
      <c r="K281" s="70"/>
      <c r="L281" s="227" t="s">
        <v>1371</v>
      </c>
      <c r="M281" s="228" t="s">
        <v>99</v>
      </c>
      <c r="N281" s="227" t="s">
        <v>34</v>
      </c>
      <c r="O281" s="229">
        <v>0.27300000000000002</v>
      </c>
      <c r="P281" s="264">
        <v>1041.68</v>
      </c>
      <c r="Q281" s="230">
        <v>284.38</v>
      </c>
      <c r="R281" s="182"/>
      <c r="U281" s="128"/>
    </row>
    <row r="282" spans="1:21" ht="15.6" x14ac:dyDescent="0.3">
      <c r="A282" s="53"/>
      <c r="B282" s="54"/>
      <c r="C282" s="54"/>
      <c r="D282" s="54"/>
      <c r="E282" s="55"/>
      <c r="F282" s="75"/>
      <c r="G282" s="76"/>
      <c r="H282" s="76"/>
      <c r="I282" s="48"/>
      <c r="J282" s="70"/>
      <c r="K282" s="70"/>
      <c r="L282" s="227" t="s">
        <v>466</v>
      </c>
      <c r="M282" s="228" t="s">
        <v>467</v>
      </c>
      <c r="N282" s="227" t="s">
        <v>34</v>
      </c>
      <c r="O282" s="229">
        <v>1</v>
      </c>
      <c r="P282" s="230">
        <v>169.16</v>
      </c>
      <c r="Q282" s="230">
        <v>169.16</v>
      </c>
      <c r="R282" s="182"/>
      <c r="U282" s="128"/>
    </row>
    <row r="283" spans="1:21" ht="15.6" x14ac:dyDescent="0.3">
      <c r="A283" s="53"/>
      <c r="B283" s="54"/>
      <c r="C283" s="54"/>
      <c r="D283" s="54"/>
      <c r="E283" s="55"/>
      <c r="F283" s="75"/>
      <c r="G283" s="76"/>
      <c r="H283" s="76"/>
      <c r="I283" s="48"/>
      <c r="J283" s="70"/>
      <c r="K283" s="70"/>
      <c r="L283" s="227" t="s">
        <v>510</v>
      </c>
      <c r="M283" s="228" t="s">
        <v>1060</v>
      </c>
      <c r="N283" s="227" t="s">
        <v>34</v>
      </c>
      <c r="O283" s="229">
        <v>0.27</v>
      </c>
      <c r="P283" s="230">
        <v>169</v>
      </c>
      <c r="Q283" s="230">
        <v>45.63</v>
      </c>
      <c r="R283" s="182"/>
      <c r="U283" s="128"/>
    </row>
    <row r="284" spans="1:21" ht="15.6" x14ac:dyDescent="0.3">
      <c r="A284" s="53"/>
      <c r="B284" s="54"/>
      <c r="C284" s="54"/>
      <c r="D284" s="54"/>
      <c r="E284" s="55"/>
      <c r="F284" s="75"/>
      <c r="G284" s="76"/>
      <c r="H284" s="76"/>
      <c r="I284" s="48"/>
      <c r="J284" s="70"/>
      <c r="K284" s="70"/>
      <c r="L284" s="227" t="s">
        <v>1374</v>
      </c>
      <c r="M284" s="228" t="s">
        <v>1402</v>
      </c>
      <c r="N284" s="227" t="s">
        <v>34</v>
      </c>
      <c r="O284" s="229">
        <v>4.4999999999999998E-2</v>
      </c>
      <c r="P284" s="230">
        <v>108</v>
      </c>
      <c r="Q284" s="230">
        <v>4.8600000000000003</v>
      </c>
      <c r="R284" s="182"/>
      <c r="U284" s="128"/>
    </row>
    <row r="285" spans="1:21" ht="15.6" x14ac:dyDescent="0.3">
      <c r="A285" s="53"/>
      <c r="B285" s="54"/>
      <c r="C285" s="54"/>
      <c r="D285" s="54"/>
      <c r="E285" s="55"/>
      <c r="F285" s="75"/>
      <c r="G285" s="76"/>
      <c r="H285" s="76"/>
      <c r="I285" s="48"/>
      <c r="J285" s="70"/>
      <c r="K285" s="70"/>
      <c r="L285" s="227" t="s">
        <v>1375</v>
      </c>
      <c r="M285" s="228" t="s">
        <v>1403</v>
      </c>
      <c r="N285" s="227" t="s">
        <v>34</v>
      </c>
      <c r="O285" s="229">
        <v>1</v>
      </c>
      <c r="P285" s="230">
        <v>61</v>
      </c>
      <c r="Q285" s="230">
        <v>61</v>
      </c>
      <c r="R285" s="182"/>
      <c r="U285" s="128"/>
    </row>
    <row r="286" spans="1:21" ht="15.6" x14ac:dyDescent="0.3">
      <c r="A286" s="53"/>
      <c r="B286" s="54"/>
      <c r="C286" s="54"/>
      <c r="D286" s="54"/>
      <c r="E286" s="55"/>
      <c r="F286" s="75"/>
      <c r="G286" s="76"/>
      <c r="H286" s="76"/>
      <c r="I286" s="48"/>
      <c r="J286" s="70"/>
      <c r="K286" s="70"/>
      <c r="L286" s="227" t="s">
        <v>1376</v>
      </c>
      <c r="M286" s="228" t="s">
        <v>1404</v>
      </c>
      <c r="N286" s="227" t="s">
        <v>34</v>
      </c>
      <c r="O286" s="229">
        <v>1</v>
      </c>
      <c r="P286" s="230">
        <v>179</v>
      </c>
      <c r="Q286" s="230">
        <v>179</v>
      </c>
      <c r="R286" s="182"/>
      <c r="U286" s="128"/>
    </row>
    <row r="287" spans="1:21" ht="15.6" x14ac:dyDescent="0.3">
      <c r="A287" s="53"/>
      <c r="B287" s="54"/>
      <c r="C287" s="54"/>
      <c r="D287" s="54"/>
      <c r="E287" s="55"/>
      <c r="F287" s="75"/>
      <c r="G287" s="76"/>
      <c r="H287" s="76"/>
      <c r="I287" s="48"/>
      <c r="J287" s="70"/>
      <c r="K287" s="70"/>
      <c r="L287" s="227" t="s">
        <v>1313</v>
      </c>
      <c r="M287" s="228" t="s">
        <v>1347</v>
      </c>
      <c r="N287" s="227" t="s">
        <v>34</v>
      </c>
      <c r="O287" s="229">
        <v>1</v>
      </c>
      <c r="P287" s="230">
        <v>72</v>
      </c>
      <c r="Q287" s="230">
        <v>72</v>
      </c>
      <c r="R287" s="182"/>
      <c r="U287" s="128"/>
    </row>
    <row r="288" spans="1:21" ht="15.6" x14ac:dyDescent="0.3">
      <c r="A288" s="53"/>
      <c r="B288" s="54"/>
      <c r="C288" s="54"/>
      <c r="D288" s="54"/>
      <c r="E288" s="55"/>
      <c r="F288" s="75"/>
      <c r="G288" s="76"/>
      <c r="H288" s="76"/>
      <c r="I288" s="48"/>
      <c r="J288" s="70"/>
      <c r="K288" s="70"/>
      <c r="L288" s="227" t="s">
        <v>1080</v>
      </c>
      <c r="M288" s="228" t="s">
        <v>1081</v>
      </c>
      <c r="N288" s="227" t="s">
        <v>34</v>
      </c>
      <c r="O288" s="229">
        <v>1</v>
      </c>
      <c r="P288" s="230">
        <v>4.25</v>
      </c>
      <c r="Q288" s="230">
        <v>4.25</v>
      </c>
      <c r="R288" s="182"/>
      <c r="U288" s="128"/>
    </row>
    <row r="289" spans="1:21" ht="15.6" x14ac:dyDescent="0.3">
      <c r="A289" s="53"/>
      <c r="B289" s="54"/>
      <c r="C289" s="54"/>
      <c r="D289" s="54"/>
      <c r="E289" s="55"/>
      <c r="F289" s="75"/>
      <c r="G289" s="76"/>
      <c r="H289" s="76"/>
      <c r="I289" s="48"/>
      <c r="J289" s="70"/>
      <c r="K289" s="70"/>
      <c r="L289" s="227" t="s">
        <v>1377</v>
      </c>
      <c r="M289" s="228" t="s">
        <v>1405</v>
      </c>
      <c r="N289" s="227" t="s">
        <v>34</v>
      </c>
      <c r="O289" s="229">
        <v>1</v>
      </c>
      <c r="P289" s="230">
        <v>44.25</v>
      </c>
      <c r="Q289" s="230">
        <v>44.25</v>
      </c>
      <c r="R289" s="182"/>
      <c r="U289" s="128"/>
    </row>
    <row r="290" spans="1:21" ht="15.6" x14ac:dyDescent="0.3">
      <c r="A290" s="53"/>
      <c r="B290" s="54"/>
      <c r="C290" s="54"/>
      <c r="D290" s="54"/>
      <c r="E290" s="55"/>
      <c r="F290" s="75"/>
      <c r="G290" s="76"/>
      <c r="H290" s="76"/>
      <c r="I290" s="48"/>
      <c r="J290" s="70"/>
      <c r="K290" s="70"/>
      <c r="L290" s="227" t="s">
        <v>1378</v>
      </c>
      <c r="M290" s="228" t="s">
        <v>1406</v>
      </c>
      <c r="N290" s="227" t="s">
        <v>34</v>
      </c>
      <c r="O290" s="229">
        <v>1</v>
      </c>
      <c r="P290" s="230">
        <v>38.630000000000003</v>
      </c>
      <c r="Q290" s="230">
        <v>38.630000000000003</v>
      </c>
      <c r="R290" s="182"/>
      <c r="U290" s="128"/>
    </row>
    <row r="291" spans="1:21" ht="15.6" x14ac:dyDescent="0.3">
      <c r="A291" s="53"/>
      <c r="B291" s="54"/>
      <c r="C291" s="54"/>
      <c r="D291" s="54"/>
      <c r="E291" s="55"/>
      <c r="F291" s="75"/>
      <c r="G291" s="76"/>
      <c r="H291" s="76"/>
      <c r="I291" s="48"/>
      <c r="J291" s="70"/>
      <c r="K291" s="70"/>
      <c r="L291" s="227" t="s">
        <v>983</v>
      </c>
      <c r="M291" s="228" t="s">
        <v>471</v>
      </c>
      <c r="N291" s="227" t="s">
        <v>34</v>
      </c>
      <c r="O291" s="229">
        <v>3</v>
      </c>
      <c r="P291" s="230">
        <v>31</v>
      </c>
      <c r="Q291" s="230">
        <v>93</v>
      </c>
      <c r="R291" s="182"/>
      <c r="U291" s="128"/>
    </row>
    <row r="292" spans="1:21" ht="15.6" x14ac:dyDescent="0.3">
      <c r="A292" s="53"/>
      <c r="B292" s="54"/>
      <c r="C292" s="54"/>
      <c r="D292" s="54"/>
      <c r="E292" s="55"/>
      <c r="F292" s="75"/>
      <c r="G292" s="76"/>
      <c r="H292" s="76"/>
      <c r="I292" s="48"/>
      <c r="J292" s="70"/>
      <c r="K292" s="70"/>
      <c r="L292" s="227" t="s">
        <v>984</v>
      </c>
      <c r="M292" s="228" t="s">
        <v>472</v>
      </c>
      <c r="N292" s="227" t="s">
        <v>34</v>
      </c>
      <c r="O292" s="229">
        <v>5</v>
      </c>
      <c r="P292" s="230">
        <v>7.5</v>
      </c>
      <c r="Q292" s="230">
        <v>37.5</v>
      </c>
      <c r="R292" s="182"/>
      <c r="U292" s="128"/>
    </row>
    <row r="293" spans="1:21" ht="15.6" x14ac:dyDescent="0.3">
      <c r="A293" s="53"/>
      <c r="B293" s="54"/>
      <c r="C293" s="54"/>
      <c r="D293" s="54"/>
      <c r="E293" s="55"/>
      <c r="F293" s="75"/>
      <c r="G293" s="76"/>
      <c r="H293" s="76"/>
      <c r="I293" s="48"/>
      <c r="J293" s="70"/>
      <c r="K293" s="70"/>
      <c r="L293" s="227" t="s">
        <v>832</v>
      </c>
      <c r="M293" s="228" t="s">
        <v>833</v>
      </c>
      <c r="N293" s="227" t="s">
        <v>34</v>
      </c>
      <c r="O293" s="229">
        <v>2</v>
      </c>
      <c r="P293" s="230">
        <v>27.25</v>
      </c>
      <c r="Q293" s="230">
        <v>54.5</v>
      </c>
      <c r="R293" s="182"/>
      <c r="U293" s="128"/>
    </row>
    <row r="294" spans="1:21" ht="15.6" x14ac:dyDescent="0.3">
      <c r="A294" s="53"/>
      <c r="B294" s="54"/>
      <c r="C294" s="54"/>
      <c r="D294" s="54"/>
      <c r="E294" s="55"/>
      <c r="F294" s="75"/>
      <c r="G294" s="76"/>
      <c r="H294" s="76"/>
      <c r="I294" s="48"/>
      <c r="J294" s="70"/>
      <c r="K294" s="70"/>
      <c r="L294" s="227" t="s">
        <v>985</v>
      </c>
      <c r="M294" s="228" t="s">
        <v>473</v>
      </c>
      <c r="N294" s="227" t="s">
        <v>34</v>
      </c>
      <c r="O294" s="229">
        <v>1</v>
      </c>
      <c r="P294" s="230">
        <v>31.42</v>
      </c>
      <c r="Q294" s="230">
        <v>31.42</v>
      </c>
      <c r="R294" s="182"/>
      <c r="U294" s="128"/>
    </row>
    <row r="295" spans="1:21" ht="15.6" x14ac:dyDescent="0.3">
      <c r="A295" s="53"/>
      <c r="B295" s="54"/>
      <c r="C295" s="54"/>
      <c r="D295" s="54"/>
      <c r="E295" s="55"/>
      <c r="F295" s="75"/>
      <c r="G295" s="76"/>
      <c r="H295" s="76"/>
      <c r="I295" s="48"/>
      <c r="J295" s="70"/>
      <c r="K295" s="70"/>
      <c r="L295" s="227" t="s">
        <v>1379</v>
      </c>
      <c r="M295" s="228" t="s">
        <v>1407</v>
      </c>
      <c r="N295" s="227" t="s">
        <v>34</v>
      </c>
      <c r="O295" s="229">
        <v>1</v>
      </c>
      <c r="P295" s="230">
        <v>152.32</v>
      </c>
      <c r="Q295" s="230">
        <v>152.32</v>
      </c>
      <c r="R295" s="182"/>
      <c r="U295" s="128"/>
    </row>
    <row r="296" spans="1:21" ht="15.6" x14ac:dyDescent="0.3">
      <c r="A296" s="53"/>
      <c r="B296" s="54"/>
      <c r="C296" s="54"/>
      <c r="D296" s="54"/>
      <c r="E296" s="55"/>
      <c r="F296" s="75"/>
      <c r="G296" s="76"/>
      <c r="H296" s="76"/>
      <c r="I296" s="48"/>
      <c r="J296" s="70"/>
      <c r="K296" s="70"/>
      <c r="L296" s="227" t="s">
        <v>1087</v>
      </c>
      <c r="M296" s="228" t="s">
        <v>1089</v>
      </c>
      <c r="N296" s="227" t="s">
        <v>34</v>
      </c>
      <c r="O296" s="229">
        <v>1</v>
      </c>
      <c r="P296" s="230">
        <v>73</v>
      </c>
      <c r="Q296" s="230">
        <v>73</v>
      </c>
      <c r="R296" s="182"/>
      <c r="U296" s="128"/>
    </row>
    <row r="297" spans="1:21" ht="15.6" x14ac:dyDescent="0.3">
      <c r="A297" s="53"/>
      <c r="B297" s="54"/>
      <c r="C297" s="54"/>
      <c r="D297" s="54"/>
      <c r="E297" s="55"/>
      <c r="F297" s="75"/>
      <c r="G297" s="76"/>
      <c r="H297" s="76"/>
      <c r="I297" s="48"/>
      <c r="J297" s="70"/>
      <c r="K297" s="70"/>
      <c r="L297" s="227" t="s">
        <v>1380</v>
      </c>
      <c r="M297" s="228" t="s">
        <v>1408</v>
      </c>
      <c r="N297" s="227" t="s">
        <v>34</v>
      </c>
      <c r="O297" s="229">
        <v>1</v>
      </c>
      <c r="P297" s="230">
        <v>26.58</v>
      </c>
      <c r="Q297" s="230">
        <v>26.58</v>
      </c>
      <c r="R297" s="182"/>
      <c r="U297" s="128"/>
    </row>
    <row r="298" spans="1:21" ht="15.6" x14ac:dyDescent="0.3">
      <c r="A298" s="53"/>
      <c r="B298" s="54"/>
      <c r="C298" s="54"/>
      <c r="D298" s="54"/>
      <c r="E298" s="55"/>
      <c r="F298" s="75"/>
      <c r="G298" s="76"/>
      <c r="H298" s="76"/>
      <c r="I298" s="48"/>
      <c r="J298" s="70"/>
      <c r="K298" s="70"/>
      <c r="L298" s="227" t="s">
        <v>488</v>
      </c>
      <c r="M298" s="228" t="s">
        <v>1062</v>
      </c>
      <c r="N298" s="227" t="s">
        <v>34</v>
      </c>
      <c r="O298" s="229">
        <v>1</v>
      </c>
      <c r="P298" s="230">
        <v>985.5</v>
      </c>
      <c r="Q298" s="230">
        <v>985.5</v>
      </c>
      <c r="R298" s="182"/>
      <c r="U298" s="128"/>
    </row>
    <row r="299" spans="1:21" ht="15.6" x14ac:dyDescent="0.3">
      <c r="A299" s="53"/>
      <c r="B299" s="54"/>
      <c r="C299" s="54"/>
      <c r="D299" s="54"/>
      <c r="E299" s="55"/>
      <c r="F299" s="75"/>
      <c r="G299" s="76"/>
      <c r="H299" s="76"/>
      <c r="I299" s="48"/>
      <c r="J299" s="70"/>
      <c r="K299" s="70"/>
      <c r="L299" s="227" t="s">
        <v>1180</v>
      </c>
      <c r="M299" s="228" t="s">
        <v>105</v>
      </c>
      <c r="N299" s="227" t="s">
        <v>34</v>
      </c>
      <c r="O299" s="229">
        <v>636</v>
      </c>
      <c r="P299" s="230">
        <v>0.54</v>
      </c>
      <c r="Q299" s="230">
        <v>345.14</v>
      </c>
      <c r="R299" s="182"/>
      <c r="U299" s="128"/>
    </row>
    <row r="300" spans="1:21" ht="15.6" x14ac:dyDescent="0.3">
      <c r="A300" s="53"/>
      <c r="B300" s="54"/>
      <c r="C300" s="54"/>
      <c r="D300" s="54"/>
      <c r="E300" s="55"/>
      <c r="F300" s="75"/>
      <c r="G300" s="76"/>
      <c r="H300" s="76"/>
      <c r="I300" s="48"/>
      <c r="J300" s="70"/>
      <c r="K300" s="70"/>
      <c r="L300" s="227" t="s">
        <v>988</v>
      </c>
      <c r="M300" s="228" t="s">
        <v>106</v>
      </c>
      <c r="N300" s="227" t="s">
        <v>34</v>
      </c>
      <c r="O300" s="265">
        <v>1430</v>
      </c>
      <c r="P300" s="230">
        <v>0.71</v>
      </c>
      <c r="Q300" s="264">
        <v>1009.71</v>
      </c>
      <c r="R300" s="182"/>
      <c r="U300" s="128"/>
    </row>
    <row r="301" spans="1:21" ht="15.6" x14ac:dyDescent="0.3">
      <c r="A301" s="53"/>
      <c r="B301" s="54"/>
      <c r="C301" s="54"/>
      <c r="D301" s="54"/>
      <c r="E301" s="55"/>
      <c r="F301" s="75"/>
      <c r="G301" s="76"/>
      <c r="H301" s="76"/>
      <c r="I301" s="48"/>
      <c r="J301" s="70"/>
      <c r="K301" s="70"/>
      <c r="L301" s="227" t="s">
        <v>838</v>
      </c>
      <c r="M301" s="228" t="s">
        <v>839</v>
      </c>
      <c r="N301" s="227" t="s">
        <v>34</v>
      </c>
      <c r="O301" s="229">
        <v>109</v>
      </c>
      <c r="P301" s="230">
        <v>2.12</v>
      </c>
      <c r="Q301" s="230">
        <v>231.14</v>
      </c>
      <c r="R301" s="182"/>
      <c r="U301" s="128"/>
    </row>
    <row r="302" spans="1:21" ht="15.6" x14ac:dyDescent="0.3">
      <c r="A302" s="53"/>
      <c r="B302" s="54"/>
      <c r="C302" s="54"/>
      <c r="D302" s="54"/>
      <c r="E302" s="55"/>
      <c r="F302" s="75"/>
      <c r="G302" s="76"/>
      <c r="H302" s="76"/>
      <c r="I302" s="48"/>
      <c r="J302" s="70"/>
      <c r="K302" s="70"/>
      <c r="L302" s="227" t="s">
        <v>490</v>
      </c>
      <c r="M302" s="228" t="s">
        <v>491</v>
      </c>
      <c r="N302" s="227" t="s">
        <v>34</v>
      </c>
      <c r="O302" s="229">
        <v>1</v>
      </c>
      <c r="P302" s="264">
        <v>2999.3</v>
      </c>
      <c r="Q302" s="264">
        <v>2999.3</v>
      </c>
      <c r="R302" s="182"/>
      <c r="U302" s="128"/>
    </row>
    <row r="303" spans="1:21" ht="15.6" x14ac:dyDescent="0.3">
      <c r="A303" s="53"/>
      <c r="B303" s="54"/>
      <c r="C303" s="54"/>
      <c r="D303" s="54"/>
      <c r="E303" s="55"/>
      <c r="F303" s="75"/>
      <c r="G303" s="76"/>
      <c r="H303" s="76"/>
      <c r="I303" s="48"/>
      <c r="J303" s="70"/>
      <c r="K303" s="70"/>
      <c r="L303" s="227" t="s">
        <v>947</v>
      </c>
      <c r="M303" s="228" t="s">
        <v>1043</v>
      </c>
      <c r="N303" s="227" t="s">
        <v>34</v>
      </c>
      <c r="O303" s="229">
        <v>5</v>
      </c>
      <c r="P303" s="230">
        <v>423</v>
      </c>
      <c r="Q303" s="264">
        <v>2115</v>
      </c>
      <c r="R303" s="182"/>
      <c r="U303" s="128"/>
    </row>
    <row r="304" spans="1:21" ht="15.6" x14ac:dyDescent="0.3">
      <c r="A304" s="53"/>
      <c r="B304" s="54"/>
      <c r="C304" s="54"/>
      <c r="D304" s="54"/>
      <c r="E304" s="55"/>
      <c r="F304" s="75"/>
      <c r="G304" s="76"/>
      <c r="H304" s="76"/>
      <c r="I304" s="48"/>
      <c r="J304" s="70"/>
      <c r="K304" s="70"/>
      <c r="L304" s="227" t="s">
        <v>948</v>
      </c>
      <c r="M304" s="228" t="s">
        <v>1044</v>
      </c>
      <c r="N304" s="227" t="s">
        <v>34</v>
      </c>
      <c r="O304" s="229">
        <v>3</v>
      </c>
      <c r="P304" s="230">
        <v>44</v>
      </c>
      <c r="Q304" s="230">
        <v>132</v>
      </c>
      <c r="R304" s="182"/>
      <c r="U304" s="128"/>
    </row>
    <row r="305" spans="1:21" ht="15.6" x14ac:dyDescent="0.3">
      <c r="A305" s="53"/>
      <c r="B305" s="54"/>
      <c r="C305" s="54"/>
      <c r="D305" s="54"/>
      <c r="E305" s="55"/>
      <c r="F305" s="75"/>
      <c r="G305" s="76"/>
      <c r="H305" s="76"/>
      <c r="I305" s="48"/>
      <c r="J305" s="70"/>
      <c r="K305" s="70"/>
      <c r="L305" s="227" t="s">
        <v>1165</v>
      </c>
      <c r="M305" s="228" t="s">
        <v>1250</v>
      </c>
      <c r="N305" s="227" t="s">
        <v>34</v>
      </c>
      <c r="O305" s="229">
        <v>0.7</v>
      </c>
      <c r="P305" s="264">
        <v>2778.33</v>
      </c>
      <c r="Q305" s="264">
        <v>1944.83</v>
      </c>
      <c r="R305" s="182"/>
      <c r="U305" s="128"/>
    </row>
    <row r="306" spans="1:21" ht="30" x14ac:dyDescent="0.3">
      <c r="A306" s="53"/>
      <c r="B306" s="54"/>
      <c r="C306" s="54"/>
      <c r="D306" s="54"/>
      <c r="E306" s="55"/>
      <c r="F306" s="75"/>
      <c r="G306" s="76"/>
      <c r="H306" s="76"/>
      <c r="I306" s="48"/>
      <c r="J306" s="70"/>
      <c r="K306" s="70"/>
      <c r="L306" s="227" t="s">
        <v>1079</v>
      </c>
      <c r="M306" s="228" t="s">
        <v>842</v>
      </c>
      <c r="N306" s="227" t="s">
        <v>34</v>
      </c>
      <c r="O306" s="229">
        <v>1</v>
      </c>
      <c r="P306" s="230">
        <v>26.33</v>
      </c>
      <c r="Q306" s="230">
        <v>26.33</v>
      </c>
      <c r="R306" s="182"/>
      <c r="U306" s="128"/>
    </row>
    <row r="307" spans="1:21" ht="15.6" x14ac:dyDescent="0.3">
      <c r="A307" s="53"/>
      <c r="B307" s="54"/>
      <c r="C307" s="54"/>
      <c r="D307" s="54"/>
      <c r="E307" s="55"/>
      <c r="F307" s="75"/>
      <c r="G307" s="76"/>
      <c r="H307" s="76"/>
      <c r="I307" s="48"/>
      <c r="J307" s="70"/>
      <c r="K307" s="70"/>
      <c r="L307" s="227" t="s">
        <v>949</v>
      </c>
      <c r="M307" s="228" t="s">
        <v>494</v>
      </c>
      <c r="N307" s="227" t="s">
        <v>34</v>
      </c>
      <c r="O307" s="229">
        <v>38</v>
      </c>
      <c r="P307" s="230">
        <v>2.5</v>
      </c>
      <c r="Q307" s="230">
        <v>95</v>
      </c>
      <c r="R307" s="182"/>
      <c r="U307" s="128"/>
    </row>
    <row r="308" spans="1:21" ht="15.6" customHeight="1" x14ac:dyDescent="0.3">
      <c r="A308" s="53"/>
      <c r="B308" s="54"/>
      <c r="C308" s="54"/>
      <c r="D308" s="54"/>
      <c r="E308" s="55"/>
      <c r="F308" s="75"/>
      <c r="G308" s="76"/>
      <c r="H308" s="76"/>
      <c r="I308" s="48"/>
      <c r="J308" s="70"/>
      <c r="K308" s="70"/>
      <c r="L308" s="227" t="s">
        <v>950</v>
      </c>
      <c r="M308" s="228" t="s">
        <v>843</v>
      </c>
      <c r="N308" s="227" t="s">
        <v>34</v>
      </c>
      <c r="O308" s="229">
        <v>1</v>
      </c>
      <c r="P308" s="230">
        <v>74.58</v>
      </c>
      <c r="Q308" s="230">
        <v>74.58</v>
      </c>
      <c r="R308" s="182"/>
      <c r="U308" s="128"/>
    </row>
    <row r="309" spans="1:21" ht="30" x14ac:dyDescent="0.3">
      <c r="A309" s="53"/>
      <c r="B309" s="54"/>
      <c r="C309" s="54"/>
      <c r="D309" s="54"/>
      <c r="E309" s="55"/>
      <c r="F309" s="75"/>
      <c r="G309" s="76"/>
      <c r="H309" s="76"/>
      <c r="I309" s="48"/>
      <c r="J309" s="70"/>
      <c r="K309" s="70"/>
      <c r="L309" s="227" t="s">
        <v>951</v>
      </c>
      <c r="M309" s="228" t="s">
        <v>844</v>
      </c>
      <c r="N309" s="227" t="s">
        <v>34</v>
      </c>
      <c r="O309" s="229">
        <v>3</v>
      </c>
      <c r="P309" s="230">
        <v>31.92</v>
      </c>
      <c r="Q309" s="230">
        <v>95.76</v>
      </c>
      <c r="R309" s="182"/>
      <c r="U309" s="128"/>
    </row>
    <row r="310" spans="1:21" ht="15.6" x14ac:dyDescent="0.3">
      <c r="A310" s="53"/>
      <c r="B310" s="54"/>
      <c r="C310" s="54"/>
      <c r="D310" s="54"/>
      <c r="E310" s="55"/>
      <c r="F310" s="75"/>
      <c r="G310" s="76"/>
      <c r="H310" s="76"/>
      <c r="I310" s="48"/>
      <c r="J310" s="70"/>
      <c r="K310" s="70"/>
      <c r="L310" s="227" t="s">
        <v>845</v>
      </c>
      <c r="M310" s="228" t="s">
        <v>846</v>
      </c>
      <c r="N310" s="227" t="s">
        <v>34</v>
      </c>
      <c r="O310" s="229">
        <v>1</v>
      </c>
      <c r="P310" s="230">
        <v>302.8</v>
      </c>
      <c r="Q310" s="230">
        <v>302.8</v>
      </c>
      <c r="R310" s="182"/>
      <c r="U310" s="128"/>
    </row>
    <row r="311" spans="1:21" ht="15.6" x14ac:dyDescent="0.3">
      <c r="A311" s="53"/>
      <c r="B311" s="54"/>
      <c r="C311" s="54"/>
      <c r="D311" s="54"/>
      <c r="E311" s="55"/>
      <c r="F311" s="75"/>
      <c r="G311" s="76"/>
      <c r="H311" s="76"/>
      <c r="I311" s="48"/>
      <c r="J311" s="70"/>
      <c r="K311" s="70"/>
      <c r="L311" s="227" t="s">
        <v>1166</v>
      </c>
      <c r="M311" s="228" t="s">
        <v>1251</v>
      </c>
      <c r="N311" s="227" t="s">
        <v>34</v>
      </c>
      <c r="O311" s="229">
        <v>327</v>
      </c>
      <c r="P311" s="230">
        <v>0.57999999999999996</v>
      </c>
      <c r="Q311" s="230">
        <v>188.48</v>
      </c>
      <c r="R311" s="182"/>
      <c r="U311" s="128"/>
    </row>
    <row r="312" spans="1:21" ht="15.6" x14ac:dyDescent="0.3">
      <c r="A312" s="53"/>
      <c r="B312" s="54"/>
      <c r="C312" s="54"/>
      <c r="D312" s="54"/>
      <c r="E312" s="55"/>
      <c r="F312" s="75"/>
      <c r="G312" s="76"/>
      <c r="H312" s="76"/>
      <c r="I312" s="48"/>
      <c r="J312" s="70"/>
      <c r="K312" s="70"/>
      <c r="L312" s="227" t="s">
        <v>1167</v>
      </c>
      <c r="M312" s="228" t="s">
        <v>1252</v>
      </c>
      <c r="N312" s="227" t="s">
        <v>34</v>
      </c>
      <c r="O312" s="229">
        <v>0.5</v>
      </c>
      <c r="P312" s="230">
        <v>196</v>
      </c>
      <c r="Q312" s="230">
        <v>98</v>
      </c>
      <c r="R312" s="182"/>
      <c r="U312" s="128"/>
    </row>
    <row r="313" spans="1:21" ht="15.6" x14ac:dyDescent="0.3">
      <c r="A313" s="53"/>
      <c r="B313" s="54"/>
      <c r="C313" s="54"/>
      <c r="D313" s="54"/>
      <c r="E313" s="55"/>
      <c r="F313" s="75"/>
      <c r="G313" s="76"/>
      <c r="H313" s="76"/>
      <c r="I313" s="48"/>
      <c r="J313" s="70"/>
      <c r="K313" s="70"/>
      <c r="L313" s="227" t="s">
        <v>1431</v>
      </c>
      <c r="M313" s="228" t="s">
        <v>1453</v>
      </c>
      <c r="N313" s="227" t="s">
        <v>34</v>
      </c>
      <c r="O313" s="229">
        <v>0.4</v>
      </c>
      <c r="P313" s="230">
        <v>185</v>
      </c>
      <c r="Q313" s="230">
        <v>74</v>
      </c>
      <c r="R313" s="182"/>
      <c r="U313" s="128"/>
    </row>
    <row r="314" spans="1:21" ht="15.6" x14ac:dyDescent="0.3">
      <c r="A314" s="53"/>
      <c r="B314" s="54"/>
      <c r="C314" s="54"/>
      <c r="D314" s="54"/>
      <c r="E314" s="55"/>
      <c r="F314" s="75"/>
      <c r="G314" s="76"/>
      <c r="H314" s="76"/>
      <c r="I314" s="48"/>
      <c r="J314" s="70"/>
      <c r="K314" s="70"/>
      <c r="L314" s="227" t="s">
        <v>1432</v>
      </c>
      <c r="M314" s="228" t="s">
        <v>1454</v>
      </c>
      <c r="N314" s="227" t="s">
        <v>34</v>
      </c>
      <c r="O314" s="229">
        <v>0.09</v>
      </c>
      <c r="P314" s="230">
        <v>178</v>
      </c>
      <c r="Q314" s="230">
        <v>16.02</v>
      </c>
      <c r="R314" s="182"/>
      <c r="U314" s="128"/>
    </row>
    <row r="315" spans="1:21" ht="15.6" x14ac:dyDescent="0.3">
      <c r="A315" s="53"/>
      <c r="B315" s="54"/>
      <c r="C315" s="54"/>
      <c r="D315" s="54"/>
      <c r="E315" s="55"/>
      <c r="F315" s="75"/>
      <c r="G315" s="76"/>
      <c r="H315" s="76"/>
      <c r="I315" s="48"/>
      <c r="J315" s="70"/>
      <c r="K315" s="70"/>
      <c r="L315" s="227" t="s">
        <v>989</v>
      </c>
      <c r="M315" s="228" t="s">
        <v>848</v>
      </c>
      <c r="N315" s="227" t="s">
        <v>34</v>
      </c>
      <c r="O315" s="229">
        <v>1</v>
      </c>
      <c r="P315" s="230">
        <v>119.53</v>
      </c>
      <c r="Q315" s="230">
        <v>119.53</v>
      </c>
      <c r="R315" s="182"/>
      <c r="U315" s="128"/>
    </row>
    <row r="316" spans="1:21" ht="15.6" x14ac:dyDescent="0.3">
      <c r="A316" s="53"/>
      <c r="B316" s="54"/>
      <c r="C316" s="54"/>
      <c r="D316" s="54"/>
      <c r="E316" s="55"/>
      <c r="F316" s="75"/>
      <c r="G316" s="76"/>
      <c r="H316" s="76"/>
      <c r="I316" s="48"/>
      <c r="J316" s="70"/>
      <c r="K316" s="70"/>
      <c r="L316" s="227" t="s">
        <v>1168</v>
      </c>
      <c r="M316" s="228" t="s">
        <v>1253</v>
      </c>
      <c r="N316" s="227" t="s">
        <v>34</v>
      </c>
      <c r="O316" s="229">
        <v>1</v>
      </c>
      <c r="P316" s="230">
        <v>110</v>
      </c>
      <c r="Q316" s="230">
        <v>110</v>
      </c>
      <c r="R316" s="182"/>
      <c r="U316" s="128"/>
    </row>
    <row r="317" spans="1:21" ht="15.6" x14ac:dyDescent="0.3">
      <c r="A317" s="53"/>
      <c r="B317" s="54"/>
      <c r="C317" s="54"/>
      <c r="D317" s="54"/>
      <c r="E317" s="55"/>
      <c r="F317" s="75"/>
      <c r="G317" s="76"/>
      <c r="H317" s="76"/>
      <c r="I317" s="48"/>
      <c r="J317" s="70"/>
      <c r="K317" s="70"/>
      <c r="L317" s="227" t="s">
        <v>1169</v>
      </c>
      <c r="M317" s="228" t="s">
        <v>1254</v>
      </c>
      <c r="N317" s="227" t="s">
        <v>34</v>
      </c>
      <c r="O317" s="229">
        <v>2</v>
      </c>
      <c r="P317" s="230">
        <v>110</v>
      </c>
      <c r="Q317" s="230">
        <v>220</v>
      </c>
      <c r="R317" s="182"/>
      <c r="U317" s="128"/>
    </row>
    <row r="318" spans="1:21" ht="15.6" x14ac:dyDescent="0.3">
      <c r="A318" s="53"/>
      <c r="B318" s="54"/>
      <c r="C318" s="54"/>
      <c r="D318" s="54"/>
      <c r="E318" s="55"/>
      <c r="F318" s="75"/>
      <c r="G318" s="76"/>
      <c r="H318" s="76"/>
      <c r="I318" s="48"/>
      <c r="J318" s="70"/>
      <c r="K318" s="70"/>
      <c r="L318" s="227" t="s">
        <v>990</v>
      </c>
      <c r="M318" s="228" t="s">
        <v>1064</v>
      </c>
      <c r="N318" s="227" t="s">
        <v>34</v>
      </c>
      <c r="O318" s="229">
        <v>320</v>
      </c>
      <c r="P318" s="230">
        <v>0.92</v>
      </c>
      <c r="Q318" s="230">
        <v>294.39999999999998</v>
      </c>
      <c r="R318" s="182"/>
      <c r="U318" s="128"/>
    </row>
    <row r="319" spans="1:21" ht="15.6" x14ac:dyDescent="0.3">
      <c r="A319" s="53"/>
      <c r="B319" s="54"/>
      <c r="C319" s="54"/>
      <c r="D319" s="54"/>
      <c r="E319" s="55"/>
      <c r="F319" s="75"/>
      <c r="G319" s="76"/>
      <c r="H319" s="76"/>
      <c r="I319" s="48"/>
      <c r="J319" s="70"/>
      <c r="K319" s="70"/>
      <c r="L319" s="227" t="s">
        <v>1170</v>
      </c>
      <c r="M319" s="228" t="s">
        <v>1255</v>
      </c>
      <c r="N319" s="227" t="s">
        <v>34</v>
      </c>
      <c r="O319" s="229">
        <v>11</v>
      </c>
      <c r="P319" s="230">
        <v>1.74</v>
      </c>
      <c r="Q319" s="230">
        <v>19.14</v>
      </c>
      <c r="R319" s="182"/>
      <c r="U319" s="128"/>
    </row>
    <row r="320" spans="1:21" ht="15.6" x14ac:dyDescent="0.3">
      <c r="A320" s="53"/>
      <c r="B320" s="54"/>
      <c r="C320" s="54"/>
      <c r="D320" s="54"/>
      <c r="E320" s="55"/>
      <c r="F320" s="75"/>
      <c r="G320" s="76"/>
      <c r="H320" s="76"/>
      <c r="I320" s="48"/>
      <c r="J320" s="70"/>
      <c r="K320" s="70"/>
      <c r="L320" s="227" t="s">
        <v>991</v>
      </c>
      <c r="M320" s="228" t="s">
        <v>1065</v>
      </c>
      <c r="N320" s="227" t="s">
        <v>34</v>
      </c>
      <c r="O320" s="229">
        <v>372</v>
      </c>
      <c r="P320" s="230">
        <v>0.5</v>
      </c>
      <c r="Q320" s="230">
        <v>186</v>
      </c>
      <c r="R320" s="182"/>
      <c r="U320" s="128"/>
    </row>
    <row r="321" spans="1:21" ht="15.6" x14ac:dyDescent="0.3">
      <c r="A321" s="53"/>
      <c r="B321" s="54"/>
      <c r="C321" s="54"/>
      <c r="D321" s="54"/>
      <c r="E321" s="55"/>
      <c r="F321" s="75"/>
      <c r="G321" s="76"/>
      <c r="H321" s="76"/>
      <c r="I321" s="48"/>
      <c r="J321" s="70"/>
      <c r="K321" s="70"/>
      <c r="L321" s="227" t="s">
        <v>1171</v>
      </c>
      <c r="M321" s="228" t="s">
        <v>1256</v>
      </c>
      <c r="N321" s="227" t="s">
        <v>34</v>
      </c>
      <c r="O321" s="229">
        <v>400</v>
      </c>
      <c r="P321" s="230">
        <v>0.17</v>
      </c>
      <c r="Q321" s="230">
        <v>68</v>
      </c>
      <c r="R321" s="182"/>
      <c r="U321" s="128"/>
    </row>
    <row r="322" spans="1:21" ht="15.6" x14ac:dyDescent="0.3">
      <c r="A322" s="53"/>
      <c r="B322" s="54"/>
      <c r="C322" s="54"/>
      <c r="D322" s="54"/>
      <c r="E322" s="55"/>
      <c r="F322" s="75"/>
      <c r="G322" s="76"/>
      <c r="H322" s="76"/>
      <c r="I322" s="48"/>
      <c r="J322" s="70"/>
      <c r="K322" s="70"/>
      <c r="L322" s="227" t="s">
        <v>992</v>
      </c>
      <c r="M322" s="228" t="s">
        <v>849</v>
      </c>
      <c r="N322" s="227" t="s">
        <v>34</v>
      </c>
      <c r="O322" s="229">
        <v>32</v>
      </c>
      <c r="P322" s="230">
        <v>0.92</v>
      </c>
      <c r="Q322" s="230">
        <v>29.44</v>
      </c>
      <c r="R322" s="182"/>
      <c r="U322" s="128"/>
    </row>
    <row r="323" spans="1:21" ht="15.6" x14ac:dyDescent="0.3">
      <c r="A323" s="53"/>
      <c r="B323" s="54"/>
      <c r="C323" s="54"/>
      <c r="D323" s="54"/>
      <c r="E323" s="55"/>
      <c r="F323" s="75"/>
      <c r="G323" s="76"/>
      <c r="H323" s="76"/>
      <c r="I323" s="48"/>
      <c r="J323" s="70"/>
      <c r="K323" s="70"/>
      <c r="L323" s="227" t="s">
        <v>850</v>
      </c>
      <c r="M323" s="228" t="s">
        <v>851</v>
      </c>
      <c r="N323" s="227" t="s">
        <v>34</v>
      </c>
      <c r="O323" s="229">
        <v>10</v>
      </c>
      <c r="P323" s="230">
        <v>3.62</v>
      </c>
      <c r="Q323" s="230">
        <v>36.200000000000003</v>
      </c>
      <c r="R323" s="182"/>
      <c r="U323" s="128"/>
    </row>
    <row r="324" spans="1:21" ht="15.6" x14ac:dyDescent="0.3">
      <c r="A324" s="53"/>
      <c r="B324" s="54"/>
      <c r="C324" s="54"/>
      <c r="D324" s="54"/>
      <c r="E324" s="55"/>
      <c r="F324" s="75"/>
      <c r="G324" s="76"/>
      <c r="H324" s="76"/>
      <c r="I324" s="48"/>
      <c r="J324" s="70"/>
      <c r="K324" s="70"/>
      <c r="L324" s="227" t="s">
        <v>993</v>
      </c>
      <c r="M324" s="228" t="s">
        <v>852</v>
      </c>
      <c r="N324" s="227" t="s">
        <v>34</v>
      </c>
      <c r="O324" s="229">
        <v>327</v>
      </c>
      <c r="P324" s="230">
        <v>0.5</v>
      </c>
      <c r="Q324" s="230">
        <v>163.5</v>
      </c>
      <c r="R324" s="182"/>
      <c r="U324" s="128"/>
    </row>
    <row r="325" spans="1:21" ht="15.6" x14ac:dyDescent="0.3">
      <c r="A325" s="53"/>
      <c r="B325" s="54"/>
      <c r="C325" s="54"/>
      <c r="D325" s="54"/>
      <c r="E325" s="55"/>
      <c r="F325" s="75"/>
      <c r="G325" s="76"/>
      <c r="H325" s="76"/>
      <c r="I325" s="48"/>
      <c r="J325" s="70"/>
      <c r="K325" s="70"/>
      <c r="L325" s="227" t="s">
        <v>996</v>
      </c>
      <c r="M325" s="228" t="s">
        <v>501</v>
      </c>
      <c r="N325" s="227" t="s">
        <v>34</v>
      </c>
      <c r="O325" s="229">
        <v>4</v>
      </c>
      <c r="P325" s="230">
        <v>36.08</v>
      </c>
      <c r="Q325" s="230">
        <v>144.33000000000001</v>
      </c>
      <c r="R325" s="182"/>
      <c r="U325" s="128"/>
    </row>
    <row r="326" spans="1:21" ht="15.6" x14ac:dyDescent="0.3">
      <c r="A326" s="53"/>
      <c r="B326" s="54"/>
      <c r="C326" s="54"/>
      <c r="D326" s="54"/>
      <c r="E326" s="55"/>
      <c r="F326" s="75"/>
      <c r="G326" s="76"/>
      <c r="H326" s="76"/>
      <c r="I326" s="48"/>
      <c r="J326" s="70"/>
      <c r="K326" s="70"/>
      <c r="L326" s="227" t="s">
        <v>1172</v>
      </c>
      <c r="M326" s="228" t="s">
        <v>1257</v>
      </c>
      <c r="N326" s="227" t="s">
        <v>34</v>
      </c>
      <c r="O326" s="229">
        <v>1</v>
      </c>
      <c r="P326" s="230">
        <v>285</v>
      </c>
      <c r="Q326" s="230">
        <v>285</v>
      </c>
      <c r="R326" s="182"/>
      <c r="U326" s="128"/>
    </row>
    <row r="327" spans="1:21" ht="15.6" x14ac:dyDescent="0.3">
      <c r="A327" s="53"/>
      <c r="B327" s="54"/>
      <c r="C327" s="54"/>
      <c r="D327" s="54"/>
      <c r="E327" s="55"/>
      <c r="F327" s="75"/>
      <c r="G327" s="76"/>
      <c r="H327" s="76"/>
      <c r="I327" s="48"/>
      <c r="J327" s="70"/>
      <c r="K327" s="70"/>
      <c r="L327" s="227" t="s">
        <v>997</v>
      </c>
      <c r="M327" s="228" t="s">
        <v>853</v>
      </c>
      <c r="N327" s="227" t="s">
        <v>34</v>
      </c>
      <c r="O327" s="229">
        <v>25</v>
      </c>
      <c r="P327" s="230">
        <v>48</v>
      </c>
      <c r="Q327" s="264">
        <v>1200</v>
      </c>
      <c r="R327" s="182"/>
      <c r="U327" s="128"/>
    </row>
    <row r="328" spans="1:21" ht="15.6" x14ac:dyDescent="0.3">
      <c r="A328" s="53"/>
      <c r="B328" s="54"/>
      <c r="C328" s="54"/>
      <c r="D328" s="54"/>
      <c r="E328" s="55"/>
      <c r="F328" s="75"/>
      <c r="G328" s="76"/>
      <c r="H328" s="76"/>
      <c r="I328" s="48"/>
      <c r="J328" s="70"/>
      <c r="K328" s="70"/>
      <c r="L328" s="227" t="s">
        <v>998</v>
      </c>
      <c r="M328" s="228" t="s">
        <v>1068</v>
      </c>
      <c r="N328" s="227" t="s">
        <v>34</v>
      </c>
      <c r="O328" s="229">
        <v>2</v>
      </c>
      <c r="P328" s="230">
        <v>66.86</v>
      </c>
      <c r="Q328" s="230">
        <v>133.72</v>
      </c>
      <c r="R328" s="182"/>
      <c r="U328" s="128"/>
    </row>
    <row r="329" spans="1:21" ht="15.6" x14ac:dyDescent="0.3">
      <c r="A329" s="53"/>
      <c r="B329" s="54"/>
      <c r="C329" s="54"/>
      <c r="D329" s="54"/>
      <c r="E329" s="55"/>
      <c r="F329" s="75"/>
      <c r="G329" s="76"/>
      <c r="H329" s="76"/>
      <c r="I329" s="48"/>
      <c r="J329" s="70"/>
      <c r="K329" s="70"/>
      <c r="L329" s="227" t="s">
        <v>999</v>
      </c>
      <c r="M329" s="228" t="s">
        <v>1069</v>
      </c>
      <c r="N329" s="227" t="s">
        <v>34</v>
      </c>
      <c r="O329" s="265">
        <v>1806</v>
      </c>
      <c r="P329" s="230">
        <v>0.24</v>
      </c>
      <c r="Q329" s="230">
        <v>439.36</v>
      </c>
      <c r="R329" s="182"/>
      <c r="U329" s="128"/>
    </row>
    <row r="330" spans="1:21" ht="15.6" x14ac:dyDescent="0.3">
      <c r="A330" s="53"/>
      <c r="B330" s="54"/>
      <c r="C330" s="54"/>
      <c r="D330" s="54"/>
      <c r="E330" s="55"/>
      <c r="F330" s="75"/>
      <c r="G330" s="76"/>
      <c r="H330" s="76"/>
      <c r="I330" s="48"/>
      <c r="J330" s="70"/>
      <c r="K330" s="70"/>
      <c r="L330" s="227" t="s">
        <v>1173</v>
      </c>
      <c r="M330" s="228" t="s">
        <v>109</v>
      </c>
      <c r="N330" s="227" t="s">
        <v>34</v>
      </c>
      <c r="O330" s="229">
        <v>13</v>
      </c>
      <c r="P330" s="230">
        <v>0.27</v>
      </c>
      <c r="Q330" s="230">
        <v>3.49</v>
      </c>
      <c r="R330" s="182"/>
      <c r="U330" s="128"/>
    </row>
    <row r="331" spans="1:21" ht="15.6" x14ac:dyDescent="0.3">
      <c r="A331" s="53"/>
      <c r="B331" s="54"/>
      <c r="C331" s="54"/>
      <c r="D331" s="54"/>
      <c r="E331" s="55"/>
      <c r="F331" s="75"/>
      <c r="G331" s="76"/>
      <c r="H331" s="76"/>
      <c r="I331" s="48"/>
      <c r="J331" s="70"/>
      <c r="K331" s="70"/>
      <c r="L331" s="227" t="s">
        <v>856</v>
      </c>
      <c r="M331" s="228" t="s">
        <v>857</v>
      </c>
      <c r="N331" s="227" t="s">
        <v>34</v>
      </c>
      <c r="O331" s="265">
        <v>2863</v>
      </c>
      <c r="P331" s="230">
        <v>0.44</v>
      </c>
      <c r="Q331" s="264">
        <v>1262.5899999999999</v>
      </c>
      <c r="R331" s="182"/>
      <c r="U331" s="128"/>
    </row>
    <row r="332" spans="1:21" ht="15.6" x14ac:dyDescent="0.3">
      <c r="A332" s="53"/>
      <c r="B332" s="54"/>
      <c r="C332" s="54"/>
      <c r="D332" s="54"/>
      <c r="E332" s="55"/>
      <c r="F332" s="75"/>
      <c r="G332" s="76"/>
      <c r="H332" s="76"/>
      <c r="I332" s="48"/>
      <c r="J332" s="70"/>
      <c r="K332" s="70"/>
      <c r="L332" s="227" t="s">
        <v>1000</v>
      </c>
      <c r="M332" s="228" t="s">
        <v>248</v>
      </c>
      <c r="N332" s="227" t="s">
        <v>34</v>
      </c>
      <c r="O332" s="229">
        <v>409</v>
      </c>
      <c r="P332" s="230">
        <v>0.24</v>
      </c>
      <c r="Q332" s="230">
        <v>99.5</v>
      </c>
      <c r="R332" s="182"/>
      <c r="U332" s="128"/>
    </row>
    <row r="333" spans="1:21" ht="15.6" x14ac:dyDescent="0.3">
      <c r="A333" s="53"/>
      <c r="B333" s="54"/>
      <c r="C333" s="54"/>
      <c r="D333" s="54"/>
      <c r="E333" s="55"/>
      <c r="F333" s="75"/>
      <c r="G333" s="76"/>
      <c r="H333" s="76"/>
      <c r="I333" s="48"/>
      <c r="J333" s="70"/>
      <c r="K333" s="70"/>
      <c r="L333" s="227" t="s">
        <v>820</v>
      </c>
      <c r="M333" s="228" t="s">
        <v>821</v>
      </c>
      <c r="N333" s="227" t="s">
        <v>57</v>
      </c>
      <c r="O333" s="229">
        <v>130</v>
      </c>
      <c r="P333" s="230">
        <v>17.149999999999999</v>
      </c>
      <c r="Q333" s="264">
        <v>2229.5</v>
      </c>
      <c r="R333" s="182"/>
      <c r="U333" s="128"/>
    </row>
    <row r="334" spans="1:21" ht="15.6" x14ac:dyDescent="0.3">
      <c r="A334" s="53"/>
      <c r="B334" s="54"/>
      <c r="C334" s="54"/>
      <c r="D334" s="54"/>
      <c r="E334" s="55"/>
      <c r="F334" s="75"/>
      <c r="G334" s="76"/>
      <c r="H334" s="76"/>
      <c r="I334" s="48"/>
      <c r="J334" s="70"/>
      <c r="K334" s="70"/>
      <c r="L334" s="227" t="s">
        <v>822</v>
      </c>
      <c r="M334" s="228" t="s">
        <v>213</v>
      </c>
      <c r="N334" s="227" t="s">
        <v>57</v>
      </c>
      <c r="O334" s="229">
        <v>70</v>
      </c>
      <c r="P334" s="230">
        <v>36.24</v>
      </c>
      <c r="Q334" s="264">
        <v>2536.8000000000002</v>
      </c>
      <c r="R334" s="182"/>
      <c r="U334" s="128"/>
    </row>
    <row r="335" spans="1:21" ht="15.6" x14ac:dyDescent="0.3">
      <c r="A335" s="53"/>
      <c r="B335" s="54"/>
      <c r="C335" s="54"/>
      <c r="D335" s="54"/>
      <c r="E335" s="55"/>
      <c r="F335" s="75"/>
      <c r="G335" s="76"/>
      <c r="H335" s="76"/>
      <c r="I335" s="48"/>
      <c r="J335" s="70"/>
      <c r="K335" s="70"/>
      <c r="L335" s="227" t="s">
        <v>1182</v>
      </c>
      <c r="M335" s="228" t="s">
        <v>1265</v>
      </c>
      <c r="N335" s="227" t="s">
        <v>57</v>
      </c>
      <c r="O335" s="229">
        <v>115</v>
      </c>
      <c r="P335" s="230">
        <v>40.270000000000003</v>
      </c>
      <c r="Q335" s="264">
        <v>4631.05</v>
      </c>
      <c r="R335" s="182"/>
      <c r="U335" s="128"/>
    </row>
    <row r="336" spans="1:21" ht="15.6" x14ac:dyDescent="0.3">
      <c r="A336" s="53"/>
      <c r="B336" s="54"/>
      <c r="C336" s="54"/>
      <c r="D336" s="54"/>
      <c r="E336" s="55"/>
      <c r="F336" s="75"/>
      <c r="G336" s="76"/>
      <c r="H336" s="76"/>
      <c r="I336" s="48"/>
      <c r="J336" s="70"/>
      <c r="K336" s="70"/>
      <c r="L336" s="227" t="s">
        <v>1181</v>
      </c>
      <c r="M336" s="228" t="s">
        <v>1264</v>
      </c>
      <c r="N336" s="227" t="s">
        <v>57</v>
      </c>
      <c r="O336" s="229">
        <v>0.8</v>
      </c>
      <c r="P336" s="230">
        <v>18.14</v>
      </c>
      <c r="Q336" s="230">
        <v>14.51</v>
      </c>
      <c r="R336" s="182"/>
      <c r="U336" s="128"/>
    </row>
    <row r="337" spans="1:21" ht="15.6" x14ac:dyDescent="0.3">
      <c r="A337" s="53"/>
      <c r="B337" s="54"/>
      <c r="C337" s="54"/>
      <c r="D337" s="54"/>
      <c r="E337" s="55"/>
      <c r="F337" s="75"/>
      <c r="G337" s="76"/>
      <c r="H337" s="76"/>
      <c r="I337" s="48"/>
      <c r="J337" s="70"/>
      <c r="K337" s="70"/>
      <c r="L337" s="227" t="s">
        <v>1183</v>
      </c>
      <c r="M337" s="228" t="s">
        <v>1266</v>
      </c>
      <c r="N337" s="227" t="s">
        <v>57</v>
      </c>
      <c r="O337" s="229">
        <v>67</v>
      </c>
      <c r="P337" s="230">
        <v>20.38</v>
      </c>
      <c r="Q337" s="264">
        <v>1365.46</v>
      </c>
      <c r="R337" s="182"/>
      <c r="U337" s="128"/>
    </row>
    <row r="338" spans="1:21" ht="15.6" x14ac:dyDescent="0.3">
      <c r="A338" s="53"/>
      <c r="B338" s="54"/>
      <c r="C338" s="54"/>
      <c r="D338" s="54"/>
      <c r="E338" s="55"/>
      <c r="F338" s="75"/>
      <c r="G338" s="76"/>
      <c r="H338" s="76"/>
      <c r="I338" s="48"/>
      <c r="J338" s="70"/>
      <c r="K338" s="70"/>
      <c r="L338" s="227" t="s">
        <v>794</v>
      </c>
      <c r="M338" s="228" t="s">
        <v>795</v>
      </c>
      <c r="N338" s="227" t="s">
        <v>57</v>
      </c>
      <c r="O338" s="229">
        <v>216</v>
      </c>
      <c r="P338" s="230">
        <v>18.12</v>
      </c>
      <c r="Q338" s="264">
        <v>3913.92</v>
      </c>
      <c r="R338" s="182"/>
      <c r="U338" s="128"/>
    </row>
    <row r="339" spans="1:21" ht="15.6" x14ac:dyDescent="0.3">
      <c r="A339" s="53"/>
      <c r="B339" s="54"/>
      <c r="C339" s="54"/>
      <c r="D339" s="54"/>
      <c r="E339" s="55"/>
      <c r="F339" s="75"/>
      <c r="G339" s="76"/>
      <c r="H339" s="76"/>
      <c r="I339" s="48"/>
      <c r="J339" s="70"/>
      <c r="K339" s="70"/>
      <c r="L339" s="227" t="s">
        <v>1184</v>
      </c>
      <c r="M339" s="228" t="s">
        <v>1267</v>
      </c>
      <c r="N339" s="227" t="s">
        <v>57</v>
      </c>
      <c r="O339" s="229">
        <v>23</v>
      </c>
      <c r="P339" s="230">
        <v>28</v>
      </c>
      <c r="Q339" s="230">
        <v>644</v>
      </c>
      <c r="R339" s="182"/>
      <c r="U339" s="128"/>
    </row>
    <row r="340" spans="1:21" ht="15.6" x14ac:dyDescent="0.3">
      <c r="A340" s="53"/>
      <c r="B340" s="54"/>
      <c r="C340" s="54"/>
      <c r="D340" s="54"/>
      <c r="E340" s="55"/>
      <c r="F340" s="75"/>
      <c r="G340" s="76"/>
      <c r="H340" s="76"/>
      <c r="I340" s="48"/>
      <c r="J340" s="70"/>
      <c r="K340" s="70"/>
      <c r="L340" s="227" t="s">
        <v>913</v>
      </c>
      <c r="M340" s="228" t="s">
        <v>914</v>
      </c>
      <c r="N340" s="227" t="s">
        <v>57</v>
      </c>
      <c r="O340" s="229">
        <v>74</v>
      </c>
      <c r="P340" s="230">
        <v>28.61</v>
      </c>
      <c r="Q340" s="264">
        <v>2117.14</v>
      </c>
      <c r="R340" s="182"/>
      <c r="U340" s="128"/>
    </row>
    <row r="341" spans="1:21" ht="30" x14ac:dyDescent="0.3">
      <c r="A341" s="53"/>
      <c r="B341" s="54"/>
      <c r="C341" s="54"/>
      <c r="D341" s="54"/>
      <c r="E341" s="55"/>
      <c r="F341" s="75"/>
      <c r="G341" s="76"/>
      <c r="H341" s="76"/>
      <c r="I341" s="48"/>
      <c r="J341" s="70"/>
      <c r="K341" s="70"/>
      <c r="L341" s="227" t="s">
        <v>1019</v>
      </c>
      <c r="M341" s="228" t="s">
        <v>836</v>
      </c>
      <c r="N341" s="227" t="s">
        <v>57</v>
      </c>
      <c r="O341" s="229">
        <v>44</v>
      </c>
      <c r="P341" s="230">
        <v>6.09</v>
      </c>
      <c r="Q341" s="230">
        <v>267.95999999999998</v>
      </c>
      <c r="R341" s="182"/>
      <c r="U341" s="128"/>
    </row>
    <row r="342" spans="1:21" ht="30" x14ac:dyDescent="0.3">
      <c r="A342" s="53"/>
      <c r="B342" s="54"/>
      <c r="C342" s="54"/>
      <c r="D342" s="54"/>
      <c r="E342" s="55"/>
      <c r="F342" s="75"/>
      <c r="G342" s="76"/>
      <c r="H342" s="76"/>
      <c r="I342" s="48"/>
      <c r="J342" s="70"/>
      <c r="K342" s="70"/>
      <c r="L342" s="227" t="s">
        <v>238</v>
      </c>
      <c r="M342" s="228" t="s">
        <v>239</v>
      </c>
      <c r="N342" s="227" t="s">
        <v>57</v>
      </c>
      <c r="O342" s="229">
        <v>50</v>
      </c>
      <c r="P342" s="230">
        <v>7.92</v>
      </c>
      <c r="Q342" s="230">
        <v>396</v>
      </c>
      <c r="R342" s="182"/>
      <c r="U342" s="128"/>
    </row>
    <row r="343" spans="1:21" ht="30" x14ac:dyDescent="0.3">
      <c r="A343" s="53"/>
      <c r="B343" s="54"/>
      <c r="C343" s="54"/>
      <c r="D343" s="54"/>
      <c r="E343" s="55"/>
      <c r="F343" s="75"/>
      <c r="G343" s="76"/>
      <c r="H343" s="76"/>
      <c r="I343" s="48"/>
      <c r="J343" s="70"/>
      <c r="K343" s="70"/>
      <c r="L343" s="227" t="s">
        <v>1020</v>
      </c>
      <c r="M343" s="228" t="s">
        <v>102</v>
      </c>
      <c r="N343" s="227" t="s">
        <v>57</v>
      </c>
      <c r="O343" s="229">
        <v>7</v>
      </c>
      <c r="P343" s="230">
        <v>7.92</v>
      </c>
      <c r="Q343" s="230">
        <v>55.44</v>
      </c>
      <c r="R343" s="182"/>
      <c r="U343" s="128"/>
    </row>
    <row r="344" spans="1:21" ht="15.6" x14ac:dyDescent="0.3">
      <c r="A344" s="53"/>
      <c r="B344" s="54"/>
      <c r="C344" s="54"/>
      <c r="D344" s="54"/>
      <c r="E344" s="55"/>
      <c r="F344" s="75"/>
      <c r="G344" s="76"/>
      <c r="H344" s="76"/>
      <c r="I344" s="48"/>
      <c r="J344" s="70"/>
      <c r="K344" s="70"/>
      <c r="L344" s="227" t="s">
        <v>1021</v>
      </c>
      <c r="M344" s="228" t="s">
        <v>483</v>
      </c>
      <c r="N344" s="227" t="s">
        <v>57</v>
      </c>
      <c r="O344" s="229">
        <v>7</v>
      </c>
      <c r="P344" s="230">
        <v>44.81</v>
      </c>
      <c r="Q344" s="230">
        <v>313.67</v>
      </c>
      <c r="R344" s="182"/>
      <c r="U344" s="128"/>
    </row>
    <row r="345" spans="1:21" ht="15.6" x14ac:dyDescent="0.3">
      <c r="A345" s="53"/>
      <c r="B345" s="54"/>
      <c r="C345" s="54"/>
      <c r="D345" s="54"/>
      <c r="E345" s="55"/>
      <c r="F345" s="75"/>
      <c r="G345" s="76"/>
      <c r="H345" s="76"/>
      <c r="I345" s="48"/>
      <c r="J345" s="70"/>
      <c r="K345" s="70"/>
      <c r="L345" s="227" t="s">
        <v>1023</v>
      </c>
      <c r="M345" s="228" t="s">
        <v>70</v>
      </c>
      <c r="N345" s="227" t="s">
        <v>56</v>
      </c>
      <c r="O345" s="229">
        <v>0.1</v>
      </c>
      <c r="P345" s="264">
        <v>27143</v>
      </c>
      <c r="Q345" s="264">
        <v>2714.3</v>
      </c>
      <c r="R345" s="182"/>
      <c r="U345" s="128"/>
    </row>
    <row r="346" spans="1:21" ht="15.6" x14ac:dyDescent="0.3">
      <c r="A346" s="53"/>
      <c r="B346" s="54"/>
      <c r="C346" s="54"/>
      <c r="D346" s="54"/>
      <c r="E346" s="55"/>
      <c r="F346" s="75"/>
      <c r="G346" s="76"/>
      <c r="H346" s="76"/>
      <c r="I346" s="48"/>
      <c r="J346" s="70"/>
      <c r="K346" s="70"/>
      <c r="L346" s="227" t="s">
        <v>1024</v>
      </c>
      <c r="M346" s="228" t="s">
        <v>71</v>
      </c>
      <c r="N346" s="227" t="s">
        <v>56</v>
      </c>
      <c r="O346" s="229">
        <v>0.1</v>
      </c>
      <c r="P346" s="264">
        <v>43597.4</v>
      </c>
      <c r="Q346" s="264">
        <v>4359.74</v>
      </c>
      <c r="R346" s="182"/>
      <c r="U346" s="128"/>
    </row>
    <row r="347" spans="1:21" ht="15.6" x14ac:dyDescent="0.3">
      <c r="A347" s="53"/>
      <c r="B347" s="54"/>
      <c r="C347" s="54"/>
      <c r="D347" s="54"/>
      <c r="E347" s="55"/>
      <c r="F347" s="75"/>
      <c r="G347" s="76"/>
      <c r="H347" s="76"/>
      <c r="I347" s="48"/>
      <c r="J347" s="70"/>
      <c r="K347" s="70"/>
      <c r="L347" s="227" t="s">
        <v>1025</v>
      </c>
      <c r="M347" s="228" t="s">
        <v>72</v>
      </c>
      <c r="N347" s="227" t="s">
        <v>56</v>
      </c>
      <c r="O347" s="229">
        <v>2.4E-2</v>
      </c>
      <c r="P347" s="264">
        <v>67490</v>
      </c>
      <c r="Q347" s="264">
        <v>1619.76</v>
      </c>
      <c r="R347" s="182"/>
      <c r="U347" s="128"/>
    </row>
    <row r="348" spans="1:21" ht="15.6" x14ac:dyDescent="0.3">
      <c r="A348" s="53"/>
      <c r="B348" s="54"/>
      <c r="C348" s="54"/>
      <c r="D348" s="54"/>
      <c r="E348" s="55"/>
      <c r="F348" s="75"/>
      <c r="G348" s="76"/>
      <c r="H348" s="76"/>
      <c r="I348" s="48"/>
      <c r="J348" s="70"/>
      <c r="K348" s="70"/>
      <c r="L348" s="227" t="s">
        <v>1022</v>
      </c>
      <c r="M348" s="228" t="s">
        <v>178</v>
      </c>
      <c r="N348" s="227" t="s">
        <v>56</v>
      </c>
      <c r="O348" s="229">
        <v>5.0000000000000001E-3</v>
      </c>
      <c r="P348" s="264">
        <v>40802</v>
      </c>
      <c r="Q348" s="230">
        <v>204.01</v>
      </c>
      <c r="R348" s="182"/>
      <c r="U348" s="128"/>
    </row>
    <row r="349" spans="1:21" ht="15.6" x14ac:dyDescent="0.3">
      <c r="A349" s="53"/>
      <c r="B349" s="54"/>
      <c r="C349" s="54"/>
      <c r="D349" s="54"/>
      <c r="E349" s="55"/>
      <c r="F349" s="75"/>
      <c r="G349" s="76"/>
      <c r="H349" s="76"/>
      <c r="I349" s="48"/>
      <c r="J349" s="70"/>
      <c r="K349" s="70"/>
      <c r="L349" s="227" t="s">
        <v>1362</v>
      </c>
      <c r="M349" s="228" t="s">
        <v>1391</v>
      </c>
      <c r="N349" s="227" t="s">
        <v>56</v>
      </c>
      <c r="O349" s="229">
        <v>0.01</v>
      </c>
      <c r="P349" s="264">
        <v>38000</v>
      </c>
      <c r="Q349" s="230">
        <v>380</v>
      </c>
      <c r="R349" s="182"/>
      <c r="U349" s="128"/>
    </row>
    <row r="350" spans="1:21" ht="15.6" x14ac:dyDescent="0.3">
      <c r="A350" s="53"/>
      <c r="B350" s="54"/>
      <c r="C350" s="54"/>
      <c r="D350" s="54"/>
      <c r="E350" s="55"/>
      <c r="F350" s="75"/>
      <c r="G350" s="76"/>
      <c r="H350" s="76"/>
      <c r="I350" s="48"/>
      <c r="J350" s="70"/>
      <c r="K350" s="70"/>
      <c r="L350" s="227" t="s">
        <v>1187</v>
      </c>
      <c r="M350" s="228" t="s">
        <v>1270</v>
      </c>
      <c r="N350" s="227" t="s">
        <v>45</v>
      </c>
      <c r="O350" s="229">
        <v>1.1819999999999999</v>
      </c>
      <c r="P350" s="230">
        <v>150.16999999999999</v>
      </c>
      <c r="Q350" s="230">
        <v>177.5</v>
      </c>
      <c r="R350" s="182"/>
      <c r="U350" s="128"/>
    </row>
    <row r="351" spans="1:21" ht="15.6" x14ac:dyDescent="0.3">
      <c r="A351" s="53"/>
      <c r="B351" s="54"/>
      <c r="C351" s="54"/>
      <c r="D351" s="54"/>
      <c r="E351" s="55"/>
      <c r="F351" s="75"/>
      <c r="G351" s="76"/>
      <c r="H351" s="76"/>
      <c r="I351" s="48"/>
      <c r="J351" s="70"/>
      <c r="K351" s="70"/>
      <c r="L351" s="227" t="s">
        <v>1186</v>
      </c>
      <c r="M351" s="228" t="s">
        <v>1269</v>
      </c>
      <c r="N351" s="227" t="s">
        <v>45</v>
      </c>
      <c r="O351" s="229">
        <v>11</v>
      </c>
      <c r="P351" s="230">
        <v>486.48</v>
      </c>
      <c r="Q351" s="264">
        <v>5351.28</v>
      </c>
      <c r="R351" s="182"/>
      <c r="U351" s="128"/>
    </row>
    <row r="352" spans="1:21" ht="15.6" x14ac:dyDescent="0.3">
      <c r="A352" s="53"/>
      <c r="B352" s="54"/>
      <c r="C352" s="54"/>
      <c r="D352" s="54"/>
      <c r="E352" s="55"/>
      <c r="F352" s="75"/>
      <c r="G352" s="76"/>
      <c r="H352" s="76"/>
      <c r="I352" s="48"/>
      <c r="J352" s="70"/>
      <c r="K352" s="70"/>
      <c r="L352" s="227" t="s">
        <v>746</v>
      </c>
      <c r="M352" s="228" t="s">
        <v>895</v>
      </c>
      <c r="N352" s="227" t="s">
        <v>45</v>
      </c>
      <c r="O352" s="229">
        <v>18</v>
      </c>
      <c r="P352" s="230">
        <v>280</v>
      </c>
      <c r="Q352" s="264">
        <v>5040</v>
      </c>
      <c r="R352" s="182"/>
      <c r="U352" s="128"/>
    </row>
    <row r="353" spans="1:21" ht="15.6" x14ac:dyDescent="0.3">
      <c r="A353" s="53"/>
      <c r="B353" s="54"/>
      <c r="C353" s="54"/>
      <c r="D353" s="54"/>
      <c r="E353" s="55"/>
      <c r="F353" s="75"/>
      <c r="G353" s="76"/>
      <c r="H353" s="76"/>
      <c r="I353" s="48"/>
      <c r="J353" s="70"/>
      <c r="K353" s="70"/>
      <c r="L353" s="227" t="s">
        <v>1185</v>
      </c>
      <c r="M353" s="228" t="s">
        <v>1268</v>
      </c>
      <c r="N353" s="227" t="s">
        <v>45</v>
      </c>
      <c r="O353" s="229">
        <v>5</v>
      </c>
      <c r="P353" s="230">
        <v>226</v>
      </c>
      <c r="Q353" s="264">
        <v>1130</v>
      </c>
      <c r="R353" s="182"/>
      <c r="U353" s="128"/>
    </row>
    <row r="354" spans="1:21" ht="15.6" x14ac:dyDescent="0.3">
      <c r="A354" s="53"/>
      <c r="B354" s="54"/>
      <c r="C354" s="54"/>
      <c r="D354" s="54"/>
      <c r="E354" s="55"/>
      <c r="F354" s="75"/>
      <c r="G354" s="76"/>
      <c r="H354" s="76"/>
      <c r="I354" s="48"/>
      <c r="J354" s="70"/>
      <c r="K354" s="70"/>
      <c r="L354" s="227" t="s">
        <v>1027</v>
      </c>
      <c r="M354" s="228" t="s">
        <v>803</v>
      </c>
      <c r="N354" s="227" t="s">
        <v>45</v>
      </c>
      <c r="O354" s="229">
        <v>34</v>
      </c>
      <c r="P354" s="230">
        <v>399.17</v>
      </c>
      <c r="Q354" s="264">
        <v>13571.78</v>
      </c>
      <c r="R354" s="182"/>
      <c r="U354" s="128"/>
    </row>
    <row r="355" spans="1:21" ht="15.6" x14ac:dyDescent="0.3">
      <c r="A355" s="53"/>
      <c r="B355" s="54"/>
      <c r="C355" s="54"/>
      <c r="D355" s="54"/>
      <c r="E355" s="55"/>
      <c r="F355" s="75"/>
      <c r="G355" s="76"/>
      <c r="H355" s="76"/>
      <c r="I355" s="48"/>
      <c r="J355" s="70"/>
      <c r="K355" s="70"/>
      <c r="L355" s="227" t="s">
        <v>1029</v>
      </c>
      <c r="M355" s="228" t="s">
        <v>1077</v>
      </c>
      <c r="N355" s="227" t="s">
        <v>214</v>
      </c>
      <c r="O355" s="229">
        <v>9.6000000000000002E-2</v>
      </c>
      <c r="P355" s="264">
        <v>10651.35</v>
      </c>
      <c r="Q355" s="264">
        <v>1022.53</v>
      </c>
      <c r="R355" s="182"/>
      <c r="U355" s="128"/>
    </row>
    <row r="356" spans="1:21" ht="15.6" x14ac:dyDescent="0.3">
      <c r="A356" s="53"/>
      <c r="B356" s="54"/>
      <c r="C356" s="54"/>
      <c r="D356" s="54"/>
      <c r="E356" s="55"/>
      <c r="F356" s="75"/>
      <c r="G356" s="76"/>
      <c r="H356" s="76"/>
      <c r="I356" s="48"/>
      <c r="J356" s="70"/>
      <c r="K356" s="70"/>
      <c r="L356" s="227" t="s">
        <v>893</v>
      </c>
      <c r="M356" s="228" t="s">
        <v>894</v>
      </c>
      <c r="N356" s="227" t="s">
        <v>214</v>
      </c>
      <c r="O356" s="229">
        <v>0.3</v>
      </c>
      <c r="P356" s="264">
        <v>10760</v>
      </c>
      <c r="Q356" s="264">
        <v>3228</v>
      </c>
      <c r="R356" s="182"/>
      <c r="U356" s="128"/>
    </row>
    <row r="357" spans="1:21" ht="15.6" x14ac:dyDescent="0.3">
      <c r="A357" s="53"/>
      <c r="B357" s="54"/>
      <c r="C357" s="54"/>
      <c r="D357" s="54"/>
      <c r="E357" s="55"/>
      <c r="F357" s="75"/>
      <c r="G357" s="76"/>
      <c r="H357" s="76"/>
      <c r="I357" s="48"/>
      <c r="J357" s="70"/>
      <c r="K357" s="70"/>
      <c r="L357" s="227" t="s">
        <v>1030</v>
      </c>
      <c r="M357" s="228" t="s">
        <v>1078</v>
      </c>
      <c r="N357" s="227" t="s">
        <v>214</v>
      </c>
      <c r="O357" s="229">
        <v>0.36499999999999999</v>
      </c>
      <c r="P357" s="264">
        <v>9699.89</v>
      </c>
      <c r="Q357" s="264">
        <v>3540.46</v>
      </c>
      <c r="R357" s="182"/>
      <c r="U357" s="128"/>
    </row>
    <row r="358" spans="1:21" ht="15.6" x14ac:dyDescent="0.3">
      <c r="A358" s="53"/>
      <c r="B358" s="54"/>
      <c r="C358" s="54"/>
      <c r="D358" s="54"/>
      <c r="E358" s="55"/>
      <c r="F358" s="75"/>
      <c r="G358" s="76"/>
      <c r="H358" s="76"/>
      <c r="I358" s="48"/>
      <c r="J358" s="70"/>
      <c r="K358" s="70"/>
      <c r="L358" s="227" t="s">
        <v>1188</v>
      </c>
      <c r="M358" s="228" t="s">
        <v>1271</v>
      </c>
      <c r="N358" s="227" t="s">
        <v>214</v>
      </c>
      <c r="O358" s="229">
        <v>0.09</v>
      </c>
      <c r="P358" s="264">
        <v>14916.11</v>
      </c>
      <c r="Q358" s="264">
        <v>1342.45</v>
      </c>
      <c r="R358" s="182"/>
      <c r="U358" s="128"/>
    </row>
    <row r="359" spans="1:21" ht="15.6" x14ac:dyDescent="0.3">
      <c r="A359" s="53"/>
      <c r="B359" s="54"/>
      <c r="C359" s="54"/>
      <c r="D359" s="54"/>
      <c r="E359" s="55"/>
      <c r="F359" s="75"/>
      <c r="G359" s="76"/>
      <c r="H359" s="76"/>
      <c r="I359" s="48"/>
      <c r="J359" s="70"/>
      <c r="K359" s="70"/>
      <c r="L359" s="227" t="s">
        <v>1382</v>
      </c>
      <c r="M359" s="228" t="s">
        <v>1410</v>
      </c>
      <c r="N359" s="227" t="s">
        <v>39</v>
      </c>
      <c r="O359" s="229">
        <v>1.4E-2</v>
      </c>
      <c r="P359" s="264">
        <v>35795</v>
      </c>
      <c r="Q359" s="230">
        <v>501.13</v>
      </c>
      <c r="R359" s="182"/>
      <c r="U359" s="128"/>
    </row>
    <row r="360" spans="1:21" ht="15.6" x14ac:dyDescent="0.3">
      <c r="A360" s="53"/>
      <c r="B360" s="54"/>
      <c r="C360" s="54"/>
      <c r="D360" s="54"/>
      <c r="E360" s="55"/>
      <c r="F360" s="75"/>
      <c r="G360" s="76"/>
      <c r="H360" s="76"/>
      <c r="I360" s="48"/>
      <c r="J360" s="70"/>
      <c r="K360" s="70"/>
      <c r="L360" s="227" t="s">
        <v>1423</v>
      </c>
      <c r="M360" s="228" t="s">
        <v>1446</v>
      </c>
      <c r="N360" s="227" t="s">
        <v>39</v>
      </c>
      <c r="O360" s="229">
        <v>5.8999999999999997E-2</v>
      </c>
      <c r="P360" s="264">
        <v>31816.95</v>
      </c>
      <c r="Q360" s="264">
        <v>1877.2</v>
      </c>
      <c r="R360" s="182"/>
      <c r="U360" s="128"/>
    </row>
    <row r="361" spans="1:21" ht="15.6" x14ac:dyDescent="0.3">
      <c r="A361" s="53"/>
      <c r="B361" s="54"/>
      <c r="C361" s="54"/>
      <c r="D361" s="54"/>
      <c r="E361" s="55"/>
      <c r="F361" s="75"/>
      <c r="G361" s="76"/>
      <c r="H361" s="76"/>
      <c r="I361" s="48"/>
      <c r="J361" s="70"/>
      <c r="K361" s="70"/>
      <c r="L361" s="227" t="s">
        <v>1424</v>
      </c>
      <c r="M361" s="228" t="s">
        <v>228</v>
      </c>
      <c r="N361" s="227" t="s">
        <v>39</v>
      </c>
      <c r="O361" s="229">
        <v>0.03</v>
      </c>
      <c r="P361" s="264">
        <v>36066.33</v>
      </c>
      <c r="Q361" s="264">
        <v>1081.99</v>
      </c>
      <c r="R361" s="182"/>
      <c r="U361" s="128"/>
    </row>
    <row r="362" spans="1:21" ht="15.6" x14ac:dyDescent="0.3">
      <c r="A362" s="53"/>
      <c r="B362" s="54"/>
      <c r="C362" s="54"/>
      <c r="D362" s="54"/>
      <c r="E362" s="55"/>
      <c r="F362" s="75"/>
      <c r="G362" s="76"/>
      <c r="H362" s="76"/>
      <c r="I362" s="48"/>
      <c r="J362" s="70"/>
      <c r="K362" s="70"/>
      <c r="L362" s="227" t="s">
        <v>1847</v>
      </c>
      <c r="M362" s="228" t="s">
        <v>1849</v>
      </c>
      <c r="N362" s="227" t="s">
        <v>39</v>
      </c>
      <c r="O362" s="229">
        <v>0.01</v>
      </c>
      <c r="P362" s="264">
        <v>34578</v>
      </c>
      <c r="Q362" s="230">
        <v>345.78</v>
      </c>
      <c r="R362" s="182"/>
      <c r="U362" s="128"/>
    </row>
    <row r="363" spans="1:21" ht="15.6" x14ac:dyDescent="0.3">
      <c r="A363" s="53"/>
      <c r="B363" s="54"/>
      <c r="C363" s="54"/>
      <c r="D363" s="54"/>
      <c r="E363" s="55"/>
      <c r="F363" s="75"/>
      <c r="G363" s="76"/>
      <c r="H363" s="76"/>
      <c r="I363" s="48"/>
      <c r="J363" s="70"/>
      <c r="K363" s="70"/>
      <c r="L363" s="227" t="s">
        <v>1031</v>
      </c>
      <c r="M363" s="228" t="s">
        <v>834</v>
      </c>
      <c r="N363" s="227" t="s">
        <v>39</v>
      </c>
      <c r="O363" s="229">
        <v>0.113</v>
      </c>
      <c r="P363" s="264">
        <v>37211.24</v>
      </c>
      <c r="Q363" s="264">
        <v>4204.87</v>
      </c>
      <c r="R363" s="182"/>
      <c r="U363" s="128"/>
    </row>
    <row r="364" spans="1:21" ht="15.6" x14ac:dyDescent="0.3">
      <c r="A364" s="53"/>
      <c r="B364" s="54"/>
      <c r="C364" s="54"/>
      <c r="D364" s="54"/>
      <c r="E364" s="55"/>
      <c r="F364" s="75"/>
      <c r="G364" s="76"/>
      <c r="H364" s="76"/>
      <c r="I364" s="48"/>
      <c r="J364" s="70"/>
      <c r="K364" s="70"/>
      <c r="L364" s="227" t="s">
        <v>1316</v>
      </c>
      <c r="M364" s="228" t="s">
        <v>1350</v>
      </c>
      <c r="N364" s="227" t="s">
        <v>39</v>
      </c>
      <c r="O364" s="229">
        <v>1.2999999999999999E-2</v>
      </c>
      <c r="P364" s="264">
        <v>31617.69</v>
      </c>
      <c r="Q364" s="230">
        <v>411.03</v>
      </c>
      <c r="R364" s="182"/>
      <c r="U364" s="128"/>
    </row>
    <row r="365" spans="1:21" ht="15.6" x14ac:dyDescent="0.3">
      <c r="A365" s="53"/>
      <c r="B365" s="54"/>
      <c r="C365" s="54"/>
      <c r="D365" s="54"/>
      <c r="E365" s="55"/>
      <c r="F365" s="75"/>
      <c r="G365" s="76"/>
      <c r="H365" s="76"/>
      <c r="I365" s="48"/>
      <c r="J365" s="70"/>
      <c r="K365" s="70"/>
      <c r="L365" s="227"/>
      <c r="M365" s="228"/>
      <c r="N365" s="227"/>
      <c r="O365" s="229"/>
      <c r="P365" s="230"/>
      <c r="Q365" s="230"/>
      <c r="R365" s="182"/>
      <c r="U365" s="128"/>
    </row>
    <row r="366" spans="1:21" ht="15.6" x14ac:dyDescent="0.3">
      <c r="A366" s="53"/>
      <c r="B366" s="54"/>
      <c r="C366" s="54"/>
      <c r="D366" s="54"/>
      <c r="E366" s="55"/>
      <c r="F366" s="75"/>
      <c r="G366" s="76"/>
      <c r="H366" s="76"/>
      <c r="I366" s="48"/>
      <c r="J366" s="70"/>
      <c r="K366" s="70"/>
      <c r="L366" s="212"/>
      <c r="M366" s="213"/>
      <c r="N366" s="212"/>
      <c r="O366" s="214"/>
      <c r="P366" s="215"/>
      <c r="Q366" s="215"/>
      <c r="R366" s="182"/>
      <c r="U366" s="128"/>
    </row>
    <row r="367" spans="1:21" ht="18.600000000000001" thickBot="1" x14ac:dyDescent="0.35">
      <c r="A367" s="202"/>
      <c r="B367" s="203"/>
      <c r="C367" s="204"/>
      <c r="D367" s="205"/>
      <c r="E367" s="205"/>
      <c r="F367" s="165"/>
      <c r="G367" s="166"/>
      <c r="H367" s="166"/>
      <c r="I367" s="206"/>
      <c r="J367" s="206"/>
      <c r="K367" s="206"/>
      <c r="L367" s="207"/>
      <c r="M367" s="208"/>
      <c r="N367" s="207"/>
      <c r="O367" s="209"/>
      <c r="P367" s="210"/>
      <c r="Q367" s="210"/>
      <c r="R367" s="211"/>
      <c r="T367" s="4"/>
      <c r="U367" s="128"/>
    </row>
    <row r="368" spans="1:21" ht="18.600000000000001" thickBot="1" x14ac:dyDescent="0.35">
      <c r="A368" s="251"/>
      <c r="B368" s="252"/>
      <c r="C368" s="253"/>
      <c r="D368" s="254"/>
      <c r="E368" s="254"/>
      <c r="F368" s="234"/>
      <c r="G368" s="235"/>
      <c r="H368" s="235"/>
      <c r="I368" s="255"/>
      <c r="J368" s="255"/>
      <c r="K368" s="255"/>
      <c r="L368" s="256"/>
      <c r="M368" s="257"/>
      <c r="N368" s="256"/>
      <c r="O368" s="258"/>
      <c r="P368" s="259"/>
      <c r="Q368" s="260">
        <f>SUM(Q19:Q367)</f>
        <v>567284.00000000047</v>
      </c>
      <c r="R368" s="35"/>
      <c r="T368" s="4"/>
      <c r="U368" s="128"/>
    </row>
    <row r="369" spans="1:21" ht="18" x14ac:dyDescent="0.3">
      <c r="A369" s="216"/>
      <c r="B369" s="203"/>
      <c r="C369" s="217"/>
      <c r="D369" s="218"/>
      <c r="E369" s="218"/>
      <c r="F369" s="165"/>
      <c r="G369" s="166"/>
      <c r="H369" s="166"/>
      <c r="I369" s="219"/>
      <c r="J369" s="219"/>
      <c r="K369" s="219"/>
      <c r="L369" s="227" t="s">
        <v>1460</v>
      </c>
      <c r="M369" s="228" t="s">
        <v>1539</v>
      </c>
      <c r="N369" s="227" t="s">
        <v>34</v>
      </c>
      <c r="O369" s="229">
        <v>2</v>
      </c>
      <c r="P369" s="230">
        <v>16.600000000000001</v>
      </c>
      <c r="Q369" s="230">
        <v>33.200000000000003</v>
      </c>
      <c r="R369" s="220"/>
      <c r="T369" s="4"/>
      <c r="U369" s="128"/>
    </row>
    <row r="370" spans="1:21" ht="18" customHeight="1" x14ac:dyDescent="0.3">
      <c r="A370" s="216"/>
      <c r="B370" s="203"/>
      <c r="C370" s="217"/>
      <c r="D370" s="218"/>
      <c r="E370" s="218"/>
      <c r="F370" s="165"/>
      <c r="G370" s="166"/>
      <c r="H370" s="166"/>
      <c r="I370" s="219"/>
      <c r="J370" s="219"/>
      <c r="K370" s="219"/>
      <c r="L370" s="227" t="s">
        <v>1790</v>
      </c>
      <c r="M370" s="228" t="s">
        <v>1810</v>
      </c>
      <c r="N370" s="227" t="s">
        <v>34</v>
      </c>
      <c r="O370" s="229">
        <v>1</v>
      </c>
      <c r="P370" s="230">
        <v>297.08999999999997</v>
      </c>
      <c r="Q370" s="230">
        <v>297.08999999999997</v>
      </c>
      <c r="R370" s="220"/>
      <c r="T370" s="4"/>
      <c r="U370" s="128"/>
    </row>
    <row r="371" spans="1:21" ht="18" x14ac:dyDescent="0.3">
      <c r="A371" s="216"/>
      <c r="B371" s="203"/>
      <c r="C371" s="217"/>
      <c r="D371" s="218"/>
      <c r="E371" s="218"/>
      <c r="F371" s="165"/>
      <c r="G371" s="166"/>
      <c r="H371" s="166"/>
      <c r="I371" s="219"/>
      <c r="J371" s="219"/>
      <c r="K371" s="219"/>
      <c r="L371" s="227" t="s">
        <v>1461</v>
      </c>
      <c r="M371" s="228" t="s">
        <v>1540</v>
      </c>
      <c r="N371" s="227" t="s">
        <v>34</v>
      </c>
      <c r="O371" s="229">
        <v>5</v>
      </c>
      <c r="P371" s="230">
        <v>277.33</v>
      </c>
      <c r="Q371" s="264">
        <v>1386.66</v>
      </c>
      <c r="R371" s="220"/>
      <c r="T371" s="4"/>
      <c r="U371" s="128"/>
    </row>
    <row r="372" spans="1:21" ht="18" x14ac:dyDescent="0.3">
      <c r="A372" s="216"/>
      <c r="B372" s="203"/>
      <c r="C372" s="217"/>
      <c r="D372" s="218"/>
      <c r="E372" s="218"/>
      <c r="F372" s="165"/>
      <c r="G372" s="166"/>
      <c r="H372" s="166"/>
      <c r="I372" s="219"/>
      <c r="J372" s="219"/>
      <c r="K372" s="219"/>
      <c r="L372" s="227" t="s">
        <v>1671</v>
      </c>
      <c r="M372" s="228" t="s">
        <v>1689</v>
      </c>
      <c r="N372" s="227" t="s">
        <v>34</v>
      </c>
      <c r="O372" s="229">
        <v>1</v>
      </c>
      <c r="P372" s="230">
        <v>206.84</v>
      </c>
      <c r="Q372" s="230">
        <v>206.84</v>
      </c>
      <c r="R372" s="220"/>
      <c r="T372" s="4"/>
      <c r="U372" s="128"/>
    </row>
    <row r="373" spans="1:21" ht="30" x14ac:dyDescent="0.3">
      <c r="A373" s="216"/>
      <c r="B373" s="203"/>
      <c r="C373" s="217"/>
      <c r="D373" s="218"/>
      <c r="E373" s="218"/>
      <c r="F373" s="165"/>
      <c r="G373" s="166"/>
      <c r="H373" s="166"/>
      <c r="I373" s="219"/>
      <c r="J373" s="219"/>
      <c r="K373" s="219"/>
      <c r="L373" s="227" t="s">
        <v>1463</v>
      </c>
      <c r="M373" s="228" t="s">
        <v>1542</v>
      </c>
      <c r="N373" s="227" t="s">
        <v>34</v>
      </c>
      <c r="O373" s="229">
        <v>1</v>
      </c>
      <c r="P373" s="230">
        <v>124.92</v>
      </c>
      <c r="Q373" s="230">
        <v>124.92</v>
      </c>
      <c r="R373" s="220"/>
      <c r="T373" s="4"/>
      <c r="U373" s="128"/>
    </row>
    <row r="374" spans="1:21" ht="18" x14ac:dyDescent="0.3">
      <c r="A374" s="216"/>
      <c r="B374" s="203"/>
      <c r="C374" s="217"/>
      <c r="D374" s="218"/>
      <c r="E374" s="218"/>
      <c r="F374" s="165"/>
      <c r="G374" s="166"/>
      <c r="H374" s="166"/>
      <c r="I374" s="219"/>
      <c r="J374" s="219"/>
      <c r="K374" s="219"/>
      <c r="L374" s="227" t="s">
        <v>1791</v>
      </c>
      <c r="M374" s="228" t="s">
        <v>1811</v>
      </c>
      <c r="N374" s="227" t="s">
        <v>34</v>
      </c>
      <c r="O374" s="229">
        <v>1</v>
      </c>
      <c r="P374" s="230">
        <v>61</v>
      </c>
      <c r="Q374" s="230">
        <v>61</v>
      </c>
      <c r="R374" s="220"/>
      <c r="T374" s="4"/>
      <c r="U374" s="128"/>
    </row>
    <row r="375" spans="1:21" ht="18" x14ac:dyDescent="0.3">
      <c r="A375" s="216"/>
      <c r="B375" s="203"/>
      <c r="C375" s="217"/>
      <c r="D375" s="218"/>
      <c r="E375" s="218"/>
      <c r="F375" s="165"/>
      <c r="G375" s="166"/>
      <c r="H375" s="166"/>
      <c r="I375" s="219"/>
      <c r="J375" s="219"/>
      <c r="K375" s="219"/>
      <c r="L375" s="227" t="s">
        <v>1464</v>
      </c>
      <c r="M375" s="228" t="s">
        <v>1543</v>
      </c>
      <c r="N375" s="227" t="s">
        <v>34</v>
      </c>
      <c r="O375" s="229">
        <v>5</v>
      </c>
      <c r="P375" s="230">
        <v>86.7</v>
      </c>
      <c r="Q375" s="230">
        <v>433.5</v>
      </c>
      <c r="R375" s="220"/>
      <c r="T375" s="4"/>
      <c r="U375" s="128"/>
    </row>
    <row r="376" spans="1:21" ht="18" x14ac:dyDescent="0.3">
      <c r="A376" s="216"/>
      <c r="B376" s="203"/>
      <c r="C376" s="217"/>
      <c r="D376" s="218"/>
      <c r="E376" s="218"/>
      <c r="F376" s="165"/>
      <c r="G376" s="166"/>
      <c r="H376" s="166"/>
      <c r="I376" s="219"/>
      <c r="J376" s="219"/>
      <c r="K376" s="219"/>
      <c r="L376" s="227" t="s">
        <v>1792</v>
      </c>
      <c r="M376" s="228" t="s">
        <v>1812</v>
      </c>
      <c r="N376" s="227" t="s">
        <v>34</v>
      </c>
      <c r="O376" s="229">
        <v>1</v>
      </c>
      <c r="P376" s="230">
        <v>222.6</v>
      </c>
      <c r="Q376" s="230">
        <v>222.6</v>
      </c>
      <c r="R376" s="220"/>
      <c r="T376" s="4"/>
      <c r="U376" s="128"/>
    </row>
    <row r="377" spans="1:21" ht="18" x14ac:dyDescent="0.3">
      <c r="A377" s="216"/>
      <c r="B377" s="203"/>
      <c r="C377" s="217"/>
      <c r="D377" s="218"/>
      <c r="E377" s="218"/>
      <c r="F377" s="165"/>
      <c r="G377" s="166"/>
      <c r="H377" s="166"/>
      <c r="I377" s="219"/>
      <c r="J377" s="219"/>
      <c r="K377" s="219"/>
      <c r="L377" s="227" t="s">
        <v>544</v>
      </c>
      <c r="M377" s="228" t="s">
        <v>545</v>
      </c>
      <c r="N377" s="227" t="s">
        <v>34</v>
      </c>
      <c r="O377" s="229">
        <v>1</v>
      </c>
      <c r="P377" s="230">
        <v>33.33</v>
      </c>
      <c r="Q377" s="230">
        <v>33.33</v>
      </c>
      <c r="R377" s="220"/>
      <c r="T377" s="4"/>
      <c r="U377" s="128"/>
    </row>
    <row r="378" spans="1:21" ht="30" x14ac:dyDescent="0.3">
      <c r="A378" s="216"/>
      <c r="B378" s="203"/>
      <c r="C378" s="217"/>
      <c r="D378" s="218"/>
      <c r="E378" s="218"/>
      <c r="F378" s="165"/>
      <c r="G378" s="166"/>
      <c r="H378" s="166"/>
      <c r="I378" s="219"/>
      <c r="J378" s="219"/>
      <c r="K378" s="219"/>
      <c r="L378" s="227" t="s">
        <v>1467</v>
      </c>
      <c r="M378" s="228" t="s">
        <v>1546</v>
      </c>
      <c r="N378" s="227" t="s">
        <v>34</v>
      </c>
      <c r="O378" s="229">
        <v>1</v>
      </c>
      <c r="P378" s="230">
        <v>1</v>
      </c>
      <c r="Q378" s="230">
        <v>1</v>
      </c>
      <c r="R378" s="220"/>
      <c r="T378" s="4"/>
      <c r="U378" s="128"/>
    </row>
    <row r="379" spans="1:21" ht="18" x14ac:dyDescent="0.3">
      <c r="A379" s="216"/>
      <c r="B379" s="203"/>
      <c r="C379" s="217"/>
      <c r="D379" s="218"/>
      <c r="E379" s="218"/>
      <c r="F379" s="165"/>
      <c r="G379" s="166"/>
      <c r="H379" s="166"/>
      <c r="I379" s="219"/>
      <c r="J379" s="219"/>
      <c r="K379" s="219"/>
      <c r="L379" s="227" t="s">
        <v>1468</v>
      </c>
      <c r="M379" s="228" t="s">
        <v>1547</v>
      </c>
      <c r="N379" s="227" t="s">
        <v>34</v>
      </c>
      <c r="O379" s="229">
        <v>1</v>
      </c>
      <c r="P379" s="230">
        <v>49</v>
      </c>
      <c r="Q379" s="230">
        <v>49</v>
      </c>
      <c r="R379" s="220"/>
      <c r="T379" s="4"/>
      <c r="U379" s="128"/>
    </row>
    <row r="380" spans="1:21" ht="18" x14ac:dyDescent="0.3">
      <c r="A380" s="216"/>
      <c r="B380" s="203"/>
      <c r="C380" s="217"/>
      <c r="D380" s="218"/>
      <c r="E380" s="218"/>
      <c r="F380" s="165"/>
      <c r="G380" s="166"/>
      <c r="H380" s="166"/>
      <c r="I380" s="219"/>
      <c r="J380" s="219"/>
      <c r="K380" s="219"/>
      <c r="L380" s="227" t="s">
        <v>690</v>
      </c>
      <c r="M380" s="228" t="s">
        <v>691</v>
      </c>
      <c r="N380" s="227" t="s">
        <v>34</v>
      </c>
      <c r="O380" s="229">
        <v>1</v>
      </c>
      <c r="P380" s="230">
        <v>520.63</v>
      </c>
      <c r="Q380" s="230">
        <v>520.63</v>
      </c>
      <c r="R380" s="220"/>
      <c r="T380" s="4"/>
      <c r="U380" s="128"/>
    </row>
    <row r="381" spans="1:21" ht="18" x14ac:dyDescent="0.3">
      <c r="A381" s="216"/>
      <c r="B381" s="203"/>
      <c r="C381" s="217"/>
      <c r="D381" s="218"/>
      <c r="E381" s="218"/>
      <c r="F381" s="165"/>
      <c r="G381" s="166"/>
      <c r="H381" s="166"/>
      <c r="I381" s="219"/>
      <c r="J381" s="219"/>
      <c r="K381" s="219"/>
      <c r="L381" s="227" t="s">
        <v>1470</v>
      </c>
      <c r="M381" s="228" t="s">
        <v>1549</v>
      </c>
      <c r="N381" s="227" t="s">
        <v>34</v>
      </c>
      <c r="O381" s="229">
        <v>5</v>
      </c>
      <c r="P381" s="230">
        <v>121.67</v>
      </c>
      <c r="Q381" s="230">
        <v>608.35</v>
      </c>
      <c r="R381" s="220"/>
      <c r="T381" s="4"/>
      <c r="U381" s="128"/>
    </row>
    <row r="382" spans="1:21" ht="18" x14ac:dyDescent="0.3">
      <c r="A382" s="216"/>
      <c r="B382" s="203"/>
      <c r="C382" s="217"/>
      <c r="D382" s="218"/>
      <c r="E382" s="218"/>
      <c r="F382" s="165"/>
      <c r="G382" s="166"/>
      <c r="H382" s="166"/>
      <c r="I382" s="219"/>
      <c r="J382" s="219"/>
      <c r="K382" s="219"/>
      <c r="L382" s="227" t="s">
        <v>1471</v>
      </c>
      <c r="M382" s="228" t="s">
        <v>1550</v>
      </c>
      <c r="N382" s="227" t="s">
        <v>34</v>
      </c>
      <c r="O382" s="265">
        <v>1809</v>
      </c>
      <c r="P382" s="230">
        <v>0.11</v>
      </c>
      <c r="Q382" s="230">
        <v>193.56</v>
      </c>
      <c r="R382" s="220"/>
      <c r="T382" s="4"/>
      <c r="U382" s="128"/>
    </row>
    <row r="383" spans="1:21" ht="18" x14ac:dyDescent="0.3">
      <c r="A383" s="216"/>
      <c r="B383" s="203"/>
      <c r="C383" s="217"/>
      <c r="D383" s="218"/>
      <c r="E383" s="218"/>
      <c r="F383" s="165"/>
      <c r="G383" s="166"/>
      <c r="H383" s="166"/>
      <c r="I383" s="219"/>
      <c r="J383" s="219"/>
      <c r="K383" s="219"/>
      <c r="L383" s="227" t="s">
        <v>625</v>
      </c>
      <c r="M383" s="228" t="s">
        <v>136</v>
      </c>
      <c r="N383" s="227" t="s">
        <v>34</v>
      </c>
      <c r="O383" s="229">
        <v>4</v>
      </c>
      <c r="P383" s="230">
        <v>34</v>
      </c>
      <c r="Q383" s="230">
        <v>136</v>
      </c>
      <c r="R383" s="220"/>
      <c r="T383" s="4"/>
      <c r="U383" s="128"/>
    </row>
    <row r="384" spans="1:21" ht="18" x14ac:dyDescent="0.3">
      <c r="A384" s="216"/>
      <c r="B384" s="203"/>
      <c r="C384" s="217"/>
      <c r="D384" s="218"/>
      <c r="E384" s="218"/>
      <c r="F384" s="165"/>
      <c r="G384" s="166"/>
      <c r="H384" s="166"/>
      <c r="I384" s="219"/>
      <c r="J384" s="219"/>
      <c r="K384" s="219"/>
      <c r="L384" s="227" t="s">
        <v>682</v>
      </c>
      <c r="M384" s="228" t="s">
        <v>683</v>
      </c>
      <c r="N384" s="227" t="s">
        <v>34</v>
      </c>
      <c r="O384" s="229">
        <v>1</v>
      </c>
      <c r="P384" s="230">
        <v>21.5</v>
      </c>
      <c r="Q384" s="230">
        <v>21.5</v>
      </c>
      <c r="R384" s="220"/>
      <c r="T384" s="4"/>
      <c r="U384" s="128"/>
    </row>
    <row r="385" spans="1:21" ht="18" x14ac:dyDescent="0.3">
      <c r="A385" s="216"/>
      <c r="B385" s="203"/>
      <c r="C385" s="217"/>
      <c r="D385" s="218"/>
      <c r="E385" s="218"/>
      <c r="F385" s="165"/>
      <c r="G385" s="166"/>
      <c r="H385" s="166"/>
      <c r="I385" s="219"/>
      <c r="J385" s="219"/>
      <c r="K385" s="219"/>
      <c r="L385" s="227" t="s">
        <v>698</v>
      </c>
      <c r="M385" s="228" t="s">
        <v>97</v>
      </c>
      <c r="N385" s="227" t="s">
        <v>34</v>
      </c>
      <c r="O385" s="265">
        <v>3266</v>
      </c>
      <c r="P385" s="230">
        <v>0.11</v>
      </c>
      <c r="Q385" s="230">
        <v>349.46</v>
      </c>
      <c r="R385" s="220"/>
      <c r="T385" s="4"/>
      <c r="U385" s="128"/>
    </row>
    <row r="386" spans="1:21" ht="18" x14ac:dyDescent="0.3">
      <c r="A386" s="216"/>
      <c r="B386" s="203"/>
      <c r="C386" s="217"/>
      <c r="D386" s="218"/>
      <c r="E386" s="218"/>
      <c r="F386" s="165"/>
      <c r="G386" s="166"/>
      <c r="H386" s="166"/>
      <c r="I386" s="219"/>
      <c r="J386" s="219"/>
      <c r="K386" s="219"/>
      <c r="L386" s="227" t="s">
        <v>1472</v>
      </c>
      <c r="M386" s="228" t="s">
        <v>1551</v>
      </c>
      <c r="N386" s="227" t="s">
        <v>34</v>
      </c>
      <c r="O386" s="229">
        <v>1</v>
      </c>
      <c r="P386" s="230">
        <v>146.25</v>
      </c>
      <c r="Q386" s="230">
        <v>146.25</v>
      </c>
      <c r="R386" s="220"/>
      <c r="T386" s="4"/>
      <c r="U386" s="128"/>
    </row>
    <row r="387" spans="1:21" ht="18" x14ac:dyDescent="0.3">
      <c r="A387" s="216"/>
      <c r="B387" s="203"/>
      <c r="C387" s="217"/>
      <c r="D387" s="218"/>
      <c r="E387" s="218"/>
      <c r="F387" s="165"/>
      <c r="G387" s="166"/>
      <c r="H387" s="166"/>
      <c r="I387" s="219"/>
      <c r="J387" s="219"/>
      <c r="K387" s="219"/>
      <c r="L387" s="227" t="s">
        <v>1473</v>
      </c>
      <c r="M387" s="228" t="s">
        <v>1552</v>
      </c>
      <c r="N387" s="227" t="s">
        <v>34</v>
      </c>
      <c r="O387" s="229">
        <v>2</v>
      </c>
      <c r="P387" s="230">
        <v>239</v>
      </c>
      <c r="Q387" s="230">
        <v>478</v>
      </c>
      <c r="R387" s="220"/>
      <c r="T387" s="4"/>
      <c r="U387" s="128"/>
    </row>
    <row r="388" spans="1:21" ht="18" x14ac:dyDescent="0.3">
      <c r="A388" s="216"/>
      <c r="B388" s="203"/>
      <c r="C388" s="217"/>
      <c r="D388" s="218"/>
      <c r="E388" s="218"/>
      <c r="F388" s="165"/>
      <c r="G388" s="166"/>
      <c r="H388" s="166"/>
      <c r="I388" s="219"/>
      <c r="J388" s="219"/>
      <c r="K388" s="219"/>
      <c r="L388" s="227" t="s">
        <v>1474</v>
      </c>
      <c r="M388" s="228" t="s">
        <v>1553</v>
      </c>
      <c r="N388" s="227" t="s">
        <v>34</v>
      </c>
      <c r="O388" s="229">
        <v>1</v>
      </c>
      <c r="P388" s="230">
        <v>120</v>
      </c>
      <c r="Q388" s="230">
        <v>120</v>
      </c>
      <c r="R388" s="220"/>
      <c r="T388" s="4"/>
      <c r="U388" s="128"/>
    </row>
    <row r="389" spans="1:21" ht="18" x14ac:dyDescent="0.3">
      <c r="A389" s="216"/>
      <c r="B389" s="203"/>
      <c r="C389" s="217"/>
      <c r="D389" s="218"/>
      <c r="E389" s="218"/>
      <c r="F389" s="165"/>
      <c r="G389" s="166"/>
      <c r="H389" s="166"/>
      <c r="I389" s="219"/>
      <c r="J389" s="219"/>
      <c r="K389" s="219"/>
      <c r="L389" s="227" t="s">
        <v>677</v>
      </c>
      <c r="M389" s="228" t="s">
        <v>1554</v>
      </c>
      <c r="N389" s="227" t="s">
        <v>34</v>
      </c>
      <c r="O389" s="229">
        <v>3</v>
      </c>
      <c r="P389" s="230">
        <v>56.7</v>
      </c>
      <c r="Q389" s="230">
        <v>170.1</v>
      </c>
      <c r="R389" s="220"/>
      <c r="T389" s="4"/>
      <c r="U389" s="128"/>
    </row>
    <row r="390" spans="1:21" ht="18" x14ac:dyDescent="0.3">
      <c r="A390" s="216"/>
      <c r="B390" s="203"/>
      <c r="C390" s="217"/>
      <c r="D390" s="218"/>
      <c r="E390" s="218"/>
      <c r="F390" s="165"/>
      <c r="G390" s="166"/>
      <c r="H390" s="166"/>
      <c r="I390" s="219"/>
      <c r="J390" s="219"/>
      <c r="K390" s="219"/>
      <c r="L390" s="227" t="s">
        <v>1793</v>
      </c>
      <c r="M390" s="228" t="s">
        <v>1813</v>
      </c>
      <c r="N390" s="227" t="s">
        <v>34</v>
      </c>
      <c r="O390" s="229">
        <v>1</v>
      </c>
      <c r="P390" s="230">
        <v>249.17</v>
      </c>
      <c r="Q390" s="230">
        <v>249.17</v>
      </c>
      <c r="R390" s="220"/>
      <c r="T390" s="4"/>
      <c r="U390" s="128"/>
    </row>
    <row r="391" spans="1:21" ht="18" x14ac:dyDescent="0.3">
      <c r="A391" s="216"/>
      <c r="B391" s="203"/>
      <c r="C391" s="217"/>
      <c r="D391" s="218"/>
      <c r="E391" s="218"/>
      <c r="F391" s="165"/>
      <c r="G391" s="166"/>
      <c r="H391" s="166"/>
      <c r="I391" s="219"/>
      <c r="J391" s="219"/>
      <c r="K391" s="219"/>
      <c r="L391" s="227" t="s">
        <v>1142</v>
      </c>
      <c r="M391" s="228" t="s">
        <v>1229</v>
      </c>
      <c r="N391" s="227" t="s">
        <v>34</v>
      </c>
      <c r="O391" s="229">
        <v>7</v>
      </c>
      <c r="P391" s="230">
        <v>274</v>
      </c>
      <c r="Q391" s="264">
        <v>1918</v>
      </c>
      <c r="R391" s="220"/>
      <c r="T391" s="4"/>
      <c r="U391" s="128"/>
    </row>
    <row r="392" spans="1:21" ht="18" x14ac:dyDescent="0.3">
      <c r="A392" s="216"/>
      <c r="B392" s="203"/>
      <c r="C392" s="217"/>
      <c r="D392" s="218"/>
      <c r="E392" s="218"/>
      <c r="F392" s="165"/>
      <c r="G392" s="166"/>
      <c r="H392" s="166"/>
      <c r="I392" s="219"/>
      <c r="J392" s="219"/>
      <c r="K392" s="219"/>
      <c r="L392" s="227" t="s">
        <v>1475</v>
      </c>
      <c r="M392" s="228" t="s">
        <v>1555</v>
      </c>
      <c r="N392" s="227" t="s">
        <v>64</v>
      </c>
      <c r="O392" s="229">
        <v>2</v>
      </c>
      <c r="P392" s="230">
        <v>160.32</v>
      </c>
      <c r="Q392" s="230">
        <v>320.64</v>
      </c>
      <c r="R392" s="220"/>
      <c r="T392" s="4"/>
      <c r="U392" s="128"/>
    </row>
    <row r="393" spans="1:21" ht="18" x14ac:dyDescent="0.3">
      <c r="A393" s="216"/>
      <c r="B393" s="203"/>
      <c r="C393" s="217"/>
      <c r="D393" s="218"/>
      <c r="E393" s="218"/>
      <c r="F393" s="165"/>
      <c r="G393" s="166"/>
      <c r="H393" s="166"/>
      <c r="I393" s="219"/>
      <c r="J393" s="219"/>
      <c r="K393" s="219"/>
      <c r="L393" s="227" t="s">
        <v>597</v>
      </c>
      <c r="M393" s="228" t="s">
        <v>598</v>
      </c>
      <c r="N393" s="227" t="s">
        <v>34</v>
      </c>
      <c r="O393" s="229">
        <v>2</v>
      </c>
      <c r="P393" s="230">
        <v>139.11000000000001</v>
      </c>
      <c r="Q393" s="230">
        <v>278.22000000000003</v>
      </c>
      <c r="R393" s="220"/>
      <c r="T393" s="4"/>
      <c r="U393" s="128"/>
    </row>
    <row r="394" spans="1:21" ht="30" x14ac:dyDescent="0.3">
      <c r="A394" s="216"/>
      <c r="B394" s="203"/>
      <c r="C394" s="217"/>
      <c r="D394" s="218"/>
      <c r="E394" s="218"/>
      <c r="F394" s="165"/>
      <c r="G394" s="166"/>
      <c r="H394" s="166"/>
      <c r="I394" s="219"/>
      <c r="J394" s="219"/>
      <c r="K394" s="219"/>
      <c r="L394" s="227" t="s">
        <v>1476</v>
      </c>
      <c r="M394" s="228" t="s">
        <v>1556</v>
      </c>
      <c r="N394" s="227" t="s">
        <v>34</v>
      </c>
      <c r="O394" s="229">
        <v>1</v>
      </c>
      <c r="P394" s="230">
        <v>171.67</v>
      </c>
      <c r="Q394" s="230">
        <v>171.67</v>
      </c>
      <c r="R394" s="220"/>
      <c r="T394" s="4"/>
      <c r="U394" s="128"/>
    </row>
    <row r="395" spans="1:21" ht="18" x14ac:dyDescent="0.3">
      <c r="A395" s="216"/>
      <c r="B395" s="203"/>
      <c r="C395" s="217"/>
      <c r="D395" s="218"/>
      <c r="E395" s="218"/>
      <c r="F395" s="165"/>
      <c r="G395" s="166"/>
      <c r="H395" s="166"/>
      <c r="I395" s="219"/>
      <c r="J395" s="219"/>
      <c r="K395" s="219"/>
      <c r="L395" s="227" t="s">
        <v>159</v>
      </c>
      <c r="M395" s="228" t="s">
        <v>160</v>
      </c>
      <c r="N395" s="227" t="s">
        <v>37</v>
      </c>
      <c r="O395" s="229">
        <v>3</v>
      </c>
      <c r="P395" s="230">
        <v>21</v>
      </c>
      <c r="Q395" s="230">
        <v>63</v>
      </c>
      <c r="R395" s="220"/>
      <c r="T395" s="4"/>
      <c r="U395" s="128"/>
    </row>
    <row r="396" spans="1:21" ht="18" x14ac:dyDescent="0.3">
      <c r="A396" s="216"/>
      <c r="B396" s="203"/>
      <c r="C396" s="217"/>
      <c r="D396" s="218"/>
      <c r="E396" s="218"/>
      <c r="F396" s="165"/>
      <c r="G396" s="166"/>
      <c r="H396" s="166"/>
      <c r="I396" s="219"/>
      <c r="J396" s="219"/>
      <c r="K396" s="219"/>
      <c r="L396" s="227" t="s">
        <v>1478</v>
      </c>
      <c r="M396" s="228" t="s">
        <v>1558</v>
      </c>
      <c r="N396" s="227" t="s">
        <v>34</v>
      </c>
      <c r="O396" s="229">
        <v>1</v>
      </c>
      <c r="P396" s="264">
        <v>1273.5</v>
      </c>
      <c r="Q396" s="264">
        <v>1273.5</v>
      </c>
      <c r="R396" s="220"/>
      <c r="T396" s="4"/>
      <c r="U396" s="128"/>
    </row>
    <row r="397" spans="1:21" ht="18" x14ac:dyDescent="0.3">
      <c r="A397" s="216"/>
      <c r="B397" s="203"/>
      <c r="C397" s="217"/>
      <c r="D397" s="218"/>
      <c r="E397" s="218"/>
      <c r="F397" s="165"/>
      <c r="G397" s="166"/>
      <c r="H397" s="166"/>
      <c r="I397" s="219"/>
      <c r="J397" s="219"/>
      <c r="K397" s="219"/>
      <c r="L397" s="227" t="s">
        <v>1480</v>
      </c>
      <c r="M397" s="228" t="s">
        <v>1560</v>
      </c>
      <c r="N397" s="227" t="s">
        <v>34</v>
      </c>
      <c r="O397" s="229">
        <v>1</v>
      </c>
      <c r="P397" s="230">
        <v>206</v>
      </c>
      <c r="Q397" s="230">
        <v>206</v>
      </c>
      <c r="R397" s="220"/>
      <c r="T397" s="4"/>
      <c r="U397" s="128"/>
    </row>
    <row r="398" spans="1:21" ht="18" x14ac:dyDescent="0.3">
      <c r="A398" s="216"/>
      <c r="B398" s="203"/>
      <c r="C398" s="217"/>
      <c r="D398" s="218"/>
      <c r="E398" s="218"/>
      <c r="F398" s="165"/>
      <c r="G398" s="166"/>
      <c r="H398" s="166"/>
      <c r="I398" s="219"/>
      <c r="J398" s="219"/>
      <c r="K398" s="219"/>
      <c r="L398" s="227" t="s">
        <v>1481</v>
      </c>
      <c r="M398" s="228" t="s">
        <v>1561</v>
      </c>
      <c r="N398" s="227" t="s">
        <v>34</v>
      </c>
      <c r="O398" s="229">
        <v>2</v>
      </c>
      <c r="P398" s="230">
        <v>52</v>
      </c>
      <c r="Q398" s="230">
        <v>104</v>
      </c>
      <c r="R398" s="220"/>
      <c r="T398" s="4"/>
      <c r="U398" s="128"/>
    </row>
    <row r="399" spans="1:21" ht="18" x14ac:dyDescent="0.3">
      <c r="A399" s="216"/>
      <c r="B399" s="203"/>
      <c r="C399" s="217"/>
      <c r="D399" s="218"/>
      <c r="E399" s="218"/>
      <c r="F399" s="165"/>
      <c r="G399" s="166"/>
      <c r="H399" s="166"/>
      <c r="I399" s="219"/>
      <c r="J399" s="219"/>
      <c r="K399" s="219"/>
      <c r="L399" s="227" t="s">
        <v>157</v>
      </c>
      <c r="M399" s="228" t="s">
        <v>158</v>
      </c>
      <c r="N399" s="227" t="s">
        <v>34</v>
      </c>
      <c r="O399" s="229">
        <v>2</v>
      </c>
      <c r="P399" s="230">
        <v>97.5</v>
      </c>
      <c r="Q399" s="230">
        <v>195</v>
      </c>
      <c r="R399" s="220"/>
      <c r="T399" s="4"/>
      <c r="U399" s="128"/>
    </row>
    <row r="400" spans="1:21" ht="18" x14ac:dyDescent="0.3">
      <c r="A400" s="216"/>
      <c r="B400" s="203"/>
      <c r="C400" s="217"/>
      <c r="D400" s="218"/>
      <c r="E400" s="218"/>
      <c r="F400" s="165"/>
      <c r="G400" s="166"/>
      <c r="H400" s="166"/>
      <c r="I400" s="219"/>
      <c r="J400" s="219"/>
      <c r="K400" s="219"/>
      <c r="L400" s="227" t="s">
        <v>627</v>
      </c>
      <c r="M400" s="228" t="s">
        <v>628</v>
      </c>
      <c r="N400" s="227" t="s">
        <v>34</v>
      </c>
      <c r="O400" s="229">
        <v>2</v>
      </c>
      <c r="P400" s="230">
        <v>25</v>
      </c>
      <c r="Q400" s="230">
        <v>50</v>
      </c>
      <c r="R400" s="220"/>
      <c r="T400" s="4"/>
      <c r="U400" s="128"/>
    </row>
    <row r="401" spans="1:21" ht="18" x14ac:dyDescent="0.3">
      <c r="A401" s="216"/>
      <c r="B401" s="203"/>
      <c r="C401" s="217"/>
      <c r="D401" s="218"/>
      <c r="E401" s="218"/>
      <c r="F401" s="165"/>
      <c r="G401" s="166"/>
      <c r="H401" s="166"/>
      <c r="I401" s="219"/>
      <c r="J401" s="219"/>
      <c r="K401" s="219"/>
      <c r="L401" s="227" t="s">
        <v>1482</v>
      </c>
      <c r="M401" s="228" t="s">
        <v>1562</v>
      </c>
      <c r="N401" s="227" t="s">
        <v>34</v>
      </c>
      <c r="O401" s="229">
        <v>1</v>
      </c>
      <c r="P401" s="230">
        <v>75.400000000000006</v>
      </c>
      <c r="Q401" s="230">
        <v>75.400000000000006</v>
      </c>
      <c r="R401" s="220"/>
      <c r="T401" s="4"/>
      <c r="U401" s="128"/>
    </row>
    <row r="402" spans="1:21" ht="18" x14ac:dyDescent="0.3">
      <c r="A402" s="216"/>
      <c r="B402" s="203"/>
      <c r="C402" s="217"/>
      <c r="D402" s="218"/>
      <c r="E402" s="218"/>
      <c r="F402" s="165"/>
      <c r="G402" s="166"/>
      <c r="H402" s="166"/>
      <c r="I402" s="219"/>
      <c r="J402" s="219"/>
      <c r="K402" s="219"/>
      <c r="L402" s="227" t="s">
        <v>1624</v>
      </c>
      <c r="M402" s="228" t="s">
        <v>1650</v>
      </c>
      <c r="N402" s="227" t="s">
        <v>34</v>
      </c>
      <c r="O402" s="229">
        <v>1</v>
      </c>
      <c r="P402" s="230">
        <v>381.8</v>
      </c>
      <c r="Q402" s="230">
        <v>381.8</v>
      </c>
      <c r="R402" s="220"/>
      <c r="T402" s="4"/>
      <c r="U402" s="128"/>
    </row>
    <row r="403" spans="1:21" ht="18" x14ac:dyDescent="0.3">
      <c r="A403" s="216"/>
      <c r="B403" s="203"/>
      <c r="C403" s="217"/>
      <c r="D403" s="218"/>
      <c r="E403" s="218"/>
      <c r="F403" s="165"/>
      <c r="G403" s="166"/>
      <c r="H403" s="166"/>
      <c r="I403" s="219"/>
      <c r="J403" s="219"/>
      <c r="K403" s="219"/>
      <c r="L403" s="227" t="s">
        <v>1794</v>
      </c>
      <c r="M403" s="228" t="s">
        <v>1814</v>
      </c>
      <c r="N403" s="227" t="s">
        <v>34</v>
      </c>
      <c r="O403" s="229">
        <v>1</v>
      </c>
      <c r="P403" s="230">
        <v>66.650000000000006</v>
      </c>
      <c r="Q403" s="230">
        <v>66.650000000000006</v>
      </c>
      <c r="R403" s="220"/>
      <c r="T403" s="4"/>
      <c r="U403" s="128"/>
    </row>
    <row r="404" spans="1:21" ht="18" x14ac:dyDescent="0.3">
      <c r="A404" s="216"/>
      <c r="B404" s="203"/>
      <c r="C404" s="217"/>
      <c r="D404" s="218"/>
      <c r="E404" s="218"/>
      <c r="F404" s="165"/>
      <c r="G404" s="166"/>
      <c r="H404" s="166"/>
      <c r="I404" s="219"/>
      <c r="J404" s="219"/>
      <c r="K404" s="219"/>
      <c r="L404" s="227" t="s">
        <v>1483</v>
      </c>
      <c r="M404" s="228" t="s">
        <v>1563</v>
      </c>
      <c r="N404" s="227" t="s">
        <v>34</v>
      </c>
      <c r="O404" s="229">
        <v>2</v>
      </c>
      <c r="P404" s="230">
        <v>114.17</v>
      </c>
      <c r="Q404" s="230">
        <v>228.33</v>
      </c>
      <c r="R404" s="220"/>
      <c r="T404" s="4"/>
      <c r="U404" s="128"/>
    </row>
    <row r="405" spans="1:21" ht="18" x14ac:dyDescent="0.3">
      <c r="A405" s="216"/>
      <c r="B405" s="203"/>
      <c r="C405" s="217"/>
      <c r="D405" s="218"/>
      <c r="E405" s="218"/>
      <c r="F405" s="165"/>
      <c r="G405" s="166"/>
      <c r="H405" s="166"/>
      <c r="I405" s="219"/>
      <c r="J405" s="219"/>
      <c r="K405" s="219"/>
      <c r="L405" s="227" t="s">
        <v>1484</v>
      </c>
      <c r="M405" s="228" t="s">
        <v>1564</v>
      </c>
      <c r="N405" s="227" t="s">
        <v>34</v>
      </c>
      <c r="O405" s="229">
        <v>1</v>
      </c>
      <c r="P405" s="230">
        <v>114.17</v>
      </c>
      <c r="Q405" s="230">
        <v>114.17</v>
      </c>
      <c r="R405" s="220"/>
      <c r="T405" s="4"/>
      <c r="U405" s="128"/>
    </row>
    <row r="406" spans="1:21" ht="18" x14ac:dyDescent="0.3">
      <c r="A406" s="216"/>
      <c r="B406" s="203"/>
      <c r="C406" s="217"/>
      <c r="D406" s="218"/>
      <c r="E406" s="218"/>
      <c r="F406" s="165"/>
      <c r="G406" s="166"/>
      <c r="H406" s="166"/>
      <c r="I406" s="219"/>
      <c r="J406" s="219"/>
      <c r="K406" s="219"/>
      <c r="L406" s="227" t="s">
        <v>1795</v>
      </c>
      <c r="M406" s="228" t="s">
        <v>1815</v>
      </c>
      <c r="N406" s="227" t="s">
        <v>34</v>
      </c>
      <c r="O406" s="229">
        <v>1</v>
      </c>
      <c r="P406" s="230">
        <v>252.5</v>
      </c>
      <c r="Q406" s="230">
        <v>252.5</v>
      </c>
      <c r="R406" s="220"/>
      <c r="T406" s="4"/>
      <c r="U406" s="128"/>
    </row>
    <row r="407" spans="1:21" ht="18" x14ac:dyDescent="0.3">
      <c r="A407" s="216"/>
      <c r="B407" s="203"/>
      <c r="C407" s="217"/>
      <c r="D407" s="218"/>
      <c r="E407" s="218"/>
      <c r="F407" s="165"/>
      <c r="G407" s="166"/>
      <c r="H407" s="166"/>
      <c r="I407" s="219"/>
      <c r="J407" s="219"/>
      <c r="K407" s="219"/>
      <c r="L407" s="227" t="s">
        <v>98</v>
      </c>
      <c r="M407" s="228" t="s">
        <v>99</v>
      </c>
      <c r="N407" s="227" t="s">
        <v>37</v>
      </c>
      <c r="O407" s="229">
        <v>4</v>
      </c>
      <c r="P407" s="230">
        <v>131</v>
      </c>
      <c r="Q407" s="230">
        <v>524</v>
      </c>
      <c r="R407" s="220"/>
      <c r="T407" s="4"/>
      <c r="U407" s="128"/>
    </row>
    <row r="408" spans="1:21" ht="18" x14ac:dyDescent="0.3">
      <c r="A408" s="216"/>
      <c r="B408" s="203"/>
      <c r="C408" s="217"/>
      <c r="D408" s="218"/>
      <c r="E408" s="218"/>
      <c r="F408" s="165"/>
      <c r="G408" s="166"/>
      <c r="H408" s="166"/>
      <c r="I408" s="219"/>
      <c r="J408" s="219"/>
      <c r="K408" s="219"/>
      <c r="L408" s="227" t="s">
        <v>1796</v>
      </c>
      <c r="M408" s="228" t="s">
        <v>1816</v>
      </c>
      <c r="N408" s="227" t="s">
        <v>34</v>
      </c>
      <c r="O408" s="229">
        <v>1</v>
      </c>
      <c r="P408" s="230">
        <v>138.33000000000001</v>
      </c>
      <c r="Q408" s="230">
        <v>138.33000000000001</v>
      </c>
      <c r="R408" s="220"/>
      <c r="T408" s="4"/>
      <c r="U408" s="128"/>
    </row>
    <row r="409" spans="1:21" ht="18" x14ac:dyDescent="0.3">
      <c r="A409" s="216"/>
      <c r="B409" s="203"/>
      <c r="C409" s="217"/>
      <c r="D409" s="218"/>
      <c r="E409" s="218"/>
      <c r="F409" s="165"/>
      <c r="G409" s="166"/>
      <c r="H409" s="166"/>
      <c r="I409" s="219"/>
      <c r="J409" s="219"/>
      <c r="K409" s="219"/>
      <c r="L409" s="227" t="s">
        <v>1797</v>
      </c>
      <c r="M409" s="228" t="s">
        <v>1817</v>
      </c>
      <c r="N409" s="227" t="s">
        <v>34</v>
      </c>
      <c r="O409" s="229">
        <v>1</v>
      </c>
      <c r="P409" s="230">
        <v>201.67</v>
      </c>
      <c r="Q409" s="230">
        <v>201.67</v>
      </c>
      <c r="R409" s="220"/>
      <c r="T409" s="4"/>
      <c r="U409" s="128"/>
    </row>
    <row r="410" spans="1:21" ht="18" x14ac:dyDescent="0.3">
      <c r="A410" s="216"/>
      <c r="B410" s="203"/>
      <c r="C410" s="217"/>
      <c r="D410" s="218"/>
      <c r="E410" s="218"/>
      <c r="F410" s="165"/>
      <c r="G410" s="166"/>
      <c r="H410" s="166"/>
      <c r="I410" s="219"/>
      <c r="J410" s="219"/>
      <c r="K410" s="219"/>
      <c r="L410" s="227" t="s">
        <v>679</v>
      </c>
      <c r="M410" s="228" t="s">
        <v>680</v>
      </c>
      <c r="N410" s="227" t="s">
        <v>34</v>
      </c>
      <c r="O410" s="229">
        <v>1</v>
      </c>
      <c r="P410" s="230">
        <v>5</v>
      </c>
      <c r="Q410" s="230">
        <v>5</v>
      </c>
      <c r="R410" s="220"/>
      <c r="T410" s="4"/>
      <c r="U410" s="128"/>
    </row>
    <row r="411" spans="1:21" ht="18" x14ac:dyDescent="0.3">
      <c r="A411" s="216"/>
      <c r="B411" s="203"/>
      <c r="C411" s="217"/>
      <c r="D411" s="218"/>
      <c r="E411" s="218"/>
      <c r="F411" s="165"/>
      <c r="G411" s="166"/>
      <c r="H411" s="166"/>
      <c r="I411" s="219"/>
      <c r="J411" s="219"/>
      <c r="K411" s="219"/>
      <c r="L411" s="227" t="s">
        <v>1485</v>
      </c>
      <c r="M411" s="228" t="s">
        <v>1565</v>
      </c>
      <c r="N411" s="227" t="s">
        <v>34</v>
      </c>
      <c r="O411" s="229">
        <v>4</v>
      </c>
      <c r="P411" s="230">
        <v>20.09</v>
      </c>
      <c r="Q411" s="230">
        <v>80.349999999999994</v>
      </c>
      <c r="R411" s="220"/>
      <c r="T411" s="4"/>
      <c r="U411" s="128"/>
    </row>
    <row r="412" spans="1:21" ht="18" x14ac:dyDescent="0.3">
      <c r="A412" s="216"/>
      <c r="B412" s="203"/>
      <c r="C412" s="217"/>
      <c r="D412" s="218"/>
      <c r="E412" s="218"/>
      <c r="F412" s="165"/>
      <c r="G412" s="166"/>
      <c r="H412" s="166"/>
      <c r="I412" s="219"/>
      <c r="J412" s="219"/>
      <c r="K412" s="219"/>
      <c r="L412" s="227" t="s">
        <v>532</v>
      </c>
      <c r="M412" s="228" t="s">
        <v>533</v>
      </c>
      <c r="N412" s="227" t="s">
        <v>34</v>
      </c>
      <c r="O412" s="229">
        <v>1</v>
      </c>
      <c r="P412" s="230">
        <v>428.3</v>
      </c>
      <c r="Q412" s="230">
        <v>428.3</v>
      </c>
      <c r="R412" s="220"/>
      <c r="T412" s="4"/>
      <c r="U412" s="128"/>
    </row>
    <row r="413" spans="1:21" ht="18" x14ac:dyDescent="0.3">
      <c r="A413" s="216"/>
      <c r="B413" s="203"/>
      <c r="C413" s="217"/>
      <c r="D413" s="218"/>
      <c r="E413" s="218"/>
      <c r="F413" s="165"/>
      <c r="G413" s="166"/>
      <c r="H413" s="166"/>
      <c r="I413" s="219"/>
      <c r="J413" s="219"/>
      <c r="K413" s="219"/>
      <c r="L413" s="227" t="s">
        <v>710</v>
      </c>
      <c r="M413" s="228" t="s">
        <v>711</v>
      </c>
      <c r="N413" s="227" t="s">
        <v>34</v>
      </c>
      <c r="O413" s="229">
        <v>4</v>
      </c>
      <c r="P413" s="230">
        <v>73</v>
      </c>
      <c r="Q413" s="230">
        <v>292</v>
      </c>
      <c r="R413" s="220"/>
      <c r="T413" s="4"/>
      <c r="U413" s="128"/>
    </row>
    <row r="414" spans="1:21" ht="18" x14ac:dyDescent="0.3">
      <c r="A414" s="216"/>
      <c r="B414" s="203"/>
      <c r="C414" s="217"/>
      <c r="D414" s="218"/>
      <c r="E414" s="218"/>
      <c r="F414" s="165"/>
      <c r="G414" s="166"/>
      <c r="H414" s="166"/>
      <c r="I414" s="219"/>
      <c r="J414" s="219"/>
      <c r="K414" s="219"/>
      <c r="L414" s="227" t="s">
        <v>651</v>
      </c>
      <c r="M414" s="228" t="s">
        <v>652</v>
      </c>
      <c r="N414" s="227" t="s">
        <v>34</v>
      </c>
      <c r="O414" s="229">
        <v>1</v>
      </c>
      <c r="P414" s="230">
        <v>153.33000000000001</v>
      </c>
      <c r="Q414" s="230">
        <v>153.33000000000001</v>
      </c>
      <c r="R414" s="220"/>
      <c r="T414" s="4"/>
      <c r="U414" s="128"/>
    </row>
    <row r="415" spans="1:21" ht="18" x14ac:dyDescent="0.3">
      <c r="A415" s="216"/>
      <c r="B415" s="203"/>
      <c r="C415" s="217"/>
      <c r="D415" s="218"/>
      <c r="E415" s="218"/>
      <c r="F415" s="165"/>
      <c r="G415" s="166"/>
      <c r="H415" s="166"/>
      <c r="I415" s="219"/>
      <c r="J415" s="219"/>
      <c r="K415" s="219"/>
      <c r="L415" s="227" t="s">
        <v>638</v>
      </c>
      <c r="M415" s="228" t="s">
        <v>639</v>
      </c>
      <c r="N415" s="227" t="s">
        <v>64</v>
      </c>
      <c r="O415" s="229">
        <v>2</v>
      </c>
      <c r="P415" s="230">
        <v>149.16999999999999</v>
      </c>
      <c r="Q415" s="230">
        <v>298.33999999999997</v>
      </c>
      <c r="R415" s="220"/>
      <c r="T415" s="4"/>
      <c r="U415" s="128"/>
    </row>
    <row r="416" spans="1:21" ht="18" x14ac:dyDescent="0.3">
      <c r="A416" s="216"/>
      <c r="B416" s="203"/>
      <c r="C416" s="217"/>
      <c r="D416" s="218"/>
      <c r="E416" s="218"/>
      <c r="F416" s="165"/>
      <c r="G416" s="166"/>
      <c r="H416" s="166"/>
      <c r="I416" s="219"/>
      <c r="J416" s="219"/>
      <c r="K416" s="219"/>
      <c r="L416" s="227" t="s">
        <v>1486</v>
      </c>
      <c r="M416" s="228" t="s">
        <v>1566</v>
      </c>
      <c r="N416" s="227" t="s">
        <v>34</v>
      </c>
      <c r="O416" s="229">
        <v>2</v>
      </c>
      <c r="P416" s="230">
        <v>217.34</v>
      </c>
      <c r="Q416" s="230">
        <v>434.67</v>
      </c>
      <c r="R416" s="220"/>
      <c r="T416" s="4"/>
      <c r="U416" s="128"/>
    </row>
    <row r="417" spans="1:21" ht="18" x14ac:dyDescent="0.3">
      <c r="A417" s="216"/>
      <c r="B417" s="203"/>
      <c r="C417" s="217"/>
      <c r="D417" s="218"/>
      <c r="E417" s="218"/>
      <c r="F417" s="165"/>
      <c r="G417" s="166"/>
      <c r="H417" s="166"/>
      <c r="I417" s="219"/>
      <c r="J417" s="219"/>
      <c r="K417" s="219"/>
      <c r="L417" s="227" t="s">
        <v>1798</v>
      </c>
      <c r="M417" s="228" t="s">
        <v>1818</v>
      </c>
      <c r="N417" s="227" t="s">
        <v>34</v>
      </c>
      <c r="O417" s="229">
        <v>1</v>
      </c>
      <c r="P417" s="230">
        <v>110.02</v>
      </c>
      <c r="Q417" s="230">
        <v>110.02</v>
      </c>
      <c r="R417" s="220"/>
      <c r="T417" s="4"/>
      <c r="U417" s="128"/>
    </row>
    <row r="418" spans="1:21" ht="18" x14ac:dyDescent="0.3">
      <c r="A418" s="216"/>
      <c r="B418" s="203"/>
      <c r="C418" s="217"/>
      <c r="D418" s="218"/>
      <c r="E418" s="218"/>
      <c r="F418" s="165"/>
      <c r="G418" s="166"/>
      <c r="H418" s="166"/>
      <c r="I418" s="219"/>
      <c r="J418" s="219"/>
      <c r="K418" s="219"/>
      <c r="L418" s="227" t="s">
        <v>1487</v>
      </c>
      <c r="M418" s="228" t="s">
        <v>1567</v>
      </c>
      <c r="N418" s="227" t="s">
        <v>34</v>
      </c>
      <c r="O418" s="229">
        <v>2</v>
      </c>
      <c r="P418" s="230">
        <v>34</v>
      </c>
      <c r="Q418" s="230">
        <v>68</v>
      </c>
      <c r="R418" s="220"/>
      <c r="T418" s="4"/>
      <c r="U418" s="128"/>
    </row>
    <row r="419" spans="1:21" ht="18" x14ac:dyDescent="0.3">
      <c r="A419" s="216"/>
      <c r="B419" s="203"/>
      <c r="C419" s="217"/>
      <c r="D419" s="218"/>
      <c r="E419" s="218"/>
      <c r="F419" s="165"/>
      <c r="G419" s="166"/>
      <c r="H419" s="166"/>
      <c r="I419" s="219"/>
      <c r="J419" s="219"/>
      <c r="K419" s="219"/>
      <c r="L419" s="227" t="s">
        <v>1489</v>
      </c>
      <c r="M419" s="228" t="s">
        <v>1569</v>
      </c>
      <c r="N419" s="227" t="s">
        <v>34</v>
      </c>
      <c r="O419" s="229">
        <v>1</v>
      </c>
      <c r="P419" s="230">
        <v>71</v>
      </c>
      <c r="Q419" s="230">
        <v>71</v>
      </c>
      <c r="R419" s="220"/>
      <c r="T419" s="4"/>
      <c r="U419" s="128"/>
    </row>
    <row r="420" spans="1:21" ht="18" x14ac:dyDescent="0.3">
      <c r="A420" s="216"/>
      <c r="B420" s="203"/>
      <c r="C420" s="217"/>
      <c r="D420" s="218"/>
      <c r="E420" s="218"/>
      <c r="F420" s="165"/>
      <c r="G420" s="166"/>
      <c r="H420" s="166"/>
      <c r="I420" s="219"/>
      <c r="J420" s="219"/>
      <c r="K420" s="219"/>
      <c r="L420" s="227" t="s">
        <v>1490</v>
      </c>
      <c r="M420" s="228" t="s">
        <v>1570</v>
      </c>
      <c r="N420" s="227" t="s">
        <v>34</v>
      </c>
      <c r="O420" s="229">
        <v>3</v>
      </c>
      <c r="P420" s="230">
        <v>216.66</v>
      </c>
      <c r="Q420" s="230">
        <v>649.98</v>
      </c>
      <c r="R420" s="220"/>
      <c r="T420" s="4"/>
      <c r="U420" s="128"/>
    </row>
    <row r="421" spans="1:21" ht="18" x14ac:dyDescent="0.3">
      <c r="A421" s="216"/>
      <c r="B421" s="203"/>
      <c r="C421" s="217"/>
      <c r="D421" s="218"/>
      <c r="E421" s="218"/>
      <c r="F421" s="165"/>
      <c r="G421" s="166"/>
      <c r="H421" s="166"/>
      <c r="I421" s="219"/>
      <c r="J421" s="219"/>
      <c r="K421" s="219"/>
      <c r="L421" s="227" t="s">
        <v>1799</v>
      </c>
      <c r="M421" s="228" t="s">
        <v>1819</v>
      </c>
      <c r="N421" s="227" t="s">
        <v>34</v>
      </c>
      <c r="O421" s="229">
        <v>1</v>
      </c>
      <c r="P421" s="230">
        <v>695.34</v>
      </c>
      <c r="Q421" s="230">
        <v>695.34</v>
      </c>
      <c r="R421" s="220"/>
      <c r="T421" s="4"/>
      <c r="U421" s="128"/>
    </row>
    <row r="422" spans="1:21" ht="18" x14ac:dyDescent="0.3">
      <c r="A422" s="216"/>
      <c r="B422" s="203"/>
      <c r="C422" s="217"/>
      <c r="D422" s="218"/>
      <c r="E422" s="218"/>
      <c r="F422" s="165"/>
      <c r="G422" s="166"/>
      <c r="H422" s="166"/>
      <c r="I422" s="219"/>
      <c r="J422" s="219"/>
      <c r="K422" s="219"/>
      <c r="L422" s="227" t="s">
        <v>1492</v>
      </c>
      <c r="M422" s="228" t="s">
        <v>1572</v>
      </c>
      <c r="N422" s="227" t="s">
        <v>34</v>
      </c>
      <c r="O422" s="229">
        <v>1</v>
      </c>
      <c r="P422" s="230">
        <v>89</v>
      </c>
      <c r="Q422" s="230">
        <v>89</v>
      </c>
      <c r="R422" s="220"/>
      <c r="T422" s="4"/>
      <c r="U422" s="128"/>
    </row>
    <row r="423" spans="1:21" ht="18" x14ac:dyDescent="0.3">
      <c r="A423" s="216"/>
      <c r="B423" s="203"/>
      <c r="C423" s="217"/>
      <c r="D423" s="218"/>
      <c r="E423" s="218"/>
      <c r="F423" s="165"/>
      <c r="G423" s="166"/>
      <c r="H423" s="166"/>
      <c r="I423" s="219"/>
      <c r="J423" s="219"/>
      <c r="K423" s="219"/>
      <c r="L423" s="227" t="s">
        <v>1800</v>
      </c>
      <c r="M423" s="228" t="s">
        <v>1820</v>
      </c>
      <c r="N423" s="227" t="s">
        <v>34</v>
      </c>
      <c r="O423" s="229">
        <v>1</v>
      </c>
      <c r="P423" s="230">
        <v>198</v>
      </c>
      <c r="Q423" s="230">
        <v>198</v>
      </c>
      <c r="R423" s="220"/>
      <c r="T423" s="4"/>
      <c r="U423" s="128"/>
    </row>
    <row r="424" spans="1:21" ht="18" x14ac:dyDescent="0.3">
      <c r="A424" s="216"/>
      <c r="B424" s="203"/>
      <c r="C424" s="217"/>
      <c r="D424" s="218"/>
      <c r="E424" s="218"/>
      <c r="F424" s="165"/>
      <c r="G424" s="166"/>
      <c r="H424" s="166"/>
      <c r="I424" s="219"/>
      <c r="J424" s="219"/>
      <c r="K424" s="219"/>
      <c r="L424" s="227" t="s">
        <v>1493</v>
      </c>
      <c r="M424" s="228" t="s">
        <v>1573</v>
      </c>
      <c r="N424" s="227" t="s">
        <v>34</v>
      </c>
      <c r="O424" s="229">
        <v>1</v>
      </c>
      <c r="P424" s="230">
        <v>97.5</v>
      </c>
      <c r="Q424" s="230">
        <v>97.5</v>
      </c>
      <c r="R424" s="220"/>
      <c r="T424" s="4"/>
      <c r="U424" s="128"/>
    </row>
    <row r="425" spans="1:21" ht="18" x14ac:dyDescent="0.3">
      <c r="A425" s="216"/>
      <c r="B425" s="203"/>
      <c r="C425" s="217"/>
      <c r="D425" s="218"/>
      <c r="E425" s="218"/>
      <c r="F425" s="165"/>
      <c r="G425" s="166"/>
      <c r="H425" s="166"/>
      <c r="I425" s="219"/>
      <c r="J425" s="219"/>
      <c r="K425" s="219"/>
      <c r="L425" s="227" t="s">
        <v>1494</v>
      </c>
      <c r="M425" s="228" t="s">
        <v>1574</v>
      </c>
      <c r="N425" s="227" t="s">
        <v>64</v>
      </c>
      <c r="O425" s="229">
        <v>1</v>
      </c>
      <c r="P425" s="230">
        <v>179.2</v>
      </c>
      <c r="Q425" s="230">
        <v>179.2</v>
      </c>
      <c r="R425" s="220"/>
      <c r="T425" s="4"/>
      <c r="U425" s="128"/>
    </row>
    <row r="426" spans="1:21" ht="18" x14ac:dyDescent="0.3">
      <c r="A426" s="216"/>
      <c r="B426" s="203"/>
      <c r="C426" s="217"/>
      <c r="D426" s="218"/>
      <c r="E426" s="218"/>
      <c r="F426" s="165"/>
      <c r="G426" s="166"/>
      <c r="H426" s="166"/>
      <c r="I426" s="219"/>
      <c r="J426" s="219"/>
      <c r="K426" s="219"/>
      <c r="L426" s="227" t="s">
        <v>1495</v>
      </c>
      <c r="M426" s="228" t="s">
        <v>1575</v>
      </c>
      <c r="N426" s="227" t="s">
        <v>34</v>
      </c>
      <c r="O426" s="229">
        <v>1</v>
      </c>
      <c r="P426" s="230">
        <v>54.17</v>
      </c>
      <c r="Q426" s="230">
        <v>54.17</v>
      </c>
      <c r="R426" s="220"/>
      <c r="T426" s="4"/>
      <c r="U426" s="128"/>
    </row>
    <row r="427" spans="1:21" ht="18" x14ac:dyDescent="0.3">
      <c r="A427" s="216"/>
      <c r="B427" s="203"/>
      <c r="C427" s="217"/>
      <c r="D427" s="218"/>
      <c r="E427" s="218"/>
      <c r="F427" s="165"/>
      <c r="G427" s="166"/>
      <c r="H427" s="166"/>
      <c r="I427" s="219"/>
      <c r="J427" s="219"/>
      <c r="K427" s="219"/>
      <c r="L427" s="227" t="s">
        <v>1801</v>
      </c>
      <c r="M427" s="228" t="s">
        <v>1821</v>
      </c>
      <c r="N427" s="227" t="s">
        <v>34</v>
      </c>
      <c r="O427" s="229">
        <v>1</v>
      </c>
      <c r="P427" s="230">
        <v>420</v>
      </c>
      <c r="Q427" s="230">
        <v>420</v>
      </c>
      <c r="R427" s="220"/>
      <c r="T427" s="4"/>
      <c r="U427" s="128"/>
    </row>
    <row r="428" spans="1:21" ht="18" x14ac:dyDescent="0.3">
      <c r="A428" s="216"/>
      <c r="B428" s="203"/>
      <c r="C428" s="217"/>
      <c r="D428" s="218"/>
      <c r="E428" s="218"/>
      <c r="F428" s="165"/>
      <c r="G428" s="166"/>
      <c r="H428" s="166"/>
      <c r="I428" s="219"/>
      <c r="J428" s="219"/>
      <c r="K428" s="219"/>
      <c r="L428" s="227" t="s">
        <v>1802</v>
      </c>
      <c r="M428" s="228" t="s">
        <v>1822</v>
      </c>
      <c r="N428" s="227" t="s">
        <v>34</v>
      </c>
      <c r="O428" s="229">
        <v>1</v>
      </c>
      <c r="P428" s="264">
        <v>1190</v>
      </c>
      <c r="Q428" s="264">
        <v>1190</v>
      </c>
      <c r="R428" s="220"/>
      <c r="T428" s="4"/>
      <c r="U428" s="128"/>
    </row>
    <row r="429" spans="1:21" ht="18" x14ac:dyDescent="0.3">
      <c r="A429" s="216"/>
      <c r="B429" s="203"/>
      <c r="C429" s="217"/>
      <c r="D429" s="218"/>
      <c r="E429" s="218"/>
      <c r="F429" s="165"/>
      <c r="G429" s="166"/>
      <c r="H429" s="166"/>
      <c r="I429" s="219"/>
      <c r="J429" s="219"/>
      <c r="K429" s="219"/>
      <c r="L429" s="227" t="s">
        <v>1497</v>
      </c>
      <c r="M429" s="228" t="s">
        <v>1577</v>
      </c>
      <c r="N429" s="227" t="s">
        <v>34</v>
      </c>
      <c r="O429" s="229">
        <v>1</v>
      </c>
      <c r="P429" s="230">
        <v>166.5</v>
      </c>
      <c r="Q429" s="230">
        <v>166.5</v>
      </c>
      <c r="R429" s="220"/>
      <c r="T429" s="4"/>
      <c r="U429" s="128"/>
    </row>
    <row r="430" spans="1:21" ht="18" x14ac:dyDescent="0.3">
      <c r="A430" s="216"/>
      <c r="B430" s="203"/>
      <c r="C430" s="217"/>
      <c r="D430" s="218"/>
      <c r="E430" s="218"/>
      <c r="F430" s="165"/>
      <c r="G430" s="166"/>
      <c r="H430" s="166"/>
      <c r="I430" s="219"/>
      <c r="J430" s="219"/>
      <c r="K430" s="219"/>
      <c r="L430" s="227" t="s">
        <v>1498</v>
      </c>
      <c r="M430" s="228" t="s">
        <v>1578</v>
      </c>
      <c r="N430" s="227" t="s">
        <v>34</v>
      </c>
      <c r="O430" s="229">
        <v>4</v>
      </c>
      <c r="P430" s="230">
        <v>315.49</v>
      </c>
      <c r="Q430" s="264">
        <v>1261.95</v>
      </c>
      <c r="R430" s="220"/>
      <c r="T430" s="4"/>
      <c r="U430" s="128"/>
    </row>
    <row r="431" spans="1:21" ht="18" x14ac:dyDescent="0.3">
      <c r="A431" s="216"/>
      <c r="B431" s="203"/>
      <c r="C431" s="217"/>
      <c r="D431" s="218"/>
      <c r="E431" s="218"/>
      <c r="F431" s="165"/>
      <c r="G431" s="166"/>
      <c r="H431" s="166"/>
      <c r="I431" s="219"/>
      <c r="J431" s="219"/>
      <c r="K431" s="219"/>
      <c r="L431" s="227" t="s">
        <v>1632</v>
      </c>
      <c r="M431" s="228" t="s">
        <v>1658</v>
      </c>
      <c r="N431" s="227" t="s">
        <v>34</v>
      </c>
      <c r="O431" s="229">
        <v>1</v>
      </c>
      <c r="P431" s="230">
        <v>48.3</v>
      </c>
      <c r="Q431" s="230">
        <v>48.3</v>
      </c>
      <c r="R431" s="220"/>
      <c r="T431" s="4"/>
      <c r="U431" s="128"/>
    </row>
    <row r="432" spans="1:21" ht="18" x14ac:dyDescent="0.3">
      <c r="A432" s="216"/>
      <c r="B432" s="203"/>
      <c r="C432" s="217"/>
      <c r="D432" s="218"/>
      <c r="E432" s="218"/>
      <c r="F432" s="165"/>
      <c r="G432" s="166"/>
      <c r="H432" s="166"/>
      <c r="I432" s="219"/>
      <c r="J432" s="219"/>
      <c r="K432" s="219"/>
      <c r="L432" s="227" t="s">
        <v>1501</v>
      </c>
      <c r="M432" s="228" t="s">
        <v>1581</v>
      </c>
      <c r="N432" s="227" t="s">
        <v>64</v>
      </c>
      <c r="O432" s="229">
        <v>3</v>
      </c>
      <c r="P432" s="230">
        <v>51</v>
      </c>
      <c r="Q432" s="230">
        <v>153</v>
      </c>
      <c r="R432" s="220"/>
      <c r="T432" s="4"/>
      <c r="U432" s="128"/>
    </row>
    <row r="433" spans="1:21" ht="18" x14ac:dyDescent="0.3">
      <c r="A433" s="216"/>
      <c r="B433" s="203"/>
      <c r="C433" s="217"/>
      <c r="D433" s="218"/>
      <c r="E433" s="218"/>
      <c r="F433" s="165"/>
      <c r="G433" s="166"/>
      <c r="H433" s="166"/>
      <c r="I433" s="219"/>
      <c r="J433" s="219"/>
      <c r="K433" s="219"/>
      <c r="L433" s="227" t="s">
        <v>1633</v>
      </c>
      <c r="M433" s="228" t="s">
        <v>1659</v>
      </c>
      <c r="N433" s="227" t="s">
        <v>64</v>
      </c>
      <c r="O433" s="229">
        <v>1</v>
      </c>
      <c r="P433" s="230">
        <v>51</v>
      </c>
      <c r="Q433" s="230">
        <v>51</v>
      </c>
      <c r="R433" s="220"/>
      <c r="T433" s="4"/>
      <c r="U433" s="128"/>
    </row>
    <row r="434" spans="1:21" ht="18" x14ac:dyDescent="0.3">
      <c r="A434" s="216"/>
      <c r="B434" s="203"/>
      <c r="C434" s="217"/>
      <c r="D434" s="218"/>
      <c r="E434" s="218"/>
      <c r="F434" s="165"/>
      <c r="G434" s="166"/>
      <c r="H434" s="166"/>
      <c r="I434" s="219"/>
      <c r="J434" s="219"/>
      <c r="K434" s="219"/>
      <c r="L434" s="227" t="s">
        <v>1502</v>
      </c>
      <c r="M434" s="228" t="s">
        <v>1582</v>
      </c>
      <c r="N434" s="227" t="s">
        <v>64</v>
      </c>
      <c r="O434" s="229">
        <v>1</v>
      </c>
      <c r="P434" s="230">
        <v>325</v>
      </c>
      <c r="Q434" s="230">
        <v>325</v>
      </c>
      <c r="R434" s="220"/>
      <c r="T434" s="4"/>
      <c r="U434" s="128"/>
    </row>
    <row r="435" spans="1:21" ht="18" x14ac:dyDescent="0.3">
      <c r="A435" s="216"/>
      <c r="B435" s="203"/>
      <c r="C435" s="217"/>
      <c r="D435" s="218"/>
      <c r="E435" s="218"/>
      <c r="F435" s="165"/>
      <c r="G435" s="166"/>
      <c r="H435" s="166"/>
      <c r="I435" s="219"/>
      <c r="J435" s="219"/>
      <c r="K435" s="219"/>
      <c r="L435" s="227" t="s">
        <v>1503</v>
      </c>
      <c r="M435" s="228" t="s">
        <v>1583</v>
      </c>
      <c r="N435" s="227" t="s">
        <v>35</v>
      </c>
      <c r="O435" s="229">
        <v>2</v>
      </c>
      <c r="P435" s="230">
        <v>65</v>
      </c>
      <c r="Q435" s="230">
        <v>130</v>
      </c>
      <c r="R435" s="220"/>
      <c r="T435" s="4"/>
      <c r="U435" s="128"/>
    </row>
    <row r="436" spans="1:21" ht="18" x14ac:dyDescent="0.3">
      <c r="A436" s="216"/>
      <c r="B436" s="203"/>
      <c r="C436" s="217"/>
      <c r="D436" s="218"/>
      <c r="E436" s="218"/>
      <c r="F436" s="165"/>
      <c r="G436" s="166"/>
      <c r="H436" s="166"/>
      <c r="I436" s="219"/>
      <c r="J436" s="219"/>
      <c r="K436" s="219"/>
      <c r="L436" s="227" t="s">
        <v>1803</v>
      </c>
      <c r="M436" s="228" t="s">
        <v>1823</v>
      </c>
      <c r="N436" s="227" t="s">
        <v>34</v>
      </c>
      <c r="O436" s="229">
        <v>1</v>
      </c>
      <c r="P436" s="230">
        <v>300</v>
      </c>
      <c r="Q436" s="230">
        <v>300</v>
      </c>
      <c r="R436" s="220"/>
      <c r="T436" s="4"/>
      <c r="U436" s="128"/>
    </row>
    <row r="437" spans="1:21" ht="18" x14ac:dyDescent="0.3">
      <c r="A437" s="216"/>
      <c r="B437" s="203"/>
      <c r="C437" s="217"/>
      <c r="D437" s="218"/>
      <c r="E437" s="218"/>
      <c r="F437" s="165"/>
      <c r="G437" s="166"/>
      <c r="H437" s="166"/>
      <c r="I437" s="219"/>
      <c r="J437" s="219"/>
      <c r="K437" s="219"/>
      <c r="L437" s="227" t="s">
        <v>1804</v>
      </c>
      <c r="M437" s="228" t="s">
        <v>1824</v>
      </c>
      <c r="N437" s="227" t="s">
        <v>37</v>
      </c>
      <c r="O437" s="229">
        <v>1</v>
      </c>
      <c r="P437" s="230">
        <v>26.8</v>
      </c>
      <c r="Q437" s="230">
        <v>26.8</v>
      </c>
      <c r="R437" s="220"/>
      <c r="T437" s="4"/>
      <c r="U437" s="128"/>
    </row>
    <row r="438" spans="1:21" ht="18" x14ac:dyDescent="0.3">
      <c r="A438" s="216"/>
      <c r="B438" s="203"/>
      <c r="C438" s="217"/>
      <c r="D438" s="218"/>
      <c r="E438" s="218"/>
      <c r="F438" s="165"/>
      <c r="G438" s="166"/>
      <c r="H438" s="166"/>
      <c r="I438" s="219"/>
      <c r="J438" s="219"/>
      <c r="K438" s="219"/>
      <c r="L438" s="227" t="s">
        <v>1504</v>
      </c>
      <c r="M438" s="228" t="s">
        <v>1584</v>
      </c>
      <c r="N438" s="227" t="s">
        <v>34</v>
      </c>
      <c r="O438" s="229">
        <v>1</v>
      </c>
      <c r="P438" s="230">
        <v>130.72</v>
      </c>
      <c r="Q438" s="230">
        <v>130.72</v>
      </c>
      <c r="R438" s="220"/>
      <c r="T438" s="4"/>
      <c r="U438" s="128"/>
    </row>
    <row r="439" spans="1:21" ht="18" x14ac:dyDescent="0.3">
      <c r="A439" s="216"/>
      <c r="B439" s="203"/>
      <c r="C439" s="217"/>
      <c r="D439" s="218"/>
      <c r="E439" s="218"/>
      <c r="F439" s="165"/>
      <c r="G439" s="166"/>
      <c r="H439" s="166"/>
      <c r="I439" s="219"/>
      <c r="J439" s="219"/>
      <c r="K439" s="219"/>
      <c r="L439" s="227" t="s">
        <v>1505</v>
      </c>
      <c r="M439" s="228" t="s">
        <v>1585</v>
      </c>
      <c r="N439" s="227" t="s">
        <v>34</v>
      </c>
      <c r="O439" s="229">
        <v>1</v>
      </c>
      <c r="P439" s="230">
        <v>49</v>
      </c>
      <c r="Q439" s="230">
        <v>49</v>
      </c>
      <c r="R439" s="220"/>
      <c r="T439" s="4"/>
      <c r="U439" s="128"/>
    </row>
    <row r="440" spans="1:21" ht="18" x14ac:dyDescent="0.3">
      <c r="A440" s="216"/>
      <c r="B440" s="203"/>
      <c r="C440" s="217"/>
      <c r="D440" s="218"/>
      <c r="E440" s="218"/>
      <c r="F440" s="165"/>
      <c r="G440" s="166"/>
      <c r="H440" s="166"/>
      <c r="I440" s="219"/>
      <c r="J440" s="219"/>
      <c r="K440" s="219"/>
      <c r="L440" s="227" t="s">
        <v>1805</v>
      </c>
      <c r="M440" s="228" t="s">
        <v>1825</v>
      </c>
      <c r="N440" s="227" t="s">
        <v>34</v>
      </c>
      <c r="O440" s="229">
        <v>1</v>
      </c>
      <c r="P440" s="230">
        <v>73</v>
      </c>
      <c r="Q440" s="230">
        <v>73</v>
      </c>
      <c r="R440" s="220"/>
      <c r="T440" s="4"/>
      <c r="U440" s="128"/>
    </row>
    <row r="441" spans="1:21" ht="18" x14ac:dyDescent="0.3">
      <c r="A441" s="216"/>
      <c r="B441" s="203"/>
      <c r="C441" s="217"/>
      <c r="D441" s="218"/>
      <c r="E441" s="218"/>
      <c r="F441" s="165"/>
      <c r="G441" s="166"/>
      <c r="H441" s="166"/>
      <c r="I441" s="219"/>
      <c r="J441" s="219"/>
      <c r="K441" s="219"/>
      <c r="L441" s="227" t="s">
        <v>1506</v>
      </c>
      <c r="M441" s="228" t="s">
        <v>1586</v>
      </c>
      <c r="N441" s="227" t="s">
        <v>64</v>
      </c>
      <c r="O441" s="229">
        <v>0.14000000000000001</v>
      </c>
      <c r="P441" s="264">
        <v>4165.79</v>
      </c>
      <c r="Q441" s="230">
        <v>583.21</v>
      </c>
      <c r="R441" s="220"/>
      <c r="T441" s="4"/>
      <c r="U441" s="128"/>
    </row>
    <row r="442" spans="1:21" ht="18" x14ac:dyDescent="0.3">
      <c r="A442" s="216"/>
      <c r="B442" s="203"/>
      <c r="C442" s="217"/>
      <c r="D442" s="218"/>
      <c r="E442" s="218"/>
      <c r="F442" s="165"/>
      <c r="G442" s="166"/>
      <c r="H442" s="166"/>
      <c r="I442" s="219"/>
      <c r="J442" s="219"/>
      <c r="K442" s="219"/>
      <c r="L442" s="227" t="s">
        <v>546</v>
      </c>
      <c r="M442" s="228" t="s">
        <v>253</v>
      </c>
      <c r="N442" s="227" t="s">
        <v>34</v>
      </c>
      <c r="O442" s="229">
        <v>2</v>
      </c>
      <c r="P442" s="230">
        <v>78</v>
      </c>
      <c r="Q442" s="230">
        <v>156</v>
      </c>
      <c r="R442" s="220"/>
      <c r="T442" s="4"/>
      <c r="U442" s="128"/>
    </row>
    <row r="443" spans="1:21" ht="18" x14ac:dyDescent="0.3">
      <c r="A443" s="216"/>
      <c r="B443" s="203"/>
      <c r="C443" s="217"/>
      <c r="D443" s="218"/>
      <c r="E443" s="218"/>
      <c r="F443" s="165"/>
      <c r="G443" s="166"/>
      <c r="H443" s="166"/>
      <c r="I443" s="219"/>
      <c r="J443" s="219"/>
      <c r="K443" s="219"/>
      <c r="L443" s="227" t="s">
        <v>1420</v>
      </c>
      <c r="M443" s="228" t="s">
        <v>1443</v>
      </c>
      <c r="N443" s="227" t="s">
        <v>34</v>
      </c>
      <c r="O443" s="229">
        <v>3</v>
      </c>
      <c r="P443" s="230">
        <v>151.66</v>
      </c>
      <c r="Q443" s="230">
        <v>454.99</v>
      </c>
      <c r="R443" s="220"/>
      <c r="T443" s="4"/>
      <c r="U443" s="128"/>
    </row>
    <row r="444" spans="1:21" ht="18" x14ac:dyDescent="0.3">
      <c r="A444" s="216"/>
      <c r="B444" s="203"/>
      <c r="C444" s="217"/>
      <c r="D444" s="218"/>
      <c r="E444" s="218"/>
      <c r="F444" s="165"/>
      <c r="G444" s="166"/>
      <c r="H444" s="166"/>
      <c r="I444" s="219"/>
      <c r="J444" s="219"/>
      <c r="K444" s="219"/>
      <c r="L444" s="227" t="s">
        <v>1507</v>
      </c>
      <c r="M444" s="228" t="s">
        <v>1587</v>
      </c>
      <c r="N444" s="227" t="s">
        <v>34</v>
      </c>
      <c r="O444" s="229">
        <v>1</v>
      </c>
      <c r="P444" s="230">
        <v>25</v>
      </c>
      <c r="Q444" s="230">
        <v>25</v>
      </c>
      <c r="R444" s="220"/>
      <c r="T444" s="4"/>
      <c r="U444" s="128"/>
    </row>
    <row r="445" spans="1:21" ht="18" x14ac:dyDescent="0.3">
      <c r="A445" s="216"/>
      <c r="B445" s="203"/>
      <c r="C445" s="217"/>
      <c r="D445" s="218"/>
      <c r="E445" s="218"/>
      <c r="F445" s="165"/>
      <c r="G445" s="166"/>
      <c r="H445" s="166"/>
      <c r="I445" s="219"/>
      <c r="J445" s="219"/>
      <c r="K445" s="219"/>
      <c r="L445" s="227" t="s">
        <v>646</v>
      </c>
      <c r="M445" s="228" t="s">
        <v>647</v>
      </c>
      <c r="N445" s="227" t="s">
        <v>34</v>
      </c>
      <c r="O445" s="229">
        <v>1</v>
      </c>
      <c r="P445" s="230">
        <v>362</v>
      </c>
      <c r="Q445" s="230">
        <v>362</v>
      </c>
      <c r="R445" s="220"/>
      <c r="T445" s="4"/>
      <c r="U445" s="128"/>
    </row>
    <row r="446" spans="1:21" ht="18" x14ac:dyDescent="0.3">
      <c r="A446" s="216"/>
      <c r="B446" s="203"/>
      <c r="C446" s="217"/>
      <c r="D446" s="218"/>
      <c r="E446" s="218"/>
      <c r="F446" s="165"/>
      <c r="G446" s="166"/>
      <c r="H446" s="166"/>
      <c r="I446" s="219"/>
      <c r="J446" s="219"/>
      <c r="K446" s="219"/>
      <c r="L446" s="227" t="s">
        <v>660</v>
      </c>
      <c r="M446" s="228" t="s">
        <v>1588</v>
      </c>
      <c r="N446" s="227" t="s">
        <v>147</v>
      </c>
      <c r="O446" s="229">
        <v>41</v>
      </c>
      <c r="P446" s="230">
        <v>45.83</v>
      </c>
      <c r="Q446" s="264">
        <v>1878.95</v>
      </c>
      <c r="R446" s="220"/>
      <c r="T446" s="4"/>
      <c r="U446" s="128"/>
    </row>
    <row r="447" spans="1:21" ht="18" x14ac:dyDescent="0.3">
      <c r="A447" s="216"/>
      <c r="B447" s="203"/>
      <c r="C447" s="217"/>
      <c r="D447" s="218"/>
      <c r="E447" s="218"/>
      <c r="F447" s="165"/>
      <c r="G447" s="166"/>
      <c r="H447" s="166"/>
      <c r="I447" s="219"/>
      <c r="J447" s="219"/>
      <c r="K447" s="219"/>
      <c r="L447" s="227" t="s">
        <v>538</v>
      </c>
      <c r="M447" s="228" t="s">
        <v>117</v>
      </c>
      <c r="N447" s="227" t="s">
        <v>34</v>
      </c>
      <c r="O447" s="229">
        <v>3</v>
      </c>
      <c r="P447" s="230">
        <v>234.25</v>
      </c>
      <c r="Q447" s="230">
        <v>702.75</v>
      </c>
      <c r="R447" s="220"/>
      <c r="T447" s="4"/>
      <c r="U447" s="128"/>
    </row>
    <row r="448" spans="1:21" ht="18" x14ac:dyDescent="0.3">
      <c r="A448" s="216"/>
      <c r="B448" s="203"/>
      <c r="C448" s="217"/>
      <c r="D448" s="218"/>
      <c r="E448" s="218"/>
      <c r="F448" s="165"/>
      <c r="G448" s="166"/>
      <c r="H448" s="166"/>
      <c r="I448" s="219"/>
      <c r="J448" s="219"/>
      <c r="K448" s="219"/>
      <c r="L448" s="227" t="s">
        <v>1509</v>
      </c>
      <c r="M448" s="228" t="s">
        <v>1590</v>
      </c>
      <c r="N448" s="227" t="s">
        <v>147</v>
      </c>
      <c r="O448" s="229">
        <v>5</v>
      </c>
      <c r="P448" s="230">
        <v>137</v>
      </c>
      <c r="Q448" s="230">
        <v>685</v>
      </c>
      <c r="R448" s="220"/>
      <c r="T448" s="4"/>
      <c r="U448" s="128"/>
    </row>
    <row r="449" spans="1:21" ht="18" x14ac:dyDescent="0.3">
      <c r="A449" s="216"/>
      <c r="B449" s="203"/>
      <c r="C449" s="217"/>
      <c r="D449" s="218"/>
      <c r="E449" s="218"/>
      <c r="F449" s="165"/>
      <c r="G449" s="166"/>
      <c r="H449" s="166"/>
      <c r="I449" s="219"/>
      <c r="J449" s="219"/>
      <c r="K449" s="219"/>
      <c r="L449" s="227" t="s">
        <v>1510</v>
      </c>
      <c r="M449" s="228" t="s">
        <v>1591</v>
      </c>
      <c r="N449" s="227" t="s">
        <v>34</v>
      </c>
      <c r="O449" s="229">
        <v>2</v>
      </c>
      <c r="P449" s="230">
        <v>156.66999999999999</v>
      </c>
      <c r="Q449" s="230">
        <v>313.33999999999997</v>
      </c>
      <c r="R449" s="220"/>
      <c r="T449" s="4"/>
      <c r="U449" s="128"/>
    </row>
    <row r="450" spans="1:21" ht="18" x14ac:dyDescent="0.3">
      <c r="A450" s="216"/>
      <c r="B450" s="203"/>
      <c r="C450" s="217"/>
      <c r="D450" s="218"/>
      <c r="E450" s="218"/>
      <c r="F450" s="165"/>
      <c r="G450" s="166"/>
      <c r="H450" s="166"/>
      <c r="I450" s="219"/>
      <c r="J450" s="219"/>
      <c r="K450" s="219"/>
      <c r="L450" s="227" t="s">
        <v>630</v>
      </c>
      <c r="M450" s="228" t="s">
        <v>631</v>
      </c>
      <c r="N450" s="227" t="s">
        <v>34</v>
      </c>
      <c r="O450" s="229">
        <v>1</v>
      </c>
      <c r="P450" s="230">
        <v>57</v>
      </c>
      <c r="Q450" s="230">
        <v>57</v>
      </c>
      <c r="R450" s="220"/>
      <c r="T450" s="4"/>
      <c r="U450" s="128"/>
    </row>
    <row r="451" spans="1:21" ht="18" x14ac:dyDescent="0.3">
      <c r="A451" s="216"/>
      <c r="B451" s="203"/>
      <c r="C451" s="217"/>
      <c r="D451" s="218"/>
      <c r="E451" s="218"/>
      <c r="F451" s="165"/>
      <c r="G451" s="166"/>
      <c r="H451" s="166"/>
      <c r="I451" s="219"/>
      <c r="J451" s="219"/>
      <c r="K451" s="219"/>
      <c r="L451" s="227" t="s">
        <v>1511</v>
      </c>
      <c r="M451" s="228" t="s">
        <v>1592</v>
      </c>
      <c r="N451" s="227" t="s">
        <v>34</v>
      </c>
      <c r="O451" s="229">
        <v>15</v>
      </c>
      <c r="P451" s="230">
        <v>4.6500000000000004</v>
      </c>
      <c r="Q451" s="230">
        <v>69.75</v>
      </c>
      <c r="R451" s="220"/>
      <c r="T451" s="4"/>
      <c r="U451" s="128"/>
    </row>
    <row r="452" spans="1:21" ht="18" x14ac:dyDescent="0.3">
      <c r="A452" s="216"/>
      <c r="B452" s="203"/>
      <c r="C452" s="217"/>
      <c r="D452" s="218"/>
      <c r="E452" s="218"/>
      <c r="F452" s="165"/>
      <c r="G452" s="166"/>
      <c r="H452" s="166"/>
      <c r="I452" s="219"/>
      <c r="J452" s="219"/>
      <c r="K452" s="219"/>
      <c r="L452" s="227" t="s">
        <v>1512</v>
      </c>
      <c r="M452" s="228" t="s">
        <v>1593</v>
      </c>
      <c r="N452" s="227" t="s">
        <v>34</v>
      </c>
      <c r="O452" s="229">
        <v>1</v>
      </c>
      <c r="P452" s="230">
        <v>7.5</v>
      </c>
      <c r="Q452" s="230">
        <v>7.5</v>
      </c>
      <c r="R452" s="220"/>
      <c r="T452" s="4"/>
      <c r="U452" s="128"/>
    </row>
    <row r="453" spans="1:21" ht="18" x14ac:dyDescent="0.3">
      <c r="A453" s="216"/>
      <c r="B453" s="203"/>
      <c r="C453" s="217"/>
      <c r="D453" s="218"/>
      <c r="E453" s="218"/>
      <c r="F453" s="165"/>
      <c r="G453" s="166"/>
      <c r="H453" s="166"/>
      <c r="I453" s="219"/>
      <c r="J453" s="219"/>
      <c r="K453" s="219"/>
      <c r="L453" s="227" t="s">
        <v>578</v>
      </c>
      <c r="M453" s="228" t="s">
        <v>183</v>
      </c>
      <c r="N453" s="227" t="s">
        <v>34</v>
      </c>
      <c r="O453" s="229">
        <v>1</v>
      </c>
      <c r="P453" s="230">
        <v>197</v>
      </c>
      <c r="Q453" s="230">
        <v>197</v>
      </c>
      <c r="R453" s="220"/>
      <c r="T453" s="4"/>
      <c r="U453" s="128"/>
    </row>
    <row r="454" spans="1:21" ht="18" x14ac:dyDescent="0.3">
      <c r="A454" s="216"/>
      <c r="B454" s="203"/>
      <c r="C454" s="217"/>
      <c r="D454" s="218"/>
      <c r="E454" s="218"/>
      <c r="F454" s="165"/>
      <c r="G454" s="166"/>
      <c r="H454" s="166"/>
      <c r="I454" s="219"/>
      <c r="J454" s="219"/>
      <c r="K454" s="219"/>
      <c r="L454" s="227" t="s">
        <v>1514</v>
      </c>
      <c r="M454" s="228" t="s">
        <v>1595</v>
      </c>
      <c r="N454" s="227" t="s">
        <v>34</v>
      </c>
      <c r="O454" s="229">
        <v>4</v>
      </c>
      <c r="P454" s="230">
        <v>34</v>
      </c>
      <c r="Q454" s="230">
        <v>136</v>
      </c>
      <c r="R454" s="220"/>
      <c r="T454" s="4"/>
      <c r="U454" s="128"/>
    </row>
    <row r="455" spans="1:21" ht="18" x14ac:dyDescent="0.3">
      <c r="A455" s="216"/>
      <c r="B455" s="203"/>
      <c r="C455" s="217"/>
      <c r="D455" s="218"/>
      <c r="E455" s="218"/>
      <c r="F455" s="165"/>
      <c r="G455" s="166"/>
      <c r="H455" s="166"/>
      <c r="I455" s="219"/>
      <c r="J455" s="219"/>
      <c r="K455" s="219"/>
      <c r="L455" s="227" t="s">
        <v>1516</v>
      </c>
      <c r="M455" s="228" t="s">
        <v>1597</v>
      </c>
      <c r="N455" s="227" t="s">
        <v>34</v>
      </c>
      <c r="O455" s="229">
        <v>1</v>
      </c>
      <c r="P455" s="230">
        <v>50.4</v>
      </c>
      <c r="Q455" s="230">
        <v>50.4</v>
      </c>
      <c r="R455" s="220"/>
      <c r="T455" s="4"/>
      <c r="U455" s="128"/>
    </row>
    <row r="456" spans="1:21" ht="18" x14ac:dyDescent="0.3">
      <c r="A456" s="216"/>
      <c r="B456" s="203"/>
      <c r="C456" s="217"/>
      <c r="D456" s="218"/>
      <c r="E456" s="218"/>
      <c r="F456" s="165"/>
      <c r="G456" s="166"/>
      <c r="H456" s="166"/>
      <c r="I456" s="219"/>
      <c r="J456" s="219"/>
      <c r="K456" s="219"/>
      <c r="L456" s="227" t="s">
        <v>703</v>
      </c>
      <c r="M456" s="228" t="s">
        <v>704</v>
      </c>
      <c r="N456" s="227" t="s">
        <v>34</v>
      </c>
      <c r="O456" s="229">
        <v>1</v>
      </c>
      <c r="P456" s="230">
        <v>149</v>
      </c>
      <c r="Q456" s="230">
        <v>149</v>
      </c>
      <c r="R456" s="220"/>
      <c r="T456" s="4"/>
      <c r="U456" s="128"/>
    </row>
    <row r="457" spans="1:21" ht="18" x14ac:dyDescent="0.3">
      <c r="A457" s="216"/>
      <c r="B457" s="203"/>
      <c r="C457" s="217"/>
      <c r="D457" s="218"/>
      <c r="E457" s="218"/>
      <c r="F457" s="165"/>
      <c r="G457" s="166"/>
      <c r="H457" s="166"/>
      <c r="I457" s="219"/>
      <c r="J457" s="219"/>
      <c r="K457" s="219"/>
      <c r="L457" s="227" t="s">
        <v>649</v>
      </c>
      <c r="M457" s="228" t="s">
        <v>650</v>
      </c>
      <c r="N457" s="227" t="s">
        <v>34</v>
      </c>
      <c r="O457" s="229">
        <v>3</v>
      </c>
      <c r="P457" s="230">
        <v>23</v>
      </c>
      <c r="Q457" s="230">
        <v>69</v>
      </c>
      <c r="R457" s="220"/>
      <c r="T457" s="4"/>
      <c r="U457" s="128"/>
    </row>
    <row r="458" spans="1:21" ht="18" x14ac:dyDescent="0.3">
      <c r="A458" s="216"/>
      <c r="B458" s="203"/>
      <c r="C458" s="217"/>
      <c r="D458" s="218"/>
      <c r="E458" s="218"/>
      <c r="F458" s="165"/>
      <c r="G458" s="166"/>
      <c r="H458" s="166"/>
      <c r="I458" s="219"/>
      <c r="J458" s="219"/>
      <c r="K458" s="219"/>
      <c r="L458" s="227" t="s">
        <v>1806</v>
      </c>
      <c r="M458" s="228" t="s">
        <v>1826</v>
      </c>
      <c r="N458" s="227" t="s">
        <v>34</v>
      </c>
      <c r="O458" s="229">
        <v>1</v>
      </c>
      <c r="P458" s="230">
        <v>379.16</v>
      </c>
      <c r="Q458" s="230">
        <v>379.16</v>
      </c>
      <c r="R458" s="220"/>
      <c r="T458" s="4"/>
      <c r="U458" s="128"/>
    </row>
    <row r="459" spans="1:21" ht="18" x14ac:dyDescent="0.3">
      <c r="A459" s="216"/>
      <c r="B459" s="203"/>
      <c r="C459" s="217"/>
      <c r="D459" s="218"/>
      <c r="E459" s="218"/>
      <c r="F459" s="165"/>
      <c r="G459" s="166"/>
      <c r="H459" s="166"/>
      <c r="I459" s="219"/>
      <c r="J459" s="219"/>
      <c r="K459" s="219"/>
      <c r="L459" s="227" t="s">
        <v>1807</v>
      </c>
      <c r="M459" s="228" t="s">
        <v>1827</v>
      </c>
      <c r="N459" s="227" t="s">
        <v>34</v>
      </c>
      <c r="O459" s="229">
        <v>1</v>
      </c>
      <c r="P459" s="230">
        <v>464.48</v>
      </c>
      <c r="Q459" s="230">
        <v>464.48</v>
      </c>
      <c r="R459" s="220"/>
      <c r="T459" s="4"/>
      <c r="U459" s="128"/>
    </row>
    <row r="460" spans="1:21" ht="18" x14ac:dyDescent="0.3">
      <c r="A460" s="216"/>
      <c r="B460" s="203"/>
      <c r="C460" s="217"/>
      <c r="D460" s="218"/>
      <c r="E460" s="218"/>
      <c r="F460" s="165"/>
      <c r="G460" s="166"/>
      <c r="H460" s="166"/>
      <c r="I460" s="219"/>
      <c r="J460" s="219"/>
      <c r="K460" s="219"/>
      <c r="L460" s="227" t="s">
        <v>1519</v>
      </c>
      <c r="M460" s="228" t="s">
        <v>1600</v>
      </c>
      <c r="N460" s="227" t="s">
        <v>34</v>
      </c>
      <c r="O460" s="229">
        <v>1</v>
      </c>
      <c r="P460" s="230">
        <v>48</v>
      </c>
      <c r="Q460" s="230">
        <v>48</v>
      </c>
      <c r="R460" s="220"/>
      <c r="T460" s="4"/>
      <c r="U460" s="128"/>
    </row>
    <row r="461" spans="1:21" ht="18" x14ac:dyDescent="0.3">
      <c r="A461" s="216"/>
      <c r="B461" s="203"/>
      <c r="C461" s="217"/>
      <c r="D461" s="218"/>
      <c r="E461" s="218"/>
      <c r="F461" s="165"/>
      <c r="G461" s="166"/>
      <c r="H461" s="166"/>
      <c r="I461" s="219"/>
      <c r="J461" s="219"/>
      <c r="K461" s="219"/>
      <c r="L461" s="227" t="s">
        <v>1761</v>
      </c>
      <c r="M461" s="228" t="s">
        <v>1781</v>
      </c>
      <c r="N461" s="227" t="s">
        <v>34</v>
      </c>
      <c r="O461" s="229">
        <v>1</v>
      </c>
      <c r="P461" s="230">
        <v>185</v>
      </c>
      <c r="Q461" s="230">
        <v>185</v>
      </c>
      <c r="R461" s="220"/>
      <c r="T461" s="4"/>
      <c r="U461" s="128"/>
    </row>
    <row r="462" spans="1:21" ht="18" x14ac:dyDescent="0.3">
      <c r="A462" s="216"/>
      <c r="B462" s="203"/>
      <c r="C462" s="217"/>
      <c r="D462" s="218"/>
      <c r="E462" s="218"/>
      <c r="F462" s="165"/>
      <c r="G462" s="166"/>
      <c r="H462" s="166"/>
      <c r="I462" s="219"/>
      <c r="J462" s="219"/>
      <c r="K462" s="219"/>
      <c r="L462" s="227" t="s">
        <v>648</v>
      </c>
      <c r="M462" s="228" t="s">
        <v>145</v>
      </c>
      <c r="N462" s="227" t="s">
        <v>37</v>
      </c>
      <c r="O462" s="229">
        <v>23</v>
      </c>
      <c r="P462" s="230">
        <v>61.25</v>
      </c>
      <c r="Q462" s="264">
        <v>1408.75</v>
      </c>
      <c r="R462" s="220"/>
      <c r="T462" s="4"/>
      <c r="U462" s="128"/>
    </row>
    <row r="463" spans="1:21" ht="18" x14ac:dyDescent="0.3">
      <c r="A463" s="216"/>
      <c r="B463" s="203"/>
      <c r="C463" s="217"/>
      <c r="D463" s="218"/>
      <c r="E463" s="218"/>
      <c r="F463" s="165"/>
      <c r="G463" s="166"/>
      <c r="H463" s="166"/>
      <c r="I463" s="219"/>
      <c r="J463" s="219"/>
      <c r="K463" s="219"/>
      <c r="L463" s="227" t="s">
        <v>1521</v>
      </c>
      <c r="M463" s="228" t="s">
        <v>1602</v>
      </c>
      <c r="N463" s="227" t="s">
        <v>34</v>
      </c>
      <c r="O463" s="229">
        <v>1</v>
      </c>
      <c r="P463" s="230">
        <v>48.5</v>
      </c>
      <c r="Q463" s="230">
        <v>48.5</v>
      </c>
      <c r="R463" s="220"/>
      <c r="T463" s="4"/>
      <c r="U463" s="128"/>
    </row>
    <row r="464" spans="1:21" ht="18" x14ac:dyDescent="0.3">
      <c r="A464" s="216"/>
      <c r="B464" s="203"/>
      <c r="C464" s="217"/>
      <c r="D464" s="218"/>
      <c r="E464" s="218"/>
      <c r="F464" s="165"/>
      <c r="G464" s="166"/>
      <c r="H464" s="166"/>
      <c r="I464" s="219"/>
      <c r="J464" s="219"/>
      <c r="K464" s="219"/>
      <c r="L464" s="227" t="s">
        <v>613</v>
      </c>
      <c r="M464" s="228" t="s">
        <v>1828</v>
      </c>
      <c r="N464" s="227" t="s">
        <v>34</v>
      </c>
      <c r="O464" s="229">
        <v>1</v>
      </c>
      <c r="P464" s="230">
        <v>189</v>
      </c>
      <c r="Q464" s="230">
        <v>189</v>
      </c>
      <c r="R464" s="220"/>
      <c r="T464" s="4"/>
      <c r="U464" s="128"/>
    </row>
    <row r="465" spans="1:21" ht="18" x14ac:dyDescent="0.3">
      <c r="A465" s="216"/>
      <c r="B465" s="203"/>
      <c r="C465" s="217"/>
      <c r="D465" s="218"/>
      <c r="E465" s="218"/>
      <c r="F465" s="165"/>
      <c r="G465" s="166"/>
      <c r="H465" s="166"/>
      <c r="I465" s="219"/>
      <c r="J465" s="219"/>
      <c r="K465" s="219"/>
      <c r="L465" s="227" t="s">
        <v>607</v>
      </c>
      <c r="M465" s="228" t="s">
        <v>608</v>
      </c>
      <c r="N465" s="227" t="s">
        <v>34</v>
      </c>
      <c r="O465" s="229">
        <v>12</v>
      </c>
      <c r="P465" s="230">
        <v>23.27</v>
      </c>
      <c r="Q465" s="230">
        <v>279.23</v>
      </c>
      <c r="R465" s="220"/>
      <c r="T465" s="4"/>
      <c r="U465" s="128"/>
    </row>
    <row r="466" spans="1:21" ht="18" x14ac:dyDescent="0.3">
      <c r="A466" s="216"/>
      <c r="B466" s="203"/>
      <c r="C466" s="217"/>
      <c r="D466" s="218"/>
      <c r="E466" s="218"/>
      <c r="F466" s="165"/>
      <c r="G466" s="166"/>
      <c r="H466" s="166"/>
      <c r="I466" s="219"/>
      <c r="J466" s="219"/>
      <c r="K466" s="219"/>
      <c r="L466" s="227" t="s">
        <v>600</v>
      </c>
      <c r="M466" s="228" t="s">
        <v>258</v>
      </c>
      <c r="N466" s="227" t="s">
        <v>34</v>
      </c>
      <c r="O466" s="229">
        <v>2</v>
      </c>
      <c r="P466" s="230">
        <v>149.16999999999999</v>
      </c>
      <c r="Q466" s="230">
        <v>298.33999999999997</v>
      </c>
      <c r="R466" s="220"/>
      <c r="T466" s="4"/>
      <c r="U466" s="128"/>
    </row>
    <row r="467" spans="1:21" ht="18" x14ac:dyDescent="0.3">
      <c r="A467" s="216"/>
      <c r="B467" s="203"/>
      <c r="C467" s="217"/>
      <c r="D467" s="218"/>
      <c r="E467" s="218"/>
      <c r="F467" s="165"/>
      <c r="G467" s="166"/>
      <c r="H467" s="166"/>
      <c r="I467" s="219"/>
      <c r="J467" s="219"/>
      <c r="K467" s="219"/>
      <c r="L467" s="227" t="s">
        <v>1523</v>
      </c>
      <c r="M467" s="228" t="s">
        <v>1604</v>
      </c>
      <c r="N467" s="227" t="s">
        <v>34</v>
      </c>
      <c r="O467" s="229">
        <v>1</v>
      </c>
      <c r="P467" s="230">
        <v>108.33</v>
      </c>
      <c r="Q467" s="230">
        <v>108.33</v>
      </c>
      <c r="R467" s="220"/>
      <c r="T467" s="4"/>
      <c r="U467" s="128"/>
    </row>
    <row r="468" spans="1:21" ht="18" x14ac:dyDescent="0.3">
      <c r="A468" s="216"/>
      <c r="B468" s="203"/>
      <c r="C468" s="217"/>
      <c r="D468" s="218"/>
      <c r="E468" s="218"/>
      <c r="F468" s="165"/>
      <c r="G468" s="166"/>
      <c r="H468" s="166"/>
      <c r="I468" s="219"/>
      <c r="J468" s="219"/>
      <c r="K468" s="219"/>
      <c r="L468" s="227" t="s">
        <v>1808</v>
      </c>
      <c r="M468" s="228" t="s">
        <v>1829</v>
      </c>
      <c r="N468" s="227" t="s">
        <v>34</v>
      </c>
      <c r="O468" s="229">
        <v>1</v>
      </c>
      <c r="P468" s="230">
        <v>69.17</v>
      </c>
      <c r="Q468" s="230">
        <v>69.17</v>
      </c>
      <c r="R468" s="220"/>
      <c r="T468" s="4"/>
      <c r="U468" s="128"/>
    </row>
    <row r="469" spans="1:21" ht="18" x14ac:dyDescent="0.3">
      <c r="A469" s="216"/>
      <c r="B469" s="203"/>
      <c r="C469" s="217"/>
      <c r="D469" s="218"/>
      <c r="E469" s="218"/>
      <c r="F469" s="165"/>
      <c r="G469" s="166"/>
      <c r="H469" s="166"/>
      <c r="I469" s="219"/>
      <c r="J469" s="219"/>
      <c r="K469" s="219"/>
      <c r="L469" s="227" t="s">
        <v>1525</v>
      </c>
      <c r="M469" s="228" t="s">
        <v>1606</v>
      </c>
      <c r="N469" s="227" t="s">
        <v>34</v>
      </c>
      <c r="O469" s="229">
        <v>2</v>
      </c>
      <c r="P469" s="230">
        <v>93.6</v>
      </c>
      <c r="Q469" s="230">
        <v>187.2</v>
      </c>
      <c r="R469" s="220"/>
      <c r="T469" s="4"/>
      <c r="U469" s="128"/>
    </row>
    <row r="470" spans="1:21" ht="18" x14ac:dyDescent="0.3">
      <c r="A470" s="216"/>
      <c r="B470" s="203"/>
      <c r="C470" s="217"/>
      <c r="D470" s="218"/>
      <c r="E470" s="218"/>
      <c r="F470" s="165"/>
      <c r="G470" s="166"/>
      <c r="H470" s="166"/>
      <c r="I470" s="219"/>
      <c r="J470" s="219"/>
      <c r="K470" s="219"/>
      <c r="L470" s="227" t="s">
        <v>1526</v>
      </c>
      <c r="M470" s="228" t="s">
        <v>1607</v>
      </c>
      <c r="N470" s="227" t="s">
        <v>34</v>
      </c>
      <c r="O470" s="229">
        <v>1</v>
      </c>
      <c r="P470" s="230">
        <v>152.9</v>
      </c>
      <c r="Q470" s="230">
        <v>152.9</v>
      </c>
      <c r="R470" s="220"/>
      <c r="T470" s="4"/>
      <c r="U470" s="128"/>
    </row>
    <row r="471" spans="1:21" ht="18" x14ac:dyDescent="0.3">
      <c r="A471" s="216"/>
      <c r="B471" s="203"/>
      <c r="C471" s="217"/>
      <c r="D471" s="218"/>
      <c r="E471" s="218"/>
      <c r="F471" s="165"/>
      <c r="G471" s="166"/>
      <c r="H471" s="166"/>
      <c r="I471" s="219"/>
      <c r="J471" s="219"/>
      <c r="K471" s="219"/>
      <c r="L471" s="227" t="s">
        <v>1765</v>
      </c>
      <c r="M471" s="228" t="s">
        <v>1785</v>
      </c>
      <c r="N471" s="227" t="s">
        <v>34</v>
      </c>
      <c r="O471" s="229">
        <v>1</v>
      </c>
      <c r="P471" s="230">
        <v>296.67</v>
      </c>
      <c r="Q471" s="230">
        <v>296.67</v>
      </c>
      <c r="R471" s="220"/>
      <c r="T471" s="4"/>
      <c r="U471" s="128"/>
    </row>
    <row r="472" spans="1:21" ht="18" x14ac:dyDescent="0.3">
      <c r="A472" s="216"/>
      <c r="B472" s="203"/>
      <c r="C472" s="217"/>
      <c r="D472" s="218"/>
      <c r="E472" s="218"/>
      <c r="F472" s="165"/>
      <c r="G472" s="166"/>
      <c r="H472" s="166"/>
      <c r="I472" s="219"/>
      <c r="J472" s="219"/>
      <c r="K472" s="219"/>
      <c r="L472" s="227" t="s">
        <v>1527</v>
      </c>
      <c r="M472" s="228" t="s">
        <v>1608</v>
      </c>
      <c r="N472" s="227" t="s">
        <v>34</v>
      </c>
      <c r="O472" s="229">
        <v>12</v>
      </c>
      <c r="P472" s="230">
        <v>62</v>
      </c>
      <c r="Q472" s="230">
        <v>744</v>
      </c>
      <c r="R472" s="220"/>
      <c r="T472" s="4"/>
      <c r="U472" s="128"/>
    </row>
    <row r="473" spans="1:21" ht="18" x14ac:dyDescent="0.3">
      <c r="A473" s="216"/>
      <c r="B473" s="203"/>
      <c r="C473" s="217"/>
      <c r="D473" s="218"/>
      <c r="E473" s="218"/>
      <c r="F473" s="165"/>
      <c r="G473" s="166"/>
      <c r="H473" s="166"/>
      <c r="I473" s="219"/>
      <c r="J473" s="219"/>
      <c r="K473" s="219"/>
      <c r="L473" s="227" t="s">
        <v>1528</v>
      </c>
      <c r="M473" s="228" t="s">
        <v>1609</v>
      </c>
      <c r="N473" s="227" t="s">
        <v>34</v>
      </c>
      <c r="O473" s="229">
        <v>2</v>
      </c>
      <c r="P473" s="230">
        <v>61</v>
      </c>
      <c r="Q473" s="230">
        <v>122</v>
      </c>
      <c r="R473" s="220"/>
      <c r="T473" s="4"/>
      <c r="U473" s="128"/>
    </row>
    <row r="474" spans="1:21" ht="18" x14ac:dyDescent="0.3">
      <c r="A474" s="216"/>
      <c r="B474" s="203"/>
      <c r="C474" s="217"/>
      <c r="D474" s="218"/>
      <c r="E474" s="218"/>
      <c r="F474" s="165"/>
      <c r="G474" s="166"/>
      <c r="H474" s="166"/>
      <c r="I474" s="219"/>
      <c r="J474" s="219"/>
      <c r="K474" s="219"/>
      <c r="L474" s="227" t="s">
        <v>1529</v>
      </c>
      <c r="M474" s="228" t="s">
        <v>410</v>
      </c>
      <c r="N474" s="227" t="s">
        <v>34</v>
      </c>
      <c r="O474" s="229">
        <v>10</v>
      </c>
      <c r="P474" s="230">
        <v>235.75</v>
      </c>
      <c r="Q474" s="264">
        <v>2357.5</v>
      </c>
      <c r="R474" s="220"/>
      <c r="T474" s="4"/>
      <c r="U474" s="128"/>
    </row>
    <row r="475" spans="1:21" ht="18" x14ac:dyDescent="0.3">
      <c r="A475" s="216"/>
      <c r="B475" s="203"/>
      <c r="C475" s="217"/>
      <c r="D475" s="218"/>
      <c r="E475" s="218"/>
      <c r="F475" s="165"/>
      <c r="G475" s="166"/>
      <c r="H475" s="166"/>
      <c r="I475" s="219"/>
      <c r="J475" s="219"/>
      <c r="K475" s="219"/>
      <c r="L475" s="227" t="s">
        <v>1809</v>
      </c>
      <c r="M475" s="228" t="s">
        <v>1830</v>
      </c>
      <c r="N475" s="227" t="s">
        <v>34</v>
      </c>
      <c r="O475" s="229">
        <v>1</v>
      </c>
      <c r="P475" s="230">
        <v>30</v>
      </c>
      <c r="Q475" s="230">
        <v>30</v>
      </c>
      <c r="R475" s="220"/>
      <c r="T475" s="4"/>
      <c r="U475" s="128"/>
    </row>
    <row r="476" spans="1:21" ht="18" x14ac:dyDescent="0.3">
      <c r="A476" s="216"/>
      <c r="B476" s="203"/>
      <c r="C476" s="217"/>
      <c r="D476" s="218"/>
      <c r="E476" s="218"/>
      <c r="F476" s="165"/>
      <c r="G476" s="166"/>
      <c r="H476" s="166"/>
      <c r="I476" s="219"/>
      <c r="J476" s="219"/>
      <c r="K476" s="219"/>
      <c r="L476" s="227" t="s">
        <v>1682</v>
      </c>
      <c r="M476" s="228" t="s">
        <v>1700</v>
      </c>
      <c r="N476" s="227" t="s">
        <v>34</v>
      </c>
      <c r="O476" s="229">
        <v>1</v>
      </c>
      <c r="P476" s="230">
        <v>68.599999999999994</v>
      </c>
      <c r="Q476" s="230">
        <v>68.599999999999994</v>
      </c>
      <c r="R476" s="220"/>
      <c r="T476" s="4"/>
      <c r="U476" s="128"/>
    </row>
    <row r="477" spans="1:21" ht="18" x14ac:dyDescent="0.3">
      <c r="A477" s="216"/>
      <c r="B477" s="203"/>
      <c r="C477" s="217"/>
      <c r="D477" s="218"/>
      <c r="E477" s="218"/>
      <c r="F477" s="165"/>
      <c r="G477" s="166"/>
      <c r="H477" s="166"/>
      <c r="I477" s="219"/>
      <c r="J477" s="219"/>
      <c r="K477" s="219"/>
      <c r="L477" s="227" t="s">
        <v>1531</v>
      </c>
      <c r="M477" s="228" t="s">
        <v>1611</v>
      </c>
      <c r="N477" s="227" t="s">
        <v>34</v>
      </c>
      <c r="O477" s="229">
        <v>2</v>
      </c>
      <c r="P477" s="230">
        <v>127</v>
      </c>
      <c r="Q477" s="230">
        <v>254</v>
      </c>
      <c r="R477" s="220"/>
      <c r="T477" s="4"/>
      <c r="U477" s="128"/>
    </row>
    <row r="478" spans="1:21" ht="18" x14ac:dyDescent="0.3">
      <c r="A478" s="216"/>
      <c r="B478" s="203"/>
      <c r="C478" s="217"/>
      <c r="D478" s="218"/>
      <c r="E478" s="218"/>
      <c r="F478" s="165"/>
      <c r="G478" s="166"/>
      <c r="H478" s="166"/>
      <c r="I478" s="219"/>
      <c r="J478" s="219"/>
      <c r="K478" s="219"/>
      <c r="L478" s="227" t="s">
        <v>1641</v>
      </c>
      <c r="M478" s="228" t="s">
        <v>1667</v>
      </c>
      <c r="N478" s="227" t="s">
        <v>64</v>
      </c>
      <c r="O478" s="229">
        <v>1</v>
      </c>
      <c r="P478" s="230">
        <v>24</v>
      </c>
      <c r="Q478" s="230">
        <v>24</v>
      </c>
      <c r="R478" s="220"/>
      <c r="T478" s="4"/>
      <c r="U478" s="128"/>
    </row>
    <row r="479" spans="1:21" ht="18" x14ac:dyDescent="0.3">
      <c r="A479" s="216"/>
      <c r="B479" s="203"/>
      <c r="C479" s="217"/>
      <c r="D479" s="218"/>
      <c r="E479" s="218"/>
      <c r="F479" s="165"/>
      <c r="G479" s="166"/>
      <c r="H479" s="166"/>
      <c r="I479" s="219"/>
      <c r="J479" s="219"/>
      <c r="K479" s="219"/>
      <c r="L479" s="227" t="s">
        <v>674</v>
      </c>
      <c r="M479" s="228" t="s">
        <v>675</v>
      </c>
      <c r="N479" s="227" t="s">
        <v>34</v>
      </c>
      <c r="O479" s="229">
        <v>1</v>
      </c>
      <c r="P479" s="230">
        <v>28.08</v>
      </c>
      <c r="Q479" s="230">
        <v>28.08</v>
      </c>
      <c r="R479" s="220"/>
      <c r="T479" s="4"/>
      <c r="U479" s="128"/>
    </row>
    <row r="480" spans="1:21" ht="18" x14ac:dyDescent="0.3">
      <c r="A480" s="216"/>
      <c r="B480" s="203"/>
      <c r="C480" s="217"/>
      <c r="D480" s="218"/>
      <c r="E480" s="218"/>
      <c r="F480" s="165"/>
      <c r="G480" s="166"/>
      <c r="H480" s="166"/>
      <c r="I480" s="219"/>
      <c r="J480" s="219"/>
      <c r="K480" s="219"/>
      <c r="L480" s="227" t="s">
        <v>706</v>
      </c>
      <c r="M480" s="228" t="s">
        <v>155</v>
      </c>
      <c r="N480" s="227" t="s">
        <v>34</v>
      </c>
      <c r="O480" s="229">
        <v>1</v>
      </c>
      <c r="P480" s="230">
        <v>54.17</v>
      </c>
      <c r="Q480" s="230">
        <v>54.17</v>
      </c>
      <c r="R480" s="220"/>
      <c r="T480" s="4"/>
      <c r="U480" s="128"/>
    </row>
    <row r="481" spans="1:21" ht="18" x14ac:dyDescent="0.3">
      <c r="A481" s="216"/>
      <c r="B481" s="203"/>
      <c r="C481" s="217"/>
      <c r="D481" s="218"/>
      <c r="E481" s="218"/>
      <c r="F481" s="165"/>
      <c r="G481" s="166"/>
      <c r="H481" s="166"/>
      <c r="I481" s="219"/>
      <c r="J481" s="219"/>
      <c r="K481" s="219"/>
      <c r="L481" s="227" t="s">
        <v>1768</v>
      </c>
      <c r="M481" s="228" t="s">
        <v>1788</v>
      </c>
      <c r="N481" s="227" t="s">
        <v>34</v>
      </c>
      <c r="O481" s="229">
        <v>1</v>
      </c>
      <c r="P481" s="230">
        <v>160.5</v>
      </c>
      <c r="Q481" s="230">
        <v>160.5</v>
      </c>
      <c r="R481" s="220"/>
      <c r="T481" s="4"/>
      <c r="U481" s="128"/>
    </row>
    <row r="482" spans="1:21" ht="18" x14ac:dyDescent="0.3">
      <c r="A482" s="216"/>
      <c r="B482" s="203"/>
      <c r="C482" s="217"/>
      <c r="D482" s="218"/>
      <c r="E482" s="218"/>
      <c r="F482" s="165"/>
      <c r="G482" s="166"/>
      <c r="H482" s="166"/>
      <c r="I482" s="219"/>
      <c r="J482" s="219"/>
      <c r="K482" s="219"/>
      <c r="L482" s="227" t="s">
        <v>1532</v>
      </c>
      <c r="M482" s="228" t="s">
        <v>1612</v>
      </c>
      <c r="N482" s="227" t="s">
        <v>64</v>
      </c>
      <c r="O482" s="229">
        <v>1</v>
      </c>
      <c r="P482" s="230">
        <v>164</v>
      </c>
      <c r="Q482" s="230">
        <v>164</v>
      </c>
      <c r="R482" s="220"/>
      <c r="T482" s="4"/>
      <c r="U482" s="128"/>
    </row>
    <row r="483" spans="1:21" ht="18" x14ac:dyDescent="0.3">
      <c r="A483" s="216"/>
      <c r="B483" s="203"/>
      <c r="C483" s="217"/>
      <c r="D483" s="218"/>
      <c r="E483" s="218"/>
      <c r="F483" s="165"/>
      <c r="G483" s="166"/>
      <c r="H483" s="166"/>
      <c r="I483" s="219"/>
      <c r="J483" s="219"/>
      <c r="K483" s="219"/>
      <c r="L483" s="227" t="s">
        <v>1533</v>
      </c>
      <c r="M483" s="228" t="s">
        <v>1613</v>
      </c>
      <c r="N483" s="227" t="s">
        <v>34</v>
      </c>
      <c r="O483" s="229">
        <v>1</v>
      </c>
      <c r="P483" s="230">
        <v>435.33</v>
      </c>
      <c r="Q483" s="230">
        <v>435.33</v>
      </c>
      <c r="R483" s="220"/>
      <c r="T483" s="4"/>
      <c r="U483" s="128"/>
    </row>
    <row r="484" spans="1:21" ht="18" x14ac:dyDescent="0.3">
      <c r="A484" s="216"/>
      <c r="B484" s="203"/>
      <c r="C484" s="217"/>
      <c r="D484" s="218"/>
      <c r="E484" s="218"/>
      <c r="F484" s="165"/>
      <c r="G484" s="166"/>
      <c r="H484" s="166"/>
      <c r="I484" s="219"/>
      <c r="J484" s="219"/>
      <c r="K484" s="219"/>
      <c r="L484" s="227" t="s">
        <v>1534</v>
      </c>
      <c r="M484" s="228" t="s">
        <v>1614</v>
      </c>
      <c r="N484" s="227" t="s">
        <v>34</v>
      </c>
      <c r="O484" s="229">
        <v>1</v>
      </c>
      <c r="P484" s="230">
        <v>24.75</v>
      </c>
      <c r="Q484" s="230">
        <v>24.75</v>
      </c>
      <c r="R484" s="220"/>
      <c r="T484" s="4"/>
      <c r="U484" s="128"/>
    </row>
    <row r="485" spans="1:21" ht="18" x14ac:dyDescent="0.3">
      <c r="A485" s="216"/>
      <c r="B485" s="203"/>
      <c r="C485" s="217"/>
      <c r="D485" s="218"/>
      <c r="E485" s="218"/>
      <c r="F485" s="165"/>
      <c r="G485" s="166"/>
      <c r="H485" s="166"/>
      <c r="I485" s="219"/>
      <c r="J485" s="219"/>
      <c r="K485" s="219"/>
      <c r="L485" s="267" t="s">
        <v>1843</v>
      </c>
      <c r="M485" s="268" t="s">
        <v>1844</v>
      </c>
      <c r="N485" s="267" t="s">
        <v>1845</v>
      </c>
      <c r="O485" s="269">
        <v>0.2</v>
      </c>
      <c r="P485" s="270">
        <v>1042.5</v>
      </c>
      <c r="Q485" s="271">
        <v>208.5</v>
      </c>
      <c r="R485" s="220"/>
      <c r="T485" s="4"/>
      <c r="U485" s="128"/>
    </row>
    <row r="486" spans="1:21" ht="18.600000000000001" thickBot="1" x14ac:dyDescent="0.35">
      <c r="A486" s="15"/>
      <c r="B486" s="20"/>
      <c r="C486" s="6"/>
      <c r="D486" s="44"/>
      <c r="E486" s="44"/>
      <c r="F486" s="75"/>
      <c r="G486" s="76"/>
      <c r="H486" s="76"/>
      <c r="I486" s="49"/>
      <c r="J486" s="49"/>
      <c r="K486" s="49"/>
      <c r="L486" s="67"/>
      <c r="M486" s="68"/>
      <c r="N486" s="68"/>
      <c r="O486" s="45"/>
      <c r="P486" s="45"/>
      <c r="Q486" s="45"/>
      <c r="R486" s="19"/>
      <c r="T486" s="4"/>
      <c r="U486" s="128"/>
    </row>
    <row r="487" spans="1:21" ht="21.6" thickBot="1" x14ac:dyDescent="0.35">
      <c r="A487" s="28"/>
      <c r="B487" s="29" t="s">
        <v>29</v>
      </c>
      <c r="C487" s="30"/>
      <c r="D487" s="31">
        <f>SUM(D367:D486)</f>
        <v>0</v>
      </c>
      <c r="E487" s="31"/>
      <c r="F487" s="71"/>
      <c r="G487" s="71"/>
      <c r="H487" s="71"/>
      <c r="I487" s="71"/>
      <c r="J487" s="71"/>
      <c r="K487" s="71"/>
      <c r="L487" s="120"/>
      <c r="M487" s="121"/>
      <c r="N487" s="121"/>
      <c r="O487" s="34"/>
      <c r="P487" s="34"/>
      <c r="Q487" s="34">
        <f>SUM(Q369:Q486)</f>
        <v>35321.560000000005</v>
      </c>
      <c r="R487" s="35"/>
    </row>
    <row r="488" spans="1:21" ht="21.6" thickBot="1" x14ac:dyDescent="0.35">
      <c r="A488" s="36"/>
      <c r="B488" s="37" t="s">
        <v>30</v>
      </c>
      <c r="C488" s="38"/>
      <c r="D488" s="39"/>
      <c r="E488" s="39"/>
      <c r="F488" s="73"/>
      <c r="G488" s="73"/>
      <c r="H488" s="73"/>
      <c r="I488" s="73"/>
      <c r="J488" s="73"/>
      <c r="K488" s="73"/>
      <c r="L488" s="122"/>
      <c r="M488" s="123"/>
      <c r="N488" s="123"/>
      <c r="O488" s="42"/>
      <c r="P488" s="42"/>
      <c r="Q488" s="42">
        <f>Q487+Q368</f>
        <v>602605.56000000052</v>
      </c>
      <c r="R488" s="43"/>
    </row>
    <row r="489" spans="1:21" ht="25.2" customHeight="1" x14ac:dyDescent="0.4">
      <c r="A489" s="288" t="s">
        <v>12</v>
      </c>
      <c r="B489" s="288"/>
      <c r="C489" s="288"/>
      <c r="D489" s="288"/>
      <c r="E489" s="288"/>
      <c r="F489" s="288"/>
      <c r="G489" s="288"/>
      <c r="H489" s="288"/>
      <c r="I489" s="288"/>
      <c r="J489" s="288"/>
      <c r="K489" s="288"/>
      <c r="L489" s="288"/>
      <c r="M489" s="288"/>
      <c r="N489" s="288"/>
      <c r="O489" s="124"/>
      <c r="P489" s="143"/>
      <c r="Q489" s="143"/>
      <c r="R489" s="5"/>
    </row>
    <row r="490" spans="1:21" ht="25.2" customHeight="1" x14ac:dyDescent="0.4">
      <c r="A490" s="288" t="s">
        <v>13</v>
      </c>
      <c r="B490" s="288"/>
      <c r="C490" s="288"/>
      <c r="D490" s="288"/>
      <c r="E490" s="288"/>
      <c r="F490" s="288"/>
      <c r="G490" s="288"/>
      <c r="H490" s="288"/>
      <c r="I490" s="288"/>
      <c r="J490" s="288"/>
      <c r="K490" s="288"/>
      <c r="L490" s="288"/>
      <c r="M490" s="288"/>
      <c r="N490" s="288"/>
      <c r="O490" s="124"/>
      <c r="P490" s="143"/>
      <c r="Q490" s="143"/>
      <c r="R490" s="5"/>
    </row>
    <row r="491" spans="1:21" ht="25.2" customHeight="1" x14ac:dyDescent="0.4">
      <c r="A491" s="290" t="s">
        <v>14</v>
      </c>
      <c r="B491" s="290"/>
      <c r="C491" s="290"/>
      <c r="D491" s="290"/>
      <c r="E491" s="290"/>
      <c r="F491" s="290"/>
      <c r="G491" s="290"/>
      <c r="H491" s="290"/>
      <c r="I491" s="290"/>
      <c r="J491" s="290"/>
      <c r="K491" s="290"/>
      <c r="L491" s="290"/>
      <c r="M491" s="290"/>
      <c r="N491" s="290"/>
      <c r="O491" s="125"/>
      <c r="P491" s="145"/>
      <c r="Q491" s="145"/>
      <c r="R491" s="5"/>
    </row>
    <row r="492" spans="1:21" ht="25.2" customHeight="1" x14ac:dyDescent="0.4">
      <c r="A492" s="288" t="s">
        <v>15</v>
      </c>
      <c r="B492" s="288"/>
      <c r="C492" s="288"/>
      <c r="D492" s="288"/>
      <c r="E492" s="288"/>
      <c r="F492" s="288"/>
      <c r="G492" s="288"/>
      <c r="H492" s="288"/>
      <c r="I492" s="288"/>
      <c r="J492" s="288"/>
      <c r="K492" s="288"/>
      <c r="L492" s="288"/>
      <c r="M492" s="288"/>
      <c r="N492" s="288"/>
      <c r="O492" s="124"/>
      <c r="P492" s="143"/>
      <c r="Q492" s="143"/>
      <c r="R492" s="5"/>
    </row>
    <row r="493" spans="1:21" ht="25.2" customHeight="1" x14ac:dyDescent="0.4">
      <c r="A493" s="288" t="s">
        <v>16</v>
      </c>
      <c r="B493" s="288"/>
      <c r="C493" s="288"/>
      <c r="D493" s="288"/>
      <c r="E493" s="288"/>
      <c r="F493" s="288"/>
      <c r="G493" s="288"/>
      <c r="H493" s="288"/>
      <c r="I493" s="288"/>
      <c r="J493" s="288"/>
      <c r="K493" s="288"/>
      <c r="L493" s="288"/>
      <c r="M493" s="288"/>
      <c r="N493" s="288"/>
      <c r="O493" s="124"/>
      <c r="P493" s="143"/>
      <c r="Q493" s="143"/>
      <c r="R493" s="5"/>
    </row>
    <row r="494" spans="1:21" ht="25.2" customHeight="1" x14ac:dyDescent="0.4">
      <c r="A494" s="288" t="s">
        <v>17</v>
      </c>
      <c r="B494" s="288"/>
      <c r="C494" s="288"/>
      <c r="D494" s="288"/>
      <c r="E494" s="288"/>
      <c r="F494" s="288"/>
      <c r="G494" s="288"/>
      <c r="H494" s="288"/>
      <c r="I494" s="288"/>
      <c r="J494" s="288"/>
      <c r="K494" s="288"/>
      <c r="L494" s="288"/>
      <c r="M494" s="288"/>
      <c r="N494" s="288"/>
      <c r="O494" s="124"/>
      <c r="P494" s="143"/>
      <c r="Q494" s="143"/>
      <c r="R494" s="5"/>
    </row>
    <row r="495" spans="1:21" ht="25.2" customHeight="1" x14ac:dyDescent="0.4">
      <c r="A495" s="288" t="s">
        <v>1852</v>
      </c>
      <c r="B495" s="288"/>
      <c r="C495" s="288"/>
      <c r="D495" s="288"/>
      <c r="E495" s="288"/>
      <c r="F495" s="288"/>
      <c r="G495" s="288"/>
      <c r="H495" s="288"/>
      <c r="I495" s="288"/>
      <c r="J495" s="288"/>
      <c r="K495" s="288"/>
      <c r="L495" s="288"/>
      <c r="M495" s="288"/>
      <c r="N495" s="288"/>
      <c r="O495" s="124"/>
      <c r="P495" s="143"/>
      <c r="Q495" s="143"/>
      <c r="R495" s="5"/>
    </row>
    <row r="496" spans="1:21" ht="25.2" customHeight="1" x14ac:dyDescent="0.4">
      <c r="A496" s="288" t="s">
        <v>17</v>
      </c>
      <c r="B496" s="288"/>
      <c r="C496" s="288"/>
      <c r="D496" s="288"/>
      <c r="E496" s="288"/>
      <c r="F496" s="288"/>
      <c r="G496" s="288"/>
      <c r="H496" s="288"/>
      <c r="I496" s="288"/>
      <c r="J496" s="288"/>
      <c r="K496" s="288"/>
      <c r="L496" s="288"/>
      <c r="M496" s="288"/>
      <c r="N496" s="288"/>
      <c r="O496" s="124"/>
      <c r="P496" s="143"/>
      <c r="Q496" s="143"/>
      <c r="R496" s="5"/>
    </row>
    <row r="497" spans="1:18" ht="25.2" customHeight="1" x14ac:dyDescent="0.4">
      <c r="A497" s="288" t="s">
        <v>19</v>
      </c>
      <c r="B497" s="288"/>
      <c r="C497" s="288"/>
      <c r="D497" s="288"/>
      <c r="E497" s="288"/>
      <c r="F497" s="288"/>
      <c r="G497" s="288"/>
      <c r="H497" s="288"/>
      <c r="I497" s="288"/>
      <c r="J497" s="288"/>
      <c r="K497" s="288"/>
      <c r="L497" s="288"/>
      <c r="M497" s="288"/>
      <c r="N497" s="288"/>
      <c r="O497" s="124"/>
      <c r="P497" s="143"/>
      <c r="Q497" s="143"/>
      <c r="R497" s="5"/>
    </row>
    <row r="498" spans="1:18" ht="25.2" customHeight="1" x14ac:dyDescent="0.4">
      <c r="A498" s="288" t="s">
        <v>11</v>
      </c>
      <c r="B498" s="288"/>
      <c r="C498" s="288"/>
      <c r="D498" s="288"/>
      <c r="E498" s="288"/>
      <c r="F498" s="288"/>
      <c r="G498" s="288"/>
      <c r="H498" s="288"/>
      <c r="I498" s="288"/>
      <c r="J498" s="288"/>
      <c r="K498" s="288"/>
      <c r="L498" s="288"/>
      <c r="M498" s="288"/>
      <c r="N498" s="288"/>
      <c r="O498" s="124"/>
      <c r="P498" s="143"/>
      <c r="Q498" s="143"/>
      <c r="R498" s="5"/>
    </row>
    <row r="499" spans="1:18" ht="25.2" customHeight="1" x14ac:dyDescent="0.4">
      <c r="A499" s="288" t="s">
        <v>1858</v>
      </c>
      <c r="B499" s="288"/>
      <c r="C499" s="288"/>
      <c r="D499" s="288"/>
      <c r="E499" s="288"/>
      <c r="F499" s="288"/>
      <c r="G499" s="288"/>
      <c r="H499" s="288"/>
      <c r="I499" s="288"/>
      <c r="J499" s="288"/>
      <c r="K499" s="288"/>
      <c r="L499" s="288"/>
      <c r="M499" s="288"/>
      <c r="N499" s="288"/>
      <c r="O499" s="124"/>
      <c r="P499" s="143"/>
      <c r="Q499" s="143"/>
      <c r="R499" s="5"/>
    </row>
    <row r="500" spans="1:18" ht="25.2" customHeight="1" x14ac:dyDescent="0.4">
      <c r="A500" s="289" t="s">
        <v>31</v>
      </c>
      <c r="B500" s="289"/>
      <c r="C500" s="289"/>
      <c r="D500" s="289"/>
      <c r="E500" s="289"/>
      <c r="F500" s="289"/>
      <c r="G500" s="289"/>
      <c r="H500" s="289"/>
      <c r="I500" s="289"/>
      <c r="J500" s="289"/>
      <c r="K500" s="289"/>
      <c r="L500" s="289"/>
      <c r="M500" s="289"/>
      <c r="N500" s="289"/>
      <c r="O500" s="126"/>
      <c r="P500" s="144"/>
      <c r="Q500" s="144"/>
      <c r="R500" s="5"/>
    </row>
    <row r="501" spans="1:18" ht="36" customHeight="1" x14ac:dyDescent="0.3"/>
  </sheetData>
  <autoFilter ref="A18:U500" xr:uid="{DE685D05-9FEE-404B-AA01-BE2D5B544193}"/>
  <mergeCells count="36">
    <mergeCell ref="A16:A17"/>
    <mergeCell ref="B16:B17"/>
    <mergeCell ref="A11:R11"/>
    <mergeCell ref="M1:R2"/>
    <mergeCell ref="M4:R4"/>
    <mergeCell ref="M5:R5"/>
    <mergeCell ref="M7:R7"/>
    <mergeCell ref="A10:R10"/>
    <mergeCell ref="R16:R17"/>
    <mergeCell ref="F16:F17"/>
    <mergeCell ref="G16:G17"/>
    <mergeCell ref="H16:H17"/>
    <mergeCell ref="I16:I17"/>
    <mergeCell ref="J16:J17"/>
    <mergeCell ref="K16:K17"/>
    <mergeCell ref="A12:R12"/>
    <mergeCell ref="A13:R13"/>
    <mergeCell ref="A14:Q14"/>
    <mergeCell ref="A15:K15"/>
    <mergeCell ref="L15:R15"/>
    <mergeCell ref="C16:C17"/>
    <mergeCell ref="D16:D17"/>
    <mergeCell ref="A500:N500"/>
    <mergeCell ref="A493:N493"/>
    <mergeCell ref="A494:N494"/>
    <mergeCell ref="A495:N495"/>
    <mergeCell ref="A496:N496"/>
    <mergeCell ref="A497:N497"/>
    <mergeCell ref="A498:N498"/>
    <mergeCell ref="A489:N489"/>
    <mergeCell ref="A490:N490"/>
    <mergeCell ref="A491:N491"/>
    <mergeCell ref="A499:N499"/>
    <mergeCell ref="A492:N492"/>
    <mergeCell ref="E16:E17"/>
    <mergeCell ref="M16:Q16"/>
  </mergeCells>
  <pageMargins left="0.25" right="0.25" top="0.75" bottom="0.75" header="0.3" footer="0.3"/>
  <pageSetup paperSize="9" scale="36" fitToHeight="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0ED1-39F5-40FF-A675-7181AB957F8D}">
  <sheetPr>
    <tabColor rgb="FFFFFF00"/>
    <pageSetUpPr fitToPage="1"/>
  </sheetPr>
  <dimension ref="A1:U461"/>
  <sheetViews>
    <sheetView topLeftCell="E348" zoomScale="68" zoomScaleNormal="68" workbookViewId="0">
      <selection activeCell="S438" sqref="S438"/>
    </sheetView>
  </sheetViews>
  <sheetFormatPr defaultRowHeight="14.4" x14ac:dyDescent="0.3"/>
  <cols>
    <col min="1" max="1" width="6.6640625" style="147" customWidth="1"/>
    <col min="2" max="2" width="63.109375" customWidth="1"/>
    <col min="3" max="3" width="10.44140625" style="147" customWidth="1"/>
    <col min="4" max="4" width="11.109375" style="147" customWidth="1"/>
    <col min="5" max="5" width="13.109375" style="147" customWidth="1"/>
    <col min="6" max="6" width="20.109375" style="147" customWidth="1"/>
    <col min="7" max="11" width="13.109375" style="147" customWidth="1"/>
    <col min="12" max="12" width="17.33203125" style="4" customWidth="1"/>
    <col min="13" max="13" width="61" style="4" customWidth="1"/>
    <col min="14" max="15" width="11.6640625" style="4" customWidth="1"/>
    <col min="16" max="16" width="19.77734375" style="4" customWidth="1"/>
    <col min="17" max="17" width="15.44140625" style="4" bestFit="1" customWidth="1"/>
    <col min="18" max="18" width="35.44140625" customWidth="1"/>
    <col min="19" max="19" width="12.109375" bestFit="1" customWidth="1"/>
    <col min="21" max="21" width="9.88671875" bestFit="1" customWidth="1"/>
  </cols>
  <sheetData>
    <row r="1" spans="1:20" ht="15.75" customHeight="1" x14ac:dyDescent="0.3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06" t="s">
        <v>26</v>
      </c>
      <c r="N1" s="306"/>
      <c r="O1" s="306"/>
      <c r="P1" s="306"/>
      <c r="Q1" s="306"/>
      <c r="R1" s="306"/>
      <c r="S1" s="13"/>
      <c r="T1" s="13"/>
    </row>
    <row r="2" spans="1:20" ht="15" customHeight="1" x14ac:dyDescent="0.3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07"/>
      <c r="N2" s="307"/>
      <c r="O2" s="307"/>
      <c r="P2" s="307"/>
      <c r="Q2" s="307"/>
      <c r="R2" s="307"/>
      <c r="S2" s="13"/>
      <c r="T2" s="13"/>
    </row>
    <row r="3" spans="1:20" ht="15.6" x14ac:dyDescent="0.3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19"/>
      <c r="N3" s="119"/>
      <c r="O3" s="119"/>
      <c r="P3" s="146"/>
      <c r="Q3" s="146"/>
      <c r="R3" s="146"/>
      <c r="S3" s="13"/>
      <c r="T3" s="13"/>
    </row>
    <row r="4" spans="1:20" ht="23.4" x14ac:dyDescent="0.4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08" t="s">
        <v>27</v>
      </c>
      <c r="N4" s="308"/>
      <c r="O4" s="308"/>
      <c r="P4" s="308"/>
      <c r="Q4" s="308"/>
      <c r="R4" s="308"/>
      <c r="S4" s="13"/>
      <c r="T4" s="13"/>
    </row>
    <row r="5" spans="1:20" ht="21" x14ac:dyDescent="0.4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09" t="s">
        <v>28</v>
      </c>
      <c r="N5" s="309"/>
      <c r="O5" s="309"/>
      <c r="P5" s="309"/>
      <c r="Q5" s="309"/>
      <c r="R5" s="309"/>
      <c r="S5" s="13"/>
      <c r="T5" s="13"/>
    </row>
    <row r="6" spans="1:20" ht="15.6" x14ac:dyDescent="0.3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9"/>
      <c r="O6" s="9"/>
      <c r="P6" s="10"/>
      <c r="Q6" s="11"/>
      <c r="R6" s="12"/>
      <c r="S6" s="13"/>
      <c r="T6" s="13"/>
    </row>
    <row r="7" spans="1:20" ht="18" x14ac:dyDescent="0.35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10" t="s">
        <v>33</v>
      </c>
      <c r="N7" s="310"/>
      <c r="O7" s="310"/>
      <c r="P7" s="310"/>
      <c r="Q7" s="310"/>
      <c r="R7" s="310"/>
      <c r="S7" s="13"/>
      <c r="T7" s="13"/>
    </row>
    <row r="8" spans="1:20" ht="15.6" x14ac:dyDescent="0.3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S8" s="13"/>
      <c r="T8" s="13"/>
    </row>
    <row r="9" spans="1:20" ht="15.6" x14ac:dyDescent="0.3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S9" s="13"/>
      <c r="T9" s="13"/>
    </row>
    <row r="10" spans="1:20" ht="18" customHeight="1" x14ac:dyDescent="0.3">
      <c r="A10" s="305" t="s">
        <v>0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13"/>
      <c r="T10" s="13"/>
    </row>
    <row r="11" spans="1:20" ht="18" customHeight="1" x14ac:dyDescent="0.3">
      <c r="A11" s="305" t="s">
        <v>1</v>
      </c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13"/>
      <c r="T11" s="13"/>
    </row>
    <row r="12" spans="1:20" ht="18" customHeight="1" x14ac:dyDescent="0.3">
      <c r="A12" s="305" t="s">
        <v>2</v>
      </c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13"/>
      <c r="T12" s="13"/>
    </row>
    <row r="13" spans="1:20" ht="63.6" customHeight="1" x14ac:dyDescent="0.3">
      <c r="A13" s="311" t="s">
        <v>1860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</row>
    <row r="14" spans="1:20" ht="27" customHeight="1" thickBot="1" x14ac:dyDescent="0.35">
      <c r="A14" s="313" t="s">
        <v>36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  <c r="Q14" s="313"/>
    </row>
    <row r="15" spans="1:20" ht="30.6" customHeight="1" thickBot="1" x14ac:dyDescent="0.35">
      <c r="A15" s="314" t="s">
        <v>24</v>
      </c>
      <c r="B15" s="315"/>
      <c r="C15" s="315"/>
      <c r="D15" s="315"/>
      <c r="E15" s="315"/>
      <c r="F15" s="315"/>
      <c r="G15" s="315"/>
      <c r="H15" s="315"/>
      <c r="I15" s="315"/>
      <c r="J15" s="315"/>
      <c r="K15" s="315"/>
      <c r="L15" s="316" t="s">
        <v>25</v>
      </c>
      <c r="M15" s="317"/>
      <c r="N15" s="317"/>
      <c r="O15" s="317"/>
      <c r="P15" s="317"/>
      <c r="Q15" s="317"/>
      <c r="R15" s="318"/>
    </row>
    <row r="16" spans="1:20" ht="15" customHeight="1" x14ac:dyDescent="0.3">
      <c r="A16" s="298" t="s">
        <v>3</v>
      </c>
      <c r="B16" s="300" t="s">
        <v>4</v>
      </c>
      <c r="C16" s="300"/>
      <c r="D16" s="293" t="s">
        <v>5</v>
      </c>
      <c r="E16" s="300" t="s">
        <v>6</v>
      </c>
      <c r="F16" s="291"/>
      <c r="G16" s="293"/>
      <c r="H16" s="293"/>
      <c r="I16" s="294"/>
      <c r="J16" s="293" t="s">
        <v>21</v>
      </c>
      <c r="K16" s="296" t="s">
        <v>22</v>
      </c>
      <c r="L16" s="16"/>
      <c r="M16" s="302" t="s">
        <v>7</v>
      </c>
      <c r="N16" s="303"/>
      <c r="O16" s="303"/>
      <c r="P16" s="303"/>
      <c r="Q16" s="304"/>
      <c r="R16" s="296" t="s">
        <v>8</v>
      </c>
    </row>
    <row r="17" spans="1:21" ht="34.200000000000003" customHeight="1" x14ac:dyDescent="0.3">
      <c r="A17" s="299"/>
      <c r="B17" s="301"/>
      <c r="C17" s="301"/>
      <c r="D17" s="292"/>
      <c r="E17" s="301"/>
      <c r="F17" s="292"/>
      <c r="G17" s="292"/>
      <c r="H17" s="292"/>
      <c r="I17" s="295"/>
      <c r="J17" s="292"/>
      <c r="K17" s="297"/>
      <c r="L17" s="17" t="s">
        <v>20</v>
      </c>
      <c r="M17" s="14" t="s">
        <v>9</v>
      </c>
      <c r="N17" s="18" t="s">
        <v>10</v>
      </c>
      <c r="O17" s="7" t="s">
        <v>6</v>
      </c>
      <c r="P17" s="8" t="s">
        <v>21</v>
      </c>
      <c r="Q17" s="8" t="s">
        <v>22</v>
      </c>
      <c r="R17" s="297"/>
    </row>
    <row r="18" spans="1:21" ht="15" thickBot="1" x14ac:dyDescent="0.35">
      <c r="A18" s="21">
        <v>1</v>
      </c>
      <c r="B18" s="22">
        <v>2</v>
      </c>
      <c r="C18" s="22"/>
      <c r="D18" s="22">
        <v>3</v>
      </c>
      <c r="E18" s="22">
        <v>4</v>
      </c>
      <c r="F18" s="22"/>
      <c r="G18" s="22"/>
      <c r="H18" s="22"/>
      <c r="I18" s="74"/>
      <c r="J18" s="22">
        <v>5</v>
      </c>
      <c r="K18" s="23">
        <v>6</v>
      </c>
      <c r="L18" s="83">
        <v>7</v>
      </c>
      <c r="M18" s="7">
        <v>8</v>
      </c>
      <c r="N18" s="7">
        <v>9</v>
      </c>
      <c r="O18" s="7">
        <v>10</v>
      </c>
      <c r="P18" s="7">
        <v>11</v>
      </c>
      <c r="Q18" s="7">
        <v>12</v>
      </c>
      <c r="R18" s="127">
        <v>13</v>
      </c>
      <c r="U18" s="128"/>
    </row>
    <row r="19" spans="1:21" ht="33.6" customHeight="1" x14ac:dyDescent="0.3">
      <c r="A19" s="60"/>
      <c r="B19" s="80" t="s">
        <v>1861</v>
      </c>
      <c r="C19" s="80"/>
      <c r="D19" s="80" t="s">
        <v>34</v>
      </c>
      <c r="E19" s="80">
        <v>1</v>
      </c>
      <c r="F19" s="69"/>
      <c r="G19" s="69"/>
      <c r="H19" s="69"/>
      <c r="I19" s="69"/>
      <c r="J19" s="69"/>
      <c r="K19" s="69"/>
      <c r="L19" s="320" t="s">
        <v>1862</v>
      </c>
      <c r="M19" s="321" t="s">
        <v>1878</v>
      </c>
      <c r="N19" s="320" t="s">
        <v>34</v>
      </c>
      <c r="O19" s="322">
        <v>1</v>
      </c>
      <c r="P19" s="323">
        <v>96.77</v>
      </c>
      <c r="Q19" s="323">
        <v>96.77</v>
      </c>
      <c r="R19" s="181"/>
      <c r="U19" s="128"/>
    </row>
    <row r="20" spans="1:21" ht="15.6" x14ac:dyDescent="0.3">
      <c r="A20" s="51"/>
      <c r="B20" s="59"/>
      <c r="C20" s="47"/>
      <c r="D20" s="61"/>
      <c r="E20" s="62"/>
      <c r="F20" s="75"/>
      <c r="G20" s="76"/>
      <c r="H20" s="76"/>
      <c r="I20" s="48"/>
      <c r="J20" s="48"/>
      <c r="K20" s="48"/>
      <c r="L20" s="320" t="s">
        <v>977</v>
      </c>
      <c r="M20" s="321" t="s">
        <v>1057</v>
      </c>
      <c r="N20" s="320" t="s">
        <v>34</v>
      </c>
      <c r="O20" s="322">
        <v>105</v>
      </c>
      <c r="P20" s="323">
        <v>3.94</v>
      </c>
      <c r="Q20" s="323">
        <v>413.7</v>
      </c>
      <c r="R20" s="182"/>
      <c r="U20" s="128"/>
    </row>
    <row r="21" spans="1:21" ht="15.6" x14ac:dyDescent="0.3">
      <c r="A21" s="51"/>
      <c r="B21" s="59"/>
      <c r="C21" s="47"/>
      <c r="D21" s="61"/>
      <c r="E21" s="62"/>
      <c r="F21" s="75"/>
      <c r="G21" s="76"/>
      <c r="H21" s="76"/>
      <c r="I21" s="48"/>
      <c r="J21" s="48"/>
      <c r="K21" s="48"/>
      <c r="L21" s="320" t="s">
        <v>978</v>
      </c>
      <c r="M21" s="321" t="s">
        <v>1058</v>
      </c>
      <c r="N21" s="320" t="s">
        <v>34</v>
      </c>
      <c r="O21" s="322">
        <v>205</v>
      </c>
      <c r="P21" s="323">
        <v>2.4300000000000002</v>
      </c>
      <c r="Q21" s="323">
        <v>498.15</v>
      </c>
      <c r="R21" s="182"/>
      <c r="U21" s="128"/>
    </row>
    <row r="22" spans="1:21" ht="15.6" x14ac:dyDescent="0.3">
      <c r="A22" s="53"/>
      <c r="B22" s="54"/>
      <c r="C22" s="54"/>
      <c r="D22" s="54"/>
      <c r="E22" s="55"/>
      <c r="F22" s="75"/>
      <c r="G22" s="76"/>
      <c r="H22" s="76"/>
      <c r="I22" s="48"/>
      <c r="J22" s="70"/>
      <c r="K22" s="70"/>
      <c r="L22" s="320" t="s">
        <v>941</v>
      </c>
      <c r="M22" s="321" t="s">
        <v>1040</v>
      </c>
      <c r="N22" s="320" t="s">
        <v>903</v>
      </c>
      <c r="O22" s="322">
        <v>0.15</v>
      </c>
      <c r="P22" s="324">
        <v>10651.4</v>
      </c>
      <c r="Q22" s="324">
        <v>1597.71</v>
      </c>
      <c r="R22" s="182"/>
      <c r="U22" s="128"/>
    </row>
    <row r="23" spans="1:21" ht="15.6" x14ac:dyDescent="0.3">
      <c r="A23" s="53"/>
      <c r="B23" s="54"/>
      <c r="C23" s="54"/>
      <c r="D23" s="54"/>
      <c r="E23" s="55"/>
      <c r="F23" s="75"/>
      <c r="G23" s="76"/>
      <c r="H23" s="76"/>
      <c r="I23" s="48"/>
      <c r="J23" s="70"/>
      <c r="K23" s="70"/>
      <c r="L23" s="320" t="s">
        <v>942</v>
      </c>
      <c r="M23" s="321" t="s">
        <v>740</v>
      </c>
      <c r="N23" s="320" t="s">
        <v>903</v>
      </c>
      <c r="O23" s="322">
        <v>1.84</v>
      </c>
      <c r="P23" s="324">
        <v>10197.15</v>
      </c>
      <c r="Q23" s="324">
        <v>18762.75</v>
      </c>
      <c r="R23" s="182"/>
      <c r="U23" s="128"/>
    </row>
    <row r="24" spans="1:21" ht="15.6" x14ac:dyDescent="0.3">
      <c r="A24" s="53"/>
      <c r="B24" s="54"/>
      <c r="C24" s="54"/>
      <c r="D24" s="54"/>
      <c r="E24" s="55"/>
      <c r="F24" s="75"/>
      <c r="G24" s="76"/>
      <c r="H24" s="76"/>
      <c r="I24" s="48"/>
      <c r="J24" s="70"/>
      <c r="K24" s="70"/>
      <c r="L24" s="320" t="s">
        <v>1283</v>
      </c>
      <c r="M24" s="321" t="s">
        <v>1318</v>
      </c>
      <c r="N24" s="320" t="s">
        <v>903</v>
      </c>
      <c r="O24" s="322">
        <v>1</v>
      </c>
      <c r="P24" s="324">
        <v>10606.79</v>
      </c>
      <c r="Q24" s="324">
        <v>10606.79</v>
      </c>
      <c r="R24" s="182"/>
      <c r="U24" s="128"/>
    </row>
    <row r="25" spans="1:21" ht="15.6" x14ac:dyDescent="0.3">
      <c r="A25" s="53"/>
      <c r="B25" s="54"/>
      <c r="C25" s="54"/>
      <c r="D25" s="54"/>
      <c r="E25" s="55"/>
      <c r="F25" s="75"/>
      <c r="G25" s="76"/>
      <c r="H25" s="76"/>
      <c r="I25" s="48"/>
      <c r="J25" s="70"/>
      <c r="K25" s="70"/>
      <c r="L25" s="320" t="s">
        <v>1863</v>
      </c>
      <c r="M25" s="321" t="s">
        <v>1879</v>
      </c>
      <c r="N25" s="320" t="s">
        <v>903</v>
      </c>
      <c r="O25" s="322">
        <v>0.11</v>
      </c>
      <c r="P25" s="324">
        <v>12500</v>
      </c>
      <c r="Q25" s="324">
        <v>1375</v>
      </c>
      <c r="R25" s="182"/>
      <c r="U25" s="128"/>
    </row>
    <row r="26" spans="1:21" ht="15.6" x14ac:dyDescent="0.3">
      <c r="A26" s="53"/>
      <c r="B26" s="54"/>
      <c r="C26" s="54"/>
      <c r="D26" s="54"/>
      <c r="E26" s="55"/>
      <c r="F26" s="75"/>
      <c r="G26" s="76"/>
      <c r="H26" s="76"/>
      <c r="I26" s="48"/>
      <c r="J26" s="70"/>
      <c r="K26" s="70"/>
      <c r="L26" s="320" t="s">
        <v>943</v>
      </c>
      <c r="M26" s="321" t="s">
        <v>745</v>
      </c>
      <c r="N26" s="320" t="s">
        <v>903</v>
      </c>
      <c r="O26" s="322">
        <v>0.15</v>
      </c>
      <c r="P26" s="324">
        <v>9590</v>
      </c>
      <c r="Q26" s="324">
        <v>1438.5</v>
      </c>
      <c r="R26" s="182"/>
      <c r="U26" s="128"/>
    </row>
    <row r="27" spans="1:21" ht="15.6" x14ac:dyDescent="0.3">
      <c r="A27" s="53"/>
      <c r="B27" s="54"/>
      <c r="C27" s="54"/>
      <c r="D27" s="54"/>
      <c r="E27" s="55"/>
      <c r="F27" s="75"/>
      <c r="G27" s="76"/>
      <c r="H27" s="76"/>
      <c r="I27" s="48"/>
      <c r="J27" s="70"/>
      <c r="K27" s="70"/>
      <c r="L27" s="320" t="s">
        <v>1023</v>
      </c>
      <c r="M27" s="321" t="s">
        <v>70</v>
      </c>
      <c r="N27" s="320" t="s">
        <v>56</v>
      </c>
      <c r="O27" s="322">
        <v>0.13</v>
      </c>
      <c r="P27" s="324">
        <v>27143</v>
      </c>
      <c r="Q27" s="324">
        <v>3528.59</v>
      </c>
      <c r="R27" s="182"/>
      <c r="U27" s="128"/>
    </row>
    <row r="28" spans="1:21" ht="15.6" x14ac:dyDescent="0.3">
      <c r="A28" s="53"/>
      <c r="B28" s="54"/>
      <c r="C28" s="54"/>
      <c r="D28" s="54"/>
      <c r="E28" s="55"/>
      <c r="F28" s="75"/>
      <c r="G28" s="76"/>
      <c r="H28" s="76"/>
      <c r="I28" s="48"/>
      <c r="J28" s="70"/>
      <c r="K28" s="70"/>
      <c r="L28" s="320" t="s">
        <v>1024</v>
      </c>
      <c r="M28" s="321" t="s">
        <v>71</v>
      </c>
      <c r="N28" s="320" t="s">
        <v>56</v>
      </c>
      <c r="O28" s="322">
        <v>0.12</v>
      </c>
      <c r="P28" s="324">
        <v>43560</v>
      </c>
      <c r="Q28" s="324">
        <v>5227.2</v>
      </c>
      <c r="R28" s="182"/>
      <c r="U28" s="128"/>
    </row>
    <row r="29" spans="1:21" ht="15.6" x14ac:dyDescent="0.3">
      <c r="A29" s="53"/>
      <c r="B29" s="54"/>
      <c r="C29" s="54"/>
      <c r="D29" s="54"/>
      <c r="E29" s="55"/>
      <c r="F29" s="75"/>
      <c r="G29" s="76"/>
      <c r="H29" s="76"/>
      <c r="I29" s="48"/>
      <c r="J29" s="70"/>
      <c r="K29" s="70"/>
      <c r="L29" s="320" t="s">
        <v>1025</v>
      </c>
      <c r="M29" s="321" t="s">
        <v>72</v>
      </c>
      <c r="N29" s="320" t="s">
        <v>56</v>
      </c>
      <c r="O29" s="322">
        <v>1.7999999999999999E-2</v>
      </c>
      <c r="P29" s="324">
        <v>67490</v>
      </c>
      <c r="Q29" s="324">
        <v>1214.82</v>
      </c>
      <c r="R29" s="182"/>
      <c r="U29" s="128"/>
    </row>
    <row r="30" spans="1:21" ht="15.6" x14ac:dyDescent="0.3">
      <c r="A30" s="53"/>
      <c r="B30" s="54"/>
      <c r="C30" s="54"/>
      <c r="D30" s="54"/>
      <c r="E30" s="55"/>
      <c r="F30" s="75"/>
      <c r="G30" s="76"/>
      <c r="H30" s="76"/>
      <c r="I30" s="48"/>
      <c r="J30" s="70"/>
      <c r="K30" s="70"/>
      <c r="L30" s="320" t="s">
        <v>979</v>
      </c>
      <c r="M30" s="321" t="s">
        <v>73</v>
      </c>
      <c r="N30" s="320" t="s">
        <v>34</v>
      </c>
      <c r="O30" s="322">
        <v>4</v>
      </c>
      <c r="P30" s="323">
        <v>377.87</v>
      </c>
      <c r="Q30" s="324">
        <v>1511.49</v>
      </c>
      <c r="R30" s="182"/>
      <c r="U30" s="128"/>
    </row>
    <row r="31" spans="1:21" ht="15.6" x14ac:dyDescent="0.3">
      <c r="A31" s="53"/>
      <c r="B31" s="54"/>
      <c r="C31" s="54"/>
      <c r="D31" s="54"/>
      <c r="E31" s="55"/>
      <c r="F31" s="75"/>
      <c r="G31" s="76"/>
      <c r="H31" s="76"/>
      <c r="I31" s="48"/>
      <c r="J31" s="70"/>
      <c r="K31" s="70"/>
      <c r="L31" s="320" t="s">
        <v>1099</v>
      </c>
      <c r="M31" s="321" t="s">
        <v>1100</v>
      </c>
      <c r="N31" s="320" t="s">
        <v>34</v>
      </c>
      <c r="O31" s="322">
        <v>1</v>
      </c>
      <c r="P31" s="323">
        <v>35</v>
      </c>
      <c r="Q31" s="323">
        <v>35</v>
      </c>
      <c r="R31" s="182"/>
      <c r="U31" s="128"/>
    </row>
    <row r="32" spans="1:21" ht="15.6" x14ac:dyDescent="0.3">
      <c r="A32" s="53"/>
      <c r="B32" s="54"/>
      <c r="C32" s="54"/>
      <c r="D32" s="54"/>
      <c r="E32" s="55"/>
      <c r="F32" s="75"/>
      <c r="G32" s="76"/>
      <c r="H32" s="76"/>
      <c r="I32" s="48"/>
      <c r="J32" s="70"/>
      <c r="K32" s="70"/>
      <c r="L32" s="320" t="s">
        <v>1864</v>
      </c>
      <c r="M32" s="321" t="s">
        <v>279</v>
      </c>
      <c r="N32" s="320" t="s">
        <v>34</v>
      </c>
      <c r="O32" s="322">
        <v>1.46</v>
      </c>
      <c r="P32" s="323">
        <v>69.38</v>
      </c>
      <c r="Q32" s="323">
        <v>101.3</v>
      </c>
      <c r="R32" s="182"/>
      <c r="U32" s="128"/>
    </row>
    <row r="33" spans="1:21" ht="15.6" x14ac:dyDescent="0.3">
      <c r="A33" s="53"/>
      <c r="B33" s="54"/>
      <c r="C33" s="54"/>
      <c r="D33" s="54"/>
      <c r="E33" s="55"/>
      <c r="F33" s="75"/>
      <c r="G33" s="76"/>
      <c r="H33" s="76"/>
      <c r="I33" s="48"/>
      <c r="J33" s="70"/>
      <c r="K33" s="70"/>
      <c r="L33" s="320" t="s">
        <v>1865</v>
      </c>
      <c r="M33" s="321" t="s">
        <v>1880</v>
      </c>
      <c r="N33" s="320" t="s">
        <v>34</v>
      </c>
      <c r="O33" s="322">
        <v>3.08</v>
      </c>
      <c r="P33" s="323">
        <v>56</v>
      </c>
      <c r="Q33" s="323">
        <v>172.48</v>
      </c>
      <c r="R33" s="182"/>
      <c r="U33" s="128"/>
    </row>
    <row r="34" spans="1:21" ht="15.6" x14ac:dyDescent="0.3">
      <c r="A34" s="53"/>
      <c r="B34" s="54"/>
      <c r="C34" s="54"/>
      <c r="D34" s="54"/>
      <c r="E34" s="55"/>
      <c r="F34" s="75"/>
      <c r="G34" s="76"/>
      <c r="H34" s="76"/>
      <c r="I34" s="48"/>
      <c r="J34" s="70"/>
      <c r="K34" s="70"/>
      <c r="L34" s="320" t="s">
        <v>980</v>
      </c>
      <c r="M34" s="321" t="s">
        <v>284</v>
      </c>
      <c r="N34" s="320" t="s">
        <v>34</v>
      </c>
      <c r="O34" s="322">
        <v>7</v>
      </c>
      <c r="P34" s="323">
        <v>84.36</v>
      </c>
      <c r="Q34" s="323">
        <v>590.52</v>
      </c>
      <c r="R34" s="182"/>
      <c r="U34" s="128"/>
    </row>
    <row r="35" spans="1:21" ht="15.6" x14ac:dyDescent="0.3">
      <c r="A35" s="53"/>
      <c r="B35" s="54"/>
      <c r="C35" s="54"/>
      <c r="D35" s="54"/>
      <c r="E35" s="55"/>
      <c r="F35" s="75"/>
      <c r="G35" s="76"/>
      <c r="H35" s="76"/>
      <c r="I35" s="48"/>
      <c r="J35" s="70"/>
      <c r="K35" s="70"/>
      <c r="L35" s="320" t="s">
        <v>1092</v>
      </c>
      <c r="M35" s="321" t="s">
        <v>1096</v>
      </c>
      <c r="N35" s="320" t="s">
        <v>34</v>
      </c>
      <c r="O35" s="322">
        <v>1</v>
      </c>
      <c r="P35" s="323">
        <v>128.24</v>
      </c>
      <c r="Q35" s="323">
        <v>128.24</v>
      </c>
      <c r="R35" s="182"/>
      <c r="U35" s="128"/>
    </row>
    <row r="36" spans="1:21" ht="15.6" x14ac:dyDescent="0.3">
      <c r="A36" s="53"/>
      <c r="B36" s="54"/>
      <c r="C36" s="54"/>
      <c r="D36" s="54"/>
      <c r="E36" s="55"/>
      <c r="F36" s="75"/>
      <c r="G36" s="76"/>
      <c r="H36" s="76"/>
      <c r="I36" s="48"/>
      <c r="J36" s="70"/>
      <c r="K36" s="70"/>
      <c r="L36" s="320" t="s">
        <v>981</v>
      </c>
      <c r="M36" s="321" t="s">
        <v>285</v>
      </c>
      <c r="N36" s="320" t="s">
        <v>34</v>
      </c>
      <c r="O36" s="322">
        <v>1</v>
      </c>
      <c r="P36" s="323">
        <v>84.9</v>
      </c>
      <c r="Q36" s="323">
        <v>84.9</v>
      </c>
      <c r="R36" s="182"/>
      <c r="U36" s="128"/>
    </row>
    <row r="37" spans="1:21" ht="15.6" x14ac:dyDescent="0.3">
      <c r="A37" s="53"/>
      <c r="B37" s="54"/>
      <c r="C37" s="54"/>
      <c r="D37" s="54"/>
      <c r="E37" s="55"/>
      <c r="F37" s="75"/>
      <c r="G37" s="76"/>
      <c r="H37" s="76"/>
      <c r="I37" s="48"/>
      <c r="J37" s="70"/>
      <c r="K37" s="70"/>
      <c r="L37" s="320" t="s">
        <v>982</v>
      </c>
      <c r="M37" s="321" t="s">
        <v>751</v>
      </c>
      <c r="N37" s="320" t="s">
        <v>34</v>
      </c>
      <c r="O37" s="322">
        <v>4</v>
      </c>
      <c r="P37" s="323">
        <v>15.5</v>
      </c>
      <c r="Q37" s="323">
        <v>62</v>
      </c>
      <c r="R37" s="182"/>
      <c r="U37" s="128"/>
    </row>
    <row r="38" spans="1:21" ht="15.6" x14ac:dyDescent="0.3">
      <c r="A38" s="53"/>
      <c r="B38" s="54"/>
      <c r="C38" s="54"/>
      <c r="D38" s="54"/>
      <c r="E38" s="55"/>
      <c r="F38" s="75"/>
      <c r="G38" s="76"/>
      <c r="H38" s="76"/>
      <c r="I38" s="48"/>
      <c r="J38" s="70"/>
      <c r="K38" s="70"/>
      <c r="L38" s="320" t="s">
        <v>752</v>
      </c>
      <c r="M38" s="321" t="s">
        <v>753</v>
      </c>
      <c r="N38" s="320" t="s">
        <v>68</v>
      </c>
      <c r="O38" s="322">
        <v>1.1200000000000001</v>
      </c>
      <c r="P38" s="324">
        <v>5053.1400000000003</v>
      </c>
      <c r="Q38" s="324">
        <v>5659.52</v>
      </c>
      <c r="R38" s="182"/>
      <c r="U38" s="128"/>
    </row>
    <row r="39" spans="1:21" ht="15.6" x14ac:dyDescent="0.3">
      <c r="A39" s="53"/>
      <c r="B39" s="54"/>
      <c r="C39" s="54"/>
      <c r="D39" s="54"/>
      <c r="E39" s="55"/>
      <c r="F39" s="75"/>
      <c r="G39" s="76"/>
      <c r="H39" s="76"/>
      <c r="I39" s="48"/>
      <c r="J39" s="70"/>
      <c r="K39" s="70"/>
      <c r="L39" s="320" t="s">
        <v>1120</v>
      </c>
      <c r="M39" s="321" t="s">
        <v>1206</v>
      </c>
      <c r="N39" s="320" t="s">
        <v>35</v>
      </c>
      <c r="O39" s="322">
        <v>10</v>
      </c>
      <c r="P39" s="323">
        <v>133.30000000000001</v>
      </c>
      <c r="Q39" s="324">
        <v>1333</v>
      </c>
      <c r="R39" s="182"/>
      <c r="U39" s="128"/>
    </row>
    <row r="40" spans="1:21" ht="15.6" x14ac:dyDescent="0.3">
      <c r="A40" s="53"/>
      <c r="B40" s="54"/>
      <c r="C40" s="54"/>
      <c r="D40" s="54"/>
      <c r="E40" s="55"/>
      <c r="F40" s="75"/>
      <c r="G40" s="76"/>
      <c r="H40" s="76"/>
      <c r="I40" s="48"/>
      <c r="J40" s="70"/>
      <c r="K40" s="70"/>
      <c r="L40" s="320" t="s">
        <v>967</v>
      </c>
      <c r="M40" s="321" t="s">
        <v>1056</v>
      </c>
      <c r="N40" s="320" t="s">
        <v>34</v>
      </c>
      <c r="O40" s="325">
        <v>1200</v>
      </c>
      <c r="P40" s="323">
        <v>0.43</v>
      </c>
      <c r="Q40" s="323">
        <v>516</v>
      </c>
      <c r="R40" s="182"/>
      <c r="U40" s="128"/>
    </row>
    <row r="41" spans="1:21" ht="15.6" x14ac:dyDescent="0.3">
      <c r="A41" s="53"/>
      <c r="B41" s="54"/>
      <c r="C41" s="54"/>
      <c r="D41" s="54"/>
      <c r="E41" s="55"/>
      <c r="F41" s="75"/>
      <c r="G41" s="76"/>
      <c r="H41" s="76"/>
      <c r="I41" s="48"/>
      <c r="J41" s="70"/>
      <c r="K41" s="70"/>
      <c r="L41" s="320" t="s">
        <v>968</v>
      </c>
      <c r="M41" s="321" t="s">
        <v>756</v>
      </c>
      <c r="N41" s="320" t="s">
        <v>34</v>
      </c>
      <c r="O41" s="322">
        <v>2</v>
      </c>
      <c r="P41" s="323">
        <v>1.47</v>
      </c>
      <c r="Q41" s="323">
        <v>2.94</v>
      </c>
      <c r="R41" s="182"/>
      <c r="U41" s="128"/>
    </row>
    <row r="42" spans="1:21" ht="15.6" x14ac:dyDescent="0.3">
      <c r="A42" s="53"/>
      <c r="B42" s="54"/>
      <c r="C42" s="54"/>
      <c r="D42" s="54"/>
      <c r="E42" s="55"/>
      <c r="F42" s="75"/>
      <c r="G42" s="76"/>
      <c r="H42" s="76"/>
      <c r="I42" s="48"/>
      <c r="J42" s="70"/>
      <c r="K42" s="70"/>
      <c r="L42" s="320" t="s">
        <v>969</v>
      </c>
      <c r="M42" s="321" t="s">
        <v>75</v>
      </c>
      <c r="N42" s="320" t="s">
        <v>34</v>
      </c>
      <c r="O42" s="322">
        <v>49</v>
      </c>
      <c r="P42" s="323">
        <v>1.92</v>
      </c>
      <c r="Q42" s="323">
        <v>93.96</v>
      </c>
      <c r="R42" s="182"/>
      <c r="U42" s="128"/>
    </row>
    <row r="43" spans="1:21" ht="15.6" x14ac:dyDescent="0.3">
      <c r="A43" s="53"/>
      <c r="B43" s="54"/>
      <c r="C43" s="54"/>
      <c r="D43" s="54"/>
      <c r="E43" s="55"/>
      <c r="F43" s="75"/>
      <c r="G43" s="76"/>
      <c r="H43" s="76"/>
      <c r="I43" s="48"/>
      <c r="J43" s="70"/>
      <c r="K43" s="70"/>
      <c r="L43" s="320" t="s">
        <v>970</v>
      </c>
      <c r="M43" s="321" t="s">
        <v>294</v>
      </c>
      <c r="N43" s="320" t="s">
        <v>34</v>
      </c>
      <c r="O43" s="322">
        <v>3</v>
      </c>
      <c r="P43" s="323">
        <v>178.9</v>
      </c>
      <c r="Q43" s="323">
        <v>536.70000000000005</v>
      </c>
      <c r="R43" s="182"/>
      <c r="U43" s="128"/>
    </row>
    <row r="44" spans="1:21" ht="15.6" x14ac:dyDescent="0.3">
      <c r="A44" s="53"/>
      <c r="B44" s="54"/>
      <c r="C44" s="54"/>
      <c r="D44" s="54"/>
      <c r="E44" s="55"/>
      <c r="F44" s="75"/>
      <c r="G44" s="76"/>
      <c r="H44" s="76"/>
      <c r="I44" s="48"/>
      <c r="J44" s="70"/>
      <c r="K44" s="70"/>
      <c r="L44" s="320" t="s">
        <v>971</v>
      </c>
      <c r="M44" s="321" t="s">
        <v>296</v>
      </c>
      <c r="N44" s="320" t="s">
        <v>34</v>
      </c>
      <c r="O44" s="322">
        <v>3</v>
      </c>
      <c r="P44" s="323">
        <v>136.6</v>
      </c>
      <c r="Q44" s="323">
        <v>409.8</v>
      </c>
      <c r="R44" s="182"/>
      <c r="U44" s="128"/>
    </row>
    <row r="45" spans="1:21" ht="15.6" x14ac:dyDescent="0.3">
      <c r="A45" s="53"/>
      <c r="B45" s="54"/>
      <c r="C45" s="54"/>
      <c r="D45" s="54"/>
      <c r="E45" s="55"/>
      <c r="F45" s="75"/>
      <c r="G45" s="76"/>
      <c r="H45" s="76"/>
      <c r="I45" s="48"/>
      <c r="J45" s="70"/>
      <c r="K45" s="70"/>
      <c r="L45" s="320" t="s">
        <v>972</v>
      </c>
      <c r="M45" s="321" t="s">
        <v>297</v>
      </c>
      <c r="N45" s="320" t="s">
        <v>34</v>
      </c>
      <c r="O45" s="322">
        <v>6</v>
      </c>
      <c r="P45" s="323">
        <v>59.58</v>
      </c>
      <c r="Q45" s="323">
        <v>357.48</v>
      </c>
      <c r="R45" s="182"/>
      <c r="U45" s="128"/>
    </row>
    <row r="46" spans="1:21" ht="15.6" x14ac:dyDescent="0.3">
      <c r="A46" s="53"/>
      <c r="B46" s="54"/>
      <c r="C46" s="54"/>
      <c r="D46" s="54"/>
      <c r="E46" s="55"/>
      <c r="F46" s="75"/>
      <c r="G46" s="76"/>
      <c r="H46" s="76"/>
      <c r="I46" s="48"/>
      <c r="J46" s="70"/>
      <c r="K46" s="70"/>
      <c r="L46" s="320" t="s">
        <v>973</v>
      </c>
      <c r="M46" s="321" t="s">
        <v>759</v>
      </c>
      <c r="N46" s="320" t="s">
        <v>34</v>
      </c>
      <c r="O46" s="322">
        <v>11</v>
      </c>
      <c r="P46" s="323">
        <v>574.12</v>
      </c>
      <c r="Q46" s="324">
        <v>6315.32</v>
      </c>
      <c r="R46" s="182"/>
      <c r="U46" s="128"/>
    </row>
    <row r="47" spans="1:21" ht="15.6" x14ac:dyDescent="0.3">
      <c r="A47" s="53"/>
      <c r="B47" s="54"/>
      <c r="C47" s="54"/>
      <c r="D47" s="54"/>
      <c r="E47" s="55"/>
      <c r="F47" s="75"/>
      <c r="G47" s="76"/>
      <c r="H47" s="76"/>
      <c r="I47" s="48"/>
      <c r="J47" s="70"/>
      <c r="K47" s="70"/>
      <c r="L47" s="320" t="s">
        <v>975</v>
      </c>
      <c r="M47" s="321" t="s">
        <v>763</v>
      </c>
      <c r="N47" s="320" t="s">
        <v>34</v>
      </c>
      <c r="O47" s="322">
        <v>10</v>
      </c>
      <c r="P47" s="323">
        <v>128.69</v>
      </c>
      <c r="Q47" s="324">
        <v>1286.9000000000001</v>
      </c>
      <c r="R47" s="182"/>
      <c r="U47" s="128"/>
    </row>
    <row r="48" spans="1:21" ht="15.6" x14ac:dyDescent="0.3">
      <c r="A48" s="53"/>
      <c r="B48" s="54"/>
      <c r="C48" s="54"/>
      <c r="D48" s="54"/>
      <c r="E48" s="55"/>
      <c r="F48" s="75"/>
      <c r="G48" s="76"/>
      <c r="H48" s="76"/>
      <c r="I48" s="48"/>
      <c r="J48" s="70"/>
      <c r="K48" s="70"/>
      <c r="L48" s="320" t="s">
        <v>1866</v>
      </c>
      <c r="M48" s="321" t="s">
        <v>1881</v>
      </c>
      <c r="N48" s="320" t="s">
        <v>34</v>
      </c>
      <c r="O48" s="322">
        <v>1</v>
      </c>
      <c r="P48" s="324">
        <v>1105.56</v>
      </c>
      <c r="Q48" s="324">
        <v>1105.56</v>
      </c>
      <c r="R48" s="182"/>
      <c r="U48" s="128"/>
    </row>
    <row r="49" spans="1:21" ht="15.6" x14ac:dyDescent="0.3">
      <c r="A49" s="53"/>
      <c r="B49" s="54"/>
      <c r="C49" s="54"/>
      <c r="D49" s="54"/>
      <c r="E49" s="55"/>
      <c r="F49" s="75"/>
      <c r="G49" s="76"/>
      <c r="H49" s="76"/>
      <c r="I49" s="48"/>
      <c r="J49" s="70"/>
      <c r="K49" s="70"/>
      <c r="L49" s="320" t="s">
        <v>1867</v>
      </c>
      <c r="M49" s="321" t="s">
        <v>1882</v>
      </c>
      <c r="N49" s="320" t="s">
        <v>903</v>
      </c>
      <c r="O49" s="322">
        <v>0.38</v>
      </c>
      <c r="P49" s="324">
        <v>29183.68</v>
      </c>
      <c r="Q49" s="324">
        <v>11089.8</v>
      </c>
      <c r="R49" s="182"/>
      <c r="U49" s="128"/>
    </row>
    <row r="50" spans="1:21" ht="15.6" x14ac:dyDescent="0.3">
      <c r="A50" s="53"/>
      <c r="B50" s="54"/>
      <c r="C50" s="54"/>
      <c r="D50" s="54"/>
      <c r="E50" s="55"/>
      <c r="F50" s="75"/>
      <c r="G50" s="76"/>
      <c r="H50" s="76"/>
      <c r="I50" s="48"/>
      <c r="J50" s="70"/>
      <c r="K50" s="70"/>
      <c r="L50" s="320" t="s">
        <v>1113</v>
      </c>
      <c r="M50" s="321" t="s">
        <v>1199</v>
      </c>
      <c r="N50" s="320" t="s">
        <v>903</v>
      </c>
      <c r="O50" s="322">
        <v>0.12</v>
      </c>
      <c r="P50" s="324">
        <v>10416.67</v>
      </c>
      <c r="Q50" s="324">
        <v>1250</v>
      </c>
      <c r="R50" s="182"/>
      <c r="U50" s="128"/>
    </row>
    <row r="51" spans="1:21" ht="15.6" x14ac:dyDescent="0.3">
      <c r="A51" s="53"/>
      <c r="B51" s="54"/>
      <c r="C51" s="54"/>
      <c r="D51" s="54"/>
      <c r="E51" s="55"/>
      <c r="F51" s="75"/>
      <c r="G51" s="76"/>
      <c r="H51" s="76"/>
      <c r="I51" s="48"/>
      <c r="J51" s="70"/>
      <c r="K51" s="70"/>
      <c r="L51" s="320" t="s">
        <v>1868</v>
      </c>
      <c r="M51" s="321" t="s">
        <v>1883</v>
      </c>
      <c r="N51" s="320" t="s">
        <v>903</v>
      </c>
      <c r="O51" s="322">
        <v>7.0000000000000007E-2</v>
      </c>
      <c r="P51" s="324">
        <v>17916.71</v>
      </c>
      <c r="Q51" s="324">
        <v>1254.17</v>
      </c>
      <c r="R51" s="182"/>
      <c r="U51" s="128"/>
    </row>
    <row r="52" spans="1:21" ht="15.6" x14ac:dyDescent="0.3">
      <c r="A52" s="53"/>
      <c r="B52" s="54"/>
      <c r="C52" s="54"/>
      <c r="D52" s="54"/>
      <c r="E52" s="55"/>
      <c r="F52" s="75"/>
      <c r="G52" s="76"/>
      <c r="H52" s="76"/>
      <c r="I52" s="48"/>
      <c r="J52" s="70"/>
      <c r="K52" s="70"/>
      <c r="L52" s="320" t="s">
        <v>1022</v>
      </c>
      <c r="M52" s="321" t="s">
        <v>178</v>
      </c>
      <c r="N52" s="320" t="s">
        <v>56</v>
      </c>
      <c r="O52" s="322">
        <v>0.02</v>
      </c>
      <c r="P52" s="324">
        <v>40802.5</v>
      </c>
      <c r="Q52" s="323">
        <v>816.05</v>
      </c>
      <c r="R52" s="182"/>
      <c r="U52" s="128"/>
    </row>
    <row r="53" spans="1:21" ht="15.6" x14ac:dyDescent="0.3">
      <c r="A53" s="53"/>
      <c r="B53" s="54"/>
      <c r="C53" s="54"/>
      <c r="D53" s="54"/>
      <c r="E53" s="55"/>
      <c r="F53" s="75"/>
      <c r="G53" s="76"/>
      <c r="H53" s="76"/>
      <c r="I53" s="48"/>
      <c r="J53" s="70"/>
      <c r="K53" s="70"/>
      <c r="L53" s="320" t="s">
        <v>1119</v>
      </c>
      <c r="M53" s="321" t="s">
        <v>1205</v>
      </c>
      <c r="N53" s="320" t="s">
        <v>35</v>
      </c>
      <c r="O53" s="322">
        <v>2</v>
      </c>
      <c r="P53" s="323">
        <v>78.33</v>
      </c>
      <c r="Q53" s="323">
        <v>156.66</v>
      </c>
      <c r="R53" s="182"/>
      <c r="U53" s="128"/>
    </row>
    <row r="54" spans="1:21" ht="15.6" x14ac:dyDescent="0.3">
      <c r="A54" s="53"/>
      <c r="B54" s="54"/>
      <c r="C54" s="54"/>
      <c r="D54" s="54"/>
      <c r="E54" s="55"/>
      <c r="F54" s="75"/>
      <c r="G54" s="76"/>
      <c r="H54" s="76"/>
      <c r="I54" s="48"/>
      <c r="J54" s="70"/>
      <c r="K54" s="70"/>
      <c r="L54" s="320" t="s">
        <v>955</v>
      </c>
      <c r="M54" s="321" t="s">
        <v>770</v>
      </c>
      <c r="N54" s="320" t="s">
        <v>34</v>
      </c>
      <c r="O54" s="322">
        <v>1</v>
      </c>
      <c r="P54" s="323">
        <v>52.8</v>
      </c>
      <c r="Q54" s="323">
        <v>52.8</v>
      </c>
      <c r="R54" s="182"/>
      <c r="U54" s="128"/>
    </row>
    <row r="55" spans="1:21" ht="15.6" x14ac:dyDescent="0.3">
      <c r="A55" s="53"/>
      <c r="B55" s="54"/>
      <c r="C55" s="54"/>
      <c r="D55" s="54"/>
      <c r="E55" s="55"/>
      <c r="F55" s="75"/>
      <c r="G55" s="76"/>
      <c r="H55" s="76"/>
      <c r="I55" s="48"/>
      <c r="J55" s="70"/>
      <c r="K55" s="70"/>
      <c r="L55" s="320" t="s">
        <v>956</v>
      </c>
      <c r="M55" s="321" t="s">
        <v>328</v>
      </c>
      <c r="N55" s="320" t="s">
        <v>34</v>
      </c>
      <c r="O55" s="322">
        <v>10</v>
      </c>
      <c r="P55" s="323">
        <v>65.400000000000006</v>
      </c>
      <c r="Q55" s="323">
        <v>654</v>
      </c>
      <c r="R55" s="182"/>
      <c r="U55" s="128"/>
    </row>
    <row r="56" spans="1:21" ht="15.6" x14ac:dyDescent="0.3">
      <c r="A56" s="53"/>
      <c r="B56" s="54"/>
      <c r="C56" s="54"/>
      <c r="D56" s="54"/>
      <c r="E56" s="55"/>
      <c r="F56" s="75"/>
      <c r="G56" s="76"/>
      <c r="H56" s="76"/>
      <c r="I56" s="48"/>
      <c r="J56" s="70"/>
      <c r="K56" s="70"/>
      <c r="L56" s="320" t="s">
        <v>1869</v>
      </c>
      <c r="M56" s="321" t="s">
        <v>1884</v>
      </c>
      <c r="N56" s="320" t="s">
        <v>34</v>
      </c>
      <c r="O56" s="322">
        <v>1</v>
      </c>
      <c r="P56" s="323">
        <v>78.61</v>
      </c>
      <c r="Q56" s="323">
        <v>78.61</v>
      </c>
      <c r="R56" s="182"/>
      <c r="U56" s="128"/>
    </row>
    <row r="57" spans="1:21" ht="15.6" x14ac:dyDescent="0.3">
      <c r="A57" s="53"/>
      <c r="B57" s="54"/>
      <c r="C57" s="54"/>
      <c r="D57" s="54"/>
      <c r="E57" s="55"/>
      <c r="F57" s="75"/>
      <c r="G57" s="76"/>
      <c r="H57" s="76"/>
      <c r="I57" s="48"/>
      <c r="J57" s="70"/>
      <c r="K57" s="70"/>
      <c r="L57" s="320" t="s">
        <v>773</v>
      </c>
      <c r="M57" s="321" t="s">
        <v>774</v>
      </c>
      <c r="N57" s="320" t="s">
        <v>34</v>
      </c>
      <c r="O57" s="322">
        <v>1</v>
      </c>
      <c r="P57" s="323">
        <v>83.17</v>
      </c>
      <c r="Q57" s="323">
        <v>83.17</v>
      </c>
      <c r="R57" s="182"/>
      <c r="U57" s="128"/>
    </row>
    <row r="58" spans="1:21" ht="15.6" x14ac:dyDescent="0.3">
      <c r="A58" s="53"/>
      <c r="B58" s="54"/>
      <c r="C58" s="54"/>
      <c r="D58" s="54"/>
      <c r="E58" s="55"/>
      <c r="F58" s="75"/>
      <c r="G58" s="76"/>
      <c r="H58" s="76"/>
      <c r="I58" s="48"/>
      <c r="J58" s="70"/>
      <c r="K58" s="70"/>
      <c r="L58" s="320" t="s">
        <v>958</v>
      </c>
      <c r="M58" s="321" t="s">
        <v>337</v>
      </c>
      <c r="N58" s="320" t="s">
        <v>34</v>
      </c>
      <c r="O58" s="322">
        <v>1</v>
      </c>
      <c r="P58" s="323">
        <v>22.2</v>
      </c>
      <c r="Q58" s="323">
        <v>22.2</v>
      </c>
      <c r="R58" s="182"/>
      <c r="U58" s="128"/>
    </row>
    <row r="59" spans="1:21" ht="15.6" x14ac:dyDescent="0.3">
      <c r="A59" s="53"/>
      <c r="B59" s="54"/>
      <c r="C59" s="54"/>
      <c r="D59" s="54"/>
      <c r="E59" s="55"/>
      <c r="F59" s="75"/>
      <c r="G59" s="76"/>
      <c r="H59" s="76"/>
      <c r="I59" s="48"/>
      <c r="J59" s="70"/>
      <c r="K59" s="70"/>
      <c r="L59" s="320" t="s">
        <v>952</v>
      </c>
      <c r="M59" s="321" t="s">
        <v>777</v>
      </c>
      <c r="N59" s="320" t="s">
        <v>34</v>
      </c>
      <c r="O59" s="322">
        <v>1</v>
      </c>
      <c r="P59" s="323">
        <v>257.81</v>
      </c>
      <c r="Q59" s="323">
        <v>257.81</v>
      </c>
      <c r="R59" s="182"/>
      <c r="U59" s="128"/>
    </row>
    <row r="60" spans="1:21" ht="15.6" x14ac:dyDescent="0.3">
      <c r="A60" s="53"/>
      <c r="B60" s="54"/>
      <c r="C60" s="54"/>
      <c r="D60" s="54"/>
      <c r="E60" s="55"/>
      <c r="F60" s="75"/>
      <c r="G60" s="76"/>
      <c r="H60" s="76"/>
      <c r="I60" s="48"/>
      <c r="J60" s="70"/>
      <c r="K60" s="70"/>
      <c r="L60" s="320" t="s">
        <v>953</v>
      </c>
      <c r="M60" s="321" t="s">
        <v>1046</v>
      </c>
      <c r="N60" s="320" t="s">
        <v>34</v>
      </c>
      <c r="O60" s="322">
        <v>0.2</v>
      </c>
      <c r="P60" s="323">
        <v>185</v>
      </c>
      <c r="Q60" s="323">
        <v>37</v>
      </c>
      <c r="R60" s="182"/>
      <c r="U60" s="128"/>
    </row>
    <row r="61" spans="1:21" ht="15.6" x14ac:dyDescent="0.3">
      <c r="A61" s="53"/>
      <c r="B61" s="54"/>
      <c r="C61" s="54"/>
      <c r="D61" s="54"/>
      <c r="E61" s="55"/>
      <c r="F61" s="75"/>
      <c r="G61" s="76"/>
      <c r="H61" s="76"/>
      <c r="I61" s="48"/>
      <c r="J61" s="70"/>
      <c r="K61" s="70"/>
      <c r="L61" s="320" t="s">
        <v>1144</v>
      </c>
      <c r="M61" s="321" t="s">
        <v>1231</v>
      </c>
      <c r="N61" s="320" t="s">
        <v>34</v>
      </c>
      <c r="O61" s="322">
        <v>2</v>
      </c>
      <c r="P61" s="323">
        <v>3.17</v>
      </c>
      <c r="Q61" s="323">
        <v>6.34</v>
      </c>
      <c r="R61" s="182"/>
      <c r="U61" s="128"/>
    </row>
    <row r="62" spans="1:21" ht="30" x14ac:dyDescent="0.3">
      <c r="A62" s="53"/>
      <c r="B62" s="54"/>
      <c r="C62" s="54"/>
      <c r="D62" s="54"/>
      <c r="E62" s="55"/>
      <c r="F62" s="75"/>
      <c r="G62" s="76"/>
      <c r="H62" s="76"/>
      <c r="I62" s="48"/>
      <c r="J62" s="70"/>
      <c r="K62" s="70"/>
      <c r="L62" s="320" t="s">
        <v>959</v>
      </c>
      <c r="M62" s="321" t="s">
        <v>1050</v>
      </c>
      <c r="N62" s="320" t="s">
        <v>34</v>
      </c>
      <c r="O62" s="322">
        <v>13</v>
      </c>
      <c r="P62" s="323">
        <v>13.9</v>
      </c>
      <c r="Q62" s="323">
        <v>180.7</v>
      </c>
      <c r="R62" s="182"/>
      <c r="U62" s="128"/>
    </row>
    <row r="63" spans="1:21" ht="30" x14ac:dyDescent="0.3">
      <c r="A63" s="53"/>
      <c r="B63" s="54"/>
      <c r="C63" s="54"/>
      <c r="D63" s="54"/>
      <c r="E63" s="55"/>
      <c r="F63" s="75"/>
      <c r="G63" s="76"/>
      <c r="H63" s="76"/>
      <c r="I63" s="48"/>
      <c r="J63" s="70"/>
      <c r="K63" s="70"/>
      <c r="L63" s="320" t="s">
        <v>960</v>
      </c>
      <c r="M63" s="321" t="s">
        <v>784</v>
      </c>
      <c r="N63" s="320" t="s">
        <v>34</v>
      </c>
      <c r="O63" s="322">
        <v>5</v>
      </c>
      <c r="P63" s="323">
        <v>13.9</v>
      </c>
      <c r="Q63" s="323">
        <v>69.5</v>
      </c>
      <c r="R63" s="182"/>
      <c r="U63" s="128"/>
    </row>
    <row r="64" spans="1:21" ht="15.6" x14ac:dyDescent="0.3">
      <c r="A64" s="53"/>
      <c r="B64" s="54"/>
      <c r="C64" s="54"/>
      <c r="D64" s="54"/>
      <c r="E64" s="55"/>
      <c r="F64" s="75"/>
      <c r="G64" s="76"/>
      <c r="H64" s="76"/>
      <c r="I64" s="48"/>
      <c r="J64" s="70"/>
      <c r="K64" s="70"/>
      <c r="L64" s="320" t="s">
        <v>961</v>
      </c>
      <c r="M64" s="321" t="s">
        <v>1051</v>
      </c>
      <c r="N64" s="320" t="s">
        <v>34</v>
      </c>
      <c r="O64" s="322">
        <v>0.40200000000000002</v>
      </c>
      <c r="P64" s="323">
        <v>26.99</v>
      </c>
      <c r="Q64" s="323">
        <v>10.85</v>
      </c>
      <c r="R64" s="182"/>
      <c r="U64" s="128"/>
    </row>
    <row r="65" spans="1:21" ht="30" x14ac:dyDescent="0.3">
      <c r="A65" s="53"/>
      <c r="B65" s="54"/>
      <c r="C65" s="54"/>
      <c r="D65" s="54"/>
      <c r="E65" s="55"/>
      <c r="F65" s="75"/>
      <c r="G65" s="76"/>
      <c r="H65" s="76"/>
      <c r="I65" s="48"/>
      <c r="J65" s="70"/>
      <c r="K65" s="70"/>
      <c r="L65" s="320" t="s">
        <v>962</v>
      </c>
      <c r="M65" s="321" t="s">
        <v>787</v>
      </c>
      <c r="N65" s="320" t="s">
        <v>34</v>
      </c>
      <c r="O65" s="322">
        <v>2</v>
      </c>
      <c r="P65" s="323">
        <v>222.4</v>
      </c>
      <c r="Q65" s="323">
        <v>444.8</v>
      </c>
      <c r="R65" s="182"/>
      <c r="U65" s="128"/>
    </row>
    <row r="66" spans="1:21" ht="15.6" x14ac:dyDescent="0.3">
      <c r="A66" s="53"/>
      <c r="B66" s="54"/>
      <c r="C66" s="54"/>
      <c r="D66" s="54"/>
      <c r="E66" s="55"/>
      <c r="F66" s="75"/>
      <c r="G66" s="76"/>
      <c r="H66" s="76"/>
      <c r="I66" s="48"/>
      <c r="J66" s="70"/>
      <c r="K66" s="70"/>
      <c r="L66" s="320" t="s">
        <v>963</v>
      </c>
      <c r="M66" s="321" t="s">
        <v>375</v>
      </c>
      <c r="N66" s="320" t="s">
        <v>34</v>
      </c>
      <c r="O66" s="322">
        <v>14</v>
      </c>
      <c r="P66" s="323">
        <v>172.1</v>
      </c>
      <c r="Q66" s="324">
        <v>2409.4</v>
      </c>
      <c r="R66" s="182"/>
      <c r="U66" s="128"/>
    </row>
    <row r="67" spans="1:21" ht="30" x14ac:dyDescent="0.3">
      <c r="A67" s="53"/>
      <c r="B67" s="54"/>
      <c r="C67" s="54"/>
      <c r="D67" s="54"/>
      <c r="E67" s="55"/>
      <c r="F67" s="75"/>
      <c r="G67" s="76"/>
      <c r="H67" s="76"/>
      <c r="I67" s="48"/>
      <c r="J67" s="70"/>
      <c r="K67" s="70"/>
      <c r="L67" s="320" t="s">
        <v>378</v>
      </c>
      <c r="M67" s="321" t="s">
        <v>379</v>
      </c>
      <c r="N67" s="320" t="s">
        <v>34</v>
      </c>
      <c r="O67" s="322">
        <v>1</v>
      </c>
      <c r="P67" s="323">
        <v>50.1</v>
      </c>
      <c r="Q67" s="323">
        <v>50.1</v>
      </c>
      <c r="R67" s="182"/>
      <c r="U67" s="128"/>
    </row>
    <row r="68" spans="1:21" ht="30" x14ac:dyDescent="0.3">
      <c r="A68" s="53"/>
      <c r="B68" s="54"/>
      <c r="C68" s="54"/>
      <c r="D68" s="54"/>
      <c r="E68" s="55"/>
      <c r="F68" s="75"/>
      <c r="G68" s="76"/>
      <c r="H68" s="76"/>
      <c r="I68" s="48"/>
      <c r="J68" s="70"/>
      <c r="K68" s="70"/>
      <c r="L68" s="320" t="s">
        <v>964</v>
      </c>
      <c r="M68" s="321" t="s">
        <v>788</v>
      </c>
      <c r="N68" s="320" t="s">
        <v>34</v>
      </c>
      <c r="O68" s="322">
        <v>1</v>
      </c>
      <c r="P68" s="323">
        <v>19.3</v>
      </c>
      <c r="Q68" s="323">
        <v>19.3</v>
      </c>
      <c r="R68" s="182"/>
      <c r="U68" s="128"/>
    </row>
    <row r="69" spans="1:21" ht="15.6" x14ac:dyDescent="0.3">
      <c r="A69" s="53"/>
      <c r="B69" s="54"/>
      <c r="C69" s="54"/>
      <c r="D69" s="54"/>
      <c r="E69" s="55"/>
      <c r="F69" s="75"/>
      <c r="G69" s="76"/>
      <c r="H69" s="76"/>
      <c r="I69" s="48"/>
      <c r="J69" s="70"/>
      <c r="K69" s="70"/>
      <c r="L69" s="320" t="s">
        <v>1304</v>
      </c>
      <c r="M69" s="321" t="s">
        <v>1338</v>
      </c>
      <c r="N69" s="320" t="s">
        <v>39</v>
      </c>
      <c r="O69" s="322">
        <v>0.01</v>
      </c>
      <c r="P69" s="324">
        <v>31681</v>
      </c>
      <c r="Q69" s="323">
        <v>316.81</v>
      </c>
      <c r="R69" s="182"/>
      <c r="U69" s="128"/>
    </row>
    <row r="70" spans="1:21" ht="15.6" x14ac:dyDescent="0.3">
      <c r="A70" s="53"/>
      <c r="B70" s="54"/>
      <c r="C70" s="54"/>
      <c r="D70" s="54"/>
      <c r="E70" s="55"/>
      <c r="F70" s="75"/>
      <c r="G70" s="76"/>
      <c r="H70" s="76"/>
      <c r="I70" s="48"/>
      <c r="J70" s="70"/>
      <c r="K70" s="70"/>
      <c r="L70" s="320" t="s">
        <v>1415</v>
      </c>
      <c r="M70" s="321" t="s">
        <v>1438</v>
      </c>
      <c r="N70" s="320" t="s">
        <v>39</v>
      </c>
      <c r="O70" s="322">
        <v>0.06</v>
      </c>
      <c r="P70" s="324">
        <v>32286</v>
      </c>
      <c r="Q70" s="324">
        <v>1937.16</v>
      </c>
      <c r="R70" s="182"/>
      <c r="U70" s="128"/>
    </row>
    <row r="71" spans="1:21" ht="15.6" x14ac:dyDescent="0.3">
      <c r="A71" s="53"/>
      <c r="B71" s="54"/>
      <c r="C71" s="54"/>
      <c r="D71" s="54"/>
      <c r="E71" s="55"/>
      <c r="F71" s="75"/>
      <c r="G71" s="76"/>
      <c r="H71" s="76"/>
      <c r="I71" s="48"/>
      <c r="J71" s="70"/>
      <c r="K71" s="70"/>
      <c r="L71" s="320" t="s">
        <v>965</v>
      </c>
      <c r="M71" s="321" t="s">
        <v>382</v>
      </c>
      <c r="N71" s="320" t="s">
        <v>34</v>
      </c>
      <c r="O71" s="322">
        <v>2.31</v>
      </c>
      <c r="P71" s="323">
        <v>3.8</v>
      </c>
      <c r="Q71" s="323">
        <v>8.7799999999999994</v>
      </c>
      <c r="R71" s="182"/>
      <c r="U71" s="128"/>
    </row>
    <row r="72" spans="1:21" ht="15.6" x14ac:dyDescent="0.3">
      <c r="A72" s="53"/>
      <c r="B72" s="54"/>
      <c r="C72" s="54"/>
      <c r="D72" s="54"/>
      <c r="E72" s="55"/>
      <c r="F72" s="75"/>
      <c r="G72" s="76"/>
      <c r="H72" s="76"/>
      <c r="I72" s="48"/>
      <c r="J72" s="70"/>
      <c r="K72" s="70"/>
      <c r="L72" s="320" t="s">
        <v>939</v>
      </c>
      <c r="M72" s="321" t="s">
        <v>798</v>
      </c>
      <c r="N72" s="320" t="s">
        <v>63</v>
      </c>
      <c r="O72" s="322">
        <v>0.04</v>
      </c>
      <c r="P72" s="324">
        <v>30724.25</v>
      </c>
      <c r="Q72" s="324">
        <v>1228.97</v>
      </c>
      <c r="R72" s="182"/>
      <c r="U72" s="128"/>
    </row>
    <row r="73" spans="1:21" ht="15.6" x14ac:dyDescent="0.3">
      <c r="A73" s="53"/>
      <c r="B73" s="54"/>
      <c r="C73" s="54"/>
      <c r="D73" s="54"/>
      <c r="E73" s="55"/>
      <c r="F73" s="75"/>
      <c r="G73" s="76"/>
      <c r="H73" s="76"/>
      <c r="I73" s="48"/>
      <c r="J73" s="70"/>
      <c r="K73" s="70"/>
      <c r="L73" s="320" t="s">
        <v>1870</v>
      </c>
      <c r="M73" s="321" t="s">
        <v>1885</v>
      </c>
      <c r="N73" s="320" t="s">
        <v>35</v>
      </c>
      <c r="O73" s="322">
        <v>1</v>
      </c>
      <c r="P73" s="323">
        <v>77.08</v>
      </c>
      <c r="Q73" s="323">
        <v>77.08</v>
      </c>
      <c r="R73" s="182"/>
      <c r="U73" s="128"/>
    </row>
    <row r="74" spans="1:21" ht="15.6" x14ac:dyDescent="0.3">
      <c r="A74" s="53"/>
      <c r="B74" s="54"/>
      <c r="C74" s="54"/>
      <c r="D74" s="54"/>
      <c r="E74" s="55"/>
      <c r="F74" s="75"/>
      <c r="G74" s="76"/>
      <c r="H74" s="76"/>
      <c r="I74" s="48"/>
      <c r="J74" s="70"/>
      <c r="K74" s="70"/>
      <c r="L74" s="320" t="s">
        <v>385</v>
      </c>
      <c r="M74" s="321" t="s">
        <v>386</v>
      </c>
      <c r="N74" s="320" t="s">
        <v>34</v>
      </c>
      <c r="O74" s="322">
        <v>1</v>
      </c>
      <c r="P74" s="323">
        <v>261.92</v>
      </c>
      <c r="Q74" s="323">
        <v>261.92</v>
      </c>
      <c r="R74" s="182"/>
      <c r="U74" s="128"/>
    </row>
    <row r="75" spans="1:21" ht="15.6" x14ac:dyDescent="0.3">
      <c r="A75" s="53"/>
      <c r="B75" s="54"/>
      <c r="C75" s="54"/>
      <c r="D75" s="54"/>
      <c r="E75" s="55"/>
      <c r="F75" s="75"/>
      <c r="G75" s="76"/>
      <c r="H75" s="76"/>
      <c r="I75" s="48"/>
      <c r="J75" s="70"/>
      <c r="K75" s="70"/>
      <c r="L75" s="320" t="s">
        <v>387</v>
      </c>
      <c r="M75" s="321" t="s">
        <v>388</v>
      </c>
      <c r="N75" s="320" t="s">
        <v>34</v>
      </c>
      <c r="O75" s="322">
        <v>1</v>
      </c>
      <c r="P75" s="323">
        <v>308.12</v>
      </c>
      <c r="Q75" s="323">
        <v>308.12</v>
      </c>
      <c r="R75" s="182"/>
      <c r="U75" s="128"/>
    </row>
    <row r="76" spans="1:21" ht="15.6" x14ac:dyDescent="0.3">
      <c r="A76" s="53"/>
      <c r="B76" s="54"/>
      <c r="C76" s="54"/>
      <c r="D76" s="54"/>
      <c r="E76" s="55"/>
      <c r="F76" s="75"/>
      <c r="G76" s="76"/>
      <c r="H76" s="76"/>
      <c r="I76" s="48"/>
      <c r="J76" s="70"/>
      <c r="K76" s="70"/>
      <c r="L76" s="320" t="s">
        <v>1027</v>
      </c>
      <c r="M76" s="321" t="s">
        <v>803</v>
      </c>
      <c r="N76" s="320" t="s">
        <v>45</v>
      </c>
      <c r="O76" s="322">
        <v>30.85</v>
      </c>
      <c r="P76" s="323">
        <v>399.17</v>
      </c>
      <c r="Q76" s="324">
        <v>12314.4</v>
      </c>
      <c r="R76" s="182"/>
      <c r="U76" s="128"/>
    </row>
    <row r="77" spans="1:21" ht="15.6" x14ac:dyDescent="0.3">
      <c r="A77" s="53"/>
      <c r="B77" s="54"/>
      <c r="C77" s="54"/>
      <c r="D77" s="54"/>
      <c r="E77" s="55"/>
      <c r="F77" s="75"/>
      <c r="G77" s="76"/>
      <c r="H77" s="76"/>
      <c r="I77" s="48"/>
      <c r="J77" s="70"/>
      <c r="K77" s="70"/>
      <c r="L77" s="320" t="s">
        <v>1153</v>
      </c>
      <c r="M77" s="321" t="s">
        <v>1240</v>
      </c>
      <c r="N77" s="320" t="s">
        <v>34</v>
      </c>
      <c r="O77" s="322">
        <v>0.08</v>
      </c>
      <c r="P77" s="324">
        <v>1488</v>
      </c>
      <c r="Q77" s="323">
        <v>119.04</v>
      </c>
      <c r="R77" s="182"/>
      <c r="U77" s="128"/>
    </row>
    <row r="78" spans="1:21" ht="15.6" x14ac:dyDescent="0.3">
      <c r="A78" s="53"/>
      <c r="B78" s="54"/>
      <c r="C78" s="54"/>
      <c r="D78" s="54"/>
      <c r="E78" s="55"/>
      <c r="F78" s="75"/>
      <c r="G78" s="76"/>
      <c r="H78" s="76"/>
      <c r="I78" s="48"/>
      <c r="J78" s="70"/>
      <c r="K78" s="70"/>
      <c r="L78" s="320" t="s">
        <v>1154</v>
      </c>
      <c r="M78" s="321" t="s">
        <v>1241</v>
      </c>
      <c r="N78" s="320" t="s">
        <v>34</v>
      </c>
      <c r="O78" s="322">
        <v>2</v>
      </c>
      <c r="P78" s="323">
        <v>152</v>
      </c>
      <c r="Q78" s="323">
        <v>304</v>
      </c>
      <c r="R78" s="182"/>
      <c r="U78" s="128"/>
    </row>
    <row r="79" spans="1:21" ht="15.6" x14ac:dyDescent="0.3">
      <c r="A79" s="53"/>
      <c r="B79" s="54"/>
      <c r="C79" s="54"/>
      <c r="D79" s="54"/>
      <c r="E79" s="55"/>
      <c r="F79" s="75"/>
      <c r="G79" s="76"/>
      <c r="H79" s="76"/>
      <c r="I79" s="48"/>
      <c r="J79" s="70"/>
      <c r="K79" s="70"/>
      <c r="L79" s="320" t="s">
        <v>1014</v>
      </c>
      <c r="M79" s="321" t="s">
        <v>806</v>
      </c>
      <c r="N79" s="320" t="s">
        <v>34</v>
      </c>
      <c r="O79" s="322">
        <v>1</v>
      </c>
      <c r="P79" s="323">
        <v>60.4</v>
      </c>
      <c r="Q79" s="323">
        <v>60.4</v>
      </c>
      <c r="R79" s="182"/>
      <c r="U79" s="128"/>
    </row>
    <row r="80" spans="1:21" ht="15.6" x14ac:dyDescent="0.3">
      <c r="A80" s="53"/>
      <c r="B80" s="54"/>
      <c r="C80" s="54"/>
      <c r="D80" s="54"/>
      <c r="E80" s="55"/>
      <c r="F80" s="75"/>
      <c r="G80" s="76"/>
      <c r="H80" s="76"/>
      <c r="I80" s="48"/>
      <c r="J80" s="70"/>
      <c r="K80" s="70"/>
      <c r="L80" s="320" t="s">
        <v>1015</v>
      </c>
      <c r="M80" s="321" t="s">
        <v>393</v>
      </c>
      <c r="N80" s="320" t="s">
        <v>34</v>
      </c>
      <c r="O80" s="322">
        <v>5</v>
      </c>
      <c r="P80" s="323">
        <v>21.7</v>
      </c>
      <c r="Q80" s="323">
        <v>108.51</v>
      </c>
      <c r="R80" s="182"/>
      <c r="U80" s="128"/>
    </row>
    <row r="81" spans="1:21" ht="15.6" x14ac:dyDescent="0.3">
      <c r="A81" s="53"/>
      <c r="B81" s="54"/>
      <c r="C81" s="54"/>
      <c r="D81" s="54"/>
      <c r="E81" s="55"/>
      <c r="F81" s="75"/>
      <c r="G81" s="76"/>
      <c r="H81" s="76"/>
      <c r="I81" s="48"/>
      <c r="J81" s="70"/>
      <c r="K81" s="70"/>
      <c r="L81" s="320" t="s">
        <v>1016</v>
      </c>
      <c r="M81" s="321" t="s">
        <v>396</v>
      </c>
      <c r="N81" s="320" t="s">
        <v>34</v>
      </c>
      <c r="O81" s="322">
        <v>3</v>
      </c>
      <c r="P81" s="323">
        <v>27.92</v>
      </c>
      <c r="Q81" s="323">
        <v>83.76</v>
      </c>
      <c r="R81" s="182"/>
      <c r="U81" s="128"/>
    </row>
    <row r="82" spans="1:21" ht="15.6" x14ac:dyDescent="0.3">
      <c r="A82" s="53"/>
      <c r="B82" s="54"/>
      <c r="C82" s="54"/>
      <c r="D82" s="54"/>
      <c r="E82" s="55"/>
      <c r="F82" s="75"/>
      <c r="G82" s="76"/>
      <c r="H82" s="76"/>
      <c r="I82" s="48"/>
      <c r="J82" s="70"/>
      <c r="K82" s="70"/>
      <c r="L82" s="320" t="s">
        <v>1017</v>
      </c>
      <c r="M82" s="321" t="s">
        <v>397</v>
      </c>
      <c r="N82" s="320" t="s">
        <v>34</v>
      </c>
      <c r="O82" s="322">
        <v>4</v>
      </c>
      <c r="P82" s="323">
        <v>23.5</v>
      </c>
      <c r="Q82" s="323">
        <v>94</v>
      </c>
      <c r="R82" s="182"/>
      <c r="U82" s="128"/>
    </row>
    <row r="83" spans="1:21" ht="15.6" x14ac:dyDescent="0.3">
      <c r="A83" s="53"/>
      <c r="B83" s="54"/>
      <c r="C83" s="54"/>
      <c r="D83" s="54"/>
      <c r="E83" s="55"/>
      <c r="F83" s="75"/>
      <c r="G83" s="76"/>
      <c r="H83" s="76"/>
      <c r="I83" s="48"/>
      <c r="J83" s="70"/>
      <c r="K83" s="70"/>
      <c r="L83" s="320" t="s">
        <v>1157</v>
      </c>
      <c r="M83" s="321" t="s">
        <v>398</v>
      </c>
      <c r="N83" s="320" t="s">
        <v>34</v>
      </c>
      <c r="O83" s="322">
        <v>3</v>
      </c>
      <c r="P83" s="324">
        <v>1290.8</v>
      </c>
      <c r="Q83" s="324">
        <v>3872.4</v>
      </c>
      <c r="R83" s="182"/>
      <c r="U83" s="128"/>
    </row>
    <row r="84" spans="1:21" ht="15.6" x14ac:dyDescent="0.3">
      <c r="A84" s="53"/>
      <c r="B84" s="54"/>
      <c r="C84" s="54"/>
      <c r="D84" s="54"/>
      <c r="E84" s="55"/>
      <c r="F84" s="75"/>
      <c r="G84" s="76"/>
      <c r="H84" s="76"/>
      <c r="I84" s="48"/>
      <c r="J84" s="70"/>
      <c r="K84" s="70"/>
      <c r="L84" s="320" t="s">
        <v>1009</v>
      </c>
      <c r="M84" s="321" t="s">
        <v>811</v>
      </c>
      <c r="N84" s="320" t="s">
        <v>34</v>
      </c>
      <c r="O84" s="322">
        <v>7</v>
      </c>
      <c r="P84" s="323">
        <v>91</v>
      </c>
      <c r="Q84" s="323">
        <v>637</v>
      </c>
      <c r="R84" s="182"/>
      <c r="U84" s="128"/>
    </row>
    <row r="85" spans="1:21" ht="15.6" x14ac:dyDescent="0.3">
      <c r="A85" s="53"/>
      <c r="B85" s="54"/>
      <c r="C85" s="54"/>
      <c r="D85" s="54"/>
      <c r="E85" s="55"/>
      <c r="F85" s="75"/>
      <c r="G85" s="76"/>
      <c r="H85" s="76"/>
      <c r="I85" s="48"/>
      <c r="J85" s="70"/>
      <c r="K85" s="70"/>
      <c r="L85" s="320" t="s">
        <v>1158</v>
      </c>
      <c r="M85" s="321" t="s">
        <v>1244</v>
      </c>
      <c r="N85" s="320" t="s">
        <v>34</v>
      </c>
      <c r="O85" s="322">
        <v>1</v>
      </c>
      <c r="P85" s="323">
        <v>238</v>
      </c>
      <c r="Q85" s="323">
        <v>238</v>
      </c>
      <c r="R85" s="182"/>
      <c r="U85" s="128"/>
    </row>
    <row r="86" spans="1:21" ht="15.6" x14ac:dyDescent="0.3">
      <c r="A86" s="53"/>
      <c r="B86" s="54"/>
      <c r="C86" s="54"/>
      <c r="D86" s="54"/>
      <c r="E86" s="55"/>
      <c r="F86" s="75"/>
      <c r="G86" s="76"/>
      <c r="H86" s="76"/>
      <c r="I86" s="48"/>
      <c r="J86" s="70"/>
      <c r="K86" s="70"/>
      <c r="L86" s="320" t="s">
        <v>944</v>
      </c>
      <c r="M86" s="321" t="s">
        <v>1041</v>
      </c>
      <c r="N86" s="320" t="s">
        <v>903</v>
      </c>
      <c r="O86" s="322">
        <v>4</v>
      </c>
      <c r="P86" s="324">
        <v>1283.5</v>
      </c>
      <c r="Q86" s="324">
        <v>5134</v>
      </c>
      <c r="R86" s="182"/>
      <c r="U86" s="128"/>
    </row>
    <row r="87" spans="1:21" ht="15.6" x14ac:dyDescent="0.3">
      <c r="A87" s="53"/>
      <c r="B87" s="54"/>
      <c r="C87" s="54"/>
      <c r="D87" s="54"/>
      <c r="E87" s="55"/>
      <c r="F87" s="75"/>
      <c r="G87" s="76"/>
      <c r="H87" s="76"/>
      <c r="I87" s="48"/>
      <c r="J87" s="70"/>
      <c r="K87" s="70"/>
      <c r="L87" s="320" t="s">
        <v>1163</v>
      </c>
      <c r="M87" s="321" t="s">
        <v>1248</v>
      </c>
      <c r="N87" s="320" t="s">
        <v>34</v>
      </c>
      <c r="O87" s="322">
        <v>2</v>
      </c>
      <c r="P87" s="323">
        <v>622.5</v>
      </c>
      <c r="Q87" s="324">
        <v>1244.99</v>
      </c>
      <c r="R87" s="182"/>
      <c r="U87" s="128"/>
    </row>
    <row r="88" spans="1:21" ht="15.6" x14ac:dyDescent="0.3">
      <c r="A88" s="53"/>
      <c r="B88" s="54"/>
      <c r="C88" s="54"/>
      <c r="D88" s="54"/>
      <c r="E88" s="55"/>
      <c r="F88" s="75"/>
      <c r="G88" s="76"/>
      <c r="H88" s="76"/>
      <c r="I88" s="48"/>
      <c r="J88" s="70"/>
      <c r="K88" s="70"/>
      <c r="L88" s="320" t="s">
        <v>1010</v>
      </c>
      <c r="M88" s="321" t="s">
        <v>814</v>
      </c>
      <c r="N88" s="320" t="s">
        <v>34</v>
      </c>
      <c r="O88" s="322">
        <v>5</v>
      </c>
      <c r="P88" s="323">
        <v>644.35</v>
      </c>
      <c r="Q88" s="324">
        <v>3221.75</v>
      </c>
      <c r="R88" s="182"/>
      <c r="U88" s="128"/>
    </row>
    <row r="89" spans="1:21" ht="15.6" x14ac:dyDescent="0.3">
      <c r="A89" s="53"/>
      <c r="B89" s="54"/>
      <c r="C89" s="54"/>
      <c r="D89" s="54"/>
      <c r="E89" s="55"/>
      <c r="F89" s="75"/>
      <c r="G89" s="76"/>
      <c r="H89" s="76"/>
      <c r="I89" s="48"/>
      <c r="J89" s="70"/>
      <c r="K89" s="70"/>
      <c r="L89" s="320" t="s">
        <v>1011</v>
      </c>
      <c r="M89" s="321" t="s">
        <v>815</v>
      </c>
      <c r="N89" s="320" t="s">
        <v>34</v>
      </c>
      <c r="O89" s="322">
        <v>10</v>
      </c>
      <c r="P89" s="323">
        <v>865.5</v>
      </c>
      <c r="Q89" s="324">
        <v>8655</v>
      </c>
      <c r="R89" s="182"/>
      <c r="U89" s="128"/>
    </row>
    <row r="90" spans="1:21" ht="15.6" x14ac:dyDescent="0.3">
      <c r="A90" s="53"/>
      <c r="B90" s="54"/>
      <c r="C90" s="54"/>
      <c r="D90" s="54"/>
      <c r="E90" s="55"/>
      <c r="F90" s="75"/>
      <c r="G90" s="76"/>
      <c r="H90" s="76"/>
      <c r="I90" s="48"/>
      <c r="J90" s="70"/>
      <c r="K90" s="70"/>
      <c r="L90" s="320" t="s">
        <v>1164</v>
      </c>
      <c r="M90" s="321" t="s">
        <v>1249</v>
      </c>
      <c r="N90" s="320" t="s">
        <v>34</v>
      </c>
      <c r="O90" s="322">
        <v>0.5</v>
      </c>
      <c r="P90" s="323">
        <v>349.1</v>
      </c>
      <c r="Q90" s="323">
        <v>174.55</v>
      </c>
      <c r="R90" s="182"/>
      <c r="U90" s="128"/>
    </row>
    <row r="91" spans="1:21" ht="30" x14ac:dyDescent="0.3">
      <c r="A91" s="53"/>
      <c r="B91" s="54"/>
      <c r="C91" s="54"/>
      <c r="D91" s="54"/>
      <c r="E91" s="55"/>
      <c r="F91" s="75"/>
      <c r="G91" s="76"/>
      <c r="H91" s="76"/>
      <c r="I91" s="48"/>
      <c r="J91" s="70"/>
      <c r="K91" s="70"/>
      <c r="L91" s="320" t="s">
        <v>1360</v>
      </c>
      <c r="M91" s="321" t="s">
        <v>1389</v>
      </c>
      <c r="N91" s="320" t="s">
        <v>903</v>
      </c>
      <c r="O91" s="322">
        <v>0.28999999999999998</v>
      </c>
      <c r="P91" s="324">
        <v>3625</v>
      </c>
      <c r="Q91" s="324">
        <v>1051.25</v>
      </c>
      <c r="R91" s="182"/>
      <c r="U91" s="128"/>
    </row>
    <row r="92" spans="1:21" ht="15.6" x14ac:dyDescent="0.3">
      <c r="A92" s="53"/>
      <c r="B92" s="54"/>
      <c r="C92" s="54"/>
      <c r="D92" s="54"/>
      <c r="E92" s="55"/>
      <c r="F92" s="75"/>
      <c r="G92" s="76"/>
      <c r="H92" s="76"/>
      <c r="I92" s="48"/>
      <c r="J92" s="70"/>
      <c r="K92" s="70"/>
      <c r="L92" s="320" t="s">
        <v>937</v>
      </c>
      <c r="M92" s="321" t="s">
        <v>1036</v>
      </c>
      <c r="N92" s="320" t="s">
        <v>269</v>
      </c>
      <c r="O92" s="322">
        <v>3</v>
      </c>
      <c r="P92" s="323">
        <v>785.89</v>
      </c>
      <c r="Q92" s="324">
        <v>2357.6799999999998</v>
      </c>
      <c r="R92" s="182"/>
      <c r="U92" s="128"/>
    </row>
    <row r="93" spans="1:21" ht="15.6" x14ac:dyDescent="0.3">
      <c r="A93" s="53"/>
      <c r="B93" s="54"/>
      <c r="C93" s="54"/>
      <c r="D93" s="54"/>
      <c r="E93" s="55"/>
      <c r="F93" s="75"/>
      <c r="G93" s="76"/>
      <c r="H93" s="76"/>
      <c r="I93" s="48"/>
      <c r="J93" s="70"/>
      <c r="K93" s="70"/>
      <c r="L93" s="320" t="s">
        <v>938</v>
      </c>
      <c r="M93" s="321" t="s">
        <v>1037</v>
      </c>
      <c r="N93" s="320" t="s">
        <v>269</v>
      </c>
      <c r="O93" s="322">
        <v>4</v>
      </c>
      <c r="P93" s="323">
        <v>813</v>
      </c>
      <c r="Q93" s="324">
        <v>3252</v>
      </c>
      <c r="R93" s="182"/>
      <c r="U93" s="128"/>
    </row>
    <row r="94" spans="1:21" ht="15.6" x14ac:dyDescent="0.3">
      <c r="A94" s="53"/>
      <c r="B94" s="54"/>
      <c r="C94" s="54"/>
      <c r="D94" s="54"/>
      <c r="E94" s="55"/>
      <c r="F94" s="75"/>
      <c r="G94" s="76"/>
      <c r="H94" s="76"/>
      <c r="I94" s="48"/>
      <c r="J94" s="70"/>
      <c r="K94" s="70"/>
      <c r="L94" s="320" t="s">
        <v>1001</v>
      </c>
      <c r="M94" s="321" t="s">
        <v>415</v>
      </c>
      <c r="N94" s="320" t="s">
        <v>34</v>
      </c>
      <c r="O94" s="322">
        <v>11</v>
      </c>
      <c r="P94" s="323">
        <v>59.58</v>
      </c>
      <c r="Q94" s="323">
        <v>655.38</v>
      </c>
      <c r="R94" s="182"/>
      <c r="U94" s="128"/>
    </row>
    <row r="95" spans="1:21" ht="15.6" x14ac:dyDescent="0.3">
      <c r="A95" s="53"/>
      <c r="B95" s="54"/>
      <c r="C95" s="54"/>
      <c r="D95" s="54"/>
      <c r="E95" s="55"/>
      <c r="F95" s="75"/>
      <c r="G95" s="76"/>
      <c r="H95" s="76"/>
      <c r="I95" s="48"/>
      <c r="J95" s="70"/>
      <c r="K95" s="70"/>
      <c r="L95" s="320" t="s">
        <v>1871</v>
      </c>
      <c r="M95" s="321" t="s">
        <v>1886</v>
      </c>
      <c r="N95" s="320" t="s">
        <v>56</v>
      </c>
      <c r="O95" s="322">
        <v>0.01</v>
      </c>
      <c r="P95" s="324">
        <v>55000</v>
      </c>
      <c r="Q95" s="323">
        <v>550</v>
      </c>
      <c r="R95" s="182"/>
      <c r="U95" s="128"/>
    </row>
    <row r="96" spans="1:21" ht="15.6" x14ac:dyDescent="0.3">
      <c r="A96" s="53"/>
      <c r="B96" s="54"/>
      <c r="C96" s="54"/>
      <c r="D96" s="54"/>
      <c r="E96" s="55"/>
      <c r="F96" s="75"/>
      <c r="G96" s="76"/>
      <c r="H96" s="76"/>
      <c r="I96" s="48"/>
      <c r="J96" s="70"/>
      <c r="K96" s="70"/>
      <c r="L96" s="320" t="s">
        <v>1116</v>
      </c>
      <c r="M96" s="321" t="s">
        <v>1202</v>
      </c>
      <c r="N96" s="320" t="s">
        <v>68</v>
      </c>
      <c r="O96" s="322">
        <v>52.13</v>
      </c>
      <c r="P96" s="323">
        <v>164.17</v>
      </c>
      <c r="Q96" s="324">
        <v>8558</v>
      </c>
      <c r="R96" s="182"/>
      <c r="U96" s="128"/>
    </row>
    <row r="97" spans="1:21" ht="15.6" x14ac:dyDescent="0.3">
      <c r="A97" s="53"/>
      <c r="B97" s="54"/>
      <c r="C97" s="54"/>
      <c r="D97" s="54"/>
      <c r="E97" s="55"/>
      <c r="F97" s="75"/>
      <c r="G97" s="76"/>
      <c r="H97" s="76"/>
      <c r="I97" s="48"/>
      <c r="J97" s="70"/>
      <c r="K97" s="70"/>
      <c r="L97" s="320" t="s">
        <v>1872</v>
      </c>
      <c r="M97" s="321" t="s">
        <v>1887</v>
      </c>
      <c r="N97" s="320" t="s">
        <v>34</v>
      </c>
      <c r="O97" s="322">
        <v>1</v>
      </c>
      <c r="P97" s="323">
        <v>55</v>
      </c>
      <c r="Q97" s="323">
        <v>55</v>
      </c>
      <c r="R97" s="182"/>
      <c r="U97" s="128"/>
    </row>
    <row r="98" spans="1:21" ht="15.6" x14ac:dyDescent="0.3">
      <c r="A98" s="53"/>
      <c r="B98" s="54"/>
      <c r="C98" s="54"/>
      <c r="D98" s="54"/>
      <c r="E98" s="55"/>
      <c r="F98" s="75"/>
      <c r="G98" s="76"/>
      <c r="H98" s="76"/>
      <c r="I98" s="48"/>
      <c r="J98" s="70"/>
      <c r="K98" s="70"/>
      <c r="L98" s="320" t="s">
        <v>1161</v>
      </c>
      <c r="M98" s="321" t="s">
        <v>436</v>
      </c>
      <c r="N98" s="320" t="s">
        <v>34</v>
      </c>
      <c r="O98" s="322">
        <v>5</v>
      </c>
      <c r="P98" s="323">
        <v>96.18</v>
      </c>
      <c r="Q98" s="323">
        <v>480.9</v>
      </c>
      <c r="R98" s="182"/>
      <c r="U98" s="128"/>
    </row>
    <row r="99" spans="1:21" ht="30" x14ac:dyDescent="0.3">
      <c r="A99" s="53"/>
      <c r="B99" s="54"/>
      <c r="C99" s="54"/>
      <c r="D99" s="54"/>
      <c r="E99" s="55"/>
      <c r="F99" s="75"/>
      <c r="G99" s="76"/>
      <c r="H99" s="76"/>
      <c r="I99" s="48"/>
      <c r="J99" s="70"/>
      <c r="K99" s="70"/>
      <c r="L99" s="320" t="s">
        <v>1004</v>
      </c>
      <c r="M99" s="321" t="s">
        <v>95</v>
      </c>
      <c r="N99" s="320" t="s">
        <v>34</v>
      </c>
      <c r="O99" s="322">
        <v>10</v>
      </c>
      <c r="P99" s="323">
        <v>181.32</v>
      </c>
      <c r="Q99" s="324">
        <v>1813.2</v>
      </c>
      <c r="R99" s="182"/>
      <c r="U99" s="128"/>
    </row>
    <row r="100" spans="1:21" ht="15.6" x14ac:dyDescent="0.3">
      <c r="A100" s="53"/>
      <c r="B100" s="54"/>
      <c r="C100" s="54"/>
      <c r="D100" s="54"/>
      <c r="E100" s="55"/>
      <c r="F100" s="75"/>
      <c r="G100" s="76"/>
      <c r="H100" s="76"/>
      <c r="I100" s="48"/>
      <c r="J100" s="70"/>
      <c r="K100" s="70"/>
      <c r="L100" s="320" t="s">
        <v>1090</v>
      </c>
      <c r="M100" s="321" t="s">
        <v>439</v>
      </c>
      <c r="N100" s="320" t="s">
        <v>34</v>
      </c>
      <c r="O100" s="322">
        <v>1</v>
      </c>
      <c r="P100" s="323">
        <v>89.12</v>
      </c>
      <c r="Q100" s="323">
        <v>89.12</v>
      </c>
      <c r="R100" s="182"/>
      <c r="U100" s="128"/>
    </row>
    <row r="101" spans="1:21" ht="15.6" x14ac:dyDescent="0.3">
      <c r="A101" s="53"/>
      <c r="B101" s="54"/>
      <c r="C101" s="54"/>
      <c r="D101" s="54"/>
      <c r="E101" s="55"/>
      <c r="F101" s="75"/>
      <c r="G101" s="76"/>
      <c r="H101" s="76"/>
      <c r="I101" s="48"/>
      <c r="J101" s="70"/>
      <c r="K101" s="70"/>
      <c r="L101" s="320" t="s">
        <v>1005</v>
      </c>
      <c r="M101" s="321" t="s">
        <v>825</v>
      </c>
      <c r="N101" s="320" t="s">
        <v>34</v>
      </c>
      <c r="O101" s="322">
        <v>4</v>
      </c>
      <c r="P101" s="323">
        <v>297</v>
      </c>
      <c r="Q101" s="324">
        <v>1188</v>
      </c>
      <c r="R101" s="272"/>
      <c r="U101" s="128"/>
    </row>
    <row r="102" spans="1:21" ht="15.6" x14ac:dyDescent="0.3">
      <c r="A102" s="53"/>
      <c r="B102" s="54"/>
      <c r="C102" s="54"/>
      <c r="D102" s="54"/>
      <c r="E102" s="55"/>
      <c r="F102" s="75"/>
      <c r="G102" s="76"/>
      <c r="H102" s="76"/>
      <c r="I102" s="48"/>
      <c r="J102" s="70"/>
      <c r="K102" s="70"/>
      <c r="L102" s="320" t="s">
        <v>1006</v>
      </c>
      <c r="M102" s="321" t="s">
        <v>923</v>
      </c>
      <c r="N102" s="320" t="s">
        <v>34</v>
      </c>
      <c r="O102" s="322">
        <v>694</v>
      </c>
      <c r="P102" s="323">
        <v>0.14000000000000001</v>
      </c>
      <c r="Q102" s="323">
        <v>95.73</v>
      </c>
      <c r="R102" s="182"/>
      <c r="U102" s="128"/>
    </row>
    <row r="103" spans="1:21" ht="15.6" x14ac:dyDescent="0.3">
      <c r="A103" s="53"/>
      <c r="B103" s="54"/>
      <c r="C103" s="54"/>
      <c r="D103" s="54"/>
      <c r="E103" s="55"/>
      <c r="F103" s="75"/>
      <c r="G103" s="76"/>
      <c r="H103" s="76"/>
      <c r="I103" s="48"/>
      <c r="J103" s="70"/>
      <c r="K103" s="70"/>
      <c r="L103" s="320" t="s">
        <v>1007</v>
      </c>
      <c r="M103" s="321" t="s">
        <v>447</v>
      </c>
      <c r="N103" s="320" t="s">
        <v>34</v>
      </c>
      <c r="O103" s="322">
        <v>9</v>
      </c>
      <c r="P103" s="323">
        <v>106.52</v>
      </c>
      <c r="Q103" s="323">
        <v>958.71</v>
      </c>
      <c r="R103" s="182"/>
      <c r="U103" s="128"/>
    </row>
    <row r="104" spans="1:21" ht="15.6" x14ac:dyDescent="0.3">
      <c r="A104" s="53"/>
      <c r="B104" s="54"/>
      <c r="C104" s="54"/>
      <c r="D104" s="54"/>
      <c r="E104" s="55"/>
      <c r="F104" s="75"/>
      <c r="G104" s="76"/>
      <c r="H104" s="76"/>
      <c r="I104" s="48"/>
      <c r="J104" s="70"/>
      <c r="K104" s="70"/>
      <c r="L104" s="320" t="s">
        <v>927</v>
      </c>
      <c r="M104" s="321" t="s">
        <v>928</v>
      </c>
      <c r="N104" s="320" t="s">
        <v>34</v>
      </c>
      <c r="O104" s="322">
        <v>1</v>
      </c>
      <c r="P104" s="324">
        <v>2184.67</v>
      </c>
      <c r="Q104" s="324">
        <v>2184.67</v>
      </c>
      <c r="R104" s="182"/>
      <c r="U104" s="128"/>
    </row>
    <row r="105" spans="1:21" ht="15.6" x14ac:dyDescent="0.3">
      <c r="A105" s="53"/>
      <c r="B105" s="54"/>
      <c r="C105" s="54"/>
      <c r="D105" s="54"/>
      <c r="E105" s="55"/>
      <c r="F105" s="75"/>
      <c r="G105" s="76"/>
      <c r="H105" s="76"/>
      <c r="I105" s="48"/>
      <c r="J105" s="70"/>
      <c r="K105" s="70"/>
      <c r="L105" s="320" t="s">
        <v>1873</v>
      </c>
      <c r="M105" s="321" t="s">
        <v>1888</v>
      </c>
      <c r="N105" s="320" t="s">
        <v>34</v>
      </c>
      <c r="O105" s="322">
        <v>6.54</v>
      </c>
      <c r="P105" s="323">
        <v>66.87</v>
      </c>
      <c r="Q105" s="323">
        <v>437.33</v>
      </c>
      <c r="R105" s="182"/>
      <c r="U105" s="128"/>
    </row>
    <row r="106" spans="1:21" ht="15.6" x14ac:dyDescent="0.3">
      <c r="A106" s="53"/>
      <c r="B106" s="54"/>
      <c r="C106" s="54"/>
      <c r="D106" s="54"/>
      <c r="E106" s="55"/>
      <c r="F106" s="75"/>
      <c r="G106" s="76"/>
      <c r="H106" s="76"/>
      <c r="I106" s="48"/>
      <c r="J106" s="70"/>
      <c r="K106" s="70"/>
      <c r="L106" s="320" t="s">
        <v>1080</v>
      </c>
      <c r="M106" s="321" t="s">
        <v>1081</v>
      </c>
      <c r="N106" s="320" t="s">
        <v>34</v>
      </c>
      <c r="O106" s="322">
        <v>1</v>
      </c>
      <c r="P106" s="323">
        <v>4.25</v>
      </c>
      <c r="Q106" s="323">
        <v>4.25</v>
      </c>
      <c r="R106" s="182"/>
      <c r="U106" s="128"/>
    </row>
    <row r="107" spans="1:21" ht="15.6" x14ac:dyDescent="0.3">
      <c r="A107" s="53"/>
      <c r="B107" s="54"/>
      <c r="C107" s="54"/>
      <c r="D107" s="54"/>
      <c r="E107" s="55"/>
      <c r="F107" s="75"/>
      <c r="G107" s="76"/>
      <c r="H107" s="76"/>
      <c r="I107" s="48"/>
      <c r="J107" s="70"/>
      <c r="K107" s="70"/>
      <c r="L107" s="320" t="s">
        <v>1378</v>
      </c>
      <c r="M107" s="321" t="s">
        <v>1406</v>
      </c>
      <c r="N107" s="320" t="s">
        <v>34</v>
      </c>
      <c r="O107" s="322">
        <v>1</v>
      </c>
      <c r="P107" s="323">
        <v>38.619999999999997</v>
      </c>
      <c r="Q107" s="323">
        <v>38.619999999999997</v>
      </c>
      <c r="R107" s="182"/>
      <c r="U107" s="128"/>
    </row>
    <row r="108" spans="1:21" ht="15.6" x14ac:dyDescent="0.3">
      <c r="A108" s="53"/>
      <c r="B108" s="54"/>
      <c r="C108" s="54"/>
      <c r="D108" s="54"/>
      <c r="E108" s="55"/>
      <c r="F108" s="75"/>
      <c r="G108" s="76"/>
      <c r="H108" s="76"/>
      <c r="I108" s="48"/>
      <c r="J108" s="70"/>
      <c r="K108" s="70"/>
      <c r="L108" s="320" t="s">
        <v>983</v>
      </c>
      <c r="M108" s="321" t="s">
        <v>471</v>
      </c>
      <c r="N108" s="320" t="s">
        <v>34</v>
      </c>
      <c r="O108" s="322">
        <v>2</v>
      </c>
      <c r="P108" s="323">
        <v>44.25</v>
      </c>
      <c r="Q108" s="323">
        <v>88.5</v>
      </c>
      <c r="R108" s="182"/>
      <c r="U108" s="128"/>
    </row>
    <row r="109" spans="1:21" ht="15.6" x14ac:dyDescent="0.3">
      <c r="A109" s="53"/>
      <c r="B109" s="54"/>
      <c r="C109" s="54"/>
      <c r="D109" s="54"/>
      <c r="E109" s="55"/>
      <c r="F109" s="75"/>
      <c r="G109" s="76"/>
      <c r="H109" s="76"/>
      <c r="I109" s="48"/>
      <c r="J109" s="70"/>
      <c r="K109" s="70"/>
      <c r="L109" s="320" t="s">
        <v>984</v>
      </c>
      <c r="M109" s="321" t="s">
        <v>472</v>
      </c>
      <c r="N109" s="320" t="s">
        <v>34</v>
      </c>
      <c r="O109" s="322">
        <v>7</v>
      </c>
      <c r="P109" s="323">
        <v>6.59</v>
      </c>
      <c r="Q109" s="323">
        <v>46.16</v>
      </c>
      <c r="R109" s="182"/>
      <c r="U109" s="128"/>
    </row>
    <row r="110" spans="1:21" ht="15.6" x14ac:dyDescent="0.3">
      <c r="A110" s="53"/>
      <c r="B110" s="54"/>
      <c r="C110" s="54"/>
      <c r="D110" s="54"/>
      <c r="E110" s="55"/>
      <c r="F110" s="75"/>
      <c r="G110" s="76"/>
      <c r="H110" s="76"/>
      <c r="I110" s="48"/>
      <c r="J110" s="70"/>
      <c r="K110" s="70"/>
      <c r="L110" s="320" t="s">
        <v>985</v>
      </c>
      <c r="M110" s="321" t="s">
        <v>473</v>
      </c>
      <c r="N110" s="320" t="s">
        <v>34</v>
      </c>
      <c r="O110" s="322">
        <v>5</v>
      </c>
      <c r="P110" s="323">
        <v>73.7</v>
      </c>
      <c r="Q110" s="323">
        <v>368.5</v>
      </c>
      <c r="R110" s="182"/>
      <c r="U110" s="128"/>
    </row>
    <row r="111" spans="1:21" ht="15.6" x14ac:dyDescent="0.3">
      <c r="A111" s="53"/>
      <c r="B111" s="54"/>
      <c r="C111" s="54"/>
      <c r="D111" s="54"/>
      <c r="E111" s="55"/>
      <c r="F111" s="75"/>
      <c r="G111" s="76"/>
      <c r="H111" s="76"/>
      <c r="I111" s="48"/>
      <c r="J111" s="70"/>
      <c r="K111" s="70"/>
      <c r="L111" s="320" t="s">
        <v>1087</v>
      </c>
      <c r="M111" s="321" t="s">
        <v>1089</v>
      </c>
      <c r="N111" s="320" t="s">
        <v>34</v>
      </c>
      <c r="O111" s="322">
        <v>1</v>
      </c>
      <c r="P111" s="323">
        <v>73</v>
      </c>
      <c r="Q111" s="323">
        <v>73</v>
      </c>
      <c r="R111" s="182"/>
      <c r="U111" s="128"/>
    </row>
    <row r="112" spans="1:21" ht="15.6" x14ac:dyDescent="0.3">
      <c r="A112" s="53"/>
      <c r="B112" s="54"/>
      <c r="C112" s="54"/>
      <c r="D112" s="54"/>
      <c r="E112" s="55"/>
      <c r="F112" s="75"/>
      <c r="G112" s="76"/>
      <c r="H112" s="76"/>
      <c r="I112" s="48"/>
      <c r="J112" s="70"/>
      <c r="K112" s="70"/>
      <c r="L112" s="320" t="s">
        <v>1382</v>
      </c>
      <c r="M112" s="321" t="s">
        <v>1410</v>
      </c>
      <c r="N112" s="320" t="s">
        <v>39</v>
      </c>
      <c r="O112" s="322">
        <v>0.02</v>
      </c>
      <c r="P112" s="324">
        <v>35795</v>
      </c>
      <c r="Q112" s="323">
        <v>715.9</v>
      </c>
      <c r="R112" s="182"/>
      <c r="U112" s="128"/>
    </row>
    <row r="113" spans="1:21" ht="15.6" x14ac:dyDescent="0.3">
      <c r="A113" s="53"/>
      <c r="B113" s="54"/>
      <c r="C113" s="54"/>
      <c r="D113" s="54"/>
      <c r="E113" s="55"/>
      <c r="F113" s="75"/>
      <c r="G113" s="76"/>
      <c r="H113" s="76"/>
      <c r="I113" s="48"/>
      <c r="J113" s="70"/>
      <c r="K113" s="70"/>
      <c r="L113" s="320" t="s">
        <v>1423</v>
      </c>
      <c r="M113" s="321" t="s">
        <v>1446</v>
      </c>
      <c r="N113" s="320" t="s">
        <v>39</v>
      </c>
      <c r="O113" s="322">
        <v>7.0000000000000007E-2</v>
      </c>
      <c r="P113" s="324">
        <v>31817</v>
      </c>
      <c r="Q113" s="324">
        <v>2227.19</v>
      </c>
      <c r="R113" s="182"/>
      <c r="U113" s="128"/>
    </row>
    <row r="114" spans="1:21" ht="15.6" x14ac:dyDescent="0.3">
      <c r="A114" s="53"/>
      <c r="B114" s="54"/>
      <c r="C114" s="54"/>
      <c r="D114" s="54"/>
      <c r="E114" s="55"/>
      <c r="F114" s="75"/>
      <c r="G114" s="76"/>
      <c r="H114" s="76"/>
      <c r="I114" s="48"/>
      <c r="J114" s="70"/>
      <c r="K114" s="70"/>
      <c r="L114" s="320" t="s">
        <v>1424</v>
      </c>
      <c r="M114" s="321" t="s">
        <v>228</v>
      </c>
      <c r="N114" s="320" t="s">
        <v>39</v>
      </c>
      <c r="O114" s="322">
        <v>0.04</v>
      </c>
      <c r="P114" s="324">
        <v>34206</v>
      </c>
      <c r="Q114" s="324">
        <v>1368.24</v>
      </c>
      <c r="R114" s="182"/>
      <c r="U114" s="128"/>
    </row>
    <row r="115" spans="1:21" ht="15.6" x14ac:dyDescent="0.3">
      <c r="A115" s="53"/>
      <c r="B115" s="54"/>
      <c r="C115" s="54"/>
      <c r="D115" s="54"/>
      <c r="E115" s="55"/>
      <c r="F115" s="75"/>
      <c r="G115" s="76"/>
      <c r="H115" s="76"/>
      <c r="I115" s="48"/>
      <c r="J115" s="70"/>
      <c r="K115" s="70"/>
      <c r="L115" s="320" t="s">
        <v>1847</v>
      </c>
      <c r="M115" s="321" t="s">
        <v>1849</v>
      </c>
      <c r="N115" s="320" t="s">
        <v>39</v>
      </c>
      <c r="O115" s="322">
        <v>0.01</v>
      </c>
      <c r="P115" s="324">
        <v>34578</v>
      </c>
      <c r="Q115" s="323">
        <v>345.78</v>
      </c>
      <c r="R115" s="182"/>
      <c r="U115" s="128"/>
    </row>
    <row r="116" spans="1:21" ht="15.6" x14ac:dyDescent="0.3">
      <c r="A116" s="53"/>
      <c r="B116" s="54"/>
      <c r="C116" s="54"/>
      <c r="D116" s="54"/>
      <c r="E116" s="55"/>
      <c r="F116" s="75"/>
      <c r="G116" s="76"/>
      <c r="H116" s="76"/>
      <c r="I116" s="48"/>
      <c r="J116" s="70"/>
      <c r="K116" s="70"/>
      <c r="L116" s="320" t="s">
        <v>1031</v>
      </c>
      <c r="M116" s="321" t="s">
        <v>834</v>
      </c>
      <c r="N116" s="320" t="s">
        <v>39</v>
      </c>
      <c r="O116" s="322">
        <v>0.13</v>
      </c>
      <c r="P116" s="324">
        <v>35257.919999999998</v>
      </c>
      <c r="Q116" s="324">
        <v>4583.53</v>
      </c>
      <c r="R116" s="182"/>
      <c r="U116" s="128"/>
    </row>
    <row r="117" spans="1:21" ht="15.6" x14ac:dyDescent="0.3">
      <c r="A117" s="53"/>
      <c r="B117" s="54"/>
      <c r="C117" s="54"/>
      <c r="D117" s="54"/>
      <c r="E117" s="55"/>
      <c r="F117" s="75"/>
      <c r="G117" s="76"/>
      <c r="H117" s="76"/>
      <c r="I117" s="48"/>
      <c r="J117" s="70"/>
      <c r="K117" s="70"/>
      <c r="L117" s="320" t="s">
        <v>986</v>
      </c>
      <c r="M117" s="321" t="s">
        <v>835</v>
      </c>
      <c r="N117" s="320" t="s">
        <v>34</v>
      </c>
      <c r="O117" s="322">
        <v>6</v>
      </c>
      <c r="P117" s="323">
        <v>275.86</v>
      </c>
      <c r="Q117" s="324">
        <v>1655.16</v>
      </c>
      <c r="R117" s="182"/>
      <c r="U117" s="128"/>
    </row>
    <row r="118" spans="1:21" ht="15.6" x14ac:dyDescent="0.3">
      <c r="A118" s="53"/>
      <c r="B118" s="54"/>
      <c r="C118" s="54"/>
      <c r="D118" s="54"/>
      <c r="E118" s="55"/>
      <c r="F118" s="75"/>
      <c r="G118" s="76"/>
      <c r="H118" s="76"/>
      <c r="I118" s="48"/>
      <c r="J118" s="70"/>
      <c r="K118" s="70"/>
      <c r="L118" s="320" t="s">
        <v>1179</v>
      </c>
      <c r="M118" s="321" t="s">
        <v>1263</v>
      </c>
      <c r="N118" s="320" t="s">
        <v>34</v>
      </c>
      <c r="O118" s="322">
        <v>0.31</v>
      </c>
      <c r="P118" s="323">
        <v>561</v>
      </c>
      <c r="Q118" s="323">
        <v>173.91</v>
      </c>
      <c r="R118" s="182"/>
      <c r="U118" s="128"/>
    </row>
    <row r="119" spans="1:21" ht="15.6" x14ac:dyDescent="0.3">
      <c r="A119" s="53"/>
      <c r="B119" s="54"/>
      <c r="C119" s="54"/>
      <c r="D119" s="54"/>
      <c r="E119" s="55"/>
      <c r="F119" s="75"/>
      <c r="G119" s="76"/>
      <c r="H119" s="76"/>
      <c r="I119" s="48"/>
      <c r="J119" s="70"/>
      <c r="K119" s="70"/>
      <c r="L119" s="320" t="s">
        <v>1091</v>
      </c>
      <c r="M119" s="321" t="s">
        <v>1095</v>
      </c>
      <c r="N119" s="320" t="s">
        <v>34</v>
      </c>
      <c r="O119" s="322">
        <v>1</v>
      </c>
      <c r="P119" s="323">
        <v>139.80000000000001</v>
      </c>
      <c r="Q119" s="323">
        <v>139.80000000000001</v>
      </c>
      <c r="R119" s="182"/>
      <c r="U119" s="128"/>
    </row>
    <row r="120" spans="1:21" ht="30" x14ac:dyDescent="0.3">
      <c r="A120" s="53"/>
      <c r="B120" s="54"/>
      <c r="C120" s="54"/>
      <c r="D120" s="54"/>
      <c r="E120" s="55"/>
      <c r="F120" s="75"/>
      <c r="G120" s="76"/>
      <c r="H120" s="76"/>
      <c r="I120" s="48"/>
      <c r="J120" s="70"/>
      <c r="K120" s="70"/>
      <c r="L120" s="320" t="s">
        <v>1019</v>
      </c>
      <c r="M120" s="321" t="s">
        <v>836</v>
      </c>
      <c r="N120" s="320" t="s">
        <v>57</v>
      </c>
      <c r="O120" s="322">
        <v>130</v>
      </c>
      <c r="P120" s="323">
        <v>6.09</v>
      </c>
      <c r="Q120" s="323">
        <v>791.7</v>
      </c>
      <c r="R120" s="182"/>
      <c r="U120" s="128"/>
    </row>
    <row r="121" spans="1:21" ht="30" x14ac:dyDescent="0.3">
      <c r="A121" s="53"/>
      <c r="B121" s="54"/>
      <c r="C121" s="54"/>
      <c r="D121" s="54"/>
      <c r="E121" s="55"/>
      <c r="F121" s="75"/>
      <c r="G121" s="76"/>
      <c r="H121" s="76"/>
      <c r="I121" s="48"/>
      <c r="J121" s="70"/>
      <c r="K121" s="70"/>
      <c r="L121" s="320" t="s">
        <v>1020</v>
      </c>
      <c r="M121" s="321" t="s">
        <v>102</v>
      </c>
      <c r="N121" s="320" t="s">
        <v>57</v>
      </c>
      <c r="O121" s="322">
        <v>11</v>
      </c>
      <c r="P121" s="323">
        <v>7.92</v>
      </c>
      <c r="Q121" s="323">
        <v>87.12</v>
      </c>
      <c r="R121" s="182"/>
      <c r="U121" s="128"/>
    </row>
    <row r="122" spans="1:21" ht="15.6" x14ac:dyDescent="0.3">
      <c r="A122" s="53"/>
      <c r="B122" s="54"/>
      <c r="C122" s="54"/>
      <c r="D122" s="54"/>
      <c r="E122" s="55"/>
      <c r="F122" s="75"/>
      <c r="G122" s="76"/>
      <c r="H122" s="76"/>
      <c r="I122" s="48"/>
      <c r="J122" s="70"/>
      <c r="K122" s="70"/>
      <c r="L122" s="320" t="s">
        <v>933</v>
      </c>
      <c r="M122" s="321" t="s">
        <v>932</v>
      </c>
      <c r="N122" s="320" t="s">
        <v>37</v>
      </c>
      <c r="O122" s="322">
        <v>2</v>
      </c>
      <c r="P122" s="323">
        <v>18.899999999999999</v>
      </c>
      <c r="Q122" s="323">
        <v>37.799999999999997</v>
      </c>
      <c r="R122" s="182"/>
      <c r="U122" s="128"/>
    </row>
    <row r="123" spans="1:21" ht="30" x14ac:dyDescent="0.3">
      <c r="A123" s="53"/>
      <c r="B123" s="54"/>
      <c r="C123" s="54"/>
      <c r="D123" s="54"/>
      <c r="E123" s="55"/>
      <c r="F123" s="75"/>
      <c r="G123" s="76"/>
      <c r="H123" s="76"/>
      <c r="I123" s="48"/>
      <c r="J123" s="70"/>
      <c r="K123" s="70"/>
      <c r="L123" s="320" t="s">
        <v>1427</v>
      </c>
      <c r="M123" s="321" t="s">
        <v>1449</v>
      </c>
      <c r="N123" s="320" t="s">
        <v>34</v>
      </c>
      <c r="O123" s="322">
        <v>1</v>
      </c>
      <c r="P123" s="323">
        <v>55.93</v>
      </c>
      <c r="Q123" s="323">
        <v>55.93</v>
      </c>
      <c r="R123" s="182"/>
      <c r="U123" s="128"/>
    </row>
    <row r="124" spans="1:21" ht="15.6" x14ac:dyDescent="0.3">
      <c r="A124" s="53"/>
      <c r="B124" s="54"/>
      <c r="C124" s="54"/>
      <c r="D124" s="54"/>
      <c r="E124" s="55"/>
      <c r="F124" s="75"/>
      <c r="G124" s="76"/>
      <c r="H124" s="76"/>
      <c r="I124" s="48"/>
      <c r="J124" s="70"/>
      <c r="K124" s="70"/>
      <c r="L124" s="320" t="s">
        <v>1178</v>
      </c>
      <c r="M124" s="321" t="s">
        <v>1262</v>
      </c>
      <c r="N124" s="320" t="s">
        <v>34</v>
      </c>
      <c r="O124" s="322">
        <v>2</v>
      </c>
      <c r="P124" s="323">
        <v>36.729999999999997</v>
      </c>
      <c r="Q124" s="323">
        <v>73.45</v>
      </c>
      <c r="R124" s="182"/>
      <c r="U124" s="128"/>
    </row>
    <row r="125" spans="1:21" ht="15.6" x14ac:dyDescent="0.3">
      <c r="A125" s="53"/>
      <c r="B125" s="54"/>
      <c r="C125" s="54"/>
      <c r="D125" s="54"/>
      <c r="E125" s="55"/>
      <c r="F125" s="75"/>
      <c r="G125" s="76"/>
      <c r="H125" s="76"/>
      <c r="I125" s="48"/>
      <c r="J125" s="70"/>
      <c r="K125" s="70"/>
      <c r="L125" s="320" t="s">
        <v>1021</v>
      </c>
      <c r="M125" s="321" t="s">
        <v>483</v>
      </c>
      <c r="N125" s="320" t="s">
        <v>57</v>
      </c>
      <c r="O125" s="322">
        <v>13</v>
      </c>
      <c r="P125" s="323">
        <v>31.3</v>
      </c>
      <c r="Q125" s="323">
        <v>406.9</v>
      </c>
      <c r="R125" s="182"/>
      <c r="U125" s="128"/>
    </row>
    <row r="126" spans="1:21" ht="30" x14ac:dyDescent="0.3">
      <c r="A126" s="53"/>
      <c r="B126" s="54"/>
      <c r="C126" s="54"/>
      <c r="D126" s="54"/>
      <c r="E126" s="55"/>
      <c r="F126" s="75"/>
      <c r="G126" s="76"/>
      <c r="H126" s="76"/>
      <c r="I126" s="48"/>
      <c r="J126" s="70"/>
      <c r="K126" s="70"/>
      <c r="L126" s="320" t="s">
        <v>987</v>
      </c>
      <c r="M126" s="321" t="s">
        <v>837</v>
      </c>
      <c r="N126" s="320" t="s">
        <v>34</v>
      </c>
      <c r="O126" s="322">
        <v>3</v>
      </c>
      <c r="P126" s="323">
        <v>54.28</v>
      </c>
      <c r="Q126" s="323">
        <v>162.84</v>
      </c>
      <c r="R126" s="182"/>
      <c r="U126" s="128"/>
    </row>
    <row r="127" spans="1:21" ht="15.6" x14ac:dyDescent="0.3">
      <c r="A127" s="53"/>
      <c r="B127" s="54"/>
      <c r="C127" s="54"/>
      <c r="D127" s="54"/>
      <c r="E127" s="55"/>
      <c r="F127" s="75"/>
      <c r="G127" s="76"/>
      <c r="H127" s="76"/>
      <c r="I127" s="48"/>
      <c r="J127" s="70"/>
      <c r="K127" s="70"/>
      <c r="L127" s="320" t="s">
        <v>1316</v>
      </c>
      <c r="M127" s="321" t="s">
        <v>1350</v>
      </c>
      <c r="N127" s="320" t="s">
        <v>39</v>
      </c>
      <c r="O127" s="322">
        <v>0.02</v>
      </c>
      <c r="P127" s="324">
        <v>31617.5</v>
      </c>
      <c r="Q127" s="323">
        <v>632.35</v>
      </c>
      <c r="R127" s="182"/>
      <c r="U127" s="128"/>
    </row>
    <row r="128" spans="1:21" ht="15.6" x14ac:dyDescent="0.3">
      <c r="A128" s="53"/>
      <c r="B128" s="54"/>
      <c r="C128" s="54"/>
      <c r="D128" s="54"/>
      <c r="E128" s="55"/>
      <c r="F128" s="75"/>
      <c r="G128" s="76"/>
      <c r="H128" s="76"/>
      <c r="I128" s="48"/>
      <c r="J128" s="70"/>
      <c r="K128" s="70"/>
      <c r="L128" s="320" t="s">
        <v>1180</v>
      </c>
      <c r="M128" s="321" t="s">
        <v>105</v>
      </c>
      <c r="N128" s="320" t="s">
        <v>34</v>
      </c>
      <c r="O128" s="322">
        <v>399</v>
      </c>
      <c r="P128" s="323">
        <v>0.54</v>
      </c>
      <c r="Q128" s="323">
        <v>216.53</v>
      </c>
      <c r="R128" s="182"/>
      <c r="U128" s="128"/>
    </row>
    <row r="129" spans="1:21" ht="15.6" x14ac:dyDescent="0.3">
      <c r="A129" s="53"/>
      <c r="B129" s="54"/>
      <c r="C129" s="54"/>
      <c r="D129" s="54"/>
      <c r="E129" s="55"/>
      <c r="F129" s="75"/>
      <c r="G129" s="76"/>
      <c r="H129" s="76"/>
      <c r="I129" s="48"/>
      <c r="J129" s="70"/>
      <c r="K129" s="70"/>
      <c r="L129" s="320" t="s">
        <v>988</v>
      </c>
      <c r="M129" s="321" t="s">
        <v>106</v>
      </c>
      <c r="N129" s="320" t="s">
        <v>34</v>
      </c>
      <c r="O129" s="325">
        <v>2335</v>
      </c>
      <c r="P129" s="323">
        <v>0.71</v>
      </c>
      <c r="Q129" s="324">
        <v>1648.72</v>
      </c>
      <c r="R129" s="182"/>
      <c r="U129" s="128"/>
    </row>
    <row r="130" spans="1:21" ht="15.6" x14ac:dyDescent="0.3">
      <c r="A130" s="53"/>
      <c r="B130" s="54"/>
      <c r="C130" s="54"/>
      <c r="D130" s="54"/>
      <c r="E130" s="55"/>
      <c r="F130" s="75"/>
      <c r="G130" s="76"/>
      <c r="H130" s="76"/>
      <c r="I130" s="48"/>
      <c r="J130" s="70"/>
      <c r="K130" s="70"/>
      <c r="L130" s="320" t="s">
        <v>46</v>
      </c>
      <c r="M130" s="321" t="s">
        <v>107</v>
      </c>
      <c r="N130" s="320" t="s">
        <v>64</v>
      </c>
      <c r="O130" s="322">
        <v>0.15</v>
      </c>
      <c r="P130" s="324">
        <v>1435</v>
      </c>
      <c r="Q130" s="323">
        <v>215.25</v>
      </c>
      <c r="R130" s="182"/>
      <c r="U130" s="128"/>
    </row>
    <row r="131" spans="1:21" ht="30" x14ac:dyDescent="0.3">
      <c r="A131" s="53"/>
      <c r="B131" s="54"/>
      <c r="C131" s="54"/>
      <c r="D131" s="54"/>
      <c r="E131" s="55"/>
      <c r="F131" s="75"/>
      <c r="G131" s="76"/>
      <c r="H131" s="76"/>
      <c r="I131" s="48"/>
      <c r="J131" s="70"/>
      <c r="K131" s="70"/>
      <c r="L131" s="320" t="s">
        <v>1079</v>
      </c>
      <c r="M131" s="321" t="s">
        <v>842</v>
      </c>
      <c r="N131" s="320" t="s">
        <v>34</v>
      </c>
      <c r="O131" s="322">
        <v>1</v>
      </c>
      <c r="P131" s="323">
        <v>43.8</v>
      </c>
      <c r="Q131" s="323">
        <v>43.8</v>
      </c>
      <c r="R131" s="182"/>
      <c r="U131" s="128"/>
    </row>
    <row r="132" spans="1:21" ht="15.6" x14ac:dyDescent="0.3">
      <c r="A132" s="53"/>
      <c r="B132" s="54"/>
      <c r="C132" s="54"/>
      <c r="D132" s="54"/>
      <c r="E132" s="55"/>
      <c r="F132" s="75"/>
      <c r="G132" s="76"/>
      <c r="H132" s="76"/>
      <c r="I132" s="48"/>
      <c r="J132" s="70"/>
      <c r="K132" s="70"/>
      <c r="L132" s="320" t="s">
        <v>1874</v>
      </c>
      <c r="M132" s="321" t="s">
        <v>1889</v>
      </c>
      <c r="N132" s="320" t="s">
        <v>64</v>
      </c>
      <c r="O132" s="322">
        <v>2</v>
      </c>
      <c r="P132" s="323">
        <v>18.899999999999999</v>
      </c>
      <c r="Q132" s="323">
        <v>37.799999999999997</v>
      </c>
      <c r="R132" s="182"/>
      <c r="U132" s="128"/>
    </row>
    <row r="133" spans="1:21" ht="15.6" x14ac:dyDescent="0.3">
      <c r="A133" s="53"/>
      <c r="B133" s="54"/>
      <c r="C133" s="54"/>
      <c r="D133" s="54"/>
      <c r="E133" s="55"/>
      <c r="F133" s="75"/>
      <c r="G133" s="76"/>
      <c r="H133" s="76"/>
      <c r="I133" s="48"/>
      <c r="J133" s="70"/>
      <c r="K133" s="70"/>
      <c r="L133" s="320" t="s">
        <v>949</v>
      </c>
      <c r="M133" s="321" t="s">
        <v>494</v>
      </c>
      <c r="N133" s="320" t="s">
        <v>34</v>
      </c>
      <c r="O133" s="322">
        <v>54</v>
      </c>
      <c r="P133" s="323">
        <v>2.2000000000000002</v>
      </c>
      <c r="Q133" s="323">
        <v>119</v>
      </c>
      <c r="R133" s="182"/>
      <c r="U133" s="128"/>
    </row>
    <row r="134" spans="1:21" ht="30" x14ac:dyDescent="0.3">
      <c r="A134" s="53"/>
      <c r="B134" s="54"/>
      <c r="C134" s="54"/>
      <c r="D134" s="54"/>
      <c r="E134" s="55"/>
      <c r="F134" s="75"/>
      <c r="G134" s="76"/>
      <c r="H134" s="76"/>
      <c r="I134" s="48"/>
      <c r="J134" s="70"/>
      <c r="K134" s="70"/>
      <c r="L134" s="320" t="s">
        <v>950</v>
      </c>
      <c r="M134" s="321" t="s">
        <v>843</v>
      </c>
      <c r="N134" s="320" t="s">
        <v>34</v>
      </c>
      <c r="O134" s="322">
        <v>1</v>
      </c>
      <c r="P134" s="323">
        <v>53.1</v>
      </c>
      <c r="Q134" s="323">
        <v>53.1</v>
      </c>
      <c r="R134" s="182"/>
      <c r="U134" s="128"/>
    </row>
    <row r="135" spans="1:21" ht="15.6" x14ac:dyDescent="0.3">
      <c r="A135" s="53"/>
      <c r="B135" s="54"/>
      <c r="C135" s="54"/>
      <c r="D135" s="54"/>
      <c r="E135" s="55"/>
      <c r="F135" s="75"/>
      <c r="G135" s="76"/>
      <c r="H135" s="76"/>
      <c r="I135" s="48"/>
      <c r="J135" s="70"/>
      <c r="K135" s="70"/>
      <c r="L135" s="320" t="s">
        <v>1875</v>
      </c>
      <c r="M135" s="321" t="s">
        <v>1890</v>
      </c>
      <c r="N135" s="320" t="s">
        <v>34</v>
      </c>
      <c r="O135" s="322">
        <v>1</v>
      </c>
      <c r="P135" s="323">
        <v>52.9</v>
      </c>
      <c r="Q135" s="323">
        <v>52.9</v>
      </c>
      <c r="R135" s="182"/>
      <c r="U135" s="128"/>
    </row>
    <row r="136" spans="1:21" ht="15.6" x14ac:dyDescent="0.3">
      <c r="A136" s="53"/>
      <c r="B136" s="54"/>
      <c r="C136" s="54"/>
      <c r="D136" s="54"/>
      <c r="E136" s="55"/>
      <c r="F136" s="75"/>
      <c r="G136" s="76"/>
      <c r="H136" s="76"/>
      <c r="I136" s="48"/>
      <c r="J136" s="70"/>
      <c r="K136" s="70"/>
      <c r="L136" s="320" t="s">
        <v>1876</v>
      </c>
      <c r="M136" s="321" t="s">
        <v>1891</v>
      </c>
      <c r="N136" s="320" t="s">
        <v>34</v>
      </c>
      <c r="O136" s="322">
        <v>2</v>
      </c>
      <c r="P136" s="323">
        <v>21</v>
      </c>
      <c r="Q136" s="323">
        <v>42</v>
      </c>
      <c r="R136" s="182"/>
      <c r="U136" s="128"/>
    </row>
    <row r="137" spans="1:21" ht="30" x14ac:dyDescent="0.3">
      <c r="A137" s="53"/>
      <c r="B137" s="54"/>
      <c r="C137" s="54"/>
      <c r="D137" s="54"/>
      <c r="E137" s="55"/>
      <c r="F137" s="75"/>
      <c r="G137" s="76"/>
      <c r="H137" s="76"/>
      <c r="I137" s="48"/>
      <c r="J137" s="70"/>
      <c r="K137" s="70"/>
      <c r="L137" s="320" t="s">
        <v>951</v>
      </c>
      <c r="M137" s="321" t="s">
        <v>844</v>
      </c>
      <c r="N137" s="320" t="s">
        <v>34</v>
      </c>
      <c r="O137" s="322">
        <v>4</v>
      </c>
      <c r="P137" s="323">
        <v>26.17</v>
      </c>
      <c r="Q137" s="323">
        <v>104.66</v>
      </c>
      <c r="R137" s="182"/>
      <c r="U137" s="128"/>
    </row>
    <row r="138" spans="1:21" ht="15.6" x14ac:dyDescent="0.3">
      <c r="A138" s="53"/>
      <c r="B138" s="54"/>
      <c r="C138" s="54"/>
      <c r="D138" s="54"/>
      <c r="E138" s="55"/>
      <c r="F138" s="75"/>
      <c r="G138" s="76"/>
      <c r="H138" s="76"/>
      <c r="I138" s="48"/>
      <c r="J138" s="70"/>
      <c r="K138" s="70"/>
      <c r="L138" s="320" t="s">
        <v>1167</v>
      </c>
      <c r="M138" s="321" t="s">
        <v>1252</v>
      </c>
      <c r="N138" s="320" t="s">
        <v>34</v>
      </c>
      <c r="O138" s="322">
        <v>0.65</v>
      </c>
      <c r="P138" s="323">
        <v>196</v>
      </c>
      <c r="Q138" s="323">
        <v>127.4</v>
      </c>
      <c r="R138" s="182"/>
      <c r="U138" s="128"/>
    </row>
    <row r="139" spans="1:21" ht="15.6" x14ac:dyDescent="0.3">
      <c r="A139" s="53"/>
      <c r="B139" s="54"/>
      <c r="C139" s="54"/>
      <c r="D139" s="54"/>
      <c r="E139" s="55"/>
      <c r="F139" s="75"/>
      <c r="G139" s="76"/>
      <c r="H139" s="76"/>
      <c r="I139" s="48"/>
      <c r="J139" s="70"/>
      <c r="K139" s="70"/>
      <c r="L139" s="320" t="s">
        <v>1431</v>
      </c>
      <c r="M139" s="321" t="s">
        <v>1453</v>
      </c>
      <c r="N139" s="320" t="s">
        <v>34</v>
      </c>
      <c r="O139" s="322">
        <v>0.52</v>
      </c>
      <c r="P139" s="323">
        <v>185</v>
      </c>
      <c r="Q139" s="323">
        <v>96.2</v>
      </c>
      <c r="R139" s="182"/>
      <c r="U139" s="128"/>
    </row>
    <row r="140" spans="1:21" ht="15.6" x14ac:dyDescent="0.3">
      <c r="A140" s="53"/>
      <c r="B140" s="54"/>
      <c r="C140" s="54"/>
      <c r="D140" s="54"/>
      <c r="E140" s="55"/>
      <c r="F140" s="75"/>
      <c r="G140" s="76"/>
      <c r="H140" s="76"/>
      <c r="I140" s="48"/>
      <c r="J140" s="70"/>
      <c r="K140" s="70"/>
      <c r="L140" s="320" t="s">
        <v>989</v>
      </c>
      <c r="M140" s="321" t="s">
        <v>848</v>
      </c>
      <c r="N140" s="320" t="s">
        <v>34</v>
      </c>
      <c r="O140" s="322">
        <v>2</v>
      </c>
      <c r="P140" s="323">
        <v>110</v>
      </c>
      <c r="Q140" s="323">
        <v>220</v>
      </c>
      <c r="R140" s="182"/>
      <c r="U140" s="128"/>
    </row>
    <row r="141" spans="1:21" ht="15.6" x14ac:dyDescent="0.3">
      <c r="A141" s="53"/>
      <c r="B141" s="54"/>
      <c r="C141" s="54"/>
      <c r="D141" s="54"/>
      <c r="E141" s="55"/>
      <c r="F141" s="75"/>
      <c r="G141" s="76"/>
      <c r="H141" s="76"/>
      <c r="I141" s="48"/>
      <c r="J141" s="70"/>
      <c r="K141" s="70"/>
      <c r="L141" s="320" t="s">
        <v>1168</v>
      </c>
      <c r="M141" s="321" t="s">
        <v>1253</v>
      </c>
      <c r="N141" s="320" t="s">
        <v>34</v>
      </c>
      <c r="O141" s="322">
        <v>1</v>
      </c>
      <c r="P141" s="323">
        <v>110</v>
      </c>
      <c r="Q141" s="323">
        <v>110</v>
      </c>
      <c r="R141" s="182"/>
      <c r="U141" s="128"/>
    </row>
    <row r="142" spans="1:21" ht="15.6" x14ac:dyDescent="0.3">
      <c r="A142" s="53"/>
      <c r="B142" s="54"/>
      <c r="C142" s="54"/>
      <c r="D142" s="54"/>
      <c r="E142" s="55"/>
      <c r="F142" s="75"/>
      <c r="G142" s="76"/>
      <c r="H142" s="76"/>
      <c r="I142" s="48"/>
      <c r="J142" s="70"/>
      <c r="K142" s="70"/>
      <c r="L142" s="320" t="s">
        <v>991</v>
      </c>
      <c r="M142" s="321" t="s">
        <v>1065</v>
      </c>
      <c r="N142" s="320" t="s">
        <v>34</v>
      </c>
      <c r="O142" s="322">
        <v>430</v>
      </c>
      <c r="P142" s="323">
        <v>0.5</v>
      </c>
      <c r="Q142" s="323">
        <v>215</v>
      </c>
      <c r="R142" s="182"/>
      <c r="U142" s="128"/>
    </row>
    <row r="143" spans="1:21" ht="15.6" x14ac:dyDescent="0.3">
      <c r="A143" s="53"/>
      <c r="B143" s="54"/>
      <c r="C143" s="54"/>
      <c r="D143" s="54"/>
      <c r="E143" s="55"/>
      <c r="F143" s="75"/>
      <c r="G143" s="76"/>
      <c r="H143" s="76"/>
      <c r="I143" s="48"/>
      <c r="J143" s="70"/>
      <c r="K143" s="70"/>
      <c r="L143" s="320" t="s">
        <v>992</v>
      </c>
      <c r="M143" s="321" t="s">
        <v>849</v>
      </c>
      <c r="N143" s="320" t="s">
        <v>34</v>
      </c>
      <c r="O143" s="322">
        <v>15</v>
      </c>
      <c r="P143" s="323">
        <v>0.92</v>
      </c>
      <c r="Q143" s="323">
        <v>13.8</v>
      </c>
      <c r="R143" s="182"/>
      <c r="U143" s="128"/>
    </row>
    <row r="144" spans="1:21" ht="15.6" x14ac:dyDescent="0.3">
      <c r="A144" s="53"/>
      <c r="B144" s="54"/>
      <c r="C144" s="54"/>
      <c r="D144" s="54"/>
      <c r="E144" s="55"/>
      <c r="F144" s="75"/>
      <c r="G144" s="76"/>
      <c r="H144" s="76"/>
      <c r="I144" s="48"/>
      <c r="J144" s="70"/>
      <c r="K144" s="70"/>
      <c r="L144" s="320" t="s">
        <v>993</v>
      </c>
      <c r="M144" s="321" t="s">
        <v>852</v>
      </c>
      <c r="N144" s="320" t="s">
        <v>34</v>
      </c>
      <c r="O144" s="322">
        <v>377</v>
      </c>
      <c r="P144" s="323">
        <v>0.5</v>
      </c>
      <c r="Q144" s="323">
        <v>188.5</v>
      </c>
      <c r="R144" s="182"/>
      <c r="U144" s="128"/>
    </row>
    <row r="145" spans="1:21" ht="15.6" x14ac:dyDescent="0.3">
      <c r="A145" s="53"/>
      <c r="B145" s="54"/>
      <c r="C145" s="54"/>
      <c r="D145" s="54"/>
      <c r="E145" s="55"/>
      <c r="F145" s="75"/>
      <c r="G145" s="76"/>
      <c r="H145" s="76"/>
      <c r="I145" s="48"/>
      <c r="J145" s="70"/>
      <c r="K145" s="70"/>
      <c r="L145" s="320" t="s">
        <v>996</v>
      </c>
      <c r="M145" s="321" t="s">
        <v>501</v>
      </c>
      <c r="N145" s="320" t="s">
        <v>34</v>
      </c>
      <c r="O145" s="322">
        <v>6</v>
      </c>
      <c r="P145" s="323">
        <v>34.08</v>
      </c>
      <c r="Q145" s="323">
        <v>204.46</v>
      </c>
      <c r="R145" s="182"/>
      <c r="U145" s="128"/>
    </row>
    <row r="146" spans="1:21" ht="15.6" x14ac:dyDescent="0.3">
      <c r="A146" s="53"/>
      <c r="B146" s="54"/>
      <c r="C146" s="54"/>
      <c r="D146" s="54"/>
      <c r="E146" s="55"/>
      <c r="F146" s="75"/>
      <c r="G146" s="76"/>
      <c r="H146" s="76"/>
      <c r="I146" s="48"/>
      <c r="J146" s="70"/>
      <c r="K146" s="70"/>
      <c r="L146" s="320" t="s">
        <v>997</v>
      </c>
      <c r="M146" s="321" t="s">
        <v>853</v>
      </c>
      <c r="N146" s="320" t="s">
        <v>34</v>
      </c>
      <c r="O146" s="322">
        <v>46</v>
      </c>
      <c r="P146" s="323">
        <v>48</v>
      </c>
      <c r="Q146" s="324">
        <v>2208</v>
      </c>
      <c r="R146" s="182"/>
      <c r="U146" s="128"/>
    </row>
    <row r="147" spans="1:21" ht="15.6" x14ac:dyDescent="0.3">
      <c r="A147" s="53"/>
      <c r="B147" s="54"/>
      <c r="C147" s="54"/>
      <c r="D147" s="54"/>
      <c r="E147" s="55"/>
      <c r="F147" s="75"/>
      <c r="G147" s="76"/>
      <c r="H147" s="76"/>
      <c r="I147" s="48"/>
      <c r="J147" s="70"/>
      <c r="K147" s="70"/>
      <c r="L147" s="320" t="s">
        <v>998</v>
      </c>
      <c r="M147" s="321" t="s">
        <v>1068</v>
      </c>
      <c r="N147" s="320" t="s">
        <v>34</v>
      </c>
      <c r="O147" s="322">
        <v>2</v>
      </c>
      <c r="P147" s="323">
        <v>66.86</v>
      </c>
      <c r="Q147" s="323">
        <v>133.72</v>
      </c>
      <c r="R147" s="182"/>
      <c r="U147" s="128"/>
    </row>
    <row r="148" spans="1:21" ht="15.6" x14ac:dyDescent="0.3">
      <c r="A148" s="53"/>
      <c r="B148" s="54"/>
      <c r="C148" s="54"/>
      <c r="D148" s="54"/>
      <c r="E148" s="55"/>
      <c r="F148" s="75"/>
      <c r="G148" s="76"/>
      <c r="H148" s="76"/>
      <c r="I148" s="48"/>
      <c r="J148" s="70"/>
      <c r="K148" s="70"/>
      <c r="L148" s="320" t="s">
        <v>1877</v>
      </c>
      <c r="M148" s="321" t="s">
        <v>1892</v>
      </c>
      <c r="N148" s="320" t="s">
        <v>34</v>
      </c>
      <c r="O148" s="322">
        <v>7</v>
      </c>
      <c r="P148" s="323">
        <v>11.5</v>
      </c>
      <c r="Q148" s="323">
        <v>80.5</v>
      </c>
      <c r="R148" s="182"/>
      <c r="U148" s="128"/>
    </row>
    <row r="149" spans="1:21" ht="15.6" x14ac:dyDescent="0.3">
      <c r="A149" s="53"/>
      <c r="B149" s="54"/>
      <c r="C149" s="54"/>
      <c r="D149" s="54"/>
      <c r="E149" s="55"/>
      <c r="F149" s="75"/>
      <c r="G149" s="76"/>
      <c r="H149" s="76"/>
      <c r="I149" s="48"/>
      <c r="J149" s="70"/>
      <c r="K149" s="70"/>
      <c r="L149" s="320" t="s">
        <v>999</v>
      </c>
      <c r="M149" s="321" t="s">
        <v>1069</v>
      </c>
      <c r="N149" s="320" t="s">
        <v>34</v>
      </c>
      <c r="O149" s="325">
        <v>2024</v>
      </c>
      <c r="P149" s="323">
        <v>0.27</v>
      </c>
      <c r="Q149" s="323">
        <v>543.48</v>
      </c>
      <c r="R149" s="182"/>
      <c r="U149" s="128"/>
    </row>
    <row r="150" spans="1:21" ht="15.6" x14ac:dyDescent="0.3">
      <c r="A150" s="53"/>
      <c r="B150" s="54"/>
      <c r="C150" s="54"/>
      <c r="D150" s="54"/>
      <c r="E150" s="55"/>
      <c r="F150" s="75"/>
      <c r="G150" s="76"/>
      <c r="H150" s="76"/>
      <c r="I150" s="48"/>
      <c r="J150" s="70"/>
      <c r="K150" s="70"/>
      <c r="L150" s="320" t="s">
        <v>1000</v>
      </c>
      <c r="M150" s="321" t="s">
        <v>248</v>
      </c>
      <c r="N150" s="320" t="s">
        <v>34</v>
      </c>
      <c r="O150" s="322">
        <v>972</v>
      </c>
      <c r="P150" s="323">
        <v>0.24</v>
      </c>
      <c r="Q150" s="323">
        <v>236.47</v>
      </c>
      <c r="R150" s="182"/>
      <c r="U150" s="128"/>
    </row>
    <row r="151" spans="1:21" ht="15.6" x14ac:dyDescent="0.3">
      <c r="A151" s="53"/>
      <c r="B151" s="54"/>
      <c r="C151" s="54"/>
      <c r="D151" s="54"/>
      <c r="E151" s="55"/>
      <c r="F151" s="75"/>
      <c r="G151" s="76"/>
      <c r="H151" s="76"/>
      <c r="I151" s="48"/>
      <c r="J151" s="70"/>
      <c r="K151" s="70"/>
      <c r="L151" s="320" t="s">
        <v>1436</v>
      </c>
      <c r="M151" s="321" t="s">
        <v>1458</v>
      </c>
      <c r="N151" s="320" t="s">
        <v>35</v>
      </c>
      <c r="O151" s="322">
        <v>1.2999999999999999E-2</v>
      </c>
      <c r="P151" s="323">
        <v>307.69</v>
      </c>
      <c r="Q151" s="323">
        <v>4</v>
      </c>
      <c r="R151" s="182"/>
      <c r="U151" s="128"/>
    </row>
    <row r="152" spans="1:21" ht="15.6" x14ac:dyDescent="0.3">
      <c r="A152" s="53"/>
      <c r="B152" s="54"/>
      <c r="C152" s="54"/>
      <c r="D152" s="54"/>
      <c r="E152" s="55"/>
      <c r="F152" s="75"/>
      <c r="G152" s="76"/>
      <c r="H152" s="76"/>
      <c r="I152" s="48"/>
      <c r="J152" s="70"/>
      <c r="K152" s="70"/>
      <c r="L152" s="320" t="s">
        <v>940</v>
      </c>
      <c r="M152" s="321" t="s">
        <v>1038</v>
      </c>
      <c r="N152" s="320" t="s">
        <v>63</v>
      </c>
      <c r="O152" s="322">
        <v>1.4999999999999999E-2</v>
      </c>
      <c r="P152" s="324">
        <v>35776.67</v>
      </c>
      <c r="Q152" s="323">
        <v>536.65</v>
      </c>
      <c r="R152" s="182"/>
      <c r="U152" s="128"/>
    </row>
    <row r="153" spans="1:21" ht="15.6" x14ac:dyDescent="0.3">
      <c r="A153" s="53"/>
      <c r="B153" s="54"/>
      <c r="C153" s="54"/>
      <c r="D153" s="54"/>
      <c r="E153" s="55"/>
      <c r="F153" s="75"/>
      <c r="G153" s="76"/>
      <c r="H153" s="76"/>
      <c r="I153" s="48"/>
      <c r="J153" s="70"/>
      <c r="K153" s="70"/>
      <c r="L153" s="320" t="s">
        <v>1846</v>
      </c>
      <c r="M153" s="321" t="s">
        <v>1848</v>
      </c>
      <c r="N153" s="320" t="s">
        <v>63</v>
      </c>
      <c r="O153" s="322">
        <v>3.5999999999999997E-2</v>
      </c>
      <c r="P153" s="324">
        <v>35332.78</v>
      </c>
      <c r="Q153" s="324">
        <v>1271.98</v>
      </c>
      <c r="R153" s="182"/>
      <c r="U153" s="128"/>
    </row>
    <row r="154" spans="1:21" ht="15.6" x14ac:dyDescent="0.3">
      <c r="A154" s="53"/>
      <c r="B154" s="54"/>
      <c r="C154" s="54"/>
      <c r="D154" s="54"/>
      <c r="E154" s="55"/>
      <c r="F154" s="75"/>
      <c r="G154" s="76"/>
      <c r="H154" s="76"/>
      <c r="I154" s="48"/>
      <c r="J154" s="70"/>
      <c r="K154" s="70"/>
      <c r="L154" s="320" t="s">
        <v>1374</v>
      </c>
      <c r="M154" s="321" t="s">
        <v>1402</v>
      </c>
      <c r="N154" s="320" t="s">
        <v>34</v>
      </c>
      <c r="O154" s="322">
        <v>4.4999999999999998E-2</v>
      </c>
      <c r="P154" s="323">
        <v>108</v>
      </c>
      <c r="Q154" s="323">
        <v>4.8600000000000003</v>
      </c>
      <c r="R154" s="182"/>
      <c r="U154" s="128"/>
    </row>
    <row r="155" spans="1:21" ht="15.6" x14ac:dyDescent="0.3">
      <c r="A155" s="53"/>
      <c r="B155" s="54"/>
      <c r="C155" s="54"/>
      <c r="D155" s="54"/>
      <c r="E155" s="55"/>
      <c r="F155" s="75"/>
      <c r="G155" s="76"/>
      <c r="H155" s="76"/>
      <c r="I155" s="48"/>
      <c r="J155" s="70"/>
      <c r="K155" s="70"/>
      <c r="L155" s="320" t="s">
        <v>1366</v>
      </c>
      <c r="M155" s="321" t="s">
        <v>1395</v>
      </c>
      <c r="N155" s="320" t="s">
        <v>903</v>
      </c>
      <c r="O155" s="322">
        <v>6.0999999999999999E-2</v>
      </c>
      <c r="P155" s="324">
        <v>24262.46</v>
      </c>
      <c r="Q155" s="324">
        <v>1480.01</v>
      </c>
      <c r="R155" s="182"/>
      <c r="U155" s="128"/>
    </row>
    <row r="156" spans="1:21" ht="15.6" x14ac:dyDescent="0.3">
      <c r="A156" s="53"/>
      <c r="B156" s="54"/>
      <c r="C156" s="54"/>
      <c r="D156" s="54"/>
      <c r="E156" s="55"/>
      <c r="F156" s="75"/>
      <c r="G156" s="76"/>
      <c r="H156" s="76"/>
      <c r="I156" s="48"/>
      <c r="J156" s="70"/>
      <c r="K156" s="70"/>
      <c r="L156" s="320" t="s">
        <v>1111</v>
      </c>
      <c r="M156" s="321" t="s">
        <v>1197</v>
      </c>
      <c r="N156" s="320" t="s">
        <v>903</v>
      </c>
      <c r="O156" s="322">
        <v>0.08</v>
      </c>
      <c r="P156" s="324">
        <v>26855</v>
      </c>
      <c r="Q156" s="324">
        <v>2148.4</v>
      </c>
      <c r="R156" s="182"/>
      <c r="U156" s="128"/>
    </row>
    <row r="157" spans="1:21" ht="15.6" x14ac:dyDescent="0.3">
      <c r="A157" s="53"/>
      <c r="B157" s="54"/>
      <c r="C157" s="54"/>
      <c r="D157" s="54"/>
      <c r="E157" s="55"/>
      <c r="F157" s="75"/>
      <c r="G157" s="76"/>
      <c r="H157" s="76"/>
      <c r="I157" s="48"/>
      <c r="J157" s="70"/>
      <c r="K157" s="70"/>
      <c r="L157" s="320" t="s">
        <v>1188</v>
      </c>
      <c r="M157" s="321" t="s">
        <v>1271</v>
      </c>
      <c r="N157" s="320" t="s">
        <v>214</v>
      </c>
      <c r="O157" s="322">
        <v>0.09</v>
      </c>
      <c r="P157" s="324">
        <v>14916.11</v>
      </c>
      <c r="Q157" s="324">
        <v>1342.45</v>
      </c>
      <c r="R157" s="182"/>
      <c r="U157" s="128"/>
    </row>
    <row r="158" spans="1:21" ht="15.6" x14ac:dyDescent="0.3">
      <c r="A158" s="53"/>
      <c r="B158" s="54"/>
      <c r="C158" s="54"/>
      <c r="D158" s="54"/>
      <c r="E158" s="55"/>
      <c r="F158" s="75"/>
      <c r="G158" s="76"/>
      <c r="H158" s="76"/>
      <c r="I158" s="48"/>
      <c r="J158" s="70"/>
      <c r="K158" s="70"/>
      <c r="L158" s="320" t="s">
        <v>1432</v>
      </c>
      <c r="M158" s="321" t="s">
        <v>1454</v>
      </c>
      <c r="N158" s="320" t="s">
        <v>34</v>
      </c>
      <c r="O158" s="322">
        <v>0.09</v>
      </c>
      <c r="P158" s="323">
        <v>178</v>
      </c>
      <c r="Q158" s="323">
        <v>16.02</v>
      </c>
      <c r="R158" s="182"/>
      <c r="U158" s="128"/>
    </row>
    <row r="159" spans="1:21" ht="15.6" x14ac:dyDescent="0.3">
      <c r="A159" s="53"/>
      <c r="B159" s="54"/>
      <c r="C159" s="54"/>
      <c r="D159" s="54"/>
      <c r="E159" s="55"/>
      <c r="F159" s="75"/>
      <c r="G159" s="76"/>
      <c r="H159" s="76"/>
      <c r="I159" s="48"/>
      <c r="J159" s="70"/>
      <c r="K159" s="70"/>
      <c r="L159" s="320" t="s">
        <v>1109</v>
      </c>
      <c r="M159" s="321" t="s">
        <v>1195</v>
      </c>
      <c r="N159" s="320" t="s">
        <v>903</v>
      </c>
      <c r="O159" s="322">
        <v>9.0999999999999998E-2</v>
      </c>
      <c r="P159" s="324">
        <v>3916.7</v>
      </c>
      <c r="Q159" s="323">
        <v>356.42</v>
      </c>
      <c r="R159" s="182"/>
      <c r="U159" s="128"/>
    </row>
    <row r="160" spans="1:21" ht="15.6" x14ac:dyDescent="0.3">
      <c r="A160" s="53"/>
      <c r="B160" s="54"/>
      <c r="C160" s="54"/>
      <c r="D160" s="54"/>
      <c r="E160" s="55"/>
      <c r="F160" s="75"/>
      <c r="G160" s="76"/>
      <c r="H160" s="76"/>
      <c r="I160" s="48"/>
      <c r="J160" s="70"/>
      <c r="K160" s="70"/>
      <c r="L160" s="320" t="s">
        <v>1029</v>
      </c>
      <c r="M160" s="321" t="s">
        <v>1077</v>
      </c>
      <c r="N160" s="320" t="s">
        <v>214</v>
      </c>
      <c r="O160" s="322">
        <v>9.6000000000000002E-2</v>
      </c>
      <c r="P160" s="324">
        <v>10651.35</v>
      </c>
      <c r="Q160" s="324">
        <v>1022.53</v>
      </c>
      <c r="R160" s="182"/>
      <c r="U160" s="128"/>
    </row>
    <row r="161" spans="1:21" ht="15.6" x14ac:dyDescent="0.3">
      <c r="A161" s="53"/>
      <c r="B161" s="54"/>
      <c r="C161" s="54"/>
      <c r="D161" s="54"/>
      <c r="E161" s="55"/>
      <c r="F161" s="75"/>
      <c r="G161" s="76"/>
      <c r="H161" s="76"/>
      <c r="I161" s="48"/>
      <c r="J161" s="70"/>
      <c r="K161" s="70"/>
      <c r="L161" s="320" t="s">
        <v>1136</v>
      </c>
      <c r="M161" s="321" t="s">
        <v>1223</v>
      </c>
      <c r="N161" s="320" t="s">
        <v>34</v>
      </c>
      <c r="O161" s="322">
        <v>0.13600000000000001</v>
      </c>
      <c r="P161" s="323">
        <v>152.5</v>
      </c>
      <c r="Q161" s="323">
        <v>20.74</v>
      </c>
      <c r="R161" s="182"/>
      <c r="U161" s="128"/>
    </row>
    <row r="162" spans="1:21" ht="15.6" x14ac:dyDescent="0.3">
      <c r="A162" s="53"/>
      <c r="B162" s="54"/>
      <c r="C162" s="54"/>
      <c r="D162" s="54"/>
      <c r="E162" s="55"/>
      <c r="F162" s="75"/>
      <c r="G162" s="76"/>
      <c r="H162" s="76"/>
      <c r="I162" s="48"/>
      <c r="J162" s="70"/>
      <c r="K162" s="70"/>
      <c r="L162" s="320" t="s">
        <v>1422</v>
      </c>
      <c r="M162" s="321" t="s">
        <v>1445</v>
      </c>
      <c r="N162" s="320" t="s">
        <v>34</v>
      </c>
      <c r="O162" s="322">
        <v>0.13600000000000001</v>
      </c>
      <c r="P162" s="323">
        <v>230</v>
      </c>
      <c r="Q162" s="323">
        <v>31.28</v>
      </c>
      <c r="R162" s="182"/>
      <c r="U162" s="128"/>
    </row>
    <row r="163" spans="1:21" ht="15.6" x14ac:dyDescent="0.3">
      <c r="A163" s="53"/>
      <c r="B163" s="54"/>
      <c r="C163" s="54"/>
      <c r="D163" s="54"/>
      <c r="E163" s="55"/>
      <c r="F163" s="75"/>
      <c r="G163" s="76"/>
      <c r="H163" s="76"/>
      <c r="I163" s="48"/>
      <c r="J163" s="70"/>
      <c r="K163" s="70"/>
      <c r="L163" s="320" t="s">
        <v>909</v>
      </c>
      <c r="M163" s="321" t="s">
        <v>910</v>
      </c>
      <c r="N163" s="320" t="s">
        <v>68</v>
      </c>
      <c r="O163" s="322">
        <v>0.14499999999999999</v>
      </c>
      <c r="P163" s="323">
        <v>748.97</v>
      </c>
      <c r="Q163" s="323">
        <v>108.6</v>
      </c>
      <c r="R163" s="182"/>
      <c r="U163" s="128"/>
    </row>
    <row r="164" spans="1:21" ht="15.6" x14ac:dyDescent="0.3">
      <c r="A164" s="53"/>
      <c r="B164" s="54"/>
      <c r="C164" s="54"/>
      <c r="D164" s="54"/>
      <c r="E164" s="55"/>
      <c r="F164" s="75"/>
      <c r="G164" s="76"/>
      <c r="H164" s="76"/>
      <c r="I164" s="48"/>
      <c r="J164" s="70"/>
      <c r="K164" s="70"/>
      <c r="L164" s="320" t="s">
        <v>1003</v>
      </c>
      <c r="M164" s="321" t="s">
        <v>1071</v>
      </c>
      <c r="N164" s="320" t="s">
        <v>34</v>
      </c>
      <c r="O164" s="322">
        <v>0.18</v>
      </c>
      <c r="P164" s="323">
        <v>195</v>
      </c>
      <c r="Q164" s="323">
        <v>35.1</v>
      </c>
      <c r="R164" s="182"/>
      <c r="U164" s="128"/>
    </row>
    <row r="165" spans="1:21" ht="15.6" x14ac:dyDescent="0.3">
      <c r="A165" s="53"/>
      <c r="B165" s="54"/>
      <c r="C165" s="54"/>
      <c r="D165" s="54"/>
      <c r="E165" s="55"/>
      <c r="F165" s="75"/>
      <c r="G165" s="76"/>
      <c r="H165" s="76"/>
      <c r="I165" s="48"/>
      <c r="J165" s="70"/>
      <c r="K165" s="70"/>
      <c r="L165" s="320" t="s">
        <v>1365</v>
      </c>
      <c r="M165" s="321" t="s">
        <v>1394</v>
      </c>
      <c r="N165" s="320" t="s">
        <v>34</v>
      </c>
      <c r="O165" s="322">
        <v>0.18</v>
      </c>
      <c r="P165" s="323">
        <v>140</v>
      </c>
      <c r="Q165" s="323">
        <v>25.2</v>
      </c>
      <c r="R165" s="182"/>
      <c r="U165" s="128"/>
    </row>
    <row r="166" spans="1:21" ht="15.6" x14ac:dyDescent="0.3">
      <c r="A166" s="53"/>
      <c r="B166" s="54"/>
      <c r="C166" s="54"/>
      <c r="D166" s="54"/>
      <c r="E166" s="55"/>
      <c r="F166" s="75"/>
      <c r="G166" s="76"/>
      <c r="H166" s="76"/>
      <c r="I166" s="48"/>
      <c r="J166" s="70"/>
      <c r="K166" s="70"/>
      <c r="L166" s="320" t="s">
        <v>757</v>
      </c>
      <c r="M166" s="321" t="s">
        <v>758</v>
      </c>
      <c r="N166" s="320" t="s">
        <v>34</v>
      </c>
      <c r="O166" s="322">
        <v>0.2</v>
      </c>
      <c r="P166" s="324">
        <v>2803</v>
      </c>
      <c r="Q166" s="323">
        <v>560.6</v>
      </c>
      <c r="R166" s="182"/>
      <c r="U166" s="128"/>
    </row>
    <row r="167" spans="1:21" ht="15.6" x14ac:dyDescent="0.3">
      <c r="A167" s="53"/>
      <c r="B167" s="54"/>
      <c r="C167" s="54"/>
      <c r="D167" s="54"/>
      <c r="E167" s="55"/>
      <c r="F167" s="75"/>
      <c r="G167" s="76"/>
      <c r="H167" s="76"/>
      <c r="I167" s="48"/>
      <c r="J167" s="70"/>
      <c r="K167" s="70"/>
      <c r="L167" s="320" t="s">
        <v>194</v>
      </c>
      <c r="M167" s="321" t="s">
        <v>195</v>
      </c>
      <c r="N167" s="320" t="s">
        <v>34</v>
      </c>
      <c r="O167" s="322">
        <v>0.2</v>
      </c>
      <c r="P167" s="324">
        <v>1500</v>
      </c>
      <c r="Q167" s="323">
        <v>300</v>
      </c>
      <c r="R167" s="182"/>
      <c r="U167" s="128"/>
    </row>
    <row r="168" spans="1:21" ht="15.6" x14ac:dyDescent="0.3">
      <c r="A168" s="53"/>
      <c r="B168" s="54"/>
      <c r="C168" s="54"/>
      <c r="D168" s="54"/>
      <c r="E168" s="55"/>
      <c r="F168" s="75"/>
      <c r="G168" s="76"/>
      <c r="H168" s="76"/>
      <c r="I168" s="48"/>
      <c r="J168" s="70"/>
      <c r="K168" s="70"/>
      <c r="L168" s="320" t="s">
        <v>818</v>
      </c>
      <c r="M168" s="321" t="s">
        <v>819</v>
      </c>
      <c r="N168" s="320" t="s">
        <v>34</v>
      </c>
      <c r="O168" s="322">
        <v>0.2</v>
      </c>
      <c r="P168" s="323">
        <v>175</v>
      </c>
      <c r="Q168" s="323">
        <v>35</v>
      </c>
      <c r="R168" s="182"/>
      <c r="U168" s="128"/>
    </row>
    <row r="169" spans="1:21" ht="15.6" x14ac:dyDescent="0.3">
      <c r="A169" s="53"/>
      <c r="B169" s="54"/>
      <c r="C169" s="54"/>
      <c r="D169" s="54"/>
      <c r="E169" s="55"/>
      <c r="F169" s="75"/>
      <c r="G169" s="76"/>
      <c r="H169" s="76"/>
      <c r="I169" s="48"/>
      <c r="J169" s="70"/>
      <c r="K169" s="70"/>
      <c r="L169" s="320" t="s">
        <v>1363</v>
      </c>
      <c r="M169" s="321" t="s">
        <v>1392</v>
      </c>
      <c r="N169" s="320" t="s">
        <v>34</v>
      </c>
      <c r="O169" s="322">
        <v>0.27</v>
      </c>
      <c r="P169" s="323">
        <v>499</v>
      </c>
      <c r="Q169" s="323">
        <v>134.72999999999999</v>
      </c>
      <c r="R169" s="182"/>
      <c r="U169" s="128"/>
    </row>
    <row r="170" spans="1:21" ht="15.6" x14ac:dyDescent="0.3">
      <c r="A170" s="53"/>
      <c r="B170" s="54"/>
      <c r="C170" s="54"/>
      <c r="D170" s="54"/>
      <c r="E170" s="55"/>
      <c r="F170" s="75"/>
      <c r="G170" s="76"/>
      <c r="H170" s="76"/>
      <c r="I170" s="48"/>
      <c r="J170" s="70"/>
      <c r="K170" s="70"/>
      <c r="L170" s="320" t="s">
        <v>510</v>
      </c>
      <c r="M170" s="321" t="s">
        <v>1060</v>
      </c>
      <c r="N170" s="320" t="s">
        <v>34</v>
      </c>
      <c r="O170" s="322">
        <v>0.27</v>
      </c>
      <c r="P170" s="323">
        <v>169</v>
      </c>
      <c r="Q170" s="323">
        <v>45.63</v>
      </c>
      <c r="R170" s="182"/>
      <c r="U170" s="128"/>
    </row>
    <row r="171" spans="1:21" ht="15.6" x14ac:dyDescent="0.3">
      <c r="A171" s="53"/>
      <c r="B171" s="54"/>
      <c r="C171" s="54"/>
      <c r="D171" s="54"/>
      <c r="E171" s="55"/>
      <c r="F171" s="75"/>
      <c r="G171" s="76"/>
      <c r="H171" s="76"/>
      <c r="I171" s="48"/>
      <c r="J171" s="70"/>
      <c r="K171" s="70"/>
      <c r="L171" s="320" t="s">
        <v>1371</v>
      </c>
      <c r="M171" s="321" t="s">
        <v>99</v>
      </c>
      <c r="N171" s="320" t="s">
        <v>34</v>
      </c>
      <c r="O171" s="322">
        <v>0.27300000000000002</v>
      </c>
      <c r="P171" s="324">
        <v>1041.6500000000001</v>
      </c>
      <c r="Q171" s="323">
        <v>284.37</v>
      </c>
      <c r="R171" s="182"/>
      <c r="U171" s="128"/>
    </row>
    <row r="172" spans="1:21" ht="15.6" x14ac:dyDescent="0.3">
      <c r="A172" s="53"/>
      <c r="B172" s="54"/>
      <c r="C172" s="54"/>
      <c r="D172" s="54"/>
      <c r="E172" s="55"/>
      <c r="F172" s="75"/>
      <c r="G172" s="76"/>
      <c r="H172" s="76"/>
      <c r="I172" s="48"/>
      <c r="J172" s="70"/>
      <c r="K172" s="70"/>
      <c r="L172" s="320" t="s">
        <v>902</v>
      </c>
      <c r="M172" s="321" t="s">
        <v>1039</v>
      </c>
      <c r="N172" s="320" t="s">
        <v>903</v>
      </c>
      <c r="O172" s="322">
        <v>0.27900000000000003</v>
      </c>
      <c r="P172" s="324">
        <v>25111.08</v>
      </c>
      <c r="Q172" s="324">
        <v>7005.99</v>
      </c>
      <c r="R172" s="182"/>
      <c r="U172" s="128"/>
    </row>
    <row r="173" spans="1:21" ht="15.6" x14ac:dyDescent="0.3">
      <c r="A173" s="53"/>
      <c r="B173" s="54"/>
      <c r="C173" s="54"/>
      <c r="D173" s="54"/>
      <c r="E173" s="55"/>
      <c r="F173" s="75"/>
      <c r="G173" s="76"/>
      <c r="H173" s="76"/>
      <c r="I173" s="48"/>
      <c r="J173" s="70"/>
      <c r="K173" s="70"/>
      <c r="L173" s="320" t="s">
        <v>1110</v>
      </c>
      <c r="M173" s="321" t="s">
        <v>1196</v>
      </c>
      <c r="N173" s="320" t="s">
        <v>903</v>
      </c>
      <c r="O173" s="322">
        <v>0.3</v>
      </c>
      <c r="P173" s="324">
        <v>26855</v>
      </c>
      <c r="Q173" s="324">
        <v>8056.5</v>
      </c>
      <c r="R173" s="182"/>
      <c r="U173" s="128"/>
    </row>
    <row r="174" spans="1:21" ht="15.6" x14ac:dyDescent="0.3">
      <c r="A174" s="53"/>
      <c r="B174" s="54"/>
      <c r="C174" s="54"/>
      <c r="D174" s="54"/>
      <c r="E174" s="55"/>
      <c r="F174" s="75"/>
      <c r="G174" s="76"/>
      <c r="H174" s="76"/>
      <c r="I174" s="48"/>
      <c r="J174" s="70"/>
      <c r="K174" s="70"/>
      <c r="L174" s="320" t="s">
        <v>1364</v>
      </c>
      <c r="M174" s="321" t="s">
        <v>1393</v>
      </c>
      <c r="N174" s="320" t="s">
        <v>34</v>
      </c>
      <c r="O174" s="322">
        <v>0.3</v>
      </c>
      <c r="P174" s="323">
        <v>144</v>
      </c>
      <c r="Q174" s="323">
        <v>43.2</v>
      </c>
      <c r="R174" s="182"/>
      <c r="U174" s="128"/>
    </row>
    <row r="175" spans="1:21" ht="15.6" x14ac:dyDescent="0.3">
      <c r="A175" s="53"/>
      <c r="B175" s="54"/>
      <c r="C175" s="54"/>
      <c r="D175" s="54"/>
      <c r="E175" s="55"/>
      <c r="F175" s="75"/>
      <c r="G175" s="76"/>
      <c r="H175" s="76"/>
      <c r="I175" s="48"/>
      <c r="J175" s="70"/>
      <c r="K175" s="70"/>
      <c r="L175" s="320" t="s">
        <v>1030</v>
      </c>
      <c r="M175" s="321" t="s">
        <v>1078</v>
      </c>
      <c r="N175" s="320" t="s">
        <v>214</v>
      </c>
      <c r="O175" s="322">
        <v>0.313</v>
      </c>
      <c r="P175" s="324">
        <v>9590</v>
      </c>
      <c r="Q175" s="324">
        <v>3001.67</v>
      </c>
      <c r="R175" s="182"/>
      <c r="U175" s="128"/>
    </row>
    <row r="176" spans="1:21" ht="15.6" x14ac:dyDescent="0.3">
      <c r="A176" s="53"/>
      <c r="B176" s="54"/>
      <c r="C176" s="54"/>
      <c r="D176" s="54"/>
      <c r="E176" s="55"/>
      <c r="F176" s="75"/>
      <c r="G176" s="76"/>
      <c r="H176" s="76"/>
      <c r="I176" s="48"/>
      <c r="J176" s="70"/>
      <c r="K176" s="70"/>
      <c r="L176" s="320" t="s">
        <v>98</v>
      </c>
      <c r="M176" s="321" t="s">
        <v>99</v>
      </c>
      <c r="N176" s="320" t="s">
        <v>37</v>
      </c>
      <c r="O176" s="322">
        <v>0.34</v>
      </c>
      <c r="P176" s="323">
        <v>131</v>
      </c>
      <c r="Q176" s="323">
        <v>44.54</v>
      </c>
      <c r="R176" s="182"/>
      <c r="U176" s="128"/>
    </row>
    <row r="177" spans="1:21" ht="15.6" x14ac:dyDescent="0.3">
      <c r="A177" s="53"/>
      <c r="B177" s="54"/>
      <c r="C177" s="54"/>
      <c r="D177" s="54"/>
      <c r="E177" s="55"/>
      <c r="F177" s="75"/>
      <c r="G177" s="76"/>
      <c r="H177" s="76"/>
      <c r="I177" s="48"/>
      <c r="J177" s="70"/>
      <c r="K177" s="70"/>
      <c r="L177" s="320" t="s">
        <v>893</v>
      </c>
      <c r="M177" s="321" t="s">
        <v>894</v>
      </c>
      <c r="N177" s="320" t="s">
        <v>214</v>
      </c>
      <c r="O177" s="322">
        <v>0.4</v>
      </c>
      <c r="P177" s="324">
        <v>10067.549999999999</v>
      </c>
      <c r="Q177" s="324">
        <v>4027.02</v>
      </c>
      <c r="R177" s="182"/>
      <c r="U177" s="128"/>
    </row>
    <row r="178" spans="1:21" ht="15.6" x14ac:dyDescent="0.3">
      <c r="A178" s="53"/>
      <c r="B178" s="54"/>
      <c r="C178" s="54"/>
      <c r="D178" s="54"/>
      <c r="E178" s="55"/>
      <c r="F178" s="75"/>
      <c r="G178" s="76"/>
      <c r="H178" s="76"/>
      <c r="I178" s="48"/>
      <c r="J178" s="70"/>
      <c r="K178" s="70"/>
      <c r="L178" s="320" t="s">
        <v>1112</v>
      </c>
      <c r="M178" s="321" t="s">
        <v>1198</v>
      </c>
      <c r="N178" s="320" t="s">
        <v>903</v>
      </c>
      <c r="O178" s="322">
        <v>0.4</v>
      </c>
      <c r="P178" s="324">
        <v>24113</v>
      </c>
      <c r="Q178" s="324">
        <v>9645.2000000000007</v>
      </c>
      <c r="R178" s="182"/>
      <c r="U178" s="128"/>
    </row>
    <row r="179" spans="1:21" ht="15.6" x14ac:dyDescent="0.3">
      <c r="A179" s="53"/>
      <c r="B179" s="54"/>
      <c r="C179" s="54"/>
      <c r="D179" s="54"/>
      <c r="E179" s="55"/>
      <c r="F179" s="75"/>
      <c r="G179" s="76"/>
      <c r="H179" s="76"/>
      <c r="I179" s="48"/>
      <c r="J179" s="70"/>
      <c r="K179" s="70"/>
      <c r="L179" s="320" t="s">
        <v>741</v>
      </c>
      <c r="M179" s="321" t="s">
        <v>742</v>
      </c>
      <c r="N179" s="320" t="s">
        <v>903</v>
      </c>
      <c r="O179" s="322">
        <v>0.436</v>
      </c>
      <c r="P179" s="324">
        <v>10651.4</v>
      </c>
      <c r="Q179" s="324">
        <v>4644.01</v>
      </c>
      <c r="R179" s="182"/>
      <c r="U179" s="128"/>
    </row>
    <row r="180" spans="1:21" ht="15.6" x14ac:dyDescent="0.3">
      <c r="A180" s="53"/>
      <c r="B180" s="54"/>
      <c r="C180" s="54"/>
      <c r="D180" s="54"/>
      <c r="E180" s="55"/>
      <c r="F180" s="75"/>
      <c r="G180" s="76"/>
      <c r="H180" s="76"/>
      <c r="I180" s="48"/>
      <c r="J180" s="70"/>
      <c r="K180" s="70"/>
      <c r="L180" s="320" t="s">
        <v>1002</v>
      </c>
      <c r="M180" s="321" t="s">
        <v>1070</v>
      </c>
      <c r="N180" s="320" t="s">
        <v>34</v>
      </c>
      <c r="O180" s="322">
        <v>0.54</v>
      </c>
      <c r="P180" s="323">
        <v>63</v>
      </c>
      <c r="Q180" s="323">
        <v>34.020000000000003</v>
      </c>
      <c r="R180" s="182"/>
      <c r="U180" s="128"/>
    </row>
    <row r="181" spans="1:21" ht="15.6" x14ac:dyDescent="0.3">
      <c r="A181" s="53"/>
      <c r="B181" s="54"/>
      <c r="C181" s="54"/>
      <c r="D181" s="54"/>
      <c r="E181" s="55"/>
      <c r="F181" s="75"/>
      <c r="G181" s="76"/>
      <c r="H181" s="76"/>
      <c r="I181" s="48"/>
      <c r="J181" s="70"/>
      <c r="K181" s="70"/>
      <c r="L181" s="320" t="s">
        <v>1165</v>
      </c>
      <c r="M181" s="321" t="s">
        <v>1250</v>
      </c>
      <c r="N181" s="320" t="s">
        <v>34</v>
      </c>
      <c r="O181" s="322">
        <v>0.7</v>
      </c>
      <c r="P181" s="324">
        <v>2781.51</v>
      </c>
      <c r="Q181" s="324">
        <v>1947.06</v>
      </c>
      <c r="R181" s="182"/>
      <c r="U181" s="128"/>
    </row>
    <row r="182" spans="1:21" ht="15.6" x14ac:dyDescent="0.3">
      <c r="A182" s="53"/>
      <c r="B182" s="54"/>
      <c r="C182" s="54"/>
      <c r="D182" s="54"/>
      <c r="E182" s="55"/>
      <c r="F182" s="75"/>
      <c r="G182" s="76"/>
      <c r="H182" s="76"/>
      <c r="I182" s="48"/>
      <c r="J182" s="70"/>
      <c r="K182" s="70"/>
      <c r="L182" s="320" t="s">
        <v>1181</v>
      </c>
      <c r="M182" s="321" t="s">
        <v>1264</v>
      </c>
      <c r="N182" s="320" t="s">
        <v>57</v>
      </c>
      <c r="O182" s="322">
        <v>0.8</v>
      </c>
      <c r="P182" s="323">
        <v>18.13</v>
      </c>
      <c r="Q182" s="323">
        <v>14.5</v>
      </c>
      <c r="R182" s="182"/>
      <c r="U182" s="128"/>
    </row>
    <row r="183" spans="1:21" ht="15.6" x14ac:dyDescent="0.3">
      <c r="A183" s="53"/>
      <c r="B183" s="54"/>
      <c r="C183" s="54"/>
      <c r="D183" s="54"/>
      <c r="E183" s="55"/>
      <c r="F183" s="75"/>
      <c r="G183" s="76"/>
      <c r="H183" s="76"/>
      <c r="I183" s="48"/>
      <c r="J183" s="70"/>
      <c r="K183" s="70"/>
      <c r="L183" s="320" t="s">
        <v>429</v>
      </c>
      <c r="M183" s="321" t="s">
        <v>430</v>
      </c>
      <c r="N183" s="320" t="s">
        <v>37</v>
      </c>
      <c r="O183" s="322">
        <v>0.8</v>
      </c>
      <c r="P183" s="323">
        <v>11.5</v>
      </c>
      <c r="Q183" s="323">
        <v>9.1999999999999993</v>
      </c>
      <c r="R183" s="182"/>
      <c r="U183" s="128"/>
    </row>
    <row r="184" spans="1:21" ht="15.6" x14ac:dyDescent="0.3">
      <c r="A184" s="53"/>
      <c r="B184" s="54"/>
      <c r="C184" s="54"/>
      <c r="D184" s="54"/>
      <c r="E184" s="55"/>
      <c r="F184" s="75"/>
      <c r="G184" s="76"/>
      <c r="H184" s="76"/>
      <c r="I184" s="48"/>
      <c r="J184" s="70"/>
      <c r="K184" s="70"/>
      <c r="L184" s="320" t="s">
        <v>38</v>
      </c>
      <c r="M184" s="321" t="s">
        <v>100</v>
      </c>
      <c r="N184" s="320" t="s">
        <v>37</v>
      </c>
      <c r="O184" s="322">
        <v>0.8</v>
      </c>
      <c r="P184" s="323">
        <v>71</v>
      </c>
      <c r="Q184" s="323">
        <v>56.8</v>
      </c>
      <c r="R184" s="182"/>
      <c r="U184" s="128"/>
    </row>
    <row r="185" spans="1:21" ht="15.6" x14ac:dyDescent="0.3">
      <c r="A185" s="53"/>
      <c r="B185" s="54"/>
      <c r="C185" s="54"/>
      <c r="D185" s="54"/>
      <c r="E185" s="55"/>
      <c r="F185" s="75"/>
      <c r="G185" s="76"/>
      <c r="H185" s="76"/>
      <c r="I185" s="48"/>
      <c r="J185" s="70"/>
      <c r="K185" s="70"/>
      <c r="L185" s="320" t="s">
        <v>934</v>
      </c>
      <c r="M185" s="321" t="s">
        <v>1033</v>
      </c>
      <c r="N185" s="320" t="s">
        <v>64</v>
      </c>
      <c r="O185" s="322">
        <v>0.83299999999999996</v>
      </c>
      <c r="P185" s="323">
        <v>735.91</v>
      </c>
      <c r="Q185" s="323">
        <v>613.01</v>
      </c>
      <c r="R185" s="182"/>
      <c r="U185" s="128"/>
    </row>
    <row r="186" spans="1:21" ht="15.6" x14ac:dyDescent="0.3">
      <c r="A186" s="53"/>
      <c r="B186" s="54"/>
      <c r="C186" s="54"/>
      <c r="D186" s="54"/>
      <c r="E186" s="55"/>
      <c r="F186" s="75"/>
      <c r="G186" s="76"/>
      <c r="H186" s="76"/>
      <c r="I186" s="48"/>
      <c r="J186" s="70"/>
      <c r="K186" s="70"/>
      <c r="L186" s="320" t="s">
        <v>1123</v>
      </c>
      <c r="M186" s="321" t="s">
        <v>1209</v>
      </c>
      <c r="N186" s="320" t="s">
        <v>34</v>
      </c>
      <c r="O186" s="322">
        <v>1</v>
      </c>
      <c r="P186" s="323">
        <v>192.6</v>
      </c>
      <c r="Q186" s="323">
        <v>192.6</v>
      </c>
      <c r="R186" s="182"/>
      <c r="U186" s="128"/>
    </row>
    <row r="187" spans="1:21" ht="15.6" x14ac:dyDescent="0.3">
      <c r="A187" s="53"/>
      <c r="B187" s="54"/>
      <c r="C187" s="54"/>
      <c r="D187" s="54"/>
      <c r="E187" s="55"/>
      <c r="F187" s="75"/>
      <c r="G187" s="76"/>
      <c r="H187" s="76"/>
      <c r="I187" s="48"/>
      <c r="J187" s="70"/>
      <c r="K187" s="70"/>
      <c r="L187" s="320" t="s">
        <v>164</v>
      </c>
      <c r="M187" s="321" t="s">
        <v>165</v>
      </c>
      <c r="N187" s="320" t="s">
        <v>34</v>
      </c>
      <c r="O187" s="322">
        <v>1</v>
      </c>
      <c r="P187" s="323">
        <v>350.83</v>
      </c>
      <c r="Q187" s="323">
        <v>350.83</v>
      </c>
      <c r="R187" s="182"/>
      <c r="U187" s="128"/>
    </row>
    <row r="188" spans="1:21" ht="15.6" x14ac:dyDescent="0.3">
      <c r="A188" s="53"/>
      <c r="B188" s="54"/>
      <c r="C188" s="54"/>
      <c r="D188" s="54"/>
      <c r="E188" s="55"/>
      <c r="F188" s="75"/>
      <c r="G188" s="76"/>
      <c r="H188" s="76"/>
      <c r="I188" s="48"/>
      <c r="J188" s="70"/>
      <c r="K188" s="70"/>
      <c r="L188" s="320" t="s">
        <v>282</v>
      </c>
      <c r="M188" s="321" t="s">
        <v>283</v>
      </c>
      <c r="N188" s="320" t="s">
        <v>34</v>
      </c>
      <c r="O188" s="322">
        <v>1</v>
      </c>
      <c r="P188" s="323">
        <v>81.599999999999994</v>
      </c>
      <c r="Q188" s="323">
        <v>81.599999999999994</v>
      </c>
      <c r="R188" s="182"/>
      <c r="U188" s="128"/>
    </row>
    <row r="189" spans="1:21" ht="15.6" x14ac:dyDescent="0.3">
      <c r="A189" s="53"/>
      <c r="B189" s="54"/>
      <c r="C189" s="54"/>
      <c r="D189" s="54"/>
      <c r="E189" s="55"/>
      <c r="F189" s="75"/>
      <c r="G189" s="76"/>
      <c r="H189" s="76"/>
      <c r="I189" s="48"/>
      <c r="J189" s="70"/>
      <c r="K189" s="70"/>
      <c r="L189" s="320" t="s">
        <v>879</v>
      </c>
      <c r="M189" s="321" t="s">
        <v>880</v>
      </c>
      <c r="N189" s="320" t="s">
        <v>34</v>
      </c>
      <c r="O189" s="322">
        <v>1</v>
      </c>
      <c r="P189" s="324">
        <v>2407.5</v>
      </c>
      <c r="Q189" s="324">
        <v>2407.5</v>
      </c>
      <c r="R189" s="182"/>
      <c r="U189" s="128"/>
    </row>
    <row r="190" spans="1:21" ht="15.6" x14ac:dyDescent="0.3">
      <c r="A190" s="53"/>
      <c r="B190" s="54"/>
      <c r="C190" s="54"/>
      <c r="D190" s="54"/>
      <c r="E190" s="55"/>
      <c r="F190" s="75"/>
      <c r="G190" s="76"/>
      <c r="H190" s="76"/>
      <c r="I190" s="48"/>
      <c r="J190" s="70"/>
      <c r="K190" s="70"/>
      <c r="L190" s="320" t="s">
        <v>754</v>
      </c>
      <c r="M190" s="321" t="s">
        <v>755</v>
      </c>
      <c r="N190" s="320" t="s">
        <v>34</v>
      </c>
      <c r="O190" s="322">
        <v>1</v>
      </c>
      <c r="P190" s="324">
        <v>7343.42</v>
      </c>
      <c r="Q190" s="324">
        <v>7343.42</v>
      </c>
      <c r="R190" s="182"/>
      <c r="U190" s="128"/>
    </row>
    <row r="191" spans="1:21" ht="15.6" x14ac:dyDescent="0.3">
      <c r="A191" s="53"/>
      <c r="B191" s="54"/>
      <c r="C191" s="54"/>
      <c r="D191" s="54"/>
      <c r="E191" s="55"/>
      <c r="F191" s="75"/>
      <c r="G191" s="76"/>
      <c r="H191" s="76"/>
      <c r="I191" s="48"/>
      <c r="J191" s="70"/>
      <c r="K191" s="70"/>
      <c r="L191" s="320" t="s">
        <v>1130</v>
      </c>
      <c r="M191" s="321" t="s">
        <v>1216</v>
      </c>
      <c r="N191" s="320" t="s">
        <v>34</v>
      </c>
      <c r="O191" s="322">
        <v>1</v>
      </c>
      <c r="P191" s="324">
        <v>6187.5</v>
      </c>
      <c r="Q191" s="324">
        <v>6187.5</v>
      </c>
      <c r="R191" s="182"/>
      <c r="U191" s="128"/>
    </row>
    <row r="192" spans="1:21" ht="15.6" x14ac:dyDescent="0.3">
      <c r="A192" s="53"/>
      <c r="B192" s="54"/>
      <c r="C192" s="54"/>
      <c r="D192" s="54"/>
      <c r="E192" s="55"/>
      <c r="F192" s="75"/>
      <c r="G192" s="76"/>
      <c r="H192" s="76"/>
      <c r="I192" s="48"/>
      <c r="J192" s="70"/>
      <c r="K192" s="70"/>
      <c r="L192" s="320" t="s">
        <v>1131</v>
      </c>
      <c r="M192" s="321" t="s">
        <v>1217</v>
      </c>
      <c r="N192" s="320" t="s">
        <v>34</v>
      </c>
      <c r="O192" s="322">
        <v>1</v>
      </c>
      <c r="P192" s="324">
        <v>2152.71</v>
      </c>
      <c r="Q192" s="324">
        <v>2152.71</v>
      </c>
      <c r="R192" s="182"/>
      <c r="U192" s="128"/>
    </row>
    <row r="193" spans="1:21" ht="15.6" x14ac:dyDescent="0.3">
      <c r="A193" s="53"/>
      <c r="B193" s="54"/>
      <c r="C193" s="54"/>
      <c r="D193" s="54"/>
      <c r="E193" s="55"/>
      <c r="F193" s="75"/>
      <c r="G193" s="76"/>
      <c r="H193" s="76"/>
      <c r="I193" s="48"/>
      <c r="J193" s="70"/>
      <c r="K193" s="70"/>
      <c r="L193" s="320" t="s">
        <v>869</v>
      </c>
      <c r="M193" s="321" t="s">
        <v>898</v>
      </c>
      <c r="N193" s="320" t="s">
        <v>34</v>
      </c>
      <c r="O193" s="322">
        <v>1</v>
      </c>
      <c r="P193" s="323">
        <v>373</v>
      </c>
      <c r="Q193" s="323">
        <v>373</v>
      </c>
      <c r="R193" s="182"/>
      <c r="U193" s="128"/>
    </row>
    <row r="194" spans="1:21" ht="15.6" x14ac:dyDescent="0.3">
      <c r="A194" s="53"/>
      <c r="B194" s="54"/>
      <c r="C194" s="54"/>
      <c r="D194" s="54"/>
      <c r="E194" s="55"/>
      <c r="F194" s="75"/>
      <c r="G194" s="76"/>
      <c r="H194" s="76"/>
      <c r="I194" s="48"/>
      <c r="J194" s="70"/>
      <c r="K194" s="70"/>
      <c r="L194" s="320" t="s">
        <v>900</v>
      </c>
      <c r="M194" s="321" t="s">
        <v>901</v>
      </c>
      <c r="N194" s="320" t="s">
        <v>34</v>
      </c>
      <c r="O194" s="322">
        <v>1</v>
      </c>
      <c r="P194" s="323">
        <v>64</v>
      </c>
      <c r="Q194" s="323">
        <v>64</v>
      </c>
      <c r="R194" s="182"/>
      <c r="U194" s="128"/>
    </row>
    <row r="195" spans="1:21" ht="15.6" x14ac:dyDescent="0.3">
      <c r="A195" s="53"/>
      <c r="B195" s="54"/>
      <c r="C195" s="54"/>
      <c r="D195" s="54"/>
      <c r="E195" s="55"/>
      <c r="F195" s="75"/>
      <c r="G195" s="76"/>
      <c r="H195" s="76"/>
      <c r="I195" s="48"/>
      <c r="J195" s="70"/>
      <c r="K195" s="70"/>
      <c r="L195" s="320" t="s">
        <v>766</v>
      </c>
      <c r="M195" s="321" t="s">
        <v>767</v>
      </c>
      <c r="N195" s="320" t="s">
        <v>34</v>
      </c>
      <c r="O195" s="322">
        <v>1</v>
      </c>
      <c r="P195" s="324">
        <v>10286.08</v>
      </c>
      <c r="Q195" s="324">
        <v>10286.08</v>
      </c>
      <c r="R195" s="182"/>
      <c r="U195" s="128"/>
    </row>
    <row r="196" spans="1:21" ht="15.6" x14ac:dyDescent="0.3">
      <c r="A196" s="53"/>
      <c r="B196" s="54"/>
      <c r="C196" s="54"/>
      <c r="D196" s="54"/>
      <c r="E196" s="55"/>
      <c r="F196" s="75"/>
      <c r="G196" s="76"/>
      <c r="H196" s="76"/>
      <c r="I196" s="48"/>
      <c r="J196" s="70"/>
      <c r="K196" s="70"/>
      <c r="L196" s="320" t="s">
        <v>859</v>
      </c>
      <c r="M196" s="321" t="s">
        <v>904</v>
      </c>
      <c r="N196" s="320" t="s">
        <v>34</v>
      </c>
      <c r="O196" s="322">
        <v>1</v>
      </c>
      <c r="P196" s="324">
        <v>2882.01</v>
      </c>
      <c r="Q196" s="324">
        <v>2882.01</v>
      </c>
      <c r="R196" s="182"/>
      <c r="U196" s="128"/>
    </row>
    <row r="197" spans="1:21" ht="15.6" x14ac:dyDescent="0.3">
      <c r="A197" s="53"/>
      <c r="B197" s="54"/>
      <c r="C197" s="54"/>
      <c r="D197" s="54"/>
      <c r="E197" s="55"/>
      <c r="F197" s="75"/>
      <c r="G197" s="76"/>
      <c r="H197" s="76"/>
      <c r="I197" s="48"/>
      <c r="J197" s="70"/>
      <c r="K197" s="70"/>
      <c r="L197" s="320" t="s">
        <v>868</v>
      </c>
      <c r="M197" s="321" t="s">
        <v>1047</v>
      </c>
      <c r="N197" s="320" t="s">
        <v>34</v>
      </c>
      <c r="O197" s="322">
        <v>1</v>
      </c>
      <c r="P197" s="323">
        <v>853.15</v>
      </c>
      <c r="Q197" s="323">
        <v>853.15</v>
      </c>
      <c r="R197" s="182"/>
      <c r="U197" s="128"/>
    </row>
    <row r="198" spans="1:21" ht="15.6" x14ac:dyDescent="0.3">
      <c r="A198" s="53"/>
      <c r="B198" s="54"/>
      <c r="C198" s="54"/>
      <c r="D198" s="54"/>
      <c r="E198" s="55"/>
      <c r="F198" s="75"/>
      <c r="G198" s="76"/>
      <c r="H198" s="76"/>
      <c r="I198" s="48"/>
      <c r="J198" s="70"/>
      <c r="K198" s="70"/>
      <c r="L198" s="320" t="s">
        <v>1284</v>
      </c>
      <c r="M198" s="321" t="s">
        <v>1319</v>
      </c>
      <c r="N198" s="320" t="s">
        <v>269</v>
      </c>
      <c r="O198" s="322">
        <v>1</v>
      </c>
      <c r="P198" s="324">
        <v>1465</v>
      </c>
      <c r="Q198" s="324">
        <v>1465</v>
      </c>
      <c r="R198" s="182"/>
      <c r="U198" s="128"/>
    </row>
    <row r="199" spans="1:21" ht="15.6" x14ac:dyDescent="0.3">
      <c r="A199" s="53"/>
      <c r="B199" s="54"/>
      <c r="C199" s="54"/>
      <c r="D199" s="54"/>
      <c r="E199" s="55"/>
      <c r="F199" s="75"/>
      <c r="G199" s="76"/>
      <c r="H199" s="76"/>
      <c r="I199" s="48"/>
      <c r="J199" s="70"/>
      <c r="K199" s="70"/>
      <c r="L199" s="320" t="s">
        <v>1279</v>
      </c>
      <c r="M199" s="321" t="s">
        <v>1280</v>
      </c>
      <c r="N199" s="320" t="s">
        <v>34</v>
      </c>
      <c r="O199" s="322">
        <v>1</v>
      </c>
      <c r="P199" s="323">
        <v>109.4</v>
      </c>
      <c r="Q199" s="323">
        <v>109.4</v>
      </c>
      <c r="R199" s="182"/>
      <c r="U199" s="128"/>
    </row>
    <row r="200" spans="1:21" ht="15.6" x14ac:dyDescent="0.3">
      <c r="A200" s="53"/>
      <c r="B200" s="54"/>
      <c r="C200" s="54"/>
      <c r="D200" s="54"/>
      <c r="E200" s="55"/>
      <c r="F200" s="75"/>
      <c r="G200" s="76"/>
      <c r="H200" s="76"/>
      <c r="I200" s="48"/>
      <c r="J200" s="70"/>
      <c r="K200" s="70"/>
      <c r="L200" s="320" t="s">
        <v>1285</v>
      </c>
      <c r="M200" s="321" t="s">
        <v>1320</v>
      </c>
      <c r="N200" s="320" t="s">
        <v>34</v>
      </c>
      <c r="O200" s="322">
        <v>1</v>
      </c>
      <c r="P200" s="323">
        <v>12</v>
      </c>
      <c r="Q200" s="323">
        <v>12</v>
      </c>
      <c r="R200" s="182"/>
      <c r="U200" s="128"/>
    </row>
    <row r="201" spans="1:21" ht="15.6" x14ac:dyDescent="0.3">
      <c r="A201" s="53"/>
      <c r="B201" s="54"/>
      <c r="C201" s="54"/>
      <c r="D201" s="54"/>
      <c r="E201" s="55"/>
      <c r="F201" s="75"/>
      <c r="G201" s="76"/>
      <c r="H201" s="76"/>
      <c r="I201" s="48"/>
      <c r="J201" s="70"/>
      <c r="K201" s="70"/>
      <c r="L201" s="320" t="s">
        <v>340</v>
      </c>
      <c r="M201" s="321" t="s">
        <v>341</v>
      </c>
      <c r="N201" s="320" t="s">
        <v>34</v>
      </c>
      <c r="O201" s="322">
        <v>1</v>
      </c>
      <c r="P201" s="324">
        <v>1622.9</v>
      </c>
      <c r="Q201" s="324">
        <v>1622.9</v>
      </c>
      <c r="R201" s="182"/>
      <c r="U201" s="128"/>
    </row>
    <row r="202" spans="1:21" ht="15.6" x14ac:dyDescent="0.3">
      <c r="A202" s="53"/>
      <c r="B202" s="54"/>
      <c r="C202" s="54"/>
      <c r="D202" s="54"/>
      <c r="E202" s="55"/>
      <c r="F202" s="75"/>
      <c r="G202" s="76"/>
      <c r="H202" s="76"/>
      <c r="I202" s="48"/>
      <c r="J202" s="70"/>
      <c r="K202" s="70"/>
      <c r="L202" s="320" t="s">
        <v>1147</v>
      </c>
      <c r="M202" s="321" t="s">
        <v>1234</v>
      </c>
      <c r="N202" s="320" t="s">
        <v>34</v>
      </c>
      <c r="O202" s="322">
        <v>1</v>
      </c>
      <c r="P202" s="323">
        <v>876.68</v>
      </c>
      <c r="Q202" s="323">
        <v>876.68</v>
      </c>
      <c r="R202" s="182"/>
      <c r="U202" s="128"/>
    </row>
    <row r="203" spans="1:21" ht="15.6" x14ac:dyDescent="0.3">
      <c r="A203" s="53"/>
      <c r="B203" s="54"/>
      <c r="C203" s="54"/>
      <c r="D203" s="54"/>
      <c r="E203" s="55"/>
      <c r="F203" s="75"/>
      <c r="G203" s="76"/>
      <c r="H203" s="76"/>
      <c r="I203" s="48"/>
      <c r="J203" s="70"/>
      <c r="K203" s="70"/>
      <c r="L203" s="320" t="s">
        <v>1148</v>
      </c>
      <c r="M203" s="321" t="s">
        <v>1235</v>
      </c>
      <c r="N203" s="320" t="s">
        <v>34</v>
      </c>
      <c r="O203" s="322">
        <v>1</v>
      </c>
      <c r="P203" s="323">
        <v>257.81</v>
      </c>
      <c r="Q203" s="323">
        <v>257.81</v>
      </c>
      <c r="R203" s="182"/>
      <c r="U203" s="128"/>
    </row>
    <row r="204" spans="1:21" ht="15.6" x14ac:dyDescent="0.3">
      <c r="A204" s="53"/>
      <c r="B204" s="54"/>
      <c r="C204" s="54"/>
      <c r="D204" s="54"/>
      <c r="E204" s="55"/>
      <c r="F204" s="75"/>
      <c r="G204" s="76"/>
      <c r="H204" s="76"/>
      <c r="I204" s="48"/>
      <c r="J204" s="70"/>
      <c r="K204" s="70"/>
      <c r="L204" s="320" t="s">
        <v>871</v>
      </c>
      <c r="M204" s="321" t="s">
        <v>872</v>
      </c>
      <c r="N204" s="320" t="s">
        <v>34</v>
      </c>
      <c r="O204" s="322">
        <v>1</v>
      </c>
      <c r="P204" s="324">
        <v>1205.68</v>
      </c>
      <c r="Q204" s="324">
        <v>1205.68</v>
      </c>
      <c r="R204" s="182"/>
      <c r="U204" s="128"/>
    </row>
    <row r="205" spans="1:21" ht="15.6" x14ac:dyDescent="0.3">
      <c r="A205" s="53"/>
      <c r="B205" s="54"/>
      <c r="C205" s="54"/>
      <c r="D205" s="54"/>
      <c r="E205" s="55"/>
      <c r="F205" s="75"/>
      <c r="G205" s="76"/>
      <c r="H205" s="76"/>
      <c r="I205" s="48"/>
      <c r="J205" s="70"/>
      <c r="K205" s="70"/>
      <c r="L205" s="320" t="s">
        <v>873</v>
      </c>
      <c r="M205" s="321" t="s">
        <v>874</v>
      </c>
      <c r="N205" s="320" t="s">
        <v>34</v>
      </c>
      <c r="O205" s="322">
        <v>1</v>
      </c>
      <c r="P205" s="323">
        <v>531.83000000000004</v>
      </c>
      <c r="Q205" s="323">
        <v>531.83000000000004</v>
      </c>
      <c r="R205" s="182"/>
      <c r="U205" s="128"/>
    </row>
    <row r="206" spans="1:21" ht="15.6" x14ac:dyDescent="0.3">
      <c r="A206" s="53"/>
      <c r="B206" s="54"/>
      <c r="C206" s="54"/>
      <c r="D206" s="54"/>
      <c r="E206" s="55"/>
      <c r="F206" s="75"/>
      <c r="G206" s="76"/>
      <c r="H206" s="76"/>
      <c r="I206" s="48"/>
      <c r="J206" s="70"/>
      <c r="K206" s="70"/>
      <c r="L206" s="320" t="s">
        <v>1141</v>
      </c>
      <c r="M206" s="321" t="s">
        <v>1228</v>
      </c>
      <c r="N206" s="320" t="s">
        <v>34</v>
      </c>
      <c r="O206" s="322">
        <v>1</v>
      </c>
      <c r="P206" s="323">
        <v>96</v>
      </c>
      <c r="Q206" s="323">
        <v>96</v>
      </c>
      <c r="R206" s="182"/>
      <c r="U206" s="128"/>
    </row>
    <row r="207" spans="1:21" ht="15.6" x14ac:dyDescent="0.3">
      <c r="A207" s="53"/>
      <c r="B207" s="54"/>
      <c r="C207" s="54"/>
      <c r="D207" s="54"/>
      <c r="E207" s="55"/>
      <c r="F207" s="75"/>
      <c r="G207" s="76"/>
      <c r="H207" s="76"/>
      <c r="I207" s="48"/>
      <c r="J207" s="70"/>
      <c r="K207" s="70"/>
      <c r="L207" s="320" t="s">
        <v>1143</v>
      </c>
      <c r="M207" s="321" t="s">
        <v>1230</v>
      </c>
      <c r="N207" s="320" t="s">
        <v>34</v>
      </c>
      <c r="O207" s="322">
        <v>1</v>
      </c>
      <c r="P207" s="323">
        <v>176.27</v>
      </c>
      <c r="Q207" s="323">
        <v>176.27</v>
      </c>
      <c r="R207" s="182"/>
      <c r="U207" s="128"/>
    </row>
    <row r="208" spans="1:21" ht="15.6" x14ac:dyDescent="0.3">
      <c r="A208" s="53"/>
      <c r="B208" s="54"/>
      <c r="C208" s="54"/>
      <c r="D208" s="54"/>
      <c r="E208" s="55"/>
      <c r="F208" s="75"/>
      <c r="G208" s="76"/>
      <c r="H208" s="76"/>
      <c r="I208" s="48"/>
      <c r="J208" s="70"/>
      <c r="K208" s="70"/>
      <c r="L208" s="320" t="s">
        <v>911</v>
      </c>
      <c r="M208" s="321" t="s">
        <v>912</v>
      </c>
      <c r="N208" s="320" t="s">
        <v>34</v>
      </c>
      <c r="O208" s="322">
        <v>1</v>
      </c>
      <c r="P208" s="323">
        <v>103</v>
      </c>
      <c r="Q208" s="323">
        <v>103</v>
      </c>
      <c r="R208" s="182"/>
      <c r="U208" s="128"/>
    </row>
    <row r="209" spans="1:21" ht="15.6" x14ac:dyDescent="0.3">
      <c r="A209" s="53"/>
      <c r="B209" s="54"/>
      <c r="C209" s="54"/>
      <c r="D209" s="54"/>
      <c r="E209" s="55"/>
      <c r="F209" s="75"/>
      <c r="G209" s="76"/>
      <c r="H209" s="76"/>
      <c r="I209" s="48"/>
      <c r="J209" s="70"/>
      <c r="K209" s="70"/>
      <c r="L209" s="320" t="s">
        <v>782</v>
      </c>
      <c r="M209" s="321" t="s">
        <v>783</v>
      </c>
      <c r="N209" s="320" t="s">
        <v>34</v>
      </c>
      <c r="O209" s="322">
        <v>1</v>
      </c>
      <c r="P209" s="324">
        <v>2778.33</v>
      </c>
      <c r="Q209" s="324">
        <v>2778.33</v>
      </c>
      <c r="R209" s="182"/>
      <c r="U209" s="128"/>
    </row>
    <row r="210" spans="1:21" ht="15.6" x14ac:dyDescent="0.3">
      <c r="A210" s="53"/>
      <c r="B210" s="54"/>
      <c r="C210" s="54"/>
      <c r="D210" s="54"/>
      <c r="E210" s="55"/>
      <c r="F210" s="75"/>
      <c r="G210" s="76"/>
      <c r="H210" s="76"/>
      <c r="I210" s="48"/>
      <c r="J210" s="70"/>
      <c r="K210" s="70"/>
      <c r="L210" s="320" t="s">
        <v>884</v>
      </c>
      <c r="M210" s="321" t="s">
        <v>885</v>
      </c>
      <c r="N210" s="320" t="s">
        <v>82</v>
      </c>
      <c r="O210" s="322">
        <v>1</v>
      </c>
      <c r="P210" s="324">
        <v>18062</v>
      </c>
      <c r="Q210" s="324">
        <v>18062</v>
      </c>
      <c r="R210" s="182"/>
      <c r="U210" s="128"/>
    </row>
    <row r="211" spans="1:21" ht="15.6" x14ac:dyDescent="0.3">
      <c r="A211" s="53"/>
      <c r="B211" s="54"/>
      <c r="C211" s="54"/>
      <c r="D211" s="54"/>
      <c r="E211" s="55"/>
      <c r="F211" s="75"/>
      <c r="G211" s="76"/>
      <c r="H211" s="76"/>
      <c r="I211" s="48"/>
      <c r="J211" s="70"/>
      <c r="K211" s="70"/>
      <c r="L211" s="320" t="s">
        <v>732</v>
      </c>
      <c r="M211" s="321" t="s">
        <v>733</v>
      </c>
      <c r="N211" s="320" t="s">
        <v>34</v>
      </c>
      <c r="O211" s="322">
        <v>1</v>
      </c>
      <c r="P211" s="324">
        <v>19165.830000000002</v>
      </c>
      <c r="Q211" s="324">
        <v>19165.830000000002</v>
      </c>
      <c r="R211" s="182"/>
      <c r="U211" s="128"/>
    </row>
    <row r="212" spans="1:21" ht="15.6" x14ac:dyDescent="0.3">
      <c r="A212" s="53"/>
      <c r="B212" s="54"/>
      <c r="C212" s="54"/>
      <c r="D212" s="54"/>
      <c r="E212" s="55"/>
      <c r="F212" s="75"/>
      <c r="G212" s="76"/>
      <c r="H212" s="76"/>
      <c r="I212" s="48"/>
      <c r="J212" s="70"/>
      <c r="K212" s="70"/>
      <c r="L212" s="320" t="s">
        <v>1145</v>
      </c>
      <c r="M212" s="321" t="s">
        <v>1232</v>
      </c>
      <c r="N212" s="320" t="s">
        <v>34</v>
      </c>
      <c r="O212" s="322">
        <v>1</v>
      </c>
      <c r="P212" s="323">
        <v>55.04</v>
      </c>
      <c r="Q212" s="323">
        <v>55.04</v>
      </c>
      <c r="R212" s="182"/>
      <c r="U212" s="128"/>
    </row>
    <row r="213" spans="1:21" ht="15.6" x14ac:dyDescent="0.3">
      <c r="A213" s="53"/>
      <c r="B213" s="54"/>
      <c r="C213" s="54"/>
      <c r="D213" s="54"/>
      <c r="E213" s="55"/>
      <c r="F213" s="75"/>
      <c r="G213" s="76"/>
      <c r="H213" s="76"/>
      <c r="I213" s="48"/>
      <c r="J213" s="70"/>
      <c r="K213" s="70"/>
      <c r="L213" s="320" t="s">
        <v>875</v>
      </c>
      <c r="M213" s="321" t="s">
        <v>876</v>
      </c>
      <c r="N213" s="320" t="s">
        <v>34</v>
      </c>
      <c r="O213" s="322">
        <v>1</v>
      </c>
      <c r="P213" s="324">
        <v>1580.59</v>
      </c>
      <c r="Q213" s="324">
        <v>1580.59</v>
      </c>
      <c r="R213" s="182"/>
      <c r="U213" s="128"/>
    </row>
    <row r="214" spans="1:21" ht="15.6" x14ac:dyDescent="0.3">
      <c r="A214" s="53"/>
      <c r="B214" s="54"/>
      <c r="C214" s="54"/>
      <c r="D214" s="54"/>
      <c r="E214" s="55"/>
      <c r="F214" s="75"/>
      <c r="G214" s="76"/>
      <c r="H214" s="76"/>
      <c r="I214" s="48"/>
      <c r="J214" s="70"/>
      <c r="K214" s="70"/>
      <c r="L214" s="320" t="s">
        <v>1419</v>
      </c>
      <c r="M214" s="321" t="s">
        <v>1442</v>
      </c>
      <c r="N214" s="320" t="s">
        <v>34</v>
      </c>
      <c r="O214" s="322">
        <v>1</v>
      </c>
      <c r="P214" s="323">
        <v>60.43</v>
      </c>
      <c r="Q214" s="323">
        <v>60.43</v>
      </c>
      <c r="R214" s="182"/>
      <c r="U214" s="128"/>
    </row>
    <row r="215" spans="1:21" ht="15.6" x14ac:dyDescent="0.3">
      <c r="A215" s="53"/>
      <c r="B215" s="54"/>
      <c r="C215" s="54"/>
      <c r="D215" s="54"/>
      <c r="E215" s="55"/>
      <c r="F215" s="75"/>
      <c r="G215" s="76"/>
      <c r="H215" s="76"/>
      <c r="I215" s="48"/>
      <c r="J215" s="70"/>
      <c r="K215" s="70"/>
      <c r="L215" s="320" t="s">
        <v>889</v>
      </c>
      <c r="M215" s="321" t="s">
        <v>890</v>
      </c>
      <c r="N215" s="320" t="s">
        <v>82</v>
      </c>
      <c r="O215" s="322">
        <v>1</v>
      </c>
      <c r="P215" s="324">
        <v>22036</v>
      </c>
      <c r="Q215" s="324">
        <v>22036</v>
      </c>
      <c r="R215" s="182"/>
      <c r="U215" s="128"/>
    </row>
    <row r="216" spans="1:21" ht="15.6" x14ac:dyDescent="0.3">
      <c r="A216" s="53"/>
      <c r="B216" s="54"/>
      <c r="C216" s="54"/>
      <c r="D216" s="54"/>
      <c r="E216" s="55"/>
      <c r="F216" s="75"/>
      <c r="G216" s="76"/>
      <c r="H216" s="76"/>
      <c r="I216" s="48"/>
      <c r="J216" s="70"/>
      <c r="K216" s="70"/>
      <c r="L216" s="320" t="s">
        <v>877</v>
      </c>
      <c r="M216" s="321" t="s">
        <v>878</v>
      </c>
      <c r="N216" s="320" t="s">
        <v>34</v>
      </c>
      <c r="O216" s="322">
        <v>1</v>
      </c>
      <c r="P216" s="323">
        <v>340.75</v>
      </c>
      <c r="Q216" s="323">
        <v>340.75</v>
      </c>
      <c r="R216" s="182"/>
      <c r="U216" s="128"/>
    </row>
    <row r="217" spans="1:21" ht="15.6" x14ac:dyDescent="0.3">
      <c r="A217" s="53"/>
      <c r="B217" s="54"/>
      <c r="C217" s="54"/>
      <c r="D217" s="54"/>
      <c r="E217" s="55"/>
      <c r="F217" s="75"/>
      <c r="G217" s="76"/>
      <c r="H217" s="76"/>
      <c r="I217" s="48"/>
      <c r="J217" s="70"/>
      <c r="K217" s="70"/>
      <c r="L217" s="320" t="s">
        <v>915</v>
      </c>
      <c r="M217" s="321" t="s">
        <v>916</v>
      </c>
      <c r="N217" s="320" t="s">
        <v>34</v>
      </c>
      <c r="O217" s="322">
        <v>1</v>
      </c>
      <c r="P217" s="323">
        <v>42</v>
      </c>
      <c r="Q217" s="323">
        <v>42</v>
      </c>
      <c r="R217" s="182"/>
      <c r="U217" s="128"/>
    </row>
    <row r="218" spans="1:21" ht="15.6" x14ac:dyDescent="0.3">
      <c r="A218" s="53"/>
      <c r="B218" s="54"/>
      <c r="C218" s="54"/>
      <c r="D218" s="54"/>
      <c r="E218" s="55"/>
      <c r="F218" s="75"/>
      <c r="G218" s="76"/>
      <c r="H218" s="76"/>
      <c r="I218" s="48"/>
      <c r="J218" s="70"/>
      <c r="K218" s="70"/>
      <c r="L218" s="320" t="s">
        <v>861</v>
      </c>
      <c r="M218" s="321" t="s">
        <v>917</v>
      </c>
      <c r="N218" s="320" t="s">
        <v>34</v>
      </c>
      <c r="O218" s="322">
        <v>1</v>
      </c>
      <c r="P218" s="324">
        <v>8250</v>
      </c>
      <c r="Q218" s="324">
        <v>8250</v>
      </c>
      <c r="R218" s="182"/>
      <c r="U218" s="128"/>
    </row>
    <row r="219" spans="1:21" ht="15.6" x14ac:dyDescent="0.3">
      <c r="A219" s="53"/>
      <c r="B219" s="54"/>
      <c r="C219" s="54"/>
      <c r="D219" s="54"/>
      <c r="E219" s="55"/>
      <c r="F219" s="75"/>
      <c r="G219" s="76"/>
      <c r="H219" s="76"/>
      <c r="I219" s="48"/>
      <c r="J219" s="70"/>
      <c r="K219" s="70"/>
      <c r="L219" s="320" t="s">
        <v>865</v>
      </c>
      <c r="M219" s="321" t="s">
        <v>1055</v>
      </c>
      <c r="N219" s="320" t="s">
        <v>34</v>
      </c>
      <c r="O219" s="322">
        <v>1</v>
      </c>
      <c r="P219" s="324">
        <v>4916.67</v>
      </c>
      <c r="Q219" s="324">
        <v>4916.67</v>
      </c>
      <c r="R219" s="182"/>
      <c r="U219" s="128"/>
    </row>
    <row r="220" spans="1:21" ht="15.6" x14ac:dyDescent="0.3">
      <c r="A220" s="53"/>
      <c r="B220" s="54"/>
      <c r="C220" s="54"/>
      <c r="D220" s="54"/>
      <c r="E220" s="55"/>
      <c r="F220" s="75"/>
      <c r="G220" s="76"/>
      <c r="H220" s="76"/>
      <c r="I220" s="48"/>
      <c r="J220" s="70"/>
      <c r="K220" s="70"/>
      <c r="L220" s="320" t="s">
        <v>799</v>
      </c>
      <c r="M220" s="321" t="s">
        <v>800</v>
      </c>
      <c r="N220" s="320" t="s">
        <v>34</v>
      </c>
      <c r="O220" s="322">
        <v>1</v>
      </c>
      <c r="P220" s="323">
        <v>308.12</v>
      </c>
      <c r="Q220" s="323">
        <v>308.12</v>
      </c>
      <c r="R220" s="182"/>
      <c r="U220" s="128"/>
    </row>
    <row r="221" spans="1:21" ht="15.6" x14ac:dyDescent="0.3">
      <c r="A221" s="53"/>
      <c r="B221" s="54"/>
      <c r="C221" s="54"/>
      <c r="D221" s="54"/>
      <c r="E221" s="55"/>
      <c r="F221" s="75"/>
      <c r="G221" s="76"/>
      <c r="H221" s="76"/>
      <c r="I221" s="48"/>
      <c r="J221" s="70"/>
      <c r="K221" s="70"/>
      <c r="L221" s="320" t="s">
        <v>801</v>
      </c>
      <c r="M221" s="321" t="s">
        <v>802</v>
      </c>
      <c r="N221" s="320" t="s">
        <v>34</v>
      </c>
      <c r="O221" s="322">
        <v>1</v>
      </c>
      <c r="P221" s="323">
        <v>308.12</v>
      </c>
      <c r="Q221" s="323">
        <v>308.12</v>
      </c>
      <c r="R221" s="182"/>
      <c r="U221" s="128"/>
    </row>
    <row r="222" spans="1:21" ht="15.6" x14ac:dyDescent="0.3">
      <c r="A222" s="53"/>
      <c r="B222" s="54"/>
      <c r="C222" s="54"/>
      <c r="D222" s="54"/>
      <c r="E222" s="55"/>
      <c r="F222" s="75"/>
      <c r="G222" s="76"/>
      <c r="H222" s="76"/>
      <c r="I222" s="48"/>
      <c r="J222" s="70"/>
      <c r="K222" s="70"/>
      <c r="L222" s="320" t="s">
        <v>867</v>
      </c>
      <c r="M222" s="321" t="s">
        <v>918</v>
      </c>
      <c r="N222" s="320" t="s">
        <v>34</v>
      </c>
      <c r="O222" s="322">
        <v>1</v>
      </c>
      <c r="P222" s="324">
        <v>4050</v>
      </c>
      <c r="Q222" s="324">
        <v>4050</v>
      </c>
      <c r="R222" s="182"/>
      <c r="U222" s="128"/>
    </row>
    <row r="223" spans="1:21" ht="15.6" x14ac:dyDescent="0.3">
      <c r="A223" s="53"/>
      <c r="B223" s="54"/>
      <c r="C223" s="54"/>
      <c r="D223" s="54"/>
      <c r="E223" s="55"/>
      <c r="F223" s="75"/>
      <c r="G223" s="76"/>
      <c r="H223" s="76"/>
      <c r="I223" s="48"/>
      <c r="J223" s="70"/>
      <c r="K223" s="70"/>
      <c r="L223" s="320" t="s">
        <v>1311</v>
      </c>
      <c r="M223" s="321" t="s">
        <v>1345</v>
      </c>
      <c r="N223" s="320" t="s">
        <v>34</v>
      </c>
      <c r="O223" s="322">
        <v>1</v>
      </c>
      <c r="P223" s="323">
        <v>20.83</v>
      </c>
      <c r="Q223" s="323">
        <v>20.83</v>
      </c>
      <c r="R223" s="182"/>
      <c r="U223" s="128"/>
    </row>
    <row r="224" spans="1:21" ht="15.6" x14ac:dyDescent="0.3">
      <c r="A224" s="53"/>
      <c r="B224" s="54"/>
      <c r="C224" s="54"/>
      <c r="D224" s="54"/>
      <c r="E224" s="55"/>
      <c r="F224" s="75"/>
      <c r="G224" s="76"/>
      <c r="H224" s="76"/>
      <c r="I224" s="48"/>
      <c r="J224" s="70"/>
      <c r="K224" s="70"/>
      <c r="L224" s="320" t="s">
        <v>807</v>
      </c>
      <c r="M224" s="321" t="s">
        <v>808</v>
      </c>
      <c r="N224" s="320" t="s">
        <v>34</v>
      </c>
      <c r="O224" s="322">
        <v>1</v>
      </c>
      <c r="P224" s="323">
        <v>113</v>
      </c>
      <c r="Q224" s="323">
        <v>113</v>
      </c>
      <c r="R224" s="182"/>
      <c r="U224" s="128"/>
    </row>
    <row r="225" spans="1:21" ht="30" x14ac:dyDescent="0.3">
      <c r="A225" s="53"/>
      <c r="B225" s="54"/>
      <c r="C225" s="54"/>
      <c r="D225" s="54"/>
      <c r="E225" s="55"/>
      <c r="F225" s="75"/>
      <c r="G225" s="76"/>
      <c r="H225" s="76"/>
      <c r="I225" s="48"/>
      <c r="J225" s="70"/>
      <c r="K225" s="70"/>
      <c r="L225" s="320" t="s">
        <v>1156</v>
      </c>
      <c r="M225" s="321" t="s">
        <v>1243</v>
      </c>
      <c r="N225" s="320" t="s">
        <v>34</v>
      </c>
      <c r="O225" s="322">
        <v>1</v>
      </c>
      <c r="P225" s="323">
        <v>87.3</v>
      </c>
      <c r="Q225" s="323">
        <v>87.3</v>
      </c>
      <c r="R225" s="182"/>
      <c r="U225" s="128"/>
    </row>
    <row r="226" spans="1:21" ht="15.6" x14ac:dyDescent="0.3">
      <c r="A226" s="53"/>
      <c r="B226" s="54"/>
      <c r="C226" s="54"/>
      <c r="D226" s="54"/>
      <c r="E226" s="55"/>
      <c r="F226" s="75"/>
      <c r="G226" s="76"/>
      <c r="H226" s="76"/>
      <c r="I226" s="48"/>
      <c r="J226" s="70"/>
      <c r="K226" s="70"/>
      <c r="L226" s="320" t="s">
        <v>809</v>
      </c>
      <c r="M226" s="321" t="s">
        <v>810</v>
      </c>
      <c r="N226" s="320" t="s">
        <v>34</v>
      </c>
      <c r="O226" s="322">
        <v>1</v>
      </c>
      <c r="P226" s="323">
        <v>989.3</v>
      </c>
      <c r="Q226" s="323">
        <v>989.3</v>
      </c>
      <c r="R226" s="182"/>
      <c r="U226" s="128"/>
    </row>
    <row r="227" spans="1:21" ht="15.6" x14ac:dyDescent="0.3">
      <c r="A227" s="53"/>
      <c r="B227" s="54"/>
      <c r="C227" s="54"/>
      <c r="D227" s="54"/>
      <c r="E227" s="55"/>
      <c r="F227" s="75"/>
      <c r="G227" s="76"/>
      <c r="H227" s="76"/>
      <c r="I227" s="48"/>
      <c r="J227" s="70"/>
      <c r="K227" s="70"/>
      <c r="L227" s="320" t="s">
        <v>920</v>
      </c>
      <c r="M227" s="321" t="s">
        <v>921</v>
      </c>
      <c r="N227" s="320" t="s">
        <v>34</v>
      </c>
      <c r="O227" s="322">
        <v>1</v>
      </c>
      <c r="P227" s="323">
        <v>29.6</v>
      </c>
      <c r="Q227" s="323">
        <v>29.6</v>
      </c>
      <c r="R227" s="182"/>
      <c r="U227" s="128"/>
    </row>
    <row r="228" spans="1:21" ht="15.6" x14ac:dyDescent="0.3">
      <c r="A228" s="53"/>
      <c r="B228" s="54"/>
      <c r="C228" s="54"/>
      <c r="D228" s="54"/>
      <c r="E228" s="55"/>
      <c r="F228" s="75"/>
      <c r="G228" s="76"/>
      <c r="H228" s="76"/>
      <c r="I228" s="48"/>
      <c r="J228" s="70"/>
      <c r="K228" s="70"/>
      <c r="L228" s="320" t="s">
        <v>812</v>
      </c>
      <c r="M228" s="321" t="s">
        <v>813</v>
      </c>
      <c r="N228" s="320" t="s">
        <v>34</v>
      </c>
      <c r="O228" s="322">
        <v>1</v>
      </c>
      <c r="P228" s="324">
        <v>6500</v>
      </c>
      <c r="Q228" s="324">
        <v>6500</v>
      </c>
      <c r="R228" s="182"/>
      <c r="U228" s="128"/>
    </row>
    <row r="229" spans="1:21" ht="15.6" x14ac:dyDescent="0.3">
      <c r="A229" s="53"/>
      <c r="B229" s="54"/>
      <c r="C229" s="54"/>
      <c r="D229" s="54"/>
      <c r="E229" s="55"/>
      <c r="F229" s="75"/>
      <c r="G229" s="76"/>
      <c r="H229" s="76"/>
      <c r="I229" s="48"/>
      <c r="J229" s="70"/>
      <c r="K229" s="70"/>
      <c r="L229" s="320" t="s">
        <v>1359</v>
      </c>
      <c r="M229" s="321" t="s">
        <v>1388</v>
      </c>
      <c r="N229" s="320" t="s">
        <v>34</v>
      </c>
      <c r="O229" s="322">
        <v>1</v>
      </c>
      <c r="P229" s="323">
        <v>92.71</v>
      </c>
      <c r="Q229" s="323">
        <v>92.71</v>
      </c>
      <c r="R229" s="182"/>
      <c r="U229" s="128"/>
    </row>
    <row r="230" spans="1:21" ht="15.6" x14ac:dyDescent="0.3">
      <c r="A230" s="53"/>
      <c r="B230" s="54"/>
      <c r="C230" s="54"/>
      <c r="D230" s="54"/>
      <c r="E230" s="55"/>
      <c r="F230" s="75"/>
      <c r="G230" s="76"/>
      <c r="H230" s="76"/>
      <c r="I230" s="48"/>
      <c r="J230" s="70"/>
      <c r="K230" s="70"/>
      <c r="L230" s="320" t="s">
        <v>860</v>
      </c>
      <c r="M230" s="321" t="s">
        <v>922</v>
      </c>
      <c r="N230" s="320" t="s">
        <v>34</v>
      </c>
      <c r="O230" s="322">
        <v>1</v>
      </c>
      <c r="P230" s="324">
        <v>8795.83</v>
      </c>
      <c r="Q230" s="324">
        <v>8795.83</v>
      </c>
      <c r="R230" s="182"/>
      <c r="U230" s="128"/>
    </row>
    <row r="231" spans="1:21" ht="15.6" x14ac:dyDescent="0.3">
      <c r="A231" s="53"/>
      <c r="B231" s="54"/>
      <c r="C231" s="54"/>
      <c r="D231" s="54"/>
      <c r="E231" s="55"/>
      <c r="F231" s="75"/>
      <c r="G231" s="76"/>
      <c r="H231" s="76"/>
      <c r="I231" s="48"/>
      <c r="J231" s="70"/>
      <c r="K231" s="70"/>
      <c r="L231" s="320" t="s">
        <v>422</v>
      </c>
      <c r="M231" s="321" t="s">
        <v>423</v>
      </c>
      <c r="N231" s="320" t="s">
        <v>34</v>
      </c>
      <c r="O231" s="322">
        <v>1</v>
      </c>
      <c r="P231" s="323">
        <v>219.9</v>
      </c>
      <c r="Q231" s="323">
        <v>219.9</v>
      </c>
      <c r="R231" s="182"/>
      <c r="U231" s="128"/>
    </row>
    <row r="232" spans="1:21" ht="15.6" x14ac:dyDescent="0.3">
      <c r="A232" s="53"/>
      <c r="B232" s="54"/>
      <c r="C232" s="54"/>
      <c r="D232" s="54"/>
      <c r="E232" s="55"/>
      <c r="F232" s="75"/>
      <c r="G232" s="76"/>
      <c r="H232" s="76"/>
      <c r="I232" s="48"/>
      <c r="J232" s="70"/>
      <c r="K232" s="70"/>
      <c r="L232" s="320" t="s">
        <v>424</v>
      </c>
      <c r="M232" s="321" t="s">
        <v>425</v>
      </c>
      <c r="N232" s="320" t="s">
        <v>34</v>
      </c>
      <c r="O232" s="322">
        <v>1</v>
      </c>
      <c r="P232" s="323">
        <v>201</v>
      </c>
      <c r="Q232" s="323">
        <v>201</v>
      </c>
      <c r="R232" s="182"/>
      <c r="U232" s="128"/>
    </row>
    <row r="233" spans="1:21" ht="15.6" x14ac:dyDescent="0.3">
      <c r="A233" s="53"/>
      <c r="B233" s="54"/>
      <c r="C233" s="54"/>
      <c r="D233" s="54"/>
      <c r="E233" s="55"/>
      <c r="F233" s="75"/>
      <c r="G233" s="76"/>
      <c r="H233" s="76"/>
      <c r="I233" s="48"/>
      <c r="J233" s="70"/>
      <c r="K233" s="70"/>
      <c r="L233" s="320" t="s">
        <v>1159</v>
      </c>
      <c r="M233" s="321" t="s">
        <v>1245</v>
      </c>
      <c r="N233" s="320" t="s">
        <v>34</v>
      </c>
      <c r="O233" s="322">
        <v>1</v>
      </c>
      <c r="P233" s="323">
        <v>39.75</v>
      </c>
      <c r="Q233" s="323">
        <v>39.75</v>
      </c>
      <c r="R233" s="182"/>
      <c r="U233" s="128"/>
    </row>
    <row r="234" spans="1:21" ht="15.6" x14ac:dyDescent="0.3">
      <c r="A234" s="53"/>
      <c r="B234" s="54"/>
      <c r="C234" s="54"/>
      <c r="D234" s="54"/>
      <c r="E234" s="55"/>
      <c r="F234" s="75"/>
      <c r="G234" s="76"/>
      <c r="H234" s="76"/>
      <c r="I234" s="48"/>
      <c r="J234" s="70"/>
      <c r="K234" s="70"/>
      <c r="L234" s="320" t="s">
        <v>1175</v>
      </c>
      <c r="M234" s="321" t="s">
        <v>1259</v>
      </c>
      <c r="N234" s="320" t="s">
        <v>34</v>
      </c>
      <c r="O234" s="322">
        <v>1</v>
      </c>
      <c r="P234" s="323">
        <v>2</v>
      </c>
      <c r="Q234" s="323">
        <v>2</v>
      </c>
      <c r="R234" s="182"/>
      <c r="U234" s="128"/>
    </row>
    <row r="235" spans="1:21" ht="15.6" x14ac:dyDescent="0.3">
      <c r="A235" s="53"/>
      <c r="B235" s="54"/>
      <c r="C235" s="54"/>
      <c r="D235" s="54"/>
      <c r="E235" s="55"/>
      <c r="F235" s="75"/>
      <c r="G235" s="76"/>
      <c r="H235" s="76"/>
      <c r="I235" s="48"/>
      <c r="J235" s="70"/>
      <c r="K235" s="70"/>
      <c r="L235" s="320" t="s">
        <v>1176</v>
      </c>
      <c r="M235" s="321" t="s">
        <v>1260</v>
      </c>
      <c r="N235" s="320" t="s">
        <v>34</v>
      </c>
      <c r="O235" s="322">
        <v>1</v>
      </c>
      <c r="P235" s="323">
        <v>1.5</v>
      </c>
      <c r="Q235" s="323">
        <v>1.5</v>
      </c>
      <c r="R235" s="182"/>
      <c r="U235" s="128"/>
    </row>
    <row r="236" spans="1:21" ht="15.6" x14ac:dyDescent="0.3">
      <c r="A236" s="53"/>
      <c r="B236" s="54"/>
      <c r="C236" s="54"/>
      <c r="D236" s="54"/>
      <c r="E236" s="55"/>
      <c r="F236" s="75"/>
      <c r="G236" s="76"/>
      <c r="H236" s="76"/>
      <c r="I236" s="48"/>
      <c r="J236" s="70"/>
      <c r="K236" s="70"/>
      <c r="L236" s="320" t="s">
        <v>826</v>
      </c>
      <c r="M236" s="321" t="s">
        <v>827</v>
      </c>
      <c r="N236" s="320" t="s">
        <v>34</v>
      </c>
      <c r="O236" s="322">
        <v>1</v>
      </c>
      <c r="P236" s="323">
        <v>4.5</v>
      </c>
      <c r="Q236" s="323">
        <v>4.5</v>
      </c>
      <c r="R236" s="182"/>
      <c r="U236" s="128"/>
    </row>
    <row r="237" spans="1:21" ht="15.6" x14ac:dyDescent="0.3">
      <c r="A237" s="53"/>
      <c r="B237" s="54"/>
      <c r="C237" s="54"/>
      <c r="D237" s="54"/>
      <c r="E237" s="55"/>
      <c r="F237" s="75"/>
      <c r="G237" s="76"/>
      <c r="H237" s="76"/>
      <c r="I237" s="48"/>
      <c r="J237" s="70"/>
      <c r="K237" s="70"/>
      <c r="L237" s="320" t="s">
        <v>1177</v>
      </c>
      <c r="M237" s="321" t="s">
        <v>1261</v>
      </c>
      <c r="N237" s="320" t="s">
        <v>34</v>
      </c>
      <c r="O237" s="322">
        <v>1</v>
      </c>
      <c r="P237" s="323">
        <v>130.21</v>
      </c>
      <c r="Q237" s="323">
        <v>130.21</v>
      </c>
      <c r="R237" s="182"/>
      <c r="U237" s="128"/>
    </row>
    <row r="238" spans="1:21" ht="15.6" x14ac:dyDescent="0.3">
      <c r="A238" s="53"/>
      <c r="B238" s="54"/>
      <c r="C238" s="54"/>
      <c r="D238" s="54"/>
      <c r="E238" s="55"/>
      <c r="F238" s="75"/>
      <c r="G238" s="76"/>
      <c r="H238" s="76"/>
      <c r="I238" s="48"/>
      <c r="J238" s="70"/>
      <c r="K238" s="70"/>
      <c r="L238" s="320" t="s">
        <v>828</v>
      </c>
      <c r="M238" s="321" t="s">
        <v>829</v>
      </c>
      <c r="N238" s="320" t="s">
        <v>34</v>
      </c>
      <c r="O238" s="322">
        <v>1</v>
      </c>
      <c r="P238" s="323">
        <v>133.16</v>
      </c>
      <c r="Q238" s="323">
        <v>133.16</v>
      </c>
      <c r="R238" s="182"/>
      <c r="U238" s="128"/>
    </row>
    <row r="239" spans="1:21" ht="15.6" x14ac:dyDescent="0.3">
      <c r="A239" s="53"/>
      <c r="B239" s="54"/>
      <c r="C239" s="54"/>
      <c r="D239" s="54"/>
      <c r="E239" s="55"/>
      <c r="F239" s="75"/>
      <c r="G239" s="76"/>
      <c r="H239" s="76"/>
      <c r="I239" s="48"/>
      <c r="J239" s="70"/>
      <c r="K239" s="70"/>
      <c r="L239" s="320" t="s">
        <v>830</v>
      </c>
      <c r="M239" s="321" t="s">
        <v>831</v>
      </c>
      <c r="N239" s="320" t="s">
        <v>34</v>
      </c>
      <c r="O239" s="322">
        <v>1</v>
      </c>
      <c r="P239" s="323">
        <v>693</v>
      </c>
      <c r="Q239" s="323">
        <v>693</v>
      </c>
      <c r="R239" s="182"/>
      <c r="U239" s="128"/>
    </row>
    <row r="240" spans="1:21" ht="15.6" x14ac:dyDescent="0.3">
      <c r="A240" s="53"/>
      <c r="B240" s="54"/>
      <c r="C240" s="54"/>
      <c r="D240" s="54"/>
      <c r="E240" s="55"/>
      <c r="F240" s="75"/>
      <c r="G240" s="76"/>
      <c r="H240" s="76"/>
      <c r="I240" s="48"/>
      <c r="J240" s="70"/>
      <c r="K240" s="70"/>
      <c r="L240" s="320" t="s">
        <v>924</v>
      </c>
      <c r="M240" s="321" t="s">
        <v>925</v>
      </c>
      <c r="N240" s="320" t="s">
        <v>34</v>
      </c>
      <c r="O240" s="322">
        <v>1</v>
      </c>
      <c r="P240" s="323">
        <v>84.5</v>
      </c>
      <c r="Q240" s="323">
        <v>84.5</v>
      </c>
      <c r="R240" s="182"/>
      <c r="U240" s="128"/>
    </row>
    <row r="241" spans="1:21" ht="15.6" x14ac:dyDescent="0.3">
      <c r="A241" s="53"/>
      <c r="B241" s="54"/>
      <c r="C241" s="54"/>
      <c r="D241" s="54"/>
      <c r="E241" s="55"/>
      <c r="F241" s="75"/>
      <c r="G241" s="76"/>
      <c r="H241" s="76"/>
      <c r="I241" s="48"/>
      <c r="J241" s="70"/>
      <c r="K241" s="70"/>
      <c r="L241" s="320" t="s">
        <v>863</v>
      </c>
      <c r="M241" s="321" t="s">
        <v>926</v>
      </c>
      <c r="N241" s="320" t="s">
        <v>34</v>
      </c>
      <c r="O241" s="322">
        <v>1</v>
      </c>
      <c r="P241" s="324">
        <v>8590</v>
      </c>
      <c r="Q241" s="324">
        <v>8590</v>
      </c>
      <c r="R241" s="182"/>
      <c r="U241" s="128"/>
    </row>
    <row r="242" spans="1:21" ht="15.6" x14ac:dyDescent="0.3">
      <c r="A242" s="53"/>
      <c r="B242" s="54"/>
      <c r="C242" s="54"/>
      <c r="D242" s="54"/>
      <c r="E242" s="55"/>
      <c r="F242" s="75"/>
      <c r="G242" s="76"/>
      <c r="H242" s="76"/>
      <c r="I242" s="48"/>
      <c r="J242" s="70"/>
      <c r="K242" s="70"/>
      <c r="L242" s="320" t="s">
        <v>1312</v>
      </c>
      <c r="M242" s="321" t="s">
        <v>1346</v>
      </c>
      <c r="N242" s="320" t="s">
        <v>34</v>
      </c>
      <c r="O242" s="322">
        <v>1</v>
      </c>
      <c r="P242" s="323">
        <v>57.18</v>
      </c>
      <c r="Q242" s="323">
        <v>57.18</v>
      </c>
      <c r="R242" s="182"/>
      <c r="U242" s="128"/>
    </row>
    <row r="243" spans="1:21" ht="15.6" x14ac:dyDescent="0.3">
      <c r="A243" s="53"/>
      <c r="B243" s="54"/>
      <c r="C243" s="54"/>
      <c r="D243" s="54"/>
      <c r="E243" s="55"/>
      <c r="F243" s="75"/>
      <c r="G243" s="76"/>
      <c r="H243" s="76"/>
      <c r="I243" s="48"/>
      <c r="J243" s="70"/>
      <c r="K243" s="70"/>
      <c r="L243" s="320" t="s">
        <v>930</v>
      </c>
      <c r="M243" s="321" t="s">
        <v>931</v>
      </c>
      <c r="N243" s="320" t="s">
        <v>34</v>
      </c>
      <c r="O243" s="322">
        <v>1</v>
      </c>
      <c r="P243" s="323">
        <v>124</v>
      </c>
      <c r="Q243" s="323">
        <v>124</v>
      </c>
      <c r="R243" s="182"/>
      <c r="U243" s="128"/>
    </row>
    <row r="244" spans="1:21" ht="15.6" x14ac:dyDescent="0.3">
      <c r="A244" s="53"/>
      <c r="B244" s="54"/>
      <c r="C244" s="54"/>
      <c r="D244" s="54"/>
      <c r="E244" s="55"/>
      <c r="F244" s="75"/>
      <c r="G244" s="76"/>
      <c r="H244" s="76"/>
      <c r="I244" s="48"/>
      <c r="J244" s="70"/>
      <c r="K244" s="70"/>
      <c r="L244" s="320" t="s">
        <v>1425</v>
      </c>
      <c r="M244" s="321" t="s">
        <v>1447</v>
      </c>
      <c r="N244" s="320" t="s">
        <v>34</v>
      </c>
      <c r="O244" s="322">
        <v>1</v>
      </c>
      <c r="P244" s="323">
        <v>372</v>
      </c>
      <c r="Q244" s="323">
        <v>372</v>
      </c>
      <c r="R244" s="182"/>
      <c r="U244" s="128"/>
    </row>
    <row r="245" spans="1:21" ht="15.6" x14ac:dyDescent="0.3">
      <c r="A245" s="53"/>
      <c r="B245" s="54"/>
      <c r="C245" s="54"/>
      <c r="D245" s="54"/>
      <c r="E245" s="55"/>
      <c r="F245" s="75"/>
      <c r="G245" s="76"/>
      <c r="H245" s="76"/>
      <c r="I245" s="48"/>
      <c r="J245" s="70"/>
      <c r="K245" s="70"/>
      <c r="L245" s="320" t="s">
        <v>484</v>
      </c>
      <c r="M245" s="321" t="s">
        <v>1061</v>
      </c>
      <c r="N245" s="320" t="s">
        <v>34</v>
      </c>
      <c r="O245" s="322">
        <v>1</v>
      </c>
      <c r="P245" s="323">
        <v>36.25</v>
      </c>
      <c r="Q245" s="323">
        <v>36.25</v>
      </c>
      <c r="R245" s="182"/>
      <c r="U245" s="128"/>
    </row>
    <row r="246" spans="1:21" ht="15.6" x14ac:dyDescent="0.3">
      <c r="A246" s="53"/>
      <c r="B246" s="54"/>
      <c r="C246" s="54"/>
      <c r="D246" s="54"/>
      <c r="E246" s="55"/>
      <c r="F246" s="75"/>
      <c r="G246" s="76"/>
      <c r="H246" s="76"/>
      <c r="I246" s="48"/>
      <c r="J246" s="70"/>
      <c r="K246" s="70"/>
      <c r="L246" s="320" t="s">
        <v>488</v>
      </c>
      <c r="M246" s="321" t="s">
        <v>1062</v>
      </c>
      <c r="N246" s="320" t="s">
        <v>34</v>
      </c>
      <c r="O246" s="322">
        <v>1</v>
      </c>
      <c r="P246" s="323">
        <v>985.5</v>
      </c>
      <c r="Q246" s="323">
        <v>985.5</v>
      </c>
      <c r="R246" s="182"/>
      <c r="U246" s="128"/>
    </row>
    <row r="247" spans="1:21" ht="15.6" x14ac:dyDescent="0.3">
      <c r="A247" s="53"/>
      <c r="B247" s="54"/>
      <c r="C247" s="54"/>
      <c r="D247" s="54"/>
      <c r="E247" s="55"/>
      <c r="F247" s="75"/>
      <c r="G247" s="76"/>
      <c r="H247" s="76"/>
      <c r="I247" s="48"/>
      <c r="J247" s="70"/>
      <c r="K247" s="70"/>
      <c r="L247" s="320" t="s">
        <v>490</v>
      </c>
      <c r="M247" s="321" t="s">
        <v>491</v>
      </c>
      <c r="N247" s="320" t="s">
        <v>34</v>
      </c>
      <c r="O247" s="322">
        <v>1</v>
      </c>
      <c r="P247" s="324">
        <v>2999.3</v>
      </c>
      <c r="Q247" s="324">
        <v>2999.3</v>
      </c>
      <c r="R247" s="182"/>
      <c r="U247" s="128"/>
    </row>
    <row r="248" spans="1:21" ht="15.6" x14ac:dyDescent="0.3">
      <c r="A248" s="53"/>
      <c r="B248" s="54"/>
      <c r="C248" s="54"/>
      <c r="D248" s="54"/>
      <c r="E248" s="55"/>
      <c r="F248" s="75"/>
      <c r="G248" s="76"/>
      <c r="H248" s="76"/>
      <c r="I248" s="48"/>
      <c r="J248" s="70"/>
      <c r="K248" s="70"/>
      <c r="L248" s="320" t="s">
        <v>862</v>
      </c>
      <c r="M248" s="321" t="s">
        <v>1045</v>
      </c>
      <c r="N248" s="320" t="s">
        <v>34</v>
      </c>
      <c r="O248" s="322">
        <v>1</v>
      </c>
      <c r="P248" s="324">
        <v>12305</v>
      </c>
      <c r="Q248" s="324">
        <v>12305</v>
      </c>
      <c r="R248" s="182"/>
      <c r="U248" s="128"/>
    </row>
    <row r="249" spans="1:21" ht="15.6" x14ac:dyDescent="0.3">
      <c r="A249" s="53"/>
      <c r="B249" s="54"/>
      <c r="C249" s="54"/>
      <c r="D249" s="54"/>
      <c r="E249" s="55"/>
      <c r="F249" s="75"/>
      <c r="G249" s="76"/>
      <c r="H249" s="76"/>
      <c r="I249" s="48"/>
      <c r="J249" s="70"/>
      <c r="K249" s="70"/>
      <c r="L249" s="320" t="s">
        <v>1429</v>
      </c>
      <c r="M249" s="321" t="s">
        <v>1451</v>
      </c>
      <c r="N249" s="320" t="s">
        <v>64</v>
      </c>
      <c r="O249" s="322">
        <v>1</v>
      </c>
      <c r="P249" s="323">
        <v>26</v>
      </c>
      <c r="Q249" s="323">
        <v>26</v>
      </c>
      <c r="R249" s="182"/>
      <c r="U249" s="128"/>
    </row>
    <row r="250" spans="1:21" ht="15.6" x14ac:dyDescent="0.3">
      <c r="A250" s="53"/>
      <c r="B250" s="54"/>
      <c r="C250" s="54"/>
      <c r="D250" s="54"/>
      <c r="E250" s="55"/>
      <c r="F250" s="75"/>
      <c r="G250" s="76"/>
      <c r="H250" s="76"/>
      <c r="I250" s="48"/>
      <c r="J250" s="70"/>
      <c r="K250" s="70"/>
      <c r="L250" s="320" t="s">
        <v>845</v>
      </c>
      <c r="M250" s="321" t="s">
        <v>846</v>
      </c>
      <c r="N250" s="320" t="s">
        <v>34</v>
      </c>
      <c r="O250" s="322">
        <v>1</v>
      </c>
      <c r="P250" s="323">
        <v>302.8</v>
      </c>
      <c r="Q250" s="323">
        <v>302.8</v>
      </c>
      <c r="R250" s="182"/>
      <c r="U250" s="128"/>
    </row>
    <row r="251" spans="1:21" ht="15.6" x14ac:dyDescent="0.3">
      <c r="A251" s="53"/>
      <c r="B251" s="54"/>
      <c r="C251" s="54"/>
      <c r="D251" s="54"/>
      <c r="E251" s="55"/>
      <c r="F251" s="75"/>
      <c r="G251" s="76"/>
      <c r="H251" s="76"/>
      <c r="I251" s="48"/>
      <c r="J251" s="70"/>
      <c r="K251" s="70"/>
      <c r="L251" s="320" t="s">
        <v>994</v>
      </c>
      <c r="M251" s="321" t="s">
        <v>1066</v>
      </c>
      <c r="N251" s="320" t="s">
        <v>34</v>
      </c>
      <c r="O251" s="322">
        <v>1</v>
      </c>
      <c r="P251" s="324">
        <v>7750</v>
      </c>
      <c r="Q251" s="324">
        <v>7750</v>
      </c>
      <c r="R251" s="182"/>
      <c r="U251" s="128"/>
    </row>
    <row r="252" spans="1:21" ht="15.6" x14ac:dyDescent="0.3">
      <c r="A252" s="53"/>
      <c r="B252" s="54"/>
      <c r="C252" s="54"/>
      <c r="D252" s="54"/>
      <c r="E252" s="55"/>
      <c r="F252" s="75"/>
      <c r="G252" s="76"/>
      <c r="H252" s="76"/>
      <c r="I252" s="48"/>
      <c r="J252" s="70"/>
      <c r="K252" s="70"/>
      <c r="L252" s="320" t="s">
        <v>995</v>
      </c>
      <c r="M252" s="321" t="s">
        <v>1067</v>
      </c>
      <c r="N252" s="320" t="s">
        <v>34</v>
      </c>
      <c r="O252" s="322">
        <v>1</v>
      </c>
      <c r="P252" s="324">
        <v>6036</v>
      </c>
      <c r="Q252" s="324">
        <v>6036</v>
      </c>
      <c r="R252" s="182"/>
      <c r="U252" s="128"/>
    </row>
    <row r="253" spans="1:21" ht="15.6" x14ac:dyDescent="0.3">
      <c r="A253" s="53"/>
      <c r="B253" s="54"/>
      <c r="C253" s="54"/>
      <c r="D253" s="54"/>
      <c r="E253" s="55"/>
      <c r="F253" s="75"/>
      <c r="G253" s="76"/>
      <c r="H253" s="76"/>
      <c r="I253" s="48"/>
      <c r="J253" s="70"/>
      <c r="K253" s="70"/>
      <c r="L253" s="320" t="s">
        <v>1433</v>
      </c>
      <c r="M253" s="321" t="s">
        <v>1455</v>
      </c>
      <c r="N253" s="320" t="s">
        <v>57</v>
      </c>
      <c r="O253" s="322">
        <v>1</v>
      </c>
      <c r="P253" s="323">
        <v>228</v>
      </c>
      <c r="Q253" s="323">
        <v>228</v>
      </c>
      <c r="R253" s="182"/>
      <c r="U253" s="128"/>
    </row>
    <row r="254" spans="1:21" ht="15.6" customHeight="1" x14ac:dyDescent="0.3">
      <c r="A254" s="53"/>
      <c r="B254" s="54"/>
      <c r="C254" s="54"/>
      <c r="D254" s="54"/>
      <c r="E254" s="55"/>
      <c r="F254" s="75"/>
      <c r="G254" s="76"/>
      <c r="H254" s="76"/>
      <c r="I254" s="48"/>
      <c r="J254" s="70"/>
      <c r="K254" s="70"/>
      <c r="L254" s="320" t="s">
        <v>1172</v>
      </c>
      <c r="M254" s="321" t="s">
        <v>1257</v>
      </c>
      <c r="N254" s="320" t="s">
        <v>34</v>
      </c>
      <c r="O254" s="322">
        <v>1</v>
      </c>
      <c r="P254" s="323">
        <v>285</v>
      </c>
      <c r="Q254" s="323">
        <v>285</v>
      </c>
      <c r="R254" s="182"/>
      <c r="U254" s="128"/>
    </row>
    <row r="255" spans="1:21" ht="15.6" x14ac:dyDescent="0.3">
      <c r="A255" s="53"/>
      <c r="B255" s="54"/>
      <c r="C255" s="54"/>
      <c r="D255" s="54"/>
      <c r="E255" s="55"/>
      <c r="F255" s="75"/>
      <c r="G255" s="76"/>
      <c r="H255" s="76"/>
      <c r="I255" s="48"/>
      <c r="J255" s="70"/>
      <c r="K255" s="70"/>
      <c r="L255" s="320" t="s">
        <v>796</v>
      </c>
      <c r="M255" s="321" t="s">
        <v>797</v>
      </c>
      <c r="N255" s="320" t="s">
        <v>34</v>
      </c>
      <c r="O255" s="322">
        <v>1.0900000000000001</v>
      </c>
      <c r="P255" s="323">
        <v>338.33</v>
      </c>
      <c r="Q255" s="323">
        <v>368.78</v>
      </c>
      <c r="R255" s="182"/>
      <c r="U255" s="128"/>
    </row>
    <row r="256" spans="1:21" ht="15.6" x14ac:dyDescent="0.3">
      <c r="A256" s="53"/>
      <c r="B256" s="54"/>
      <c r="C256" s="54"/>
      <c r="D256" s="54"/>
      <c r="E256" s="55"/>
      <c r="F256" s="75"/>
      <c r="G256" s="76"/>
      <c r="H256" s="76"/>
      <c r="I256" s="48"/>
      <c r="J256" s="70"/>
      <c r="K256" s="70"/>
      <c r="L256" s="320" t="s">
        <v>1187</v>
      </c>
      <c r="M256" s="321" t="s">
        <v>1270</v>
      </c>
      <c r="N256" s="320" t="s">
        <v>45</v>
      </c>
      <c r="O256" s="322">
        <v>1.1819999999999999</v>
      </c>
      <c r="P256" s="323">
        <v>150.18</v>
      </c>
      <c r="Q256" s="323">
        <v>177.51</v>
      </c>
      <c r="R256" s="182"/>
      <c r="U256" s="128"/>
    </row>
    <row r="257" spans="1:21" ht="15.6" x14ac:dyDescent="0.3">
      <c r="A257" s="53"/>
      <c r="B257" s="54"/>
      <c r="C257" s="54"/>
      <c r="D257" s="54"/>
      <c r="E257" s="55"/>
      <c r="F257" s="75"/>
      <c r="G257" s="76"/>
      <c r="H257" s="76"/>
      <c r="I257" s="48"/>
      <c r="J257" s="70"/>
      <c r="K257" s="70"/>
      <c r="L257" s="320" t="s">
        <v>743</v>
      </c>
      <c r="M257" s="321" t="s">
        <v>744</v>
      </c>
      <c r="N257" s="320" t="s">
        <v>903</v>
      </c>
      <c r="O257" s="322">
        <v>1.2</v>
      </c>
      <c r="P257" s="324">
        <v>10651.39</v>
      </c>
      <c r="Q257" s="324">
        <v>12781.67</v>
      </c>
      <c r="R257" s="182"/>
      <c r="U257" s="128"/>
    </row>
    <row r="258" spans="1:21" ht="15.6" x14ac:dyDescent="0.3">
      <c r="A258" s="53"/>
      <c r="B258" s="54"/>
      <c r="C258" s="54"/>
      <c r="D258" s="54"/>
      <c r="E258" s="55"/>
      <c r="F258" s="75"/>
      <c r="G258" s="76"/>
      <c r="H258" s="76"/>
      <c r="I258" s="48"/>
      <c r="J258" s="70"/>
      <c r="K258" s="70"/>
      <c r="L258" s="320" t="s">
        <v>1115</v>
      </c>
      <c r="M258" s="321" t="s">
        <v>1201</v>
      </c>
      <c r="N258" s="320" t="s">
        <v>68</v>
      </c>
      <c r="O258" s="322">
        <v>1.2</v>
      </c>
      <c r="P258" s="323">
        <v>186.67</v>
      </c>
      <c r="Q258" s="323">
        <v>224</v>
      </c>
      <c r="R258" s="182"/>
      <c r="U258" s="128"/>
    </row>
    <row r="259" spans="1:21" ht="15.6" x14ac:dyDescent="0.3">
      <c r="A259" s="53"/>
      <c r="B259" s="54"/>
      <c r="C259" s="54"/>
      <c r="D259" s="54"/>
      <c r="E259" s="55"/>
      <c r="F259" s="75"/>
      <c r="G259" s="76"/>
      <c r="H259" s="76"/>
      <c r="I259" s="48"/>
      <c r="J259" s="70"/>
      <c r="K259" s="70"/>
      <c r="L259" s="320" t="s">
        <v>207</v>
      </c>
      <c r="M259" s="321" t="s">
        <v>858</v>
      </c>
      <c r="N259" s="320" t="s">
        <v>68</v>
      </c>
      <c r="O259" s="322">
        <v>1.4</v>
      </c>
      <c r="P259" s="323">
        <v>343.28</v>
      </c>
      <c r="Q259" s="323">
        <v>480.59</v>
      </c>
      <c r="R259" s="182"/>
      <c r="U259" s="128"/>
    </row>
    <row r="260" spans="1:21" ht="15.6" x14ac:dyDescent="0.3">
      <c r="A260" s="53"/>
      <c r="B260" s="54"/>
      <c r="C260" s="54"/>
      <c r="D260" s="54"/>
      <c r="E260" s="55"/>
      <c r="F260" s="75"/>
      <c r="G260" s="76"/>
      <c r="H260" s="76"/>
      <c r="I260" s="48"/>
      <c r="J260" s="70"/>
      <c r="K260" s="70"/>
      <c r="L260" s="320" t="s">
        <v>882</v>
      </c>
      <c r="M260" s="321" t="s">
        <v>883</v>
      </c>
      <c r="N260" s="320" t="s">
        <v>68</v>
      </c>
      <c r="O260" s="322">
        <v>1.75</v>
      </c>
      <c r="P260" s="323">
        <v>188.33</v>
      </c>
      <c r="Q260" s="323">
        <v>329.57</v>
      </c>
      <c r="R260" s="182"/>
      <c r="U260" s="128"/>
    </row>
    <row r="261" spans="1:21" ht="15.6" x14ac:dyDescent="0.3">
      <c r="A261" s="53"/>
      <c r="B261" s="54"/>
      <c r="C261" s="54"/>
      <c r="D261" s="54"/>
      <c r="E261" s="55"/>
      <c r="F261" s="75"/>
      <c r="G261" s="76"/>
      <c r="H261" s="76"/>
      <c r="I261" s="48"/>
      <c r="J261" s="70"/>
      <c r="K261" s="70"/>
      <c r="L261" s="320" t="s">
        <v>936</v>
      </c>
      <c r="M261" s="321" t="s">
        <v>1035</v>
      </c>
      <c r="N261" s="320" t="s">
        <v>64</v>
      </c>
      <c r="O261" s="322">
        <v>2</v>
      </c>
      <c r="P261" s="323">
        <v>736.65</v>
      </c>
      <c r="Q261" s="324">
        <v>1473.3</v>
      </c>
      <c r="R261" s="182"/>
      <c r="U261" s="128"/>
    </row>
    <row r="262" spans="1:21" ht="30" x14ac:dyDescent="0.3">
      <c r="A262" s="53"/>
      <c r="B262" s="54"/>
      <c r="C262" s="54"/>
      <c r="D262" s="54"/>
      <c r="E262" s="55"/>
      <c r="F262" s="75"/>
      <c r="G262" s="76"/>
      <c r="H262" s="76"/>
      <c r="I262" s="48"/>
      <c r="J262" s="70"/>
      <c r="K262" s="70"/>
      <c r="L262" s="320" t="s">
        <v>273</v>
      </c>
      <c r="M262" s="321" t="s">
        <v>274</v>
      </c>
      <c r="N262" s="320" t="s">
        <v>34</v>
      </c>
      <c r="O262" s="322">
        <v>2</v>
      </c>
      <c r="P262" s="323">
        <v>55</v>
      </c>
      <c r="Q262" s="323">
        <v>109.99</v>
      </c>
      <c r="R262" s="182"/>
      <c r="U262" s="128"/>
    </row>
    <row r="263" spans="1:21" ht="15.6" x14ac:dyDescent="0.3">
      <c r="A263" s="53"/>
      <c r="B263" s="54"/>
      <c r="C263" s="54"/>
      <c r="D263" s="54"/>
      <c r="E263" s="55"/>
      <c r="F263" s="75"/>
      <c r="G263" s="76"/>
      <c r="H263" s="76"/>
      <c r="I263" s="48"/>
      <c r="J263" s="70"/>
      <c r="K263" s="70"/>
      <c r="L263" s="320" t="s">
        <v>1138</v>
      </c>
      <c r="M263" s="321" t="s">
        <v>1225</v>
      </c>
      <c r="N263" s="320" t="s">
        <v>34</v>
      </c>
      <c r="O263" s="322">
        <v>2</v>
      </c>
      <c r="P263" s="323">
        <v>99.92</v>
      </c>
      <c r="Q263" s="323">
        <v>199.84</v>
      </c>
      <c r="R263" s="182"/>
      <c r="U263" s="128"/>
    </row>
    <row r="264" spans="1:21" ht="15.6" x14ac:dyDescent="0.3">
      <c r="A264" s="53"/>
      <c r="B264" s="54"/>
      <c r="C264" s="54"/>
      <c r="D264" s="54"/>
      <c r="E264" s="55"/>
      <c r="F264" s="75"/>
      <c r="G264" s="76"/>
      <c r="H264" s="76"/>
      <c r="I264" s="48"/>
      <c r="J264" s="70"/>
      <c r="K264" s="70"/>
      <c r="L264" s="320" t="s">
        <v>1132</v>
      </c>
      <c r="M264" s="321" t="s">
        <v>1218</v>
      </c>
      <c r="N264" s="320" t="s">
        <v>34</v>
      </c>
      <c r="O264" s="322">
        <v>2</v>
      </c>
      <c r="P264" s="324">
        <v>2152.71</v>
      </c>
      <c r="Q264" s="324">
        <v>4305.42</v>
      </c>
      <c r="R264" s="182"/>
      <c r="U264" s="128"/>
    </row>
    <row r="265" spans="1:21" ht="15.6" x14ac:dyDescent="0.3">
      <c r="A265" s="53"/>
      <c r="B265" s="54"/>
      <c r="C265" s="54"/>
      <c r="D265" s="54"/>
      <c r="E265" s="55"/>
      <c r="F265" s="75"/>
      <c r="G265" s="76"/>
      <c r="H265" s="76"/>
      <c r="I265" s="48"/>
      <c r="J265" s="70"/>
      <c r="K265" s="70"/>
      <c r="L265" s="320" t="s">
        <v>764</v>
      </c>
      <c r="M265" s="321" t="s">
        <v>765</v>
      </c>
      <c r="N265" s="320" t="s">
        <v>34</v>
      </c>
      <c r="O265" s="322">
        <v>2</v>
      </c>
      <c r="P265" s="323">
        <v>499.71</v>
      </c>
      <c r="Q265" s="323">
        <v>999.42</v>
      </c>
      <c r="R265" s="182"/>
      <c r="U265" s="128"/>
    </row>
    <row r="266" spans="1:21" ht="15.6" x14ac:dyDescent="0.3">
      <c r="A266" s="53"/>
      <c r="B266" s="54"/>
      <c r="C266" s="54"/>
      <c r="D266" s="54"/>
      <c r="E266" s="55"/>
      <c r="F266" s="75"/>
      <c r="G266" s="76"/>
      <c r="H266" s="76"/>
      <c r="I266" s="48"/>
      <c r="J266" s="70"/>
      <c r="K266" s="70"/>
      <c r="L266" s="320" t="s">
        <v>1140</v>
      </c>
      <c r="M266" s="321" t="s">
        <v>1227</v>
      </c>
      <c r="N266" s="320" t="s">
        <v>34</v>
      </c>
      <c r="O266" s="322">
        <v>2</v>
      </c>
      <c r="P266" s="324">
        <v>1331</v>
      </c>
      <c r="Q266" s="324">
        <v>2662</v>
      </c>
      <c r="R266" s="182"/>
      <c r="U266" s="128"/>
    </row>
    <row r="267" spans="1:21" ht="15.6" x14ac:dyDescent="0.3">
      <c r="A267" s="53"/>
      <c r="B267" s="54"/>
      <c r="C267" s="54"/>
      <c r="D267" s="54"/>
      <c r="E267" s="55"/>
      <c r="F267" s="75"/>
      <c r="G267" s="76"/>
      <c r="H267" s="76"/>
      <c r="I267" s="48"/>
      <c r="J267" s="70"/>
      <c r="K267" s="70"/>
      <c r="L267" s="320" t="s">
        <v>966</v>
      </c>
      <c r="M267" s="321" t="s">
        <v>1053</v>
      </c>
      <c r="N267" s="320" t="s">
        <v>34</v>
      </c>
      <c r="O267" s="322">
        <v>2</v>
      </c>
      <c r="P267" s="323">
        <v>195.75</v>
      </c>
      <c r="Q267" s="323">
        <v>391.5</v>
      </c>
      <c r="R267" s="182"/>
      <c r="U267" s="128"/>
    </row>
    <row r="268" spans="1:21" ht="15.6" x14ac:dyDescent="0.3">
      <c r="A268" s="53"/>
      <c r="B268" s="54"/>
      <c r="C268" s="54"/>
      <c r="D268" s="54"/>
      <c r="E268" s="55"/>
      <c r="F268" s="75"/>
      <c r="G268" s="76"/>
      <c r="H268" s="76"/>
      <c r="I268" s="48"/>
      <c r="J268" s="70"/>
      <c r="K268" s="70"/>
      <c r="L268" s="320" t="s">
        <v>363</v>
      </c>
      <c r="M268" s="321" t="s">
        <v>364</v>
      </c>
      <c r="N268" s="320" t="s">
        <v>34</v>
      </c>
      <c r="O268" s="322">
        <v>2</v>
      </c>
      <c r="P268" s="323">
        <v>108.4</v>
      </c>
      <c r="Q268" s="323">
        <v>216.8</v>
      </c>
      <c r="R268" s="182"/>
      <c r="U268" s="128"/>
    </row>
    <row r="269" spans="1:21" ht="30" x14ac:dyDescent="0.3">
      <c r="A269" s="53"/>
      <c r="B269" s="54"/>
      <c r="C269" s="54"/>
      <c r="D269" s="54"/>
      <c r="E269" s="55"/>
      <c r="F269" s="75"/>
      <c r="G269" s="76"/>
      <c r="H269" s="76"/>
      <c r="I269" s="48"/>
      <c r="J269" s="70"/>
      <c r="K269" s="70"/>
      <c r="L269" s="320" t="s">
        <v>1146</v>
      </c>
      <c r="M269" s="321" t="s">
        <v>1233</v>
      </c>
      <c r="N269" s="320" t="s">
        <v>34</v>
      </c>
      <c r="O269" s="322">
        <v>2</v>
      </c>
      <c r="P269" s="323">
        <v>44.8</v>
      </c>
      <c r="Q269" s="323">
        <v>89.6</v>
      </c>
      <c r="R269" s="182"/>
      <c r="U269" s="128"/>
    </row>
    <row r="270" spans="1:21" ht="15.6" x14ac:dyDescent="0.3">
      <c r="A270" s="53"/>
      <c r="B270" s="54"/>
      <c r="C270" s="54"/>
      <c r="D270" s="54"/>
      <c r="E270" s="55"/>
      <c r="F270" s="75"/>
      <c r="G270" s="76"/>
      <c r="H270" s="76"/>
      <c r="I270" s="48"/>
      <c r="J270" s="70"/>
      <c r="K270" s="70"/>
      <c r="L270" s="320" t="s">
        <v>1417</v>
      </c>
      <c r="M270" s="321" t="s">
        <v>1440</v>
      </c>
      <c r="N270" s="320" t="s">
        <v>34</v>
      </c>
      <c r="O270" s="322">
        <v>2</v>
      </c>
      <c r="P270" s="323">
        <v>14.83</v>
      </c>
      <c r="Q270" s="323">
        <v>29.66</v>
      </c>
      <c r="R270" s="182"/>
      <c r="U270" s="128"/>
    </row>
    <row r="271" spans="1:21" ht="15.6" x14ac:dyDescent="0.3">
      <c r="A271" s="53"/>
      <c r="B271" s="54"/>
      <c r="C271" s="54"/>
      <c r="D271" s="54"/>
      <c r="E271" s="55"/>
      <c r="F271" s="75"/>
      <c r="G271" s="76"/>
      <c r="H271" s="76"/>
      <c r="I271" s="48"/>
      <c r="J271" s="70"/>
      <c r="K271" s="70"/>
      <c r="L271" s="320" t="s">
        <v>866</v>
      </c>
      <c r="M271" s="321" t="s">
        <v>919</v>
      </c>
      <c r="N271" s="320" t="s">
        <v>34</v>
      </c>
      <c r="O271" s="322">
        <v>2</v>
      </c>
      <c r="P271" s="324">
        <v>2690</v>
      </c>
      <c r="Q271" s="324">
        <v>5380</v>
      </c>
      <c r="R271" s="182"/>
      <c r="U271" s="128"/>
    </row>
    <row r="272" spans="1:21" ht="15.6" x14ac:dyDescent="0.3">
      <c r="A272" s="53"/>
      <c r="B272" s="54"/>
      <c r="C272" s="54"/>
      <c r="D272" s="54"/>
      <c r="E272" s="55"/>
      <c r="F272" s="75"/>
      <c r="G272" s="76"/>
      <c r="H272" s="76"/>
      <c r="I272" s="48"/>
      <c r="J272" s="70"/>
      <c r="K272" s="70"/>
      <c r="L272" s="320" t="s">
        <v>1018</v>
      </c>
      <c r="M272" s="321" t="s">
        <v>1075</v>
      </c>
      <c r="N272" s="320" t="s">
        <v>34</v>
      </c>
      <c r="O272" s="322">
        <v>2</v>
      </c>
      <c r="P272" s="324">
        <v>1290.8</v>
      </c>
      <c r="Q272" s="324">
        <v>2581.6</v>
      </c>
      <c r="R272" s="182"/>
      <c r="U272" s="128"/>
    </row>
    <row r="273" spans="1:21" ht="15.6" x14ac:dyDescent="0.3">
      <c r="A273" s="53"/>
      <c r="B273" s="54"/>
      <c r="C273" s="54"/>
      <c r="D273" s="54"/>
      <c r="E273" s="55"/>
      <c r="F273" s="75"/>
      <c r="G273" s="76"/>
      <c r="H273" s="76"/>
      <c r="I273" s="48"/>
      <c r="J273" s="70"/>
      <c r="K273" s="70"/>
      <c r="L273" s="320" t="s">
        <v>403</v>
      </c>
      <c r="M273" s="321" t="s">
        <v>1073</v>
      </c>
      <c r="N273" s="320" t="s">
        <v>34</v>
      </c>
      <c r="O273" s="322">
        <v>2</v>
      </c>
      <c r="P273" s="323">
        <v>36.9</v>
      </c>
      <c r="Q273" s="323">
        <v>73.8</v>
      </c>
      <c r="R273" s="182"/>
      <c r="U273" s="128"/>
    </row>
    <row r="274" spans="1:21" ht="15.6" x14ac:dyDescent="0.3">
      <c r="A274" s="53"/>
      <c r="B274" s="54"/>
      <c r="C274" s="54"/>
      <c r="D274" s="54"/>
      <c r="E274" s="55"/>
      <c r="F274" s="75"/>
      <c r="G274" s="76"/>
      <c r="H274" s="76"/>
      <c r="I274" s="48"/>
      <c r="J274" s="70"/>
      <c r="K274" s="70"/>
      <c r="L274" s="320" t="s">
        <v>1114</v>
      </c>
      <c r="M274" s="321" t="s">
        <v>1200</v>
      </c>
      <c r="N274" s="320" t="s">
        <v>68</v>
      </c>
      <c r="O274" s="322">
        <v>2</v>
      </c>
      <c r="P274" s="323">
        <v>36</v>
      </c>
      <c r="Q274" s="323">
        <v>72</v>
      </c>
      <c r="R274" s="182"/>
      <c r="U274" s="128"/>
    </row>
    <row r="275" spans="1:21" ht="15.6" x14ac:dyDescent="0.3">
      <c r="A275" s="53"/>
      <c r="B275" s="54"/>
      <c r="C275" s="54"/>
      <c r="D275" s="54"/>
      <c r="E275" s="55"/>
      <c r="F275" s="75"/>
      <c r="G275" s="76"/>
      <c r="H275" s="76"/>
      <c r="I275" s="48"/>
      <c r="J275" s="70"/>
      <c r="K275" s="70"/>
      <c r="L275" s="320" t="s">
        <v>455</v>
      </c>
      <c r="M275" s="321" t="s">
        <v>456</v>
      </c>
      <c r="N275" s="320" t="s">
        <v>34</v>
      </c>
      <c r="O275" s="322">
        <v>2</v>
      </c>
      <c r="P275" s="323">
        <v>275.73</v>
      </c>
      <c r="Q275" s="323">
        <v>551.46</v>
      </c>
      <c r="R275" s="182"/>
      <c r="U275" s="128"/>
    </row>
    <row r="276" spans="1:21" ht="15.6" x14ac:dyDescent="0.3">
      <c r="A276" s="53"/>
      <c r="B276" s="54"/>
      <c r="C276" s="54"/>
      <c r="D276" s="54"/>
      <c r="E276" s="55"/>
      <c r="F276" s="75"/>
      <c r="G276" s="76"/>
      <c r="H276" s="76"/>
      <c r="I276" s="48"/>
      <c r="J276" s="70"/>
      <c r="K276" s="70"/>
      <c r="L276" s="320" t="s">
        <v>219</v>
      </c>
      <c r="M276" s="321" t="s">
        <v>220</v>
      </c>
      <c r="N276" s="320" t="s">
        <v>34</v>
      </c>
      <c r="O276" s="322">
        <v>2</v>
      </c>
      <c r="P276" s="323">
        <v>112.79</v>
      </c>
      <c r="Q276" s="323">
        <v>225.58</v>
      </c>
      <c r="R276" s="182"/>
      <c r="U276" s="128"/>
    </row>
    <row r="277" spans="1:21" ht="15.6" x14ac:dyDescent="0.3">
      <c r="A277" s="53"/>
      <c r="B277" s="54"/>
      <c r="C277" s="54"/>
      <c r="D277" s="54"/>
      <c r="E277" s="55"/>
      <c r="F277" s="75"/>
      <c r="G277" s="76"/>
      <c r="H277" s="76"/>
      <c r="I277" s="48"/>
      <c r="J277" s="70"/>
      <c r="K277" s="70"/>
      <c r="L277" s="320" t="s">
        <v>832</v>
      </c>
      <c r="M277" s="321" t="s">
        <v>833</v>
      </c>
      <c r="N277" s="320" t="s">
        <v>34</v>
      </c>
      <c r="O277" s="322">
        <v>2</v>
      </c>
      <c r="P277" s="323">
        <v>57</v>
      </c>
      <c r="Q277" s="323">
        <v>114</v>
      </c>
      <c r="R277" s="182"/>
      <c r="U277" s="128"/>
    </row>
    <row r="278" spans="1:21" ht="15.6" x14ac:dyDescent="0.3">
      <c r="A278" s="53"/>
      <c r="B278" s="54"/>
      <c r="C278" s="54"/>
      <c r="D278" s="54"/>
      <c r="E278" s="55"/>
      <c r="F278" s="75"/>
      <c r="G278" s="76"/>
      <c r="H278" s="76"/>
      <c r="I278" s="48"/>
      <c r="J278" s="70"/>
      <c r="K278" s="70"/>
      <c r="L278" s="320" t="s">
        <v>1169</v>
      </c>
      <c r="M278" s="321" t="s">
        <v>1254</v>
      </c>
      <c r="N278" s="320" t="s">
        <v>34</v>
      </c>
      <c r="O278" s="322">
        <v>2</v>
      </c>
      <c r="P278" s="323">
        <v>110</v>
      </c>
      <c r="Q278" s="323">
        <v>220</v>
      </c>
      <c r="R278" s="182"/>
      <c r="U278" s="128"/>
    </row>
    <row r="279" spans="1:21" ht="15.6" x14ac:dyDescent="0.3">
      <c r="A279" s="53"/>
      <c r="B279" s="54"/>
      <c r="C279" s="54"/>
      <c r="D279" s="54"/>
      <c r="E279" s="55"/>
      <c r="F279" s="75"/>
      <c r="G279" s="76"/>
      <c r="H279" s="76"/>
      <c r="I279" s="48"/>
      <c r="J279" s="70"/>
      <c r="K279" s="70"/>
      <c r="L279" s="320" t="s">
        <v>1104</v>
      </c>
      <c r="M279" s="321" t="s">
        <v>1190</v>
      </c>
      <c r="N279" s="320" t="s">
        <v>37</v>
      </c>
      <c r="O279" s="322">
        <v>2.7</v>
      </c>
      <c r="P279" s="323">
        <v>266.25</v>
      </c>
      <c r="Q279" s="323">
        <v>718.88</v>
      </c>
      <c r="R279" s="182"/>
      <c r="U279" s="128"/>
    </row>
    <row r="280" spans="1:21" ht="15.6" x14ac:dyDescent="0.3">
      <c r="A280" s="53"/>
      <c r="B280" s="54"/>
      <c r="C280" s="54"/>
      <c r="D280" s="54"/>
      <c r="E280" s="55"/>
      <c r="F280" s="75"/>
      <c r="G280" s="76"/>
      <c r="H280" s="76"/>
      <c r="I280" s="48"/>
      <c r="J280" s="70"/>
      <c r="K280" s="70"/>
      <c r="L280" s="320" t="s">
        <v>768</v>
      </c>
      <c r="M280" s="321" t="s">
        <v>769</v>
      </c>
      <c r="N280" s="320" t="s">
        <v>34</v>
      </c>
      <c r="O280" s="322">
        <v>3</v>
      </c>
      <c r="P280" s="323">
        <v>10</v>
      </c>
      <c r="Q280" s="323">
        <v>30</v>
      </c>
      <c r="R280" s="182"/>
      <c r="U280" s="128"/>
    </row>
    <row r="281" spans="1:21" ht="15.6" x14ac:dyDescent="0.3">
      <c r="A281" s="53"/>
      <c r="B281" s="54"/>
      <c r="C281" s="54"/>
      <c r="D281" s="54"/>
      <c r="E281" s="55"/>
      <c r="F281" s="75"/>
      <c r="G281" s="76"/>
      <c r="H281" s="76"/>
      <c r="I281" s="48"/>
      <c r="J281" s="70"/>
      <c r="K281" s="70"/>
      <c r="L281" s="320" t="s">
        <v>905</v>
      </c>
      <c r="M281" s="321" t="s">
        <v>906</v>
      </c>
      <c r="N281" s="320" t="s">
        <v>34</v>
      </c>
      <c r="O281" s="322">
        <v>3</v>
      </c>
      <c r="P281" s="323">
        <v>10</v>
      </c>
      <c r="Q281" s="323">
        <v>30</v>
      </c>
      <c r="R281" s="182"/>
      <c r="U281" s="128"/>
    </row>
    <row r="282" spans="1:21" ht="15.6" x14ac:dyDescent="0.3">
      <c r="A282" s="53"/>
      <c r="B282" s="54"/>
      <c r="C282" s="54"/>
      <c r="D282" s="54"/>
      <c r="E282" s="55"/>
      <c r="F282" s="75"/>
      <c r="G282" s="76"/>
      <c r="H282" s="76"/>
      <c r="I282" s="48"/>
      <c r="J282" s="70"/>
      <c r="K282" s="70"/>
      <c r="L282" s="320" t="s">
        <v>907</v>
      </c>
      <c r="M282" s="321" t="s">
        <v>908</v>
      </c>
      <c r="N282" s="320" t="s">
        <v>34</v>
      </c>
      <c r="O282" s="322">
        <v>3</v>
      </c>
      <c r="P282" s="323">
        <v>10</v>
      </c>
      <c r="Q282" s="323">
        <v>30</v>
      </c>
      <c r="R282" s="182"/>
      <c r="U282" s="128"/>
    </row>
    <row r="283" spans="1:21" ht="15.6" x14ac:dyDescent="0.3">
      <c r="A283" s="53"/>
      <c r="B283" s="54"/>
      <c r="C283" s="54"/>
      <c r="D283" s="54"/>
      <c r="E283" s="55"/>
      <c r="F283" s="75"/>
      <c r="G283" s="76"/>
      <c r="H283" s="76"/>
      <c r="I283" s="48"/>
      <c r="J283" s="70"/>
      <c r="K283" s="70"/>
      <c r="L283" s="320" t="s">
        <v>778</v>
      </c>
      <c r="M283" s="321" t="s">
        <v>779</v>
      </c>
      <c r="N283" s="320" t="s">
        <v>37</v>
      </c>
      <c r="O283" s="322">
        <v>3</v>
      </c>
      <c r="P283" s="323">
        <v>74.900000000000006</v>
      </c>
      <c r="Q283" s="323">
        <v>224.7</v>
      </c>
      <c r="R283" s="182"/>
      <c r="U283" s="128"/>
    </row>
    <row r="284" spans="1:21" ht="15.6" x14ac:dyDescent="0.3">
      <c r="A284" s="53"/>
      <c r="B284" s="54"/>
      <c r="C284" s="54"/>
      <c r="D284" s="54"/>
      <c r="E284" s="55"/>
      <c r="F284" s="75"/>
      <c r="G284" s="76"/>
      <c r="H284" s="76"/>
      <c r="I284" s="48"/>
      <c r="J284" s="70"/>
      <c r="K284" s="70"/>
      <c r="L284" s="320" t="s">
        <v>785</v>
      </c>
      <c r="M284" s="321" t="s">
        <v>786</v>
      </c>
      <c r="N284" s="320" t="s">
        <v>34</v>
      </c>
      <c r="O284" s="322">
        <v>3</v>
      </c>
      <c r="P284" s="323">
        <v>164.75</v>
      </c>
      <c r="Q284" s="323">
        <v>494.25</v>
      </c>
      <c r="R284" s="182"/>
      <c r="U284" s="128"/>
    </row>
    <row r="285" spans="1:21" ht="15.6" x14ac:dyDescent="0.3">
      <c r="A285" s="53"/>
      <c r="B285" s="54"/>
      <c r="C285" s="54"/>
      <c r="D285" s="54"/>
      <c r="E285" s="55"/>
      <c r="F285" s="75"/>
      <c r="G285" s="76"/>
      <c r="H285" s="76"/>
      <c r="I285" s="48"/>
      <c r="J285" s="70"/>
      <c r="K285" s="70"/>
      <c r="L285" s="320" t="s">
        <v>53</v>
      </c>
      <c r="M285" s="321" t="s">
        <v>85</v>
      </c>
      <c r="N285" s="320" t="s">
        <v>34</v>
      </c>
      <c r="O285" s="322">
        <v>3</v>
      </c>
      <c r="P285" s="323">
        <v>47</v>
      </c>
      <c r="Q285" s="323">
        <v>141</v>
      </c>
      <c r="R285" s="182"/>
      <c r="U285" s="128"/>
    </row>
    <row r="286" spans="1:21" ht="15.6" x14ac:dyDescent="0.3">
      <c r="A286" s="53"/>
      <c r="B286" s="54"/>
      <c r="C286" s="54"/>
      <c r="D286" s="54"/>
      <c r="E286" s="55"/>
      <c r="F286" s="75"/>
      <c r="G286" s="76"/>
      <c r="H286" s="76"/>
      <c r="I286" s="48"/>
      <c r="J286" s="70"/>
      <c r="K286" s="70"/>
      <c r="L286" s="320" t="s">
        <v>887</v>
      </c>
      <c r="M286" s="321" t="s">
        <v>888</v>
      </c>
      <c r="N286" s="320" t="s">
        <v>34</v>
      </c>
      <c r="O286" s="322">
        <v>3</v>
      </c>
      <c r="P286" s="323">
        <v>44.6</v>
      </c>
      <c r="Q286" s="323">
        <v>133.80000000000001</v>
      </c>
      <c r="R286" s="182"/>
      <c r="U286" s="128"/>
    </row>
    <row r="287" spans="1:21" ht="15.6" x14ac:dyDescent="0.3">
      <c r="A287" s="53"/>
      <c r="B287" s="54"/>
      <c r="C287" s="54"/>
      <c r="D287" s="54"/>
      <c r="E287" s="55"/>
      <c r="F287" s="75"/>
      <c r="G287" s="76"/>
      <c r="H287" s="76"/>
      <c r="I287" s="48"/>
      <c r="J287" s="70"/>
      <c r="K287" s="70"/>
      <c r="L287" s="320" t="s">
        <v>891</v>
      </c>
      <c r="M287" s="321" t="s">
        <v>892</v>
      </c>
      <c r="N287" s="320" t="s">
        <v>34</v>
      </c>
      <c r="O287" s="322">
        <v>3</v>
      </c>
      <c r="P287" s="323">
        <v>720</v>
      </c>
      <c r="Q287" s="324">
        <v>2160</v>
      </c>
      <c r="R287" s="182"/>
      <c r="U287" s="128"/>
    </row>
    <row r="288" spans="1:21" ht="15.6" x14ac:dyDescent="0.3">
      <c r="A288" s="53"/>
      <c r="B288" s="54"/>
      <c r="C288" s="54"/>
      <c r="D288" s="54"/>
      <c r="E288" s="55"/>
      <c r="F288" s="75"/>
      <c r="G288" s="76"/>
      <c r="H288" s="76"/>
      <c r="I288" s="48"/>
      <c r="J288" s="70"/>
      <c r="K288" s="70"/>
      <c r="L288" s="320" t="s">
        <v>391</v>
      </c>
      <c r="M288" s="321" t="s">
        <v>392</v>
      </c>
      <c r="N288" s="320" t="s">
        <v>68</v>
      </c>
      <c r="O288" s="322">
        <v>3</v>
      </c>
      <c r="P288" s="324">
        <v>4870.63</v>
      </c>
      <c r="Q288" s="324">
        <v>14611.88</v>
      </c>
      <c r="R288" s="182"/>
      <c r="U288" s="128"/>
    </row>
    <row r="289" spans="1:21" ht="15.6" x14ac:dyDescent="0.3">
      <c r="A289" s="53"/>
      <c r="B289" s="54"/>
      <c r="C289" s="54"/>
      <c r="D289" s="54"/>
      <c r="E289" s="55"/>
      <c r="F289" s="75"/>
      <c r="G289" s="76"/>
      <c r="H289" s="76"/>
      <c r="I289" s="48"/>
      <c r="J289" s="70"/>
      <c r="K289" s="70"/>
      <c r="L289" s="320" t="s">
        <v>1155</v>
      </c>
      <c r="M289" s="321" t="s">
        <v>1242</v>
      </c>
      <c r="N289" s="320" t="s">
        <v>34</v>
      </c>
      <c r="O289" s="322">
        <v>3</v>
      </c>
      <c r="P289" s="323">
        <v>20.18</v>
      </c>
      <c r="Q289" s="323">
        <v>60.53</v>
      </c>
      <c r="R289" s="182"/>
      <c r="U289" s="128"/>
    </row>
    <row r="290" spans="1:21" ht="15.6" x14ac:dyDescent="0.3">
      <c r="A290" s="53"/>
      <c r="B290" s="54"/>
      <c r="C290" s="54"/>
      <c r="D290" s="54"/>
      <c r="E290" s="55"/>
      <c r="F290" s="75"/>
      <c r="G290" s="76"/>
      <c r="H290" s="76"/>
      <c r="I290" s="48"/>
      <c r="J290" s="70"/>
      <c r="K290" s="70"/>
      <c r="L290" s="320" t="s">
        <v>1108</v>
      </c>
      <c r="M290" s="321" t="s">
        <v>1194</v>
      </c>
      <c r="N290" s="320" t="s">
        <v>903</v>
      </c>
      <c r="O290" s="322">
        <v>3</v>
      </c>
      <c r="P290" s="324">
        <v>1283.5</v>
      </c>
      <c r="Q290" s="324">
        <v>3850.5</v>
      </c>
      <c r="R290" s="182"/>
      <c r="U290" s="128"/>
    </row>
    <row r="291" spans="1:21" ht="15.6" x14ac:dyDescent="0.3">
      <c r="A291" s="53"/>
      <c r="B291" s="54"/>
      <c r="C291" s="54"/>
      <c r="D291" s="54"/>
      <c r="E291" s="55"/>
      <c r="F291" s="75"/>
      <c r="G291" s="76"/>
      <c r="H291" s="76"/>
      <c r="I291" s="48"/>
      <c r="J291" s="70"/>
      <c r="K291" s="70"/>
      <c r="L291" s="320" t="s">
        <v>440</v>
      </c>
      <c r="M291" s="321" t="s">
        <v>441</v>
      </c>
      <c r="N291" s="320" t="s">
        <v>442</v>
      </c>
      <c r="O291" s="322">
        <v>3</v>
      </c>
      <c r="P291" s="323">
        <v>75.22</v>
      </c>
      <c r="Q291" s="323">
        <v>225.65</v>
      </c>
      <c r="R291" s="182"/>
      <c r="U291" s="128"/>
    </row>
    <row r="292" spans="1:21" ht="15.6" x14ac:dyDescent="0.3">
      <c r="A292" s="53"/>
      <c r="B292" s="54"/>
      <c r="C292" s="54"/>
      <c r="D292" s="54"/>
      <c r="E292" s="55"/>
      <c r="F292" s="75"/>
      <c r="G292" s="76"/>
      <c r="H292" s="76"/>
      <c r="I292" s="48"/>
      <c r="J292" s="70"/>
      <c r="K292" s="70"/>
      <c r="L292" s="320" t="s">
        <v>886</v>
      </c>
      <c r="M292" s="321" t="s">
        <v>1072</v>
      </c>
      <c r="N292" s="320" t="s">
        <v>34</v>
      </c>
      <c r="O292" s="322">
        <v>3</v>
      </c>
      <c r="P292" s="323">
        <v>350.19</v>
      </c>
      <c r="Q292" s="324">
        <v>1050.56</v>
      </c>
      <c r="R292" s="182"/>
      <c r="U292" s="128"/>
    </row>
    <row r="293" spans="1:21" ht="15.6" x14ac:dyDescent="0.3">
      <c r="A293" s="53"/>
      <c r="B293" s="54"/>
      <c r="C293" s="54"/>
      <c r="D293" s="54"/>
      <c r="E293" s="55"/>
      <c r="F293" s="75"/>
      <c r="G293" s="76"/>
      <c r="H293" s="76"/>
      <c r="I293" s="48"/>
      <c r="J293" s="70"/>
      <c r="K293" s="70"/>
      <c r="L293" s="320" t="s">
        <v>1105</v>
      </c>
      <c r="M293" s="321" t="s">
        <v>1191</v>
      </c>
      <c r="N293" s="320" t="s">
        <v>37</v>
      </c>
      <c r="O293" s="322">
        <v>3</v>
      </c>
      <c r="P293" s="323">
        <v>9.58</v>
      </c>
      <c r="Q293" s="323">
        <v>28.74</v>
      </c>
      <c r="R293" s="182"/>
      <c r="U293" s="128"/>
    </row>
    <row r="294" spans="1:21" ht="15.6" x14ac:dyDescent="0.3">
      <c r="A294" s="53"/>
      <c r="B294" s="54"/>
      <c r="C294" s="54"/>
      <c r="D294" s="54"/>
      <c r="E294" s="55"/>
      <c r="F294" s="75"/>
      <c r="G294" s="76"/>
      <c r="H294" s="76"/>
      <c r="I294" s="48"/>
      <c r="J294" s="70"/>
      <c r="K294" s="70"/>
      <c r="L294" s="320" t="s">
        <v>948</v>
      </c>
      <c r="M294" s="321" t="s">
        <v>1044</v>
      </c>
      <c r="N294" s="320" t="s">
        <v>34</v>
      </c>
      <c r="O294" s="322">
        <v>3</v>
      </c>
      <c r="P294" s="323">
        <v>44</v>
      </c>
      <c r="Q294" s="323">
        <v>132</v>
      </c>
      <c r="R294" s="182"/>
      <c r="U294" s="128"/>
    </row>
    <row r="295" spans="1:21" ht="15.6" x14ac:dyDescent="0.3">
      <c r="A295" s="53"/>
      <c r="B295" s="54"/>
      <c r="C295" s="54"/>
      <c r="D295" s="54"/>
      <c r="E295" s="55"/>
      <c r="F295" s="75"/>
      <c r="G295" s="76"/>
      <c r="H295" s="76"/>
      <c r="I295" s="48"/>
      <c r="J295" s="70"/>
      <c r="K295" s="70"/>
      <c r="L295" s="320" t="s">
        <v>271</v>
      </c>
      <c r="M295" s="321" t="s">
        <v>1059</v>
      </c>
      <c r="N295" s="320" t="s">
        <v>34</v>
      </c>
      <c r="O295" s="322">
        <v>4</v>
      </c>
      <c r="P295" s="323">
        <v>52.88</v>
      </c>
      <c r="Q295" s="323">
        <v>211.53</v>
      </c>
      <c r="R295" s="182"/>
      <c r="U295" s="128"/>
    </row>
    <row r="296" spans="1:21" ht="15.6" x14ac:dyDescent="0.3">
      <c r="A296" s="53"/>
      <c r="B296" s="54"/>
      <c r="C296" s="54"/>
      <c r="D296" s="54"/>
      <c r="E296" s="55"/>
      <c r="F296" s="75"/>
      <c r="G296" s="76"/>
      <c r="H296" s="76"/>
      <c r="I296" s="48"/>
      <c r="J296" s="70"/>
      <c r="K296" s="70"/>
      <c r="L296" s="320" t="s">
        <v>1162</v>
      </c>
      <c r="M296" s="321" t="s">
        <v>1247</v>
      </c>
      <c r="N296" s="320" t="s">
        <v>34</v>
      </c>
      <c r="O296" s="322">
        <v>4</v>
      </c>
      <c r="P296" s="323">
        <v>466.46</v>
      </c>
      <c r="Q296" s="324">
        <v>1865.84</v>
      </c>
      <c r="R296" s="182"/>
      <c r="U296" s="128"/>
    </row>
    <row r="297" spans="1:21" ht="15.6" customHeight="1" x14ac:dyDescent="0.3">
      <c r="A297" s="53"/>
      <c r="B297" s="54"/>
      <c r="C297" s="54"/>
      <c r="D297" s="54"/>
      <c r="E297" s="55"/>
      <c r="F297" s="75"/>
      <c r="G297" s="76"/>
      <c r="H297" s="76"/>
      <c r="I297" s="48"/>
      <c r="J297" s="70"/>
      <c r="K297" s="70"/>
      <c r="L297" s="320" t="s">
        <v>188</v>
      </c>
      <c r="M297" s="321" t="s">
        <v>189</v>
      </c>
      <c r="N297" s="320" t="s">
        <v>34</v>
      </c>
      <c r="O297" s="322">
        <v>4</v>
      </c>
      <c r="P297" s="323">
        <v>55.1</v>
      </c>
      <c r="Q297" s="323">
        <v>220.4</v>
      </c>
      <c r="R297" s="182"/>
      <c r="U297" s="128"/>
    </row>
    <row r="298" spans="1:21" ht="15.6" x14ac:dyDescent="0.3">
      <c r="A298" s="53"/>
      <c r="B298" s="54"/>
      <c r="C298" s="54"/>
      <c r="D298" s="54"/>
      <c r="E298" s="55"/>
      <c r="F298" s="75"/>
      <c r="G298" s="76"/>
      <c r="H298" s="76"/>
      <c r="I298" s="48"/>
      <c r="J298" s="70"/>
      <c r="K298" s="70"/>
      <c r="L298" s="320" t="s">
        <v>946</v>
      </c>
      <c r="M298" s="321" t="s">
        <v>1042</v>
      </c>
      <c r="N298" s="320" t="s">
        <v>34</v>
      </c>
      <c r="O298" s="322">
        <v>4</v>
      </c>
      <c r="P298" s="323">
        <v>127.1</v>
      </c>
      <c r="Q298" s="323">
        <v>508.4</v>
      </c>
      <c r="R298" s="182"/>
      <c r="U298" s="128"/>
    </row>
    <row r="299" spans="1:21" ht="15.6" x14ac:dyDescent="0.3">
      <c r="A299" s="53"/>
      <c r="B299" s="54"/>
      <c r="C299" s="54"/>
      <c r="D299" s="54"/>
      <c r="E299" s="55"/>
      <c r="F299" s="75"/>
      <c r="G299" s="76"/>
      <c r="H299" s="76"/>
      <c r="I299" s="48"/>
      <c r="J299" s="70"/>
      <c r="K299" s="70"/>
      <c r="L299" s="320" t="s">
        <v>432</v>
      </c>
      <c r="M299" s="321" t="s">
        <v>433</v>
      </c>
      <c r="N299" s="320" t="s">
        <v>34</v>
      </c>
      <c r="O299" s="322">
        <v>4</v>
      </c>
      <c r="P299" s="323">
        <v>27.6</v>
      </c>
      <c r="Q299" s="323">
        <v>110.4</v>
      </c>
      <c r="R299" s="182"/>
      <c r="U299" s="128"/>
    </row>
    <row r="300" spans="1:21" ht="15.6" x14ac:dyDescent="0.3">
      <c r="A300" s="53"/>
      <c r="B300" s="54"/>
      <c r="C300" s="54"/>
      <c r="D300" s="54"/>
      <c r="E300" s="55"/>
      <c r="F300" s="75"/>
      <c r="G300" s="76"/>
      <c r="H300" s="76"/>
      <c r="I300" s="48"/>
      <c r="J300" s="70"/>
      <c r="K300" s="70"/>
      <c r="L300" s="320" t="s">
        <v>437</v>
      </c>
      <c r="M300" s="321" t="s">
        <v>438</v>
      </c>
      <c r="N300" s="320" t="s">
        <v>34</v>
      </c>
      <c r="O300" s="322">
        <v>4</v>
      </c>
      <c r="P300" s="323">
        <v>166.32</v>
      </c>
      <c r="Q300" s="323">
        <v>665.28</v>
      </c>
      <c r="R300" s="182"/>
      <c r="U300" s="128"/>
    </row>
    <row r="301" spans="1:21" ht="15.6" x14ac:dyDescent="0.3">
      <c r="A301" s="53"/>
      <c r="B301" s="54"/>
      <c r="C301" s="54"/>
      <c r="D301" s="54"/>
      <c r="E301" s="55"/>
      <c r="F301" s="75"/>
      <c r="G301" s="76"/>
      <c r="H301" s="76"/>
      <c r="I301" s="48"/>
      <c r="J301" s="70"/>
      <c r="K301" s="70"/>
      <c r="L301" s="320" t="s">
        <v>864</v>
      </c>
      <c r="M301" s="321" t="s">
        <v>929</v>
      </c>
      <c r="N301" s="320" t="s">
        <v>34</v>
      </c>
      <c r="O301" s="322">
        <v>4</v>
      </c>
      <c r="P301" s="324">
        <v>2430</v>
      </c>
      <c r="Q301" s="324">
        <v>9720</v>
      </c>
      <c r="R301" s="182"/>
      <c r="U301" s="128"/>
    </row>
    <row r="302" spans="1:21" ht="15.6" x14ac:dyDescent="0.3">
      <c r="A302" s="53"/>
      <c r="B302" s="54"/>
      <c r="C302" s="54"/>
      <c r="D302" s="54"/>
      <c r="E302" s="55"/>
      <c r="F302" s="75"/>
      <c r="G302" s="76"/>
      <c r="H302" s="76"/>
      <c r="I302" s="48"/>
      <c r="J302" s="70"/>
      <c r="K302" s="70"/>
      <c r="L302" s="320" t="s">
        <v>1117</v>
      </c>
      <c r="M302" s="321" t="s">
        <v>1203</v>
      </c>
      <c r="N302" s="320" t="s">
        <v>68</v>
      </c>
      <c r="O302" s="322">
        <v>4.72</v>
      </c>
      <c r="P302" s="323">
        <v>188.33</v>
      </c>
      <c r="Q302" s="323">
        <v>888.92</v>
      </c>
      <c r="R302" s="182"/>
      <c r="U302" s="128"/>
    </row>
    <row r="303" spans="1:21" ht="15.6" x14ac:dyDescent="0.3">
      <c r="A303" s="53"/>
      <c r="B303" s="54"/>
      <c r="C303" s="54"/>
      <c r="D303" s="54"/>
      <c r="E303" s="55"/>
      <c r="F303" s="75"/>
      <c r="G303" s="76"/>
      <c r="H303" s="76"/>
      <c r="I303" s="48"/>
      <c r="J303" s="70"/>
      <c r="K303" s="70"/>
      <c r="L303" s="320" t="s">
        <v>1185</v>
      </c>
      <c r="M303" s="321" t="s">
        <v>1268</v>
      </c>
      <c r="N303" s="320" t="s">
        <v>45</v>
      </c>
      <c r="O303" s="322">
        <v>5</v>
      </c>
      <c r="P303" s="323">
        <v>226</v>
      </c>
      <c r="Q303" s="324">
        <v>1130</v>
      </c>
      <c r="R303" s="182"/>
      <c r="U303" s="128"/>
    </row>
    <row r="304" spans="1:21" ht="15.6" x14ac:dyDescent="0.3">
      <c r="A304" s="53"/>
      <c r="B304" s="54"/>
      <c r="C304" s="54"/>
      <c r="D304" s="54"/>
      <c r="E304" s="55"/>
      <c r="F304" s="75"/>
      <c r="G304" s="76"/>
      <c r="H304" s="76"/>
      <c r="I304" s="48"/>
      <c r="J304" s="70"/>
      <c r="K304" s="70"/>
      <c r="L304" s="320" t="s">
        <v>298</v>
      </c>
      <c r="M304" s="321" t="s">
        <v>299</v>
      </c>
      <c r="N304" s="320" t="s">
        <v>34</v>
      </c>
      <c r="O304" s="322">
        <v>5</v>
      </c>
      <c r="P304" s="323">
        <v>220.31</v>
      </c>
      <c r="Q304" s="324">
        <v>1101.57</v>
      </c>
      <c r="R304" s="182"/>
      <c r="U304" s="128"/>
    </row>
    <row r="305" spans="1:21" ht="15.6" x14ac:dyDescent="0.3">
      <c r="A305" s="53"/>
      <c r="B305" s="54"/>
      <c r="C305" s="54"/>
      <c r="D305" s="54"/>
      <c r="E305" s="55"/>
      <c r="F305" s="75"/>
      <c r="G305" s="76"/>
      <c r="H305" s="76"/>
      <c r="I305" s="48"/>
      <c r="J305" s="70"/>
      <c r="K305" s="70"/>
      <c r="L305" s="320" t="s">
        <v>354</v>
      </c>
      <c r="M305" s="321" t="s">
        <v>355</v>
      </c>
      <c r="N305" s="320" t="s">
        <v>34</v>
      </c>
      <c r="O305" s="322">
        <v>5</v>
      </c>
      <c r="P305" s="323">
        <v>10.55</v>
      </c>
      <c r="Q305" s="323">
        <v>52.74</v>
      </c>
      <c r="R305" s="182"/>
      <c r="U305" s="128"/>
    </row>
    <row r="306" spans="1:21" ht="15.6" x14ac:dyDescent="0.3">
      <c r="A306" s="53"/>
      <c r="B306" s="54"/>
      <c r="C306" s="54"/>
      <c r="D306" s="54"/>
      <c r="E306" s="55"/>
      <c r="F306" s="75"/>
      <c r="G306" s="76"/>
      <c r="H306" s="76"/>
      <c r="I306" s="48"/>
      <c r="J306" s="70"/>
      <c r="K306" s="70"/>
      <c r="L306" s="320" t="s">
        <v>373</v>
      </c>
      <c r="M306" s="321" t="s">
        <v>374</v>
      </c>
      <c r="N306" s="320" t="s">
        <v>34</v>
      </c>
      <c r="O306" s="322">
        <v>5</v>
      </c>
      <c r="P306" s="323">
        <v>14.44</v>
      </c>
      <c r="Q306" s="323">
        <v>72.22</v>
      </c>
      <c r="R306" s="182"/>
      <c r="U306" s="128"/>
    </row>
    <row r="307" spans="1:21" ht="15.6" customHeight="1" x14ac:dyDescent="0.3">
      <c r="A307" s="53"/>
      <c r="B307" s="54"/>
      <c r="C307" s="54"/>
      <c r="D307" s="54"/>
      <c r="E307" s="55"/>
      <c r="F307" s="75"/>
      <c r="G307" s="76"/>
      <c r="H307" s="76"/>
      <c r="I307" s="48"/>
      <c r="J307" s="70"/>
      <c r="K307" s="70"/>
      <c r="L307" s="320" t="s">
        <v>791</v>
      </c>
      <c r="M307" s="321" t="s">
        <v>792</v>
      </c>
      <c r="N307" s="320" t="s">
        <v>34</v>
      </c>
      <c r="O307" s="322">
        <v>5</v>
      </c>
      <c r="P307" s="323">
        <v>11.6</v>
      </c>
      <c r="Q307" s="323">
        <v>58</v>
      </c>
      <c r="R307" s="182"/>
      <c r="U307" s="128"/>
    </row>
    <row r="308" spans="1:21" ht="15.6" x14ac:dyDescent="0.3">
      <c r="A308" s="53"/>
      <c r="B308" s="54"/>
      <c r="C308" s="54"/>
      <c r="D308" s="54"/>
      <c r="E308" s="55"/>
      <c r="F308" s="75"/>
      <c r="G308" s="76"/>
      <c r="H308" s="76"/>
      <c r="I308" s="48"/>
      <c r="J308" s="70"/>
      <c r="K308" s="70"/>
      <c r="L308" s="320" t="s">
        <v>823</v>
      </c>
      <c r="M308" s="321" t="s">
        <v>824</v>
      </c>
      <c r="N308" s="320" t="s">
        <v>34</v>
      </c>
      <c r="O308" s="322">
        <v>5</v>
      </c>
      <c r="P308" s="323">
        <v>251.57</v>
      </c>
      <c r="Q308" s="324">
        <v>1257.8499999999999</v>
      </c>
      <c r="R308" s="182"/>
      <c r="U308" s="128"/>
    </row>
    <row r="309" spans="1:21" ht="15.6" x14ac:dyDescent="0.3">
      <c r="A309" s="53"/>
      <c r="B309" s="54"/>
      <c r="C309" s="54"/>
      <c r="D309" s="54"/>
      <c r="E309" s="55"/>
      <c r="F309" s="75"/>
      <c r="G309" s="76"/>
      <c r="H309" s="76"/>
      <c r="I309" s="48"/>
      <c r="J309" s="70"/>
      <c r="K309" s="70"/>
      <c r="L309" s="320" t="s">
        <v>947</v>
      </c>
      <c r="M309" s="321" t="s">
        <v>1043</v>
      </c>
      <c r="N309" s="320" t="s">
        <v>34</v>
      </c>
      <c r="O309" s="322">
        <v>5</v>
      </c>
      <c r="P309" s="323">
        <v>481.18</v>
      </c>
      <c r="Q309" s="324">
        <v>2405.89</v>
      </c>
      <c r="R309" s="182"/>
      <c r="U309" s="128"/>
    </row>
    <row r="310" spans="1:21" ht="15.6" x14ac:dyDescent="0.3">
      <c r="A310" s="53"/>
      <c r="B310" s="54"/>
      <c r="C310" s="54"/>
      <c r="D310" s="54"/>
      <c r="E310" s="55"/>
      <c r="F310" s="75"/>
      <c r="G310" s="76"/>
      <c r="H310" s="76"/>
      <c r="I310" s="48"/>
      <c r="J310" s="70"/>
      <c r="K310" s="70"/>
      <c r="L310" s="320" t="s">
        <v>771</v>
      </c>
      <c r="M310" s="321" t="s">
        <v>772</v>
      </c>
      <c r="N310" s="320" t="s">
        <v>34</v>
      </c>
      <c r="O310" s="322">
        <v>6</v>
      </c>
      <c r="P310" s="323">
        <v>228.01</v>
      </c>
      <c r="Q310" s="324">
        <v>1368.07</v>
      </c>
      <c r="R310" s="182"/>
      <c r="U310" s="128"/>
    </row>
    <row r="311" spans="1:21" ht="15.6" x14ac:dyDescent="0.3">
      <c r="A311" s="53"/>
      <c r="B311" s="54"/>
      <c r="C311" s="54"/>
      <c r="D311" s="54"/>
      <c r="E311" s="55"/>
      <c r="F311" s="75"/>
      <c r="G311" s="76"/>
      <c r="H311" s="76"/>
      <c r="I311" s="48"/>
      <c r="J311" s="70"/>
      <c r="K311" s="70"/>
      <c r="L311" s="320" t="s">
        <v>49</v>
      </c>
      <c r="M311" s="321" t="s">
        <v>74</v>
      </c>
      <c r="N311" s="320" t="s">
        <v>34</v>
      </c>
      <c r="O311" s="322">
        <v>6.7</v>
      </c>
      <c r="P311" s="323">
        <v>133.33000000000001</v>
      </c>
      <c r="Q311" s="323">
        <v>893.31</v>
      </c>
      <c r="R311" s="182"/>
      <c r="U311" s="128"/>
    </row>
    <row r="312" spans="1:21" ht="15.6" x14ac:dyDescent="0.3">
      <c r="A312" s="53"/>
      <c r="B312" s="54"/>
      <c r="C312" s="54"/>
      <c r="D312" s="54"/>
      <c r="E312" s="55"/>
      <c r="F312" s="75"/>
      <c r="G312" s="76"/>
      <c r="H312" s="76"/>
      <c r="I312" s="48"/>
      <c r="J312" s="70"/>
      <c r="K312" s="70"/>
      <c r="L312" s="320" t="s">
        <v>304</v>
      </c>
      <c r="M312" s="321" t="s">
        <v>305</v>
      </c>
      <c r="N312" s="320" t="s">
        <v>34</v>
      </c>
      <c r="O312" s="322">
        <v>7</v>
      </c>
      <c r="P312" s="323">
        <v>63.7</v>
      </c>
      <c r="Q312" s="323">
        <v>445.9</v>
      </c>
      <c r="R312" s="182"/>
      <c r="U312" s="128"/>
    </row>
    <row r="313" spans="1:21" ht="15.6" x14ac:dyDescent="0.3">
      <c r="A313" s="53"/>
      <c r="B313" s="54"/>
      <c r="C313" s="54"/>
      <c r="D313" s="54"/>
      <c r="E313" s="55"/>
      <c r="F313" s="75"/>
      <c r="G313" s="76"/>
      <c r="H313" s="76"/>
      <c r="I313" s="48"/>
      <c r="J313" s="70"/>
      <c r="K313" s="70"/>
      <c r="L313" s="320" t="s">
        <v>352</v>
      </c>
      <c r="M313" s="321" t="s">
        <v>353</v>
      </c>
      <c r="N313" s="320" t="s">
        <v>34</v>
      </c>
      <c r="O313" s="322">
        <v>7</v>
      </c>
      <c r="P313" s="323">
        <v>7.5</v>
      </c>
      <c r="Q313" s="323">
        <v>52.48</v>
      </c>
      <c r="R313" s="182"/>
      <c r="U313" s="128"/>
    </row>
    <row r="314" spans="1:21" ht="15.6" x14ac:dyDescent="0.3">
      <c r="A314" s="53"/>
      <c r="B314" s="54"/>
      <c r="C314" s="54"/>
      <c r="D314" s="54"/>
      <c r="E314" s="55"/>
      <c r="F314" s="75"/>
      <c r="G314" s="76"/>
      <c r="H314" s="76"/>
      <c r="I314" s="48"/>
      <c r="J314" s="70"/>
      <c r="K314" s="70"/>
      <c r="L314" s="320" t="s">
        <v>58</v>
      </c>
      <c r="M314" s="321" t="s">
        <v>67</v>
      </c>
      <c r="N314" s="320" t="s">
        <v>34</v>
      </c>
      <c r="O314" s="322">
        <v>9</v>
      </c>
      <c r="P314" s="323">
        <v>53.8</v>
      </c>
      <c r="Q314" s="323">
        <v>484.17</v>
      </c>
      <c r="R314" s="182"/>
      <c r="U314" s="128"/>
    </row>
    <row r="315" spans="1:21" ht="15.6" x14ac:dyDescent="0.3">
      <c r="A315" s="53"/>
      <c r="B315" s="54"/>
      <c r="C315" s="54"/>
      <c r="D315" s="54"/>
      <c r="E315" s="55"/>
      <c r="F315" s="75"/>
      <c r="G315" s="76"/>
      <c r="H315" s="76"/>
      <c r="I315" s="48"/>
      <c r="J315" s="70"/>
      <c r="K315" s="70"/>
      <c r="L315" s="320" t="s">
        <v>850</v>
      </c>
      <c r="M315" s="321" t="s">
        <v>851</v>
      </c>
      <c r="N315" s="320" t="s">
        <v>34</v>
      </c>
      <c r="O315" s="322">
        <v>10</v>
      </c>
      <c r="P315" s="323">
        <v>3.62</v>
      </c>
      <c r="Q315" s="323">
        <v>36.200000000000003</v>
      </c>
      <c r="R315" s="182"/>
      <c r="U315" s="128"/>
    </row>
    <row r="316" spans="1:21" ht="15.6" x14ac:dyDescent="0.3">
      <c r="A316" s="53"/>
      <c r="B316" s="54"/>
      <c r="C316" s="54"/>
      <c r="D316" s="54"/>
      <c r="E316" s="55"/>
      <c r="F316" s="75"/>
      <c r="G316" s="76"/>
      <c r="H316" s="76"/>
      <c r="I316" s="48"/>
      <c r="J316" s="70"/>
      <c r="K316" s="70"/>
      <c r="L316" s="320" t="s">
        <v>1186</v>
      </c>
      <c r="M316" s="321" t="s">
        <v>1269</v>
      </c>
      <c r="N316" s="320" t="s">
        <v>45</v>
      </c>
      <c r="O316" s="322">
        <v>11</v>
      </c>
      <c r="P316" s="323">
        <v>486.48</v>
      </c>
      <c r="Q316" s="324">
        <v>5351.28</v>
      </c>
      <c r="R316" s="182"/>
      <c r="U316" s="128"/>
    </row>
    <row r="317" spans="1:21" ht="15.6" x14ac:dyDescent="0.3">
      <c r="A317" s="53"/>
      <c r="B317" s="54"/>
      <c r="C317" s="54"/>
      <c r="D317" s="54"/>
      <c r="E317" s="55"/>
      <c r="F317" s="75"/>
      <c r="G317" s="76"/>
      <c r="H317" s="76"/>
      <c r="I317" s="48"/>
      <c r="J317" s="70"/>
      <c r="K317" s="70"/>
      <c r="L317" s="320" t="s">
        <v>1170</v>
      </c>
      <c r="M317" s="321" t="s">
        <v>1255</v>
      </c>
      <c r="N317" s="320" t="s">
        <v>34</v>
      </c>
      <c r="O317" s="322">
        <v>11</v>
      </c>
      <c r="P317" s="323">
        <v>1.74</v>
      </c>
      <c r="Q317" s="323">
        <v>19.14</v>
      </c>
      <c r="R317" s="182"/>
      <c r="U317" s="128"/>
    </row>
    <row r="318" spans="1:21" ht="15.6" x14ac:dyDescent="0.3">
      <c r="A318" s="53"/>
      <c r="B318" s="54"/>
      <c r="C318" s="54"/>
      <c r="D318" s="54"/>
      <c r="E318" s="55"/>
      <c r="F318" s="75"/>
      <c r="G318" s="76"/>
      <c r="H318" s="76"/>
      <c r="I318" s="48"/>
      <c r="J318" s="70"/>
      <c r="K318" s="70"/>
      <c r="L318" s="320" t="s">
        <v>411</v>
      </c>
      <c r="M318" s="321" t="s">
        <v>412</v>
      </c>
      <c r="N318" s="320" t="s">
        <v>34</v>
      </c>
      <c r="O318" s="322">
        <v>12.6</v>
      </c>
      <c r="P318" s="323">
        <v>58.83</v>
      </c>
      <c r="Q318" s="323">
        <v>741.22</v>
      </c>
      <c r="R318" s="182"/>
      <c r="U318" s="128"/>
    </row>
    <row r="319" spans="1:21" ht="15.6" x14ac:dyDescent="0.3">
      <c r="A319" s="53"/>
      <c r="B319" s="54"/>
      <c r="C319" s="54"/>
      <c r="D319" s="54"/>
      <c r="E319" s="55"/>
      <c r="F319" s="75"/>
      <c r="G319" s="76"/>
      <c r="H319" s="76"/>
      <c r="I319" s="48"/>
      <c r="J319" s="70"/>
      <c r="K319" s="70"/>
      <c r="L319" s="320" t="s">
        <v>789</v>
      </c>
      <c r="M319" s="321" t="s">
        <v>790</v>
      </c>
      <c r="N319" s="320" t="s">
        <v>34</v>
      </c>
      <c r="O319" s="322">
        <v>16</v>
      </c>
      <c r="P319" s="323">
        <v>10</v>
      </c>
      <c r="Q319" s="323">
        <v>160</v>
      </c>
      <c r="R319" s="182"/>
      <c r="U319" s="128"/>
    </row>
    <row r="320" spans="1:21" ht="15.6" x14ac:dyDescent="0.3">
      <c r="A320" s="53"/>
      <c r="B320" s="54"/>
      <c r="C320" s="54"/>
      <c r="D320" s="54"/>
      <c r="E320" s="55"/>
      <c r="F320" s="75"/>
      <c r="G320" s="76"/>
      <c r="H320" s="76"/>
      <c r="I320" s="48"/>
      <c r="J320" s="70"/>
      <c r="K320" s="70"/>
      <c r="L320" s="320" t="s">
        <v>881</v>
      </c>
      <c r="M320" s="321" t="s">
        <v>1054</v>
      </c>
      <c r="N320" s="320" t="s">
        <v>34</v>
      </c>
      <c r="O320" s="322">
        <v>17</v>
      </c>
      <c r="P320" s="323">
        <v>354.04</v>
      </c>
      <c r="Q320" s="324">
        <v>6018.74</v>
      </c>
      <c r="R320" s="182"/>
      <c r="U320" s="128"/>
    </row>
    <row r="321" spans="1:21" ht="15.6" x14ac:dyDescent="0.3">
      <c r="A321" s="53"/>
      <c r="B321" s="54"/>
      <c r="C321" s="54"/>
      <c r="D321" s="54"/>
      <c r="E321" s="55"/>
      <c r="F321" s="75"/>
      <c r="G321" s="76"/>
      <c r="H321" s="76"/>
      <c r="I321" s="48"/>
      <c r="J321" s="70"/>
      <c r="K321" s="70"/>
      <c r="L321" s="320" t="s">
        <v>746</v>
      </c>
      <c r="M321" s="321" t="s">
        <v>895</v>
      </c>
      <c r="N321" s="320" t="s">
        <v>45</v>
      </c>
      <c r="O321" s="322">
        <v>18</v>
      </c>
      <c r="P321" s="323">
        <v>320</v>
      </c>
      <c r="Q321" s="324">
        <v>5760</v>
      </c>
      <c r="R321" s="182"/>
      <c r="U321" s="128"/>
    </row>
    <row r="322" spans="1:21" ht="15.6" x14ac:dyDescent="0.3">
      <c r="A322" s="53"/>
      <c r="B322" s="54"/>
      <c r="C322" s="54"/>
      <c r="D322" s="54"/>
      <c r="E322" s="55"/>
      <c r="F322" s="75"/>
      <c r="G322" s="76"/>
      <c r="H322" s="76"/>
      <c r="I322" s="48"/>
      <c r="J322" s="70"/>
      <c r="K322" s="70"/>
      <c r="L322" s="320" t="s">
        <v>1118</v>
      </c>
      <c r="M322" s="321" t="s">
        <v>1204</v>
      </c>
      <c r="N322" s="320" t="s">
        <v>68</v>
      </c>
      <c r="O322" s="322">
        <v>18</v>
      </c>
      <c r="P322" s="323">
        <v>27</v>
      </c>
      <c r="Q322" s="323">
        <v>486</v>
      </c>
      <c r="R322" s="182"/>
      <c r="U322" s="128"/>
    </row>
    <row r="323" spans="1:21" ht="15.6" x14ac:dyDescent="0.3">
      <c r="A323" s="53"/>
      <c r="B323" s="54"/>
      <c r="C323" s="54"/>
      <c r="D323" s="54"/>
      <c r="E323" s="55"/>
      <c r="F323" s="75"/>
      <c r="G323" s="76"/>
      <c r="H323" s="76"/>
      <c r="I323" s="48"/>
      <c r="J323" s="70"/>
      <c r="K323" s="70"/>
      <c r="L323" s="320" t="s">
        <v>761</v>
      </c>
      <c r="M323" s="321" t="s">
        <v>762</v>
      </c>
      <c r="N323" s="320" t="s">
        <v>34</v>
      </c>
      <c r="O323" s="322">
        <v>19</v>
      </c>
      <c r="P323" s="323">
        <v>77.209999999999994</v>
      </c>
      <c r="Q323" s="324">
        <v>1466.99</v>
      </c>
      <c r="R323" s="182"/>
      <c r="U323" s="128"/>
    </row>
    <row r="324" spans="1:21" ht="15.6" x14ac:dyDescent="0.3">
      <c r="A324" s="53"/>
      <c r="B324" s="54"/>
      <c r="C324" s="54"/>
      <c r="D324" s="54"/>
      <c r="E324" s="55"/>
      <c r="F324" s="75"/>
      <c r="G324" s="76"/>
      <c r="H324" s="76"/>
      <c r="I324" s="48"/>
      <c r="J324" s="70"/>
      <c r="K324" s="70"/>
      <c r="L324" s="320" t="s">
        <v>935</v>
      </c>
      <c r="M324" s="321" t="s">
        <v>1034</v>
      </c>
      <c r="N324" s="320" t="s">
        <v>64</v>
      </c>
      <c r="O324" s="322">
        <v>23</v>
      </c>
      <c r="P324" s="323">
        <v>736.65</v>
      </c>
      <c r="Q324" s="324">
        <v>16942.95</v>
      </c>
      <c r="R324" s="182"/>
      <c r="U324" s="128"/>
    </row>
    <row r="325" spans="1:21" ht="15.6" x14ac:dyDescent="0.3">
      <c r="A325" s="53"/>
      <c r="B325" s="54"/>
      <c r="C325" s="54"/>
      <c r="D325" s="54"/>
      <c r="E325" s="55"/>
      <c r="F325" s="75"/>
      <c r="G325" s="76"/>
      <c r="H325" s="76"/>
      <c r="I325" s="48"/>
      <c r="J325" s="70"/>
      <c r="K325" s="70"/>
      <c r="L325" s="320" t="s">
        <v>1184</v>
      </c>
      <c r="M325" s="321" t="s">
        <v>1267</v>
      </c>
      <c r="N325" s="320" t="s">
        <v>57</v>
      </c>
      <c r="O325" s="322">
        <v>23</v>
      </c>
      <c r="P325" s="323">
        <v>27.35</v>
      </c>
      <c r="Q325" s="323">
        <v>629.15</v>
      </c>
      <c r="R325" s="182"/>
      <c r="U325" s="128"/>
    </row>
    <row r="326" spans="1:21" ht="15.6" x14ac:dyDescent="0.3">
      <c r="A326" s="53"/>
      <c r="B326" s="54"/>
      <c r="C326" s="54"/>
      <c r="D326" s="54"/>
      <c r="E326" s="55"/>
      <c r="F326" s="75"/>
      <c r="G326" s="76"/>
      <c r="H326" s="76"/>
      <c r="I326" s="48"/>
      <c r="J326" s="70"/>
      <c r="K326" s="70"/>
      <c r="L326" s="320" t="s">
        <v>1103</v>
      </c>
      <c r="M326" s="321" t="s">
        <v>1189</v>
      </c>
      <c r="N326" s="320" t="s">
        <v>37</v>
      </c>
      <c r="O326" s="322">
        <v>27</v>
      </c>
      <c r="P326" s="323">
        <v>28.61</v>
      </c>
      <c r="Q326" s="323">
        <v>772.47</v>
      </c>
      <c r="R326" s="182"/>
      <c r="U326" s="128"/>
    </row>
    <row r="327" spans="1:21" ht="15.6" x14ac:dyDescent="0.3">
      <c r="A327" s="53"/>
      <c r="B327" s="54"/>
      <c r="C327" s="54"/>
      <c r="D327" s="54"/>
      <c r="E327" s="55"/>
      <c r="F327" s="75"/>
      <c r="G327" s="76"/>
      <c r="H327" s="76"/>
      <c r="I327" s="48"/>
      <c r="J327" s="70"/>
      <c r="K327" s="70"/>
      <c r="L327" s="320" t="s">
        <v>350</v>
      </c>
      <c r="M327" s="321" t="s">
        <v>351</v>
      </c>
      <c r="N327" s="320" t="s">
        <v>34</v>
      </c>
      <c r="O327" s="322">
        <v>29</v>
      </c>
      <c r="P327" s="323">
        <v>5.55</v>
      </c>
      <c r="Q327" s="323">
        <v>161.03</v>
      </c>
      <c r="R327" s="182"/>
      <c r="U327" s="128"/>
    </row>
    <row r="328" spans="1:21" ht="15.6" x14ac:dyDescent="0.3">
      <c r="A328" s="53"/>
      <c r="B328" s="54"/>
      <c r="C328" s="54"/>
      <c r="D328" s="54"/>
      <c r="E328" s="55"/>
      <c r="F328" s="75"/>
      <c r="G328" s="76"/>
      <c r="H328" s="76"/>
      <c r="I328" s="48"/>
      <c r="J328" s="70"/>
      <c r="K328" s="70"/>
      <c r="L328" s="320" t="s">
        <v>793</v>
      </c>
      <c r="M328" s="321" t="s">
        <v>1052</v>
      </c>
      <c r="N328" s="320" t="s">
        <v>34</v>
      </c>
      <c r="O328" s="322">
        <v>40</v>
      </c>
      <c r="P328" s="323">
        <v>6.44</v>
      </c>
      <c r="Q328" s="323">
        <v>257.60000000000002</v>
      </c>
      <c r="R328" s="182"/>
      <c r="U328" s="128"/>
    </row>
    <row r="329" spans="1:21" ht="15.6" x14ac:dyDescent="0.3">
      <c r="A329" s="53"/>
      <c r="B329" s="54"/>
      <c r="C329" s="54"/>
      <c r="D329" s="54"/>
      <c r="E329" s="55"/>
      <c r="F329" s="75"/>
      <c r="G329" s="76"/>
      <c r="H329" s="76"/>
      <c r="I329" s="48"/>
      <c r="J329" s="70"/>
      <c r="K329" s="70"/>
      <c r="L329" s="320" t="s">
        <v>945</v>
      </c>
      <c r="M329" s="321" t="s">
        <v>1032</v>
      </c>
      <c r="N329" s="320" t="s">
        <v>68</v>
      </c>
      <c r="O329" s="322">
        <v>41</v>
      </c>
      <c r="P329" s="323">
        <v>302.5</v>
      </c>
      <c r="Q329" s="324">
        <v>12402.5</v>
      </c>
      <c r="R329" s="182"/>
      <c r="U329" s="128"/>
    </row>
    <row r="330" spans="1:21" ht="15.6" x14ac:dyDescent="0.3">
      <c r="A330" s="53"/>
      <c r="B330" s="54"/>
      <c r="C330" s="54"/>
      <c r="D330" s="54"/>
      <c r="E330" s="55"/>
      <c r="F330" s="75"/>
      <c r="G330" s="76"/>
      <c r="H330" s="76"/>
      <c r="I330" s="48"/>
      <c r="J330" s="70"/>
      <c r="K330" s="70"/>
      <c r="L330" s="320" t="s">
        <v>371</v>
      </c>
      <c r="M330" s="321" t="s">
        <v>372</v>
      </c>
      <c r="N330" s="320" t="s">
        <v>34</v>
      </c>
      <c r="O330" s="322">
        <v>41</v>
      </c>
      <c r="P330" s="323">
        <v>14.88</v>
      </c>
      <c r="Q330" s="323">
        <v>610.08000000000004</v>
      </c>
      <c r="R330" s="182"/>
      <c r="U330" s="128"/>
    </row>
    <row r="331" spans="1:21" ht="30" x14ac:dyDescent="0.3">
      <c r="A331" s="53"/>
      <c r="B331" s="54"/>
      <c r="C331" s="54"/>
      <c r="D331" s="54"/>
      <c r="E331" s="55"/>
      <c r="F331" s="75"/>
      <c r="G331" s="76"/>
      <c r="H331" s="76"/>
      <c r="I331" s="48"/>
      <c r="J331" s="70"/>
      <c r="K331" s="70"/>
      <c r="L331" s="320" t="s">
        <v>1174</v>
      </c>
      <c r="M331" s="321" t="s">
        <v>1258</v>
      </c>
      <c r="N331" s="320" t="s">
        <v>34</v>
      </c>
      <c r="O331" s="322">
        <v>45</v>
      </c>
      <c r="P331" s="323">
        <v>0.66</v>
      </c>
      <c r="Q331" s="323">
        <v>29.62</v>
      </c>
      <c r="R331" s="182"/>
      <c r="U331" s="128"/>
    </row>
    <row r="332" spans="1:21" ht="30" x14ac:dyDescent="0.3">
      <c r="A332" s="53"/>
      <c r="B332" s="54"/>
      <c r="C332" s="54"/>
      <c r="D332" s="54"/>
      <c r="E332" s="55"/>
      <c r="F332" s="75"/>
      <c r="G332" s="76"/>
      <c r="H332" s="76"/>
      <c r="I332" s="48"/>
      <c r="J332" s="70"/>
      <c r="K332" s="70"/>
      <c r="L332" s="320" t="s">
        <v>238</v>
      </c>
      <c r="M332" s="321" t="s">
        <v>239</v>
      </c>
      <c r="N332" s="320" t="s">
        <v>57</v>
      </c>
      <c r="O332" s="322">
        <v>50</v>
      </c>
      <c r="P332" s="323">
        <v>7.92</v>
      </c>
      <c r="Q332" s="323">
        <v>396</v>
      </c>
      <c r="R332" s="182"/>
      <c r="U332" s="128"/>
    </row>
    <row r="333" spans="1:21" ht="15.6" x14ac:dyDescent="0.3">
      <c r="A333" s="53"/>
      <c r="B333" s="54"/>
      <c r="C333" s="54"/>
      <c r="D333" s="54"/>
      <c r="E333" s="55"/>
      <c r="F333" s="75"/>
      <c r="G333" s="76"/>
      <c r="H333" s="76"/>
      <c r="I333" s="48"/>
      <c r="J333" s="70"/>
      <c r="K333" s="70"/>
      <c r="L333" s="320" t="s">
        <v>1183</v>
      </c>
      <c r="M333" s="321" t="s">
        <v>1266</v>
      </c>
      <c r="N333" s="320" t="s">
        <v>57</v>
      </c>
      <c r="O333" s="322">
        <v>67</v>
      </c>
      <c r="P333" s="323">
        <v>20.38</v>
      </c>
      <c r="Q333" s="324">
        <v>1365.46</v>
      </c>
      <c r="R333" s="182"/>
      <c r="U333" s="128"/>
    </row>
    <row r="334" spans="1:21" ht="15.6" x14ac:dyDescent="0.3">
      <c r="A334" s="53"/>
      <c r="B334" s="54"/>
      <c r="C334" s="54"/>
      <c r="D334" s="54"/>
      <c r="E334" s="55"/>
      <c r="F334" s="75"/>
      <c r="G334" s="76"/>
      <c r="H334" s="76"/>
      <c r="I334" s="48"/>
      <c r="J334" s="70"/>
      <c r="K334" s="70"/>
      <c r="L334" s="320" t="s">
        <v>747</v>
      </c>
      <c r="M334" s="321" t="s">
        <v>748</v>
      </c>
      <c r="N334" s="320" t="s">
        <v>68</v>
      </c>
      <c r="O334" s="322">
        <v>70</v>
      </c>
      <c r="P334" s="323">
        <v>320</v>
      </c>
      <c r="Q334" s="324">
        <v>22400</v>
      </c>
      <c r="R334" s="182"/>
      <c r="U334" s="128"/>
    </row>
    <row r="335" spans="1:21" ht="15.6" x14ac:dyDescent="0.3">
      <c r="A335" s="53"/>
      <c r="B335" s="54"/>
      <c r="C335" s="54"/>
      <c r="D335" s="54"/>
      <c r="E335" s="55"/>
      <c r="F335" s="75"/>
      <c r="G335" s="76"/>
      <c r="H335" s="76"/>
      <c r="I335" s="48"/>
      <c r="J335" s="70"/>
      <c r="K335" s="70"/>
      <c r="L335" s="320" t="s">
        <v>822</v>
      </c>
      <c r="M335" s="321" t="s">
        <v>213</v>
      </c>
      <c r="N335" s="320" t="s">
        <v>57</v>
      </c>
      <c r="O335" s="322">
        <v>70</v>
      </c>
      <c r="P335" s="323">
        <v>36.24</v>
      </c>
      <c r="Q335" s="324">
        <v>2536.8000000000002</v>
      </c>
      <c r="R335" s="182"/>
      <c r="U335" s="128"/>
    </row>
    <row r="336" spans="1:21" ht="15.6" x14ac:dyDescent="0.3">
      <c r="A336" s="53"/>
      <c r="B336" s="54"/>
      <c r="C336" s="54"/>
      <c r="D336" s="54"/>
      <c r="E336" s="55"/>
      <c r="F336" s="75"/>
      <c r="G336" s="76"/>
      <c r="H336" s="76"/>
      <c r="I336" s="48"/>
      <c r="J336" s="70"/>
      <c r="K336" s="70"/>
      <c r="L336" s="320" t="s">
        <v>1106</v>
      </c>
      <c r="M336" s="321" t="s">
        <v>1192</v>
      </c>
      <c r="N336" s="320" t="s">
        <v>1272</v>
      </c>
      <c r="O336" s="322">
        <v>93</v>
      </c>
      <c r="P336" s="323">
        <v>0.69</v>
      </c>
      <c r="Q336" s="323">
        <v>64.33</v>
      </c>
      <c r="R336" s="182"/>
      <c r="U336" s="128"/>
    </row>
    <row r="337" spans="1:21" ht="15.6" x14ac:dyDescent="0.3">
      <c r="A337" s="53"/>
      <c r="B337" s="54"/>
      <c r="C337" s="54"/>
      <c r="D337" s="54"/>
      <c r="E337" s="55"/>
      <c r="F337" s="75"/>
      <c r="G337" s="76"/>
      <c r="H337" s="76"/>
      <c r="I337" s="48"/>
      <c r="J337" s="70"/>
      <c r="K337" s="70"/>
      <c r="L337" s="320" t="s">
        <v>838</v>
      </c>
      <c r="M337" s="321" t="s">
        <v>839</v>
      </c>
      <c r="N337" s="320" t="s">
        <v>34</v>
      </c>
      <c r="O337" s="322">
        <v>109</v>
      </c>
      <c r="P337" s="323">
        <v>2.12</v>
      </c>
      <c r="Q337" s="323">
        <v>232.13</v>
      </c>
      <c r="R337" s="182"/>
      <c r="U337" s="128"/>
    </row>
    <row r="338" spans="1:21" ht="15.6" x14ac:dyDescent="0.3">
      <c r="A338" s="53"/>
      <c r="B338" s="54"/>
      <c r="C338" s="54"/>
      <c r="D338" s="54"/>
      <c r="E338" s="55"/>
      <c r="F338" s="75"/>
      <c r="G338" s="76"/>
      <c r="H338" s="76"/>
      <c r="I338" s="48"/>
      <c r="J338" s="70"/>
      <c r="K338" s="70"/>
      <c r="L338" s="320" t="s">
        <v>1182</v>
      </c>
      <c r="M338" s="321" t="s">
        <v>1265</v>
      </c>
      <c r="N338" s="320" t="s">
        <v>57</v>
      </c>
      <c r="O338" s="322">
        <v>115</v>
      </c>
      <c r="P338" s="323">
        <v>45.84</v>
      </c>
      <c r="Q338" s="324">
        <v>5271.6</v>
      </c>
      <c r="R338" s="182"/>
      <c r="U338" s="128"/>
    </row>
    <row r="339" spans="1:21" ht="15.6" x14ac:dyDescent="0.3">
      <c r="A339" s="53"/>
      <c r="B339" s="54"/>
      <c r="C339" s="54"/>
      <c r="D339" s="54"/>
      <c r="E339" s="55"/>
      <c r="F339" s="75"/>
      <c r="G339" s="76"/>
      <c r="H339" s="76"/>
      <c r="I339" s="48"/>
      <c r="J339" s="70"/>
      <c r="K339" s="70"/>
      <c r="L339" s="320" t="s">
        <v>1150</v>
      </c>
      <c r="M339" s="321" t="s">
        <v>1237</v>
      </c>
      <c r="N339" s="320" t="s">
        <v>34</v>
      </c>
      <c r="O339" s="322">
        <v>116</v>
      </c>
      <c r="P339" s="323">
        <v>27.72</v>
      </c>
      <c r="Q339" s="324">
        <v>3215.52</v>
      </c>
      <c r="R339" s="182"/>
      <c r="U339" s="128"/>
    </row>
    <row r="340" spans="1:21" ht="15.6" x14ac:dyDescent="0.3">
      <c r="A340" s="53"/>
      <c r="B340" s="54"/>
      <c r="C340" s="54"/>
      <c r="D340" s="54"/>
      <c r="E340" s="55"/>
      <c r="F340" s="75"/>
      <c r="G340" s="76"/>
      <c r="H340" s="76"/>
      <c r="I340" s="48"/>
      <c r="J340" s="70"/>
      <c r="K340" s="70"/>
      <c r="L340" s="320" t="s">
        <v>820</v>
      </c>
      <c r="M340" s="321" t="s">
        <v>821</v>
      </c>
      <c r="N340" s="320" t="s">
        <v>57</v>
      </c>
      <c r="O340" s="322">
        <v>130</v>
      </c>
      <c r="P340" s="323">
        <v>17.149999999999999</v>
      </c>
      <c r="Q340" s="324">
        <v>2229.5</v>
      </c>
      <c r="R340" s="182"/>
      <c r="U340" s="128"/>
    </row>
    <row r="341" spans="1:21" ht="15.6" x14ac:dyDescent="0.3">
      <c r="A341" s="53"/>
      <c r="B341" s="54"/>
      <c r="C341" s="54"/>
      <c r="D341" s="54"/>
      <c r="E341" s="55"/>
      <c r="F341" s="75"/>
      <c r="G341" s="76"/>
      <c r="H341" s="76"/>
      <c r="I341" s="48"/>
      <c r="J341" s="70"/>
      <c r="K341" s="70"/>
      <c r="L341" s="320" t="s">
        <v>794</v>
      </c>
      <c r="M341" s="321" t="s">
        <v>795</v>
      </c>
      <c r="N341" s="320" t="s">
        <v>57</v>
      </c>
      <c r="O341" s="322">
        <v>169</v>
      </c>
      <c r="P341" s="323">
        <v>18.12</v>
      </c>
      <c r="Q341" s="324">
        <v>3062.28</v>
      </c>
      <c r="R341" s="182"/>
      <c r="U341" s="128"/>
    </row>
    <row r="342" spans="1:21" ht="15.6" x14ac:dyDescent="0.3">
      <c r="A342" s="53"/>
      <c r="B342" s="54"/>
      <c r="C342" s="54"/>
      <c r="D342" s="54"/>
      <c r="E342" s="55"/>
      <c r="F342" s="75"/>
      <c r="G342" s="76"/>
      <c r="H342" s="76"/>
      <c r="I342" s="48"/>
      <c r="J342" s="70"/>
      <c r="K342" s="70"/>
      <c r="L342" s="320" t="s">
        <v>736</v>
      </c>
      <c r="M342" s="321" t="s">
        <v>737</v>
      </c>
      <c r="N342" s="320" t="s">
        <v>34</v>
      </c>
      <c r="O342" s="322">
        <v>170</v>
      </c>
      <c r="P342" s="323">
        <v>3.94</v>
      </c>
      <c r="Q342" s="323">
        <v>669.8</v>
      </c>
      <c r="R342" s="182"/>
      <c r="U342" s="128"/>
    </row>
    <row r="343" spans="1:21" ht="15.6" x14ac:dyDescent="0.3">
      <c r="A343" s="53"/>
      <c r="B343" s="54"/>
      <c r="C343" s="54"/>
      <c r="D343" s="54"/>
      <c r="E343" s="55"/>
      <c r="F343" s="75"/>
      <c r="G343" s="76"/>
      <c r="H343" s="76"/>
      <c r="I343" s="48"/>
      <c r="J343" s="70"/>
      <c r="K343" s="70"/>
      <c r="L343" s="320" t="s">
        <v>738</v>
      </c>
      <c r="M343" s="321" t="s">
        <v>739</v>
      </c>
      <c r="N343" s="320" t="s">
        <v>34</v>
      </c>
      <c r="O343" s="322">
        <v>186</v>
      </c>
      <c r="P343" s="323">
        <v>6.76</v>
      </c>
      <c r="Q343" s="324">
        <v>1258.0999999999999</v>
      </c>
      <c r="R343" s="182"/>
      <c r="U343" s="128"/>
    </row>
    <row r="344" spans="1:21" ht="15.6" x14ac:dyDescent="0.3">
      <c r="A344" s="53"/>
      <c r="B344" s="54"/>
      <c r="C344" s="54"/>
      <c r="D344" s="54"/>
      <c r="E344" s="55"/>
      <c r="F344" s="75"/>
      <c r="G344" s="76"/>
      <c r="H344" s="76"/>
      <c r="I344" s="48"/>
      <c r="J344" s="70"/>
      <c r="K344" s="70"/>
      <c r="L344" s="320" t="s">
        <v>1166</v>
      </c>
      <c r="M344" s="321" t="s">
        <v>1251</v>
      </c>
      <c r="N344" s="320" t="s">
        <v>34</v>
      </c>
      <c r="O344" s="322">
        <v>271</v>
      </c>
      <c r="P344" s="323">
        <v>0.57999999999999996</v>
      </c>
      <c r="Q344" s="323">
        <v>156.19999999999999</v>
      </c>
      <c r="R344" s="182"/>
      <c r="U344" s="128"/>
    </row>
    <row r="345" spans="1:21" ht="15.6" x14ac:dyDescent="0.3">
      <c r="A345" s="53"/>
      <c r="B345" s="54"/>
      <c r="C345" s="54"/>
      <c r="D345" s="54"/>
      <c r="E345" s="55"/>
      <c r="F345" s="75"/>
      <c r="G345" s="76"/>
      <c r="H345" s="76"/>
      <c r="I345" s="48"/>
      <c r="J345" s="70"/>
      <c r="K345" s="70"/>
      <c r="L345" s="320" t="s">
        <v>990</v>
      </c>
      <c r="M345" s="321" t="s">
        <v>1064</v>
      </c>
      <c r="N345" s="320" t="s">
        <v>34</v>
      </c>
      <c r="O345" s="322">
        <v>320</v>
      </c>
      <c r="P345" s="323">
        <v>0.92</v>
      </c>
      <c r="Q345" s="323">
        <v>294.39999999999998</v>
      </c>
      <c r="R345" s="182"/>
      <c r="U345" s="128"/>
    </row>
    <row r="346" spans="1:21" ht="15.6" x14ac:dyDescent="0.3">
      <c r="A346" s="53"/>
      <c r="B346" s="54"/>
      <c r="C346" s="54"/>
      <c r="D346" s="54"/>
      <c r="E346" s="55"/>
      <c r="F346" s="75"/>
      <c r="G346" s="76"/>
      <c r="H346" s="76"/>
      <c r="I346" s="48"/>
      <c r="J346" s="70"/>
      <c r="K346" s="70"/>
      <c r="L346" s="320" t="s">
        <v>1171</v>
      </c>
      <c r="M346" s="321" t="s">
        <v>1256</v>
      </c>
      <c r="N346" s="320" t="s">
        <v>34</v>
      </c>
      <c r="O346" s="322">
        <v>400</v>
      </c>
      <c r="P346" s="323">
        <v>0.17</v>
      </c>
      <c r="Q346" s="323">
        <v>68</v>
      </c>
      <c r="R346" s="182"/>
      <c r="U346" s="128"/>
    </row>
    <row r="347" spans="1:21" ht="15.6" x14ac:dyDescent="0.3">
      <c r="A347" s="53"/>
      <c r="B347" s="54"/>
      <c r="C347" s="54"/>
      <c r="D347" s="54"/>
      <c r="E347" s="55"/>
      <c r="F347" s="75"/>
      <c r="G347" s="76"/>
      <c r="H347" s="76"/>
      <c r="I347" s="48"/>
      <c r="J347" s="70"/>
      <c r="K347" s="70"/>
      <c r="L347" s="320" t="s">
        <v>1160</v>
      </c>
      <c r="M347" s="321" t="s">
        <v>1246</v>
      </c>
      <c r="N347" s="320" t="s">
        <v>34</v>
      </c>
      <c r="O347" s="322">
        <v>409</v>
      </c>
      <c r="P347" s="323">
        <v>0.69</v>
      </c>
      <c r="Q347" s="323">
        <v>282.89999999999998</v>
      </c>
      <c r="R347" s="182"/>
      <c r="U347" s="128"/>
    </row>
    <row r="348" spans="1:21" ht="15.6" x14ac:dyDescent="0.3">
      <c r="A348" s="53"/>
      <c r="B348" s="54"/>
      <c r="C348" s="54"/>
      <c r="D348" s="54"/>
      <c r="E348" s="55"/>
      <c r="F348" s="75"/>
      <c r="G348" s="76"/>
      <c r="H348" s="76"/>
      <c r="I348" s="48"/>
      <c r="J348" s="70"/>
      <c r="K348" s="70"/>
      <c r="L348" s="320" t="s">
        <v>856</v>
      </c>
      <c r="M348" s="321" t="s">
        <v>857</v>
      </c>
      <c r="N348" s="320" t="s">
        <v>34</v>
      </c>
      <c r="O348" s="325">
        <v>2863</v>
      </c>
      <c r="P348" s="323">
        <v>0.44</v>
      </c>
      <c r="Q348" s="324">
        <v>1262.5899999999999</v>
      </c>
      <c r="R348" s="182"/>
      <c r="U348" s="128"/>
    </row>
    <row r="349" spans="1:21" ht="15.6" x14ac:dyDescent="0.3">
      <c r="A349" s="53"/>
      <c r="B349" s="54"/>
      <c r="C349" s="54"/>
      <c r="D349" s="54"/>
      <c r="E349" s="55"/>
      <c r="F349" s="75"/>
      <c r="G349" s="76"/>
      <c r="H349" s="76"/>
      <c r="I349" s="48"/>
      <c r="J349" s="70"/>
      <c r="K349" s="70"/>
      <c r="L349" s="326"/>
      <c r="M349" s="327"/>
      <c r="N349" s="326"/>
      <c r="O349" s="328"/>
      <c r="P349" s="329"/>
      <c r="Q349" s="329"/>
      <c r="R349" s="182"/>
      <c r="U349" s="128"/>
    </row>
    <row r="350" spans="1:21" ht="15.6" x14ac:dyDescent="0.3">
      <c r="A350" s="53"/>
      <c r="B350" s="54"/>
      <c r="C350" s="54"/>
      <c r="D350" s="54"/>
      <c r="E350" s="55"/>
      <c r="F350" s="75"/>
      <c r="G350" s="76"/>
      <c r="H350" s="76"/>
      <c r="I350" s="48"/>
      <c r="J350" s="70"/>
      <c r="K350" s="70"/>
      <c r="L350" s="221"/>
      <c r="M350" s="222"/>
      <c r="N350" s="221"/>
      <c r="O350" s="223"/>
      <c r="P350" s="225"/>
      <c r="Q350" s="225"/>
      <c r="R350" s="182"/>
      <c r="U350" s="128"/>
    </row>
    <row r="351" spans="1:21" ht="18.600000000000001" thickBot="1" x14ac:dyDescent="0.35">
      <c r="A351" s="202"/>
      <c r="B351" s="203"/>
      <c r="C351" s="204"/>
      <c r="D351" s="205"/>
      <c r="E351" s="205"/>
      <c r="F351" s="165"/>
      <c r="G351" s="166"/>
      <c r="H351" s="166"/>
      <c r="I351" s="206"/>
      <c r="J351" s="206"/>
      <c r="K351" s="206"/>
      <c r="L351" s="207"/>
      <c r="M351" s="208"/>
      <c r="N351" s="207"/>
      <c r="O351" s="209"/>
      <c r="P351" s="210"/>
      <c r="Q351" s="210"/>
      <c r="R351" s="211"/>
      <c r="T351" s="4"/>
      <c r="U351" s="128"/>
    </row>
    <row r="352" spans="1:21" ht="18.600000000000001" thickBot="1" x14ac:dyDescent="0.35">
      <c r="A352" s="251"/>
      <c r="B352" s="252"/>
      <c r="C352" s="253"/>
      <c r="D352" s="254"/>
      <c r="E352" s="254"/>
      <c r="F352" s="234"/>
      <c r="G352" s="235"/>
      <c r="H352" s="235"/>
      <c r="I352" s="255"/>
      <c r="J352" s="255"/>
      <c r="K352" s="255"/>
      <c r="L352" s="256"/>
      <c r="M352" s="257"/>
      <c r="N352" s="256"/>
      <c r="O352" s="258"/>
      <c r="P352" s="259"/>
      <c r="Q352" s="260">
        <f>SUM(Q19:Q351)</f>
        <v>575953.27</v>
      </c>
      <c r="R352" s="35"/>
      <c r="T352" s="4"/>
      <c r="U352" s="128"/>
    </row>
    <row r="353" spans="1:21" ht="18" x14ac:dyDescent="0.3">
      <c r="A353" s="216"/>
      <c r="B353" s="203"/>
      <c r="C353" s="217"/>
      <c r="D353" s="218"/>
      <c r="E353" s="218"/>
      <c r="F353" s="165"/>
      <c r="G353" s="166"/>
      <c r="H353" s="166"/>
      <c r="I353" s="219"/>
      <c r="J353" s="219"/>
      <c r="K353" s="219"/>
      <c r="L353" s="330" t="s">
        <v>1500</v>
      </c>
      <c r="M353" s="331" t="s">
        <v>1580</v>
      </c>
      <c r="N353" s="330" t="s">
        <v>34</v>
      </c>
      <c r="O353" s="332">
        <v>1</v>
      </c>
      <c r="P353" s="333">
        <v>22</v>
      </c>
      <c r="Q353" s="333">
        <v>22</v>
      </c>
      <c r="R353" s="266"/>
      <c r="T353" s="4"/>
      <c r="U353" s="128"/>
    </row>
    <row r="354" spans="1:21" ht="18" x14ac:dyDescent="0.3">
      <c r="A354" s="216"/>
      <c r="B354" s="203"/>
      <c r="C354" s="217"/>
      <c r="D354" s="218"/>
      <c r="E354" s="218"/>
      <c r="F354" s="165"/>
      <c r="G354" s="166"/>
      <c r="H354" s="166"/>
      <c r="I354" s="219"/>
      <c r="J354" s="219"/>
      <c r="K354" s="219"/>
      <c r="L354" s="330" t="s">
        <v>538</v>
      </c>
      <c r="M354" s="331" t="s">
        <v>117</v>
      </c>
      <c r="N354" s="330" t="s">
        <v>34</v>
      </c>
      <c r="O354" s="332">
        <v>3</v>
      </c>
      <c r="P354" s="333">
        <v>164.33</v>
      </c>
      <c r="Q354" s="333">
        <v>493</v>
      </c>
      <c r="R354" s="266"/>
      <c r="T354" s="4"/>
      <c r="U354" s="128"/>
    </row>
    <row r="355" spans="1:21" ht="18" x14ac:dyDescent="0.3">
      <c r="A355" s="216"/>
      <c r="B355" s="203"/>
      <c r="C355" s="217"/>
      <c r="D355" s="218"/>
      <c r="E355" s="218"/>
      <c r="F355" s="165"/>
      <c r="G355" s="166"/>
      <c r="H355" s="166"/>
      <c r="I355" s="219"/>
      <c r="J355" s="219"/>
      <c r="K355" s="219"/>
      <c r="L355" s="330" t="s">
        <v>546</v>
      </c>
      <c r="M355" s="331" t="s">
        <v>253</v>
      </c>
      <c r="N355" s="330" t="s">
        <v>34</v>
      </c>
      <c r="O355" s="332">
        <v>2</v>
      </c>
      <c r="P355" s="333">
        <v>78</v>
      </c>
      <c r="Q355" s="333">
        <v>156</v>
      </c>
      <c r="R355" s="266"/>
      <c r="T355" s="4"/>
      <c r="U355" s="128"/>
    </row>
    <row r="356" spans="1:21" ht="18" x14ac:dyDescent="0.3">
      <c r="A356" s="216"/>
      <c r="B356" s="203"/>
      <c r="C356" s="217"/>
      <c r="D356" s="218"/>
      <c r="E356" s="218"/>
      <c r="F356" s="165"/>
      <c r="G356" s="166"/>
      <c r="H356" s="166"/>
      <c r="I356" s="219"/>
      <c r="J356" s="219"/>
      <c r="K356" s="219"/>
      <c r="L356" s="330" t="s">
        <v>1470</v>
      </c>
      <c r="M356" s="331" t="s">
        <v>1549</v>
      </c>
      <c r="N356" s="330" t="s">
        <v>34</v>
      </c>
      <c r="O356" s="332">
        <v>6</v>
      </c>
      <c r="P356" s="333">
        <v>121.67</v>
      </c>
      <c r="Q356" s="333">
        <v>730.02</v>
      </c>
      <c r="R356" s="266"/>
      <c r="T356" s="4"/>
      <c r="U356" s="128"/>
    </row>
    <row r="357" spans="1:21" ht="18" x14ac:dyDescent="0.3">
      <c r="A357" s="216"/>
      <c r="B357" s="203"/>
      <c r="C357" s="217"/>
      <c r="D357" s="218"/>
      <c r="E357" s="218"/>
      <c r="F357" s="165"/>
      <c r="G357" s="166"/>
      <c r="H357" s="166"/>
      <c r="I357" s="219"/>
      <c r="J357" s="219"/>
      <c r="K357" s="219"/>
      <c r="L357" s="330" t="s">
        <v>1468</v>
      </c>
      <c r="M357" s="331" t="s">
        <v>1547</v>
      </c>
      <c r="N357" s="330" t="s">
        <v>34</v>
      </c>
      <c r="O357" s="332">
        <v>1</v>
      </c>
      <c r="P357" s="333">
        <v>49</v>
      </c>
      <c r="Q357" s="333">
        <v>49</v>
      </c>
      <c r="R357" s="266"/>
      <c r="T357" s="4"/>
      <c r="U357" s="128"/>
    </row>
    <row r="358" spans="1:21" ht="18" customHeight="1" x14ac:dyDescent="0.3">
      <c r="A358" s="216"/>
      <c r="B358" s="203"/>
      <c r="C358" s="217"/>
      <c r="D358" s="218"/>
      <c r="E358" s="218"/>
      <c r="F358" s="165"/>
      <c r="G358" s="166"/>
      <c r="H358" s="166"/>
      <c r="I358" s="219"/>
      <c r="J358" s="219"/>
      <c r="K358" s="219"/>
      <c r="L358" s="330" t="s">
        <v>563</v>
      </c>
      <c r="M358" s="331" t="s">
        <v>256</v>
      </c>
      <c r="N358" s="330" t="s">
        <v>34</v>
      </c>
      <c r="O358" s="332">
        <v>1</v>
      </c>
      <c r="P358" s="333">
        <v>372</v>
      </c>
      <c r="Q358" s="333">
        <v>372</v>
      </c>
      <c r="R358" s="266"/>
      <c r="T358" s="4"/>
      <c r="U358" s="128"/>
    </row>
    <row r="359" spans="1:21" ht="18" x14ac:dyDescent="0.3">
      <c r="A359" s="216"/>
      <c r="B359" s="203"/>
      <c r="C359" s="217"/>
      <c r="D359" s="218"/>
      <c r="E359" s="218"/>
      <c r="F359" s="165"/>
      <c r="G359" s="166"/>
      <c r="H359" s="166"/>
      <c r="I359" s="219"/>
      <c r="J359" s="219"/>
      <c r="K359" s="219"/>
      <c r="L359" s="330" t="s">
        <v>1503</v>
      </c>
      <c r="M359" s="331" t="s">
        <v>1583</v>
      </c>
      <c r="N359" s="330" t="s">
        <v>35</v>
      </c>
      <c r="O359" s="332">
        <v>1</v>
      </c>
      <c r="P359" s="333">
        <v>65</v>
      </c>
      <c r="Q359" s="333">
        <v>65</v>
      </c>
      <c r="R359" s="266"/>
      <c r="T359" s="4"/>
      <c r="U359" s="128"/>
    </row>
    <row r="360" spans="1:21" ht="18" x14ac:dyDescent="0.3">
      <c r="A360" s="216"/>
      <c r="B360" s="203"/>
      <c r="C360" s="217"/>
      <c r="D360" s="218"/>
      <c r="E360" s="218"/>
      <c r="F360" s="165"/>
      <c r="G360" s="166"/>
      <c r="H360" s="166"/>
      <c r="I360" s="219"/>
      <c r="J360" s="219"/>
      <c r="K360" s="219"/>
      <c r="L360" s="330" t="s">
        <v>1510</v>
      </c>
      <c r="M360" s="331" t="s">
        <v>1591</v>
      </c>
      <c r="N360" s="330" t="s">
        <v>34</v>
      </c>
      <c r="O360" s="332">
        <v>1</v>
      </c>
      <c r="P360" s="333">
        <v>156.66999999999999</v>
      </c>
      <c r="Q360" s="333">
        <v>156.66999999999999</v>
      </c>
      <c r="R360" s="266"/>
      <c r="T360" s="4"/>
      <c r="U360" s="128"/>
    </row>
    <row r="361" spans="1:21" ht="18" x14ac:dyDescent="0.3">
      <c r="A361" s="216"/>
      <c r="B361" s="203"/>
      <c r="C361" s="217"/>
      <c r="D361" s="218"/>
      <c r="E361" s="218"/>
      <c r="F361" s="165"/>
      <c r="G361" s="166"/>
      <c r="H361" s="166"/>
      <c r="I361" s="219"/>
      <c r="J361" s="219"/>
      <c r="K361" s="219"/>
      <c r="L361" s="330" t="s">
        <v>586</v>
      </c>
      <c r="M361" s="331" t="s">
        <v>257</v>
      </c>
      <c r="N361" s="330" t="s">
        <v>34</v>
      </c>
      <c r="O361" s="332">
        <v>1</v>
      </c>
      <c r="P361" s="333">
        <v>122</v>
      </c>
      <c r="Q361" s="333">
        <v>122</v>
      </c>
      <c r="R361" s="266"/>
      <c r="T361" s="4"/>
      <c r="U361" s="128"/>
    </row>
    <row r="362" spans="1:21" ht="18" x14ac:dyDescent="0.3">
      <c r="A362" s="216"/>
      <c r="B362" s="203"/>
      <c r="C362" s="217"/>
      <c r="D362" s="218"/>
      <c r="E362" s="218"/>
      <c r="F362" s="165"/>
      <c r="G362" s="166"/>
      <c r="H362" s="166"/>
      <c r="I362" s="219"/>
      <c r="J362" s="219"/>
      <c r="K362" s="219"/>
      <c r="L362" s="330" t="s">
        <v>1465</v>
      </c>
      <c r="M362" s="331" t="s">
        <v>1544</v>
      </c>
      <c r="N362" s="330" t="s">
        <v>34</v>
      </c>
      <c r="O362" s="332">
        <v>1</v>
      </c>
      <c r="P362" s="333">
        <v>68.33</v>
      </c>
      <c r="Q362" s="333">
        <v>68.33</v>
      </c>
      <c r="R362" s="266"/>
      <c r="T362" s="4"/>
      <c r="U362" s="128"/>
    </row>
    <row r="363" spans="1:21" ht="18" x14ac:dyDescent="0.3">
      <c r="A363" s="216"/>
      <c r="B363" s="203"/>
      <c r="C363" s="217"/>
      <c r="D363" s="218"/>
      <c r="E363" s="218"/>
      <c r="F363" s="165"/>
      <c r="G363" s="166"/>
      <c r="H363" s="166"/>
      <c r="I363" s="219"/>
      <c r="J363" s="219"/>
      <c r="K363" s="219"/>
      <c r="L363" s="330" t="s">
        <v>1142</v>
      </c>
      <c r="M363" s="331" t="s">
        <v>1229</v>
      </c>
      <c r="N363" s="330" t="s">
        <v>34</v>
      </c>
      <c r="O363" s="332">
        <v>19</v>
      </c>
      <c r="P363" s="333">
        <v>235.99</v>
      </c>
      <c r="Q363" s="334">
        <v>4483.8</v>
      </c>
      <c r="R363" s="266"/>
      <c r="T363" s="4"/>
      <c r="U363" s="128"/>
    </row>
    <row r="364" spans="1:21" ht="18" x14ac:dyDescent="0.3">
      <c r="A364" s="216"/>
      <c r="B364" s="203"/>
      <c r="C364" s="217"/>
      <c r="D364" s="218"/>
      <c r="E364" s="218"/>
      <c r="F364" s="165"/>
      <c r="G364" s="166"/>
      <c r="H364" s="166"/>
      <c r="I364" s="219"/>
      <c r="J364" s="219"/>
      <c r="K364" s="219"/>
      <c r="L364" s="330" t="s">
        <v>1475</v>
      </c>
      <c r="M364" s="331" t="s">
        <v>1555</v>
      </c>
      <c r="N364" s="330" t="s">
        <v>64</v>
      </c>
      <c r="O364" s="332">
        <v>1</v>
      </c>
      <c r="P364" s="333">
        <v>160.32</v>
      </c>
      <c r="Q364" s="333">
        <v>160.32</v>
      </c>
      <c r="R364" s="266"/>
      <c r="T364" s="4"/>
      <c r="U364" s="128"/>
    </row>
    <row r="365" spans="1:21" ht="18" x14ac:dyDescent="0.3">
      <c r="A365" s="216"/>
      <c r="B365" s="203"/>
      <c r="C365" s="217"/>
      <c r="D365" s="218"/>
      <c r="E365" s="218"/>
      <c r="F365" s="165"/>
      <c r="G365" s="166"/>
      <c r="H365" s="166"/>
      <c r="I365" s="219"/>
      <c r="J365" s="219"/>
      <c r="K365" s="219"/>
      <c r="L365" s="330" t="s">
        <v>1501</v>
      </c>
      <c r="M365" s="331" t="s">
        <v>1581</v>
      </c>
      <c r="N365" s="330" t="s">
        <v>64</v>
      </c>
      <c r="O365" s="332">
        <v>3</v>
      </c>
      <c r="P365" s="333">
        <v>68.14</v>
      </c>
      <c r="Q365" s="333">
        <v>204.43</v>
      </c>
      <c r="R365" s="266"/>
      <c r="T365" s="4"/>
      <c r="U365" s="128"/>
    </row>
    <row r="366" spans="1:21" ht="18" x14ac:dyDescent="0.3">
      <c r="A366" s="216"/>
      <c r="B366" s="203"/>
      <c r="C366" s="217"/>
      <c r="D366" s="218"/>
      <c r="E366" s="218"/>
      <c r="F366" s="165"/>
      <c r="G366" s="166"/>
      <c r="H366" s="166"/>
      <c r="I366" s="219"/>
      <c r="J366" s="219"/>
      <c r="K366" s="219"/>
      <c r="L366" s="330" t="s">
        <v>1633</v>
      </c>
      <c r="M366" s="331" t="s">
        <v>1659</v>
      </c>
      <c r="N366" s="330" t="s">
        <v>64</v>
      </c>
      <c r="O366" s="332">
        <v>1</v>
      </c>
      <c r="P366" s="333">
        <v>51</v>
      </c>
      <c r="Q366" s="333">
        <v>51</v>
      </c>
      <c r="R366" s="266"/>
      <c r="T366" s="4"/>
      <c r="U366" s="128"/>
    </row>
    <row r="367" spans="1:21" ht="18" x14ac:dyDescent="0.3">
      <c r="A367" s="216"/>
      <c r="B367" s="203"/>
      <c r="C367" s="217"/>
      <c r="D367" s="218"/>
      <c r="E367" s="218"/>
      <c r="F367" s="165"/>
      <c r="G367" s="166"/>
      <c r="H367" s="166"/>
      <c r="I367" s="219"/>
      <c r="J367" s="219"/>
      <c r="K367" s="219"/>
      <c r="L367" s="330" t="s">
        <v>1723</v>
      </c>
      <c r="M367" s="331" t="s">
        <v>1744</v>
      </c>
      <c r="N367" s="330" t="s">
        <v>34</v>
      </c>
      <c r="O367" s="332">
        <v>1</v>
      </c>
      <c r="P367" s="333">
        <v>165</v>
      </c>
      <c r="Q367" s="333">
        <v>165</v>
      </c>
      <c r="R367" s="266"/>
      <c r="T367" s="4"/>
      <c r="U367" s="128"/>
    </row>
    <row r="368" spans="1:21" ht="18" x14ac:dyDescent="0.3">
      <c r="A368" s="216"/>
      <c r="B368" s="203"/>
      <c r="C368" s="217"/>
      <c r="D368" s="218"/>
      <c r="E368" s="218"/>
      <c r="F368" s="165"/>
      <c r="G368" s="166"/>
      <c r="H368" s="166"/>
      <c r="I368" s="219"/>
      <c r="J368" s="219"/>
      <c r="K368" s="219"/>
      <c r="L368" s="330" t="s">
        <v>1642</v>
      </c>
      <c r="M368" s="331" t="s">
        <v>1668</v>
      </c>
      <c r="N368" s="330" t="s">
        <v>34</v>
      </c>
      <c r="O368" s="332">
        <v>1</v>
      </c>
      <c r="P368" s="333">
        <v>104.2</v>
      </c>
      <c r="Q368" s="333">
        <v>104.2</v>
      </c>
      <c r="R368" s="266"/>
      <c r="T368" s="4"/>
      <c r="U368" s="128"/>
    </row>
    <row r="369" spans="1:21" ht="18" x14ac:dyDescent="0.3">
      <c r="A369" s="216"/>
      <c r="B369" s="203"/>
      <c r="C369" s="217"/>
      <c r="D369" s="218"/>
      <c r="E369" s="218"/>
      <c r="F369" s="165"/>
      <c r="G369" s="166"/>
      <c r="H369" s="166"/>
      <c r="I369" s="219"/>
      <c r="J369" s="219"/>
      <c r="K369" s="219"/>
      <c r="L369" s="330" t="s">
        <v>1528</v>
      </c>
      <c r="M369" s="331" t="s">
        <v>1609</v>
      </c>
      <c r="N369" s="330" t="s">
        <v>34</v>
      </c>
      <c r="O369" s="332">
        <v>1</v>
      </c>
      <c r="P369" s="333">
        <v>61</v>
      </c>
      <c r="Q369" s="333">
        <v>61</v>
      </c>
      <c r="R369" s="266"/>
      <c r="T369" s="4"/>
      <c r="U369" s="128"/>
    </row>
    <row r="370" spans="1:21" ht="18" x14ac:dyDescent="0.3">
      <c r="A370" s="216"/>
      <c r="B370" s="203"/>
      <c r="C370" s="217"/>
      <c r="D370" s="218"/>
      <c r="E370" s="218"/>
      <c r="F370" s="165"/>
      <c r="G370" s="166"/>
      <c r="H370" s="166"/>
      <c r="I370" s="219"/>
      <c r="J370" s="219"/>
      <c r="K370" s="219"/>
      <c r="L370" s="330" t="s">
        <v>1710</v>
      </c>
      <c r="M370" s="331" t="s">
        <v>1731</v>
      </c>
      <c r="N370" s="330" t="s">
        <v>34</v>
      </c>
      <c r="O370" s="332">
        <v>1</v>
      </c>
      <c r="P370" s="333">
        <v>190</v>
      </c>
      <c r="Q370" s="333">
        <v>190</v>
      </c>
      <c r="R370" s="266"/>
      <c r="T370" s="4"/>
      <c r="U370" s="128"/>
    </row>
    <row r="371" spans="1:21" ht="18" x14ac:dyDescent="0.3">
      <c r="A371" s="216"/>
      <c r="B371" s="203"/>
      <c r="C371" s="217"/>
      <c r="D371" s="218"/>
      <c r="E371" s="218"/>
      <c r="F371" s="165"/>
      <c r="G371" s="166"/>
      <c r="H371" s="166"/>
      <c r="I371" s="219"/>
      <c r="J371" s="219"/>
      <c r="K371" s="219"/>
      <c r="L371" s="330" t="s">
        <v>1720</v>
      </c>
      <c r="M371" s="331" t="s">
        <v>1741</v>
      </c>
      <c r="N371" s="330" t="s">
        <v>34</v>
      </c>
      <c r="O371" s="332">
        <v>1</v>
      </c>
      <c r="P371" s="333">
        <v>467.84</v>
      </c>
      <c r="Q371" s="333">
        <v>467.84</v>
      </c>
      <c r="R371" s="266"/>
      <c r="T371" s="4"/>
      <c r="U371" s="128"/>
    </row>
    <row r="372" spans="1:21" ht="18" x14ac:dyDescent="0.3">
      <c r="A372" s="216"/>
      <c r="B372" s="203"/>
      <c r="C372" s="217"/>
      <c r="D372" s="218"/>
      <c r="E372" s="218"/>
      <c r="F372" s="165"/>
      <c r="G372" s="166"/>
      <c r="H372" s="166"/>
      <c r="I372" s="219"/>
      <c r="J372" s="219"/>
      <c r="K372" s="219"/>
      <c r="L372" s="330" t="s">
        <v>599</v>
      </c>
      <c r="M372" s="331" t="s">
        <v>129</v>
      </c>
      <c r="N372" s="330" t="s">
        <v>34</v>
      </c>
      <c r="O372" s="332">
        <v>1</v>
      </c>
      <c r="P372" s="333">
        <v>17.5</v>
      </c>
      <c r="Q372" s="333">
        <v>17.5</v>
      </c>
      <c r="R372" s="266"/>
      <c r="T372" s="4"/>
      <c r="U372" s="128"/>
    </row>
    <row r="373" spans="1:21" ht="18" x14ac:dyDescent="0.3">
      <c r="A373" s="216"/>
      <c r="B373" s="203"/>
      <c r="C373" s="217"/>
      <c r="D373" s="218"/>
      <c r="E373" s="218"/>
      <c r="F373" s="165"/>
      <c r="G373" s="166"/>
      <c r="H373" s="166"/>
      <c r="I373" s="219"/>
      <c r="J373" s="219"/>
      <c r="K373" s="219"/>
      <c r="L373" s="330" t="s">
        <v>600</v>
      </c>
      <c r="M373" s="331" t="s">
        <v>258</v>
      </c>
      <c r="N373" s="330" t="s">
        <v>34</v>
      </c>
      <c r="O373" s="332">
        <v>2</v>
      </c>
      <c r="P373" s="333">
        <v>149.16999999999999</v>
      </c>
      <c r="Q373" s="333">
        <v>298.33999999999997</v>
      </c>
      <c r="R373" s="266"/>
      <c r="T373" s="4"/>
      <c r="U373" s="128"/>
    </row>
    <row r="374" spans="1:21" ht="18" x14ac:dyDescent="0.3">
      <c r="A374" s="216"/>
      <c r="B374" s="203"/>
      <c r="C374" s="217"/>
      <c r="D374" s="218"/>
      <c r="E374" s="218"/>
      <c r="F374" s="165"/>
      <c r="G374" s="166"/>
      <c r="H374" s="166"/>
      <c r="I374" s="219"/>
      <c r="J374" s="219"/>
      <c r="K374" s="219"/>
      <c r="L374" s="330" t="s">
        <v>1487</v>
      </c>
      <c r="M374" s="331" t="s">
        <v>1567</v>
      </c>
      <c r="N374" s="330" t="s">
        <v>34</v>
      </c>
      <c r="O374" s="332">
        <v>2</v>
      </c>
      <c r="P374" s="333">
        <v>34</v>
      </c>
      <c r="Q374" s="333">
        <v>68</v>
      </c>
      <c r="R374" s="266"/>
      <c r="T374" s="4"/>
      <c r="U374" s="128"/>
    </row>
    <row r="375" spans="1:21" ht="18" x14ac:dyDescent="0.3">
      <c r="A375" s="216"/>
      <c r="B375" s="203"/>
      <c r="C375" s="217"/>
      <c r="D375" s="218"/>
      <c r="E375" s="218"/>
      <c r="F375" s="165"/>
      <c r="G375" s="166"/>
      <c r="H375" s="166"/>
      <c r="I375" s="219"/>
      <c r="J375" s="219"/>
      <c r="K375" s="219"/>
      <c r="L375" s="330" t="s">
        <v>1511</v>
      </c>
      <c r="M375" s="331" t="s">
        <v>1592</v>
      </c>
      <c r="N375" s="330" t="s">
        <v>34</v>
      </c>
      <c r="O375" s="332">
        <v>9</v>
      </c>
      <c r="P375" s="333">
        <v>4.6500000000000004</v>
      </c>
      <c r="Q375" s="333">
        <v>41.85</v>
      </c>
      <c r="R375" s="266"/>
      <c r="T375" s="4"/>
      <c r="U375" s="128"/>
    </row>
    <row r="376" spans="1:21" ht="18" x14ac:dyDescent="0.3">
      <c r="A376" s="216"/>
      <c r="B376" s="203"/>
      <c r="C376" s="217"/>
      <c r="D376" s="218"/>
      <c r="E376" s="218"/>
      <c r="F376" s="165"/>
      <c r="G376" s="166"/>
      <c r="H376" s="166"/>
      <c r="I376" s="219"/>
      <c r="J376" s="219"/>
      <c r="K376" s="219"/>
      <c r="L376" s="330" t="s">
        <v>1722</v>
      </c>
      <c r="M376" s="331" t="s">
        <v>1743</v>
      </c>
      <c r="N376" s="330" t="s">
        <v>34</v>
      </c>
      <c r="O376" s="332">
        <v>1</v>
      </c>
      <c r="P376" s="333">
        <v>135</v>
      </c>
      <c r="Q376" s="333">
        <v>135</v>
      </c>
      <c r="R376" s="266"/>
      <c r="T376" s="4"/>
      <c r="U376" s="128"/>
    </row>
    <row r="377" spans="1:21" ht="18" x14ac:dyDescent="0.3">
      <c r="A377" s="216"/>
      <c r="B377" s="203"/>
      <c r="C377" s="217"/>
      <c r="D377" s="218"/>
      <c r="E377" s="218"/>
      <c r="F377" s="165"/>
      <c r="G377" s="166"/>
      <c r="H377" s="166"/>
      <c r="I377" s="219"/>
      <c r="J377" s="219"/>
      <c r="K377" s="219"/>
      <c r="L377" s="330" t="s">
        <v>607</v>
      </c>
      <c r="M377" s="331" t="s">
        <v>608</v>
      </c>
      <c r="N377" s="330" t="s">
        <v>34</v>
      </c>
      <c r="O377" s="332">
        <v>13</v>
      </c>
      <c r="P377" s="333">
        <v>43.57</v>
      </c>
      <c r="Q377" s="333">
        <v>566.47</v>
      </c>
      <c r="R377" s="266"/>
      <c r="T377" s="4"/>
      <c r="U377" s="128"/>
    </row>
    <row r="378" spans="1:21" ht="18" x14ac:dyDescent="0.3">
      <c r="A378" s="216"/>
      <c r="B378" s="203"/>
      <c r="C378" s="217"/>
      <c r="D378" s="218"/>
      <c r="E378" s="218"/>
      <c r="F378" s="165"/>
      <c r="G378" s="166"/>
      <c r="H378" s="166"/>
      <c r="I378" s="219"/>
      <c r="J378" s="219"/>
      <c r="K378" s="219"/>
      <c r="L378" s="330" t="s">
        <v>1726</v>
      </c>
      <c r="M378" s="331" t="s">
        <v>1747</v>
      </c>
      <c r="N378" s="330" t="s">
        <v>34</v>
      </c>
      <c r="O378" s="332">
        <v>1</v>
      </c>
      <c r="P378" s="333">
        <v>115.42</v>
      </c>
      <c r="Q378" s="333">
        <v>115.42</v>
      </c>
      <c r="R378" s="266"/>
      <c r="T378" s="4"/>
      <c r="U378" s="128"/>
    </row>
    <row r="379" spans="1:21" ht="18" x14ac:dyDescent="0.3">
      <c r="A379" s="216"/>
      <c r="B379" s="203"/>
      <c r="C379" s="217"/>
      <c r="D379" s="218"/>
      <c r="E379" s="218"/>
      <c r="F379" s="165"/>
      <c r="G379" s="166"/>
      <c r="H379" s="166"/>
      <c r="I379" s="219"/>
      <c r="J379" s="219"/>
      <c r="K379" s="219"/>
      <c r="L379" s="330" t="s">
        <v>1707</v>
      </c>
      <c r="M379" s="331" t="s">
        <v>1728</v>
      </c>
      <c r="N379" s="330" t="s">
        <v>34</v>
      </c>
      <c r="O379" s="332">
        <v>1</v>
      </c>
      <c r="P379" s="333">
        <v>160.84</v>
      </c>
      <c r="Q379" s="333">
        <v>160.84</v>
      </c>
      <c r="R379" s="266"/>
      <c r="T379" s="4"/>
      <c r="U379" s="128"/>
    </row>
    <row r="380" spans="1:21" ht="18" x14ac:dyDescent="0.3">
      <c r="A380" s="216"/>
      <c r="B380" s="203"/>
      <c r="C380" s="217"/>
      <c r="D380" s="218"/>
      <c r="E380" s="218"/>
      <c r="F380" s="165"/>
      <c r="G380" s="166"/>
      <c r="H380" s="166"/>
      <c r="I380" s="219"/>
      <c r="J380" s="219"/>
      <c r="K380" s="219"/>
      <c r="L380" s="330" t="s">
        <v>1514</v>
      </c>
      <c r="M380" s="331" t="s">
        <v>1595</v>
      </c>
      <c r="N380" s="330" t="s">
        <v>34</v>
      </c>
      <c r="O380" s="332">
        <v>5</v>
      </c>
      <c r="P380" s="333">
        <v>27.4</v>
      </c>
      <c r="Q380" s="333">
        <v>137</v>
      </c>
      <c r="R380" s="266"/>
      <c r="T380" s="4"/>
      <c r="U380" s="128"/>
    </row>
    <row r="381" spans="1:21" ht="18" x14ac:dyDescent="0.3">
      <c r="A381" s="216"/>
      <c r="B381" s="203"/>
      <c r="C381" s="217"/>
      <c r="D381" s="218"/>
      <c r="E381" s="218"/>
      <c r="F381" s="165"/>
      <c r="G381" s="166"/>
      <c r="H381" s="166"/>
      <c r="I381" s="219"/>
      <c r="J381" s="219"/>
      <c r="K381" s="219"/>
      <c r="L381" s="330" t="s">
        <v>625</v>
      </c>
      <c r="M381" s="331" t="s">
        <v>136</v>
      </c>
      <c r="N381" s="330" t="s">
        <v>34</v>
      </c>
      <c r="O381" s="332">
        <v>6</v>
      </c>
      <c r="P381" s="333">
        <v>27.23</v>
      </c>
      <c r="Q381" s="333">
        <v>163.38999999999999</v>
      </c>
      <c r="R381" s="266"/>
      <c r="T381" s="4"/>
      <c r="U381" s="128"/>
    </row>
    <row r="382" spans="1:21" ht="18" x14ac:dyDescent="0.3">
      <c r="A382" s="216"/>
      <c r="B382" s="203"/>
      <c r="C382" s="217"/>
      <c r="D382" s="218"/>
      <c r="E382" s="218"/>
      <c r="F382" s="165"/>
      <c r="G382" s="166"/>
      <c r="H382" s="166"/>
      <c r="I382" s="219"/>
      <c r="J382" s="219"/>
      <c r="K382" s="219"/>
      <c r="L382" s="330" t="s">
        <v>1420</v>
      </c>
      <c r="M382" s="331" t="s">
        <v>1443</v>
      </c>
      <c r="N382" s="330" t="s">
        <v>34</v>
      </c>
      <c r="O382" s="332">
        <v>5</v>
      </c>
      <c r="P382" s="333">
        <v>114.06</v>
      </c>
      <c r="Q382" s="333">
        <v>570.29</v>
      </c>
      <c r="R382" s="266"/>
      <c r="T382" s="4"/>
      <c r="U382" s="128"/>
    </row>
    <row r="383" spans="1:21" ht="18" x14ac:dyDescent="0.3">
      <c r="A383" s="216"/>
      <c r="B383" s="203"/>
      <c r="C383" s="217"/>
      <c r="D383" s="218"/>
      <c r="E383" s="218"/>
      <c r="F383" s="165"/>
      <c r="G383" s="166"/>
      <c r="H383" s="166"/>
      <c r="I383" s="219"/>
      <c r="J383" s="219"/>
      <c r="K383" s="219"/>
      <c r="L383" s="330" t="s">
        <v>1680</v>
      </c>
      <c r="M383" s="331" t="s">
        <v>1698</v>
      </c>
      <c r="N383" s="330" t="s">
        <v>34</v>
      </c>
      <c r="O383" s="332">
        <v>1</v>
      </c>
      <c r="P383" s="333">
        <v>241.67</v>
      </c>
      <c r="Q383" s="333">
        <v>241.67</v>
      </c>
      <c r="R383" s="266"/>
      <c r="T383" s="4"/>
      <c r="U383" s="128"/>
    </row>
    <row r="384" spans="1:21" ht="18" x14ac:dyDescent="0.3">
      <c r="A384" s="216"/>
      <c r="B384" s="203"/>
      <c r="C384" s="217"/>
      <c r="D384" s="218"/>
      <c r="E384" s="218"/>
      <c r="F384" s="165"/>
      <c r="G384" s="166"/>
      <c r="H384" s="166"/>
      <c r="I384" s="219"/>
      <c r="J384" s="219"/>
      <c r="K384" s="219"/>
      <c r="L384" s="330" t="s">
        <v>1527</v>
      </c>
      <c r="M384" s="331" t="s">
        <v>1608</v>
      </c>
      <c r="N384" s="330" t="s">
        <v>34</v>
      </c>
      <c r="O384" s="332">
        <v>12</v>
      </c>
      <c r="P384" s="333">
        <v>22.42</v>
      </c>
      <c r="Q384" s="333">
        <v>269.05</v>
      </c>
      <c r="R384" s="266"/>
      <c r="T384" s="4"/>
      <c r="U384" s="128"/>
    </row>
    <row r="385" spans="1:21" ht="18" x14ac:dyDescent="0.3">
      <c r="A385" s="216"/>
      <c r="B385" s="203"/>
      <c r="C385" s="217"/>
      <c r="D385" s="218"/>
      <c r="E385" s="218"/>
      <c r="F385" s="165"/>
      <c r="G385" s="166"/>
      <c r="H385" s="166"/>
      <c r="I385" s="219"/>
      <c r="J385" s="219"/>
      <c r="K385" s="219"/>
      <c r="L385" s="330" t="s">
        <v>1531</v>
      </c>
      <c r="M385" s="331" t="s">
        <v>1611</v>
      </c>
      <c r="N385" s="330" t="s">
        <v>34</v>
      </c>
      <c r="O385" s="332">
        <v>2</v>
      </c>
      <c r="P385" s="333">
        <v>127</v>
      </c>
      <c r="Q385" s="333">
        <v>254</v>
      </c>
      <c r="R385" s="266"/>
      <c r="T385" s="4"/>
      <c r="U385" s="128"/>
    </row>
    <row r="386" spans="1:21" ht="18" x14ac:dyDescent="0.3">
      <c r="A386" s="216"/>
      <c r="B386" s="203"/>
      <c r="C386" s="217"/>
      <c r="D386" s="218"/>
      <c r="E386" s="218"/>
      <c r="F386" s="165"/>
      <c r="G386" s="166"/>
      <c r="H386" s="166"/>
      <c r="I386" s="219"/>
      <c r="J386" s="219"/>
      <c r="K386" s="219"/>
      <c r="L386" s="330" t="s">
        <v>638</v>
      </c>
      <c r="M386" s="331" t="s">
        <v>639</v>
      </c>
      <c r="N386" s="330" t="s">
        <v>64</v>
      </c>
      <c r="O386" s="332">
        <v>2</v>
      </c>
      <c r="P386" s="333">
        <v>149.16999999999999</v>
      </c>
      <c r="Q386" s="333">
        <v>298.33999999999997</v>
      </c>
      <c r="R386" s="266"/>
      <c r="T386" s="4"/>
      <c r="U386" s="128"/>
    </row>
    <row r="387" spans="1:21" ht="18" x14ac:dyDescent="0.3">
      <c r="A387" s="216"/>
      <c r="B387" s="203"/>
      <c r="C387" s="217"/>
      <c r="D387" s="218"/>
      <c r="E387" s="218"/>
      <c r="F387" s="165"/>
      <c r="G387" s="166"/>
      <c r="H387" s="166"/>
      <c r="I387" s="219"/>
      <c r="J387" s="219"/>
      <c r="K387" s="219"/>
      <c r="L387" s="330" t="s">
        <v>1529</v>
      </c>
      <c r="M387" s="331" t="s">
        <v>410</v>
      </c>
      <c r="N387" s="330" t="s">
        <v>34</v>
      </c>
      <c r="O387" s="332">
        <v>9</v>
      </c>
      <c r="P387" s="333">
        <v>216.9</v>
      </c>
      <c r="Q387" s="334">
        <v>1952.07</v>
      </c>
      <c r="R387" s="266"/>
      <c r="T387" s="4"/>
      <c r="U387" s="128"/>
    </row>
    <row r="388" spans="1:21" ht="18" x14ac:dyDescent="0.3">
      <c r="A388" s="216"/>
      <c r="B388" s="203"/>
      <c r="C388" s="217"/>
      <c r="D388" s="218"/>
      <c r="E388" s="218"/>
      <c r="F388" s="165"/>
      <c r="G388" s="166"/>
      <c r="H388" s="166"/>
      <c r="I388" s="219"/>
      <c r="J388" s="219"/>
      <c r="K388" s="219"/>
      <c r="L388" s="330" t="s">
        <v>1461</v>
      </c>
      <c r="M388" s="331" t="s">
        <v>1540</v>
      </c>
      <c r="N388" s="330" t="s">
        <v>34</v>
      </c>
      <c r="O388" s="332">
        <v>5</v>
      </c>
      <c r="P388" s="333">
        <v>232.5</v>
      </c>
      <c r="Q388" s="334">
        <v>1162.5</v>
      </c>
      <c r="R388" s="266"/>
      <c r="T388" s="4"/>
      <c r="U388" s="128"/>
    </row>
    <row r="389" spans="1:21" ht="18" x14ac:dyDescent="0.3">
      <c r="A389" s="216"/>
      <c r="B389" s="203"/>
      <c r="C389" s="217"/>
      <c r="D389" s="218"/>
      <c r="E389" s="218"/>
      <c r="F389" s="165"/>
      <c r="G389" s="166"/>
      <c r="H389" s="166"/>
      <c r="I389" s="219"/>
      <c r="J389" s="219"/>
      <c r="K389" s="219"/>
      <c r="L389" s="330" t="s">
        <v>646</v>
      </c>
      <c r="M389" s="331" t="s">
        <v>647</v>
      </c>
      <c r="N389" s="330" t="s">
        <v>34</v>
      </c>
      <c r="O389" s="332">
        <v>2</v>
      </c>
      <c r="P389" s="333">
        <v>439</v>
      </c>
      <c r="Q389" s="333">
        <v>878</v>
      </c>
      <c r="R389" s="266"/>
      <c r="T389" s="4"/>
      <c r="U389" s="128"/>
    </row>
    <row r="390" spans="1:21" ht="18" x14ac:dyDescent="0.3">
      <c r="A390" s="216"/>
      <c r="B390" s="203"/>
      <c r="C390" s="217"/>
      <c r="D390" s="218"/>
      <c r="E390" s="218"/>
      <c r="F390" s="165"/>
      <c r="G390" s="166"/>
      <c r="H390" s="166"/>
      <c r="I390" s="219"/>
      <c r="J390" s="219"/>
      <c r="K390" s="219"/>
      <c r="L390" s="330" t="s">
        <v>1718</v>
      </c>
      <c r="M390" s="331" t="s">
        <v>1739</v>
      </c>
      <c r="N390" s="330" t="s">
        <v>34</v>
      </c>
      <c r="O390" s="332">
        <v>1</v>
      </c>
      <c r="P390" s="333">
        <v>91</v>
      </c>
      <c r="Q390" s="333">
        <v>91</v>
      </c>
      <c r="R390" s="266"/>
      <c r="T390" s="4"/>
      <c r="U390" s="128"/>
    </row>
    <row r="391" spans="1:21" ht="18" x14ac:dyDescent="0.3">
      <c r="A391" s="216"/>
      <c r="B391" s="203"/>
      <c r="C391" s="217"/>
      <c r="D391" s="218"/>
      <c r="E391" s="218"/>
      <c r="F391" s="165"/>
      <c r="G391" s="166"/>
      <c r="H391" s="166"/>
      <c r="I391" s="219"/>
      <c r="J391" s="219"/>
      <c r="K391" s="219"/>
      <c r="L391" s="330" t="s">
        <v>648</v>
      </c>
      <c r="M391" s="331" t="s">
        <v>145</v>
      </c>
      <c r="N391" s="330" t="s">
        <v>37</v>
      </c>
      <c r="O391" s="332">
        <v>22</v>
      </c>
      <c r="P391" s="333">
        <v>61.25</v>
      </c>
      <c r="Q391" s="334">
        <v>1347.5</v>
      </c>
      <c r="R391" s="266"/>
      <c r="T391" s="4"/>
      <c r="U391" s="128"/>
    </row>
    <row r="392" spans="1:21" ht="18" x14ac:dyDescent="0.3">
      <c r="A392" s="216"/>
      <c r="B392" s="203"/>
      <c r="C392" s="217"/>
      <c r="D392" s="218"/>
      <c r="E392" s="218"/>
      <c r="F392" s="165"/>
      <c r="G392" s="166"/>
      <c r="H392" s="166"/>
      <c r="I392" s="219"/>
      <c r="J392" s="219"/>
      <c r="K392" s="219"/>
      <c r="L392" s="330" t="s">
        <v>649</v>
      </c>
      <c r="M392" s="331" t="s">
        <v>650</v>
      </c>
      <c r="N392" s="330" t="s">
        <v>34</v>
      </c>
      <c r="O392" s="332">
        <v>3</v>
      </c>
      <c r="P392" s="333">
        <v>18</v>
      </c>
      <c r="Q392" s="333">
        <v>54</v>
      </c>
      <c r="R392" s="266"/>
      <c r="T392" s="4"/>
      <c r="U392" s="128"/>
    </row>
    <row r="393" spans="1:21" ht="30" x14ac:dyDescent="0.3">
      <c r="A393" s="216"/>
      <c r="B393" s="203"/>
      <c r="C393" s="217"/>
      <c r="D393" s="218"/>
      <c r="E393" s="218"/>
      <c r="F393" s="165"/>
      <c r="G393" s="166"/>
      <c r="H393" s="166"/>
      <c r="I393" s="219"/>
      <c r="J393" s="219"/>
      <c r="K393" s="219"/>
      <c r="L393" s="330" t="s">
        <v>1467</v>
      </c>
      <c r="M393" s="331" t="s">
        <v>1546</v>
      </c>
      <c r="N393" s="330" t="s">
        <v>34</v>
      </c>
      <c r="O393" s="332">
        <v>1</v>
      </c>
      <c r="P393" s="333">
        <v>1</v>
      </c>
      <c r="Q393" s="333">
        <v>1</v>
      </c>
      <c r="R393" s="266"/>
      <c r="T393" s="4"/>
      <c r="U393" s="128"/>
    </row>
    <row r="394" spans="1:21" ht="18" x14ac:dyDescent="0.3">
      <c r="A394" s="216"/>
      <c r="B394" s="203"/>
      <c r="C394" s="217"/>
      <c r="D394" s="218"/>
      <c r="E394" s="218"/>
      <c r="F394" s="165"/>
      <c r="G394" s="166"/>
      <c r="H394" s="166"/>
      <c r="I394" s="219"/>
      <c r="J394" s="219"/>
      <c r="K394" s="219"/>
      <c r="L394" s="330" t="s">
        <v>1486</v>
      </c>
      <c r="M394" s="331" t="s">
        <v>1566</v>
      </c>
      <c r="N394" s="330" t="s">
        <v>34</v>
      </c>
      <c r="O394" s="332">
        <v>3</v>
      </c>
      <c r="P394" s="333">
        <v>217.33</v>
      </c>
      <c r="Q394" s="333">
        <v>652</v>
      </c>
      <c r="R394" s="266"/>
      <c r="T394" s="4"/>
      <c r="U394" s="128"/>
    </row>
    <row r="395" spans="1:21" ht="18" x14ac:dyDescent="0.3">
      <c r="A395" s="216"/>
      <c r="B395" s="203"/>
      <c r="C395" s="217"/>
      <c r="D395" s="218"/>
      <c r="E395" s="218"/>
      <c r="F395" s="165"/>
      <c r="G395" s="166"/>
      <c r="H395" s="166"/>
      <c r="I395" s="219"/>
      <c r="J395" s="219"/>
      <c r="K395" s="219"/>
      <c r="L395" s="330" t="s">
        <v>1724</v>
      </c>
      <c r="M395" s="331" t="s">
        <v>1745</v>
      </c>
      <c r="N395" s="330" t="s">
        <v>34</v>
      </c>
      <c r="O395" s="332">
        <v>1</v>
      </c>
      <c r="P395" s="333">
        <v>206</v>
      </c>
      <c r="Q395" s="333">
        <v>206</v>
      </c>
      <c r="R395" s="266"/>
      <c r="T395" s="4"/>
      <c r="U395" s="128"/>
    </row>
    <row r="396" spans="1:21" ht="18" x14ac:dyDescent="0.3">
      <c r="A396" s="216"/>
      <c r="B396" s="203"/>
      <c r="C396" s="217"/>
      <c r="D396" s="218"/>
      <c r="E396" s="218"/>
      <c r="F396" s="165"/>
      <c r="G396" s="166"/>
      <c r="H396" s="166"/>
      <c r="I396" s="219"/>
      <c r="J396" s="219"/>
      <c r="K396" s="219"/>
      <c r="L396" s="330" t="s">
        <v>1725</v>
      </c>
      <c r="M396" s="331" t="s">
        <v>1746</v>
      </c>
      <c r="N396" s="330" t="s">
        <v>34</v>
      </c>
      <c r="O396" s="332">
        <v>1</v>
      </c>
      <c r="P396" s="333">
        <v>80</v>
      </c>
      <c r="Q396" s="333">
        <v>80</v>
      </c>
      <c r="R396" s="266"/>
      <c r="T396" s="4"/>
      <c r="U396" s="128"/>
    </row>
    <row r="397" spans="1:21" ht="18" x14ac:dyDescent="0.3">
      <c r="A397" s="216"/>
      <c r="B397" s="203"/>
      <c r="C397" s="217"/>
      <c r="D397" s="218"/>
      <c r="E397" s="218"/>
      <c r="F397" s="165"/>
      <c r="G397" s="166"/>
      <c r="H397" s="166"/>
      <c r="I397" s="219"/>
      <c r="J397" s="219"/>
      <c r="K397" s="219"/>
      <c r="L397" s="330" t="s">
        <v>1509</v>
      </c>
      <c r="M397" s="331" t="s">
        <v>1590</v>
      </c>
      <c r="N397" s="330" t="s">
        <v>147</v>
      </c>
      <c r="O397" s="332">
        <v>5</v>
      </c>
      <c r="P397" s="333">
        <v>137</v>
      </c>
      <c r="Q397" s="333">
        <v>685</v>
      </c>
      <c r="R397" s="266"/>
      <c r="T397" s="4"/>
      <c r="U397" s="128"/>
    </row>
    <row r="398" spans="1:21" ht="18" x14ac:dyDescent="0.3">
      <c r="A398" s="216"/>
      <c r="B398" s="203"/>
      <c r="C398" s="217"/>
      <c r="D398" s="218"/>
      <c r="E398" s="218"/>
      <c r="F398" s="165"/>
      <c r="G398" s="166"/>
      <c r="H398" s="166"/>
      <c r="I398" s="219"/>
      <c r="J398" s="219"/>
      <c r="K398" s="219"/>
      <c r="L398" s="330" t="s">
        <v>660</v>
      </c>
      <c r="M398" s="331" t="s">
        <v>1588</v>
      </c>
      <c r="N398" s="330" t="s">
        <v>147</v>
      </c>
      <c r="O398" s="332">
        <v>41</v>
      </c>
      <c r="P398" s="333">
        <v>29.61</v>
      </c>
      <c r="Q398" s="334">
        <v>1214</v>
      </c>
      <c r="R398" s="266"/>
      <c r="T398" s="4"/>
      <c r="U398" s="128"/>
    </row>
    <row r="399" spans="1:21" ht="18" x14ac:dyDescent="0.3">
      <c r="A399" s="216"/>
      <c r="B399" s="203"/>
      <c r="C399" s="217"/>
      <c r="D399" s="218"/>
      <c r="E399" s="218"/>
      <c r="F399" s="165"/>
      <c r="G399" s="166"/>
      <c r="H399" s="166"/>
      <c r="I399" s="219"/>
      <c r="J399" s="219"/>
      <c r="K399" s="219"/>
      <c r="L399" s="330" t="s">
        <v>1498</v>
      </c>
      <c r="M399" s="331" t="s">
        <v>1578</v>
      </c>
      <c r="N399" s="330" t="s">
        <v>34</v>
      </c>
      <c r="O399" s="332">
        <v>5</v>
      </c>
      <c r="P399" s="333">
        <v>238.75</v>
      </c>
      <c r="Q399" s="334">
        <v>1193.73</v>
      </c>
      <c r="R399" s="266"/>
      <c r="T399" s="4"/>
      <c r="U399" s="128"/>
    </row>
    <row r="400" spans="1:21" ht="18" x14ac:dyDescent="0.3">
      <c r="A400" s="216"/>
      <c r="B400" s="203"/>
      <c r="C400" s="217"/>
      <c r="D400" s="218"/>
      <c r="E400" s="218"/>
      <c r="F400" s="165"/>
      <c r="G400" s="166"/>
      <c r="H400" s="166"/>
      <c r="I400" s="219"/>
      <c r="J400" s="219"/>
      <c r="K400" s="219"/>
      <c r="L400" s="330" t="s">
        <v>1727</v>
      </c>
      <c r="M400" s="331" t="s">
        <v>1748</v>
      </c>
      <c r="N400" s="330" t="s">
        <v>34</v>
      </c>
      <c r="O400" s="332">
        <v>1</v>
      </c>
      <c r="P400" s="333">
        <v>169.17</v>
      </c>
      <c r="Q400" s="333">
        <v>169.17</v>
      </c>
      <c r="R400" s="266"/>
      <c r="T400" s="4"/>
      <c r="U400" s="128"/>
    </row>
    <row r="401" spans="1:21" ht="18" x14ac:dyDescent="0.3">
      <c r="A401" s="216"/>
      <c r="B401" s="203"/>
      <c r="C401" s="217"/>
      <c r="D401" s="218"/>
      <c r="E401" s="218"/>
      <c r="F401" s="165"/>
      <c r="G401" s="166"/>
      <c r="H401" s="166"/>
      <c r="I401" s="219"/>
      <c r="J401" s="219"/>
      <c r="K401" s="219"/>
      <c r="L401" s="330" t="s">
        <v>663</v>
      </c>
      <c r="M401" s="331" t="s">
        <v>151</v>
      </c>
      <c r="N401" s="330" t="s">
        <v>34</v>
      </c>
      <c r="O401" s="332">
        <v>1</v>
      </c>
      <c r="P401" s="333">
        <v>12</v>
      </c>
      <c r="Q401" s="333">
        <v>12</v>
      </c>
      <c r="R401" s="266"/>
      <c r="T401" s="4"/>
      <c r="U401" s="128"/>
    </row>
    <row r="402" spans="1:21" ht="18" x14ac:dyDescent="0.3">
      <c r="A402" s="216"/>
      <c r="B402" s="203"/>
      <c r="C402" s="217"/>
      <c r="D402" s="218"/>
      <c r="E402" s="218"/>
      <c r="F402" s="165"/>
      <c r="G402" s="166"/>
      <c r="H402" s="166"/>
      <c r="I402" s="219"/>
      <c r="J402" s="219"/>
      <c r="K402" s="219"/>
      <c r="L402" s="330" t="s">
        <v>1493</v>
      </c>
      <c r="M402" s="331" t="s">
        <v>1573</v>
      </c>
      <c r="N402" s="330" t="s">
        <v>34</v>
      </c>
      <c r="O402" s="332">
        <v>1</v>
      </c>
      <c r="P402" s="333">
        <v>97.5</v>
      </c>
      <c r="Q402" s="333">
        <v>97.5</v>
      </c>
      <c r="R402" s="266"/>
      <c r="T402" s="4"/>
      <c r="U402" s="128"/>
    </row>
    <row r="403" spans="1:21" ht="18" x14ac:dyDescent="0.3">
      <c r="A403" s="216"/>
      <c r="B403" s="203"/>
      <c r="C403" s="217"/>
      <c r="D403" s="218"/>
      <c r="E403" s="218"/>
      <c r="F403" s="165"/>
      <c r="G403" s="166"/>
      <c r="H403" s="166"/>
      <c r="I403" s="219"/>
      <c r="J403" s="219"/>
      <c r="K403" s="219"/>
      <c r="L403" s="330" t="s">
        <v>1671</v>
      </c>
      <c r="M403" s="331" t="s">
        <v>1689</v>
      </c>
      <c r="N403" s="330" t="s">
        <v>34</v>
      </c>
      <c r="O403" s="332">
        <v>1</v>
      </c>
      <c r="P403" s="333">
        <v>206.84</v>
      </c>
      <c r="Q403" s="333">
        <v>206.84</v>
      </c>
      <c r="R403" s="266"/>
      <c r="T403" s="4"/>
      <c r="U403" s="128"/>
    </row>
    <row r="404" spans="1:21" ht="18" x14ac:dyDescent="0.3">
      <c r="A404" s="216"/>
      <c r="B404" s="203"/>
      <c r="C404" s="217"/>
      <c r="D404" s="218"/>
      <c r="E404" s="218"/>
      <c r="F404" s="165"/>
      <c r="G404" s="166"/>
      <c r="H404" s="166"/>
      <c r="I404" s="219"/>
      <c r="J404" s="219"/>
      <c r="K404" s="219"/>
      <c r="L404" s="330" t="s">
        <v>1464</v>
      </c>
      <c r="M404" s="331" t="s">
        <v>1543</v>
      </c>
      <c r="N404" s="330" t="s">
        <v>34</v>
      </c>
      <c r="O404" s="332">
        <v>5</v>
      </c>
      <c r="P404" s="333">
        <v>186</v>
      </c>
      <c r="Q404" s="333">
        <v>930</v>
      </c>
      <c r="R404" s="266"/>
      <c r="T404" s="4"/>
      <c r="U404" s="128"/>
    </row>
    <row r="405" spans="1:21" ht="18" x14ac:dyDescent="0.3">
      <c r="A405" s="216"/>
      <c r="B405" s="203"/>
      <c r="C405" s="217"/>
      <c r="D405" s="218"/>
      <c r="E405" s="218"/>
      <c r="F405" s="165"/>
      <c r="G405" s="166"/>
      <c r="H405" s="166"/>
      <c r="I405" s="219"/>
      <c r="J405" s="219"/>
      <c r="K405" s="219"/>
      <c r="L405" s="330" t="s">
        <v>1492</v>
      </c>
      <c r="M405" s="331" t="s">
        <v>1572</v>
      </c>
      <c r="N405" s="330" t="s">
        <v>34</v>
      </c>
      <c r="O405" s="332">
        <v>2</v>
      </c>
      <c r="P405" s="333">
        <v>91</v>
      </c>
      <c r="Q405" s="333">
        <v>182</v>
      </c>
      <c r="R405" s="266"/>
      <c r="T405" s="4"/>
      <c r="U405" s="128"/>
    </row>
    <row r="406" spans="1:21" ht="18" x14ac:dyDescent="0.3">
      <c r="A406" s="216"/>
      <c r="B406" s="203"/>
      <c r="C406" s="217"/>
      <c r="D406" s="218"/>
      <c r="E406" s="218"/>
      <c r="F406" s="165"/>
      <c r="G406" s="166"/>
      <c r="H406" s="166"/>
      <c r="I406" s="219"/>
      <c r="J406" s="219"/>
      <c r="K406" s="219"/>
      <c r="L406" s="330" t="s">
        <v>674</v>
      </c>
      <c r="M406" s="331" t="s">
        <v>675</v>
      </c>
      <c r="N406" s="330" t="s">
        <v>34</v>
      </c>
      <c r="O406" s="332">
        <v>1</v>
      </c>
      <c r="P406" s="333">
        <v>28.08</v>
      </c>
      <c r="Q406" s="333">
        <v>28.08</v>
      </c>
      <c r="R406" s="266"/>
      <c r="T406" s="4"/>
      <c r="U406" s="128"/>
    </row>
    <row r="407" spans="1:21" ht="18" x14ac:dyDescent="0.3">
      <c r="A407" s="216"/>
      <c r="B407" s="203"/>
      <c r="C407" s="217"/>
      <c r="D407" s="218"/>
      <c r="E407" s="218"/>
      <c r="F407" s="165"/>
      <c r="G407" s="166"/>
      <c r="H407" s="166"/>
      <c r="I407" s="219"/>
      <c r="J407" s="219"/>
      <c r="K407" s="219"/>
      <c r="L407" s="330" t="s">
        <v>677</v>
      </c>
      <c r="M407" s="331" t="s">
        <v>1554</v>
      </c>
      <c r="N407" s="330" t="s">
        <v>34</v>
      </c>
      <c r="O407" s="332">
        <v>3</v>
      </c>
      <c r="P407" s="333">
        <v>56.7</v>
      </c>
      <c r="Q407" s="333">
        <v>170.1</v>
      </c>
      <c r="R407" s="266"/>
      <c r="T407" s="4"/>
      <c r="U407" s="128"/>
    </row>
    <row r="408" spans="1:21" ht="18" x14ac:dyDescent="0.3">
      <c r="A408" s="216"/>
      <c r="B408" s="203"/>
      <c r="C408" s="217"/>
      <c r="D408" s="218"/>
      <c r="E408" s="218"/>
      <c r="F408" s="165"/>
      <c r="G408" s="166"/>
      <c r="H408" s="166"/>
      <c r="I408" s="219"/>
      <c r="J408" s="219"/>
      <c r="K408" s="219"/>
      <c r="L408" s="330" t="s">
        <v>679</v>
      </c>
      <c r="M408" s="331" t="s">
        <v>680</v>
      </c>
      <c r="N408" s="330" t="s">
        <v>34</v>
      </c>
      <c r="O408" s="332">
        <v>1</v>
      </c>
      <c r="P408" s="333">
        <v>5</v>
      </c>
      <c r="Q408" s="333">
        <v>5</v>
      </c>
      <c r="R408" s="266"/>
      <c r="T408" s="4"/>
      <c r="U408" s="128"/>
    </row>
    <row r="409" spans="1:21" ht="18" x14ac:dyDescent="0.3">
      <c r="A409" s="216"/>
      <c r="B409" s="203"/>
      <c r="C409" s="217"/>
      <c r="D409" s="218"/>
      <c r="E409" s="218"/>
      <c r="F409" s="165"/>
      <c r="G409" s="166"/>
      <c r="H409" s="166"/>
      <c r="I409" s="219"/>
      <c r="J409" s="219"/>
      <c r="K409" s="219"/>
      <c r="L409" s="330" t="s">
        <v>682</v>
      </c>
      <c r="M409" s="331" t="s">
        <v>683</v>
      </c>
      <c r="N409" s="330" t="s">
        <v>34</v>
      </c>
      <c r="O409" s="332">
        <v>1</v>
      </c>
      <c r="P409" s="333">
        <v>21.5</v>
      </c>
      <c r="Q409" s="333">
        <v>21.5</v>
      </c>
      <c r="R409" s="266"/>
      <c r="T409" s="4"/>
      <c r="U409" s="128"/>
    </row>
    <row r="410" spans="1:21" ht="18" x14ac:dyDescent="0.3">
      <c r="A410" s="216"/>
      <c r="B410" s="203"/>
      <c r="C410" s="217"/>
      <c r="D410" s="218"/>
      <c r="E410" s="218"/>
      <c r="F410" s="165"/>
      <c r="G410" s="166"/>
      <c r="H410" s="166"/>
      <c r="I410" s="219"/>
      <c r="J410" s="219"/>
      <c r="K410" s="219"/>
      <c r="L410" s="330" t="s">
        <v>1532</v>
      </c>
      <c r="M410" s="331" t="s">
        <v>1612</v>
      </c>
      <c r="N410" s="330" t="s">
        <v>64</v>
      </c>
      <c r="O410" s="332">
        <v>1</v>
      </c>
      <c r="P410" s="333">
        <v>164</v>
      </c>
      <c r="Q410" s="333">
        <v>164</v>
      </c>
      <c r="R410" s="266"/>
      <c r="T410" s="4"/>
      <c r="U410" s="128"/>
    </row>
    <row r="411" spans="1:21" ht="18" x14ac:dyDescent="0.3">
      <c r="A411" s="216"/>
      <c r="B411" s="203"/>
      <c r="C411" s="217"/>
      <c r="D411" s="218"/>
      <c r="E411" s="218"/>
      <c r="F411" s="165"/>
      <c r="G411" s="166"/>
      <c r="H411" s="166"/>
      <c r="I411" s="219"/>
      <c r="J411" s="219"/>
      <c r="K411" s="219"/>
      <c r="L411" s="330" t="s">
        <v>1641</v>
      </c>
      <c r="M411" s="331" t="s">
        <v>1667</v>
      </c>
      <c r="N411" s="330" t="s">
        <v>64</v>
      </c>
      <c r="O411" s="332">
        <v>1</v>
      </c>
      <c r="P411" s="333">
        <v>24</v>
      </c>
      <c r="Q411" s="333">
        <v>24</v>
      </c>
      <c r="R411" s="266"/>
      <c r="T411" s="4"/>
      <c r="U411" s="128"/>
    </row>
    <row r="412" spans="1:21" ht="18" x14ac:dyDescent="0.3">
      <c r="A412" s="216"/>
      <c r="B412" s="203"/>
      <c r="C412" s="217"/>
      <c r="D412" s="218"/>
      <c r="E412" s="218"/>
      <c r="F412" s="165"/>
      <c r="G412" s="166"/>
      <c r="H412" s="166"/>
      <c r="I412" s="219"/>
      <c r="J412" s="219"/>
      <c r="K412" s="219"/>
      <c r="L412" s="330" t="s">
        <v>1482</v>
      </c>
      <c r="M412" s="331" t="s">
        <v>1562</v>
      </c>
      <c r="N412" s="330" t="s">
        <v>34</v>
      </c>
      <c r="O412" s="332">
        <v>1</v>
      </c>
      <c r="P412" s="333">
        <v>75.400000000000006</v>
      </c>
      <c r="Q412" s="333">
        <v>75.400000000000006</v>
      </c>
      <c r="R412" s="266"/>
      <c r="T412" s="4"/>
      <c r="U412" s="128"/>
    </row>
    <row r="413" spans="1:21" ht="18" x14ac:dyDescent="0.3">
      <c r="A413" s="216"/>
      <c r="B413" s="203"/>
      <c r="C413" s="217"/>
      <c r="D413" s="218"/>
      <c r="E413" s="218"/>
      <c r="F413" s="165"/>
      <c r="G413" s="166"/>
      <c r="H413" s="166"/>
      <c r="I413" s="219"/>
      <c r="J413" s="219"/>
      <c r="K413" s="219"/>
      <c r="L413" s="330" t="s">
        <v>1472</v>
      </c>
      <c r="M413" s="331" t="s">
        <v>1551</v>
      </c>
      <c r="N413" s="330" t="s">
        <v>34</v>
      </c>
      <c r="O413" s="332">
        <v>1</v>
      </c>
      <c r="P413" s="333">
        <v>146.25</v>
      </c>
      <c r="Q413" s="333">
        <v>146.25</v>
      </c>
      <c r="R413" s="266"/>
      <c r="T413" s="4"/>
      <c r="U413" s="128"/>
    </row>
    <row r="414" spans="1:21" ht="18" x14ac:dyDescent="0.3">
      <c r="A414" s="216"/>
      <c r="B414" s="203"/>
      <c r="C414" s="217"/>
      <c r="D414" s="218"/>
      <c r="E414" s="218"/>
      <c r="F414" s="165"/>
      <c r="G414" s="166"/>
      <c r="H414" s="166"/>
      <c r="I414" s="219"/>
      <c r="J414" s="219"/>
      <c r="K414" s="219"/>
      <c r="L414" s="330" t="s">
        <v>1523</v>
      </c>
      <c r="M414" s="331" t="s">
        <v>1604</v>
      </c>
      <c r="N414" s="330" t="s">
        <v>34</v>
      </c>
      <c r="O414" s="332">
        <v>1</v>
      </c>
      <c r="P414" s="333">
        <v>108.33</v>
      </c>
      <c r="Q414" s="333">
        <v>108.33</v>
      </c>
      <c r="R414" s="266"/>
      <c r="T414" s="4"/>
      <c r="U414" s="128"/>
    </row>
    <row r="415" spans="1:21" ht="18" x14ac:dyDescent="0.3">
      <c r="A415" s="216"/>
      <c r="B415" s="203"/>
      <c r="C415" s="217"/>
      <c r="D415" s="218"/>
      <c r="E415" s="218"/>
      <c r="F415" s="165"/>
      <c r="G415" s="166"/>
      <c r="H415" s="166"/>
      <c r="I415" s="219"/>
      <c r="J415" s="219"/>
      <c r="K415" s="219"/>
      <c r="L415" s="330" t="s">
        <v>1460</v>
      </c>
      <c r="M415" s="331" t="s">
        <v>1539</v>
      </c>
      <c r="N415" s="330" t="s">
        <v>34</v>
      </c>
      <c r="O415" s="332">
        <v>1</v>
      </c>
      <c r="P415" s="333">
        <v>16.600000000000001</v>
      </c>
      <c r="Q415" s="333">
        <v>16.600000000000001</v>
      </c>
      <c r="R415" s="266"/>
      <c r="T415" s="4"/>
      <c r="U415" s="128"/>
    </row>
    <row r="416" spans="1:21" ht="18" x14ac:dyDescent="0.3">
      <c r="A416" s="216"/>
      <c r="B416" s="203"/>
      <c r="C416" s="217"/>
      <c r="D416" s="218"/>
      <c r="E416" s="218"/>
      <c r="F416" s="165"/>
      <c r="G416" s="166"/>
      <c r="H416" s="166"/>
      <c r="I416" s="219"/>
      <c r="J416" s="219"/>
      <c r="K416" s="219"/>
      <c r="L416" s="330" t="s">
        <v>1512</v>
      </c>
      <c r="M416" s="331" t="s">
        <v>1593</v>
      </c>
      <c r="N416" s="330" t="s">
        <v>34</v>
      </c>
      <c r="O416" s="332">
        <v>1</v>
      </c>
      <c r="P416" s="333">
        <v>7.5</v>
      </c>
      <c r="Q416" s="333">
        <v>7.5</v>
      </c>
      <c r="R416" s="266"/>
      <c r="T416" s="4"/>
      <c r="U416" s="128"/>
    </row>
    <row r="417" spans="1:21" ht="18" x14ac:dyDescent="0.3">
      <c r="A417" s="216"/>
      <c r="B417" s="203"/>
      <c r="C417" s="217"/>
      <c r="D417" s="218"/>
      <c r="E417" s="218"/>
      <c r="F417" s="165"/>
      <c r="G417" s="166"/>
      <c r="H417" s="166"/>
      <c r="I417" s="219"/>
      <c r="J417" s="219"/>
      <c r="K417" s="219"/>
      <c r="L417" s="330" t="s">
        <v>698</v>
      </c>
      <c r="M417" s="331" t="s">
        <v>97</v>
      </c>
      <c r="N417" s="330" t="s">
        <v>34</v>
      </c>
      <c r="O417" s="335">
        <v>3266</v>
      </c>
      <c r="P417" s="333">
        <v>0.11</v>
      </c>
      <c r="Q417" s="333">
        <v>349.46</v>
      </c>
      <c r="R417" s="266"/>
      <c r="T417" s="4"/>
      <c r="U417" s="128"/>
    </row>
    <row r="418" spans="1:21" ht="18" x14ac:dyDescent="0.3">
      <c r="A418" s="216"/>
      <c r="B418" s="203"/>
      <c r="C418" s="217"/>
      <c r="D418" s="218"/>
      <c r="E418" s="218"/>
      <c r="F418" s="165"/>
      <c r="G418" s="166"/>
      <c r="H418" s="166"/>
      <c r="I418" s="219"/>
      <c r="J418" s="219"/>
      <c r="K418" s="219"/>
      <c r="L418" s="330" t="s">
        <v>1471</v>
      </c>
      <c r="M418" s="331" t="s">
        <v>1550</v>
      </c>
      <c r="N418" s="330" t="s">
        <v>34</v>
      </c>
      <c r="O418" s="335">
        <v>1333</v>
      </c>
      <c r="P418" s="333">
        <v>0.11</v>
      </c>
      <c r="Q418" s="333">
        <v>142.63</v>
      </c>
      <c r="R418" s="266"/>
      <c r="T418" s="4"/>
      <c r="U418" s="128"/>
    </row>
    <row r="419" spans="1:21" ht="18" x14ac:dyDescent="0.3">
      <c r="A419" s="216"/>
      <c r="B419" s="203"/>
      <c r="C419" s="217"/>
      <c r="D419" s="218"/>
      <c r="E419" s="218"/>
      <c r="F419" s="165"/>
      <c r="G419" s="166"/>
      <c r="H419" s="166"/>
      <c r="I419" s="219"/>
      <c r="J419" s="219"/>
      <c r="K419" s="219"/>
      <c r="L419" s="330" t="s">
        <v>1672</v>
      </c>
      <c r="M419" s="331" t="s">
        <v>1690</v>
      </c>
      <c r="N419" s="330" t="s">
        <v>57</v>
      </c>
      <c r="O419" s="332">
        <v>1</v>
      </c>
      <c r="P419" s="333">
        <v>35</v>
      </c>
      <c r="Q419" s="333">
        <v>35</v>
      </c>
      <c r="R419" s="266"/>
      <c r="T419" s="4"/>
      <c r="U419" s="128"/>
    </row>
    <row r="420" spans="1:21" ht="18" x14ac:dyDescent="0.3">
      <c r="A420" s="216"/>
      <c r="B420" s="203"/>
      <c r="C420" s="217"/>
      <c r="D420" s="218"/>
      <c r="E420" s="218"/>
      <c r="F420" s="165"/>
      <c r="G420" s="166"/>
      <c r="H420" s="166"/>
      <c r="I420" s="219"/>
      <c r="J420" s="219"/>
      <c r="K420" s="219"/>
      <c r="L420" s="330" t="s">
        <v>703</v>
      </c>
      <c r="M420" s="331" t="s">
        <v>704</v>
      </c>
      <c r="N420" s="330" t="s">
        <v>34</v>
      </c>
      <c r="O420" s="332">
        <v>1</v>
      </c>
      <c r="P420" s="333">
        <v>149</v>
      </c>
      <c r="Q420" s="333">
        <v>149</v>
      </c>
      <c r="R420" s="266"/>
      <c r="T420" s="4"/>
      <c r="U420" s="128"/>
    </row>
    <row r="421" spans="1:21" ht="18" x14ac:dyDescent="0.3">
      <c r="A421" s="216"/>
      <c r="B421" s="203"/>
      <c r="C421" s="217"/>
      <c r="D421" s="218"/>
      <c r="E421" s="218"/>
      <c r="F421" s="165"/>
      <c r="G421" s="166"/>
      <c r="H421" s="166"/>
      <c r="I421" s="219"/>
      <c r="J421" s="219"/>
      <c r="K421" s="219"/>
      <c r="L421" s="330" t="s">
        <v>1525</v>
      </c>
      <c r="M421" s="331" t="s">
        <v>1606</v>
      </c>
      <c r="N421" s="330" t="s">
        <v>34</v>
      </c>
      <c r="O421" s="332">
        <v>1</v>
      </c>
      <c r="P421" s="333">
        <v>93.6</v>
      </c>
      <c r="Q421" s="333">
        <v>93.6</v>
      </c>
      <c r="R421" s="266"/>
      <c r="T421" s="4"/>
      <c r="U421" s="128"/>
    </row>
    <row r="422" spans="1:21" ht="18" x14ac:dyDescent="0.3">
      <c r="A422" s="216"/>
      <c r="B422" s="203"/>
      <c r="C422" s="217"/>
      <c r="D422" s="218"/>
      <c r="E422" s="218"/>
      <c r="F422" s="165"/>
      <c r="G422" s="166"/>
      <c r="H422" s="166"/>
      <c r="I422" s="219"/>
      <c r="J422" s="219"/>
      <c r="K422" s="219"/>
      <c r="L422" s="330" t="s">
        <v>1709</v>
      </c>
      <c r="M422" s="331" t="s">
        <v>1730</v>
      </c>
      <c r="N422" s="330" t="s">
        <v>34</v>
      </c>
      <c r="O422" s="332">
        <v>1</v>
      </c>
      <c r="P422" s="333">
        <v>715.3</v>
      </c>
      <c r="Q422" s="333">
        <v>715.3</v>
      </c>
      <c r="R422" s="266"/>
      <c r="T422" s="4"/>
      <c r="U422" s="128"/>
    </row>
    <row r="423" spans="1:21" ht="18" x14ac:dyDescent="0.3">
      <c r="A423" s="216"/>
      <c r="B423" s="203"/>
      <c r="C423" s="217"/>
      <c r="D423" s="218"/>
      <c r="E423" s="218"/>
      <c r="F423" s="165"/>
      <c r="G423" s="166"/>
      <c r="H423" s="166"/>
      <c r="I423" s="219"/>
      <c r="J423" s="219"/>
      <c r="K423" s="219"/>
      <c r="L423" s="330" t="s">
        <v>1459</v>
      </c>
      <c r="M423" s="331" t="s">
        <v>1538</v>
      </c>
      <c r="N423" s="330" t="s">
        <v>34</v>
      </c>
      <c r="O423" s="332">
        <v>1</v>
      </c>
      <c r="P423" s="333">
        <v>554.5</v>
      </c>
      <c r="Q423" s="333">
        <v>554.5</v>
      </c>
      <c r="R423" s="266"/>
      <c r="T423" s="4"/>
      <c r="U423" s="128"/>
    </row>
    <row r="424" spans="1:21" ht="18" x14ac:dyDescent="0.3">
      <c r="A424" s="216"/>
      <c r="B424" s="203"/>
      <c r="C424" s="217"/>
      <c r="D424" s="218"/>
      <c r="E424" s="218"/>
      <c r="F424" s="165"/>
      <c r="G424" s="166"/>
      <c r="H424" s="166"/>
      <c r="I424" s="219"/>
      <c r="J424" s="219"/>
      <c r="K424" s="219"/>
      <c r="L424" s="330" t="s">
        <v>1473</v>
      </c>
      <c r="M424" s="331" t="s">
        <v>1552</v>
      </c>
      <c r="N424" s="330" t="s">
        <v>34</v>
      </c>
      <c r="O424" s="332">
        <v>3</v>
      </c>
      <c r="P424" s="333">
        <v>239</v>
      </c>
      <c r="Q424" s="333">
        <v>717</v>
      </c>
      <c r="R424" s="266"/>
      <c r="T424" s="4"/>
      <c r="U424" s="128"/>
    </row>
    <row r="425" spans="1:21" ht="18" x14ac:dyDescent="0.3">
      <c r="A425" s="216"/>
      <c r="B425" s="203"/>
      <c r="C425" s="217"/>
      <c r="D425" s="218"/>
      <c r="E425" s="218"/>
      <c r="F425" s="165"/>
      <c r="G425" s="166"/>
      <c r="H425" s="166"/>
      <c r="I425" s="219"/>
      <c r="J425" s="219"/>
      <c r="K425" s="219"/>
      <c r="L425" s="330" t="s">
        <v>1480</v>
      </c>
      <c r="M425" s="331" t="s">
        <v>1560</v>
      </c>
      <c r="N425" s="330" t="s">
        <v>34</v>
      </c>
      <c r="O425" s="332">
        <v>1</v>
      </c>
      <c r="P425" s="333">
        <v>209</v>
      </c>
      <c r="Q425" s="333">
        <v>209</v>
      </c>
      <c r="R425" s="266"/>
      <c r="T425" s="4"/>
      <c r="U425" s="128"/>
    </row>
    <row r="426" spans="1:21" ht="18" x14ac:dyDescent="0.3">
      <c r="A426" s="216"/>
      <c r="B426" s="203"/>
      <c r="C426" s="217"/>
      <c r="D426" s="218"/>
      <c r="E426" s="218"/>
      <c r="F426" s="165"/>
      <c r="G426" s="166"/>
      <c r="H426" s="166"/>
      <c r="I426" s="219"/>
      <c r="J426" s="219"/>
      <c r="K426" s="219"/>
      <c r="L426" s="330" t="s">
        <v>1490</v>
      </c>
      <c r="M426" s="331" t="s">
        <v>1570</v>
      </c>
      <c r="N426" s="330" t="s">
        <v>34</v>
      </c>
      <c r="O426" s="332">
        <v>3</v>
      </c>
      <c r="P426" s="333">
        <v>216.66</v>
      </c>
      <c r="Q426" s="333">
        <v>649.98</v>
      </c>
      <c r="R426" s="266"/>
      <c r="T426" s="4"/>
      <c r="U426" s="128"/>
    </row>
    <row r="427" spans="1:21" ht="18" x14ac:dyDescent="0.3">
      <c r="A427" s="216"/>
      <c r="B427" s="203"/>
      <c r="C427" s="217"/>
      <c r="D427" s="218"/>
      <c r="E427" s="218"/>
      <c r="F427" s="165"/>
      <c r="G427" s="166"/>
      <c r="H427" s="166"/>
      <c r="I427" s="219"/>
      <c r="J427" s="219"/>
      <c r="K427" s="219"/>
      <c r="L427" s="330" t="s">
        <v>98</v>
      </c>
      <c r="M427" s="331" t="s">
        <v>99</v>
      </c>
      <c r="N427" s="330" t="s">
        <v>37</v>
      </c>
      <c r="O427" s="332">
        <v>4</v>
      </c>
      <c r="P427" s="333">
        <v>131</v>
      </c>
      <c r="Q427" s="333">
        <v>524</v>
      </c>
      <c r="R427" s="266"/>
      <c r="T427" s="4"/>
      <c r="U427" s="128"/>
    </row>
    <row r="428" spans="1:21" ht="18" x14ac:dyDescent="0.3">
      <c r="A428" s="216"/>
      <c r="B428" s="203"/>
      <c r="C428" s="217"/>
      <c r="D428" s="218"/>
      <c r="E428" s="218"/>
      <c r="F428" s="165"/>
      <c r="G428" s="166"/>
      <c r="H428" s="166"/>
      <c r="I428" s="219"/>
      <c r="J428" s="219"/>
      <c r="K428" s="219"/>
      <c r="L428" s="330" t="s">
        <v>710</v>
      </c>
      <c r="M428" s="331" t="s">
        <v>711</v>
      </c>
      <c r="N428" s="330" t="s">
        <v>34</v>
      </c>
      <c r="O428" s="332">
        <v>4</v>
      </c>
      <c r="P428" s="333">
        <v>73</v>
      </c>
      <c r="Q428" s="333">
        <v>292</v>
      </c>
      <c r="R428" s="266"/>
      <c r="T428" s="4"/>
      <c r="U428" s="128"/>
    </row>
    <row r="429" spans="1:21" ht="18" x14ac:dyDescent="0.3">
      <c r="A429" s="216"/>
      <c r="B429" s="203"/>
      <c r="C429" s="217"/>
      <c r="D429" s="218"/>
      <c r="E429" s="218"/>
      <c r="F429" s="165"/>
      <c r="G429" s="166"/>
      <c r="H429" s="166"/>
      <c r="I429" s="219"/>
      <c r="J429" s="219"/>
      <c r="K429" s="219"/>
      <c r="L429" s="330" t="s">
        <v>1481</v>
      </c>
      <c r="M429" s="331" t="s">
        <v>1561</v>
      </c>
      <c r="N429" s="330" t="s">
        <v>34</v>
      </c>
      <c r="O429" s="332">
        <v>1</v>
      </c>
      <c r="P429" s="333">
        <v>52</v>
      </c>
      <c r="Q429" s="333">
        <v>52</v>
      </c>
      <c r="R429" s="266"/>
      <c r="T429" s="4"/>
      <c r="U429" s="128"/>
    </row>
    <row r="430" spans="1:21" ht="18" x14ac:dyDescent="0.3">
      <c r="A430" s="216"/>
      <c r="B430" s="203"/>
      <c r="C430" s="217"/>
      <c r="D430" s="218"/>
      <c r="E430" s="218"/>
      <c r="F430" s="165"/>
      <c r="G430" s="166"/>
      <c r="H430" s="166"/>
      <c r="I430" s="219"/>
      <c r="J430" s="219"/>
      <c r="K430" s="219"/>
      <c r="L430" s="330" t="s">
        <v>1714</v>
      </c>
      <c r="M430" s="331" t="s">
        <v>1735</v>
      </c>
      <c r="N430" s="330" t="s">
        <v>34</v>
      </c>
      <c r="O430" s="332">
        <v>1</v>
      </c>
      <c r="P430" s="333">
        <v>500.03</v>
      </c>
      <c r="Q430" s="333">
        <v>500.03</v>
      </c>
      <c r="R430" s="266"/>
      <c r="T430" s="4"/>
      <c r="U430" s="128"/>
    </row>
    <row r="431" spans="1:21" ht="18" x14ac:dyDescent="0.3">
      <c r="A431" s="216"/>
      <c r="B431" s="203"/>
      <c r="C431" s="217"/>
      <c r="D431" s="218"/>
      <c r="E431" s="218"/>
      <c r="F431" s="165"/>
      <c r="G431" s="166"/>
      <c r="H431" s="166"/>
      <c r="I431" s="219"/>
      <c r="J431" s="219"/>
      <c r="K431" s="219"/>
      <c r="L431" s="330" t="s">
        <v>1495</v>
      </c>
      <c r="M431" s="331" t="s">
        <v>1575</v>
      </c>
      <c r="N431" s="330" t="s">
        <v>34</v>
      </c>
      <c r="O431" s="332">
        <v>1</v>
      </c>
      <c r="P431" s="333">
        <v>54.17</v>
      </c>
      <c r="Q431" s="333">
        <v>54.17</v>
      </c>
      <c r="R431" s="266"/>
      <c r="T431" s="4"/>
      <c r="U431" s="128"/>
    </row>
    <row r="432" spans="1:21" ht="18" x14ac:dyDescent="0.3">
      <c r="A432" s="216"/>
      <c r="B432" s="203"/>
      <c r="C432" s="217"/>
      <c r="D432" s="218"/>
      <c r="E432" s="218"/>
      <c r="F432" s="165"/>
      <c r="G432" s="166"/>
      <c r="H432" s="166"/>
      <c r="I432" s="219"/>
      <c r="J432" s="219"/>
      <c r="K432" s="219"/>
      <c r="L432" s="330" t="s">
        <v>1483</v>
      </c>
      <c r="M432" s="331" t="s">
        <v>1563</v>
      </c>
      <c r="N432" s="330" t="s">
        <v>34</v>
      </c>
      <c r="O432" s="332">
        <v>2</v>
      </c>
      <c r="P432" s="333">
        <v>88.06</v>
      </c>
      <c r="Q432" s="333">
        <v>176.12</v>
      </c>
      <c r="R432" s="266"/>
      <c r="T432" s="4"/>
      <c r="U432" s="128"/>
    </row>
    <row r="433" spans="1:21" ht="18" x14ac:dyDescent="0.3">
      <c r="A433" s="216"/>
      <c r="B433" s="203"/>
      <c r="C433" s="217"/>
      <c r="D433" s="218"/>
      <c r="E433" s="218"/>
      <c r="F433" s="165"/>
      <c r="G433" s="166"/>
      <c r="H433" s="166"/>
      <c r="I433" s="219"/>
      <c r="J433" s="219"/>
      <c r="K433" s="219"/>
      <c r="L433" s="330" t="s">
        <v>1484</v>
      </c>
      <c r="M433" s="331" t="s">
        <v>1564</v>
      </c>
      <c r="N433" s="330" t="s">
        <v>34</v>
      </c>
      <c r="O433" s="332">
        <v>1</v>
      </c>
      <c r="P433" s="333">
        <v>242.5</v>
      </c>
      <c r="Q433" s="333">
        <v>242.5</v>
      </c>
      <c r="R433" s="266"/>
      <c r="T433" s="4"/>
      <c r="U433" s="128"/>
    </row>
    <row r="434" spans="1:21" ht="18" x14ac:dyDescent="0.3">
      <c r="A434" s="216"/>
      <c r="B434" s="203"/>
      <c r="C434" s="217"/>
      <c r="D434" s="218"/>
      <c r="E434" s="218"/>
      <c r="F434" s="165"/>
      <c r="G434" s="166"/>
      <c r="H434" s="166"/>
      <c r="I434" s="219"/>
      <c r="J434" s="219"/>
      <c r="K434" s="219"/>
      <c r="L434" s="330" t="s">
        <v>157</v>
      </c>
      <c r="M434" s="331" t="s">
        <v>158</v>
      </c>
      <c r="N434" s="330" t="s">
        <v>34</v>
      </c>
      <c r="O434" s="332">
        <v>2</v>
      </c>
      <c r="P434" s="333">
        <v>99.53</v>
      </c>
      <c r="Q434" s="333">
        <v>199.06</v>
      </c>
      <c r="R434" s="266"/>
      <c r="T434" s="4"/>
      <c r="U434" s="128"/>
    </row>
    <row r="435" spans="1:21" ht="18" x14ac:dyDescent="0.3">
      <c r="A435" s="216"/>
      <c r="B435" s="203"/>
      <c r="C435" s="217"/>
      <c r="D435" s="218"/>
      <c r="E435" s="218"/>
      <c r="F435" s="165"/>
      <c r="G435" s="166"/>
      <c r="H435" s="166"/>
      <c r="I435" s="219"/>
      <c r="J435" s="219"/>
      <c r="K435" s="219"/>
      <c r="L435" s="330" t="s">
        <v>1629</v>
      </c>
      <c r="M435" s="331" t="s">
        <v>1655</v>
      </c>
      <c r="N435" s="330" t="s">
        <v>34</v>
      </c>
      <c r="O435" s="332">
        <v>1</v>
      </c>
      <c r="P435" s="333">
        <v>180</v>
      </c>
      <c r="Q435" s="333">
        <v>180</v>
      </c>
      <c r="R435" s="266"/>
      <c r="T435" s="4"/>
      <c r="U435" s="128"/>
    </row>
    <row r="436" spans="1:21" ht="18" x14ac:dyDescent="0.3">
      <c r="A436" s="216"/>
      <c r="B436" s="203"/>
      <c r="C436" s="217"/>
      <c r="D436" s="218"/>
      <c r="E436" s="218"/>
      <c r="F436" s="165"/>
      <c r="G436" s="166"/>
      <c r="H436" s="166"/>
      <c r="I436" s="219"/>
      <c r="J436" s="219"/>
      <c r="K436" s="219"/>
      <c r="L436" s="330" t="s">
        <v>1506</v>
      </c>
      <c r="M436" s="331" t="s">
        <v>1586</v>
      </c>
      <c r="N436" s="330" t="s">
        <v>64</v>
      </c>
      <c r="O436" s="332">
        <v>0.1</v>
      </c>
      <c r="P436" s="334">
        <v>4165.8</v>
      </c>
      <c r="Q436" s="333">
        <v>416.58</v>
      </c>
      <c r="R436" s="266"/>
      <c r="T436" s="4"/>
      <c r="U436" s="128"/>
    </row>
    <row r="437" spans="1:21" ht="18" x14ac:dyDescent="0.3">
      <c r="A437" s="216"/>
      <c r="B437" s="203"/>
      <c r="C437" s="217"/>
      <c r="D437" s="218"/>
      <c r="E437" s="218"/>
      <c r="F437" s="165"/>
      <c r="G437" s="166"/>
      <c r="H437" s="166"/>
      <c r="I437" s="219"/>
      <c r="J437" s="219"/>
      <c r="K437" s="219"/>
      <c r="L437" s="330" t="s">
        <v>1494</v>
      </c>
      <c r="M437" s="331" t="s">
        <v>1574</v>
      </c>
      <c r="N437" s="330" t="s">
        <v>64</v>
      </c>
      <c r="O437" s="332">
        <v>1</v>
      </c>
      <c r="P437" s="333">
        <v>179.2</v>
      </c>
      <c r="Q437" s="333">
        <v>179.2</v>
      </c>
      <c r="R437" s="266"/>
      <c r="T437" s="4"/>
      <c r="U437" s="128"/>
    </row>
    <row r="438" spans="1:21" ht="18" x14ac:dyDescent="0.3">
      <c r="A438" s="216"/>
      <c r="B438" s="203"/>
      <c r="C438" s="217"/>
      <c r="D438" s="218"/>
      <c r="E438" s="218"/>
      <c r="F438" s="165"/>
      <c r="G438" s="166"/>
      <c r="H438" s="166"/>
      <c r="I438" s="219"/>
      <c r="J438" s="219"/>
      <c r="K438" s="219"/>
      <c r="L438" s="330" t="s">
        <v>1640</v>
      </c>
      <c r="M438" s="331" t="s">
        <v>1666</v>
      </c>
      <c r="N438" s="330" t="s">
        <v>34</v>
      </c>
      <c r="O438" s="332">
        <v>1</v>
      </c>
      <c r="P438" s="333">
        <v>291</v>
      </c>
      <c r="Q438" s="333">
        <v>291</v>
      </c>
      <c r="R438" s="266"/>
      <c r="T438" s="4"/>
      <c r="U438" s="128"/>
    </row>
    <row r="439" spans="1:21" ht="18" x14ac:dyDescent="0.3">
      <c r="A439" s="216"/>
      <c r="B439" s="203"/>
      <c r="C439" s="217"/>
      <c r="D439" s="218"/>
      <c r="E439" s="218"/>
      <c r="F439" s="165"/>
      <c r="G439" s="166"/>
      <c r="H439" s="166"/>
      <c r="I439" s="219"/>
      <c r="J439" s="219"/>
      <c r="K439" s="219"/>
      <c r="L439" s="330" t="s">
        <v>1485</v>
      </c>
      <c r="M439" s="331" t="s">
        <v>1565</v>
      </c>
      <c r="N439" s="330" t="s">
        <v>34</v>
      </c>
      <c r="O439" s="332">
        <v>3</v>
      </c>
      <c r="P439" s="333">
        <v>20.09</v>
      </c>
      <c r="Q439" s="333">
        <v>60.26</v>
      </c>
      <c r="R439" s="266"/>
      <c r="T439" s="4"/>
      <c r="U439" s="128"/>
    </row>
    <row r="440" spans="1:21" ht="18" x14ac:dyDescent="0.3">
      <c r="A440" s="216"/>
      <c r="B440" s="203"/>
      <c r="C440" s="217"/>
      <c r="D440" s="218"/>
      <c r="E440" s="218"/>
      <c r="F440" s="165"/>
      <c r="G440" s="166"/>
      <c r="H440" s="166"/>
      <c r="I440" s="219"/>
      <c r="J440" s="219"/>
      <c r="K440" s="219"/>
      <c r="L440" s="330" t="s">
        <v>159</v>
      </c>
      <c r="M440" s="331" t="s">
        <v>160</v>
      </c>
      <c r="N440" s="330" t="s">
        <v>37</v>
      </c>
      <c r="O440" s="332">
        <v>3</v>
      </c>
      <c r="P440" s="333">
        <v>21</v>
      </c>
      <c r="Q440" s="333">
        <v>63</v>
      </c>
      <c r="R440" s="266"/>
      <c r="T440" s="4"/>
      <c r="U440" s="128"/>
    </row>
    <row r="441" spans="1:21" ht="18" x14ac:dyDescent="0.3">
      <c r="A441" s="216"/>
      <c r="B441" s="203"/>
      <c r="C441" s="217"/>
      <c r="D441" s="218"/>
      <c r="E441" s="218"/>
      <c r="F441" s="165"/>
      <c r="G441" s="166"/>
      <c r="H441" s="166"/>
      <c r="I441" s="219"/>
      <c r="J441" s="219"/>
      <c r="K441" s="219"/>
      <c r="L441" s="330" t="s">
        <v>1516</v>
      </c>
      <c r="M441" s="331" t="s">
        <v>1597</v>
      </c>
      <c r="N441" s="330" t="s">
        <v>34</v>
      </c>
      <c r="O441" s="332">
        <v>1</v>
      </c>
      <c r="P441" s="333">
        <v>50.4</v>
      </c>
      <c r="Q441" s="333">
        <v>50.4</v>
      </c>
      <c r="R441" s="266"/>
      <c r="T441" s="4"/>
      <c r="U441" s="128"/>
    </row>
    <row r="442" spans="1:21" ht="18" x14ac:dyDescent="0.3">
      <c r="A442" s="216"/>
      <c r="B442" s="203"/>
      <c r="C442" s="217"/>
      <c r="D442" s="218"/>
      <c r="E442" s="218"/>
      <c r="F442" s="165"/>
      <c r="G442" s="166"/>
      <c r="H442" s="166"/>
      <c r="I442" s="219"/>
      <c r="J442" s="219"/>
      <c r="K442" s="219"/>
      <c r="L442" s="330" t="s">
        <v>1502</v>
      </c>
      <c r="M442" s="331" t="s">
        <v>1582</v>
      </c>
      <c r="N442" s="330" t="s">
        <v>64</v>
      </c>
      <c r="O442" s="332">
        <v>1</v>
      </c>
      <c r="P442" s="333">
        <v>325</v>
      </c>
      <c r="Q442" s="333">
        <v>325</v>
      </c>
      <c r="R442" s="266"/>
      <c r="T442" s="4"/>
      <c r="U442" s="128"/>
    </row>
    <row r="443" spans="1:21" ht="18" x14ac:dyDescent="0.3">
      <c r="A443" s="216"/>
      <c r="B443" s="203"/>
      <c r="C443" s="217"/>
      <c r="D443" s="218"/>
      <c r="E443" s="218"/>
      <c r="F443" s="165"/>
      <c r="G443" s="166"/>
      <c r="H443" s="166"/>
      <c r="I443" s="219"/>
      <c r="J443" s="219"/>
      <c r="K443" s="219"/>
      <c r="L443" s="330" t="s">
        <v>1521</v>
      </c>
      <c r="M443" s="331" t="s">
        <v>1602</v>
      </c>
      <c r="N443" s="330" t="s">
        <v>34</v>
      </c>
      <c r="O443" s="332">
        <v>1</v>
      </c>
      <c r="P443" s="333">
        <v>56.8</v>
      </c>
      <c r="Q443" s="333">
        <v>56.8</v>
      </c>
      <c r="R443" s="266"/>
      <c r="T443" s="4"/>
      <c r="U443" s="128"/>
    </row>
    <row r="444" spans="1:21" ht="18" x14ac:dyDescent="0.3">
      <c r="A444" s="216"/>
      <c r="B444" s="203"/>
      <c r="C444" s="217"/>
      <c r="D444" s="218"/>
      <c r="E444" s="218"/>
      <c r="F444" s="165"/>
      <c r="G444" s="166"/>
      <c r="H444" s="166"/>
      <c r="I444" s="219"/>
      <c r="J444" s="219"/>
      <c r="K444" s="219"/>
      <c r="L444" s="330" t="s">
        <v>1681</v>
      </c>
      <c r="M444" s="331" t="s">
        <v>1699</v>
      </c>
      <c r="N444" s="330" t="s">
        <v>34</v>
      </c>
      <c r="O444" s="332">
        <v>1</v>
      </c>
      <c r="P444" s="333">
        <v>31</v>
      </c>
      <c r="Q444" s="333">
        <v>31</v>
      </c>
      <c r="R444" s="266"/>
      <c r="T444" s="4"/>
      <c r="U444" s="128"/>
    </row>
    <row r="445" spans="1:21" ht="18" x14ac:dyDescent="0.3">
      <c r="A445" s="216"/>
      <c r="B445" s="203"/>
      <c r="C445" s="217"/>
      <c r="D445" s="218"/>
      <c r="E445" s="218"/>
      <c r="F445" s="165"/>
      <c r="G445" s="166"/>
      <c r="H445" s="166"/>
      <c r="I445" s="219"/>
      <c r="J445" s="219"/>
      <c r="K445" s="219"/>
      <c r="L445" s="330" t="s">
        <v>1526</v>
      </c>
      <c r="M445" s="331" t="s">
        <v>1607</v>
      </c>
      <c r="N445" s="330" t="s">
        <v>34</v>
      </c>
      <c r="O445" s="332">
        <v>1</v>
      </c>
      <c r="P445" s="333">
        <v>152.9</v>
      </c>
      <c r="Q445" s="333">
        <v>152.9</v>
      </c>
      <c r="R445" s="266"/>
      <c r="T445" s="4"/>
      <c r="U445" s="128"/>
    </row>
    <row r="446" spans="1:21" ht="18.600000000000001" thickBot="1" x14ac:dyDescent="0.35">
      <c r="A446" s="216"/>
      <c r="B446" s="203"/>
      <c r="C446" s="217"/>
      <c r="D446" s="218"/>
      <c r="E446" s="218"/>
      <c r="F446" s="165"/>
      <c r="G446" s="166"/>
      <c r="H446" s="166"/>
      <c r="I446" s="219"/>
      <c r="J446" s="219"/>
      <c r="K446" s="219"/>
      <c r="L446" s="221"/>
      <c r="M446" s="222"/>
      <c r="N446" s="221"/>
      <c r="O446" s="223"/>
      <c r="P446" s="224"/>
      <c r="Q446" s="224"/>
      <c r="R446" s="266"/>
      <c r="T446" s="4"/>
      <c r="U446" s="128"/>
    </row>
    <row r="447" spans="1:21" ht="21.6" thickBot="1" x14ac:dyDescent="0.35">
      <c r="A447" s="28"/>
      <c r="B447" s="29" t="s">
        <v>29</v>
      </c>
      <c r="C447" s="30"/>
      <c r="D447" s="31">
        <f>SUM(D351:D446)</f>
        <v>0</v>
      </c>
      <c r="E447" s="31"/>
      <c r="F447" s="71"/>
      <c r="G447" s="71"/>
      <c r="H447" s="71"/>
      <c r="I447" s="71"/>
      <c r="J447" s="71"/>
      <c r="K447" s="71"/>
      <c r="L447" s="120"/>
      <c r="M447" s="121"/>
      <c r="N447" s="121"/>
      <c r="O447" s="34"/>
      <c r="P447" s="34"/>
      <c r="Q447" s="34">
        <f>SUM(Q353:Q446)</f>
        <v>30801.329999999994</v>
      </c>
      <c r="R447" s="35"/>
    </row>
    <row r="448" spans="1:21" ht="21.6" thickBot="1" x14ac:dyDescent="0.35">
      <c r="A448" s="36"/>
      <c r="B448" s="37" t="s">
        <v>30</v>
      </c>
      <c r="C448" s="38"/>
      <c r="D448" s="39"/>
      <c r="E448" s="39"/>
      <c r="F448" s="73"/>
      <c r="G448" s="73"/>
      <c r="H448" s="73"/>
      <c r="I448" s="73"/>
      <c r="J448" s="73"/>
      <c r="K448" s="73"/>
      <c r="L448" s="122"/>
      <c r="M448" s="123"/>
      <c r="N448" s="123"/>
      <c r="O448" s="42"/>
      <c r="P448" s="42"/>
      <c r="Q448" s="42">
        <f>Q447+Q352</f>
        <v>606754.6</v>
      </c>
      <c r="R448" s="43"/>
    </row>
    <row r="449" spans="1:18" ht="25.2" customHeight="1" x14ac:dyDescent="0.4">
      <c r="A449" s="288" t="s">
        <v>12</v>
      </c>
      <c r="B449" s="288"/>
      <c r="C449" s="288"/>
      <c r="D449" s="288"/>
      <c r="E449" s="288"/>
      <c r="F449" s="288"/>
      <c r="G449" s="288"/>
      <c r="H449" s="288"/>
      <c r="I449" s="288"/>
      <c r="J449" s="288"/>
      <c r="K449" s="288"/>
      <c r="L449" s="288"/>
      <c r="M449" s="288"/>
      <c r="N449" s="288"/>
      <c r="O449" s="124"/>
      <c r="P449" s="143"/>
      <c r="Q449" s="143"/>
      <c r="R449" s="5"/>
    </row>
    <row r="450" spans="1:18" ht="25.2" customHeight="1" x14ac:dyDescent="0.4">
      <c r="A450" s="288" t="s">
        <v>13</v>
      </c>
      <c r="B450" s="288"/>
      <c r="C450" s="288"/>
      <c r="D450" s="288"/>
      <c r="E450" s="288"/>
      <c r="F450" s="288"/>
      <c r="G450" s="288"/>
      <c r="H450" s="288"/>
      <c r="I450" s="288"/>
      <c r="J450" s="288"/>
      <c r="K450" s="288"/>
      <c r="L450" s="288"/>
      <c r="M450" s="288"/>
      <c r="N450" s="288"/>
      <c r="O450" s="124"/>
      <c r="P450" s="143"/>
      <c r="Q450" s="143"/>
      <c r="R450" s="5"/>
    </row>
    <row r="451" spans="1:18" ht="25.2" customHeight="1" x14ac:dyDescent="0.4">
      <c r="A451" s="290" t="s">
        <v>14</v>
      </c>
      <c r="B451" s="290"/>
      <c r="C451" s="290"/>
      <c r="D451" s="290"/>
      <c r="E451" s="290"/>
      <c r="F451" s="290"/>
      <c r="G451" s="290"/>
      <c r="H451" s="290"/>
      <c r="I451" s="290"/>
      <c r="J451" s="290"/>
      <c r="K451" s="290"/>
      <c r="L451" s="290"/>
      <c r="M451" s="290"/>
      <c r="N451" s="290"/>
      <c r="O451" s="125"/>
      <c r="P451" s="145"/>
      <c r="Q451" s="145"/>
      <c r="R451" s="5"/>
    </row>
    <row r="452" spans="1:18" ht="25.2" customHeight="1" x14ac:dyDescent="0.4">
      <c r="A452" s="288" t="s">
        <v>15</v>
      </c>
      <c r="B452" s="288"/>
      <c r="C452" s="288"/>
      <c r="D452" s="288"/>
      <c r="E452" s="288"/>
      <c r="F452" s="288"/>
      <c r="G452" s="288"/>
      <c r="H452" s="288"/>
      <c r="I452" s="288"/>
      <c r="J452" s="288"/>
      <c r="K452" s="288"/>
      <c r="L452" s="288"/>
      <c r="M452" s="288"/>
      <c r="N452" s="288"/>
      <c r="O452" s="124"/>
      <c r="P452" s="143"/>
      <c r="Q452" s="143"/>
      <c r="R452" s="5"/>
    </row>
    <row r="453" spans="1:18" ht="25.2" customHeight="1" x14ac:dyDescent="0.4">
      <c r="A453" s="288" t="s">
        <v>16</v>
      </c>
      <c r="B453" s="288"/>
      <c r="C453" s="288"/>
      <c r="D453" s="288"/>
      <c r="E453" s="288"/>
      <c r="F453" s="288"/>
      <c r="G453" s="288"/>
      <c r="H453" s="288"/>
      <c r="I453" s="288"/>
      <c r="J453" s="288"/>
      <c r="K453" s="288"/>
      <c r="L453" s="288"/>
      <c r="M453" s="288"/>
      <c r="N453" s="288"/>
      <c r="O453" s="124"/>
      <c r="P453" s="143"/>
      <c r="Q453" s="143"/>
      <c r="R453" s="5"/>
    </row>
    <row r="454" spans="1:18" ht="25.2" customHeight="1" x14ac:dyDescent="0.4">
      <c r="A454" s="288" t="s">
        <v>17</v>
      </c>
      <c r="B454" s="288"/>
      <c r="C454" s="288"/>
      <c r="D454" s="288"/>
      <c r="E454" s="288"/>
      <c r="F454" s="288"/>
      <c r="G454" s="288"/>
      <c r="H454" s="288"/>
      <c r="I454" s="288"/>
      <c r="J454" s="288"/>
      <c r="K454" s="288"/>
      <c r="L454" s="288"/>
      <c r="M454" s="288"/>
      <c r="N454" s="288"/>
      <c r="O454" s="124"/>
      <c r="P454" s="143"/>
      <c r="Q454" s="143"/>
      <c r="R454" s="5"/>
    </row>
    <row r="455" spans="1:18" ht="25.2" customHeight="1" x14ac:dyDescent="0.4">
      <c r="A455" s="288" t="s">
        <v>1852</v>
      </c>
      <c r="B455" s="288"/>
      <c r="C455" s="288"/>
      <c r="D455" s="288"/>
      <c r="E455" s="288"/>
      <c r="F455" s="288"/>
      <c r="G455" s="288"/>
      <c r="H455" s="288"/>
      <c r="I455" s="288"/>
      <c r="J455" s="288"/>
      <c r="K455" s="288"/>
      <c r="L455" s="288"/>
      <c r="M455" s="288"/>
      <c r="N455" s="288"/>
      <c r="O455" s="124"/>
      <c r="P455" s="143"/>
      <c r="Q455" s="143"/>
      <c r="R455" s="5"/>
    </row>
    <row r="456" spans="1:18" ht="25.2" customHeight="1" x14ac:dyDescent="0.4">
      <c r="A456" s="288" t="s">
        <v>17</v>
      </c>
      <c r="B456" s="288"/>
      <c r="C456" s="288"/>
      <c r="D456" s="288"/>
      <c r="E456" s="288"/>
      <c r="F456" s="288"/>
      <c r="G456" s="288"/>
      <c r="H456" s="288"/>
      <c r="I456" s="288"/>
      <c r="J456" s="288"/>
      <c r="K456" s="288"/>
      <c r="L456" s="288"/>
      <c r="M456" s="288"/>
      <c r="N456" s="288"/>
      <c r="O456" s="124"/>
      <c r="P456" s="143"/>
      <c r="Q456" s="143"/>
      <c r="R456" s="5"/>
    </row>
    <row r="457" spans="1:18" ht="25.2" customHeight="1" x14ac:dyDescent="0.4">
      <c r="A457" s="288" t="s">
        <v>19</v>
      </c>
      <c r="B457" s="288"/>
      <c r="C457" s="288"/>
      <c r="D457" s="288"/>
      <c r="E457" s="288"/>
      <c r="F457" s="288"/>
      <c r="G457" s="288"/>
      <c r="H457" s="288"/>
      <c r="I457" s="288"/>
      <c r="J457" s="288"/>
      <c r="K457" s="288"/>
      <c r="L457" s="288"/>
      <c r="M457" s="288"/>
      <c r="N457" s="288"/>
      <c r="O457" s="124"/>
      <c r="P457" s="143"/>
      <c r="Q457" s="143"/>
      <c r="R457" s="5"/>
    </row>
    <row r="458" spans="1:18" ht="25.2" customHeight="1" x14ac:dyDescent="0.4">
      <c r="A458" s="288" t="s">
        <v>11</v>
      </c>
      <c r="B458" s="288"/>
      <c r="C458" s="288"/>
      <c r="D458" s="288"/>
      <c r="E458" s="288"/>
      <c r="F458" s="288"/>
      <c r="G458" s="288"/>
      <c r="H458" s="288"/>
      <c r="I458" s="288"/>
      <c r="J458" s="288"/>
      <c r="K458" s="288"/>
      <c r="L458" s="288"/>
      <c r="M458" s="288"/>
      <c r="N458" s="288"/>
      <c r="O458" s="124"/>
      <c r="P458" s="143"/>
      <c r="Q458" s="143"/>
      <c r="R458" s="5"/>
    </row>
    <row r="459" spans="1:18" ht="25.2" customHeight="1" x14ac:dyDescent="0.4">
      <c r="A459" s="288" t="s">
        <v>1859</v>
      </c>
      <c r="B459" s="288"/>
      <c r="C459" s="288"/>
      <c r="D459" s="288"/>
      <c r="E459" s="288"/>
      <c r="F459" s="288"/>
      <c r="G459" s="288"/>
      <c r="H459" s="288"/>
      <c r="I459" s="288"/>
      <c r="J459" s="288"/>
      <c r="K459" s="288"/>
      <c r="L459" s="288"/>
      <c r="M459" s="288"/>
      <c r="N459" s="288"/>
      <c r="O459" s="124"/>
      <c r="P459" s="143"/>
      <c r="Q459" s="143"/>
      <c r="R459" s="5"/>
    </row>
    <row r="460" spans="1:18" ht="25.2" customHeight="1" x14ac:dyDescent="0.4">
      <c r="A460" s="289" t="s">
        <v>31</v>
      </c>
      <c r="B460" s="289"/>
      <c r="C460" s="289"/>
      <c r="D460" s="289"/>
      <c r="E460" s="289"/>
      <c r="F460" s="289"/>
      <c r="G460" s="289"/>
      <c r="H460" s="289"/>
      <c r="I460" s="289"/>
      <c r="J460" s="289"/>
      <c r="K460" s="289"/>
      <c r="L460" s="289"/>
      <c r="M460" s="289"/>
      <c r="N460" s="289"/>
      <c r="O460" s="126"/>
      <c r="P460" s="144"/>
      <c r="Q460" s="144"/>
      <c r="R460" s="5"/>
    </row>
    <row r="461" spans="1:18" ht="36" customHeight="1" x14ac:dyDescent="0.3"/>
  </sheetData>
  <autoFilter ref="A18:U460" xr:uid="{DE685D05-9FEE-404B-AA01-BE2D5B544193}"/>
  <mergeCells count="36">
    <mergeCell ref="A16:A17"/>
    <mergeCell ref="B16:B17"/>
    <mergeCell ref="A11:R11"/>
    <mergeCell ref="M1:R2"/>
    <mergeCell ref="M4:R4"/>
    <mergeCell ref="M5:R5"/>
    <mergeCell ref="M7:R7"/>
    <mergeCell ref="A10:R10"/>
    <mergeCell ref="R16:R17"/>
    <mergeCell ref="F16:F17"/>
    <mergeCell ref="G16:G17"/>
    <mergeCell ref="H16:H17"/>
    <mergeCell ref="I16:I17"/>
    <mergeCell ref="J16:J17"/>
    <mergeCell ref="K16:K17"/>
    <mergeCell ref="A12:R12"/>
    <mergeCell ref="A13:R13"/>
    <mergeCell ref="A14:Q14"/>
    <mergeCell ref="A15:K15"/>
    <mergeCell ref="L15:R15"/>
    <mergeCell ref="C16:C17"/>
    <mergeCell ref="D16:D17"/>
    <mergeCell ref="A460:N460"/>
    <mergeCell ref="A453:N453"/>
    <mergeCell ref="A454:N454"/>
    <mergeCell ref="A455:N455"/>
    <mergeCell ref="A456:N456"/>
    <mergeCell ref="A457:N457"/>
    <mergeCell ref="A458:N458"/>
    <mergeCell ref="A449:N449"/>
    <mergeCell ref="A450:N450"/>
    <mergeCell ref="A451:N451"/>
    <mergeCell ref="A459:N459"/>
    <mergeCell ref="A452:N452"/>
    <mergeCell ref="E16:E17"/>
    <mergeCell ref="M16:Q16"/>
  </mergeCells>
  <pageMargins left="0.25" right="0.25" top="0.75" bottom="0.75" header="0.3" footer="0.3"/>
  <pageSetup paperSize="9" scale="36" fitToHeight="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7FEF-F07D-44C5-86BB-3B13798B6778}">
  <sheetPr>
    <tabColor rgb="FFFFFF00"/>
    <pageSetUpPr fitToPage="1"/>
  </sheetPr>
  <dimension ref="A1:U453"/>
  <sheetViews>
    <sheetView topLeftCell="E343" zoomScale="68" zoomScaleNormal="68" workbookViewId="0">
      <selection activeCell="Q441" sqref="Q441"/>
    </sheetView>
  </sheetViews>
  <sheetFormatPr defaultRowHeight="14.4" x14ac:dyDescent="0.3"/>
  <cols>
    <col min="1" max="1" width="6.6640625" style="287" customWidth="1"/>
    <col min="2" max="2" width="63.109375" customWidth="1"/>
    <col min="3" max="3" width="10.44140625" style="287" customWidth="1"/>
    <col min="4" max="4" width="11.109375" style="287" customWidth="1"/>
    <col min="5" max="5" width="13.109375" style="287" customWidth="1"/>
    <col min="6" max="6" width="20.109375" style="287" customWidth="1"/>
    <col min="7" max="11" width="13.109375" style="287" customWidth="1"/>
    <col min="12" max="12" width="17.33203125" style="4" customWidth="1"/>
    <col min="13" max="13" width="61" style="4" customWidth="1"/>
    <col min="14" max="15" width="11.6640625" style="4" customWidth="1"/>
    <col min="16" max="16" width="19.77734375" style="4" customWidth="1"/>
    <col min="17" max="17" width="15.44140625" style="4" bestFit="1" customWidth="1"/>
    <col min="18" max="18" width="35.44140625" customWidth="1"/>
    <col min="19" max="19" width="12.109375" bestFit="1" customWidth="1"/>
    <col min="21" max="21" width="9.88671875" bestFit="1" customWidth="1"/>
  </cols>
  <sheetData>
    <row r="1" spans="1:20" ht="15.75" customHeight="1" x14ac:dyDescent="0.3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06" t="s">
        <v>26</v>
      </c>
      <c r="N1" s="306"/>
      <c r="O1" s="306"/>
      <c r="P1" s="306"/>
      <c r="Q1" s="306"/>
      <c r="R1" s="306"/>
      <c r="S1" s="13"/>
      <c r="T1" s="13"/>
    </row>
    <row r="2" spans="1:20" ht="15" customHeight="1" x14ac:dyDescent="0.3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07"/>
      <c r="N2" s="307"/>
      <c r="O2" s="307"/>
      <c r="P2" s="307"/>
      <c r="Q2" s="307"/>
      <c r="R2" s="307"/>
      <c r="S2" s="13"/>
      <c r="T2" s="13"/>
    </row>
    <row r="3" spans="1:20" ht="15.6" x14ac:dyDescent="0.3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19"/>
      <c r="N3" s="119"/>
      <c r="O3" s="119"/>
      <c r="P3" s="283"/>
      <c r="Q3" s="283"/>
      <c r="R3" s="283"/>
      <c r="S3" s="13"/>
      <c r="T3" s="13"/>
    </row>
    <row r="4" spans="1:20" ht="23.4" x14ac:dyDescent="0.4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08" t="s">
        <v>27</v>
      </c>
      <c r="N4" s="308"/>
      <c r="O4" s="308"/>
      <c r="P4" s="308"/>
      <c r="Q4" s="308"/>
      <c r="R4" s="308"/>
      <c r="S4" s="13"/>
      <c r="T4" s="13"/>
    </row>
    <row r="5" spans="1:20" ht="21" x14ac:dyDescent="0.4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09" t="s">
        <v>28</v>
      </c>
      <c r="N5" s="309"/>
      <c r="O5" s="309"/>
      <c r="P5" s="309"/>
      <c r="Q5" s="309"/>
      <c r="R5" s="309"/>
      <c r="S5" s="13"/>
      <c r="T5" s="13"/>
    </row>
    <row r="6" spans="1:20" ht="15.6" x14ac:dyDescent="0.3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9"/>
      <c r="O6" s="9"/>
      <c r="P6" s="10"/>
      <c r="Q6" s="11"/>
      <c r="R6" s="12"/>
      <c r="S6" s="13"/>
      <c r="T6" s="13"/>
    </row>
    <row r="7" spans="1:20" ht="18" x14ac:dyDescent="0.35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10" t="s">
        <v>33</v>
      </c>
      <c r="N7" s="310"/>
      <c r="O7" s="310"/>
      <c r="P7" s="310"/>
      <c r="Q7" s="310"/>
      <c r="R7" s="310"/>
      <c r="S7" s="13"/>
      <c r="T7" s="13"/>
    </row>
    <row r="8" spans="1:20" ht="15.6" x14ac:dyDescent="0.3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S8" s="13"/>
      <c r="T8" s="13"/>
    </row>
    <row r="9" spans="1:20" ht="15.6" x14ac:dyDescent="0.3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S9" s="13"/>
      <c r="T9" s="13"/>
    </row>
    <row r="10" spans="1:20" ht="18" customHeight="1" x14ac:dyDescent="0.3">
      <c r="A10" s="305" t="s">
        <v>0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13"/>
      <c r="T10" s="13"/>
    </row>
    <row r="11" spans="1:20" ht="18" customHeight="1" x14ac:dyDescent="0.3">
      <c r="A11" s="305" t="s">
        <v>1</v>
      </c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13"/>
      <c r="T11" s="13"/>
    </row>
    <row r="12" spans="1:20" ht="18" customHeight="1" x14ac:dyDescent="0.3">
      <c r="A12" s="305" t="s">
        <v>2</v>
      </c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13"/>
      <c r="T12" s="13"/>
    </row>
    <row r="13" spans="1:20" ht="63.6" customHeight="1" x14ac:dyDescent="0.3">
      <c r="A13" s="311" t="s">
        <v>1893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</row>
    <row r="14" spans="1:20" ht="27" customHeight="1" thickBot="1" x14ac:dyDescent="0.35">
      <c r="A14" s="313" t="s">
        <v>36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  <c r="Q14" s="313"/>
    </row>
    <row r="15" spans="1:20" ht="30.6" customHeight="1" thickBot="1" x14ac:dyDescent="0.35">
      <c r="A15" s="314" t="s">
        <v>24</v>
      </c>
      <c r="B15" s="315"/>
      <c r="C15" s="315"/>
      <c r="D15" s="315"/>
      <c r="E15" s="315"/>
      <c r="F15" s="315"/>
      <c r="G15" s="315"/>
      <c r="H15" s="315"/>
      <c r="I15" s="315"/>
      <c r="J15" s="315"/>
      <c r="K15" s="315"/>
      <c r="L15" s="316" t="s">
        <v>25</v>
      </c>
      <c r="M15" s="317"/>
      <c r="N15" s="317"/>
      <c r="O15" s="317"/>
      <c r="P15" s="317"/>
      <c r="Q15" s="317"/>
      <c r="R15" s="318"/>
    </row>
    <row r="16" spans="1:20" ht="15" customHeight="1" x14ac:dyDescent="0.3">
      <c r="A16" s="298" t="s">
        <v>3</v>
      </c>
      <c r="B16" s="300" t="s">
        <v>4</v>
      </c>
      <c r="C16" s="300"/>
      <c r="D16" s="293" t="s">
        <v>5</v>
      </c>
      <c r="E16" s="300" t="s">
        <v>6</v>
      </c>
      <c r="F16" s="291"/>
      <c r="G16" s="293"/>
      <c r="H16" s="293"/>
      <c r="I16" s="294"/>
      <c r="J16" s="293" t="s">
        <v>21</v>
      </c>
      <c r="K16" s="296" t="s">
        <v>22</v>
      </c>
      <c r="L16" s="16"/>
      <c r="M16" s="302" t="s">
        <v>7</v>
      </c>
      <c r="N16" s="303"/>
      <c r="O16" s="303"/>
      <c r="P16" s="303"/>
      <c r="Q16" s="304"/>
      <c r="R16" s="296" t="s">
        <v>8</v>
      </c>
    </row>
    <row r="17" spans="1:21" ht="34.200000000000003" customHeight="1" x14ac:dyDescent="0.3">
      <c r="A17" s="299"/>
      <c r="B17" s="301"/>
      <c r="C17" s="301"/>
      <c r="D17" s="292"/>
      <c r="E17" s="301"/>
      <c r="F17" s="292"/>
      <c r="G17" s="292"/>
      <c r="H17" s="292"/>
      <c r="I17" s="295"/>
      <c r="J17" s="292"/>
      <c r="K17" s="297"/>
      <c r="L17" s="17" t="s">
        <v>20</v>
      </c>
      <c r="M17" s="14" t="s">
        <v>9</v>
      </c>
      <c r="N17" s="18" t="s">
        <v>10</v>
      </c>
      <c r="O17" s="7" t="s">
        <v>6</v>
      </c>
      <c r="P17" s="8" t="s">
        <v>21</v>
      </c>
      <c r="Q17" s="8" t="s">
        <v>22</v>
      </c>
      <c r="R17" s="297"/>
    </row>
    <row r="18" spans="1:21" ht="15" thickBot="1" x14ac:dyDescent="0.35">
      <c r="A18" s="21">
        <v>1</v>
      </c>
      <c r="B18" s="22">
        <v>2</v>
      </c>
      <c r="C18" s="22"/>
      <c r="D18" s="22">
        <v>3</v>
      </c>
      <c r="E18" s="22">
        <v>4</v>
      </c>
      <c r="F18" s="22"/>
      <c r="G18" s="22"/>
      <c r="H18" s="22"/>
      <c r="I18" s="74"/>
      <c r="J18" s="22">
        <v>5</v>
      </c>
      <c r="K18" s="23">
        <v>6</v>
      </c>
      <c r="L18" s="83">
        <v>7</v>
      </c>
      <c r="M18" s="7">
        <v>8</v>
      </c>
      <c r="N18" s="7">
        <v>9</v>
      </c>
      <c r="O18" s="7">
        <v>10</v>
      </c>
      <c r="P18" s="7">
        <v>11</v>
      </c>
      <c r="Q18" s="7">
        <v>12</v>
      </c>
      <c r="R18" s="127">
        <v>13</v>
      </c>
      <c r="U18" s="128"/>
    </row>
    <row r="19" spans="1:21" ht="33.6" customHeight="1" x14ac:dyDescent="0.3">
      <c r="A19" s="60"/>
      <c r="B19" s="80" t="s">
        <v>1894</v>
      </c>
      <c r="C19" s="80"/>
      <c r="D19" s="80" t="s">
        <v>34</v>
      </c>
      <c r="E19" s="80">
        <v>1</v>
      </c>
      <c r="F19" s="69"/>
      <c r="G19" s="69"/>
      <c r="H19" s="69"/>
      <c r="I19" s="69"/>
      <c r="J19" s="69"/>
      <c r="K19" s="69"/>
      <c r="L19" s="336" t="s">
        <v>1862</v>
      </c>
      <c r="M19" s="337" t="s">
        <v>1878</v>
      </c>
      <c r="N19" s="336" t="s">
        <v>34</v>
      </c>
      <c r="O19" s="338">
        <v>1</v>
      </c>
      <c r="P19" s="339">
        <v>96.77</v>
      </c>
      <c r="Q19" s="339">
        <v>96.77</v>
      </c>
      <c r="R19" s="181"/>
      <c r="U19" s="128"/>
    </row>
    <row r="20" spans="1:21" ht="15.6" x14ac:dyDescent="0.3">
      <c r="A20" s="51"/>
      <c r="B20" s="59"/>
      <c r="C20" s="47"/>
      <c r="D20" s="61"/>
      <c r="E20" s="62"/>
      <c r="F20" s="75"/>
      <c r="G20" s="76"/>
      <c r="H20" s="76"/>
      <c r="I20" s="48"/>
      <c r="J20" s="48"/>
      <c r="K20" s="48"/>
      <c r="L20" s="336" t="s">
        <v>977</v>
      </c>
      <c r="M20" s="337" t="s">
        <v>1057</v>
      </c>
      <c r="N20" s="336" t="s">
        <v>34</v>
      </c>
      <c r="O20" s="338">
        <v>105</v>
      </c>
      <c r="P20" s="339">
        <v>3.94</v>
      </c>
      <c r="Q20" s="339">
        <v>413.7</v>
      </c>
      <c r="R20" s="182"/>
      <c r="U20" s="128"/>
    </row>
    <row r="21" spans="1:21" ht="15.6" x14ac:dyDescent="0.3">
      <c r="A21" s="51"/>
      <c r="B21" s="59"/>
      <c r="C21" s="47"/>
      <c r="D21" s="61"/>
      <c r="E21" s="62"/>
      <c r="F21" s="75"/>
      <c r="G21" s="76"/>
      <c r="H21" s="76"/>
      <c r="I21" s="48"/>
      <c r="J21" s="48"/>
      <c r="K21" s="48"/>
      <c r="L21" s="336" t="s">
        <v>978</v>
      </c>
      <c r="M21" s="337" t="s">
        <v>1058</v>
      </c>
      <c r="N21" s="336" t="s">
        <v>34</v>
      </c>
      <c r="O21" s="338">
        <v>205</v>
      </c>
      <c r="P21" s="339">
        <v>2.4300000000000002</v>
      </c>
      <c r="Q21" s="339">
        <v>498.15</v>
      </c>
      <c r="R21" s="182"/>
      <c r="U21" s="128"/>
    </row>
    <row r="22" spans="1:21" ht="15.6" x14ac:dyDescent="0.3">
      <c r="A22" s="53"/>
      <c r="B22" s="54"/>
      <c r="C22" s="54"/>
      <c r="D22" s="54"/>
      <c r="E22" s="55"/>
      <c r="F22" s="75"/>
      <c r="G22" s="76"/>
      <c r="H22" s="76"/>
      <c r="I22" s="48"/>
      <c r="J22" s="70"/>
      <c r="K22" s="70"/>
      <c r="L22" s="336" t="s">
        <v>941</v>
      </c>
      <c r="M22" s="337" t="s">
        <v>1040</v>
      </c>
      <c r="N22" s="336" t="s">
        <v>903</v>
      </c>
      <c r="O22" s="338">
        <v>0.15</v>
      </c>
      <c r="P22" s="340">
        <v>10651.4</v>
      </c>
      <c r="Q22" s="340">
        <v>1597.71</v>
      </c>
      <c r="R22" s="182"/>
      <c r="U22" s="128"/>
    </row>
    <row r="23" spans="1:21" ht="15.6" x14ac:dyDescent="0.3">
      <c r="A23" s="53"/>
      <c r="B23" s="54"/>
      <c r="C23" s="54"/>
      <c r="D23" s="54"/>
      <c r="E23" s="55"/>
      <c r="F23" s="75"/>
      <c r="G23" s="76"/>
      <c r="H23" s="76"/>
      <c r="I23" s="48"/>
      <c r="J23" s="70"/>
      <c r="K23" s="70"/>
      <c r="L23" s="336" t="s">
        <v>942</v>
      </c>
      <c r="M23" s="337" t="s">
        <v>740</v>
      </c>
      <c r="N23" s="336" t="s">
        <v>903</v>
      </c>
      <c r="O23" s="338">
        <v>1.84</v>
      </c>
      <c r="P23" s="340">
        <v>10651.4</v>
      </c>
      <c r="Q23" s="340">
        <v>19598.580000000002</v>
      </c>
      <c r="R23" s="182"/>
      <c r="U23" s="128"/>
    </row>
    <row r="24" spans="1:21" ht="15.6" x14ac:dyDescent="0.3">
      <c r="A24" s="53"/>
      <c r="B24" s="54"/>
      <c r="C24" s="54"/>
      <c r="D24" s="54"/>
      <c r="E24" s="55"/>
      <c r="F24" s="75"/>
      <c r="G24" s="76"/>
      <c r="H24" s="76"/>
      <c r="I24" s="48"/>
      <c r="J24" s="70"/>
      <c r="K24" s="70"/>
      <c r="L24" s="336" t="s">
        <v>1283</v>
      </c>
      <c r="M24" s="337" t="s">
        <v>1318</v>
      </c>
      <c r="N24" s="336" t="s">
        <v>903</v>
      </c>
      <c r="O24" s="338">
        <v>1</v>
      </c>
      <c r="P24" s="340">
        <v>10416.67</v>
      </c>
      <c r="Q24" s="340">
        <v>10416.67</v>
      </c>
      <c r="R24" s="182"/>
      <c r="U24" s="128"/>
    </row>
    <row r="25" spans="1:21" ht="15.6" x14ac:dyDescent="0.3">
      <c r="A25" s="53"/>
      <c r="B25" s="54"/>
      <c r="C25" s="54"/>
      <c r="D25" s="54"/>
      <c r="E25" s="55"/>
      <c r="F25" s="75"/>
      <c r="G25" s="76"/>
      <c r="H25" s="76"/>
      <c r="I25" s="48"/>
      <c r="J25" s="70"/>
      <c r="K25" s="70"/>
      <c r="L25" s="336" t="s">
        <v>1863</v>
      </c>
      <c r="M25" s="337" t="s">
        <v>1879</v>
      </c>
      <c r="N25" s="336" t="s">
        <v>903</v>
      </c>
      <c r="O25" s="338">
        <v>0.11</v>
      </c>
      <c r="P25" s="340">
        <v>12500</v>
      </c>
      <c r="Q25" s="340">
        <v>1375</v>
      </c>
      <c r="R25" s="182"/>
      <c r="U25" s="128"/>
    </row>
    <row r="26" spans="1:21" ht="15.6" x14ac:dyDescent="0.3">
      <c r="A26" s="53"/>
      <c r="B26" s="54"/>
      <c r="C26" s="54"/>
      <c r="D26" s="54"/>
      <c r="E26" s="55"/>
      <c r="F26" s="75"/>
      <c r="G26" s="76"/>
      <c r="H26" s="76"/>
      <c r="I26" s="48"/>
      <c r="J26" s="70"/>
      <c r="K26" s="70"/>
      <c r="L26" s="336" t="s">
        <v>943</v>
      </c>
      <c r="M26" s="337" t="s">
        <v>745</v>
      </c>
      <c r="N26" s="336" t="s">
        <v>903</v>
      </c>
      <c r="O26" s="338">
        <v>0.15</v>
      </c>
      <c r="P26" s="340">
        <v>9590</v>
      </c>
      <c r="Q26" s="340">
        <v>1438.5</v>
      </c>
      <c r="R26" s="182"/>
      <c r="U26" s="128"/>
    </row>
    <row r="27" spans="1:21" ht="15.6" x14ac:dyDescent="0.3">
      <c r="A27" s="53"/>
      <c r="B27" s="54"/>
      <c r="C27" s="54"/>
      <c r="D27" s="54"/>
      <c r="E27" s="55"/>
      <c r="F27" s="75"/>
      <c r="G27" s="76"/>
      <c r="H27" s="76"/>
      <c r="I27" s="48"/>
      <c r="J27" s="70"/>
      <c r="K27" s="70"/>
      <c r="L27" s="336" t="s">
        <v>1023</v>
      </c>
      <c r="M27" s="337" t="s">
        <v>70</v>
      </c>
      <c r="N27" s="336" t="s">
        <v>56</v>
      </c>
      <c r="O27" s="338">
        <v>0.13</v>
      </c>
      <c r="P27" s="340">
        <v>27143</v>
      </c>
      <c r="Q27" s="340">
        <v>3528.59</v>
      </c>
      <c r="R27" s="182"/>
      <c r="U27" s="128"/>
    </row>
    <row r="28" spans="1:21" ht="15.6" x14ac:dyDescent="0.3">
      <c r="A28" s="53"/>
      <c r="B28" s="54"/>
      <c r="C28" s="54"/>
      <c r="D28" s="54"/>
      <c r="E28" s="55"/>
      <c r="F28" s="75"/>
      <c r="G28" s="76"/>
      <c r="H28" s="76"/>
      <c r="I28" s="48"/>
      <c r="J28" s="70"/>
      <c r="K28" s="70"/>
      <c r="L28" s="336" t="s">
        <v>1024</v>
      </c>
      <c r="M28" s="337" t="s">
        <v>71</v>
      </c>
      <c r="N28" s="336" t="s">
        <v>56</v>
      </c>
      <c r="O28" s="338">
        <v>0.12</v>
      </c>
      <c r="P28" s="340">
        <v>43560</v>
      </c>
      <c r="Q28" s="340">
        <v>5227.2</v>
      </c>
      <c r="R28" s="182"/>
      <c r="U28" s="128"/>
    </row>
    <row r="29" spans="1:21" ht="15.6" x14ac:dyDescent="0.3">
      <c r="A29" s="53"/>
      <c r="B29" s="54"/>
      <c r="C29" s="54"/>
      <c r="D29" s="54"/>
      <c r="E29" s="55"/>
      <c r="F29" s="75"/>
      <c r="G29" s="76"/>
      <c r="H29" s="76"/>
      <c r="I29" s="48"/>
      <c r="J29" s="70"/>
      <c r="K29" s="70"/>
      <c r="L29" s="336" t="s">
        <v>1025</v>
      </c>
      <c r="M29" s="337" t="s">
        <v>72</v>
      </c>
      <c r="N29" s="336" t="s">
        <v>56</v>
      </c>
      <c r="O29" s="338">
        <v>1.7999999999999999E-2</v>
      </c>
      <c r="P29" s="340">
        <v>67490</v>
      </c>
      <c r="Q29" s="340">
        <v>1214.82</v>
      </c>
      <c r="R29" s="182"/>
      <c r="U29" s="128"/>
    </row>
    <row r="30" spans="1:21" ht="15.6" x14ac:dyDescent="0.3">
      <c r="A30" s="53"/>
      <c r="B30" s="54"/>
      <c r="C30" s="54"/>
      <c r="D30" s="54"/>
      <c r="E30" s="55"/>
      <c r="F30" s="75"/>
      <c r="G30" s="76"/>
      <c r="H30" s="76"/>
      <c r="I30" s="48"/>
      <c r="J30" s="70"/>
      <c r="K30" s="70"/>
      <c r="L30" s="336" t="s">
        <v>979</v>
      </c>
      <c r="M30" s="337" t="s">
        <v>73</v>
      </c>
      <c r="N30" s="336" t="s">
        <v>34</v>
      </c>
      <c r="O30" s="338">
        <v>4</v>
      </c>
      <c r="P30" s="339">
        <v>377.87</v>
      </c>
      <c r="Q30" s="340">
        <v>1511.48</v>
      </c>
      <c r="R30" s="182"/>
      <c r="U30" s="128"/>
    </row>
    <row r="31" spans="1:21" ht="15.6" x14ac:dyDescent="0.3">
      <c r="A31" s="53"/>
      <c r="B31" s="54"/>
      <c r="C31" s="54"/>
      <c r="D31" s="54"/>
      <c r="E31" s="55"/>
      <c r="F31" s="75"/>
      <c r="G31" s="76"/>
      <c r="H31" s="76"/>
      <c r="I31" s="48"/>
      <c r="J31" s="70"/>
      <c r="K31" s="70"/>
      <c r="L31" s="336" t="s">
        <v>1099</v>
      </c>
      <c r="M31" s="337" t="s">
        <v>1100</v>
      </c>
      <c r="N31" s="336" t="s">
        <v>34</v>
      </c>
      <c r="O31" s="338">
        <v>1</v>
      </c>
      <c r="P31" s="339">
        <v>35</v>
      </c>
      <c r="Q31" s="339">
        <v>35</v>
      </c>
      <c r="R31" s="182"/>
      <c r="U31" s="128"/>
    </row>
    <row r="32" spans="1:21" ht="15.6" x14ac:dyDescent="0.3">
      <c r="A32" s="53"/>
      <c r="B32" s="54"/>
      <c r="C32" s="54"/>
      <c r="D32" s="54"/>
      <c r="E32" s="55"/>
      <c r="F32" s="75"/>
      <c r="G32" s="76"/>
      <c r="H32" s="76"/>
      <c r="I32" s="48"/>
      <c r="J32" s="70"/>
      <c r="K32" s="70"/>
      <c r="L32" s="336" t="s">
        <v>1864</v>
      </c>
      <c r="M32" s="337" t="s">
        <v>279</v>
      </c>
      <c r="N32" s="336" t="s">
        <v>34</v>
      </c>
      <c r="O32" s="338">
        <v>1.46</v>
      </c>
      <c r="P32" s="339">
        <v>69.38</v>
      </c>
      <c r="Q32" s="339">
        <v>101.29</v>
      </c>
      <c r="R32" s="182"/>
      <c r="U32" s="128"/>
    </row>
    <row r="33" spans="1:21" ht="15.6" x14ac:dyDescent="0.3">
      <c r="A33" s="53"/>
      <c r="B33" s="54"/>
      <c r="C33" s="54"/>
      <c r="D33" s="54"/>
      <c r="E33" s="55"/>
      <c r="F33" s="75"/>
      <c r="G33" s="76"/>
      <c r="H33" s="76"/>
      <c r="I33" s="48"/>
      <c r="J33" s="70"/>
      <c r="K33" s="70"/>
      <c r="L33" s="336" t="s">
        <v>1865</v>
      </c>
      <c r="M33" s="337" t="s">
        <v>1880</v>
      </c>
      <c r="N33" s="336" t="s">
        <v>34</v>
      </c>
      <c r="O33" s="338">
        <v>3.08</v>
      </c>
      <c r="P33" s="339">
        <v>56</v>
      </c>
      <c r="Q33" s="339">
        <v>172.48</v>
      </c>
      <c r="R33" s="182"/>
      <c r="U33" s="128"/>
    </row>
    <row r="34" spans="1:21" ht="15.6" x14ac:dyDescent="0.3">
      <c r="A34" s="53"/>
      <c r="B34" s="54"/>
      <c r="C34" s="54"/>
      <c r="D34" s="54"/>
      <c r="E34" s="55"/>
      <c r="F34" s="75"/>
      <c r="G34" s="76"/>
      <c r="H34" s="76"/>
      <c r="I34" s="48"/>
      <c r="J34" s="70"/>
      <c r="K34" s="70"/>
      <c r="L34" s="336" t="s">
        <v>980</v>
      </c>
      <c r="M34" s="337" t="s">
        <v>284</v>
      </c>
      <c r="N34" s="336" t="s">
        <v>34</v>
      </c>
      <c r="O34" s="338">
        <v>7</v>
      </c>
      <c r="P34" s="339">
        <v>84.36</v>
      </c>
      <c r="Q34" s="339">
        <v>590.52</v>
      </c>
      <c r="R34" s="182"/>
      <c r="U34" s="128"/>
    </row>
    <row r="35" spans="1:21" ht="15.6" x14ac:dyDescent="0.3">
      <c r="A35" s="53"/>
      <c r="B35" s="54"/>
      <c r="C35" s="54"/>
      <c r="D35" s="54"/>
      <c r="E35" s="55"/>
      <c r="F35" s="75"/>
      <c r="G35" s="76"/>
      <c r="H35" s="76"/>
      <c r="I35" s="48"/>
      <c r="J35" s="70"/>
      <c r="K35" s="70"/>
      <c r="L35" s="336" t="s">
        <v>1092</v>
      </c>
      <c r="M35" s="337" t="s">
        <v>1096</v>
      </c>
      <c r="N35" s="336" t="s">
        <v>34</v>
      </c>
      <c r="O35" s="338">
        <v>1</v>
      </c>
      <c r="P35" s="339">
        <v>128.24</v>
      </c>
      <c r="Q35" s="339">
        <v>128.24</v>
      </c>
      <c r="R35" s="182"/>
      <c r="U35" s="128"/>
    </row>
    <row r="36" spans="1:21" ht="15.6" x14ac:dyDescent="0.3">
      <c r="A36" s="53"/>
      <c r="B36" s="54"/>
      <c r="C36" s="54"/>
      <c r="D36" s="54"/>
      <c r="E36" s="55"/>
      <c r="F36" s="75"/>
      <c r="G36" s="76"/>
      <c r="H36" s="76"/>
      <c r="I36" s="48"/>
      <c r="J36" s="70"/>
      <c r="K36" s="70"/>
      <c r="L36" s="336" t="s">
        <v>981</v>
      </c>
      <c r="M36" s="337" t="s">
        <v>285</v>
      </c>
      <c r="N36" s="336" t="s">
        <v>34</v>
      </c>
      <c r="O36" s="338">
        <v>1</v>
      </c>
      <c r="P36" s="339">
        <v>84.9</v>
      </c>
      <c r="Q36" s="339">
        <v>84.9</v>
      </c>
      <c r="R36" s="182"/>
      <c r="U36" s="128"/>
    </row>
    <row r="37" spans="1:21" ht="15.6" x14ac:dyDescent="0.3">
      <c r="A37" s="53"/>
      <c r="B37" s="54"/>
      <c r="C37" s="54"/>
      <c r="D37" s="54"/>
      <c r="E37" s="55"/>
      <c r="F37" s="75"/>
      <c r="G37" s="76"/>
      <c r="H37" s="76"/>
      <c r="I37" s="48"/>
      <c r="J37" s="70"/>
      <c r="K37" s="70"/>
      <c r="L37" s="336" t="s">
        <v>982</v>
      </c>
      <c r="M37" s="337" t="s">
        <v>751</v>
      </c>
      <c r="N37" s="336" t="s">
        <v>34</v>
      </c>
      <c r="O37" s="338">
        <v>4</v>
      </c>
      <c r="P37" s="339">
        <v>15.5</v>
      </c>
      <c r="Q37" s="339">
        <v>62</v>
      </c>
      <c r="R37" s="182"/>
      <c r="U37" s="128"/>
    </row>
    <row r="38" spans="1:21" ht="15.6" x14ac:dyDescent="0.3">
      <c r="A38" s="53"/>
      <c r="B38" s="54"/>
      <c r="C38" s="54"/>
      <c r="D38" s="54"/>
      <c r="E38" s="55"/>
      <c r="F38" s="75"/>
      <c r="G38" s="76"/>
      <c r="H38" s="76"/>
      <c r="I38" s="48"/>
      <c r="J38" s="70"/>
      <c r="K38" s="70"/>
      <c r="L38" s="336" t="s">
        <v>752</v>
      </c>
      <c r="M38" s="337" t="s">
        <v>753</v>
      </c>
      <c r="N38" s="336" t="s">
        <v>68</v>
      </c>
      <c r="O38" s="338">
        <v>1.1200000000000001</v>
      </c>
      <c r="P38" s="340">
        <v>5053.1400000000003</v>
      </c>
      <c r="Q38" s="340">
        <v>5659.52</v>
      </c>
      <c r="R38" s="182"/>
      <c r="U38" s="128"/>
    </row>
    <row r="39" spans="1:21" ht="15.6" x14ac:dyDescent="0.3">
      <c r="A39" s="53"/>
      <c r="B39" s="54"/>
      <c r="C39" s="54"/>
      <c r="D39" s="54"/>
      <c r="E39" s="55"/>
      <c r="F39" s="75"/>
      <c r="G39" s="76"/>
      <c r="H39" s="76"/>
      <c r="I39" s="48"/>
      <c r="J39" s="70"/>
      <c r="K39" s="70"/>
      <c r="L39" s="336" t="s">
        <v>1120</v>
      </c>
      <c r="M39" s="337" t="s">
        <v>1206</v>
      </c>
      <c r="N39" s="336" t="s">
        <v>35</v>
      </c>
      <c r="O39" s="338">
        <v>10</v>
      </c>
      <c r="P39" s="339">
        <v>133.30000000000001</v>
      </c>
      <c r="Q39" s="340">
        <v>1333</v>
      </c>
      <c r="R39" s="182"/>
      <c r="U39" s="128"/>
    </row>
    <row r="40" spans="1:21" ht="15.6" x14ac:dyDescent="0.3">
      <c r="A40" s="53"/>
      <c r="B40" s="54"/>
      <c r="C40" s="54"/>
      <c r="D40" s="54"/>
      <c r="E40" s="55"/>
      <c r="F40" s="75"/>
      <c r="G40" s="76"/>
      <c r="H40" s="76"/>
      <c r="I40" s="48"/>
      <c r="J40" s="70"/>
      <c r="K40" s="70"/>
      <c r="L40" s="336" t="s">
        <v>967</v>
      </c>
      <c r="M40" s="337" t="s">
        <v>1056</v>
      </c>
      <c r="N40" s="336" t="s">
        <v>34</v>
      </c>
      <c r="O40" s="341">
        <v>1200</v>
      </c>
      <c r="P40" s="339">
        <v>0.43</v>
      </c>
      <c r="Q40" s="339">
        <v>516</v>
      </c>
      <c r="R40" s="182"/>
      <c r="U40" s="128"/>
    </row>
    <row r="41" spans="1:21" ht="15.6" x14ac:dyDescent="0.3">
      <c r="A41" s="53"/>
      <c r="B41" s="54"/>
      <c r="C41" s="54"/>
      <c r="D41" s="54"/>
      <c r="E41" s="55"/>
      <c r="F41" s="75"/>
      <c r="G41" s="76"/>
      <c r="H41" s="76"/>
      <c r="I41" s="48"/>
      <c r="J41" s="70"/>
      <c r="K41" s="70"/>
      <c r="L41" s="336" t="s">
        <v>968</v>
      </c>
      <c r="M41" s="337" t="s">
        <v>756</v>
      </c>
      <c r="N41" s="336" t="s">
        <v>34</v>
      </c>
      <c r="O41" s="338">
        <v>2</v>
      </c>
      <c r="P41" s="339">
        <v>1.47</v>
      </c>
      <c r="Q41" s="339">
        <v>2.94</v>
      </c>
      <c r="R41" s="182"/>
      <c r="U41" s="128"/>
    </row>
    <row r="42" spans="1:21" ht="15.6" x14ac:dyDescent="0.3">
      <c r="A42" s="53"/>
      <c r="B42" s="54"/>
      <c r="C42" s="54"/>
      <c r="D42" s="54"/>
      <c r="E42" s="55"/>
      <c r="F42" s="75"/>
      <c r="G42" s="76"/>
      <c r="H42" s="76"/>
      <c r="I42" s="48"/>
      <c r="J42" s="70"/>
      <c r="K42" s="70"/>
      <c r="L42" s="336" t="s">
        <v>969</v>
      </c>
      <c r="M42" s="337" t="s">
        <v>75</v>
      </c>
      <c r="N42" s="336" t="s">
        <v>34</v>
      </c>
      <c r="O42" s="338">
        <v>49</v>
      </c>
      <c r="P42" s="339">
        <v>1.92</v>
      </c>
      <c r="Q42" s="339">
        <v>93.96</v>
      </c>
      <c r="R42" s="182"/>
      <c r="U42" s="128"/>
    </row>
    <row r="43" spans="1:21" ht="15.6" x14ac:dyDescent="0.3">
      <c r="A43" s="53"/>
      <c r="B43" s="54"/>
      <c r="C43" s="54"/>
      <c r="D43" s="54"/>
      <c r="E43" s="55"/>
      <c r="F43" s="75"/>
      <c r="G43" s="76"/>
      <c r="H43" s="76"/>
      <c r="I43" s="48"/>
      <c r="J43" s="70"/>
      <c r="K43" s="70"/>
      <c r="L43" s="336" t="s">
        <v>970</v>
      </c>
      <c r="M43" s="337" t="s">
        <v>294</v>
      </c>
      <c r="N43" s="336" t="s">
        <v>34</v>
      </c>
      <c r="O43" s="338">
        <v>3</v>
      </c>
      <c r="P43" s="339">
        <v>178.9</v>
      </c>
      <c r="Q43" s="339">
        <v>536.70000000000005</v>
      </c>
      <c r="R43" s="182"/>
      <c r="U43" s="128"/>
    </row>
    <row r="44" spans="1:21" ht="15.6" x14ac:dyDescent="0.3">
      <c r="A44" s="53"/>
      <c r="B44" s="54"/>
      <c r="C44" s="54"/>
      <c r="D44" s="54"/>
      <c r="E44" s="55"/>
      <c r="F44" s="75"/>
      <c r="G44" s="76"/>
      <c r="H44" s="76"/>
      <c r="I44" s="48"/>
      <c r="J44" s="70"/>
      <c r="K44" s="70"/>
      <c r="L44" s="336" t="s">
        <v>971</v>
      </c>
      <c r="M44" s="337" t="s">
        <v>296</v>
      </c>
      <c r="N44" s="336" t="s">
        <v>34</v>
      </c>
      <c r="O44" s="338">
        <v>3</v>
      </c>
      <c r="P44" s="339">
        <v>136.6</v>
      </c>
      <c r="Q44" s="339">
        <v>409.8</v>
      </c>
      <c r="R44" s="182"/>
      <c r="U44" s="128"/>
    </row>
    <row r="45" spans="1:21" ht="15.6" x14ac:dyDescent="0.3">
      <c r="A45" s="53"/>
      <c r="B45" s="54"/>
      <c r="C45" s="54"/>
      <c r="D45" s="54"/>
      <c r="E45" s="55"/>
      <c r="F45" s="75"/>
      <c r="G45" s="76"/>
      <c r="H45" s="76"/>
      <c r="I45" s="48"/>
      <c r="J45" s="70"/>
      <c r="K45" s="70"/>
      <c r="L45" s="336" t="s">
        <v>972</v>
      </c>
      <c r="M45" s="337" t="s">
        <v>297</v>
      </c>
      <c r="N45" s="336" t="s">
        <v>34</v>
      </c>
      <c r="O45" s="338">
        <v>6</v>
      </c>
      <c r="P45" s="339">
        <v>87.74</v>
      </c>
      <c r="Q45" s="339">
        <v>526.44000000000005</v>
      </c>
      <c r="R45" s="182"/>
      <c r="U45" s="128"/>
    </row>
    <row r="46" spans="1:21" ht="15.6" x14ac:dyDescent="0.3">
      <c r="A46" s="53"/>
      <c r="B46" s="54"/>
      <c r="C46" s="54"/>
      <c r="D46" s="54"/>
      <c r="E46" s="55"/>
      <c r="F46" s="75"/>
      <c r="G46" s="76"/>
      <c r="H46" s="76"/>
      <c r="I46" s="48"/>
      <c r="J46" s="70"/>
      <c r="K46" s="70"/>
      <c r="L46" s="336" t="s">
        <v>973</v>
      </c>
      <c r="M46" s="337" t="s">
        <v>759</v>
      </c>
      <c r="N46" s="336" t="s">
        <v>34</v>
      </c>
      <c r="O46" s="338">
        <v>11</v>
      </c>
      <c r="P46" s="339">
        <v>574.12</v>
      </c>
      <c r="Q46" s="340">
        <v>6315.32</v>
      </c>
      <c r="R46" s="182"/>
      <c r="U46" s="128"/>
    </row>
    <row r="47" spans="1:21" ht="15.6" x14ac:dyDescent="0.3">
      <c r="A47" s="53"/>
      <c r="B47" s="54"/>
      <c r="C47" s="54"/>
      <c r="D47" s="54"/>
      <c r="E47" s="55"/>
      <c r="F47" s="75"/>
      <c r="G47" s="76"/>
      <c r="H47" s="76"/>
      <c r="I47" s="48"/>
      <c r="J47" s="70"/>
      <c r="K47" s="70"/>
      <c r="L47" s="336" t="s">
        <v>975</v>
      </c>
      <c r="M47" s="337" t="s">
        <v>763</v>
      </c>
      <c r="N47" s="336" t="s">
        <v>34</v>
      </c>
      <c r="O47" s="338">
        <v>10</v>
      </c>
      <c r="P47" s="339">
        <v>128.69</v>
      </c>
      <c r="Q47" s="340">
        <v>1286.9000000000001</v>
      </c>
      <c r="R47" s="182"/>
      <c r="U47" s="128"/>
    </row>
    <row r="48" spans="1:21" ht="15.6" x14ac:dyDescent="0.3">
      <c r="A48" s="53"/>
      <c r="B48" s="54"/>
      <c r="C48" s="54"/>
      <c r="D48" s="54"/>
      <c r="E48" s="55"/>
      <c r="F48" s="75"/>
      <c r="G48" s="76"/>
      <c r="H48" s="76"/>
      <c r="I48" s="48"/>
      <c r="J48" s="70"/>
      <c r="K48" s="70"/>
      <c r="L48" s="336" t="s">
        <v>1866</v>
      </c>
      <c r="M48" s="337" t="s">
        <v>1881</v>
      </c>
      <c r="N48" s="336" t="s">
        <v>34</v>
      </c>
      <c r="O48" s="338">
        <v>1</v>
      </c>
      <c r="P48" s="340">
        <v>1105.55</v>
      </c>
      <c r="Q48" s="340">
        <v>1105.55</v>
      </c>
      <c r="R48" s="182"/>
      <c r="U48" s="128"/>
    </row>
    <row r="49" spans="1:21" ht="15.6" x14ac:dyDescent="0.3">
      <c r="A49" s="53"/>
      <c r="B49" s="54"/>
      <c r="C49" s="54"/>
      <c r="D49" s="54"/>
      <c r="E49" s="55"/>
      <c r="F49" s="75"/>
      <c r="G49" s="76"/>
      <c r="H49" s="76"/>
      <c r="I49" s="48"/>
      <c r="J49" s="70"/>
      <c r="K49" s="70"/>
      <c r="L49" s="336" t="s">
        <v>1867</v>
      </c>
      <c r="M49" s="337" t="s">
        <v>1882</v>
      </c>
      <c r="N49" s="336" t="s">
        <v>903</v>
      </c>
      <c r="O49" s="338">
        <v>0.38</v>
      </c>
      <c r="P49" s="340">
        <v>29183.68</v>
      </c>
      <c r="Q49" s="340">
        <v>11089.8</v>
      </c>
      <c r="R49" s="182"/>
      <c r="U49" s="128"/>
    </row>
    <row r="50" spans="1:21" ht="15.6" x14ac:dyDescent="0.3">
      <c r="A50" s="53"/>
      <c r="B50" s="54"/>
      <c r="C50" s="54"/>
      <c r="D50" s="54"/>
      <c r="E50" s="55"/>
      <c r="F50" s="75"/>
      <c r="G50" s="76"/>
      <c r="H50" s="76"/>
      <c r="I50" s="48"/>
      <c r="J50" s="70"/>
      <c r="K50" s="70"/>
      <c r="L50" s="336" t="s">
        <v>1113</v>
      </c>
      <c r="M50" s="337" t="s">
        <v>1199</v>
      </c>
      <c r="N50" s="336" t="s">
        <v>903</v>
      </c>
      <c r="O50" s="338">
        <v>0.12</v>
      </c>
      <c r="P50" s="340">
        <v>10416.67</v>
      </c>
      <c r="Q50" s="340">
        <v>1250</v>
      </c>
      <c r="R50" s="182"/>
      <c r="U50" s="128"/>
    </row>
    <row r="51" spans="1:21" ht="15.6" x14ac:dyDescent="0.3">
      <c r="A51" s="53"/>
      <c r="B51" s="54"/>
      <c r="C51" s="54"/>
      <c r="D51" s="54"/>
      <c r="E51" s="55"/>
      <c r="F51" s="75"/>
      <c r="G51" s="76"/>
      <c r="H51" s="76"/>
      <c r="I51" s="48"/>
      <c r="J51" s="70"/>
      <c r="K51" s="70"/>
      <c r="L51" s="336" t="s">
        <v>1868</v>
      </c>
      <c r="M51" s="337" t="s">
        <v>1883</v>
      </c>
      <c r="N51" s="336" t="s">
        <v>903</v>
      </c>
      <c r="O51" s="338">
        <v>7.0000000000000007E-2</v>
      </c>
      <c r="P51" s="340">
        <v>17916.71</v>
      </c>
      <c r="Q51" s="340">
        <v>1254.17</v>
      </c>
      <c r="R51" s="182"/>
      <c r="U51" s="128"/>
    </row>
    <row r="52" spans="1:21" ht="15.6" x14ac:dyDescent="0.3">
      <c r="A52" s="53"/>
      <c r="B52" s="54"/>
      <c r="C52" s="54"/>
      <c r="D52" s="54"/>
      <c r="E52" s="55"/>
      <c r="F52" s="75"/>
      <c r="G52" s="76"/>
      <c r="H52" s="76"/>
      <c r="I52" s="48"/>
      <c r="J52" s="70"/>
      <c r="K52" s="70"/>
      <c r="L52" s="336" t="s">
        <v>1022</v>
      </c>
      <c r="M52" s="337" t="s">
        <v>178</v>
      </c>
      <c r="N52" s="336" t="s">
        <v>56</v>
      </c>
      <c r="O52" s="338">
        <v>0.02</v>
      </c>
      <c r="P52" s="340">
        <v>40802.5</v>
      </c>
      <c r="Q52" s="339">
        <v>816.05</v>
      </c>
      <c r="R52" s="182"/>
      <c r="U52" s="128"/>
    </row>
    <row r="53" spans="1:21" ht="15.6" x14ac:dyDescent="0.3">
      <c r="A53" s="53"/>
      <c r="B53" s="54"/>
      <c r="C53" s="54"/>
      <c r="D53" s="54"/>
      <c r="E53" s="55"/>
      <c r="F53" s="75"/>
      <c r="G53" s="76"/>
      <c r="H53" s="76"/>
      <c r="I53" s="48"/>
      <c r="J53" s="70"/>
      <c r="K53" s="70"/>
      <c r="L53" s="336" t="s">
        <v>1119</v>
      </c>
      <c r="M53" s="337" t="s">
        <v>1205</v>
      </c>
      <c r="N53" s="336" t="s">
        <v>35</v>
      </c>
      <c r="O53" s="338">
        <v>2</v>
      </c>
      <c r="P53" s="339">
        <v>78.33</v>
      </c>
      <c r="Q53" s="339">
        <v>156.66</v>
      </c>
      <c r="R53" s="182"/>
      <c r="U53" s="128"/>
    </row>
    <row r="54" spans="1:21" ht="15.6" x14ac:dyDescent="0.3">
      <c r="A54" s="53"/>
      <c r="B54" s="54"/>
      <c r="C54" s="54"/>
      <c r="D54" s="54"/>
      <c r="E54" s="55"/>
      <c r="F54" s="75"/>
      <c r="G54" s="76"/>
      <c r="H54" s="76"/>
      <c r="I54" s="48"/>
      <c r="J54" s="70"/>
      <c r="K54" s="70"/>
      <c r="L54" s="336" t="s">
        <v>955</v>
      </c>
      <c r="M54" s="337" t="s">
        <v>770</v>
      </c>
      <c r="N54" s="336" t="s">
        <v>34</v>
      </c>
      <c r="O54" s="338">
        <v>1</v>
      </c>
      <c r="P54" s="339">
        <v>52.8</v>
      </c>
      <c r="Q54" s="339">
        <v>52.8</v>
      </c>
      <c r="R54" s="182"/>
      <c r="U54" s="128"/>
    </row>
    <row r="55" spans="1:21" ht="15.6" x14ac:dyDescent="0.3">
      <c r="A55" s="53"/>
      <c r="B55" s="54"/>
      <c r="C55" s="54"/>
      <c r="D55" s="54"/>
      <c r="E55" s="55"/>
      <c r="F55" s="75"/>
      <c r="G55" s="76"/>
      <c r="H55" s="76"/>
      <c r="I55" s="48"/>
      <c r="J55" s="70"/>
      <c r="K55" s="70"/>
      <c r="L55" s="336" t="s">
        <v>956</v>
      </c>
      <c r="M55" s="337" t="s">
        <v>328</v>
      </c>
      <c r="N55" s="336" t="s">
        <v>34</v>
      </c>
      <c r="O55" s="338">
        <v>10</v>
      </c>
      <c r="P55" s="339">
        <v>65.400000000000006</v>
      </c>
      <c r="Q55" s="339">
        <v>654</v>
      </c>
      <c r="R55" s="182"/>
      <c r="U55" s="128"/>
    </row>
    <row r="56" spans="1:21" ht="15.6" x14ac:dyDescent="0.3">
      <c r="A56" s="53"/>
      <c r="B56" s="54"/>
      <c r="C56" s="54"/>
      <c r="D56" s="54"/>
      <c r="E56" s="55"/>
      <c r="F56" s="75"/>
      <c r="G56" s="76"/>
      <c r="H56" s="76"/>
      <c r="I56" s="48"/>
      <c r="J56" s="70"/>
      <c r="K56" s="70"/>
      <c r="L56" s="336" t="s">
        <v>1869</v>
      </c>
      <c r="M56" s="337" t="s">
        <v>1884</v>
      </c>
      <c r="N56" s="336" t="s">
        <v>34</v>
      </c>
      <c r="O56" s="338">
        <v>1</v>
      </c>
      <c r="P56" s="339">
        <v>78.61</v>
      </c>
      <c r="Q56" s="339">
        <v>78.61</v>
      </c>
      <c r="R56" s="182"/>
      <c r="U56" s="128"/>
    </row>
    <row r="57" spans="1:21" ht="15.6" x14ac:dyDescent="0.3">
      <c r="A57" s="53"/>
      <c r="B57" s="54"/>
      <c r="C57" s="54"/>
      <c r="D57" s="54"/>
      <c r="E57" s="55"/>
      <c r="F57" s="75"/>
      <c r="G57" s="76"/>
      <c r="H57" s="76"/>
      <c r="I57" s="48"/>
      <c r="J57" s="70"/>
      <c r="K57" s="70"/>
      <c r="L57" s="336" t="s">
        <v>773</v>
      </c>
      <c r="M57" s="337" t="s">
        <v>774</v>
      </c>
      <c r="N57" s="336" t="s">
        <v>34</v>
      </c>
      <c r="O57" s="338">
        <v>1</v>
      </c>
      <c r="P57" s="339">
        <v>83.17</v>
      </c>
      <c r="Q57" s="339">
        <v>83.17</v>
      </c>
      <c r="R57" s="182"/>
      <c r="U57" s="128"/>
    </row>
    <row r="58" spans="1:21" ht="15.6" x14ac:dyDescent="0.3">
      <c r="A58" s="53"/>
      <c r="B58" s="54"/>
      <c r="C58" s="54"/>
      <c r="D58" s="54"/>
      <c r="E58" s="55"/>
      <c r="F58" s="75"/>
      <c r="G58" s="76"/>
      <c r="H58" s="76"/>
      <c r="I58" s="48"/>
      <c r="J58" s="70"/>
      <c r="K58" s="70"/>
      <c r="L58" s="336" t="s">
        <v>958</v>
      </c>
      <c r="M58" s="337" t="s">
        <v>337</v>
      </c>
      <c r="N58" s="336" t="s">
        <v>34</v>
      </c>
      <c r="O58" s="338">
        <v>1</v>
      </c>
      <c r="P58" s="339">
        <v>22.2</v>
      </c>
      <c r="Q58" s="339">
        <v>22.2</v>
      </c>
      <c r="R58" s="182"/>
      <c r="U58" s="128"/>
    </row>
    <row r="59" spans="1:21" ht="15.6" x14ac:dyDescent="0.3">
      <c r="A59" s="53"/>
      <c r="B59" s="54"/>
      <c r="C59" s="54"/>
      <c r="D59" s="54"/>
      <c r="E59" s="55"/>
      <c r="F59" s="75"/>
      <c r="G59" s="76"/>
      <c r="H59" s="76"/>
      <c r="I59" s="48"/>
      <c r="J59" s="70"/>
      <c r="K59" s="70"/>
      <c r="L59" s="336" t="s">
        <v>952</v>
      </c>
      <c r="M59" s="337" t="s">
        <v>777</v>
      </c>
      <c r="N59" s="336" t="s">
        <v>34</v>
      </c>
      <c r="O59" s="338">
        <v>1</v>
      </c>
      <c r="P59" s="339">
        <v>257.81</v>
      </c>
      <c r="Q59" s="339">
        <v>257.81</v>
      </c>
      <c r="R59" s="182"/>
      <c r="U59" s="128"/>
    </row>
    <row r="60" spans="1:21" ht="15.6" x14ac:dyDescent="0.3">
      <c r="A60" s="53"/>
      <c r="B60" s="54"/>
      <c r="C60" s="54"/>
      <c r="D60" s="54"/>
      <c r="E60" s="55"/>
      <c r="F60" s="75"/>
      <c r="G60" s="76"/>
      <c r="H60" s="76"/>
      <c r="I60" s="48"/>
      <c r="J60" s="70"/>
      <c r="K60" s="70"/>
      <c r="L60" s="336" t="s">
        <v>953</v>
      </c>
      <c r="M60" s="337" t="s">
        <v>1046</v>
      </c>
      <c r="N60" s="336" t="s">
        <v>34</v>
      </c>
      <c r="O60" s="338">
        <v>0.2</v>
      </c>
      <c r="P60" s="339">
        <v>185</v>
      </c>
      <c r="Q60" s="339">
        <v>37</v>
      </c>
      <c r="R60" s="182"/>
      <c r="U60" s="128"/>
    </row>
    <row r="61" spans="1:21" ht="15.6" x14ac:dyDescent="0.3">
      <c r="A61" s="53"/>
      <c r="B61" s="54"/>
      <c r="C61" s="54"/>
      <c r="D61" s="54"/>
      <c r="E61" s="55"/>
      <c r="F61" s="75"/>
      <c r="G61" s="76"/>
      <c r="H61" s="76"/>
      <c r="I61" s="48"/>
      <c r="J61" s="70"/>
      <c r="K61" s="70"/>
      <c r="L61" s="336" t="s">
        <v>1144</v>
      </c>
      <c r="M61" s="337" t="s">
        <v>1231</v>
      </c>
      <c r="N61" s="336" t="s">
        <v>34</v>
      </c>
      <c r="O61" s="338">
        <v>2</v>
      </c>
      <c r="P61" s="339">
        <v>3.08</v>
      </c>
      <c r="Q61" s="339">
        <v>6.16</v>
      </c>
      <c r="R61" s="182"/>
      <c r="U61" s="128"/>
    </row>
    <row r="62" spans="1:21" ht="30" x14ac:dyDescent="0.3">
      <c r="A62" s="53"/>
      <c r="B62" s="54"/>
      <c r="C62" s="54"/>
      <c r="D62" s="54"/>
      <c r="E62" s="55"/>
      <c r="F62" s="75"/>
      <c r="G62" s="76"/>
      <c r="H62" s="76"/>
      <c r="I62" s="48"/>
      <c r="J62" s="70"/>
      <c r="K62" s="70"/>
      <c r="L62" s="336" t="s">
        <v>959</v>
      </c>
      <c r="M62" s="337" t="s">
        <v>1050</v>
      </c>
      <c r="N62" s="336" t="s">
        <v>34</v>
      </c>
      <c r="O62" s="338">
        <v>13</v>
      </c>
      <c r="P62" s="339">
        <v>13.9</v>
      </c>
      <c r="Q62" s="339">
        <v>180.7</v>
      </c>
      <c r="R62" s="182"/>
      <c r="U62" s="128"/>
    </row>
    <row r="63" spans="1:21" ht="30" x14ac:dyDescent="0.3">
      <c r="A63" s="53"/>
      <c r="B63" s="54"/>
      <c r="C63" s="54"/>
      <c r="D63" s="54"/>
      <c r="E63" s="55"/>
      <c r="F63" s="75"/>
      <c r="G63" s="76"/>
      <c r="H63" s="76"/>
      <c r="I63" s="48"/>
      <c r="J63" s="70"/>
      <c r="K63" s="70"/>
      <c r="L63" s="336" t="s">
        <v>960</v>
      </c>
      <c r="M63" s="337" t="s">
        <v>784</v>
      </c>
      <c r="N63" s="336" t="s">
        <v>34</v>
      </c>
      <c r="O63" s="338">
        <v>5</v>
      </c>
      <c r="P63" s="339">
        <v>13.9</v>
      </c>
      <c r="Q63" s="339">
        <v>69.5</v>
      </c>
      <c r="R63" s="182"/>
      <c r="U63" s="128"/>
    </row>
    <row r="64" spans="1:21" ht="15.6" x14ac:dyDescent="0.3">
      <c r="A64" s="53"/>
      <c r="B64" s="54"/>
      <c r="C64" s="54"/>
      <c r="D64" s="54"/>
      <c r="E64" s="55"/>
      <c r="F64" s="75"/>
      <c r="G64" s="76"/>
      <c r="H64" s="76"/>
      <c r="I64" s="48"/>
      <c r="J64" s="70"/>
      <c r="K64" s="70"/>
      <c r="L64" s="336" t="s">
        <v>961</v>
      </c>
      <c r="M64" s="337" t="s">
        <v>1051</v>
      </c>
      <c r="N64" s="336" t="s">
        <v>34</v>
      </c>
      <c r="O64" s="338">
        <v>0.40200000000000002</v>
      </c>
      <c r="P64" s="339">
        <v>27.01</v>
      </c>
      <c r="Q64" s="339">
        <v>10.86</v>
      </c>
      <c r="R64" s="182"/>
      <c r="U64" s="128"/>
    </row>
    <row r="65" spans="1:21" ht="30" x14ac:dyDescent="0.3">
      <c r="A65" s="53"/>
      <c r="B65" s="54"/>
      <c r="C65" s="54"/>
      <c r="D65" s="54"/>
      <c r="E65" s="55"/>
      <c r="F65" s="75"/>
      <c r="G65" s="76"/>
      <c r="H65" s="76"/>
      <c r="I65" s="48"/>
      <c r="J65" s="70"/>
      <c r="K65" s="70"/>
      <c r="L65" s="336" t="s">
        <v>962</v>
      </c>
      <c r="M65" s="337" t="s">
        <v>787</v>
      </c>
      <c r="N65" s="336" t="s">
        <v>34</v>
      </c>
      <c r="O65" s="338">
        <v>2</v>
      </c>
      <c r="P65" s="339">
        <v>222.4</v>
      </c>
      <c r="Q65" s="339">
        <v>444.8</v>
      </c>
      <c r="R65" s="182"/>
      <c r="U65" s="128"/>
    </row>
    <row r="66" spans="1:21" ht="15.6" x14ac:dyDescent="0.3">
      <c r="A66" s="53"/>
      <c r="B66" s="54"/>
      <c r="C66" s="54"/>
      <c r="D66" s="54"/>
      <c r="E66" s="55"/>
      <c r="F66" s="75"/>
      <c r="G66" s="76"/>
      <c r="H66" s="76"/>
      <c r="I66" s="48"/>
      <c r="J66" s="70"/>
      <c r="K66" s="70"/>
      <c r="L66" s="336" t="s">
        <v>963</v>
      </c>
      <c r="M66" s="337" t="s">
        <v>375</v>
      </c>
      <c r="N66" s="336" t="s">
        <v>34</v>
      </c>
      <c r="O66" s="338">
        <v>14</v>
      </c>
      <c r="P66" s="339">
        <v>172.1</v>
      </c>
      <c r="Q66" s="340">
        <v>2409.4</v>
      </c>
      <c r="R66" s="182"/>
      <c r="U66" s="128"/>
    </row>
    <row r="67" spans="1:21" ht="30" x14ac:dyDescent="0.3">
      <c r="A67" s="53"/>
      <c r="B67" s="54"/>
      <c r="C67" s="54"/>
      <c r="D67" s="54"/>
      <c r="E67" s="55"/>
      <c r="F67" s="75"/>
      <c r="G67" s="76"/>
      <c r="H67" s="76"/>
      <c r="I67" s="48"/>
      <c r="J67" s="70"/>
      <c r="K67" s="70"/>
      <c r="L67" s="336" t="s">
        <v>378</v>
      </c>
      <c r="M67" s="337" t="s">
        <v>379</v>
      </c>
      <c r="N67" s="336" t="s">
        <v>34</v>
      </c>
      <c r="O67" s="338">
        <v>1</v>
      </c>
      <c r="P67" s="339">
        <v>50.1</v>
      </c>
      <c r="Q67" s="339">
        <v>50.1</v>
      </c>
      <c r="R67" s="182"/>
      <c r="U67" s="128"/>
    </row>
    <row r="68" spans="1:21" ht="30" x14ac:dyDescent="0.3">
      <c r="A68" s="53"/>
      <c r="B68" s="54"/>
      <c r="C68" s="54"/>
      <c r="D68" s="54"/>
      <c r="E68" s="55"/>
      <c r="F68" s="75"/>
      <c r="G68" s="76"/>
      <c r="H68" s="76"/>
      <c r="I68" s="48"/>
      <c r="J68" s="70"/>
      <c r="K68" s="70"/>
      <c r="L68" s="336" t="s">
        <v>964</v>
      </c>
      <c r="M68" s="337" t="s">
        <v>788</v>
      </c>
      <c r="N68" s="336" t="s">
        <v>34</v>
      </c>
      <c r="O68" s="338">
        <v>1</v>
      </c>
      <c r="P68" s="339">
        <v>19.3</v>
      </c>
      <c r="Q68" s="339">
        <v>19.3</v>
      </c>
      <c r="R68" s="182"/>
      <c r="U68" s="128"/>
    </row>
    <row r="69" spans="1:21" ht="15.6" x14ac:dyDescent="0.3">
      <c r="A69" s="53"/>
      <c r="B69" s="54"/>
      <c r="C69" s="54"/>
      <c r="D69" s="54"/>
      <c r="E69" s="55"/>
      <c r="F69" s="75"/>
      <c r="G69" s="76"/>
      <c r="H69" s="76"/>
      <c r="I69" s="48"/>
      <c r="J69" s="70"/>
      <c r="K69" s="70"/>
      <c r="L69" s="336" t="s">
        <v>1304</v>
      </c>
      <c r="M69" s="337" t="s">
        <v>1338</v>
      </c>
      <c r="N69" s="336" t="s">
        <v>39</v>
      </c>
      <c r="O69" s="338">
        <v>0.01</v>
      </c>
      <c r="P69" s="340">
        <v>31681</v>
      </c>
      <c r="Q69" s="339">
        <v>316.81</v>
      </c>
      <c r="R69" s="182"/>
      <c r="U69" s="128"/>
    </row>
    <row r="70" spans="1:21" ht="15.6" x14ac:dyDescent="0.3">
      <c r="A70" s="53"/>
      <c r="B70" s="54"/>
      <c r="C70" s="54"/>
      <c r="D70" s="54"/>
      <c r="E70" s="55"/>
      <c r="F70" s="75"/>
      <c r="G70" s="76"/>
      <c r="H70" s="76"/>
      <c r="I70" s="48"/>
      <c r="J70" s="70"/>
      <c r="K70" s="70"/>
      <c r="L70" s="336" t="s">
        <v>1415</v>
      </c>
      <c r="M70" s="337" t="s">
        <v>1438</v>
      </c>
      <c r="N70" s="336" t="s">
        <v>39</v>
      </c>
      <c r="O70" s="338">
        <v>0.06</v>
      </c>
      <c r="P70" s="340">
        <v>32286.17</v>
      </c>
      <c r="Q70" s="340">
        <v>1937.17</v>
      </c>
      <c r="R70" s="182"/>
      <c r="U70" s="128"/>
    </row>
    <row r="71" spans="1:21" ht="15.6" x14ac:dyDescent="0.3">
      <c r="A71" s="53"/>
      <c r="B71" s="54"/>
      <c r="C71" s="54"/>
      <c r="D71" s="54"/>
      <c r="E71" s="55"/>
      <c r="F71" s="75"/>
      <c r="G71" s="76"/>
      <c r="H71" s="76"/>
      <c r="I71" s="48"/>
      <c r="J71" s="70"/>
      <c r="K71" s="70"/>
      <c r="L71" s="336" t="s">
        <v>965</v>
      </c>
      <c r="M71" s="337" t="s">
        <v>382</v>
      </c>
      <c r="N71" s="336" t="s">
        <v>34</v>
      </c>
      <c r="O71" s="338">
        <v>2.31</v>
      </c>
      <c r="P71" s="339">
        <v>3.8</v>
      </c>
      <c r="Q71" s="339">
        <v>8.7799999999999994</v>
      </c>
      <c r="R71" s="182"/>
      <c r="U71" s="128"/>
    </row>
    <row r="72" spans="1:21" ht="15.6" x14ac:dyDescent="0.3">
      <c r="A72" s="53"/>
      <c r="B72" s="54"/>
      <c r="C72" s="54"/>
      <c r="D72" s="54"/>
      <c r="E72" s="55"/>
      <c r="F72" s="75"/>
      <c r="G72" s="76"/>
      <c r="H72" s="76"/>
      <c r="I72" s="48"/>
      <c r="J72" s="70"/>
      <c r="K72" s="70"/>
      <c r="L72" s="336" t="s">
        <v>939</v>
      </c>
      <c r="M72" s="337" t="s">
        <v>798</v>
      </c>
      <c r="N72" s="336" t="s">
        <v>63</v>
      </c>
      <c r="O72" s="338">
        <v>0.04</v>
      </c>
      <c r="P72" s="340">
        <v>30724</v>
      </c>
      <c r="Q72" s="340">
        <v>1228.96</v>
      </c>
      <c r="R72" s="182"/>
      <c r="U72" s="128"/>
    </row>
    <row r="73" spans="1:21" ht="15.6" x14ac:dyDescent="0.3">
      <c r="A73" s="53"/>
      <c r="B73" s="54"/>
      <c r="C73" s="54"/>
      <c r="D73" s="54"/>
      <c r="E73" s="55"/>
      <c r="F73" s="75"/>
      <c r="G73" s="76"/>
      <c r="H73" s="76"/>
      <c r="I73" s="48"/>
      <c r="J73" s="70"/>
      <c r="K73" s="70"/>
      <c r="L73" s="336" t="s">
        <v>1870</v>
      </c>
      <c r="M73" s="337" t="s">
        <v>1885</v>
      </c>
      <c r="N73" s="336" t="s">
        <v>35</v>
      </c>
      <c r="O73" s="338">
        <v>1</v>
      </c>
      <c r="P73" s="339">
        <v>77.08</v>
      </c>
      <c r="Q73" s="339">
        <v>77.08</v>
      </c>
      <c r="R73" s="182"/>
      <c r="U73" s="128"/>
    </row>
    <row r="74" spans="1:21" ht="15.6" x14ac:dyDescent="0.3">
      <c r="A74" s="53"/>
      <c r="B74" s="54"/>
      <c r="C74" s="54"/>
      <c r="D74" s="54"/>
      <c r="E74" s="55"/>
      <c r="F74" s="75"/>
      <c r="G74" s="76"/>
      <c r="H74" s="76"/>
      <c r="I74" s="48"/>
      <c r="J74" s="70"/>
      <c r="K74" s="70"/>
      <c r="L74" s="336" t="s">
        <v>385</v>
      </c>
      <c r="M74" s="337" t="s">
        <v>386</v>
      </c>
      <c r="N74" s="336" t="s">
        <v>34</v>
      </c>
      <c r="O74" s="338">
        <v>1</v>
      </c>
      <c r="P74" s="339">
        <v>261.92</v>
      </c>
      <c r="Q74" s="339">
        <v>261.92</v>
      </c>
      <c r="R74" s="182"/>
      <c r="U74" s="128"/>
    </row>
    <row r="75" spans="1:21" ht="15.6" x14ac:dyDescent="0.3">
      <c r="A75" s="53"/>
      <c r="B75" s="54"/>
      <c r="C75" s="54"/>
      <c r="D75" s="54"/>
      <c r="E75" s="55"/>
      <c r="F75" s="75"/>
      <c r="G75" s="76"/>
      <c r="H75" s="76"/>
      <c r="I75" s="48"/>
      <c r="J75" s="70"/>
      <c r="K75" s="70"/>
      <c r="L75" s="336" t="s">
        <v>1027</v>
      </c>
      <c r="M75" s="337" t="s">
        <v>803</v>
      </c>
      <c r="N75" s="336" t="s">
        <v>45</v>
      </c>
      <c r="O75" s="338">
        <v>30.85</v>
      </c>
      <c r="P75" s="339">
        <v>399.17</v>
      </c>
      <c r="Q75" s="340">
        <v>12314.39</v>
      </c>
      <c r="R75" s="182"/>
      <c r="U75" s="128"/>
    </row>
    <row r="76" spans="1:21" ht="15.6" x14ac:dyDescent="0.3">
      <c r="A76" s="53"/>
      <c r="B76" s="54"/>
      <c r="C76" s="54"/>
      <c r="D76" s="54"/>
      <c r="E76" s="55"/>
      <c r="F76" s="75"/>
      <c r="G76" s="76"/>
      <c r="H76" s="76"/>
      <c r="I76" s="48"/>
      <c r="J76" s="70"/>
      <c r="K76" s="70"/>
      <c r="L76" s="336" t="s">
        <v>1153</v>
      </c>
      <c r="M76" s="337" t="s">
        <v>1240</v>
      </c>
      <c r="N76" s="336" t="s">
        <v>34</v>
      </c>
      <c r="O76" s="338">
        <v>0.08</v>
      </c>
      <c r="P76" s="340">
        <v>1488</v>
      </c>
      <c r="Q76" s="339">
        <v>119.04</v>
      </c>
      <c r="R76" s="182"/>
      <c r="U76" s="128"/>
    </row>
    <row r="77" spans="1:21" ht="15.6" x14ac:dyDescent="0.3">
      <c r="A77" s="53"/>
      <c r="B77" s="54"/>
      <c r="C77" s="54"/>
      <c r="D77" s="54"/>
      <c r="E77" s="55"/>
      <c r="F77" s="75"/>
      <c r="G77" s="76"/>
      <c r="H77" s="76"/>
      <c r="I77" s="48"/>
      <c r="J77" s="70"/>
      <c r="K77" s="70"/>
      <c r="L77" s="336" t="s">
        <v>1154</v>
      </c>
      <c r="M77" s="337" t="s">
        <v>1241</v>
      </c>
      <c r="N77" s="336" t="s">
        <v>34</v>
      </c>
      <c r="O77" s="338">
        <v>2</v>
      </c>
      <c r="P77" s="339">
        <v>152</v>
      </c>
      <c r="Q77" s="339">
        <v>304</v>
      </c>
      <c r="R77" s="182"/>
      <c r="U77" s="128"/>
    </row>
    <row r="78" spans="1:21" ht="15.6" x14ac:dyDescent="0.3">
      <c r="A78" s="53"/>
      <c r="B78" s="54"/>
      <c r="C78" s="54"/>
      <c r="D78" s="54"/>
      <c r="E78" s="55"/>
      <c r="F78" s="75"/>
      <c r="G78" s="76"/>
      <c r="H78" s="76"/>
      <c r="I78" s="48"/>
      <c r="J78" s="70"/>
      <c r="K78" s="70"/>
      <c r="L78" s="336" t="s">
        <v>1014</v>
      </c>
      <c r="M78" s="337" t="s">
        <v>806</v>
      </c>
      <c r="N78" s="336" t="s">
        <v>34</v>
      </c>
      <c r="O78" s="338">
        <v>1</v>
      </c>
      <c r="P78" s="339">
        <v>48.17</v>
      </c>
      <c r="Q78" s="339">
        <v>48.17</v>
      </c>
      <c r="R78" s="182"/>
      <c r="U78" s="128"/>
    </row>
    <row r="79" spans="1:21" ht="15.6" x14ac:dyDescent="0.3">
      <c r="A79" s="53"/>
      <c r="B79" s="54"/>
      <c r="C79" s="54"/>
      <c r="D79" s="54"/>
      <c r="E79" s="55"/>
      <c r="F79" s="75"/>
      <c r="G79" s="76"/>
      <c r="H79" s="76"/>
      <c r="I79" s="48"/>
      <c r="J79" s="70"/>
      <c r="K79" s="70"/>
      <c r="L79" s="336" t="s">
        <v>1015</v>
      </c>
      <c r="M79" s="337" t="s">
        <v>393</v>
      </c>
      <c r="N79" s="336" t="s">
        <v>34</v>
      </c>
      <c r="O79" s="338">
        <v>5</v>
      </c>
      <c r="P79" s="339">
        <v>21.7</v>
      </c>
      <c r="Q79" s="339">
        <v>108.52</v>
      </c>
      <c r="R79" s="182"/>
      <c r="U79" s="128"/>
    </row>
    <row r="80" spans="1:21" ht="15.6" x14ac:dyDescent="0.3">
      <c r="A80" s="53"/>
      <c r="B80" s="54"/>
      <c r="C80" s="54"/>
      <c r="D80" s="54"/>
      <c r="E80" s="55"/>
      <c r="F80" s="75"/>
      <c r="G80" s="76"/>
      <c r="H80" s="76"/>
      <c r="I80" s="48"/>
      <c r="J80" s="70"/>
      <c r="K80" s="70"/>
      <c r="L80" s="336" t="s">
        <v>1016</v>
      </c>
      <c r="M80" s="337" t="s">
        <v>396</v>
      </c>
      <c r="N80" s="336" t="s">
        <v>34</v>
      </c>
      <c r="O80" s="338">
        <v>3</v>
      </c>
      <c r="P80" s="339">
        <v>32.450000000000003</v>
      </c>
      <c r="Q80" s="339">
        <v>97.34</v>
      </c>
      <c r="R80" s="182"/>
      <c r="U80" s="128"/>
    </row>
    <row r="81" spans="1:21" ht="15.6" x14ac:dyDescent="0.3">
      <c r="A81" s="53"/>
      <c r="B81" s="54"/>
      <c r="C81" s="54"/>
      <c r="D81" s="54"/>
      <c r="E81" s="55"/>
      <c r="F81" s="75"/>
      <c r="G81" s="76"/>
      <c r="H81" s="76"/>
      <c r="I81" s="48"/>
      <c r="J81" s="70"/>
      <c r="K81" s="70"/>
      <c r="L81" s="336" t="s">
        <v>1017</v>
      </c>
      <c r="M81" s="337" t="s">
        <v>397</v>
      </c>
      <c r="N81" s="336" t="s">
        <v>34</v>
      </c>
      <c r="O81" s="338">
        <v>4</v>
      </c>
      <c r="P81" s="339">
        <v>28</v>
      </c>
      <c r="Q81" s="339">
        <v>112</v>
      </c>
      <c r="R81" s="182"/>
      <c r="U81" s="128"/>
    </row>
    <row r="82" spans="1:21" ht="15.6" x14ac:dyDescent="0.3">
      <c r="A82" s="53"/>
      <c r="B82" s="54"/>
      <c r="C82" s="54"/>
      <c r="D82" s="54"/>
      <c r="E82" s="55"/>
      <c r="F82" s="75"/>
      <c r="G82" s="76"/>
      <c r="H82" s="76"/>
      <c r="I82" s="48"/>
      <c r="J82" s="70"/>
      <c r="K82" s="70"/>
      <c r="L82" s="336" t="s">
        <v>1157</v>
      </c>
      <c r="M82" s="337" t="s">
        <v>398</v>
      </c>
      <c r="N82" s="336" t="s">
        <v>34</v>
      </c>
      <c r="O82" s="338">
        <v>3</v>
      </c>
      <c r="P82" s="340">
        <v>1290.8</v>
      </c>
      <c r="Q82" s="340">
        <v>3872.4</v>
      </c>
      <c r="R82" s="182"/>
      <c r="U82" s="128"/>
    </row>
    <row r="83" spans="1:21" ht="15.6" x14ac:dyDescent="0.3">
      <c r="A83" s="53"/>
      <c r="B83" s="54"/>
      <c r="C83" s="54"/>
      <c r="D83" s="54"/>
      <c r="E83" s="55"/>
      <c r="F83" s="75"/>
      <c r="G83" s="76"/>
      <c r="H83" s="76"/>
      <c r="I83" s="48"/>
      <c r="J83" s="70"/>
      <c r="K83" s="70"/>
      <c r="L83" s="336" t="s">
        <v>1009</v>
      </c>
      <c r="M83" s="337" t="s">
        <v>811</v>
      </c>
      <c r="N83" s="336" t="s">
        <v>34</v>
      </c>
      <c r="O83" s="338">
        <v>7</v>
      </c>
      <c r="P83" s="339">
        <v>91</v>
      </c>
      <c r="Q83" s="339">
        <v>637</v>
      </c>
      <c r="R83" s="182"/>
      <c r="U83" s="128"/>
    </row>
    <row r="84" spans="1:21" ht="15.6" x14ac:dyDescent="0.3">
      <c r="A84" s="53"/>
      <c r="B84" s="54"/>
      <c r="C84" s="54"/>
      <c r="D84" s="54"/>
      <c r="E84" s="55"/>
      <c r="F84" s="75"/>
      <c r="G84" s="76"/>
      <c r="H84" s="76"/>
      <c r="I84" s="48"/>
      <c r="J84" s="70"/>
      <c r="K84" s="70"/>
      <c r="L84" s="336" t="s">
        <v>1158</v>
      </c>
      <c r="M84" s="337" t="s">
        <v>1244</v>
      </c>
      <c r="N84" s="336" t="s">
        <v>34</v>
      </c>
      <c r="O84" s="338">
        <v>1</v>
      </c>
      <c r="P84" s="339">
        <v>238</v>
      </c>
      <c r="Q84" s="339">
        <v>238</v>
      </c>
      <c r="R84" s="182"/>
      <c r="U84" s="128"/>
    </row>
    <row r="85" spans="1:21" ht="15.6" x14ac:dyDescent="0.3">
      <c r="A85" s="53"/>
      <c r="B85" s="54"/>
      <c r="C85" s="54"/>
      <c r="D85" s="54"/>
      <c r="E85" s="55"/>
      <c r="F85" s="75"/>
      <c r="G85" s="76"/>
      <c r="H85" s="76"/>
      <c r="I85" s="48"/>
      <c r="J85" s="70"/>
      <c r="K85" s="70"/>
      <c r="L85" s="336" t="s">
        <v>944</v>
      </c>
      <c r="M85" s="337" t="s">
        <v>1041</v>
      </c>
      <c r="N85" s="336" t="s">
        <v>903</v>
      </c>
      <c r="O85" s="338">
        <v>4</v>
      </c>
      <c r="P85" s="340">
        <v>1283.5</v>
      </c>
      <c r="Q85" s="340">
        <v>5133.99</v>
      </c>
      <c r="R85" s="182"/>
      <c r="U85" s="128"/>
    </row>
    <row r="86" spans="1:21" ht="15.6" x14ac:dyDescent="0.3">
      <c r="A86" s="53"/>
      <c r="B86" s="54"/>
      <c r="C86" s="54"/>
      <c r="D86" s="54"/>
      <c r="E86" s="55"/>
      <c r="F86" s="75"/>
      <c r="G86" s="76"/>
      <c r="H86" s="76"/>
      <c r="I86" s="48"/>
      <c r="J86" s="70"/>
      <c r="K86" s="70"/>
      <c r="L86" s="336" t="s">
        <v>1163</v>
      </c>
      <c r="M86" s="337" t="s">
        <v>1248</v>
      </c>
      <c r="N86" s="336" t="s">
        <v>34</v>
      </c>
      <c r="O86" s="338">
        <v>2</v>
      </c>
      <c r="P86" s="339">
        <v>622.5</v>
      </c>
      <c r="Q86" s="340">
        <v>1244.99</v>
      </c>
      <c r="R86" s="182"/>
      <c r="U86" s="128"/>
    </row>
    <row r="87" spans="1:21" ht="15.6" x14ac:dyDescent="0.3">
      <c r="A87" s="53"/>
      <c r="B87" s="54"/>
      <c r="C87" s="54"/>
      <c r="D87" s="54"/>
      <c r="E87" s="55"/>
      <c r="F87" s="75"/>
      <c r="G87" s="76"/>
      <c r="H87" s="76"/>
      <c r="I87" s="48"/>
      <c r="J87" s="70"/>
      <c r="K87" s="70"/>
      <c r="L87" s="336" t="s">
        <v>1010</v>
      </c>
      <c r="M87" s="337" t="s">
        <v>814</v>
      </c>
      <c r="N87" s="336" t="s">
        <v>34</v>
      </c>
      <c r="O87" s="338">
        <v>5</v>
      </c>
      <c r="P87" s="339">
        <v>644.35</v>
      </c>
      <c r="Q87" s="340">
        <v>3221.75</v>
      </c>
      <c r="R87" s="182"/>
      <c r="U87" s="128"/>
    </row>
    <row r="88" spans="1:21" ht="15.6" x14ac:dyDescent="0.3">
      <c r="A88" s="53"/>
      <c r="B88" s="54"/>
      <c r="C88" s="54"/>
      <c r="D88" s="54"/>
      <c r="E88" s="55"/>
      <c r="F88" s="75"/>
      <c r="G88" s="76"/>
      <c r="H88" s="76"/>
      <c r="I88" s="48"/>
      <c r="J88" s="70"/>
      <c r="K88" s="70"/>
      <c r="L88" s="336" t="s">
        <v>1011</v>
      </c>
      <c r="M88" s="337" t="s">
        <v>815</v>
      </c>
      <c r="N88" s="336" t="s">
        <v>34</v>
      </c>
      <c r="O88" s="338">
        <v>10</v>
      </c>
      <c r="P88" s="339">
        <v>883.1</v>
      </c>
      <c r="Q88" s="340">
        <v>8831</v>
      </c>
      <c r="R88" s="182"/>
      <c r="U88" s="128"/>
    </row>
    <row r="89" spans="1:21" ht="15.6" x14ac:dyDescent="0.3">
      <c r="A89" s="53"/>
      <c r="B89" s="54"/>
      <c r="C89" s="54"/>
      <c r="D89" s="54"/>
      <c r="E89" s="55"/>
      <c r="F89" s="75"/>
      <c r="G89" s="76"/>
      <c r="H89" s="76"/>
      <c r="I89" s="48"/>
      <c r="J89" s="70"/>
      <c r="K89" s="70"/>
      <c r="L89" s="336" t="s">
        <v>1164</v>
      </c>
      <c r="M89" s="337" t="s">
        <v>1249</v>
      </c>
      <c r="N89" s="336" t="s">
        <v>34</v>
      </c>
      <c r="O89" s="338">
        <v>1</v>
      </c>
      <c r="P89" s="339">
        <v>349.1</v>
      </c>
      <c r="Q89" s="339">
        <v>349.1</v>
      </c>
      <c r="R89" s="182"/>
      <c r="U89" s="128"/>
    </row>
    <row r="90" spans="1:21" ht="30" x14ac:dyDescent="0.3">
      <c r="A90" s="53"/>
      <c r="B90" s="54"/>
      <c r="C90" s="54"/>
      <c r="D90" s="54"/>
      <c r="E90" s="55"/>
      <c r="F90" s="75"/>
      <c r="G90" s="76"/>
      <c r="H90" s="76"/>
      <c r="I90" s="48"/>
      <c r="J90" s="70"/>
      <c r="K90" s="70"/>
      <c r="L90" s="336" t="s">
        <v>1360</v>
      </c>
      <c r="M90" s="337" t="s">
        <v>1389</v>
      </c>
      <c r="N90" s="336" t="s">
        <v>903</v>
      </c>
      <c r="O90" s="338">
        <v>0.28999999999999998</v>
      </c>
      <c r="P90" s="340">
        <v>3625</v>
      </c>
      <c r="Q90" s="340">
        <v>1051.25</v>
      </c>
      <c r="R90" s="182"/>
      <c r="U90" s="128"/>
    </row>
    <row r="91" spans="1:21" ht="15.6" x14ac:dyDescent="0.3">
      <c r="A91" s="53"/>
      <c r="B91" s="54"/>
      <c r="C91" s="54"/>
      <c r="D91" s="54"/>
      <c r="E91" s="55"/>
      <c r="F91" s="75"/>
      <c r="G91" s="76"/>
      <c r="H91" s="76"/>
      <c r="I91" s="48"/>
      <c r="J91" s="70"/>
      <c r="K91" s="70"/>
      <c r="L91" s="336" t="s">
        <v>937</v>
      </c>
      <c r="M91" s="337" t="s">
        <v>1036</v>
      </c>
      <c r="N91" s="336" t="s">
        <v>269</v>
      </c>
      <c r="O91" s="338">
        <v>3</v>
      </c>
      <c r="P91" s="340">
        <v>1687.5</v>
      </c>
      <c r="Q91" s="340">
        <v>5062.5</v>
      </c>
      <c r="R91" s="182"/>
      <c r="U91" s="128"/>
    </row>
    <row r="92" spans="1:21" ht="15.6" x14ac:dyDescent="0.3">
      <c r="A92" s="53"/>
      <c r="B92" s="54"/>
      <c r="C92" s="54"/>
      <c r="D92" s="54"/>
      <c r="E92" s="55"/>
      <c r="F92" s="75"/>
      <c r="G92" s="76"/>
      <c r="H92" s="76"/>
      <c r="I92" s="48"/>
      <c r="J92" s="70"/>
      <c r="K92" s="70"/>
      <c r="L92" s="336" t="s">
        <v>938</v>
      </c>
      <c r="M92" s="337" t="s">
        <v>1037</v>
      </c>
      <c r="N92" s="336" t="s">
        <v>269</v>
      </c>
      <c r="O92" s="338">
        <v>4</v>
      </c>
      <c r="P92" s="339">
        <v>813</v>
      </c>
      <c r="Q92" s="340">
        <v>3252</v>
      </c>
      <c r="R92" s="182"/>
      <c r="U92" s="128"/>
    </row>
    <row r="93" spans="1:21" ht="15.6" x14ac:dyDescent="0.3">
      <c r="A93" s="53"/>
      <c r="B93" s="54"/>
      <c r="C93" s="54"/>
      <c r="D93" s="54"/>
      <c r="E93" s="55"/>
      <c r="F93" s="75"/>
      <c r="G93" s="76"/>
      <c r="H93" s="76"/>
      <c r="I93" s="48"/>
      <c r="J93" s="70"/>
      <c r="K93" s="70"/>
      <c r="L93" s="336" t="s">
        <v>1001</v>
      </c>
      <c r="M93" s="337" t="s">
        <v>415</v>
      </c>
      <c r="N93" s="336" t="s">
        <v>34</v>
      </c>
      <c r="O93" s="338">
        <v>11</v>
      </c>
      <c r="P93" s="339">
        <v>59.58</v>
      </c>
      <c r="Q93" s="339">
        <v>655.38</v>
      </c>
      <c r="R93" s="182"/>
      <c r="U93" s="128"/>
    </row>
    <row r="94" spans="1:21" ht="15.6" x14ac:dyDescent="0.3">
      <c r="A94" s="53"/>
      <c r="B94" s="54"/>
      <c r="C94" s="54"/>
      <c r="D94" s="54"/>
      <c r="E94" s="55"/>
      <c r="F94" s="75"/>
      <c r="G94" s="76"/>
      <c r="H94" s="76"/>
      <c r="I94" s="48"/>
      <c r="J94" s="70"/>
      <c r="K94" s="70"/>
      <c r="L94" s="336" t="s">
        <v>1871</v>
      </c>
      <c r="M94" s="337" t="s">
        <v>1886</v>
      </c>
      <c r="N94" s="336" t="s">
        <v>56</v>
      </c>
      <c r="O94" s="338">
        <v>0.01</v>
      </c>
      <c r="P94" s="340">
        <v>55000</v>
      </c>
      <c r="Q94" s="339">
        <v>550</v>
      </c>
      <c r="R94" s="182"/>
      <c r="U94" s="128"/>
    </row>
    <row r="95" spans="1:21" ht="15.6" x14ac:dyDescent="0.3">
      <c r="A95" s="53"/>
      <c r="B95" s="54"/>
      <c r="C95" s="54"/>
      <c r="D95" s="54"/>
      <c r="E95" s="55"/>
      <c r="F95" s="75"/>
      <c r="G95" s="76"/>
      <c r="H95" s="76"/>
      <c r="I95" s="48"/>
      <c r="J95" s="70"/>
      <c r="K95" s="70"/>
      <c r="L95" s="336" t="s">
        <v>1116</v>
      </c>
      <c r="M95" s="337" t="s">
        <v>1202</v>
      </c>
      <c r="N95" s="336" t="s">
        <v>68</v>
      </c>
      <c r="O95" s="338">
        <v>52.13</v>
      </c>
      <c r="P95" s="339">
        <v>185.92</v>
      </c>
      <c r="Q95" s="340">
        <v>9691.8799999999992</v>
      </c>
      <c r="R95" s="182"/>
      <c r="U95" s="128"/>
    </row>
    <row r="96" spans="1:21" ht="15.6" x14ac:dyDescent="0.3">
      <c r="A96" s="53"/>
      <c r="B96" s="54"/>
      <c r="C96" s="54"/>
      <c r="D96" s="54"/>
      <c r="E96" s="55"/>
      <c r="F96" s="75"/>
      <c r="G96" s="76"/>
      <c r="H96" s="76"/>
      <c r="I96" s="48"/>
      <c r="J96" s="70"/>
      <c r="K96" s="70"/>
      <c r="L96" s="336" t="s">
        <v>1872</v>
      </c>
      <c r="M96" s="337" t="s">
        <v>1887</v>
      </c>
      <c r="N96" s="336" t="s">
        <v>34</v>
      </c>
      <c r="O96" s="338">
        <v>1</v>
      </c>
      <c r="P96" s="339">
        <v>55</v>
      </c>
      <c r="Q96" s="339">
        <v>55</v>
      </c>
      <c r="R96" s="182"/>
      <c r="U96" s="128"/>
    </row>
    <row r="97" spans="1:21" ht="15.6" x14ac:dyDescent="0.3">
      <c r="A97" s="53"/>
      <c r="B97" s="54"/>
      <c r="C97" s="54"/>
      <c r="D97" s="54"/>
      <c r="E97" s="55"/>
      <c r="F97" s="75"/>
      <c r="G97" s="76"/>
      <c r="H97" s="76"/>
      <c r="I97" s="48"/>
      <c r="J97" s="70"/>
      <c r="K97" s="70"/>
      <c r="L97" s="336" t="s">
        <v>1161</v>
      </c>
      <c r="M97" s="337" t="s">
        <v>436</v>
      </c>
      <c r="N97" s="336" t="s">
        <v>34</v>
      </c>
      <c r="O97" s="338">
        <v>5</v>
      </c>
      <c r="P97" s="339">
        <v>96.18</v>
      </c>
      <c r="Q97" s="339">
        <v>480.9</v>
      </c>
      <c r="R97" s="182"/>
      <c r="U97" s="128"/>
    </row>
    <row r="98" spans="1:21" ht="30" x14ac:dyDescent="0.3">
      <c r="A98" s="53"/>
      <c r="B98" s="54"/>
      <c r="C98" s="54"/>
      <c r="D98" s="54"/>
      <c r="E98" s="55"/>
      <c r="F98" s="75"/>
      <c r="G98" s="76"/>
      <c r="H98" s="76"/>
      <c r="I98" s="48"/>
      <c r="J98" s="70"/>
      <c r="K98" s="70"/>
      <c r="L98" s="336" t="s">
        <v>1004</v>
      </c>
      <c r="M98" s="337" t="s">
        <v>95</v>
      </c>
      <c r="N98" s="336" t="s">
        <v>34</v>
      </c>
      <c r="O98" s="338">
        <v>10</v>
      </c>
      <c r="P98" s="339">
        <v>181.32</v>
      </c>
      <c r="Q98" s="340">
        <v>1813.2</v>
      </c>
      <c r="R98" s="182"/>
      <c r="U98" s="128"/>
    </row>
    <row r="99" spans="1:21" ht="15.6" x14ac:dyDescent="0.3">
      <c r="A99" s="53"/>
      <c r="B99" s="54"/>
      <c r="C99" s="54"/>
      <c r="D99" s="54"/>
      <c r="E99" s="55"/>
      <c r="F99" s="75"/>
      <c r="G99" s="76"/>
      <c r="H99" s="76"/>
      <c r="I99" s="48"/>
      <c r="J99" s="70"/>
      <c r="K99" s="70"/>
      <c r="L99" s="336" t="s">
        <v>1090</v>
      </c>
      <c r="M99" s="337" t="s">
        <v>439</v>
      </c>
      <c r="N99" s="336" t="s">
        <v>34</v>
      </c>
      <c r="O99" s="338">
        <v>1</v>
      </c>
      <c r="P99" s="339">
        <v>89.11</v>
      </c>
      <c r="Q99" s="339">
        <v>89.11</v>
      </c>
      <c r="R99" s="182"/>
      <c r="U99" s="128"/>
    </row>
    <row r="100" spans="1:21" ht="15.6" x14ac:dyDescent="0.3">
      <c r="A100" s="53"/>
      <c r="B100" s="54"/>
      <c r="C100" s="54"/>
      <c r="D100" s="54"/>
      <c r="E100" s="55"/>
      <c r="F100" s="75"/>
      <c r="G100" s="76"/>
      <c r="H100" s="76"/>
      <c r="I100" s="48"/>
      <c r="J100" s="70"/>
      <c r="K100" s="70"/>
      <c r="L100" s="336" t="s">
        <v>1005</v>
      </c>
      <c r="M100" s="337" t="s">
        <v>825</v>
      </c>
      <c r="N100" s="336" t="s">
        <v>34</v>
      </c>
      <c r="O100" s="338">
        <v>4</v>
      </c>
      <c r="P100" s="339">
        <v>297</v>
      </c>
      <c r="Q100" s="340">
        <v>1188</v>
      </c>
      <c r="R100" s="182"/>
      <c r="U100" s="128"/>
    </row>
    <row r="101" spans="1:21" ht="15.6" x14ac:dyDescent="0.3">
      <c r="A101" s="53"/>
      <c r="B101" s="54"/>
      <c r="C101" s="54"/>
      <c r="D101" s="54"/>
      <c r="E101" s="55"/>
      <c r="F101" s="75"/>
      <c r="G101" s="76"/>
      <c r="H101" s="76"/>
      <c r="I101" s="48"/>
      <c r="J101" s="70"/>
      <c r="K101" s="70"/>
      <c r="L101" s="336" t="s">
        <v>1006</v>
      </c>
      <c r="M101" s="337" t="s">
        <v>923</v>
      </c>
      <c r="N101" s="336" t="s">
        <v>34</v>
      </c>
      <c r="O101" s="338">
        <v>694</v>
      </c>
      <c r="P101" s="339">
        <v>0.14000000000000001</v>
      </c>
      <c r="Q101" s="339">
        <v>95.73</v>
      </c>
      <c r="R101" s="272"/>
      <c r="U101" s="128"/>
    </row>
    <row r="102" spans="1:21" ht="15.6" x14ac:dyDescent="0.3">
      <c r="A102" s="53"/>
      <c r="B102" s="54"/>
      <c r="C102" s="54"/>
      <c r="D102" s="54"/>
      <c r="E102" s="55"/>
      <c r="F102" s="75"/>
      <c r="G102" s="76"/>
      <c r="H102" s="76"/>
      <c r="I102" s="48"/>
      <c r="J102" s="70"/>
      <c r="K102" s="70"/>
      <c r="L102" s="336" t="s">
        <v>1007</v>
      </c>
      <c r="M102" s="337" t="s">
        <v>447</v>
      </c>
      <c r="N102" s="336" t="s">
        <v>34</v>
      </c>
      <c r="O102" s="338">
        <v>9</v>
      </c>
      <c r="P102" s="339">
        <v>106.52</v>
      </c>
      <c r="Q102" s="339">
        <v>958.72</v>
      </c>
      <c r="R102" s="182"/>
      <c r="U102" s="128"/>
    </row>
    <row r="103" spans="1:21" ht="15.6" x14ac:dyDescent="0.3">
      <c r="A103" s="53"/>
      <c r="B103" s="54"/>
      <c r="C103" s="54"/>
      <c r="D103" s="54"/>
      <c r="E103" s="55"/>
      <c r="F103" s="75"/>
      <c r="G103" s="76"/>
      <c r="H103" s="76"/>
      <c r="I103" s="48"/>
      <c r="J103" s="70"/>
      <c r="K103" s="70"/>
      <c r="L103" s="336" t="s">
        <v>1873</v>
      </c>
      <c r="M103" s="337" t="s">
        <v>1888</v>
      </c>
      <c r="N103" s="336" t="s">
        <v>34</v>
      </c>
      <c r="O103" s="338">
        <v>6.54</v>
      </c>
      <c r="P103" s="339">
        <v>99.89</v>
      </c>
      <c r="Q103" s="339">
        <v>653.27</v>
      </c>
      <c r="R103" s="182"/>
      <c r="U103" s="128"/>
    </row>
    <row r="104" spans="1:21" ht="15.6" x14ac:dyDescent="0.3">
      <c r="A104" s="53"/>
      <c r="B104" s="54"/>
      <c r="C104" s="54"/>
      <c r="D104" s="54"/>
      <c r="E104" s="55"/>
      <c r="F104" s="75"/>
      <c r="G104" s="76"/>
      <c r="H104" s="76"/>
      <c r="I104" s="48"/>
      <c r="J104" s="70"/>
      <c r="K104" s="70"/>
      <c r="L104" s="336" t="s">
        <v>1080</v>
      </c>
      <c r="M104" s="337" t="s">
        <v>1081</v>
      </c>
      <c r="N104" s="336" t="s">
        <v>34</v>
      </c>
      <c r="O104" s="338">
        <v>1</v>
      </c>
      <c r="P104" s="339">
        <v>4.25</v>
      </c>
      <c r="Q104" s="339">
        <v>4.25</v>
      </c>
      <c r="R104" s="182"/>
      <c r="U104" s="128"/>
    </row>
    <row r="105" spans="1:21" ht="15.6" x14ac:dyDescent="0.3">
      <c r="A105" s="53"/>
      <c r="B105" s="54"/>
      <c r="C105" s="54"/>
      <c r="D105" s="54"/>
      <c r="E105" s="55"/>
      <c r="F105" s="75"/>
      <c r="G105" s="76"/>
      <c r="H105" s="76"/>
      <c r="I105" s="48"/>
      <c r="J105" s="70"/>
      <c r="K105" s="70"/>
      <c r="L105" s="336" t="s">
        <v>1378</v>
      </c>
      <c r="M105" s="337" t="s">
        <v>1406</v>
      </c>
      <c r="N105" s="336" t="s">
        <v>34</v>
      </c>
      <c r="O105" s="338">
        <v>1</v>
      </c>
      <c r="P105" s="339">
        <v>31</v>
      </c>
      <c r="Q105" s="339">
        <v>31</v>
      </c>
      <c r="R105" s="182"/>
      <c r="U105" s="128"/>
    </row>
    <row r="106" spans="1:21" ht="15.6" x14ac:dyDescent="0.3">
      <c r="A106" s="53"/>
      <c r="B106" s="54"/>
      <c r="C106" s="54"/>
      <c r="D106" s="54"/>
      <c r="E106" s="55"/>
      <c r="F106" s="75"/>
      <c r="G106" s="76"/>
      <c r="H106" s="76"/>
      <c r="I106" s="48"/>
      <c r="J106" s="70"/>
      <c r="K106" s="70"/>
      <c r="L106" s="336" t="s">
        <v>983</v>
      </c>
      <c r="M106" s="337" t="s">
        <v>471</v>
      </c>
      <c r="N106" s="336" t="s">
        <v>34</v>
      </c>
      <c r="O106" s="338">
        <v>2</v>
      </c>
      <c r="P106" s="339">
        <v>31</v>
      </c>
      <c r="Q106" s="339">
        <v>62</v>
      </c>
      <c r="R106" s="182"/>
      <c r="U106" s="128"/>
    </row>
    <row r="107" spans="1:21" ht="15.6" x14ac:dyDescent="0.3">
      <c r="A107" s="53"/>
      <c r="B107" s="54"/>
      <c r="C107" s="54"/>
      <c r="D107" s="54"/>
      <c r="E107" s="55"/>
      <c r="F107" s="75"/>
      <c r="G107" s="76"/>
      <c r="H107" s="76"/>
      <c r="I107" s="48"/>
      <c r="J107" s="70"/>
      <c r="K107" s="70"/>
      <c r="L107" s="336" t="s">
        <v>984</v>
      </c>
      <c r="M107" s="337" t="s">
        <v>472</v>
      </c>
      <c r="N107" s="336" t="s">
        <v>34</v>
      </c>
      <c r="O107" s="338">
        <v>7</v>
      </c>
      <c r="P107" s="339">
        <v>7.5</v>
      </c>
      <c r="Q107" s="339">
        <v>52.5</v>
      </c>
      <c r="R107" s="182"/>
      <c r="U107" s="128"/>
    </row>
    <row r="108" spans="1:21" ht="15.6" x14ac:dyDescent="0.3">
      <c r="A108" s="53"/>
      <c r="B108" s="54"/>
      <c r="C108" s="54"/>
      <c r="D108" s="54"/>
      <c r="E108" s="55"/>
      <c r="F108" s="75"/>
      <c r="G108" s="76"/>
      <c r="H108" s="76"/>
      <c r="I108" s="48"/>
      <c r="J108" s="70"/>
      <c r="K108" s="70"/>
      <c r="L108" s="336" t="s">
        <v>985</v>
      </c>
      <c r="M108" s="337" t="s">
        <v>473</v>
      </c>
      <c r="N108" s="336" t="s">
        <v>34</v>
      </c>
      <c r="O108" s="338">
        <v>5</v>
      </c>
      <c r="P108" s="339">
        <v>40.14</v>
      </c>
      <c r="Q108" s="339">
        <v>200.7</v>
      </c>
      <c r="R108" s="182"/>
      <c r="U108" s="128"/>
    </row>
    <row r="109" spans="1:21" ht="15.6" x14ac:dyDescent="0.3">
      <c r="A109" s="53"/>
      <c r="B109" s="54"/>
      <c r="C109" s="54"/>
      <c r="D109" s="54"/>
      <c r="E109" s="55"/>
      <c r="F109" s="75"/>
      <c r="G109" s="76"/>
      <c r="H109" s="76"/>
      <c r="I109" s="48"/>
      <c r="J109" s="70"/>
      <c r="K109" s="70"/>
      <c r="L109" s="336" t="s">
        <v>1087</v>
      </c>
      <c r="M109" s="337" t="s">
        <v>1089</v>
      </c>
      <c r="N109" s="336" t="s">
        <v>34</v>
      </c>
      <c r="O109" s="338">
        <v>1</v>
      </c>
      <c r="P109" s="339">
        <v>73</v>
      </c>
      <c r="Q109" s="339">
        <v>73</v>
      </c>
      <c r="R109" s="182"/>
      <c r="U109" s="128"/>
    </row>
    <row r="110" spans="1:21" ht="15.6" x14ac:dyDescent="0.3">
      <c r="A110" s="53"/>
      <c r="B110" s="54"/>
      <c r="C110" s="54"/>
      <c r="D110" s="54"/>
      <c r="E110" s="55"/>
      <c r="F110" s="75"/>
      <c r="G110" s="76"/>
      <c r="H110" s="76"/>
      <c r="I110" s="48"/>
      <c r="J110" s="70"/>
      <c r="K110" s="70"/>
      <c r="L110" s="336" t="s">
        <v>1382</v>
      </c>
      <c r="M110" s="337" t="s">
        <v>1410</v>
      </c>
      <c r="N110" s="336" t="s">
        <v>39</v>
      </c>
      <c r="O110" s="338">
        <v>0.02</v>
      </c>
      <c r="P110" s="340">
        <v>35795</v>
      </c>
      <c r="Q110" s="339">
        <v>715.9</v>
      </c>
      <c r="R110" s="182"/>
      <c r="U110" s="128"/>
    </row>
    <row r="111" spans="1:21" ht="15.6" x14ac:dyDescent="0.3">
      <c r="A111" s="53"/>
      <c r="B111" s="54"/>
      <c r="C111" s="54"/>
      <c r="D111" s="54"/>
      <c r="E111" s="55"/>
      <c r="F111" s="75"/>
      <c r="G111" s="76"/>
      <c r="H111" s="76"/>
      <c r="I111" s="48"/>
      <c r="J111" s="70"/>
      <c r="K111" s="70"/>
      <c r="L111" s="336" t="s">
        <v>1423</v>
      </c>
      <c r="M111" s="337" t="s">
        <v>1446</v>
      </c>
      <c r="N111" s="336" t="s">
        <v>39</v>
      </c>
      <c r="O111" s="338">
        <v>7.0000000000000007E-2</v>
      </c>
      <c r="P111" s="340">
        <v>31817</v>
      </c>
      <c r="Q111" s="340">
        <v>2227.19</v>
      </c>
      <c r="R111" s="182"/>
      <c r="U111" s="128"/>
    </row>
    <row r="112" spans="1:21" ht="15.6" x14ac:dyDescent="0.3">
      <c r="A112" s="53"/>
      <c r="B112" s="54"/>
      <c r="C112" s="54"/>
      <c r="D112" s="54"/>
      <c r="E112" s="55"/>
      <c r="F112" s="75"/>
      <c r="G112" s="76"/>
      <c r="H112" s="76"/>
      <c r="I112" s="48"/>
      <c r="J112" s="70"/>
      <c r="K112" s="70"/>
      <c r="L112" s="336" t="s">
        <v>1424</v>
      </c>
      <c r="M112" s="337" t="s">
        <v>228</v>
      </c>
      <c r="N112" s="336" t="s">
        <v>39</v>
      </c>
      <c r="O112" s="338">
        <v>0.04</v>
      </c>
      <c r="P112" s="340">
        <v>34206</v>
      </c>
      <c r="Q112" s="340">
        <v>1368.24</v>
      </c>
      <c r="R112" s="182"/>
      <c r="U112" s="128"/>
    </row>
    <row r="113" spans="1:21" ht="15.6" x14ac:dyDescent="0.3">
      <c r="A113" s="53"/>
      <c r="B113" s="54"/>
      <c r="C113" s="54"/>
      <c r="D113" s="54"/>
      <c r="E113" s="55"/>
      <c r="F113" s="75"/>
      <c r="G113" s="76"/>
      <c r="H113" s="76"/>
      <c r="I113" s="48"/>
      <c r="J113" s="70"/>
      <c r="K113" s="70"/>
      <c r="L113" s="336" t="s">
        <v>1847</v>
      </c>
      <c r="M113" s="337" t="s">
        <v>1849</v>
      </c>
      <c r="N113" s="336" t="s">
        <v>39</v>
      </c>
      <c r="O113" s="338">
        <v>0.01</v>
      </c>
      <c r="P113" s="340">
        <v>34578</v>
      </c>
      <c r="Q113" s="339">
        <v>345.78</v>
      </c>
      <c r="R113" s="182"/>
      <c r="U113" s="128"/>
    </row>
    <row r="114" spans="1:21" ht="15.6" x14ac:dyDescent="0.3">
      <c r="A114" s="53"/>
      <c r="B114" s="54"/>
      <c r="C114" s="54"/>
      <c r="D114" s="54"/>
      <c r="E114" s="55"/>
      <c r="F114" s="75"/>
      <c r="G114" s="76"/>
      <c r="H114" s="76"/>
      <c r="I114" s="48"/>
      <c r="J114" s="70"/>
      <c r="K114" s="70"/>
      <c r="L114" s="336" t="s">
        <v>1031</v>
      </c>
      <c r="M114" s="337" t="s">
        <v>834</v>
      </c>
      <c r="N114" s="336" t="s">
        <v>39</v>
      </c>
      <c r="O114" s="338">
        <v>0.13</v>
      </c>
      <c r="P114" s="340">
        <v>35257.919999999998</v>
      </c>
      <c r="Q114" s="340">
        <v>4583.53</v>
      </c>
      <c r="R114" s="182"/>
      <c r="U114" s="128"/>
    </row>
    <row r="115" spans="1:21" ht="15.6" x14ac:dyDescent="0.3">
      <c r="A115" s="53"/>
      <c r="B115" s="54"/>
      <c r="C115" s="54"/>
      <c r="D115" s="54"/>
      <c r="E115" s="55"/>
      <c r="F115" s="75"/>
      <c r="G115" s="76"/>
      <c r="H115" s="76"/>
      <c r="I115" s="48"/>
      <c r="J115" s="70"/>
      <c r="K115" s="70"/>
      <c r="L115" s="336" t="s">
        <v>986</v>
      </c>
      <c r="M115" s="337" t="s">
        <v>835</v>
      </c>
      <c r="N115" s="336" t="s">
        <v>34</v>
      </c>
      <c r="O115" s="338">
        <v>6</v>
      </c>
      <c r="P115" s="339">
        <v>275.86</v>
      </c>
      <c r="Q115" s="340">
        <v>1655.16</v>
      </c>
      <c r="R115" s="182"/>
      <c r="U115" s="128"/>
    </row>
    <row r="116" spans="1:21" ht="15.6" x14ac:dyDescent="0.3">
      <c r="A116" s="53"/>
      <c r="B116" s="54"/>
      <c r="C116" s="54"/>
      <c r="D116" s="54"/>
      <c r="E116" s="55"/>
      <c r="F116" s="75"/>
      <c r="G116" s="76"/>
      <c r="H116" s="76"/>
      <c r="I116" s="48"/>
      <c r="J116" s="70"/>
      <c r="K116" s="70"/>
      <c r="L116" s="336" t="s">
        <v>1179</v>
      </c>
      <c r="M116" s="337" t="s">
        <v>1263</v>
      </c>
      <c r="N116" s="336" t="s">
        <v>34</v>
      </c>
      <c r="O116" s="338">
        <v>0.31</v>
      </c>
      <c r="P116" s="339">
        <v>561</v>
      </c>
      <c r="Q116" s="339">
        <v>173.91</v>
      </c>
      <c r="R116" s="182"/>
      <c r="U116" s="128"/>
    </row>
    <row r="117" spans="1:21" ht="15.6" x14ac:dyDescent="0.3">
      <c r="A117" s="53"/>
      <c r="B117" s="54"/>
      <c r="C117" s="54"/>
      <c r="D117" s="54"/>
      <c r="E117" s="55"/>
      <c r="F117" s="75"/>
      <c r="G117" s="76"/>
      <c r="H117" s="76"/>
      <c r="I117" s="48"/>
      <c r="J117" s="70"/>
      <c r="K117" s="70"/>
      <c r="L117" s="336" t="s">
        <v>1091</v>
      </c>
      <c r="M117" s="337" t="s">
        <v>1095</v>
      </c>
      <c r="N117" s="336" t="s">
        <v>34</v>
      </c>
      <c r="O117" s="338">
        <v>1</v>
      </c>
      <c r="P117" s="339">
        <v>133.97999999999999</v>
      </c>
      <c r="Q117" s="339">
        <v>133.97999999999999</v>
      </c>
      <c r="R117" s="182"/>
      <c r="U117" s="128"/>
    </row>
    <row r="118" spans="1:21" ht="30" x14ac:dyDescent="0.3">
      <c r="A118" s="53"/>
      <c r="B118" s="54"/>
      <c r="C118" s="54"/>
      <c r="D118" s="54"/>
      <c r="E118" s="55"/>
      <c r="F118" s="75"/>
      <c r="G118" s="76"/>
      <c r="H118" s="76"/>
      <c r="I118" s="48"/>
      <c r="J118" s="70"/>
      <c r="K118" s="70"/>
      <c r="L118" s="336" t="s">
        <v>1019</v>
      </c>
      <c r="M118" s="337" t="s">
        <v>836</v>
      </c>
      <c r="N118" s="336" t="s">
        <v>57</v>
      </c>
      <c r="O118" s="338">
        <v>130</v>
      </c>
      <c r="P118" s="339">
        <v>6.09</v>
      </c>
      <c r="Q118" s="339">
        <v>791.7</v>
      </c>
      <c r="R118" s="182"/>
      <c r="U118" s="128"/>
    </row>
    <row r="119" spans="1:21" ht="30" x14ac:dyDescent="0.3">
      <c r="A119" s="53"/>
      <c r="B119" s="54"/>
      <c r="C119" s="54"/>
      <c r="D119" s="54"/>
      <c r="E119" s="55"/>
      <c r="F119" s="75"/>
      <c r="G119" s="76"/>
      <c r="H119" s="76"/>
      <c r="I119" s="48"/>
      <c r="J119" s="70"/>
      <c r="K119" s="70"/>
      <c r="L119" s="336" t="s">
        <v>1020</v>
      </c>
      <c r="M119" s="337" t="s">
        <v>102</v>
      </c>
      <c r="N119" s="336" t="s">
        <v>57</v>
      </c>
      <c r="O119" s="338">
        <v>11</v>
      </c>
      <c r="P119" s="339">
        <v>7.92</v>
      </c>
      <c r="Q119" s="339">
        <v>87.12</v>
      </c>
      <c r="R119" s="182"/>
      <c r="U119" s="128"/>
    </row>
    <row r="120" spans="1:21" ht="15.6" x14ac:dyDescent="0.3">
      <c r="A120" s="53"/>
      <c r="B120" s="54"/>
      <c r="C120" s="54"/>
      <c r="D120" s="54"/>
      <c r="E120" s="55"/>
      <c r="F120" s="75"/>
      <c r="G120" s="76"/>
      <c r="H120" s="76"/>
      <c r="I120" s="48"/>
      <c r="J120" s="70"/>
      <c r="K120" s="70"/>
      <c r="L120" s="336" t="s">
        <v>933</v>
      </c>
      <c r="M120" s="337" t="s">
        <v>932</v>
      </c>
      <c r="N120" s="336" t="s">
        <v>37</v>
      </c>
      <c r="O120" s="338">
        <v>2</v>
      </c>
      <c r="P120" s="339">
        <v>18.899999999999999</v>
      </c>
      <c r="Q120" s="339">
        <v>37.799999999999997</v>
      </c>
      <c r="R120" s="182"/>
      <c r="U120" s="128"/>
    </row>
    <row r="121" spans="1:21" ht="30" x14ac:dyDescent="0.3">
      <c r="A121" s="53"/>
      <c r="B121" s="54"/>
      <c r="C121" s="54"/>
      <c r="D121" s="54"/>
      <c r="E121" s="55"/>
      <c r="F121" s="75"/>
      <c r="G121" s="76"/>
      <c r="H121" s="76"/>
      <c r="I121" s="48"/>
      <c r="J121" s="70"/>
      <c r="K121" s="70"/>
      <c r="L121" s="336" t="s">
        <v>1427</v>
      </c>
      <c r="M121" s="337" t="s">
        <v>1449</v>
      </c>
      <c r="N121" s="336" t="s">
        <v>34</v>
      </c>
      <c r="O121" s="338">
        <v>1</v>
      </c>
      <c r="P121" s="339">
        <v>55.94</v>
      </c>
      <c r="Q121" s="339">
        <v>55.94</v>
      </c>
      <c r="R121" s="182"/>
      <c r="U121" s="128"/>
    </row>
    <row r="122" spans="1:21" ht="15.6" x14ac:dyDescent="0.3">
      <c r="A122" s="53"/>
      <c r="B122" s="54"/>
      <c r="C122" s="54"/>
      <c r="D122" s="54"/>
      <c r="E122" s="55"/>
      <c r="F122" s="75"/>
      <c r="G122" s="76"/>
      <c r="H122" s="76"/>
      <c r="I122" s="48"/>
      <c r="J122" s="70"/>
      <c r="K122" s="70"/>
      <c r="L122" s="336" t="s">
        <v>1178</v>
      </c>
      <c r="M122" s="337" t="s">
        <v>1262</v>
      </c>
      <c r="N122" s="336" t="s">
        <v>34</v>
      </c>
      <c r="O122" s="338">
        <v>2</v>
      </c>
      <c r="P122" s="339">
        <v>36.729999999999997</v>
      </c>
      <c r="Q122" s="339">
        <v>73.45</v>
      </c>
      <c r="R122" s="182"/>
      <c r="U122" s="128"/>
    </row>
    <row r="123" spans="1:21" ht="15.6" x14ac:dyDescent="0.3">
      <c r="A123" s="53"/>
      <c r="B123" s="54"/>
      <c r="C123" s="54"/>
      <c r="D123" s="54"/>
      <c r="E123" s="55"/>
      <c r="F123" s="75"/>
      <c r="G123" s="76"/>
      <c r="H123" s="76"/>
      <c r="I123" s="48"/>
      <c r="J123" s="70"/>
      <c r="K123" s="70"/>
      <c r="L123" s="336" t="s">
        <v>1021</v>
      </c>
      <c r="M123" s="337" t="s">
        <v>483</v>
      </c>
      <c r="N123" s="336" t="s">
        <v>57</v>
      </c>
      <c r="O123" s="338">
        <v>13</v>
      </c>
      <c r="P123" s="339">
        <v>31.3</v>
      </c>
      <c r="Q123" s="339">
        <v>406.9</v>
      </c>
      <c r="R123" s="182"/>
      <c r="U123" s="128"/>
    </row>
    <row r="124" spans="1:21" ht="30" x14ac:dyDescent="0.3">
      <c r="A124" s="53"/>
      <c r="B124" s="54"/>
      <c r="C124" s="54"/>
      <c r="D124" s="54"/>
      <c r="E124" s="55"/>
      <c r="F124" s="75"/>
      <c r="G124" s="76"/>
      <c r="H124" s="76"/>
      <c r="I124" s="48"/>
      <c r="J124" s="70"/>
      <c r="K124" s="70"/>
      <c r="L124" s="336" t="s">
        <v>987</v>
      </c>
      <c r="M124" s="337" t="s">
        <v>837</v>
      </c>
      <c r="N124" s="336" t="s">
        <v>34</v>
      </c>
      <c r="O124" s="338">
        <v>3</v>
      </c>
      <c r="P124" s="339">
        <v>54.92</v>
      </c>
      <c r="Q124" s="339">
        <v>164.76</v>
      </c>
      <c r="R124" s="182"/>
      <c r="U124" s="128"/>
    </row>
    <row r="125" spans="1:21" ht="15.6" x14ac:dyDescent="0.3">
      <c r="A125" s="53"/>
      <c r="B125" s="54"/>
      <c r="C125" s="54"/>
      <c r="D125" s="54"/>
      <c r="E125" s="55"/>
      <c r="F125" s="75"/>
      <c r="G125" s="76"/>
      <c r="H125" s="76"/>
      <c r="I125" s="48"/>
      <c r="J125" s="70"/>
      <c r="K125" s="70"/>
      <c r="L125" s="336" t="s">
        <v>1316</v>
      </c>
      <c r="M125" s="337" t="s">
        <v>1350</v>
      </c>
      <c r="N125" s="336" t="s">
        <v>39</v>
      </c>
      <c r="O125" s="338">
        <v>0.02</v>
      </c>
      <c r="P125" s="340">
        <v>31617.5</v>
      </c>
      <c r="Q125" s="339">
        <v>632.35</v>
      </c>
      <c r="R125" s="182"/>
      <c r="U125" s="128"/>
    </row>
    <row r="126" spans="1:21" ht="15.6" x14ac:dyDescent="0.3">
      <c r="A126" s="53"/>
      <c r="B126" s="54"/>
      <c r="C126" s="54"/>
      <c r="D126" s="54"/>
      <c r="E126" s="55"/>
      <c r="F126" s="75"/>
      <c r="G126" s="76"/>
      <c r="H126" s="76"/>
      <c r="I126" s="48"/>
      <c r="J126" s="70"/>
      <c r="K126" s="70"/>
      <c r="L126" s="336" t="s">
        <v>1180</v>
      </c>
      <c r="M126" s="337" t="s">
        <v>105</v>
      </c>
      <c r="N126" s="336" t="s">
        <v>34</v>
      </c>
      <c r="O126" s="338">
        <v>399</v>
      </c>
      <c r="P126" s="339">
        <v>0.54</v>
      </c>
      <c r="Q126" s="339">
        <v>216.53</v>
      </c>
      <c r="R126" s="182"/>
      <c r="U126" s="128"/>
    </row>
    <row r="127" spans="1:21" ht="15.6" x14ac:dyDescent="0.3">
      <c r="A127" s="53"/>
      <c r="B127" s="54"/>
      <c r="C127" s="54"/>
      <c r="D127" s="54"/>
      <c r="E127" s="55"/>
      <c r="F127" s="75"/>
      <c r="G127" s="76"/>
      <c r="H127" s="76"/>
      <c r="I127" s="48"/>
      <c r="J127" s="70"/>
      <c r="K127" s="70"/>
      <c r="L127" s="336" t="s">
        <v>988</v>
      </c>
      <c r="M127" s="337" t="s">
        <v>106</v>
      </c>
      <c r="N127" s="336" t="s">
        <v>34</v>
      </c>
      <c r="O127" s="341">
        <v>2335</v>
      </c>
      <c r="P127" s="339">
        <v>0.71</v>
      </c>
      <c r="Q127" s="340">
        <v>1648.72</v>
      </c>
      <c r="R127" s="182"/>
      <c r="U127" s="128"/>
    </row>
    <row r="128" spans="1:21" ht="15.6" x14ac:dyDescent="0.3">
      <c r="A128" s="53"/>
      <c r="B128" s="54"/>
      <c r="C128" s="54"/>
      <c r="D128" s="54"/>
      <c r="E128" s="55"/>
      <c r="F128" s="75"/>
      <c r="G128" s="76"/>
      <c r="H128" s="76"/>
      <c r="I128" s="48"/>
      <c r="J128" s="70"/>
      <c r="K128" s="70"/>
      <c r="L128" s="336" t="s">
        <v>46</v>
      </c>
      <c r="M128" s="337" t="s">
        <v>107</v>
      </c>
      <c r="N128" s="336" t="s">
        <v>64</v>
      </c>
      <c r="O128" s="338">
        <v>0.15</v>
      </c>
      <c r="P128" s="340">
        <v>1435</v>
      </c>
      <c r="Q128" s="339">
        <v>215.25</v>
      </c>
      <c r="R128" s="182"/>
      <c r="U128" s="128"/>
    </row>
    <row r="129" spans="1:21" ht="30" x14ac:dyDescent="0.3">
      <c r="A129" s="53"/>
      <c r="B129" s="54"/>
      <c r="C129" s="54"/>
      <c r="D129" s="54"/>
      <c r="E129" s="55"/>
      <c r="F129" s="75"/>
      <c r="G129" s="76"/>
      <c r="H129" s="76"/>
      <c r="I129" s="48"/>
      <c r="J129" s="70"/>
      <c r="K129" s="70"/>
      <c r="L129" s="336" t="s">
        <v>1079</v>
      </c>
      <c r="M129" s="337" t="s">
        <v>842</v>
      </c>
      <c r="N129" s="336" t="s">
        <v>34</v>
      </c>
      <c r="O129" s="338">
        <v>1</v>
      </c>
      <c r="P129" s="339">
        <v>43.8</v>
      </c>
      <c r="Q129" s="339">
        <v>43.8</v>
      </c>
      <c r="R129" s="182"/>
      <c r="U129" s="128"/>
    </row>
    <row r="130" spans="1:21" ht="15.6" x14ac:dyDescent="0.3">
      <c r="A130" s="53"/>
      <c r="B130" s="54"/>
      <c r="C130" s="54"/>
      <c r="D130" s="54"/>
      <c r="E130" s="55"/>
      <c r="F130" s="75"/>
      <c r="G130" s="76"/>
      <c r="H130" s="76"/>
      <c r="I130" s="48"/>
      <c r="J130" s="70"/>
      <c r="K130" s="70"/>
      <c r="L130" s="336" t="s">
        <v>1874</v>
      </c>
      <c r="M130" s="337" t="s">
        <v>1889</v>
      </c>
      <c r="N130" s="336" t="s">
        <v>64</v>
      </c>
      <c r="O130" s="338">
        <v>2</v>
      </c>
      <c r="P130" s="339">
        <v>18.899999999999999</v>
      </c>
      <c r="Q130" s="339">
        <v>37.799999999999997</v>
      </c>
      <c r="R130" s="182"/>
      <c r="U130" s="128"/>
    </row>
    <row r="131" spans="1:21" ht="15.6" x14ac:dyDescent="0.3">
      <c r="A131" s="53"/>
      <c r="B131" s="54"/>
      <c r="C131" s="54"/>
      <c r="D131" s="54"/>
      <c r="E131" s="55"/>
      <c r="F131" s="75"/>
      <c r="G131" s="76"/>
      <c r="H131" s="76"/>
      <c r="I131" s="48"/>
      <c r="J131" s="70"/>
      <c r="K131" s="70"/>
      <c r="L131" s="336" t="s">
        <v>949</v>
      </c>
      <c r="M131" s="337" t="s">
        <v>494</v>
      </c>
      <c r="N131" s="336" t="s">
        <v>34</v>
      </c>
      <c r="O131" s="338">
        <v>54</v>
      </c>
      <c r="P131" s="339">
        <v>2.5</v>
      </c>
      <c r="Q131" s="339">
        <v>135</v>
      </c>
      <c r="R131" s="182"/>
      <c r="U131" s="128"/>
    </row>
    <row r="132" spans="1:21" ht="30" x14ac:dyDescent="0.3">
      <c r="A132" s="53"/>
      <c r="B132" s="54"/>
      <c r="C132" s="54"/>
      <c r="D132" s="54"/>
      <c r="E132" s="55"/>
      <c r="F132" s="75"/>
      <c r="G132" s="76"/>
      <c r="H132" s="76"/>
      <c r="I132" s="48"/>
      <c r="J132" s="70"/>
      <c r="K132" s="70"/>
      <c r="L132" s="336" t="s">
        <v>950</v>
      </c>
      <c r="M132" s="337" t="s">
        <v>843</v>
      </c>
      <c r="N132" s="336" t="s">
        <v>34</v>
      </c>
      <c r="O132" s="338">
        <v>1</v>
      </c>
      <c r="P132" s="339">
        <v>53.1</v>
      </c>
      <c r="Q132" s="339">
        <v>53.1</v>
      </c>
      <c r="R132" s="182"/>
      <c r="U132" s="128"/>
    </row>
    <row r="133" spans="1:21" ht="15.6" x14ac:dyDescent="0.3">
      <c r="A133" s="53"/>
      <c r="B133" s="54"/>
      <c r="C133" s="54"/>
      <c r="D133" s="54"/>
      <c r="E133" s="55"/>
      <c r="F133" s="75"/>
      <c r="G133" s="76"/>
      <c r="H133" s="76"/>
      <c r="I133" s="48"/>
      <c r="J133" s="70"/>
      <c r="K133" s="70"/>
      <c r="L133" s="336" t="s">
        <v>1875</v>
      </c>
      <c r="M133" s="337" t="s">
        <v>1890</v>
      </c>
      <c r="N133" s="336" t="s">
        <v>34</v>
      </c>
      <c r="O133" s="338">
        <v>1</v>
      </c>
      <c r="P133" s="339">
        <v>52.9</v>
      </c>
      <c r="Q133" s="339">
        <v>52.9</v>
      </c>
      <c r="R133" s="182"/>
      <c r="U133" s="128"/>
    </row>
    <row r="134" spans="1:21" ht="15.6" x14ac:dyDescent="0.3">
      <c r="A134" s="53"/>
      <c r="B134" s="54"/>
      <c r="C134" s="54"/>
      <c r="D134" s="54"/>
      <c r="E134" s="55"/>
      <c r="F134" s="75"/>
      <c r="G134" s="76"/>
      <c r="H134" s="76"/>
      <c r="I134" s="48"/>
      <c r="J134" s="70"/>
      <c r="K134" s="70"/>
      <c r="L134" s="336" t="s">
        <v>1876</v>
      </c>
      <c r="M134" s="337" t="s">
        <v>1891</v>
      </c>
      <c r="N134" s="336" t="s">
        <v>34</v>
      </c>
      <c r="O134" s="338">
        <v>2</v>
      </c>
      <c r="P134" s="339">
        <v>21</v>
      </c>
      <c r="Q134" s="339">
        <v>42</v>
      </c>
      <c r="R134" s="182"/>
      <c r="U134" s="128"/>
    </row>
    <row r="135" spans="1:21" ht="30" x14ac:dyDescent="0.3">
      <c r="A135" s="53"/>
      <c r="B135" s="54"/>
      <c r="C135" s="54"/>
      <c r="D135" s="54"/>
      <c r="E135" s="55"/>
      <c r="F135" s="75"/>
      <c r="G135" s="76"/>
      <c r="H135" s="76"/>
      <c r="I135" s="48"/>
      <c r="J135" s="70"/>
      <c r="K135" s="70"/>
      <c r="L135" s="336" t="s">
        <v>951</v>
      </c>
      <c r="M135" s="337" t="s">
        <v>844</v>
      </c>
      <c r="N135" s="336" t="s">
        <v>34</v>
      </c>
      <c r="O135" s="338">
        <v>4</v>
      </c>
      <c r="P135" s="339">
        <v>21</v>
      </c>
      <c r="Q135" s="339">
        <v>84</v>
      </c>
      <c r="R135" s="182"/>
      <c r="U135" s="128"/>
    </row>
    <row r="136" spans="1:21" ht="15.6" x14ac:dyDescent="0.3">
      <c r="A136" s="53"/>
      <c r="B136" s="54"/>
      <c r="C136" s="54"/>
      <c r="D136" s="54"/>
      <c r="E136" s="55"/>
      <c r="F136" s="75"/>
      <c r="G136" s="76"/>
      <c r="H136" s="76"/>
      <c r="I136" s="48"/>
      <c r="J136" s="70"/>
      <c r="K136" s="70"/>
      <c r="L136" s="336" t="s">
        <v>1167</v>
      </c>
      <c r="M136" s="337" t="s">
        <v>1252</v>
      </c>
      <c r="N136" s="336" t="s">
        <v>34</v>
      </c>
      <c r="O136" s="338">
        <v>0.65</v>
      </c>
      <c r="P136" s="339">
        <v>196</v>
      </c>
      <c r="Q136" s="339">
        <v>127.4</v>
      </c>
      <c r="R136" s="182"/>
      <c r="U136" s="128"/>
    </row>
    <row r="137" spans="1:21" ht="15.6" x14ac:dyDescent="0.3">
      <c r="A137" s="53"/>
      <c r="B137" s="54"/>
      <c r="C137" s="54"/>
      <c r="D137" s="54"/>
      <c r="E137" s="55"/>
      <c r="F137" s="75"/>
      <c r="G137" s="76"/>
      <c r="H137" s="76"/>
      <c r="I137" s="48"/>
      <c r="J137" s="70"/>
      <c r="K137" s="70"/>
      <c r="L137" s="336" t="s">
        <v>1431</v>
      </c>
      <c r="M137" s="337" t="s">
        <v>1453</v>
      </c>
      <c r="N137" s="336" t="s">
        <v>34</v>
      </c>
      <c r="O137" s="338">
        <v>0.52</v>
      </c>
      <c r="P137" s="339">
        <v>185</v>
      </c>
      <c r="Q137" s="339">
        <v>96.2</v>
      </c>
      <c r="R137" s="182"/>
      <c r="U137" s="128"/>
    </row>
    <row r="138" spans="1:21" ht="15.6" x14ac:dyDescent="0.3">
      <c r="A138" s="53"/>
      <c r="B138" s="54"/>
      <c r="C138" s="54"/>
      <c r="D138" s="54"/>
      <c r="E138" s="55"/>
      <c r="F138" s="75"/>
      <c r="G138" s="76"/>
      <c r="H138" s="76"/>
      <c r="I138" s="48"/>
      <c r="J138" s="70"/>
      <c r="K138" s="70"/>
      <c r="L138" s="336" t="s">
        <v>989</v>
      </c>
      <c r="M138" s="337" t="s">
        <v>848</v>
      </c>
      <c r="N138" s="336" t="s">
        <v>34</v>
      </c>
      <c r="O138" s="338">
        <v>2</v>
      </c>
      <c r="P138" s="339">
        <v>114</v>
      </c>
      <c r="Q138" s="339">
        <v>228</v>
      </c>
      <c r="R138" s="182"/>
      <c r="U138" s="128"/>
    </row>
    <row r="139" spans="1:21" ht="15.6" x14ac:dyDescent="0.3">
      <c r="A139" s="53"/>
      <c r="B139" s="54"/>
      <c r="C139" s="54"/>
      <c r="D139" s="54"/>
      <c r="E139" s="55"/>
      <c r="F139" s="75"/>
      <c r="G139" s="76"/>
      <c r="H139" s="76"/>
      <c r="I139" s="48"/>
      <c r="J139" s="70"/>
      <c r="K139" s="70"/>
      <c r="L139" s="336" t="s">
        <v>1168</v>
      </c>
      <c r="M139" s="337" t="s">
        <v>1253</v>
      </c>
      <c r="N139" s="336" t="s">
        <v>34</v>
      </c>
      <c r="O139" s="338">
        <v>1</v>
      </c>
      <c r="P139" s="339">
        <v>110</v>
      </c>
      <c r="Q139" s="339">
        <v>110</v>
      </c>
      <c r="R139" s="182"/>
      <c r="U139" s="128"/>
    </row>
    <row r="140" spans="1:21" ht="15.6" x14ac:dyDescent="0.3">
      <c r="A140" s="53"/>
      <c r="B140" s="54"/>
      <c r="C140" s="54"/>
      <c r="D140" s="54"/>
      <c r="E140" s="55"/>
      <c r="F140" s="75"/>
      <c r="G140" s="76"/>
      <c r="H140" s="76"/>
      <c r="I140" s="48"/>
      <c r="J140" s="70"/>
      <c r="K140" s="70"/>
      <c r="L140" s="336" t="s">
        <v>991</v>
      </c>
      <c r="M140" s="337" t="s">
        <v>1065</v>
      </c>
      <c r="N140" s="336" t="s">
        <v>34</v>
      </c>
      <c r="O140" s="338">
        <v>430</v>
      </c>
      <c r="P140" s="339">
        <v>0.5</v>
      </c>
      <c r="Q140" s="339">
        <v>215</v>
      </c>
      <c r="R140" s="182"/>
      <c r="U140" s="128"/>
    </row>
    <row r="141" spans="1:21" ht="15.6" x14ac:dyDescent="0.3">
      <c r="A141" s="53"/>
      <c r="B141" s="54"/>
      <c r="C141" s="54"/>
      <c r="D141" s="54"/>
      <c r="E141" s="55"/>
      <c r="F141" s="75"/>
      <c r="G141" s="76"/>
      <c r="H141" s="76"/>
      <c r="I141" s="48"/>
      <c r="J141" s="70"/>
      <c r="K141" s="70"/>
      <c r="L141" s="336" t="s">
        <v>992</v>
      </c>
      <c r="M141" s="337" t="s">
        <v>849</v>
      </c>
      <c r="N141" s="336" t="s">
        <v>34</v>
      </c>
      <c r="O141" s="338">
        <v>15</v>
      </c>
      <c r="P141" s="339">
        <v>0.92</v>
      </c>
      <c r="Q141" s="339">
        <v>13.8</v>
      </c>
      <c r="R141" s="182"/>
      <c r="U141" s="128"/>
    </row>
    <row r="142" spans="1:21" ht="15.6" x14ac:dyDescent="0.3">
      <c r="A142" s="53"/>
      <c r="B142" s="54"/>
      <c r="C142" s="54"/>
      <c r="D142" s="54"/>
      <c r="E142" s="55"/>
      <c r="F142" s="75"/>
      <c r="G142" s="76"/>
      <c r="H142" s="76"/>
      <c r="I142" s="48"/>
      <c r="J142" s="70"/>
      <c r="K142" s="70"/>
      <c r="L142" s="336" t="s">
        <v>993</v>
      </c>
      <c r="M142" s="337" t="s">
        <v>852</v>
      </c>
      <c r="N142" s="336" t="s">
        <v>34</v>
      </c>
      <c r="O142" s="338">
        <v>377</v>
      </c>
      <c r="P142" s="339">
        <v>0.5</v>
      </c>
      <c r="Q142" s="339">
        <v>188.5</v>
      </c>
      <c r="R142" s="182"/>
      <c r="U142" s="128"/>
    </row>
    <row r="143" spans="1:21" ht="15.6" x14ac:dyDescent="0.3">
      <c r="A143" s="53"/>
      <c r="B143" s="54"/>
      <c r="C143" s="54"/>
      <c r="D143" s="54"/>
      <c r="E143" s="55"/>
      <c r="F143" s="75"/>
      <c r="G143" s="76"/>
      <c r="H143" s="76"/>
      <c r="I143" s="48"/>
      <c r="J143" s="70"/>
      <c r="K143" s="70"/>
      <c r="L143" s="336" t="s">
        <v>996</v>
      </c>
      <c r="M143" s="337" t="s">
        <v>501</v>
      </c>
      <c r="N143" s="336" t="s">
        <v>34</v>
      </c>
      <c r="O143" s="338">
        <v>6</v>
      </c>
      <c r="P143" s="339">
        <v>34.08</v>
      </c>
      <c r="Q143" s="339">
        <v>204.46</v>
      </c>
      <c r="R143" s="182"/>
      <c r="U143" s="128"/>
    </row>
    <row r="144" spans="1:21" ht="15.6" x14ac:dyDescent="0.3">
      <c r="A144" s="53"/>
      <c r="B144" s="54"/>
      <c r="C144" s="54"/>
      <c r="D144" s="54"/>
      <c r="E144" s="55"/>
      <c r="F144" s="75"/>
      <c r="G144" s="76"/>
      <c r="H144" s="76"/>
      <c r="I144" s="48"/>
      <c r="J144" s="70"/>
      <c r="K144" s="70"/>
      <c r="L144" s="336" t="s">
        <v>997</v>
      </c>
      <c r="M144" s="337" t="s">
        <v>853</v>
      </c>
      <c r="N144" s="336" t="s">
        <v>34</v>
      </c>
      <c r="O144" s="338">
        <v>46</v>
      </c>
      <c r="P144" s="339">
        <v>48</v>
      </c>
      <c r="Q144" s="340">
        <v>2208</v>
      </c>
      <c r="R144" s="182"/>
      <c r="U144" s="128"/>
    </row>
    <row r="145" spans="1:21" ht="15.6" x14ac:dyDescent="0.3">
      <c r="A145" s="53"/>
      <c r="B145" s="54"/>
      <c r="C145" s="54"/>
      <c r="D145" s="54"/>
      <c r="E145" s="55"/>
      <c r="F145" s="75"/>
      <c r="G145" s="76"/>
      <c r="H145" s="76"/>
      <c r="I145" s="48"/>
      <c r="J145" s="70"/>
      <c r="K145" s="70"/>
      <c r="L145" s="336" t="s">
        <v>998</v>
      </c>
      <c r="M145" s="337" t="s">
        <v>1068</v>
      </c>
      <c r="N145" s="336" t="s">
        <v>34</v>
      </c>
      <c r="O145" s="338">
        <v>2</v>
      </c>
      <c r="P145" s="339">
        <v>66.86</v>
      </c>
      <c r="Q145" s="339">
        <v>133.72</v>
      </c>
      <c r="R145" s="182"/>
      <c r="U145" s="128"/>
    </row>
    <row r="146" spans="1:21" ht="15.6" x14ac:dyDescent="0.3">
      <c r="A146" s="53"/>
      <c r="B146" s="54"/>
      <c r="C146" s="54"/>
      <c r="D146" s="54"/>
      <c r="E146" s="55"/>
      <c r="F146" s="75"/>
      <c r="G146" s="76"/>
      <c r="H146" s="76"/>
      <c r="I146" s="48"/>
      <c r="J146" s="70"/>
      <c r="K146" s="70"/>
      <c r="L146" s="336" t="s">
        <v>1877</v>
      </c>
      <c r="M146" s="337" t="s">
        <v>1892</v>
      </c>
      <c r="N146" s="336" t="s">
        <v>34</v>
      </c>
      <c r="O146" s="338">
        <v>7</v>
      </c>
      <c r="P146" s="339">
        <v>11.5</v>
      </c>
      <c r="Q146" s="339">
        <v>80.5</v>
      </c>
      <c r="R146" s="182"/>
      <c r="U146" s="128"/>
    </row>
    <row r="147" spans="1:21" ht="15.6" x14ac:dyDescent="0.3">
      <c r="A147" s="53"/>
      <c r="B147" s="54"/>
      <c r="C147" s="54"/>
      <c r="D147" s="54"/>
      <c r="E147" s="55"/>
      <c r="F147" s="75"/>
      <c r="G147" s="76"/>
      <c r="H147" s="76"/>
      <c r="I147" s="48"/>
      <c r="J147" s="70"/>
      <c r="K147" s="70"/>
      <c r="L147" s="336" t="s">
        <v>999</v>
      </c>
      <c r="M147" s="337" t="s">
        <v>1069</v>
      </c>
      <c r="N147" s="336" t="s">
        <v>34</v>
      </c>
      <c r="O147" s="341">
        <v>2024</v>
      </c>
      <c r="P147" s="339">
        <v>0.26</v>
      </c>
      <c r="Q147" s="339">
        <v>524.36</v>
      </c>
      <c r="R147" s="182"/>
      <c r="U147" s="128"/>
    </row>
    <row r="148" spans="1:21" ht="15.6" x14ac:dyDescent="0.3">
      <c r="A148" s="53"/>
      <c r="B148" s="54"/>
      <c r="C148" s="54"/>
      <c r="D148" s="54"/>
      <c r="E148" s="55"/>
      <c r="F148" s="75"/>
      <c r="G148" s="76"/>
      <c r="H148" s="76"/>
      <c r="I148" s="48"/>
      <c r="J148" s="70"/>
      <c r="K148" s="70"/>
      <c r="L148" s="336" t="s">
        <v>1000</v>
      </c>
      <c r="M148" s="337" t="s">
        <v>248</v>
      </c>
      <c r="N148" s="336" t="s">
        <v>34</v>
      </c>
      <c r="O148" s="338">
        <v>972</v>
      </c>
      <c r="P148" s="339">
        <v>0.24</v>
      </c>
      <c r="Q148" s="339">
        <v>236.47</v>
      </c>
      <c r="R148" s="182"/>
      <c r="U148" s="128"/>
    </row>
    <row r="149" spans="1:21" ht="15.6" x14ac:dyDescent="0.3">
      <c r="A149" s="53"/>
      <c r="B149" s="54"/>
      <c r="C149" s="54"/>
      <c r="D149" s="54"/>
      <c r="E149" s="55"/>
      <c r="F149" s="75"/>
      <c r="G149" s="76"/>
      <c r="H149" s="76"/>
      <c r="I149" s="48"/>
      <c r="J149" s="70"/>
      <c r="K149" s="70"/>
      <c r="L149" s="336" t="s">
        <v>1436</v>
      </c>
      <c r="M149" s="337" t="s">
        <v>1458</v>
      </c>
      <c r="N149" s="336" t="s">
        <v>35</v>
      </c>
      <c r="O149" s="338">
        <v>1.2999999999999999E-2</v>
      </c>
      <c r="P149" s="339">
        <v>307.69</v>
      </c>
      <c r="Q149" s="339">
        <v>4</v>
      </c>
      <c r="R149" s="182"/>
      <c r="U149" s="128"/>
    </row>
    <row r="150" spans="1:21" ht="15.6" x14ac:dyDescent="0.3">
      <c r="A150" s="53"/>
      <c r="B150" s="54"/>
      <c r="C150" s="54"/>
      <c r="D150" s="54"/>
      <c r="E150" s="55"/>
      <c r="F150" s="75"/>
      <c r="G150" s="76"/>
      <c r="H150" s="76"/>
      <c r="I150" s="48"/>
      <c r="J150" s="70"/>
      <c r="K150" s="70"/>
      <c r="L150" s="336" t="s">
        <v>940</v>
      </c>
      <c r="M150" s="337" t="s">
        <v>1038</v>
      </c>
      <c r="N150" s="336" t="s">
        <v>63</v>
      </c>
      <c r="O150" s="338">
        <v>1.4999999999999999E-2</v>
      </c>
      <c r="P150" s="340">
        <v>37211.33</v>
      </c>
      <c r="Q150" s="339">
        <v>558.16999999999996</v>
      </c>
      <c r="R150" s="182"/>
      <c r="U150" s="128"/>
    </row>
    <row r="151" spans="1:21" ht="15.6" x14ac:dyDescent="0.3">
      <c r="A151" s="53"/>
      <c r="B151" s="54"/>
      <c r="C151" s="54"/>
      <c r="D151" s="54"/>
      <c r="E151" s="55"/>
      <c r="F151" s="75"/>
      <c r="G151" s="76"/>
      <c r="H151" s="76"/>
      <c r="I151" s="48"/>
      <c r="J151" s="70"/>
      <c r="K151" s="70"/>
      <c r="L151" s="336" t="s">
        <v>1846</v>
      </c>
      <c r="M151" s="337" t="s">
        <v>1848</v>
      </c>
      <c r="N151" s="336" t="s">
        <v>63</v>
      </c>
      <c r="O151" s="338">
        <v>3.5999999999999997E-2</v>
      </c>
      <c r="P151" s="340">
        <v>35332.78</v>
      </c>
      <c r="Q151" s="340">
        <v>1271.98</v>
      </c>
      <c r="R151" s="182"/>
      <c r="U151" s="128"/>
    </row>
    <row r="152" spans="1:21" ht="15.6" x14ac:dyDescent="0.3">
      <c r="A152" s="53"/>
      <c r="B152" s="54"/>
      <c r="C152" s="54"/>
      <c r="D152" s="54"/>
      <c r="E152" s="55"/>
      <c r="F152" s="75"/>
      <c r="G152" s="76"/>
      <c r="H152" s="76"/>
      <c r="I152" s="48"/>
      <c r="J152" s="70"/>
      <c r="K152" s="70"/>
      <c r="L152" s="336" t="s">
        <v>1374</v>
      </c>
      <c r="M152" s="337" t="s">
        <v>1402</v>
      </c>
      <c r="N152" s="336" t="s">
        <v>34</v>
      </c>
      <c r="O152" s="338">
        <v>4.4999999999999998E-2</v>
      </c>
      <c r="P152" s="339">
        <v>108</v>
      </c>
      <c r="Q152" s="339">
        <v>4.8600000000000003</v>
      </c>
      <c r="R152" s="182"/>
      <c r="U152" s="128"/>
    </row>
    <row r="153" spans="1:21" ht="15.6" x14ac:dyDescent="0.3">
      <c r="A153" s="53"/>
      <c r="B153" s="54"/>
      <c r="C153" s="54"/>
      <c r="D153" s="54"/>
      <c r="E153" s="55"/>
      <c r="F153" s="75"/>
      <c r="G153" s="76"/>
      <c r="H153" s="76"/>
      <c r="I153" s="48"/>
      <c r="J153" s="70"/>
      <c r="K153" s="70"/>
      <c r="L153" s="336" t="s">
        <v>1366</v>
      </c>
      <c r="M153" s="337" t="s">
        <v>1395</v>
      </c>
      <c r="N153" s="336" t="s">
        <v>903</v>
      </c>
      <c r="O153" s="338">
        <v>6.0999999999999999E-2</v>
      </c>
      <c r="P153" s="340">
        <v>24262.46</v>
      </c>
      <c r="Q153" s="340">
        <v>1480.01</v>
      </c>
      <c r="R153" s="182"/>
      <c r="U153" s="128"/>
    </row>
    <row r="154" spans="1:21" ht="15.6" x14ac:dyDescent="0.3">
      <c r="A154" s="53"/>
      <c r="B154" s="54"/>
      <c r="C154" s="54"/>
      <c r="D154" s="54"/>
      <c r="E154" s="55"/>
      <c r="F154" s="75"/>
      <c r="G154" s="76"/>
      <c r="H154" s="76"/>
      <c r="I154" s="48"/>
      <c r="J154" s="70"/>
      <c r="K154" s="70"/>
      <c r="L154" s="336" t="s">
        <v>1111</v>
      </c>
      <c r="M154" s="337" t="s">
        <v>1197</v>
      </c>
      <c r="N154" s="336" t="s">
        <v>903</v>
      </c>
      <c r="O154" s="338">
        <v>0.08</v>
      </c>
      <c r="P154" s="340">
        <v>26855</v>
      </c>
      <c r="Q154" s="340">
        <v>2148.4</v>
      </c>
      <c r="R154" s="182"/>
      <c r="U154" s="128"/>
    </row>
    <row r="155" spans="1:21" ht="15.6" x14ac:dyDescent="0.3">
      <c r="A155" s="53"/>
      <c r="B155" s="54"/>
      <c r="C155" s="54"/>
      <c r="D155" s="54"/>
      <c r="E155" s="55"/>
      <c r="F155" s="75"/>
      <c r="G155" s="76"/>
      <c r="H155" s="76"/>
      <c r="I155" s="48"/>
      <c r="J155" s="70"/>
      <c r="K155" s="70"/>
      <c r="L155" s="336" t="s">
        <v>1188</v>
      </c>
      <c r="M155" s="337" t="s">
        <v>1271</v>
      </c>
      <c r="N155" s="336" t="s">
        <v>214</v>
      </c>
      <c r="O155" s="338">
        <v>0.09</v>
      </c>
      <c r="P155" s="340">
        <v>14916.11</v>
      </c>
      <c r="Q155" s="340">
        <v>1342.45</v>
      </c>
      <c r="R155" s="182"/>
      <c r="U155" s="128"/>
    </row>
    <row r="156" spans="1:21" ht="15.6" x14ac:dyDescent="0.3">
      <c r="A156" s="53"/>
      <c r="B156" s="54"/>
      <c r="C156" s="54"/>
      <c r="D156" s="54"/>
      <c r="E156" s="55"/>
      <c r="F156" s="75"/>
      <c r="G156" s="76"/>
      <c r="H156" s="76"/>
      <c r="I156" s="48"/>
      <c r="J156" s="70"/>
      <c r="K156" s="70"/>
      <c r="L156" s="336" t="s">
        <v>1432</v>
      </c>
      <c r="M156" s="337" t="s">
        <v>1454</v>
      </c>
      <c r="N156" s="336" t="s">
        <v>34</v>
      </c>
      <c r="O156" s="338">
        <v>0.09</v>
      </c>
      <c r="P156" s="339">
        <v>178</v>
      </c>
      <c r="Q156" s="339">
        <v>16.02</v>
      </c>
      <c r="R156" s="182"/>
      <c r="U156" s="128"/>
    </row>
    <row r="157" spans="1:21" ht="15.6" x14ac:dyDescent="0.3">
      <c r="A157" s="53"/>
      <c r="B157" s="54"/>
      <c r="C157" s="54"/>
      <c r="D157" s="54"/>
      <c r="E157" s="55"/>
      <c r="F157" s="75"/>
      <c r="G157" s="76"/>
      <c r="H157" s="76"/>
      <c r="I157" s="48"/>
      <c r="J157" s="70"/>
      <c r="K157" s="70"/>
      <c r="L157" s="336" t="s">
        <v>1109</v>
      </c>
      <c r="M157" s="337" t="s">
        <v>1195</v>
      </c>
      <c r="N157" s="336" t="s">
        <v>903</v>
      </c>
      <c r="O157" s="338">
        <v>9.0999999999999998E-2</v>
      </c>
      <c r="P157" s="340">
        <v>3916.7</v>
      </c>
      <c r="Q157" s="339">
        <v>356.42</v>
      </c>
      <c r="R157" s="182"/>
      <c r="U157" s="128"/>
    </row>
    <row r="158" spans="1:21" ht="15.6" x14ac:dyDescent="0.3">
      <c r="A158" s="53"/>
      <c r="B158" s="54"/>
      <c r="C158" s="54"/>
      <c r="D158" s="54"/>
      <c r="E158" s="55"/>
      <c r="F158" s="75"/>
      <c r="G158" s="76"/>
      <c r="H158" s="76"/>
      <c r="I158" s="48"/>
      <c r="J158" s="70"/>
      <c r="K158" s="70"/>
      <c r="L158" s="336" t="s">
        <v>1029</v>
      </c>
      <c r="M158" s="337" t="s">
        <v>1077</v>
      </c>
      <c r="N158" s="336" t="s">
        <v>214</v>
      </c>
      <c r="O158" s="338">
        <v>9.6000000000000002E-2</v>
      </c>
      <c r="P158" s="340">
        <v>10651.46</v>
      </c>
      <c r="Q158" s="340">
        <v>1022.54</v>
      </c>
      <c r="R158" s="182"/>
      <c r="U158" s="128"/>
    </row>
    <row r="159" spans="1:21" ht="15.6" x14ac:dyDescent="0.3">
      <c r="A159" s="53"/>
      <c r="B159" s="54"/>
      <c r="C159" s="54"/>
      <c r="D159" s="54"/>
      <c r="E159" s="55"/>
      <c r="F159" s="75"/>
      <c r="G159" s="76"/>
      <c r="H159" s="76"/>
      <c r="I159" s="48"/>
      <c r="J159" s="70"/>
      <c r="K159" s="70"/>
      <c r="L159" s="336" t="s">
        <v>1136</v>
      </c>
      <c r="M159" s="337" t="s">
        <v>1223</v>
      </c>
      <c r="N159" s="336" t="s">
        <v>34</v>
      </c>
      <c r="O159" s="338">
        <v>0.13600000000000001</v>
      </c>
      <c r="P159" s="339">
        <v>152.5</v>
      </c>
      <c r="Q159" s="339">
        <v>20.74</v>
      </c>
      <c r="R159" s="182"/>
      <c r="U159" s="128"/>
    </row>
    <row r="160" spans="1:21" ht="15.6" x14ac:dyDescent="0.3">
      <c r="A160" s="53"/>
      <c r="B160" s="54"/>
      <c r="C160" s="54"/>
      <c r="D160" s="54"/>
      <c r="E160" s="55"/>
      <c r="F160" s="75"/>
      <c r="G160" s="76"/>
      <c r="H160" s="76"/>
      <c r="I160" s="48"/>
      <c r="J160" s="70"/>
      <c r="K160" s="70"/>
      <c r="L160" s="336" t="s">
        <v>1422</v>
      </c>
      <c r="M160" s="337" t="s">
        <v>1445</v>
      </c>
      <c r="N160" s="336" t="s">
        <v>34</v>
      </c>
      <c r="O160" s="338">
        <v>0.13600000000000001</v>
      </c>
      <c r="P160" s="339">
        <v>230</v>
      </c>
      <c r="Q160" s="339">
        <v>31.28</v>
      </c>
      <c r="R160" s="182"/>
      <c r="U160" s="128"/>
    </row>
    <row r="161" spans="1:21" ht="15.6" x14ac:dyDescent="0.3">
      <c r="A161" s="53"/>
      <c r="B161" s="54"/>
      <c r="C161" s="54"/>
      <c r="D161" s="54"/>
      <c r="E161" s="55"/>
      <c r="F161" s="75"/>
      <c r="G161" s="76"/>
      <c r="H161" s="76"/>
      <c r="I161" s="48"/>
      <c r="J161" s="70"/>
      <c r="K161" s="70"/>
      <c r="L161" s="336" t="s">
        <v>909</v>
      </c>
      <c r="M161" s="337" t="s">
        <v>910</v>
      </c>
      <c r="N161" s="336" t="s">
        <v>68</v>
      </c>
      <c r="O161" s="338">
        <v>0.14499999999999999</v>
      </c>
      <c r="P161" s="339">
        <v>749.03</v>
      </c>
      <c r="Q161" s="339">
        <v>108.61</v>
      </c>
      <c r="R161" s="182"/>
      <c r="U161" s="128"/>
    </row>
    <row r="162" spans="1:21" ht="15.6" x14ac:dyDescent="0.3">
      <c r="A162" s="53"/>
      <c r="B162" s="54"/>
      <c r="C162" s="54"/>
      <c r="D162" s="54"/>
      <c r="E162" s="55"/>
      <c r="F162" s="75"/>
      <c r="G162" s="76"/>
      <c r="H162" s="76"/>
      <c r="I162" s="48"/>
      <c r="J162" s="70"/>
      <c r="K162" s="70"/>
      <c r="L162" s="336" t="s">
        <v>1003</v>
      </c>
      <c r="M162" s="337" t="s">
        <v>1071</v>
      </c>
      <c r="N162" s="336" t="s">
        <v>34</v>
      </c>
      <c r="O162" s="338">
        <v>0.18</v>
      </c>
      <c r="P162" s="339">
        <v>195</v>
      </c>
      <c r="Q162" s="339">
        <v>35.1</v>
      </c>
      <c r="R162" s="182"/>
      <c r="U162" s="128"/>
    </row>
    <row r="163" spans="1:21" ht="15.6" x14ac:dyDescent="0.3">
      <c r="A163" s="53"/>
      <c r="B163" s="54"/>
      <c r="C163" s="54"/>
      <c r="D163" s="54"/>
      <c r="E163" s="55"/>
      <c r="F163" s="75"/>
      <c r="G163" s="76"/>
      <c r="H163" s="76"/>
      <c r="I163" s="48"/>
      <c r="J163" s="70"/>
      <c r="K163" s="70"/>
      <c r="L163" s="336" t="s">
        <v>1365</v>
      </c>
      <c r="M163" s="337" t="s">
        <v>1394</v>
      </c>
      <c r="N163" s="336" t="s">
        <v>34</v>
      </c>
      <c r="O163" s="338">
        <v>0.18</v>
      </c>
      <c r="P163" s="339">
        <v>140</v>
      </c>
      <c r="Q163" s="339">
        <v>25.2</v>
      </c>
      <c r="R163" s="182"/>
      <c r="U163" s="128"/>
    </row>
    <row r="164" spans="1:21" ht="15.6" x14ac:dyDescent="0.3">
      <c r="A164" s="53"/>
      <c r="B164" s="54"/>
      <c r="C164" s="54"/>
      <c r="D164" s="54"/>
      <c r="E164" s="55"/>
      <c r="F164" s="75"/>
      <c r="G164" s="76"/>
      <c r="H164" s="76"/>
      <c r="I164" s="48"/>
      <c r="J164" s="70"/>
      <c r="K164" s="70"/>
      <c r="L164" s="336" t="s">
        <v>757</v>
      </c>
      <c r="M164" s="337" t="s">
        <v>758</v>
      </c>
      <c r="N164" s="336" t="s">
        <v>34</v>
      </c>
      <c r="O164" s="338">
        <v>0.2</v>
      </c>
      <c r="P164" s="340">
        <v>2803</v>
      </c>
      <c r="Q164" s="339">
        <v>560.6</v>
      </c>
      <c r="R164" s="182"/>
      <c r="U164" s="128"/>
    </row>
    <row r="165" spans="1:21" ht="15.6" x14ac:dyDescent="0.3">
      <c r="A165" s="53"/>
      <c r="B165" s="54"/>
      <c r="C165" s="54"/>
      <c r="D165" s="54"/>
      <c r="E165" s="55"/>
      <c r="F165" s="75"/>
      <c r="G165" s="76"/>
      <c r="H165" s="76"/>
      <c r="I165" s="48"/>
      <c r="J165" s="70"/>
      <c r="K165" s="70"/>
      <c r="L165" s="336" t="s">
        <v>194</v>
      </c>
      <c r="M165" s="337" t="s">
        <v>195</v>
      </c>
      <c r="N165" s="336" t="s">
        <v>34</v>
      </c>
      <c r="O165" s="338">
        <v>0.2</v>
      </c>
      <c r="P165" s="340">
        <v>1500</v>
      </c>
      <c r="Q165" s="339">
        <v>300</v>
      </c>
      <c r="R165" s="182"/>
      <c r="U165" s="128"/>
    </row>
    <row r="166" spans="1:21" ht="15.6" x14ac:dyDescent="0.3">
      <c r="A166" s="53"/>
      <c r="B166" s="54"/>
      <c r="C166" s="54"/>
      <c r="D166" s="54"/>
      <c r="E166" s="55"/>
      <c r="F166" s="75"/>
      <c r="G166" s="76"/>
      <c r="H166" s="76"/>
      <c r="I166" s="48"/>
      <c r="J166" s="70"/>
      <c r="K166" s="70"/>
      <c r="L166" s="336" t="s">
        <v>818</v>
      </c>
      <c r="M166" s="337" t="s">
        <v>819</v>
      </c>
      <c r="N166" s="336" t="s">
        <v>34</v>
      </c>
      <c r="O166" s="338">
        <v>0.2</v>
      </c>
      <c r="P166" s="339">
        <v>175</v>
      </c>
      <c r="Q166" s="339">
        <v>35</v>
      </c>
      <c r="R166" s="182"/>
      <c r="U166" s="128"/>
    </row>
    <row r="167" spans="1:21" ht="15.6" x14ac:dyDescent="0.3">
      <c r="A167" s="53"/>
      <c r="B167" s="54"/>
      <c r="C167" s="54"/>
      <c r="D167" s="54"/>
      <c r="E167" s="55"/>
      <c r="F167" s="75"/>
      <c r="G167" s="76"/>
      <c r="H167" s="76"/>
      <c r="I167" s="48"/>
      <c r="J167" s="70"/>
      <c r="K167" s="70"/>
      <c r="L167" s="336" t="s">
        <v>1363</v>
      </c>
      <c r="M167" s="337" t="s">
        <v>1392</v>
      </c>
      <c r="N167" s="336" t="s">
        <v>34</v>
      </c>
      <c r="O167" s="338">
        <v>0.27</v>
      </c>
      <c r="P167" s="339">
        <v>499</v>
      </c>
      <c r="Q167" s="339">
        <v>134.72999999999999</v>
      </c>
      <c r="R167" s="182"/>
      <c r="U167" s="128"/>
    </row>
    <row r="168" spans="1:21" ht="15.6" x14ac:dyDescent="0.3">
      <c r="A168" s="53"/>
      <c r="B168" s="54"/>
      <c r="C168" s="54"/>
      <c r="D168" s="54"/>
      <c r="E168" s="55"/>
      <c r="F168" s="75"/>
      <c r="G168" s="76"/>
      <c r="H168" s="76"/>
      <c r="I168" s="48"/>
      <c r="J168" s="70"/>
      <c r="K168" s="70"/>
      <c r="L168" s="336" t="s">
        <v>510</v>
      </c>
      <c r="M168" s="337" t="s">
        <v>1060</v>
      </c>
      <c r="N168" s="336" t="s">
        <v>34</v>
      </c>
      <c r="O168" s="338">
        <v>0.27</v>
      </c>
      <c r="P168" s="339">
        <v>169</v>
      </c>
      <c r="Q168" s="339">
        <v>45.63</v>
      </c>
      <c r="R168" s="182"/>
      <c r="U168" s="128"/>
    </row>
    <row r="169" spans="1:21" ht="15.6" x14ac:dyDescent="0.3">
      <c r="A169" s="53"/>
      <c r="B169" s="54"/>
      <c r="C169" s="54"/>
      <c r="D169" s="54"/>
      <c r="E169" s="55"/>
      <c r="F169" s="75"/>
      <c r="G169" s="76"/>
      <c r="H169" s="76"/>
      <c r="I169" s="48"/>
      <c r="J169" s="70"/>
      <c r="K169" s="70"/>
      <c r="L169" s="336" t="s">
        <v>1371</v>
      </c>
      <c r="M169" s="337" t="s">
        <v>99</v>
      </c>
      <c r="N169" s="336" t="s">
        <v>34</v>
      </c>
      <c r="O169" s="338">
        <v>0.27300000000000002</v>
      </c>
      <c r="P169" s="340">
        <v>1041.68</v>
      </c>
      <c r="Q169" s="339">
        <v>284.38</v>
      </c>
      <c r="R169" s="182"/>
      <c r="U169" s="128"/>
    </row>
    <row r="170" spans="1:21" ht="15.6" x14ac:dyDescent="0.3">
      <c r="A170" s="53"/>
      <c r="B170" s="54"/>
      <c r="C170" s="54"/>
      <c r="D170" s="54"/>
      <c r="E170" s="55"/>
      <c r="F170" s="75"/>
      <c r="G170" s="76"/>
      <c r="H170" s="76"/>
      <c r="I170" s="48"/>
      <c r="J170" s="70"/>
      <c r="K170" s="70"/>
      <c r="L170" s="336" t="s">
        <v>902</v>
      </c>
      <c r="M170" s="337" t="s">
        <v>1039</v>
      </c>
      <c r="N170" s="336" t="s">
        <v>903</v>
      </c>
      <c r="O170" s="338">
        <v>0.27900000000000003</v>
      </c>
      <c r="P170" s="340">
        <v>25111.08</v>
      </c>
      <c r="Q170" s="340">
        <v>7005.99</v>
      </c>
      <c r="R170" s="182"/>
      <c r="U170" s="128"/>
    </row>
    <row r="171" spans="1:21" ht="15.6" x14ac:dyDescent="0.3">
      <c r="A171" s="53"/>
      <c r="B171" s="54"/>
      <c r="C171" s="54"/>
      <c r="D171" s="54"/>
      <c r="E171" s="55"/>
      <c r="F171" s="75"/>
      <c r="G171" s="76"/>
      <c r="H171" s="76"/>
      <c r="I171" s="48"/>
      <c r="J171" s="70"/>
      <c r="K171" s="70"/>
      <c r="L171" s="336" t="s">
        <v>1110</v>
      </c>
      <c r="M171" s="337" t="s">
        <v>1196</v>
      </c>
      <c r="N171" s="336" t="s">
        <v>903</v>
      </c>
      <c r="O171" s="338">
        <v>0.3</v>
      </c>
      <c r="P171" s="340">
        <v>26855</v>
      </c>
      <c r="Q171" s="340">
        <v>8056.5</v>
      </c>
      <c r="R171" s="182"/>
      <c r="U171" s="128"/>
    </row>
    <row r="172" spans="1:21" ht="15.6" x14ac:dyDescent="0.3">
      <c r="A172" s="53"/>
      <c r="B172" s="54"/>
      <c r="C172" s="54"/>
      <c r="D172" s="54"/>
      <c r="E172" s="55"/>
      <c r="F172" s="75"/>
      <c r="G172" s="76"/>
      <c r="H172" s="76"/>
      <c r="I172" s="48"/>
      <c r="J172" s="70"/>
      <c r="K172" s="70"/>
      <c r="L172" s="336" t="s">
        <v>1364</v>
      </c>
      <c r="M172" s="337" t="s">
        <v>1393</v>
      </c>
      <c r="N172" s="336" t="s">
        <v>34</v>
      </c>
      <c r="O172" s="338">
        <v>0.3</v>
      </c>
      <c r="P172" s="339">
        <v>144</v>
      </c>
      <c r="Q172" s="339">
        <v>43.2</v>
      </c>
      <c r="R172" s="182"/>
      <c r="U172" s="128"/>
    </row>
    <row r="173" spans="1:21" ht="15.6" x14ac:dyDescent="0.3">
      <c r="A173" s="53"/>
      <c r="B173" s="54"/>
      <c r="C173" s="54"/>
      <c r="D173" s="54"/>
      <c r="E173" s="55"/>
      <c r="F173" s="75"/>
      <c r="G173" s="76"/>
      <c r="H173" s="76"/>
      <c r="I173" s="48"/>
      <c r="J173" s="70"/>
      <c r="K173" s="70"/>
      <c r="L173" s="336" t="s">
        <v>1030</v>
      </c>
      <c r="M173" s="337" t="s">
        <v>1078</v>
      </c>
      <c r="N173" s="336" t="s">
        <v>214</v>
      </c>
      <c r="O173" s="338">
        <v>0.313</v>
      </c>
      <c r="P173" s="340">
        <v>9473.16</v>
      </c>
      <c r="Q173" s="340">
        <v>2965.1</v>
      </c>
      <c r="R173" s="182"/>
      <c r="U173" s="128"/>
    </row>
    <row r="174" spans="1:21" ht="15.6" x14ac:dyDescent="0.3">
      <c r="A174" s="53"/>
      <c r="B174" s="54"/>
      <c r="C174" s="54"/>
      <c r="D174" s="54"/>
      <c r="E174" s="55"/>
      <c r="F174" s="75"/>
      <c r="G174" s="76"/>
      <c r="H174" s="76"/>
      <c r="I174" s="48"/>
      <c r="J174" s="70"/>
      <c r="K174" s="70"/>
      <c r="L174" s="336" t="s">
        <v>98</v>
      </c>
      <c r="M174" s="337" t="s">
        <v>99</v>
      </c>
      <c r="N174" s="336" t="s">
        <v>37</v>
      </c>
      <c r="O174" s="338">
        <v>0.34</v>
      </c>
      <c r="P174" s="339">
        <v>131</v>
      </c>
      <c r="Q174" s="339">
        <v>44.54</v>
      </c>
      <c r="R174" s="182"/>
      <c r="U174" s="128"/>
    </row>
    <row r="175" spans="1:21" ht="15.6" x14ac:dyDescent="0.3">
      <c r="A175" s="53"/>
      <c r="B175" s="54"/>
      <c r="C175" s="54"/>
      <c r="D175" s="54"/>
      <c r="E175" s="55"/>
      <c r="F175" s="75"/>
      <c r="G175" s="76"/>
      <c r="H175" s="76"/>
      <c r="I175" s="48"/>
      <c r="J175" s="70"/>
      <c r="K175" s="70"/>
      <c r="L175" s="336" t="s">
        <v>893</v>
      </c>
      <c r="M175" s="337" t="s">
        <v>894</v>
      </c>
      <c r="N175" s="336" t="s">
        <v>214</v>
      </c>
      <c r="O175" s="338">
        <v>0.4</v>
      </c>
      <c r="P175" s="340">
        <v>10651.4</v>
      </c>
      <c r="Q175" s="340">
        <v>4260.5600000000004</v>
      </c>
      <c r="R175" s="182"/>
      <c r="U175" s="128"/>
    </row>
    <row r="176" spans="1:21" ht="15.6" x14ac:dyDescent="0.3">
      <c r="A176" s="53"/>
      <c r="B176" s="54"/>
      <c r="C176" s="54"/>
      <c r="D176" s="54"/>
      <c r="E176" s="55"/>
      <c r="F176" s="75"/>
      <c r="G176" s="76"/>
      <c r="H176" s="76"/>
      <c r="I176" s="48"/>
      <c r="J176" s="70"/>
      <c r="K176" s="70"/>
      <c r="L176" s="336" t="s">
        <v>1112</v>
      </c>
      <c r="M176" s="337" t="s">
        <v>1198</v>
      </c>
      <c r="N176" s="336" t="s">
        <v>903</v>
      </c>
      <c r="O176" s="338">
        <v>0.4</v>
      </c>
      <c r="P176" s="340">
        <v>24113</v>
      </c>
      <c r="Q176" s="340">
        <v>9645.2000000000007</v>
      </c>
      <c r="R176" s="182"/>
      <c r="U176" s="128"/>
    </row>
    <row r="177" spans="1:21" ht="15.6" x14ac:dyDescent="0.3">
      <c r="A177" s="53"/>
      <c r="B177" s="54"/>
      <c r="C177" s="54"/>
      <c r="D177" s="54"/>
      <c r="E177" s="55"/>
      <c r="F177" s="75"/>
      <c r="G177" s="76"/>
      <c r="H177" s="76"/>
      <c r="I177" s="48"/>
      <c r="J177" s="70"/>
      <c r="K177" s="70"/>
      <c r="L177" s="336" t="s">
        <v>741</v>
      </c>
      <c r="M177" s="337" t="s">
        <v>742</v>
      </c>
      <c r="N177" s="336" t="s">
        <v>903</v>
      </c>
      <c r="O177" s="338">
        <v>0.436</v>
      </c>
      <c r="P177" s="340">
        <v>10651.38</v>
      </c>
      <c r="Q177" s="340">
        <v>4644</v>
      </c>
      <c r="R177" s="182"/>
      <c r="U177" s="128"/>
    </row>
    <row r="178" spans="1:21" ht="15.6" x14ac:dyDescent="0.3">
      <c r="A178" s="53"/>
      <c r="B178" s="54"/>
      <c r="C178" s="54"/>
      <c r="D178" s="54"/>
      <c r="E178" s="55"/>
      <c r="F178" s="75"/>
      <c r="G178" s="76"/>
      <c r="H178" s="76"/>
      <c r="I178" s="48"/>
      <c r="J178" s="70"/>
      <c r="K178" s="70"/>
      <c r="L178" s="336" t="s">
        <v>1002</v>
      </c>
      <c r="M178" s="337" t="s">
        <v>1070</v>
      </c>
      <c r="N178" s="336" t="s">
        <v>34</v>
      </c>
      <c r="O178" s="338">
        <v>0.54</v>
      </c>
      <c r="P178" s="339">
        <v>63</v>
      </c>
      <c r="Q178" s="339">
        <v>34.020000000000003</v>
      </c>
      <c r="R178" s="182"/>
      <c r="U178" s="128"/>
    </row>
    <row r="179" spans="1:21" ht="15.6" x14ac:dyDescent="0.3">
      <c r="A179" s="53"/>
      <c r="B179" s="54"/>
      <c r="C179" s="54"/>
      <c r="D179" s="54"/>
      <c r="E179" s="55"/>
      <c r="F179" s="75"/>
      <c r="G179" s="76"/>
      <c r="H179" s="76"/>
      <c r="I179" s="48"/>
      <c r="J179" s="70"/>
      <c r="K179" s="70"/>
      <c r="L179" s="336" t="s">
        <v>1165</v>
      </c>
      <c r="M179" s="337" t="s">
        <v>1250</v>
      </c>
      <c r="N179" s="336" t="s">
        <v>34</v>
      </c>
      <c r="O179" s="338">
        <v>0.7</v>
      </c>
      <c r="P179" s="340">
        <v>2778.33</v>
      </c>
      <c r="Q179" s="340">
        <v>1944.83</v>
      </c>
      <c r="R179" s="182"/>
      <c r="U179" s="128"/>
    </row>
    <row r="180" spans="1:21" ht="15.6" x14ac:dyDescent="0.3">
      <c r="A180" s="53"/>
      <c r="B180" s="54"/>
      <c r="C180" s="54"/>
      <c r="D180" s="54"/>
      <c r="E180" s="55"/>
      <c r="F180" s="75"/>
      <c r="G180" s="76"/>
      <c r="H180" s="76"/>
      <c r="I180" s="48"/>
      <c r="J180" s="70"/>
      <c r="K180" s="70"/>
      <c r="L180" s="336" t="s">
        <v>1181</v>
      </c>
      <c r="M180" s="337" t="s">
        <v>1264</v>
      </c>
      <c r="N180" s="336" t="s">
        <v>57</v>
      </c>
      <c r="O180" s="338">
        <v>0.8</v>
      </c>
      <c r="P180" s="339">
        <v>18.14</v>
      </c>
      <c r="Q180" s="339">
        <v>14.51</v>
      </c>
      <c r="R180" s="182"/>
      <c r="U180" s="128"/>
    </row>
    <row r="181" spans="1:21" ht="15.6" x14ac:dyDescent="0.3">
      <c r="A181" s="53"/>
      <c r="B181" s="54"/>
      <c r="C181" s="54"/>
      <c r="D181" s="54"/>
      <c r="E181" s="55"/>
      <c r="F181" s="75"/>
      <c r="G181" s="76"/>
      <c r="H181" s="76"/>
      <c r="I181" s="48"/>
      <c r="J181" s="70"/>
      <c r="K181" s="70"/>
      <c r="L181" s="336" t="s">
        <v>429</v>
      </c>
      <c r="M181" s="337" t="s">
        <v>430</v>
      </c>
      <c r="N181" s="336" t="s">
        <v>37</v>
      </c>
      <c r="O181" s="338">
        <v>0.8</v>
      </c>
      <c r="P181" s="339">
        <v>11.5</v>
      </c>
      <c r="Q181" s="339">
        <v>9.1999999999999993</v>
      </c>
      <c r="R181" s="182"/>
      <c r="U181" s="128"/>
    </row>
    <row r="182" spans="1:21" ht="15.6" x14ac:dyDescent="0.3">
      <c r="A182" s="53"/>
      <c r="B182" s="54"/>
      <c r="C182" s="54"/>
      <c r="D182" s="54"/>
      <c r="E182" s="55"/>
      <c r="F182" s="75"/>
      <c r="G182" s="76"/>
      <c r="H182" s="76"/>
      <c r="I182" s="48"/>
      <c r="J182" s="70"/>
      <c r="K182" s="70"/>
      <c r="L182" s="336" t="s">
        <v>38</v>
      </c>
      <c r="M182" s="337" t="s">
        <v>100</v>
      </c>
      <c r="N182" s="336" t="s">
        <v>37</v>
      </c>
      <c r="O182" s="338">
        <v>0.8</v>
      </c>
      <c r="P182" s="339">
        <v>71</v>
      </c>
      <c r="Q182" s="339">
        <v>56.8</v>
      </c>
      <c r="R182" s="182"/>
      <c r="U182" s="128"/>
    </row>
    <row r="183" spans="1:21" ht="15.6" x14ac:dyDescent="0.3">
      <c r="A183" s="53"/>
      <c r="B183" s="54"/>
      <c r="C183" s="54"/>
      <c r="D183" s="54"/>
      <c r="E183" s="55"/>
      <c r="F183" s="75"/>
      <c r="G183" s="76"/>
      <c r="H183" s="76"/>
      <c r="I183" s="48"/>
      <c r="J183" s="70"/>
      <c r="K183" s="70"/>
      <c r="L183" s="336" t="s">
        <v>934</v>
      </c>
      <c r="M183" s="337" t="s">
        <v>1033</v>
      </c>
      <c r="N183" s="336" t="s">
        <v>64</v>
      </c>
      <c r="O183" s="338">
        <v>0.83299999999999996</v>
      </c>
      <c r="P183" s="339">
        <v>735.89</v>
      </c>
      <c r="Q183" s="339">
        <v>613</v>
      </c>
      <c r="R183" s="182"/>
      <c r="U183" s="128"/>
    </row>
    <row r="184" spans="1:21" ht="15.6" x14ac:dyDescent="0.3">
      <c r="A184" s="53"/>
      <c r="B184" s="54"/>
      <c r="C184" s="54"/>
      <c r="D184" s="54"/>
      <c r="E184" s="55"/>
      <c r="F184" s="75"/>
      <c r="G184" s="76"/>
      <c r="H184" s="76"/>
      <c r="I184" s="48"/>
      <c r="J184" s="70"/>
      <c r="K184" s="70"/>
      <c r="L184" s="336" t="s">
        <v>1123</v>
      </c>
      <c r="M184" s="337" t="s">
        <v>1209</v>
      </c>
      <c r="N184" s="336" t="s">
        <v>34</v>
      </c>
      <c r="O184" s="338">
        <v>1</v>
      </c>
      <c r="P184" s="339">
        <v>192.6</v>
      </c>
      <c r="Q184" s="339">
        <v>192.6</v>
      </c>
      <c r="R184" s="182"/>
      <c r="U184" s="128"/>
    </row>
    <row r="185" spans="1:21" ht="15.6" x14ac:dyDescent="0.3">
      <c r="A185" s="53"/>
      <c r="B185" s="54"/>
      <c r="C185" s="54"/>
      <c r="D185" s="54"/>
      <c r="E185" s="55"/>
      <c r="F185" s="75"/>
      <c r="G185" s="76"/>
      <c r="H185" s="76"/>
      <c r="I185" s="48"/>
      <c r="J185" s="70"/>
      <c r="K185" s="70"/>
      <c r="L185" s="336" t="s">
        <v>164</v>
      </c>
      <c r="M185" s="337" t="s">
        <v>165</v>
      </c>
      <c r="N185" s="336" t="s">
        <v>34</v>
      </c>
      <c r="O185" s="338">
        <v>1</v>
      </c>
      <c r="P185" s="339">
        <v>350.83</v>
      </c>
      <c r="Q185" s="339">
        <v>350.83</v>
      </c>
      <c r="R185" s="182"/>
      <c r="U185" s="128"/>
    </row>
    <row r="186" spans="1:21" ht="15.6" x14ac:dyDescent="0.3">
      <c r="A186" s="53"/>
      <c r="B186" s="54"/>
      <c r="C186" s="54"/>
      <c r="D186" s="54"/>
      <c r="E186" s="55"/>
      <c r="F186" s="75"/>
      <c r="G186" s="76"/>
      <c r="H186" s="76"/>
      <c r="I186" s="48"/>
      <c r="J186" s="70"/>
      <c r="K186" s="70"/>
      <c r="L186" s="336" t="s">
        <v>282</v>
      </c>
      <c r="M186" s="337" t="s">
        <v>283</v>
      </c>
      <c r="N186" s="336" t="s">
        <v>34</v>
      </c>
      <c r="O186" s="338">
        <v>1</v>
      </c>
      <c r="P186" s="339">
        <v>81.599999999999994</v>
      </c>
      <c r="Q186" s="339">
        <v>81.599999999999994</v>
      </c>
      <c r="R186" s="182"/>
      <c r="U186" s="128"/>
    </row>
    <row r="187" spans="1:21" ht="15.6" x14ac:dyDescent="0.3">
      <c r="A187" s="53"/>
      <c r="B187" s="54"/>
      <c r="C187" s="54"/>
      <c r="D187" s="54"/>
      <c r="E187" s="55"/>
      <c r="F187" s="75"/>
      <c r="G187" s="76"/>
      <c r="H187" s="76"/>
      <c r="I187" s="48"/>
      <c r="J187" s="70"/>
      <c r="K187" s="70"/>
      <c r="L187" s="336" t="s">
        <v>879</v>
      </c>
      <c r="M187" s="337" t="s">
        <v>880</v>
      </c>
      <c r="N187" s="336" t="s">
        <v>34</v>
      </c>
      <c r="O187" s="338">
        <v>1</v>
      </c>
      <c r="P187" s="340">
        <v>2407.5</v>
      </c>
      <c r="Q187" s="340">
        <v>2407.5</v>
      </c>
      <c r="R187" s="182"/>
      <c r="U187" s="128"/>
    </row>
    <row r="188" spans="1:21" ht="15.6" x14ac:dyDescent="0.3">
      <c r="A188" s="53"/>
      <c r="B188" s="54"/>
      <c r="C188" s="54"/>
      <c r="D188" s="54"/>
      <c r="E188" s="55"/>
      <c r="F188" s="75"/>
      <c r="G188" s="76"/>
      <c r="H188" s="76"/>
      <c r="I188" s="48"/>
      <c r="J188" s="70"/>
      <c r="K188" s="70"/>
      <c r="L188" s="336" t="s">
        <v>754</v>
      </c>
      <c r="M188" s="337" t="s">
        <v>755</v>
      </c>
      <c r="N188" s="336" t="s">
        <v>34</v>
      </c>
      <c r="O188" s="338">
        <v>1</v>
      </c>
      <c r="P188" s="340">
        <v>7343.42</v>
      </c>
      <c r="Q188" s="340">
        <v>7343.42</v>
      </c>
      <c r="R188" s="182"/>
      <c r="U188" s="128"/>
    </row>
    <row r="189" spans="1:21" ht="15.6" x14ac:dyDescent="0.3">
      <c r="A189" s="53"/>
      <c r="B189" s="54"/>
      <c r="C189" s="54"/>
      <c r="D189" s="54"/>
      <c r="E189" s="55"/>
      <c r="F189" s="75"/>
      <c r="G189" s="76"/>
      <c r="H189" s="76"/>
      <c r="I189" s="48"/>
      <c r="J189" s="70"/>
      <c r="K189" s="70"/>
      <c r="L189" s="336" t="s">
        <v>1130</v>
      </c>
      <c r="M189" s="337" t="s">
        <v>1216</v>
      </c>
      <c r="N189" s="336" t="s">
        <v>34</v>
      </c>
      <c r="O189" s="338">
        <v>1</v>
      </c>
      <c r="P189" s="340">
        <v>6187.5</v>
      </c>
      <c r="Q189" s="340">
        <v>6187.5</v>
      </c>
      <c r="R189" s="182"/>
      <c r="U189" s="128"/>
    </row>
    <row r="190" spans="1:21" ht="15.6" x14ac:dyDescent="0.3">
      <c r="A190" s="53"/>
      <c r="B190" s="54"/>
      <c r="C190" s="54"/>
      <c r="D190" s="54"/>
      <c r="E190" s="55"/>
      <c r="F190" s="75"/>
      <c r="G190" s="76"/>
      <c r="H190" s="76"/>
      <c r="I190" s="48"/>
      <c r="J190" s="70"/>
      <c r="K190" s="70"/>
      <c r="L190" s="336" t="s">
        <v>1131</v>
      </c>
      <c r="M190" s="337" t="s">
        <v>1217</v>
      </c>
      <c r="N190" s="336" t="s">
        <v>34</v>
      </c>
      <c r="O190" s="338">
        <v>1</v>
      </c>
      <c r="P190" s="340">
        <v>2152.71</v>
      </c>
      <c r="Q190" s="340">
        <v>2152.71</v>
      </c>
      <c r="R190" s="182"/>
      <c r="U190" s="128"/>
    </row>
    <row r="191" spans="1:21" ht="15.6" x14ac:dyDescent="0.3">
      <c r="A191" s="53"/>
      <c r="B191" s="54"/>
      <c r="C191" s="54"/>
      <c r="D191" s="54"/>
      <c r="E191" s="55"/>
      <c r="F191" s="75"/>
      <c r="G191" s="76"/>
      <c r="H191" s="76"/>
      <c r="I191" s="48"/>
      <c r="J191" s="70"/>
      <c r="K191" s="70"/>
      <c r="L191" s="336" t="s">
        <v>900</v>
      </c>
      <c r="M191" s="337" t="s">
        <v>901</v>
      </c>
      <c r="N191" s="336" t="s">
        <v>34</v>
      </c>
      <c r="O191" s="338">
        <v>1</v>
      </c>
      <c r="P191" s="339">
        <v>64</v>
      </c>
      <c r="Q191" s="339">
        <v>64</v>
      </c>
      <c r="R191" s="182"/>
      <c r="U191" s="128"/>
    </row>
    <row r="192" spans="1:21" ht="15.6" x14ac:dyDescent="0.3">
      <c r="A192" s="53"/>
      <c r="B192" s="54"/>
      <c r="C192" s="54"/>
      <c r="D192" s="54"/>
      <c r="E192" s="55"/>
      <c r="F192" s="75"/>
      <c r="G192" s="76"/>
      <c r="H192" s="76"/>
      <c r="I192" s="48"/>
      <c r="J192" s="70"/>
      <c r="K192" s="70"/>
      <c r="L192" s="336" t="s">
        <v>766</v>
      </c>
      <c r="M192" s="337" t="s">
        <v>767</v>
      </c>
      <c r="N192" s="336" t="s">
        <v>34</v>
      </c>
      <c r="O192" s="338">
        <v>1</v>
      </c>
      <c r="P192" s="340">
        <v>9387.27</v>
      </c>
      <c r="Q192" s="340">
        <v>9387.27</v>
      </c>
      <c r="R192" s="182"/>
      <c r="U192" s="128"/>
    </row>
    <row r="193" spans="1:21" ht="15.6" x14ac:dyDescent="0.3">
      <c r="A193" s="53"/>
      <c r="B193" s="54"/>
      <c r="C193" s="54"/>
      <c r="D193" s="54"/>
      <c r="E193" s="55"/>
      <c r="F193" s="75"/>
      <c r="G193" s="76"/>
      <c r="H193" s="76"/>
      <c r="I193" s="48"/>
      <c r="J193" s="70"/>
      <c r="K193" s="70"/>
      <c r="L193" s="336" t="s">
        <v>859</v>
      </c>
      <c r="M193" s="337" t="s">
        <v>904</v>
      </c>
      <c r="N193" s="336" t="s">
        <v>34</v>
      </c>
      <c r="O193" s="338">
        <v>1</v>
      </c>
      <c r="P193" s="340">
        <v>2882.01</v>
      </c>
      <c r="Q193" s="340">
        <v>2882.01</v>
      </c>
      <c r="R193" s="182"/>
      <c r="U193" s="128"/>
    </row>
    <row r="194" spans="1:21" ht="15.6" x14ac:dyDescent="0.3">
      <c r="A194" s="53"/>
      <c r="B194" s="54"/>
      <c r="C194" s="54"/>
      <c r="D194" s="54"/>
      <c r="E194" s="55"/>
      <c r="F194" s="75"/>
      <c r="G194" s="76"/>
      <c r="H194" s="76"/>
      <c r="I194" s="48"/>
      <c r="J194" s="70"/>
      <c r="K194" s="70"/>
      <c r="L194" s="336" t="s">
        <v>868</v>
      </c>
      <c r="M194" s="337" t="s">
        <v>1047</v>
      </c>
      <c r="N194" s="336" t="s">
        <v>34</v>
      </c>
      <c r="O194" s="338">
        <v>1</v>
      </c>
      <c r="P194" s="339">
        <v>807.52</v>
      </c>
      <c r="Q194" s="339">
        <v>807.52</v>
      </c>
      <c r="R194" s="182"/>
      <c r="U194" s="128"/>
    </row>
    <row r="195" spans="1:21" ht="15.6" x14ac:dyDescent="0.3">
      <c r="A195" s="53"/>
      <c r="B195" s="54"/>
      <c r="C195" s="54"/>
      <c r="D195" s="54"/>
      <c r="E195" s="55"/>
      <c r="F195" s="75"/>
      <c r="G195" s="76"/>
      <c r="H195" s="76"/>
      <c r="I195" s="48"/>
      <c r="J195" s="70"/>
      <c r="K195" s="70"/>
      <c r="L195" s="336" t="s">
        <v>1284</v>
      </c>
      <c r="M195" s="337" t="s">
        <v>1319</v>
      </c>
      <c r="N195" s="336" t="s">
        <v>269</v>
      </c>
      <c r="O195" s="338">
        <v>1</v>
      </c>
      <c r="P195" s="340">
        <v>1465</v>
      </c>
      <c r="Q195" s="340">
        <v>1465</v>
      </c>
      <c r="R195" s="182"/>
      <c r="U195" s="128"/>
    </row>
    <row r="196" spans="1:21" ht="15.6" x14ac:dyDescent="0.3">
      <c r="A196" s="53"/>
      <c r="B196" s="54"/>
      <c r="C196" s="54"/>
      <c r="D196" s="54"/>
      <c r="E196" s="55"/>
      <c r="F196" s="75"/>
      <c r="G196" s="76"/>
      <c r="H196" s="76"/>
      <c r="I196" s="48"/>
      <c r="J196" s="70"/>
      <c r="K196" s="70"/>
      <c r="L196" s="336" t="s">
        <v>1279</v>
      </c>
      <c r="M196" s="337" t="s">
        <v>1280</v>
      </c>
      <c r="N196" s="336" t="s">
        <v>34</v>
      </c>
      <c r="O196" s="338">
        <v>1</v>
      </c>
      <c r="P196" s="339">
        <v>109.4</v>
      </c>
      <c r="Q196" s="339">
        <v>109.4</v>
      </c>
      <c r="R196" s="182"/>
      <c r="U196" s="128"/>
    </row>
    <row r="197" spans="1:21" ht="15.6" x14ac:dyDescent="0.3">
      <c r="A197" s="53"/>
      <c r="B197" s="54"/>
      <c r="C197" s="54"/>
      <c r="D197" s="54"/>
      <c r="E197" s="55"/>
      <c r="F197" s="75"/>
      <c r="G197" s="76"/>
      <c r="H197" s="76"/>
      <c r="I197" s="48"/>
      <c r="J197" s="70"/>
      <c r="K197" s="70"/>
      <c r="L197" s="336" t="s">
        <v>340</v>
      </c>
      <c r="M197" s="337" t="s">
        <v>341</v>
      </c>
      <c r="N197" s="336" t="s">
        <v>34</v>
      </c>
      <c r="O197" s="338">
        <v>1</v>
      </c>
      <c r="P197" s="339">
        <v>440.75</v>
      </c>
      <c r="Q197" s="339">
        <v>440.75</v>
      </c>
      <c r="R197" s="182"/>
      <c r="U197" s="128"/>
    </row>
    <row r="198" spans="1:21" ht="15.6" x14ac:dyDescent="0.3">
      <c r="A198" s="53"/>
      <c r="B198" s="54"/>
      <c r="C198" s="54"/>
      <c r="D198" s="54"/>
      <c r="E198" s="55"/>
      <c r="F198" s="75"/>
      <c r="G198" s="76"/>
      <c r="H198" s="76"/>
      <c r="I198" s="48"/>
      <c r="J198" s="70"/>
      <c r="K198" s="70"/>
      <c r="L198" s="336" t="s">
        <v>1147</v>
      </c>
      <c r="M198" s="337" t="s">
        <v>1234</v>
      </c>
      <c r="N198" s="336" t="s">
        <v>34</v>
      </c>
      <c r="O198" s="338">
        <v>1</v>
      </c>
      <c r="P198" s="339">
        <v>876.68</v>
      </c>
      <c r="Q198" s="339">
        <v>876.68</v>
      </c>
      <c r="R198" s="182"/>
      <c r="U198" s="128"/>
    </row>
    <row r="199" spans="1:21" ht="15.6" x14ac:dyDescent="0.3">
      <c r="A199" s="53"/>
      <c r="B199" s="54"/>
      <c r="C199" s="54"/>
      <c r="D199" s="54"/>
      <c r="E199" s="55"/>
      <c r="F199" s="75"/>
      <c r="G199" s="76"/>
      <c r="H199" s="76"/>
      <c r="I199" s="48"/>
      <c r="J199" s="70"/>
      <c r="K199" s="70"/>
      <c r="L199" s="336" t="s">
        <v>1148</v>
      </c>
      <c r="M199" s="337" t="s">
        <v>1235</v>
      </c>
      <c r="N199" s="336" t="s">
        <v>34</v>
      </c>
      <c r="O199" s="338">
        <v>1</v>
      </c>
      <c r="P199" s="339">
        <v>257.82</v>
      </c>
      <c r="Q199" s="339">
        <v>257.82</v>
      </c>
      <c r="R199" s="182"/>
      <c r="U199" s="128"/>
    </row>
    <row r="200" spans="1:21" ht="15.6" x14ac:dyDescent="0.3">
      <c r="A200" s="53"/>
      <c r="B200" s="54"/>
      <c r="C200" s="54"/>
      <c r="D200" s="54"/>
      <c r="E200" s="55"/>
      <c r="F200" s="75"/>
      <c r="G200" s="76"/>
      <c r="H200" s="76"/>
      <c r="I200" s="48"/>
      <c r="J200" s="70"/>
      <c r="K200" s="70"/>
      <c r="L200" s="336" t="s">
        <v>871</v>
      </c>
      <c r="M200" s="337" t="s">
        <v>872</v>
      </c>
      <c r="N200" s="336" t="s">
        <v>34</v>
      </c>
      <c r="O200" s="338">
        <v>1</v>
      </c>
      <c r="P200" s="340">
        <v>1328.51</v>
      </c>
      <c r="Q200" s="340">
        <v>1328.51</v>
      </c>
      <c r="R200" s="182"/>
      <c r="U200" s="128"/>
    </row>
    <row r="201" spans="1:21" ht="15.6" x14ac:dyDescent="0.3">
      <c r="A201" s="53"/>
      <c r="B201" s="54"/>
      <c r="C201" s="54"/>
      <c r="D201" s="54"/>
      <c r="E201" s="55"/>
      <c r="F201" s="75"/>
      <c r="G201" s="76"/>
      <c r="H201" s="76"/>
      <c r="I201" s="48"/>
      <c r="J201" s="70"/>
      <c r="K201" s="70"/>
      <c r="L201" s="336" t="s">
        <v>873</v>
      </c>
      <c r="M201" s="337" t="s">
        <v>874</v>
      </c>
      <c r="N201" s="336" t="s">
        <v>34</v>
      </c>
      <c r="O201" s="338">
        <v>1</v>
      </c>
      <c r="P201" s="339">
        <v>648.75</v>
      </c>
      <c r="Q201" s="339">
        <v>648.75</v>
      </c>
      <c r="R201" s="182"/>
      <c r="U201" s="128"/>
    </row>
    <row r="202" spans="1:21" ht="15.6" x14ac:dyDescent="0.3">
      <c r="A202" s="53"/>
      <c r="B202" s="54"/>
      <c r="C202" s="54"/>
      <c r="D202" s="54"/>
      <c r="E202" s="55"/>
      <c r="F202" s="75"/>
      <c r="G202" s="76"/>
      <c r="H202" s="76"/>
      <c r="I202" s="48"/>
      <c r="J202" s="70"/>
      <c r="K202" s="70"/>
      <c r="L202" s="336" t="s">
        <v>1141</v>
      </c>
      <c r="M202" s="337" t="s">
        <v>1228</v>
      </c>
      <c r="N202" s="336" t="s">
        <v>34</v>
      </c>
      <c r="O202" s="338">
        <v>1</v>
      </c>
      <c r="P202" s="339">
        <v>96</v>
      </c>
      <c r="Q202" s="339">
        <v>96</v>
      </c>
      <c r="R202" s="182"/>
      <c r="U202" s="128"/>
    </row>
    <row r="203" spans="1:21" ht="15.6" x14ac:dyDescent="0.3">
      <c r="A203" s="53"/>
      <c r="B203" s="54"/>
      <c r="C203" s="54"/>
      <c r="D203" s="54"/>
      <c r="E203" s="55"/>
      <c r="F203" s="75"/>
      <c r="G203" s="76"/>
      <c r="H203" s="76"/>
      <c r="I203" s="48"/>
      <c r="J203" s="70"/>
      <c r="K203" s="70"/>
      <c r="L203" s="336" t="s">
        <v>1143</v>
      </c>
      <c r="M203" s="337" t="s">
        <v>1230</v>
      </c>
      <c r="N203" s="336" t="s">
        <v>34</v>
      </c>
      <c r="O203" s="338">
        <v>1</v>
      </c>
      <c r="P203" s="339">
        <v>176.27</v>
      </c>
      <c r="Q203" s="339">
        <v>176.27</v>
      </c>
      <c r="R203" s="182"/>
      <c r="U203" s="128"/>
    </row>
    <row r="204" spans="1:21" ht="15.6" x14ac:dyDescent="0.3">
      <c r="A204" s="53"/>
      <c r="B204" s="54"/>
      <c r="C204" s="54"/>
      <c r="D204" s="54"/>
      <c r="E204" s="55"/>
      <c r="F204" s="75"/>
      <c r="G204" s="76"/>
      <c r="H204" s="76"/>
      <c r="I204" s="48"/>
      <c r="J204" s="70"/>
      <c r="K204" s="70"/>
      <c r="L204" s="336" t="s">
        <v>911</v>
      </c>
      <c r="M204" s="337" t="s">
        <v>912</v>
      </c>
      <c r="N204" s="336" t="s">
        <v>34</v>
      </c>
      <c r="O204" s="338">
        <v>1</v>
      </c>
      <c r="P204" s="339">
        <v>103</v>
      </c>
      <c r="Q204" s="339">
        <v>103</v>
      </c>
      <c r="R204" s="182"/>
      <c r="U204" s="128"/>
    </row>
    <row r="205" spans="1:21" ht="15.6" x14ac:dyDescent="0.3">
      <c r="A205" s="53"/>
      <c r="B205" s="54"/>
      <c r="C205" s="54"/>
      <c r="D205" s="54"/>
      <c r="E205" s="55"/>
      <c r="F205" s="75"/>
      <c r="G205" s="76"/>
      <c r="H205" s="76"/>
      <c r="I205" s="48"/>
      <c r="J205" s="70"/>
      <c r="K205" s="70"/>
      <c r="L205" s="336" t="s">
        <v>782</v>
      </c>
      <c r="M205" s="337" t="s">
        <v>783</v>
      </c>
      <c r="N205" s="336" t="s">
        <v>34</v>
      </c>
      <c r="O205" s="338">
        <v>1</v>
      </c>
      <c r="P205" s="340">
        <v>2778.33</v>
      </c>
      <c r="Q205" s="340">
        <v>2778.33</v>
      </c>
      <c r="R205" s="182"/>
      <c r="U205" s="128"/>
    </row>
    <row r="206" spans="1:21" ht="15.6" x14ac:dyDescent="0.3">
      <c r="A206" s="53"/>
      <c r="B206" s="54"/>
      <c r="C206" s="54"/>
      <c r="D206" s="54"/>
      <c r="E206" s="55"/>
      <c r="F206" s="75"/>
      <c r="G206" s="76"/>
      <c r="H206" s="76"/>
      <c r="I206" s="48"/>
      <c r="J206" s="70"/>
      <c r="K206" s="70"/>
      <c r="L206" s="336" t="s">
        <v>884</v>
      </c>
      <c r="M206" s="337" t="s">
        <v>885</v>
      </c>
      <c r="N206" s="336" t="s">
        <v>82</v>
      </c>
      <c r="O206" s="338">
        <v>1</v>
      </c>
      <c r="P206" s="340">
        <v>18062</v>
      </c>
      <c r="Q206" s="340">
        <v>18062</v>
      </c>
      <c r="R206" s="182"/>
      <c r="U206" s="128"/>
    </row>
    <row r="207" spans="1:21" ht="15.6" x14ac:dyDescent="0.3">
      <c r="A207" s="53"/>
      <c r="B207" s="54"/>
      <c r="C207" s="54"/>
      <c r="D207" s="54"/>
      <c r="E207" s="55"/>
      <c r="F207" s="75"/>
      <c r="G207" s="76"/>
      <c r="H207" s="76"/>
      <c r="I207" s="48"/>
      <c r="J207" s="70"/>
      <c r="K207" s="70"/>
      <c r="L207" s="336" t="s">
        <v>732</v>
      </c>
      <c r="M207" s="337" t="s">
        <v>733</v>
      </c>
      <c r="N207" s="336" t="s">
        <v>34</v>
      </c>
      <c r="O207" s="338">
        <v>1</v>
      </c>
      <c r="P207" s="340">
        <v>19165.830000000002</v>
      </c>
      <c r="Q207" s="340">
        <v>19165.830000000002</v>
      </c>
      <c r="R207" s="182"/>
      <c r="U207" s="128"/>
    </row>
    <row r="208" spans="1:21" ht="15.6" x14ac:dyDescent="0.3">
      <c r="A208" s="53"/>
      <c r="B208" s="54"/>
      <c r="C208" s="54"/>
      <c r="D208" s="54"/>
      <c r="E208" s="55"/>
      <c r="F208" s="75"/>
      <c r="G208" s="76"/>
      <c r="H208" s="76"/>
      <c r="I208" s="48"/>
      <c r="J208" s="70"/>
      <c r="K208" s="70"/>
      <c r="L208" s="336" t="s">
        <v>1145</v>
      </c>
      <c r="M208" s="337" t="s">
        <v>1232</v>
      </c>
      <c r="N208" s="336" t="s">
        <v>34</v>
      </c>
      <c r="O208" s="338">
        <v>1</v>
      </c>
      <c r="P208" s="339">
        <v>55.04</v>
      </c>
      <c r="Q208" s="339">
        <v>55.04</v>
      </c>
      <c r="R208" s="182"/>
      <c r="U208" s="128"/>
    </row>
    <row r="209" spans="1:21" ht="15.6" x14ac:dyDescent="0.3">
      <c r="A209" s="53"/>
      <c r="B209" s="54"/>
      <c r="C209" s="54"/>
      <c r="D209" s="54"/>
      <c r="E209" s="55"/>
      <c r="F209" s="75"/>
      <c r="G209" s="76"/>
      <c r="H209" s="76"/>
      <c r="I209" s="48"/>
      <c r="J209" s="70"/>
      <c r="K209" s="70"/>
      <c r="L209" s="336" t="s">
        <v>875</v>
      </c>
      <c r="M209" s="337" t="s">
        <v>876</v>
      </c>
      <c r="N209" s="336" t="s">
        <v>34</v>
      </c>
      <c r="O209" s="338">
        <v>1</v>
      </c>
      <c r="P209" s="340">
        <v>1580.58</v>
      </c>
      <c r="Q209" s="340">
        <v>1580.58</v>
      </c>
      <c r="R209" s="182"/>
      <c r="U209" s="128"/>
    </row>
    <row r="210" spans="1:21" ht="15.6" x14ac:dyDescent="0.3">
      <c r="A210" s="53"/>
      <c r="B210" s="54"/>
      <c r="C210" s="54"/>
      <c r="D210" s="54"/>
      <c r="E210" s="55"/>
      <c r="F210" s="75"/>
      <c r="G210" s="76"/>
      <c r="H210" s="76"/>
      <c r="I210" s="48"/>
      <c r="J210" s="70"/>
      <c r="K210" s="70"/>
      <c r="L210" s="336" t="s">
        <v>1419</v>
      </c>
      <c r="M210" s="337" t="s">
        <v>1442</v>
      </c>
      <c r="N210" s="336" t="s">
        <v>34</v>
      </c>
      <c r="O210" s="338">
        <v>1</v>
      </c>
      <c r="P210" s="339">
        <v>60.52</v>
      </c>
      <c r="Q210" s="339">
        <v>60.52</v>
      </c>
      <c r="R210" s="182"/>
      <c r="U210" s="128"/>
    </row>
    <row r="211" spans="1:21" ht="15.6" x14ac:dyDescent="0.3">
      <c r="A211" s="53"/>
      <c r="B211" s="54"/>
      <c r="C211" s="54"/>
      <c r="D211" s="54"/>
      <c r="E211" s="55"/>
      <c r="F211" s="75"/>
      <c r="G211" s="76"/>
      <c r="H211" s="76"/>
      <c r="I211" s="48"/>
      <c r="J211" s="70"/>
      <c r="K211" s="70"/>
      <c r="L211" s="336" t="s">
        <v>889</v>
      </c>
      <c r="M211" s="337" t="s">
        <v>890</v>
      </c>
      <c r="N211" s="336" t="s">
        <v>82</v>
      </c>
      <c r="O211" s="338">
        <v>1</v>
      </c>
      <c r="P211" s="340">
        <v>22036</v>
      </c>
      <c r="Q211" s="340">
        <v>22036</v>
      </c>
      <c r="R211" s="182"/>
      <c r="U211" s="128"/>
    </row>
    <row r="212" spans="1:21" ht="15.6" x14ac:dyDescent="0.3">
      <c r="A212" s="53"/>
      <c r="B212" s="54"/>
      <c r="C212" s="54"/>
      <c r="D212" s="54"/>
      <c r="E212" s="55"/>
      <c r="F212" s="75"/>
      <c r="G212" s="76"/>
      <c r="H212" s="76"/>
      <c r="I212" s="48"/>
      <c r="J212" s="70"/>
      <c r="K212" s="70"/>
      <c r="L212" s="336" t="s">
        <v>877</v>
      </c>
      <c r="M212" s="337" t="s">
        <v>878</v>
      </c>
      <c r="N212" s="336" t="s">
        <v>34</v>
      </c>
      <c r="O212" s="338">
        <v>1</v>
      </c>
      <c r="P212" s="339">
        <v>340.75</v>
      </c>
      <c r="Q212" s="339">
        <v>340.75</v>
      </c>
      <c r="R212" s="182"/>
      <c r="U212" s="128"/>
    </row>
    <row r="213" spans="1:21" ht="15.6" x14ac:dyDescent="0.3">
      <c r="A213" s="53"/>
      <c r="B213" s="54"/>
      <c r="C213" s="54"/>
      <c r="D213" s="54"/>
      <c r="E213" s="55"/>
      <c r="F213" s="75"/>
      <c r="G213" s="76"/>
      <c r="H213" s="76"/>
      <c r="I213" s="48"/>
      <c r="J213" s="70"/>
      <c r="K213" s="70"/>
      <c r="L213" s="336" t="s">
        <v>915</v>
      </c>
      <c r="M213" s="337" t="s">
        <v>916</v>
      </c>
      <c r="N213" s="336" t="s">
        <v>34</v>
      </c>
      <c r="O213" s="338">
        <v>1</v>
      </c>
      <c r="P213" s="339">
        <v>42</v>
      </c>
      <c r="Q213" s="339">
        <v>42</v>
      </c>
      <c r="R213" s="182"/>
      <c r="U213" s="128"/>
    </row>
    <row r="214" spans="1:21" ht="15.6" x14ac:dyDescent="0.3">
      <c r="A214" s="53"/>
      <c r="B214" s="54"/>
      <c r="C214" s="54"/>
      <c r="D214" s="54"/>
      <c r="E214" s="55"/>
      <c r="F214" s="75"/>
      <c r="G214" s="76"/>
      <c r="H214" s="76"/>
      <c r="I214" s="48"/>
      <c r="J214" s="70"/>
      <c r="K214" s="70"/>
      <c r="L214" s="336" t="s">
        <v>861</v>
      </c>
      <c r="M214" s="337" t="s">
        <v>917</v>
      </c>
      <c r="N214" s="336" t="s">
        <v>34</v>
      </c>
      <c r="O214" s="338">
        <v>1</v>
      </c>
      <c r="P214" s="340">
        <v>8250</v>
      </c>
      <c r="Q214" s="340">
        <v>8250</v>
      </c>
      <c r="R214" s="182"/>
      <c r="U214" s="128"/>
    </row>
    <row r="215" spans="1:21" ht="15.6" x14ac:dyDescent="0.3">
      <c r="A215" s="53"/>
      <c r="B215" s="54"/>
      <c r="C215" s="54"/>
      <c r="D215" s="54"/>
      <c r="E215" s="55"/>
      <c r="F215" s="75"/>
      <c r="G215" s="76"/>
      <c r="H215" s="76"/>
      <c r="I215" s="48"/>
      <c r="J215" s="70"/>
      <c r="K215" s="70"/>
      <c r="L215" s="336" t="s">
        <v>865</v>
      </c>
      <c r="M215" s="337" t="s">
        <v>1055</v>
      </c>
      <c r="N215" s="336" t="s">
        <v>34</v>
      </c>
      <c r="O215" s="338">
        <v>1</v>
      </c>
      <c r="P215" s="340">
        <v>4916.66</v>
      </c>
      <c r="Q215" s="340">
        <v>4916.66</v>
      </c>
      <c r="R215" s="182"/>
      <c r="U215" s="128"/>
    </row>
    <row r="216" spans="1:21" ht="15.6" x14ac:dyDescent="0.3">
      <c r="A216" s="53"/>
      <c r="B216" s="54"/>
      <c r="C216" s="54"/>
      <c r="D216" s="54"/>
      <c r="E216" s="55"/>
      <c r="F216" s="75"/>
      <c r="G216" s="76"/>
      <c r="H216" s="76"/>
      <c r="I216" s="48"/>
      <c r="J216" s="70"/>
      <c r="K216" s="70"/>
      <c r="L216" s="336" t="s">
        <v>799</v>
      </c>
      <c r="M216" s="337" t="s">
        <v>800</v>
      </c>
      <c r="N216" s="336" t="s">
        <v>34</v>
      </c>
      <c r="O216" s="338">
        <v>1</v>
      </c>
      <c r="P216" s="339">
        <v>308.12</v>
      </c>
      <c r="Q216" s="339">
        <v>308.12</v>
      </c>
      <c r="R216" s="182"/>
      <c r="U216" s="128"/>
    </row>
    <row r="217" spans="1:21" ht="15.6" x14ac:dyDescent="0.3">
      <c r="A217" s="53"/>
      <c r="B217" s="54"/>
      <c r="C217" s="54"/>
      <c r="D217" s="54"/>
      <c r="E217" s="55"/>
      <c r="F217" s="75"/>
      <c r="G217" s="76"/>
      <c r="H217" s="76"/>
      <c r="I217" s="48"/>
      <c r="J217" s="70"/>
      <c r="K217" s="70"/>
      <c r="L217" s="336" t="s">
        <v>801</v>
      </c>
      <c r="M217" s="337" t="s">
        <v>802</v>
      </c>
      <c r="N217" s="336" t="s">
        <v>34</v>
      </c>
      <c r="O217" s="338">
        <v>1</v>
      </c>
      <c r="P217" s="339">
        <v>308.12</v>
      </c>
      <c r="Q217" s="339">
        <v>308.12</v>
      </c>
      <c r="R217" s="182"/>
      <c r="U217" s="128"/>
    </row>
    <row r="218" spans="1:21" ht="15.6" x14ac:dyDescent="0.3">
      <c r="A218" s="53"/>
      <c r="B218" s="54"/>
      <c r="C218" s="54"/>
      <c r="D218" s="54"/>
      <c r="E218" s="55"/>
      <c r="F218" s="75"/>
      <c r="G218" s="76"/>
      <c r="H218" s="76"/>
      <c r="I218" s="48"/>
      <c r="J218" s="70"/>
      <c r="K218" s="70"/>
      <c r="L218" s="336" t="s">
        <v>867</v>
      </c>
      <c r="M218" s="337" t="s">
        <v>918</v>
      </c>
      <c r="N218" s="336" t="s">
        <v>34</v>
      </c>
      <c r="O218" s="338">
        <v>1</v>
      </c>
      <c r="P218" s="340">
        <v>4050</v>
      </c>
      <c r="Q218" s="340">
        <v>4050</v>
      </c>
      <c r="R218" s="182"/>
      <c r="U218" s="128"/>
    </row>
    <row r="219" spans="1:21" ht="15.6" x14ac:dyDescent="0.3">
      <c r="A219" s="53"/>
      <c r="B219" s="54"/>
      <c r="C219" s="54"/>
      <c r="D219" s="54"/>
      <c r="E219" s="55"/>
      <c r="F219" s="75"/>
      <c r="G219" s="76"/>
      <c r="H219" s="76"/>
      <c r="I219" s="48"/>
      <c r="J219" s="70"/>
      <c r="K219" s="70"/>
      <c r="L219" s="336" t="s">
        <v>1311</v>
      </c>
      <c r="M219" s="337" t="s">
        <v>1345</v>
      </c>
      <c r="N219" s="336" t="s">
        <v>34</v>
      </c>
      <c r="O219" s="338">
        <v>1</v>
      </c>
      <c r="P219" s="339">
        <v>21.5</v>
      </c>
      <c r="Q219" s="339">
        <v>21.5</v>
      </c>
      <c r="R219" s="182"/>
      <c r="U219" s="128"/>
    </row>
    <row r="220" spans="1:21" ht="30" x14ac:dyDescent="0.3">
      <c r="A220" s="53"/>
      <c r="B220" s="54"/>
      <c r="C220" s="54"/>
      <c r="D220" s="54"/>
      <c r="E220" s="55"/>
      <c r="F220" s="75"/>
      <c r="G220" s="76"/>
      <c r="H220" s="76"/>
      <c r="I220" s="48"/>
      <c r="J220" s="70"/>
      <c r="K220" s="70"/>
      <c r="L220" s="336" t="s">
        <v>1156</v>
      </c>
      <c r="M220" s="337" t="s">
        <v>1243</v>
      </c>
      <c r="N220" s="336" t="s">
        <v>34</v>
      </c>
      <c r="O220" s="338">
        <v>1</v>
      </c>
      <c r="P220" s="339">
        <v>87.3</v>
      </c>
      <c r="Q220" s="339">
        <v>87.3</v>
      </c>
      <c r="R220" s="182"/>
      <c r="U220" s="128"/>
    </row>
    <row r="221" spans="1:21" ht="15.6" x14ac:dyDescent="0.3">
      <c r="A221" s="53"/>
      <c r="B221" s="54"/>
      <c r="C221" s="54"/>
      <c r="D221" s="54"/>
      <c r="E221" s="55"/>
      <c r="F221" s="75"/>
      <c r="G221" s="76"/>
      <c r="H221" s="76"/>
      <c r="I221" s="48"/>
      <c r="J221" s="70"/>
      <c r="K221" s="70"/>
      <c r="L221" s="336" t="s">
        <v>809</v>
      </c>
      <c r="M221" s="337" t="s">
        <v>810</v>
      </c>
      <c r="N221" s="336" t="s">
        <v>34</v>
      </c>
      <c r="O221" s="338">
        <v>1</v>
      </c>
      <c r="P221" s="339">
        <v>854.38</v>
      </c>
      <c r="Q221" s="339">
        <v>854.38</v>
      </c>
      <c r="R221" s="182"/>
      <c r="U221" s="128"/>
    </row>
    <row r="222" spans="1:21" ht="15.6" x14ac:dyDescent="0.3">
      <c r="A222" s="53"/>
      <c r="B222" s="54"/>
      <c r="C222" s="54"/>
      <c r="D222" s="54"/>
      <c r="E222" s="55"/>
      <c r="F222" s="75"/>
      <c r="G222" s="76"/>
      <c r="H222" s="76"/>
      <c r="I222" s="48"/>
      <c r="J222" s="70"/>
      <c r="K222" s="70"/>
      <c r="L222" s="336" t="s">
        <v>920</v>
      </c>
      <c r="M222" s="337" t="s">
        <v>921</v>
      </c>
      <c r="N222" s="336" t="s">
        <v>34</v>
      </c>
      <c r="O222" s="338">
        <v>1</v>
      </c>
      <c r="P222" s="339">
        <v>29.6</v>
      </c>
      <c r="Q222" s="339">
        <v>29.6</v>
      </c>
      <c r="R222" s="182"/>
      <c r="U222" s="128"/>
    </row>
    <row r="223" spans="1:21" ht="15.6" x14ac:dyDescent="0.3">
      <c r="A223" s="53"/>
      <c r="B223" s="54"/>
      <c r="C223" s="54"/>
      <c r="D223" s="54"/>
      <c r="E223" s="55"/>
      <c r="F223" s="75"/>
      <c r="G223" s="76"/>
      <c r="H223" s="76"/>
      <c r="I223" s="48"/>
      <c r="J223" s="70"/>
      <c r="K223" s="70"/>
      <c r="L223" s="336" t="s">
        <v>812</v>
      </c>
      <c r="M223" s="337" t="s">
        <v>813</v>
      </c>
      <c r="N223" s="336" t="s">
        <v>34</v>
      </c>
      <c r="O223" s="338">
        <v>1</v>
      </c>
      <c r="P223" s="340">
        <v>6500</v>
      </c>
      <c r="Q223" s="340">
        <v>6500</v>
      </c>
      <c r="R223" s="182"/>
      <c r="U223" s="128"/>
    </row>
    <row r="224" spans="1:21" ht="15.6" x14ac:dyDescent="0.3">
      <c r="A224" s="53"/>
      <c r="B224" s="54"/>
      <c r="C224" s="54"/>
      <c r="D224" s="54"/>
      <c r="E224" s="55"/>
      <c r="F224" s="75"/>
      <c r="G224" s="76"/>
      <c r="H224" s="76"/>
      <c r="I224" s="48"/>
      <c r="J224" s="70"/>
      <c r="K224" s="70"/>
      <c r="L224" s="336" t="s">
        <v>1359</v>
      </c>
      <c r="M224" s="337" t="s">
        <v>1388</v>
      </c>
      <c r="N224" s="336" t="s">
        <v>34</v>
      </c>
      <c r="O224" s="338">
        <v>1</v>
      </c>
      <c r="P224" s="339">
        <v>92.7</v>
      </c>
      <c r="Q224" s="339">
        <v>92.7</v>
      </c>
      <c r="R224" s="182"/>
      <c r="U224" s="128"/>
    </row>
    <row r="225" spans="1:21" ht="15.6" x14ac:dyDescent="0.3">
      <c r="A225" s="53"/>
      <c r="B225" s="54"/>
      <c r="C225" s="54"/>
      <c r="D225" s="54"/>
      <c r="E225" s="55"/>
      <c r="F225" s="75"/>
      <c r="G225" s="76"/>
      <c r="H225" s="76"/>
      <c r="I225" s="48"/>
      <c r="J225" s="70"/>
      <c r="K225" s="70"/>
      <c r="L225" s="336" t="s">
        <v>860</v>
      </c>
      <c r="M225" s="337" t="s">
        <v>922</v>
      </c>
      <c r="N225" s="336" t="s">
        <v>34</v>
      </c>
      <c r="O225" s="338">
        <v>1</v>
      </c>
      <c r="P225" s="340">
        <v>8875</v>
      </c>
      <c r="Q225" s="340">
        <v>8875</v>
      </c>
      <c r="R225" s="182"/>
      <c r="U225" s="128"/>
    </row>
    <row r="226" spans="1:21" ht="15.6" x14ac:dyDescent="0.3">
      <c r="A226" s="53"/>
      <c r="B226" s="54"/>
      <c r="C226" s="54"/>
      <c r="D226" s="54"/>
      <c r="E226" s="55"/>
      <c r="F226" s="75"/>
      <c r="G226" s="76"/>
      <c r="H226" s="76"/>
      <c r="I226" s="48"/>
      <c r="J226" s="70"/>
      <c r="K226" s="70"/>
      <c r="L226" s="336" t="s">
        <v>422</v>
      </c>
      <c r="M226" s="337" t="s">
        <v>423</v>
      </c>
      <c r="N226" s="336" t="s">
        <v>34</v>
      </c>
      <c r="O226" s="338">
        <v>1</v>
      </c>
      <c r="P226" s="339">
        <v>219.9</v>
      </c>
      <c r="Q226" s="339">
        <v>219.9</v>
      </c>
      <c r="R226" s="182"/>
      <c r="U226" s="128"/>
    </row>
    <row r="227" spans="1:21" ht="15.6" x14ac:dyDescent="0.3">
      <c r="A227" s="53"/>
      <c r="B227" s="54"/>
      <c r="C227" s="54"/>
      <c r="D227" s="54"/>
      <c r="E227" s="55"/>
      <c r="F227" s="75"/>
      <c r="G227" s="76"/>
      <c r="H227" s="76"/>
      <c r="I227" s="48"/>
      <c r="J227" s="70"/>
      <c r="K227" s="70"/>
      <c r="L227" s="336" t="s">
        <v>424</v>
      </c>
      <c r="M227" s="337" t="s">
        <v>425</v>
      </c>
      <c r="N227" s="336" t="s">
        <v>34</v>
      </c>
      <c r="O227" s="338">
        <v>1</v>
      </c>
      <c r="P227" s="339">
        <v>201</v>
      </c>
      <c r="Q227" s="339">
        <v>201</v>
      </c>
      <c r="R227" s="182"/>
      <c r="U227" s="128"/>
    </row>
    <row r="228" spans="1:21" ht="15.6" x14ac:dyDescent="0.3">
      <c r="A228" s="53"/>
      <c r="B228" s="54"/>
      <c r="C228" s="54"/>
      <c r="D228" s="54"/>
      <c r="E228" s="55"/>
      <c r="F228" s="75"/>
      <c r="G228" s="76"/>
      <c r="H228" s="76"/>
      <c r="I228" s="48"/>
      <c r="J228" s="70"/>
      <c r="K228" s="70"/>
      <c r="L228" s="336" t="s">
        <v>1159</v>
      </c>
      <c r="M228" s="337" t="s">
        <v>1245</v>
      </c>
      <c r="N228" s="336" t="s">
        <v>34</v>
      </c>
      <c r="O228" s="338">
        <v>1</v>
      </c>
      <c r="P228" s="339">
        <v>39.75</v>
      </c>
      <c r="Q228" s="339">
        <v>39.75</v>
      </c>
      <c r="R228" s="182"/>
      <c r="U228" s="128"/>
    </row>
    <row r="229" spans="1:21" ht="15.6" x14ac:dyDescent="0.3">
      <c r="A229" s="53"/>
      <c r="B229" s="54"/>
      <c r="C229" s="54"/>
      <c r="D229" s="54"/>
      <c r="E229" s="55"/>
      <c r="F229" s="75"/>
      <c r="G229" s="76"/>
      <c r="H229" s="76"/>
      <c r="I229" s="48"/>
      <c r="J229" s="70"/>
      <c r="K229" s="70"/>
      <c r="L229" s="336" t="s">
        <v>1175</v>
      </c>
      <c r="M229" s="337" t="s">
        <v>1259</v>
      </c>
      <c r="N229" s="336" t="s">
        <v>34</v>
      </c>
      <c r="O229" s="338">
        <v>1</v>
      </c>
      <c r="P229" s="339">
        <v>2</v>
      </c>
      <c r="Q229" s="339">
        <v>2</v>
      </c>
      <c r="R229" s="182"/>
      <c r="U229" s="128"/>
    </row>
    <row r="230" spans="1:21" ht="15.6" x14ac:dyDescent="0.3">
      <c r="A230" s="53"/>
      <c r="B230" s="54"/>
      <c r="C230" s="54"/>
      <c r="D230" s="54"/>
      <c r="E230" s="55"/>
      <c r="F230" s="75"/>
      <c r="G230" s="76"/>
      <c r="H230" s="76"/>
      <c r="I230" s="48"/>
      <c r="J230" s="70"/>
      <c r="K230" s="70"/>
      <c r="L230" s="336" t="s">
        <v>1176</v>
      </c>
      <c r="M230" s="337" t="s">
        <v>1260</v>
      </c>
      <c r="N230" s="336" t="s">
        <v>34</v>
      </c>
      <c r="O230" s="338">
        <v>1</v>
      </c>
      <c r="P230" s="339">
        <v>1.5</v>
      </c>
      <c r="Q230" s="339">
        <v>1.5</v>
      </c>
      <c r="R230" s="182"/>
      <c r="U230" s="128"/>
    </row>
    <row r="231" spans="1:21" ht="15.6" x14ac:dyDescent="0.3">
      <c r="A231" s="53"/>
      <c r="B231" s="54"/>
      <c r="C231" s="54"/>
      <c r="D231" s="54"/>
      <c r="E231" s="55"/>
      <c r="F231" s="75"/>
      <c r="G231" s="76"/>
      <c r="H231" s="76"/>
      <c r="I231" s="48"/>
      <c r="J231" s="70"/>
      <c r="K231" s="70"/>
      <c r="L231" s="336" t="s">
        <v>826</v>
      </c>
      <c r="M231" s="337" t="s">
        <v>827</v>
      </c>
      <c r="N231" s="336" t="s">
        <v>34</v>
      </c>
      <c r="O231" s="338">
        <v>1</v>
      </c>
      <c r="P231" s="339">
        <v>4.8</v>
      </c>
      <c r="Q231" s="339">
        <v>4.8</v>
      </c>
      <c r="R231" s="182"/>
      <c r="U231" s="128"/>
    </row>
    <row r="232" spans="1:21" ht="15.6" x14ac:dyDescent="0.3">
      <c r="A232" s="53"/>
      <c r="B232" s="54"/>
      <c r="C232" s="54"/>
      <c r="D232" s="54"/>
      <c r="E232" s="55"/>
      <c r="F232" s="75"/>
      <c r="G232" s="76"/>
      <c r="H232" s="76"/>
      <c r="I232" s="48"/>
      <c r="J232" s="70"/>
      <c r="K232" s="70"/>
      <c r="L232" s="336" t="s">
        <v>1177</v>
      </c>
      <c r="M232" s="337" t="s">
        <v>1261</v>
      </c>
      <c r="N232" s="336" t="s">
        <v>34</v>
      </c>
      <c r="O232" s="338">
        <v>1</v>
      </c>
      <c r="P232" s="339">
        <v>130.21</v>
      </c>
      <c r="Q232" s="339">
        <v>130.21</v>
      </c>
      <c r="R232" s="182"/>
      <c r="U232" s="128"/>
    </row>
    <row r="233" spans="1:21" ht="15.6" x14ac:dyDescent="0.3">
      <c r="A233" s="53"/>
      <c r="B233" s="54"/>
      <c r="C233" s="54"/>
      <c r="D233" s="54"/>
      <c r="E233" s="55"/>
      <c r="F233" s="75"/>
      <c r="G233" s="76"/>
      <c r="H233" s="76"/>
      <c r="I233" s="48"/>
      <c r="J233" s="70"/>
      <c r="K233" s="70"/>
      <c r="L233" s="336" t="s">
        <v>828</v>
      </c>
      <c r="M233" s="337" t="s">
        <v>829</v>
      </c>
      <c r="N233" s="336" t="s">
        <v>34</v>
      </c>
      <c r="O233" s="338">
        <v>1</v>
      </c>
      <c r="P233" s="339">
        <v>133.15</v>
      </c>
      <c r="Q233" s="339">
        <v>133.15</v>
      </c>
      <c r="R233" s="182"/>
      <c r="U233" s="128"/>
    </row>
    <row r="234" spans="1:21" ht="15.6" x14ac:dyDescent="0.3">
      <c r="A234" s="53"/>
      <c r="B234" s="54"/>
      <c r="C234" s="54"/>
      <c r="D234" s="54"/>
      <c r="E234" s="55"/>
      <c r="F234" s="75"/>
      <c r="G234" s="76"/>
      <c r="H234" s="76"/>
      <c r="I234" s="48"/>
      <c r="J234" s="70"/>
      <c r="K234" s="70"/>
      <c r="L234" s="336" t="s">
        <v>830</v>
      </c>
      <c r="M234" s="337" t="s">
        <v>831</v>
      </c>
      <c r="N234" s="336" t="s">
        <v>34</v>
      </c>
      <c r="O234" s="338">
        <v>1</v>
      </c>
      <c r="P234" s="339">
        <v>693</v>
      </c>
      <c r="Q234" s="339">
        <v>693</v>
      </c>
      <c r="R234" s="182"/>
      <c r="U234" s="128"/>
    </row>
    <row r="235" spans="1:21" ht="15.6" x14ac:dyDescent="0.3">
      <c r="A235" s="53"/>
      <c r="B235" s="54"/>
      <c r="C235" s="54"/>
      <c r="D235" s="54"/>
      <c r="E235" s="55"/>
      <c r="F235" s="75"/>
      <c r="G235" s="76"/>
      <c r="H235" s="76"/>
      <c r="I235" s="48"/>
      <c r="J235" s="70"/>
      <c r="K235" s="70"/>
      <c r="L235" s="336" t="s">
        <v>924</v>
      </c>
      <c r="M235" s="337" t="s">
        <v>925</v>
      </c>
      <c r="N235" s="336" t="s">
        <v>34</v>
      </c>
      <c r="O235" s="338">
        <v>1</v>
      </c>
      <c r="P235" s="339">
        <v>69.34</v>
      </c>
      <c r="Q235" s="339">
        <v>69.34</v>
      </c>
      <c r="R235" s="182"/>
      <c r="U235" s="128"/>
    </row>
    <row r="236" spans="1:21" ht="15.6" x14ac:dyDescent="0.3">
      <c r="A236" s="53"/>
      <c r="B236" s="54"/>
      <c r="C236" s="54"/>
      <c r="D236" s="54"/>
      <c r="E236" s="55"/>
      <c r="F236" s="75"/>
      <c r="G236" s="76"/>
      <c r="H236" s="76"/>
      <c r="I236" s="48"/>
      <c r="J236" s="70"/>
      <c r="K236" s="70"/>
      <c r="L236" s="336" t="s">
        <v>863</v>
      </c>
      <c r="M236" s="337" t="s">
        <v>926</v>
      </c>
      <c r="N236" s="336" t="s">
        <v>34</v>
      </c>
      <c r="O236" s="338">
        <v>1</v>
      </c>
      <c r="P236" s="340">
        <v>8590</v>
      </c>
      <c r="Q236" s="340">
        <v>8590</v>
      </c>
      <c r="R236" s="182"/>
      <c r="U236" s="128"/>
    </row>
    <row r="237" spans="1:21" ht="15.6" x14ac:dyDescent="0.3">
      <c r="A237" s="53"/>
      <c r="B237" s="54"/>
      <c r="C237" s="54"/>
      <c r="D237" s="54"/>
      <c r="E237" s="55"/>
      <c r="F237" s="75"/>
      <c r="G237" s="76"/>
      <c r="H237" s="76"/>
      <c r="I237" s="48"/>
      <c r="J237" s="70"/>
      <c r="K237" s="70"/>
      <c r="L237" s="336" t="s">
        <v>1312</v>
      </c>
      <c r="M237" s="337" t="s">
        <v>1346</v>
      </c>
      <c r="N237" s="336" t="s">
        <v>34</v>
      </c>
      <c r="O237" s="338">
        <v>1</v>
      </c>
      <c r="P237" s="339">
        <v>57.19</v>
      </c>
      <c r="Q237" s="339">
        <v>57.19</v>
      </c>
      <c r="R237" s="182"/>
      <c r="U237" s="128"/>
    </row>
    <row r="238" spans="1:21" ht="15.6" x14ac:dyDescent="0.3">
      <c r="A238" s="53"/>
      <c r="B238" s="54"/>
      <c r="C238" s="54"/>
      <c r="D238" s="54"/>
      <c r="E238" s="55"/>
      <c r="F238" s="75"/>
      <c r="G238" s="76"/>
      <c r="H238" s="76"/>
      <c r="I238" s="48"/>
      <c r="J238" s="70"/>
      <c r="K238" s="70"/>
      <c r="L238" s="336" t="s">
        <v>930</v>
      </c>
      <c r="M238" s="337" t="s">
        <v>931</v>
      </c>
      <c r="N238" s="336" t="s">
        <v>34</v>
      </c>
      <c r="O238" s="338">
        <v>1</v>
      </c>
      <c r="P238" s="339">
        <v>124</v>
      </c>
      <c r="Q238" s="339">
        <v>124</v>
      </c>
      <c r="R238" s="182"/>
      <c r="U238" s="128"/>
    </row>
    <row r="239" spans="1:21" ht="15.6" x14ac:dyDescent="0.3">
      <c r="A239" s="53"/>
      <c r="B239" s="54"/>
      <c r="C239" s="54"/>
      <c r="D239" s="54"/>
      <c r="E239" s="55"/>
      <c r="F239" s="75"/>
      <c r="G239" s="76"/>
      <c r="H239" s="76"/>
      <c r="I239" s="48"/>
      <c r="J239" s="70"/>
      <c r="K239" s="70"/>
      <c r="L239" s="336" t="s">
        <v>1425</v>
      </c>
      <c r="M239" s="337" t="s">
        <v>1447</v>
      </c>
      <c r="N239" s="336" t="s">
        <v>34</v>
      </c>
      <c r="O239" s="338">
        <v>1</v>
      </c>
      <c r="P239" s="339">
        <v>372</v>
      </c>
      <c r="Q239" s="339">
        <v>372</v>
      </c>
      <c r="R239" s="182"/>
      <c r="U239" s="128"/>
    </row>
    <row r="240" spans="1:21" ht="15.6" x14ac:dyDescent="0.3">
      <c r="A240" s="53"/>
      <c r="B240" s="54"/>
      <c r="C240" s="54"/>
      <c r="D240" s="54"/>
      <c r="E240" s="55"/>
      <c r="F240" s="75"/>
      <c r="G240" s="76"/>
      <c r="H240" s="76"/>
      <c r="I240" s="48"/>
      <c r="J240" s="70"/>
      <c r="K240" s="70"/>
      <c r="L240" s="336" t="s">
        <v>484</v>
      </c>
      <c r="M240" s="337" t="s">
        <v>1061</v>
      </c>
      <c r="N240" s="336" t="s">
        <v>34</v>
      </c>
      <c r="O240" s="338">
        <v>1</v>
      </c>
      <c r="P240" s="339">
        <v>34.83</v>
      </c>
      <c r="Q240" s="339">
        <v>34.83</v>
      </c>
      <c r="R240" s="182"/>
      <c r="U240" s="128"/>
    </row>
    <row r="241" spans="1:21" ht="15.6" x14ac:dyDescent="0.3">
      <c r="A241" s="53"/>
      <c r="B241" s="54"/>
      <c r="C241" s="54"/>
      <c r="D241" s="54"/>
      <c r="E241" s="55"/>
      <c r="F241" s="75"/>
      <c r="G241" s="76"/>
      <c r="H241" s="76"/>
      <c r="I241" s="48"/>
      <c r="J241" s="70"/>
      <c r="K241" s="70"/>
      <c r="L241" s="336" t="s">
        <v>488</v>
      </c>
      <c r="M241" s="337" t="s">
        <v>1062</v>
      </c>
      <c r="N241" s="336" t="s">
        <v>34</v>
      </c>
      <c r="O241" s="338">
        <v>1</v>
      </c>
      <c r="P241" s="339">
        <v>851.18</v>
      </c>
      <c r="Q241" s="339">
        <v>851.18</v>
      </c>
      <c r="R241" s="182"/>
      <c r="U241" s="128"/>
    </row>
    <row r="242" spans="1:21" ht="15.6" x14ac:dyDescent="0.3">
      <c r="A242" s="53"/>
      <c r="B242" s="54"/>
      <c r="C242" s="54"/>
      <c r="D242" s="54"/>
      <c r="E242" s="55"/>
      <c r="F242" s="75"/>
      <c r="G242" s="76"/>
      <c r="H242" s="76"/>
      <c r="I242" s="48"/>
      <c r="J242" s="70"/>
      <c r="K242" s="70"/>
      <c r="L242" s="336" t="s">
        <v>490</v>
      </c>
      <c r="M242" s="337" t="s">
        <v>491</v>
      </c>
      <c r="N242" s="336" t="s">
        <v>34</v>
      </c>
      <c r="O242" s="338">
        <v>1</v>
      </c>
      <c r="P242" s="340">
        <v>3293.25</v>
      </c>
      <c r="Q242" s="340">
        <v>3293.25</v>
      </c>
      <c r="R242" s="182"/>
      <c r="U242" s="128"/>
    </row>
    <row r="243" spans="1:21" ht="15.6" x14ac:dyDescent="0.3">
      <c r="A243" s="53"/>
      <c r="B243" s="54"/>
      <c r="C243" s="54"/>
      <c r="D243" s="54"/>
      <c r="E243" s="55"/>
      <c r="F243" s="75"/>
      <c r="G243" s="76"/>
      <c r="H243" s="76"/>
      <c r="I243" s="48"/>
      <c r="J243" s="70"/>
      <c r="K243" s="70"/>
      <c r="L243" s="336" t="s">
        <v>862</v>
      </c>
      <c r="M243" s="337" t="s">
        <v>1045</v>
      </c>
      <c r="N243" s="336" t="s">
        <v>34</v>
      </c>
      <c r="O243" s="338">
        <v>1</v>
      </c>
      <c r="P243" s="340">
        <v>12583.34</v>
      </c>
      <c r="Q243" s="340">
        <v>12583.34</v>
      </c>
      <c r="R243" s="182"/>
      <c r="U243" s="128"/>
    </row>
    <row r="244" spans="1:21" ht="15.6" x14ac:dyDescent="0.3">
      <c r="A244" s="53"/>
      <c r="B244" s="54"/>
      <c r="C244" s="54"/>
      <c r="D244" s="54"/>
      <c r="E244" s="55"/>
      <c r="F244" s="75"/>
      <c r="G244" s="76"/>
      <c r="H244" s="76"/>
      <c r="I244" s="48"/>
      <c r="J244" s="70"/>
      <c r="K244" s="70"/>
      <c r="L244" s="336" t="s">
        <v>845</v>
      </c>
      <c r="M244" s="337" t="s">
        <v>846</v>
      </c>
      <c r="N244" s="336" t="s">
        <v>34</v>
      </c>
      <c r="O244" s="338">
        <v>1</v>
      </c>
      <c r="P244" s="339">
        <v>193.17</v>
      </c>
      <c r="Q244" s="339">
        <v>193.17</v>
      </c>
      <c r="R244" s="182"/>
      <c r="U244" s="128"/>
    </row>
    <row r="245" spans="1:21" ht="15.6" x14ac:dyDescent="0.3">
      <c r="A245" s="53"/>
      <c r="B245" s="54"/>
      <c r="C245" s="54"/>
      <c r="D245" s="54"/>
      <c r="E245" s="55"/>
      <c r="F245" s="75"/>
      <c r="G245" s="76"/>
      <c r="H245" s="76"/>
      <c r="I245" s="48"/>
      <c r="J245" s="70"/>
      <c r="K245" s="70"/>
      <c r="L245" s="336" t="s">
        <v>994</v>
      </c>
      <c r="M245" s="337" t="s">
        <v>1066</v>
      </c>
      <c r="N245" s="336" t="s">
        <v>34</v>
      </c>
      <c r="O245" s="338">
        <v>1</v>
      </c>
      <c r="P245" s="340">
        <v>7750</v>
      </c>
      <c r="Q245" s="340">
        <v>7750</v>
      </c>
      <c r="R245" s="182"/>
      <c r="U245" s="128"/>
    </row>
    <row r="246" spans="1:21" ht="15.6" x14ac:dyDescent="0.3">
      <c r="A246" s="53"/>
      <c r="B246" s="54"/>
      <c r="C246" s="54"/>
      <c r="D246" s="54"/>
      <c r="E246" s="55"/>
      <c r="F246" s="75"/>
      <c r="G246" s="76"/>
      <c r="H246" s="76"/>
      <c r="I246" s="48"/>
      <c r="J246" s="70"/>
      <c r="K246" s="70"/>
      <c r="L246" s="336" t="s">
        <v>995</v>
      </c>
      <c r="M246" s="337" t="s">
        <v>1067</v>
      </c>
      <c r="N246" s="336" t="s">
        <v>34</v>
      </c>
      <c r="O246" s="338">
        <v>1</v>
      </c>
      <c r="P246" s="340">
        <v>6036</v>
      </c>
      <c r="Q246" s="340">
        <v>6036</v>
      </c>
      <c r="R246" s="182"/>
      <c r="U246" s="128"/>
    </row>
    <row r="247" spans="1:21" ht="15.6" x14ac:dyDescent="0.3">
      <c r="A247" s="53"/>
      <c r="B247" s="54"/>
      <c r="C247" s="54"/>
      <c r="D247" s="54"/>
      <c r="E247" s="55"/>
      <c r="F247" s="75"/>
      <c r="G247" s="76"/>
      <c r="H247" s="76"/>
      <c r="I247" s="48"/>
      <c r="J247" s="70"/>
      <c r="K247" s="70"/>
      <c r="L247" s="336" t="s">
        <v>1172</v>
      </c>
      <c r="M247" s="337" t="s">
        <v>1257</v>
      </c>
      <c r="N247" s="336" t="s">
        <v>34</v>
      </c>
      <c r="O247" s="338">
        <v>1</v>
      </c>
      <c r="P247" s="339">
        <v>285</v>
      </c>
      <c r="Q247" s="339">
        <v>285</v>
      </c>
      <c r="R247" s="182"/>
      <c r="U247" s="128"/>
    </row>
    <row r="248" spans="1:21" ht="15.6" x14ac:dyDescent="0.3">
      <c r="A248" s="53"/>
      <c r="B248" s="54"/>
      <c r="C248" s="54"/>
      <c r="D248" s="54"/>
      <c r="E248" s="55"/>
      <c r="F248" s="75"/>
      <c r="G248" s="76"/>
      <c r="H248" s="76"/>
      <c r="I248" s="48"/>
      <c r="J248" s="70"/>
      <c r="K248" s="70"/>
      <c r="L248" s="336" t="s">
        <v>796</v>
      </c>
      <c r="M248" s="337" t="s">
        <v>797</v>
      </c>
      <c r="N248" s="336" t="s">
        <v>34</v>
      </c>
      <c r="O248" s="338">
        <v>1.0900000000000001</v>
      </c>
      <c r="P248" s="339">
        <v>338.33</v>
      </c>
      <c r="Q248" s="339">
        <v>368.78</v>
      </c>
      <c r="R248" s="182"/>
      <c r="U248" s="128"/>
    </row>
    <row r="249" spans="1:21" ht="15.6" x14ac:dyDescent="0.3">
      <c r="A249" s="53"/>
      <c r="B249" s="54"/>
      <c r="C249" s="54"/>
      <c r="D249" s="54"/>
      <c r="E249" s="55"/>
      <c r="F249" s="75"/>
      <c r="G249" s="76"/>
      <c r="H249" s="76"/>
      <c r="I249" s="48"/>
      <c r="J249" s="70"/>
      <c r="K249" s="70"/>
      <c r="L249" s="336" t="s">
        <v>1187</v>
      </c>
      <c r="M249" s="337" t="s">
        <v>1270</v>
      </c>
      <c r="N249" s="336" t="s">
        <v>45</v>
      </c>
      <c r="O249" s="338">
        <v>1.1819999999999999</v>
      </c>
      <c r="P249" s="339">
        <v>150.16999999999999</v>
      </c>
      <c r="Q249" s="339">
        <v>177.5</v>
      </c>
      <c r="R249" s="182"/>
      <c r="U249" s="128"/>
    </row>
    <row r="250" spans="1:21" ht="15.6" x14ac:dyDescent="0.3">
      <c r="A250" s="53"/>
      <c r="B250" s="54"/>
      <c r="C250" s="54"/>
      <c r="D250" s="54"/>
      <c r="E250" s="55"/>
      <c r="F250" s="75"/>
      <c r="G250" s="76"/>
      <c r="H250" s="76"/>
      <c r="I250" s="48"/>
      <c r="J250" s="70"/>
      <c r="K250" s="70"/>
      <c r="L250" s="336" t="s">
        <v>743</v>
      </c>
      <c r="M250" s="337" t="s">
        <v>744</v>
      </c>
      <c r="N250" s="336" t="s">
        <v>903</v>
      </c>
      <c r="O250" s="338">
        <v>1.2</v>
      </c>
      <c r="P250" s="340">
        <v>10651.39</v>
      </c>
      <c r="Q250" s="340">
        <v>12781.67</v>
      </c>
      <c r="R250" s="182"/>
      <c r="U250" s="128"/>
    </row>
    <row r="251" spans="1:21" ht="15.6" x14ac:dyDescent="0.3">
      <c r="A251" s="53"/>
      <c r="B251" s="54"/>
      <c r="C251" s="54"/>
      <c r="D251" s="54"/>
      <c r="E251" s="55"/>
      <c r="F251" s="75"/>
      <c r="G251" s="76"/>
      <c r="H251" s="76"/>
      <c r="I251" s="48"/>
      <c r="J251" s="70"/>
      <c r="K251" s="70"/>
      <c r="L251" s="336" t="s">
        <v>1115</v>
      </c>
      <c r="M251" s="337" t="s">
        <v>1201</v>
      </c>
      <c r="N251" s="336" t="s">
        <v>68</v>
      </c>
      <c r="O251" s="338">
        <v>1.2</v>
      </c>
      <c r="P251" s="339">
        <v>186.67</v>
      </c>
      <c r="Q251" s="339">
        <v>224</v>
      </c>
      <c r="R251" s="182"/>
      <c r="U251" s="128"/>
    </row>
    <row r="252" spans="1:21" ht="15.6" x14ac:dyDescent="0.3">
      <c r="A252" s="53"/>
      <c r="B252" s="54"/>
      <c r="C252" s="54"/>
      <c r="D252" s="54"/>
      <c r="E252" s="55"/>
      <c r="F252" s="75"/>
      <c r="G252" s="76"/>
      <c r="H252" s="76"/>
      <c r="I252" s="48"/>
      <c r="J252" s="70"/>
      <c r="K252" s="70"/>
      <c r="L252" s="336" t="s">
        <v>207</v>
      </c>
      <c r="M252" s="337" t="s">
        <v>858</v>
      </c>
      <c r="N252" s="336" t="s">
        <v>68</v>
      </c>
      <c r="O252" s="338">
        <v>1.4</v>
      </c>
      <c r="P252" s="339">
        <v>343.29</v>
      </c>
      <c r="Q252" s="339">
        <v>480.6</v>
      </c>
      <c r="R252" s="182"/>
      <c r="U252" s="128"/>
    </row>
    <row r="253" spans="1:21" ht="15.6" x14ac:dyDescent="0.3">
      <c r="A253" s="53"/>
      <c r="B253" s="54"/>
      <c r="C253" s="54"/>
      <c r="D253" s="54"/>
      <c r="E253" s="55"/>
      <c r="F253" s="75"/>
      <c r="G253" s="76"/>
      <c r="H253" s="76"/>
      <c r="I253" s="48"/>
      <c r="J253" s="70"/>
      <c r="K253" s="70"/>
      <c r="L253" s="336" t="s">
        <v>882</v>
      </c>
      <c r="M253" s="337" t="s">
        <v>883</v>
      </c>
      <c r="N253" s="336" t="s">
        <v>68</v>
      </c>
      <c r="O253" s="338">
        <v>1.75</v>
      </c>
      <c r="P253" s="339">
        <v>188.33</v>
      </c>
      <c r="Q253" s="339">
        <v>329.57</v>
      </c>
      <c r="R253" s="182"/>
      <c r="U253" s="128"/>
    </row>
    <row r="254" spans="1:21" ht="15.6" customHeight="1" x14ac:dyDescent="0.3">
      <c r="A254" s="53"/>
      <c r="B254" s="54"/>
      <c r="C254" s="54"/>
      <c r="D254" s="54"/>
      <c r="E254" s="55"/>
      <c r="F254" s="75"/>
      <c r="G254" s="76"/>
      <c r="H254" s="76"/>
      <c r="I254" s="48"/>
      <c r="J254" s="70"/>
      <c r="K254" s="70"/>
      <c r="L254" s="336" t="s">
        <v>936</v>
      </c>
      <c r="M254" s="337" t="s">
        <v>1035</v>
      </c>
      <c r="N254" s="336" t="s">
        <v>64</v>
      </c>
      <c r="O254" s="338">
        <v>2</v>
      </c>
      <c r="P254" s="339">
        <v>736.65</v>
      </c>
      <c r="Q254" s="340">
        <v>1473.3</v>
      </c>
      <c r="R254" s="182"/>
      <c r="U254" s="128"/>
    </row>
    <row r="255" spans="1:21" ht="30" x14ac:dyDescent="0.3">
      <c r="A255" s="53"/>
      <c r="B255" s="54"/>
      <c r="C255" s="54"/>
      <c r="D255" s="54"/>
      <c r="E255" s="55"/>
      <c r="F255" s="75"/>
      <c r="G255" s="76"/>
      <c r="H255" s="76"/>
      <c r="I255" s="48"/>
      <c r="J255" s="70"/>
      <c r="K255" s="70"/>
      <c r="L255" s="336" t="s">
        <v>273</v>
      </c>
      <c r="M255" s="337" t="s">
        <v>274</v>
      </c>
      <c r="N255" s="336" t="s">
        <v>34</v>
      </c>
      <c r="O255" s="338">
        <v>2</v>
      </c>
      <c r="P255" s="339">
        <v>55</v>
      </c>
      <c r="Q255" s="339">
        <v>109.99</v>
      </c>
      <c r="R255" s="182"/>
      <c r="U255" s="128"/>
    </row>
    <row r="256" spans="1:21" ht="15.6" x14ac:dyDescent="0.3">
      <c r="A256" s="53"/>
      <c r="B256" s="54"/>
      <c r="C256" s="54"/>
      <c r="D256" s="54"/>
      <c r="E256" s="55"/>
      <c r="F256" s="75"/>
      <c r="G256" s="76"/>
      <c r="H256" s="76"/>
      <c r="I256" s="48"/>
      <c r="J256" s="70"/>
      <c r="K256" s="70"/>
      <c r="L256" s="336" t="s">
        <v>1138</v>
      </c>
      <c r="M256" s="337" t="s">
        <v>1225</v>
      </c>
      <c r="N256" s="336" t="s">
        <v>34</v>
      </c>
      <c r="O256" s="338">
        <v>2</v>
      </c>
      <c r="P256" s="339">
        <v>99.92</v>
      </c>
      <c r="Q256" s="339">
        <v>199.84</v>
      </c>
      <c r="R256" s="182"/>
      <c r="U256" s="128"/>
    </row>
    <row r="257" spans="1:21" ht="15.6" x14ac:dyDescent="0.3">
      <c r="A257" s="53"/>
      <c r="B257" s="54"/>
      <c r="C257" s="54"/>
      <c r="D257" s="54"/>
      <c r="E257" s="55"/>
      <c r="F257" s="75"/>
      <c r="G257" s="76"/>
      <c r="H257" s="76"/>
      <c r="I257" s="48"/>
      <c r="J257" s="70"/>
      <c r="K257" s="70"/>
      <c r="L257" s="336" t="s">
        <v>1132</v>
      </c>
      <c r="M257" s="337" t="s">
        <v>1218</v>
      </c>
      <c r="N257" s="336" t="s">
        <v>34</v>
      </c>
      <c r="O257" s="338">
        <v>2</v>
      </c>
      <c r="P257" s="340">
        <v>2152.71</v>
      </c>
      <c r="Q257" s="340">
        <v>4305.42</v>
      </c>
      <c r="R257" s="182"/>
      <c r="U257" s="128"/>
    </row>
    <row r="258" spans="1:21" ht="15.6" x14ac:dyDescent="0.3">
      <c r="A258" s="53"/>
      <c r="B258" s="54"/>
      <c r="C258" s="54"/>
      <c r="D258" s="54"/>
      <c r="E258" s="55"/>
      <c r="F258" s="75"/>
      <c r="G258" s="76"/>
      <c r="H258" s="76"/>
      <c r="I258" s="48"/>
      <c r="J258" s="70"/>
      <c r="K258" s="70"/>
      <c r="L258" s="336" t="s">
        <v>764</v>
      </c>
      <c r="M258" s="337" t="s">
        <v>765</v>
      </c>
      <c r="N258" s="336" t="s">
        <v>34</v>
      </c>
      <c r="O258" s="338">
        <v>2</v>
      </c>
      <c r="P258" s="339">
        <v>499.71</v>
      </c>
      <c r="Q258" s="339">
        <v>999.42</v>
      </c>
      <c r="R258" s="182"/>
      <c r="U258" s="128"/>
    </row>
    <row r="259" spans="1:21" ht="15.6" x14ac:dyDescent="0.3">
      <c r="A259" s="53"/>
      <c r="B259" s="54"/>
      <c r="C259" s="54"/>
      <c r="D259" s="54"/>
      <c r="E259" s="55"/>
      <c r="F259" s="75"/>
      <c r="G259" s="76"/>
      <c r="H259" s="76"/>
      <c r="I259" s="48"/>
      <c r="J259" s="70"/>
      <c r="K259" s="70"/>
      <c r="L259" s="336" t="s">
        <v>1140</v>
      </c>
      <c r="M259" s="337" t="s">
        <v>1227</v>
      </c>
      <c r="N259" s="336" t="s">
        <v>34</v>
      </c>
      <c r="O259" s="338">
        <v>2</v>
      </c>
      <c r="P259" s="340">
        <v>1331</v>
      </c>
      <c r="Q259" s="340">
        <v>2662</v>
      </c>
      <c r="R259" s="182"/>
      <c r="U259" s="128"/>
    </row>
    <row r="260" spans="1:21" ht="15.6" x14ac:dyDescent="0.3">
      <c r="A260" s="53"/>
      <c r="B260" s="54"/>
      <c r="C260" s="54"/>
      <c r="D260" s="54"/>
      <c r="E260" s="55"/>
      <c r="F260" s="75"/>
      <c r="G260" s="76"/>
      <c r="H260" s="76"/>
      <c r="I260" s="48"/>
      <c r="J260" s="70"/>
      <c r="K260" s="70"/>
      <c r="L260" s="336" t="s">
        <v>966</v>
      </c>
      <c r="M260" s="337" t="s">
        <v>1053</v>
      </c>
      <c r="N260" s="336" t="s">
        <v>34</v>
      </c>
      <c r="O260" s="338">
        <v>2</v>
      </c>
      <c r="P260" s="339">
        <v>195.75</v>
      </c>
      <c r="Q260" s="339">
        <v>391.5</v>
      </c>
      <c r="R260" s="182"/>
      <c r="U260" s="128"/>
    </row>
    <row r="261" spans="1:21" ht="15.6" x14ac:dyDescent="0.3">
      <c r="A261" s="53"/>
      <c r="B261" s="54"/>
      <c r="C261" s="54"/>
      <c r="D261" s="54"/>
      <c r="E261" s="55"/>
      <c r="F261" s="75"/>
      <c r="G261" s="76"/>
      <c r="H261" s="76"/>
      <c r="I261" s="48"/>
      <c r="J261" s="70"/>
      <c r="K261" s="70"/>
      <c r="L261" s="336" t="s">
        <v>363</v>
      </c>
      <c r="M261" s="337" t="s">
        <v>364</v>
      </c>
      <c r="N261" s="336" t="s">
        <v>34</v>
      </c>
      <c r="O261" s="338">
        <v>2</v>
      </c>
      <c r="P261" s="339">
        <v>108.4</v>
      </c>
      <c r="Q261" s="339">
        <v>216.8</v>
      </c>
      <c r="R261" s="182"/>
      <c r="U261" s="128"/>
    </row>
    <row r="262" spans="1:21" ht="30" x14ac:dyDescent="0.3">
      <c r="A262" s="53"/>
      <c r="B262" s="54"/>
      <c r="C262" s="54"/>
      <c r="D262" s="54"/>
      <c r="E262" s="55"/>
      <c r="F262" s="75"/>
      <c r="G262" s="76"/>
      <c r="H262" s="76"/>
      <c r="I262" s="48"/>
      <c r="J262" s="70"/>
      <c r="K262" s="70"/>
      <c r="L262" s="336" t="s">
        <v>1146</v>
      </c>
      <c r="M262" s="337" t="s">
        <v>1233</v>
      </c>
      <c r="N262" s="336" t="s">
        <v>34</v>
      </c>
      <c r="O262" s="338">
        <v>2</v>
      </c>
      <c r="P262" s="339">
        <v>44.8</v>
      </c>
      <c r="Q262" s="339">
        <v>89.6</v>
      </c>
      <c r="R262" s="182"/>
      <c r="U262" s="128"/>
    </row>
    <row r="263" spans="1:21" ht="15.6" x14ac:dyDescent="0.3">
      <c r="A263" s="53"/>
      <c r="B263" s="54"/>
      <c r="C263" s="54"/>
      <c r="D263" s="54"/>
      <c r="E263" s="55"/>
      <c r="F263" s="75"/>
      <c r="G263" s="76"/>
      <c r="H263" s="76"/>
      <c r="I263" s="48"/>
      <c r="J263" s="70"/>
      <c r="K263" s="70"/>
      <c r="L263" s="336" t="s">
        <v>1417</v>
      </c>
      <c r="M263" s="337" t="s">
        <v>1440</v>
      </c>
      <c r="N263" s="336" t="s">
        <v>34</v>
      </c>
      <c r="O263" s="338">
        <v>2</v>
      </c>
      <c r="P263" s="339">
        <v>14.83</v>
      </c>
      <c r="Q263" s="339">
        <v>29.66</v>
      </c>
      <c r="R263" s="182"/>
      <c r="U263" s="128"/>
    </row>
    <row r="264" spans="1:21" ht="15.6" x14ac:dyDescent="0.3">
      <c r="A264" s="53"/>
      <c r="B264" s="54"/>
      <c r="C264" s="54"/>
      <c r="D264" s="54"/>
      <c r="E264" s="55"/>
      <c r="F264" s="75"/>
      <c r="G264" s="76"/>
      <c r="H264" s="76"/>
      <c r="I264" s="48"/>
      <c r="J264" s="70"/>
      <c r="K264" s="70"/>
      <c r="L264" s="336" t="s">
        <v>866</v>
      </c>
      <c r="M264" s="337" t="s">
        <v>919</v>
      </c>
      <c r="N264" s="336" t="s">
        <v>34</v>
      </c>
      <c r="O264" s="338">
        <v>2</v>
      </c>
      <c r="P264" s="340">
        <v>2690</v>
      </c>
      <c r="Q264" s="340">
        <v>5380</v>
      </c>
      <c r="R264" s="182"/>
      <c r="U264" s="128"/>
    </row>
    <row r="265" spans="1:21" ht="15.6" x14ac:dyDescent="0.3">
      <c r="A265" s="53"/>
      <c r="B265" s="54"/>
      <c r="C265" s="54"/>
      <c r="D265" s="54"/>
      <c r="E265" s="55"/>
      <c r="F265" s="75"/>
      <c r="G265" s="76"/>
      <c r="H265" s="76"/>
      <c r="I265" s="48"/>
      <c r="J265" s="70"/>
      <c r="K265" s="70"/>
      <c r="L265" s="336" t="s">
        <v>1018</v>
      </c>
      <c r="M265" s="337" t="s">
        <v>1075</v>
      </c>
      <c r="N265" s="336" t="s">
        <v>34</v>
      </c>
      <c r="O265" s="338">
        <v>2</v>
      </c>
      <c r="P265" s="340">
        <v>1290.8</v>
      </c>
      <c r="Q265" s="340">
        <v>2581.6</v>
      </c>
      <c r="R265" s="182"/>
      <c r="U265" s="128"/>
    </row>
    <row r="266" spans="1:21" ht="15.6" x14ac:dyDescent="0.3">
      <c r="A266" s="53"/>
      <c r="B266" s="54"/>
      <c r="C266" s="54"/>
      <c r="D266" s="54"/>
      <c r="E266" s="55"/>
      <c r="F266" s="75"/>
      <c r="G266" s="76"/>
      <c r="H266" s="76"/>
      <c r="I266" s="48"/>
      <c r="J266" s="70"/>
      <c r="K266" s="70"/>
      <c r="L266" s="336" t="s">
        <v>403</v>
      </c>
      <c r="M266" s="337" t="s">
        <v>1073</v>
      </c>
      <c r="N266" s="336" t="s">
        <v>34</v>
      </c>
      <c r="O266" s="338">
        <v>2</v>
      </c>
      <c r="P266" s="339">
        <v>36.9</v>
      </c>
      <c r="Q266" s="339">
        <v>73.8</v>
      </c>
      <c r="R266" s="182"/>
      <c r="U266" s="128"/>
    </row>
    <row r="267" spans="1:21" ht="15.6" x14ac:dyDescent="0.3">
      <c r="A267" s="53"/>
      <c r="B267" s="54"/>
      <c r="C267" s="54"/>
      <c r="D267" s="54"/>
      <c r="E267" s="55"/>
      <c r="F267" s="75"/>
      <c r="G267" s="76"/>
      <c r="H267" s="76"/>
      <c r="I267" s="48"/>
      <c r="J267" s="70"/>
      <c r="K267" s="70"/>
      <c r="L267" s="336" t="s">
        <v>1114</v>
      </c>
      <c r="M267" s="337" t="s">
        <v>1200</v>
      </c>
      <c r="N267" s="336" t="s">
        <v>68</v>
      </c>
      <c r="O267" s="338">
        <v>2</v>
      </c>
      <c r="P267" s="339">
        <v>36</v>
      </c>
      <c r="Q267" s="339">
        <v>72</v>
      </c>
      <c r="R267" s="182"/>
      <c r="U267" s="128"/>
    </row>
    <row r="268" spans="1:21" ht="15.6" x14ac:dyDescent="0.3">
      <c r="A268" s="53"/>
      <c r="B268" s="54"/>
      <c r="C268" s="54"/>
      <c r="D268" s="54"/>
      <c r="E268" s="55"/>
      <c r="F268" s="75"/>
      <c r="G268" s="76"/>
      <c r="H268" s="76"/>
      <c r="I268" s="48"/>
      <c r="J268" s="70"/>
      <c r="K268" s="70"/>
      <c r="L268" s="336" t="s">
        <v>455</v>
      </c>
      <c r="M268" s="337" t="s">
        <v>456</v>
      </c>
      <c r="N268" s="336" t="s">
        <v>34</v>
      </c>
      <c r="O268" s="338">
        <v>2</v>
      </c>
      <c r="P268" s="339">
        <v>275.73</v>
      </c>
      <c r="Q268" s="339">
        <v>551.46</v>
      </c>
      <c r="R268" s="182"/>
      <c r="U268" s="128"/>
    </row>
    <row r="269" spans="1:21" ht="15.6" x14ac:dyDescent="0.3">
      <c r="A269" s="53"/>
      <c r="B269" s="54"/>
      <c r="C269" s="54"/>
      <c r="D269" s="54"/>
      <c r="E269" s="55"/>
      <c r="F269" s="75"/>
      <c r="G269" s="76"/>
      <c r="H269" s="76"/>
      <c r="I269" s="48"/>
      <c r="J269" s="70"/>
      <c r="K269" s="70"/>
      <c r="L269" s="336" t="s">
        <v>219</v>
      </c>
      <c r="M269" s="337" t="s">
        <v>220</v>
      </c>
      <c r="N269" s="336" t="s">
        <v>34</v>
      </c>
      <c r="O269" s="338">
        <v>2</v>
      </c>
      <c r="P269" s="339">
        <v>112.79</v>
      </c>
      <c r="Q269" s="339">
        <v>225.58</v>
      </c>
      <c r="R269" s="182"/>
      <c r="U269" s="128"/>
    </row>
    <row r="270" spans="1:21" ht="15.6" x14ac:dyDescent="0.3">
      <c r="A270" s="53"/>
      <c r="B270" s="54"/>
      <c r="C270" s="54"/>
      <c r="D270" s="54"/>
      <c r="E270" s="55"/>
      <c r="F270" s="75"/>
      <c r="G270" s="76"/>
      <c r="H270" s="76"/>
      <c r="I270" s="48"/>
      <c r="J270" s="70"/>
      <c r="K270" s="70"/>
      <c r="L270" s="336" t="s">
        <v>832</v>
      </c>
      <c r="M270" s="337" t="s">
        <v>833</v>
      </c>
      <c r="N270" s="336" t="s">
        <v>34</v>
      </c>
      <c r="O270" s="338">
        <v>2</v>
      </c>
      <c r="P270" s="339">
        <v>57</v>
      </c>
      <c r="Q270" s="339">
        <v>114</v>
      </c>
      <c r="R270" s="182"/>
      <c r="U270" s="128"/>
    </row>
    <row r="271" spans="1:21" ht="15.6" x14ac:dyDescent="0.3">
      <c r="A271" s="53"/>
      <c r="B271" s="54"/>
      <c r="C271" s="54"/>
      <c r="D271" s="54"/>
      <c r="E271" s="55"/>
      <c r="F271" s="75"/>
      <c r="G271" s="76"/>
      <c r="H271" s="76"/>
      <c r="I271" s="48"/>
      <c r="J271" s="70"/>
      <c r="K271" s="70"/>
      <c r="L271" s="336" t="s">
        <v>1169</v>
      </c>
      <c r="M271" s="337" t="s">
        <v>1254</v>
      </c>
      <c r="N271" s="336" t="s">
        <v>34</v>
      </c>
      <c r="O271" s="338">
        <v>2</v>
      </c>
      <c r="P271" s="339">
        <v>110</v>
      </c>
      <c r="Q271" s="339">
        <v>220</v>
      </c>
      <c r="R271" s="182"/>
      <c r="U271" s="128"/>
    </row>
    <row r="272" spans="1:21" ht="15.6" x14ac:dyDescent="0.3">
      <c r="A272" s="53"/>
      <c r="B272" s="54"/>
      <c r="C272" s="54"/>
      <c r="D272" s="54"/>
      <c r="E272" s="55"/>
      <c r="F272" s="75"/>
      <c r="G272" s="76"/>
      <c r="H272" s="76"/>
      <c r="I272" s="48"/>
      <c r="J272" s="70"/>
      <c r="K272" s="70"/>
      <c r="L272" s="336" t="s">
        <v>1104</v>
      </c>
      <c r="M272" s="337" t="s">
        <v>1190</v>
      </c>
      <c r="N272" s="336" t="s">
        <v>37</v>
      </c>
      <c r="O272" s="338">
        <v>2.7</v>
      </c>
      <c r="P272" s="339">
        <v>266.25</v>
      </c>
      <c r="Q272" s="339">
        <v>718.87</v>
      </c>
      <c r="R272" s="182"/>
      <c r="U272" s="128"/>
    </row>
    <row r="273" spans="1:21" ht="15.6" x14ac:dyDescent="0.3">
      <c r="A273" s="53"/>
      <c r="B273" s="54"/>
      <c r="C273" s="54"/>
      <c r="D273" s="54"/>
      <c r="E273" s="55"/>
      <c r="F273" s="75"/>
      <c r="G273" s="76"/>
      <c r="H273" s="76"/>
      <c r="I273" s="48"/>
      <c r="J273" s="70"/>
      <c r="K273" s="70"/>
      <c r="L273" s="336" t="s">
        <v>768</v>
      </c>
      <c r="M273" s="337" t="s">
        <v>769</v>
      </c>
      <c r="N273" s="336" t="s">
        <v>34</v>
      </c>
      <c r="O273" s="338">
        <v>3</v>
      </c>
      <c r="P273" s="339">
        <v>10</v>
      </c>
      <c r="Q273" s="339">
        <v>30</v>
      </c>
      <c r="R273" s="182"/>
      <c r="U273" s="128"/>
    </row>
    <row r="274" spans="1:21" ht="15.6" x14ac:dyDescent="0.3">
      <c r="A274" s="53"/>
      <c r="B274" s="54"/>
      <c r="C274" s="54"/>
      <c r="D274" s="54"/>
      <c r="E274" s="55"/>
      <c r="F274" s="75"/>
      <c r="G274" s="76"/>
      <c r="H274" s="76"/>
      <c r="I274" s="48"/>
      <c r="J274" s="70"/>
      <c r="K274" s="70"/>
      <c r="L274" s="336" t="s">
        <v>905</v>
      </c>
      <c r="M274" s="337" t="s">
        <v>906</v>
      </c>
      <c r="N274" s="336" t="s">
        <v>34</v>
      </c>
      <c r="O274" s="338">
        <v>3</v>
      </c>
      <c r="P274" s="339">
        <v>10</v>
      </c>
      <c r="Q274" s="339">
        <v>30</v>
      </c>
      <c r="R274" s="182"/>
      <c r="U274" s="128"/>
    </row>
    <row r="275" spans="1:21" ht="15.6" x14ac:dyDescent="0.3">
      <c r="A275" s="53"/>
      <c r="B275" s="54"/>
      <c r="C275" s="54"/>
      <c r="D275" s="54"/>
      <c r="E275" s="55"/>
      <c r="F275" s="75"/>
      <c r="G275" s="76"/>
      <c r="H275" s="76"/>
      <c r="I275" s="48"/>
      <c r="J275" s="70"/>
      <c r="K275" s="70"/>
      <c r="L275" s="336" t="s">
        <v>907</v>
      </c>
      <c r="M275" s="337" t="s">
        <v>908</v>
      </c>
      <c r="N275" s="336" t="s">
        <v>34</v>
      </c>
      <c r="O275" s="338">
        <v>3</v>
      </c>
      <c r="P275" s="339">
        <v>10</v>
      </c>
      <c r="Q275" s="339">
        <v>30</v>
      </c>
      <c r="R275" s="182"/>
      <c r="U275" s="128"/>
    </row>
    <row r="276" spans="1:21" ht="15.6" x14ac:dyDescent="0.3">
      <c r="A276" s="53"/>
      <c r="B276" s="54"/>
      <c r="C276" s="54"/>
      <c r="D276" s="54"/>
      <c r="E276" s="55"/>
      <c r="F276" s="75"/>
      <c r="G276" s="76"/>
      <c r="H276" s="76"/>
      <c r="I276" s="48"/>
      <c r="J276" s="70"/>
      <c r="K276" s="70"/>
      <c r="L276" s="336" t="s">
        <v>778</v>
      </c>
      <c r="M276" s="337" t="s">
        <v>779</v>
      </c>
      <c r="N276" s="336" t="s">
        <v>37</v>
      </c>
      <c r="O276" s="338">
        <v>3</v>
      </c>
      <c r="P276" s="339">
        <v>74.900000000000006</v>
      </c>
      <c r="Q276" s="339">
        <v>224.7</v>
      </c>
      <c r="R276" s="182"/>
      <c r="U276" s="128"/>
    </row>
    <row r="277" spans="1:21" ht="15.6" x14ac:dyDescent="0.3">
      <c r="A277" s="53"/>
      <c r="B277" s="54"/>
      <c r="C277" s="54"/>
      <c r="D277" s="54"/>
      <c r="E277" s="55"/>
      <c r="F277" s="75"/>
      <c r="G277" s="76"/>
      <c r="H277" s="76"/>
      <c r="I277" s="48"/>
      <c r="J277" s="70"/>
      <c r="K277" s="70"/>
      <c r="L277" s="336" t="s">
        <v>785</v>
      </c>
      <c r="M277" s="337" t="s">
        <v>786</v>
      </c>
      <c r="N277" s="336" t="s">
        <v>34</v>
      </c>
      <c r="O277" s="338">
        <v>3</v>
      </c>
      <c r="P277" s="339">
        <v>164.75</v>
      </c>
      <c r="Q277" s="339">
        <v>494.25</v>
      </c>
      <c r="R277" s="182"/>
      <c r="U277" s="128"/>
    </row>
    <row r="278" spans="1:21" ht="15.6" x14ac:dyDescent="0.3">
      <c r="A278" s="53"/>
      <c r="B278" s="54"/>
      <c r="C278" s="54"/>
      <c r="D278" s="54"/>
      <c r="E278" s="55"/>
      <c r="F278" s="75"/>
      <c r="G278" s="76"/>
      <c r="H278" s="76"/>
      <c r="I278" s="48"/>
      <c r="J278" s="70"/>
      <c r="K278" s="70"/>
      <c r="L278" s="336" t="s">
        <v>53</v>
      </c>
      <c r="M278" s="337" t="s">
        <v>85</v>
      </c>
      <c r="N278" s="336" t="s">
        <v>34</v>
      </c>
      <c r="O278" s="338">
        <v>3</v>
      </c>
      <c r="P278" s="339">
        <v>47</v>
      </c>
      <c r="Q278" s="339">
        <v>141</v>
      </c>
      <c r="R278" s="182"/>
      <c r="U278" s="128"/>
    </row>
    <row r="279" spans="1:21" ht="15.6" x14ac:dyDescent="0.3">
      <c r="A279" s="53"/>
      <c r="B279" s="54"/>
      <c r="C279" s="54"/>
      <c r="D279" s="54"/>
      <c r="E279" s="55"/>
      <c r="F279" s="75"/>
      <c r="G279" s="76"/>
      <c r="H279" s="76"/>
      <c r="I279" s="48"/>
      <c r="J279" s="70"/>
      <c r="K279" s="70"/>
      <c r="L279" s="336" t="s">
        <v>887</v>
      </c>
      <c r="M279" s="337" t="s">
        <v>888</v>
      </c>
      <c r="N279" s="336" t="s">
        <v>34</v>
      </c>
      <c r="O279" s="338">
        <v>3</v>
      </c>
      <c r="P279" s="339">
        <v>44.6</v>
      </c>
      <c r="Q279" s="339">
        <v>133.80000000000001</v>
      </c>
      <c r="R279" s="182"/>
      <c r="U279" s="128"/>
    </row>
    <row r="280" spans="1:21" ht="15.6" x14ac:dyDescent="0.3">
      <c r="A280" s="53"/>
      <c r="B280" s="54"/>
      <c r="C280" s="54"/>
      <c r="D280" s="54"/>
      <c r="E280" s="55"/>
      <c r="F280" s="75"/>
      <c r="G280" s="76"/>
      <c r="H280" s="76"/>
      <c r="I280" s="48"/>
      <c r="J280" s="70"/>
      <c r="K280" s="70"/>
      <c r="L280" s="336" t="s">
        <v>891</v>
      </c>
      <c r="M280" s="337" t="s">
        <v>892</v>
      </c>
      <c r="N280" s="336" t="s">
        <v>34</v>
      </c>
      <c r="O280" s="338">
        <v>3</v>
      </c>
      <c r="P280" s="339">
        <v>762</v>
      </c>
      <c r="Q280" s="340">
        <v>2286</v>
      </c>
      <c r="R280" s="182"/>
      <c r="U280" s="128"/>
    </row>
    <row r="281" spans="1:21" ht="15.6" x14ac:dyDescent="0.3">
      <c r="A281" s="53"/>
      <c r="B281" s="54"/>
      <c r="C281" s="54"/>
      <c r="D281" s="54"/>
      <c r="E281" s="55"/>
      <c r="F281" s="75"/>
      <c r="G281" s="76"/>
      <c r="H281" s="76"/>
      <c r="I281" s="48"/>
      <c r="J281" s="70"/>
      <c r="K281" s="70"/>
      <c r="L281" s="336" t="s">
        <v>391</v>
      </c>
      <c r="M281" s="337" t="s">
        <v>392</v>
      </c>
      <c r="N281" s="336" t="s">
        <v>68</v>
      </c>
      <c r="O281" s="338">
        <v>3</v>
      </c>
      <c r="P281" s="340">
        <v>4810.59</v>
      </c>
      <c r="Q281" s="340">
        <v>14431.77</v>
      </c>
      <c r="R281" s="182"/>
      <c r="U281" s="128"/>
    </row>
    <row r="282" spans="1:21" ht="15.6" x14ac:dyDescent="0.3">
      <c r="A282" s="53"/>
      <c r="B282" s="54"/>
      <c r="C282" s="54"/>
      <c r="D282" s="54"/>
      <c r="E282" s="55"/>
      <c r="F282" s="75"/>
      <c r="G282" s="76"/>
      <c r="H282" s="76"/>
      <c r="I282" s="48"/>
      <c r="J282" s="70"/>
      <c r="K282" s="70"/>
      <c r="L282" s="336" t="s">
        <v>1155</v>
      </c>
      <c r="M282" s="337" t="s">
        <v>1242</v>
      </c>
      <c r="N282" s="336" t="s">
        <v>34</v>
      </c>
      <c r="O282" s="338">
        <v>3</v>
      </c>
      <c r="P282" s="339">
        <v>21.5</v>
      </c>
      <c r="Q282" s="339">
        <v>64.5</v>
      </c>
      <c r="R282" s="182"/>
      <c r="U282" s="128"/>
    </row>
    <row r="283" spans="1:21" ht="15.6" x14ac:dyDescent="0.3">
      <c r="A283" s="53"/>
      <c r="B283" s="54"/>
      <c r="C283" s="54"/>
      <c r="D283" s="54"/>
      <c r="E283" s="55"/>
      <c r="F283" s="75"/>
      <c r="G283" s="76"/>
      <c r="H283" s="76"/>
      <c r="I283" s="48"/>
      <c r="J283" s="70"/>
      <c r="K283" s="70"/>
      <c r="L283" s="336" t="s">
        <v>1108</v>
      </c>
      <c r="M283" s="337" t="s">
        <v>1194</v>
      </c>
      <c r="N283" s="336" t="s">
        <v>903</v>
      </c>
      <c r="O283" s="338">
        <v>3</v>
      </c>
      <c r="P283" s="340">
        <v>1283.5</v>
      </c>
      <c r="Q283" s="340">
        <v>3850.5</v>
      </c>
      <c r="R283" s="182"/>
      <c r="U283" s="128"/>
    </row>
    <row r="284" spans="1:21" ht="15.6" x14ac:dyDescent="0.3">
      <c r="A284" s="53"/>
      <c r="B284" s="54"/>
      <c r="C284" s="54"/>
      <c r="D284" s="54"/>
      <c r="E284" s="55"/>
      <c r="F284" s="75"/>
      <c r="G284" s="76"/>
      <c r="H284" s="76"/>
      <c r="I284" s="48"/>
      <c r="J284" s="70"/>
      <c r="K284" s="70"/>
      <c r="L284" s="336" t="s">
        <v>440</v>
      </c>
      <c r="M284" s="337" t="s">
        <v>441</v>
      </c>
      <c r="N284" s="336" t="s">
        <v>442</v>
      </c>
      <c r="O284" s="338">
        <v>3</v>
      </c>
      <c r="P284" s="339">
        <v>75.22</v>
      </c>
      <c r="Q284" s="339">
        <v>225.66</v>
      </c>
      <c r="R284" s="182"/>
      <c r="U284" s="128"/>
    </row>
    <row r="285" spans="1:21" ht="15.6" x14ac:dyDescent="0.3">
      <c r="A285" s="53"/>
      <c r="B285" s="54"/>
      <c r="C285" s="54"/>
      <c r="D285" s="54"/>
      <c r="E285" s="55"/>
      <c r="F285" s="75"/>
      <c r="G285" s="76"/>
      <c r="H285" s="76"/>
      <c r="I285" s="48"/>
      <c r="J285" s="70"/>
      <c r="K285" s="70"/>
      <c r="L285" s="336" t="s">
        <v>886</v>
      </c>
      <c r="M285" s="337" t="s">
        <v>1072</v>
      </c>
      <c r="N285" s="336" t="s">
        <v>34</v>
      </c>
      <c r="O285" s="338">
        <v>3</v>
      </c>
      <c r="P285" s="339">
        <v>350.19</v>
      </c>
      <c r="Q285" s="340">
        <v>1050.57</v>
      </c>
      <c r="R285" s="182"/>
      <c r="U285" s="128"/>
    </row>
    <row r="286" spans="1:21" ht="15.6" x14ac:dyDescent="0.3">
      <c r="A286" s="53"/>
      <c r="B286" s="54"/>
      <c r="C286" s="54"/>
      <c r="D286" s="54"/>
      <c r="E286" s="55"/>
      <c r="F286" s="75"/>
      <c r="G286" s="76"/>
      <c r="H286" s="76"/>
      <c r="I286" s="48"/>
      <c r="J286" s="70"/>
      <c r="K286" s="70"/>
      <c r="L286" s="336" t="s">
        <v>1105</v>
      </c>
      <c r="M286" s="337" t="s">
        <v>1191</v>
      </c>
      <c r="N286" s="336" t="s">
        <v>37</v>
      </c>
      <c r="O286" s="338">
        <v>3</v>
      </c>
      <c r="P286" s="339">
        <v>9.58</v>
      </c>
      <c r="Q286" s="339">
        <v>28.74</v>
      </c>
      <c r="R286" s="182"/>
      <c r="U286" s="128"/>
    </row>
    <row r="287" spans="1:21" ht="15.6" x14ac:dyDescent="0.3">
      <c r="A287" s="53"/>
      <c r="B287" s="54"/>
      <c r="C287" s="54"/>
      <c r="D287" s="54"/>
      <c r="E287" s="55"/>
      <c r="F287" s="75"/>
      <c r="G287" s="76"/>
      <c r="H287" s="76"/>
      <c r="I287" s="48"/>
      <c r="J287" s="70"/>
      <c r="K287" s="70"/>
      <c r="L287" s="336" t="s">
        <v>948</v>
      </c>
      <c r="M287" s="337" t="s">
        <v>1044</v>
      </c>
      <c r="N287" s="336" t="s">
        <v>34</v>
      </c>
      <c r="O287" s="338">
        <v>3</v>
      </c>
      <c r="P287" s="339">
        <v>44</v>
      </c>
      <c r="Q287" s="339">
        <v>132</v>
      </c>
      <c r="R287" s="182"/>
      <c r="U287" s="128"/>
    </row>
    <row r="288" spans="1:21" ht="15.6" x14ac:dyDescent="0.3">
      <c r="A288" s="53"/>
      <c r="B288" s="54"/>
      <c r="C288" s="54"/>
      <c r="D288" s="54"/>
      <c r="E288" s="55"/>
      <c r="F288" s="75"/>
      <c r="G288" s="76"/>
      <c r="H288" s="76"/>
      <c r="I288" s="48"/>
      <c r="J288" s="70"/>
      <c r="K288" s="70"/>
      <c r="L288" s="336" t="s">
        <v>271</v>
      </c>
      <c r="M288" s="337" t="s">
        <v>1059</v>
      </c>
      <c r="N288" s="336" t="s">
        <v>34</v>
      </c>
      <c r="O288" s="338">
        <v>4</v>
      </c>
      <c r="P288" s="339">
        <v>52.89</v>
      </c>
      <c r="Q288" s="339">
        <v>211.54</v>
      </c>
      <c r="R288" s="182"/>
      <c r="U288" s="128"/>
    </row>
    <row r="289" spans="1:21" ht="15.6" x14ac:dyDescent="0.3">
      <c r="A289" s="53"/>
      <c r="B289" s="54"/>
      <c r="C289" s="54"/>
      <c r="D289" s="54"/>
      <c r="E289" s="55"/>
      <c r="F289" s="75"/>
      <c r="G289" s="76"/>
      <c r="H289" s="76"/>
      <c r="I289" s="48"/>
      <c r="J289" s="70"/>
      <c r="K289" s="70"/>
      <c r="L289" s="336" t="s">
        <v>1162</v>
      </c>
      <c r="M289" s="337" t="s">
        <v>1247</v>
      </c>
      <c r="N289" s="336" t="s">
        <v>34</v>
      </c>
      <c r="O289" s="338">
        <v>4</v>
      </c>
      <c r="P289" s="339">
        <v>466.46</v>
      </c>
      <c r="Q289" s="340">
        <v>1865.84</v>
      </c>
      <c r="R289" s="182"/>
      <c r="U289" s="128"/>
    </row>
    <row r="290" spans="1:21" ht="15.6" x14ac:dyDescent="0.3">
      <c r="A290" s="53"/>
      <c r="B290" s="54"/>
      <c r="C290" s="54"/>
      <c r="D290" s="54"/>
      <c r="E290" s="55"/>
      <c r="F290" s="75"/>
      <c r="G290" s="76"/>
      <c r="H290" s="76"/>
      <c r="I290" s="48"/>
      <c r="J290" s="70"/>
      <c r="K290" s="70"/>
      <c r="L290" s="336" t="s">
        <v>188</v>
      </c>
      <c r="M290" s="337" t="s">
        <v>189</v>
      </c>
      <c r="N290" s="336" t="s">
        <v>34</v>
      </c>
      <c r="O290" s="338">
        <v>4</v>
      </c>
      <c r="P290" s="339">
        <v>55.1</v>
      </c>
      <c r="Q290" s="339">
        <v>220.4</v>
      </c>
      <c r="R290" s="182"/>
      <c r="U290" s="128"/>
    </row>
    <row r="291" spans="1:21" ht="15.6" x14ac:dyDescent="0.3">
      <c r="A291" s="53"/>
      <c r="B291" s="54"/>
      <c r="C291" s="54"/>
      <c r="D291" s="54"/>
      <c r="E291" s="55"/>
      <c r="F291" s="75"/>
      <c r="G291" s="76"/>
      <c r="H291" s="76"/>
      <c r="I291" s="48"/>
      <c r="J291" s="70"/>
      <c r="K291" s="70"/>
      <c r="L291" s="336" t="s">
        <v>946</v>
      </c>
      <c r="M291" s="337" t="s">
        <v>1042</v>
      </c>
      <c r="N291" s="336" t="s">
        <v>34</v>
      </c>
      <c r="O291" s="338">
        <v>4</v>
      </c>
      <c r="P291" s="339">
        <v>127.1</v>
      </c>
      <c r="Q291" s="339">
        <v>508.4</v>
      </c>
      <c r="R291" s="182"/>
      <c r="U291" s="128"/>
    </row>
    <row r="292" spans="1:21" ht="15.6" x14ac:dyDescent="0.3">
      <c r="A292" s="53"/>
      <c r="B292" s="54"/>
      <c r="C292" s="54"/>
      <c r="D292" s="54"/>
      <c r="E292" s="55"/>
      <c r="F292" s="75"/>
      <c r="G292" s="76"/>
      <c r="H292" s="76"/>
      <c r="I292" s="48"/>
      <c r="J292" s="70"/>
      <c r="K292" s="70"/>
      <c r="L292" s="336" t="s">
        <v>432</v>
      </c>
      <c r="M292" s="337" t="s">
        <v>433</v>
      </c>
      <c r="N292" s="336" t="s">
        <v>34</v>
      </c>
      <c r="O292" s="338">
        <v>4</v>
      </c>
      <c r="P292" s="339">
        <v>27.6</v>
      </c>
      <c r="Q292" s="339">
        <v>110.4</v>
      </c>
      <c r="R292" s="182"/>
      <c r="U292" s="128"/>
    </row>
    <row r="293" spans="1:21" ht="15.6" x14ac:dyDescent="0.3">
      <c r="A293" s="53"/>
      <c r="B293" s="54"/>
      <c r="C293" s="54"/>
      <c r="D293" s="54"/>
      <c r="E293" s="55"/>
      <c r="F293" s="75"/>
      <c r="G293" s="76"/>
      <c r="H293" s="76"/>
      <c r="I293" s="48"/>
      <c r="J293" s="70"/>
      <c r="K293" s="70"/>
      <c r="L293" s="336" t="s">
        <v>437</v>
      </c>
      <c r="M293" s="337" t="s">
        <v>438</v>
      </c>
      <c r="N293" s="336" t="s">
        <v>34</v>
      </c>
      <c r="O293" s="338">
        <v>4</v>
      </c>
      <c r="P293" s="339">
        <v>166.32</v>
      </c>
      <c r="Q293" s="339">
        <v>665.28</v>
      </c>
      <c r="R293" s="182"/>
      <c r="U293" s="128"/>
    </row>
    <row r="294" spans="1:21" ht="15.6" x14ac:dyDescent="0.3">
      <c r="A294" s="53"/>
      <c r="B294" s="54"/>
      <c r="C294" s="54"/>
      <c r="D294" s="54"/>
      <c r="E294" s="55"/>
      <c r="F294" s="75"/>
      <c r="G294" s="76"/>
      <c r="H294" s="76"/>
      <c r="I294" s="48"/>
      <c r="J294" s="70"/>
      <c r="K294" s="70"/>
      <c r="L294" s="336" t="s">
        <v>864</v>
      </c>
      <c r="M294" s="337" t="s">
        <v>929</v>
      </c>
      <c r="N294" s="336" t="s">
        <v>34</v>
      </c>
      <c r="O294" s="338">
        <v>4</v>
      </c>
      <c r="P294" s="340">
        <v>2430</v>
      </c>
      <c r="Q294" s="340">
        <v>9720</v>
      </c>
      <c r="R294" s="182"/>
      <c r="U294" s="128"/>
    </row>
    <row r="295" spans="1:21" ht="15.6" x14ac:dyDescent="0.3">
      <c r="A295" s="53"/>
      <c r="B295" s="54"/>
      <c r="C295" s="54"/>
      <c r="D295" s="54"/>
      <c r="E295" s="55"/>
      <c r="F295" s="75"/>
      <c r="G295" s="76"/>
      <c r="H295" s="76"/>
      <c r="I295" s="48"/>
      <c r="J295" s="70"/>
      <c r="K295" s="70"/>
      <c r="L295" s="336" t="s">
        <v>1117</v>
      </c>
      <c r="M295" s="337" t="s">
        <v>1203</v>
      </c>
      <c r="N295" s="336" t="s">
        <v>68</v>
      </c>
      <c r="O295" s="338">
        <v>4.72</v>
      </c>
      <c r="P295" s="339">
        <v>188.33</v>
      </c>
      <c r="Q295" s="339">
        <v>888.92</v>
      </c>
      <c r="R295" s="182"/>
      <c r="U295" s="128"/>
    </row>
    <row r="296" spans="1:21" ht="15.6" x14ac:dyDescent="0.3">
      <c r="A296" s="53"/>
      <c r="B296" s="54"/>
      <c r="C296" s="54"/>
      <c r="D296" s="54"/>
      <c r="E296" s="55"/>
      <c r="F296" s="75"/>
      <c r="G296" s="76"/>
      <c r="H296" s="76"/>
      <c r="I296" s="48"/>
      <c r="J296" s="70"/>
      <c r="K296" s="70"/>
      <c r="L296" s="336" t="s">
        <v>1185</v>
      </c>
      <c r="M296" s="337" t="s">
        <v>1268</v>
      </c>
      <c r="N296" s="336" t="s">
        <v>45</v>
      </c>
      <c r="O296" s="338">
        <v>5</v>
      </c>
      <c r="P296" s="339">
        <v>226</v>
      </c>
      <c r="Q296" s="340">
        <v>1130</v>
      </c>
      <c r="R296" s="182"/>
      <c r="U296" s="128"/>
    </row>
    <row r="297" spans="1:21" ht="15.6" customHeight="1" x14ac:dyDescent="0.3">
      <c r="A297" s="53"/>
      <c r="B297" s="54"/>
      <c r="C297" s="54"/>
      <c r="D297" s="54"/>
      <c r="E297" s="55"/>
      <c r="F297" s="75"/>
      <c r="G297" s="76"/>
      <c r="H297" s="76"/>
      <c r="I297" s="48"/>
      <c r="J297" s="70"/>
      <c r="K297" s="70"/>
      <c r="L297" s="336" t="s">
        <v>298</v>
      </c>
      <c r="M297" s="337" t="s">
        <v>299</v>
      </c>
      <c r="N297" s="336" t="s">
        <v>34</v>
      </c>
      <c r="O297" s="338">
        <v>5</v>
      </c>
      <c r="P297" s="339">
        <v>220.31</v>
      </c>
      <c r="Q297" s="340">
        <v>1101.56</v>
      </c>
      <c r="R297" s="182"/>
      <c r="U297" s="128"/>
    </row>
    <row r="298" spans="1:21" ht="15.6" x14ac:dyDescent="0.3">
      <c r="A298" s="53"/>
      <c r="B298" s="54"/>
      <c r="C298" s="54"/>
      <c r="D298" s="54"/>
      <c r="E298" s="55"/>
      <c r="F298" s="75"/>
      <c r="G298" s="76"/>
      <c r="H298" s="76"/>
      <c r="I298" s="48"/>
      <c r="J298" s="70"/>
      <c r="K298" s="70"/>
      <c r="L298" s="336" t="s">
        <v>354</v>
      </c>
      <c r="M298" s="337" t="s">
        <v>355</v>
      </c>
      <c r="N298" s="336" t="s">
        <v>34</v>
      </c>
      <c r="O298" s="338">
        <v>5</v>
      </c>
      <c r="P298" s="339">
        <v>10.55</v>
      </c>
      <c r="Q298" s="339">
        <v>52.74</v>
      </c>
      <c r="R298" s="182"/>
      <c r="U298" s="128"/>
    </row>
    <row r="299" spans="1:21" ht="15.6" x14ac:dyDescent="0.3">
      <c r="A299" s="53"/>
      <c r="B299" s="54"/>
      <c r="C299" s="54"/>
      <c r="D299" s="54"/>
      <c r="E299" s="55"/>
      <c r="F299" s="75"/>
      <c r="G299" s="76"/>
      <c r="H299" s="76"/>
      <c r="I299" s="48"/>
      <c r="J299" s="70"/>
      <c r="K299" s="70"/>
      <c r="L299" s="336" t="s">
        <v>373</v>
      </c>
      <c r="M299" s="337" t="s">
        <v>374</v>
      </c>
      <c r="N299" s="336" t="s">
        <v>34</v>
      </c>
      <c r="O299" s="338">
        <v>5</v>
      </c>
      <c r="P299" s="339">
        <v>14.45</v>
      </c>
      <c r="Q299" s="339">
        <v>72.23</v>
      </c>
      <c r="R299" s="182"/>
      <c r="U299" s="128"/>
    </row>
    <row r="300" spans="1:21" ht="15.6" x14ac:dyDescent="0.3">
      <c r="A300" s="53"/>
      <c r="B300" s="54"/>
      <c r="C300" s="54"/>
      <c r="D300" s="54"/>
      <c r="E300" s="55"/>
      <c r="F300" s="75"/>
      <c r="G300" s="76"/>
      <c r="H300" s="76"/>
      <c r="I300" s="48"/>
      <c r="J300" s="70"/>
      <c r="K300" s="70"/>
      <c r="L300" s="336" t="s">
        <v>791</v>
      </c>
      <c r="M300" s="337" t="s">
        <v>792</v>
      </c>
      <c r="N300" s="336" t="s">
        <v>34</v>
      </c>
      <c r="O300" s="338">
        <v>5</v>
      </c>
      <c r="P300" s="339">
        <v>12</v>
      </c>
      <c r="Q300" s="339">
        <v>60</v>
      </c>
      <c r="R300" s="182"/>
      <c r="U300" s="128"/>
    </row>
    <row r="301" spans="1:21" ht="15.6" x14ac:dyDescent="0.3">
      <c r="A301" s="53"/>
      <c r="B301" s="54"/>
      <c r="C301" s="54"/>
      <c r="D301" s="54"/>
      <c r="E301" s="55"/>
      <c r="F301" s="75"/>
      <c r="G301" s="76"/>
      <c r="H301" s="76"/>
      <c r="I301" s="48"/>
      <c r="J301" s="70"/>
      <c r="K301" s="70"/>
      <c r="L301" s="336" t="s">
        <v>823</v>
      </c>
      <c r="M301" s="337" t="s">
        <v>824</v>
      </c>
      <c r="N301" s="336" t="s">
        <v>34</v>
      </c>
      <c r="O301" s="338">
        <v>5</v>
      </c>
      <c r="P301" s="339">
        <v>251.57</v>
      </c>
      <c r="Q301" s="340">
        <v>1257.8499999999999</v>
      </c>
      <c r="R301" s="182"/>
      <c r="U301" s="128"/>
    </row>
    <row r="302" spans="1:21" ht="15.6" x14ac:dyDescent="0.3">
      <c r="A302" s="53"/>
      <c r="B302" s="54"/>
      <c r="C302" s="54"/>
      <c r="D302" s="54"/>
      <c r="E302" s="55"/>
      <c r="F302" s="75"/>
      <c r="G302" s="76"/>
      <c r="H302" s="76"/>
      <c r="I302" s="48"/>
      <c r="J302" s="70"/>
      <c r="K302" s="70"/>
      <c r="L302" s="336" t="s">
        <v>947</v>
      </c>
      <c r="M302" s="337" t="s">
        <v>1043</v>
      </c>
      <c r="N302" s="336" t="s">
        <v>34</v>
      </c>
      <c r="O302" s="338">
        <v>5</v>
      </c>
      <c r="P302" s="339">
        <v>506.11</v>
      </c>
      <c r="Q302" s="340">
        <v>2530.5500000000002</v>
      </c>
      <c r="R302" s="182"/>
      <c r="U302" s="128"/>
    </row>
    <row r="303" spans="1:21" ht="15.6" x14ac:dyDescent="0.3">
      <c r="A303" s="53"/>
      <c r="B303" s="54"/>
      <c r="C303" s="54"/>
      <c r="D303" s="54"/>
      <c r="E303" s="55"/>
      <c r="F303" s="75"/>
      <c r="G303" s="76"/>
      <c r="H303" s="76"/>
      <c r="I303" s="48"/>
      <c r="J303" s="70"/>
      <c r="K303" s="70"/>
      <c r="L303" s="336" t="s">
        <v>771</v>
      </c>
      <c r="M303" s="337" t="s">
        <v>772</v>
      </c>
      <c r="N303" s="336" t="s">
        <v>34</v>
      </c>
      <c r="O303" s="338">
        <v>6</v>
      </c>
      <c r="P303" s="339">
        <v>216.47</v>
      </c>
      <c r="Q303" s="340">
        <v>1298.8</v>
      </c>
      <c r="R303" s="182"/>
      <c r="U303" s="128"/>
    </row>
    <row r="304" spans="1:21" ht="15.6" x14ac:dyDescent="0.3">
      <c r="A304" s="53"/>
      <c r="B304" s="54"/>
      <c r="C304" s="54"/>
      <c r="D304" s="54"/>
      <c r="E304" s="55"/>
      <c r="F304" s="75"/>
      <c r="G304" s="76"/>
      <c r="H304" s="76"/>
      <c r="I304" s="48"/>
      <c r="J304" s="70"/>
      <c r="K304" s="70"/>
      <c r="L304" s="336" t="s">
        <v>49</v>
      </c>
      <c r="M304" s="337" t="s">
        <v>74</v>
      </c>
      <c r="N304" s="336" t="s">
        <v>34</v>
      </c>
      <c r="O304" s="338">
        <v>6.7</v>
      </c>
      <c r="P304" s="339">
        <v>133.41</v>
      </c>
      <c r="Q304" s="339">
        <v>893.87</v>
      </c>
      <c r="R304" s="182"/>
      <c r="U304" s="128"/>
    </row>
    <row r="305" spans="1:21" ht="15.6" x14ac:dyDescent="0.3">
      <c r="A305" s="53"/>
      <c r="B305" s="54"/>
      <c r="C305" s="54"/>
      <c r="D305" s="54"/>
      <c r="E305" s="55"/>
      <c r="F305" s="75"/>
      <c r="G305" s="76"/>
      <c r="H305" s="76"/>
      <c r="I305" s="48"/>
      <c r="J305" s="70"/>
      <c r="K305" s="70"/>
      <c r="L305" s="336" t="s">
        <v>304</v>
      </c>
      <c r="M305" s="337" t="s">
        <v>305</v>
      </c>
      <c r="N305" s="336" t="s">
        <v>34</v>
      </c>
      <c r="O305" s="338">
        <v>7</v>
      </c>
      <c r="P305" s="339">
        <v>63.7</v>
      </c>
      <c r="Q305" s="339">
        <v>445.9</v>
      </c>
      <c r="R305" s="182"/>
      <c r="U305" s="128"/>
    </row>
    <row r="306" spans="1:21" ht="15.6" x14ac:dyDescent="0.3">
      <c r="A306" s="53"/>
      <c r="B306" s="54"/>
      <c r="C306" s="54"/>
      <c r="D306" s="54"/>
      <c r="E306" s="55"/>
      <c r="F306" s="75"/>
      <c r="G306" s="76"/>
      <c r="H306" s="76"/>
      <c r="I306" s="48"/>
      <c r="J306" s="70"/>
      <c r="K306" s="70"/>
      <c r="L306" s="336" t="s">
        <v>352</v>
      </c>
      <c r="M306" s="337" t="s">
        <v>353</v>
      </c>
      <c r="N306" s="336" t="s">
        <v>34</v>
      </c>
      <c r="O306" s="338">
        <v>7</v>
      </c>
      <c r="P306" s="339">
        <v>7.5</v>
      </c>
      <c r="Q306" s="339">
        <v>52.48</v>
      </c>
      <c r="R306" s="182"/>
      <c r="U306" s="128"/>
    </row>
    <row r="307" spans="1:21" ht="15.6" customHeight="1" x14ac:dyDescent="0.3">
      <c r="A307" s="53"/>
      <c r="B307" s="54"/>
      <c r="C307" s="54"/>
      <c r="D307" s="54"/>
      <c r="E307" s="55"/>
      <c r="F307" s="75"/>
      <c r="G307" s="76"/>
      <c r="H307" s="76"/>
      <c r="I307" s="48"/>
      <c r="J307" s="70"/>
      <c r="K307" s="70"/>
      <c r="L307" s="336" t="s">
        <v>58</v>
      </c>
      <c r="M307" s="337" t="s">
        <v>67</v>
      </c>
      <c r="N307" s="336" t="s">
        <v>34</v>
      </c>
      <c r="O307" s="338">
        <v>9</v>
      </c>
      <c r="P307" s="339">
        <v>53.8</v>
      </c>
      <c r="Q307" s="339">
        <v>484.16</v>
      </c>
      <c r="R307" s="182"/>
      <c r="U307" s="128"/>
    </row>
    <row r="308" spans="1:21" ht="15.6" x14ac:dyDescent="0.3">
      <c r="A308" s="53"/>
      <c r="B308" s="54"/>
      <c r="C308" s="54"/>
      <c r="D308" s="54"/>
      <c r="E308" s="55"/>
      <c r="F308" s="75"/>
      <c r="G308" s="76"/>
      <c r="H308" s="76"/>
      <c r="I308" s="48"/>
      <c r="J308" s="70"/>
      <c r="K308" s="70"/>
      <c r="L308" s="336" t="s">
        <v>850</v>
      </c>
      <c r="M308" s="337" t="s">
        <v>851</v>
      </c>
      <c r="N308" s="336" t="s">
        <v>34</v>
      </c>
      <c r="O308" s="338">
        <v>10</v>
      </c>
      <c r="P308" s="339">
        <v>3.62</v>
      </c>
      <c r="Q308" s="339">
        <v>36.200000000000003</v>
      </c>
      <c r="R308" s="182"/>
      <c r="U308" s="128"/>
    </row>
    <row r="309" spans="1:21" ht="15.6" x14ac:dyDescent="0.3">
      <c r="A309" s="53"/>
      <c r="B309" s="54"/>
      <c r="C309" s="54"/>
      <c r="D309" s="54"/>
      <c r="E309" s="55"/>
      <c r="F309" s="75"/>
      <c r="G309" s="76"/>
      <c r="H309" s="76"/>
      <c r="I309" s="48"/>
      <c r="J309" s="70"/>
      <c r="K309" s="70"/>
      <c r="L309" s="336" t="s">
        <v>1186</v>
      </c>
      <c r="M309" s="337" t="s">
        <v>1269</v>
      </c>
      <c r="N309" s="336" t="s">
        <v>45</v>
      </c>
      <c r="O309" s="338">
        <v>11</v>
      </c>
      <c r="P309" s="339">
        <v>486.48</v>
      </c>
      <c r="Q309" s="340">
        <v>5351.28</v>
      </c>
      <c r="R309" s="182"/>
      <c r="U309" s="128"/>
    </row>
    <row r="310" spans="1:21" ht="15.6" x14ac:dyDescent="0.3">
      <c r="A310" s="53"/>
      <c r="B310" s="54"/>
      <c r="C310" s="54"/>
      <c r="D310" s="54"/>
      <c r="E310" s="55"/>
      <c r="F310" s="75"/>
      <c r="G310" s="76"/>
      <c r="H310" s="76"/>
      <c r="I310" s="48"/>
      <c r="J310" s="70"/>
      <c r="K310" s="70"/>
      <c r="L310" s="336" t="s">
        <v>1170</v>
      </c>
      <c r="M310" s="337" t="s">
        <v>1255</v>
      </c>
      <c r="N310" s="336" t="s">
        <v>34</v>
      </c>
      <c r="O310" s="338">
        <v>11</v>
      </c>
      <c r="P310" s="339">
        <v>1.74</v>
      </c>
      <c r="Q310" s="339">
        <v>19.14</v>
      </c>
      <c r="R310" s="182"/>
      <c r="U310" s="128"/>
    </row>
    <row r="311" spans="1:21" ht="15.6" x14ac:dyDescent="0.3">
      <c r="A311" s="53"/>
      <c r="B311" s="54"/>
      <c r="C311" s="54"/>
      <c r="D311" s="54"/>
      <c r="E311" s="55"/>
      <c r="F311" s="75"/>
      <c r="G311" s="76"/>
      <c r="H311" s="76"/>
      <c r="I311" s="48"/>
      <c r="J311" s="70"/>
      <c r="K311" s="70"/>
      <c r="L311" s="336" t="s">
        <v>411</v>
      </c>
      <c r="M311" s="337" t="s">
        <v>412</v>
      </c>
      <c r="N311" s="336" t="s">
        <v>34</v>
      </c>
      <c r="O311" s="338">
        <v>12.6</v>
      </c>
      <c r="P311" s="339">
        <v>58.83</v>
      </c>
      <c r="Q311" s="339">
        <v>741.22</v>
      </c>
      <c r="R311" s="182"/>
      <c r="U311" s="128"/>
    </row>
    <row r="312" spans="1:21" ht="15.6" x14ac:dyDescent="0.3">
      <c r="A312" s="53"/>
      <c r="B312" s="54"/>
      <c r="C312" s="54"/>
      <c r="D312" s="54"/>
      <c r="E312" s="55"/>
      <c r="F312" s="75"/>
      <c r="G312" s="76"/>
      <c r="H312" s="76"/>
      <c r="I312" s="48"/>
      <c r="J312" s="70"/>
      <c r="K312" s="70"/>
      <c r="L312" s="336" t="s">
        <v>789</v>
      </c>
      <c r="M312" s="337" t="s">
        <v>790</v>
      </c>
      <c r="N312" s="336" t="s">
        <v>34</v>
      </c>
      <c r="O312" s="338">
        <v>16</v>
      </c>
      <c r="P312" s="339">
        <v>10</v>
      </c>
      <c r="Q312" s="339">
        <v>160</v>
      </c>
      <c r="R312" s="182"/>
      <c r="U312" s="128"/>
    </row>
    <row r="313" spans="1:21" ht="15.6" x14ac:dyDescent="0.3">
      <c r="A313" s="53"/>
      <c r="B313" s="54"/>
      <c r="C313" s="54"/>
      <c r="D313" s="54"/>
      <c r="E313" s="55"/>
      <c r="F313" s="75"/>
      <c r="G313" s="76"/>
      <c r="H313" s="76"/>
      <c r="I313" s="48"/>
      <c r="J313" s="70"/>
      <c r="K313" s="70"/>
      <c r="L313" s="336" t="s">
        <v>881</v>
      </c>
      <c r="M313" s="337" t="s">
        <v>1054</v>
      </c>
      <c r="N313" s="336" t="s">
        <v>34</v>
      </c>
      <c r="O313" s="338">
        <v>17</v>
      </c>
      <c r="P313" s="339">
        <v>370.03</v>
      </c>
      <c r="Q313" s="340">
        <v>6290.51</v>
      </c>
      <c r="R313" s="182"/>
      <c r="U313" s="128"/>
    </row>
    <row r="314" spans="1:21" ht="15.6" x14ac:dyDescent="0.3">
      <c r="A314" s="53"/>
      <c r="B314" s="54"/>
      <c r="C314" s="54"/>
      <c r="D314" s="54"/>
      <c r="E314" s="55"/>
      <c r="F314" s="75"/>
      <c r="G314" s="76"/>
      <c r="H314" s="76"/>
      <c r="I314" s="48"/>
      <c r="J314" s="70"/>
      <c r="K314" s="70"/>
      <c r="L314" s="336" t="s">
        <v>746</v>
      </c>
      <c r="M314" s="337" t="s">
        <v>895</v>
      </c>
      <c r="N314" s="336" t="s">
        <v>45</v>
      </c>
      <c r="O314" s="338">
        <v>18</v>
      </c>
      <c r="P314" s="339">
        <v>320</v>
      </c>
      <c r="Q314" s="340">
        <v>5760</v>
      </c>
      <c r="R314" s="182"/>
      <c r="U314" s="128"/>
    </row>
    <row r="315" spans="1:21" ht="15.6" x14ac:dyDescent="0.3">
      <c r="A315" s="53"/>
      <c r="B315" s="54"/>
      <c r="C315" s="54"/>
      <c r="D315" s="54"/>
      <c r="E315" s="55"/>
      <c r="F315" s="75"/>
      <c r="G315" s="76"/>
      <c r="H315" s="76"/>
      <c r="I315" s="48"/>
      <c r="J315" s="70"/>
      <c r="K315" s="70"/>
      <c r="L315" s="336" t="s">
        <v>1118</v>
      </c>
      <c r="M315" s="337" t="s">
        <v>1204</v>
      </c>
      <c r="N315" s="336" t="s">
        <v>68</v>
      </c>
      <c r="O315" s="338">
        <v>18</v>
      </c>
      <c r="P315" s="339">
        <v>27</v>
      </c>
      <c r="Q315" s="339">
        <v>486</v>
      </c>
      <c r="R315" s="182"/>
      <c r="U315" s="128"/>
    </row>
    <row r="316" spans="1:21" ht="15.6" x14ac:dyDescent="0.3">
      <c r="A316" s="53"/>
      <c r="B316" s="54"/>
      <c r="C316" s="54"/>
      <c r="D316" s="54"/>
      <c r="E316" s="55"/>
      <c r="F316" s="75"/>
      <c r="G316" s="76"/>
      <c r="H316" s="76"/>
      <c r="I316" s="48"/>
      <c r="J316" s="70"/>
      <c r="K316" s="70"/>
      <c r="L316" s="336" t="s">
        <v>761</v>
      </c>
      <c r="M316" s="337" t="s">
        <v>762</v>
      </c>
      <c r="N316" s="336" t="s">
        <v>34</v>
      </c>
      <c r="O316" s="338">
        <v>19</v>
      </c>
      <c r="P316" s="339">
        <v>77.209999999999994</v>
      </c>
      <c r="Q316" s="340">
        <v>1466.99</v>
      </c>
      <c r="R316" s="182"/>
      <c r="U316" s="128"/>
    </row>
    <row r="317" spans="1:21" ht="15.6" x14ac:dyDescent="0.3">
      <c r="A317" s="53"/>
      <c r="B317" s="54"/>
      <c r="C317" s="54"/>
      <c r="D317" s="54"/>
      <c r="E317" s="55"/>
      <c r="F317" s="75"/>
      <c r="G317" s="76"/>
      <c r="H317" s="76"/>
      <c r="I317" s="48"/>
      <c r="J317" s="70"/>
      <c r="K317" s="70"/>
      <c r="L317" s="336" t="s">
        <v>935</v>
      </c>
      <c r="M317" s="337" t="s">
        <v>1034</v>
      </c>
      <c r="N317" s="336" t="s">
        <v>64</v>
      </c>
      <c r="O317" s="338">
        <v>23</v>
      </c>
      <c r="P317" s="339">
        <v>736.65</v>
      </c>
      <c r="Q317" s="340">
        <v>16942.95</v>
      </c>
      <c r="R317" s="182"/>
      <c r="U317" s="128"/>
    </row>
    <row r="318" spans="1:21" ht="15.6" x14ac:dyDescent="0.3">
      <c r="A318" s="53"/>
      <c r="B318" s="54"/>
      <c r="C318" s="54"/>
      <c r="D318" s="54"/>
      <c r="E318" s="55"/>
      <c r="F318" s="75"/>
      <c r="G318" s="76"/>
      <c r="H318" s="76"/>
      <c r="I318" s="48"/>
      <c r="J318" s="70"/>
      <c r="K318" s="70"/>
      <c r="L318" s="336" t="s">
        <v>1184</v>
      </c>
      <c r="M318" s="337" t="s">
        <v>1267</v>
      </c>
      <c r="N318" s="336" t="s">
        <v>57</v>
      </c>
      <c r="O318" s="338">
        <v>23</v>
      </c>
      <c r="P318" s="339">
        <v>26.35</v>
      </c>
      <c r="Q318" s="339">
        <v>606.04999999999995</v>
      </c>
      <c r="R318" s="182"/>
      <c r="U318" s="128"/>
    </row>
    <row r="319" spans="1:21" ht="15.6" x14ac:dyDescent="0.3">
      <c r="A319" s="53"/>
      <c r="B319" s="54"/>
      <c r="C319" s="54"/>
      <c r="D319" s="54"/>
      <c r="E319" s="55"/>
      <c r="F319" s="75"/>
      <c r="G319" s="76"/>
      <c r="H319" s="76"/>
      <c r="I319" s="48"/>
      <c r="J319" s="70"/>
      <c r="K319" s="70"/>
      <c r="L319" s="336" t="s">
        <v>1103</v>
      </c>
      <c r="M319" s="337" t="s">
        <v>1189</v>
      </c>
      <c r="N319" s="336" t="s">
        <v>37</v>
      </c>
      <c r="O319" s="338">
        <v>27</v>
      </c>
      <c r="P319" s="339">
        <v>28.61</v>
      </c>
      <c r="Q319" s="339">
        <v>772.47</v>
      </c>
      <c r="R319" s="182"/>
      <c r="U319" s="128"/>
    </row>
    <row r="320" spans="1:21" ht="15.6" x14ac:dyDescent="0.3">
      <c r="A320" s="53"/>
      <c r="B320" s="54"/>
      <c r="C320" s="54"/>
      <c r="D320" s="54"/>
      <c r="E320" s="55"/>
      <c r="F320" s="75"/>
      <c r="G320" s="76"/>
      <c r="H320" s="76"/>
      <c r="I320" s="48"/>
      <c r="J320" s="70"/>
      <c r="K320" s="70"/>
      <c r="L320" s="336" t="s">
        <v>350</v>
      </c>
      <c r="M320" s="337" t="s">
        <v>351</v>
      </c>
      <c r="N320" s="336" t="s">
        <v>34</v>
      </c>
      <c r="O320" s="338">
        <v>29</v>
      </c>
      <c r="P320" s="339">
        <v>5.45</v>
      </c>
      <c r="Q320" s="339">
        <v>157.96</v>
      </c>
      <c r="R320" s="182"/>
      <c r="U320" s="128"/>
    </row>
    <row r="321" spans="1:21" ht="15.6" x14ac:dyDescent="0.3">
      <c r="A321" s="53"/>
      <c r="B321" s="54"/>
      <c r="C321" s="54"/>
      <c r="D321" s="54"/>
      <c r="E321" s="55"/>
      <c r="F321" s="75"/>
      <c r="G321" s="76"/>
      <c r="H321" s="76"/>
      <c r="I321" s="48"/>
      <c r="J321" s="70"/>
      <c r="K321" s="70"/>
      <c r="L321" s="336" t="s">
        <v>793</v>
      </c>
      <c r="M321" s="337" t="s">
        <v>1052</v>
      </c>
      <c r="N321" s="336" t="s">
        <v>34</v>
      </c>
      <c r="O321" s="338">
        <v>40</v>
      </c>
      <c r="P321" s="339">
        <v>6.44</v>
      </c>
      <c r="Q321" s="339">
        <v>257.60000000000002</v>
      </c>
      <c r="R321" s="182"/>
      <c r="U321" s="128"/>
    </row>
    <row r="322" spans="1:21" ht="15.6" x14ac:dyDescent="0.3">
      <c r="A322" s="53"/>
      <c r="B322" s="54"/>
      <c r="C322" s="54"/>
      <c r="D322" s="54"/>
      <c r="E322" s="55"/>
      <c r="F322" s="75"/>
      <c r="G322" s="76"/>
      <c r="H322" s="76"/>
      <c r="I322" s="48"/>
      <c r="J322" s="70"/>
      <c r="K322" s="70"/>
      <c r="L322" s="336" t="s">
        <v>945</v>
      </c>
      <c r="M322" s="337" t="s">
        <v>1032</v>
      </c>
      <c r="N322" s="336" t="s">
        <v>68</v>
      </c>
      <c r="O322" s="338">
        <v>41</v>
      </c>
      <c r="P322" s="339">
        <v>302.5</v>
      </c>
      <c r="Q322" s="340">
        <v>12402.5</v>
      </c>
      <c r="R322" s="182"/>
      <c r="U322" s="128"/>
    </row>
    <row r="323" spans="1:21" ht="15.6" x14ac:dyDescent="0.3">
      <c r="A323" s="53"/>
      <c r="B323" s="54"/>
      <c r="C323" s="54"/>
      <c r="D323" s="54"/>
      <c r="E323" s="55"/>
      <c r="F323" s="75"/>
      <c r="G323" s="76"/>
      <c r="H323" s="76"/>
      <c r="I323" s="48"/>
      <c r="J323" s="70"/>
      <c r="K323" s="70"/>
      <c r="L323" s="336" t="s">
        <v>371</v>
      </c>
      <c r="M323" s="337" t="s">
        <v>372</v>
      </c>
      <c r="N323" s="336" t="s">
        <v>34</v>
      </c>
      <c r="O323" s="338">
        <v>41</v>
      </c>
      <c r="P323" s="339">
        <v>14.88</v>
      </c>
      <c r="Q323" s="339">
        <v>610.08000000000004</v>
      </c>
      <c r="R323" s="182"/>
      <c r="U323" s="128"/>
    </row>
    <row r="324" spans="1:21" ht="30" x14ac:dyDescent="0.3">
      <c r="A324" s="53"/>
      <c r="B324" s="54"/>
      <c r="C324" s="54"/>
      <c r="D324" s="54"/>
      <c r="E324" s="55"/>
      <c r="F324" s="75"/>
      <c r="G324" s="76"/>
      <c r="H324" s="76"/>
      <c r="I324" s="48"/>
      <c r="J324" s="70"/>
      <c r="K324" s="70"/>
      <c r="L324" s="336" t="s">
        <v>1174</v>
      </c>
      <c r="M324" s="337" t="s">
        <v>1258</v>
      </c>
      <c r="N324" s="336" t="s">
        <v>34</v>
      </c>
      <c r="O324" s="338">
        <v>45</v>
      </c>
      <c r="P324" s="339">
        <v>0.66</v>
      </c>
      <c r="Q324" s="339">
        <v>29.63</v>
      </c>
      <c r="R324" s="182"/>
      <c r="U324" s="128"/>
    </row>
    <row r="325" spans="1:21" ht="30" x14ac:dyDescent="0.3">
      <c r="A325" s="53"/>
      <c r="B325" s="54"/>
      <c r="C325" s="54"/>
      <c r="D325" s="54"/>
      <c r="E325" s="55"/>
      <c r="F325" s="75"/>
      <c r="G325" s="76"/>
      <c r="H325" s="76"/>
      <c r="I325" s="48"/>
      <c r="J325" s="70"/>
      <c r="K325" s="70"/>
      <c r="L325" s="336" t="s">
        <v>238</v>
      </c>
      <c r="M325" s="337" t="s">
        <v>239</v>
      </c>
      <c r="N325" s="336" t="s">
        <v>57</v>
      </c>
      <c r="O325" s="338">
        <v>50</v>
      </c>
      <c r="P325" s="339">
        <v>7.92</v>
      </c>
      <c r="Q325" s="339">
        <v>396</v>
      </c>
      <c r="R325" s="182"/>
      <c r="U325" s="128"/>
    </row>
    <row r="326" spans="1:21" ht="15.6" x14ac:dyDescent="0.3">
      <c r="A326" s="53"/>
      <c r="B326" s="54"/>
      <c r="C326" s="54"/>
      <c r="D326" s="54"/>
      <c r="E326" s="55"/>
      <c r="F326" s="75"/>
      <c r="G326" s="76"/>
      <c r="H326" s="76"/>
      <c r="I326" s="48"/>
      <c r="J326" s="70"/>
      <c r="K326" s="70"/>
      <c r="L326" s="336" t="s">
        <v>1183</v>
      </c>
      <c r="M326" s="337" t="s">
        <v>1266</v>
      </c>
      <c r="N326" s="336" t="s">
        <v>57</v>
      </c>
      <c r="O326" s="338">
        <v>67</v>
      </c>
      <c r="P326" s="339">
        <v>20.38</v>
      </c>
      <c r="Q326" s="340">
        <v>1365.46</v>
      </c>
      <c r="R326" s="182"/>
      <c r="U326" s="128"/>
    </row>
    <row r="327" spans="1:21" ht="15.6" x14ac:dyDescent="0.3">
      <c r="A327" s="53"/>
      <c r="B327" s="54"/>
      <c r="C327" s="54"/>
      <c r="D327" s="54"/>
      <c r="E327" s="55"/>
      <c r="F327" s="75"/>
      <c r="G327" s="76"/>
      <c r="H327" s="76"/>
      <c r="I327" s="48"/>
      <c r="J327" s="70"/>
      <c r="K327" s="70"/>
      <c r="L327" s="336" t="s">
        <v>747</v>
      </c>
      <c r="M327" s="337" t="s">
        <v>748</v>
      </c>
      <c r="N327" s="336" t="s">
        <v>68</v>
      </c>
      <c r="O327" s="338">
        <v>70</v>
      </c>
      <c r="P327" s="339">
        <v>320</v>
      </c>
      <c r="Q327" s="340">
        <v>22400</v>
      </c>
      <c r="R327" s="182"/>
      <c r="U327" s="128"/>
    </row>
    <row r="328" spans="1:21" ht="15.6" x14ac:dyDescent="0.3">
      <c r="A328" s="53"/>
      <c r="B328" s="54"/>
      <c r="C328" s="54"/>
      <c r="D328" s="54"/>
      <c r="E328" s="55"/>
      <c r="F328" s="75"/>
      <c r="G328" s="76"/>
      <c r="H328" s="76"/>
      <c r="I328" s="48"/>
      <c r="J328" s="70"/>
      <c r="K328" s="70"/>
      <c r="L328" s="336" t="s">
        <v>822</v>
      </c>
      <c r="M328" s="337" t="s">
        <v>213</v>
      </c>
      <c r="N328" s="336" t="s">
        <v>57</v>
      </c>
      <c r="O328" s="338">
        <v>70</v>
      </c>
      <c r="P328" s="339">
        <v>36.24</v>
      </c>
      <c r="Q328" s="340">
        <v>2536.8000000000002</v>
      </c>
      <c r="R328" s="182"/>
      <c r="U328" s="128"/>
    </row>
    <row r="329" spans="1:21" ht="15.6" x14ac:dyDescent="0.3">
      <c r="A329" s="53"/>
      <c r="B329" s="54"/>
      <c r="C329" s="54"/>
      <c r="D329" s="54"/>
      <c r="E329" s="55"/>
      <c r="F329" s="75"/>
      <c r="G329" s="76"/>
      <c r="H329" s="76"/>
      <c r="I329" s="48"/>
      <c r="J329" s="70"/>
      <c r="K329" s="70"/>
      <c r="L329" s="336" t="s">
        <v>1106</v>
      </c>
      <c r="M329" s="337" t="s">
        <v>1192</v>
      </c>
      <c r="N329" s="336" t="s">
        <v>1272</v>
      </c>
      <c r="O329" s="338">
        <v>93</v>
      </c>
      <c r="P329" s="339">
        <v>0.69</v>
      </c>
      <c r="Q329" s="339">
        <v>64.319999999999993</v>
      </c>
      <c r="R329" s="182"/>
      <c r="U329" s="128"/>
    </row>
    <row r="330" spans="1:21" ht="15.6" x14ac:dyDescent="0.3">
      <c r="A330" s="53"/>
      <c r="B330" s="54"/>
      <c r="C330" s="54"/>
      <c r="D330" s="54"/>
      <c r="E330" s="55"/>
      <c r="F330" s="75"/>
      <c r="G330" s="76"/>
      <c r="H330" s="76"/>
      <c r="I330" s="48"/>
      <c r="J330" s="70"/>
      <c r="K330" s="70"/>
      <c r="L330" s="336" t="s">
        <v>838</v>
      </c>
      <c r="M330" s="337" t="s">
        <v>839</v>
      </c>
      <c r="N330" s="336" t="s">
        <v>34</v>
      </c>
      <c r="O330" s="338">
        <v>109</v>
      </c>
      <c r="P330" s="339">
        <v>2.12</v>
      </c>
      <c r="Q330" s="339">
        <v>231.13</v>
      </c>
      <c r="R330" s="182"/>
      <c r="U330" s="128"/>
    </row>
    <row r="331" spans="1:21" ht="15.6" x14ac:dyDescent="0.3">
      <c r="A331" s="53"/>
      <c r="B331" s="54"/>
      <c r="C331" s="54"/>
      <c r="D331" s="54"/>
      <c r="E331" s="55"/>
      <c r="F331" s="75"/>
      <c r="G331" s="76"/>
      <c r="H331" s="76"/>
      <c r="I331" s="48"/>
      <c r="J331" s="70"/>
      <c r="K331" s="70"/>
      <c r="L331" s="336" t="s">
        <v>1182</v>
      </c>
      <c r="M331" s="337" t="s">
        <v>1265</v>
      </c>
      <c r="N331" s="336" t="s">
        <v>57</v>
      </c>
      <c r="O331" s="338">
        <v>115</v>
      </c>
      <c r="P331" s="339">
        <v>45.21</v>
      </c>
      <c r="Q331" s="340">
        <v>5198.78</v>
      </c>
      <c r="R331" s="182"/>
      <c r="U331" s="128"/>
    </row>
    <row r="332" spans="1:21" ht="15.6" x14ac:dyDescent="0.3">
      <c r="A332" s="53"/>
      <c r="B332" s="54"/>
      <c r="C332" s="54"/>
      <c r="D332" s="54"/>
      <c r="E332" s="55"/>
      <c r="F332" s="75"/>
      <c r="G332" s="76"/>
      <c r="H332" s="76"/>
      <c r="I332" s="48"/>
      <c r="J332" s="70"/>
      <c r="K332" s="70"/>
      <c r="L332" s="336" t="s">
        <v>1150</v>
      </c>
      <c r="M332" s="337" t="s">
        <v>1237</v>
      </c>
      <c r="N332" s="336" t="s">
        <v>34</v>
      </c>
      <c r="O332" s="338">
        <v>116</v>
      </c>
      <c r="P332" s="339">
        <v>27.72</v>
      </c>
      <c r="Q332" s="340">
        <v>3215.52</v>
      </c>
      <c r="R332" s="182"/>
      <c r="U332" s="128"/>
    </row>
    <row r="333" spans="1:21" ht="15.6" x14ac:dyDescent="0.3">
      <c r="A333" s="53"/>
      <c r="B333" s="54"/>
      <c r="C333" s="54"/>
      <c r="D333" s="54"/>
      <c r="E333" s="55"/>
      <c r="F333" s="75"/>
      <c r="G333" s="76"/>
      <c r="H333" s="76"/>
      <c r="I333" s="48"/>
      <c r="J333" s="70"/>
      <c r="K333" s="70"/>
      <c r="L333" s="336" t="s">
        <v>820</v>
      </c>
      <c r="M333" s="337" t="s">
        <v>821</v>
      </c>
      <c r="N333" s="336" t="s">
        <v>57</v>
      </c>
      <c r="O333" s="338">
        <v>130</v>
      </c>
      <c r="P333" s="339">
        <v>17.149999999999999</v>
      </c>
      <c r="Q333" s="340">
        <v>2229.5</v>
      </c>
      <c r="R333" s="182"/>
      <c r="U333" s="128"/>
    </row>
    <row r="334" spans="1:21" ht="15.6" x14ac:dyDescent="0.3">
      <c r="A334" s="53"/>
      <c r="B334" s="54"/>
      <c r="C334" s="54"/>
      <c r="D334" s="54"/>
      <c r="E334" s="55"/>
      <c r="F334" s="75"/>
      <c r="G334" s="76"/>
      <c r="H334" s="76"/>
      <c r="I334" s="48"/>
      <c r="J334" s="70"/>
      <c r="K334" s="70"/>
      <c r="L334" s="336" t="s">
        <v>794</v>
      </c>
      <c r="M334" s="337" t="s">
        <v>795</v>
      </c>
      <c r="N334" s="336" t="s">
        <v>57</v>
      </c>
      <c r="O334" s="338">
        <v>169</v>
      </c>
      <c r="P334" s="339">
        <v>23.07</v>
      </c>
      <c r="Q334" s="340">
        <v>3899.28</v>
      </c>
      <c r="R334" s="182"/>
      <c r="U334" s="128"/>
    </row>
    <row r="335" spans="1:21" ht="15.6" x14ac:dyDescent="0.3">
      <c r="A335" s="53"/>
      <c r="B335" s="54"/>
      <c r="C335" s="54"/>
      <c r="D335" s="54"/>
      <c r="E335" s="55"/>
      <c r="F335" s="75"/>
      <c r="G335" s="76"/>
      <c r="H335" s="76"/>
      <c r="I335" s="48"/>
      <c r="J335" s="70"/>
      <c r="K335" s="70"/>
      <c r="L335" s="336" t="s">
        <v>736</v>
      </c>
      <c r="M335" s="337" t="s">
        <v>737</v>
      </c>
      <c r="N335" s="336" t="s">
        <v>34</v>
      </c>
      <c r="O335" s="338">
        <v>170</v>
      </c>
      <c r="P335" s="339">
        <v>3.94</v>
      </c>
      <c r="Q335" s="339">
        <v>669.8</v>
      </c>
      <c r="R335" s="182"/>
      <c r="U335" s="128"/>
    </row>
    <row r="336" spans="1:21" ht="15.6" x14ac:dyDescent="0.3">
      <c r="A336" s="53"/>
      <c r="B336" s="54"/>
      <c r="C336" s="54"/>
      <c r="D336" s="54"/>
      <c r="E336" s="55"/>
      <c r="F336" s="75"/>
      <c r="G336" s="76"/>
      <c r="H336" s="76"/>
      <c r="I336" s="48"/>
      <c r="J336" s="70"/>
      <c r="K336" s="70"/>
      <c r="L336" s="336" t="s">
        <v>738</v>
      </c>
      <c r="M336" s="337" t="s">
        <v>739</v>
      </c>
      <c r="N336" s="336" t="s">
        <v>34</v>
      </c>
      <c r="O336" s="338">
        <v>186</v>
      </c>
      <c r="P336" s="339">
        <v>6.76</v>
      </c>
      <c r="Q336" s="340">
        <v>1258.1099999999999</v>
      </c>
      <c r="R336" s="182"/>
      <c r="U336" s="128"/>
    </row>
    <row r="337" spans="1:21" ht="15.6" x14ac:dyDescent="0.3">
      <c r="A337" s="53"/>
      <c r="B337" s="54"/>
      <c r="C337" s="54"/>
      <c r="D337" s="54"/>
      <c r="E337" s="55"/>
      <c r="F337" s="75"/>
      <c r="G337" s="76"/>
      <c r="H337" s="76"/>
      <c r="I337" s="48"/>
      <c r="J337" s="70"/>
      <c r="K337" s="70"/>
      <c r="L337" s="336" t="s">
        <v>1166</v>
      </c>
      <c r="M337" s="337" t="s">
        <v>1251</v>
      </c>
      <c r="N337" s="336" t="s">
        <v>34</v>
      </c>
      <c r="O337" s="338">
        <v>271</v>
      </c>
      <c r="P337" s="339">
        <v>0.57999999999999996</v>
      </c>
      <c r="Q337" s="339">
        <v>156.19999999999999</v>
      </c>
      <c r="R337" s="182"/>
      <c r="U337" s="128"/>
    </row>
    <row r="338" spans="1:21" ht="15.6" x14ac:dyDescent="0.3">
      <c r="A338" s="53"/>
      <c r="B338" s="54"/>
      <c r="C338" s="54"/>
      <c r="D338" s="54"/>
      <c r="E338" s="55"/>
      <c r="F338" s="75"/>
      <c r="G338" s="76"/>
      <c r="H338" s="76"/>
      <c r="I338" s="48"/>
      <c r="J338" s="70"/>
      <c r="K338" s="70"/>
      <c r="L338" s="336" t="s">
        <v>990</v>
      </c>
      <c r="M338" s="337" t="s">
        <v>1064</v>
      </c>
      <c r="N338" s="336" t="s">
        <v>34</v>
      </c>
      <c r="O338" s="338">
        <v>320</v>
      </c>
      <c r="P338" s="339">
        <v>0.92</v>
      </c>
      <c r="Q338" s="339">
        <v>294.39999999999998</v>
      </c>
      <c r="R338" s="182"/>
      <c r="U338" s="128"/>
    </row>
    <row r="339" spans="1:21" ht="15.6" x14ac:dyDescent="0.3">
      <c r="A339" s="53"/>
      <c r="B339" s="54"/>
      <c r="C339" s="54"/>
      <c r="D339" s="54"/>
      <c r="E339" s="55"/>
      <c r="F339" s="75"/>
      <c r="G339" s="76"/>
      <c r="H339" s="76"/>
      <c r="I339" s="48"/>
      <c r="J339" s="70"/>
      <c r="K339" s="70"/>
      <c r="L339" s="336" t="s">
        <v>1171</v>
      </c>
      <c r="M339" s="337" t="s">
        <v>1256</v>
      </c>
      <c r="N339" s="336" t="s">
        <v>34</v>
      </c>
      <c r="O339" s="338">
        <v>400</v>
      </c>
      <c r="P339" s="339">
        <v>0.17</v>
      </c>
      <c r="Q339" s="339">
        <v>68</v>
      </c>
      <c r="R339" s="182"/>
      <c r="U339" s="128"/>
    </row>
    <row r="340" spans="1:21" ht="15.6" x14ac:dyDescent="0.3">
      <c r="A340" s="53"/>
      <c r="B340" s="54"/>
      <c r="C340" s="54"/>
      <c r="D340" s="54"/>
      <c r="E340" s="55"/>
      <c r="F340" s="75"/>
      <c r="G340" s="76"/>
      <c r="H340" s="76"/>
      <c r="I340" s="48"/>
      <c r="J340" s="70"/>
      <c r="K340" s="70"/>
      <c r="L340" s="336" t="s">
        <v>1160</v>
      </c>
      <c r="M340" s="337" t="s">
        <v>1246</v>
      </c>
      <c r="N340" s="336" t="s">
        <v>34</v>
      </c>
      <c r="O340" s="338">
        <v>409</v>
      </c>
      <c r="P340" s="339">
        <v>0.69</v>
      </c>
      <c r="Q340" s="339">
        <v>282.89</v>
      </c>
      <c r="R340" s="182"/>
      <c r="U340" s="128"/>
    </row>
    <row r="341" spans="1:21" ht="15.6" x14ac:dyDescent="0.3">
      <c r="A341" s="53"/>
      <c r="B341" s="54"/>
      <c r="C341" s="54"/>
      <c r="D341" s="54"/>
      <c r="E341" s="55"/>
      <c r="F341" s="75"/>
      <c r="G341" s="76"/>
      <c r="H341" s="76"/>
      <c r="I341" s="48"/>
      <c r="J341" s="70"/>
      <c r="K341" s="70"/>
      <c r="L341" s="336" t="s">
        <v>856</v>
      </c>
      <c r="M341" s="337" t="s">
        <v>857</v>
      </c>
      <c r="N341" s="336" t="s">
        <v>34</v>
      </c>
      <c r="O341" s="341">
        <v>2863</v>
      </c>
      <c r="P341" s="339">
        <v>0.44</v>
      </c>
      <c r="Q341" s="340">
        <v>1262.58</v>
      </c>
      <c r="R341" s="182"/>
      <c r="U341" s="128"/>
    </row>
    <row r="342" spans="1:21" ht="15.6" x14ac:dyDescent="0.3">
      <c r="A342" s="53"/>
      <c r="B342" s="54"/>
      <c r="C342" s="54"/>
      <c r="D342" s="54"/>
      <c r="E342" s="55"/>
      <c r="F342" s="75"/>
      <c r="G342" s="76"/>
      <c r="H342" s="76"/>
      <c r="I342" s="48"/>
      <c r="J342" s="70"/>
      <c r="K342" s="70"/>
      <c r="L342" s="336" t="s">
        <v>927</v>
      </c>
      <c r="M342" s="337" t="s">
        <v>928</v>
      </c>
      <c r="N342" s="336" t="s">
        <v>34</v>
      </c>
      <c r="O342" s="338">
        <v>1</v>
      </c>
      <c r="P342" s="340">
        <v>2184.66</v>
      </c>
      <c r="Q342" s="340">
        <v>2184.66</v>
      </c>
      <c r="R342" s="182"/>
      <c r="U342" s="128"/>
    </row>
    <row r="343" spans="1:21" ht="15.6" x14ac:dyDescent="0.3">
      <c r="A343" s="53"/>
      <c r="B343" s="54"/>
      <c r="C343" s="54"/>
      <c r="D343" s="54"/>
      <c r="E343" s="55"/>
      <c r="F343" s="75"/>
      <c r="G343" s="76"/>
      <c r="H343" s="76"/>
      <c r="I343" s="48"/>
      <c r="J343" s="70"/>
      <c r="K343" s="70"/>
      <c r="L343" s="320"/>
      <c r="M343" s="321"/>
      <c r="N343" s="320"/>
      <c r="O343" s="322"/>
      <c r="P343" s="323"/>
      <c r="Q343" s="324"/>
      <c r="R343" s="182"/>
      <c r="U343" s="128"/>
    </row>
    <row r="344" spans="1:21" ht="18.600000000000001" thickBot="1" x14ac:dyDescent="0.35">
      <c r="A344" s="202"/>
      <c r="B344" s="203"/>
      <c r="C344" s="204"/>
      <c r="D344" s="205"/>
      <c r="E344" s="205"/>
      <c r="F344" s="165"/>
      <c r="G344" s="166"/>
      <c r="H344" s="166"/>
      <c r="I344" s="206"/>
      <c r="J344" s="206"/>
      <c r="K344" s="206"/>
      <c r="L344" s="207"/>
      <c r="M344" s="208"/>
      <c r="N344" s="207"/>
      <c r="O344" s="209"/>
      <c r="P344" s="210"/>
      <c r="Q344" s="210"/>
      <c r="R344" s="211"/>
      <c r="T344" s="4"/>
      <c r="U344" s="128"/>
    </row>
    <row r="345" spans="1:21" ht="18.600000000000001" thickBot="1" x14ac:dyDescent="0.35">
      <c r="A345" s="251"/>
      <c r="B345" s="252"/>
      <c r="C345" s="253"/>
      <c r="D345" s="254"/>
      <c r="E345" s="254"/>
      <c r="F345" s="234"/>
      <c r="G345" s="235"/>
      <c r="H345" s="235"/>
      <c r="I345" s="255"/>
      <c r="J345" s="255"/>
      <c r="K345" s="255"/>
      <c r="L345" s="256"/>
      <c r="M345" s="257"/>
      <c r="N345" s="256"/>
      <c r="O345" s="258"/>
      <c r="P345" s="259"/>
      <c r="Q345" s="260">
        <f>SUM(Q19:Q344)</f>
        <v>579519.97</v>
      </c>
      <c r="R345" s="35"/>
      <c r="T345" s="4"/>
      <c r="U345" s="128"/>
    </row>
    <row r="346" spans="1:21" ht="18" x14ac:dyDescent="0.3">
      <c r="A346" s="216"/>
      <c r="B346" s="203"/>
      <c r="C346" s="217"/>
      <c r="D346" s="218"/>
      <c r="E346" s="218"/>
      <c r="F346" s="165"/>
      <c r="G346" s="166"/>
      <c r="H346" s="166"/>
      <c r="I346" s="219"/>
      <c r="J346" s="219"/>
      <c r="K346" s="219"/>
      <c r="L346" s="336" t="s">
        <v>1500</v>
      </c>
      <c r="M346" s="337" t="s">
        <v>1580</v>
      </c>
      <c r="N346" s="336" t="s">
        <v>34</v>
      </c>
      <c r="O346" s="338">
        <v>1</v>
      </c>
      <c r="P346" s="339">
        <v>22</v>
      </c>
      <c r="Q346" s="339">
        <v>22</v>
      </c>
      <c r="R346" s="266"/>
      <c r="T346" s="4"/>
      <c r="U346" s="128"/>
    </row>
    <row r="347" spans="1:21" ht="18" x14ac:dyDescent="0.3">
      <c r="A347" s="216"/>
      <c r="B347" s="203"/>
      <c r="C347" s="217"/>
      <c r="D347" s="218"/>
      <c r="E347" s="218"/>
      <c r="F347" s="165"/>
      <c r="G347" s="166"/>
      <c r="H347" s="166"/>
      <c r="I347" s="219"/>
      <c r="J347" s="219"/>
      <c r="K347" s="219"/>
      <c r="L347" s="336" t="s">
        <v>538</v>
      </c>
      <c r="M347" s="337" t="s">
        <v>117</v>
      </c>
      <c r="N347" s="336" t="s">
        <v>34</v>
      </c>
      <c r="O347" s="338">
        <v>3</v>
      </c>
      <c r="P347" s="339">
        <v>153</v>
      </c>
      <c r="Q347" s="339">
        <v>459</v>
      </c>
      <c r="R347" s="266"/>
      <c r="T347" s="4"/>
      <c r="U347" s="128"/>
    </row>
    <row r="348" spans="1:21" ht="18" x14ac:dyDescent="0.3">
      <c r="A348" s="216"/>
      <c r="B348" s="203"/>
      <c r="C348" s="217"/>
      <c r="D348" s="218"/>
      <c r="E348" s="218"/>
      <c r="F348" s="165"/>
      <c r="G348" s="166"/>
      <c r="H348" s="166"/>
      <c r="I348" s="219"/>
      <c r="J348" s="219"/>
      <c r="K348" s="219"/>
      <c r="L348" s="336" t="s">
        <v>546</v>
      </c>
      <c r="M348" s="337" t="s">
        <v>253</v>
      </c>
      <c r="N348" s="336" t="s">
        <v>34</v>
      </c>
      <c r="O348" s="338">
        <v>2</v>
      </c>
      <c r="P348" s="339">
        <v>78</v>
      </c>
      <c r="Q348" s="339">
        <v>156</v>
      </c>
      <c r="R348" s="266"/>
      <c r="T348" s="4"/>
      <c r="U348" s="128"/>
    </row>
    <row r="349" spans="1:21" ht="18" x14ac:dyDescent="0.3">
      <c r="A349" s="216"/>
      <c r="B349" s="203"/>
      <c r="C349" s="217"/>
      <c r="D349" s="218"/>
      <c r="E349" s="218"/>
      <c r="F349" s="165"/>
      <c r="G349" s="166"/>
      <c r="H349" s="166"/>
      <c r="I349" s="219"/>
      <c r="J349" s="219"/>
      <c r="K349" s="219"/>
      <c r="L349" s="336" t="s">
        <v>1470</v>
      </c>
      <c r="M349" s="337" t="s">
        <v>1549</v>
      </c>
      <c r="N349" s="336" t="s">
        <v>34</v>
      </c>
      <c r="O349" s="338">
        <v>6</v>
      </c>
      <c r="P349" s="339">
        <v>121.67</v>
      </c>
      <c r="Q349" s="339">
        <v>730.02</v>
      </c>
      <c r="R349" s="266"/>
      <c r="T349" s="4"/>
      <c r="U349" s="128"/>
    </row>
    <row r="350" spans="1:21" ht="18" x14ac:dyDescent="0.3">
      <c r="A350" s="216"/>
      <c r="B350" s="203"/>
      <c r="C350" s="217"/>
      <c r="D350" s="218"/>
      <c r="E350" s="218"/>
      <c r="F350" s="165"/>
      <c r="G350" s="166"/>
      <c r="H350" s="166"/>
      <c r="I350" s="219"/>
      <c r="J350" s="219"/>
      <c r="K350" s="219"/>
      <c r="L350" s="336" t="s">
        <v>1468</v>
      </c>
      <c r="M350" s="337" t="s">
        <v>1547</v>
      </c>
      <c r="N350" s="336" t="s">
        <v>34</v>
      </c>
      <c r="O350" s="338">
        <v>1</v>
      </c>
      <c r="P350" s="339">
        <v>54.9</v>
      </c>
      <c r="Q350" s="339">
        <v>54.9</v>
      </c>
      <c r="R350" s="266"/>
      <c r="T350" s="4"/>
      <c r="U350" s="128"/>
    </row>
    <row r="351" spans="1:21" ht="18" customHeight="1" x14ac:dyDescent="0.3">
      <c r="A351" s="216"/>
      <c r="B351" s="203"/>
      <c r="C351" s="217"/>
      <c r="D351" s="218"/>
      <c r="E351" s="218"/>
      <c r="F351" s="165"/>
      <c r="G351" s="166"/>
      <c r="H351" s="166"/>
      <c r="I351" s="219"/>
      <c r="J351" s="219"/>
      <c r="K351" s="219"/>
      <c r="L351" s="336" t="s">
        <v>563</v>
      </c>
      <c r="M351" s="337" t="s">
        <v>256</v>
      </c>
      <c r="N351" s="336" t="s">
        <v>34</v>
      </c>
      <c r="O351" s="338">
        <v>1</v>
      </c>
      <c r="P351" s="339">
        <v>372</v>
      </c>
      <c r="Q351" s="339">
        <v>372</v>
      </c>
      <c r="R351" s="266"/>
      <c r="T351" s="4"/>
      <c r="U351" s="128"/>
    </row>
    <row r="352" spans="1:21" ht="18" x14ac:dyDescent="0.3">
      <c r="A352" s="216"/>
      <c r="B352" s="203"/>
      <c r="C352" s="217"/>
      <c r="D352" s="218"/>
      <c r="E352" s="218"/>
      <c r="F352" s="165"/>
      <c r="G352" s="166"/>
      <c r="H352" s="166"/>
      <c r="I352" s="219"/>
      <c r="J352" s="219"/>
      <c r="K352" s="219"/>
      <c r="L352" s="336" t="s">
        <v>1503</v>
      </c>
      <c r="M352" s="337" t="s">
        <v>1583</v>
      </c>
      <c r="N352" s="336" t="s">
        <v>35</v>
      </c>
      <c r="O352" s="338">
        <v>1</v>
      </c>
      <c r="P352" s="339">
        <v>65</v>
      </c>
      <c r="Q352" s="339">
        <v>65</v>
      </c>
      <c r="R352" s="266"/>
      <c r="T352" s="4"/>
      <c r="U352" s="128"/>
    </row>
    <row r="353" spans="1:21" ht="18" x14ac:dyDescent="0.3">
      <c r="A353" s="216"/>
      <c r="B353" s="203"/>
      <c r="C353" s="217"/>
      <c r="D353" s="218"/>
      <c r="E353" s="218"/>
      <c r="F353" s="165"/>
      <c r="G353" s="166"/>
      <c r="H353" s="166"/>
      <c r="I353" s="219"/>
      <c r="J353" s="219"/>
      <c r="K353" s="219"/>
      <c r="L353" s="336" t="s">
        <v>1510</v>
      </c>
      <c r="M353" s="337" t="s">
        <v>1591</v>
      </c>
      <c r="N353" s="336" t="s">
        <v>34</v>
      </c>
      <c r="O353" s="338">
        <v>1</v>
      </c>
      <c r="P353" s="339">
        <v>156.66999999999999</v>
      </c>
      <c r="Q353" s="339">
        <v>156.66999999999999</v>
      </c>
      <c r="R353" s="266"/>
      <c r="T353" s="4"/>
      <c r="U353" s="128"/>
    </row>
    <row r="354" spans="1:21" ht="18" x14ac:dyDescent="0.3">
      <c r="A354" s="216"/>
      <c r="B354" s="203"/>
      <c r="C354" s="217"/>
      <c r="D354" s="218"/>
      <c r="E354" s="218"/>
      <c r="F354" s="165"/>
      <c r="G354" s="166"/>
      <c r="H354" s="166"/>
      <c r="I354" s="219"/>
      <c r="J354" s="219"/>
      <c r="K354" s="219"/>
      <c r="L354" s="336" t="s">
        <v>586</v>
      </c>
      <c r="M354" s="337" t="s">
        <v>257</v>
      </c>
      <c r="N354" s="336" t="s">
        <v>34</v>
      </c>
      <c r="O354" s="338">
        <v>1</v>
      </c>
      <c r="P354" s="339">
        <v>215</v>
      </c>
      <c r="Q354" s="339">
        <v>215</v>
      </c>
      <c r="R354" s="266"/>
      <c r="T354" s="4"/>
      <c r="U354" s="128"/>
    </row>
    <row r="355" spans="1:21" ht="18" x14ac:dyDescent="0.3">
      <c r="A355" s="216"/>
      <c r="B355" s="203"/>
      <c r="C355" s="217"/>
      <c r="D355" s="218"/>
      <c r="E355" s="218"/>
      <c r="F355" s="165"/>
      <c r="G355" s="166"/>
      <c r="H355" s="166"/>
      <c r="I355" s="219"/>
      <c r="J355" s="219"/>
      <c r="K355" s="219"/>
      <c r="L355" s="336" t="s">
        <v>1465</v>
      </c>
      <c r="M355" s="337" t="s">
        <v>1544</v>
      </c>
      <c r="N355" s="336" t="s">
        <v>34</v>
      </c>
      <c r="O355" s="338">
        <v>1</v>
      </c>
      <c r="P355" s="339">
        <v>68.33</v>
      </c>
      <c r="Q355" s="339">
        <v>68.33</v>
      </c>
      <c r="R355" s="266"/>
      <c r="T355" s="4"/>
      <c r="U355" s="128"/>
    </row>
    <row r="356" spans="1:21" ht="18" x14ac:dyDescent="0.3">
      <c r="A356" s="216"/>
      <c r="B356" s="203"/>
      <c r="C356" s="217"/>
      <c r="D356" s="218"/>
      <c r="E356" s="218"/>
      <c r="F356" s="165"/>
      <c r="G356" s="166"/>
      <c r="H356" s="166"/>
      <c r="I356" s="219"/>
      <c r="J356" s="219"/>
      <c r="K356" s="219"/>
      <c r="L356" s="336" t="s">
        <v>1142</v>
      </c>
      <c r="M356" s="337" t="s">
        <v>1229</v>
      </c>
      <c r="N356" s="336" t="s">
        <v>34</v>
      </c>
      <c r="O356" s="338">
        <v>19</v>
      </c>
      <c r="P356" s="339">
        <v>240</v>
      </c>
      <c r="Q356" s="340">
        <v>4559.93</v>
      </c>
      <c r="R356" s="266"/>
      <c r="T356" s="4"/>
      <c r="U356" s="128"/>
    </row>
    <row r="357" spans="1:21" ht="18" x14ac:dyDescent="0.3">
      <c r="A357" s="216"/>
      <c r="B357" s="203"/>
      <c r="C357" s="217"/>
      <c r="D357" s="218"/>
      <c r="E357" s="218"/>
      <c r="F357" s="165"/>
      <c r="G357" s="166"/>
      <c r="H357" s="166"/>
      <c r="I357" s="219"/>
      <c r="J357" s="219"/>
      <c r="K357" s="219"/>
      <c r="L357" s="336" t="s">
        <v>1475</v>
      </c>
      <c r="M357" s="337" t="s">
        <v>1555</v>
      </c>
      <c r="N357" s="336" t="s">
        <v>64</v>
      </c>
      <c r="O357" s="338">
        <v>1</v>
      </c>
      <c r="P357" s="339">
        <v>160.32</v>
      </c>
      <c r="Q357" s="339">
        <v>160.32</v>
      </c>
      <c r="R357" s="266"/>
      <c r="T357" s="4"/>
      <c r="U357" s="128"/>
    </row>
    <row r="358" spans="1:21" ht="18" x14ac:dyDescent="0.3">
      <c r="A358" s="216"/>
      <c r="B358" s="203"/>
      <c r="C358" s="217"/>
      <c r="D358" s="218"/>
      <c r="E358" s="218"/>
      <c r="F358" s="165"/>
      <c r="G358" s="166"/>
      <c r="H358" s="166"/>
      <c r="I358" s="219"/>
      <c r="J358" s="219"/>
      <c r="K358" s="219"/>
      <c r="L358" s="336" t="s">
        <v>1501</v>
      </c>
      <c r="M358" s="337" t="s">
        <v>1581</v>
      </c>
      <c r="N358" s="336" t="s">
        <v>64</v>
      </c>
      <c r="O358" s="338">
        <v>3</v>
      </c>
      <c r="P358" s="339">
        <v>68.14</v>
      </c>
      <c r="Q358" s="339">
        <v>204.43</v>
      </c>
      <c r="R358" s="266"/>
      <c r="T358" s="4"/>
      <c r="U358" s="128"/>
    </row>
    <row r="359" spans="1:21" ht="18" x14ac:dyDescent="0.3">
      <c r="A359" s="216"/>
      <c r="B359" s="203"/>
      <c r="C359" s="217"/>
      <c r="D359" s="218"/>
      <c r="E359" s="218"/>
      <c r="F359" s="165"/>
      <c r="G359" s="166"/>
      <c r="H359" s="166"/>
      <c r="I359" s="219"/>
      <c r="J359" s="219"/>
      <c r="K359" s="219"/>
      <c r="L359" s="336" t="s">
        <v>1633</v>
      </c>
      <c r="M359" s="337" t="s">
        <v>1659</v>
      </c>
      <c r="N359" s="336" t="s">
        <v>64</v>
      </c>
      <c r="O359" s="338">
        <v>1</v>
      </c>
      <c r="P359" s="339">
        <v>51</v>
      </c>
      <c r="Q359" s="339">
        <v>51</v>
      </c>
      <c r="R359" s="266"/>
      <c r="T359" s="4"/>
      <c r="U359" s="128"/>
    </row>
    <row r="360" spans="1:21" ht="18" x14ac:dyDescent="0.3">
      <c r="A360" s="216"/>
      <c r="B360" s="203"/>
      <c r="C360" s="217"/>
      <c r="D360" s="218"/>
      <c r="E360" s="218"/>
      <c r="F360" s="165"/>
      <c r="G360" s="166"/>
      <c r="H360" s="166"/>
      <c r="I360" s="219"/>
      <c r="J360" s="219"/>
      <c r="K360" s="219"/>
      <c r="L360" s="336" t="s">
        <v>1723</v>
      </c>
      <c r="M360" s="337" t="s">
        <v>1744</v>
      </c>
      <c r="N360" s="336" t="s">
        <v>34</v>
      </c>
      <c r="O360" s="338">
        <v>1</v>
      </c>
      <c r="P360" s="339">
        <v>165</v>
      </c>
      <c r="Q360" s="339">
        <v>165</v>
      </c>
      <c r="R360" s="266"/>
      <c r="T360" s="4"/>
      <c r="U360" s="128"/>
    </row>
    <row r="361" spans="1:21" ht="18" x14ac:dyDescent="0.3">
      <c r="A361" s="216"/>
      <c r="B361" s="203"/>
      <c r="C361" s="217"/>
      <c r="D361" s="218"/>
      <c r="E361" s="218"/>
      <c r="F361" s="165"/>
      <c r="G361" s="166"/>
      <c r="H361" s="166"/>
      <c r="I361" s="219"/>
      <c r="J361" s="219"/>
      <c r="K361" s="219"/>
      <c r="L361" s="336" t="s">
        <v>1642</v>
      </c>
      <c r="M361" s="337" t="s">
        <v>1668</v>
      </c>
      <c r="N361" s="336" t="s">
        <v>34</v>
      </c>
      <c r="O361" s="338">
        <v>1</v>
      </c>
      <c r="P361" s="339">
        <v>104.2</v>
      </c>
      <c r="Q361" s="339">
        <v>104.2</v>
      </c>
      <c r="R361" s="266"/>
      <c r="T361" s="4"/>
      <c r="U361" s="128"/>
    </row>
    <row r="362" spans="1:21" ht="18" x14ac:dyDescent="0.3">
      <c r="A362" s="216"/>
      <c r="B362" s="203"/>
      <c r="C362" s="217"/>
      <c r="D362" s="218"/>
      <c r="E362" s="218"/>
      <c r="F362" s="165"/>
      <c r="G362" s="166"/>
      <c r="H362" s="166"/>
      <c r="I362" s="219"/>
      <c r="J362" s="219"/>
      <c r="K362" s="219"/>
      <c r="L362" s="336" t="s">
        <v>1528</v>
      </c>
      <c r="M362" s="337" t="s">
        <v>1609</v>
      </c>
      <c r="N362" s="336" t="s">
        <v>34</v>
      </c>
      <c r="O362" s="338">
        <v>1</v>
      </c>
      <c r="P362" s="339">
        <v>61</v>
      </c>
      <c r="Q362" s="339">
        <v>61</v>
      </c>
      <c r="R362" s="266"/>
      <c r="T362" s="4"/>
      <c r="U362" s="128"/>
    </row>
    <row r="363" spans="1:21" ht="18" x14ac:dyDescent="0.3">
      <c r="A363" s="216"/>
      <c r="B363" s="203"/>
      <c r="C363" s="217"/>
      <c r="D363" s="218"/>
      <c r="E363" s="218"/>
      <c r="F363" s="165"/>
      <c r="G363" s="166"/>
      <c r="H363" s="166"/>
      <c r="I363" s="219"/>
      <c r="J363" s="219"/>
      <c r="K363" s="219"/>
      <c r="L363" s="336" t="s">
        <v>1720</v>
      </c>
      <c r="M363" s="337" t="s">
        <v>1741</v>
      </c>
      <c r="N363" s="336" t="s">
        <v>34</v>
      </c>
      <c r="O363" s="338">
        <v>1</v>
      </c>
      <c r="P363" s="339">
        <v>467.84</v>
      </c>
      <c r="Q363" s="339">
        <v>467.84</v>
      </c>
      <c r="R363" s="266"/>
      <c r="T363" s="4"/>
      <c r="U363" s="128"/>
    </row>
    <row r="364" spans="1:21" ht="18" x14ac:dyDescent="0.3">
      <c r="A364" s="216"/>
      <c r="B364" s="203"/>
      <c r="C364" s="217"/>
      <c r="D364" s="218"/>
      <c r="E364" s="218"/>
      <c r="F364" s="165"/>
      <c r="G364" s="166"/>
      <c r="H364" s="166"/>
      <c r="I364" s="219"/>
      <c r="J364" s="219"/>
      <c r="K364" s="219"/>
      <c r="L364" s="336" t="s">
        <v>599</v>
      </c>
      <c r="M364" s="337" t="s">
        <v>129</v>
      </c>
      <c r="N364" s="336" t="s">
        <v>34</v>
      </c>
      <c r="O364" s="338">
        <v>1</v>
      </c>
      <c r="P364" s="339">
        <v>17.5</v>
      </c>
      <c r="Q364" s="339">
        <v>17.5</v>
      </c>
      <c r="R364" s="266"/>
      <c r="T364" s="4"/>
      <c r="U364" s="128"/>
    </row>
    <row r="365" spans="1:21" ht="18" x14ac:dyDescent="0.3">
      <c r="A365" s="216"/>
      <c r="B365" s="203"/>
      <c r="C365" s="217"/>
      <c r="D365" s="218"/>
      <c r="E365" s="218"/>
      <c r="F365" s="165"/>
      <c r="G365" s="166"/>
      <c r="H365" s="166"/>
      <c r="I365" s="219"/>
      <c r="J365" s="219"/>
      <c r="K365" s="219"/>
      <c r="L365" s="336" t="s">
        <v>600</v>
      </c>
      <c r="M365" s="337" t="s">
        <v>258</v>
      </c>
      <c r="N365" s="336" t="s">
        <v>34</v>
      </c>
      <c r="O365" s="338">
        <v>2</v>
      </c>
      <c r="P365" s="339">
        <v>149.16999999999999</v>
      </c>
      <c r="Q365" s="339">
        <v>298.33999999999997</v>
      </c>
      <c r="R365" s="266"/>
      <c r="T365" s="4"/>
      <c r="U365" s="128"/>
    </row>
    <row r="366" spans="1:21" ht="18" x14ac:dyDescent="0.3">
      <c r="A366" s="216"/>
      <c r="B366" s="203"/>
      <c r="C366" s="217"/>
      <c r="D366" s="218"/>
      <c r="E366" s="218"/>
      <c r="F366" s="165"/>
      <c r="G366" s="166"/>
      <c r="H366" s="166"/>
      <c r="I366" s="219"/>
      <c r="J366" s="219"/>
      <c r="K366" s="219"/>
      <c r="L366" s="336" t="s">
        <v>1487</v>
      </c>
      <c r="M366" s="337" t="s">
        <v>1567</v>
      </c>
      <c r="N366" s="336" t="s">
        <v>34</v>
      </c>
      <c r="O366" s="338">
        <v>2</v>
      </c>
      <c r="P366" s="339">
        <v>34</v>
      </c>
      <c r="Q366" s="339">
        <v>68</v>
      </c>
      <c r="R366" s="266"/>
      <c r="T366" s="4"/>
      <c r="U366" s="128"/>
    </row>
    <row r="367" spans="1:21" ht="18" x14ac:dyDescent="0.3">
      <c r="A367" s="216"/>
      <c r="B367" s="203"/>
      <c r="C367" s="217"/>
      <c r="D367" s="218"/>
      <c r="E367" s="218"/>
      <c r="F367" s="165"/>
      <c r="G367" s="166"/>
      <c r="H367" s="166"/>
      <c r="I367" s="219"/>
      <c r="J367" s="219"/>
      <c r="K367" s="219"/>
      <c r="L367" s="336" t="s">
        <v>1511</v>
      </c>
      <c r="M367" s="337" t="s">
        <v>1592</v>
      </c>
      <c r="N367" s="336" t="s">
        <v>34</v>
      </c>
      <c r="O367" s="338">
        <v>9</v>
      </c>
      <c r="P367" s="339">
        <v>4.42</v>
      </c>
      <c r="Q367" s="339">
        <v>39.75</v>
      </c>
      <c r="R367" s="266"/>
      <c r="T367" s="4"/>
      <c r="U367" s="128"/>
    </row>
    <row r="368" spans="1:21" ht="18" x14ac:dyDescent="0.3">
      <c r="A368" s="216"/>
      <c r="B368" s="203"/>
      <c r="C368" s="217"/>
      <c r="D368" s="218"/>
      <c r="E368" s="218"/>
      <c r="F368" s="165"/>
      <c r="G368" s="166"/>
      <c r="H368" s="166"/>
      <c r="I368" s="219"/>
      <c r="J368" s="219"/>
      <c r="K368" s="219"/>
      <c r="L368" s="336" t="s">
        <v>1722</v>
      </c>
      <c r="M368" s="337" t="s">
        <v>1743</v>
      </c>
      <c r="N368" s="336" t="s">
        <v>34</v>
      </c>
      <c r="O368" s="338">
        <v>1</v>
      </c>
      <c r="P368" s="339">
        <v>135</v>
      </c>
      <c r="Q368" s="339">
        <v>135</v>
      </c>
      <c r="R368" s="266"/>
      <c r="T368" s="4"/>
      <c r="U368" s="128"/>
    </row>
    <row r="369" spans="1:21" ht="18" x14ac:dyDescent="0.3">
      <c r="A369" s="216"/>
      <c r="B369" s="203"/>
      <c r="C369" s="217"/>
      <c r="D369" s="218"/>
      <c r="E369" s="218"/>
      <c r="F369" s="165"/>
      <c r="G369" s="166"/>
      <c r="H369" s="166"/>
      <c r="I369" s="219"/>
      <c r="J369" s="219"/>
      <c r="K369" s="219"/>
      <c r="L369" s="336" t="s">
        <v>607</v>
      </c>
      <c r="M369" s="337" t="s">
        <v>608</v>
      </c>
      <c r="N369" s="336" t="s">
        <v>34</v>
      </c>
      <c r="O369" s="338">
        <v>13</v>
      </c>
      <c r="P369" s="339">
        <v>43.57</v>
      </c>
      <c r="Q369" s="339">
        <v>566.47</v>
      </c>
      <c r="R369" s="266"/>
      <c r="T369" s="4"/>
      <c r="U369" s="128"/>
    </row>
    <row r="370" spans="1:21" ht="18" x14ac:dyDescent="0.3">
      <c r="A370" s="216"/>
      <c r="B370" s="203"/>
      <c r="C370" s="217"/>
      <c r="D370" s="218"/>
      <c r="E370" s="218"/>
      <c r="F370" s="165"/>
      <c r="G370" s="166"/>
      <c r="H370" s="166"/>
      <c r="I370" s="219"/>
      <c r="J370" s="219"/>
      <c r="K370" s="219"/>
      <c r="L370" s="336" t="s">
        <v>1726</v>
      </c>
      <c r="M370" s="337" t="s">
        <v>1747</v>
      </c>
      <c r="N370" s="336" t="s">
        <v>34</v>
      </c>
      <c r="O370" s="338">
        <v>1</v>
      </c>
      <c r="P370" s="339">
        <v>128.5</v>
      </c>
      <c r="Q370" s="339">
        <v>128.5</v>
      </c>
      <c r="R370" s="266"/>
      <c r="T370" s="4"/>
      <c r="U370" s="128"/>
    </row>
    <row r="371" spans="1:21" ht="18" x14ac:dyDescent="0.3">
      <c r="A371" s="216"/>
      <c r="B371" s="203"/>
      <c r="C371" s="217"/>
      <c r="D371" s="218"/>
      <c r="E371" s="218"/>
      <c r="F371" s="165"/>
      <c r="G371" s="166"/>
      <c r="H371" s="166"/>
      <c r="I371" s="219"/>
      <c r="J371" s="219"/>
      <c r="K371" s="219"/>
      <c r="L371" s="336" t="s">
        <v>1707</v>
      </c>
      <c r="M371" s="337" t="s">
        <v>1728</v>
      </c>
      <c r="N371" s="336" t="s">
        <v>34</v>
      </c>
      <c r="O371" s="338">
        <v>1</v>
      </c>
      <c r="P371" s="339">
        <v>148.75</v>
      </c>
      <c r="Q371" s="339">
        <v>148.75</v>
      </c>
      <c r="R371" s="266"/>
      <c r="T371" s="4"/>
      <c r="U371" s="128"/>
    </row>
    <row r="372" spans="1:21" ht="18" x14ac:dyDescent="0.3">
      <c r="A372" s="216"/>
      <c r="B372" s="203"/>
      <c r="C372" s="217"/>
      <c r="D372" s="218"/>
      <c r="E372" s="218"/>
      <c r="F372" s="165"/>
      <c r="G372" s="166"/>
      <c r="H372" s="166"/>
      <c r="I372" s="219"/>
      <c r="J372" s="219"/>
      <c r="K372" s="219"/>
      <c r="L372" s="336" t="s">
        <v>1514</v>
      </c>
      <c r="M372" s="337" t="s">
        <v>1595</v>
      </c>
      <c r="N372" s="336" t="s">
        <v>34</v>
      </c>
      <c r="O372" s="338">
        <v>5</v>
      </c>
      <c r="P372" s="339">
        <v>42.6</v>
      </c>
      <c r="Q372" s="339">
        <v>213</v>
      </c>
      <c r="R372" s="266"/>
      <c r="T372" s="4"/>
      <c r="U372" s="128"/>
    </row>
    <row r="373" spans="1:21" ht="18" x14ac:dyDescent="0.3">
      <c r="A373" s="216"/>
      <c r="B373" s="203"/>
      <c r="C373" s="217"/>
      <c r="D373" s="218"/>
      <c r="E373" s="218"/>
      <c r="F373" s="165"/>
      <c r="G373" s="166"/>
      <c r="H373" s="166"/>
      <c r="I373" s="219"/>
      <c r="J373" s="219"/>
      <c r="K373" s="219"/>
      <c r="L373" s="336" t="s">
        <v>625</v>
      </c>
      <c r="M373" s="337" t="s">
        <v>136</v>
      </c>
      <c r="N373" s="336" t="s">
        <v>34</v>
      </c>
      <c r="O373" s="338">
        <v>6</v>
      </c>
      <c r="P373" s="339">
        <v>42</v>
      </c>
      <c r="Q373" s="339">
        <v>251.98</v>
      </c>
      <c r="R373" s="266"/>
      <c r="T373" s="4"/>
      <c r="U373" s="128"/>
    </row>
    <row r="374" spans="1:21" ht="18" x14ac:dyDescent="0.3">
      <c r="A374" s="216"/>
      <c r="B374" s="203"/>
      <c r="C374" s="217"/>
      <c r="D374" s="218"/>
      <c r="E374" s="218"/>
      <c r="F374" s="165"/>
      <c r="G374" s="166"/>
      <c r="H374" s="166"/>
      <c r="I374" s="219"/>
      <c r="J374" s="219"/>
      <c r="K374" s="219"/>
      <c r="L374" s="336" t="s">
        <v>1420</v>
      </c>
      <c r="M374" s="337" t="s">
        <v>1443</v>
      </c>
      <c r="N374" s="336" t="s">
        <v>34</v>
      </c>
      <c r="O374" s="338">
        <v>5</v>
      </c>
      <c r="P374" s="339">
        <v>132.22999999999999</v>
      </c>
      <c r="Q374" s="339">
        <v>661.15</v>
      </c>
      <c r="R374" s="266"/>
      <c r="T374" s="4"/>
      <c r="U374" s="128"/>
    </row>
    <row r="375" spans="1:21" ht="18" x14ac:dyDescent="0.3">
      <c r="A375" s="216"/>
      <c r="B375" s="203"/>
      <c r="C375" s="217"/>
      <c r="D375" s="218"/>
      <c r="E375" s="218"/>
      <c r="F375" s="165"/>
      <c r="G375" s="166"/>
      <c r="H375" s="166"/>
      <c r="I375" s="219"/>
      <c r="J375" s="219"/>
      <c r="K375" s="219"/>
      <c r="L375" s="336" t="s">
        <v>1680</v>
      </c>
      <c r="M375" s="337" t="s">
        <v>1698</v>
      </c>
      <c r="N375" s="336" t="s">
        <v>34</v>
      </c>
      <c r="O375" s="338">
        <v>1</v>
      </c>
      <c r="P375" s="339">
        <v>241.67</v>
      </c>
      <c r="Q375" s="339">
        <v>241.67</v>
      </c>
      <c r="R375" s="266"/>
      <c r="T375" s="4"/>
      <c r="U375" s="128"/>
    </row>
    <row r="376" spans="1:21" ht="18" x14ac:dyDescent="0.3">
      <c r="A376" s="216"/>
      <c r="B376" s="203"/>
      <c r="C376" s="217"/>
      <c r="D376" s="218"/>
      <c r="E376" s="218"/>
      <c r="F376" s="165"/>
      <c r="G376" s="166"/>
      <c r="H376" s="166"/>
      <c r="I376" s="219"/>
      <c r="J376" s="219"/>
      <c r="K376" s="219"/>
      <c r="L376" s="336" t="s">
        <v>629</v>
      </c>
      <c r="M376" s="337" t="s">
        <v>138</v>
      </c>
      <c r="N376" s="336" t="s">
        <v>34</v>
      </c>
      <c r="O376" s="338">
        <v>1</v>
      </c>
      <c r="P376" s="339">
        <v>118</v>
      </c>
      <c r="Q376" s="339">
        <v>118</v>
      </c>
      <c r="R376" s="266"/>
      <c r="T376" s="4"/>
      <c r="U376" s="128"/>
    </row>
    <row r="377" spans="1:21" ht="18" x14ac:dyDescent="0.3">
      <c r="A377" s="216"/>
      <c r="B377" s="203"/>
      <c r="C377" s="217"/>
      <c r="D377" s="218"/>
      <c r="E377" s="218"/>
      <c r="F377" s="165"/>
      <c r="G377" s="166"/>
      <c r="H377" s="166"/>
      <c r="I377" s="219"/>
      <c r="J377" s="219"/>
      <c r="K377" s="219"/>
      <c r="L377" s="336" t="s">
        <v>1527</v>
      </c>
      <c r="M377" s="337" t="s">
        <v>1608</v>
      </c>
      <c r="N377" s="336" t="s">
        <v>34</v>
      </c>
      <c r="O377" s="338">
        <v>12</v>
      </c>
      <c r="P377" s="339">
        <v>22.42</v>
      </c>
      <c r="Q377" s="339">
        <v>269.06</v>
      </c>
      <c r="R377" s="266"/>
      <c r="T377" s="4"/>
      <c r="U377" s="128"/>
    </row>
    <row r="378" spans="1:21" ht="18" x14ac:dyDescent="0.3">
      <c r="A378" s="216"/>
      <c r="B378" s="203"/>
      <c r="C378" s="217"/>
      <c r="D378" s="218"/>
      <c r="E378" s="218"/>
      <c r="F378" s="165"/>
      <c r="G378" s="166"/>
      <c r="H378" s="166"/>
      <c r="I378" s="219"/>
      <c r="J378" s="219"/>
      <c r="K378" s="219"/>
      <c r="L378" s="336" t="s">
        <v>1531</v>
      </c>
      <c r="M378" s="337" t="s">
        <v>1611</v>
      </c>
      <c r="N378" s="336" t="s">
        <v>34</v>
      </c>
      <c r="O378" s="338">
        <v>2</v>
      </c>
      <c r="P378" s="339">
        <v>127</v>
      </c>
      <c r="Q378" s="339">
        <v>254</v>
      </c>
      <c r="R378" s="266"/>
      <c r="T378" s="4"/>
      <c r="U378" s="128"/>
    </row>
    <row r="379" spans="1:21" ht="18" x14ac:dyDescent="0.3">
      <c r="A379" s="216"/>
      <c r="B379" s="203"/>
      <c r="C379" s="217"/>
      <c r="D379" s="218"/>
      <c r="E379" s="218"/>
      <c r="F379" s="165"/>
      <c r="G379" s="166"/>
      <c r="H379" s="166"/>
      <c r="I379" s="219"/>
      <c r="J379" s="219"/>
      <c r="K379" s="219"/>
      <c r="L379" s="336" t="s">
        <v>638</v>
      </c>
      <c r="M379" s="337" t="s">
        <v>639</v>
      </c>
      <c r="N379" s="336" t="s">
        <v>64</v>
      </c>
      <c r="O379" s="338">
        <v>2</v>
      </c>
      <c r="P379" s="339">
        <v>149.16999999999999</v>
      </c>
      <c r="Q379" s="339">
        <v>298.33999999999997</v>
      </c>
      <c r="R379" s="266"/>
      <c r="T379" s="4"/>
      <c r="U379" s="128"/>
    </row>
    <row r="380" spans="1:21" ht="18" x14ac:dyDescent="0.3">
      <c r="A380" s="216"/>
      <c r="B380" s="203"/>
      <c r="C380" s="217"/>
      <c r="D380" s="218"/>
      <c r="E380" s="218"/>
      <c r="F380" s="165"/>
      <c r="G380" s="166"/>
      <c r="H380" s="166"/>
      <c r="I380" s="219"/>
      <c r="J380" s="219"/>
      <c r="K380" s="219"/>
      <c r="L380" s="336" t="s">
        <v>1529</v>
      </c>
      <c r="M380" s="337" t="s">
        <v>410</v>
      </c>
      <c r="N380" s="336" t="s">
        <v>34</v>
      </c>
      <c r="O380" s="338">
        <v>9</v>
      </c>
      <c r="P380" s="339">
        <v>193.33</v>
      </c>
      <c r="Q380" s="340">
        <v>1739.97</v>
      </c>
      <c r="R380" s="266"/>
      <c r="T380" s="4"/>
      <c r="U380" s="128"/>
    </row>
    <row r="381" spans="1:21" ht="18" x14ac:dyDescent="0.3">
      <c r="A381" s="216"/>
      <c r="B381" s="203"/>
      <c r="C381" s="217"/>
      <c r="D381" s="218"/>
      <c r="E381" s="218"/>
      <c r="F381" s="165"/>
      <c r="G381" s="166"/>
      <c r="H381" s="166"/>
      <c r="I381" s="219"/>
      <c r="J381" s="219"/>
      <c r="K381" s="219"/>
      <c r="L381" s="336" t="s">
        <v>1461</v>
      </c>
      <c r="M381" s="337" t="s">
        <v>1540</v>
      </c>
      <c r="N381" s="336" t="s">
        <v>34</v>
      </c>
      <c r="O381" s="338">
        <v>5</v>
      </c>
      <c r="P381" s="339">
        <v>232.5</v>
      </c>
      <c r="Q381" s="340">
        <v>1162.5</v>
      </c>
      <c r="R381" s="266"/>
      <c r="T381" s="4"/>
      <c r="U381" s="128"/>
    </row>
    <row r="382" spans="1:21" ht="18" x14ac:dyDescent="0.3">
      <c r="A382" s="216"/>
      <c r="B382" s="203"/>
      <c r="C382" s="217"/>
      <c r="D382" s="218"/>
      <c r="E382" s="218"/>
      <c r="F382" s="165"/>
      <c r="G382" s="166"/>
      <c r="H382" s="166"/>
      <c r="I382" s="219"/>
      <c r="J382" s="219"/>
      <c r="K382" s="219"/>
      <c r="L382" s="336" t="s">
        <v>646</v>
      </c>
      <c r="M382" s="337" t="s">
        <v>647</v>
      </c>
      <c r="N382" s="336" t="s">
        <v>34</v>
      </c>
      <c r="O382" s="338">
        <v>2</v>
      </c>
      <c r="P382" s="339">
        <v>351</v>
      </c>
      <c r="Q382" s="339">
        <v>702</v>
      </c>
      <c r="R382" s="266"/>
      <c r="T382" s="4"/>
      <c r="U382" s="128"/>
    </row>
    <row r="383" spans="1:21" ht="18" x14ac:dyDescent="0.3">
      <c r="A383" s="216"/>
      <c r="B383" s="203"/>
      <c r="C383" s="217"/>
      <c r="D383" s="218"/>
      <c r="E383" s="218"/>
      <c r="F383" s="165"/>
      <c r="G383" s="166"/>
      <c r="H383" s="166"/>
      <c r="I383" s="219"/>
      <c r="J383" s="219"/>
      <c r="K383" s="219"/>
      <c r="L383" s="336" t="s">
        <v>1718</v>
      </c>
      <c r="M383" s="337" t="s">
        <v>1739</v>
      </c>
      <c r="N383" s="336" t="s">
        <v>34</v>
      </c>
      <c r="O383" s="338">
        <v>1</v>
      </c>
      <c r="P383" s="339">
        <v>91</v>
      </c>
      <c r="Q383" s="339">
        <v>91</v>
      </c>
      <c r="R383" s="266"/>
      <c r="T383" s="4"/>
      <c r="U383" s="128"/>
    </row>
    <row r="384" spans="1:21" ht="18" x14ac:dyDescent="0.3">
      <c r="A384" s="216"/>
      <c r="B384" s="203"/>
      <c r="C384" s="217"/>
      <c r="D384" s="218"/>
      <c r="E384" s="218"/>
      <c r="F384" s="165"/>
      <c r="G384" s="166"/>
      <c r="H384" s="166"/>
      <c r="I384" s="219"/>
      <c r="J384" s="219"/>
      <c r="K384" s="219"/>
      <c r="L384" s="336" t="s">
        <v>648</v>
      </c>
      <c r="M384" s="337" t="s">
        <v>145</v>
      </c>
      <c r="N384" s="336" t="s">
        <v>37</v>
      </c>
      <c r="O384" s="338">
        <v>22</v>
      </c>
      <c r="P384" s="339">
        <v>61.25</v>
      </c>
      <c r="Q384" s="340">
        <v>1347.5</v>
      </c>
      <c r="R384" s="266"/>
      <c r="T384" s="4"/>
      <c r="U384" s="128"/>
    </row>
    <row r="385" spans="1:21" ht="18" x14ac:dyDescent="0.3">
      <c r="A385" s="216"/>
      <c r="B385" s="203"/>
      <c r="C385" s="217"/>
      <c r="D385" s="218"/>
      <c r="E385" s="218"/>
      <c r="F385" s="165"/>
      <c r="G385" s="166"/>
      <c r="H385" s="166"/>
      <c r="I385" s="219"/>
      <c r="J385" s="219"/>
      <c r="K385" s="219"/>
      <c r="L385" s="336" t="s">
        <v>649</v>
      </c>
      <c r="M385" s="337" t="s">
        <v>650</v>
      </c>
      <c r="N385" s="336" t="s">
        <v>34</v>
      </c>
      <c r="O385" s="338">
        <v>3</v>
      </c>
      <c r="P385" s="339">
        <v>18</v>
      </c>
      <c r="Q385" s="339">
        <v>54</v>
      </c>
      <c r="R385" s="266"/>
      <c r="T385" s="4"/>
      <c r="U385" s="128"/>
    </row>
    <row r="386" spans="1:21" ht="18" x14ac:dyDescent="0.3">
      <c r="A386" s="216"/>
      <c r="B386" s="203"/>
      <c r="C386" s="217"/>
      <c r="D386" s="218"/>
      <c r="E386" s="218"/>
      <c r="F386" s="165"/>
      <c r="G386" s="166"/>
      <c r="H386" s="166"/>
      <c r="I386" s="219"/>
      <c r="J386" s="219"/>
      <c r="K386" s="219"/>
      <c r="L386" s="336" t="s">
        <v>651</v>
      </c>
      <c r="M386" s="337" t="s">
        <v>652</v>
      </c>
      <c r="N386" s="336" t="s">
        <v>34</v>
      </c>
      <c r="O386" s="338">
        <v>1</v>
      </c>
      <c r="P386" s="339">
        <v>153.33000000000001</v>
      </c>
      <c r="Q386" s="339">
        <v>153.33000000000001</v>
      </c>
      <c r="R386" s="266"/>
      <c r="T386" s="4"/>
      <c r="U386" s="128"/>
    </row>
    <row r="387" spans="1:21" ht="30" x14ac:dyDescent="0.3">
      <c r="A387" s="216"/>
      <c r="B387" s="203"/>
      <c r="C387" s="217"/>
      <c r="D387" s="218"/>
      <c r="E387" s="218"/>
      <c r="F387" s="165"/>
      <c r="G387" s="166"/>
      <c r="H387" s="166"/>
      <c r="I387" s="219"/>
      <c r="J387" s="219"/>
      <c r="K387" s="219"/>
      <c r="L387" s="336" t="s">
        <v>1467</v>
      </c>
      <c r="M387" s="337" t="s">
        <v>1546</v>
      </c>
      <c r="N387" s="336" t="s">
        <v>34</v>
      </c>
      <c r="O387" s="338">
        <v>1</v>
      </c>
      <c r="P387" s="339">
        <v>1</v>
      </c>
      <c r="Q387" s="339">
        <v>1</v>
      </c>
      <c r="R387" s="266"/>
      <c r="T387" s="4"/>
      <c r="U387" s="128"/>
    </row>
    <row r="388" spans="1:21" ht="18" x14ac:dyDescent="0.3">
      <c r="A388" s="216"/>
      <c r="B388" s="203"/>
      <c r="C388" s="217"/>
      <c r="D388" s="218"/>
      <c r="E388" s="218"/>
      <c r="F388" s="165"/>
      <c r="G388" s="166"/>
      <c r="H388" s="166"/>
      <c r="I388" s="219"/>
      <c r="J388" s="219"/>
      <c r="K388" s="219"/>
      <c r="L388" s="336" t="s">
        <v>1486</v>
      </c>
      <c r="M388" s="337" t="s">
        <v>1566</v>
      </c>
      <c r="N388" s="336" t="s">
        <v>34</v>
      </c>
      <c r="O388" s="338">
        <v>3</v>
      </c>
      <c r="P388" s="339">
        <v>226.22</v>
      </c>
      <c r="Q388" s="339">
        <v>678.66</v>
      </c>
      <c r="R388" s="266"/>
      <c r="T388" s="4"/>
      <c r="U388" s="128"/>
    </row>
    <row r="389" spans="1:21" ht="18" x14ac:dyDescent="0.3">
      <c r="A389" s="216"/>
      <c r="B389" s="203"/>
      <c r="C389" s="217"/>
      <c r="D389" s="218"/>
      <c r="E389" s="218"/>
      <c r="F389" s="165"/>
      <c r="G389" s="166"/>
      <c r="H389" s="166"/>
      <c r="I389" s="219"/>
      <c r="J389" s="219"/>
      <c r="K389" s="219"/>
      <c r="L389" s="336" t="s">
        <v>1724</v>
      </c>
      <c r="M389" s="337" t="s">
        <v>1745</v>
      </c>
      <c r="N389" s="336" t="s">
        <v>34</v>
      </c>
      <c r="O389" s="338">
        <v>1</v>
      </c>
      <c r="P389" s="339">
        <v>249</v>
      </c>
      <c r="Q389" s="339">
        <v>249</v>
      </c>
      <c r="R389" s="266"/>
      <c r="T389" s="4"/>
      <c r="U389" s="128"/>
    </row>
    <row r="390" spans="1:21" ht="18" x14ac:dyDescent="0.3">
      <c r="A390" s="216"/>
      <c r="B390" s="203"/>
      <c r="C390" s="217"/>
      <c r="D390" s="218"/>
      <c r="E390" s="218"/>
      <c r="F390" s="165"/>
      <c r="G390" s="166"/>
      <c r="H390" s="166"/>
      <c r="I390" s="219"/>
      <c r="J390" s="219"/>
      <c r="K390" s="219"/>
      <c r="L390" s="336" t="s">
        <v>1725</v>
      </c>
      <c r="M390" s="337" t="s">
        <v>1746</v>
      </c>
      <c r="N390" s="336" t="s">
        <v>34</v>
      </c>
      <c r="O390" s="338">
        <v>1</v>
      </c>
      <c r="P390" s="339">
        <v>80</v>
      </c>
      <c r="Q390" s="339">
        <v>80</v>
      </c>
      <c r="R390" s="266"/>
      <c r="T390" s="4"/>
      <c r="U390" s="128"/>
    </row>
    <row r="391" spans="1:21" ht="18" x14ac:dyDescent="0.3">
      <c r="A391" s="216"/>
      <c r="B391" s="203"/>
      <c r="C391" s="217"/>
      <c r="D391" s="218"/>
      <c r="E391" s="218"/>
      <c r="F391" s="165"/>
      <c r="G391" s="166"/>
      <c r="H391" s="166"/>
      <c r="I391" s="219"/>
      <c r="J391" s="219"/>
      <c r="K391" s="219"/>
      <c r="L391" s="336" t="s">
        <v>1509</v>
      </c>
      <c r="M391" s="337" t="s">
        <v>1590</v>
      </c>
      <c r="N391" s="336" t="s">
        <v>147</v>
      </c>
      <c r="O391" s="338">
        <v>5</v>
      </c>
      <c r="P391" s="339">
        <v>131</v>
      </c>
      <c r="Q391" s="339">
        <v>655</v>
      </c>
      <c r="R391" s="266"/>
      <c r="T391" s="4"/>
      <c r="U391" s="128"/>
    </row>
    <row r="392" spans="1:21" ht="18" x14ac:dyDescent="0.3">
      <c r="A392" s="216"/>
      <c r="B392" s="203"/>
      <c r="C392" s="217"/>
      <c r="D392" s="218"/>
      <c r="E392" s="218"/>
      <c r="F392" s="165"/>
      <c r="G392" s="166"/>
      <c r="H392" s="166"/>
      <c r="I392" s="219"/>
      <c r="J392" s="219"/>
      <c r="K392" s="219"/>
      <c r="L392" s="336" t="s">
        <v>660</v>
      </c>
      <c r="M392" s="337" t="s">
        <v>1588</v>
      </c>
      <c r="N392" s="336" t="s">
        <v>147</v>
      </c>
      <c r="O392" s="338">
        <v>41</v>
      </c>
      <c r="P392" s="339">
        <v>29.27</v>
      </c>
      <c r="Q392" s="340">
        <v>1200</v>
      </c>
      <c r="R392" s="266"/>
      <c r="T392" s="4"/>
      <c r="U392" s="128"/>
    </row>
    <row r="393" spans="1:21" ht="18" x14ac:dyDescent="0.3">
      <c r="A393" s="216"/>
      <c r="B393" s="203"/>
      <c r="C393" s="217"/>
      <c r="D393" s="218"/>
      <c r="E393" s="218"/>
      <c r="F393" s="165"/>
      <c r="G393" s="166"/>
      <c r="H393" s="166"/>
      <c r="I393" s="219"/>
      <c r="J393" s="219"/>
      <c r="K393" s="219"/>
      <c r="L393" s="336" t="s">
        <v>1498</v>
      </c>
      <c r="M393" s="337" t="s">
        <v>1578</v>
      </c>
      <c r="N393" s="336" t="s">
        <v>34</v>
      </c>
      <c r="O393" s="338">
        <v>5</v>
      </c>
      <c r="P393" s="339">
        <v>238.75</v>
      </c>
      <c r="Q393" s="340">
        <v>1193.73</v>
      </c>
      <c r="R393" s="266"/>
      <c r="T393" s="4"/>
      <c r="U393" s="128"/>
    </row>
    <row r="394" spans="1:21" ht="18" x14ac:dyDescent="0.3">
      <c r="A394" s="216"/>
      <c r="B394" s="203"/>
      <c r="C394" s="217"/>
      <c r="D394" s="218"/>
      <c r="E394" s="218"/>
      <c r="F394" s="165"/>
      <c r="G394" s="166"/>
      <c r="H394" s="166"/>
      <c r="I394" s="219"/>
      <c r="J394" s="219"/>
      <c r="K394" s="219"/>
      <c r="L394" s="336" t="s">
        <v>663</v>
      </c>
      <c r="M394" s="337" t="s">
        <v>151</v>
      </c>
      <c r="N394" s="336" t="s">
        <v>34</v>
      </c>
      <c r="O394" s="338">
        <v>1</v>
      </c>
      <c r="P394" s="339">
        <v>12</v>
      </c>
      <c r="Q394" s="339">
        <v>12</v>
      </c>
      <c r="R394" s="266"/>
      <c r="T394" s="4"/>
      <c r="U394" s="128"/>
    </row>
    <row r="395" spans="1:21" ht="18" x14ac:dyDescent="0.3">
      <c r="A395" s="216"/>
      <c r="B395" s="203"/>
      <c r="C395" s="217"/>
      <c r="D395" s="218"/>
      <c r="E395" s="218"/>
      <c r="F395" s="165"/>
      <c r="G395" s="166"/>
      <c r="H395" s="166"/>
      <c r="I395" s="219"/>
      <c r="J395" s="219"/>
      <c r="K395" s="219"/>
      <c r="L395" s="336" t="s">
        <v>1493</v>
      </c>
      <c r="M395" s="337" t="s">
        <v>1573</v>
      </c>
      <c r="N395" s="336" t="s">
        <v>34</v>
      </c>
      <c r="O395" s="338">
        <v>1</v>
      </c>
      <c r="P395" s="339">
        <v>97.5</v>
      </c>
      <c r="Q395" s="339">
        <v>97.5</v>
      </c>
      <c r="R395" s="266"/>
      <c r="T395" s="4"/>
      <c r="U395" s="128"/>
    </row>
    <row r="396" spans="1:21" ht="18" x14ac:dyDescent="0.3">
      <c r="A396" s="216"/>
      <c r="B396" s="203"/>
      <c r="C396" s="217"/>
      <c r="D396" s="218"/>
      <c r="E396" s="218"/>
      <c r="F396" s="165"/>
      <c r="G396" s="166"/>
      <c r="H396" s="166"/>
      <c r="I396" s="219"/>
      <c r="J396" s="219"/>
      <c r="K396" s="219"/>
      <c r="L396" s="336" t="s">
        <v>1671</v>
      </c>
      <c r="M396" s="337" t="s">
        <v>1689</v>
      </c>
      <c r="N396" s="336" t="s">
        <v>34</v>
      </c>
      <c r="O396" s="338">
        <v>1</v>
      </c>
      <c r="P396" s="339">
        <v>206.84</v>
      </c>
      <c r="Q396" s="339">
        <v>206.84</v>
      </c>
      <c r="R396" s="266"/>
      <c r="T396" s="4"/>
      <c r="U396" s="128"/>
    </row>
    <row r="397" spans="1:21" ht="18" x14ac:dyDescent="0.3">
      <c r="A397" s="216"/>
      <c r="B397" s="203"/>
      <c r="C397" s="217"/>
      <c r="D397" s="218"/>
      <c r="E397" s="218"/>
      <c r="F397" s="165"/>
      <c r="G397" s="166"/>
      <c r="H397" s="166"/>
      <c r="I397" s="219"/>
      <c r="J397" s="219"/>
      <c r="K397" s="219"/>
      <c r="L397" s="336" t="s">
        <v>1464</v>
      </c>
      <c r="M397" s="337" t="s">
        <v>1543</v>
      </c>
      <c r="N397" s="336" t="s">
        <v>34</v>
      </c>
      <c r="O397" s="338">
        <v>5</v>
      </c>
      <c r="P397" s="339">
        <v>186</v>
      </c>
      <c r="Q397" s="339">
        <v>930</v>
      </c>
      <c r="R397" s="266"/>
      <c r="T397" s="4"/>
      <c r="U397" s="128"/>
    </row>
    <row r="398" spans="1:21" ht="18" x14ac:dyDescent="0.3">
      <c r="A398" s="216"/>
      <c r="B398" s="203"/>
      <c r="C398" s="217"/>
      <c r="D398" s="218"/>
      <c r="E398" s="218"/>
      <c r="F398" s="165"/>
      <c r="G398" s="166"/>
      <c r="H398" s="166"/>
      <c r="I398" s="219"/>
      <c r="J398" s="219"/>
      <c r="K398" s="219"/>
      <c r="L398" s="336" t="s">
        <v>1492</v>
      </c>
      <c r="M398" s="337" t="s">
        <v>1572</v>
      </c>
      <c r="N398" s="336" t="s">
        <v>34</v>
      </c>
      <c r="O398" s="338">
        <v>2</v>
      </c>
      <c r="P398" s="339">
        <v>93</v>
      </c>
      <c r="Q398" s="339">
        <v>186</v>
      </c>
      <c r="R398" s="266"/>
      <c r="T398" s="4"/>
      <c r="U398" s="128"/>
    </row>
    <row r="399" spans="1:21" ht="18" x14ac:dyDescent="0.3">
      <c r="A399" s="216"/>
      <c r="B399" s="203"/>
      <c r="C399" s="217"/>
      <c r="D399" s="218"/>
      <c r="E399" s="218"/>
      <c r="F399" s="165"/>
      <c r="G399" s="166"/>
      <c r="H399" s="166"/>
      <c r="I399" s="219"/>
      <c r="J399" s="219"/>
      <c r="K399" s="219"/>
      <c r="L399" s="336" t="s">
        <v>674</v>
      </c>
      <c r="M399" s="337" t="s">
        <v>675</v>
      </c>
      <c r="N399" s="336" t="s">
        <v>34</v>
      </c>
      <c r="O399" s="338">
        <v>1</v>
      </c>
      <c r="P399" s="339">
        <v>28.08</v>
      </c>
      <c r="Q399" s="339">
        <v>28.08</v>
      </c>
      <c r="R399" s="266"/>
      <c r="T399" s="4"/>
      <c r="U399" s="128"/>
    </row>
    <row r="400" spans="1:21" ht="18" x14ac:dyDescent="0.3">
      <c r="A400" s="216"/>
      <c r="B400" s="203"/>
      <c r="C400" s="217"/>
      <c r="D400" s="218"/>
      <c r="E400" s="218"/>
      <c r="F400" s="165"/>
      <c r="G400" s="166"/>
      <c r="H400" s="166"/>
      <c r="I400" s="219"/>
      <c r="J400" s="219"/>
      <c r="K400" s="219"/>
      <c r="L400" s="336" t="s">
        <v>677</v>
      </c>
      <c r="M400" s="337" t="s">
        <v>1554</v>
      </c>
      <c r="N400" s="336" t="s">
        <v>34</v>
      </c>
      <c r="O400" s="338">
        <v>3</v>
      </c>
      <c r="P400" s="339">
        <v>306.95999999999998</v>
      </c>
      <c r="Q400" s="339">
        <v>920.89</v>
      </c>
      <c r="R400" s="266"/>
      <c r="T400" s="4"/>
      <c r="U400" s="128"/>
    </row>
    <row r="401" spans="1:21" ht="18" x14ac:dyDescent="0.3">
      <c r="A401" s="216"/>
      <c r="B401" s="203"/>
      <c r="C401" s="217"/>
      <c r="D401" s="218"/>
      <c r="E401" s="218"/>
      <c r="F401" s="165"/>
      <c r="G401" s="166"/>
      <c r="H401" s="166"/>
      <c r="I401" s="219"/>
      <c r="J401" s="219"/>
      <c r="K401" s="219"/>
      <c r="L401" s="336" t="s">
        <v>679</v>
      </c>
      <c r="M401" s="337" t="s">
        <v>680</v>
      </c>
      <c r="N401" s="336" t="s">
        <v>34</v>
      </c>
      <c r="O401" s="338">
        <v>1</v>
      </c>
      <c r="P401" s="339">
        <v>5</v>
      </c>
      <c r="Q401" s="339">
        <v>5</v>
      </c>
      <c r="R401" s="266"/>
      <c r="T401" s="4"/>
      <c r="U401" s="128"/>
    </row>
    <row r="402" spans="1:21" ht="18" x14ac:dyDescent="0.3">
      <c r="A402" s="216"/>
      <c r="B402" s="203"/>
      <c r="C402" s="217"/>
      <c r="D402" s="218"/>
      <c r="E402" s="218"/>
      <c r="F402" s="165"/>
      <c r="G402" s="166"/>
      <c r="H402" s="166"/>
      <c r="I402" s="219"/>
      <c r="J402" s="219"/>
      <c r="K402" s="219"/>
      <c r="L402" s="336" t="s">
        <v>682</v>
      </c>
      <c r="M402" s="337" t="s">
        <v>683</v>
      </c>
      <c r="N402" s="336" t="s">
        <v>34</v>
      </c>
      <c r="O402" s="338">
        <v>1</v>
      </c>
      <c r="P402" s="339">
        <v>21.5</v>
      </c>
      <c r="Q402" s="339">
        <v>21.5</v>
      </c>
      <c r="R402" s="266"/>
      <c r="T402" s="4"/>
      <c r="U402" s="128"/>
    </row>
    <row r="403" spans="1:21" ht="18" x14ac:dyDescent="0.3">
      <c r="A403" s="216"/>
      <c r="B403" s="203"/>
      <c r="C403" s="217"/>
      <c r="D403" s="218"/>
      <c r="E403" s="218"/>
      <c r="F403" s="165"/>
      <c r="G403" s="166"/>
      <c r="H403" s="166"/>
      <c r="I403" s="219"/>
      <c r="J403" s="219"/>
      <c r="K403" s="219"/>
      <c r="L403" s="336" t="s">
        <v>1532</v>
      </c>
      <c r="M403" s="337" t="s">
        <v>1612</v>
      </c>
      <c r="N403" s="336" t="s">
        <v>64</v>
      </c>
      <c r="O403" s="338">
        <v>1</v>
      </c>
      <c r="P403" s="339">
        <v>164</v>
      </c>
      <c r="Q403" s="339">
        <v>164</v>
      </c>
      <c r="R403" s="266"/>
      <c r="T403" s="4"/>
      <c r="U403" s="128"/>
    </row>
    <row r="404" spans="1:21" ht="18" x14ac:dyDescent="0.3">
      <c r="A404" s="216"/>
      <c r="B404" s="203"/>
      <c r="C404" s="217"/>
      <c r="D404" s="218"/>
      <c r="E404" s="218"/>
      <c r="F404" s="165"/>
      <c r="G404" s="166"/>
      <c r="H404" s="166"/>
      <c r="I404" s="219"/>
      <c r="J404" s="219"/>
      <c r="K404" s="219"/>
      <c r="L404" s="336" t="s">
        <v>1641</v>
      </c>
      <c r="M404" s="337" t="s">
        <v>1667</v>
      </c>
      <c r="N404" s="336" t="s">
        <v>64</v>
      </c>
      <c r="O404" s="338">
        <v>1</v>
      </c>
      <c r="P404" s="339">
        <v>24</v>
      </c>
      <c r="Q404" s="339">
        <v>24</v>
      </c>
      <c r="R404" s="266"/>
      <c r="T404" s="4"/>
      <c r="U404" s="128"/>
    </row>
    <row r="405" spans="1:21" ht="18" x14ac:dyDescent="0.3">
      <c r="A405" s="216"/>
      <c r="B405" s="203"/>
      <c r="C405" s="217"/>
      <c r="D405" s="218"/>
      <c r="E405" s="218"/>
      <c r="F405" s="165"/>
      <c r="G405" s="166"/>
      <c r="H405" s="166"/>
      <c r="I405" s="219"/>
      <c r="J405" s="219"/>
      <c r="K405" s="219"/>
      <c r="L405" s="336" t="s">
        <v>1482</v>
      </c>
      <c r="M405" s="337" t="s">
        <v>1562</v>
      </c>
      <c r="N405" s="336" t="s">
        <v>34</v>
      </c>
      <c r="O405" s="338">
        <v>1</v>
      </c>
      <c r="P405" s="339">
        <v>75.400000000000006</v>
      </c>
      <c r="Q405" s="339">
        <v>75.400000000000006</v>
      </c>
      <c r="R405" s="266"/>
      <c r="T405" s="4"/>
      <c r="U405" s="128"/>
    </row>
    <row r="406" spans="1:21" ht="18" x14ac:dyDescent="0.3">
      <c r="A406" s="216"/>
      <c r="B406" s="203"/>
      <c r="C406" s="217"/>
      <c r="D406" s="218"/>
      <c r="E406" s="218"/>
      <c r="F406" s="165"/>
      <c r="G406" s="166"/>
      <c r="H406" s="166"/>
      <c r="I406" s="219"/>
      <c r="J406" s="219"/>
      <c r="K406" s="219"/>
      <c r="L406" s="336" t="s">
        <v>1472</v>
      </c>
      <c r="M406" s="337" t="s">
        <v>1551</v>
      </c>
      <c r="N406" s="336" t="s">
        <v>34</v>
      </c>
      <c r="O406" s="338">
        <v>1</v>
      </c>
      <c r="P406" s="339">
        <v>146.25</v>
      </c>
      <c r="Q406" s="339">
        <v>146.25</v>
      </c>
      <c r="R406" s="266"/>
      <c r="T406" s="4"/>
      <c r="U406" s="128"/>
    </row>
    <row r="407" spans="1:21" ht="18" x14ac:dyDescent="0.3">
      <c r="A407" s="216"/>
      <c r="B407" s="203"/>
      <c r="C407" s="217"/>
      <c r="D407" s="218"/>
      <c r="E407" s="218"/>
      <c r="F407" s="165"/>
      <c r="G407" s="166"/>
      <c r="H407" s="166"/>
      <c r="I407" s="219"/>
      <c r="J407" s="219"/>
      <c r="K407" s="219"/>
      <c r="L407" s="336" t="s">
        <v>1523</v>
      </c>
      <c r="M407" s="337" t="s">
        <v>1604</v>
      </c>
      <c r="N407" s="336" t="s">
        <v>34</v>
      </c>
      <c r="O407" s="338">
        <v>1</v>
      </c>
      <c r="P407" s="339">
        <v>108.33</v>
      </c>
      <c r="Q407" s="339">
        <v>108.33</v>
      </c>
      <c r="R407" s="266"/>
      <c r="T407" s="4"/>
      <c r="U407" s="128"/>
    </row>
    <row r="408" spans="1:21" ht="18" x14ac:dyDescent="0.3">
      <c r="A408" s="216"/>
      <c r="B408" s="203"/>
      <c r="C408" s="217"/>
      <c r="D408" s="218"/>
      <c r="E408" s="218"/>
      <c r="F408" s="165"/>
      <c r="G408" s="166"/>
      <c r="H408" s="166"/>
      <c r="I408" s="219"/>
      <c r="J408" s="219"/>
      <c r="K408" s="219"/>
      <c r="L408" s="336" t="s">
        <v>1460</v>
      </c>
      <c r="M408" s="337" t="s">
        <v>1539</v>
      </c>
      <c r="N408" s="336" t="s">
        <v>34</v>
      </c>
      <c r="O408" s="338">
        <v>1</v>
      </c>
      <c r="P408" s="339">
        <v>16.600000000000001</v>
      </c>
      <c r="Q408" s="339">
        <v>16.600000000000001</v>
      </c>
      <c r="R408" s="266"/>
      <c r="T408" s="4"/>
      <c r="U408" s="128"/>
    </row>
    <row r="409" spans="1:21" ht="18" x14ac:dyDescent="0.3">
      <c r="A409" s="216"/>
      <c r="B409" s="203"/>
      <c r="C409" s="217"/>
      <c r="D409" s="218"/>
      <c r="E409" s="218"/>
      <c r="F409" s="165"/>
      <c r="G409" s="166"/>
      <c r="H409" s="166"/>
      <c r="I409" s="219"/>
      <c r="J409" s="219"/>
      <c r="K409" s="219"/>
      <c r="L409" s="336" t="s">
        <v>1512</v>
      </c>
      <c r="M409" s="337" t="s">
        <v>1593</v>
      </c>
      <c r="N409" s="336" t="s">
        <v>34</v>
      </c>
      <c r="O409" s="338">
        <v>1</v>
      </c>
      <c r="P409" s="339">
        <v>7.5</v>
      </c>
      <c r="Q409" s="339">
        <v>7.5</v>
      </c>
      <c r="R409" s="266"/>
      <c r="T409" s="4"/>
      <c r="U409" s="128"/>
    </row>
    <row r="410" spans="1:21" ht="18" x14ac:dyDescent="0.3">
      <c r="A410" s="216"/>
      <c r="B410" s="203"/>
      <c r="C410" s="217"/>
      <c r="D410" s="218"/>
      <c r="E410" s="218"/>
      <c r="F410" s="165"/>
      <c r="G410" s="166"/>
      <c r="H410" s="166"/>
      <c r="I410" s="219"/>
      <c r="J410" s="219"/>
      <c r="K410" s="219"/>
      <c r="L410" s="336" t="s">
        <v>698</v>
      </c>
      <c r="M410" s="337" t="s">
        <v>97</v>
      </c>
      <c r="N410" s="336" t="s">
        <v>34</v>
      </c>
      <c r="O410" s="341">
        <v>3266</v>
      </c>
      <c r="P410" s="339">
        <v>0.11</v>
      </c>
      <c r="Q410" s="339">
        <v>349.46</v>
      </c>
      <c r="R410" s="266"/>
      <c r="T410" s="4"/>
      <c r="U410" s="128"/>
    </row>
    <row r="411" spans="1:21" ht="18" x14ac:dyDescent="0.3">
      <c r="A411" s="216"/>
      <c r="B411" s="203"/>
      <c r="C411" s="217"/>
      <c r="D411" s="218"/>
      <c r="E411" s="218"/>
      <c r="F411" s="165"/>
      <c r="G411" s="166"/>
      <c r="H411" s="166"/>
      <c r="I411" s="219"/>
      <c r="J411" s="219"/>
      <c r="K411" s="219"/>
      <c r="L411" s="336" t="s">
        <v>1471</v>
      </c>
      <c r="M411" s="337" t="s">
        <v>1550</v>
      </c>
      <c r="N411" s="336" t="s">
        <v>34</v>
      </c>
      <c r="O411" s="341">
        <v>1333</v>
      </c>
      <c r="P411" s="339">
        <v>0.11</v>
      </c>
      <c r="Q411" s="339">
        <v>142.63</v>
      </c>
      <c r="R411" s="266"/>
      <c r="T411" s="4"/>
      <c r="U411" s="128"/>
    </row>
    <row r="412" spans="1:21" ht="18" x14ac:dyDescent="0.3">
      <c r="A412" s="216"/>
      <c r="B412" s="203"/>
      <c r="C412" s="217"/>
      <c r="D412" s="218"/>
      <c r="E412" s="218"/>
      <c r="F412" s="165"/>
      <c r="G412" s="166"/>
      <c r="H412" s="166"/>
      <c r="I412" s="219"/>
      <c r="J412" s="219"/>
      <c r="K412" s="219"/>
      <c r="L412" s="336" t="s">
        <v>1672</v>
      </c>
      <c r="M412" s="337" t="s">
        <v>1690</v>
      </c>
      <c r="N412" s="336" t="s">
        <v>57</v>
      </c>
      <c r="O412" s="338">
        <v>1</v>
      </c>
      <c r="P412" s="339">
        <v>35</v>
      </c>
      <c r="Q412" s="339">
        <v>35</v>
      </c>
      <c r="R412" s="266"/>
      <c r="T412" s="4"/>
      <c r="U412" s="128"/>
    </row>
    <row r="413" spans="1:21" ht="18" x14ac:dyDescent="0.3">
      <c r="A413" s="216"/>
      <c r="B413" s="203"/>
      <c r="C413" s="217"/>
      <c r="D413" s="218"/>
      <c r="E413" s="218"/>
      <c r="F413" s="165"/>
      <c r="G413" s="166"/>
      <c r="H413" s="166"/>
      <c r="I413" s="219"/>
      <c r="J413" s="219"/>
      <c r="K413" s="219"/>
      <c r="L413" s="336" t="s">
        <v>703</v>
      </c>
      <c r="M413" s="337" t="s">
        <v>704</v>
      </c>
      <c r="N413" s="336" t="s">
        <v>34</v>
      </c>
      <c r="O413" s="338">
        <v>1</v>
      </c>
      <c r="P413" s="339">
        <v>149</v>
      </c>
      <c r="Q413" s="339">
        <v>149</v>
      </c>
      <c r="R413" s="266"/>
      <c r="T413" s="4"/>
      <c r="U413" s="128"/>
    </row>
    <row r="414" spans="1:21" ht="18" x14ac:dyDescent="0.3">
      <c r="A414" s="216"/>
      <c r="B414" s="203"/>
      <c r="C414" s="217"/>
      <c r="D414" s="218"/>
      <c r="E414" s="218"/>
      <c r="F414" s="165"/>
      <c r="G414" s="166"/>
      <c r="H414" s="166"/>
      <c r="I414" s="219"/>
      <c r="J414" s="219"/>
      <c r="K414" s="219"/>
      <c r="L414" s="336" t="s">
        <v>1525</v>
      </c>
      <c r="M414" s="337" t="s">
        <v>1606</v>
      </c>
      <c r="N414" s="336" t="s">
        <v>34</v>
      </c>
      <c r="O414" s="338">
        <v>1</v>
      </c>
      <c r="P414" s="339">
        <v>93.6</v>
      </c>
      <c r="Q414" s="339">
        <v>93.6</v>
      </c>
      <c r="R414" s="266"/>
      <c r="T414" s="4"/>
      <c r="U414" s="128"/>
    </row>
    <row r="415" spans="1:21" ht="18" x14ac:dyDescent="0.3">
      <c r="A415" s="216"/>
      <c r="B415" s="203"/>
      <c r="C415" s="217"/>
      <c r="D415" s="218"/>
      <c r="E415" s="218"/>
      <c r="F415" s="165"/>
      <c r="G415" s="166"/>
      <c r="H415" s="166"/>
      <c r="I415" s="219"/>
      <c r="J415" s="219"/>
      <c r="K415" s="219"/>
      <c r="L415" s="336" t="s">
        <v>1459</v>
      </c>
      <c r="M415" s="337" t="s">
        <v>1538</v>
      </c>
      <c r="N415" s="336" t="s">
        <v>34</v>
      </c>
      <c r="O415" s="338">
        <v>1</v>
      </c>
      <c r="P415" s="340">
        <v>1683</v>
      </c>
      <c r="Q415" s="340">
        <v>1683</v>
      </c>
      <c r="R415" s="266"/>
      <c r="T415" s="4"/>
      <c r="U415" s="128"/>
    </row>
    <row r="416" spans="1:21" ht="18" x14ac:dyDescent="0.3">
      <c r="A416" s="216"/>
      <c r="B416" s="203"/>
      <c r="C416" s="217"/>
      <c r="D416" s="218"/>
      <c r="E416" s="218"/>
      <c r="F416" s="165"/>
      <c r="G416" s="166"/>
      <c r="H416" s="166"/>
      <c r="I416" s="219"/>
      <c r="J416" s="219"/>
      <c r="K416" s="219"/>
      <c r="L416" s="336" t="s">
        <v>1473</v>
      </c>
      <c r="M416" s="337" t="s">
        <v>1552</v>
      </c>
      <c r="N416" s="336" t="s">
        <v>34</v>
      </c>
      <c r="O416" s="338">
        <v>3</v>
      </c>
      <c r="P416" s="339">
        <v>239</v>
      </c>
      <c r="Q416" s="339">
        <v>717</v>
      </c>
      <c r="R416" s="266"/>
      <c r="T416" s="4"/>
      <c r="U416" s="128"/>
    </row>
    <row r="417" spans="1:21" ht="18" x14ac:dyDescent="0.3">
      <c r="A417" s="216"/>
      <c r="B417" s="203"/>
      <c r="C417" s="217"/>
      <c r="D417" s="218"/>
      <c r="E417" s="218"/>
      <c r="F417" s="165"/>
      <c r="G417" s="166"/>
      <c r="H417" s="166"/>
      <c r="I417" s="219"/>
      <c r="J417" s="219"/>
      <c r="K417" s="219"/>
      <c r="L417" s="336" t="s">
        <v>1480</v>
      </c>
      <c r="M417" s="337" t="s">
        <v>1560</v>
      </c>
      <c r="N417" s="336" t="s">
        <v>34</v>
      </c>
      <c r="O417" s="338">
        <v>1</v>
      </c>
      <c r="P417" s="339">
        <v>209</v>
      </c>
      <c r="Q417" s="339">
        <v>209</v>
      </c>
      <c r="R417" s="266"/>
      <c r="T417" s="4"/>
      <c r="U417" s="128"/>
    </row>
    <row r="418" spans="1:21" ht="18" x14ac:dyDescent="0.3">
      <c r="A418" s="216"/>
      <c r="B418" s="203"/>
      <c r="C418" s="217"/>
      <c r="D418" s="218"/>
      <c r="E418" s="218"/>
      <c r="F418" s="165"/>
      <c r="G418" s="166"/>
      <c r="H418" s="166"/>
      <c r="I418" s="219"/>
      <c r="J418" s="219"/>
      <c r="K418" s="219"/>
      <c r="L418" s="336" t="s">
        <v>1490</v>
      </c>
      <c r="M418" s="337" t="s">
        <v>1570</v>
      </c>
      <c r="N418" s="336" t="s">
        <v>34</v>
      </c>
      <c r="O418" s="338">
        <v>3</v>
      </c>
      <c r="P418" s="339">
        <v>329.11</v>
      </c>
      <c r="Q418" s="339">
        <v>987.32</v>
      </c>
      <c r="R418" s="266"/>
      <c r="T418" s="4"/>
      <c r="U418" s="128"/>
    </row>
    <row r="419" spans="1:21" ht="18" x14ac:dyDescent="0.3">
      <c r="A419" s="216"/>
      <c r="B419" s="203"/>
      <c r="C419" s="217"/>
      <c r="D419" s="218"/>
      <c r="E419" s="218"/>
      <c r="F419" s="165"/>
      <c r="G419" s="166"/>
      <c r="H419" s="166"/>
      <c r="I419" s="219"/>
      <c r="J419" s="219"/>
      <c r="K419" s="219"/>
      <c r="L419" s="336" t="s">
        <v>98</v>
      </c>
      <c r="M419" s="337" t="s">
        <v>99</v>
      </c>
      <c r="N419" s="336" t="s">
        <v>37</v>
      </c>
      <c r="O419" s="338">
        <v>4</v>
      </c>
      <c r="P419" s="339">
        <v>131</v>
      </c>
      <c r="Q419" s="339">
        <v>524</v>
      </c>
      <c r="R419" s="266"/>
      <c r="T419" s="4"/>
      <c r="U419" s="128"/>
    </row>
    <row r="420" spans="1:21" ht="18" x14ac:dyDescent="0.3">
      <c r="A420" s="216"/>
      <c r="B420" s="203"/>
      <c r="C420" s="217"/>
      <c r="D420" s="218"/>
      <c r="E420" s="218"/>
      <c r="F420" s="165"/>
      <c r="G420" s="166"/>
      <c r="H420" s="166"/>
      <c r="I420" s="219"/>
      <c r="J420" s="219"/>
      <c r="K420" s="219"/>
      <c r="L420" s="336" t="s">
        <v>710</v>
      </c>
      <c r="M420" s="337" t="s">
        <v>711</v>
      </c>
      <c r="N420" s="336" t="s">
        <v>34</v>
      </c>
      <c r="O420" s="338">
        <v>4</v>
      </c>
      <c r="P420" s="339">
        <v>73</v>
      </c>
      <c r="Q420" s="339">
        <v>292</v>
      </c>
      <c r="R420" s="266"/>
      <c r="T420" s="4"/>
      <c r="U420" s="128"/>
    </row>
    <row r="421" spans="1:21" ht="18" x14ac:dyDescent="0.3">
      <c r="A421" s="216"/>
      <c r="B421" s="203"/>
      <c r="C421" s="217"/>
      <c r="D421" s="218"/>
      <c r="E421" s="218"/>
      <c r="F421" s="165"/>
      <c r="G421" s="166"/>
      <c r="H421" s="166"/>
      <c r="I421" s="219"/>
      <c r="J421" s="219"/>
      <c r="K421" s="219"/>
      <c r="L421" s="336" t="s">
        <v>1481</v>
      </c>
      <c r="M421" s="337" t="s">
        <v>1561</v>
      </c>
      <c r="N421" s="336" t="s">
        <v>34</v>
      </c>
      <c r="O421" s="338">
        <v>1</v>
      </c>
      <c r="P421" s="339">
        <v>52</v>
      </c>
      <c r="Q421" s="339">
        <v>52</v>
      </c>
      <c r="R421" s="266"/>
      <c r="T421" s="4"/>
      <c r="U421" s="128"/>
    </row>
    <row r="422" spans="1:21" ht="18" x14ac:dyDescent="0.3">
      <c r="A422" s="216"/>
      <c r="B422" s="203"/>
      <c r="C422" s="217"/>
      <c r="D422" s="218"/>
      <c r="E422" s="218"/>
      <c r="F422" s="165"/>
      <c r="G422" s="166"/>
      <c r="H422" s="166"/>
      <c r="I422" s="219"/>
      <c r="J422" s="219"/>
      <c r="K422" s="219"/>
      <c r="L422" s="336" t="s">
        <v>1495</v>
      </c>
      <c r="M422" s="337" t="s">
        <v>1575</v>
      </c>
      <c r="N422" s="336" t="s">
        <v>34</v>
      </c>
      <c r="O422" s="338">
        <v>1</v>
      </c>
      <c r="P422" s="339">
        <v>54.17</v>
      </c>
      <c r="Q422" s="339">
        <v>54.17</v>
      </c>
      <c r="R422" s="266"/>
      <c r="T422" s="4"/>
      <c r="U422" s="128"/>
    </row>
    <row r="423" spans="1:21" ht="18" x14ac:dyDescent="0.3">
      <c r="A423" s="216"/>
      <c r="B423" s="203"/>
      <c r="C423" s="217"/>
      <c r="D423" s="218"/>
      <c r="E423" s="218"/>
      <c r="F423" s="165"/>
      <c r="G423" s="166"/>
      <c r="H423" s="166"/>
      <c r="I423" s="219"/>
      <c r="J423" s="219"/>
      <c r="K423" s="219"/>
      <c r="L423" s="336" t="s">
        <v>1483</v>
      </c>
      <c r="M423" s="337" t="s">
        <v>1563</v>
      </c>
      <c r="N423" s="336" t="s">
        <v>34</v>
      </c>
      <c r="O423" s="338">
        <v>2</v>
      </c>
      <c r="P423" s="339">
        <v>57.79</v>
      </c>
      <c r="Q423" s="339">
        <v>115.58</v>
      </c>
      <c r="R423" s="266"/>
      <c r="T423" s="4"/>
      <c r="U423" s="128"/>
    </row>
    <row r="424" spans="1:21" ht="18" x14ac:dyDescent="0.3">
      <c r="A424" s="216"/>
      <c r="B424" s="203"/>
      <c r="C424" s="217"/>
      <c r="D424" s="218"/>
      <c r="E424" s="218"/>
      <c r="F424" s="165"/>
      <c r="G424" s="166"/>
      <c r="H424" s="166"/>
      <c r="I424" s="219"/>
      <c r="J424" s="219"/>
      <c r="K424" s="219"/>
      <c r="L424" s="336" t="s">
        <v>1484</v>
      </c>
      <c r="M424" s="337" t="s">
        <v>1564</v>
      </c>
      <c r="N424" s="336" t="s">
        <v>34</v>
      </c>
      <c r="O424" s="338">
        <v>1</v>
      </c>
      <c r="P424" s="339">
        <v>242.5</v>
      </c>
      <c r="Q424" s="339">
        <v>242.5</v>
      </c>
      <c r="R424" s="266"/>
      <c r="T424" s="4"/>
      <c r="U424" s="128"/>
    </row>
    <row r="425" spans="1:21" ht="18" x14ac:dyDescent="0.3">
      <c r="A425" s="216"/>
      <c r="B425" s="203"/>
      <c r="C425" s="217"/>
      <c r="D425" s="218"/>
      <c r="E425" s="218"/>
      <c r="F425" s="165"/>
      <c r="G425" s="166"/>
      <c r="H425" s="166"/>
      <c r="I425" s="219"/>
      <c r="J425" s="219"/>
      <c r="K425" s="219"/>
      <c r="L425" s="336" t="s">
        <v>157</v>
      </c>
      <c r="M425" s="337" t="s">
        <v>158</v>
      </c>
      <c r="N425" s="336" t="s">
        <v>34</v>
      </c>
      <c r="O425" s="338">
        <v>2</v>
      </c>
      <c r="P425" s="339">
        <v>101.57</v>
      </c>
      <c r="Q425" s="339">
        <v>203.13</v>
      </c>
      <c r="R425" s="266"/>
      <c r="T425" s="4"/>
      <c r="U425" s="128"/>
    </row>
    <row r="426" spans="1:21" ht="18" x14ac:dyDescent="0.3">
      <c r="A426" s="216"/>
      <c r="B426" s="203"/>
      <c r="C426" s="217"/>
      <c r="D426" s="218"/>
      <c r="E426" s="218"/>
      <c r="F426" s="165"/>
      <c r="G426" s="166"/>
      <c r="H426" s="166"/>
      <c r="I426" s="219"/>
      <c r="J426" s="219"/>
      <c r="K426" s="219"/>
      <c r="L426" s="336" t="s">
        <v>1629</v>
      </c>
      <c r="M426" s="337" t="s">
        <v>1655</v>
      </c>
      <c r="N426" s="336" t="s">
        <v>34</v>
      </c>
      <c r="O426" s="338">
        <v>1</v>
      </c>
      <c r="P426" s="339">
        <v>180</v>
      </c>
      <c r="Q426" s="339">
        <v>180</v>
      </c>
      <c r="R426" s="266"/>
      <c r="T426" s="4"/>
      <c r="U426" s="128"/>
    </row>
    <row r="427" spans="1:21" ht="18" x14ac:dyDescent="0.3">
      <c r="A427" s="216"/>
      <c r="B427" s="203"/>
      <c r="C427" s="217"/>
      <c r="D427" s="218"/>
      <c r="E427" s="218"/>
      <c r="F427" s="165"/>
      <c r="G427" s="166"/>
      <c r="H427" s="166"/>
      <c r="I427" s="219"/>
      <c r="J427" s="219"/>
      <c r="K427" s="219"/>
      <c r="L427" s="336" t="s">
        <v>1506</v>
      </c>
      <c r="M427" s="337" t="s">
        <v>1586</v>
      </c>
      <c r="N427" s="336" t="s">
        <v>64</v>
      </c>
      <c r="O427" s="338">
        <v>0.1</v>
      </c>
      <c r="P427" s="340">
        <v>4165.8</v>
      </c>
      <c r="Q427" s="339">
        <v>416.58</v>
      </c>
      <c r="R427" s="266"/>
      <c r="T427" s="4"/>
      <c r="U427" s="128"/>
    </row>
    <row r="428" spans="1:21" ht="18" x14ac:dyDescent="0.3">
      <c r="A428" s="216"/>
      <c r="B428" s="203"/>
      <c r="C428" s="217"/>
      <c r="D428" s="218"/>
      <c r="E428" s="218"/>
      <c r="F428" s="165"/>
      <c r="G428" s="166"/>
      <c r="H428" s="166"/>
      <c r="I428" s="219"/>
      <c r="J428" s="219"/>
      <c r="K428" s="219"/>
      <c r="L428" s="336" t="s">
        <v>1494</v>
      </c>
      <c r="M428" s="337" t="s">
        <v>1574</v>
      </c>
      <c r="N428" s="336" t="s">
        <v>64</v>
      </c>
      <c r="O428" s="338">
        <v>1</v>
      </c>
      <c r="P428" s="339">
        <v>179.2</v>
      </c>
      <c r="Q428" s="339">
        <v>179.2</v>
      </c>
      <c r="R428" s="266"/>
      <c r="T428" s="4"/>
      <c r="U428" s="128"/>
    </row>
    <row r="429" spans="1:21" ht="18" x14ac:dyDescent="0.3">
      <c r="A429" s="216"/>
      <c r="B429" s="203"/>
      <c r="C429" s="217"/>
      <c r="D429" s="218"/>
      <c r="E429" s="218"/>
      <c r="F429" s="165"/>
      <c r="G429" s="166"/>
      <c r="H429" s="166"/>
      <c r="I429" s="219"/>
      <c r="J429" s="219"/>
      <c r="K429" s="219"/>
      <c r="L429" s="336" t="s">
        <v>1640</v>
      </c>
      <c r="M429" s="337" t="s">
        <v>1666</v>
      </c>
      <c r="N429" s="336" t="s">
        <v>34</v>
      </c>
      <c r="O429" s="338">
        <v>1</v>
      </c>
      <c r="P429" s="339">
        <v>291</v>
      </c>
      <c r="Q429" s="339">
        <v>291</v>
      </c>
      <c r="R429" s="266"/>
      <c r="T429" s="4"/>
      <c r="U429" s="128"/>
    </row>
    <row r="430" spans="1:21" ht="18" x14ac:dyDescent="0.3">
      <c r="A430" s="216"/>
      <c r="B430" s="203"/>
      <c r="C430" s="217"/>
      <c r="D430" s="218"/>
      <c r="E430" s="218"/>
      <c r="F430" s="165"/>
      <c r="G430" s="166"/>
      <c r="H430" s="166"/>
      <c r="I430" s="219"/>
      <c r="J430" s="219"/>
      <c r="K430" s="219"/>
      <c r="L430" s="336" t="s">
        <v>1485</v>
      </c>
      <c r="M430" s="337" t="s">
        <v>1565</v>
      </c>
      <c r="N430" s="336" t="s">
        <v>34</v>
      </c>
      <c r="O430" s="338">
        <v>3</v>
      </c>
      <c r="P430" s="339">
        <v>20.09</v>
      </c>
      <c r="Q430" s="339">
        <v>60.26</v>
      </c>
      <c r="R430" s="266"/>
      <c r="T430" s="4"/>
      <c r="U430" s="128"/>
    </row>
    <row r="431" spans="1:21" ht="18" x14ac:dyDescent="0.3">
      <c r="A431" s="216"/>
      <c r="B431" s="203"/>
      <c r="C431" s="217"/>
      <c r="D431" s="218"/>
      <c r="E431" s="218"/>
      <c r="F431" s="165"/>
      <c r="G431" s="166"/>
      <c r="H431" s="166"/>
      <c r="I431" s="219"/>
      <c r="J431" s="219"/>
      <c r="K431" s="219"/>
      <c r="L431" s="336" t="s">
        <v>159</v>
      </c>
      <c r="M431" s="337" t="s">
        <v>160</v>
      </c>
      <c r="N431" s="336" t="s">
        <v>37</v>
      </c>
      <c r="O431" s="338">
        <v>3</v>
      </c>
      <c r="P431" s="339">
        <v>21</v>
      </c>
      <c r="Q431" s="339">
        <v>63</v>
      </c>
      <c r="R431" s="266"/>
      <c r="T431" s="4"/>
      <c r="U431" s="128"/>
    </row>
    <row r="432" spans="1:21" ht="18" x14ac:dyDescent="0.3">
      <c r="A432" s="216"/>
      <c r="B432" s="203"/>
      <c r="C432" s="217"/>
      <c r="D432" s="218"/>
      <c r="E432" s="218"/>
      <c r="F432" s="165"/>
      <c r="G432" s="166"/>
      <c r="H432" s="166"/>
      <c r="I432" s="219"/>
      <c r="J432" s="219"/>
      <c r="K432" s="219"/>
      <c r="L432" s="336" t="s">
        <v>1516</v>
      </c>
      <c r="M432" s="337" t="s">
        <v>1597</v>
      </c>
      <c r="N432" s="336" t="s">
        <v>34</v>
      </c>
      <c r="O432" s="338">
        <v>1</v>
      </c>
      <c r="P432" s="339">
        <v>50.4</v>
      </c>
      <c r="Q432" s="339">
        <v>50.4</v>
      </c>
      <c r="R432" s="266"/>
      <c r="T432" s="4"/>
      <c r="U432" s="128"/>
    </row>
    <row r="433" spans="1:21" ht="18" x14ac:dyDescent="0.3">
      <c r="A433" s="216"/>
      <c r="B433" s="203"/>
      <c r="C433" s="217"/>
      <c r="D433" s="218"/>
      <c r="E433" s="218"/>
      <c r="F433" s="165"/>
      <c r="G433" s="166"/>
      <c r="H433" s="166"/>
      <c r="I433" s="219"/>
      <c r="J433" s="219"/>
      <c r="K433" s="219"/>
      <c r="L433" s="336" t="s">
        <v>1502</v>
      </c>
      <c r="M433" s="337" t="s">
        <v>1582</v>
      </c>
      <c r="N433" s="336" t="s">
        <v>64</v>
      </c>
      <c r="O433" s="338">
        <v>1</v>
      </c>
      <c r="P433" s="339">
        <v>320.8</v>
      </c>
      <c r="Q433" s="339">
        <v>320.8</v>
      </c>
      <c r="R433" s="266"/>
      <c r="T433" s="4"/>
      <c r="U433" s="128"/>
    </row>
    <row r="434" spans="1:21" ht="18" x14ac:dyDescent="0.3">
      <c r="A434" s="216"/>
      <c r="B434" s="203"/>
      <c r="C434" s="217"/>
      <c r="D434" s="218"/>
      <c r="E434" s="218"/>
      <c r="F434" s="165"/>
      <c r="G434" s="166"/>
      <c r="H434" s="166"/>
      <c r="I434" s="219"/>
      <c r="J434" s="219"/>
      <c r="K434" s="219"/>
      <c r="L434" s="336" t="s">
        <v>1521</v>
      </c>
      <c r="M434" s="337" t="s">
        <v>1602</v>
      </c>
      <c r="N434" s="336" t="s">
        <v>34</v>
      </c>
      <c r="O434" s="338">
        <v>1</v>
      </c>
      <c r="P434" s="339">
        <v>56.8</v>
      </c>
      <c r="Q434" s="339">
        <v>56.8</v>
      </c>
      <c r="R434" s="266"/>
      <c r="T434" s="4"/>
      <c r="U434" s="128"/>
    </row>
    <row r="435" spans="1:21" ht="18" x14ac:dyDescent="0.3">
      <c r="A435" s="216"/>
      <c r="B435" s="203"/>
      <c r="C435" s="217"/>
      <c r="D435" s="218"/>
      <c r="E435" s="218"/>
      <c r="F435" s="165"/>
      <c r="G435" s="166"/>
      <c r="H435" s="166"/>
      <c r="I435" s="219"/>
      <c r="J435" s="219"/>
      <c r="K435" s="219"/>
      <c r="L435" s="336" t="s">
        <v>1681</v>
      </c>
      <c r="M435" s="337" t="s">
        <v>1699</v>
      </c>
      <c r="N435" s="336" t="s">
        <v>34</v>
      </c>
      <c r="O435" s="338">
        <v>1</v>
      </c>
      <c r="P435" s="339">
        <v>31</v>
      </c>
      <c r="Q435" s="339">
        <v>31</v>
      </c>
      <c r="R435" s="266"/>
      <c r="T435" s="4"/>
      <c r="U435" s="128"/>
    </row>
    <row r="436" spans="1:21" ht="18" x14ac:dyDescent="0.3">
      <c r="A436" s="216"/>
      <c r="B436" s="203"/>
      <c r="C436" s="217"/>
      <c r="D436" s="218"/>
      <c r="E436" s="218"/>
      <c r="F436" s="165"/>
      <c r="G436" s="166"/>
      <c r="H436" s="166"/>
      <c r="I436" s="219"/>
      <c r="J436" s="219"/>
      <c r="K436" s="219"/>
      <c r="L436" s="336" t="s">
        <v>1526</v>
      </c>
      <c r="M436" s="337" t="s">
        <v>1607</v>
      </c>
      <c r="N436" s="336" t="s">
        <v>34</v>
      </c>
      <c r="O436" s="338">
        <v>1</v>
      </c>
      <c r="P436" s="339">
        <v>152.9</v>
      </c>
      <c r="Q436" s="339">
        <v>152.9</v>
      </c>
      <c r="R436" s="266"/>
      <c r="T436" s="4"/>
      <c r="U436" s="128"/>
    </row>
    <row r="437" spans="1:21" ht="18" x14ac:dyDescent="0.3">
      <c r="A437" s="216"/>
      <c r="B437" s="203"/>
      <c r="C437" s="217"/>
      <c r="D437" s="218"/>
      <c r="E437" s="218"/>
      <c r="F437" s="165"/>
      <c r="G437" s="166"/>
      <c r="H437" s="166"/>
      <c r="I437" s="219"/>
      <c r="J437" s="219"/>
      <c r="K437" s="219"/>
      <c r="L437" s="330"/>
      <c r="M437" s="331"/>
      <c r="N437" s="330"/>
      <c r="O437" s="332"/>
      <c r="P437" s="333"/>
      <c r="Q437" s="333"/>
      <c r="R437" s="266"/>
      <c r="T437" s="4"/>
      <c r="U437" s="128"/>
    </row>
    <row r="438" spans="1:21" ht="18.600000000000001" thickBot="1" x14ac:dyDescent="0.35">
      <c r="A438" s="216"/>
      <c r="B438" s="203"/>
      <c r="C438" s="217"/>
      <c r="D438" s="218"/>
      <c r="E438" s="218"/>
      <c r="F438" s="165"/>
      <c r="G438" s="166"/>
      <c r="H438" s="166"/>
      <c r="I438" s="219"/>
      <c r="J438" s="219"/>
      <c r="K438" s="219"/>
      <c r="L438" s="221"/>
      <c r="M438" s="222"/>
      <c r="N438" s="221"/>
      <c r="O438" s="223"/>
      <c r="P438" s="224"/>
      <c r="Q438" s="224"/>
      <c r="R438" s="266"/>
      <c r="T438" s="4"/>
      <c r="U438" s="128"/>
    </row>
    <row r="439" spans="1:21" ht="21.6" thickBot="1" x14ac:dyDescent="0.35">
      <c r="A439" s="28"/>
      <c r="B439" s="29" t="s">
        <v>29</v>
      </c>
      <c r="C439" s="30"/>
      <c r="D439" s="31">
        <f>SUM(D344:D438)</f>
        <v>0</v>
      </c>
      <c r="E439" s="31"/>
      <c r="F439" s="71"/>
      <c r="G439" s="71"/>
      <c r="H439" s="71"/>
      <c r="I439" s="71"/>
      <c r="J439" s="71"/>
      <c r="K439" s="71"/>
      <c r="L439" s="120"/>
      <c r="M439" s="121"/>
      <c r="N439" s="121"/>
      <c r="O439" s="34"/>
      <c r="P439" s="34"/>
      <c r="Q439" s="34">
        <f>SUM(Q346:Q438)</f>
        <v>31691.06</v>
      </c>
      <c r="R439" s="35"/>
    </row>
    <row r="440" spans="1:21" ht="21.6" thickBot="1" x14ac:dyDescent="0.35">
      <c r="A440" s="36"/>
      <c r="B440" s="37" t="s">
        <v>30</v>
      </c>
      <c r="C440" s="38"/>
      <c r="D440" s="39"/>
      <c r="E440" s="39"/>
      <c r="F440" s="73"/>
      <c r="G440" s="73"/>
      <c r="H440" s="73"/>
      <c r="I440" s="73"/>
      <c r="J440" s="73"/>
      <c r="K440" s="73"/>
      <c r="L440" s="122"/>
      <c r="M440" s="123"/>
      <c r="N440" s="123"/>
      <c r="O440" s="42"/>
      <c r="P440" s="42"/>
      <c r="Q440" s="42">
        <f>Q439+Q345</f>
        <v>611211.03</v>
      </c>
      <c r="R440" s="43"/>
    </row>
    <row r="441" spans="1:21" ht="25.2" customHeight="1" x14ac:dyDescent="0.4">
      <c r="A441" s="288" t="s">
        <v>12</v>
      </c>
      <c r="B441" s="288"/>
      <c r="C441" s="288"/>
      <c r="D441" s="288"/>
      <c r="E441" s="288"/>
      <c r="F441" s="288"/>
      <c r="G441" s="288"/>
      <c r="H441" s="288"/>
      <c r="I441" s="288"/>
      <c r="J441" s="288"/>
      <c r="K441" s="288"/>
      <c r="L441" s="288"/>
      <c r="M441" s="288"/>
      <c r="N441" s="288"/>
      <c r="O441" s="124"/>
      <c r="P441" s="284"/>
      <c r="Q441" s="284"/>
      <c r="R441" s="5"/>
    </row>
    <row r="442" spans="1:21" ht="25.2" customHeight="1" x14ac:dyDescent="0.4">
      <c r="A442" s="288" t="s">
        <v>13</v>
      </c>
      <c r="B442" s="288"/>
      <c r="C442" s="288"/>
      <c r="D442" s="288"/>
      <c r="E442" s="288"/>
      <c r="F442" s="288"/>
      <c r="G442" s="288"/>
      <c r="H442" s="288"/>
      <c r="I442" s="288"/>
      <c r="J442" s="288"/>
      <c r="K442" s="288"/>
      <c r="L442" s="288"/>
      <c r="M442" s="288"/>
      <c r="N442" s="288"/>
      <c r="O442" s="124"/>
      <c r="P442" s="284"/>
      <c r="Q442" s="284"/>
      <c r="R442" s="5"/>
    </row>
    <row r="443" spans="1:21" ht="25.2" customHeight="1" x14ac:dyDescent="0.4">
      <c r="A443" s="290" t="s">
        <v>14</v>
      </c>
      <c r="B443" s="290"/>
      <c r="C443" s="290"/>
      <c r="D443" s="290"/>
      <c r="E443" s="290"/>
      <c r="F443" s="290"/>
      <c r="G443" s="290"/>
      <c r="H443" s="290"/>
      <c r="I443" s="290"/>
      <c r="J443" s="290"/>
      <c r="K443" s="290"/>
      <c r="L443" s="290"/>
      <c r="M443" s="290"/>
      <c r="N443" s="290"/>
      <c r="O443" s="125"/>
      <c r="P443" s="285"/>
      <c r="Q443" s="285"/>
      <c r="R443" s="5"/>
    </row>
    <row r="444" spans="1:21" ht="25.2" customHeight="1" x14ac:dyDescent="0.4">
      <c r="A444" s="288" t="s">
        <v>15</v>
      </c>
      <c r="B444" s="288"/>
      <c r="C444" s="288"/>
      <c r="D444" s="288"/>
      <c r="E444" s="288"/>
      <c r="F444" s="288"/>
      <c r="G444" s="288"/>
      <c r="H444" s="288"/>
      <c r="I444" s="288"/>
      <c r="J444" s="288"/>
      <c r="K444" s="288"/>
      <c r="L444" s="288"/>
      <c r="M444" s="288"/>
      <c r="N444" s="288"/>
      <c r="O444" s="124"/>
      <c r="P444" s="284"/>
      <c r="Q444" s="284"/>
      <c r="R444" s="5"/>
    </row>
    <row r="445" spans="1:21" ht="25.2" customHeight="1" x14ac:dyDescent="0.4">
      <c r="A445" s="288" t="s">
        <v>16</v>
      </c>
      <c r="B445" s="288"/>
      <c r="C445" s="288"/>
      <c r="D445" s="288"/>
      <c r="E445" s="288"/>
      <c r="F445" s="288"/>
      <c r="G445" s="288"/>
      <c r="H445" s="288"/>
      <c r="I445" s="288"/>
      <c r="J445" s="288"/>
      <c r="K445" s="288"/>
      <c r="L445" s="288"/>
      <c r="M445" s="288"/>
      <c r="N445" s="288"/>
      <c r="O445" s="124"/>
      <c r="P445" s="284"/>
      <c r="Q445" s="284"/>
      <c r="R445" s="5"/>
    </row>
    <row r="446" spans="1:21" ht="25.2" customHeight="1" x14ac:dyDescent="0.4">
      <c r="A446" s="288" t="s">
        <v>17</v>
      </c>
      <c r="B446" s="288"/>
      <c r="C446" s="288"/>
      <c r="D446" s="288"/>
      <c r="E446" s="288"/>
      <c r="F446" s="288"/>
      <c r="G446" s="288"/>
      <c r="H446" s="288"/>
      <c r="I446" s="288"/>
      <c r="J446" s="288"/>
      <c r="K446" s="288"/>
      <c r="L446" s="288"/>
      <c r="M446" s="288"/>
      <c r="N446" s="288"/>
      <c r="O446" s="124"/>
      <c r="P446" s="284"/>
      <c r="Q446" s="284"/>
      <c r="R446" s="5"/>
    </row>
    <row r="447" spans="1:21" ht="25.2" customHeight="1" x14ac:dyDescent="0.4">
      <c r="A447" s="288" t="s">
        <v>1852</v>
      </c>
      <c r="B447" s="288"/>
      <c r="C447" s="288"/>
      <c r="D447" s="288"/>
      <c r="E447" s="288"/>
      <c r="F447" s="288"/>
      <c r="G447" s="288"/>
      <c r="H447" s="288"/>
      <c r="I447" s="288"/>
      <c r="J447" s="288"/>
      <c r="K447" s="288"/>
      <c r="L447" s="288"/>
      <c r="M447" s="288"/>
      <c r="N447" s="288"/>
      <c r="O447" s="124"/>
      <c r="P447" s="284"/>
      <c r="Q447" s="284"/>
      <c r="R447" s="5"/>
    </row>
    <row r="448" spans="1:21" ht="25.2" customHeight="1" x14ac:dyDescent="0.4">
      <c r="A448" s="288" t="s">
        <v>17</v>
      </c>
      <c r="B448" s="288"/>
      <c r="C448" s="288"/>
      <c r="D448" s="288"/>
      <c r="E448" s="288"/>
      <c r="F448" s="288"/>
      <c r="G448" s="288"/>
      <c r="H448" s="288"/>
      <c r="I448" s="288"/>
      <c r="J448" s="288"/>
      <c r="K448" s="288"/>
      <c r="L448" s="288"/>
      <c r="M448" s="288"/>
      <c r="N448" s="288"/>
      <c r="O448" s="124"/>
      <c r="P448" s="284"/>
      <c r="Q448" s="284"/>
      <c r="R448" s="5"/>
    </row>
    <row r="449" spans="1:18" ht="25.2" customHeight="1" x14ac:dyDescent="0.4">
      <c r="A449" s="288" t="s">
        <v>19</v>
      </c>
      <c r="B449" s="288"/>
      <c r="C449" s="288"/>
      <c r="D449" s="288"/>
      <c r="E449" s="288"/>
      <c r="F449" s="288"/>
      <c r="G449" s="288"/>
      <c r="H449" s="288"/>
      <c r="I449" s="288"/>
      <c r="J449" s="288"/>
      <c r="K449" s="288"/>
      <c r="L449" s="288"/>
      <c r="M449" s="288"/>
      <c r="N449" s="288"/>
      <c r="O449" s="124"/>
      <c r="P449" s="284"/>
      <c r="Q449" s="284"/>
      <c r="R449" s="5"/>
    </row>
    <row r="450" spans="1:18" ht="25.2" customHeight="1" x14ac:dyDescent="0.4">
      <c r="A450" s="288" t="s">
        <v>11</v>
      </c>
      <c r="B450" s="288"/>
      <c r="C450" s="288"/>
      <c r="D450" s="288"/>
      <c r="E450" s="288"/>
      <c r="F450" s="288"/>
      <c r="G450" s="288"/>
      <c r="H450" s="288"/>
      <c r="I450" s="288"/>
      <c r="J450" s="288"/>
      <c r="K450" s="288"/>
      <c r="L450" s="288"/>
      <c r="M450" s="288"/>
      <c r="N450" s="288"/>
      <c r="O450" s="124"/>
      <c r="P450" s="284"/>
      <c r="Q450" s="284"/>
      <c r="R450" s="5"/>
    </row>
    <row r="451" spans="1:18" ht="25.2" customHeight="1" x14ac:dyDescent="0.4">
      <c r="A451" s="288" t="s">
        <v>1859</v>
      </c>
      <c r="B451" s="288"/>
      <c r="C451" s="288"/>
      <c r="D451" s="288"/>
      <c r="E451" s="288"/>
      <c r="F451" s="288"/>
      <c r="G451" s="288"/>
      <c r="H451" s="288"/>
      <c r="I451" s="288"/>
      <c r="J451" s="288"/>
      <c r="K451" s="288"/>
      <c r="L451" s="288"/>
      <c r="M451" s="288"/>
      <c r="N451" s="288"/>
      <c r="O451" s="124"/>
      <c r="P451" s="284"/>
      <c r="Q451" s="284"/>
      <c r="R451" s="5"/>
    </row>
    <row r="452" spans="1:18" ht="25.2" customHeight="1" x14ac:dyDescent="0.4">
      <c r="A452" s="289" t="s">
        <v>31</v>
      </c>
      <c r="B452" s="289"/>
      <c r="C452" s="289"/>
      <c r="D452" s="289"/>
      <c r="E452" s="289"/>
      <c r="F452" s="289"/>
      <c r="G452" s="289"/>
      <c r="H452" s="289"/>
      <c r="I452" s="289"/>
      <c r="J452" s="289"/>
      <c r="K452" s="289"/>
      <c r="L452" s="289"/>
      <c r="M452" s="289"/>
      <c r="N452" s="289"/>
      <c r="O452" s="126"/>
      <c r="P452" s="286"/>
      <c r="Q452" s="286"/>
      <c r="R452" s="5"/>
    </row>
    <row r="453" spans="1:18" ht="36" customHeight="1" x14ac:dyDescent="0.3"/>
  </sheetData>
  <autoFilter ref="A18:U452" xr:uid="{DE685D05-9FEE-404B-AA01-BE2D5B544193}"/>
  <mergeCells count="36">
    <mergeCell ref="A451:N451"/>
    <mergeCell ref="A452:N452"/>
    <mergeCell ref="A445:N445"/>
    <mergeCell ref="A446:N446"/>
    <mergeCell ref="A447:N447"/>
    <mergeCell ref="A448:N448"/>
    <mergeCell ref="A449:N449"/>
    <mergeCell ref="A450:N450"/>
    <mergeCell ref="M16:Q16"/>
    <mergeCell ref="R16:R17"/>
    <mergeCell ref="A441:N441"/>
    <mergeCell ref="A442:N442"/>
    <mergeCell ref="A443:N443"/>
    <mergeCell ref="A444:N444"/>
    <mergeCell ref="F16:F17"/>
    <mergeCell ref="G16:G17"/>
    <mergeCell ref="H16:H17"/>
    <mergeCell ref="I16:I17"/>
    <mergeCell ref="J16:J17"/>
    <mergeCell ref="K16:K17"/>
    <mergeCell ref="A12:R12"/>
    <mergeCell ref="A13:R13"/>
    <mergeCell ref="A14:Q14"/>
    <mergeCell ref="A15:K15"/>
    <mergeCell ref="L15:R15"/>
    <mergeCell ref="A16:A17"/>
    <mergeCell ref="B16:B17"/>
    <mergeCell ref="C16:C17"/>
    <mergeCell ref="D16:D17"/>
    <mergeCell ref="E16:E17"/>
    <mergeCell ref="M1:R2"/>
    <mergeCell ref="M4:R4"/>
    <mergeCell ref="M5:R5"/>
    <mergeCell ref="M7:R7"/>
    <mergeCell ref="A10:R10"/>
    <mergeCell ref="A11:R11"/>
  </mergeCells>
  <pageMargins left="0.25" right="0.25" top="0.75" bottom="0.75" header="0.3" footer="0.3"/>
  <pageSetup paperSize="9" scale="36" fitToHeight="0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24D7-E2F2-458C-8519-C33A6A6504F7}">
  <sheetPr>
    <tabColor rgb="FFFFFF00"/>
    <pageSetUpPr fitToPage="1"/>
  </sheetPr>
  <dimension ref="A1:U451"/>
  <sheetViews>
    <sheetView topLeftCell="E332" zoomScale="68" zoomScaleNormal="68" workbookViewId="0">
      <selection activeCell="Q439" sqref="Q439"/>
    </sheetView>
  </sheetViews>
  <sheetFormatPr defaultRowHeight="14.4" x14ac:dyDescent="0.3"/>
  <cols>
    <col min="1" max="1" width="6.6640625" style="287" customWidth="1"/>
    <col min="2" max="2" width="63.109375" customWidth="1"/>
    <col min="3" max="3" width="10.44140625" style="287" customWidth="1"/>
    <col min="4" max="4" width="11.109375" style="287" customWidth="1"/>
    <col min="5" max="5" width="13.109375" style="287" customWidth="1"/>
    <col min="6" max="6" width="20.109375" style="287" customWidth="1"/>
    <col min="7" max="11" width="13.109375" style="287" customWidth="1"/>
    <col min="12" max="12" width="17.33203125" style="4" customWidth="1"/>
    <col min="13" max="13" width="61" style="4" customWidth="1"/>
    <col min="14" max="15" width="11.6640625" style="4" customWidth="1"/>
    <col min="16" max="16" width="19.77734375" style="4" customWidth="1"/>
    <col min="17" max="17" width="15.44140625" style="4" bestFit="1" customWidth="1"/>
    <col min="18" max="18" width="35.44140625" customWidth="1"/>
    <col min="19" max="19" width="12.109375" bestFit="1" customWidth="1"/>
    <col min="21" max="21" width="9.88671875" bestFit="1" customWidth="1"/>
  </cols>
  <sheetData>
    <row r="1" spans="1:20" ht="15.75" customHeight="1" x14ac:dyDescent="0.3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06" t="s">
        <v>26</v>
      </c>
      <c r="N1" s="306"/>
      <c r="O1" s="306"/>
      <c r="P1" s="306"/>
      <c r="Q1" s="306"/>
      <c r="R1" s="306"/>
      <c r="S1" s="13"/>
      <c r="T1" s="13"/>
    </row>
    <row r="2" spans="1:20" ht="15" customHeight="1" x14ac:dyDescent="0.3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07"/>
      <c r="N2" s="307"/>
      <c r="O2" s="307"/>
      <c r="P2" s="307"/>
      <c r="Q2" s="307"/>
      <c r="R2" s="307"/>
      <c r="S2" s="13"/>
      <c r="T2" s="13"/>
    </row>
    <row r="3" spans="1:20" ht="15.6" x14ac:dyDescent="0.3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19"/>
      <c r="N3" s="119"/>
      <c r="O3" s="119"/>
      <c r="P3" s="283"/>
      <c r="Q3" s="283"/>
      <c r="R3" s="283"/>
      <c r="S3" s="13"/>
      <c r="T3" s="13"/>
    </row>
    <row r="4" spans="1:20" ht="23.4" x14ac:dyDescent="0.4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08" t="s">
        <v>27</v>
      </c>
      <c r="N4" s="308"/>
      <c r="O4" s="308"/>
      <c r="P4" s="308"/>
      <c r="Q4" s="308"/>
      <c r="R4" s="308"/>
      <c r="S4" s="13"/>
      <c r="T4" s="13"/>
    </row>
    <row r="5" spans="1:20" ht="21" x14ac:dyDescent="0.4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09" t="s">
        <v>28</v>
      </c>
      <c r="N5" s="309"/>
      <c r="O5" s="309"/>
      <c r="P5" s="309"/>
      <c r="Q5" s="309"/>
      <c r="R5" s="309"/>
      <c r="S5" s="13"/>
      <c r="T5" s="13"/>
    </row>
    <row r="6" spans="1:20" ht="15.6" x14ac:dyDescent="0.3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9"/>
      <c r="O6" s="9"/>
      <c r="P6" s="10"/>
      <c r="Q6" s="11"/>
      <c r="R6" s="12"/>
      <c r="S6" s="13"/>
      <c r="T6" s="13"/>
    </row>
    <row r="7" spans="1:20" ht="18" x14ac:dyDescent="0.35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10" t="s">
        <v>33</v>
      </c>
      <c r="N7" s="310"/>
      <c r="O7" s="310"/>
      <c r="P7" s="310"/>
      <c r="Q7" s="310"/>
      <c r="R7" s="310"/>
      <c r="S7" s="13"/>
      <c r="T7" s="13"/>
    </row>
    <row r="8" spans="1:20" ht="15.6" x14ac:dyDescent="0.3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S8" s="13"/>
      <c r="T8" s="13"/>
    </row>
    <row r="9" spans="1:20" ht="15.6" x14ac:dyDescent="0.3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S9" s="13"/>
      <c r="T9" s="13"/>
    </row>
    <row r="10" spans="1:20" ht="18" customHeight="1" x14ac:dyDescent="0.3">
      <c r="A10" s="305" t="s">
        <v>0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13"/>
      <c r="T10" s="13"/>
    </row>
    <row r="11" spans="1:20" ht="18" customHeight="1" x14ac:dyDescent="0.3">
      <c r="A11" s="305" t="s">
        <v>1</v>
      </c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13"/>
      <c r="T11" s="13"/>
    </row>
    <row r="12" spans="1:20" ht="18" customHeight="1" x14ac:dyDescent="0.3">
      <c r="A12" s="305" t="s">
        <v>2</v>
      </c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13"/>
      <c r="T12" s="13"/>
    </row>
    <row r="13" spans="1:20" ht="63.6" customHeight="1" x14ac:dyDescent="0.3">
      <c r="A13" s="311" t="s">
        <v>1895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</row>
    <row r="14" spans="1:20" ht="27" customHeight="1" thickBot="1" x14ac:dyDescent="0.35">
      <c r="A14" s="313" t="s">
        <v>36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  <c r="Q14" s="313"/>
    </row>
    <row r="15" spans="1:20" ht="30.6" customHeight="1" thickBot="1" x14ac:dyDescent="0.35">
      <c r="A15" s="314" t="s">
        <v>24</v>
      </c>
      <c r="B15" s="315"/>
      <c r="C15" s="315"/>
      <c r="D15" s="315"/>
      <c r="E15" s="315"/>
      <c r="F15" s="315"/>
      <c r="G15" s="315"/>
      <c r="H15" s="315"/>
      <c r="I15" s="315"/>
      <c r="J15" s="315"/>
      <c r="K15" s="315"/>
      <c r="L15" s="316" t="s">
        <v>25</v>
      </c>
      <c r="M15" s="317"/>
      <c r="N15" s="317"/>
      <c r="O15" s="317"/>
      <c r="P15" s="317"/>
      <c r="Q15" s="317"/>
      <c r="R15" s="318"/>
    </row>
    <row r="16" spans="1:20" ht="15" customHeight="1" x14ac:dyDescent="0.3">
      <c r="A16" s="298" t="s">
        <v>3</v>
      </c>
      <c r="B16" s="300" t="s">
        <v>4</v>
      </c>
      <c r="C16" s="300"/>
      <c r="D16" s="293" t="s">
        <v>5</v>
      </c>
      <c r="E16" s="300" t="s">
        <v>6</v>
      </c>
      <c r="F16" s="291"/>
      <c r="G16" s="293"/>
      <c r="H16" s="293"/>
      <c r="I16" s="294"/>
      <c r="J16" s="293" t="s">
        <v>21</v>
      </c>
      <c r="K16" s="296" t="s">
        <v>22</v>
      </c>
      <c r="L16" s="16"/>
      <c r="M16" s="302" t="s">
        <v>7</v>
      </c>
      <c r="N16" s="303"/>
      <c r="O16" s="303"/>
      <c r="P16" s="303"/>
      <c r="Q16" s="304"/>
      <c r="R16" s="296" t="s">
        <v>8</v>
      </c>
    </row>
    <row r="17" spans="1:21" ht="34.200000000000003" customHeight="1" x14ac:dyDescent="0.3">
      <c r="A17" s="299"/>
      <c r="B17" s="301"/>
      <c r="C17" s="301"/>
      <c r="D17" s="292"/>
      <c r="E17" s="301"/>
      <c r="F17" s="292"/>
      <c r="G17" s="292"/>
      <c r="H17" s="292"/>
      <c r="I17" s="295"/>
      <c r="J17" s="292"/>
      <c r="K17" s="297"/>
      <c r="L17" s="17" t="s">
        <v>20</v>
      </c>
      <c r="M17" s="14" t="s">
        <v>9</v>
      </c>
      <c r="N17" s="18" t="s">
        <v>10</v>
      </c>
      <c r="O17" s="7" t="s">
        <v>6</v>
      </c>
      <c r="P17" s="8" t="s">
        <v>21</v>
      </c>
      <c r="Q17" s="8" t="s">
        <v>22</v>
      </c>
      <c r="R17" s="297"/>
    </row>
    <row r="18" spans="1:21" ht="15" thickBot="1" x14ac:dyDescent="0.35">
      <c r="A18" s="21">
        <v>1</v>
      </c>
      <c r="B18" s="22">
        <v>2</v>
      </c>
      <c r="C18" s="22"/>
      <c r="D18" s="22">
        <v>3</v>
      </c>
      <c r="E18" s="22">
        <v>4</v>
      </c>
      <c r="F18" s="22"/>
      <c r="G18" s="22"/>
      <c r="H18" s="22"/>
      <c r="I18" s="74"/>
      <c r="J18" s="22">
        <v>5</v>
      </c>
      <c r="K18" s="23">
        <v>6</v>
      </c>
      <c r="L18" s="83">
        <v>7</v>
      </c>
      <c r="M18" s="7">
        <v>8</v>
      </c>
      <c r="N18" s="7">
        <v>9</v>
      </c>
      <c r="O18" s="7">
        <v>10</v>
      </c>
      <c r="P18" s="7">
        <v>11</v>
      </c>
      <c r="Q18" s="7">
        <v>12</v>
      </c>
      <c r="R18" s="127">
        <v>13</v>
      </c>
      <c r="U18" s="128"/>
    </row>
    <row r="19" spans="1:21" ht="33.6" customHeight="1" x14ac:dyDescent="0.3">
      <c r="A19" s="60"/>
      <c r="B19" s="80" t="s">
        <v>1896</v>
      </c>
      <c r="C19" s="80"/>
      <c r="D19" s="80" t="s">
        <v>34</v>
      </c>
      <c r="E19" s="80">
        <v>1</v>
      </c>
      <c r="F19" s="69"/>
      <c r="G19" s="69"/>
      <c r="H19" s="69"/>
      <c r="I19" s="69"/>
      <c r="J19" s="69"/>
      <c r="K19" s="69"/>
      <c r="L19" s="342" t="s">
        <v>1862</v>
      </c>
      <c r="M19" s="343" t="s">
        <v>1878</v>
      </c>
      <c r="N19" s="342" t="s">
        <v>34</v>
      </c>
      <c r="O19" s="344">
        <v>1</v>
      </c>
      <c r="P19" s="345">
        <v>96.77</v>
      </c>
      <c r="Q19" s="345">
        <v>96.77</v>
      </c>
      <c r="R19" s="181"/>
      <c r="U19" s="128"/>
    </row>
    <row r="20" spans="1:21" ht="15.6" x14ac:dyDescent="0.3">
      <c r="A20" s="51"/>
      <c r="B20" s="59"/>
      <c r="C20" s="47"/>
      <c r="D20" s="61"/>
      <c r="E20" s="62"/>
      <c r="F20" s="75"/>
      <c r="G20" s="76"/>
      <c r="H20" s="76"/>
      <c r="I20" s="48"/>
      <c r="J20" s="48"/>
      <c r="K20" s="48"/>
      <c r="L20" s="342" t="s">
        <v>977</v>
      </c>
      <c r="M20" s="343" t="s">
        <v>1057</v>
      </c>
      <c r="N20" s="342" t="s">
        <v>34</v>
      </c>
      <c r="O20" s="344">
        <v>105</v>
      </c>
      <c r="P20" s="345">
        <v>3.94</v>
      </c>
      <c r="Q20" s="345">
        <v>413.7</v>
      </c>
      <c r="R20" s="182"/>
      <c r="U20" s="128"/>
    </row>
    <row r="21" spans="1:21" ht="15.6" x14ac:dyDescent="0.3">
      <c r="A21" s="51"/>
      <c r="B21" s="59"/>
      <c r="C21" s="47"/>
      <c r="D21" s="61"/>
      <c r="E21" s="62"/>
      <c r="F21" s="75"/>
      <c r="G21" s="76"/>
      <c r="H21" s="76"/>
      <c r="I21" s="48"/>
      <c r="J21" s="48"/>
      <c r="K21" s="48"/>
      <c r="L21" s="342" t="s">
        <v>978</v>
      </c>
      <c r="M21" s="343" t="s">
        <v>1058</v>
      </c>
      <c r="N21" s="342" t="s">
        <v>34</v>
      </c>
      <c r="O21" s="344">
        <v>205</v>
      </c>
      <c r="P21" s="345">
        <v>2.4300000000000002</v>
      </c>
      <c r="Q21" s="345">
        <v>498.15</v>
      </c>
      <c r="R21" s="182"/>
      <c r="U21" s="128"/>
    </row>
    <row r="22" spans="1:21" ht="15.6" x14ac:dyDescent="0.3">
      <c r="A22" s="53"/>
      <c r="B22" s="54"/>
      <c r="C22" s="54"/>
      <c r="D22" s="54"/>
      <c r="E22" s="55"/>
      <c r="F22" s="75"/>
      <c r="G22" s="76"/>
      <c r="H22" s="76"/>
      <c r="I22" s="48"/>
      <c r="J22" s="70"/>
      <c r="K22" s="70"/>
      <c r="L22" s="342" t="s">
        <v>941</v>
      </c>
      <c r="M22" s="343" t="s">
        <v>1040</v>
      </c>
      <c r="N22" s="342" t="s">
        <v>903</v>
      </c>
      <c r="O22" s="344">
        <v>0.15</v>
      </c>
      <c r="P22" s="346">
        <v>10651.4</v>
      </c>
      <c r="Q22" s="346">
        <v>1597.71</v>
      </c>
      <c r="R22" s="182"/>
      <c r="U22" s="128"/>
    </row>
    <row r="23" spans="1:21" ht="15.6" x14ac:dyDescent="0.3">
      <c r="A23" s="53"/>
      <c r="B23" s="54"/>
      <c r="C23" s="54"/>
      <c r="D23" s="54"/>
      <c r="E23" s="55"/>
      <c r="F23" s="75"/>
      <c r="G23" s="76"/>
      <c r="H23" s="76"/>
      <c r="I23" s="48"/>
      <c r="J23" s="70"/>
      <c r="K23" s="70"/>
      <c r="L23" s="342" t="s">
        <v>942</v>
      </c>
      <c r="M23" s="343" t="s">
        <v>740</v>
      </c>
      <c r="N23" s="342" t="s">
        <v>903</v>
      </c>
      <c r="O23" s="344">
        <v>1.84</v>
      </c>
      <c r="P23" s="346">
        <v>10651.4</v>
      </c>
      <c r="Q23" s="346">
        <v>19598.580000000002</v>
      </c>
      <c r="R23" s="182"/>
      <c r="U23" s="128"/>
    </row>
    <row r="24" spans="1:21" ht="15.6" x14ac:dyDescent="0.3">
      <c r="A24" s="53"/>
      <c r="B24" s="54"/>
      <c r="C24" s="54"/>
      <c r="D24" s="54"/>
      <c r="E24" s="55"/>
      <c r="F24" s="75"/>
      <c r="G24" s="76"/>
      <c r="H24" s="76"/>
      <c r="I24" s="48"/>
      <c r="J24" s="70"/>
      <c r="K24" s="70"/>
      <c r="L24" s="342" t="s">
        <v>1283</v>
      </c>
      <c r="M24" s="343" t="s">
        <v>1318</v>
      </c>
      <c r="N24" s="342" t="s">
        <v>903</v>
      </c>
      <c r="O24" s="344">
        <v>1</v>
      </c>
      <c r="P24" s="346">
        <v>10416.67</v>
      </c>
      <c r="Q24" s="346">
        <v>10416.67</v>
      </c>
      <c r="R24" s="182"/>
      <c r="U24" s="128"/>
    </row>
    <row r="25" spans="1:21" ht="15.6" x14ac:dyDescent="0.3">
      <c r="A25" s="53"/>
      <c r="B25" s="54"/>
      <c r="C25" s="54"/>
      <c r="D25" s="54"/>
      <c r="E25" s="55"/>
      <c r="F25" s="75"/>
      <c r="G25" s="76"/>
      <c r="H25" s="76"/>
      <c r="I25" s="48"/>
      <c r="J25" s="70"/>
      <c r="K25" s="70"/>
      <c r="L25" s="342" t="s">
        <v>1863</v>
      </c>
      <c r="M25" s="343" t="s">
        <v>1879</v>
      </c>
      <c r="N25" s="342" t="s">
        <v>903</v>
      </c>
      <c r="O25" s="344">
        <v>0.11</v>
      </c>
      <c r="P25" s="346">
        <v>12500</v>
      </c>
      <c r="Q25" s="346">
        <v>1375</v>
      </c>
      <c r="R25" s="182"/>
      <c r="U25" s="128"/>
    </row>
    <row r="26" spans="1:21" ht="15.6" x14ac:dyDescent="0.3">
      <c r="A26" s="53"/>
      <c r="B26" s="54"/>
      <c r="C26" s="54"/>
      <c r="D26" s="54"/>
      <c r="E26" s="55"/>
      <c r="F26" s="75"/>
      <c r="G26" s="76"/>
      <c r="H26" s="76"/>
      <c r="I26" s="48"/>
      <c r="J26" s="70"/>
      <c r="K26" s="70"/>
      <c r="L26" s="342" t="s">
        <v>943</v>
      </c>
      <c r="M26" s="343" t="s">
        <v>745</v>
      </c>
      <c r="N26" s="342" t="s">
        <v>903</v>
      </c>
      <c r="O26" s="344">
        <v>0.15</v>
      </c>
      <c r="P26" s="346">
        <v>9590</v>
      </c>
      <c r="Q26" s="346">
        <v>1438.5</v>
      </c>
      <c r="R26" s="182"/>
      <c r="U26" s="128"/>
    </row>
    <row r="27" spans="1:21" ht="15.6" x14ac:dyDescent="0.3">
      <c r="A27" s="53"/>
      <c r="B27" s="54"/>
      <c r="C27" s="54"/>
      <c r="D27" s="54"/>
      <c r="E27" s="55"/>
      <c r="F27" s="75"/>
      <c r="G27" s="76"/>
      <c r="H27" s="76"/>
      <c r="I27" s="48"/>
      <c r="J27" s="70"/>
      <c r="K27" s="70"/>
      <c r="L27" s="342" t="s">
        <v>1023</v>
      </c>
      <c r="M27" s="343" t="s">
        <v>70</v>
      </c>
      <c r="N27" s="342" t="s">
        <v>56</v>
      </c>
      <c r="O27" s="344">
        <v>0.13</v>
      </c>
      <c r="P27" s="346">
        <v>27143</v>
      </c>
      <c r="Q27" s="346">
        <v>3528.59</v>
      </c>
      <c r="R27" s="182"/>
      <c r="U27" s="128"/>
    </row>
    <row r="28" spans="1:21" ht="15.6" x14ac:dyDescent="0.3">
      <c r="A28" s="53"/>
      <c r="B28" s="54"/>
      <c r="C28" s="54"/>
      <c r="D28" s="54"/>
      <c r="E28" s="55"/>
      <c r="F28" s="75"/>
      <c r="G28" s="76"/>
      <c r="H28" s="76"/>
      <c r="I28" s="48"/>
      <c r="J28" s="70"/>
      <c r="K28" s="70"/>
      <c r="L28" s="342" t="s">
        <v>1024</v>
      </c>
      <c r="M28" s="343" t="s">
        <v>71</v>
      </c>
      <c r="N28" s="342" t="s">
        <v>56</v>
      </c>
      <c r="O28" s="344">
        <v>0.12</v>
      </c>
      <c r="P28" s="346">
        <v>43560</v>
      </c>
      <c r="Q28" s="346">
        <v>5227.2</v>
      </c>
      <c r="R28" s="182"/>
      <c r="U28" s="128"/>
    </row>
    <row r="29" spans="1:21" ht="15.6" x14ac:dyDescent="0.3">
      <c r="A29" s="53"/>
      <c r="B29" s="54"/>
      <c r="C29" s="54"/>
      <c r="D29" s="54"/>
      <c r="E29" s="55"/>
      <c r="F29" s="75"/>
      <c r="G29" s="76"/>
      <c r="H29" s="76"/>
      <c r="I29" s="48"/>
      <c r="J29" s="70"/>
      <c r="K29" s="70"/>
      <c r="L29" s="342" t="s">
        <v>1025</v>
      </c>
      <c r="M29" s="343" t="s">
        <v>72</v>
      </c>
      <c r="N29" s="342" t="s">
        <v>56</v>
      </c>
      <c r="O29" s="344">
        <v>1.7999999999999999E-2</v>
      </c>
      <c r="P29" s="346">
        <v>67490.559999999998</v>
      </c>
      <c r="Q29" s="346">
        <v>1214.83</v>
      </c>
      <c r="R29" s="182"/>
      <c r="U29" s="128"/>
    </row>
    <row r="30" spans="1:21" ht="15.6" x14ac:dyDescent="0.3">
      <c r="A30" s="53"/>
      <c r="B30" s="54"/>
      <c r="C30" s="54"/>
      <c r="D30" s="54"/>
      <c r="E30" s="55"/>
      <c r="F30" s="75"/>
      <c r="G30" s="76"/>
      <c r="H30" s="76"/>
      <c r="I30" s="48"/>
      <c r="J30" s="70"/>
      <c r="K30" s="70"/>
      <c r="L30" s="342" t="s">
        <v>979</v>
      </c>
      <c r="M30" s="343" t="s">
        <v>73</v>
      </c>
      <c r="N30" s="342" t="s">
        <v>34</v>
      </c>
      <c r="O30" s="344">
        <v>4</v>
      </c>
      <c r="P30" s="345">
        <v>377.87</v>
      </c>
      <c r="Q30" s="346">
        <v>1511.49</v>
      </c>
      <c r="R30" s="182"/>
      <c r="U30" s="128"/>
    </row>
    <row r="31" spans="1:21" ht="15.6" x14ac:dyDescent="0.3">
      <c r="A31" s="53"/>
      <c r="B31" s="54"/>
      <c r="C31" s="54"/>
      <c r="D31" s="54"/>
      <c r="E31" s="55"/>
      <c r="F31" s="75"/>
      <c r="G31" s="76"/>
      <c r="H31" s="76"/>
      <c r="I31" s="48"/>
      <c r="J31" s="70"/>
      <c r="K31" s="70"/>
      <c r="L31" s="342" t="s">
        <v>1099</v>
      </c>
      <c r="M31" s="343" t="s">
        <v>1100</v>
      </c>
      <c r="N31" s="342" t="s">
        <v>34</v>
      </c>
      <c r="O31" s="344">
        <v>1</v>
      </c>
      <c r="P31" s="345">
        <v>35</v>
      </c>
      <c r="Q31" s="345">
        <v>35</v>
      </c>
      <c r="R31" s="182"/>
      <c r="U31" s="128"/>
    </row>
    <row r="32" spans="1:21" ht="15.6" x14ac:dyDescent="0.3">
      <c r="A32" s="53"/>
      <c r="B32" s="54"/>
      <c r="C32" s="54"/>
      <c r="D32" s="54"/>
      <c r="E32" s="55"/>
      <c r="F32" s="75"/>
      <c r="G32" s="76"/>
      <c r="H32" s="76"/>
      <c r="I32" s="48"/>
      <c r="J32" s="70"/>
      <c r="K32" s="70"/>
      <c r="L32" s="342" t="s">
        <v>1864</v>
      </c>
      <c r="M32" s="343" t="s">
        <v>279</v>
      </c>
      <c r="N32" s="342" t="s">
        <v>34</v>
      </c>
      <c r="O32" s="344">
        <v>1.46</v>
      </c>
      <c r="P32" s="345">
        <v>69.38</v>
      </c>
      <c r="Q32" s="345">
        <v>101.3</v>
      </c>
      <c r="R32" s="182"/>
      <c r="U32" s="128"/>
    </row>
    <row r="33" spans="1:21" ht="15.6" x14ac:dyDescent="0.3">
      <c r="A33" s="53"/>
      <c r="B33" s="54"/>
      <c r="C33" s="54"/>
      <c r="D33" s="54"/>
      <c r="E33" s="55"/>
      <c r="F33" s="75"/>
      <c r="G33" s="76"/>
      <c r="H33" s="76"/>
      <c r="I33" s="48"/>
      <c r="J33" s="70"/>
      <c r="K33" s="70"/>
      <c r="L33" s="342" t="s">
        <v>1865</v>
      </c>
      <c r="M33" s="343" t="s">
        <v>1880</v>
      </c>
      <c r="N33" s="342" t="s">
        <v>34</v>
      </c>
      <c r="O33" s="344">
        <v>3.08</v>
      </c>
      <c r="P33" s="345">
        <v>44.7</v>
      </c>
      <c r="Q33" s="345">
        <v>137.68</v>
      </c>
      <c r="R33" s="182"/>
      <c r="U33" s="128"/>
    </row>
    <row r="34" spans="1:21" ht="15.6" x14ac:dyDescent="0.3">
      <c r="A34" s="53"/>
      <c r="B34" s="54"/>
      <c r="C34" s="54"/>
      <c r="D34" s="54"/>
      <c r="E34" s="55"/>
      <c r="F34" s="75"/>
      <c r="G34" s="76"/>
      <c r="H34" s="76"/>
      <c r="I34" s="48"/>
      <c r="J34" s="70"/>
      <c r="K34" s="70"/>
      <c r="L34" s="342" t="s">
        <v>980</v>
      </c>
      <c r="M34" s="343" t="s">
        <v>284</v>
      </c>
      <c r="N34" s="342" t="s">
        <v>34</v>
      </c>
      <c r="O34" s="344">
        <v>7</v>
      </c>
      <c r="P34" s="345">
        <v>84.36</v>
      </c>
      <c r="Q34" s="345">
        <v>590.52</v>
      </c>
      <c r="R34" s="182"/>
      <c r="U34" s="128"/>
    </row>
    <row r="35" spans="1:21" ht="15.6" x14ac:dyDescent="0.3">
      <c r="A35" s="53"/>
      <c r="B35" s="54"/>
      <c r="C35" s="54"/>
      <c r="D35" s="54"/>
      <c r="E35" s="55"/>
      <c r="F35" s="75"/>
      <c r="G35" s="76"/>
      <c r="H35" s="76"/>
      <c r="I35" s="48"/>
      <c r="J35" s="70"/>
      <c r="K35" s="70"/>
      <c r="L35" s="342" t="s">
        <v>1092</v>
      </c>
      <c r="M35" s="343" t="s">
        <v>1096</v>
      </c>
      <c r="N35" s="342" t="s">
        <v>34</v>
      </c>
      <c r="O35" s="344">
        <v>1</v>
      </c>
      <c r="P35" s="345">
        <v>128.24</v>
      </c>
      <c r="Q35" s="345">
        <v>128.24</v>
      </c>
      <c r="R35" s="182"/>
      <c r="U35" s="128"/>
    </row>
    <row r="36" spans="1:21" ht="15.6" x14ac:dyDescent="0.3">
      <c r="A36" s="53"/>
      <c r="B36" s="54"/>
      <c r="C36" s="54"/>
      <c r="D36" s="54"/>
      <c r="E36" s="55"/>
      <c r="F36" s="75"/>
      <c r="G36" s="76"/>
      <c r="H36" s="76"/>
      <c r="I36" s="48"/>
      <c r="J36" s="70"/>
      <c r="K36" s="70"/>
      <c r="L36" s="342" t="s">
        <v>981</v>
      </c>
      <c r="M36" s="343" t="s">
        <v>285</v>
      </c>
      <c r="N36" s="342" t="s">
        <v>34</v>
      </c>
      <c r="O36" s="344">
        <v>1</v>
      </c>
      <c r="P36" s="345">
        <v>84.9</v>
      </c>
      <c r="Q36" s="345">
        <v>84.9</v>
      </c>
      <c r="R36" s="182"/>
      <c r="U36" s="128"/>
    </row>
    <row r="37" spans="1:21" ht="15.6" x14ac:dyDescent="0.3">
      <c r="A37" s="53"/>
      <c r="B37" s="54"/>
      <c r="C37" s="54"/>
      <c r="D37" s="54"/>
      <c r="E37" s="55"/>
      <c r="F37" s="75"/>
      <c r="G37" s="76"/>
      <c r="H37" s="76"/>
      <c r="I37" s="48"/>
      <c r="J37" s="70"/>
      <c r="K37" s="70"/>
      <c r="L37" s="342" t="s">
        <v>982</v>
      </c>
      <c r="M37" s="343" t="s">
        <v>751</v>
      </c>
      <c r="N37" s="342" t="s">
        <v>34</v>
      </c>
      <c r="O37" s="344">
        <v>4</v>
      </c>
      <c r="P37" s="345">
        <v>15.5</v>
      </c>
      <c r="Q37" s="345">
        <v>62</v>
      </c>
      <c r="R37" s="182"/>
      <c r="U37" s="128"/>
    </row>
    <row r="38" spans="1:21" ht="15.6" x14ac:dyDescent="0.3">
      <c r="A38" s="53"/>
      <c r="B38" s="54"/>
      <c r="C38" s="54"/>
      <c r="D38" s="54"/>
      <c r="E38" s="55"/>
      <c r="F38" s="75"/>
      <c r="G38" s="76"/>
      <c r="H38" s="76"/>
      <c r="I38" s="48"/>
      <c r="J38" s="70"/>
      <c r="K38" s="70"/>
      <c r="L38" s="342" t="s">
        <v>752</v>
      </c>
      <c r="M38" s="343" t="s">
        <v>753</v>
      </c>
      <c r="N38" s="342" t="s">
        <v>68</v>
      </c>
      <c r="O38" s="344">
        <v>1.1200000000000001</v>
      </c>
      <c r="P38" s="346">
        <v>5053.1400000000003</v>
      </c>
      <c r="Q38" s="346">
        <v>5659.52</v>
      </c>
      <c r="R38" s="182"/>
      <c r="U38" s="128"/>
    </row>
    <row r="39" spans="1:21" ht="15.6" x14ac:dyDescent="0.3">
      <c r="A39" s="53"/>
      <c r="B39" s="54"/>
      <c r="C39" s="54"/>
      <c r="D39" s="54"/>
      <c r="E39" s="55"/>
      <c r="F39" s="75"/>
      <c r="G39" s="76"/>
      <c r="H39" s="76"/>
      <c r="I39" s="48"/>
      <c r="J39" s="70"/>
      <c r="K39" s="70"/>
      <c r="L39" s="342" t="s">
        <v>1120</v>
      </c>
      <c r="M39" s="343" t="s">
        <v>1206</v>
      </c>
      <c r="N39" s="342" t="s">
        <v>35</v>
      </c>
      <c r="O39" s="344">
        <v>10</v>
      </c>
      <c r="P39" s="345">
        <v>133.30000000000001</v>
      </c>
      <c r="Q39" s="346">
        <v>1333</v>
      </c>
      <c r="R39" s="182"/>
      <c r="U39" s="128"/>
    </row>
    <row r="40" spans="1:21" ht="15.6" x14ac:dyDescent="0.3">
      <c r="A40" s="53"/>
      <c r="B40" s="54"/>
      <c r="C40" s="54"/>
      <c r="D40" s="54"/>
      <c r="E40" s="55"/>
      <c r="F40" s="75"/>
      <c r="G40" s="76"/>
      <c r="H40" s="76"/>
      <c r="I40" s="48"/>
      <c r="J40" s="70"/>
      <c r="K40" s="70"/>
      <c r="L40" s="342" t="s">
        <v>967</v>
      </c>
      <c r="M40" s="343" t="s">
        <v>1056</v>
      </c>
      <c r="N40" s="342" t="s">
        <v>34</v>
      </c>
      <c r="O40" s="347">
        <v>1200</v>
      </c>
      <c r="P40" s="345">
        <v>0.43</v>
      </c>
      <c r="Q40" s="345">
        <v>516</v>
      </c>
      <c r="R40" s="182"/>
      <c r="U40" s="128"/>
    </row>
    <row r="41" spans="1:21" ht="15.6" x14ac:dyDescent="0.3">
      <c r="A41" s="53"/>
      <c r="B41" s="54"/>
      <c r="C41" s="54"/>
      <c r="D41" s="54"/>
      <c r="E41" s="55"/>
      <c r="F41" s="75"/>
      <c r="G41" s="76"/>
      <c r="H41" s="76"/>
      <c r="I41" s="48"/>
      <c r="J41" s="70"/>
      <c r="K41" s="70"/>
      <c r="L41" s="342" t="s">
        <v>968</v>
      </c>
      <c r="M41" s="343" t="s">
        <v>756</v>
      </c>
      <c r="N41" s="342" t="s">
        <v>34</v>
      </c>
      <c r="O41" s="344">
        <v>2</v>
      </c>
      <c r="P41" s="345">
        <v>1.47</v>
      </c>
      <c r="Q41" s="345">
        <v>2.94</v>
      </c>
      <c r="R41" s="182"/>
      <c r="U41" s="128"/>
    </row>
    <row r="42" spans="1:21" ht="15.6" x14ac:dyDescent="0.3">
      <c r="A42" s="53"/>
      <c r="B42" s="54"/>
      <c r="C42" s="54"/>
      <c r="D42" s="54"/>
      <c r="E42" s="55"/>
      <c r="F42" s="75"/>
      <c r="G42" s="76"/>
      <c r="H42" s="76"/>
      <c r="I42" s="48"/>
      <c r="J42" s="70"/>
      <c r="K42" s="70"/>
      <c r="L42" s="342" t="s">
        <v>969</v>
      </c>
      <c r="M42" s="343" t="s">
        <v>75</v>
      </c>
      <c r="N42" s="342" t="s">
        <v>34</v>
      </c>
      <c r="O42" s="344">
        <v>49</v>
      </c>
      <c r="P42" s="345">
        <v>1.92</v>
      </c>
      <c r="Q42" s="345">
        <v>93.96</v>
      </c>
      <c r="R42" s="182"/>
      <c r="U42" s="128"/>
    </row>
    <row r="43" spans="1:21" ht="15.6" x14ac:dyDescent="0.3">
      <c r="A43" s="53"/>
      <c r="B43" s="54"/>
      <c r="C43" s="54"/>
      <c r="D43" s="54"/>
      <c r="E43" s="55"/>
      <c r="F43" s="75"/>
      <c r="G43" s="76"/>
      <c r="H43" s="76"/>
      <c r="I43" s="48"/>
      <c r="J43" s="70"/>
      <c r="K43" s="70"/>
      <c r="L43" s="342" t="s">
        <v>970</v>
      </c>
      <c r="M43" s="343" t="s">
        <v>294</v>
      </c>
      <c r="N43" s="342" t="s">
        <v>34</v>
      </c>
      <c r="O43" s="344">
        <v>3</v>
      </c>
      <c r="P43" s="345">
        <v>178.9</v>
      </c>
      <c r="Q43" s="345">
        <v>536.70000000000005</v>
      </c>
      <c r="R43" s="182"/>
      <c r="U43" s="128"/>
    </row>
    <row r="44" spans="1:21" ht="15.6" x14ac:dyDescent="0.3">
      <c r="A44" s="53"/>
      <c r="B44" s="54"/>
      <c r="C44" s="54"/>
      <c r="D44" s="54"/>
      <c r="E44" s="55"/>
      <c r="F44" s="75"/>
      <c r="G44" s="76"/>
      <c r="H44" s="76"/>
      <c r="I44" s="48"/>
      <c r="J44" s="70"/>
      <c r="K44" s="70"/>
      <c r="L44" s="342" t="s">
        <v>971</v>
      </c>
      <c r="M44" s="343" t="s">
        <v>296</v>
      </c>
      <c r="N44" s="342" t="s">
        <v>34</v>
      </c>
      <c r="O44" s="344">
        <v>3</v>
      </c>
      <c r="P44" s="345">
        <v>136.6</v>
      </c>
      <c r="Q44" s="345">
        <v>409.8</v>
      </c>
      <c r="R44" s="182"/>
      <c r="U44" s="128"/>
    </row>
    <row r="45" spans="1:21" ht="15.6" x14ac:dyDescent="0.3">
      <c r="A45" s="53"/>
      <c r="B45" s="54"/>
      <c r="C45" s="54"/>
      <c r="D45" s="54"/>
      <c r="E45" s="55"/>
      <c r="F45" s="75"/>
      <c r="G45" s="76"/>
      <c r="H45" s="76"/>
      <c r="I45" s="48"/>
      <c r="J45" s="70"/>
      <c r="K45" s="70"/>
      <c r="L45" s="342" t="s">
        <v>972</v>
      </c>
      <c r="M45" s="343" t="s">
        <v>297</v>
      </c>
      <c r="N45" s="342" t="s">
        <v>34</v>
      </c>
      <c r="O45" s="344">
        <v>6</v>
      </c>
      <c r="P45" s="345">
        <v>116.9</v>
      </c>
      <c r="Q45" s="345">
        <v>701.4</v>
      </c>
      <c r="R45" s="182"/>
      <c r="U45" s="128"/>
    </row>
    <row r="46" spans="1:21" ht="15.6" x14ac:dyDescent="0.3">
      <c r="A46" s="53"/>
      <c r="B46" s="54"/>
      <c r="C46" s="54"/>
      <c r="D46" s="54"/>
      <c r="E46" s="55"/>
      <c r="F46" s="75"/>
      <c r="G46" s="76"/>
      <c r="H46" s="76"/>
      <c r="I46" s="48"/>
      <c r="J46" s="70"/>
      <c r="K46" s="70"/>
      <c r="L46" s="342" t="s">
        <v>973</v>
      </c>
      <c r="M46" s="343" t="s">
        <v>759</v>
      </c>
      <c r="N46" s="342" t="s">
        <v>34</v>
      </c>
      <c r="O46" s="344">
        <v>11</v>
      </c>
      <c r="P46" s="345">
        <v>574.05999999999995</v>
      </c>
      <c r="Q46" s="346">
        <v>6314.7</v>
      </c>
      <c r="R46" s="182"/>
      <c r="U46" s="128"/>
    </row>
    <row r="47" spans="1:21" ht="15.6" x14ac:dyDescent="0.3">
      <c r="A47" s="53"/>
      <c r="B47" s="54"/>
      <c r="C47" s="54"/>
      <c r="D47" s="54"/>
      <c r="E47" s="55"/>
      <c r="F47" s="75"/>
      <c r="G47" s="76"/>
      <c r="H47" s="76"/>
      <c r="I47" s="48"/>
      <c r="J47" s="70"/>
      <c r="K47" s="70"/>
      <c r="L47" s="342" t="s">
        <v>975</v>
      </c>
      <c r="M47" s="343" t="s">
        <v>763</v>
      </c>
      <c r="N47" s="342" t="s">
        <v>34</v>
      </c>
      <c r="O47" s="344">
        <v>10</v>
      </c>
      <c r="P47" s="345">
        <v>128.69</v>
      </c>
      <c r="Q47" s="346">
        <v>1286.9000000000001</v>
      </c>
      <c r="R47" s="182"/>
      <c r="U47" s="128"/>
    </row>
    <row r="48" spans="1:21" ht="15.6" x14ac:dyDescent="0.3">
      <c r="A48" s="53"/>
      <c r="B48" s="54"/>
      <c r="C48" s="54"/>
      <c r="D48" s="54"/>
      <c r="E48" s="55"/>
      <c r="F48" s="75"/>
      <c r="G48" s="76"/>
      <c r="H48" s="76"/>
      <c r="I48" s="48"/>
      <c r="J48" s="70"/>
      <c r="K48" s="70"/>
      <c r="L48" s="342" t="s">
        <v>869</v>
      </c>
      <c r="M48" s="343" t="s">
        <v>898</v>
      </c>
      <c r="N48" s="342" t="s">
        <v>34</v>
      </c>
      <c r="O48" s="344">
        <v>1</v>
      </c>
      <c r="P48" s="345">
        <v>744.12</v>
      </c>
      <c r="Q48" s="345">
        <v>744.12</v>
      </c>
      <c r="R48" s="182"/>
      <c r="U48" s="128"/>
    </row>
    <row r="49" spans="1:21" ht="15.6" x14ac:dyDescent="0.3">
      <c r="A49" s="53"/>
      <c r="B49" s="54"/>
      <c r="C49" s="54"/>
      <c r="D49" s="54"/>
      <c r="E49" s="55"/>
      <c r="F49" s="75"/>
      <c r="G49" s="76"/>
      <c r="H49" s="76"/>
      <c r="I49" s="48"/>
      <c r="J49" s="70"/>
      <c r="K49" s="70"/>
      <c r="L49" s="342" t="s">
        <v>1867</v>
      </c>
      <c r="M49" s="343" t="s">
        <v>1882</v>
      </c>
      <c r="N49" s="342" t="s">
        <v>903</v>
      </c>
      <c r="O49" s="344">
        <v>0.38</v>
      </c>
      <c r="P49" s="346">
        <v>29183.68</v>
      </c>
      <c r="Q49" s="346">
        <v>11089.8</v>
      </c>
      <c r="R49" s="182"/>
      <c r="U49" s="128"/>
    </row>
    <row r="50" spans="1:21" ht="15.6" x14ac:dyDescent="0.3">
      <c r="A50" s="53"/>
      <c r="B50" s="54"/>
      <c r="C50" s="54"/>
      <c r="D50" s="54"/>
      <c r="E50" s="55"/>
      <c r="F50" s="75"/>
      <c r="G50" s="76"/>
      <c r="H50" s="76"/>
      <c r="I50" s="48"/>
      <c r="J50" s="70"/>
      <c r="K50" s="70"/>
      <c r="L50" s="342" t="s">
        <v>1113</v>
      </c>
      <c r="M50" s="343" t="s">
        <v>1199</v>
      </c>
      <c r="N50" s="342" t="s">
        <v>903</v>
      </c>
      <c r="O50" s="344">
        <v>0.12</v>
      </c>
      <c r="P50" s="346">
        <v>10416.67</v>
      </c>
      <c r="Q50" s="346">
        <v>1250</v>
      </c>
      <c r="R50" s="182"/>
      <c r="U50" s="128"/>
    </row>
    <row r="51" spans="1:21" ht="15.6" x14ac:dyDescent="0.3">
      <c r="A51" s="53"/>
      <c r="B51" s="54"/>
      <c r="C51" s="54"/>
      <c r="D51" s="54"/>
      <c r="E51" s="55"/>
      <c r="F51" s="75"/>
      <c r="G51" s="76"/>
      <c r="H51" s="76"/>
      <c r="I51" s="48"/>
      <c r="J51" s="70"/>
      <c r="K51" s="70"/>
      <c r="L51" s="342" t="s">
        <v>1868</v>
      </c>
      <c r="M51" s="343" t="s">
        <v>1883</v>
      </c>
      <c r="N51" s="342" t="s">
        <v>903</v>
      </c>
      <c r="O51" s="344">
        <v>7.0000000000000007E-2</v>
      </c>
      <c r="P51" s="346">
        <v>17916.71</v>
      </c>
      <c r="Q51" s="346">
        <v>1254.17</v>
      </c>
      <c r="R51" s="182"/>
      <c r="U51" s="128"/>
    </row>
    <row r="52" spans="1:21" ht="15.6" x14ac:dyDescent="0.3">
      <c r="A52" s="53"/>
      <c r="B52" s="54"/>
      <c r="C52" s="54"/>
      <c r="D52" s="54"/>
      <c r="E52" s="55"/>
      <c r="F52" s="75"/>
      <c r="G52" s="76"/>
      <c r="H52" s="76"/>
      <c r="I52" s="48"/>
      <c r="J52" s="70"/>
      <c r="K52" s="70"/>
      <c r="L52" s="342" t="s">
        <v>1022</v>
      </c>
      <c r="M52" s="343" t="s">
        <v>178</v>
      </c>
      <c r="N52" s="342" t="s">
        <v>56</v>
      </c>
      <c r="O52" s="344">
        <v>0.02</v>
      </c>
      <c r="P52" s="346">
        <v>40802.5</v>
      </c>
      <c r="Q52" s="345">
        <v>816.05</v>
      </c>
      <c r="R52" s="182"/>
      <c r="U52" s="128"/>
    </row>
    <row r="53" spans="1:21" ht="15.6" x14ac:dyDescent="0.3">
      <c r="A53" s="53"/>
      <c r="B53" s="54"/>
      <c r="C53" s="54"/>
      <c r="D53" s="54"/>
      <c r="E53" s="55"/>
      <c r="F53" s="75"/>
      <c r="G53" s="76"/>
      <c r="H53" s="76"/>
      <c r="I53" s="48"/>
      <c r="J53" s="70"/>
      <c r="K53" s="70"/>
      <c r="L53" s="342" t="s">
        <v>1119</v>
      </c>
      <c r="M53" s="343" t="s">
        <v>1205</v>
      </c>
      <c r="N53" s="342" t="s">
        <v>35</v>
      </c>
      <c r="O53" s="344">
        <v>2</v>
      </c>
      <c r="P53" s="345">
        <v>78.33</v>
      </c>
      <c r="Q53" s="345">
        <v>156.66</v>
      </c>
      <c r="R53" s="182"/>
      <c r="U53" s="128"/>
    </row>
    <row r="54" spans="1:21" ht="15.6" x14ac:dyDescent="0.3">
      <c r="A54" s="53"/>
      <c r="B54" s="54"/>
      <c r="C54" s="54"/>
      <c r="D54" s="54"/>
      <c r="E54" s="55"/>
      <c r="F54" s="75"/>
      <c r="G54" s="76"/>
      <c r="H54" s="76"/>
      <c r="I54" s="48"/>
      <c r="J54" s="70"/>
      <c r="K54" s="70"/>
      <c r="L54" s="342" t="s">
        <v>955</v>
      </c>
      <c r="M54" s="343" t="s">
        <v>770</v>
      </c>
      <c r="N54" s="342" t="s">
        <v>34</v>
      </c>
      <c r="O54" s="344">
        <v>1</v>
      </c>
      <c r="P54" s="345">
        <v>52.8</v>
      </c>
      <c r="Q54" s="345">
        <v>52.8</v>
      </c>
      <c r="R54" s="182"/>
      <c r="U54" s="128"/>
    </row>
    <row r="55" spans="1:21" ht="15.6" x14ac:dyDescent="0.3">
      <c r="A55" s="53"/>
      <c r="B55" s="54"/>
      <c r="C55" s="54"/>
      <c r="D55" s="54"/>
      <c r="E55" s="55"/>
      <c r="F55" s="75"/>
      <c r="G55" s="76"/>
      <c r="H55" s="76"/>
      <c r="I55" s="48"/>
      <c r="J55" s="70"/>
      <c r="K55" s="70"/>
      <c r="L55" s="342" t="s">
        <v>956</v>
      </c>
      <c r="M55" s="343" t="s">
        <v>328</v>
      </c>
      <c r="N55" s="342" t="s">
        <v>34</v>
      </c>
      <c r="O55" s="344">
        <v>10</v>
      </c>
      <c r="P55" s="345">
        <v>65.400000000000006</v>
      </c>
      <c r="Q55" s="345">
        <v>654</v>
      </c>
      <c r="R55" s="182"/>
      <c r="U55" s="128"/>
    </row>
    <row r="56" spans="1:21" ht="15.6" x14ac:dyDescent="0.3">
      <c r="A56" s="53"/>
      <c r="B56" s="54"/>
      <c r="C56" s="54"/>
      <c r="D56" s="54"/>
      <c r="E56" s="55"/>
      <c r="F56" s="75"/>
      <c r="G56" s="76"/>
      <c r="H56" s="76"/>
      <c r="I56" s="48"/>
      <c r="J56" s="70"/>
      <c r="K56" s="70"/>
      <c r="L56" s="342" t="s">
        <v>1869</v>
      </c>
      <c r="M56" s="343" t="s">
        <v>1884</v>
      </c>
      <c r="N56" s="342" t="s">
        <v>34</v>
      </c>
      <c r="O56" s="344">
        <v>1</v>
      </c>
      <c r="P56" s="345">
        <v>78.61</v>
      </c>
      <c r="Q56" s="345">
        <v>78.61</v>
      </c>
      <c r="R56" s="182"/>
      <c r="U56" s="128"/>
    </row>
    <row r="57" spans="1:21" ht="15.6" x14ac:dyDescent="0.3">
      <c r="A57" s="53"/>
      <c r="B57" s="54"/>
      <c r="C57" s="54"/>
      <c r="D57" s="54"/>
      <c r="E57" s="55"/>
      <c r="F57" s="75"/>
      <c r="G57" s="76"/>
      <c r="H57" s="76"/>
      <c r="I57" s="48"/>
      <c r="J57" s="70"/>
      <c r="K57" s="70"/>
      <c r="L57" s="342" t="s">
        <v>773</v>
      </c>
      <c r="M57" s="343" t="s">
        <v>774</v>
      </c>
      <c r="N57" s="342" t="s">
        <v>34</v>
      </c>
      <c r="O57" s="344">
        <v>1</v>
      </c>
      <c r="P57" s="345">
        <v>83.17</v>
      </c>
      <c r="Q57" s="345">
        <v>83.17</v>
      </c>
      <c r="R57" s="182"/>
      <c r="U57" s="128"/>
    </row>
    <row r="58" spans="1:21" ht="15.6" x14ac:dyDescent="0.3">
      <c r="A58" s="53"/>
      <c r="B58" s="54"/>
      <c r="C58" s="54"/>
      <c r="D58" s="54"/>
      <c r="E58" s="55"/>
      <c r="F58" s="75"/>
      <c r="G58" s="76"/>
      <c r="H58" s="76"/>
      <c r="I58" s="48"/>
      <c r="J58" s="70"/>
      <c r="K58" s="70"/>
      <c r="L58" s="342" t="s">
        <v>958</v>
      </c>
      <c r="M58" s="343" t="s">
        <v>337</v>
      </c>
      <c r="N58" s="342" t="s">
        <v>34</v>
      </c>
      <c r="O58" s="344">
        <v>1</v>
      </c>
      <c r="P58" s="345">
        <v>22.2</v>
      </c>
      <c r="Q58" s="345">
        <v>22.2</v>
      </c>
      <c r="R58" s="182"/>
      <c r="U58" s="128"/>
    </row>
    <row r="59" spans="1:21" ht="15.6" x14ac:dyDescent="0.3">
      <c r="A59" s="53"/>
      <c r="B59" s="54"/>
      <c r="C59" s="54"/>
      <c r="D59" s="54"/>
      <c r="E59" s="55"/>
      <c r="F59" s="75"/>
      <c r="G59" s="76"/>
      <c r="H59" s="76"/>
      <c r="I59" s="48"/>
      <c r="J59" s="70"/>
      <c r="K59" s="70"/>
      <c r="L59" s="342" t="s">
        <v>952</v>
      </c>
      <c r="M59" s="343" t="s">
        <v>777</v>
      </c>
      <c r="N59" s="342" t="s">
        <v>34</v>
      </c>
      <c r="O59" s="344">
        <v>1</v>
      </c>
      <c r="P59" s="345">
        <v>257.81</v>
      </c>
      <c r="Q59" s="345">
        <v>257.81</v>
      </c>
      <c r="R59" s="182"/>
      <c r="U59" s="128"/>
    </row>
    <row r="60" spans="1:21" ht="15.6" x14ac:dyDescent="0.3">
      <c r="A60" s="53"/>
      <c r="B60" s="54"/>
      <c r="C60" s="54"/>
      <c r="D60" s="54"/>
      <c r="E60" s="55"/>
      <c r="F60" s="75"/>
      <c r="G60" s="76"/>
      <c r="H60" s="76"/>
      <c r="I60" s="48"/>
      <c r="J60" s="70"/>
      <c r="K60" s="70"/>
      <c r="L60" s="342" t="s">
        <v>953</v>
      </c>
      <c r="M60" s="343" t="s">
        <v>1046</v>
      </c>
      <c r="N60" s="342" t="s">
        <v>34</v>
      </c>
      <c r="O60" s="344">
        <v>0.2</v>
      </c>
      <c r="P60" s="345">
        <v>185</v>
      </c>
      <c r="Q60" s="345">
        <v>37</v>
      </c>
      <c r="R60" s="182"/>
      <c r="U60" s="128"/>
    </row>
    <row r="61" spans="1:21" ht="15.6" x14ac:dyDescent="0.3">
      <c r="A61" s="53"/>
      <c r="B61" s="54"/>
      <c r="C61" s="54"/>
      <c r="D61" s="54"/>
      <c r="E61" s="55"/>
      <c r="F61" s="75"/>
      <c r="G61" s="76"/>
      <c r="H61" s="76"/>
      <c r="I61" s="48"/>
      <c r="J61" s="70"/>
      <c r="K61" s="70"/>
      <c r="L61" s="342" t="s">
        <v>1144</v>
      </c>
      <c r="M61" s="343" t="s">
        <v>1231</v>
      </c>
      <c r="N61" s="342" t="s">
        <v>34</v>
      </c>
      <c r="O61" s="344">
        <v>2</v>
      </c>
      <c r="P61" s="345">
        <v>3.08</v>
      </c>
      <c r="Q61" s="345">
        <v>6.16</v>
      </c>
      <c r="R61" s="182"/>
      <c r="U61" s="128"/>
    </row>
    <row r="62" spans="1:21" ht="30" x14ac:dyDescent="0.3">
      <c r="A62" s="53"/>
      <c r="B62" s="54"/>
      <c r="C62" s="54"/>
      <c r="D62" s="54"/>
      <c r="E62" s="55"/>
      <c r="F62" s="75"/>
      <c r="G62" s="76"/>
      <c r="H62" s="76"/>
      <c r="I62" s="48"/>
      <c r="J62" s="70"/>
      <c r="K62" s="70"/>
      <c r="L62" s="342" t="s">
        <v>959</v>
      </c>
      <c r="M62" s="343" t="s">
        <v>1050</v>
      </c>
      <c r="N62" s="342" t="s">
        <v>34</v>
      </c>
      <c r="O62" s="344">
        <v>13</v>
      </c>
      <c r="P62" s="345">
        <v>13.9</v>
      </c>
      <c r="Q62" s="345">
        <v>180.7</v>
      </c>
      <c r="R62" s="182"/>
      <c r="U62" s="128"/>
    </row>
    <row r="63" spans="1:21" ht="30" x14ac:dyDescent="0.3">
      <c r="A63" s="53"/>
      <c r="B63" s="54"/>
      <c r="C63" s="54"/>
      <c r="D63" s="54"/>
      <c r="E63" s="55"/>
      <c r="F63" s="75"/>
      <c r="G63" s="76"/>
      <c r="H63" s="76"/>
      <c r="I63" s="48"/>
      <c r="J63" s="70"/>
      <c r="K63" s="70"/>
      <c r="L63" s="342" t="s">
        <v>960</v>
      </c>
      <c r="M63" s="343" t="s">
        <v>784</v>
      </c>
      <c r="N63" s="342" t="s">
        <v>34</v>
      </c>
      <c r="O63" s="344">
        <v>5</v>
      </c>
      <c r="P63" s="345">
        <v>13.9</v>
      </c>
      <c r="Q63" s="345">
        <v>69.5</v>
      </c>
      <c r="R63" s="182"/>
      <c r="U63" s="128"/>
    </row>
    <row r="64" spans="1:21" ht="15.6" x14ac:dyDescent="0.3">
      <c r="A64" s="53"/>
      <c r="B64" s="54"/>
      <c r="C64" s="54"/>
      <c r="D64" s="54"/>
      <c r="E64" s="55"/>
      <c r="F64" s="75"/>
      <c r="G64" s="76"/>
      <c r="H64" s="76"/>
      <c r="I64" s="48"/>
      <c r="J64" s="70"/>
      <c r="K64" s="70"/>
      <c r="L64" s="342" t="s">
        <v>961</v>
      </c>
      <c r="M64" s="343" t="s">
        <v>1051</v>
      </c>
      <c r="N64" s="342" t="s">
        <v>34</v>
      </c>
      <c r="O64" s="344">
        <v>0.40200000000000002</v>
      </c>
      <c r="P64" s="345">
        <v>26.99</v>
      </c>
      <c r="Q64" s="345">
        <v>10.85</v>
      </c>
      <c r="R64" s="182"/>
      <c r="U64" s="128"/>
    </row>
    <row r="65" spans="1:21" ht="30" x14ac:dyDescent="0.3">
      <c r="A65" s="53"/>
      <c r="B65" s="54"/>
      <c r="C65" s="54"/>
      <c r="D65" s="54"/>
      <c r="E65" s="55"/>
      <c r="F65" s="75"/>
      <c r="G65" s="76"/>
      <c r="H65" s="76"/>
      <c r="I65" s="48"/>
      <c r="J65" s="70"/>
      <c r="K65" s="70"/>
      <c r="L65" s="342" t="s">
        <v>962</v>
      </c>
      <c r="M65" s="343" t="s">
        <v>787</v>
      </c>
      <c r="N65" s="342" t="s">
        <v>34</v>
      </c>
      <c r="O65" s="344">
        <v>2</v>
      </c>
      <c r="P65" s="345">
        <v>222.4</v>
      </c>
      <c r="Q65" s="345">
        <v>444.8</v>
      </c>
      <c r="R65" s="182"/>
      <c r="U65" s="128"/>
    </row>
    <row r="66" spans="1:21" ht="15.6" x14ac:dyDescent="0.3">
      <c r="A66" s="53"/>
      <c r="B66" s="54"/>
      <c r="C66" s="54"/>
      <c r="D66" s="54"/>
      <c r="E66" s="55"/>
      <c r="F66" s="75"/>
      <c r="G66" s="76"/>
      <c r="H66" s="76"/>
      <c r="I66" s="48"/>
      <c r="J66" s="70"/>
      <c r="K66" s="70"/>
      <c r="L66" s="342" t="s">
        <v>963</v>
      </c>
      <c r="M66" s="343" t="s">
        <v>375</v>
      </c>
      <c r="N66" s="342" t="s">
        <v>34</v>
      </c>
      <c r="O66" s="344">
        <v>14</v>
      </c>
      <c r="P66" s="345">
        <v>172.1</v>
      </c>
      <c r="Q66" s="346">
        <v>2409.4</v>
      </c>
      <c r="R66" s="182"/>
      <c r="U66" s="128"/>
    </row>
    <row r="67" spans="1:21" ht="30" x14ac:dyDescent="0.3">
      <c r="A67" s="53"/>
      <c r="B67" s="54"/>
      <c r="C67" s="54"/>
      <c r="D67" s="54"/>
      <c r="E67" s="55"/>
      <c r="F67" s="75"/>
      <c r="G67" s="76"/>
      <c r="H67" s="76"/>
      <c r="I67" s="48"/>
      <c r="J67" s="70"/>
      <c r="K67" s="70"/>
      <c r="L67" s="342" t="s">
        <v>378</v>
      </c>
      <c r="M67" s="343" t="s">
        <v>379</v>
      </c>
      <c r="N67" s="342" t="s">
        <v>34</v>
      </c>
      <c r="O67" s="344">
        <v>1</v>
      </c>
      <c r="P67" s="345">
        <v>50.1</v>
      </c>
      <c r="Q67" s="345">
        <v>50.1</v>
      </c>
      <c r="R67" s="182"/>
      <c r="U67" s="128"/>
    </row>
    <row r="68" spans="1:21" ht="30" x14ac:dyDescent="0.3">
      <c r="A68" s="53"/>
      <c r="B68" s="54"/>
      <c r="C68" s="54"/>
      <c r="D68" s="54"/>
      <c r="E68" s="55"/>
      <c r="F68" s="75"/>
      <c r="G68" s="76"/>
      <c r="H68" s="76"/>
      <c r="I68" s="48"/>
      <c r="J68" s="70"/>
      <c r="K68" s="70"/>
      <c r="L68" s="342" t="s">
        <v>964</v>
      </c>
      <c r="M68" s="343" t="s">
        <v>788</v>
      </c>
      <c r="N68" s="342" t="s">
        <v>34</v>
      </c>
      <c r="O68" s="344">
        <v>1</v>
      </c>
      <c r="P68" s="345">
        <v>19.3</v>
      </c>
      <c r="Q68" s="345">
        <v>19.3</v>
      </c>
      <c r="R68" s="182"/>
      <c r="U68" s="128"/>
    </row>
    <row r="69" spans="1:21" ht="15.6" x14ac:dyDescent="0.3">
      <c r="A69" s="53"/>
      <c r="B69" s="54"/>
      <c r="C69" s="54"/>
      <c r="D69" s="54"/>
      <c r="E69" s="55"/>
      <c r="F69" s="75"/>
      <c r="G69" s="76"/>
      <c r="H69" s="76"/>
      <c r="I69" s="48"/>
      <c r="J69" s="70"/>
      <c r="K69" s="70"/>
      <c r="L69" s="342" t="s">
        <v>1304</v>
      </c>
      <c r="M69" s="343" t="s">
        <v>1338</v>
      </c>
      <c r="N69" s="342" t="s">
        <v>39</v>
      </c>
      <c r="O69" s="344">
        <v>0.01</v>
      </c>
      <c r="P69" s="346">
        <v>31681</v>
      </c>
      <c r="Q69" s="345">
        <v>316.81</v>
      </c>
      <c r="R69" s="182"/>
      <c r="U69" s="128"/>
    </row>
    <row r="70" spans="1:21" ht="15.6" x14ac:dyDescent="0.3">
      <c r="A70" s="53"/>
      <c r="B70" s="54"/>
      <c r="C70" s="54"/>
      <c r="D70" s="54"/>
      <c r="E70" s="55"/>
      <c r="F70" s="75"/>
      <c r="G70" s="76"/>
      <c r="H70" s="76"/>
      <c r="I70" s="48"/>
      <c r="J70" s="70"/>
      <c r="K70" s="70"/>
      <c r="L70" s="342" t="s">
        <v>1415</v>
      </c>
      <c r="M70" s="343" t="s">
        <v>1438</v>
      </c>
      <c r="N70" s="342" t="s">
        <v>39</v>
      </c>
      <c r="O70" s="344">
        <v>0.06</v>
      </c>
      <c r="P70" s="346">
        <v>32286</v>
      </c>
      <c r="Q70" s="346">
        <v>1937.16</v>
      </c>
      <c r="R70" s="182"/>
      <c r="U70" s="128"/>
    </row>
    <row r="71" spans="1:21" ht="15.6" x14ac:dyDescent="0.3">
      <c r="A71" s="53"/>
      <c r="B71" s="54"/>
      <c r="C71" s="54"/>
      <c r="D71" s="54"/>
      <c r="E71" s="55"/>
      <c r="F71" s="75"/>
      <c r="G71" s="76"/>
      <c r="H71" s="76"/>
      <c r="I71" s="48"/>
      <c r="J71" s="70"/>
      <c r="K71" s="70"/>
      <c r="L71" s="342" t="s">
        <v>965</v>
      </c>
      <c r="M71" s="343" t="s">
        <v>382</v>
      </c>
      <c r="N71" s="342" t="s">
        <v>34</v>
      </c>
      <c r="O71" s="344">
        <v>2.31</v>
      </c>
      <c r="P71" s="345">
        <v>3.8</v>
      </c>
      <c r="Q71" s="345">
        <v>8.7799999999999994</v>
      </c>
      <c r="R71" s="182"/>
      <c r="U71" s="128"/>
    </row>
    <row r="72" spans="1:21" ht="15.6" x14ac:dyDescent="0.3">
      <c r="A72" s="53"/>
      <c r="B72" s="54"/>
      <c r="C72" s="54"/>
      <c r="D72" s="54"/>
      <c r="E72" s="55"/>
      <c r="F72" s="75"/>
      <c r="G72" s="76"/>
      <c r="H72" s="76"/>
      <c r="I72" s="48"/>
      <c r="J72" s="70"/>
      <c r="K72" s="70"/>
      <c r="L72" s="342" t="s">
        <v>939</v>
      </c>
      <c r="M72" s="343" t="s">
        <v>798</v>
      </c>
      <c r="N72" s="342" t="s">
        <v>63</v>
      </c>
      <c r="O72" s="344">
        <v>0.04</v>
      </c>
      <c r="P72" s="346">
        <v>30724.25</v>
      </c>
      <c r="Q72" s="346">
        <v>1228.97</v>
      </c>
      <c r="R72" s="182"/>
      <c r="U72" s="128"/>
    </row>
    <row r="73" spans="1:21" ht="15.6" x14ac:dyDescent="0.3">
      <c r="A73" s="53"/>
      <c r="B73" s="54"/>
      <c r="C73" s="54"/>
      <c r="D73" s="54"/>
      <c r="E73" s="55"/>
      <c r="F73" s="75"/>
      <c r="G73" s="76"/>
      <c r="H73" s="76"/>
      <c r="I73" s="48"/>
      <c r="J73" s="70"/>
      <c r="K73" s="70"/>
      <c r="L73" s="342" t="s">
        <v>1870</v>
      </c>
      <c r="M73" s="343" t="s">
        <v>1885</v>
      </c>
      <c r="N73" s="342" t="s">
        <v>35</v>
      </c>
      <c r="O73" s="344">
        <v>1</v>
      </c>
      <c r="P73" s="345">
        <v>77.08</v>
      </c>
      <c r="Q73" s="345">
        <v>77.08</v>
      </c>
      <c r="R73" s="182"/>
      <c r="U73" s="128"/>
    </row>
    <row r="74" spans="1:21" ht="15.6" x14ac:dyDescent="0.3">
      <c r="A74" s="53"/>
      <c r="B74" s="54"/>
      <c r="C74" s="54"/>
      <c r="D74" s="54"/>
      <c r="E74" s="55"/>
      <c r="F74" s="75"/>
      <c r="G74" s="76"/>
      <c r="H74" s="76"/>
      <c r="I74" s="48"/>
      <c r="J74" s="70"/>
      <c r="K74" s="70"/>
      <c r="L74" s="342" t="s">
        <v>385</v>
      </c>
      <c r="M74" s="343" t="s">
        <v>386</v>
      </c>
      <c r="N74" s="342" t="s">
        <v>34</v>
      </c>
      <c r="O74" s="344">
        <v>1</v>
      </c>
      <c r="P74" s="345">
        <v>261.92</v>
      </c>
      <c r="Q74" s="345">
        <v>261.92</v>
      </c>
      <c r="R74" s="182"/>
      <c r="U74" s="128"/>
    </row>
    <row r="75" spans="1:21" ht="15.6" x14ac:dyDescent="0.3">
      <c r="A75" s="53"/>
      <c r="B75" s="54"/>
      <c r="C75" s="54"/>
      <c r="D75" s="54"/>
      <c r="E75" s="55"/>
      <c r="F75" s="75"/>
      <c r="G75" s="76"/>
      <c r="H75" s="76"/>
      <c r="I75" s="48"/>
      <c r="J75" s="70"/>
      <c r="K75" s="70"/>
      <c r="L75" s="342" t="s">
        <v>801</v>
      </c>
      <c r="M75" s="343" t="s">
        <v>802</v>
      </c>
      <c r="N75" s="342" t="s">
        <v>34</v>
      </c>
      <c r="O75" s="344">
        <v>2</v>
      </c>
      <c r="P75" s="345">
        <v>308.12</v>
      </c>
      <c r="Q75" s="345">
        <v>616.24</v>
      </c>
      <c r="R75" s="182"/>
      <c r="U75" s="128"/>
    </row>
    <row r="76" spans="1:21" ht="15.6" x14ac:dyDescent="0.3">
      <c r="A76" s="53"/>
      <c r="B76" s="54"/>
      <c r="C76" s="54"/>
      <c r="D76" s="54"/>
      <c r="E76" s="55"/>
      <c r="F76" s="75"/>
      <c r="G76" s="76"/>
      <c r="H76" s="76"/>
      <c r="I76" s="48"/>
      <c r="J76" s="70"/>
      <c r="K76" s="70"/>
      <c r="L76" s="342" t="s">
        <v>1027</v>
      </c>
      <c r="M76" s="343" t="s">
        <v>803</v>
      </c>
      <c r="N76" s="342" t="s">
        <v>45</v>
      </c>
      <c r="O76" s="344">
        <v>30.85</v>
      </c>
      <c r="P76" s="345">
        <v>399.17</v>
      </c>
      <c r="Q76" s="346">
        <v>12314.4</v>
      </c>
      <c r="R76" s="182"/>
      <c r="U76" s="128"/>
    </row>
    <row r="77" spans="1:21" ht="15.6" x14ac:dyDescent="0.3">
      <c r="A77" s="53"/>
      <c r="B77" s="54"/>
      <c r="C77" s="54"/>
      <c r="D77" s="54"/>
      <c r="E77" s="55"/>
      <c r="F77" s="75"/>
      <c r="G77" s="76"/>
      <c r="H77" s="76"/>
      <c r="I77" s="48"/>
      <c r="J77" s="70"/>
      <c r="K77" s="70"/>
      <c r="L77" s="342" t="s">
        <v>1153</v>
      </c>
      <c r="M77" s="343" t="s">
        <v>1240</v>
      </c>
      <c r="N77" s="342" t="s">
        <v>34</v>
      </c>
      <c r="O77" s="344">
        <v>0.08</v>
      </c>
      <c r="P77" s="346">
        <v>1488</v>
      </c>
      <c r="Q77" s="345">
        <v>119.04</v>
      </c>
      <c r="R77" s="182"/>
      <c r="U77" s="128"/>
    </row>
    <row r="78" spans="1:21" ht="15.6" x14ac:dyDescent="0.3">
      <c r="A78" s="53"/>
      <c r="B78" s="54"/>
      <c r="C78" s="54"/>
      <c r="D78" s="54"/>
      <c r="E78" s="55"/>
      <c r="F78" s="75"/>
      <c r="G78" s="76"/>
      <c r="H78" s="76"/>
      <c r="I78" s="48"/>
      <c r="J78" s="70"/>
      <c r="K78" s="70"/>
      <c r="L78" s="342" t="s">
        <v>1154</v>
      </c>
      <c r="M78" s="343" t="s">
        <v>1241</v>
      </c>
      <c r="N78" s="342" t="s">
        <v>34</v>
      </c>
      <c r="O78" s="344">
        <v>2</v>
      </c>
      <c r="P78" s="345">
        <v>158.35</v>
      </c>
      <c r="Q78" s="345">
        <v>316.7</v>
      </c>
      <c r="R78" s="182"/>
      <c r="U78" s="128"/>
    </row>
    <row r="79" spans="1:21" ht="15.6" x14ac:dyDescent="0.3">
      <c r="A79" s="53"/>
      <c r="B79" s="54"/>
      <c r="C79" s="54"/>
      <c r="D79" s="54"/>
      <c r="E79" s="55"/>
      <c r="F79" s="75"/>
      <c r="G79" s="76"/>
      <c r="H79" s="76"/>
      <c r="I79" s="48"/>
      <c r="J79" s="70"/>
      <c r="K79" s="70"/>
      <c r="L79" s="342" t="s">
        <v>1014</v>
      </c>
      <c r="M79" s="343" t="s">
        <v>806</v>
      </c>
      <c r="N79" s="342" t="s">
        <v>34</v>
      </c>
      <c r="O79" s="344">
        <v>1</v>
      </c>
      <c r="P79" s="345">
        <v>48.17</v>
      </c>
      <c r="Q79" s="345">
        <v>48.17</v>
      </c>
      <c r="R79" s="182"/>
      <c r="U79" s="128"/>
    </row>
    <row r="80" spans="1:21" ht="15.6" x14ac:dyDescent="0.3">
      <c r="A80" s="53"/>
      <c r="B80" s="54"/>
      <c r="C80" s="54"/>
      <c r="D80" s="54"/>
      <c r="E80" s="55"/>
      <c r="F80" s="75"/>
      <c r="G80" s="76"/>
      <c r="H80" s="76"/>
      <c r="I80" s="48"/>
      <c r="J80" s="70"/>
      <c r="K80" s="70"/>
      <c r="L80" s="342" t="s">
        <v>1015</v>
      </c>
      <c r="M80" s="343" t="s">
        <v>393</v>
      </c>
      <c r="N80" s="342" t="s">
        <v>34</v>
      </c>
      <c r="O80" s="344">
        <v>5</v>
      </c>
      <c r="P80" s="345">
        <v>21.7</v>
      </c>
      <c r="Q80" s="345">
        <v>108.51</v>
      </c>
      <c r="R80" s="182"/>
      <c r="U80" s="128"/>
    </row>
    <row r="81" spans="1:21" ht="15.6" x14ac:dyDescent="0.3">
      <c r="A81" s="53"/>
      <c r="B81" s="54"/>
      <c r="C81" s="54"/>
      <c r="D81" s="54"/>
      <c r="E81" s="55"/>
      <c r="F81" s="75"/>
      <c r="G81" s="76"/>
      <c r="H81" s="76"/>
      <c r="I81" s="48"/>
      <c r="J81" s="70"/>
      <c r="K81" s="70"/>
      <c r="L81" s="342" t="s">
        <v>1016</v>
      </c>
      <c r="M81" s="343" t="s">
        <v>396</v>
      </c>
      <c r="N81" s="342" t="s">
        <v>34</v>
      </c>
      <c r="O81" s="344">
        <v>3</v>
      </c>
      <c r="P81" s="345">
        <v>41.5</v>
      </c>
      <c r="Q81" s="345">
        <v>124.5</v>
      </c>
      <c r="R81" s="182"/>
      <c r="U81" s="128"/>
    </row>
    <row r="82" spans="1:21" ht="15.6" x14ac:dyDescent="0.3">
      <c r="A82" s="53"/>
      <c r="B82" s="54"/>
      <c r="C82" s="54"/>
      <c r="D82" s="54"/>
      <c r="E82" s="55"/>
      <c r="F82" s="75"/>
      <c r="G82" s="76"/>
      <c r="H82" s="76"/>
      <c r="I82" s="48"/>
      <c r="J82" s="70"/>
      <c r="K82" s="70"/>
      <c r="L82" s="342" t="s">
        <v>1017</v>
      </c>
      <c r="M82" s="343" t="s">
        <v>397</v>
      </c>
      <c r="N82" s="342" t="s">
        <v>34</v>
      </c>
      <c r="O82" s="344">
        <v>4</v>
      </c>
      <c r="P82" s="345">
        <v>28</v>
      </c>
      <c r="Q82" s="345">
        <v>112</v>
      </c>
      <c r="R82" s="182"/>
      <c r="U82" s="128"/>
    </row>
    <row r="83" spans="1:21" ht="15.6" x14ac:dyDescent="0.3">
      <c r="A83" s="53"/>
      <c r="B83" s="54"/>
      <c r="C83" s="54"/>
      <c r="D83" s="54"/>
      <c r="E83" s="55"/>
      <c r="F83" s="75"/>
      <c r="G83" s="76"/>
      <c r="H83" s="76"/>
      <c r="I83" s="48"/>
      <c r="J83" s="70"/>
      <c r="K83" s="70"/>
      <c r="L83" s="342" t="s">
        <v>1157</v>
      </c>
      <c r="M83" s="343" t="s">
        <v>398</v>
      </c>
      <c r="N83" s="342" t="s">
        <v>34</v>
      </c>
      <c r="O83" s="344">
        <v>1</v>
      </c>
      <c r="P83" s="346">
        <v>1290.8</v>
      </c>
      <c r="Q83" s="346">
        <v>1290.8</v>
      </c>
      <c r="R83" s="182"/>
      <c r="U83" s="128"/>
    </row>
    <row r="84" spans="1:21" ht="15.6" x14ac:dyDescent="0.3">
      <c r="A84" s="53"/>
      <c r="B84" s="54"/>
      <c r="C84" s="54"/>
      <c r="D84" s="54"/>
      <c r="E84" s="55"/>
      <c r="F84" s="75"/>
      <c r="G84" s="76"/>
      <c r="H84" s="76"/>
      <c r="I84" s="48"/>
      <c r="J84" s="70"/>
      <c r="K84" s="70"/>
      <c r="L84" s="342" t="s">
        <v>1009</v>
      </c>
      <c r="M84" s="343" t="s">
        <v>811</v>
      </c>
      <c r="N84" s="342" t="s">
        <v>34</v>
      </c>
      <c r="O84" s="344">
        <v>7</v>
      </c>
      <c r="P84" s="345">
        <v>91</v>
      </c>
      <c r="Q84" s="345">
        <v>637</v>
      </c>
      <c r="R84" s="182"/>
      <c r="U84" s="128"/>
    </row>
    <row r="85" spans="1:21" ht="15.6" x14ac:dyDescent="0.3">
      <c r="A85" s="53"/>
      <c r="B85" s="54"/>
      <c r="C85" s="54"/>
      <c r="D85" s="54"/>
      <c r="E85" s="55"/>
      <c r="F85" s="75"/>
      <c r="G85" s="76"/>
      <c r="H85" s="76"/>
      <c r="I85" s="48"/>
      <c r="J85" s="70"/>
      <c r="K85" s="70"/>
      <c r="L85" s="342" t="s">
        <v>1158</v>
      </c>
      <c r="M85" s="343" t="s">
        <v>1244</v>
      </c>
      <c r="N85" s="342" t="s">
        <v>34</v>
      </c>
      <c r="O85" s="344">
        <v>1</v>
      </c>
      <c r="P85" s="345">
        <v>238</v>
      </c>
      <c r="Q85" s="345">
        <v>238</v>
      </c>
      <c r="R85" s="182"/>
      <c r="U85" s="128"/>
    </row>
    <row r="86" spans="1:21" ht="15.6" x14ac:dyDescent="0.3">
      <c r="A86" s="53"/>
      <c r="B86" s="54"/>
      <c r="C86" s="54"/>
      <c r="D86" s="54"/>
      <c r="E86" s="55"/>
      <c r="F86" s="75"/>
      <c r="G86" s="76"/>
      <c r="H86" s="76"/>
      <c r="I86" s="48"/>
      <c r="J86" s="70"/>
      <c r="K86" s="70"/>
      <c r="L86" s="342" t="s">
        <v>944</v>
      </c>
      <c r="M86" s="343" t="s">
        <v>1041</v>
      </c>
      <c r="N86" s="342" t="s">
        <v>903</v>
      </c>
      <c r="O86" s="344">
        <v>4</v>
      </c>
      <c r="P86" s="346">
        <v>1283.5</v>
      </c>
      <c r="Q86" s="346">
        <v>5134</v>
      </c>
      <c r="R86" s="182"/>
      <c r="U86" s="128"/>
    </row>
    <row r="87" spans="1:21" ht="15.6" x14ac:dyDescent="0.3">
      <c r="A87" s="53"/>
      <c r="B87" s="54"/>
      <c r="C87" s="54"/>
      <c r="D87" s="54"/>
      <c r="E87" s="55"/>
      <c r="F87" s="75"/>
      <c r="G87" s="76"/>
      <c r="H87" s="76"/>
      <c r="I87" s="48"/>
      <c r="J87" s="70"/>
      <c r="K87" s="70"/>
      <c r="L87" s="342" t="s">
        <v>1163</v>
      </c>
      <c r="M87" s="343" t="s">
        <v>1248</v>
      </c>
      <c r="N87" s="342" t="s">
        <v>34</v>
      </c>
      <c r="O87" s="344">
        <v>2</v>
      </c>
      <c r="P87" s="345">
        <v>622.49</v>
      </c>
      <c r="Q87" s="346">
        <v>1244.98</v>
      </c>
      <c r="R87" s="182"/>
      <c r="U87" s="128"/>
    </row>
    <row r="88" spans="1:21" ht="15.6" x14ac:dyDescent="0.3">
      <c r="A88" s="53"/>
      <c r="B88" s="54"/>
      <c r="C88" s="54"/>
      <c r="D88" s="54"/>
      <c r="E88" s="55"/>
      <c r="F88" s="75"/>
      <c r="G88" s="76"/>
      <c r="H88" s="76"/>
      <c r="I88" s="48"/>
      <c r="J88" s="70"/>
      <c r="K88" s="70"/>
      <c r="L88" s="342" t="s">
        <v>1010</v>
      </c>
      <c r="M88" s="343" t="s">
        <v>814</v>
      </c>
      <c r="N88" s="342" t="s">
        <v>34</v>
      </c>
      <c r="O88" s="344">
        <v>5</v>
      </c>
      <c r="P88" s="345">
        <v>644.35</v>
      </c>
      <c r="Q88" s="346">
        <v>3221.75</v>
      </c>
      <c r="R88" s="182"/>
      <c r="U88" s="128"/>
    </row>
    <row r="89" spans="1:21" ht="15.6" x14ac:dyDescent="0.3">
      <c r="A89" s="53"/>
      <c r="B89" s="54"/>
      <c r="C89" s="54"/>
      <c r="D89" s="54"/>
      <c r="E89" s="55"/>
      <c r="F89" s="75"/>
      <c r="G89" s="76"/>
      <c r="H89" s="76"/>
      <c r="I89" s="48"/>
      <c r="J89" s="70"/>
      <c r="K89" s="70"/>
      <c r="L89" s="342" t="s">
        <v>1011</v>
      </c>
      <c r="M89" s="343" t="s">
        <v>815</v>
      </c>
      <c r="N89" s="342" t="s">
        <v>34</v>
      </c>
      <c r="O89" s="344">
        <v>10</v>
      </c>
      <c r="P89" s="345">
        <v>946.62</v>
      </c>
      <c r="Q89" s="346">
        <v>9466.23</v>
      </c>
      <c r="R89" s="182"/>
      <c r="U89" s="128"/>
    </row>
    <row r="90" spans="1:21" ht="15.6" x14ac:dyDescent="0.3">
      <c r="A90" s="53"/>
      <c r="B90" s="54"/>
      <c r="C90" s="54"/>
      <c r="D90" s="54"/>
      <c r="E90" s="55"/>
      <c r="F90" s="75"/>
      <c r="G90" s="76"/>
      <c r="H90" s="76"/>
      <c r="I90" s="48"/>
      <c r="J90" s="70"/>
      <c r="K90" s="70"/>
      <c r="L90" s="342" t="s">
        <v>1164</v>
      </c>
      <c r="M90" s="343" t="s">
        <v>1249</v>
      </c>
      <c r="N90" s="342" t="s">
        <v>34</v>
      </c>
      <c r="O90" s="344">
        <v>1</v>
      </c>
      <c r="P90" s="345">
        <v>349.1</v>
      </c>
      <c r="Q90" s="345">
        <v>349.1</v>
      </c>
      <c r="R90" s="182"/>
      <c r="U90" s="128"/>
    </row>
    <row r="91" spans="1:21" ht="30" x14ac:dyDescent="0.3">
      <c r="A91" s="53"/>
      <c r="B91" s="54"/>
      <c r="C91" s="54"/>
      <c r="D91" s="54"/>
      <c r="E91" s="55"/>
      <c r="F91" s="75"/>
      <c r="G91" s="76"/>
      <c r="H91" s="76"/>
      <c r="I91" s="48"/>
      <c r="J91" s="70"/>
      <c r="K91" s="70"/>
      <c r="L91" s="342" t="s">
        <v>1360</v>
      </c>
      <c r="M91" s="343" t="s">
        <v>1389</v>
      </c>
      <c r="N91" s="342" t="s">
        <v>903</v>
      </c>
      <c r="O91" s="344">
        <v>0.28999999999999998</v>
      </c>
      <c r="P91" s="346">
        <v>3625</v>
      </c>
      <c r="Q91" s="346">
        <v>1051.25</v>
      </c>
      <c r="R91" s="182"/>
      <c r="U91" s="128"/>
    </row>
    <row r="92" spans="1:21" ht="15.6" x14ac:dyDescent="0.3">
      <c r="A92" s="53"/>
      <c r="B92" s="54"/>
      <c r="C92" s="54"/>
      <c r="D92" s="54"/>
      <c r="E92" s="55"/>
      <c r="F92" s="75"/>
      <c r="G92" s="76"/>
      <c r="H92" s="76"/>
      <c r="I92" s="48"/>
      <c r="J92" s="70"/>
      <c r="K92" s="70"/>
      <c r="L92" s="342" t="s">
        <v>937</v>
      </c>
      <c r="M92" s="343" t="s">
        <v>1036</v>
      </c>
      <c r="N92" s="342" t="s">
        <v>269</v>
      </c>
      <c r="O92" s="344">
        <v>3</v>
      </c>
      <c r="P92" s="346">
        <v>1687.5</v>
      </c>
      <c r="Q92" s="346">
        <v>5062.5</v>
      </c>
      <c r="R92" s="182"/>
      <c r="U92" s="128"/>
    </row>
    <row r="93" spans="1:21" ht="15.6" x14ac:dyDescent="0.3">
      <c r="A93" s="53"/>
      <c r="B93" s="54"/>
      <c r="C93" s="54"/>
      <c r="D93" s="54"/>
      <c r="E93" s="55"/>
      <c r="F93" s="75"/>
      <c r="G93" s="76"/>
      <c r="H93" s="76"/>
      <c r="I93" s="48"/>
      <c r="J93" s="70"/>
      <c r="K93" s="70"/>
      <c r="L93" s="342" t="s">
        <v>938</v>
      </c>
      <c r="M93" s="343" t="s">
        <v>1037</v>
      </c>
      <c r="N93" s="342" t="s">
        <v>269</v>
      </c>
      <c r="O93" s="344">
        <v>4</v>
      </c>
      <c r="P93" s="345">
        <v>813</v>
      </c>
      <c r="Q93" s="346">
        <v>3252</v>
      </c>
      <c r="R93" s="182"/>
      <c r="U93" s="128"/>
    </row>
    <row r="94" spans="1:21" ht="15.6" x14ac:dyDescent="0.3">
      <c r="A94" s="53"/>
      <c r="B94" s="54"/>
      <c r="C94" s="54"/>
      <c r="D94" s="54"/>
      <c r="E94" s="55"/>
      <c r="F94" s="75"/>
      <c r="G94" s="76"/>
      <c r="H94" s="76"/>
      <c r="I94" s="48"/>
      <c r="J94" s="70"/>
      <c r="K94" s="70"/>
      <c r="L94" s="342" t="s">
        <v>1001</v>
      </c>
      <c r="M94" s="343" t="s">
        <v>415</v>
      </c>
      <c r="N94" s="342" t="s">
        <v>34</v>
      </c>
      <c r="O94" s="344">
        <v>11</v>
      </c>
      <c r="P94" s="345">
        <v>59.58</v>
      </c>
      <c r="Q94" s="345">
        <v>655.38</v>
      </c>
      <c r="R94" s="182"/>
      <c r="U94" s="128"/>
    </row>
    <row r="95" spans="1:21" ht="15.6" x14ac:dyDescent="0.3">
      <c r="A95" s="53"/>
      <c r="B95" s="54"/>
      <c r="C95" s="54"/>
      <c r="D95" s="54"/>
      <c r="E95" s="55"/>
      <c r="F95" s="75"/>
      <c r="G95" s="76"/>
      <c r="H95" s="76"/>
      <c r="I95" s="48"/>
      <c r="J95" s="70"/>
      <c r="K95" s="70"/>
      <c r="L95" s="342" t="s">
        <v>1871</v>
      </c>
      <c r="M95" s="343" t="s">
        <v>1886</v>
      </c>
      <c r="N95" s="342" t="s">
        <v>56</v>
      </c>
      <c r="O95" s="344">
        <v>0.01</v>
      </c>
      <c r="P95" s="346">
        <v>55000</v>
      </c>
      <c r="Q95" s="345">
        <v>550</v>
      </c>
      <c r="R95" s="182"/>
      <c r="U95" s="128"/>
    </row>
    <row r="96" spans="1:21" ht="15.6" x14ac:dyDescent="0.3">
      <c r="A96" s="53"/>
      <c r="B96" s="54"/>
      <c r="C96" s="54"/>
      <c r="D96" s="54"/>
      <c r="E96" s="55"/>
      <c r="F96" s="75"/>
      <c r="G96" s="76"/>
      <c r="H96" s="76"/>
      <c r="I96" s="48"/>
      <c r="J96" s="70"/>
      <c r="K96" s="70"/>
      <c r="L96" s="342" t="s">
        <v>1116</v>
      </c>
      <c r="M96" s="343" t="s">
        <v>1202</v>
      </c>
      <c r="N96" s="342" t="s">
        <v>68</v>
      </c>
      <c r="O96" s="344">
        <v>52.13</v>
      </c>
      <c r="P96" s="345">
        <v>184.06</v>
      </c>
      <c r="Q96" s="346">
        <v>9594.9599999999991</v>
      </c>
      <c r="R96" s="182"/>
      <c r="U96" s="128"/>
    </row>
    <row r="97" spans="1:21" ht="15.6" x14ac:dyDescent="0.3">
      <c r="A97" s="53"/>
      <c r="B97" s="54"/>
      <c r="C97" s="54"/>
      <c r="D97" s="54"/>
      <c r="E97" s="55"/>
      <c r="F97" s="75"/>
      <c r="G97" s="76"/>
      <c r="H97" s="76"/>
      <c r="I97" s="48"/>
      <c r="J97" s="70"/>
      <c r="K97" s="70"/>
      <c r="L97" s="342" t="s">
        <v>1872</v>
      </c>
      <c r="M97" s="343" t="s">
        <v>1887</v>
      </c>
      <c r="N97" s="342" t="s">
        <v>34</v>
      </c>
      <c r="O97" s="344">
        <v>1</v>
      </c>
      <c r="P97" s="345">
        <v>55</v>
      </c>
      <c r="Q97" s="345">
        <v>55</v>
      </c>
      <c r="R97" s="182"/>
      <c r="U97" s="128"/>
    </row>
    <row r="98" spans="1:21" ht="15.6" x14ac:dyDescent="0.3">
      <c r="A98" s="53"/>
      <c r="B98" s="54"/>
      <c r="C98" s="54"/>
      <c r="D98" s="54"/>
      <c r="E98" s="55"/>
      <c r="F98" s="75"/>
      <c r="G98" s="76"/>
      <c r="H98" s="76"/>
      <c r="I98" s="48"/>
      <c r="J98" s="70"/>
      <c r="K98" s="70"/>
      <c r="L98" s="342" t="s">
        <v>1161</v>
      </c>
      <c r="M98" s="343" t="s">
        <v>436</v>
      </c>
      <c r="N98" s="342" t="s">
        <v>34</v>
      </c>
      <c r="O98" s="344">
        <v>5</v>
      </c>
      <c r="P98" s="345">
        <v>151.77000000000001</v>
      </c>
      <c r="Q98" s="345">
        <v>758.86</v>
      </c>
      <c r="R98" s="182"/>
      <c r="U98" s="128"/>
    </row>
    <row r="99" spans="1:21" ht="30" x14ac:dyDescent="0.3">
      <c r="A99" s="53"/>
      <c r="B99" s="54"/>
      <c r="C99" s="54"/>
      <c r="D99" s="54"/>
      <c r="E99" s="55"/>
      <c r="F99" s="75"/>
      <c r="G99" s="76"/>
      <c r="H99" s="76"/>
      <c r="I99" s="48"/>
      <c r="J99" s="70"/>
      <c r="K99" s="70"/>
      <c r="L99" s="342" t="s">
        <v>1004</v>
      </c>
      <c r="M99" s="343" t="s">
        <v>95</v>
      </c>
      <c r="N99" s="342" t="s">
        <v>34</v>
      </c>
      <c r="O99" s="344">
        <v>10</v>
      </c>
      <c r="P99" s="345">
        <v>181.32</v>
      </c>
      <c r="Q99" s="346">
        <v>1813.2</v>
      </c>
      <c r="R99" s="182"/>
      <c r="U99" s="128"/>
    </row>
    <row r="100" spans="1:21" ht="15.6" x14ac:dyDescent="0.3">
      <c r="A100" s="53"/>
      <c r="B100" s="54"/>
      <c r="C100" s="54"/>
      <c r="D100" s="54"/>
      <c r="E100" s="55"/>
      <c r="F100" s="75"/>
      <c r="G100" s="76"/>
      <c r="H100" s="76"/>
      <c r="I100" s="48"/>
      <c r="J100" s="70"/>
      <c r="K100" s="70"/>
      <c r="L100" s="342" t="s">
        <v>1090</v>
      </c>
      <c r="M100" s="343" t="s">
        <v>439</v>
      </c>
      <c r="N100" s="342" t="s">
        <v>34</v>
      </c>
      <c r="O100" s="344">
        <v>1</v>
      </c>
      <c r="P100" s="345">
        <v>89.11</v>
      </c>
      <c r="Q100" s="345">
        <v>89.11</v>
      </c>
      <c r="R100" s="182"/>
      <c r="U100" s="128"/>
    </row>
    <row r="101" spans="1:21" ht="15.6" x14ac:dyDescent="0.3">
      <c r="A101" s="53"/>
      <c r="B101" s="54"/>
      <c r="C101" s="54"/>
      <c r="D101" s="54"/>
      <c r="E101" s="55"/>
      <c r="F101" s="75"/>
      <c r="G101" s="76"/>
      <c r="H101" s="76"/>
      <c r="I101" s="48"/>
      <c r="J101" s="70"/>
      <c r="K101" s="70"/>
      <c r="L101" s="342" t="s">
        <v>1005</v>
      </c>
      <c r="M101" s="343" t="s">
        <v>825</v>
      </c>
      <c r="N101" s="342" t="s">
        <v>34</v>
      </c>
      <c r="O101" s="344">
        <v>4</v>
      </c>
      <c r="P101" s="345">
        <v>288.5</v>
      </c>
      <c r="Q101" s="346">
        <v>1154</v>
      </c>
      <c r="R101" s="272"/>
      <c r="U101" s="128"/>
    </row>
    <row r="102" spans="1:21" ht="15.6" x14ac:dyDescent="0.3">
      <c r="A102" s="53"/>
      <c r="B102" s="54"/>
      <c r="C102" s="54"/>
      <c r="D102" s="54"/>
      <c r="E102" s="55"/>
      <c r="F102" s="75"/>
      <c r="G102" s="76"/>
      <c r="H102" s="76"/>
      <c r="I102" s="48"/>
      <c r="J102" s="70"/>
      <c r="K102" s="70"/>
      <c r="L102" s="342" t="s">
        <v>1006</v>
      </c>
      <c r="M102" s="343" t="s">
        <v>923</v>
      </c>
      <c r="N102" s="342" t="s">
        <v>34</v>
      </c>
      <c r="O102" s="344">
        <v>694</v>
      </c>
      <c r="P102" s="345">
        <v>0.14000000000000001</v>
      </c>
      <c r="Q102" s="345">
        <v>95.73</v>
      </c>
      <c r="R102" s="182"/>
      <c r="U102" s="128"/>
    </row>
    <row r="103" spans="1:21" ht="15.6" x14ac:dyDescent="0.3">
      <c r="A103" s="53"/>
      <c r="B103" s="54"/>
      <c r="C103" s="54"/>
      <c r="D103" s="54"/>
      <c r="E103" s="55"/>
      <c r="F103" s="75"/>
      <c r="G103" s="76"/>
      <c r="H103" s="76"/>
      <c r="I103" s="48"/>
      <c r="J103" s="70"/>
      <c r="K103" s="70"/>
      <c r="L103" s="342" t="s">
        <v>1007</v>
      </c>
      <c r="M103" s="343" t="s">
        <v>447</v>
      </c>
      <c r="N103" s="342" t="s">
        <v>34</v>
      </c>
      <c r="O103" s="344">
        <v>9</v>
      </c>
      <c r="P103" s="345">
        <v>106.52</v>
      </c>
      <c r="Q103" s="345">
        <v>958.71</v>
      </c>
      <c r="R103" s="182"/>
      <c r="U103" s="128"/>
    </row>
    <row r="104" spans="1:21" ht="15.6" x14ac:dyDescent="0.3">
      <c r="A104" s="53"/>
      <c r="B104" s="54"/>
      <c r="C104" s="54"/>
      <c r="D104" s="54"/>
      <c r="E104" s="55"/>
      <c r="F104" s="75"/>
      <c r="G104" s="76"/>
      <c r="H104" s="76"/>
      <c r="I104" s="48"/>
      <c r="J104" s="70"/>
      <c r="K104" s="70"/>
      <c r="L104" s="342" t="s">
        <v>1873</v>
      </c>
      <c r="M104" s="343" t="s">
        <v>1888</v>
      </c>
      <c r="N104" s="342" t="s">
        <v>34</v>
      </c>
      <c r="O104" s="344">
        <v>6.54</v>
      </c>
      <c r="P104" s="345">
        <v>113.61</v>
      </c>
      <c r="Q104" s="345">
        <v>743.01</v>
      </c>
      <c r="R104" s="182"/>
      <c r="U104" s="128"/>
    </row>
    <row r="105" spans="1:21" ht="15.6" x14ac:dyDescent="0.3">
      <c r="A105" s="53"/>
      <c r="B105" s="54"/>
      <c r="C105" s="54"/>
      <c r="D105" s="54"/>
      <c r="E105" s="55"/>
      <c r="F105" s="75"/>
      <c r="G105" s="76"/>
      <c r="H105" s="76"/>
      <c r="I105" s="48"/>
      <c r="J105" s="70"/>
      <c r="K105" s="70"/>
      <c r="L105" s="342" t="s">
        <v>1313</v>
      </c>
      <c r="M105" s="343" t="s">
        <v>1347</v>
      </c>
      <c r="N105" s="342" t="s">
        <v>34</v>
      </c>
      <c r="O105" s="344">
        <v>1</v>
      </c>
      <c r="P105" s="345">
        <v>91.5</v>
      </c>
      <c r="Q105" s="345">
        <v>91.5</v>
      </c>
      <c r="R105" s="182"/>
      <c r="U105" s="128"/>
    </row>
    <row r="106" spans="1:21" ht="15.6" x14ac:dyDescent="0.3">
      <c r="A106" s="53"/>
      <c r="B106" s="54"/>
      <c r="C106" s="54"/>
      <c r="D106" s="54"/>
      <c r="E106" s="55"/>
      <c r="F106" s="75"/>
      <c r="G106" s="76"/>
      <c r="H106" s="76"/>
      <c r="I106" s="48"/>
      <c r="J106" s="70"/>
      <c r="K106" s="70"/>
      <c r="L106" s="342" t="s">
        <v>1080</v>
      </c>
      <c r="M106" s="343" t="s">
        <v>1081</v>
      </c>
      <c r="N106" s="342" t="s">
        <v>34</v>
      </c>
      <c r="O106" s="344">
        <v>1</v>
      </c>
      <c r="P106" s="345">
        <v>4.25</v>
      </c>
      <c r="Q106" s="345">
        <v>4.25</v>
      </c>
      <c r="R106" s="182"/>
      <c r="U106" s="128"/>
    </row>
    <row r="107" spans="1:21" ht="15.6" x14ac:dyDescent="0.3">
      <c r="A107" s="53"/>
      <c r="B107" s="54"/>
      <c r="C107" s="54"/>
      <c r="D107" s="54"/>
      <c r="E107" s="55"/>
      <c r="F107" s="75"/>
      <c r="G107" s="76"/>
      <c r="H107" s="76"/>
      <c r="I107" s="48"/>
      <c r="J107" s="70"/>
      <c r="K107" s="70"/>
      <c r="L107" s="342" t="s">
        <v>1378</v>
      </c>
      <c r="M107" s="343" t="s">
        <v>1406</v>
      </c>
      <c r="N107" s="342" t="s">
        <v>34</v>
      </c>
      <c r="O107" s="344">
        <v>1</v>
      </c>
      <c r="P107" s="345">
        <v>31</v>
      </c>
      <c r="Q107" s="345">
        <v>31</v>
      </c>
      <c r="R107" s="182"/>
      <c r="U107" s="128"/>
    </row>
    <row r="108" spans="1:21" ht="15.6" x14ac:dyDescent="0.3">
      <c r="A108" s="53"/>
      <c r="B108" s="54"/>
      <c r="C108" s="54"/>
      <c r="D108" s="54"/>
      <c r="E108" s="55"/>
      <c r="F108" s="75"/>
      <c r="G108" s="76"/>
      <c r="H108" s="76"/>
      <c r="I108" s="48"/>
      <c r="J108" s="70"/>
      <c r="K108" s="70"/>
      <c r="L108" s="342" t="s">
        <v>983</v>
      </c>
      <c r="M108" s="343" t="s">
        <v>471</v>
      </c>
      <c r="N108" s="342" t="s">
        <v>34</v>
      </c>
      <c r="O108" s="344">
        <v>2</v>
      </c>
      <c r="P108" s="345">
        <v>31</v>
      </c>
      <c r="Q108" s="345">
        <v>62</v>
      </c>
      <c r="R108" s="182"/>
      <c r="U108" s="128"/>
    </row>
    <row r="109" spans="1:21" ht="15.6" x14ac:dyDescent="0.3">
      <c r="A109" s="53"/>
      <c r="B109" s="54"/>
      <c r="C109" s="54"/>
      <c r="D109" s="54"/>
      <c r="E109" s="55"/>
      <c r="F109" s="75"/>
      <c r="G109" s="76"/>
      <c r="H109" s="76"/>
      <c r="I109" s="48"/>
      <c r="J109" s="70"/>
      <c r="K109" s="70"/>
      <c r="L109" s="342" t="s">
        <v>984</v>
      </c>
      <c r="M109" s="343" t="s">
        <v>472</v>
      </c>
      <c r="N109" s="342" t="s">
        <v>34</v>
      </c>
      <c r="O109" s="344">
        <v>7</v>
      </c>
      <c r="P109" s="345">
        <v>7.5</v>
      </c>
      <c r="Q109" s="345">
        <v>52.5</v>
      </c>
      <c r="R109" s="182"/>
      <c r="U109" s="128"/>
    </row>
    <row r="110" spans="1:21" ht="15.6" x14ac:dyDescent="0.3">
      <c r="A110" s="53"/>
      <c r="B110" s="54"/>
      <c r="C110" s="54"/>
      <c r="D110" s="54"/>
      <c r="E110" s="55"/>
      <c r="F110" s="75"/>
      <c r="G110" s="76"/>
      <c r="H110" s="76"/>
      <c r="I110" s="48"/>
      <c r="J110" s="70"/>
      <c r="K110" s="70"/>
      <c r="L110" s="342" t="s">
        <v>985</v>
      </c>
      <c r="M110" s="343" t="s">
        <v>473</v>
      </c>
      <c r="N110" s="342" t="s">
        <v>34</v>
      </c>
      <c r="O110" s="344">
        <v>5</v>
      </c>
      <c r="P110" s="345">
        <v>56.74</v>
      </c>
      <c r="Q110" s="345">
        <v>283.7</v>
      </c>
      <c r="R110" s="182"/>
      <c r="U110" s="128"/>
    </row>
    <row r="111" spans="1:21" ht="15.6" x14ac:dyDescent="0.3">
      <c r="A111" s="53"/>
      <c r="B111" s="54"/>
      <c r="C111" s="54"/>
      <c r="D111" s="54"/>
      <c r="E111" s="55"/>
      <c r="F111" s="75"/>
      <c r="G111" s="76"/>
      <c r="H111" s="76"/>
      <c r="I111" s="48"/>
      <c r="J111" s="70"/>
      <c r="K111" s="70"/>
      <c r="L111" s="342" t="s">
        <v>1087</v>
      </c>
      <c r="M111" s="343" t="s">
        <v>1089</v>
      </c>
      <c r="N111" s="342" t="s">
        <v>34</v>
      </c>
      <c r="O111" s="344">
        <v>1</v>
      </c>
      <c r="P111" s="345">
        <v>73</v>
      </c>
      <c r="Q111" s="345">
        <v>73</v>
      </c>
      <c r="R111" s="182"/>
      <c r="U111" s="128"/>
    </row>
    <row r="112" spans="1:21" ht="15.6" x14ac:dyDescent="0.3">
      <c r="A112" s="53"/>
      <c r="B112" s="54"/>
      <c r="C112" s="54"/>
      <c r="D112" s="54"/>
      <c r="E112" s="55"/>
      <c r="F112" s="75"/>
      <c r="G112" s="76"/>
      <c r="H112" s="76"/>
      <c r="I112" s="48"/>
      <c r="J112" s="70"/>
      <c r="K112" s="70"/>
      <c r="L112" s="342" t="s">
        <v>1382</v>
      </c>
      <c r="M112" s="343" t="s">
        <v>1410</v>
      </c>
      <c r="N112" s="342" t="s">
        <v>39</v>
      </c>
      <c r="O112" s="344">
        <v>0.02</v>
      </c>
      <c r="P112" s="346">
        <v>35795</v>
      </c>
      <c r="Q112" s="345">
        <v>715.9</v>
      </c>
      <c r="R112" s="182"/>
      <c r="U112" s="128"/>
    </row>
    <row r="113" spans="1:21" ht="15.6" x14ac:dyDescent="0.3">
      <c r="A113" s="53"/>
      <c r="B113" s="54"/>
      <c r="C113" s="54"/>
      <c r="D113" s="54"/>
      <c r="E113" s="55"/>
      <c r="F113" s="75"/>
      <c r="G113" s="76"/>
      <c r="H113" s="76"/>
      <c r="I113" s="48"/>
      <c r="J113" s="70"/>
      <c r="K113" s="70"/>
      <c r="L113" s="342" t="s">
        <v>1423</v>
      </c>
      <c r="M113" s="343" t="s">
        <v>1446</v>
      </c>
      <c r="N113" s="342" t="s">
        <v>39</v>
      </c>
      <c r="O113" s="344">
        <v>7.0000000000000007E-2</v>
      </c>
      <c r="P113" s="346">
        <v>31817</v>
      </c>
      <c r="Q113" s="346">
        <v>2227.19</v>
      </c>
      <c r="R113" s="182"/>
      <c r="U113" s="128"/>
    </row>
    <row r="114" spans="1:21" ht="15.6" x14ac:dyDescent="0.3">
      <c r="A114" s="53"/>
      <c r="B114" s="54"/>
      <c r="C114" s="54"/>
      <c r="D114" s="54"/>
      <c r="E114" s="55"/>
      <c r="F114" s="75"/>
      <c r="G114" s="76"/>
      <c r="H114" s="76"/>
      <c r="I114" s="48"/>
      <c r="J114" s="70"/>
      <c r="K114" s="70"/>
      <c r="L114" s="342" t="s">
        <v>1424</v>
      </c>
      <c r="M114" s="343" t="s">
        <v>228</v>
      </c>
      <c r="N114" s="342" t="s">
        <v>39</v>
      </c>
      <c r="O114" s="344">
        <v>0.04</v>
      </c>
      <c r="P114" s="346">
        <v>34206</v>
      </c>
      <c r="Q114" s="346">
        <v>1368.24</v>
      </c>
      <c r="R114" s="182"/>
      <c r="U114" s="128"/>
    </row>
    <row r="115" spans="1:21" ht="15.6" x14ac:dyDescent="0.3">
      <c r="A115" s="53"/>
      <c r="B115" s="54"/>
      <c r="C115" s="54"/>
      <c r="D115" s="54"/>
      <c r="E115" s="55"/>
      <c r="F115" s="75"/>
      <c r="G115" s="76"/>
      <c r="H115" s="76"/>
      <c r="I115" s="48"/>
      <c r="J115" s="70"/>
      <c r="K115" s="70"/>
      <c r="L115" s="342" t="s">
        <v>1847</v>
      </c>
      <c r="M115" s="343" t="s">
        <v>1849</v>
      </c>
      <c r="N115" s="342" t="s">
        <v>39</v>
      </c>
      <c r="O115" s="344">
        <v>0.01</v>
      </c>
      <c r="P115" s="346">
        <v>34578</v>
      </c>
      <c r="Q115" s="345">
        <v>345.78</v>
      </c>
      <c r="R115" s="182"/>
      <c r="U115" s="128"/>
    </row>
    <row r="116" spans="1:21" ht="15.6" x14ac:dyDescent="0.3">
      <c r="A116" s="53"/>
      <c r="B116" s="54"/>
      <c r="C116" s="54"/>
      <c r="D116" s="54"/>
      <c r="E116" s="55"/>
      <c r="F116" s="75"/>
      <c r="G116" s="76"/>
      <c r="H116" s="76"/>
      <c r="I116" s="48"/>
      <c r="J116" s="70"/>
      <c r="K116" s="70"/>
      <c r="L116" s="342" t="s">
        <v>1031</v>
      </c>
      <c r="M116" s="343" t="s">
        <v>834</v>
      </c>
      <c r="N116" s="342" t="s">
        <v>39</v>
      </c>
      <c r="O116" s="344">
        <v>0.13</v>
      </c>
      <c r="P116" s="346">
        <v>35258</v>
      </c>
      <c r="Q116" s="346">
        <v>4583.54</v>
      </c>
      <c r="R116" s="182"/>
      <c r="U116" s="128"/>
    </row>
    <row r="117" spans="1:21" ht="15.6" x14ac:dyDescent="0.3">
      <c r="A117" s="53"/>
      <c r="B117" s="54"/>
      <c r="C117" s="54"/>
      <c r="D117" s="54"/>
      <c r="E117" s="55"/>
      <c r="F117" s="75"/>
      <c r="G117" s="76"/>
      <c r="H117" s="76"/>
      <c r="I117" s="48"/>
      <c r="J117" s="70"/>
      <c r="K117" s="70"/>
      <c r="L117" s="342" t="s">
        <v>986</v>
      </c>
      <c r="M117" s="343" t="s">
        <v>835</v>
      </c>
      <c r="N117" s="342" t="s">
        <v>34</v>
      </c>
      <c r="O117" s="344">
        <v>6</v>
      </c>
      <c r="P117" s="345">
        <v>275.86</v>
      </c>
      <c r="Q117" s="346">
        <v>1655.16</v>
      </c>
      <c r="R117" s="182"/>
      <c r="U117" s="128"/>
    </row>
    <row r="118" spans="1:21" ht="15.6" x14ac:dyDescent="0.3">
      <c r="A118" s="53"/>
      <c r="B118" s="54"/>
      <c r="C118" s="54"/>
      <c r="D118" s="54"/>
      <c r="E118" s="55"/>
      <c r="F118" s="75"/>
      <c r="G118" s="76"/>
      <c r="H118" s="76"/>
      <c r="I118" s="48"/>
      <c r="J118" s="70"/>
      <c r="K118" s="70"/>
      <c r="L118" s="342" t="s">
        <v>1179</v>
      </c>
      <c r="M118" s="343" t="s">
        <v>1263</v>
      </c>
      <c r="N118" s="342" t="s">
        <v>34</v>
      </c>
      <c r="O118" s="344">
        <v>0.31</v>
      </c>
      <c r="P118" s="345">
        <v>561</v>
      </c>
      <c r="Q118" s="345">
        <v>173.91</v>
      </c>
      <c r="R118" s="182"/>
      <c r="U118" s="128"/>
    </row>
    <row r="119" spans="1:21" ht="15.6" x14ac:dyDescent="0.3">
      <c r="A119" s="53"/>
      <c r="B119" s="54"/>
      <c r="C119" s="54"/>
      <c r="D119" s="54"/>
      <c r="E119" s="55"/>
      <c r="F119" s="75"/>
      <c r="G119" s="76"/>
      <c r="H119" s="76"/>
      <c r="I119" s="48"/>
      <c r="J119" s="70"/>
      <c r="K119" s="70"/>
      <c r="L119" s="342" t="s">
        <v>1091</v>
      </c>
      <c r="M119" s="343" t="s">
        <v>1095</v>
      </c>
      <c r="N119" s="342" t="s">
        <v>34</v>
      </c>
      <c r="O119" s="344">
        <v>1</v>
      </c>
      <c r="P119" s="345">
        <v>133.97999999999999</v>
      </c>
      <c r="Q119" s="345">
        <v>133.97999999999999</v>
      </c>
      <c r="R119" s="182"/>
      <c r="U119" s="128"/>
    </row>
    <row r="120" spans="1:21" ht="30" x14ac:dyDescent="0.3">
      <c r="A120" s="53"/>
      <c r="B120" s="54"/>
      <c r="C120" s="54"/>
      <c r="D120" s="54"/>
      <c r="E120" s="55"/>
      <c r="F120" s="75"/>
      <c r="G120" s="76"/>
      <c r="H120" s="76"/>
      <c r="I120" s="48"/>
      <c r="J120" s="70"/>
      <c r="K120" s="70"/>
      <c r="L120" s="342" t="s">
        <v>1019</v>
      </c>
      <c r="M120" s="343" t="s">
        <v>836</v>
      </c>
      <c r="N120" s="342" t="s">
        <v>57</v>
      </c>
      <c r="O120" s="344">
        <v>130</v>
      </c>
      <c r="P120" s="345">
        <v>6.09</v>
      </c>
      <c r="Q120" s="345">
        <v>791.7</v>
      </c>
      <c r="R120" s="182"/>
      <c r="U120" s="128"/>
    </row>
    <row r="121" spans="1:21" ht="30" x14ac:dyDescent="0.3">
      <c r="A121" s="53"/>
      <c r="B121" s="54"/>
      <c r="C121" s="54"/>
      <c r="D121" s="54"/>
      <c r="E121" s="55"/>
      <c r="F121" s="75"/>
      <c r="G121" s="76"/>
      <c r="H121" s="76"/>
      <c r="I121" s="48"/>
      <c r="J121" s="70"/>
      <c r="K121" s="70"/>
      <c r="L121" s="342" t="s">
        <v>1020</v>
      </c>
      <c r="M121" s="343" t="s">
        <v>102</v>
      </c>
      <c r="N121" s="342" t="s">
        <v>57</v>
      </c>
      <c r="O121" s="344">
        <v>11</v>
      </c>
      <c r="P121" s="345">
        <v>7.92</v>
      </c>
      <c r="Q121" s="345">
        <v>87.12</v>
      </c>
      <c r="R121" s="182"/>
      <c r="U121" s="128"/>
    </row>
    <row r="122" spans="1:21" ht="15.6" x14ac:dyDescent="0.3">
      <c r="A122" s="53"/>
      <c r="B122" s="54"/>
      <c r="C122" s="54"/>
      <c r="D122" s="54"/>
      <c r="E122" s="55"/>
      <c r="F122" s="75"/>
      <c r="G122" s="76"/>
      <c r="H122" s="76"/>
      <c r="I122" s="48"/>
      <c r="J122" s="70"/>
      <c r="K122" s="70"/>
      <c r="L122" s="342" t="s">
        <v>933</v>
      </c>
      <c r="M122" s="343" t="s">
        <v>932</v>
      </c>
      <c r="N122" s="342" t="s">
        <v>37</v>
      </c>
      <c r="O122" s="344">
        <v>2</v>
      </c>
      <c r="P122" s="345">
        <v>18.899999999999999</v>
      </c>
      <c r="Q122" s="345">
        <v>37.799999999999997</v>
      </c>
      <c r="R122" s="182"/>
      <c r="U122" s="128"/>
    </row>
    <row r="123" spans="1:21" ht="30" x14ac:dyDescent="0.3">
      <c r="A123" s="53"/>
      <c r="B123" s="54"/>
      <c r="C123" s="54"/>
      <c r="D123" s="54"/>
      <c r="E123" s="55"/>
      <c r="F123" s="75"/>
      <c r="G123" s="76"/>
      <c r="H123" s="76"/>
      <c r="I123" s="48"/>
      <c r="J123" s="70"/>
      <c r="K123" s="70"/>
      <c r="L123" s="342" t="s">
        <v>1427</v>
      </c>
      <c r="M123" s="343" t="s">
        <v>1449</v>
      </c>
      <c r="N123" s="342" t="s">
        <v>34</v>
      </c>
      <c r="O123" s="344">
        <v>1</v>
      </c>
      <c r="P123" s="345">
        <v>55.93</v>
      </c>
      <c r="Q123" s="345">
        <v>55.93</v>
      </c>
      <c r="R123" s="182"/>
      <c r="U123" s="128"/>
    </row>
    <row r="124" spans="1:21" ht="15.6" x14ac:dyDescent="0.3">
      <c r="A124" s="53"/>
      <c r="B124" s="54"/>
      <c r="C124" s="54"/>
      <c r="D124" s="54"/>
      <c r="E124" s="55"/>
      <c r="F124" s="75"/>
      <c r="G124" s="76"/>
      <c r="H124" s="76"/>
      <c r="I124" s="48"/>
      <c r="J124" s="70"/>
      <c r="K124" s="70"/>
      <c r="L124" s="342" t="s">
        <v>1178</v>
      </c>
      <c r="M124" s="343" t="s">
        <v>1262</v>
      </c>
      <c r="N124" s="342" t="s">
        <v>34</v>
      </c>
      <c r="O124" s="344">
        <v>2</v>
      </c>
      <c r="P124" s="345">
        <v>35.6</v>
      </c>
      <c r="Q124" s="345">
        <v>71.2</v>
      </c>
      <c r="R124" s="182"/>
      <c r="U124" s="128"/>
    </row>
    <row r="125" spans="1:21" ht="15.6" x14ac:dyDescent="0.3">
      <c r="A125" s="53"/>
      <c r="B125" s="54"/>
      <c r="C125" s="54"/>
      <c r="D125" s="54"/>
      <c r="E125" s="55"/>
      <c r="F125" s="75"/>
      <c r="G125" s="76"/>
      <c r="H125" s="76"/>
      <c r="I125" s="48"/>
      <c r="J125" s="70"/>
      <c r="K125" s="70"/>
      <c r="L125" s="342" t="s">
        <v>1021</v>
      </c>
      <c r="M125" s="343" t="s">
        <v>483</v>
      </c>
      <c r="N125" s="342" t="s">
        <v>57</v>
      </c>
      <c r="O125" s="344">
        <v>13</v>
      </c>
      <c r="P125" s="345">
        <v>31.3</v>
      </c>
      <c r="Q125" s="345">
        <v>406.9</v>
      </c>
      <c r="R125" s="182"/>
      <c r="U125" s="128"/>
    </row>
    <row r="126" spans="1:21" ht="30" x14ac:dyDescent="0.3">
      <c r="A126" s="53"/>
      <c r="B126" s="54"/>
      <c r="C126" s="54"/>
      <c r="D126" s="54"/>
      <c r="E126" s="55"/>
      <c r="F126" s="75"/>
      <c r="G126" s="76"/>
      <c r="H126" s="76"/>
      <c r="I126" s="48"/>
      <c r="J126" s="70"/>
      <c r="K126" s="70"/>
      <c r="L126" s="342" t="s">
        <v>987</v>
      </c>
      <c r="M126" s="343" t="s">
        <v>837</v>
      </c>
      <c r="N126" s="342" t="s">
        <v>34</v>
      </c>
      <c r="O126" s="344">
        <v>3</v>
      </c>
      <c r="P126" s="345">
        <v>53.64</v>
      </c>
      <c r="Q126" s="345">
        <v>160.91999999999999</v>
      </c>
      <c r="R126" s="182"/>
      <c r="U126" s="128"/>
    </row>
    <row r="127" spans="1:21" ht="15.6" x14ac:dyDescent="0.3">
      <c r="A127" s="53"/>
      <c r="B127" s="54"/>
      <c r="C127" s="54"/>
      <c r="D127" s="54"/>
      <c r="E127" s="55"/>
      <c r="F127" s="75"/>
      <c r="G127" s="76"/>
      <c r="H127" s="76"/>
      <c r="I127" s="48"/>
      <c r="J127" s="70"/>
      <c r="K127" s="70"/>
      <c r="L127" s="342" t="s">
        <v>1316</v>
      </c>
      <c r="M127" s="343" t="s">
        <v>1350</v>
      </c>
      <c r="N127" s="342" t="s">
        <v>39</v>
      </c>
      <c r="O127" s="344">
        <v>0.02</v>
      </c>
      <c r="P127" s="346">
        <v>31617</v>
      </c>
      <c r="Q127" s="345">
        <v>632.34</v>
      </c>
      <c r="R127" s="182"/>
      <c r="U127" s="128"/>
    </row>
    <row r="128" spans="1:21" ht="15.6" x14ac:dyDescent="0.3">
      <c r="A128" s="53"/>
      <c r="B128" s="54"/>
      <c r="C128" s="54"/>
      <c r="D128" s="54"/>
      <c r="E128" s="55"/>
      <c r="F128" s="75"/>
      <c r="G128" s="76"/>
      <c r="H128" s="76"/>
      <c r="I128" s="48"/>
      <c r="J128" s="70"/>
      <c r="K128" s="70"/>
      <c r="L128" s="342" t="s">
        <v>1180</v>
      </c>
      <c r="M128" s="343" t="s">
        <v>105</v>
      </c>
      <c r="N128" s="342" t="s">
        <v>34</v>
      </c>
      <c r="O128" s="344">
        <v>399</v>
      </c>
      <c r="P128" s="345">
        <v>0.54</v>
      </c>
      <c r="Q128" s="345">
        <v>216.53</v>
      </c>
      <c r="R128" s="182"/>
      <c r="U128" s="128"/>
    </row>
    <row r="129" spans="1:21" ht="15.6" x14ac:dyDescent="0.3">
      <c r="A129" s="53"/>
      <c r="B129" s="54"/>
      <c r="C129" s="54"/>
      <c r="D129" s="54"/>
      <c r="E129" s="55"/>
      <c r="F129" s="75"/>
      <c r="G129" s="76"/>
      <c r="H129" s="76"/>
      <c r="I129" s="48"/>
      <c r="J129" s="70"/>
      <c r="K129" s="70"/>
      <c r="L129" s="342" t="s">
        <v>988</v>
      </c>
      <c r="M129" s="343" t="s">
        <v>106</v>
      </c>
      <c r="N129" s="342" t="s">
        <v>34</v>
      </c>
      <c r="O129" s="347">
        <v>2335</v>
      </c>
      <c r="P129" s="345">
        <v>0.71</v>
      </c>
      <c r="Q129" s="346">
        <v>1648.72</v>
      </c>
      <c r="R129" s="182"/>
      <c r="U129" s="128"/>
    </row>
    <row r="130" spans="1:21" ht="15.6" x14ac:dyDescent="0.3">
      <c r="A130" s="53"/>
      <c r="B130" s="54"/>
      <c r="C130" s="54"/>
      <c r="D130" s="54"/>
      <c r="E130" s="55"/>
      <c r="F130" s="75"/>
      <c r="G130" s="76"/>
      <c r="H130" s="76"/>
      <c r="I130" s="48"/>
      <c r="J130" s="70"/>
      <c r="K130" s="70"/>
      <c r="L130" s="342" t="s">
        <v>46</v>
      </c>
      <c r="M130" s="343" t="s">
        <v>107</v>
      </c>
      <c r="N130" s="342" t="s">
        <v>64</v>
      </c>
      <c r="O130" s="344">
        <v>0.15</v>
      </c>
      <c r="P130" s="346">
        <v>1435</v>
      </c>
      <c r="Q130" s="345">
        <v>215.25</v>
      </c>
      <c r="R130" s="182"/>
      <c r="U130" s="128"/>
    </row>
    <row r="131" spans="1:21" ht="30" x14ac:dyDescent="0.3">
      <c r="A131" s="53"/>
      <c r="B131" s="54"/>
      <c r="C131" s="54"/>
      <c r="D131" s="54"/>
      <c r="E131" s="55"/>
      <c r="F131" s="75"/>
      <c r="G131" s="76"/>
      <c r="H131" s="76"/>
      <c r="I131" s="48"/>
      <c r="J131" s="70"/>
      <c r="K131" s="70"/>
      <c r="L131" s="342" t="s">
        <v>1079</v>
      </c>
      <c r="M131" s="343" t="s">
        <v>842</v>
      </c>
      <c r="N131" s="342" t="s">
        <v>34</v>
      </c>
      <c r="O131" s="344">
        <v>1</v>
      </c>
      <c r="P131" s="345">
        <v>43.8</v>
      </c>
      <c r="Q131" s="345">
        <v>43.8</v>
      </c>
      <c r="R131" s="182"/>
      <c r="U131" s="128"/>
    </row>
    <row r="132" spans="1:21" ht="15.6" x14ac:dyDescent="0.3">
      <c r="A132" s="53"/>
      <c r="B132" s="54"/>
      <c r="C132" s="54"/>
      <c r="D132" s="54"/>
      <c r="E132" s="55"/>
      <c r="F132" s="75"/>
      <c r="G132" s="76"/>
      <c r="H132" s="76"/>
      <c r="I132" s="48"/>
      <c r="J132" s="70"/>
      <c r="K132" s="70"/>
      <c r="L132" s="342" t="s">
        <v>1874</v>
      </c>
      <c r="M132" s="343" t="s">
        <v>1889</v>
      </c>
      <c r="N132" s="342" t="s">
        <v>64</v>
      </c>
      <c r="O132" s="344">
        <v>2</v>
      </c>
      <c r="P132" s="345">
        <v>18.899999999999999</v>
      </c>
      <c r="Q132" s="345">
        <v>37.799999999999997</v>
      </c>
      <c r="R132" s="182"/>
      <c r="U132" s="128"/>
    </row>
    <row r="133" spans="1:21" ht="15.6" x14ac:dyDescent="0.3">
      <c r="A133" s="53"/>
      <c r="B133" s="54"/>
      <c r="C133" s="54"/>
      <c r="D133" s="54"/>
      <c r="E133" s="55"/>
      <c r="F133" s="75"/>
      <c r="G133" s="76"/>
      <c r="H133" s="76"/>
      <c r="I133" s="48"/>
      <c r="J133" s="70"/>
      <c r="K133" s="70"/>
      <c r="L133" s="342" t="s">
        <v>949</v>
      </c>
      <c r="M133" s="343" t="s">
        <v>494</v>
      </c>
      <c r="N133" s="342" t="s">
        <v>34</v>
      </c>
      <c r="O133" s="344">
        <v>54</v>
      </c>
      <c r="P133" s="345">
        <v>2.5</v>
      </c>
      <c r="Q133" s="345">
        <v>135</v>
      </c>
      <c r="R133" s="182"/>
      <c r="U133" s="128"/>
    </row>
    <row r="134" spans="1:21" ht="30" x14ac:dyDescent="0.3">
      <c r="A134" s="53"/>
      <c r="B134" s="54"/>
      <c r="C134" s="54"/>
      <c r="D134" s="54"/>
      <c r="E134" s="55"/>
      <c r="F134" s="75"/>
      <c r="G134" s="76"/>
      <c r="H134" s="76"/>
      <c r="I134" s="48"/>
      <c r="J134" s="70"/>
      <c r="K134" s="70"/>
      <c r="L134" s="342" t="s">
        <v>950</v>
      </c>
      <c r="M134" s="343" t="s">
        <v>843</v>
      </c>
      <c r="N134" s="342" t="s">
        <v>34</v>
      </c>
      <c r="O134" s="344">
        <v>1</v>
      </c>
      <c r="P134" s="345">
        <v>53.1</v>
      </c>
      <c r="Q134" s="345">
        <v>53.1</v>
      </c>
      <c r="R134" s="182"/>
      <c r="U134" s="128"/>
    </row>
    <row r="135" spans="1:21" ht="15.6" x14ac:dyDescent="0.3">
      <c r="A135" s="53"/>
      <c r="B135" s="54"/>
      <c r="C135" s="54"/>
      <c r="D135" s="54"/>
      <c r="E135" s="55"/>
      <c r="F135" s="75"/>
      <c r="G135" s="76"/>
      <c r="H135" s="76"/>
      <c r="I135" s="48"/>
      <c r="J135" s="70"/>
      <c r="K135" s="70"/>
      <c r="L135" s="342" t="s">
        <v>1875</v>
      </c>
      <c r="M135" s="343" t="s">
        <v>1890</v>
      </c>
      <c r="N135" s="342" t="s">
        <v>34</v>
      </c>
      <c r="O135" s="344">
        <v>1</v>
      </c>
      <c r="P135" s="345">
        <v>52.9</v>
      </c>
      <c r="Q135" s="345">
        <v>52.9</v>
      </c>
      <c r="R135" s="182"/>
      <c r="U135" s="128"/>
    </row>
    <row r="136" spans="1:21" ht="15.6" x14ac:dyDescent="0.3">
      <c r="A136" s="53"/>
      <c r="B136" s="54"/>
      <c r="C136" s="54"/>
      <c r="D136" s="54"/>
      <c r="E136" s="55"/>
      <c r="F136" s="75"/>
      <c r="G136" s="76"/>
      <c r="H136" s="76"/>
      <c r="I136" s="48"/>
      <c r="J136" s="70"/>
      <c r="K136" s="70"/>
      <c r="L136" s="342" t="s">
        <v>1876</v>
      </c>
      <c r="M136" s="343" t="s">
        <v>1891</v>
      </c>
      <c r="N136" s="342" t="s">
        <v>34</v>
      </c>
      <c r="O136" s="344">
        <v>2</v>
      </c>
      <c r="P136" s="345">
        <v>21</v>
      </c>
      <c r="Q136" s="345">
        <v>42</v>
      </c>
      <c r="R136" s="182"/>
      <c r="U136" s="128"/>
    </row>
    <row r="137" spans="1:21" ht="30" x14ac:dyDescent="0.3">
      <c r="A137" s="53"/>
      <c r="B137" s="54"/>
      <c r="C137" s="54"/>
      <c r="D137" s="54"/>
      <c r="E137" s="55"/>
      <c r="F137" s="75"/>
      <c r="G137" s="76"/>
      <c r="H137" s="76"/>
      <c r="I137" s="48"/>
      <c r="J137" s="70"/>
      <c r="K137" s="70"/>
      <c r="L137" s="342" t="s">
        <v>951</v>
      </c>
      <c r="M137" s="343" t="s">
        <v>844</v>
      </c>
      <c r="N137" s="342" t="s">
        <v>34</v>
      </c>
      <c r="O137" s="344">
        <v>4</v>
      </c>
      <c r="P137" s="345">
        <v>21</v>
      </c>
      <c r="Q137" s="345">
        <v>84</v>
      </c>
      <c r="R137" s="182"/>
      <c r="U137" s="128"/>
    </row>
    <row r="138" spans="1:21" ht="15.6" x14ac:dyDescent="0.3">
      <c r="A138" s="53"/>
      <c r="B138" s="54"/>
      <c r="C138" s="54"/>
      <c r="D138" s="54"/>
      <c r="E138" s="55"/>
      <c r="F138" s="75"/>
      <c r="G138" s="76"/>
      <c r="H138" s="76"/>
      <c r="I138" s="48"/>
      <c r="J138" s="70"/>
      <c r="K138" s="70"/>
      <c r="L138" s="342" t="s">
        <v>1167</v>
      </c>
      <c r="M138" s="343" t="s">
        <v>1252</v>
      </c>
      <c r="N138" s="342" t="s">
        <v>34</v>
      </c>
      <c r="O138" s="344">
        <v>0.65</v>
      </c>
      <c r="P138" s="345">
        <v>196</v>
      </c>
      <c r="Q138" s="345">
        <v>127.4</v>
      </c>
      <c r="R138" s="182"/>
      <c r="U138" s="128"/>
    </row>
    <row r="139" spans="1:21" ht="15.6" x14ac:dyDescent="0.3">
      <c r="A139" s="53"/>
      <c r="B139" s="54"/>
      <c r="C139" s="54"/>
      <c r="D139" s="54"/>
      <c r="E139" s="55"/>
      <c r="F139" s="75"/>
      <c r="G139" s="76"/>
      <c r="H139" s="76"/>
      <c r="I139" s="48"/>
      <c r="J139" s="70"/>
      <c r="K139" s="70"/>
      <c r="L139" s="342" t="s">
        <v>1431</v>
      </c>
      <c r="M139" s="343" t="s">
        <v>1453</v>
      </c>
      <c r="N139" s="342" t="s">
        <v>34</v>
      </c>
      <c r="O139" s="344">
        <v>0.52</v>
      </c>
      <c r="P139" s="345">
        <v>185</v>
      </c>
      <c r="Q139" s="345">
        <v>96.2</v>
      </c>
      <c r="R139" s="182"/>
      <c r="U139" s="128"/>
    </row>
    <row r="140" spans="1:21" ht="15.6" x14ac:dyDescent="0.3">
      <c r="A140" s="53"/>
      <c r="B140" s="54"/>
      <c r="C140" s="54"/>
      <c r="D140" s="54"/>
      <c r="E140" s="55"/>
      <c r="F140" s="75"/>
      <c r="G140" s="76"/>
      <c r="H140" s="76"/>
      <c r="I140" s="48"/>
      <c r="J140" s="70"/>
      <c r="K140" s="70"/>
      <c r="L140" s="342" t="s">
        <v>989</v>
      </c>
      <c r="M140" s="343" t="s">
        <v>848</v>
      </c>
      <c r="N140" s="342" t="s">
        <v>34</v>
      </c>
      <c r="O140" s="344">
        <v>2</v>
      </c>
      <c r="P140" s="345">
        <v>118</v>
      </c>
      <c r="Q140" s="345">
        <v>236</v>
      </c>
      <c r="R140" s="182"/>
      <c r="U140" s="128"/>
    </row>
    <row r="141" spans="1:21" ht="15.6" x14ac:dyDescent="0.3">
      <c r="A141" s="53"/>
      <c r="B141" s="54"/>
      <c r="C141" s="54"/>
      <c r="D141" s="54"/>
      <c r="E141" s="55"/>
      <c r="F141" s="75"/>
      <c r="G141" s="76"/>
      <c r="H141" s="76"/>
      <c r="I141" s="48"/>
      <c r="J141" s="70"/>
      <c r="K141" s="70"/>
      <c r="L141" s="342" t="s">
        <v>1168</v>
      </c>
      <c r="M141" s="343" t="s">
        <v>1253</v>
      </c>
      <c r="N141" s="342" t="s">
        <v>34</v>
      </c>
      <c r="O141" s="344">
        <v>1</v>
      </c>
      <c r="P141" s="345">
        <v>110</v>
      </c>
      <c r="Q141" s="345">
        <v>110</v>
      </c>
      <c r="R141" s="182"/>
      <c r="U141" s="128"/>
    </row>
    <row r="142" spans="1:21" ht="15.6" x14ac:dyDescent="0.3">
      <c r="A142" s="53"/>
      <c r="B142" s="54"/>
      <c r="C142" s="54"/>
      <c r="D142" s="54"/>
      <c r="E142" s="55"/>
      <c r="F142" s="75"/>
      <c r="G142" s="76"/>
      <c r="H142" s="76"/>
      <c r="I142" s="48"/>
      <c r="J142" s="70"/>
      <c r="K142" s="70"/>
      <c r="L142" s="342" t="s">
        <v>991</v>
      </c>
      <c r="M142" s="343" t="s">
        <v>1065</v>
      </c>
      <c r="N142" s="342" t="s">
        <v>34</v>
      </c>
      <c r="O142" s="344">
        <v>430</v>
      </c>
      <c r="P142" s="345">
        <v>0.5</v>
      </c>
      <c r="Q142" s="345">
        <v>215</v>
      </c>
      <c r="R142" s="182"/>
      <c r="U142" s="128"/>
    </row>
    <row r="143" spans="1:21" ht="15.6" x14ac:dyDescent="0.3">
      <c r="A143" s="53"/>
      <c r="B143" s="54"/>
      <c r="C143" s="54"/>
      <c r="D143" s="54"/>
      <c r="E143" s="55"/>
      <c r="F143" s="75"/>
      <c r="G143" s="76"/>
      <c r="H143" s="76"/>
      <c r="I143" s="48"/>
      <c r="J143" s="70"/>
      <c r="K143" s="70"/>
      <c r="L143" s="342" t="s">
        <v>992</v>
      </c>
      <c r="M143" s="343" t="s">
        <v>849</v>
      </c>
      <c r="N143" s="342" t="s">
        <v>34</v>
      </c>
      <c r="O143" s="344">
        <v>15</v>
      </c>
      <c r="P143" s="345">
        <v>0.92</v>
      </c>
      <c r="Q143" s="345">
        <v>13.8</v>
      </c>
      <c r="R143" s="182"/>
      <c r="U143" s="128"/>
    </row>
    <row r="144" spans="1:21" ht="15.6" x14ac:dyDescent="0.3">
      <c r="A144" s="53"/>
      <c r="B144" s="54"/>
      <c r="C144" s="54"/>
      <c r="D144" s="54"/>
      <c r="E144" s="55"/>
      <c r="F144" s="75"/>
      <c r="G144" s="76"/>
      <c r="H144" s="76"/>
      <c r="I144" s="48"/>
      <c r="J144" s="70"/>
      <c r="K144" s="70"/>
      <c r="L144" s="342" t="s">
        <v>993</v>
      </c>
      <c r="M144" s="343" t="s">
        <v>852</v>
      </c>
      <c r="N144" s="342" t="s">
        <v>34</v>
      </c>
      <c r="O144" s="344">
        <v>377</v>
      </c>
      <c r="P144" s="345">
        <v>0.5</v>
      </c>
      <c r="Q144" s="345">
        <v>188.5</v>
      </c>
      <c r="R144" s="182"/>
      <c r="U144" s="128"/>
    </row>
    <row r="145" spans="1:21" ht="15.6" x14ac:dyDescent="0.3">
      <c r="A145" s="53"/>
      <c r="B145" s="54"/>
      <c r="C145" s="54"/>
      <c r="D145" s="54"/>
      <c r="E145" s="55"/>
      <c r="F145" s="75"/>
      <c r="G145" s="76"/>
      <c r="H145" s="76"/>
      <c r="I145" s="48"/>
      <c r="J145" s="70"/>
      <c r="K145" s="70"/>
      <c r="L145" s="342" t="s">
        <v>996</v>
      </c>
      <c r="M145" s="343" t="s">
        <v>501</v>
      </c>
      <c r="N145" s="342" t="s">
        <v>34</v>
      </c>
      <c r="O145" s="344">
        <v>6</v>
      </c>
      <c r="P145" s="345">
        <v>34.08</v>
      </c>
      <c r="Q145" s="345">
        <v>204.46</v>
      </c>
      <c r="R145" s="182"/>
      <c r="U145" s="128"/>
    </row>
    <row r="146" spans="1:21" ht="15.6" x14ac:dyDescent="0.3">
      <c r="A146" s="53"/>
      <c r="B146" s="54"/>
      <c r="C146" s="54"/>
      <c r="D146" s="54"/>
      <c r="E146" s="55"/>
      <c r="F146" s="75"/>
      <c r="G146" s="76"/>
      <c r="H146" s="76"/>
      <c r="I146" s="48"/>
      <c r="J146" s="70"/>
      <c r="K146" s="70"/>
      <c r="L146" s="342" t="s">
        <v>997</v>
      </c>
      <c r="M146" s="343" t="s">
        <v>853</v>
      </c>
      <c r="N146" s="342" t="s">
        <v>34</v>
      </c>
      <c r="O146" s="344">
        <v>46</v>
      </c>
      <c r="P146" s="345">
        <v>48</v>
      </c>
      <c r="Q146" s="346">
        <v>2208</v>
      </c>
      <c r="R146" s="182"/>
      <c r="U146" s="128"/>
    </row>
    <row r="147" spans="1:21" ht="15.6" x14ac:dyDescent="0.3">
      <c r="A147" s="53"/>
      <c r="B147" s="54"/>
      <c r="C147" s="54"/>
      <c r="D147" s="54"/>
      <c r="E147" s="55"/>
      <c r="F147" s="75"/>
      <c r="G147" s="76"/>
      <c r="H147" s="76"/>
      <c r="I147" s="48"/>
      <c r="J147" s="70"/>
      <c r="K147" s="70"/>
      <c r="L147" s="342" t="s">
        <v>998</v>
      </c>
      <c r="M147" s="343" t="s">
        <v>1068</v>
      </c>
      <c r="N147" s="342" t="s">
        <v>34</v>
      </c>
      <c r="O147" s="344">
        <v>2</v>
      </c>
      <c r="P147" s="345">
        <v>66.86</v>
      </c>
      <c r="Q147" s="345">
        <v>133.72</v>
      </c>
      <c r="R147" s="182"/>
      <c r="U147" s="128"/>
    </row>
    <row r="148" spans="1:21" ht="15.6" x14ac:dyDescent="0.3">
      <c r="A148" s="53"/>
      <c r="B148" s="54"/>
      <c r="C148" s="54"/>
      <c r="D148" s="54"/>
      <c r="E148" s="55"/>
      <c r="F148" s="75"/>
      <c r="G148" s="76"/>
      <c r="H148" s="76"/>
      <c r="I148" s="48"/>
      <c r="J148" s="70"/>
      <c r="K148" s="70"/>
      <c r="L148" s="342" t="s">
        <v>1877</v>
      </c>
      <c r="M148" s="343" t="s">
        <v>1892</v>
      </c>
      <c r="N148" s="342" t="s">
        <v>34</v>
      </c>
      <c r="O148" s="344">
        <v>7</v>
      </c>
      <c r="P148" s="345">
        <v>11.5</v>
      </c>
      <c r="Q148" s="345">
        <v>80.5</v>
      </c>
      <c r="R148" s="182"/>
      <c r="U148" s="128"/>
    </row>
    <row r="149" spans="1:21" ht="15.6" x14ac:dyDescent="0.3">
      <c r="A149" s="53"/>
      <c r="B149" s="54"/>
      <c r="C149" s="54"/>
      <c r="D149" s="54"/>
      <c r="E149" s="55"/>
      <c r="F149" s="75"/>
      <c r="G149" s="76"/>
      <c r="H149" s="76"/>
      <c r="I149" s="48"/>
      <c r="J149" s="70"/>
      <c r="K149" s="70"/>
      <c r="L149" s="342" t="s">
        <v>999</v>
      </c>
      <c r="M149" s="343" t="s">
        <v>1069</v>
      </c>
      <c r="N149" s="342" t="s">
        <v>34</v>
      </c>
      <c r="O149" s="347">
        <v>2024</v>
      </c>
      <c r="P149" s="345">
        <v>0.24</v>
      </c>
      <c r="Q149" s="345">
        <v>492.4</v>
      </c>
      <c r="R149" s="182"/>
      <c r="U149" s="128"/>
    </row>
    <row r="150" spans="1:21" ht="15.6" x14ac:dyDescent="0.3">
      <c r="A150" s="53"/>
      <c r="B150" s="54"/>
      <c r="C150" s="54"/>
      <c r="D150" s="54"/>
      <c r="E150" s="55"/>
      <c r="F150" s="75"/>
      <c r="G150" s="76"/>
      <c r="H150" s="76"/>
      <c r="I150" s="48"/>
      <c r="J150" s="70"/>
      <c r="K150" s="70"/>
      <c r="L150" s="342" t="s">
        <v>1000</v>
      </c>
      <c r="M150" s="343" t="s">
        <v>248</v>
      </c>
      <c r="N150" s="342" t="s">
        <v>34</v>
      </c>
      <c r="O150" s="344">
        <v>972</v>
      </c>
      <c r="P150" s="345">
        <v>0.24</v>
      </c>
      <c r="Q150" s="345">
        <v>236.47</v>
      </c>
      <c r="R150" s="182"/>
      <c r="U150" s="128"/>
    </row>
    <row r="151" spans="1:21" ht="15.6" x14ac:dyDescent="0.3">
      <c r="A151" s="53"/>
      <c r="B151" s="54"/>
      <c r="C151" s="54"/>
      <c r="D151" s="54"/>
      <c r="E151" s="55"/>
      <c r="F151" s="75"/>
      <c r="G151" s="76"/>
      <c r="H151" s="76"/>
      <c r="I151" s="48"/>
      <c r="J151" s="70"/>
      <c r="K151" s="70"/>
      <c r="L151" s="342" t="s">
        <v>1436</v>
      </c>
      <c r="M151" s="343" t="s">
        <v>1458</v>
      </c>
      <c r="N151" s="342" t="s">
        <v>35</v>
      </c>
      <c r="O151" s="344">
        <v>1.2999999999999999E-2</v>
      </c>
      <c r="P151" s="345">
        <v>307.69</v>
      </c>
      <c r="Q151" s="345">
        <v>4</v>
      </c>
      <c r="R151" s="182"/>
      <c r="U151" s="128"/>
    </row>
    <row r="152" spans="1:21" ht="15.6" x14ac:dyDescent="0.3">
      <c r="A152" s="53"/>
      <c r="B152" s="54"/>
      <c r="C152" s="54"/>
      <c r="D152" s="54"/>
      <c r="E152" s="55"/>
      <c r="F152" s="75"/>
      <c r="G152" s="76"/>
      <c r="H152" s="76"/>
      <c r="I152" s="48"/>
      <c r="J152" s="70"/>
      <c r="K152" s="70"/>
      <c r="L152" s="342" t="s">
        <v>940</v>
      </c>
      <c r="M152" s="343" t="s">
        <v>1038</v>
      </c>
      <c r="N152" s="342" t="s">
        <v>63</v>
      </c>
      <c r="O152" s="344">
        <v>1.4999999999999999E-2</v>
      </c>
      <c r="P152" s="346">
        <v>37211.33</v>
      </c>
      <c r="Q152" s="345">
        <v>558.16999999999996</v>
      </c>
      <c r="R152" s="182"/>
      <c r="U152" s="128"/>
    </row>
    <row r="153" spans="1:21" ht="15.6" x14ac:dyDescent="0.3">
      <c r="A153" s="53"/>
      <c r="B153" s="54"/>
      <c r="C153" s="54"/>
      <c r="D153" s="54"/>
      <c r="E153" s="55"/>
      <c r="F153" s="75"/>
      <c r="G153" s="76"/>
      <c r="H153" s="76"/>
      <c r="I153" s="48"/>
      <c r="J153" s="70"/>
      <c r="K153" s="70"/>
      <c r="L153" s="342" t="s">
        <v>1846</v>
      </c>
      <c r="M153" s="343" t="s">
        <v>1848</v>
      </c>
      <c r="N153" s="342" t="s">
        <v>63</v>
      </c>
      <c r="O153" s="344">
        <v>3.5999999999999997E-2</v>
      </c>
      <c r="P153" s="346">
        <v>35332.78</v>
      </c>
      <c r="Q153" s="346">
        <v>1271.98</v>
      </c>
      <c r="R153" s="182"/>
      <c r="U153" s="128"/>
    </row>
    <row r="154" spans="1:21" ht="15.6" x14ac:dyDescent="0.3">
      <c r="A154" s="53"/>
      <c r="B154" s="54"/>
      <c r="C154" s="54"/>
      <c r="D154" s="54"/>
      <c r="E154" s="55"/>
      <c r="F154" s="75"/>
      <c r="G154" s="76"/>
      <c r="H154" s="76"/>
      <c r="I154" s="48"/>
      <c r="J154" s="70"/>
      <c r="K154" s="70"/>
      <c r="L154" s="342" t="s">
        <v>1374</v>
      </c>
      <c r="M154" s="343" t="s">
        <v>1402</v>
      </c>
      <c r="N154" s="342" t="s">
        <v>34</v>
      </c>
      <c r="O154" s="344">
        <v>4.4999999999999998E-2</v>
      </c>
      <c r="P154" s="345">
        <v>108</v>
      </c>
      <c r="Q154" s="345">
        <v>4.8600000000000003</v>
      </c>
      <c r="R154" s="182"/>
      <c r="U154" s="128"/>
    </row>
    <row r="155" spans="1:21" ht="15.6" x14ac:dyDescent="0.3">
      <c r="A155" s="53"/>
      <c r="B155" s="54"/>
      <c r="C155" s="54"/>
      <c r="D155" s="54"/>
      <c r="E155" s="55"/>
      <c r="F155" s="75"/>
      <c r="G155" s="76"/>
      <c r="H155" s="76"/>
      <c r="I155" s="48"/>
      <c r="J155" s="70"/>
      <c r="K155" s="70"/>
      <c r="L155" s="342" t="s">
        <v>1366</v>
      </c>
      <c r="M155" s="343" t="s">
        <v>1395</v>
      </c>
      <c r="N155" s="342" t="s">
        <v>903</v>
      </c>
      <c r="O155" s="344">
        <v>6.0999999999999999E-2</v>
      </c>
      <c r="P155" s="346">
        <v>24262.46</v>
      </c>
      <c r="Q155" s="346">
        <v>1480.01</v>
      </c>
      <c r="R155" s="182"/>
      <c r="U155" s="128"/>
    </row>
    <row r="156" spans="1:21" ht="15.6" x14ac:dyDescent="0.3">
      <c r="A156" s="53"/>
      <c r="B156" s="54"/>
      <c r="C156" s="54"/>
      <c r="D156" s="54"/>
      <c r="E156" s="55"/>
      <c r="F156" s="75"/>
      <c r="G156" s="76"/>
      <c r="H156" s="76"/>
      <c r="I156" s="48"/>
      <c r="J156" s="70"/>
      <c r="K156" s="70"/>
      <c r="L156" s="342" t="s">
        <v>1111</v>
      </c>
      <c r="M156" s="343" t="s">
        <v>1197</v>
      </c>
      <c r="N156" s="342" t="s">
        <v>903</v>
      </c>
      <c r="O156" s="344">
        <v>0.08</v>
      </c>
      <c r="P156" s="346">
        <v>26855</v>
      </c>
      <c r="Q156" s="346">
        <v>2148.4</v>
      </c>
      <c r="R156" s="182"/>
      <c r="U156" s="128"/>
    </row>
    <row r="157" spans="1:21" ht="15.6" x14ac:dyDescent="0.3">
      <c r="A157" s="53"/>
      <c r="B157" s="54"/>
      <c r="C157" s="54"/>
      <c r="D157" s="54"/>
      <c r="E157" s="55"/>
      <c r="F157" s="75"/>
      <c r="G157" s="76"/>
      <c r="H157" s="76"/>
      <c r="I157" s="48"/>
      <c r="J157" s="70"/>
      <c r="K157" s="70"/>
      <c r="L157" s="342" t="s">
        <v>1188</v>
      </c>
      <c r="M157" s="343" t="s">
        <v>1271</v>
      </c>
      <c r="N157" s="342" t="s">
        <v>214</v>
      </c>
      <c r="O157" s="344">
        <v>0.09</v>
      </c>
      <c r="P157" s="346">
        <v>14916.11</v>
      </c>
      <c r="Q157" s="346">
        <v>1342.45</v>
      </c>
      <c r="R157" s="182"/>
      <c r="U157" s="128"/>
    </row>
    <row r="158" spans="1:21" ht="15.6" x14ac:dyDescent="0.3">
      <c r="A158" s="53"/>
      <c r="B158" s="54"/>
      <c r="C158" s="54"/>
      <c r="D158" s="54"/>
      <c r="E158" s="55"/>
      <c r="F158" s="75"/>
      <c r="G158" s="76"/>
      <c r="H158" s="76"/>
      <c r="I158" s="48"/>
      <c r="J158" s="70"/>
      <c r="K158" s="70"/>
      <c r="L158" s="342" t="s">
        <v>1432</v>
      </c>
      <c r="M158" s="343" t="s">
        <v>1454</v>
      </c>
      <c r="N158" s="342" t="s">
        <v>34</v>
      </c>
      <c r="O158" s="344">
        <v>0.09</v>
      </c>
      <c r="P158" s="345">
        <v>178</v>
      </c>
      <c r="Q158" s="345">
        <v>16.02</v>
      </c>
      <c r="R158" s="182"/>
      <c r="U158" s="128"/>
    </row>
    <row r="159" spans="1:21" ht="15.6" x14ac:dyDescent="0.3">
      <c r="A159" s="53"/>
      <c r="B159" s="54"/>
      <c r="C159" s="54"/>
      <c r="D159" s="54"/>
      <c r="E159" s="55"/>
      <c r="F159" s="75"/>
      <c r="G159" s="76"/>
      <c r="H159" s="76"/>
      <c r="I159" s="48"/>
      <c r="J159" s="70"/>
      <c r="K159" s="70"/>
      <c r="L159" s="342" t="s">
        <v>1109</v>
      </c>
      <c r="M159" s="343" t="s">
        <v>1195</v>
      </c>
      <c r="N159" s="342" t="s">
        <v>903</v>
      </c>
      <c r="O159" s="344">
        <v>9.0999999999999998E-2</v>
      </c>
      <c r="P159" s="346">
        <v>3916.7</v>
      </c>
      <c r="Q159" s="345">
        <v>356.42</v>
      </c>
      <c r="R159" s="182"/>
      <c r="U159" s="128"/>
    </row>
    <row r="160" spans="1:21" ht="15.6" x14ac:dyDescent="0.3">
      <c r="A160" s="53"/>
      <c r="B160" s="54"/>
      <c r="C160" s="54"/>
      <c r="D160" s="54"/>
      <c r="E160" s="55"/>
      <c r="F160" s="75"/>
      <c r="G160" s="76"/>
      <c r="H160" s="76"/>
      <c r="I160" s="48"/>
      <c r="J160" s="70"/>
      <c r="K160" s="70"/>
      <c r="L160" s="342" t="s">
        <v>1029</v>
      </c>
      <c r="M160" s="343" t="s">
        <v>1077</v>
      </c>
      <c r="N160" s="342" t="s">
        <v>214</v>
      </c>
      <c r="O160" s="344">
        <v>9.6000000000000002E-2</v>
      </c>
      <c r="P160" s="346">
        <v>10651.35</v>
      </c>
      <c r="Q160" s="346">
        <v>1022.53</v>
      </c>
      <c r="R160" s="182"/>
      <c r="U160" s="128"/>
    </row>
    <row r="161" spans="1:21" ht="15.6" x14ac:dyDescent="0.3">
      <c r="A161" s="53"/>
      <c r="B161" s="54"/>
      <c r="C161" s="54"/>
      <c r="D161" s="54"/>
      <c r="E161" s="55"/>
      <c r="F161" s="75"/>
      <c r="G161" s="76"/>
      <c r="H161" s="76"/>
      <c r="I161" s="48"/>
      <c r="J161" s="70"/>
      <c r="K161" s="70"/>
      <c r="L161" s="342" t="s">
        <v>1136</v>
      </c>
      <c r="M161" s="343" t="s">
        <v>1223</v>
      </c>
      <c r="N161" s="342" t="s">
        <v>34</v>
      </c>
      <c r="O161" s="344">
        <v>0.13600000000000001</v>
      </c>
      <c r="P161" s="345">
        <v>152.5</v>
      </c>
      <c r="Q161" s="345">
        <v>20.74</v>
      </c>
      <c r="R161" s="182"/>
      <c r="U161" s="128"/>
    </row>
    <row r="162" spans="1:21" ht="15.6" x14ac:dyDescent="0.3">
      <c r="A162" s="53"/>
      <c r="B162" s="54"/>
      <c r="C162" s="54"/>
      <c r="D162" s="54"/>
      <c r="E162" s="55"/>
      <c r="F162" s="75"/>
      <c r="G162" s="76"/>
      <c r="H162" s="76"/>
      <c r="I162" s="48"/>
      <c r="J162" s="70"/>
      <c r="K162" s="70"/>
      <c r="L162" s="342" t="s">
        <v>1422</v>
      </c>
      <c r="M162" s="343" t="s">
        <v>1445</v>
      </c>
      <c r="N162" s="342" t="s">
        <v>34</v>
      </c>
      <c r="O162" s="344">
        <v>0.13600000000000001</v>
      </c>
      <c r="P162" s="345">
        <v>230</v>
      </c>
      <c r="Q162" s="345">
        <v>31.28</v>
      </c>
      <c r="R162" s="182"/>
      <c r="U162" s="128"/>
    </row>
    <row r="163" spans="1:21" ht="15.6" x14ac:dyDescent="0.3">
      <c r="A163" s="53"/>
      <c r="B163" s="54"/>
      <c r="C163" s="54"/>
      <c r="D163" s="54"/>
      <c r="E163" s="55"/>
      <c r="F163" s="75"/>
      <c r="G163" s="76"/>
      <c r="H163" s="76"/>
      <c r="I163" s="48"/>
      <c r="J163" s="70"/>
      <c r="K163" s="70"/>
      <c r="L163" s="342" t="s">
        <v>909</v>
      </c>
      <c r="M163" s="343" t="s">
        <v>910</v>
      </c>
      <c r="N163" s="342" t="s">
        <v>68</v>
      </c>
      <c r="O163" s="344">
        <v>0.14499999999999999</v>
      </c>
      <c r="P163" s="345">
        <v>749.03</v>
      </c>
      <c r="Q163" s="345">
        <v>108.61</v>
      </c>
      <c r="R163" s="182"/>
      <c r="U163" s="128"/>
    </row>
    <row r="164" spans="1:21" ht="15.6" x14ac:dyDescent="0.3">
      <c r="A164" s="53"/>
      <c r="B164" s="54"/>
      <c r="C164" s="54"/>
      <c r="D164" s="54"/>
      <c r="E164" s="55"/>
      <c r="F164" s="75"/>
      <c r="G164" s="76"/>
      <c r="H164" s="76"/>
      <c r="I164" s="48"/>
      <c r="J164" s="70"/>
      <c r="K164" s="70"/>
      <c r="L164" s="342" t="s">
        <v>1003</v>
      </c>
      <c r="M164" s="343" t="s">
        <v>1071</v>
      </c>
      <c r="N164" s="342" t="s">
        <v>34</v>
      </c>
      <c r="O164" s="344">
        <v>0.18</v>
      </c>
      <c r="P164" s="345">
        <v>195</v>
      </c>
      <c r="Q164" s="345">
        <v>35.1</v>
      </c>
      <c r="R164" s="182"/>
      <c r="U164" s="128"/>
    </row>
    <row r="165" spans="1:21" ht="15.6" x14ac:dyDescent="0.3">
      <c r="A165" s="53"/>
      <c r="B165" s="54"/>
      <c r="C165" s="54"/>
      <c r="D165" s="54"/>
      <c r="E165" s="55"/>
      <c r="F165" s="75"/>
      <c r="G165" s="76"/>
      <c r="H165" s="76"/>
      <c r="I165" s="48"/>
      <c r="J165" s="70"/>
      <c r="K165" s="70"/>
      <c r="L165" s="342" t="s">
        <v>1365</v>
      </c>
      <c r="M165" s="343" t="s">
        <v>1394</v>
      </c>
      <c r="N165" s="342" t="s">
        <v>34</v>
      </c>
      <c r="O165" s="344">
        <v>0.18</v>
      </c>
      <c r="P165" s="345">
        <v>140</v>
      </c>
      <c r="Q165" s="345">
        <v>25.2</v>
      </c>
      <c r="R165" s="182"/>
      <c r="U165" s="128"/>
    </row>
    <row r="166" spans="1:21" ht="15.6" x14ac:dyDescent="0.3">
      <c r="A166" s="53"/>
      <c r="B166" s="54"/>
      <c r="C166" s="54"/>
      <c r="D166" s="54"/>
      <c r="E166" s="55"/>
      <c r="F166" s="75"/>
      <c r="G166" s="76"/>
      <c r="H166" s="76"/>
      <c r="I166" s="48"/>
      <c r="J166" s="70"/>
      <c r="K166" s="70"/>
      <c r="L166" s="342" t="s">
        <v>757</v>
      </c>
      <c r="M166" s="343" t="s">
        <v>758</v>
      </c>
      <c r="N166" s="342" t="s">
        <v>34</v>
      </c>
      <c r="O166" s="344">
        <v>0.2</v>
      </c>
      <c r="P166" s="346">
        <v>2803</v>
      </c>
      <c r="Q166" s="345">
        <v>560.6</v>
      </c>
      <c r="R166" s="182"/>
      <c r="U166" s="128"/>
    </row>
    <row r="167" spans="1:21" ht="15.6" x14ac:dyDescent="0.3">
      <c r="A167" s="53"/>
      <c r="B167" s="54"/>
      <c r="C167" s="54"/>
      <c r="D167" s="54"/>
      <c r="E167" s="55"/>
      <c r="F167" s="75"/>
      <c r="G167" s="76"/>
      <c r="H167" s="76"/>
      <c r="I167" s="48"/>
      <c r="J167" s="70"/>
      <c r="K167" s="70"/>
      <c r="L167" s="342" t="s">
        <v>194</v>
      </c>
      <c r="M167" s="343" t="s">
        <v>195</v>
      </c>
      <c r="N167" s="342" t="s">
        <v>34</v>
      </c>
      <c r="O167" s="344">
        <v>0.2</v>
      </c>
      <c r="P167" s="346">
        <v>1500</v>
      </c>
      <c r="Q167" s="345">
        <v>300</v>
      </c>
      <c r="R167" s="182"/>
      <c r="U167" s="128"/>
    </row>
    <row r="168" spans="1:21" ht="15.6" x14ac:dyDescent="0.3">
      <c r="A168" s="53"/>
      <c r="B168" s="54"/>
      <c r="C168" s="54"/>
      <c r="D168" s="54"/>
      <c r="E168" s="55"/>
      <c r="F168" s="75"/>
      <c r="G168" s="76"/>
      <c r="H168" s="76"/>
      <c r="I168" s="48"/>
      <c r="J168" s="70"/>
      <c r="K168" s="70"/>
      <c r="L168" s="342" t="s">
        <v>818</v>
      </c>
      <c r="M168" s="343" t="s">
        <v>819</v>
      </c>
      <c r="N168" s="342" t="s">
        <v>34</v>
      </c>
      <c r="O168" s="344">
        <v>0.2</v>
      </c>
      <c r="P168" s="345">
        <v>175</v>
      </c>
      <c r="Q168" s="345">
        <v>35</v>
      </c>
      <c r="R168" s="182"/>
      <c r="U168" s="128"/>
    </row>
    <row r="169" spans="1:21" ht="15.6" x14ac:dyDescent="0.3">
      <c r="A169" s="53"/>
      <c r="B169" s="54"/>
      <c r="C169" s="54"/>
      <c r="D169" s="54"/>
      <c r="E169" s="55"/>
      <c r="F169" s="75"/>
      <c r="G169" s="76"/>
      <c r="H169" s="76"/>
      <c r="I169" s="48"/>
      <c r="J169" s="70"/>
      <c r="K169" s="70"/>
      <c r="L169" s="342" t="s">
        <v>1363</v>
      </c>
      <c r="M169" s="343" t="s">
        <v>1392</v>
      </c>
      <c r="N169" s="342" t="s">
        <v>34</v>
      </c>
      <c r="O169" s="344">
        <v>0.27</v>
      </c>
      <c r="P169" s="345">
        <v>499</v>
      </c>
      <c r="Q169" s="345">
        <v>134.72999999999999</v>
      </c>
      <c r="R169" s="182"/>
      <c r="U169" s="128"/>
    </row>
    <row r="170" spans="1:21" ht="15.6" x14ac:dyDescent="0.3">
      <c r="A170" s="53"/>
      <c r="B170" s="54"/>
      <c r="C170" s="54"/>
      <c r="D170" s="54"/>
      <c r="E170" s="55"/>
      <c r="F170" s="75"/>
      <c r="G170" s="76"/>
      <c r="H170" s="76"/>
      <c r="I170" s="48"/>
      <c r="J170" s="70"/>
      <c r="K170" s="70"/>
      <c r="L170" s="342" t="s">
        <v>510</v>
      </c>
      <c r="M170" s="343" t="s">
        <v>1060</v>
      </c>
      <c r="N170" s="342" t="s">
        <v>34</v>
      </c>
      <c r="O170" s="344">
        <v>0.27</v>
      </c>
      <c r="P170" s="345">
        <v>169</v>
      </c>
      <c r="Q170" s="345">
        <v>45.63</v>
      </c>
      <c r="R170" s="182"/>
      <c r="U170" s="128"/>
    </row>
    <row r="171" spans="1:21" ht="15.6" x14ac:dyDescent="0.3">
      <c r="A171" s="53"/>
      <c r="B171" s="54"/>
      <c r="C171" s="54"/>
      <c r="D171" s="54"/>
      <c r="E171" s="55"/>
      <c r="F171" s="75"/>
      <c r="G171" s="76"/>
      <c r="H171" s="76"/>
      <c r="I171" s="48"/>
      <c r="J171" s="70"/>
      <c r="K171" s="70"/>
      <c r="L171" s="342" t="s">
        <v>1371</v>
      </c>
      <c r="M171" s="343" t="s">
        <v>99</v>
      </c>
      <c r="N171" s="342" t="s">
        <v>34</v>
      </c>
      <c r="O171" s="344">
        <v>0.27300000000000002</v>
      </c>
      <c r="P171" s="346">
        <v>1041.68</v>
      </c>
      <c r="Q171" s="345">
        <v>284.38</v>
      </c>
      <c r="R171" s="182"/>
      <c r="U171" s="128"/>
    </row>
    <row r="172" spans="1:21" ht="15.6" x14ac:dyDescent="0.3">
      <c r="A172" s="53"/>
      <c r="B172" s="54"/>
      <c r="C172" s="54"/>
      <c r="D172" s="54"/>
      <c r="E172" s="55"/>
      <c r="F172" s="75"/>
      <c r="G172" s="76"/>
      <c r="H172" s="76"/>
      <c r="I172" s="48"/>
      <c r="J172" s="70"/>
      <c r="K172" s="70"/>
      <c r="L172" s="342" t="s">
        <v>902</v>
      </c>
      <c r="M172" s="343" t="s">
        <v>1039</v>
      </c>
      <c r="N172" s="342" t="s">
        <v>903</v>
      </c>
      <c r="O172" s="344">
        <v>0.27900000000000003</v>
      </c>
      <c r="P172" s="346">
        <v>25111.08</v>
      </c>
      <c r="Q172" s="346">
        <v>7005.99</v>
      </c>
      <c r="R172" s="182"/>
      <c r="U172" s="128"/>
    </row>
    <row r="173" spans="1:21" ht="15.6" x14ac:dyDescent="0.3">
      <c r="A173" s="53"/>
      <c r="B173" s="54"/>
      <c r="C173" s="54"/>
      <c r="D173" s="54"/>
      <c r="E173" s="55"/>
      <c r="F173" s="75"/>
      <c r="G173" s="76"/>
      <c r="H173" s="76"/>
      <c r="I173" s="48"/>
      <c r="J173" s="70"/>
      <c r="K173" s="70"/>
      <c r="L173" s="342" t="s">
        <v>1110</v>
      </c>
      <c r="M173" s="343" t="s">
        <v>1196</v>
      </c>
      <c r="N173" s="342" t="s">
        <v>903</v>
      </c>
      <c r="O173" s="344">
        <v>0.3</v>
      </c>
      <c r="P173" s="346">
        <v>26855</v>
      </c>
      <c r="Q173" s="346">
        <v>8056.5</v>
      </c>
      <c r="R173" s="182"/>
      <c r="U173" s="128"/>
    </row>
    <row r="174" spans="1:21" ht="15.6" x14ac:dyDescent="0.3">
      <c r="A174" s="53"/>
      <c r="B174" s="54"/>
      <c r="C174" s="54"/>
      <c r="D174" s="54"/>
      <c r="E174" s="55"/>
      <c r="F174" s="75"/>
      <c r="G174" s="76"/>
      <c r="H174" s="76"/>
      <c r="I174" s="48"/>
      <c r="J174" s="70"/>
      <c r="K174" s="70"/>
      <c r="L174" s="342" t="s">
        <v>1364</v>
      </c>
      <c r="M174" s="343" t="s">
        <v>1393</v>
      </c>
      <c r="N174" s="342" t="s">
        <v>34</v>
      </c>
      <c r="O174" s="344">
        <v>0.3</v>
      </c>
      <c r="P174" s="345">
        <v>189</v>
      </c>
      <c r="Q174" s="345">
        <v>56.7</v>
      </c>
      <c r="R174" s="182"/>
      <c r="U174" s="128"/>
    </row>
    <row r="175" spans="1:21" ht="15.6" x14ac:dyDescent="0.3">
      <c r="A175" s="53"/>
      <c r="B175" s="54"/>
      <c r="C175" s="54"/>
      <c r="D175" s="54"/>
      <c r="E175" s="55"/>
      <c r="F175" s="75"/>
      <c r="G175" s="76"/>
      <c r="H175" s="76"/>
      <c r="I175" s="48"/>
      <c r="J175" s="70"/>
      <c r="K175" s="70"/>
      <c r="L175" s="342" t="s">
        <v>1030</v>
      </c>
      <c r="M175" s="343" t="s">
        <v>1078</v>
      </c>
      <c r="N175" s="342" t="s">
        <v>214</v>
      </c>
      <c r="O175" s="344">
        <v>0.313</v>
      </c>
      <c r="P175" s="346">
        <v>9669.65</v>
      </c>
      <c r="Q175" s="346">
        <v>3026.6</v>
      </c>
      <c r="R175" s="182"/>
      <c r="U175" s="128"/>
    </row>
    <row r="176" spans="1:21" ht="15.6" x14ac:dyDescent="0.3">
      <c r="A176" s="53"/>
      <c r="B176" s="54"/>
      <c r="C176" s="54"/>
      <c r="D176" s="54"/>
      <c r="E176" s="55"/>
      <c r="F176" s="75"/>
      <c r="G176" s="76"/>
      <c r="H176" s="76"/>
      <c r="I176" s="48"/>
      <c r="J176" s="70"/>
      <c r="K176" s="70"/>
      <c r="L176" s="342" t="s">
        <v>98</v>
      </c>
      <c r="M176" s="343" t="s">
        <v>99</v>
      </c>
      <c r="N176" s="342" t="s">
        <v>37</v>
      </c>
      <c r="O176" s="344">
        <v>0.34</v>
      </c>
      <c r="P176" s="345">
        <v>131</v>
      </c>
      <c r="Q176" s="345">
        <v>44.54</v>
      </c>
      <c r="R176" s="182"/>
      <c r="U176" s="128"/>
    </row>
    <row r="177" spans="1:21" ht="15.6" x14ac:dyDescent="0.3">
      <c r="A177" s="53"/>
      <c r="B177" s="54"/>
      <c r="C177" s="54"/>
      <c r="D177" s="54"/>
      <c r="E177" s="55"/>
      <c r="F177" s="75"/>
      <c r="G177" s="76"/>
      <c r="H177" s="76"/>
      <c r="I177" s="48"/>
      <c r="J177" s="70"/>
      <c r="K177" s="70"/>
      <c r="L177" s="342" t="s">
        <v>893</v>
      </c>
      <c r="M177" s="343" t="s">
        <v>894</v>
      </c>
      <c r="N177" s="342" t="s">
        <v>214</v>
      </c>
      <c r="O177" s="344">
        <v>0.4</v>
      </c>
      <c r="P177" s="346">
        <v>10651.4</v>
      </c>
      <c r="Q177" s="346">
        <v>4260.5600000000004</v>
      </c>
      <c r="R177" s="182"/>
      <c r="U177" s="128"/>
    </row>
    <row r="178" spans="1:21" ht="15.6" x14ac:dyDescent="0.3">
      <c r="A178" s="53"/>
      <c r="B178" s="54"/>
      <c r="C178" s="54"/>
      <c r="D178" s="54"/>
      <c r="E178" s="55"/>
      <c r="F178" s="75"/>
      <c r="G178" s="76"/>
      <c r="H178" s="76"/>
      <c r="I178" s="48"/>
      <c r="J178" s="70"/>
      <c r="K178" s="70"/>
      <c r="L178" s="342" t="s">
        <v>1112</v>
      </c>
      <c r="M178" s="343" t="s">
        <v>1198</v>
      </c>
      <c r="N178" s="342" t="s">
        <v>903</v>
      </c>
      <c r="O178" s="344">
        <v>0.4</v>
      </c>
      <c r="P178" s="346">
        <v>24113</v>
      </c>
      <c r="Q178" s="346">
        <v>9645.2000000000007</v>
      </c>
      <c r="R178" s="182"/>
      <c r="U178" s="128"/>
    </row>
    <row r="179" spans="1:21" ht="15.6" x14ac:dyDescent="0.3">
      <c r="A179" s="53"/>
      <c r="B179" s="54"/>
      <c r="C179" s="54"/>
      <c r="D179" s="54"/>
      <c r="E179" s="55"/>
      <c r="F179" s="75"/>
      <c r="G179" s="76"/>
      <c r="H179" s="76"/>
      <c r="I179" s="48"/>
      <c r="J179" s="70"/>
      <c r="K179" s="70"/>
      <c r="L179" s="342" t="s">
        <v>741</v>
      </c>
      <c r="M179" s="343" t="s">
        <v>742</v>
      </c>
      <c r="N179" s="342" t="s">
        <v>903</v>
      </c>
      <c r="O179" s="344">
        <v>0.436</v>
      </c>
      <c r="P179" s="346">
        <v>12291.03</v>
      </c>
      <c r="Q179" s="346">
        <v>5358.89</v>
      </c>
      <c r="R179" s="182"/>
      <c r="U179" s="128"/>
    </row>
    <row r="180" spans="1:21" ht="15.6" x14ac:dyDescent="0.3">
      <c r="A180" s="53"/>
      <c r="B180" s="54"/>
      <c r="C180" s="54"/>
      <c r="D180" s="54"/>
      <c r="E180" s="55"/>
      <c r="F180" s="75"/>
      <c r="G180" s="76"/>
      <c r="H180" s="76"/>
      <c r="I180" s="48"/>
      <c r="J180" s="70"/>
      <c r="K180" s="70"/>
      <c r="L180" s="342" t="s">
        <v>1002</v>
      </c>
      <c r="M180" s="343" t="s">
        <v>1070</v>
      </c>
      <c r="N180" s="342" t="s">
        <v>34</v>
      </c>
      <c r="O180" s="344">
        <v>0.54</v>
      </c>
      <c r="P180" s="345">
        <v>63</v>
      </c>
      <c r="Q180" s="345">
        <v>34.020000000000003</v>
      </c>
      <c r="R180" s="182"/>
      <c r="U180" s="128"/>
    </row>
    <row r="181" spans="1:21" ht="15.6" x14ac:dyDescent="0.3">
      <c r="A181" s="53"/>
      <c r="B181" s="54"/>
      <c r="C181" s="54"/>
      <c r="D181" s="54"/>
      <c r="E181" s="55"/>
      <c r="F181" s="75"/>
      <c r="G181" s="76"/>
      <c r="H181" s="76"/>
      <c r="I181" s="48"/>
      <c r="J181" s="70"/>
      <c r="K181" s="70"/>
      <c r="L181" s="342" t="s">
        <v>1165</v>
      </c>
      <c r="M181" s="343" t="s">
        <v>1250</v>
      </c>
      <c r="N181" s="342" t="s">
        <v>34</v>
      </c>
      <c r="O181" s="344">
        <v>0.7</v>
      </c>
      <c r="P181" s="346">
        <v>2778.33</v>
      </c>
      <c r="Q181" s="346">
        <v>1944.83</v>
      </c>
      <c r="R181" s="182"/>
      <c r="U181" s="128"/>
    </row>
    <row r="182" spans="1:21" ht="15.6" x14ac:dyDescent="0.3">
      <c r="A182" s="53"/>
      <c r="B182" s="54"/>
      <c r="C182" s="54"/>
      <c r="D182" s="54"/>
      <c r="E182" s="55"/>
      <c r="F182" s="75"/>
      <c r="G182" s="76"/>
      <c r="H182" s="76"/>
      <c r="I182" s="48"/>
      <c r="J182" s="70"/>
      <c r="K182" s="70"/>
      <c r="L182" s="342" t="s">
        <v>1181</v>
      </c>
      <c r="M182" s="343" t="s">
        <v>1264</v>
      </c>
      <c r="N182" s="342" t="s">
        <v>57</v>
      </c>
      <c r="O182" s="344">
        <v>0.8</v>
      </c>
      <c r="P182" s="345">
        <v>18.13</v>
      </c>
      <c r="Q182" s="345">
        <v>14.5</v>
      </c>
      <c r="R182" s="182"/>
      <c r="U182" s="128"/>
    </row>
    <row r="183" spans="1:21" ht="15.6" x14ac:dyDescent="0.3">
      <c r="A183" s="53"/>
      <c r="B183" s="54"/>
      <c r="C183" s="54"/>
      <c r="D183" s="54"/>
      <c r="E183" s="55"/>
      <c r="F183" s="75"/>
      <c r="G183" s="76"/>
      <c r="H183" s="76"/>
      <c r="I183" s="48"/>
      <c r="J183" s="70"/>
      <c r="K183" s="70"/>
      <c r="L183" s="342" t="s">
        <v>429</v>
      </c>
      <c r="M183" s="343" t="s">
        <v>430</v>
      </c>
      <c r="N183" s="342" t="s">
        <v>37</v>
      </c>
      <c r="O183" s="344">
        <v>0.8</v>
      </c>
      <c r="P183" s="345">
        <v>11.5</v>
      </c>
      <c r="Q183" s="345">
        <v>9.1999999999999993</v>
      </c>
      <c r="R183" s="182"/>
      <c r="U183" s="128"/>
    </row>
    <row r="184" spans="1:21" ht="15.6" x14ac:dyDescent="0.3">
      <c r="A184" s="53"/>
      <c r="B184" s="54"/>
      <c r="C184" s="54"/>
      <c r="D184" s="54"/>
      <c r="E184" s="55"/>
      <c r="F184" s="75"/>
      <c r="G184" s="76"/>
      <c r="H184" s="76"/>
      <c r="I184" s="48"/>
      <c r="J184" s="70"/>
      <c r="K184" s="70"/>
      <c r="L184" s="342" t="s">
        <v>38</v>
      </c>
      <c r="M184" s="343" t="s">
        <v>100</v>
      </c>
      <c r="N184" s="342" t="s">
        <v>37</v>
      </c>
      <c r="O184" s="344">
        <v>0.8</v>
      </c>
      <c r="P184" s="345">
        <v>71</v>
      </c>
      <c r="Q184" s="345">
        <v>56.8</v>
      </c>
      <c r="R184" s="182"/>
      <c r="U184" s="128"/>
    </row>
    <row r="185" spans="1:21" ht="15.6" x14ac:dyDescent="0.3">
      <c r="A185" s="53"/>
      <c r="B185" s="54"/>
      <c r="C185" s="54"/>
      <c r="D185" s="54"/>
      <c r="E185" s="55"/>
      <c r="F185" s="75"/>
      <c r="G185" s="76"/>
      <c r="H185" s="76"/>
      <c r="I185" s="48"/>
      <c r="J185" s="70"/>
      <c r="K185" s="70"/>
      <c r="L185" s="342" t="s">
        <v>934</v>
      </c>
      <c r="M185" s="343" t="s">
        <v>1033</v>
      </c>
      <c r="N185" s="342" t="s">
        <v>64</v>
      </c>
      <c r="O185" s="344">
        <v>0.83299999999999996</v>
      </c>
      <c r="P185" s="345">
        <v>735.91</v>
      </c>
      <c r="Q185" s="345">
        <v>613.01</v>
      </c>
      <c r="R185" s="182"/>
      <c r="U185" s="128"/>
    </row>
    <row r="186" spans="1:21" ht="15.6" x14ac:dyDescent="0.3">
      <c r="A186" s="53"/>
      <c r="B186" s="54"/>
      <c r="C186" s="54"/>
      <c r="D186" s="54"/>
      <c r="E186" s="55"/>
      <c r="F186" s="75"/>
      <c r="G186" s="76"/>
      <c r="H186" s="76"/>
      <c r="I186" s="48"/>
      <c r="J186" s="70"/>
      <c r="K186" s="70"/>
      <c r="L186" s="342" t="s">
        <v>1123</v>
      </c>
      <c r="M186" s="343" t="s">
        <v>1209</v>
      </c>
      <c r="N186" s="342" t="s">
        <v>34</v>
      </c>
      <c r="O186" s="344">
        <v>1</v>
      </c>
      <c r="P186" s="345">
        <v>192.6</v>
      </c>
      <c r="Q186" s="345">
        <v>192.6</v>
      </c>
      <c r="R186" s="182"/>
      <c r="U186" s="128"/>
    </row>
    <row r="187" spans="1:21" ht="15.6" x14ac:dyDescent="0.3">
      <c r="A187" s="53"/>
      <c r="B187" s="54"/>
      <c r="C187" s="54"/>
      <c r="D187" s="54"/>
      <c r="E187" s="55"/>
      <c r="F187" s="75"/>
      <c r="G187" s="76"/>
      <c r="H187" s="76"/>
      <c r="I187" s="48"/>
      <c r="J187" s="70"/>
      <c r="K187" s="70"/>
      <c r="L187" s="342" t="s">
        <v>164</v>
      </c>
      <c r="M187" s="343" t="s">
        <v>165</v>
      </c>
      <c r="N187" s="342" t="s">
        <v>34</v>
      </c>
      <c r="O187" s="344">
        <v>1</v>
      </c>
      <c r="P187" s="345">
        <v>350.83</v>
      </c>
      <c r="Q187" s="345">
        <v>350.83</v>
      </c>
      <c r="R187" s="182"/>
      <c r="U187" s="128"/>
    </row>
    <row r="188" spans="1:21" ht="15.6" x14ac:dyDescent="0.3">
      <c r="A188" s="53"/>
      <c r="B188" s="54"/>
      <c r="C188" s="54"/>
      <c r="D188" s="54"/>
      <c r="E188" s="55"/>
      <c r="F188" s="75"/>
      <c r="G188" s="76"/>
      <c r="H188" s="76"/>
      <c r="I188" s="48"/>
      <c r="J188" s="70"/>
      <c r="K188" s="70"/>
      <c r="L188" s="342" t="s">
        <v>282</v>
      </c>
      <c r="M188" s="343" t="s">
        <v>283</v>
      </c>
      <c r="N188" s="342" t="s">
        <v>34</v>
      </c>
      <c r="O188" s="344">
        <v>1</v>
      </c>
      <c r="P188" s="345">
        <v>81.599999999999994</v>
      </c>
      <c r="Q188" s="345">
        <v>81.599999999999994</v>
      </c>
      <c r="R188" s="182"/>
      <c r="U188" s="128"/>
    </row>
    <row r="189" spans="1:21" ht="15.6" x14ac:dyDescent="0.3">
      <c r="A189" s="53"/>
      <c r="B189" s="54"/>
      <c r="C189" s="54"/>
      <c r="D189" s="54"/>
      <c r="E189" s="55"/>
      <c r="F189" s="75"/>
      <c r="G189" s="76"/>
      <c r="H189" s="76"/>
      <c r="I189" s="48"/>
      <c r="J189" s="70"/>
      <c r="K189" s="70"/>
      <c r="L189" s="342" t="s">
        <v>879</v>
      </c>
      <c r="M189" s="343" t="s">
        <v>880</v>
      </c>
      <c r="N189" s="342" t="s">
        <v>34</v>
      </c>
      <c r="O189" s="344">
        <v>1</v>
      </c>
      <c r="P189" s="346">
        <v>3000</v>
      </c>
      <c r="Q189" s="346">
        <v>3000</v>
      </c>
      <c r="R189" s="182"/>
      <c r="U189" s="128"/>
    </row>
    <row r="190" spans="1:21" ht="15.6" x14ac:dyDescent="0.3">
      <c r="A190" s="53"/>
      <c r="B190" s="54"/>
      <c r="C190" s="54"/>
      <c r="D190" s="54"/>
      <c r="E190" s="55"/>
      <c r="F190" s="75"/>
      <c r="G190" s="76"/>
      <c r="H190" s="76"/>
      <c r="I190" s="48"/>
      <c r="J190" s="70"/>
      <c r="K190" s="70"/>
      <c r="L190" s="342" t="s">
        <v>754</v>
      </c>
      <c r="M190" s="343" t="s">
        <v>755</v>
      </c>
      <c r="N190" s="342" t="s">
        <v>34</v>
      </c>
      <c r="O190" s="344">
        <v>1</v>
      </c>
      <c r="P190" s="346">
        <v>7343.42</v>
      </c>
      <c r="Q190" s="346">
        <v>7343.42</v>
      </c>
      <c r="R190" s="182"/>
      <c r="U190" s="128"/>
    </row>
    <row r="191" spans="1:21" ht="15.6" x14ac:dyDescent="0.3">
      <c r="A191" s="53"/>
      <c r="B191" s="54"/>
      <c r="C191" s="54"/>
      <c r="D191" s="54"/>
      <c r="E191" s="55"/>
      <c r="F191" s="75"/>
      <c r="G191" s="76"/>
      <c r="H191" s="76"/>
      <c r="I191" s="48"/>
      <c r="J191" s="70"/>
      <c r="K191" s="70"/>
      <c r="L191" s="342" t="s">
        <v>1130</v>
      </c>
      <c r="M191" s="343" t="s">
        <v>1216</v>
      </c>
      <c r="N191" s="342" t="s">
        <v>34</v>
      </c>
      <c r="O191" s="344">
        <v>1</v>
      </c>
      <c r="P191" s="346">
        <v>6187.5</v>
      </c>
      <c r="Q191" s="346">
        <v>6187.5</v>
      </c>
      <c r="R191" s="182"/>
      <c r="U191" s="128"/>
    </row>
    <row r="192" spans="1:21" ht="15.6" x14ac:dyDescent="0.3">
      <c r="A192" s="53"/>
      <c r="B192" s="54"/>
      <c r="C192" s="54"/>
      <c r="D192" s="54"/>
      <c r="E192" s="55"/>
      <c r="F192" s="75"/>
      <c r="G192" s="76"/>
      <c r="H192" s="76"/>
      <c r="I192" s="48"/>
      <c r="J192" s="70"/>
      <c r="K192" s="70"/>
      <c r="L192" s="342" t="s">
        <v>1131</v>
      </c>
      <c r="M192" s="343" t="s">
        <v>1217</v>
      </c>
      <c r="N192" s="342" t="s">
        <v>34</v>
      </c>
      <c r="O192" s="344">
        <v>1</v>
      </c>
      <c r="P192" s="346">
        <v>2152.71</v>
      </c>
      <c r="Q192" s="346">
        <v>2152.71</v>
      </c>
      <c r="R192" s="182"/>
      <c r="U192" s="128"/>
    </row>
    <row r="193" spans="1:21" ht="15.6" x14ac:dyDescent="0.3">
      <c r="A193" s="53"/>
      <c r="B193" s="54"/>
      <c r="C193" s="54"/>
      <c r="D193" s="54"/>
      <c r="E193" s="55"/>
      <c r="F193" s="75"/>
      <c r="G193" s="76"/>
      <c r="H193" s="76"/>
      <c r="I193" s="48"/>
      <c r="J193" s="70"/>
      <c r="K193" s="70"/>
      <c r="L193" s="342" t="s">
        <v>900</v>
      </c>
      <c r="M193" s="343" t="s">
        <v>901</v>
      </c>
      <c r="N193" s="342" t="s">
        <v>34</v>
      </c>
      <c r="O193" s="344">
        <v>1</v>
      </c>
      <c r="P193" s="345">
        <v>64</v>
      </c>
      <c r="Q193" s="345">
        <v>64</v>
      </c>
      <c r="R193" s="182"/>
      <c r="U193" s="128"/>
    </row>
    <row r="194" spans="1:21" ht="15.6" x14ac:dyDescent="0.3">
      <c r="A194" s="53"/>
      <c r="B194" s="54"/>
      <c r="C194" s="54"/>
      <c r="D194" s="54"/>
      <c r="E194" s="55"/>
      <c r="F194" s="75"/>
      <c r="G194" s="76"/>
      <c r="H194" s="76"/>
      <c r="I194" s="48"/>
      <c r="J194" s="70"/>
      <c r="K194" s="70"/>
      <c r="L194" s="342" t="s">
        <v>766</v>
      </c>
      <c r="M194" s="343" t="s">
        <v>767</v>
      </c>
      <c r="N194" s="342" t="s">
        <v>34</v>
      </c>
      <c r="O194" s="344">
        <v>1</v>
      </c>
      <c r="P194" s="346">
        <v>9387.27</v>
      </c>
      <c r="Q194" s="346">
        <v>9387.27</v>
      </c>
      <c r="R194" s="182"/>
      <c r="U194" s="128"/>
    </row>
    <row r="195" spans="1:21" ht="15.6" x14ac:dyDescent="0.3">
      <c r="A195" s="53"/>
      <c r="B195" s="54"/>
      <c r="C195" s="54"/>
      <c r="D195" s="54"/>
      <c r="E195" s="55"/>
      <c r="F195" s="75"/>
      <c r="G195" s="76"/>
      <c r="H195" s="76"/>
      <c r="I195" s="48"/>
      <c r="J195" s="70"/>
      <c r="K195" s="70"/>
      <c r="L195" s="342" t="s">
        <v>859</v>
      </c>
      <c r="M195" s="343" t="s">
        <v>904</v>
      </c>
      <c r="N195" s="342" t="s">
        <v>34</v>
      </c>
      <c r="O195" s="344">
        <v>1</v>
      </c>
      <c r="P195" s="346">
        <v>2882.01</v>
      </c>
      <c r="Q195" s="346">
        <v>2882.01</v>
      </c>
      <c r="R195" s="182"/>
      <c r="U195" s="128"/>
    </row>
    <row r="196" spans="1:21" ht="15.6" x14ac:dyDescent="0.3">
      <c r="A196" s="53"/>
      <c r="B196" s="54"/>
      <c r="C196" s="54"/>
      <c r="D196" s="54"/>
      <c r="E196" s="55"/>
      <c r="F196" s="75"/>
      <c r="G196" s="76"/>
      <c r="H196" s="76"/>
      <c r="I196" s="48"/>
      <c r="J196" s="70"/>
      <c r="K196" s="70"/>
      <c r="L196" s="342" t="s">
        <v>868</v>
      </c>
      <c r="M196" s="343" t="s">
        <v>1047</v>
      </c>
      <c r="N196" s="342" t="s">
        <v>34</v>
      </c>
      <c r="O196" s="344">
        <v>1</v>
      </c>
      <c r="P196" s="345">
        <v>807.53</v>
      </c>
      <c r="Q196" s="345">
        <v>807.53</v>
      </c>
      <c r="R196" s="182"/>
      <c r="U196" s="128"/>
    </row>
    <row r="197" spans="1:21" ht="15.6" x14ac:dyDescent="0.3">
      <c r="A197" s="53"/>
      <c r="B197" s="54"/>
      <c r="C197" s="54"/>
      <c r="D197" s="54"/>
      <c r="E197" s="55"/>
      <c r="F197" s="75"/>
      <c r="G197" s="76"/>
      <c r="H197" s="76"/>
      <c r="I197" s="48"/>
      <c r="J197" s="70"/>
      <c r="K197" s="70"/>
      <c r="L197" s="342" t="s">
        <v>1284</v>
      </c>
      <c r="M197" s="343" t="s">
        <v>1319</v>
      </c>
      <c r="N197" s="342" t="s">
        <v>269</v>
      </c>
      <c r="O197" s="344">
        <v>1</v>
      </c>
      <c r="P197" s="346">
        <v>1465</v>
      </c>
      <c r="Q197" s="346">
        <v>1465</v>
      </c>
      <c r="R197" s="182"/>
      <c r="U197" s="128"/>
    </row>
    <row r="198" spans="1:21" ht="15.6" x14ac:dyDescent="0.3">
      <c r="A198" s="53"/>
      <c r="B198" s="54"/>
      <c r="C198" s="54"/>
      <c r="D198" s="54"/>
      <c r="E198" s="55"/>
      <c r="F198" s="75"/>
      <c r="G198" s="76"/>
      <c r="H198" s="76"/>
      <c r="I198" s="48"/>
      <c r="J198" s="70"/>
      <c r="K198" s="70"/>
      <c r="L198" s="342" t="s">
        <v>340</v>
      </c>
      <c r="M198" s="343" t="s">
        <v>341</v>
      </c>
      <c r="N198" s="342" t="s">
        <v>34</v>
      </c>
      <c r="O198" s="344">
        <v>1</v>
      </c>
      <c r="P198" s="345">
        <v>440.75</v>
      </c>
      <c r="Q198" s="345">
        <v>440.75</v>
      </c>
      <c r="R198" s="182"/>
      <c r="U198" s="128"/>
    </row>
    <row r="199" spans="1:21" ht="15.6" x14ac:dyDescent="0.3">
      <c r="A199" s="53"/>
      <c r="B199" s="54"/>
      <c r="C199" s="54"/>
      <c r="D199" s="54"/>
      <c r="E199" s="55"/>
      <c r="F199" s="75"/>
      <c r="G199" s="76"/>
      <c r="H199" s="76"/>
      <c r="I199" s="48"/>
      <c r="J199" s="70"/>
      <c r="K199" s="70"/>
      <c r="L199" s="342" t="s">
        <v>1147</v>
      </c>
      <c r="M199" s="343" t="s">
        <v>1234</v>
      </c>
      <c r="N199" s="342" t="s">
        <v>34</v>
      </c>
      <c r="O199" s="344">
        <v>1</v>
      </c>
      <c r="P199" s="345">
        <v>876.68</v>
      </c>
      <c r="Q199" s="345">
        <v>876.68</v>
      </c>
      <c r="R199" s="182"/>
      <c r="U199" s="128"/>
    </row>
    <row r="200" spans="1:21" ht="15.6" x14ac:dyDescent="0.3">
      <c r="A200" s="53"/>
      <c r="B200" s="54"/>
      <c r="C200" s="54"/>
      <c r="D200" s="54"/>
      <c r="E200" s="55"/>
      <c r="F200" s="75"/>
      <c r="G200" s="76"/>
      <c r="H200" s="76"/>
      <c r="I200" s="48"/>
      <c r="J200" s="70"/>
      <c r="K200" s="70"/>
      <c r="L200" s="342" t="s">
        <v>1148</v>
      </c>
      <c r="M200" s="343" t="s">
        <v>1235</v>
      </c>
      <c r="N200" s="342" t="s">
        <v>34</v>
      </c>
      <c r="O200" s="344">
        <v>1</v>
      </c>
      <c r="P200" s="345">
        <v>257.81</v>
      </c>
      <c r="Q200" s="345">
        <v>257.81</v>
      </c>
      <c r="R200" s="182"/>
      <c r="U200" s="128"/>
    </row>
    <row r="201" spans="1:21" ht="15.6" x14ac:dyDescent="0.3">
      <c r="A201" s="53"/>
      <c r="B201" s="54"/>
      <c r="C201" s="54"/>
      <c r="D201" s="54"/>
      <c r="E201" s="55"/>
      <c r="F201" s="75"/>
      <c r="G201" s="76"/>
      <c r="H201" s="76"/>
      <c r="I201" s="48"/>
      <c r="J201" s="70"/>
      <c r="K201" s="70"/>
      <c r="L201" s="342" t="s">
        <v>871</v>
      </c>
      <c r="M201" s="343" t="s">
        <v>872</v>
      </c>
      <c r="N201" s="342" t="s">
        <v>34</v>
      </c>
      <c r="O201" s="344">
        <v>1</v>
      </c>
      <c r="P201" s="346">
        <v>1365.98</v>
      </c>
      <c r="Q201" s="346">
        <v>1365.98</v>
      </c>
      <c r="R201" s="182"/>
      <c r="U201" s="128"/>
    </row>
    <row r="202" spans="1:21" ht="15.6" x14ac:dyDescent="0.3">
      <c r="A202" s="53"/>
      <c r="B202" s="54"/>
      <c r="C202" s="54"/>
      <c r="D202" s="54"/>
      <c r="E202" s="55"/>
      <c r="F202" s="75"/>
      <c r="G202" s="76"/>
      <c r="H202" s="76"/>
      <c r="I202" s="48"/>
      <c r="J202" s="70"/>
      <c r="K202" s="70"/>
      <c r="L202" s="342" t="s">
        <v>873</v>
      </c>
      <c r="M202" s="343" t="s">
        <v>874</v>
      </c>
      <c r="N202" s="342" t="s">
        <v>34</v>
      </c>
      <c r="O202" s="344">
        <v>1</v>
      </c>
      <c r="P202" s="345">
        <v>613.29999999999995</v>
      </c>
      <c r="Q202" s="345">
        <v>613.29999999999995</v>
      </c>
      <c r="R202" s="182"/>
      <c r="U202" s="128"/>
    </row>
    <row r="203" spans="1:21" ht="15.6" x14ac:dyDescent="0.3">
      <c r="A203" s="53"/>
      <c r="B203" s="54"/>
      <c r="C203" s="54"/>
      <c r="D203" s="54"/>
      <c r="E203" s="55"/>
      <c r="F203" s="75"/>
      <c r="G203" s="76"/>
      <c r="H203" s="76"/>
      <c r="I203" s="48"/>
      <c r="J203" s="70"/>
      <c r="K203" s="70"/>
      <c r="L203" s="342" t="s">
        <v>1141</v>
      </c>
      <c r="M203" s="343" t="s">
        <v>1228</v>
      </c>
      <c r="N203" s="342" t="s">
        <v>34</v>
      </c>
      <c r="O203" s="344">
        <v>1</v>
      </c>
      <c r="P203" s="345">
        <v>96</v>
      </c>
      <c r="Q203" s="345">
        <v>96</v>
      </c>
      <c r="R203" s="182"/>
      <c r="U203" s="128"/>
    </row>
    <row r="204" spans="1:21" ht="15.6" x14ac:dyDescent="0.3">
      <c r="A204" s="53"/>
      <c r="B204" s="54"/>
      <c r="C204" s="54"/>
      <c r="D204" s="54"/>
      <c r="E204" s="55"/>
      <c r="F204" s="75"/>
      <c r="G204" s="76"/>
      <c r="H204" s="76"/>
      <c r="I204" s="48"/>
      <c r="J204" s="70"/>
      <c r="K204" s="70"/>
      <c r="L204" s="342" t="s">
        <v>1143</v>
      </c>
      <c r="M204" s="343" t="s">
        <v>1230</v>
      </c>
      <c r="N204" s="342" t="s">
        <v>34</v>
      </c>
      <c r="O204" s="344">
        <v>1</v>
      </c>
      <c r="P204" s="345">
        <v>176.27</v>
      </c>
      <c r="Q204" s="345">
        <v>176.27</v>
      </c>
      <c r="R204" s="182"/>
      <c r="U204" s="128"/>
    </row>
    <row r="205" spans="1:21" ht="15.6" x14ac:dyDescent="0.3">
      <c r="A205" s="53"/>
      <c r="B205" s="54"/>
      <c r="C205" s="54"/>
      <c r="D205" s="54"/>
      <c r="E205" s="55"/>
      <c r="F205" s="75"/>
      <c r="G205" s="76"/>
      <c r="H205" s="76"/>
      <c r="I205" s="48"/>
      <c r="J205" s="70"/>
      <c r="K205" s="70"/>
      <c r="L205" s="342" t="s">
        <v>911</v>
      </c>
      <c r="M205" s="343" t="s">
        <v>912</v>
      </c>
      <c r="N205" s="342" t="s">
        <v>34</v>
      </c>
      <c r="O205" s="344">
        <v>1</v>
      </c>
      <c r="P205" s="345">
        <v>103</v>
      </c>
      <c r="Q205" s="345">
        <v>103</v>
      </c>
      <c r="R205" s="182"/>
      <c r="U205" s="128"/>
    </row>
    <row r="206" spans="1:21" ht="15.6" x14ac:dyDescent="0.3">
      <c r="A206" s="53"/>
      <c r="B206" s="54"/>
      <c r="C206" s="54"/>
      <c r="D206" s="54"/>
      <c r="E206" s="55"/>
      <c r="F206" s="75"/>
      <c r="G206" s="76"/>
      <c r="H206" s="76"/>
      <c r="I206" s="48"/>
      <c r="J206" s="70"/>
      <c r="K206" s="70"/>
      <c r="L206" s="342" t="s">
        <v>782</v>
      </c>
      <c r="M206" s="343" t="s">
        <v>783</v>
      </c>
      <c r="N206" s="342" t="s">
        <v>34</v>
      </c>
      <c r="O206" s="344">
        <v>1</v>
      </c>
      <c r="P206" s="346">
        <v>2778.33</v>
      </c>
      <c r="Q206" s="346">
        <v>2778.33</v>
      </c>
      <c r="R206" s="182"/>
      <c r="U206" s="128"/>
    </row>
    <row r="207" spans="1:21" ht="15.6" x14ac:dyDescent="0.3">
      <c r="A207" s="53"/>
      <c r="B207" s="54"/>
      <c r="C207" s="54"/>
      <c r="D207" s="54"/>
      <c r="E207" s="55"/>
      <c r="F207" s="75"/>
      <c r="G207" s="76"/>
      <c r="H207" s="76"/>
      <c r="I207" s="48"/>
      <c r="J207" s="70"/>
      <c r="K207" s="70"/>
      <c r="L207" s="342" t="s">
        <v>884</v>
      </c>
      <c r="M207" s="343" t="s">
        <v>885</v>
      </c>
      <c r="N207" s="342" t="s">
        <v>82</v>
      </c>
      <c r="O207" s="344">
        <v>1</v>
      </c>
      <c r="P207" s="346">
        <v>18062</v>
      </c>
      <c r="Q207" s="346">
        <v>18062</v>
      </c>
      <c r="R207" s="182"/>
      <c r="U207" s="128"/>
    </row>
    <row r="208" spans="1:21" ht="15.6" x14ac:dyDescent="0.3">
      <c r="A208" s="53"/>
      <c r="B208" s="54"/>
      <c r="C208" s="54"/>
      <c r="D208" s="54"/>
      <c r="E208" s="55"/>
      <c r="F208" s="75"/>
      <c r="G208" s="76"/>
      <c r="H208" s="76"/>
      <c r="I208" s="48"/>
      <c r="J208" s="70"/>
      <c r="K208" s="70"/>
      <c r="L208" s="342" t="s">
        <v>732</v>
      </c>
      <c r="M208" s="343" t="s">
        <v>733</v>
      </c>
      <c r="N208" s="342" t="s">
        <v>34</v>
      </c>
      <c r="O208" s="344">
        <v>1</v>
      </c>
      <c r="P208" s="346">
        <v>19165.830000000002</v>
      </c>
      <c r="Q208" s="346">
        <v>19165.830000000002</v>
      </c>
      <c r="R208" s="182"/>
      <c r="U208" s="128"/>
    </row>
    <row r="209" spans="1:21" ht="15.6" x14ac:dyDescent="0.3">
      <c r="A209" s="53"/>
      <c r="B209" s="54"/>
      <c r="C209" s="54"/>
      <c r="D209" s="54"/>
      <c r="E209" s="55"/>
      <c r="F209" s="75"/>
      <c r="G209" s="76"/>
      <c r="H209" s="76"/>
      <c r="I209" s="48"/>
      <c r="J209" s="70"/>
      <c r="K209" s="70"/>
      <c r="L209" s="342" t="s">
        <v>1145</v>
      </c>
      <c r="M209" s="343" t="s">
        <v>1232</v>
      </c>
      <c r="N209" s="342" t="s">
        <v>34</v>
      </c>
      <c r="O209" s="344">
        <v>1</v>
      </c>
      <c r="P209" s="345">
        <v>55.04</v>
      </c>
      <c r="Q209" s="345">
        <v>55.04</v>
      </c>
      <c r="R209" s="182"/>
      <c r="U209" s="128"/>
    </row>
    <row r="210" spans="1:21" ht="15.6" x14ac:dyDescent="0.3">
      <c r="A210" s="53"/>
      <c r="B210" s="54"/>
      <c r="C210" s="54"/>
      <c r="D210" s="54"/>
      <c r="E210" s="55"/>
      <c r="F210" s="75"/>
      <c r="G210" s="76"/>
      <c r="H210" s="76"/>
      <c r="I210" s="48"/>
      <c r="J210" s="70"/>
      <c r="K210" s="70"/>
      <c r="L210" s="342" t="s">
        <v>875</v>
      </c>
      <c r="M210" s="343" t="s">
        <v>876</v>
      </c>
      <c r="N210" s="342" t="s">
        <v>34</v>
      </c>
      <c r="O210" s="344">
        <v>1</v>
      </c>
      <c r="P210" s="346">
        <v>1760.83</v>
      </c>
      <c r="Q210" s="346">
        <v>1760.83</v>
      </c>
      <c r="R210" s="182"/>
      <c r="U210" s="128"/>
    </row>
    <row r="211" spans="1:21" ht="15.6" x14ac:dyDescent="0.3">
      <c r="A211" s="53"/>
      <c r="B211" s="54"/>
      <c r="C211" s="54"/>
      <c r="D211" s="54"/>
      <c r="E211" s="55"/>
      <c r="F211" s="75"/>
      <c r="G211" s="76"/>
      <c r="H211" s="76"/>
      <c r="I211" s="48"/>
      <c r="J211" s="70"/>
      <c r="K211" s="70"/>
      <c r="L211" s="342" t="s">
        <v>1419</v>
      </c>
      <c r="M211" s="343" t="s">
        <v>1442</v>
      </c>
      <c r="N211" s="342" t="s">
        <v>34</v>
      </c>
      <c r="O211" s="344">
        <v>1</v>
      </c>
      <c r="P211" s="345">
        <v>60.52</v>
      </c>
      <c r="Q211" s="345">
        <v>60.52</v>
      </c>
      <c r="R211" s="182"/>
      <c r="U211" s="128"/>
    </row>
    <row r="212" spans="1:21" ht="15.6" x14ac:dyDescent="0.3">
      <c r="A212" s="53"/>
      <c r="B212" s="54"/>
      <c r="C212" s="54"/>
      <c r="D212" s="54"/>
      <c r="E212" s="55"/>
      <c r="F212" s="75"/>
      <c r="G212" s="76"/>
      <c r="H212" s="76"/>
      <c r="I212" s="48"/>
      <c r="J212" s="70"/>
      <c r="K212" s="70"/>
      <c r="L212" s="342" t="s">
        <v>889</v>
      </c>
      <c r="M212" s="343" t="s">
        <v>890</v>
      </c>
      <c r="N212" s="342" t="s">
        <v>82</v>
      </c>
      <c r="O212" s="344">
        <v>1</v>
      </c>
      <c r="P212" s="346">
        <v>5462.5</v>
      </c>
      <c r="Q212" s="346">
        <v>5462.5</v>
      </c>
      <c r="R212" s="182"/>
      <c r="U212" s="128"/>
    </row>
    <row r="213" spans="1:21" ht="15.6" x14ac:dyDescent="0.3">
      <c r="A213" s="53"/>
      <c r="B213" s="54"/>
      <c r="C213" s="54"/>
      <c r="D213" s="54"/>
      <c r="E213" s="55"/>
      <c r="F213" s="75"/>
      <c r="G213" s="76"/>
      <c r="H213" s="76"/>
      <c r="I213" s="48"/>
      <c r="J213" s="70"/>
      <c r="K213" s="70"/>
      <c r="L213" s="342" t="s">
        <v>877</v>
      </c>
      <c r="M213" s="343" t="s">
        <v>878</v>
      </c>
      <c r="N213" s="342" t="s">
        <v>34</v>
      </c>
      <c r="O213" s="344">
        <v>1</v>
      </c>
      <c r="P213" s="345">
        <v>320.66000000000003</v>
      </c>
      <c r="Q213" s="345">
        <v>320.66000000000003</v>
      </c>
      <c r="R213" s="182"/>
      <c r="U213" s="128"/>
    </row>
    <row r="214" spans="1:21" ht="15.6" x14ac:dyDescent="0.3">
      <c r="A214" s="53"/>
      <c r="B214" s="54"/>
      <c r="C214" s="54"/>
      <c r="D214" s="54"/>
      <c r="E214" s="55"/>
      <c r="F214" s="75"/>
      <c r="G214" s="76"/>
      <c r="H214" s="76"/>
      <c r="I214" s="48"/>
      <c r="J214" s="70"/>
      <c r="K214" s="70"/>
      <c r="L214" s="342" t="s">
        <v>915</v>
      </c>
      <c r="M214" s="343" t="s">
        <v>916</v>
      </c>
      <c r="N214" s="342" t="s">
        <v>34</v>
      </c>
      <c r="O214" s="344">
        <v>1</v>
      </c>
      <c r="P214" s="345">
        <v>42</v>
      </c>
      <c r="Q214" s="345">
        <v>42</v>
      </c>
      <c r="R214" s="182"/>
      <c r="U214" s="128"/>
    </row>
    <row r="215" spans="1:21" ht="15.6" x14ac:dyDescent="0.3">
      <c r="A215" s="53"/>
      <c r="B215" s="54"/>
      <c r="C215" s="54"/>
      <c r="D215" s="54"/>
      <c r="E215" s="55"/>
      <c r="F215" s="75"/>
      <c r="G215" s="76"/>
      <c r="H215" s="76"/>
      <c r="I215" s="48"/>
      <c r="J215" s="70"/>
      <c r="K215" s="70"/>
      <c r="L215" s="342" t="s">
        <v>861</v>
      </c>
      <c r="M215" s="343" t="s">
        <v>917</v>
      </c>
      <c r="N215" s="342" t="s">
        <v>34</v>
      </c>
      <c r="O215" s="344">
        <v>1</v>
      </c>
      <c r="P215" s="346">
        <v>8250</v>
      </c>
      <c r="Q215" s="346">
        <v>8250</v>
      </c>
      <c r="R215" s="182"/>
      <c r="U215" s="128"/>
    </row>
    <row r="216" spans="1:21" ht="15.6" x14ac:dyDescent="0.3">
      <c r="A216" s="53"/>
      <c r="B216" s="54"/>
      <c r="C216" s="54"/>
      <c r="D216" s="54"/>
      <c r="E216" s="55"/>
      <c r="F216" s="75"/>
      <c r="G216" s="76"/>
      <c r="H216" s="76"/>
      <c r="I216" s="48"/>
      <c r="J216" s="70"/>
      <c r="K216" s="70"/>
      <c r="L216" s="342" t="s">
        <v>865</v>
      </c>
      <c r="M216" s="343" t="s">
        <v>1055</v>
      </c>
      <c r="N216" s="342" t="s">
        <v>34</v>
      </c>
      <c r="O216" s="344">
        <v>1</v>
      </c>
      <c r="P216" s="346">
        <v>4916.67</v>
      </c>
      <c r="Q216" s="346">
        <v>4916.67</v>
      </c>
      <c r="R216" s="182"/>
      <c r="U216" s="128"/>
    </row>
    <row r="217" spans="1:21" ht="15.6" x14ac:dyDescent="0.3">
      <c r="A217" s="53"/>
      <c r="B217" s="54"/>
      <c r="C217" s="54"/>
      <c r="D217" s="54"/>
      <c r="E217" s="55"/>
      <c r="F217" s="75"/>
      <c r="G217" s="76"/>
      <c r="H217" s="76"/>
      <c r="I217" s="48"/>
      <c r="J217" s="70"/>
      <c r="K217" s="70"/>
      <c r="L217" s="342" t="s">
        <v>799</v>
      </c>
      <c r="M217" s="343" t="s">
        <v>800</v>
      </c>
      <c r="N217" s="342" t="s">
        <v>34</v>
      </c>
      <c r="O217" s="344">
        <v>1</v>
      </c>
      <c r="P217" s="345">
        <v>308.12</v>
      </c>
      <c r="Q217" s="345">
        <v>308.12</v>
      </c>
      <c r="R217" s="182"/>
      <c r="U217" s="128"/>
    </row>
    <row r="218" spans="1:21" ht="15.6" x14ac:dyDescent="0.3">
      <c r="A218" s="53"/>
      <c r="B218" s="54"/>
      <c r="C218" s="54"/>
      <c r="D218" s="54"/>
      <c r="E218" s="55"/>
      <c r="F218" s="75"/>
      <c r="G218" s="76"/>
      <c r="H218" s="76"/>
      <c r="I218" s="48"/>
      <c r="J218" s="70"/>
      <c r="K218" s="70"/>
      <c r="L218" s="342" t="s">
        <v>867</v>
      </c>
      <c r="M218" s="343" t="s">
        <v>918</v>
      </c>
      <c r="N218" s="342" t="s">
        <v>34</v>
      </c>
      <c r="O218" s="344">
        <v>1</v>
      </c>
      <c r="P218" s="346">
        <v>4050</v>
      </c>
      <c r="Q218" s="346">
        <v>4050</v>
      </c>
      <c r="R218" s="182"/>
      <c r="U218" s="128"/>
    </row>
    <row r="219" spans="1:21" ht="15.6" x14ac:dyDescent="0.3">
      <c r="A219" s="53"/>
      <c r="B219" s="54"/>
      <c r="C219" s="54"/>
      <c r="D219" s="54"/>
      <c r="E219" s="55"/>
      <c r="F219" s="75"/>
      <c r="G219" s="76"/>
      <c r="H219" s="76"/>
      <c r="I219" s="48"/>
      <c r="J219" s="70"/>
      <c r="K219" s="70"/>
      <c r="L219" s="342" t="s">
        <v>1311</v>
      </c>
      <c r="M219" s="343" t="s">
        <v>1345</v>
      </c>
      <c r="N219" s="342" t="s">
        <v>34</v>
      </c>
      <c r="O219" s="344">
        <v>1</v>
      </c>
      <c r="P219" s="345">
        <v>21.5</v>
      </c>
      <c r="Q219" s="345">
        <v>21.5</v>
      </c>
      <c r="R219" s="182"/>
      <c r="U219" s="128"/>
    </row>
    <row r="220" spans="1:21" ht="30" x14ac:dyDescent="0.3">
      <c r="A220" s="53"/>
      <c r="B220" s="54"/>
      <c r="C220" s="54"/>
      <c r="D220" s="54"/>
      <c r="E220" s="55"/>
      <c r="F220" s="75"/>
      <c r="G220" s="76"/>
      <c r="H220" s="76"/>
      <c r="I220" s="48"/>
      <c r="J220" s="70"/>
      <c r="K220" s="70"/>
      <c r="L220" s="342" t="s">
        <v>1156</v>
      </c>
      <c r="M220" s="343" t="s">
        <v>1243</v>
      </c>
      <c r="N220" s="342" t="s">
        <v>34</v>
      </c>
      <c r="O220" s="344">
        <v>1</v>
      </c>
      <c r="P220" s="345">
        <v>87.3</v>
      </c>
      <c r="Q220" s="345">
        <v>87.3</v>
      </c>
      <c r="R220" s="182"/>
      <c r="U220" s="128"/>
    </row>
    <row r="221" spans="1:21" ht="15.6" x14ac:dyDescent="0.3">
      <c r="A221" s="53"/>
      <c r="B221" s="54"/>
      <c r="C221" s="54"/>
      <c r="D221" s="54"/>
      <c r="E221" s="55"/>
      <c r="F221" s="75"/>
      <c r="G221" s="76"/>
      <c r="H221" s="76"/>
      <c r="I221" s="48"/>
      <c r="J221" s="70"/>
      <c r="K221" s="70"/>
      <c r="L221" s="342" t="s">
        <v>809</v>
      </c>
      <c r="M221" s="343" t="s">
        <v>810</v>
      </c>
      <c r="N221" s="342" t="s">
        <v>34</v>
      </c>
      <c r="O221" s="344">
        <v>1</v>
      </c>
      <c r="P221" s="345">
        <v>854.38</v>
      </c>
      <c r="Q221" s="345">
        <v>854.38</v>
      </c>
      <c r="R221" s="182"/>
      <c r="U221" s="128"/>
    </row>
    <row r="222" spans="1:21" ht="15.6" x14ac:dyDescent="0.3">
      <c r="A222" s="53"/>
      <c r="B222" s="54"/>
      <c r="C222" s="54"/>
      <c r="D222" s="54"/>
      <c r="E222" s="55"/>
      <c r="F222" s="75"/>
      <c r="G222" s="76"/>
      <c r="H222" s="76"/>
      <c r="I222" s="48"/>
      <c r="J222" s="70"/>
      <c r="K222" s="70"/>
      <c r="L222" s="342" t="s">
        <v>920</v>
      </c>
      <c r="M222" s="343" t="s">
        <v>921</v>
      </c>
      <c r="N222" s="342" t="s">
        <v>34</v>
      </c>
      <c r="O222" s="344">
        <v>1</v>
      </c>
      <c r="P222" s="345">
        <v>29.6</v>
      </c>
      <c r="Q222" s="345">
        <v>29.6</v>
      </c>
      <c r="R222" s="182"/>
      <c r="U222" s="128"/>
    </row>
    <row r="223" spans="1:21" ht="15.6" x14ac:dyDescent="0.3">
      <c r="A223" s="53"/>
      <c r="B223" s="54"/>
      <c r="C223" s="54"/>
      <c r="D223" s="54"/>
      <c r="E223" s="55"/>
      <c r="F223" s="75"/>
      <c r="G223" s="76"/>
      <c r="H223" s="76"/>
      <c r="I223" s="48"/>
      <c r="J223" s="70"/>
      <c r="K223" s="70"/>
      <c r="L223" s="342" t="s">
        <v>812</v>
      </c>
      <c r="M223" s="343" t="s">
        <v>813</v>
      </c>
      <c r="N223" s="342" t="s">
        <v>34</v>
      </c>
      <c r="O223" s="344">
        <v>1</v>
      </c>
      <c r="P223" s="346">
        <v>6500</v>
      </c>
      <c r="Q223" s="346">
        <v>6500</v>
      </c>
      <c r="R223" s="182"/>
      <c r="U223" s="128"/>
    </row>
    <row r="224" spans="1:21" ht="15.6" x14ac:dyDescent="0.3">
      <c r="A224" s="53"/>
      <c r="B224" s="54"/>
      <c r="C224" s="54"/>
      <c r="D224" s="54"/>
      <c r="E224" s="55"/>
      <c r="F224" s="75"/>
      <c r="G224" s="76"/>
      <c r="H224" s="76"/>
      <c r="I224" s="48"/>
      <c r="J224" s="70"/>
      <c r="K224" s="70"/>
      <c r="L224" s="342" t="s">
        <v>860</v>
      </c>
      <c r="M224" s="343" t="s">
        <v>922</v>
      </c>
      <c r="N224" s="342" t="s">
        <v>34</v>
      </c>
      <c r="O224" s="344">
        <v>1</v>
      </c>
      <c r="P224" s="346">
        <v>8875</v>
      </c>
      <c r="Q224" s="346">
        <v>8875</v>
      </c>
      <c r="R224" s="182"/>
      <c r="U224" s="128"/>
    </row>
    <row r="225" spans="1:21" ht="15.6" x14ac:dyDescent="0.3">
      <c r="A225" s="53"/>
      <c r="B225" s="54"/>
      <c r="C225" s="54"/>
      <c r="D225" s="54"/>
      <c r="E225" s="55"/>
      <c r="F225" s="75"/>
      <c r="G225" s="76"/>
      <c r="H225" s="76"/>
      <c r="I225" s="48"/>
      <c r="J225" s="70"/>
      <c r="K225" s="70"/>
      <c r="L225" s="342" t="s">
        <v>422</v>
      </c>
      <c r="M225" s="343" t="s">
        <v>423</v>
      </c>
      <c r="N225" s="342" t="s">
        <v>34</v>
      </c>
      <c r="O225" s="344">
        <v>1</v>
      </c>
      <c r="P225" s="345">
        <v>219.9</v>
      </c>
      <c r="Q225" s="345">
        <v>219.9</v>
      </c>
      <c r="R225" s="182"/>
      <c r="U225" s="128"/>
    </row>
    <row r="226" spans="1:21" ht="15.6" x14ac:dyDescent="0.3">
      <c r="A226" s="53"/>
      <c r="B226" s="54"/>
      <c r="C226" s="54"/>
      <c r="D226" s="54"/>
      <c r="E226" s="55"/>
      <c r="F226" s="75"/>
      <c r="G226" s="76"/>
      <c r="H226" s="76"/>
      <c r="I226" s="48"/>
      <c r="J226" s="70"/>
      <c r="K226" s="70"/>
      <c r="L226" s="342" t="s">
        <v>424</v>
      </c>
      <c r="M226" s="343" t="s">
        <v>425</v>
      </c>
      <c r="N226" s="342" t="s">
        <v>34</v>
      </c>
      <c r="O226" s="344">
        <v>1</v>
      </c>
      <c r="P226" s="345">
        <v>201</v>
      </c>
      <c r="Q226" s="345">
        <v>201</v>
      </c>
      <c r="R226" s="182"/>
      <c r="U226" s="128"/>
    </row>
    <row r="227" spans="1:21" ht="15.6" x14ac:dyDescent="0.3">
      <c r="A227" s="53"/>
      <c r="B227" s="54"/>
      <c r="C227" s="54"/>
      <c r="D227" s="54"/>
      <c r="E227" s="55"/>
      <c r="F227" s="75"/>
      <c r="G227" s="76"/>
      <c r="H227" s="76"/>
      <c r="I227" s="48"/>
      <c r="J227" s="70"/>
      <c r="K227" s="70"/>
      <c r="L227" s="342" t="s">
        <v>1159</v>
      </c>
      <c r="M227" s="343" t="s">
        <v>1245</v>
      </c>
      <c r="N227" s="342" t="s">
        <v>34</v>
      </c>
      <c r="O227" s="344">
        <v>1</v>
      </c>
      <c r="P227" s="345">
        <v>39.75</v>
      </c>
      <c r="Q227" s="345">
        <v>39.75</v>
      </c>
      <c r="R227" s="182"/>
      <c r="U227" s="128"/>
    </row>
    <row r="228" spans="1:21" ht="15.6" x14ac:dyDescent="0.3">
      <c r="A228" s="53"/>
      <c r="B228" s="54"/>
      <c r="C228" s="54"/>
      <c r="D228" s="54"/>
      <c r="E228" s="55"/>
      <c r="F228" s="75"/>
      <c r="G228" s="76"/>
      <c r="H228" s="76"/>
      <c r="I228" s="48"/>
      <c r="J228" s="70"/>
      <c r="K228" s="70"/>
      <c r="L228" s="342" t="s">
        <v>1175</v>
      </c>
      <c r="M228" s="343" t="s">
        <v>1259</v>
      </c>
      <c r="N228" s="342" t="s">
        <v>34</v>
      </c>
      <c r="O228" s="344">
        <v>1</v>
      </c>
      <c r="P228" s="345">
        <v>2</v>
      </c>
      <c r="Q228" s="345">
        <v>2</v>
      </c>
      <c r="R228" s="182"/>
      <c r="U228" s="128"/>
    </row>
    <row r="229" spans="1:21" ht="15.6" x14ac:dyDescent="0.3">
      <c r="A229" s="53"/>
      <c r="B229" s="54"/>
      <c r="C229" s="54"/>
      <c r="D229" s="54"/>
      <c r="E229" s="55"/>
      <c r="F229" s="75"/>
      <c r="G229" s="76"/>
      <c r="H229" s="76"/>
      <c r="I229" s="48"/>
      <c r="J229" s="70"/>
      <c r="K229" s="70"/>
      <c r="L229" s="342" t="s">
        <v>1176</v>
      </c>
      <c r="M229" s="343" t="s">
        <v>1260</v>
      </c>
      <c r="N229" s="342" t="s">
        <v>34</v>
      </c>
      <c r="O229" s="344">
        <v>1</v>
      </c>
      <c r="P229" s="345">
        <v>1.5</v>
      </c>
      <c r="Q229" s="345">
        <v>1.5</v>
      </c>
      <c r="R229" s="182"/>
      <c r="U229" s="128"/>
    </row>
    <row r="230" spans="1:21" ht="15.6" x14ac:dyDescent="0.3">
      <c r="A230" s="53"/>
      <c r="B230" s="54"/>
      <c r="C230" s="54"/>
      <c r="D230" s="54"/>
      <c r="E230" s="55"/>
      <c r="F230" s="75"/>
      <c r="G230" s="76"/>
      <c r="H230" s="76"/>
      <c r="I230" s="48"/>
      <c r="J230" s="70"/>
      <c r="K230" s="70"/>
      <c r="L230" s="342" t="s">
        <v>826</v>
      </c>
      <c r="M230" s="343" t="s">
        <v>827</v>
      </c>
      <c r="N230" s="342" t="s">
        <v>34</v>
      </c>
      <c r="O230" s="344">
        <v>1</v>
      </c>
      <c r="P230" s="345">
        <v>4.8</v>
      </c>
      <c r="Q230" s="345">
        <v>4.8</v>
      </c>
      <c r="R230" s="182"/>
      <c r="U230" s="128"/>
    </row>
    <row r="231" spans="1:21" ht="15.6" x14ac:dyDescent="0.3">
      <c r="A231" s="53"/>
      <c r="B231" s="54"/>
      <c r="C231" s="54"/>
      <c r="D231" s="54"/>
      <c r="E231" s="55"/>
      <c r="F231" s="75"/>
      <c r="G231" s="76"/>
      <c r="H231" s="76"/>
      <c r="I231" s="48"/>
      <c r="J231" s="70"/>
      <c r="K231" s="70"/>
      <c r="L231" s="342" t="s">
        <v>1177</v>
      </c>
      <c r="M231" s="343" t="s">
        <v>1261</v>
      </c>
      <c r="N231" s="342" t="s">
        <v>34</v>
      </c>
      <c r="O231" s="344">
        <v>1</v>
      </c>
      <c r="P231" s="345">
        <v>130.21</v>
      </c>
      <c r="Q231" s="345">
        <v>130.21</v>
      </c>
      <c r="R231" s="182"/>
      <c r="U231" s="128"/>
    </row>
    <row r="232" spans="1:21" ht="15.6" x14ac:dyDescent="0.3">
      <c r="A232" s="53"/>
      <c r="B232" s="54"/>
      <c r="C232" s="54"/>
      <c r="D232" s="54"/>
      <c r="E232" s="55"/>
      <c r="F232" s="75"/>
      <c r="G232" s="76"/>
      <c r="H232" s="76"/>
      <c r="I232" s="48"/>
      <c r="J232" s="70"/>
      <c r="K232" s="70"/>
      <c r="L232" s="342" t="s">
        <v>828</v>
      </c>
      <c r="M232" s="343" t="s">
        <v>829</v>
      </c>
      <c r="N232" s="342" t="s">
        <v>34</v>
      </c>
      <c r="O232" s="344">
        <v>1</v>
      </c>
      <c r="P232" s="345">
        <v>133.15</v>
      </c>
      <c r="Q232" s="345">
        <v>133.15</v>
      </c>
      <c r="R232" s="182"/>
      <c r="U232" s="128"/>
    </row>
    <row r="233" spans="1:21" ht="15.6" x14ac:dyDescent="0.3">
      <c r="A233" s="53"/>
      <c r="B233" s="54"/>
      <c r="C233" s="54"/>
      <c r="D233" s="54"/>
      <c r="E233" s="55"/>
      <c r="F233" s="75"/>
      <c r="G233" s="76"/>
      <c r="H233" s="76"/>
      <c r="I233" s="48"/>
      <c r="J233" s="70"/>
      <c r="K233" s="70"/>
      <c r="L233" s="342" t="s">
        <v>830</v>
      </c>
      <c r="M233" s="343" t="s">
        <v>831</v>
      </c>
      <c r="N233" s="342" t="s">
        <v>34</v>
      </c>
      <c r="O233" s="344">
        <v>1</v>
      </c>
      <c r="P233" s="345">
        <v>693</v>
      </c>
      <c r="Q233" s="345">
        <v>693</v>
      </c>
      <c r="R233" s="182"/>
      <c r="U233" s="128"/>
    </row>
    <row r="234" spans="1:21" ht="15.6" x14ac:dyDescent="0.3">
      <c r="A234" s="53"/>
      <c r="B234" s="54"/>
      <c r="C234" s="54"/>
      <c r="D234" s="54"/>
      <c r="E234" s="55"/>
      <c r="F234" s="75"/>
      <c r="G234" s="76"/>
      <c r="H234" s="76"/>
      <c r="I234" s="48"/>
      <c r="J234" s="70"/>
      <c r="K234" s="70"/>
      <c r="L234" s="342" t="s">
        <v>924</v>
      </c>
      <c r="M234" s="343" t="s">
        <v>925</v>
      </c>
      <c r="N234" s="342" t="s">
        <v>34</v>
      </c>
      <c r="O234" s="344">
        <v>1</v>
      </c>
      <c r="P234" s="345">
        <v>69.34</v>
      </c>
      <c r="Q234" s="345">
        <v>69.34</v>
      </c>
      <c r="R234" s="182"/>
      <c r="U234" s="128"/>
    </row>
    <row r="235" spans="1:21" ht="15.6" x14ac:dyDescent="0.3">
      <c r="A235" s="53"/>
      <c r="B235" s="54"/>
      <c r="C235" s="54"/>
      <c r="D235" s="54"/>
      <c r="E235" s="55"/>
      <c r="F235" s="75"/>
      <c r="G235" s="76"/>
      <c r="H235" s="76"/>
      <c r="I235" s="48"/>
      <c r="J235" s="70"/>
      <c r="K235" s="70"/>
      <c r="L235" s="342" t="s">
        <v>863</v>
      </c>
      <c r="M235" s="343" t="s">
        <v>926</v>
      </c>
      <c r="N235" s="342" t="s">
        <v>34</v>
      </c>
      <c r="O235" s="344">
        <v>1</v>
      </c>
      <c r="P235" s="346">
        <v>8590</v>
      </c>
      <c r="Q235" s="346">
        <v>8590</v>
      </c>
      <c r="R235" s="182"/>
      <c r="U235" s="128"/>
    </row>
    <row r="236" spans="1:21" ht="15.6" x14ac:dyDescent="0.3">
      <c r="A236" s="53"/>
      <c r="B236" s="54"/>
      <c r="C236" s="54"/>
      <c r="D236" s="54"/>
      <c r="E236" s="55"/>
      <c r="F236" s="75"/>
      <c r="G236" s="76"/>
      <c r="H236" s="76"/>
      <c r="I236" s="48"/>
      <c r="J236" s="70"/>
      <c r="K236" s="70"/>
      <c r="L236" s="342" t="s">
        <v>1312</v>
      </c>
      <c r="M236" s="343" t="s">
        <v>1346</v>
      </c>
      <c r="N236" s="342" t="s">
        <v>34</v>
      </c>
      <c r="O236" s="344">
        <v>1</v>
      </c>
      <c r="P236" s="345">
        <v>57.18</v>
      </c>
      <c r="Q236" s="345">
        <v>57.18</v>
      </c>
      <c r="R236" s="182"/>
      <c r="U236" s="128"/>
    </row>
    <row r="237" spans="1:21" ht="15.6" x14ac:dyDescent="0.3">
      <c r="A237" s="53"/>
      <c r="B237" s="54"/>
      <c r="C237" s="54"/>
      <c r="D237" s="54"/>
      <c r="E237" s="55"/>
      <c r="F237" s="75"/>
      <c r="G237" s="76"/>
      <c r="H237" s="76"/>
      <c r="I237" s="48"/>
      <c r="J237" s="70"/>
      <c r="K237" s="70"/>
      <c r="L237" s="342" t="s">
        <v>930</v>
      </c>
      <c r="M237" s="343" t="s">
        <v>931</v>
      </c>
      <c r="N237" s="342" t="s">
        <v>34</v>
      </c>
      <c r="O237" s="344">
        <v>1</v>
      </c>
      <c r="P237" s="345">
        <v>124</v>
      </c>
      <c r="Q237" s="345">
        <v>124</v>
      </c>
      <c r="R237" s="182"/>
      <c r="U237" s="128"/>
    </row>
    <row r="238" spans="1:21" ht="15.6" x14ac:dyDescent="0.3">
      <c r="A238" s="53"/>
      <c r="B238" s="54"/>
      <c r="C238" s="54"/>
      <c r="D238" s="54"/>
      <c r="E238" s="55"/>
      <c r="F238" s="75"/>
      <c r="G238" s="76"/>
      <c r="H238" s="76"/>
      <c r="I238" s="48"/>
      <c r="J238" s="70"/>
      <c r="K238" s="70"/>
      <c r="L238" s="342" t="s">
        <v>484</v>
      </c>
      <c r="M238" s="343" t="s">
        <v>1061</v>
      </c>
      <c r="N238" s="342" t="s">
        <v>34</v>
      </c>
      <c r="O238" s="344">
        <v>1</v>
      </c>
      <c r="P238" s="345">
        <v>34.83</v>
      </c>
      <c r="Q238" s="345">
        <v>34.83</v>
      </c>
      <c r="R238" s="182"/>
      <c r="U238" s="128"/>
    </row>
    <row r="239" spans="1:21" ht="15.6" x14ac:dyDescent="0.3">
      <c r="A239" s="53"/>
      <c r="B239" s="54"/>
      <c r="C239" s="54"/>
      <c r="D239" s="54"/>
      <c r="E239" s="55"/>
      <c r="F239" s="75"/>
      <c r="G239" s="76"/>
      <c r="H239" s="76"/>
      <c r="I239" s="48"/>
      <c r="J239" s="70"/>
      <c r="K239" s="70"/>
      <c r="L239" s="342" t="s">
        <v>488</v>
      </c>
      <c r="M239" s="343" t="s">
        <v>1062</v>
      </c>
      <c r="N239" s="342" t="s">
        <v>34</v>
      </c>
      <c r="O239" s="344">
        <v>1</v>
      </c>
      <c r="P239" s="345">
        <v>851.18</v>
      </c>
      <c r="Q239" s="345">
        <v>851.18</v>
      </c>
      <c r="R239" s="182"/>
      <c r="U239" s="128"/>
    </row>
    <row r="240" spans="1:21" ht="15.6" x14ac:dyDescent="0.3">
      <c r="A240" s="53"/>
      <c r="B240" s="54"/>
      <c r="C240" s="54"/>
      <c r="D240" s="54"/>
      <c r="E240" s="55"/>
      <c r="F240" s="75"/>
      <c r="G240" s="76"/>
      <c r="H240" s="76"/>
      <c r="I240" s="48"/>
      <c r="J240" s="70"/>
      <c r="K240" s="70"/>
      <c r="L240" s="342" t="s">
        <v>490</v>
      </c>
      <c r="M240" s="343" t="s">
        <v>491</v>
      </c>
      <c r="N240" s="342" t="s">
        <v>34</v>
      </c>
      <c r="O240" s="344">
        <v>1</v>
      </c>
      <c r="P240" s="346">
        <v>3293.25</v>
      </c>
      <c r="Q240" s="346">
        <v>3293.25</v>
      </c>
      <c r="R240" s="182"/>
      <c r="U240" s="128"/>
    </row>
    <row r="241" spans="1:21" ht="15.6" x14ac:dyDescent="0.3">
      <c r="A241" s="53"/>
      <c r="B241" s="54"/>
      <c r="C241" s="54"/>
      <c r="D241" s="54"/>
      <c r="E241" s="55"/>
      <c r="F241" s="75"/>
      <c r="G241" s="76"/>
      <c r="H241" s="76"/>
      <c r="I241" s="48"/>
      <c r="J241" s="70"/>
      <c r="K241" s="70"/>
      <c r="L241" s="342" t="s">
        <v>862</v>
      </c>
      <c r="M241" s="343" t="s">
        <v>1045</v>
      </c>
      <c r="N241" s="342" t="s">
        <v>34</v>
      </c>
      <c r="O241" s="344">
        <v>1</v>
      </c>
      <c r="P241" s="346">
        <v>12583.33</v>
      </c>
      <c r="Q241" s="346">
        <v>12583.33</v>
      </c>
      <c r="R241" s="182"/>
      <c r="U241" s="128"/>
    </row>
    <row r="242" spans="1:21" ht="15.6" x14ac:dyDescent="0.3">
      <c r="A242" s="53"/>
      <c r="B242" s="54"/>
      <c r="C242" s="54"/>
      <c r="D242" s="54"/>
      <c r="E242" s="55"/>
      <c r="F242" s="75"/>
      <c r="G242" s="76"/>
      <c r="H242" s="76"/>
      <c r="I242" s="48"/>
      <c r="J242" s="70"/>
      <c r="K242" s="70"/>
      <c r="L242" s="342" t="s">
        <v>845</v>
      </c>
      <c r="M242" s="343" t="s">
        <v>846</v>
      </c>
      <c r="N242" s="342" t="s">
        <v>34</v>
      </c>
      <c r="O242" s="344">
        <v>1</v>
      </c>
      <c r="P242" s="345">
        <v>193.17</v>
      </c>
      <c r="Q242" s="345">
        <v>193.17</v>
      </c>
      <c r="R242" s="182"/>
      <c r="U242" s="128"/>
    </row>
    <row r="243" spans="1:21" ht="15.6" x14ac:dyDescent="0.3">
      <c r="A243" s="53"/>
      <c r="B243" s="54"/>
      <c r="C243" s="54"/>
      <c r="D243" s="54"/>
      <c r="E243" s="55"/>
      <c r="F243" s="75"/>
      <c r="G243" s="76"/>
      <c r="H243" s="76"/>
      <c r="I243" s="48"/>
      <c r="J243" s="70"/>
      <c r="K243" s="70"/>
      <c r="L243" s="342" t="s">
        <v>994</v>
      </c>
      <c r="M243" s="343" t="s">
        <v>1066</v>
      </c>
      <c r="N243" s="342" t="s">
        <v>34</v>
      </c>
      <c r="O243" s="344">
        <v>1</v>
      </c>
      <c r="P243" s="346">
        <v>7750</v>
      </c>
      <c r="Q243" s="346">
        <v>7750</v>
      </c>
      <c r="R243" s="182"/>
      <c r="U243" s="128"/>
    </row>
    <row r="244" spans="1:21" ht="15.6" x14ac:dyDescent="0.3">
      <c r="A244" s="53"/>
      <c r="B244" s="54"/>
      <c r="C244" s="54"/>
      <c r="D244" s="54"/>
      <c r="E244" s="55"/>
      <c r="F244" s="75"/>
      <c r="G244" s="76"/>
      <c r="H244" s="76"/>
      <c r="I244" s="48"/>
      <c r="J244" s="70"/>
      <c r="K244" s="70"/>
      <c r="L244" s="342" t="s">
        <v>995</v>
      </c>
      <c r="M244" s="343" t="s">
        <v>1067</v>
      </c>
      <c r="N244" s="342" t="s">
        <v>34</v>
      </c>
      <c r="O244" s="344">
        <v>1</v>
      </c>
      <c r="P244" s="346">
        <v>6036</v>
      </c>
      <c r="Q244" s="346">
        <v>6036</v>
      </c>
      <c r="R244" s="182"/>
      <c r="U244" s="128"/>
    </row>
    <row r="245" spans="1:21" ht="15.6" x14ac:dyDescent="0.3">
      <c r="A245" s="53"/>
      <c r="B245" s="54"/>
      <c r="C245" s="54"/>
      <c r="D245" s="54"/>
      <c r="E245" s="55"/>
      <c r="F245" s="75"/>
      <c r="G245" s="76"/>
      <c r="H245" s="76"/>
      <c r="I245" s="48"/>
      <c r="J245" s="70"/>
      <c r="K245" s="70"/>
      <c r="L245" s="342" t="s">
        <v>1172</v>
      </c>
      <c r="M245" s="343" t="s">
        <v>1257</v>
      </c>
      <c r="N245" s="342" t="s">
        <v>34</v>
      </c>
      <c r="O245" s="344">
        <v>1</v>
      </c>
      <c r="P245" s="345">
        <v>285</v>
      </c>
      <c r="Q245" s="345">
        <v>285</v>
      </c>
      <c r="R245" s="182"/>
      <c r="U245" s="128"/>
    </row>
    <row r="246" spans="1:21" ht="15.6" x14ac:dyDescent="0.3">
      <c r="A246" s="53"/>
      <c r="B246" s="54"/>
      <c r="C246" s="54"/>
      <c r="D246" s="54"/>
      <c r="E246" s="55"/>
      <c r="F246" s="75"/>
      <c r="G246" s="76"/>
      <c r="H246" s="76"/>
      <c r="I246" s="48"/>
      <c r="J246" s="70"/>
      <c r="K246" s="70"/>
      <c r="L246" s="342" t="s">
        <v>796</v>
      </c>
      <c r="M246" s="343" t="s">
        <v>797</v>
      </c>
      <c r="N246" s="342" t="s">
        <v>34</v>
      </c>
      <c r="O246" s="344">
        <v>1.0900000000000001</v>
      </c>
      <c r="P246" s="345">
        <v>338.33</v>
      </c>
      <c r="Q246" s="345">
        <v>368.78</v>
      </c>
      <c r="R246" s="182"/>
      <c r="U246" s="128"/>
    </row>
    <row r="247" spans="1:21" ht="15.6" x14ac:dyDescent="0.3">
      <c r="A247" s="53"/>
      <c r="B247" s="54"/>
      <c r="C247" s="54"/>
      <c r="D247" s="54"/>
      <c r="E247" s="55"/>
      <c r="F247" s="75"/>
      <c r="G247" s="76"/>
      <c r="H247" s="76"/>
      <c r="I247" s="48"/>
      <c r="J247" s="70"/>
      <c r="K247" s="70"/>
      <c r="L247" s="342" t="s">
        <v>1187</v>
      </c>
      <c r="M247" s="343" t="s">
        <v>1270</v>
      </c>
      <c r="N247" s="342" t="s">
        <v>45</v>
      </c>
      <c r="O247" s="344">
        <v>1.1819999999999999</v>
      </c>
      <c r="P247" s="345">
        <v>150.18</v>
      </c>
      <c r="Q247" s="345">
        <v>177.51</v>
      </c>
      <c r="R247" s="182"/>
      <c r="U247" s="128"/>
    </row>
    <row r="248" spans="1:21" ht="15.6" x14ac:dyDescent="0.3">
      <c r="A248" s="53"/>
      <c r="B248" s="54"/>
      <c r="C248" s="54"/>
      <c r="D248" s="54"/>
      <c r="E248" s="55"/>
      <c r="F248" s="75"/>
      <c r="G248" s="76"/>
      <c r="H248" s="76"/>
      <c r="I248" s="48"/>
      <c r="J248" s="70"/>
      <c r="K248" s="70"/>
      <c r="L248" s="342" t="s">
        <v>743</v>
      </c>
      <c r="M248" s="343" t="s">
        <v>744</v>
      </c>
      <c r="N248" s="342" t="s">
        <v>903</v>
      </c>
      <c r="O248" s="344">
        <v>1.2</v>
      </c>
      <c r="P248" s="346">
        <v>10651.39</v>
      </c>
      <c r="Q248" s="346">
        <v>12781.67</v>
      </c>
      <c r="R248" s="182"/>
      <c r="U248" s="128"/>
    </row>
    <row r="249" spans="1:21" ht="15.6" x14ac:dyDescent="0.3">
      <c r="A249" s="53"/>
      <c r="B249" s="54"/>
      <c r="C249" s="54"/>
      <c r="D249" s="54"/>
      <c r="E249" s="55"/>
      <c r="F249" s="75"/>
      <c r="G249" s="76"/>
      <c r="H249" s="76"/>
      <c r="I249" s="48"/>
      <c r="J249" s="70"/>
      <c r="K249" s="70"/>
      <c r="L249" s="342" t="s">
        <v>1115</v>
      </c>
      <c r="M249" s="343" t="s">
        <v>1201</v>
      </c>
      <c r="N249" s="342" t="s">
        <v>68</v>
      </c>
      <c r="O249" s="344">
        <v>1.2</v>
      </c>
      <c r="P249" s="345">
        <v>186.67</v>
      </c>
      <c r="Q249" s="345">
        <v>224</v>
      </c>
      <c r="R249" s="182"/>
      <c r="U249" s="128"/>
    </row>
    <row r="250" spans="1:21" ht="15.6" x14ac:dyDescent="0.3">
      <c r="A250" s="53"/>
      <c r="B250" s="54"/>
      <c r="C250" s="54"/>
      <c r="D250" s="54"/>
      <c r="E250" s="55"/>
      <c r="F250" s="75"/>
      <c r="G250" s="76"/>
      <c r="H250" s="76"/>
      <c r="I250" s="48"/>
      <c r="J250" s="70"/>
      <c r="K250" s="70"/>
      <c r="L250" s="342" t="s">
        <v>207</v>
      </c>
      <c r="M250" s="343" t="s">
        <v>858</v>
      </c>
      <c r="N250" s="342" t="s">
        <v>68</v>
      </c>
      <c r="O250" s="344">
        <v>1.4</v>
      </c>
      <c r="P250" s="345">
        <v>343.28</v>
      </c>
      <c r="Q250" s="345">
        <v>480.59</v>
      </c>
      <c r="R250" s="182"/>
      <c r="U250" s="128"/>
    </row>
    <row r="251" spans="1:21" ht="15.6" x14ac:dyDescent="0.3">
      <c r="A251" s="53"/>
      <c r="B251" s="54"/>
      <c r="C251" s="54"/>
      <c r="D251" s="54"/>
      <c r="E251" s="55"/>
      <c r="F251" s="75"/>
      <c r="G251" s="76"/>
      <c r="H251" s="76"/>
      <c r="I251" s="48"/>
      <c r="J251" s="70"/>
      <c r="K251" s="70"/>
      <c r="L251" s="342" t="s">
        <v>882</v>
      </c>
      <c r="M251" s="343" t="s">
        <v>883</v>
      </c>
      <c r="N251" s="342" t="s">
        <v>68</v>
      </c>
      <c r="O251" s="344">
        <v>1.75</v>
      </c>
      <c r="P251" s="345">
        <v>188.33</v>
      </c>
      <c r="Q251" s="345">
        <v>329.57</v>
      </c>
      <c r="R251" s="182"/>
      <c r="U251" s="128"/>
    </row>
    <row r="252" spans="1:21" ht="15.6" x14ac:dyDescent="0.3">
      <c r="A252" s="53"/>
      <c r="B252" s="54"/>
      <c r="C252" s="54"/>
      <c r="D252" s="54"/>
      <c r="E252" s="55"/>
      <c r="F252" s="75"/>
      <c r="G252" s="76"/>
      <c r="H252" s="76"/>
      <c r="I252" s="48"/>
      <c r="J252" s="70"/>
      <c r="K252" s="70"/>
      <c r="L252" s="342" t="s">
        <v>936</v>
      </c>
      <c r="M252" s="343" t="s">
        <v>1035</v>
      </c>
      <c r="N252" s="342" t="s">
        <v>64</v>
      </c>
      <c r="O252" s="344">
        <v>2</v>
      </c>
      <c r="P252" s="345">
        <v>736.65</v>
      </c>
      <c r="Q252" s="346">
        <v>1473.3</v>
      </c>
      <c r="R252" s="182"/>
      <c r="U252" s="128"/>
    </row>
    <row r="253" spans="1:21" ht="30" x14ac:dyDescent="0.3">
      <c r="A253" s="53"/>
      <c r="B253" s="54"/>
      <c r="C253" s="54"/>
      <c r="D253" s="54"/>
      <c r="E253" s="55"/>
      <c r="F253" s="75"/>
      <c r="G253" s="76"/>
      <c r="H253" s="76"/>
      <c r="I253" s="48"/>
      <c r="J253" s="70"/>
      <c r="K253" s="70"/>
      <c r="L253" s="342" t="s">
        <v>273</v>
      </c>
      <c r="M253" s="343" t="s">
        <v>274</v>
      </c>
      <c r="N253" s="342" t="s">
        <v>34</v>
      </c>
      <c r="O253" s="344">
        <v>2</v>
      </c>
      <c r="P253" s="345">
        <v>55</v>
      </c>
      <c r="Q253" s="345">
        <v>109.99</v>
      </c>
      <c r="R253" s="182"/>
      <c r="U253" s="128"/>
    </row>
    <row r="254" spans="1:21" ht="15.6" customHeight="1" x14ac:dyDescent="0.3">
      <c r="A254" s="53"/>
      <c r="B254" s="54"/>
      <c r="C254" s="54"/>
      <c r="D254" s="54"/>
      <c r="E254" s="55"/>
      <c r="F254" s="75"/>
      <c r="G254" s="76"/>
      <c r="H254" s="76"/>
      <c r="I254" s="48"/>
      <c r="J254" s="70"/>
      <c r="K254" s="70"/>
      <c r="L254" s="342" t="s">
        <v>1138</v>
      </c>
      <c r="M254" s="343" t="s">
        <v>1225</v>
      </c>
      <c r="N254" s="342" t="s">
        <v>34</v>
      </c>
      <c r="O254" s="344">
        <v>2</v>
      </c>
      <c r="P254" s="345">
        <v>99.92</v>
      </c>
      <c r="Q254" s="345">
        <v>199.84</v>
      </c>
      <c r="R254" s="182"/>
      <c r="U254" s="128"/>
    </row>
    <row r="255" spans="1:21" ht="15.6" x14ac:dyDescent="0.3">
      <c r="A255" s="53"/>
      <c r="B255" s="54"/>
      <c r="C255" s="54"/>
      <c r="D255" s="54"/>
      <c r="E255" s="55"/>
      <c r="F255" s="75"/>
      <c r="G255" s="76"/>
      <c r="H255" s="76"/>
      <c r="I255" s="48"/>
      <c r="J255" s="70"/>
      <c r="K255" s="70"/>
      <c r="L255" s="342" t="s">
        <v>1132</v>
      </c>
      <c r="M255" s="343" t="s">
        <v>1218</v>
      </c>
      <c r="N255" s="342" t="s">
        <v>34</v>
      </c>
      <c r="O255" s="344">
        <v>2</v>
      </c>
      <c r="P255" s="346">
        <v>2152.71</v>
      </c>
      <c r="Q255" s="346">
        <v>4305.42</v>
      </c>
      <c r="R255" s="182"/>
      <c r="U255" s="128"/>
    </row>
    <row r="256" spans="1:21" ht="15.6" x14ac:dyDescent="0.3">
      <c r="A256" s="53"/>
      <c r="B256" s="54"/>
      <c r="C256" s="54"/>
      <c r="D256" s="54"/>
      <c r="E256" s="55"/>
      <c r="F256" s="75"/>
      <c r="G256" s="76"/>
      <c r="H256" s="76"/>
      <c r="I256" s="48"/>
      <c r="J256" s="70"/>
      <c r="K256" s="70"/>
      <c r="L256" s="342" t="s">
        <v>764</v>
      </c>
      <c r="M256" s="343" t="s">
        <v>765</v>
      </c>
      <c r="N256" s="342" t="s">
        <v>34</v>
      </c>
      <c r="O256" s="344">
        <v>2</v>
      </c>
      <c r="P256" s="345">
        <v>499.71</v>
      </c>
      <c r="Q256" s="345">
        <v>999.42</v>
      </c>
      <c r="R256" s="182"/>
      <c r="U256" s="128"/>
    </row>
    <row r="257" spans="1:21" ht="15.6" x14ac:dyDescent="0.3">
      <c r="A257" s="53"/>
      <c r="B257" s="54"/>
      <c r="C257" s="54"/>
      <c r="D257" s="54"/>
      <c r="E257" s="55"/>
      <c r="F257" s="75"/>
      <c r="G257" s="76"/>
      <c r="H257" s="76"/>
      <c r="I257" s="48"/>
      <c r="J257" s="70"/>
      <c r="K257" s="70"/>
      <c r="L257" s="342" t="s">
        <v>1140</v>
      </c>
      <c r="M257" s="343" t="s">
        <v>1227</v>
      </c>
      <c r="N257" s="342" t="s">
        <v>34</v>
      </c>
      <c r="O257" s="344">
        <v>2</v>
      </c>
      <c r="P257" s="346">
        <v>1331</v>
      </c>
      <c r="Q257" s="346">
        <v>2662</v>
      </c>
      <c r="R257" s="182"/>
      <c r="U257" s="128"/>
    </row>
    <row r="258" spans="1:21" ht="15.6" x14ac:dyDescent="0.3">
      <c r="A258" s="53"/>
      <c r="B258" s="54"/>
      <c r="C258" s="54"/>
      <c r="D258" s="54"/>
      <c r="E258" s="55"/>
      <c r="F258" s="75"/>
      <c r="G258" s="76"/>
      <c r="H258" s="76"/>
      <c r="I258" s="48"/>
      <c r="J258" s="70"/>
      <c r="K258" s="70"/>
      <c r="L258" s="342" t="s">
        <v>966</v>
      </c>
      <c r="M258" s="343" t="s">
        <v>1053</v>
      </c>
      <c r="N258" s="342" t="s">
        <v>34</v>
      </c>
      <c r="O258" s="344">
        <v>2</v>
      </c>
      <c r="P258" s="345">
        <v>195.75</v>
      </c>
      <c r="Q258" s="345">
        <v>391.5</v>
      </c>
      <c r="R258" s="182"/>
      <c r="U258" s="128"/>
    </row>
    <row r="259" spans="1:21" ht="15.6" x14ac:dyDescent="0.3">
      <c r="A259" s="53"/>
      <c r="B259" s="54"/>
      <c r="C259" s="54"/>
      <c r="D259" s="54"/>
      <c r="E259" s="55"/>
      <c r="F259" s="75"/>
      <c r="G259" s="76"/>
      <c r="H259" s="76"/>
      <c r="I259" s="48"/>
      <c r="J259" s="70"/>
      <c r="K259" s="70"/>
      <c r="L259" s="342" t="s">
        <v>363</v>
      </c>
      <c r="M259" s="343" t="s">
        <v>364</v>
      </c>
      <c r="N259" s="342" t="s">
        <v>34</v>
      </c>
      <c r="O259" s="344">
        <v>2</v>
      </c>
      <c r="P259" s="345">
        <v>108.4</v>
      </c>
      <c r="Q259" s="345">
        <v>216.8</v>
      </c>
      <c r="R259" s="182"/>
      <c r="U259" s="128"/>
    </row>
    <row r="260" spans="1:21" ht="30" x14ac:dyDescent="0.3">
      <c r="A260" s="53"/>
      <c r="B260" s="54"/>
      <c r="C260" s="54"/>
      <c r="D260" s="54"/>
      <c r="E260" s="55"/>
      <c r="F260" s="75"/>
      <c r="G260" s="76"/>
      <c r="H260" s="76"/>
      <c r="I260" s="48"/>
      <c r="J260" s="70"/>
      <c r="K260" s="70"/>
      <c r="L260" s="342" t="s">
        <v>1146</v>
      </c>
      <c r="M260" s="343" t="s">
        <v>1233</v>
      </c>
      <c r="N260" s="342" t="s">
        <v>34</v>
      </c>
      <c r="O260" s="344">
        <v>2</v>
      </c>
      <c r="P260" s="345">
        <v>44.8</v>
      </c>
      <c r="Q260" s="345">
        <v>89.6</v>
      </c>
      <c r="R260" s="182"/>
      <c r="U260" s="128"/>
    </row>
    <row r="261" spans="1:21" ht="15.6" x14ac:dyDescent="0.3">
      <c r="A261" s="53"/>
      <c r="B261" s="54"/>
      <c r="C261" s="54"/>
      <c r="D261" s="54"/>
      <c r="E261" s="55"/>
      <c r="F261" s="75"/>
      <c r="G261" s="76"/>
      <c r="H261" s="76"/>
      <c r="I261" s="48"/>
      <c r="J261" s="70"/>
      <c r="K261" s="70"/>
      <c r="L261" s="342" t="s">
        <v>1417</v>
      </c>
      <c r="M261" s="343" t="s">
        <v>1440</v>
      </c>
      <c r="N261" s="342" t="s">
        <v>34</v>
      </c>
      <c r="O261" s="344">
        <v>2</v>
      </c>
      <c r="P261" s="345">
        <v>14.83</v>
      </c>
      <c r="Q261" s="345">
        <v>29.66</v>
      </c>
      <c r="R261" s="182"/>
      <c r="U261" s="128"/>
    </row>
    <row r="262" spans="1:21" ht="15.6" x14ac:dyDescent="0.3">
      <c r="A262" s="53"/>
      <c r="B262" s="54"/>
      <c r="C262" s="54"/>
      <c r="D262" s="54"/>
      <c r="E262" s="55"/>
      <c r="F262" s="75"/>
      <c r="G262" s="76"/>
      <c r="H262" s="76"/>
      <c r="I262" s="48"/>
      <c r="J262" s="70"/>
      <c r="K262" s="70"/>
      <c r="L262" s="342" t="s">
        <v>866</v>
      </c>
      <c r="M262" s="343" t="s">
        <v>919</v>
      </c>
      <c r="N262" s="342" t="s">
        <v>34</v>
      </c>
      <c r="O262" s="344">
        <v>2</v>
      </c>
      <c r="P262" s="346">
        <v>2690</v>
      </c>
      <c r="Q262" s="346">
        <v>5380</v>
      </c>
      <c r="R262" s="182"/>
      <c r="U262" s="128"/>
    </row>
    <row r="263" spans="1:21" ht="15.6" x14ac:dyDescent="0.3">
      <c r="A263" s="53"/>
      <c r="B263" s="54"/>
      <c r="C263" s="54"/>
      <c r="D263" s="54"/>
      <c r="E263" s="55"/>
      <c r="F263" s="75"/>
      <c r="G263" s="76"/>
      <c r="H263" s="76"/>
      <c r="I263" s="48"/>
      <c r="J263" s="70"/>
      <c r="K263" s="70"/>
      <c r="L263" s="342" t="s">
        <v>1018</v>
      </c>
      <c r="M263" s="343" t="s">
        <v>1075</v>
      </c>
      <c r="N263" s="342" t="s">
        <v>34</v>
      </c>
      <c r="O263" s="344">
        <v>4</v>
      </c>
      <c r="P263" s="346">
        <v>1290.8</v>
      </c>
      <c r="Q263" s="346">
        <v>5163.2</v>
      </c>
      <c r="R263" s="182"/>
      <c r="U263" s="128"/>
    </row>
    <row r="264" spans="1:21" ht="15.6" x14ac:dyDescent="0.3">
      <c r="A264" s="53"/>
      <c r="B264" s="54"/>
      <c r="C264" s="54"/>
      <c r="D264" s="54"/>
      <c r="E264" s="55"/>
      <c r="F264" s="75"/>
      <c r="G264" s="76"/>
      <c r="H264" s="76"/>
      <c r="I264" s="48"/>
      <c r="J264" s="70"/>
      <c r="K264" s="70"/>
      <c r="L264" s="342" t="s">
        <v>403</v>
      </c>
      <c r="M264" s="343" t="s">
        <v>1073</v>
      </c>
      <c r="N264" s="342" t="s">
        <v>34</v>
      </c>
      <c r="O264" s="344">
        <v>2</v>
      </c>
      <c r="P264" s="345">
        <v>36.9</v>
      </c>
      <c r="Q264" s="345">
        <v>73.8</v>
      </c>
      <c r="R264" s="182"/>
      <c r="U264" s="128"/>
    </row>
    <row r="265" spans="1:21" ht="15.6" x14ac:dyDescent="0.3">
      <c r="A265" s="53"/>
      <c r="B265" s="54"/>
      <c r="C265" s="54"/>
      <c r="D265" s="54"/>
      <c r="E265" s="55"/>
      <c r="F265" s="75"/>
      <c r="G265" s="76"/>
      <c r="H265" s="76"/>
      <c r="I265" s="48"/>
      <c r="J265" s="70"/>
      <c r="K265" s="70"/>
      <c r="L265" s="342" t="s">
        <v>1114</v>
      </c>
      <c r="M265" s="343" t="s">
        <v>1200</v>
      </c>
      <c r="N265" s="342" t="s">
        <v>68</v>
      </c>
      <c r="O265" s="344">
        <v>2</v>
      </c>
      <c r="P265" s="345">
        <v>36</v>
      </c>
      <c r="Q265" s="345">
        <v>72</v>
      </c>
      <c r="R265" s="182"/>
      <c r="U265" s="128"/>
    </row>
    <row r="266" spans="1:21" ht="15.6" x14ac:dyDescent="0.3">
      <c r="A266" s="53"/>
      <c r="B266" s="54"/>
      <c r="C266" s="54"/>
      <c r="D266" s="54"/>
      <c r="E266" s="55"/>
      <c r="F266" s="75"/>
      <c r="G266" s="76"/>
      <c r="H266" s="76"/>
      <c r="I266" s="48"/>
      <c r="J266" s="70"/>
      <c r="K266" s="70"/>
      <c r="L266" s="342" t="s">
        <v>455</v>
      </c>
      <c r="M266" s="343" t="s">
        <v>456</v>
      </c>
      <c r="N266" s="342" t="s">
        <v>34</v>
      </c>
      <c r="O266" s="344">
        <v>2</v>
      </c>
      <c r="P266" s="345">
        <v>275.73</v>
      </c>
      <c r="Q266" s="345">
        <v>551.46</v>
      </c>
      <c r="R266" s="182"/>
      <c r="U266" s="128"/>
    </row>
    <row r="267" spans="1:21" ht="15.6" x14ac:dyDescent="0.3">
      <c r="A267" s="53"/>
      <c r="B267" s="54"/>
      <c r="C267" s="54"/>
      <c r="D267" s="54"/>
      <c r="E267" s="55"/>
      <c r="F267" s="75"/>
      <c r="G267" s="76"/>
      <c r="H267" s="76"/>
      <c r="I267" s="48"/>
      <c r="J267" s="70"/>
      <c r="K267" s="70"/>
      <c r="L267" s="342" t="s">
        <v>219</v>
      </c>
      <c r="M267" s="343" t="s">
        <v>220</v>
      </c>
      <c r="N267" s="342" t="s">
        <v>34</v>
      </c>
      <c r="O267" s="344">
        <v>2</v>
      </c>
      <c r="P267" s="345">
        <v>112.79</v>
      </c>
      <c r="Q267" s="345">
        <v>225.57</v>
      </c>
      <c r="R267" s="182"/>
      <c r="U267" s="128"/>
    </row>
    <row r="268" spans="1:21" ht="15.6" x14ac:dyDescent="0.3">
      <c r="A268" s="53"/>
      <c r="B268" s="54"/>
      <c r="C268" s="54"/>
      <c r="D268" s="54"/>
      <c r="E268" s="55"/>
      <c r="F268" s="75"/>
      <c r="G268" s="76"/>
      <c r="H268" s="76"/>
      <c r="I268" s="48"/>
      <c r="J268" s="70"/>
      <c r="K268" s="70"/>
      <c r="L268" s="342" t="s">
        <v>832</v>
      </c>
      <c r="M268" s="343" t="s">
        <v>833</v>
      </c>
      <c r="N268" s="342" t="s">
        <v>34</v>
      </c>
      <c r="O268" s="344">
        <v>2</v>
      </c>
      <c r="P268" s="345">
        <v>57</v>
      </c>
      <c r="Q268" s="345">
        <v>114</v>
      </c>
      <c r="R268" s="182"/>
      <c r="U268" s="128"/>
    </row>
    <row r="269" spans="1:21" ht="15.6" x14ac:dyDescent="0.3">
      <c r="A269" s="53"/>
      <c r="B269" s="54"/>
      <c r="C269" s="54"/>
      <c r="D269" s="54"/>
      <c r="E269" s="55"/>
      <c r="F269" s="75"/>
      <c r="G269" s="76"/>
      <c r="H269" s="76"/>
      <c r="I269" s="48"/>
      <c r="J269" s="70"/>
      <c r="K269" s="70"/>
      <c r="L269" s="342" t="s">
        <v>1169</v>
      </c>
      <c r="M269" s="343" t="s">
        <v>1254</v>
      </c>
      <c r="N269" s="342" t="s">
        <v>34</v>
      </c>
      <c r="O269" s="344">
        <v>2</v>
      </c>
      <c r="P269" s="345">
        <v>110</v>
      </c>
      <c r="Q269" s="345">
        <v>220</v>
      </c>
      <c r="R269" s="182"/>
      <c r="U269" s="128"/>
    </row>
    <row r="270" spans="1:21" ht="15.6" x14ac:dyDescent="0.3">
      <c r="A270" s="53"/>
      <c r="B270" s="54"/>
      <c r="C270" s="54"/>
      <c r="D270" s="54"/>
      <c r="E270" s="55"/>
      <c r="F270" s="75"/>
      <c r="G270" s="76"/>
      <c r="H270" s="76"/>
      <c r="I270" s="48"/>
      <c r="J270" s="70"/>
      <c r="K270" s="70"/>
      <c r="L270" s="342" t="s">
        <v>1104</v>
      </c>
      <c r="M270" s="343" t="s">
        <v>1190</v>
      </c>
      <c r="N270" s="342" t="s">
        <v>37</v>
      </c>
      <c r="O270" s="344">
        <v>2.7</v>
      </c>
      <c r="P270" s="345">
        <v>266.25</v>
      </c>
      <c r="Q270" s="345">
        <v>718.87</v>
      </c>
      <c r="R270" s="182"/>
      <c r="U270" s="128"/>
    </row>
    <row r="271" spans="1:21" ht="15.6" x14ac:dyDescent="0.3">
      <c r="A271" s="53"/>
      <c r="B271" s="54"/>
      <c r="C271" s="54"/>
      <c r="D271" s="54"/>
      <c r="E271" s="55"/>
      <c r="F271" s="75"/>
      <c r="G271" s="76"/>
      <c r="H271" s="76"/>
      <c r="I271" s="48"/>
      <c r="J271" s="70"/>
      <c r="K271" s="70"/>
      <c r="L271" s="342" t="s">
        <v>768</v>
      </c>
      <c r="M271" s="343" t="s">
        <v>769</v>
      </c>
      <c r="N271" s="342" t="s">
        <v>34</v>
      </c>
      <c r="O271" s="344">
        <v>3</v>
      </c>
      <c r="P271" s="345">
        <v>10</v>
      </c>
      <c r="Q271" s="345">
        <v>30</v>
      </c>
      <c r="R271" s="182"/>
      <c r="U271" s="128"/>
    </row>
    <row r="272" spans="1:21" ht="15.6" x14ac:dyDescent="0.3">
      <c r="A272" s="53"/>
      <c r="B272" s="54"/>
      <c r="C272" s="54"/>
      <c r="D272" s="54"/>
      <c r="E272" s="55"/>
      <c r="F272" s="75"/>
      <c r="G272" s="76"/>
      <c r="H272" s="76"/>
      <c r="I272" s="48"/>
      <c r="J272" s="70"/>
      <c r="K272" s="70"/>
      <c r="L272" s="342" t="s">
        <v>905</v>
      </c>
      <c r="M272" s="343" t="s">
        <v>906</v>
      </c>
      <c r="N272" s="342" t="s">
        <v>34</v>
      </c>
      <c r="O272" s="344">
        <v>3</v>
      </c>
      <c r="P272" s="345">
        <v>10</v>
      </c>
      <c r="Q272" s="345">
        <v>30</v>
      </c>
      <c r="R272" s="182"/>
      <c r="U272" s="128"/>
    </row>
    <row r="273" spans="1:21" ht="15.6" x14ac:dyDescent="0.3">
      <c r="A273" s="53"/>
      <c r="B273" s="54"/>
      <c r="C273" s="54"/>
      <c r="D273" s="54"/>
      <c r="E273" s="55"/>
      <c r="F273" s="75"/>
      <c r="G273" s="76"/>
      <c r="H273" s="76"/>
      <c r="I273" s="48"/>
      <c r="J273" s="70"/>
      <c r="K273" s="70"/>
      <c r="L273" s="342" t="s">
        <v>907</v>
      </c>
      <c r="M273" s="343" t="s">
        <v>908</v>
      </c>
      <c r="N273" s="342" t="s">
        <v>34</v>
      </c>
      <c r="O273" s="344">
        <v>3</v>
      </c>
      <c r="P273" s="345">
        <v>10</v>
      </c>
      <c r="Q273" s="345">
        <v>30</v>
      </c>
      <c r="R273" s="182"/>
      <c r="U273" s="128"/>
    </row>
    <row r="274" spans="1:21" ht="15.6" x14ac:dyDescent="0.3">
      <c r="A274" s="53"/>
      <c r="B274" s="54"/>
      <c r="C274" s="54"/>
      <c r="D274" s="54"/>
      <c r="E274" s="55"/>
      <c r="F274" s="75"/>
      <c r="G274" s="76"/>
      <c r="H274" s="76"/>
      <c r="I274" s="48"/>
      <c r="J274" s="70"/>
      <c r="K274" s="70"/>
      <c r="L274" s="342" t="s">
        <v>778</v>
      </c>
      <c r="M274" s="343" t="s">
        <v>779</v>
      </c>
      <c r="N274" s="342" t="s">
        <v>37</v>
      </c>
      <c r="O274" s="344">
        <v>3</v>
      </c>
      <c r="P274" s="345">
        <v>74.900000000000006</v>
      </c>
      <c r="Q274" s="345">
        <v>224.7</v>
      </c>
      <c r="R274" s="182"/>
      <c r="U274" s="128"/>
    </row>
    <row r="275" spans="1:21" ht="15.6" x14ac:dyDescent="0.3">
      <c r="A275" s="53"/>
      <c r="B275" s="54"/>
      <c r="C275" s="54"/>
      <c r="D275" s="54"/>
      <c r="E275" s="55"/>
      <c r="F275" s="75"/>
      <c r="G275" s="76"/>
      <c r="H275" s="76"/>
      <c r="I275" s="48"/>
      <c r="J275" s="70"/>
      <c r="K275" s="70"/>
      <c r="L275" s="342" t="s">
        <v>785</v>
      </c>
      <c r="M275" s="343" t="s">
        <v>786</v>
      </c>
      <c r="N275" s="342" t="s">
        <v>34</v>
      </c>
      <c r="O275" s="344">
        <v>3</v>
      </c>
      <c r="P275" s="345">
        <v>164.75</v>
      </c>
      <c r="Q275" s="345">
        <v>494.25</v>
      </c>
      <c r="R275" s="182"/>
      <c r="U275" s="128"/>
    </row>
    <row r="276" spans="1:21" ht="15.6" x14ac:dyDescent="0.3">
      <c r="A276" s="53"/>
      <c r="B276" s="54"/>
      <c r="C276" s="54"/>
      <c r="D276" s="54"/>
      <c r="E276" s="55"/>
      <c r="F276" s="75"/>
      <c r="G276" s="76"/>
      <c r="H276" s="76"/>
      <c r="I276" s="48"/>
      <c r="J276" s="70"/>
      <c r="K276" s="70"/>
      <c r="L276" s="342" t="s">
        <v>53</v>
      </c>
      <c r="M276" s="343" t="s">
        <v>85</v>
      </c>
      <c r="N276" s="342" t="s">
        <v>34</v>
      </c>
      <c r="O276" s="344">
        <v>3</v>
      </c>
      <c r="P276" s="345">
        <v>47</v>
      </c>
      <c r="Q276" s="345">
        <v>141</v>
      </c>
      <c r="R276" s="182"/>
      <c r="U276" s="128"/>
    </row>
    <row r="277" spans="1:21" ht="15.6" x14ac:dyDescent="0.3">
      <c r="A277" s="53"/>
      <c r="B277" s="54"/>
      <c r="C277" s="54"/>
      <c r="D277" s="54"/>
      <c r="E277" s="55"/>
      <c r="F277" s="75"/>
      <c r="G277" s="76"/>
      <c r="H277" s="76"/>
      <c r="I277" s="48"/>
      <c r="J277" s="70"/>
      <c r="K277" s="70"/>
      <c r="L277" s="342" t="s">
        <v>887</v>
      </c>
      <c r="M277" s="343" t="s">
        <v>888</v>
      </c>
      <c r="N277" s="342" t="s">
        <v>34</v>
      </c>
      <c r="O277" s="344">
        <v>3</v>
      </c>
      <c r="P277" s="345">
        <v>44.6</v>
      </c>
      <c r="Q277" s="345">
        <v>133.80000000000001</v>
      </c>
      <c r="R277" s="182"/>
      <c r="U277" s="128"/>
    </row>
    <row r="278" spans="1:21" ht="15.6" x14ac:dyDescent="0.3">
      <c r="A278" s="53"/>
      <c r="B278" s="54"/>
      <c r="C278" s="54"/>
      <c r="D278" s="54"/>
      <c r="E278" s="55"/>
      <c r="F278" s="75"/>
      <c r="G278" s="76"/>
      <c r="H278" s="76"/>
      <c r="I278" s="48"/>
      <c r="J278" s="70"/>
      <c r="K278" s="70"/>
      <c r="L278" s="342" t="s">
        <v>891</v>
      </c>
      <c r="M278" s="343" t="s">
        <v>892</v>
      </c>
      <c r="N278" s="342" t="s">
        <v>34</v>
      </c>
      <c r="O278" s="344">
        <v>3</v>
      </c>
      <c r="P278" s="345">
        <v>783</v>
      </c>
      <c r="Q278" s="346">
        <v>2349</v>
      </c>
      <c r="R278" s="182"/>
      <c r="U278" s="128"/>
    </row>
    <row r="279" spans="1:21" ht="15.6" x14ac:dyDescent="0.3">
      <c r="A279" s="53"/>
      <c r="B279" s="54"/>
      <c r="C279" s="54"/>
      <c r="D279" s="54"/>
      <c r="E279" s="55"/>
      <c r="F279" s="75"/>
      <c r="G279" s="76"/>
      <c r="H279" s="76"/>
      <c r="I279" s="48"/>
      <c r="J279" s="70"/>
      <c r="K279" s="70"/>
      <c r="L279" s="342" t="s">
        <v>391</v>
      </c>
      <c r="M279" s="343" t="s">
        <v>392</v>
      </c>
      <c r="N279" s="342" t="s">
        <v>68</v>
      </c>
      <c r="O279" s="344">
        <v>3</v>
      </c>
      <c r="P279" s="346">
        <v>4810.59</v>
      </c>
      <c r="Q279" s="346">
        <v>14431.77</v>
      </c>
      <c r="R279" s="182"/>
      <c r="U279" s="128"/>
    </row>
    <row r="280" spans="1:21" ht="15.6" x14ac:dyDescent="0.3">
      <c r="A280" s="53"/>
      <c r="B280" s="54"/>
      <c r="C280" s="54"/>
      <c r="D280" s="54"/>
      <c r="E280" s="55"/>
      <c r="F280" s="75"/>
      <c r="G280" s="76"/>
      <c r="H280" s="76"/>
      <c r="I280" s="48"/>
      <c r="J280" s="70"/>
      <c r="K280" s="70"/>
      <c r="L280" s="342" t="s">
        <v>1155</v>
      </c>
      <c r="M280" s="343" t="s">
        <v>1242</v>
      </c>
      <c r="N280" s="342" t="s">
        <v>34</v>
      </c>
      <c r="O280" s="344">
        <v>3</v>
      </c>
      <c r="P280" s="345">
        <v>21.5</v>
      </c>
      <c r="Q280" s="345">
        <v>64.5</v>
      </c>
      <c r="R280" s="182"/>
      <c r="U280" s="128"/>
    </row>
    <row r="281" spans="1:21" ht="15.6" x14ac:dyDescent="0.3">
      <c r="A281" s="53"/>
      <c r="B281" s="54"/>
      <c r="C281" s="54"/>
      <c r="D281" s="54"/>
      <c r="E281" s="55"/>
      <c r="F281" s="75"/>
      <c r="G281" s="76"/>
      <c r="H281" s="76"/>
      <c r="I281" s="48"/>
      <c r="J281" s="70"/>
      <c r="K281" s="70"/>
      <c r="L281" s="342" t="s">
        <v>1108</v>
      </c>
      <c r="M281" s="343" t="s">
        <v>1194</v>
      </c>
      <c r="N281" s="342" t="s">
        <v>903</v>
      </c>
      <c r="O281" s="344">
        <v>3</v>
      </c>
      <c r="P281" s="346">
        <v>1283.5</v>
      </c>
      <c r="Q281" s="346">
        <v>3850.5</v>
      </c>
      <c r="R281" s="182"/>
      <c r="U281" s="128"/>
    </row>
    <row r="282" spans="1:21" ht="15.6" x14ac:dyDescent="0.3">
      <c r="A282" s="53"/>
      <c r="B282" s="54"/>
      <c r="C282" s="54"/>
      <c r="D282" s="54"/>
      <c r="E282" s="55"/>
      <c r="F282" s="75"/>
      <c r="G282" s="76"/>
      <c r="H282" s="76"/>
      <c r="I282" s="48"/>
      <c r="J282" s="70"/>
      <c r="K282" s="70"/>
      <c r="L282" s="342" t="s">
        <v>440</v>
      </c>
      <c r="M282" s="343" t="s">
        <v>441</v>
      </c>
      <c r="N282" s="342" t="s">
        <v>442</v>
      </c>
      <c r="O282" s="344">
        <v>3</v>
      </c>
      <c r="P282" s="345">
        <v>75.22</v>
      </c>
      <c r="Q282" s="345">
        <v>225.65</v>
      </c>
      <c r="R282" s="182"/>
      <c r="U282" s="128"/>
    </row>
    <row r="283" spans="1:21" ht="15.6" x14ac:dyDescent="0.3">
      <c r="A283" s="53"/>
      <c r="B283" s="54"/>
      <c r="C283" s="54"/>
      <c r="D283" s="54"/>
      <c r="E283" s="55"/>
      <c r="F283" s="75"/>
      <c r="G283" s="76"/>
      <c r="H283" s="76"/>
      <c r="I283" s="48"/>
      <c r="J283" s="70"/>
      <c r="K283" s="70"/>
      <c r="L283" s="342" t="s">
        <v>886</v>
      </c>
      <c r="M283" s="343" t="s">
        <v>1072</v>
      </c>
      <c r="N283" s="342" t="s">
        <v>34</v>
      </c>
      <c r="O283" s="344">
        <v>3</v>
      </c>
      <c r="P283" s="345">
        <v>350.19</v>
      </c>
      <c r="Q283" s="346">
        <v>1050.56</v>
      </c>
      <c r="R283" s="182"/>
      <c r="U283" s="128"/>
    </row>
    <row r="284" spans="1:21" ht="15.6" x14ac:dyDescent="0.3">
      <c r="A284" s="53"/>
      <c r="B284" s="54"/>
      <c r="C284" s="54"/>
      <c r="D284" s="54"/>
      <c r="E284" s="55"/>
      <c r="F284" s="75"/>
      <c r="G284" s="76"/>
      <c r="H284" s="76"/>
      <c r="I284" s="48"/>
      <c r="J284" s="70"/>
      <c r="K284" s="70"/>
      <c r="L284" s="342" t="s">
        <v>1105</v>
      </c>
      <c r="M284" s="343" t="s">
        <v>1191</v>
      </c>
      <c r="N284" s="342" t="s">
        <v>37</v>
      </c>
      <c r="O284" s="344">
        <v>3</v>
      </c>
      <c r="P284" s="345">
        <v>9.58</v>
      </c>
      <c r="Q284" s="345">
        <v>28.74</v>
      </c>
      <c r="R284" s="182"/>
      <c r="U284" s="128"/>
    </row>
    <row r="285" spans="1:21" ht="15.6" x14ac:dyDescent="0.3">
      <c r="A285" s="53"/>
      <c r="B285" s="54"/>
      <c r="C285" s="54"/>
      <c r="D285" s="54"/>
      <c r="E285" s="55"/>
      <c r="F285" s="75"/>
      <c r="G285" s="76"/>
      <c r="H285" s="76"/>
      <c r="I285" s="48"/>
      <c r="J285" s="70"/>
      <c r="K285" s="70"/>
      <c r="L285" s="342" t="s">
        <v>948</v>
      </c>
      <c r="M285" s="343" t="s">
        <v>1044</v>
      </c>
      <c r="N285" s="342" t="s">
        <v>34</v>
      </c>
      <c r="O285" s="344">
        <v>3</v>
      </c>
      <c r="P285" s="345">
        <v>44</v>
      </c>
      <c r="Q285" s="345">
        <v>132</v>
      </c>
      <c r="R285" s="182"/>
      <c r="U285" s="128"/>
    </row>
    <row r="286" spans="1:21" ht="15.6" x14ac:dyDescent="0.3">
      <c r="A286" s="53"/>
      <c r="B286" s="54"/>
      <c r="C286" s="54"/>
      <c r="D286" s="54"/>
      <c r="E286" s="55"/>
      <c r="F286" s="75"/>
      <c r="G286" s="76"/>
      <c r="H286" s="76"/>
      <c r="I286" s="48"/>
      <c r="J286" s="70"/>
      <c r="K286" s="70"/>
      <c r="L286" s="342" t="s">
        <v>271</v>
      </c>
      <c r="M286" s="343" t="s">
        <v>1059</v>
      </c>
      <c r="N286" s="342" t="s">
        <v>34</v>
      </c>
      <c r="O286" s="344">
        <v>4</v>
      </c>
      <c r="P286" s="345">
        <v>52.88</v>
      </c>
      <c r="Q286" s="345">
        <v>211.53</v>
      </c>
      <c r="R286" s="182"/>
      <c r="U286" s="128"/>
    </row>
    <row r="287" spans="1:21" ht="15.6" x14ac:dyDescent="0.3">
      <c r="A287" s="53"/>
      <c r="B287" s="54"/>
      <c r="C287" s="54"/>
      <c r="D287" s="54"/>
      <c r="E287" s="55"/>
      <c r="F287" s="75"/>
      <c r="G287" s="76"/>
      <c r="H287" s="76"/>
      <c r="I287" s="48"/>
      <c r="J287" s="70"/>
      <c r="K287" s="70"/>
      <c r="L287" s="342" t="s">
        <v>1162</v>
      </c>
      <c r="M287" s="343" t="s">
        <v>1247</v>
      </c>
      <c r="N287" s="342" t="s">
        <v>34</v>
      </c>
      <c r="O287" s="344">
        <v>4</v>
      </c>
      <c r="P287" s="345">
        <v>466.46</v>
      </c>
      <c r="Q287" s="346">
        <v>1865.84</v>
      </c>
      <c r="R287" s="182"/>
      <c r="U287" s="128"/>
    </row>
    <row r="288" spans="1:21" ht="15.6" x14ac:dyDescent="0.3">
      <c r="A288" s="53"/>
      <c r="B288" s="54"/>
      <c r="C288" s="54"/>
      <c r="D288" s="54"/>
      <c r="E288" s="55"/>
      <c r="F288" s="75"/>
      <c r="G288" s="76"/>
      <c r="H288" s="76"/>
      <c r="I288" s="48"/>
      <c r="J288" s="70"/>
      <c r="K288" s="70"/>
      <c r="L288" s="342" t="s">
        <v>188</v>
      </c>
      <c r="M288" s="343" t="s">
        <v>189</v>
      </c>
      <c r="N288" s="342" t="s">
        <v>34</v>
      </c>
      <c r="O288" s="344">
        <v>4</v>
      </c>
      <c r="P288" s="345">
        <v>55.1</v>
      </c>
      <c r="Q288" s="345">
        <v>220.4</v>
      </c>
      <c r="R288" s="182"/>
      <c r="U288" s="128"/>
    </row>
    <row r="289" spans="1:21" ht="15.6" x14ac:dyDescent="0.3">
      <c r="A289" s="53"/>
      <c r="B289" s="54"/>
      <c r="C289" s="54"/>
      <c r="D289" s="54"/>
      <c r="E289" s="55"/>
      <c r="F289" s="75"/>
      <c r="G289" s="76"/>
      <c r="H289" s="76"/>
      <c r="I289" s="48"/>
      <c r="J289" s="70"/>
      <c r="K289" s="70"/>
      <c r="L289" s="342" t="s">
        <v>946</v>
      </c>
      <c r="M289" s="343" t="s">
        <v>1042</v>
      </c>
      <c r="N289" s="342" t="s">
        <v>34</v>
      </c>
      <c r="O289" s="344">
        <v>4</v>
      </c>
      <c r="P289" s="345">
        <v>132.4</v>
      </c>
      <c r="Q289" s="345">
        <v>529.6</v>
      </c>
      <c r="R289" s="182"/>
      <c r="U289" s="128"/>
    </row>
    <row r="290" spans="1:21" ht="15.6" x14ac:dyDescent="0.3">
      <c r="A290" s="53"/>
      <c r="B290" s="54"/>
      <c r="C290" s="54"/>
      <c r="D290" s="54"/>
      <c r="E290" s="55"/>
      <c r="F290" s="75"/>
      <c r="G290" s="76"/>
      <c r="H290" s="76"/>
      <c r="I290" s="48"/>
      <c r="J290" s="70"/>
      <c r="K290" s="70"/>
      <c r="L290" s="342" t="s">
        <v>432</v>
      </c>
      <c r="M290" s="343" t="s">
        <v>433</v>
      </c>
      <c r="N290" s="342" t="s">
        <v>34</v>
      </c>
      <c r="O290" s="344">
        <v>4</v>
      </c>
      <c r="P290" s="345">
        <v>27.6</v>
      </c>
      <c r="Q290" s="345">
        <v>110.4</v>
      </c>
      <c r="R290" s="182"/>
      <c r="U290" s="128"/>
    </row>
    <row r="291" spans="1:21" ht="15.6" x14ac:dyDescent="0.3">
      <c r="A291" s="53"/>
      <c r="B291" s="54"/>
      <c r="C291" s="54"/>
      <c r="D291" s="54"/>
      <c r="E291" s="55"/>
      <c r="F291" s="75"/>
      <c r="G291" s="76"/>
      <c r="H291" s="76"/>
      <c r="I291" s="48"/>
      <c r="J291" s="70"/>
      <c r="K291" s="70"/>
      <c r="L291" s="342" t="s">
        <v>437</v>
      </c>
      <c r="M291" s="343" t="s">
        <v>438</v>
      </c>
      <c r="N291" s="342" t="s">
        <v>34</v>
      </c>
      <c r="O291" s="344">
        <v>4</v>
      </c>
      <c r="P291" s="345">
        <v>166.32</v>
      </c>
      <c r="Q291" s="345">
        <v>665.28</v>
      </c>
      <c r="R291" s="182"/>
      <c r="U291" s="128"/>
    </row>
    <row r="292" spans="1:21" ht="15.6" x14ac:dyDescent="0.3">
      <c r="A292" s="53"/>
      <c r="B292" s="54"/>
      <c r="C292" s="54"/>
      <c r="D292" s="54"/>
      <c r="E292" s="55"/>
      <c r="F292" s="75"/>
      <c r="G292" s="76"/>
      <c r="H292" s="76"/>
      <c r="I292" s="48"/>
      <c r="J292" s="70"/>
      <c r="K292" s="70"/>
      <c r="L292" s="342" t="s">
        <v>864</v>
      </c>
      <c r="M292" s="343" t="s">
        <v>929</v>
      </c>
      <c r="N292" s="342" t="s">
        <v>34</v>
      </c>
      <c r="O292" s="344">
        <v>4</v>
      </c>
      <c r="P292" s="346">
        <v>2430</v>
      </c>
      <c r="Q292" s="346">
        <v>9720</v>
      </c>
      <c r="R292" s="182"/>
      <c r="U292" s="128"/>
    </row>
    <row r="293" spans="1:21" ht="15.6" x14ac:dyDescent="0.3">
      <c r="A293" s="53"/>
      <c r="B293" s="54"/>
      <c r="C293" s="54"/>
      <c r="D293" s="54"/>
      <c r="E293" s="55"/>
      <c r="F293" s="75"/>
      <c r="G293" s="76"/>
      <c r="H293" s="76"/>
      <c r="I293" s="48"/>
      <c r="J293" s="70"/>
      <c r="K293" s="70"/>
      <c r="L293" s="342" t="s">
        <v>1117</v>
      </c>
      <c r="M293" s="343" t="s">
        <v>1203</v>
      </c>
      <c r="N293" s="342" t="s">
        <v>68</v>
      </c>
      <c r="O293" s="344">
        <v>4.72</v>
      </c>
      <c r="P293" s="345">
        <v>188.33</v>
      </c>
      <c r="Q293" s="345">
        <v>888.92</v>
      </c>
      <c r="R293" s="182"/>
      <c r="U293" s="128"/>
    </row>
    <row r="294" spans="1:21" ht="15.6" x14ac:dyDescent="0.3">
      <c r="A294" s="53"/>
      <c r="B294" s="54"/>
      <c r="C294" s="54"/>
      <c r="D294" s="54"/>
      <c r="E294" s="55"/>
      <c r="F294" s="75"/>
      <c r="G294" s="76"/>
      <c r="H294" s="76"/>
      <c r="I294" s="48"/>
      <c r="J294" s="70"/>
      <c r="K294" s="70"/>
      <c r="L294" s="342" t="s">
        <v>1185</v>
      </c>
      <c r="M294" s="343" t="s">
        <v>1268</v>
      </c>
      <c r="N294" s="342" t="s">
        <v>45</v>
      </c>
      <c r="O294" s="344">
        <v>5</v>
      </c>
      <c r="P294" s="345">
        <v>226</v>
      </c>
      <c r="Q294" s="346">
        <v>1130</v>
      </c>
      <c r="R294" s="182"/>
      <c r="U294" s="128"/>
    </row>
    <row r="295" spans="1:21" ht="15.6" x14ac:dyDescent="0.3">
      <c r="A295" s="53"/>
      <c r="B295" s="54"/>
      <c r="C295" s="54"/>
      <c r="D295" s="54"/>
      <c r="E295" s="55"/>
      <c r="F295" s="75"/>
      <c r="G295" s="76"/>
      <c r="H295" s="76"/>
      <c r="I295" s="48"/>
      <c r="J295" s="70"/>
      <c r="K295" s="70"/>
      <c r="L295" s="342" t="s">
        <v>298</v>
      </c>
      <c r="M295" s="343" t="s">
        <v>299</v>
      </c>
      <c r="N295" s="342" t="s">
        <v>34</v>
      </c>
      <c r="O295" s="344">
        <v>5</v>
      </c>
      <c r="P295" s="345">
        <v>220.31</v>
      </c>
      <c r="Q295" s="346">
        <v>1101.56</v>
      </c>
      <c r="R295" s="182"/>
      <c r="U295" s="128"/>
    </row>
    <row r="296" spans="1:21" ht="15.6" x14ac:dyDescent="0.3">
      <c r="A296" s="53"/>
      <c r="B296" s="54"/>
      <c r="C296" s="54"/>
      <c r="D296" s="54"/>
      <c r="E296" s="55"/>
      <c r="F296" s="75"/>
      <c r="G296" s="76"/>
      <c r="H296" s="76"/>
      <c r="I296" s="48"/>
      <c r="J296" s="70"/>
      <c r="K296" s="70"/>
      <c r="L296" s="342" t="s">
        <v>354</v>
      </c>
      <c r="M296" s="343" t="s">
        <v>355</v>
      </c>
      <c r="N296" s="342" t="s">
        <v>34</v>
      </c>
      <c r="O296" s="344">
        <v>5</v>
      </c>
      <c r="P296" s="345">
        <v>10.55</v>
      </c>
      <c r="Q296" s="345">
        <v>52.74</v>
      </c>
      <c r="R296" s="182"/>
      <c r="U296" s="128"/>
    </row>
    <row r="297" spans="1:21" ht="15.6" customHeight="1" x14ac:dyDescent="0.3">
      <c r="A297" s="53"/>
      <c r="B297" s="54"/>
      <c r="C297" s="54"/>
      <c r="D297" s="54"/>
      <c r="E297" s="55"/>
      <c r="F297" s="75"/>
      <c r="G297" s="76"/>
      <c r="H297" s="76"/>
      <c r="I297" s="48"/>
      <c r="J297" s="70"/>
      <c r="K297" s="70"/>
      <c r="L297" s="342" t="s">
        <v>373</v>
      </c>
      <c r="M297" s="343" t="s">
        <v>374</v>
      </c>
      <c r="N297" s="342" t="s">
        <v>34</v>
      </c>
      <c r="O297" s="344">
        <v>5</v>
      </c>
      <c r="P297" s="345">
        <v>14.44</v>
      </c>
      <c r="Q297" s="345">
        <v>72.22</v>
      </c>
      <c r="R297" s="182"/>
      <c r="U297" s="128"/>
    </row>
    <row r="298" spans="1:21" ht="15.6" x14ac:dyDescent="0.3">
      <c r="A298" s="53"/>
      <c r="B298" s="54"/>
      <c r="C298" s="54"/>
      <c r="D298" s="54"/>
      <c r="E298" s="55"/>
      <c r="F298" s="75"/>
      <c r="G298" s="76"/>
      <c r="H298" s="76"/>
      <c r="I298" s="48"/>
      <c r="J298" s="70"/>
      <c r="K298" s="70"/>
      <c r="L298" s="342" t="s">
        <v>791</v>
      </c>
      <c r="M298" s="343" t="s">
        <v>792</v>
      </c>
      <c r="N298" s="342" t="s">
        <v>34</v>
      </c>
      <c r="O298" s="344">
        <v>5</v>
      </c>
      <c r="P298" s="345">
        <v>12</v>
      </c>
      <c r="Q298" s="345">
        <v>60</v>
      </c>
      <c r="R298" s="182"/>
      <c r="U298" s="128"/>
    </row>
    <row r="299" spans="1:21" ht="15.6" x14ac:dyDescent="0.3">
      <c r="A299" s="53"/>
      <c r="B299" s="54"/>
      <c r="C299" s="54"/>
      <c r="D299" s="54"/>
      <c r="E299" s="55"/>
      <c r="F299" s="75"/>
      <c r="G299" s="76"/>
      <c r="H299" s="76"/>
      <c r="I299" s="48"/>
      <c r="J299" s="70"/>
      <c r="K299" s="70"/>
      <c r="L299" s="342" t="s">
        <v>823</v>
      </c>
      <c r="M299" s="343" t="s">
        <v>824</v>
      </c>
      <c r="N299" s="342" t="s">
        <v>34</v>
      </c>
      <c r="O299" s="344">
        <v>5</v>
      </c>
      <c r="P299" s="345">
        <v>251.57</v>
      </c>
      <c r="Q299" s="346">
        <v>1257.8499999999999</v>
      </c>
      <c r="R299" s="182"/>
      <c r="U299" s="128"/>
    </row>
    <row r="300" spans="1:21" ht="15.6" x14ac:dyDescent="0.3">
      <c r="A300" s="53"/>
      <c r="B300" s="54"/>
      <c r="C300" s="54"/>
      <c r="D300" s="54"/>
      <c r="E300" s="55"/>
      <c r="F300" s="75"/>
      <c r="G300" s="76"/>
      <c r="H300" s="76"/>
      <c r="I300" s="48"/>
      <c r="J300" s="70"/>
      <c r="K300" s="70"/>
      <c r="L300" s="342" t="s">
        <v>947</v>
      </c>
      <c r="M300" s="343" t="s">
        <v>1043</v>
      </c>
      <c r="N300" s="342" t="s">
        <v>34</v>
      </c>
      <c r="O300" s="344">
        <v>5</v>
      </c>
      <c r="P300" s="345">
        <v>506.11</v>
      </c>
      <c r="Q300" s="346">
        <v>2530.5500000000002</v>
      </c>
      <c r="R300" s="182"/>
      <c r="U300" s="128"/>
    </row>
    <row r="301" spans="1:21" ht="15.6" x14ac:dyDescent="0.3">
      <c r="A301" s="53"/>
      <c r="B301" s="54"/>
      <c r="C301" s="54"/>
      <c r="D301" s="54"/>
      <c r="E301" s="55"/>
      <c r="F301" s="75"/>
      <c r="G301" s="76"/>
      <c r="H301" s="76"/>
      <c r="I301" s="48"/>
      <c r="J301" s="70"/>
      <c r="K301" s="70"/>
      <c r="L301" s="342" t="s">
        <v>771</v>
      </c>
      <c r="M301" s="343" t="s">
        <v>772</v>
      </c>
      <c r="N301" s="342" t="s">
        <v>34</v>
      </c>
      <c r="O301" s="344">
        <v>6</v>
      </c>
      <c r="P301" s="345">
        <v>204.92</v>
      </c>
      <c r="Q301" s="346">
        <v>1229.53</v>
      </c>
      <c r="R301" s="182"/>
      <c r="U301" s="128"/>
    </row>
    <row r="302" spans="1:21" ht="15.6" x14ac:dyDescent="0.3">
      <c r="A302" s="53"/>
      <c r="B302" s="54"/>
      <c r="C302" s="54"/>
      <c r="D302" s="54"/>
      <c r="E302" s="55"/>
      <c r="F302" s="75"/>
      <c r="G302" s="76"/>
      <c r="H302" s="76"/>
      <c r="I302" s="48"/>
      <c r="J302" s="70"/>
      <c r="K302" s="70"/>
      <c r="L302" s="342" t="s">
        <v>49</v>
      </c>
      <c r="M302" s="343" t="s">
        <v>74</v>
      </c>
      <c r="N302" s="342" t="s">
        <v>34</v>
      </c>
      <c r="O302" s="344">
        <v>6.7</v>
      </c>
      <c r="P302" s="345">
        <v>138.91</v>
      </c>
      <c r="Q302" s="345">
        <v>930.7</v>
      </c>
      <c r="R302" s="182"/>
      <c r="U302" s="128"/>
    </row>
    <row r="303" spans="1:21" ht="15.6" x14ac:dyDescent="0.3">
      <c r="A303" s="53"/>
      <c r="B303" s="54"/>
      <c r="C303" s="54"/>
      <c r="D303" s="54"/>
      <c r="E303" s="55"/>
      <c r="F303" s="75"/>
      <c r="G303" s="76"/>
      <c r="H303" s="76"/>
      <c r="I303" s="48"/>
      <c r="J303" s="70"/>
      <c r="K303" s="70"/>
      <c r="L303" s="342" t="s">
        <v>304</v>
      </c>
      <c r="M303" s="343" t="s">
        <v>305</v>
      </c>
      <c r="N303" s="342" t="s">
        <v>34</v>
      </c>
      <c r="O303" s="344">
        <v>7</v>
      </c>
      <c r="P303" s="345">
        <v>63.7</v>
      </c>
      <c r="Q303" s="345">
        <v>445.9</v>
      </c>
      <c r="R303" s="182"/>
      <c r="U303" s="128"/>
    </row>
    <row r="304" spans="1:21" ht="15.6" x14ac:dyDescent="0.3">
      <c r="A304" s="53"/>
      <c r="B304" s="54"/>
      <c r="C304" s="54"/>
      <c r="D304" s="54"/>
      <c r="E304" s="55"/>
      <c r="F304" s="75"/>
      <c r="G304" s="76"/>
      <c r="H304" s="76"/>
      <c r="I304" s="48"/>
      <c r="J304" s="70"/>
      <c r="K304" s="70"/>
      <c r="L304" s="342" t="s">
        <v>352</v>
      </c>
      <c r="M304" s="343" t="s">
        <v>353</v>
      </c>
      <c r="N304" s="342" t="s">
        <v>34</v>
      </c>
      <c r="O304" s="344">
        <v>7</v>
      </c>
      <c r="P304" s="345">
        <v>7.5</v>
      </c>
      <c r="Q304" s="345">
        <v>52.48</v>
      </c>
      <c r="R304" s="182"/>
      <c r="U304" s="128"/>
    </row>
    <row r="305" spans="1:21" ht="15.6" x14ac:dyDescent="0.3">
      <c r="A305" s="53"/>
      <c r="B305" s="54"/>
      <c r="C305" s="54"/>
      <c r="D305" s="54"/>
      <c r="E305" s="55"/>
      <c r="F305" s="75"/>
      <c r="G305" s="76"/>
      <c r="H305" s="76"/>
      <c r="I305" s="48"/>
      <c r="J305" s="70"/>
      <c r="K305" s="70"/>
      <c r="L305" s="342" t="s">
        <v>58</v>
      </c>
      <c r="M305" s="343" t="s">
        <v>67</v>
      </c>
      <c r="N305" s="342" t="s">
        <v>34</v>
      </c>
      <c r="O305" s="344">
        <v>9</v>
      </c>
      <c r="P305" s="345">
        <v>53.8</v>
      </c>
      <c r="Q305" s="345">
        <v>484.17</v>
      </c>
      <c r="R305" s="182"/>
      <c r="U305" s="128"/>
    </row>
    <row r="306" spans="1:21" ht="15.6" x14ac:dyDescent="0.3">
      <c r="A306" s="53"/>
      <c r="B306" s="54"/>
      <c r="C306" s="54"/>
      <c r="D306" s="54"/>
      <c r="E306" s="55"/>
      <c r="F306" s="75"/>
      <c r="G306" s="76"/>
      <c r="H306" s="76"/>
      <c r="I306" s="48"/>
      <c r="J306" s="70"/>
      <c r="K306" s="70"/>
      <c r="L306" s="342" t="s">
        <v>850</v>
      </c>
      <c r="M306" s="343" t="s">
        <v>851</v>
      </c>
      <c r="N306" s="342" t="s">
        <v>34</v>
      </c>
      <c r="O306" s="344">
        <v>10</v>
      </c>
      <c r="P306" s="345">
        <v>3.62</v>
      </c>
      <c r="Q306" s="345">
        <v>36.200000000000003</v>
      </c>
      <c r="R306" s="182"/>
      <c r="U306" s="128"/>
    </row>
    <row r="307" spans="1:21" ht="15.6" customHeight="1" x14ac:dyDescent="0.3">
      <c r="A307" s="53"/>
      <c r="B307" s="54"/>
      <c r="C307" s="54"/>
      <c r="D307" s="54"/>
      <c r="E307" s="55"/>
      <c r="F307" s="75"/>
      <c r="G307" s="76"/>
      <c r="H307" s="76"/>
      <c r="I307" s="48"/>
      <c r="J307" s="70"/>
      <c r="K307" s="70"/>
      <c r="L307" s="342" t="s">
        <v>1186</v>
      </c>
      <c r="M307" s="343" t="s">
        <v>1269</v>
      </c>
      <c r="N307" s="342" t="s">
        <v>45</v>
      </c>
      <c r="O307" s="344">
        <v>11</v>
      </c>
      <c r="P307" s="345">
        <v>486.48</v>
      </c>
      <c r="Q307" s="346">
        <v>5351.28</v>
      </c>
      <c r="R307" s="182"/>
      <c r="U307" s="128"/>
    </row>
    <row r="308" spans="1:21" ht="15.6" x14ac:dyDescent="0.3">
      <c r="A308" s="53"/>
      <c r="B308" s="54"/>
      <c r="C308" s="54"/>
      <c r="D308" s="54"/>
      <c r="E308" s="55"/>
      <c r="F308" s="75"/>
      <c r="G308" s="76"/>
      <c r="H308" s="76"/>
      <c r="I308" s="48"/>
      <c r="J308" s="70"/>
      <c r="K308" s="70"/>
      <c r="L308" s="342" t="s">
        <v>1170</v>
      </c>
      <c r="M308" s="343" t="s">
        <v>1255</v>
      </c>
      <c r="N308" s="342" t="s">
        <v>34</v>
      </c>
      <c r="O308" s="344">
        <v>11</v>
      </c>
      <c r="P308" s="345">
        <v>1.74</v>
      </c>
      <c r="Q308" s="345">
        <v>19.14</v>
      </c>
      <c r="R308" s="182"/>
      <c r="U308" s="128"/>
    </row>
    <row r="309" spans="1:21" ht="15.6" x14ac:dyDescent="0.3">
      <c r="A309" s="53"/>
      <c r="B309" s="54"/>
      <c r="C309" s="54"/>
      <c r="D309" s="54"/>
      <c r="E309" s="55"/>
      <c r="F309" s="75"/>
      <c r="G309" s="76"/>
      <c r="H309" s="76"/>
      <c r="I309" s="48"/>
      <c r="J309" s="70"/>
      <c r="K309" s="70"/>
      <c r="L309" s="342" t="s">
        <v>411</v>
      </c>
      <c r="M309" s="343" t="s">
        <v>412</v>
      </c>
      <c r="N309" s="342" t="s">
        <v>34</v>
      </c>
      <c r="O309" s="344">
        <v>12.6</v>
      </c>
      <c r="P309" s="345">
        <v>58.83</v>
      </c>
      <c r="Q309" s="345">
        <v>741.22</v>
      </c>
      <c r="R309" s="182"/>
      <c r="U309" s="128"/>
    </row>
    <row r="310" spans="1:21" ht="15.6" x14ac:dyDescent="0.3">
      <c r="A310" s="53"/>
      <c r="B310" s="54"/>
      <c r="C310" s="54"/>
      <c r="D310" s="54"/>
      <c r="E310" s="55"/>
      <c r="F310" s="75"/>
      <c r="G310" s="76"/>
      <c r="H310" s="76"/>
      <c r="I310" s="48"/>
      <c r="J310" s="70"/>
      <c r="K310" s="70"/>
      <c r="L310" s="342" t="s">
        <v>789</v>
      </c>
      <c r="M310" s="343" t="s">
        <v>790</v>
      </c>
      <c r="N310" s="342" t="s">
        <v>34</v>
      </c>
      <c r="O310" s="344">
        <v>16</v>
      </c>
      <c r="P310" s="345">
        <v>10</v>
      </c>
      <c r="Q310" s="345">
        <v>160</v>
      </c>
      <c r="R310" s="182"/>
      <c r="U310" s="128"/>
    </row>
    <row r="311" spans="1:21" ht="15.6" x14ac:dyDescent="0.3">
      <c r="A311" s="53"/>
      <c r="B311" s="54"/>
      <c r="C311" s="54"/>
      <c r="D311" s="54"/>
      <c r="E311" s="55"/>
      <c r="F311" s="75"/>
      <c r="G311" s="76"/>
      <c r="H311" s="76"/>
      <c r="I311" s="48"/>
      <c r="J311" s="70"/>
      <c r="K311" s="70"/>
      <c r="L311" s="342" t="s">
        <v>881</v>
      </c>
      <c r="M311" s="343" t="s">
        <v>1054</v>
      </c>
      <c r="N311" s="342" t="s">
        <v>34</v>
      </c>
      <c r="O311" s="344">
        <v>17</v>
      </c>
      <c r="P311" s="345">
        <v>370.03</v>
      </c>
      <c r="Q311" s="346">
        <v>6290.51</v>
      </c>
      <c r="R311" s="182"/>
      <c r="U311" s="128"/>
    </row>
    <row r="312" spans="1:21" ht="15.6" x14ac:dyDescent="0.3">
      <c r="A312" s="53"/>
      <c r="B312" s="54"/>
      <c r="C312" s="54"/>
      <c r="D312" s="54"/>
      <c r="E312" s="55"/>
      <c r="F312" s="75"/>
      <c r="G312" s="76"/>
      <c r="H312" s="76"/>
      <c r="I312" s="48"/>
      <c r="J312" s="70"/>
      <c r="K312" s="70"/>
      <c r="L312" s="342" t="s">
        <v>746</v>
      </c>
      <c r="M312" s="343" t="s">
        <v>895</v>
      </c>
      <c r="N312" s="342" t="s">
        <v>45</v>
      </c>
      <c r="O312" s="344">
        <v>18</v>
      </c>
      <c r="P312" s="345">
        <v>320</v>
      </c>
      <c r="Q312" s="346">
        <v>5760</v>
      </c>
      <c r="R312" s="182"/>
      <c r="U312" s="128"/>
    </row>
    <row r="313" spans="1:21" ht="15.6" x14ac:dyDescent="0.3">
      <c r="A313" s="53"/>
      <c r="B313" s="54"/>
      <c r="C313" s="54"/>
      <c r="D313" s="54"/>
      <c r="E313" s="55"/>
      <c r="F313" s="75"/>
      <c r="G313" s="76"/>
      <c r="H313" s="76"/>
      <c r="I313" s="48"/>
      <c r="J313" s="70"/>
      <c r="K313" s="70"/>
      <c r="L313" s="342" t="s">
        <v>1118</v>
      </c>
      <c r="M313" s="343" t="s">
        <v>1204</v>
      </c>
      <c r="N313" s="342" t="s">
        <v>68</v>
      </c>
      <c r="O313" s="344">
        <v>18</v>
      </c>
      <c r="P313" s="345">
        <v>27</v>
      </c>
      <c r="Q313" s="345">
        <v>486</v>
      </c>
      <c r="R313" s="182"/>
      <c r="U313" s="128"/>
    </row>
    <row r="314" spans="1:21" ht="15.6" x14ac:dyDescent="0.3">
      <c r="A314" s="53"/>
      <c r="B314" s="54"/>
      <c r="C314" s="54"/>
      <c r="D314" s="54"/>
      <c r="E314" s="55"/>
      <c r="F314" s="75"/>
      <c r="G314" s="76"/>
      <c r="H314" s="76"/>
      <c r="I314" s="48"/>
      <c r="J314" s="70"/>
      <c r="K314" s="70"/>
      <c r="L314" s="342" t="s">
        <v>761</v>
      </c>
      <c r="M314" s="343" t="s">
        <v>762</v>
      </c>
      <c r="N314" s="342" t="s">
        <v>34</v>
      </c>
      <c r="O314" s="344">
        <v>19</v>
      </c>
      <c r="P314" s="345">
        <v>77.209999999999994</v>
      </c>
      <c r="Q314" s="346">
        <v>1466.99</v>
      </c>
      <c r="R314" s="182"/>
      <c r="U314" s="128"/>
    </row>
    <row r="315" spans="1:21" ht="15.6" x14ac:dyDescent="0.3">
      <c r="A315" s="53"/>
      <c r="B315" s="54"/>
      <c r="C315" s="54"/>
      <c r="D315" s="54"/>
      <c r="E315" s="55"/>
      <c r="F315" s="75"/>
      <c r="G315" s="76"/>
      <c r="H315" s="76"/>
      <c r="I315" s="48"/>
      <c r="J315" s="70"/>
      <c r="K315" s="70"/>
      <c r="L315" s="342" t="s">
        <v>935</v>
      </c>
      <c r="M315" s="343" t="s">
        <v>1034</v>
      </c>
      <c r="N315" s="342" t="s">
        <v>64</v>
      </c>
      <c r="O315" s="344">
        <v>23</v>
      </c>
      <c r="P315" s="345">
        <v>736.65</v>
      </c>
      <c r="Q315" s="346">
        <v>16942.95</v>
      </c>
      <c r="R315" s="182"/>
      <c r="U315" s="128"/>
    </row>
    <row r="316" spans="1:21" ht="15.6" x14ac:dyDescent="0.3">
      <c r="A316" s="53"/>
      <c r="B316" s="54"/>
      <c r="C316" s="54"/>
      <c r="D316" s="54"/>
      <c r="E316" s="55"/>
      <c r="F316" s="75"/>
      <c r="G316" s="76"/>
      <c r="H316" s="76"/>
      <c r="I316" s="48"/>
      <c r="J316" s="70"/>
      <c r="K316" s="70"/>
      <c r="L316" s="342" t="s">
        <v>1184</v>
      </c>
      <c r="M316" s="343" t="s">
        <v>1267</v>
      </c>
      <c r="N316" s="342" t="s">
        <v>57</v>
      </c>
      <c r="O316" s="344">
        <v>23</v>
      </c>
      <c r="P316" s="345">
        <v>26.35</v>
      </c>
      <c r="Q316" s="345">
        <v>606.04999999999995</v>
      </c>
      <c r="R316" s="182"/>
      <c r="U316" s="128"/>
    </row>
    <row r="317" spans="1:21" ht="15.6" x14ac:dyDescent="0.3">
      <c r="A317" s="53"/>
      <c r="B317" s="54"/>
      <c r="C317" s="54"/>
      <c r="D317" s="54"/>
      <c r="E317" s="55"/>
      <c r="F317" s="75"/>
      <c r="G317" s="76"/>
      <c r="H317" s="76"/>
      <c r="I317" s="48"/>
      <c r="J317" s="70"/>
      <c r="K317" s="70"/>
      <c r="L317" s="342" t="s">
        <v>1103</v>
      </c>
      <c r="M317" s="343" t="s">
        <v>1189</v>
      </c>
      <c r="N317" s="342" t="s">
        <v>37</v>
      </c>
      <c r="O317" s="344">
        <v>27</v>
      </c>
      <c r="P317" s="345">
        <v>28.61</v>
      </c>
      <c r="Q317" s="345">
        <v>772.47</v>
      </c>
      <c r="R317" s="182"/>
      <c r="U317" s="128"/>
    </row>
    <row r="318" spans="1:21" ht="15.6" x14ac:dyDescent="0.3">
      <c r="A318" s="53"/>
      <c r="B318" s="54"/>
      <c r="C318" s="54"/>
      <c r="D318" s="54"/>
      <c r="E318" s="55"/>
      <c r="F318" s="75"/>
      <c r="G318" s="76"/>
      <c r="H318" s="76"/>
      <c r="I318" s="48"/>
      <c r="J318" s="70"/>
      <c r="K318" s="70"/>
      <c r="L318" s="342" t="s">
        <v>350</v>
      </c>
      <c r="M318" s="343" t="s">
        <v>351</v>
      </c>
      <c r="N318" s="342" t="s">
        <v>34</v>
      </c>
      <c r="O318" s="344">
        <v>29</v>
      </c>
      <c r="P318" s="345">
        <v>5.24</v>
      </c>
      <c r="Q318" s="345">
        <v>152.09</v>
      </c>
      <c r="R318" s="182"/>
      <c r="U318" s="128"/>
    </row>
    <row r="319" spans="1:21" ht="15.6" x14ac:dyDescent="0.3">
      <c r="A319" s="53"/>
      <c r="B319" s="54"/>
      <c r="C319" s="54"/>
      <c r="D319" s="54"/>
      <c r="E319" s="55"/>
      <c r="F319" s="75"/>
      <c r="G319" s="76"/>
      <c r="H319" s="76"/>
      <c r="I319" s="48"/>
      <c r="J319" s="70"/>
      <c r="K319" s="70"/>
      <c r="L319" s="342" t="s">
        <v>793</v>
      </c>
      <c r="M319" s="343" t="s">
        <v>1052</v>
      </c>
      <c r="N319" s="342" t="s">
        <v>34</v>
      </c>
      <c r="O319" s="344">
        <v>40</v>
      </c>
      <c r="P319" s="345">
        <v>6.44</v>
      </c>
      <c r="Q319" s="345">
        <v>257.60000000000002</v>
      </c>
      <c r="R319" s="182"/>
      <c r="U319" s="128"/>
    </row>
    <row r="320" spans="1:21" ht="15.6" x14ac:dyDescent="0.3">
      <c r="A320" s="53"/>
      <c r="B320" s="54"/>
      <c r="C320" s="54"/>
      <c r="D320" s="54"/>
      <c r="E320" s="55"/>
      <c r="F320" s="75"/>
      <c r="G320" s="76"/>
      <c r="H320" s="76"/>
      <c r="I320" s="48"/>
      <c r="J320" s="70"/>
      <c r="K320" s="70"/>
      <c r="L320" s="342" t="s">
        <v>945</v>
      </c>
      <c r="M320" s="343" t="s">
        <v>1032</v>
      </c>
      <c r="N320" s="342" t="s">
        <v>68</v>
      </c>
      <c r="O320" s="344">
        <v>41</v>
      </c>
      <c r="P320" s="345">
        <v>302.5</v>
      </c>
      <c r="Q320" s="346">
        <v>12402.5</v>
      </c>
      <c r="R320" s="182"/>
      <c r="U320" s="128"/>
    </row>
    <row r="321" spans="1:21" ht="15.6" x14ac:dyDescent="0.3">
      <c r="A321" s="53"/>
      <c r="B321" s="54"/>
      <c r="C321" s="54"/>
      <c r="D321" s="54"/>
      <c r="E321" s="55"/>
      <c r="F321" s="75"/>
      <c r="G321" s="76"/>
      <c r="H321" s="76"/>
      <c r="I321" s="48"/>
      <c r="J321" s="70"/>
      <c r="K321" s="70"/>
      <c r="L321" s="342" t="s">
        <v>371</v>
      </c>
      <c r="M321" s="343" t="s">
        <v>372</v>
      </c>
      <c r="N321" s="342" t="s">
        <v>34</v>
      </c>
      <c r="O321" s="344">
        <v>41</v>
      </c>
      <c r="P321" s="345">
        <v>14.88</v>
      </c>
      <c r="Q321" s="345">
        <v>610.08000000000004</v>
      </c>
      <c r="R321" s="182"/>
      <c r="U321" s="128"/>
    </row>
    <row r="322" spans="1:21" ht="30" x14ac:dyDescent="0.3">
      <c r="A322" s="53"/>
      <c r="B322" s="54"/>
      <c r="C322" s="54"/>
      <c r="D322" s="54"/>
      <c r="E322" s="55"/>
      <c r="F322" s="75"/>
      <c r="G322" s="76"/>
      <c r="H322" s="76"/>
      <c r="I322" s="48"/>
      <c r="J322" s="70"/>
      <c r="K322" s="70"/>
      <c r="L322" s="342" t="s">
        <v>1174</v>
      </c>
      <c r="M322" s="343" t="s">
        <v>1258</v>
      </c>
      <c r="N322" s="342" t="s">
        <v>34</v>
      </c>
      <c r="O322" s="344">
        <v>45</v>
      </c>
      <c r="P322" s="345">
        <v>0.66</v>
      </c>
      <c r="Q322" s="345">
        <v>29.62</v>
      </c>
      <c r="R322" s="182"/>
      <c r="U322" s="128"/>
    </row>
    <row r="323" spans="1:21" ht="30" x14ac:dyDescent="0.3">
      <c r="A323" s="53"/>
      <c r="B323" s="54"/>
      <c r="C323" s="54"/>
      <c r="D323" s="54"/>
      <c r="E323" s="55"/>
      <c r="F323" s="75"/>
      <c r="G323" s="76"/>
      <c r="H323" s="76"/>
      <c r="I323" s="48"/>
      <c r="J323" s="70"/>
      <c r="K323" s="70"/>
      <c r="L323" s="342" t="s">
        <v>238</v>
      </c>
      <c r="M323" s="343" t="s">
        <v>239</v>
      </c>
      <c r="N323" s="342" t="s">
        <v>57</v>
      </c>
      <c r="O323" s="344">
        <v>50</v>
      </c>
      <c r="P323" s="345">
        <v>7.92</v>
      </c>
      <c r="Q323" s="345">
        <v>396</v>
      </c>
      <c r="R323" s="182"/>
      <c r="U323" s="128"/>
    </row>
    <row r="324" spans="1:21" ht="15.6" x14ac:dyDescent="0.3">
      <c r="A324" s="53"/>
      <c r="B324" s="54"/>
      <c r="C324" s="54"/>
      <c r="D324" s="54"/>
      <c r="E324" s="55"/>
      <c r="F324" s="75"/>
      <c r="G324" s="76"/>
      <c r="H324" s="76"/>
      <c r="I324" s="48"/>
      <c r="J324" s="70"/>
      <c r="K324" s="70"/>
      <c r="L324" s="342" t="s">
        <v>1183</v>
      </c>
      <c r="M324" s="343" t="s">
        <v>1266</v>
      </c>
      <c r="N324" s="342" t="s">
        <v>57</v>
      </c>
      <c r="O324" s="344">
        <v>67</v>
      </c>
      <c r="P324" s="345">
        <v>20.38</v>
      </c>
      <c r="Q324" s="346">
        <v>1365.46</v>
      </c>
      <c r="R324" s="182"/>
      <c r="U324" s="128"/>
    </row>
    <row r="325" spans="1:21" ht="15.6" x14ac:dyDescent="0.3">
      <c r="A325" s="53"/>
      <c r="B325" s="54"/>
      <c r="C325" s="54"/>
      <c r="D325" s="54"/>
      <c r="E325" s="55"/>
      <c r="F325" s="75"/>
      <c r="G325" s="76"/>
      <c r="H325" s="76"/>
      <c r="I325" s="48"/>
      <c r="J325" s="70"/>
      <c r="K325" s="70"/>
      <c r="L325" s="342" t="s">
        <v>747</v>
      </c>
      <c r="M325" s="343" t="s">
        <v>748</v>
      </c>
      <c r="N325" s="342" t="s">
        <v>68</v>
      </c>
      <c r="O325" s="344">
        <v>70</v>
      </c>
      <c r="P325" s="345">
        <v>322.23</v>
      </c>
      <c r="Q325" s="346">
        <v>22556.240000000002</v>
      </c>
      <c r="R325" s="182"/>
      <c r="U325" s="128"/>
    </row>
    <row r="326" spans="1:21" ht="15.6" x14ac:dyDescent="0.3">
      <c r="A326" s="53"/>
      <c r="B326" s="54"/>
      <c r="C326" s="54"/>
      <c r="D326" s="54"/>
      <c r="E326" s="55"/>
      <c r="F326" s="75"/>
      <c r="G326" s="76"/>
      <c r="H326" s="76"/>
      <c r="I326" s="48"/>
      <c r="J326" s="70"/>
      <c r="K326" s="70"/>
      <c r="L326" s="342" t="s">
        <v>822</v>
      </c>
      <c r="M326" s="343" t="s">
        <v>213</v>
      </c>
      <c r="N326" s="342" t="s">
        <v>57</v>
      </c>
      <c r="O326" s="344">
        <v>70</v>
      </c>
      <c r="P326" s="345">
        <v>36.24</v>
      </c>
      <c r="Q326" s="346">
        <v>2536.8000000000002</v>
      </c>
      <c r="R326" s="182"/>
      <c r="U326" s="128"/>
    </row>
    <row r="327" spans="1:21" ht="15.6" x14ac:dyDescent="0.3">
      <c r="A327" s="53"/>
      <c r="B327" s="54"/>
      <c r="C327" s="54"/>
      <c r="D327" s="54"/>
      <c r="E327" s="55"/>
      <c r="F327" s="75"/>
      <c r="G327" s="76"/>
      <c r="H327" s="76"/>
      <c r="I327" s="48"/>
      <c r="J327" s="70"/>
      <c r="K327" s="70"/>
      <c r="L327" s="342" t="s">
        <v>1106</v>
      </c>
      <c r="M327" s="343" t="s">
        <v>1192</v>
      </c>
      <c r="N327" s="342" t="s">
        <v>1272</v>
      </c>
      <c r="O327" s="344">
        <v>93</v>
      </c>
      <c r="P327" s="345">
        <v>0.69</v>
      </c>
      <c r="Q327" s="345">
        <v>64.319999999999993</v>
      </c>
      <c r="R327" s="182"/>
      <c r="U327" s="128"/>
    </row>
    <row r="328" spans="1:21" ht="15.6" x14ac:dyDescent="0.3">
      <c r="A328" s="53"/>
      <c r="B328" s="54"/>
      <c r="C328" s="54"/>
      <c r="D328" s="54"/>
      <c r="E328" s="55"/>
      <c r="F328" s="75"/>
      <c r="G328" s="76"/>
      <c r="H328" s="76"/>
      <c r="I328" s="48"/>
      <c r="J328" s="70"/>
      <c r="K328" s="70"/>
      <c r="L328" s="342" t="s">
        <v>838</v>
      </c>
      <c r="M328" s="343" t="s">
        <v>839</v>
      </c>
      <c r="N328" s="342" t="s">
        <v>34</v>
      </c>
      <c r="O328" s="344">
        <v>109</v>
      </c>
      <c r="P328" s="345">
        <v>2.12</v>
      </c>
      <c r="Q328" s="345">
        <v>231.13</v>
      </c>
      <c r="R328" s="182"/>
      <c r="U328" s="128"/>
    </row>
    <row r="329" spans="1:21" ht="15.6" x14ac:dyDescent="0.3">
      <c r="A329" s="53"/>
      <c r="B329" s="54"/>
      <c r="C329" s="54"/>
      <c r="D329" s="54"/>
      <c r="E329" s="55"/>
      <c r="F329" s="75"/>
      <c r="G329" s="76"/>
      <c r="H329" s="76"/>
      <c r="I329" s="48"/>
      <c r="J329" s="70"/>
      <c r="K329" s="70"/>
      <c r="L329" s="342" t="s">
        <v>1182</v>
      </c>
      <c r="M329" s="343" t="s">
        <v>1265</v>
      </c>
      <c r="N329" s="342" t="s">
        <v>57</v>
      </c>
      <c r="O329" s="344">
        <v>115</v>
      </c>
      <c r="P329" s="345">
        <v>42.53</v>
      </c>
      <c r="Q329" s="346">
        <v>4890.95</v>
      </c>
      <c r="R329" s="182"/>
      <c r="U329" s="128"/>
    </row>
    <row r="330" spans="1:21" ht="15.6" x14ac:dyDescent="0.3">
      <c r="A330" s="53"/>
      <c r="B330" s="54"/>
      <c r="C330" s="54"/>
      <c r="D330" s="54"/>
      <c r="E330" s="55"/>
      <c r="F330" s="75"/>
      <c r="G330" s="76"/>
      <c r="H330" s="76"/>
      <c r="I330" s="48"/>
      <c r="J330" s="70"/>
      <c r="K330" s="70"/>
      <c r="L330" s="342" t="s">
        <v>1150</v>
      </c>
      <c r="M330" s="343" t="s">
        <v>1237</v>
      </c>
      <c r="N330" s="342" t="s">
        <v>34</v>
      </c>
      <c r="O330" s="344">
        <v>116</v>
      </c>
      <c r="P330" s="345">
        <v>27.72</v>
      </c>
      <c r="Q330" s="346">
        <v>3215.52</v>
      </c>
      <c r="R330" s="182"/>
      <c r="U330" s="128"/>
    </row>
    <row r="331" spans="1:21" ht="15.6" x14ac:dyDescent="0.3">
      <c r="A331" s="53"/>
      <c r="B331" s="54"/>
      <c r="C331" s="54"/>
      <c r="D331" s="54"/>
      <c r="E331" s="55"/>
      <c r="F331" s="75"/>
      <c r="G331" s="76"/>
      <c r="H331" s="76"/>
      <c r="I331" s="48"/>
      <c r="J331" s="70"/>
      <c r="K331" s="70"/>
      <c r="L331" s="342" t="s">
        <v>820</v>
      </c>
      <c r="M331" s="343" t="s">
        <v>821</v>
      </c>
      <c r="N331" s="342" t="s">
        <v>57</v>
      </c>
      <c r="O331" s="344">
        <v>130</v>
      </c>
      <c r="P331" s="345">
        <v>17.149999999999999</v>
      </c>
      <c r="Q331" s="346">
        <v>2229.5</v>
      </c>
      <c r="R331" s="182"/>
      <c r="U331" s="128"/>
    </row>
    <row r="332" spans="1:21" ht="15.6" x14ac:dyDescent="0.3">
      <c r="A332" s="53"/>
      <c r="B332" s="54"/>
      <c r="C332" s="54"/>
      <c r="D332" s="54"/>
      <c r="E332" s="55"/>
      <c r="F332" s="75"/>
      <c r="G332" s="76"/>
      <c r="H332" s="76"/>
      <c r="I332" s="48"/>
      <c r="J332" s="70"/>
      <c r="K332" s="70"/>
      <c r="L332" s="342" t="s">
        <v>794</v>
      </c>
      <c r="M332" s="343" t="s">
        <v>795</v>
      </c>
      <c r="N332" s="342" t="s">
        <v>57</v>
      </c>
      <c r="O332" s="344">
        <v>169</v>
      </c>
      <c r="P332" s="345">
        <v>22.68</v>
      </c>
      <c r="Q332" s="346">
        <v>3832.66</v>
      </c>
      <c r="R332" s="182"/>
      <c r="U332" s="128"/>
    </row>
    <row r="333" spans="1:21" ht="15.6" x14ac:dyDescent="0.3">
      <c r="A333" s="53"/>
      <c r="B333" s="54"/>
      <c r="C333" s="54"/>
      <c r="D333" s="54"/>
      <c r="E333" s="55"/>
      <c r="F333" s="75"/>
      <c r="G333" s="76"/>
      <c r="H333" s="76"/>
      <c r="I333" s="48"/>
      <c r="J333" s="70"/>
      <c r="K333" s="70"/>
      <c r="L333" s="342" t="s">
        <v>736</v>
      </c>
      <c r="M333" s="343" t="s">
        <v>737</v>
      </c>
      <c r="N333" s="342" t="s">
        <v>34</v>
      </c>
      <c r="O333" s="344">
        <v>170</v>
      </c>
      <c r="P333" s="345">
        <v>3.94</v>
      </c>
      <c r="Q333" s="345">
        <v>669.8</v>
      </c>
      <c r="R333" s="182"/>
      <c r="U333" s="128"/>
    </row>
    <row r="334" spans="1:21" ht="15.6" x14ac:dyDescent="0.3">
      <c r="A334" s="53"/>
      <c r="B334" s="54"/>
      <c r="C334" s="54"/>
      <c r="D334" s="54"/>
      <c r="E334" s="55"/>
      <c r="F334" s="75"/>
      <c r="G334" s="76"/>
      <c r="H334" s="76"/>
      <c r="I334" s="48"/>
      <c r="J334" s="70"/>
      <c r="K334" s="70"/>
      <c r="L334" s="342" t="s">
        <v>738</v>
      </c>
      <c r="M334" s="343" t="s">
        <v>739</v>
      </c>
      <c r="N334" s="342" t="s">
        <v>34</v>
      </c>
      <c r="O334" s="344">
        <v>186</v>
      </c>
      <c r="P334" s="345">
        <v>6.76</v>
      </c>
      <c r="Q334" s="346">
        <v>1258.0999999999999</v>
      </c>
      <c r="R334" s="182"/>
      <c r="U334" s="128"/>
    </row>
    <row r="335" spans="1:21" ht="15.6" x14ac:dyDescent="0.3">
      <c r="A335" s="53"/>
      <c r="B335" s="54"/>
      <c r="C335" s="54"/>
      <c r="D335" s="54"/>
      <c r="E335" s="55"/>
      <c r="F335" s="75"/>
      <c r="G335" s="76"/>
      <c r="H335" s="76"/>
      <c r="I335" s="48"/>
      <c r="J335" s="70"/>
      <c r="K335" s="70"/>
      <c r="L335" s="342" t="s">
        <v>1166</v>
      </c>
      <c r="M335" s="343" t="s">
        <v>1251</v>
      </c>
      <c r="N335" s="342" t="s">
        <v>34</v>
      </c>
      <c r="O335" s="344">
        <v>271</v>
      </c>
      <c r="P335" s="345">
        <v>0.57999999999999996</v>
      </c>
      <c r="Q335" s="345">
        <v>156.19999999999999</v>
      </c>
      <c r="R335" s="182"/>
      <c r="U335" s="128"/>
    </row>
    <row r="336" spans="1:21" ht="15.6" x14ac:dyDescent="0.3">
      <c r="A336" s="53"/>
      <c r="B336" s="54"/>
      <c r="C336" s="54"/>
      <c r="D336" s="54"/>
      <c r="E336" s="55"/>
      <c r="F336" s="75"/>
      <c r="G336" s="76"/>
      <c r="H336" s="76"/>
      <c r="I336" s="48"/>
      <c r="J336" s="70"/>
      <c r="K336" s="70"/>
      <c r="L336" s="342" t="s">
        <v>990</v>
      </c>
      <c r="M336" s="343" t="s">
        <v>1064</v>
      </c>
      <c r="N336" s="342" t="s">
        <v>34</v>
      </c>
      <c r="O336" s="344">
        <v>320</v>
      </c>
      <c r="P336" s="345">
        <v>0.92</v>
      </c>
      <c r="Q336" s="345">
        <v>294.39999999999998</v>
      </c>
      <c r="R336" s="182"/>
      <c r="U336" s="128"/>
    </row>
    <row r="337" spans="1:21" ht="15.6" x14ac:dyDescent="0.3">
      <c r="A337" s="53"/>
      <c r="B337" s="54"/>
      <c r="C337" s="54"/>
      <c r="D337" s="54"/>
      <c r="E337" s="55"/>
      <c r="F337" s="75"/>
      <c r="G337" s="76"/>
      <c r="H337" s="76"/>
      <c r="I337" s="48"/>
      <c r="J337" s="70"/>
      <c r="K337" s="70"/>
      <c r="L337" s="342" t="s">
        <v>1171</v>
      </c>
      <c r="M337" s="343" t="s">
        <v>1256</v>
      </c>
      <c r="N337" s="342" t="s">
        <v>34</v>
      </c>
      <c r="O337" s="344">
        <v>400</v>
      </c>
      <c r="P337" s="345">
        <v>0.17</v>
      </c>
      <c r="Q337" s="345">
        <v>68</v>
      </c>
      <c r="R337" s="182"/>
      <c r="U337" s="128"/>
    </row>
    <row r="338" spans="1:21" ht="15.6" x14ac:dyDescent="0.3">
      <c r="A338" s="53"/>
      <c r="B338" s="54"/>
      <c r="C338" s="54"/>
      <c r="D338" s="54"/>
      <c r="E338" s="55"/>
      <c r="F338" s="75"/>
      <c r="G338" s="76"/>
      <c r="H338" s="76"/>
      <c r="I338" s="48"/>
      <c r="J338" s="70"/>
      <c r="K338" s="70"/>
      <c r="L338" s="342" t="s">
        <v>1160</v>
      </c>
      <c r="M338" s="343" t="s">
        <v>1246</v>
      </c>
      <c r="N338" s="342" t="s">
        <v>34</v>
      </c>
      <c r="O338" s="344">
        <v>409</v>
      </c>
      <c r="P338" s="345">
        <v>0.69</v>
      </c>
      <c r="Q338" s="345">
        <v>282.89</v>
      </c>
      <c r="R338" s="182"/>
      <c r="U338" s="128"/>
    </row>
    <row r="339" spans="1:21" ht="15.6" x14ac:dyDescent="0.3">
      <c r="A339" s="53"/>
      <c r="B339" s="54"/>
      <c r="C339" s="54"/>
      <c r="D339" s="54"/>
      <c r="E339" s="55"/>
      <c r="F339" s="75"/>
      <c r="G339" s="76"/>
      <c r="H339" s="76"/>
      <c r="I339" s="48"/>
      <c r="J339" s="70"/>
      <c r="K339" s="70"/>
      <c r="L339" s="342" t="s">
        <v>856</v>
      </c>
      <c r="M339" s="343" t="s">
        <v>857</v>
      </c>
      <c r="N339" s="342" t="s">
        <v>34</v>
      </c>
      <c r="O339" s="347">
        <v>2863</v>
      </c>
      <c r="P339" s="345">
        <v>0.44</v>
      </c>
      <c r="Q339" s="346">
        <v>1262.58</v>
      </c>
      <c r="R339" s="182"/>
      <c r="U339" s="128"/>
    </row>
    <row r="340" spans="1:21" ht="15.6" x14ac:dyDescent="0.3">
      <c r="A340" s="53"/>
      <c r="B340" s="54"/>
      <c r="C340" s="54"/>
      <c r="D340" s="54"/>
      <c r="E340" s="55"/>
      <c r="F340" s="75"/>
      <c r="G340" s="76"/>
      <c r="H340" s="76"/>
      <c r="I340" s="48"/>
      <c r="J340" s="70"/>
      <c r="K340" s="70"/>
      <c r="L340" s="336"/>
      <c r="M340" s="337"/>
      <c r="N340" s="336"/>
      <c r="O340" s="341"/>
      <c r="P340" s="339"/>
      <c r="Q340" s="340"/>
      <c r="R340" s="182"/>
      <c r="U340" s="128"/>
    </row>
    <row r="341" spans="1:21" ht="15.6" x14ac:dyDescent="0.3">
      <c r="A341" s="53"/>
      <c r="B341" s="54"/>
      <c r="C341" s="54"/>
      <c r="D341" s="54"/>
      <c r="E341" s="55"/>
      <c r="F341" s="75"/>
      <c r="G341" s="76"/>
      <c r="H341" s="76"/>
      <c r="I341" s="48"/>
      <c r="J341" s="70"/>
      <c r="K341" s="70"/>
      <c r="L341" s="336"/>
      <c r="M341" s="337"/>
      <c r="N341" s="336"/>
      <c r="O341" s="338"/>
      <c r="P341" s="340"/>
      <c r="Q341" s="340"/>
      <c r="R341" s="182"/>
      <c r="U341" s="128"/>
    </row>
    <row r="342" spans="1:21" ht="15.6" x14ac:dyDescent="0.3">
      <c r="A342" s="53"/>
      <c r="B342" s="54"/>
      <c r="C342" s="54"/>
      <c r="D342" s="54"/>
      <c r="E342" s="55"/>
      <c r="F342" s="75"/>
      <c r="G342" s="76"/>
      <c r="H342" s="76"/>
      <c r="I342" s="48"/>
      <c r="J342" s="70"/>
      <c r="K342" s="70"/>
      <c r="L342" s="320"/>
      <c r="M342" s="321"/>
      <c r="N342" s="320"/>
      <c r="O342" s="322"/>
      <c r="P342" s="323"/>
      <c r="Q342" s="324"/>
      <c r="R342" s="182"/>
      <c r="U342" s="128"/>
    </row>
    <row r="343" spans="1:21" ht="18.600000000000001" thickBot="1" x14ac:dyDescent="0.35">
      <c r="A343" s="202"/>
      <c r="B343" s="203"/>
      <c r="C343" s="204"/>
      <c r="D343" s="205"/>
      <c r="E343" s="205"/>
      <c r="F343" s="165"/>
      <c r="G343" s="166"/>
      <c r="H343" s="166"/>
      <c r="I343" s="206"/>
      <c r="J343" s="206"/>
      <c r="K343" s="206"/>
      <c r="L343" s="207"/>
      <c r="M343" s="208"/>
      <c r="N343" s="207"/>
      <c r="O343" s="209"/>
      <c r="P343" s="210"/>
      <c r="Q343" s="210"/>
      <c r="R343" s="211"/>
      <c r="T343" s="4"/>
      <c r="U343" s="128"/>
    </row>
    <row r="344" spans="1:21" ht="18.600000000000001" thickBot="1" x14ac:dyDescent="0.35">
      <c r="A344" s="251"/>
      <c r="B344" s="252"/>
      <c r="C344" s="253"/>
      <c r="D344" s="254"/>
      <c r="E344" s="254"/>
      <c r="F344" s="234"/>
      <c r="G344" s="235"/>
      <c r="H344" s="235"/>
      <c r="I344" s="255"/>
      <c r="J344" s="255"/>
      <c r="K344" s="255"/>
      <c r="L344" s="256"/>
      <c r="M344" s="257"/>
      <c r="N344" s="256"/>
      <c r="O344" s="258"/>
      <c r="P344" s="259"/>
      <c r="Q344" s="260">
        <f>SUM(Q19:Q343)</f>
        <v>562702.43000000017</v>
      </c>
      <c r="R344" s="35"/>
      <c r="T344" s="4"/>
      <c r="U344" s="128"/>
    </row>
    <row r="345" spans="1:21" ht="18" x14ac:dyDescent="0.3">
      <c r="A345" s="216"/>
      <c r="B345" s="203"/>
      <c r="C345" s="217"/>
      <c r="D345" s="218"/>
      <c r="E345" s="218"/>
      <c r="F345" s="165"/>
      <c r="G345" s="166"/>
      <c r="H345" s="166"/>
      <c r="I345" s="219"/>
      <c r="J345" s="219"/>
      <c r="K345" s="219"/>
      <c r="L345" s="342" t="s">
        <v>1500</v>
      </c>
      <c r="M345" s="343" t="s">
        <v>1580</v>
      </c>
      <c r="N345" s="342" t="s">
        <v>34</v>
      </c>
      <c r="O345" s="344">
        <v>1</v>
      </c>
      <c r="P345" s="345">
        <v>22</v>
      </c>
      <c r="Q345" s="345">
        <v>22</v>
      </c>
      <c r="R345" s="266"/>
      <c r="T345" s="4"/>
      <c r="U345" s="128"/>
    </row>
    <row r="346" spans="1:21" ht="18" x14ac:dyDescent="0.3">
      <c r="A346" s="216"/>
      <c r="B346" s="203"/>
      <c r="C346" s="217"/>
      <c r="D346" s="218"/>
      <c r="E346" s="218"/>
      <c r="F346" s="165"/>
      <c r="G346" s="166"/>
      <c r="H346" s="166"/>
      <c r="I346" s="219"/>
      <c r="J346" s="219"/>
      <c r="K346" s="219"/>
      <c r="L346" s="342" t="s">
        <v>538</v>
      </c>
      <c r="M346" s="343" t="s">
        <v>117</v>
      </c>
      <c r="N346" s="342" t="s">
        <v>34</v>
      </c>
      <c r="O346" s="344">
        <v>3</v>
      </c>
      <c r="P346" s="345">
        <v>185</v>
      </c>
      <c r="Q346" s="345">
        <v>555</v>
      </c>
      <c r="R346" s="266"/>
      <c r="T346" s="4"/>
      <c r="U346" s="128"/>
    </row>
    <row r="347" spans="1:21" ht="18" x14ac:dyDescent="0.3">
      <c r="A347" s="216"/>
      <c r="B347" s="203"/>
      <c r="C347" s="217"/>
      <c r="D347" s="218"/>
      <c r="E347" s="218"/>
      <c r="F347" s="165"/>
      <c r="G347" s="166"/>
      <c r="H347" s="166"/>
      <c r="I347" s="219"/>
      <c r="J347" s="219"/>
      <c r="K347" s="219"/>
      <c r="L347" s="342" t="s">
        <v>546</v>
      </c>
      <c r="M347" s="343" t="s">
        <v>253</v>
      </c>
      <c r="N347" s="342" t="s">
        <v>34</v>
      </c>
      <c r="O347" s="344">
        <v>2</v>
      </c>
      <c r="P347" s="345">
        <v>78</v>
      </c>
      <c r="Q347" s="345">
        <v>156</v>
      </c>
      <c r="R347" s="266"/>
      <c r="T347" s="4"/>
      <c r="U347" s="128"/>
    </row>
    <row r="348" spans="1:21" ht="18" x14ac:dyDescent="0.3">
      <c r="A348" s="216"/>
      <c r="B348" s="203"/>
      <c r="C348" s="217"/>
      <c r="D348" s="218"/>
      <c r="E348" s="218"/>
      <c r="F348" s="165"/>
      <c r="G348" s="166"/>
      <c r="H348" s="166"/>
      <c r="I348" s="219"/>
      <c r="J348" s="219"/>
      <c r="K348" s="219"/>
      <c r="L348" s="342" t="s">
        <v>1470</v>
      </c>
      <c r="M348" s="343" t="s">
        <v>1549</v>
      </c>
      <c r="N348" s="342" t="s">
        <v>34</v>
      </c>
      <c r="O348" s="344">
        <v>6</v>
      </c>
      <c r="P348" s="345">
        <v>121.67</v>
      </c>
      <c r="Q348" s="345">
        <v>730.02</v>
      </c>
      <c r="R348" s="266"/>
      <c r="T348" s="4"/>
      <c r="U348" s="128"/>
    </row>
    <row r="349" spans="1:21" ht="18" x14ac:dyDescent="0.3">
      <c r="A349" s="216"/>
      <c r="B349" s="203"/>
      <c r="C349" s="217"/>
      <c r="D349" s="218"/>
      <c r="E349" s="218"/>
      <c r="F349" s="165"/>
      <c r="G349" s="166"/>
      <c r="H349" s="166"/>
      <c r="I349" s="219"/>
      <c r="J349" s="219"/>
      <c r="K349" s="219"/>
      <c r="L349" s="342" t="s">
        <v>1468</v>
      </c>
      <c r="M349" s="343" t="s">
        <v>1547</v>
      </c>
      <c r="N349" s="342" t="s">
        <v>34</v>
      </c>
      <c r="O349" s="344">
        <v>1</v>
      </c>
      <c r="P349" s="345">
        <v>54.9</v>
      </c>
      <c r="Q349" s="345">
        <v>54.9</v>
      </c>
      <c r="R349" s="266"/>
      <c r="T349" s="4"/>
      <c r="U349" s="128"/>
    </row>
    <row r="350" spans="1:21" ht="18" customHeight="1" x14ac:dyDescent="0.3">
      <c r="A350" s="216"/>
      <c r="B350" s="203"/>
      <c r="C350" s="217"/>
      <c r="D350" s="218"/>
      <c r="E350" s="218"/>
      <c r="F350" s="165"/>
      <c r="G350" s="166"/>
      <c r="H350" s="166"/>
      <c r="I350" s="219"/>
      <c r="J350" s="219"/>
      <c r="K350" s="219"/>
      <c r="L350" s="342" t="s">
        <v>563</v>
      </c>
      <c r="M350" s="343" t="s">
        <v>256</v>
      </c>
      <c r="N350" s="342" t="s">
        <v>34</v>
      </c>
      <c r="O350" s="344">
        <v>1</v>
      </c>
      <c r="P350" s="345">
        <v>372</v>
      </c>
      <c r="Q350" s="345">
        <v>372</v>
      </c>
      <c r="R350" s="266"/>
      <c r="T350" s="4"/>
      <c r="U350" s="128"/>
    </row>
    <row r="351" spans="1:21" ht="18" x14ac:dyDescent="0.3">
      <c r="A351" s="216"/>
      <c r="B351" s="203"/>
      <c r="C351" s="217"/>
      <c r="D351" s="218"/>
      <c r="E351" s="218"/>
      <c r="F351" s="165"/>
      <c r="G351" s="166"/>
      <c r="H351" s="166"/>
      <c r="I351" s="219"/>
      <c r="J351" s="219"/>
      <c r="K351" s="219"/>
      <c r="L351" s="342" t="s">
        <v>1503</v>
      </c>
      <c r="M351" s="343" t="s">
        <v>1583</v>
      </c>
      <c r="N351" s="342" t="s">
        <v>35</v>
      </c>
      <c r="O351" s="344">
        <v>1</v>
      </c>
      <c r="P351" s="345">
        <v>65</v>
      </c>
      <c r="Q351" s="345">
        <v>65</v>
      </c>
      <c r="R351" s="266"/>
      <c r="T351" s="4"/>
      <c r="U351" s="128"/>
    </row>
    <row r="352" spans="1:21" ht="18" x14ac:dyDescent="0.3">
      <c r="A352" s="216"/>
      <c r="B352" s="203"/>
      <c r="C352" s="217"/>
      <c r="D352" s="218"/>
      <c r="E352" s="218"/>
      <c r="F352" s="165"/>
      <c r="G352" s="166"/>
      <c r="H352" s="166"/>
      <c r="I352" s="219"/>
      <c r="J352" s="219"/>
      <c r="K352" s="219"/>
      <c r="L352" s="342" t="s">
        <v>1510</v>
      </c>
      <c r="M352" s="343" t="s">
        <v>1591</v>
      </c>
      <c r="N352" s="342" t="s">
        <v>34</v>
      </c>
      <c r="O352" s="344">
        <v>1</v>
      </c>
      <c r="P352" s="345">
        <v>156.66999999999999</v>
      </c>
      <c r="Q352" s="345">
        <v>156.66999999999999</v>
      </c>
      <c r="R352" s="266"/>
      <c r="T352" s="4"/>
      <c r="U352" s="128"/>
    </row>
    <row r="353" spans="1:21" ht="18" x14ac:dyDescent="0.3">
      <c r="A353" s="216"/>
      <c r="B353" s="203"/>
      <c r="C353" s="217"/>
      <c r="D353" s="218"/>
      <c r="E353" s="218"/>
      <c r="F353" s="165"/>
      <c r="G353" s="166"/>
      <c r="H353" s="166"/>
      <c r="I353" s="219"/>
      <c r="J353" s="219"/>
      <c r="K353" s="219"/>
      <c r="L353" s="342" t="s">
        <v>586</v>
      </c>
      <c r="M353" s="343" t="s">
        <v>257</v>
      </c>
      <c r="N353" s="342" t="s">
        <v>34</v>
      </c>
      <c r="O353" s="344">
        <v>1</v>
      </c>
      <c r="P353" s="345">
        <v>196.93</v>
      </c>
      <c r="Q353" s="345">
        <v>196.93</v>
      </c>
      <c r="R353" s="266"/>
      <c r="T353" s="4"/>
      <c r="U353" s="128"/>
    </row>
    <row r="354" spans="1:21" ht="18" x14ac:dyDescent="0.3">
      <c r="A354" s="216"/>
      <c r="B354" s="203"/>
      <c r="C354" s="217"/>
      <c r="D354" s="218"/>
      <c r="E354" s="218"/>
      <c r="F354" s="165"/>
      <c r="G354" s="166"/>
      <c r="H354" s="166"/>
      <c r="I354" s="219"/>
      <c r="J354" s="219"/>
      <c r="K354" s="219"/>
      <c r="L354" s="342" t="s">
        <v>1465</v>
      </c>
      <c r="M354" s="343" t="s">
        <v>1544</v>
      </c>
      <c r="N354" s="342" t="s">
        <v>34</v>
      </c>
      <c r="O354" s="344">
        <v>1</v>
      </c>
      <c r="P354" s="345">
        <v>68.33</v>
      </c>
      <c r="Q354" s="345">
        <v>68.33</v>
      </c>
      <c r="R354" s="266"/>
      <c r="T354" s="4"/>
      <c r="U354" s="128"/>
    </row>
    <row r="355" spans="1:21" ht="18" x14ac:dyDescent="0.3">
      <c r="A355" s="216"/>
      <c r="B355" s="203"/>
      <c r="C355" s="217"/>
      <c r="D355" s="218"/>
      <c r="E355" s="218"/>
      <c r="F355" s="165"/>
      <c r="G355" s="166"/>
      <c r="H355" s="166"/>
      <c r="I355" s="219"/>
      <c r="J355" s="219"/>
      <c r="K355" s="219"/>
      <c r="L355" s="342" t="s">
        <v>1142</v>
      </c>
      <c r="M355" s="343" t="s">
        <v>1229</v>
      </c>
      <c r="N355" s="342" t="s">
        <v>34</v>
      </c>
      <c r="O355" s="344">
        <v>19</v>
      </c>
      <c r="P355" s="345">
        <v>264.04000000000002</v>
      </c>
      <c r="Q355" s="346">
        <v>5016.67</v>
      </c>
      <c r="R355" s="266"/>
      <c r="T355" s="4"/>
      <c r="U355" s="128"/>
    </row>
    <row r="356" spans="1:21" ht="18" x14ac:dyDescent="0.3">
      <c r="A356" s="216"/>
      <c r="B356" s="203"/>
      <c r="C356" s="217"/>
      <c r="D356" s="218"/>
      <c r="E356" s="218"/>
      <c r="F356" s="165"/>
      <c r="G356" s="166"/>
      <c r="H356" s="166"/>
      <c r="I356" s="219"/>
      <c r="J356" s="219"/>
      <c r="K356" s="219"/>
      <c r="L356" s="342" t="s">
        <v>1475</v>
      </c>
      <c r="M356" s="343" t="s">
        <v>1555</v>
      </c>
      <c r="N356" s="342" t="s">
        <v>64</v>
      </c>
      <c r="O356" s="344">
        <v>1</v>
      </c>
      <c r="P356" s="345">
        <v>160.32</v>
      </c>
      <c r="Q356" s="345">
        <v>160.32</v>
      </c>
      <c r="R356" s="266"/>
      <c r="T356" s="4"/>
      <c r="U356" s="128"/>
    </row>
    <row r="357" spans="1:21" ht="18" x14ac:dyDescent="0.3">
      <c r="A357" s="216"/>
      <c r="B357" s="203"/>
      <c r="C357" s="217"/>
      <c r="D357" s="218"/>
      <c r="E357" s="218"/>
      <c r="F357" s="165"/>
      <c r="G357" s="166"/>
      <c r="H357" s="166"/>
      <c r="I357" s="219"/>
      <c r="J357" s="219"/>
      <c r="K357" s="219"/>
      <c r="L357" s="342" t="s">
        <v>1501</v>
      </c>
      <c r="M357" s="343" t="s">
        <v>1581</v>
      </c>
      <c r="N357" s="342" t="s">
        <v>64</v>
      </c>
      <c r="O357" s="344">
        <v>3</v>
      </c>
      <c r="P357" s="345">
        <v>68.14</v>
      </c>
      <c r="Q357" s="345">
        <v>204.43</v>
      </c>
      <c r="R357" s="266"/>
      <c r="T357" s="4"/>
      <c r="U357" s="128"/>
    </row>
    <row r="358" spans="1:21" ht="18" x14ac:dyDescent="0.3">
      <c r="A358" s="216"/>
      <c r="B358" s="203"/>
      <c r="C358" s="217"/>
      <c r="D358" s="218"/>
      <c r="E358" s="218"/>
      <c r="F358" s="165"/>
      <c r="G358" s="166"/>
      <c r="H358" s="166"/>
      <c r="I358" s="219"/>
      <c r="J358" s="219"/>
      <c r="K358" s="219"/>
      <c r="L358" s="342" t="s">
        <v>1633</v>
      </c>
      <c r="M358" s="343" t="s">
        <v>1659</v>
      </c>
      <c r="N358" s="342" t="s">
        <v>64</v>
      </c>
      <c r="O358" s="344">
        <v>1</v>
      </c>
      <c r="P358" s="345">
        <v>51</v>
      </c>
      <c r="Q358" s="345">
        <v>51</v>
      </c>
      <c r="R358" s="266"/>
      <c r="T358" s="4"/>
      <c r="U358" s="128"/>
    </row>
    <row r="359" spans="1:21" ht="18" x14ac:dyDescent="0.3">
      <c r="A359" s="216"/>
      <c r="B359" s="203"/>
      <c r="C359" s="217"/>
      <c r="D359" s="218"/>
      <c r="E359" s="218"/>
      <c r="F359" s="165"/>
      <c r="G359" s="166"/>
      <c r="H359" s="166"/>
      <c r="I359" s="219"/>
      <c r="J359" s="219"/>
      <c r="K359" s="219"/>
      <c r="L359" s="342" t="s">
        <v>1642</v>
      </c>
      <c r="M359" s="343" t="s">
        <v>1668</v>
      </c>
      <c r="N359" s="342" t="s">
        <v>34</v>
      </c>
      <c r="O359" s="344">
        <v>1</v>
      </c>
      <c r="P359" s="345">
        <v>104.2</v>
      </c>
      <c r="Q359" s="345">
        <v>104.2</v>
      </c>
      <c r="R359" s="266"/>
      <c r="T359" s="4"/>
      <c r="U359" s="128"/>
    </row>
    <row r="360" spans="1:21" ht="18" x14ac:dyDescent="0.3">
      <c r="A360" s="216"/>
      <c r="B360" s="203"/>
      <c r="C360" s="217"/>
      <c r="D360" s="218"/>
      <c r="E360" s="218"/>
      <c r="F360" s="165"/>
      <c r="G360" s="166"/>
      <c r="H360" s="166"/>
      <c r="I360" s="219"/>
      <c r="J360" s="219"/>
      <c r="K360" s="219"/>
      <c r="L360" s="342" t="s">
        <v>1528</v>
      </c>
      <c r="M360" s="343" t="s">
        <v>1609</v>
      </c>
      <c r="N360" s="342" t="s">
        <v>34</v>
      </c>
      <c r="O360" s="344">
        <v>1</v>
      </c>
      <c r="P360" s="345">
        <v>61</v>
      </c>
      <c r="Q360" s="345">
        <v>61</v>
      </c>
      <c r="R360" s="266"/>
      <c r="T360" s="4"/>
      <c r="U360" s="128"/>
    </row>
    <row r="361" spans="1:21" ht="18" x14ac:dyDescent="0.3">
      <c r="A361" s="216"/>
      <c r="B361" s="203"/>
      <c r="C361" s="217"/>
      <c r="D361" s="218"/>
      <c r="E361" s="218"/>
      <c r="F361" s="165"/>
      <c r="G361" s="166"/>
      <c r="H361" s="166"/>
      <c r="I361" s="219"/>
      <c r="J361" s="219"/>
      <c r="K361" s="219"/>
      <c r="L361" s="342" t="s">
        <v>599</v>
      </c>
      <c r="M361" s="343" t="s">
        <v>129</v>
      </c>
      <c r="N361" s="342" t="s">
        <v>34</v>
      </c>
      <c r="O361" s="344">
        <v>1</v>
      </c>
      <c r="P361" s="345">
        <v>17.5</v>
      </c>
      <c r="Q361" s="345">
        <v>17.5</v>
      </c>
      <c r="R361" s="266"/>
      <c r="T361" s="4"/>
      <c r="U361" s="128"/>
    </row>
    <row r="362" spans="1:21" ht="18" x14ac:dyDescent="0.3">
      <c r="A362" s="216"/>
      <c r="B362" s="203"/>
      <c r="C362" s="217"/>
      <c r="D362" s="218"/>
      <c r="E362" s="218"/>
      <c r="F362" s="165"/>
      <c r="G362" s="166"/>
      <c r="H362" s="166"/>
      <c r="I362" s="219"/>
      <c r="J362" s="219"/>
      <c r="K362" s="219"/>
      <c r="L362" s="342" t="s">
        <v>600</v>
      </c>
      <c r="M362" s="343" t="s">
        <v>258</v>
      </c>
      <c r="N362" s="342" t="s">
        <v>34</v>
      </c>
      <c r="O362" s="344">
        <v>2</v>
      </c>
      <c r="P362" s="345">
        <v>149.16999999999999</v>
      </c>
      <c r="Q362" s="345">
        <v>298.33999999999997</v>
      </c>
      <c r="R362" s="266"/>
      <c r="T362" s="4"/>
      <c r="U362" s="128"/>
    </row>
    <row r="363" spans="1:21" ht="18" x14ac:dyDescent="0.3">
      <c r="A363" s="216"/>
      <c r="B363" s="203"/>
      <c r="C363" s="217"/>
      <c r="D363" s="218"/>
      <c r="E363" s="218"/>
      <c r="F363" s="165"/>
      <c r="G363" s="166"/>
      <c r="H363" s="166"/>
      <c r="I363" s="219"/>
      <c r="J363" s="219"/>
      <c r="K363" s="219"/>
      <c r="L363" s="342" t="s">
        <v>1487</v>
      </c>
      <c r="M363" s="343" t="s">
        <v>1567</v>
      </c>
      <c r="N363" s="342" t="s">
        <v>34</v>
      </c>
      <c r="O363" s="344">
        <v>2</v>
      </c>
      <c r="P363" s="345">
        <v>34</v>
      </c>
      <c r="Q363" s="345">
        <v>68</v>
      </c>
      <c r="R363" s="266"/>
      <c r="T363" s="4"/>
      <c r="U363" s="128"/>
    </row>
    <row r="364" spans="1:21" ht="18" x14ac:dyDescent="0.3">
      <c r="A364" s="216"/>
      <c r="B364" s="203"/>
      <c r="C364" s="217"/>
      <c r="D364" s="218"/>
      <c r="E364" s="218"/>
      <c r="F364" s="165"/>
      <c r="G364" s="166"/>
      <c r="H364" s="166"/>
      <c r="I364" s="219"/>
      <c r="J364" s="219"/>
      <c r="K364" s="219"/>
      <c r="L364" s="342" t="s">
        <v>1511</v>
      </c>
      <c r="M364" s="343" t="s">
        <v>1592</v>
      </c>
      <c r="N364" s="342" t="s">
        <v>34</v>
      </c>
      <c r="O364" s="344">
        <v>9</v>
      </c>
      <c r="P364" s="345">
        <v>3.6</v>
      </c>
      <c r="Q364" s="345">
        <v>32.4</v>
      </c>
      <c r="R364" s="266"/>
      <c r="T364" s="4"/>
      <c r="U364" s="128"/>
    </row>
    <row r="365" spans="1:21" ht="18" x14ac:dyDescent="0.3">
      <c r="A365" s="216"/>
      <c r="B365" s="203"/>
      <c r="C365" s="217"/>
      <c r="D365" s="218"/>
      <c r="E365" s="218"/>
      <c r="F365" s="165"/>
      <c r="G365" s="166"/>
      <c r="H365" s="166"/>
      <c r="I365" s="219"/>
      <c r="J365" s="219"/>
      <c r="K365" s="219"/>
      <c r="L365" s="342" t="s">
        <v>1722</v>
      </c>
      <c r="M365" s="343" t="s">
        <v>1743</v>
      </c>
      <c r="N365" s="342" t="s">
        <v>34</v>
      </c>
      <c r="O365" s="344">
        <v>1</v>
      </c>
      <c r="P365" s="345">
        <v>139</v>
      </c>
      <c r="Q365" s="345">
        <v>139</v>
      </c>
      <c r="R365" s="266"/>
      <c r="T365" s="4"/>
      <c r="U365" s="128"/>
    </row>
    <row r="366" spans="1:21" ht="18" x14ac:dyDescent="0.3">
      <c r="A366" s="216"/>
      <c r="B366" s="203"/>
      <c r="C366" s="217"/>
      <c r="D366" s="218"/>
      <c r="E366" s="218"/>
      <c r="F366" s="165"/>
      <c r="G366" s="166"/>
      <c r="H366" s="166"/>
      <c r="I366" s="219"/>
      <c r="J366" s="219"/>
      <c r="K366" s="219"/>
      <c r="L366" s="342" t="s">
        <v>607</v>
      </c>
      <c r="M366" s="343" t="s">
        <v>608</v>
      </c>
      <c r="N366" s="342" t="s">
        <v>34</v>
      </c>
      <c r="O366" s="344">
        <v>13</v>
      </c>
      <c r="P366" s="345">
        <v>44.2</v>
      </c>
      <c r="Q366" s="345">
        <v>574.6</v>
      </c>
      <c r="R366" s="266"/>
      <c r="T366" s="4"/>
      <c r="U366" s="128"/>
    </row>
    <row r="367" spans="1:21" ht="18" x14ac:dyDescent="0.3">
      <c r="A367" s="216"/>
      <c r="B367" s="203"/>
      <c r="C367" s="217"/>
      <c r="D367" s="218"/>
      <c r="E367" s="218"/>
      <c r="F367" s="165"/>
      <c r="G367" s="166"/>
      <c r="H367" s="166"/>
      <c r="I367" s="219"/>
      <c r="J367" s="219"/>
      <c r="K367" s="219"/>
      <c r="L367" s="342" t="s">
        <v>1726</v>
      </c>
      <c r="M367" s="343" t="s">
        <v>1747</v>
      </c>
      <c r="N367" s="342" t="s">
        <v>34</v>
      </c>
      <c r="O367" s="344">
        <v>1</v>
      </c>
      <c r="P367" s="345">
        <v>128.5</v>
      </c>
      <c r="Q367" s="345">
        <v>128.5</v>
      </c>
      <c r="R367" s="266"/>
      <c r="T367" s="4"/>
      <c r="U367" s="128"/>
    </row>
    <row r="368" spans="1:21" ht="18" x14ac:dyDescent="0.3">
      <c r="A368" s="216"/>
      <c r="B368" s="203"/>
      <c r="C368" s="217"/>
      <c r="D368" s="218"/>
      <c r="E368" s="218"/>
      <c r="F368" s="165"/>
      <c r="G368" s="166"/>
      <c r="H368" s="166"/>
      <c r="I368" s="219"/>
      <c r="J368" s="219"/>
      <c r="K368" s="219"/>
      <c r="L368" s="342" t="s">
        <v>1707</v>
      </c>
      <c r="M368" s="343" t="s">
        <v>1728</v>
      </c>
      <c r="N368" s="342" t="s">
        <v>34</v>
      </c>
      <c r="O368" s="344">
        <v>1</v>
      </c>
      <c r="P368" s="345">
        <v>148.75</v>
      </c>
      <c r="Q368" s="345">
        <v>148.75</v>
      </c>
      <c r="R368" s="266"/>
      <c r="T368" s="4"/>
      <c r="U368" s="128"/>
    </row>
    <row r="369" spans="1:21" ht="18" x14ac:dyDescent="0.3">
      <c r="A369" s="216"/>
      <c r="B369" s="203"/>
      <c r="C369" s="217"/>
      <c r="D369" s="218"/>
      <c r="E369" s="218"/>
      <c r="F369" s="165"/>
      <c r="G369" s="166"/>
      <c r="H369" s="166"/>
      <c r="I369" s="219"/>
      <c r="J369" s="219"/>
      <c r="K369" s="219"/>
      <c r="L369" s="342" t="s">
        <v>1514</v>
      </c>
      <c r="M369" s="343" t="s">
        <v>1595</v>
      </c>
      <c r="N369" s="342" t="s">
        <v>34</v>
      </c>
      <c r="O369" s="344">
        <v>5</v>
      </c>
      <c r="P369" s="345">
        <v>55.5</v>
      </c>
      <c r="Q369" s="345">
        <v>277.5</v>
      </c>
      <c r="R369" s="266"/>
      <c r="T369" s="4"/>
      <c r="U369" s="128"/>
    </row>
    <row r="370" spans="1:21" ht="18" x14ac:dyDescent="0.3">
      <c r="A370" s="216"/>
      <c r="B370" s="203"/>
      <c r="C370" s="217"/>
      <c r="D370" s="218"/>
      <c r="E370" s="218"/>
      <c r="F370" s="165"/>
      <c r="G370" s="166"/>
      <c r="H370" s="166"/>
      <c r="I370" s="219"/>
      <c r="J370" s="219"/>
      <c r="K370" s="219"/>
      <c r="L370" s="342" t="s">
        <v>625</v>
      </c>
      <c r="M370" s="343" t="s">
        <v>136</v>
      </c>
      <c r="N370" s="342" t="s">
        <v>34</v>
      </c>
      <c r="O370" s="344">
        <v>6</v>
      </c>
      <c r="P370" s="345">
        <v>56.77</v>
      </c>
      <c r="Q370" s="345">
        <v>340.59</v>
      </c>
      <c r="R370" s="266"/>
      <c r="T370" s="4"/>
      <c r="U370" s="128"/>
    </row>
    <row r="371" spans="1:21" ht="18" x14ac:dyDescent="0.3">
      <c r="A371" s="216"/>
      <c r="B371" s="203"/>
      <c r="C371" s="217"/>
      <c r="D371" s="218"/>
      <c r="E371" s="218"/>
      <c r="F371" s="165"/>
      <c r="G371" s="166"/>
      <c r="H371" s="166"/>
      <c r="I371" s="219"/>
      <c r="J371" s="219"/>
      <c r="K371" s="219"/>
      <c r="L371" s="342" t="s">
        <v>1420</v>
      </c>
      <c r="M371" s="343" t="s">
        <v>1443</v>
      </c>
      <c r="N371" s="342" t="s">
        <v>34</v>
      </c>
      <c r="O371" s="344">
        <v>5</v>
      </c>
      <c r="P371" s="345">
        <v>132.22999999999999</v>
      </c>
      <c r="Q371" s="345">
        <v>661.16</v>
      </c>
      <c r="R371" s="266"/>
      <c r="T371" s="4"/>
      <c r="U371" s="128"/>
    </row>
    <row r="372" spans="1:21" ht="18" x14ac:dyDescent="0.3">
      <c r="A372" s="216"/>
      <c r="B372" s="203"/>
      <c r="C372" s="217"/>
      <c r="D372" s="218"/>
      <c r="E372" s="218"/>
      <c r="F372" s="165"/>
      <c r="G372" s="166"/>
      <c r="H372" s="166"/>
      <c r="I372" s="219"/>
      <c r="J372" s="219"/>
      <c r="K372" s="219"/>
      <c r="L372" s="342" t="s">
        <v>1680</v>
      </c>
      <c r="M372" s="343" t="s">
        <v>1698</v>
      </c>
      <c r="N372" s="342" t="s">
        <v>34</v>
      </c>
      <c r="O372" s="344">
        <v>1</v>
      </c>
      <c r="P372" s="345">
        <v>329</v>
      </c>
      <c r="Q372" s="345">
        <v>329</v>
      </c>
      <c r="R372" s="266"/>
      <c r="T372" s="4"/>
      <c r="U372" s="128"/>
    </row>
    <row r="373" spans="1:21" ht="18" x14ac:dyDescent="0.3">
      <c r="A373" s="216"/>
      <c r="B373" s="203"/>
      <c r="C373" s="217"/>
      <c r="D373" s="218"/>
      <c r="E373" s="218"/>
      <c r="F373" s="165"/>
      <c r="G373" s="166"/>
      <c r="H373" s="166"/>
      <c r="I373" s="219"/>
      <c r="J373" s="219"/>
      <c r="K373" s="219"/>
      <c r="L373" s="342" t="s">
        <v>629</v>
      </c>
      <c r="M373" s="343" t="s">
        <v>138</v>
      </c>
      <c r="N373" s="342" t="s">
        <v>34</v>
      </c>
      <c r="O373" s="344">
        <v>1</v>
      </c>
      <c r="P373" s="345">
        <v>118</v>
      </c>
      <c r="Q373" s="345">
        <v>118</v>
      </c>
      <c r="R373" s="266"/>
      <c r="T373" s="4"/>
      <c r="U373" s="128"/>
    </row>
    <row r="374" spans="1:21" ht="18" x14ac:dyDescent="0.3">
      <c r="A374" s="216"/>
      <c r="B374" s="203"/>
      <c r="C374" s="217"/>
      <c r="D374" s="218"/>
      <c r="E374" s="218"/>
      <c r="F374" s="165"/>
      <c r="G374" s="166"/>
      <c r="H374" s="166"/>
      <c r="I374" s="219"/>
      <c r="J374" s="219"/>
      <c r="K374" s="219"/>
      <c r="L374" s="342" t="s">
        <v>1527</v>
      </c>
      <c r="M374" s="343" t="s">
        <v>1608</v>
      </c>
      <c r="N374" s="342" t="s">
        <v>34</v>
      </c>
      <c r="O374" s="344">
        <v>12</v>
      </c>
      <c r="P374" s="345">
        <v>17.760000000000002</v>
      </c>
      <c r="Q374" s="345">
        <v>213.17</v>
      </c>
      <c r="R374" s="266"/>
      <c r="T374" s="4"/>
      <c r="U374" s="128"/>
    </row>
    <row r="375" spans="1:21" ht="18" x14ac:dyDescent="0.3">
      <c r="A375" s="216"/>
      <c r="B375" s="203"/>
      <c r="C375" s="217"/>
      <c r="D375" s="218"/>
      <c r="E375" s="218"/>
      <c r="F375" s="165"/>
      <c r="G375" s="166"/>
      <c r="H375" s="166"/>
      <c r="I375" s="219"/>
      <c r="J375" s="219"/>
      <c r="K375" s="219"/>
      <c r="L375" s="342" t="s">
        <v>1531</v>
      </c>
      <c r="M375" s="343" t="s">
        <v>1611</v>
      </c>
      <c r="N375" s="342" t="s">
        <v>34</v>
      </c>
      <c r="O375" s="344">
        <v>2</v>
      </c>
      <c r="P375" s="345">
        <v>127</v>
      </c>
      <c r="Q375" s="345">
        <v>254</v>
      </c>
      <c r="R375" s="266"/>
      <c r="T375" s="4"/>
      <c r="U375" s="128"/>
    </row>
    <row r="376" spans="1:21" ht="18" x14ac:dyDescent="0.3">
      <c r="A376" s="216"/>
      <c r="B376" s="203"/>
      <c r="C376" s="217"/>
      <c r="D376" s="218"/>
      <c r="E376" s="218"/>
      <c r="F376" s="165"/>
      <c r="G376" s="166"/>
      <c r="H376" s="166"/>
      <c r="I376" s="219"/>
      <c r="J376" s="219"/>
      <c r="K376" s="219"/>
      <c r="L376" s="342" t="s">
        <v>638</v>
      </c>
      <c r="M376" s="343" t="s">
        <v>639</v>
      </c>
      <c r="N376" s="342" t="s">
        <v>64</v>
      </c>
      <c r="O376" s="344">
        <v>2</v>
      </c>
      <c r="P376" s="345">
        <v>149.16999999999999</v>
      </c>
      <c r="Q376" s="345">
        <v>298.33999999999997</v>
      </c>
      <c r="R376" s="266"/>
      <c r="T376" s="4"/>
      <c r="U376" s="128"/>
    </row>
    <row r="377" spans="1:21" ht="18" x14ac:dyDescent="0.3">
      <c r="A377" s="216"/>
      <c r="B377" s="203"/>
      <c r="C377" s="217"/>
      <c r="D377" s="218"/>
      <c r="E377" s="218"/>
      <c r="F377" s="165"/>
      <c r="G377" s="166"/>
      <c r="H377" s="166"/>
      <c r="I377" s="219"/>
      <c r="J377" s="219"/>
      <c r="K377" s="219"/>
      <c r="L377" s="342" t="s">
        <v>1529</v>
      </c>
      <c r="M377" s="343" t="s">
        <v>410</v>
      </c>
      <c r="N377" s="342" t="s">
        <v>34</v>
      </c>
      <c r="O377" s="344">
        <v>9</v>
      </c>
      <c r="P377" s="345">
        <v>193.33</v>
      </c>
      <c r="Q377" s="346">
        <v>1739.97</v>
      </c>
      <c r="R377" s="266"/>
      <c r="T377" s="4"/>
      <c r="U377" s="128"/>
    </row>
    <row r="378" spans="1:21" ht="18" x14ac:dyDescent="0.3">
      <c r="A378" s="216"/>
      <c r="B378" s="203"/>
      <c r="C378" s="217"/>
      <c r="D378" s="218"/>
      <c r="E378" s="218"/>
      <c r="F378" s="165"/>
      <c r="G378" s="166"/>
      <c r="H378" s="166"/>
      <c r="I378" s="219"/>
      <c r="J378" s="219"/>
      <c r="K378" s="219"/>
      <c r="L378" s="342" t="s">
        <v>1461</v>
      </c>
      <c r="M378" s="343" t="s">
        <v>1540</v>
      </c>
      <c r="N378" s="342" t="s">
        <v>34</v>
      </c>
      <c r="O378" s="344">
        <v>5</v>
      </c>
      <c r="P378" s="345">
        <v>232.5</v>
      </c>
      <c r="Q378" s="346">
        <v>1162.5</v>
      </c>
      <c r="R378" s="266"/>
      <c r="T378" s="4"/>
      <c r="U378" s="128"/>
    </row>
    <row r="379" spans="1:21" ht="18" x14ac:dyDescent="0.3">
      <c r="A379" s="216"/>
      <c r="B379" s="203"/>
      <c r="C379" s="217"/>
      <c r="D379" s="218"/>
      <c r="E379" s="218"/>
      <c r="F379" s="165"/>
      <c r="G379" s="166"/>
      <c r="H379" s="166"/>
      <c r="I379" s="219"/>
      <c r="J379" s="219"/>
      <c r="K379" s="219"/>
      <c r="L379" s="342" t="s">
        <v>646</v>
      </c>
      <c r="M379" s="343" t="s">
        <v>647</v>
      </c>
      <c r="N379" s="342" t="s">
        <v>34</v>
      </c>
      <c r="O379" s="344">
        <v>2</v>
      </c>
      <c r="P379" s="345">
        <v>396.42</v>
      </c>
      <c r="Q379" s="345">
        <v>792.83</v>
      </c>
      <c r="R379" s="266"/>
      <c r="T379" s="4"/>
      <c r="U379" s="128"/>
    </row>
    <row r="380" spans="1:21" ht="18" x14ac:dyDescent="0.3">
      <c r="A380" s="216"/>
      <c r="B380" s="203"/>
      <c r="C380" s="217"/>
      <c r="D380" s="218"/>
      <c r="E380" s="218"/>
      <c r="F380" s="165"/>
      <c r="G380" s="166"/>
      <c r="H380" s="166"/>
      <c r="I380" s="219"/>
      <c r="J380" s="219"/>
      <c r="K380" s="219"/>
      <c r="L380" s="342" t="s">
        <v>1718</v>
      </c>
      <c r="M380" s="343" t="s">
        <v>1739</v>
      </c>
      <c r="N380" s="342" t="s">
        <v>34</v>
      </c>
      <c r="O380" s="344">
        <v>1</v>
      </c>
      <c r="P380" s="345">
        <v>91</v>
      </c>
      <c r="Q380" s="345">
        <v>91</v>
      </c>
      <c r="R380" s="266"/>
      <c r="T380" s="4"/>
      <c r="U380" s="128"/>
    </row>
    <row r="381" spans="1:21" ht="18" x14ac:dyDescent="0.3">
      <c r="A381" s="216"/>
      <c r="B381" s="203"/>
      <c r="C381" s="217"/>
      <c r="D381" s="218"/>
      <c r="E381" s="218"/>
      <c r="F381" s="165"/>
      <c r="G381" s="166"/>
      <c r="H381" s="166"/>
      <c r="I381" s="219"/>
      <c r="J381" s="219"/>
      <c r="K381" s="219"/>
      <c r="L381" s="342" t="s">
        <v>648</v>
      </c>
      <c r="M381" s="343" t="s">
        <v>145</v>
      </c>
      <c r="N381" s="342" t="s">
        <v>37</v>
      </c>
      <c r="O381" s="344">
        <v>22</v>
      </c>
      <c r="P381" s="345">
        <v>61.25</v>
      </c>
      <c r="Q381" s="346">
        <v>1347.5</v>
      </c>
      <c r="R381" s="266"/>
      <c r="T381" s="4"/>
      <c r="U381" s="128"/>
    </row>
    <row r="382" spans="1:21" ht="18" x14ac:dyDescent="0.3">
      <c r="A382" s="216"/>
      <c r="B382" s="203"/>
      <c r="C382" s="217"/>
      <c r="D382" s="218"/>
      <c r="E382" s="218"/>
      <c r="F382" s="165"/>
      <c r="G382" s="166"/>
      <c r="H382" s="166"/>
      <c r="I382" s="219"/>
      <c r="J382" s="219"/>
      <c r="K382" s="219"/>
      <c r="L382" s="342" t="s">
        <v>649</v>
      </c>
      <c r="M382" s="343" t="s">
        <v>650</v>
      </c>
      <c r="N382" s="342" t="s">
        <v>34</v>
      </c>
      <c r="O382" s="344">
        <v>3</v>
      </c>
      <c r="P382" s="345">
        <v>18</v>
      </c>
      <c r="Q382" s="345">
        <v>54</v>
      </c>
      <c r="R382" s="266"/>
      <c r="T382" s="4"/>
      <c r="U382" s="128"/>
    </row>
    <row r="383" spans="1:21" ht="18" x14ac:dyDescent="0.3">
      <c r="A383" s="216"/>
      <c r="B383" s="203"/>
      <c r="C383" s="217"/>
      <c r="D383" s="218"/>
      <c r="E383" s="218"/>
      <c r="F383" s="165"/>
      <c r="G383" s="166"/>
      <c r="H383" s="166"/>
      <c r="I383" s="219"/>
      <c r="J383" s="219"/>
      <c r="K383" s="219"/>
      <c r="L383" s="342" t="s">
        <v>651</v>
      </c>
      <c r="M383" s="343" t="s">
        <v>652</v>
      </c>
      <c r="N383" s="342" t="s">
        <v>34</v>
      </c>
      <c r="O383" s="344">
        <v>1</v>
      </c>
      <c r="P383" s="345">
        <v>153.33000000000001</v>
      </c>
      <c r="Q383" s="345">
        <v>153.33000000000001</v>
      </c>
      <c r="R383" s="266"/>
      <c r="T383" s="4"/>
      <c r="U383" s="128"/>
    </row>
    <row r="384" spans="1:21" ht="30" x14ac:dyDescent="0.3">
      <c r="A384" s="216"/>
      <c r="B384" s="203"/>
      <c r="C384" s="217"/>
      <c r="D384" s="218"/>
      <c r="E384" s="218"/>
      <c r="F384" s="165"/>
      <c r="G384" s="166"/>
      <c r="H384" s="166"/>
      <c r="I384" s="219"/>
      <c r="J384" s="219"/>
      <c r="K384" s="219"/>
      <c r="L384" s="342" t="s">
        <v>1467</v>
      </c>
      <c r="M384" s="343" t="s">
        <v>1546</v>
      </c>
      <c r="N384" s="342" t="s">
        <v>34</v>
      </c>
      <c r="O384" s="344">
        <v>1</v>
      </c>
      <c r="P384" s="345">
        <v>1</v>
      </c>
      <c r="Q384" s="345">
        <v>1</v>
      </c>
      <c r="R384" s="266"/>
      <c r="T384" s="4"/>
      <c r="U384" s="128"/>
    </row>
    <row r="385" spans="1:21" ht="18" x14ac:dyDescent="0.3">
      <c r="A385" s="216"/>
      <c r="B385" s="203"/>
      <c r="C385" s="217"/>
      <c r="D385" s="218"/>
      <c r="E385" s="218"/>
      <c r="F385" s="165"/>
      <c r="G385" s="166"/>
      <c r="H385" s="166"/>
      <c r="I385" s="219"/>
      <c r="J385" s="219"/>
      <c r="K385" s="219"/>
      <c r="L385" s="342" t="s">
        <v>1486</v>
      </c>
      <c r="M385" s="343" t="s">
        <v>1566</v>
      </c>
      <c r="N385" s="342" t="s">
        <v>34</v>
      </c>
      <c r="O385" s="344">
        <v>3</v>
      </c>
      <c r="P385" s="345">
        <v>244</v>
      </c>
      <c r="Q385" s="345">
        <v>732</v>
      </c>
      <c r="R385" s="266"/>
      <c r="T385" s="4"/>
      <c r="U385" s="128"/>
    </row>
    <row r="386" spans="1:21" ht="18" x14ac:dyDescent="0.3">
      <c r="A386" s="216"/>
      <c r="B386" s="203"/>
      <c r="C386" s="217"/>
      <c r="D386" s="218"/>
      <c r="E386" s="218"/>
      <c r="F386" s="165"/>
      <c r="G386" s="166"/>
      <c r="H386" s="166"/>
      <c r="I386" s="219"/>
      <c r="J386" s="219"/>
      <c r="K386" s="219"/>
      <c r="L386" s="342" t="s">
        <v>1725</v>
      </c>
      <c r="M386" s="343" t="s">
        <v>1746</v>
      </c>
      <c r="N386" s="342" t="s">
        <v>34</v>
      </c>
      <c r="O386" s="344">
        <v>1</v>
      </c>
      <c r="P386" s="345">
        <v>80</v>
      </c>
      <c r="Q386" s="345">
        <v>80</v>
      </c>
      <c r="R386" s="266"/>
      <c r="T386" s="4"/>
      <c r="U386" s="128"/>
    </row>
    <row r="387" spans="1:21" ht="18" x14ac:dyDescent="0.3">
      <c r="A387" s="216"/>
      <c r="B387" s="203"/>
      <c r="C387" s="217"/>
      <c r="D387" s="218"/>
      <c r="E387" s="218"/>
      <c r="F387" s="165"/>
      <c r="G387" s="166"/>
      <c r="H387" s="166"/>
      <c r="I387" s="219"/>
      <c r="J387" s="219"/>
      <c r="K387" s="219"/>
      <c r="L387" s="342" t="s">
        <v>1509</v>
      </c>
      <c r="M387" s="343" t="s">
        <v>1590</v>
      </c>
      <c r="N387" s="342" t="s">
        <v>147</v>
      </c>
      <c r="O387" s="344">
        <v>5</v>
      </c>
      <c r="P387" s="345">
        <v>127</v>
      </c>
      <c r="Q387" s="345">
        <v>635</v>
      </c>
      <c r="R387" s="266"/>
      <c r="T387" s="4"/>
      <c r="U387" s="128"/>
    </row>
    <row r="388" spans="1:21" ht="18" x14ac:dyDescent="0.3">
      <c r="A388" s="216"/>
      <c r="B388" s="203"/>
      <c r="C388" s="217"/>
      <c r="D388" s="218"/>
      <c r="E388" s="218"/>
      <c r="F388" s="165"/>
      <c r="G388" s="166"/>
      <c r="H388" s="166"/>
      <c r="I388" s="219"/>
      <c r="J388" s="219"/>
      <c r="K388" s="219"/>
      <c r="L388" s="342" t="s">
        <v>660</v>
      </c>
      <c r="M388" s="343" t="s">
        <v>1588</v>
      </c>
      <c r="N388" s="342" t="s">
        <v>147</v>
      </c>
      <c r="O388" s="344">
        <v>41</v>
      </c>
      <c r="P388" s="345">
        <v>28.24</v>
      </c>
      <c r="Q388" s="346">
        <v>1157.8900000000001</v>
      </c>
      <c r="R388" s="266"/>
      <c r="T388" s="4"/>
      <c r="U388" s="128"/>
    </row>
    <row r="389" spans="1:21" ht="18" x14ac:dyDescent="0.3">
      <c r="A389" s="216"/>
      <c r="B389" s="203"/>
      <c r="C389" s="217"/>
      <c r="D389" s="218"/>
      <c r="E389" s="218"/>
      <c r="F389" s="165"/>
      <c r="G389" s="166"/>
      <c r="H389" s="166"/>
      <c r="I389" s="219"/>
      <c r="J389" s="219"/>
      <c r="K389" s="219"/>
      <c r="L389" s="342" t="s">
        <v>1498</v>
      </c>
      <c r="M389" s="343" t="s">
        <v>1578</v>
      </c>
      <c r="N389" s="342" t="s">
        <v>34</v>
      </c>
      <c r="O389" s="344">
        <v>5</v>
      </c>
      <c r="P389" s="345">
        <v>210.97</v>
      </c>
      <c r="Q389" s="346">
        <v>1054.83</v>
      </c>
      <c r="R389" s="266"/>
      <c r="T389" s="4"/>
      <c r="U389" s="128"/>
    </row>
    <row r="390" spans="1:21" ht="18" x14ac:dyDescent="0.3">
      <c r="A390" s="216"/>
      <c r="B390" s="203"/>
      <c r="C390" s="217"/>
      <c r="D390" s="218"/>
      <c r="E390" s="218"/>
      <c r="F390" s="165"/>
      <c r="G390" s="166"/>
      <c r="H390" s="166"/>
      <c r="I390" s="219"/>
      <c r="J390" s="219"/>
      <c r="K390" s="219"/>
      <c r="L390" s="342" t="s">
        <v>663</v>
      </c>
      <c r="M390" s="343" t="s">
        <v>151</v>
      </c>
      <c r="N390" s="342" t="s">
        <v>34</v>
      </c>
      <c r="O390" s="344">
        <v>1</v>
      </c>
      <c r="P390" s="345">
        <v>12</v>
      </c>
      <c r="Q390" s="345">
        <v>12</v>
      </c>
      <c r="R390" s="266"/>
      <c r="T390" s="4"/>
      <c r="U390" s="128"/>
    </row>
    <row r="391" spans="1:21" ht="18" x14ac:dyDescent="0.3">
      <c r="A391" s="216"/>
      <c r="B391" s="203"/>
      <c r="C391" s="217"/>
      <c r="D391" s="218"/>
      <c r="E391" s="218"/>
      <c r="F391" s="165"/>
      <c r="G391" s="166"/>
      <c r="H391" s="166"/>
      <c r="I391" s="219"/>
      <c r="J391" s="219"/>
      <c r="K391" s="219"/>
      <c r="L391" s="342" t="s">
        <v>1493</v>
      </c>
      <c r="M391" s="343" t="s">
        <v>1573</v>
      </c>
      <c r="N391" s="342" t="s">
        <v>34</v>
      </c>
      <c r="O391" s="344">
        <v>1</v>
      </c>
      <c r="P391" s="345">
        <v>97.5</v>
      </c>
      <c r="Q391" s="345">
        <v>97.5</v>
      </c>
      <c r="R391" s="266"/>
      <c r="T391" s="4"/>
      <c r="U391" s="128"/>
    </row>
    <row r="392" spans="1:21" ht="18" x14ac:dyDescent="0.3">
      <c r="A392" s="216"/>
      <c r="B392" s="203"/>
      <c r="C392" s="217"/>
      <c r="D392" s="218"/>
      <c r="E392" s="218"/>
      <c r="F392" s="165"/>
      <c r="G392" s="166"/>
      <c r="H392" s="166"/>
      <c r="I392" s="219"/>
      <c r="J392" s="219"/>
      <c r="K392" s="219"/>
      <c r="L392" s="342" t="s">
        <v>1671</v>
      </c>
      <c r="M392" s="343" t="s">
        <v>1689</v>
      </c>
      <c r="N392" s="342" t="s">
        <v>34</v>
      </c>
      <c r="O392" s="344">
        <v>1</v>
      </c>
      <c r="P392" s="345">
        <v>206.84</v>
      </c>
      <c r="Q392" s="345">
        <v>206.84</v>
      </c>
      <c r="R392" s="266"/>
      <c r="T392" s="4"/>
      <c r="U392" s="128"/>
    </row>
    <row r="393" spans="1:21" ht="18" x14ac:dyDescent="0.3">
      <c r="A393" s="216"/>
      <c r="B393" s="203"/>
      <c r="C393" s="217"/>
      <c r="D393" s="218"/>
      <c r="E393" s="218"/>
      <c r="F393" s="165"/>
      <c r="G393" s="166"/>
      <c r="H393" s="166"/>
      <c r="I393" s="219"/>
      <c r="J393" s="219"/>
      <c r="K393" s="219"/>
      <c r="L393" s="342" t="s">
        <v>1464</v>
      </c>
      <c r="M393" s="343" t="s">
        <v>1543</v>
      </c>
      <c r="N393" s="342" t="s">
        <v>34</v>
      </c>
      <c r="O393" s="344">
        <v>5</v>
      </c>
      <c r="P393" s="345">
        <v>186</v>
      </c>
      <c r="Q393" s="345">
        <v>930</v>
      </c>
      <c r="R393" s="266"/>
      <c r="T393" s="4"/>
      <c r="U393" s="128"/>
    </row>
    <row r="394" spans="1:21" ht="18" x14ac:dyDescent="0.3">
      <c r="A394" s="216"/>
      <c r="B394" s="203"/>
      <c r="C394" s="217"/>
      <c r="D394" s="218"/>
      <c r="E394" s="218"/>
      <c r="F394" s="165"/>
      <c r="G394" s="166"/>
      <c r="H394" s="166"/>
      <c r="I394" s="219"/>
      <c r="J394" s="219"/>
      <c r="K394" s="219"/>
      <c r="L394" s="342" t="s">
        <v>1492</v>
      </c>
      <c r="M394" s="343" t="s">
        <v>1572</v>
      </c>
      <c r="N394" s="342" t="s">
        <v>34</v>
      </c>
      <c r="O394" s="344">
        <v>2</v>
      </c>
      <c r="P394" s="345">
        <v>93</v>
      </c>
      <c r="Q394" s="345">
        <v>186</v>
      </c>
      <c r="R394" s="266"/>
      <c r="T394" s="4"/>
      <c r="U394" s="128"/>
    </row>
    <row r="395" spans="1:21" ht="18" x14ac:dyDescent="0.3">
      <c r="A395" s="216"/>
      <c r="B395" s="203"/>
      <c r="C395" s="217"/>
      <c r="D395" s="218"/>
      <c r="E395" s="218"/>
      <c r="F395" s="165"/>
      <c r="G395" s="166"/>
      <c r="H395" s="166"/>
      <c r="I395" s="219"/>
      <c r="J395" s="219"/>
      <c r="K395" s="219"/>
      <c r="L395" s="342" t="s">
        <v>674</v>
      </c>
      <c r="M395" s="343" t="s">
        <v>675</v>
      </c>
      <c r="N395" s="342" t="s">
        <v>34</v>
      </c>
      <c r="O395" s="344">
        <v>1</v>
      </c>
      <c r="P395" s="345">
        <v>28.08</v>
      </c>
      <c r="Q395" s="345">
        <v>28.08</v>
      </c>
      <c r="R395" s="266"/>
      <c r="T395" s="4"/>
      <c r="U395" s="128"/>
    </row>
    <row r="396" spans="1:21" ht="18" x14ac:dyDescent="0.3">
      <c r="A396" s="216"/>
      <c r="B396" s="203"/>
      <c r="C396" s="217"/>
      <c r="D396" s="218"/>
      <c r="E396" s="218"/>
      <c r="F396" s="165"/>
      <c r="G396" s="166"/>
      <c r="H396" s="166"/>
      <c r="I396" s="219"/>
      <c r="J396" s="219"/>
      <c r="K396" s="219"/>
      <c r="L396" s="342" t="s">
        <v>677</v>
      </c>
      <c r="M396" s="343" t="s">
        <v>1554</v>
      </c>
      <c r="N396" s="342" t="s">
        <v>34</v>
      </c>
      <c r="O396" s="344">
        <v>3</v>
      </c>
      <c r="P396" s="345">
        <v>120.89</v>
      </c>
      <c r="Q396" s="345">
        <v>362.67</v>
      </c>
      <c r="R396" s="266"/>
      <c r="T396" s="4"/>
      <c r="U396" s="128"/>
    </row>
    <row r="397" spans="1:21" ht="18" x14ac:dyDescent="0.3">
      <c r="A397" s="216"/>
      <c r="B397" s="203"/>
      <c r="C397" s="217"/>
      <c r="D397" s="218"/>
      <c r="E397" s="218"/>
      <c r="F397" s="165"/>
      <c r="G397" s="166"/>
      <c r="H397" s="166"/>
      <c r="I397" s="219"/>
      <c r="J397" s="219"/>
      <c r="K397" s="219"/>
      <c r="L397" s="342" t="s">
        <v>679</v>
      </c>
      <c r="M397" s="343" t="s">
        <v>680</v>
      </c>
      <c r="N397" s="342" t="s">
        <v>34</v>
      </c>
      <c r="O397" s="344">
        <v>1</v>
      </c>
      <c r="P397" s="345">
        <v>5</v>
      </c>
      <c r="Q397" s="345">
        <v>5</v>
      </c>
      <c r="R397" s="266"/>
      <c r="T397" s="4"/>
      <c r="U397" s="128"/>
    </row>
    <row r="398" spans="1:21" ht="18" x14ac:dyDescent="0.3">
      <c r="A398" s="216"/>
      <c r="B398" s="203"/>
      <c r="C398" s="217"/>
      <c r="D398" s="218"/>
      <c r="E398" s="218"/>
      <c r="F398" s="165"/>
      <c r="G398" s="166"/>
      <c r="H398" s="166"/>
      <c r="I398" s="219"/>
      <c r="J398" s="219"/>
      <c r="K398" s="219"/>
      <c r="L398" s="342" t="s">
        <v>682</v>
      </c>
      <c r="M398" s="343" t="s">
        <v>683</v>
      </c>
      <c r="N398" s="342" t="s">
        <v>34</v>
      </c>
      <c r="O398" s="344">
        <v>1</v>
      </c>
      <c r="P398" s="345">
        <v>21.5</v>
      </c>
      <c r="Q398" s="345">
        <v>21.5</v>
      </c>
      <c r="R398" s="266"/>
      <c r="T398" s="4"/>
      <c r="U398" s="128"/>
    </row>
    <row r="399" spans="1:21" ht="18" x14ac:dyDescent="0.3">
      <c r="A399" s="216"/>
      <c r="B399" s="203"/>
      <c r="C399" s="217"/>
      <c r="D399" s="218"/>
      <c r="E399" s="218"/>
      <c r="F399" s="165"/>
      <c r="G399" s="166"/>
      <c r="H399" s="166"/>
      <c r="I399" s="219"/>
      <c r="J399" s="219"/>
      <c r="K399" s="219"/>
      <c r="L399" s="342" t="s">
        <v>1641</v>
      </c>
      <c r="M399" s="343" t="s">
        <v>1667</v>
      </c>
      <c r="N399" s="342" t="s">
        <v>64</v>
      </c>
      <c r="O399" s="344">
        <v>1</v>
      </c>
      <c r="P399" s="345">
        <v>24</v>
      </c>
      <c r="Q399" s="345">
        <v>24</v>
      </c>
      <c r="R399" s="266"/>
      <c r="T399" s="4"/>
      <c r="U399" s="128"/>
    </row>
    <row r="400" spans="1:21" ht="18" x14ac:dyDescent="0.3">
      <c r="A400" s="216"/>
      <c r="B400" s="203"/>
      <c r="C400" s="217"/>
      <c r="D400" s="218"/>
      <c r="E400" s="218"/>
      <c r="F400" s="165"/>
      <c r="G400" s="166"/>
      <c r="H400" s="166"/>
      <c r="I400" s="219"/>
      <c r="J400" s="219"/>
      <c r="K400" s="219"/>
      <c r="L400" s="342" t="s">
        <v>1482</v>
      </c>
      <c r="M400" s="343" t="s">
        <v>1562</v>
      </c>
      <c r="N400" s="342" t="s">
        <v>34</v>
      </c>
      <c r="O400" s="344">
        <v>1</v>
      </c>
      <c r="P400" s="345">
        <v>75.400000000000006</v>
      </c>
      <c r="Q400" s="345">
        <v>75.400000000000006</v>
      </c>
      <c r="R400" s="266"/>
      <c r="T400" s="4"/>
      <c r="U400" s="128"/>
    </row>
    <row r="401" spans="1:21" ht="18" x14ac:dyDescent="0.3">
      <c r="A401" s="216"/>
      <c r="B401" s="203"/>
      <c r="C401" s="217"/>
      <c r="D401" s="218"/>
      <c r="E401" s="218"/>
      <c r="F401" s="165"/>
      <c r="G401" s="166"/>
      <c r="H401" s="166"/>
      <c r="I401" s="219"/>
      <c r="J401" s="219"/>
      <c r="K401" s="219"/>
      <c r="L401" s="342" t="s">
        <v>1472</v>
      </c>
      <c r="M401" s="343" t="s">
        <v>1551</v>
      </c>
      <c r="N401" s="342" t="s">
        <v>34</v>
      </c>
      <c r="O401" s="344">
        <v>1</v>
      </c>
      <c r="P401" s="345">
        <v>146.25</v>
      </c>
      <c r="Q401" s="345">
        <v>146.25</v>
      </c>
      <c r="R401" s="266"/>
      <c r="T401" s="4"/>
      <c r="U401" s="128"/>
    </row>
    <row r="402" spans="1:21" ht="18" x14ac:dyDescent="0.3">
      <c r="A402" s="216"/>
      <c r="B402" s="203"/>
      <c r="C402" s="217"/>
      <c r="D402" s="218"/>
      <c r="E402" s="218"/>
      <c r="F402" s="165"/>
      <c r="G402" s="166"/>
      <c r="H402" s="166"/>
      <c r="I402" s="219"/>
      <c r="J402" s="219"/>
      <c r="K402" s="219"/>
      <c r="L402" s="342" t="s">
        <v>1523</v>
      </c>
      <c r="M402" s="343" t="s">
        <v>1604</v>
      </c>
      <c r="N402" s="342" t="s">
        <v>34</v>
      </c>
      <c r="O402" s="344">
        <v>1</v>
      </c>
      <c r="P402" s="345">
        <v>108.33</v>
      </c>
      <c r="Q402" s="345">
        <v>108.33</v>
      </c>
      <c r="R402" s="266"/>
      <c r="T402" s="4"/>
      <c r="U402" s="128"/>
    </row>
    <row r="403" spans="1:21" ht="18" x14ac:dyDescent="0.3">
      <c r="A403" s="216"/>
      <c r="B403" s="203"/>
      <c r="C403" s="217"/>
      <c r="D403" s="218"/>
      <c r="E403" s="218"/>
      <c r="F403" s="165"/>
      <c r="G403" s="166"/>
      <c r="H403" s="166"/>
      <c r="I403" s="219"/>
      <c r="J403" s="219"/>
      <c r="K403" s="219"/>
      <c r="L403" s="342" t="s">
        <v>1460</v>
      </c>
      <c r="M403" s="343" t="s">
        <v>1539</v>
      </c>
      <c r="N403" s="342" t="s">
        <v>34</v>
      </c>
      <c r="O403" s="344">
        <v>1</v>
      </c>
      <c r="P403" s="345">
        <v>16.600000000000001</v>
      </c>
      <c r="Q403" s="345">
        <v>16.600000000000001</v>
      </c>
      <c r="R403" s="266"/>
      <c r="T403" s="4"/>
      <c r="U403" s="128"/>
    </row>
    <row r="404" spans="1:21" ht="18" x14ac:dyDescent="0.3">
      <c r="A404" s="216"/>
      <c r="B404" s="203"/>
      <c r="C404" s="217"/>
      <c r="D404" s="218"/>
      <c r="E404" s="218"/>
      <c r="F404" s="165"/>
      <c r="G404" s="166"/>
      <c r="H404" s="166"/>
      <c r="I404" s="219"/>
      <c r="J404" s="219"/>
      <c r="K404" s="219"/>
      <c r="L404" s="342" t="s">
        <v>1512</v>
      </c>
      <c r="M404" s="343" t="s">
        <v>1593</v>
      </c>
      <c r="N404" s="342" t="s">
        <v>34</v>
      </c>
      <c r="O404" s="344">
        <v>1</v>
      </c>
      <c r="P404" s="345">
        <v>7.5</v>
      </c>
      <c r="Q404" s="345">
        <v>7.5</v>
      </c>
      <c r="R404" s="266"/>
      <c r="T404" s="4"/>
      <c r="U404" s="128"/>
    </row>
    <row r="405" spans="1:21" ht="18" x14ac:dyDescent="0.3">
      <c r="A405" s="216"/>
      <c r="B405" s="203"/>
      <c r="C405" s="217"/>
      <c r="D405" s="218"/>
      <c r="E405" s="218"/>
      <c r="F405" s="165"/>
      <c r="G405" s="166"/>
      <c r="H405" s="166"/>
      <c r="I405" s="219"/>
      <c r="J405" s="219"/>
      <c r="K405" s="219"/>
      <c r="L405" s="342" t="s">
        <v>698</v>
      </c>
      <c r="M405" s="343" t="s">
        <v>97</v>
      </c>
      <c r="N405" s="342" t="s">
        <v>34</v>
      </c>
      <c r="O405" s="347">
        <v>3266</v>
      </c>
      <c r="P405" s="345">
        <v>0.11</v>
      </c>
      <c r="Q405" s="345">
        <v>349.46</v>
      </c>
      <c r="R405" s="266"/>
      <c r="T405" s="4"/>
      <c r="U405" s="128"/>
    </row>
    <row r="406" spans="1:21" ht="18" x14ac:dyDescent="0.3">
      <c r="A406" s="216"/>
      <c r="B406" s="203"/>
      <c r="C406" s="217"/>
      <c r="D406" s="218"/>
      <c r="E406" s="218"/>
      <c r="F406" s="165"/>
      <c r="G406" s="166"/>
      <c r="H406" s="166"/>
      <c r="I406" s="219"/>
      <c r="J406" s="219"/>
      <c r="K406" s="219"/>
      <c r="L406" s="342" t="s">
        <v>1471</v>
      </c>
      <c r="M406" s="343" t="s">
        <v>1550</v>
      </c>
      <c r="N406" s="342" t="s">
        <v>34</v>
      </c>
      <c r="O406" s="347">
        <v>1333</v>
      </c>
      <c r="P406" s="345">
        <v>0.11</v>
      </c>
      <c r="Q406" s="345">
        <v>142.63</v>
      </c>
      <c r="R406" s="266"/>
      <c r="T406" s="4"/>
      <c r="U406" s="128"/>
    </row>
    <row r="407" spans="1:21" ht="18" x14ac:dyDescent="0.3">
      <c r="A407" s="216"/>
      <c r="B407" s="203"/>
      <c r="C407" s="217"/>
      <c r="D407" s="218"/>
      <c r="E407" s="218"/>
      <c r="F407" s="165"/>
      <c r="G407" s="166"/>
      <c r="H407" s="166"/>
      <c r="I407" s="219"/>
      <c r="J407" s="219"/>
      <c r="K407" s="219"/>
      <c r="L407" s="342" t="s">
        <v>1672</v>
      </c>
      <c r="M407" s="343" t="s">
        <v>1690</v>
      </c>
      <c r="N407" s="342" t="s">
        <v>57</v>
      </c>
      <c r="O407" s="344">
        <v>1</v>
      </c>
      <c r="P407" s="345">
        <v>35</v>
      </c>
      <c r="Q407" s="345">
        <v>35</v>
      </c>
      <c r="R407" s="266"/>
      <c r="T407" s="4"/>
      <c r="U407" s="128"/>
    </row>
    <row r="408" spans="1:21" ht="18" x14ac:dyDescent="0.3">
      <c r="A408" s="216"/>
      <c r="B408" s="203"/>
      <c r="C408" s="217"/>
      <c r="D408" s="218"/>
      <c r="E408" s="218"/>
      <c r="F408" s="165"/>
      <c r="G408" s="166"/>
      <c r="H408" s="166"/>
      <c r="I408" s="219"/>
      <c r="J408" s="219"/>
      <c r="K408" s="219"/>
      <c r="L408" s="342" t="s">
        <v>703</v>
      </c>
      <c r="M408" s="343" t="s">
        <v>704</v>
      </c>
      <c r="N408" s="342" t="s">
        <v>34</v>
      </c>
      <c r="O408" s="344">
        <v>1</v>
      </c>
      <c r="P408" s="345">
        <v>135</v>
      </c>
      <c r="Q408" s="345">
        <v>135</v>
      </c>
      <c r="R408" s="266"/>
      <c r="T408" s="4"/>
      <c r="U408" s="128"/>
    </row>
    <row r="409" spans="1:21" ht="18" x14ac:dyDescent="0.3">
      <c r="A409" s="216"/>
      <c r="B409" s="203"/>
      <c r="C409" s="217"/>
      <c r="D409" s="218"/>
      <c r="E409" s="218"/>
      <c r="F409" s="165"/>
      <c r="G409" s="166"/>
      <c r="H409" s="166"/>
      <c r="I409" s="219"/>
      <c r="J409" s="219"/>
      <c r="K409" s="219"/>
      <c r="L409" s="342" t="s">
        <v>1525</v>
      </c>
      <c r="M409" s="343" t="s">
        <v>1606</v>
      </c>
      <c r="N409" s="342" t="s">
        <v>34</v>
      </c>
      <c r="O409" s="344">
        <v>1</v>
      </c>
      <c r="P409" s="345">
        <v>93.6</v>
      </c>
      <c r="Q409" s="345">
        <v>93.6</v>
      </c>
      <c r="R409" s="266"/>
      <c r="T409" s="4"/>
      <c r="U409" s="128"/>
    </row>
    <row r="410" spans="1:21" ht="18" x14ac:dyDescent="0.3">
      <c r="A410" s="216"/>
      <c r="B410" s="203"/>
      <c r="C410" s="217"/>
      <c r="D410" s="218"/>
      <c r="E410" s="218"/>
      <c r="F410" s="165"/>
      <c r="G410" s="166"/>
      <c r="H410" s="166"/>
      <c r="I410" s="219"/>
      <c r="J410" s="219"/>
      <c r="K410" s="219"/>
      <c r="L410" s="342" t="s">
        <v>1459</v>
      </c>
      <c r="M410" s="343" t="s">
        <v>1538</v>
      </c>
      <c r="N410" s="342" t="s">
        <v>34</v>
      </c>
      <c r="O410" s="344">
        <v>1</v>
      </c>
      <c r="P410" s="346">
        <v>1683</v>
      </c>
      <c r="Q410" s="346">
        <v>1683</v>
      </c>
      <c r="R410" s="266"/>
      <c r="T410" s="4"/>
      <c r="U410" s="128"/>
    </row>
    <row r="411" spans="1:21" ht="18" x14ac:dyDescent="0.3">
      <c r="A411" s="216"/>
      <c r="B411" s="203"/>
      <c r="C411" s="217"/>
      <c r="D411" s="218"/>
      <c r="E411" s="218"/>
      <c r="F411" s="165"/>
      <c r="G411" s="166"/>
      <c r="H411" s="166"/>
      <c r="I411" s="219"/>
      <c r="J411" s="219"/>
      <c r="K411" s="219"/>
      <c r="L411" s="342" t="s">
        <v>1473</v>
      </c>
      <c r="M411" s="343" t="s">
        <v>1552</v>
      </c>
      <c r="N411" s="342" t="s">
        <v>34</v>
      </c>
      <c r="O411" s="344">
        <v>3</v>
      </c>
      <c r="P411" s="345">
        <v>239</v>
      </c>
      <c r="Q411" s="345">
        <v>717</v>
      </c>
      <c r="R411" s="266"/>
      <c r="T411" s="4"/>
      <c r="U411" s="128"/>
    </row>
    <row r="412" spans="1:21" ht="18" x14ac:dyDescent="0.3">
      <c r="A412" s="216"/>
      <c r="B412" s="203"/>
      <c r="C412" s="217"/>
      <c r="D412" s="218"/>
      <c r="E412" s="218"/>
      <c r="F412" s="165"/>
      <c r="G412" s="166"/>
      <c r="H412" s="166"/>
      <c r="I412" s="219"/>
      <c r="J412" s="219"/>
      <c r="K412" s="219"/>
      <c r="L412" s="342" t="s">
        <v>1480</v>
      </c>
      <c r="M412" s="343" t="s">
        <v>1560</v>
      </c>
      <c r="N412" s="342" t="s">
        <v>34</v>
      </c>
      <c r="O412" s="344">
        <v>1</v>
      </c>
      <c r="P412" s="345">
        <v>209</v>
      </c>
      <c r="Q412" s="345">
        <v>209</v>
      </c>
      <c r="R412" s="266"/>
      <c r="T412" s="4"/>
      <c r="U412" s="128"/>
    </row>
    <row r="413" spans="1:21" ht="18" x14ac:dyDescent="0.3">
      <c r="A413" s="216"/>
      <c r="B413" s="203"/>
      <c r="C413" s="217"/>
      <c r="D413" s="218"/>
      <c r="E413" s="218"/>
      <c r="F413" s="165"/>
      <c r="G413" s="166"/>
      <c r="H413" s="166"/>
      <c r="I413" s="219"/>
      <c r="J413" s="219"/>
      <c r="K413" s="219"/>
      <c r="L413" s="342" t="s">
        <v>1490</v>
      </c>
      <c r="M413" s="343" t="s">
        <v>1570</v>
      </c>
      <c r="N413" s="342" t="s">
        <v>34</v>
      </c>
      <c r="O413" s="344">
        <v>3</v>
      </c>
      <c r="P413" s="345">
        <v>554</v>
      </c>
      <c r="Q413" s="346">
        <v>1662</v>
      </c>
      <c r="R413" s="266"/>
      <c r="T413" s="4"/>
      <c r="U413" s="128"/>
    </row>
    <row r="414" spans="1:21" ht="18" x14ac:dyDescent="0.3">
      <c r="A414" s="216"/>
      <c r="B414" s="203"/>
      <c r="C414" s="217"/>
      <c r="D414" s="218"/>
      <c r="E414" s="218"/>
      <c r="F414" s="165"/>
      <c r="G414" s="166"/>
      <c r="H414" s="166"/>
      <c r="I414" s="219"/>
      <c r="J414" s="219"/>
      <c r="K414" s="219"/>
      <c r="L414" s="342" t="s">
        <v>98</v>
      </c>
      <c r="M414" s="343" t="s">
        <v>99</v>
      </c>
      <c r="N414" s="342" t="s">
        <v>37</v>
      </c>
      <c r="O414" s="344">
        <v>4</v>
      </c>
      <c r="P414" s="345">
        <v>131</v>
      </c>
      <c r="Q414" s="345">
        <v>524</v>
      </c>
      <c r="R414" s="266"/>
      <c r="T414" s="4"/>
      <c r="U414" s="128"/>
    </row>
    <row r="415" spans="1:21" ht="18" x14ac:dyDescent="0.3">
      <c r="A415" s="216"/>
      <c r="B415" s="203"/>
      <c r="C415" s="217"/>
      <c r="D415" s="218"/>
      <c r="E415" s="218"/>
      <c r="F415" s="165"/>
      <c r="G415" s="166"/>
      <c r="H415" s="166"/>
      <c r="I415" s="219"/>
      <c r="J415" s="219"/>
      <c r="K415" s="219"/>
      <c r="L415" s="342" t="s">
        <v>710</v>
      </c>
      <c r="M415" s="343" t="s">
        <v>711</v>
      </c>
      <c r="N415" s="342" t="s">
        <v>34</v>
      </c>
      <c r="O415" s="344">
        <v>4</v>
      </c>
      <c r="P415" s="345">
        <v>73</v>
      </c>
      <c r="Q415" s="345">
        <v>292</v>
      </c>
      <c r="R415" s="266"/>
      <c r="T415" s="4"/>
      <c r="U415" s="128"/>
    </row>
    <row r="416" spans="1:21" ht="18" x14ac:dyDescent="0.3">
      <c r="A416" s="216"/>
      <c r="B416" s="203"/>
      <c r="C416" s="217"/>
      <c r="D416" s="218"/>
      <c r="E416" s="218"/>
      <c r="F416" s="165"/>
      <c r="G416" s="166"/>
      <c r="H416" s="166"/>
      <c r="I416" s="219"/>
      <c r="J416" s="219"/>
      <c r="K416" s="219"/>
      <c r="L416" s="342" t="s">
        <v>1481</v>
      </c>
      <c r="M416" s="343" t="s">
        <v>1561</v>
      </c>
      <c r="N416" s="342" t="s">
        <v>34</v>
      </c>
      <c r="O416" s="344">
        <v>1</v>
      </c>
      <c r="P416" s="345">
        <v>52</v>
      </c>
      <c r="Q416" s="345">
        <v>52</v>
      </c>
      <c r="R416" s="266"/>
      <c r="T416" s="4"/>
      <c r="U416" s="128"/>
    </row>
    <row r="417" spans="1:21" ht="18" x14ac:dyDescent="0.3">
      <c r="A417" s="216"/>
      <c r="B417" s="203"/>
      <c r="C417" s="217"/>
      <c r="D417" s="218"/>
      <c r="E417" s="218"/>
      <c r="F417" s="165"/>
      <c r="G417" s="166"/>
      <c r="H417" s="166"/>
      <c r="I417" s="219"/>
      <c r="J417" s="219"/>
      <c r="K417" s="219"/>
      <c r="L417" s="342" t="s">
        <v>1495</v>
      </c>
      <c r="M417" s="343" t="s">
        <v>1575</v>
      </c>
      <c r="N417" s="342" t="s">
        <v>34</v>
      </c>
      <c r="O417" s="344">
        <v>1</v>
      </c>
      <c r="P417" s="345">
        <v>54.17</v>
      </c>
      <c r="Q417" s="345">
        <v>54.17</v>
      </c>
      <c r="R417" s="266"/>
      <c r="T417" s="4"/>
      <c r="U417" s="128"/>
    </row>
    <row r="418" spans="1:21" ht="18" x14ac:dyDescent="0.3">
      <c r="A418" s="216"/>
      <c r="B418" s="203"/>
      <c r="C418" s="217"/>
      <c r="D418" s="218"/>
      <c r="E418" s="218"/>
      <c r="F418" s="165"/>
      <c r="G418" s="166"/>
      <c r="H418" s="166"/>
      <c r="I418" s="219"/>
      <c r="J418" s="219"/>
      <c r="K418" s="219"/>
      <c r="L418" s="342" t="s">
        <v>1483</v>
      </c>
      <c r="M418" s="343" t="s">
        <v>1563</v>
      </c>
      <c r="N418" s="342" t="s">
        <v>34</v>
      </c>
      <c r="O418" s="344">
        <v>2</v>
      </c>
      <c r="P418" s="345">
        <v>57.79</v>
      </c>
      <c r="Q418" s="345">
        <v>115.58</v>
      </c>
      <c r="R418" s="266"/>
      <c r="T418" s="4"/>
      <c r="U418" s="128"/>
    </row>
    <row r="419" spans="1:21" ht="18" x14ac:dyDescent="0.3">
      <c r="A419" s="216"/>
      <c r="B419" s="203"/>
      <c r="C419" s="217"/>
      <c r="D419" s="218"/>
      <c r="E419" s="218"/>
      <c r="F419" s="165"/>
      <c r="G419" s="166"/>
      <c r="H419" s="166"/>
      <c r="I419" s="219"/>
      <c r="J419" s="219"/>
      <c r="K419" s="219"/>
      <c r="L419" s="342" t="s">
        <v>1484</v>
      </c>
      <c r="M419" s="343" t="s">
        <v>1564</v>
      </c>
      <c r="N419" s="342" t="s">
        <v>34</v>
      </c>
      <c r="O419" s="344">
        <v>1</v>
      </c>
      <c r="P419" s="345">
        <v>84.17</v>
      </c>
      <c r="Q419" s="345">
        <v>84.17</v>
      </c>
      <c r="R419" s="266"/>
      <c r="T419" s="4"/>
      <c r="U419" s="128"/>
    </row>
    <row r="420" spans="1:21" ht="18" x14ac:dyDescent="0.3">
      <c r="A420" s="216"/>
      <c r="B420" s="203"/>
      <c r="C420" s="217"/>
      <c r="D420" s="218"/>
      <c r="E420" s="218"/>
      <c r="F420" s="165"/>
      <c r="G420" s="166"/>
      <c r="H420" s="166"/>
      <c r="I420" s="219"/>
      <c r="J420" s="219"/>
      <c r="K420" s="219"/>
      <c r="L420" s="342" t="s">
        <v>157</v>
      </c>
      <c r="M420" s="343" t="s">
        <v>158</v>
      </c>
      <c r="N420" s="342" t="s">
        <v>34</v>
      </c>
      <c r="O420" s="344">
        <v>2</v>
      </c>
      <c r="P420" s="345">
        <v>101.56</v>
      </c>
      <c r="Q420" s="345">
        <v>203.12</v>
      </c>
      <c r="R420" s="266"/>
      <c r="T420" s="4"/>
      <c r="U420" s="128"/>
    </row>
    <row r="421" spans="1:21" ht="18" x14ac:dyDescent="0.3">
      <c r="A421" s="216"/>
      <c r="B421" s="203"/>
      <c r="C421" s="217"/>
      <c r="D421" s="218"/>
      <c r="E421" s="218"/>
      <c r="F421" s="165"/>
      <c r="G421" s="166"/>
      <c r="H421" s="166"/>
      <c r="I421" s="219"/>
      <c r="J421" s="219"/>
      <c r="K421" s="219"/>
      <c r="L421" s="342" t="s">
        <v>1629</v>
      </c>
      <c r="M421" s="343" t="s">
        <v>1655</v>
      </c>
      <c r="N421" s="342" t="s">
        <v>34</v>
      </c>
      <c r="O421" s="344">
        <v>1</v>
      </c>
      <c r="P421" s="345">
        <v>180</v>
      </c>
      <c r="Q421" s="345">
        <v>180</v>
      </c>
      <c r="R421" s="266"/>
      <c r="T421" s="4"/>
      <c r="U421" s="128"/>
    </row>
    <row r="422" spans="1:21" ht="18" x14ac:dyDescent="0.3">
      <c r="A422" s="216"/>
      <c r="B422" s="203"/>
      <c r="C422" s="217"/>
      <c r="D422" s="218"/>
      <c r="E422" s="218"/>
      <c r="F422" s="165"/>
      <c r="G422" s="166"/>
      <c r="H422" s="166"/>
      <c r="I422" s="219"/>
      <c r="J422" s="219"/>
      <c r="K422" s="219"/>
      <c r="L422" s="342" t="s">
        <v>1715</v>
      </c>
      <c r="M422" s="343" t="s">
        <v>1736</v>
      </c>
      <c r="N422" s="342" t="s">
        <v>37</v>
      </c>
      <c r="O422" s="344">
        <v>1</v>
      </c>
      <c r="P422" s="345">
        <v>20.5</v>
      </c>
      <c r="Q422" s="345">
        <v>20.5</v>
      </c>
      <c r="R422" s="266"/>
      <c r="T422" s="4"/>
      <c r="U422" s="128"/>
    </row>
    <row r="423" spans="1:21" ht="18" x14ac:dyDescent="0.3">
      <c r="A423" s="216"/>
      <c r="B423" s="203"/>
      <c r="C423" s="217"/>
      <c r="D423" s="218"/>
      <c r="E423" s="218"/>
      <c r="F423" s="165"/>
      <c r="G423" s="166"/>
      <c r="H423" s="166"/>
      <c r="I423" s="219"/>
      <c r="J423" s="219"/>
      <c r="K423" s="219"/>
      <c r="L423" s="342" t="s">
        <v>1506</v>
      </c>
      <c r="M423" s="343" t="s">
        <v>1586</v>
      </c>
      <c r="N423" s="342" t="s">
        <v>64</v>
      </c>
      <c r="O423" s="344">
        <v>0.1</v>
      </c>
      <c r="P423" s="346">
        <v>4165.8</v>
      </c>
      <c r="Q423" s="345">
        <v>416.58</v>
      </c>
      <c r="R423" s="266"/>
      <c r="T423" s="4"/>
      <c r="U423" s="128"/>
    </row>
    <row r="424" spans="1:21" ht="18" x14ac:dyDescent="0.3">
      <c r="A424" s="216"/>
      <c r="B424" s="203"/>
      <c r="C424" s="217"/>
      <c r="D424" s="218"/>
      <c r="E424" s="218"/>
      <c r="F424" s="165"/>
      <c r="G424" s="166"/>
      <c r="H424" s="166"/>
      <c r="I424" s="219"/>
      <c r="J424" s="219"/>
      <c r="K424" s="219"/>
      <c r="L424" s="342" t="s">
        <v>1494</v>
      </c>
      <c r="M424" s="343" t="s">
        <v>1574</v>
      </c>
      <c r="N424" s="342" t="s">
        <v>64</v>
      </c>
      <c r="O424" s="344">
        <v>1</v>
      </c>
      <c r="P424" s="345">
        <v>179.2</v>
      </c>
      <c r="Q424" s="345">
        <v>179.2</v>
      </c>
      <c r="R424" s="266"/>
      <c r="T424" s="4"/>
      <c r="U424" s="128"/>
    </row>
    <row r="425" spans="1:21" ht="18" x14ac:dyDescent="0.3">
      <c r="A425" s="216"/>
      <c r="B425" s="203"/>
      <c r="C425" s="217"/>
      <c r="D425" s="218"/>
      <c r="E425" s="218"/>
      <c r="F425" s="165"/>
      <c r="G425" s="166"/>
      <c r="H425" s="166"/>
      <c r="I425" s="219"/>
      <c r="J425" s="219"/>
      <c r="K425" s="219"/>
      <c r="L425" s="342" t="s">
        <v>1640</v>
      </c>
      <c r="M425" s="343" t="s">
        <v>1666</v>
      </c>
      <c r="N425" s="342" t="s">
        <v>34</v>
      </c>
      <c r="O425" s="344">
        <v>1</v>
      </c>
      <c r="P425" s="345">
        <v>291</v>
      </c>
      <c r="Q425" s="345">
        <v>291</v>
      </c>
      <c r="R425" s="266"/>
      <c r="T425" s="4"/>
      <c r="U425" s="128"/>
    </row>
    <row r="426" spans="1:21" ht="18" x14ac:dyDescent="0.3">
      <c r="A426" s="216"/>
      <c r="B426" s="203"/>
      <c r="C426" s="217"/>
      <c r="D426" s="218"/>
      <c r="E426" s="218"/>
      <c r="F426" s="165"/>
      <c r="G426" s="166"/>
      <c r="H426" s="166"/>
      <c r="I426" s="219"/>
      <c r="J426" s="219"/>
      <c r="K426" s="219"/>
      <c r="L426" s="342" t="s">
        <v>1485</v>
      </c>
      <c r="M426" s="343" t="s">
        <v>1565</v>
      </c>
      <c r="N426" s="342" t="s">
        <v>34</v>
      </c>
      <c r="O426" s="344">
        <v>3</v>
      </c>
      <c r="P426" s="345">
        <v>20.09</v>
      </c>
      <c r="Q426" s="345">
        <v>60.26</v>
      </c>
      <c r="R426" s="266"/>
      <c r="T426" s="4"/>
      <c r="U426" s="128"/>
    </row>
    <row r="427" spans="1:21" ht="18" x14ac:dyDescent="0.3">
      <c r="A427" s="216"/>
      <c r="B427" s="203"/>
      <c r="C427" s="217"/>
      <c r="D427" s="218"/>
      <c r="E427" s="218"/>
      <c r="F427" s="165"/>
      <c r="G427" s="166"/>
      <c r="H427" s="166"/>
      <c r="I427" s="219"/>
      <c r="J427" s="219"/>
      <c r="K427" s="219"/>
      <c r="L427" s="342" t="s">
        <v>159</v>
      </c>
      <c r="M427" s="343" t="s">
        <v>160</v>
      </c>
      <c r="N427" s="342" t="s">
        <v>37</v>
      </c>
      <c r="O427" s="344">
        <v>3</v>
      </c>
      <c r="P427" s="345">
        <v>21</v>
      </c>
      <c r="Q427" s="345">
        <v>63</v>
      </c>
      <c r="R427" s="266"/>
      <c r="T427" s="4"/>
      <c r="U427" s="128"/>
    </row>
    <row r="428" spans="1:21" ht="18" x14ac:dyDescent="0.3">
      <c r="A428" s="216"/>
      <c r="B428" s="203"/>
      <c r="C428" s="217"/>
      <c r="D428" s="218"/>
      <c r="E428" s="218"/>
      <c r="F428" s="165"/>
      <c r="G428" s="166"/>
      <c r="H428" s="166"/>
      <c r="I428" s="219"/>
      <c r="J428" s="219"/>
      <c r="K428" s="219"/>
      <c r="L428" s="342" t="s">
        <v>1516</v>
      </c>
      <c r="M428" s="343" t="s">
        <v>1597</v>
      </c>
      <c r="N428" s="342" t="s">
        <v>34</v>
      </c>
      <c r="O428" s="344">
        <v>1</v>
      </c>
      <c r="P428" s="345">
        <v>50.4</v>
      </c>
      <c r="Q428" s="345">
        <v>50.4</v>
      </c>
      <c r="R428" s="266"/>
      <c r="T428" s="4"/>
      <c r="U428" s="128"/>
    </row>
    <row r="429" spans="1:21" ht="18" x14ac:dyDescent="0.3">
      <c r="A429" s="216"/>
      <c r="B429" s="203"/>
      <c r="C429" s="217"/>
      <c r="D429" s="218"/>
      <c r="E429" s="218"/>
      <c r="F429" s="165"/>
      <c r="G429" s="166"/>
      <c r="H429" s="166"/>
      <c r="I429" s="219"/>
      <c r="J429" s="219"/>
      <c r="K429" s="219"/>
      <c r="L429" s="342" t="s">
        <v>1502</v>
      </c>
      <c r="M429" s="343" t="s">
        <v>1582</v>
      </c>
      <c r="N429" s="342" t="s">
        <v>64</v>
      </c>
      <c r="O429" s="344">
        <v>1</v>
      </c>
      <c r="P429" s="345">
        <v>320.8</v>
      </c>
      <c r="Q429" s="345">
        <v>320.8</v>
      </c>
      <c r="R429" s="266"/>
      <c r="T429" s="4"/>
      <c r="U429" s="128"/>
    </row>
    <row r="430" spans="1:21" ht="18" x14ac:dyDescent="0.3">
      <c r="A430" s="216"/>
      <c r="B430" s="203"/>
      <c r="C430" s="217"/>
      <c r="D430" s="218"/>
      <c r="E430" s="218"/>
      <c r="F430" s="165"/>
      <c r="G430" s="166"/>
      <c r="H430" s="166"/>
      <c r="I430" s="219"/>
      <c r="J430" s="219"/>
      <c r="K430" s="219"/>
      <c r="L430" s="342" t="s">
        <v>1521</v>
      </c>
      <c r="M430" s="343" t="s">
        <v>1602</v>
      </c>
      <c r="N430" s="342" t="s">
        <v>34</v>
      </c>
      <c r="O430" s="344">
        <v>1</v>
      </c>
      <c r="P430" s="345">
        <v>56.8</v>
      </c>
      <c r="Q430" s="345">
        <v>56.8</v>
      </c>
      <c r="R430" s="266"/>
      <c r="T430" s="4"/>
      <c r="U430" s="128"/>
    </row>
    <row r="431" spans="1:21" ht="18" x14ac:dyDescent="0.3">
      <c r="A431" s="216"/>
      <c r="B431" s="203"/>
      <c r="C431" s="217"/>
      <c r="D431" s="218"/>
      <c r="E431" s="218"/>
      <c r="F431" s="165"/>
      <c r="G431" s="166"/>
      <c r="H431" s="166"/>
      <c r="I431" s="219"/>
      <c r="J431" s="219"/>
      <c r="K431" s="219"/>
      <c r="L431" s="342" t="s">
        <v>1681</v>
      </c>
      <c r="M431" s="343" t="s">
        <v>1699</v>
      </c>
      <c r="N431" s="342" t="s">
        <v>34</v>
      </c>
      <c r="O431" s="344">
        <v>1</v>
      </c>
      <c r="P431" s="345">
        <v>31</v>
      </c>
      <c r="Q431" s="345">
        <v>31</v>
      </c>
      <c r="R431" s="266"/>
      <c r="T431" s="4"/>
      <c r="U431" s="128"/>
    </row>
    <row r="432" spans="1:21" ht="18" x14ac:dyDescent="0.3">
      <c r="A432" s="216"/>
      <c r="B432" s="203"/>
      <c r="C432" s="217"/>
      <c r="D432" s="218"/>
      <c r="E432" s="218"/>
      <c r="F432" s="165"/>
      <c r="G432" s="166"/>
      <c r="H432" s="166"/>
      <c r="I432" s="219"/>
      <c r="J432" s="219"/>
      <c r="K432" s="219"/>
      <c r="L432" s="342" t="s">
        <v>1526</v>
      </c>
      <c r="M432" s="343" t="s">
        <v>1607</v>
      </c>
      <c r="N432" s="342" t="s">
        <v>34</v>
      </c>
      <c r="O432" s="344">
        <v>1</v>
      </c>
      <c r="P432" s="345">
        <v>152.9</v>
      </c>
      <c r="Q432" s="345">
        <v>152.9</v>
      </c>
      <c r="R432" s="266"/>
      <c r="T432" s="4"/>
      <c r="U432" s="128"/>
    </row>
    <row r="433" spans="1:21" ht="18" x14ac:dyDescent="0.3">
      <c r="A433" s="216"/>
      <c r="B433" s="203"/>
      <c r="C433" s="217"/>
      <c r="D433" s="218"/>
      <c r="E433" s="218"/>
      <c r="F433" s="165"/>
      <c r="G433" s="166"/>
      <c r="H433" s="166"/>
      <c r="I433" s="219"/>
      <c r="J433" s="219"/>
      <c r="K433" s="219"/>
      <c r="L433" s="336"/>
      <c r="M433" s="337"/>
      <c r="N433" s="336"/>
      <c r="O433" s="338"/>
      <c r="P433" s="339"/>
      <c r="Q433" s="339"/>
      <c r="R433" s="266"/>
      <c r="T433" s="4"/>
      <c r="U433" s="128"/>
    </row>
    <row r="434" spans="1:21" ht="18" x14ac:dyDescent="0.3">
      <c r="A434" s="216"/>
      <c r="B434" s="203"/>
      <c r="C434" s="217"/>
      <c r="D434" s="218"/>
      <c r="E434" s="218"/>
      <c r="F434" s="165"/>
      <c r="G434" s="166"/>
      <c r="H434" s="166"/>
      <c r="I434" s="219"/>
      <c r="J434" s="219"/>
      <c r="K434" s="219"/>
      <c r="L434" s="336"/>
      <c r="M434" s="337"/>
      <c r="N434" s="336"/>
      <c r="O434" s="338"/>
      <c r="P434" s="339"/>
      <c r="Q434" s="339"/>
      <c r="R434" s="266"/>
      <c r="T434" s="4"/>
      <c r="U434" s="128"/>
    </row>
    <row r="435" spans="1:21" ht="18" x14ac:dyDescent="0.3">
      <c r="A435" s="216"/>
      <c r="B435" s="203"/>
      <c r="C435" s="217"/>
      <c r="D435" s="218"/>
      <c r="E435" s="218"/>
      <c r="F435" s="165"/>
      <c r="G435" s="166"/>
      <c r="H435" s="166"/>
      <c r="I435" s="219"/>
      <c r="J435" s="219"/>
      <c r="K435" s="219"/>
      <c r="L435" s="330"/>
      <c r="M435" s="331"/>
      <c r="N435" s="330"/>
      <c r="O435" s="332"/>
      <c r="P435" s="333"/>
      <c r="Q435" s="333"/>
      <c r="R435" s="266"/>
      <c r="T435" s="4"/>
      <c r="U435" s="128"/>
    </row>
    <row r="436" spans="1:21" ht="18.600000000000001" thickBot="1" x14ac:dyDescent="0.35">
      <c r="A436" s="216"/>
      <c r="B436" s="203"/>
      <c r="C436" s="217"/>
      <c r="D436" s="218"/>
      <c r="E436" s="218"/>
      <c r="F436" s="165"/>
      <c r="G436" s="166"/>
      <c r="H436" s="166"/>
      <c r="I436" s="219"/>
      <c r="J436" s="219"/>
      <c r="K436" s="219"/>
      <c r="L436" s="221"/>
      <c r="M436" s="222"/>
      <c r="N436" s="221"/>
      <c r="O436" s="223"/>
      <c r="P436" s="224"/>
      <c r="Q436" s="224"/>
      <c r="R436" s="266"/>
      <c r="T436" s="4"/>
      <c r="U436" s="128"/>
    </row>
    <row r="437" spans="1:21" ht="21.6" thickBot="1" x14ac:dyDescent="0.35">
      <c r="A437" s="28"/>
      <c r="B437" s="29" t="s">
        <v>29</v>
      </c>
      <c r="C437" s="30"/>
      <c r="D437" s="31">
        <f>SUM(D343:D436)</f>
        <v>0</v>
      </c>
      <c r="E437" s="31"/>
      <c r="F437" s="71"/>
      <c r="G437" s="71"/>
      <c r="H437" s="71"/>
      <c r="I437" s="71"/>
      <c r="J437" s="71"/>
      <c r="K437" s="71"/>
      <c r="L437" s="120"/>
      <c r="M437" s="121"/>
      <c r="N437" s="121"/>
      <c r="O437" s="34"/>
      <c r="P437" s="34"/>
      <c r="Q437" s="34">
        <f>SUM(Q345:Q436)</f>
        <v>31277.01</v>
      </c>
      <c r="R437" s="35"/>
    </row>
    <row r="438" spans="1:21" ht="21.6" thickBot="1" x14ac:dyDescent="0.35">
      <c r="A438" s="36"/>
      <c r="B438" s="37" t="s">
        <v>30</v>
      </c>
      <c r="C438" s="38"/>
      <c r="D438" s="39"/>
      <c r="E438" s="39"/>
      <c r="F438" s="73"/>
      <c r="G438" s="73"/>
      <c r="H438" s="73"/>
      <c r="I438" s="73"/>
      <c r="J438" s="73"/>
      <c r="K438" s="73"/>
      <c r="L438" s="122"/>
      <c r="M438" s="123"/>
      <c r="N438" s="123"/>
      <c r="O438" s="42"/>
      <c r="P438" s="42"/>
      <c r="Q438" s="42">
        <f>Q437+Q344</f>
        <v>593979.44000000018</v>
      </c>
      <c r="R438" s="43"/>
    </row>
    <row r="439" spans="1:21" ht="25.2" customHeight="1" x14ac:dyDescent="0.4">
      <c r="A439" s="288" t="s">
        <v>12</v>
      </c>
      <c r="B439" s="288"/>
      <c r="C439" s="288"/>
      <c r="D439" s="288"/>
      <c r="E439" s="288"/>
      <c r="F439" s="288"/>
      <c r="G439" s="288"/>
      <c r="H439" s="288"/>
      <c r="I439" s="288"/>
      <c r="J439" s="288"/>
      <c r="K439" s="288"/>
      <c r="L439" s="288"/>
      <c r="M439" s="288"/>
      <c r="N439" s="288"/>
      <c r="O439" s="124"/>
      <c r="P439" s="284"/>
      <c r="Q439" s="284"/>
      <c r="R439" s="5"/>
    </row>
    <row r="440" spans="1:21" ht="25.2" customHeight="1" x14ac:dyDescent="0.4">
      <c r="A440" s="288" t="s">
        <v>13</v>
      </c>
      <c r="B440" s="288"/>
      <c r="C440" s="288"/>
      <c r="D440" s="288"/>
      <c r="E440" s="288"/>
      <c r="F440" s="288"/>
      <c r="G440" s="288"/>
      <c r="H440" s="288"/>
      <c r="I440" s="288"/>
      <c r="J440" s="288"/>
      <c r="K440" s="288"/>
      <c r="L440" s="288"/>
      <c r="M440" s="288"/>
      <c r="N440" s="288"/>
      <c r="O440" s="124"/>
      <c r="P440" s="284"/>
      <c r="Q440" s="284"/>
      <c r="R440" s="5"/>
    </row>
    <row r="441" spans="1:21" ht="25.2" customHeight="1" x14ac:dyDescent="0.4">
      <c r="A441" s="290" t="s">
        <v>14</v>
      </c>
      <c r="B441" s="290"/>
      <c r="C441" s="290"/>
      <c r="D441" s="290"/>
      <c r="E441" s="290"/>
      <c r="F441" s="290"/>
      <c r="G441" s="290"/>
      <c r="H441" s="290"/>
      <c r="I441" s="290"/>
      <c r="J441" s="290"/>
      <c r="K441" s="290"/>
      <c r="L441" s="290"/>
      <c r="M441" s="290"/>
      <c r="N441" s="290"/>
      <c r="O441" s="125"/>
      <c r="P441" s="285"/>
      <c r="Q441" s="285"/>
      <c r="R441" s="5"/>
    </row>
    <row r="442" spans="1:21" ht="25.2" customHeight="1" x14ac:dyDescent="0.4">
      <c r="A442" s="288" t="s">
        <v>15</v>
      </c>
      <c r="B442" s="288"/>
      <c r="C442" s="288"/>
      <c r="D442" s="288"/>
      <c r="E442" s="288"/>
      <c r="F442" s="288"/>
      <c r="G442" s="288"/>
      <c r="H442" s="288"/>
      <c r="I442" s="288"/>
      <c r="J442" s="288"/>
      <c r="K442" s="288"/>
      <c r="L442" s="288"/>
      <c r="M442" s="288"/>
      <c r="N442" s="288"/>
      <c r="O442" s="124"/>
      <c r="P442" s="284"/>
      <c r="Q442" s="284"/>
      <c r="R442" s="5"/>
    </row>
    <row r="443" spans="1:21" ht="25.2" customHeight="1" x14ac:dyDescent="0.4">
      <c r="A443" s="288" t="s">
        <v>16</v>
      </c>
      <c r="B443" s="288"/>
      <c r="C443" s="288"/>
      <c r="D443" s="288"/>
      <c r="E443" s="288"/>
      <c r="F443" s="288"/>
      <c r="G443" s="288"/>
      <c r="H443" s="288"/>
      <c r="I443" s="288"/>
      <c r="J443" s="288"/>
      <c r="K443" s="288"/>
      <c r="L443" s="288"/>
      <c r="M443" s="288"/>
      <c r="N443" s="288"/>
      <c r="O443" s="124"/>
      <c r="P443" s="284"/>
      <c r="Q443" s="284"/>
      <c r="R443" s="5"/>
    </row>
    <row r="444" spans="1:21" ht="25.2" customHeight="1" x14ac:dyDescent="0.4">
      <c r="A444" s="288" t="s">
        <v>17</v>
      </c>
      <c r="B444" s="288"/>
      <c r="C444" s="288"/>
      <c r="D444" s="288"/>
      <c r="E444" s="288"/>
      <c r="F444" s="288"/>
      <c r="G444" s="288"/>
      <c r="H444" s="288"/>
      <c r="I444" s="288"/>
      <c r="J444" s="288"/>
      <c r="K444" s="288"/>
      <c r="L444" s="288"/>
      <c r="M444" s="288"/>
      <c r="N444" s="288"/>
      <c r="O444" s="124"/>
      <c r="P444" s="284"/>
      <c r="Q444" s="284"/>
      <c r="R444" s="5"/>
    </row>
    <row r="445" spans="1:21" ht="25.2" customHeight="1" x14ac:dyDescent="0.4">
      <c r="A445" s="288" t="s">
        <v>1852</v>
      </c>
      <c r="B445" s="288"/>
      <c r="C445" s="288"/>
      <c r="D445" s="288"/>
      <c r="E445" s="288"/>
      <c r="F445" s="288"/>
      <c r="G445" s="288"/>
      <c r="H445" s="288"/>
      <c r="I445" s="288"/>
      <c r="J445" s="288"/>
      <c r="K445" s="288"/>
      <c r="L445" s="288"/>
      <c r="M445" s="288"/>
      <c r="N445" s="288"/>
      <c r="O445" s="124"/>
      <c r="P445" s="284"/>
      <c r="Q445" s="284"/>
      <c r="R445" s="5"/>
    </row>
    <row r="446" spans="1:21" ht="25.2" customHeight="1" x14ac:dyDescent="0.4">
      <c r="A446" s="288" t="s">
        <v>17</v>
      </c>
      <c r="B446" s="288"/>
      <c r="C446" s="288"/>
      <c r="D446" s="288"/>
      <c r="E446" s="288"/>
      <c r="F446" s="288"/>
      <c r="G446" s="288"/>
      <c r="H446" s="288"/>
      <c r="I446" s="288"/>
      <c r="J446" s="288"/>
      <c r="K446" s="288"/>
      <c r="L446" s="288"/>
      <c r="M446" s="288"/>
      <c r="N446" s="288"/>
      <c r="O446" s="124"/>
      <c r="P446" s="284"/>
      <c r="Q446" s="284"/>
      <c r="R446" s="5"/>
    </row>
    <row r="447" spans="1:21" ht="25.2" customHeight="1" x14ac:dyDescent="0.4">
      <c r="A447" s="288" t="s">
        <v>19</v>
      </c>
      <c r="B447" s="288"/>
      <c r="C447" s="288"/>
      <c r="D447" s="288"/>
      <c r="E447" s="288"/>
      <c r="F447" s="288"/>
      <c r="G447" s="288"/>
      <c r="H447" s="288"/>
      <c r="I447" s="288"/>
      <c r="J447" s="288"/>
      <c r="K447" s="288"/>
      <c r="L447" s="288"/>
      <c r="M447" s="288"/>
      <c r="N447" s="288"/>
      <c r="O447" s="124"/>
      <c r="P447" s="284"/>
      <c r="Q447" s="284"/>
      <c r="R447" s="5"/>
    </row>
    <row r="448" spans="1:21" ht="25.2" customHeight="1" x14ac:dyDescent="0.4">
      <c r="A448" s="288" t="s">
        <v>11</v>
      </c>
      <c r="B448" s="288"/>
      <c r="C448" s="288"/>
      <c r="D448" s="288"/>
      <c r="E448" s="288"/>
      <c r="F448" s="288"/>
      <c r="G448" s="288"/>
      <c r="H448" s="288"/>
      <c r="I448" s="288"/>
      <c r="J448" s="288"/>
      <c r="K448" s="288"/>
      <c r="L448" s="288"/>
      <c r="M448" s="288"/>
      <c r="N448" s="288"/>
      <c r="O448" s="124"/>
      <c r="P448" s="284"/>
      <c r="Q448" s="284"/>
      <c r="R448" s="5"/>
    </row>
    <row r="449" spans="1:18" ht="25.2" customHeight="1" x14ac:dyDescent="0.4">
      <c r="A449" s="288" t="s">
        <v>1859</v>
      </c>
      <c r="B449" s="288"/>
      <c r="C449" s="288"/>
      <c r="D449" s="288"/>
      <c r="E449" s="288"/>
      <c r="F449" s="288"/>
      <c r="G449" s="288"/>
      <c r="H449" s="288"/>
      <c r="I449" s="288"/>
      <c r="J449" s="288"/>
      <c r="K449" s="288"/>
      <c r="L449" s="288"/>
      <c r="M449" s="288"/>
      <c r="N449" s="288"/>
      <c r="O449" s="124"/>
      <c r="P449" s="284"/>
      <c r="Q449" s="284"/>
      <c r="R449" s="5"/>
    </row>
    <row r="450" spans="1:18" ht="25.2" customHeight="1" x14ac:dyDescent="0.4">
      <c r="A450" s="289" t="s">
        <v>31</v>
      </c>
      <c r="B450" s="289"/>
      <c r="C450" s="289"/>
      <c r="D450" s="289"/>
      <c r="E450" s="289"/>
      <c r="F450" s="289"/>
      <c r="G450" s="289"/>
      <c r="H450" s="289"/>
      <c r="I450" s="289"/>
      <c r="J450" s="289"/>
      <c r="K450" s="289"/>
      <c r="L450" s="289"/>
      <c r="M450" s="289"/>
      <c r="N450" s="289"/>
      <c r="O450" s="126"/>
      <c r="P450" s="286"/>
      <c r="Q450" s="286"/>
      <c r="R450" s="5"/>
    </row>
    <row r="451" spans="1:18" ht="36" customHeight="1" x14ac:dyDescent="0.3"/>
  </sheetData>
  <autoFilter ref="A18:U450" xr:uid="{DE685D05-9FEE-404B-AA01-BE2D5B544193}"/>
  <mergeCells count="36">
    <mergeCell ref="A449:N449"/>
    <mergeCell ref="A450:N450"/>
    <mergeCell ref="A443:N443"/>
    <mergeCell ref="A444:N444"/>
    <mergeCell ref="A445:N445"/>
    <mergeCell ref="A446:N446"/>
    <mergeCell ref="A447:N447"/>
    <mergeCell ref="A448:N448"/>
    <mergeCell ref="M16:Q16"/>
    <mergeCell ref="R16:R17"/>
    <mergeCell ref="A439:N439"/>
    <mergeCell ref="A440:N440"/>
    <mergeCell ref="A441:N441"/>
    <mergeCell ref="A442:N442"/>
    <mergeCell ref="F16:F17"/>
    <mergeCell ref="G16:G17"/>
    <mergeCell ref="H16:H17"/>
    <mergeCell ref="I16:I17"/>
    <mergeCell ref="J16:J17"/>
    <mergeCell ref="K16:K17"/>
    <mergeCell ref="A12:R12"/>
    <mergeCell ref="A13:R13"/>
    <mergeCell ref="A14:Q14"/>
    <mergeCell ref="A15:K15"/>
    <mergeCell ref="L15:R15"/>
    <mergeCell ref="A16:A17"/>
    <mergeCell ref="B16:B17"/>
    <mergeCell ref="C16:C17"/>
    <mergeCell ref="D16:D17"/>
    <mergeCell ref="E16:E17"/>
    <mergeCell ref="M1:R2"/>
    <mergeCell ref="M4:R4"/>
    <mergeCell ref="M5:R5"/>
    <mergeCell ref="M7:R7"/>
    <mergeCell ref="A10:R10"/>
    <mergeCell ref="A11:R11"/>
  </mergeCells>
  <pageMargins left="0.25" right="0.25" top="0.75" bottom="0.75" header="0.3" footer="0.3"/>
  <pageSetup paperSize="9" scale="36" fitToHeight="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898E-3844-482E-B252-1FA6ABD5E831}">
  <sheetPr>
    <tabColor rgb="FFFFFF00"/>
    <pageSetUpPr fitToPage="1"/>
  </sheetPr>
  <dimension ref="A1:U444"/>
  <sheetViews>
    <sheetView tabSelected="1" topLeftCell="E409" zoomScale="68" zoomScaleNormal="68" workbookViewId="0">
      <selection activeCell="S425" sqref="S425"/>
    </sheetView>
  </sheetViews>
  <sheetFormatPr defaultRowHeight="14.4" x14ac:dyDescent="0.3"/>
  <cols>
    <col min="1" max="1" width="6.6640625" style="287" customWidth="1"/>
    <col min="2" max="2" width="63.109375" customWidth="1"/>
    <col min="3" max="3" width="10.44140625" style="287" customWidth="1"/>
    <col min="4" max="4" width="11.109375" style="287" customWidth="1"/>
    <col min="5" max="5" width="13.109375" style="287" customWidth="1"/>
    <col min="6" max="6" width="20.109375" style="287" customWidth="1"/>
    <col min="7" max="11" width="13.109375" style="287" customWidth="1"/>
    <col min="12" max="12" width="17.33203125" style="4" customWidth="1"/>
    <col min="13" max="13" width="61" style="4" customWidth="1"/>
    <col min="14" max="15" width="11.6640625" style="4" customWidth="1"/>
    <col min="16" max="16" width="19.77734375" style="4" customWidth="1"/>
    <col min="17" max="17" width="15.44140625" style="4" bestFit="1" customWidth="1"/>
    <col min="18" max="18" width="35.44140625" customWidth="1"/>
    <col min="19" max="19" width="12.109375" bestFit="1" customWidth="1"/>
    <col min="21" max="21" width="9.88671875" bestFit="1" customWidth="1"/>
  </cols>
  <sheetData>
    <row r="1" spans="1:20" ht="15.75" customHeight="1" x14ac:dyDescent="0.3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06" t="s">
        <v>26</v>
      </c>
      <c r="N1" s="306"/>
      <c r="O1" s="306"/>
      <c r="P1" s="306"/>
      <c r="Q1" s="306"/>
      <c r="R1" s="306"/>
      <c r="S1" s="13"/>
      <c r="T1" s="13"/>
    </row>
    <row r="2" spans="1:20" ht="15" customHeight="1" x14ac:dyDescent="0.3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07"/>
      <c r="N2" s="307"/>
      <c r="O2" s="307"/>
      <c r="P2" s="307"/>
      <c r="Q2" s="307"/>
      <c r="R2" s="307"/>
      <c r="S2" s="13"/>
      <c r="T2" s="13"/>
    </row>
    <row r="3" spans="1:20" ht="15.6" x14ac:dyDescent="0.3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119"/>
      <c r="N3" s="119"/>
      <c r="O3" s="119"/>
      <c r="P3" s="283"/>
      <c r="Q3" s="283"/>
      <c r="R3" s="283"/>
      <c r="S3" s="13"/>
      <c r="T3" s="13"/>
    </row>
    <row r="4" spans="1:20" ht="23.4" x14ac:dyDescent="0.4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08" t="s">
        <v>27</v>
      </c>
      <c r="N4" s="308"/>
      <c r="O4" s="308"/>
      <c r="P4" s="308"/>
      <c r="Q4" s="308"/>
      <c r="R4" s="308"/>
      <c r="S4" s="13"/>
      <c r="T4" s="13"/>
    </row>
    <row r="5" spans="1:20" ht="21" x14ac:dyDescent="0.4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09" t="s">
        <v>28</v>
      </c>
      <c r="N5" s="309"/>
      <c r="O5" s="309"/>
      <c r="P5" s="309"/>
      <c r="Q5" s="309"/>
      <c r="R5" s="309"/>
      <c r="S5" s="13"/>
      <c r="T5" s="13"/>
    </row>
    <row r="6" spans="1:20" ht="15.6" x14ac:dyDescent="0.3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9"/>
      <c r="O6" s="9"/>
      <c r="P6" s="10"/>
      <c r="Q6" s="11"/>
      <c r="R6" s="12"/>
      <c r="S6" s="13"/>
      <c r="T6" s="13"/>
    </row>
    <row r="7" spans="1:20" ht="18" x14ac:dyDescent="0.35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10" t="s">
        <v>33</v>
      </c>
      <c r="N7" s="310"/>
      <c r="O7" s="310"/>
      <c r="P7" s="310"/>
      <c r="Q7" s="310"/>
      <c r="R7" s="310"/>
      <c r="S7" s="13"/>
      <c r="T7" s="13"/>
    </row>
    <row r="8" spans="1:20" ht="15.6" x14ac:dyDescent="0.3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S8" s="13"/>
      <c r="T8" s="13"/>
    </row>
    <row r="9" spans="1:20" ht="15.6" x14ac:dyDescent="0.3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S9" s="13"/>
      <c r="T9" s="13"/>
    </row>
    <row r="10" spans="1:20" ht="18" customHeight="1" x14ac:dyDescent="0.3">
      <c r="A10" s="305" t="s">
        <v>0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13"/>
      <c r="T10" s="13"/>
    </row>
    <row r="11" spans="1:20" ht="18" customHeight="1" x14ac:dyDescent="0.3">
      <c r="A11" s="305" t="s">
        <v>1</v>
      </c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13"/>
      <c r="T11" s="13"/>
    </row>
    <row r="12" spans="1:20" ht="18" customHeight="1" x14ac:dyDescent="0.3">
      <c r="A12" s="305" t="s">
        <v>2</v>
      </c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13"/>
      <c r="T12" s="13"/>
    </row>
    <row r="13" spans="1:20" ht="63.6" customHeight="1" x14ac:dyDescent="0.3">
      <c r="A13" s="311" t="s">
        <v>1897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</row>
    <row r="14" spans="1:20" ht="27" customHeight="1" thickBot="1" x14ac:dyDescent="0.35">
      <c r="A14" s="313" t="s">
        <v>36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  <c r="Q14" s="313"/>
    </row>
    <row r="15" spans="1:20" ht="30.6" customHeight="1" thickBot="1" x14ac:dyDescent="0.35">
      <c r="A15" s="314" t="s">
        <v>24</v>
      </c>
      <c r="B15" s="315"/>
      <c r="C15" s="315"/>
      <c r="D15" s="315"/>
      <c r="E15" s="315"/>
      <c r="F15" s="315"/>
      <c r="G15" s="315"/>
      <c r="H15" s="315"/>
      <c r="I15" s="315"/>
      <c r="J15" s="315"/>
      <c r="K15" s="315"/>
      <c r="L15" s="316" t="s">
        <v>25</v>
      </c>
      <c r="M15" s="317"/>
      <c r="N15" s="317"/>
      <c r="O15" s="317"/>
      <c r="P15" s="317"/>
      <c r="Q15" s="317"/>
      <c r="R15" s="318"/>
    </row>
    <row r="16" spans="1:20" ht="15" customHeight="1" x14ac:dyDescent="0.3">
      <c r="A16" s="298" t="s">
        <v>3</v>
      </c>
      <c r="B16" s="300" t="s">
        <v>4</v>
      </c>
      <c r="C16" s="300"/>
      <c r="D16" s="293" t="s">
        <v>5</v>
      </c>
      <c r="E16" s="300" t="s">
        <v>6</v>
      </c>
      <c r="F16" s="291"/>
      <c r="G16" s="293"/>
      <c r="H16" s="293"/>
      <c r="I16" s="294"/>
      <c r="J16" s="293" t="s">
        <v>21</v>
      </c>
      <c r="K16" s="296" t="s">
        <v>22</v>
      </c>
      <c r="L16" s="16"/>
      <c r="M16" s="302" t="s">
        <v>7</v>
      </c>
      <c r="N16" s="303"/>
      <c r="O16" s="303"/>
      <c r="P16" s="303"/>
      <c r="Q16" s="304"/>
      <c r="R16" s="296" t="s">
        <v>8</v>
      </c>
    </row>
    <row r="17" spans="1:21" ht="34.200000000000003" customHeight="1" x14ac:dyDescent="0.3">
      <c r="A17" s="299"/>
      <c r="B17" s="301"/>
      <c r="C17" s="301"/>
      <c r="D17" s="292"/>
      <c r="E17" s="301"/>
      <c r="F17" s="292"/>
      <c r="G17" s="292"/>
      <c r="H17" s="292"/>
      <c r="I17" s="295"/>
      <c r="J17" s="292"/>
      <c r="K17" s="297"/>
      <c r="L17" s="17" t="s">
        <v>20</v>
      </c>
      <c r="M17" s="14" t="s">
        <v>9</v>
      </c>
      <c r="N17" s="18" t="s">
        <v>10</v>
      </c>
      <c r="O17" s="7" t="s">
        <v>6</v>
      </c>
      <c r="P17" s="8" t="s">
        <v>21</v>
      </c>
      <c r="Q17" s="8" t="s">
        <v>22</v>
      </c>
      <c r="R17" s="297"/>
    </row>
    <row r="18" spans="1:21" ht="15" thickBot="1" x14ac:dyDescent="0.35">
      <c r="A18" s="21">
        <v>1</v>
      </c>
      <c r="B18" s="22">
        <v>2</v>
      </c>
      <c r="C18" s="22"/>
      <c r="D18" s="22">
        <v>3</v>
      </c>
      <c r="E18" s="22">
        <v>4</v>
      </c>
      <c r="F18" s="22"/>
      <c r="G18" s="22"/>
      <c r="H18" s="22"/>
      <c r="I18" s="74"/>
      <c r="J18" s="22">
        <v>5</v>
      </c>
      <c r="K18" s="23">
        <v>6</v>
      </c>
      <c r="L18" s="83">
        <v>7</v>
      </c>
      <c r="M18" s="7">
        <v>8</v>
      </c>
      <c r="N18" s="7">
        <v>9</v>
      </c>
      <c r="O18" s="7">
        <v>10</v>
      </c>
      <c r="P18" s="7">
        <v>11</v>
      </c>
      <c r="Q18" s="7">
        <v>12</v>
      </c>
      <c r="R18" s="127">
        <v>13</v>
      </c>
      <c r="U18" s="128"/>
    </row>
    <row r="19" spans="1:21" ht="33.6" customHeight="1" x14ac:dyDescent="0.3">
      <c r="A19" s="60"/>
      <c r="B19" s="80" t="s">
        <v>1898</v>
      </c>
      <c r="C19" s="80"/>
      <c r="D19" s="80" t="s">
        <v>34</v>
      </c>
      <c r="E19" s="80">
        <v>1</v>
      </c>
      <c r="F19" s="69"/>
      <c r="G19" s="69"/>
      <c r="H19" s="69"/>
      <c r="I19" s="69"/>
      <c r="J19" s="69"/>
      <c r="K19" s="69"/>
      <c r="L19" s="348" t="s">
        <v>1862</v>
      </c>
      <c r="M19" s="349" t="s">
        <v>1878</v>
      </c>
      <c r="N19" s="348" t="s">
        <v>34</v>
      </c>
      <c r="O19" s="350">
        <v>1</v>
      </c>
      <c r="P19" s="351">
        <v>96.77</v>
      </c>
      <c r="Q19" s="351">
        <v>96.77</v>
      </c>
      <c r="R19" s="181"/>
      <c r="U19" s="128"/>
    </row>
    <row r="20" spans="1:21" ht="15.6" x14ac:dyDescent="0.3">
      <c r="A20" s="51"/>
      <c r="B20" s="59"/>
      <c r="C20" s="47"/>
      <c r="D20" s="61"/>
      <c r="E20" s="62"/>
      <c r="F20" s="75"/>
      <c r="G20" s="76"/>
      <c r="H20" s="76"/>
      <c r="I20" s="48"/>
      <c r="J20" s="48"/>
      <c r="K20" s="48"/>
      <c r="L20" s="348" t="s">
        <v>977</v>
      </c>
      <c r="M20" s="349" t="s">
        <v>1057</v>
      </c>
      <c r="N20" s="348" t="s">
        <v>34</v>
      </c>
      <c r="O20" s="350">
        <v>105</v>
      </c>
      <c r="P20" s="351">
        <v>3.94</v>
      </c>
      <c r="Q20" s="351">
        <v>413.7</v>
      </c>
      <c r="R20" s="182"/>
      <c r="U20" s="128"/>
    </row>
    <row r="21" spans="1:21" ht="15.6" x14ac:dyDescent="0.3">
      <c r="A21" s="51"/>
      <c r="B21" s="59"/>
      <c r="C21" s="47"/>
      <c r="D21" s="61"/>
      <c r="E21" s="62"/>
      <c r="F21" s="75"/>
      <c r="G21" s="76"/>
      <c r="H21" s="76"/>
      <c r="I21" s="48"/>
      <c r="J21" s="48"/>
      <c r="K21" s="48"/>
      <c r="L21" s="348" t="s">
        <v>978</v>
      </c>
      <c r="M21" s="349" t="s">
        <v>1058</v>
      </c>
      <c r="N21" s="348" t="s">
        <v>34</v>
      </c>
      <c r="O21" s="350">
        <v>205</v>
      </c>
      <c r="P21" s="351">
        <v>2.4300000000000002</v>
      </c>
      <c r="Q21" s="351">
        <v>498.15</v>
      </c>
      <c r="R21" s="182"/>
      <c r="U21" s="128"/>
    </row>
    <row r="22" spans="1:21" ht="15.6" x14ac:dyDescent="0.3">
      <c r="A22" s="53"/>
      <c r="B22" s="54"/>
      <c r="C22" s="54"/>
      <c r="D22" s="54"/>
      <c r="E22" s="55"/>
      <c r="F22" s="75"/>
      <c r="G22" s="76"/>
      <c r="H22" s="76"/>
      <c r="I22" s="48"/>
      <c r="J22" s="70"/>
      <c r="K22" s="70"/>
      <c r="L22" s="348" t="s">
        <v>941</v>
      </c>
      <c r="M22" s="349" t="s">
        <v>1040</v>
      </c>
      <c r="N22" s="348" t="s">
        <v>903</v>
      </c>
      <c r="O22" s="350">
        <v>0.15</v>
      </c>
      <c r="P22" s="352">
        <v>10451.07</v>
      </c>
      <c r="Q22" s="352">
        <v>1567.66</v>
      </c>
      <c r="R22" s="182"/>
      <c r="U22" s="128"/>
    </row>
    <row r="23" spans="1:21" ht="15.6" x14ac:dyDescent="0.3">
      <c r="A23" s="53"/>
      <c r="B23" s="54"/>
      <c r="C23" s="54"/>
      <c r="D23" s="54"/>
      <c r="E23" s="55"/>
      <c r="F23" s="75"/>
      <c r="G23" s="76"/>
      <c r="H23" s="76"/>
      <c r="I23" s="48"/>
      <c r="J23" s="70"/>
      <c r="K23" s="70"/>
      <c r="L23" s="348" t="s">
        <v>942</v>
      </c>
      <c r="M23" s="349" t="s">
        <v>740</v>
      </c>
      <c r="N23" s="348" t="s">
        <v>903</v>
      </c>
      <c r="O23" s="350">
        <v>1.84</v>
      </c>
      <c r="P23" s="352">
        <v>11184.93</v>
      </c>
      <c r="Q23" s="352">
        <v>20580.28</v>
      </c>
      <c r="R23" s="182"/>
      <c r="U23" s="128"/>
    </row>
    <row r="24" spans="1:21" ht="15.6" x14ac:dyDescent="0.3">
      <c r="A24" s="53"/>
      <c r="B24" s="54"/>
      <c r="C24" s="54"/>
      <c r="D24" s="54"/>
      <c r="E24" s="55"/>
      <c r="F24" s="75"/>
      <c r="G24" s="76"/>
      <c r="H24" s="76"/>
      <c r="I24" s="48"/>
      <c r="J24" s="70"/>
      <c r="K24" s="70"/>
      <c r="L24" s="348" t="s">
        <v>1283</v>
      </c>
      <c r="M24" s="349" t="s">
        <v>1318</v>
      </c>
      <c r="N24" s="348" t="s">
        <v>903</v>
      </c>
      <c r="O24" s="350">
        <v>1</v>
      </c>
      <c r="P24" s="352">
        <v>11094.5</v>
      </c>
      <c r="Q24" s="352">
        <v>11094.5</v>
      </c>
      <c r="R24" s="182"/>
      <c r="U24" s="128"/>
    </row>
    <row r="25" spans="1:21" ht="15.6" x14ac:dyDescent="0.3">
      <c r="A25" s="53"/>
      <c r="B25" s="54"/>
      <c r="C25" s="54"/>
      <c r="D25" s="54"/>
      <c r="E25" s="55"/>
      <c r="F25" s="75"/>
      <c r="G25" s="76"/>
      <c r="H25" s="76"/>
      <c r="I25" s="48"/>
      <c r="J25" s="70"/>
      <c r="K25" s="70"/>
      <c r="L25" s="348" t="s">
        <v>1863</v>
      </c>
      <c r="M25" s="349" t="s">
        <v>1879</v>
      </c>
      <c r="N25" s="348" t="s">
        <v>903</v>
      </c>
      <c r="O25" s="350">
        <v>0.11</v>
      </c>
      <c r="P25" s="352">
        <v>12500</v>
      </c>
      <c r="Q25" s="352">
        <v>1375</v>
      </c>
      <c r="R25" s="182"/>
      <c r="U25" s="128"/>
    </row>
    <row r="26" spans="1:21" ht="15.6" x14ac:dyDescent="0.3">
      <c r="A26" s="53"/>
      <c r="B26" s="54"/>
      <c r="C26" s="54"/>
      <c r="D26" s="54"/>
      <c r="E26" s="55"/>
      <c r="F26" s="75"/>
      <c r="G26" s="76"/>
      <c r="H26" s="76"/>
      <c r="I26" s="48"/>
      <c r="J26" s="70"/>
      <c r="K26" s="70"/>
      <c r="L26" s="348" t="s">
        <v>943</v>
      </c>
      <c r="M26" s="349" t="s">
        <v>745</v>
      </c>
      <c r="N26" s="348" t="s">
        <v>903</v>
      </c>
      <c r="O26" s="350">
        <v>0.15</v>
      </c>
      <c r="P26" s="352">
        <v>9590</v>
      </c>
      <c r="Q26" s="352">
        <v>1438.5</v>
      </c>
      <c r="R26" s="182"/>
      <c r="U26" s="128"/>
    </row>
    <row r="27" spans="1:21" ht="15.6" x14ac:dyDescent="0.3">
      <c r="A27" s="53"/>
      <c r="B27" s="54"/>
      <c r="C27" s="54"/>
      <c r="D27" s="54"/>
      <c r="E27" s="55"/>
      <c r="F27" s="75"/>
      <c r="G27" s="76"/>
      <c r="H27" s="76"/>
      <c r="I27" s="48"/>
      <c r="J27" s="70"/>
      <c r="K27" s="70"/>
      <c r="L27" s="348" t="s">
        <v>1023</v>
      </c>
      <c r="M27" s="349" t="s">
        <v>70</v>
      </c>
      <c r="N27" s="348" t="s">
        <v>56</v>
      </c>
      <c r="O27" s="350">
        <v>0.13</v>
      </c>
      <c r="P27" s="352">
        <v>27143</v>
      </c>
      <c r="Q27" s="352">
        <v>3528.59</v>
      </c>
      <c r="R27" s="182"/>
      <c r="U27" s="128"/>
    </row>
    <row r="28" spans="1:21" ht="15.6" x14ac:dyDescent="0.3">
      <c r="A28" s="53"/>
      <c r="B28" s="54"/>
      <c r="C28" s="54"/>
      <c r="D28" s="54"/>
      <c r="E28" s="55"/>
      <c r="F28" s="75"/>
      <c r="G28" s="76"/>
      <c r="H28" s="76"/>
      <c r="I28" s="48"/>
      <c r="J28" s="70"/>
      <c r="K28" s="70"/>
      <c r="L28" s="348" t="s">
        <v>1024</v>
      </c>
      <c r="M28" s="349" t="s">
        <v>71</v>
      </c>
      <c r="N28" s="348" t="s">
        <v>56</v>
      </c>
      <c r="O28" s="350">
        <v>0.12</v>
      </c>
      <c r="P28" s="352">
        <v>43560</v>
      </c>
      <c r="Q28" s="352">
        <v>5227.2</v>
      </c>
      <c r="R28" s="182"/>
      <c r="U28" s="128"/>
    </row>
    <row r="29" spans="1:21" ht="15.6" x14ac:dyDescent="0.3">
      <c r="A29" s="53"/>
      <c r="B29" s="54"/>
      <c r="C29" s="54"/>
      <c r="D29" s="54"/>
      <c r="E29" s="55"/>
      <c r="F29" s="75"/>
      <c r="G29" s="76"/>
      <c r="H29" s="76"/>
      <c r="I29" s="48"/>
      <c r="J29" s="70"/>
      <c r="K29" s="70"/>
      <c r="L29" s="348" t="s">
        <v>1025</v>
      </c>
      <c r="M29" s="349" t="s">
        <v>72</v>
      </c>
      <c r="N29" s="348" t="s">
        <v>56</v>
      </c>
      <c r="O29" s="350">
        <v>1.7999999999999999E-2</v>
      </c>
      <c r="P29" s="352">
        <v>67490</v>
      </c>
      <c r="Q29" s="352">
        <v>1214.82</v>
      </c>
      <c r="R29" s="182"/>
      <c r="U29" s="128"/>
    </row>
    <row r="30" spans="1:21" ht="15.6" x14ac:dyDescent="0.3">
      <c r="A30" s="53"/>
      <c r="B30" s="54"/>
      <c r="C30" s="54"/>
      <c r="D30" s="54"/>
      <c r="E30" s="55"/>
      <c r="F30" s="75"/>
      <c r="G30" s="76"/>
      <c r="H30" s="76"/>
      <c r="I30" s="48"/>
      <c r="J30" s="70"/>
      <c r="K30" s="70"/>
      <c r="L30" s="348" t="s">
        <v>979</v>
      </c>
      <c r="M30" s="349" t="s">
        <v>73</v>
      </c>
      <c r="N30" s="348" t="s">
        <v>34</v>
      </c>
      <c r="O30" s="350">
        <v>4</v>
      </c>
      <c r="P30" s="351">
        <v>377.87</v>
      </c>
      <c r="Q30" s="352">
        <v>1511.48</v>
      </c>
      <c r="R30" s="182"/>
      <c r="U30" s="128"/>
    </row>
    <row r="31" spans="1:21" ht="15.6" x14ac:dyDescent="0.3">
      <c r="A31" s="53"/>
      <c r="B31" s="54"/>
      <c r="C31" s="54"/>
      <c r="D31" s="54"/>
      <c r="E31" s="55"/>
      <c r="F31" s="75"/>
      <c r="G31" s="76"/>
      <c r="H31" s="76"/>
      <c r="I31" s="48"/>
      <c r="J31" s="70"/>
      <c r="K31" s="70"/>
      <c r="L31" s="348" t="s">
        <v>1099</v>
      </c>
      <c r="M31" s="349" t="s">
        <v>1100</v>
      </c>
      <c r="N31" s="348" t="s">
        <v>34</v>
      </c>
      <c r="O31" s="350">
        <v>1</v>
      </c>
      <c r="P31" s="351">
        <v>35</v>
      </c>
      <c r="Q31" s="351">
        <v>35</v>
      </c>
      <c r="R31" s="182"/>
      <c r="U31" s="128"/>
    </row>
    <row r="32" spans="1:21" ht="15.6" x14ac:dyDescent="0.3">
      <c r="A32" s="53"/>
      <c r="B32" s="54"/>
      <c r="C32" s="54"/>
      <c r="D32" s="54"/>
      <c r="E32" s="55"/>
      <c r="F32" s="75"/>
      <c r="G32" s="76"/>
      <c r="H32" s="76"/>
      <c r="I32" s="48"/>
      <c r="J32" s="70"/>
      <c r="K32" s="70"/>
      <c r="L32" s="348" t="s">
        <v>1864</v>
      </c>
      <c r="M32" s="349" t="s">
        <v>279</v>
      </c>
      <c r="N32" s="348" t="s">
        <v>34</v>
      </c>
      <c r="O32" s="350">
        <v>1.46</v>
      </c>
      <c r="P32" s="351">
        <v>68.59</v>
      </c>
      <c r="Q32" s="351">
        <v>100.14</v>
      </c>
      <c r="R32" s="182"/>
      <c r="U32" s="128"/>
    </row>
    <row r="33" spans="1:21" ht="15.6" x14ac:dyDescent="0.3">
      <c r="A33" s="53"/>
      <c r="B33" s="54"/>
      <c r="C33" s="54"/>
      <c r="D33" s="54"/>
      <c r="E33" s="55"/>
      <c r="F33" s="75"/>
      <c r="G33" s="76"/>
      <c r="H33" s="76"/>
      <c r="I33" s="48"/>
      <c r="J33" s="70"/>
      <c r="K33" s="70"/>
      <c r="L33" s="348" t="s">
        <v>1865</v>
      </c>
      <c r="M33" s="349" t="s">
        <v>1880</v>
      </c>
      <c r="N33" s="348" t="s">
        <v>34</v>
      </c>
      <c r="O33" s="350">
        <v>3.08</v>
      </c>
      <c r="P33" s="351">
        <v>41</v>
      </c>
      <c r="Q33" s="351">
        <v>126.28</v>
      </c>
      <c r="R33" s="182"/>
      <c r="U33" s="128"/>
    </row>
    <row r="34" spans="1:21" ht="15.6" x14ac:dyDescent="0.3">
      <c r="A34" s="53"/>
      <c r="B34" s="54"/>
      <c r="C34" s="54"/>
      <c r="D34" s="54"/>
      <c r="E34" s="55"/>
      <c r="F34" s="75"/>
      <c r="G34" s="76"/>
      <c r="H34" s="76"/>
      <c r="I34" s="48"/>
      <c r="J34" s="70"/>
      <c r="K34" s="70"/>
      <c r="L34" s="348" t="s">
        <v>980</v>
      </c>
      <c r="M34" s="349" t="s">
        <v>284</v>
      </c>
      <c r="N34" s="348" t="s">
        <v>34</v>
      </c>
      <c r="O34" s="350">
        <v>7</v>
      </c>
      <c r="P34" s="351">
        <v>86.37</v>
      </c>
      <c r="Q34" s="351">
        <v>604.55999999999995</v>
      </c>
      <c r="R34" s="182"/>
      <c r="U34" s="128"/>
    </row>
    <row r="35" spans="1:21" ht="15.6" x14ac:dyDescent="0.3">
      <c r="A35" s="53"/>
      <c r="B35" s="54"/>
      <c r="C35" s="54"/>
      <c r="D35" s="54"/>
      <c r="E35" s="55"/>
      <c r="F35" s="75"/>
      <c r="G35" s="76"/>
      <c r="H35" s="76"/>
      <c r="I35" s="48"/>
      <c r="J35" s="70"/>
      <c r="K35" s="70"/>
      <c r="L35" s="348" t="s">
        <v>1092</v>
      </c>
      <c r="M35" s="349" t="s">
        <v>1096</v>
      </c>
      <c r="N35" s="348" t="s">
        <v>34</v>
      </c>
      <c r="O35" s="350">
        <v>1</v>
      </c>
      <c r="P35" s="351">
        <v>128.24</v>
      </c>
      <c r="Q35" s="351">
        <v>128.24</v>
      </c>
      <c r="R35" s="182"/>
      <c r="U35" s="128"/>
    </row>
    <row r="36" spans="1:21" ht="15.6" x14ac:dyDescent="0.3">
      <c r="A36" s="53"/>
      <c r="B36" s="54"/>
      <c r="C36" s="54"/>
      <c r="D36" s="54"/>
      <c r="E36" s="55"/>
      <c r="F36" s="75"/>
      <c r="G36" s="76"/>
      <c r="H36" s="76"/>
      <c r="I36" s="48"/>
      <c r="J36" s="70"/>
      <c r="K36" s="70"/>
      <c r="L36" s="348" t="s">
        <v>981</v>
      </c>
      <c r="M36" s="349" t="s">
        <v>285</v>
      </c>
      <c r="N36" s="348" t="s">
        <v>34</v>
      </c>
      <c r="O36" s="350">
        <v>1</v>
      </c>
      <c r="P36" s="351">
        <v>84.9</v>
      </c>
      <c r="Q36" s="351">
        <v>84.9</v>
      </c>
      <c r="R36" s="182"/>
      <c r="U36" s="128"/>
    </row>
    <row r="37" spans="1:21" ht="15.6" x14ac:dyDescent="0.3">
      <c r="A37" s="53"/>
      <c r="B37" s="54"/>
      <c r="C37" s="54"/>
      <c r="D37" s="54"/>
      <c r="E37" s="55"/>
      <c r="F37" s="75"/>
      <c r="G37" s="76"/>
      <c r="H37" s="76"/>
      <c r="I37" s="48"/>
      <c r="J37" s="70"/>
      <c r="K37" s="70"/>
      <c r="L37" s="348" t="s">
        <v>982</v>
      </c>
      <c r="M37" s="349" t="s">
        <v>751</v>
      </c>
      <c r="N37" s="348" t="s">
        <v>34</v>
      </c>
      <c r="O37" s="350">
        <v>4</v>
      </c>
      <c r="P37" s="351">
        <v>15.5</v>
      </c>
      <c r="Q37" s="351">
        <v>62</v>
      </c>
      <c r="R37" s="182"/>
      <c r="U37" s="128"/>
    </row>
    <row r="38" spans="1:21" ht="15.6" x14ac:dyDescent="0.3">
      <c r="A38" s="53"/>
      <c r="B38" s="54"/>
      <c r="C38" s="54"/>
      <c r="D38" s="54"/>
      <c r="E38" s="55"/>
      <c r="F38" s="75"/>
      <c r="G38" s="76"/>
      <c r="H38" s="76"/>
      <c r="I38" s="48"/>
      <c r="J38" s="70"/>
      <c r="K38" s="70"/>
      <c r="L38" s="348" t="s">
        <v>752</v>
      </c>
      <c r="M38" s="349" t="s">
        <v>753</v>
      </c>
      <c r="N38" s="348" t="s">
        <v>68</v>
      </c>
      <c r="O38" s="350">
        <v>1.1200000000000001</v>
      </c>
      <c r="P38" s="352">
        <v>5053.13</v>
      </c>
      <c r="Q38" s="352">
        <v>5659.51</v>
      </c>
      <c r="R38" s="182"/>
      <c r="U38" s="128"/>
    </row>
    <row r="39" spans="1:21" ht="15.6" x14ac:dyDescent="0.3">
      <c r="A39" s="53"/>
      <c r="B39" s="54"/>
      <c r="C39" s="54"/>
      <c r="D39" s="54"/>
      <c r="E39" s="55"/>
      <c r="F39" s="75"/>
      <c r="G39" s="76"/>
      <c r="H39" s="76"/>
      <c r="I39" s="48"/>
      <c r="J39" s="70"/>
      <c r="K39" s="70"/>
      <c r="L39" s="348" t="s">
        <v>1120</v>
      </c>
      <c r="M39" s="349" t="s">
        <v>1206</v>
      </c>
      <c r="N39" s="348" t="s">
        <v>35</v>
      </c>
      <c r="O39" s="350">
        <v>10</v>
      </c>
      <c r="P39" s="351">
        <v>133.30000000000001</v>
      </c>
      <c r="Q39" s="352">
        <v>1333</v>
      </c>
      <c r="R39" s="182"/>
      <c r="U39" s="128"/>
    </row>
    <row r="40" spans="1:21" ht="15.6" x14ac:dyDescent="0.3">
      <c r="A40" s="53"/>
      <c r="B40" s="54"/>
      <c r="C40" s="54"/>
      <c r="D40" s="54"/>
      <c r="E40" s="55"/>
      <c r="F40" s="75"/>
      <c r="G40" s="76"/>
      <c r="H40" s="76"/>
      <c r="I40" s="48"/>
      <c r="J40" s="70"/>
      <c r="K40" s="70"/>
      <c r="L40" s="348" t="s">
        <v>967</v>
      </c>
      <c r="M40" s="349" t="s">
        <v>1056</v>
      </c>
      <c r="N40" s="348" t="s">
        <v>34</v>
      </c>
      <c r="O40" s="353">
        <v>1200</v>
      </c>
      <c r="P40" s="351">
        <v>0.43</v>
      </c>
      <c r="Q40" s="351">
        <v>516</v>
      </c>
      <c r="R40" s="182"/>
      <c r="U40" s="128"/>
    </row>
    <row r="41" spans="1:21" ht="15.6" x14ac:dyDescent="0.3">
      <c r="A41" s="53"/>
      <c r="B41" s="54"/>
      <c r="C41" s="54"/>
      <c r="D41" s="54"/>
      <c r="E41" s="55"/>
      <c r="F41" s="75"/>
      <c r="G41" s="76"/>
      <c r="H41" s="76"/>
      <c r="I41" s="48"/>
      <c r="J41" s="70"/>
      <c r="K41" s="70"/>
      <c r="L41" s="348" t="s">
        <v>968</v>
      </c>
      <c r="M41" s="349" t="s">
        <v>756</v>
      </c>
      <c r="N41" s="348" t="s">
        <v>34</v>
      </c>
      <c r="O41" s="350">
        <v>2</v>
      </c>
      <c r="P41" s="351">
        <v>1.47</v>
      </c>
      <c r="Q41" s="351">
        <v>2.94</v>
      </c>
      <c r="R41" s="182"/>
      <c r="U41" s="128"/>
    </row>
    <row r="42" spans="1:21" ht="15.6" x14ac:dyDescent="0.3">
      <c r="A42" s="53"/>
      <c r="B42" s="54"/>
      <c r="C42" s="54"/>
      <c r="D42" s="54"/>
      <c r="E42" s="55"/>
      <c r="F42" s="75"/>
      <c r="G42" s="76"/>
      <c r="H42" s="76"/>
      <c r="I42" s="48"/>
      <c r="J42" s="70"/>
      <c r="K42" s="70"/>
      <c r="L42" s="348" t="s">
        <v>969</v>
      </c>
      <c r="M42" s="349" t="s">
        <v>75</v>
      </c>
      <c r="N42" s="348" t="s">
        <v>34</v>
      </c>
      <c r="O42" s="350">
        <v>49</v>
      </c>
      <c r="P42" s="351">
        <v>1.92</v>
      </c>
      <c r="Q42" s="351">
        <v>93.96</v>
      </c>
      <c r="R42" s="182"/>
      <c r="U42" s="128"/>
    </row>
    <row r="43" spans="1:21" ht="15.6" x14ac:dyDescent="0.3">
      <c r="A43" s="53"/>
      <c r="B43" s="54"/>
      <c r="C43" s="54"/>
      <c r="D43" s="54"/>
      <c r="E43" s="55"/>
      <c r="F43" s="75"/>
      <c r="G43" s="76"/>
      <c r="H43" s="76"/>
      <c r="I43" s="48"/>
      <c r="J43" s="70"/>
      <c r="K43" s="70"/>
      <c r="L43" s="348" t="s">
        <v>970</v>
      </c>
      <c r="M43" s="349" t="s">
        <v>294</v>
      </c>
      <c r="N43" s="348" t="s">
        <v>34</v>
      </c>
      <c r="O43" s="350">
        <v>3</v>
      </c>
      <c r="P43" s="351">
        <v>178.9</v>
      </c>
      <c r="Q43" s="351">
        <v>536.70000000000005</v>
      </c>
      <c r="R43" s="182"/>
      <c r="U43" s="128"/>
    </row>
    <row r="44" spans="1:21" ht="15.6" x14ac:dyDescent="0.3">
      <c r="A44" s="53"/>
      <c r="B44" s="54"/>
      <c r="C44" s="54"/>
      <c r="D44" s="54"/>
      <c r="E44" s="55"/>
      <c r="F44" s="75"/>
      <c r="G44" s="76"/>
      <c r="H44" s="76"/>
      <c r="I44" s="48"/>
      <c r="J44" s="70"/>
      <c r="K44" s="70"/>
      <c r="L44" s="348" t="s">
        <v>971</v>
      </c>
      <c r="M44" s="349" t="s">
        <v>296</v>
      </c>
      <c r="N44" s="348" t="s">
        <v>34</v>
      </c>
      <c r="O44" s="350">
        <v>3</v>
      </c>
      <c r="P44" s="351">
        <v>136.6</v>
      </c>
      <c r="Q44" s="351">
        <v>409.8</v>
      </c>
      <c r="R44" s="182"/>
      <c r="U44" s="128"/>
    </row>
    <row r="45" spans="1:21" ht="15.6" x14ac:dyDescent="0.3">
      <c r="A45" s="53"/>
      <c r="B45" s="54"/>
      <c r="C45" s="54"/>
      <c r="D45" s="54"/>
      <c r="E45" s="55"/>
      <c r="F45" s="75"/>
      <c r="G45" s="76"/>
      <c r="H45" s="76"/>
      <c r="I45" s="48"/>
      <c r="J45" s="70"/>
      <c r="K45" s="70"/>
      <c r="L45" s="348" t="s">
        <v>972</v>
      </c>
      <c r="M45" s="349" t="s">
        <v>297</v>
      </c>
      <c r="N45" s="348" t="s">
        <v>34</v>
      </c>
      <c r="O45" s="350">
        <v>6</v>
      </c>
      <c r="P45" s="351">
        <v>116.9</v>
      </c>
      <c r="Q45" s="351">
        <v>701.4</v>
      </c>
      <c r="R45" s="182"/>
      <c r="U45" s="128"/>
    </row>
    <row r="46" spans="1:21" ht="15.6" x14ac:dyDescent="0.3">
      <c r="A46" s="53"/>
      <c r="B46" s="54"/>
      <c r="C46" s="54"/>
      <c r="D46" s="54"/>
      <c r="E46" s="55"/>
      <c r="F46" s="75"/>
      <c r="G46" s="76"/>
      <c r="H46" s="76"/>
      <c r="I46" s="48"/>
      <c r="J46" s="70"/>
      <c r="K46" s="70"/>
      <c r="L46" s="348" t="s">
        <v>973</v>
      </c>
      <c r="M46" s="349" t="s">
        <v>759</v>
      </c>
      <c r="N46" s="348" t="s">
        <v>34</v>
      </c>
      <c r="O46" s="350">
        <v>11</v>
      </c>
      <c r="P46" s="351">
        <v>573.5</v>
      </c>
      <c r="Q46" s="352">
        <v>6308.5</v>
      </c>
      <c r="R46" s="182"/>
      <c r="U46" s="128"/>
    </row>
    <row r="47" spans="1:21" ht="15.6" x14ac:dyDescent="0.3">
      <c r="A47" s="53"/>
      <c r="B47" s="54"/>
      <c r="C47" s="54"/>
      <c r="D47" s="54"/>
      <c r="E47" s="55"/>
      <c r="F47" s="75"/>
      <c r="G47" s="76"/>
      <c r="H47" s="76"/>
      <c r="I47" s="48"/>
      <c r="J47" s="70"/>
      <c r="K47" s="70"/>
      <c r="L47" s="348" t="s">
        <v>975</v>
      </c>
      <c r="M47" s="349" t="s">
        <v>763</v>
      </c>
      <c r="N47" s="348" t="s">
        <v>34</v>
      </c>
      <c r="O47" s="350">
        <v>10</v>
      </c>
      <c r="P47" s="351">
        <v>128.69</v>
      </c>
      <c r="Q47" s="352">
        <v>1286.9000000000001</v>
      </c>
      <c r="R47" s="182"/>
      <c r="U47" s="128"/>
    </row>
    <row r="48" spans="1:21" ht="15.6" x14ac:dyDescent="0.3">
      <c r="A48" s="53"/>
      <c r="B48" s="54"/>
      <c r="C48" s="54"/>
      <c r="D48" s="54"/>
      <c r="E48" s="55"/>
      <c r="F48" s="75"/>
      <c r="G48" s="76"/>
      <c r="H48" s="76"/>
      <c r="I48" s="48"/>
      <c r="J48" s="70"/>
      <c r="K48" s="70"/>
      <c r="L48" s="348" t="s">
        <v>1867</v>
      </c>
      <c r="M48" s="349" t="s">
        <v>1882</v>
      </c>
      <c r="N48" s="348" t="s">
        <v>903</v>
      </c>
      <c r="O48" s="350">
        <v>0.38</v>
      </c>
      <c r="P48" s="352">
        <v>29183.68</v>
      </c>
      <c r="Q48" s="352">
        <v>11089.8</v>
      </c>
      <c r="R48" s="182"/>
      <c r="U48" s="128"/>
    </row>
    <row r="49" spans="1:21" ht="15.6" x14ac:dyDescent="0.3">
      <c r="A49" s="53"/>
      <c r="B49" s="54"/>
      <c r="C49" s="54"/>
      <c r="D49" s="54"/>
      <c r="E49" s="55"/>
      <c r="F49" s="75"/>
      <c r="G49" s="76"/>
      <c r="H49" s="76"/>
      <c r="I49" s="48"/>
      <c r="J49" s="70"/>
      <c r="K49" s="70"/>
      <c r="L49" s="348" t="s">
        <v>1113</v>
      </c>
      <c r="M49" s="349" t="s">
        <v>1199</v>
      </c>
      <c r="N49" s="348" t="s">
        <v>903</v>
      </c>
      <c r="O49" s="350">
        <v>0.12</v>
      </c>
      <c r="P49" s="352">
        <v>10416.67</v>
      </c>
      <c r="Q49" s="352">
        <v>1250</v>
      </c>
      <c r="R49" s="182"/>
      <c r="U49" s="128"/>
    </row>
    <row r="50" spans="1:21" ht="15.6" x14ac:dyDescent="0.3">
      <c r="A50" s="53"/>
      <c r="B50" s="54"/>
      <c r="C50" s="54"/>
      <c r="D50" s="54"/>
      <c r="E50" s="55"/>
      <c r="F50" s="75"/>
      <c r="G50" s="76"/>
      <c r="H50" s="76"/>
      <c r="I50" s="48"/>
      <c r="J50" s="70"/>
      <c r="K50" s="70"/>
      <c r="L50" s="348" t="s">
        <v>1868</v>
      </c>
      <c r="M50" s="349" t="s">
        <v>1883</v>
      </c>
      <c r="N50" s="348" t="s">
        <v>903</v>
      </c>
      <c r="O50" s="350">
        <v>7.0000000000000007E-2</v>
      </c>
      <c r="P50" s="352">
        <v>17916.71</v>
      </c>
      <c r="Q50" s="352">
        <v>1254.17</v>
      </c>
      <c r="R50" s="182"/>
      <c r="U50" s="128"/>
    </row>
    <row r="51" spans="1:21" ht="15.6" x14ac:dyDescent="0.3">
      <c r="A51" s="53"/>
      <c r="B51" s="54"/>
      <c r="C51" s="54"/>
      <c r="D51" s="54"/>
      <c r="E51" s="55"/>
      <c r="F51" s="75"/>
      <c r="G51" s="76"/>
      <c r="H51" s="76"/>
      <c r="I51" s="48"/>
      <c r="J51" s="70"/>
      <c r="K51" s="70"/>
      <c r="L51" s="348" t="s">
        <v>1022</v>
      </c>
      <c r="M51" s="349" t="s">
        <v>178</v>
      </c>
      <c r="N51" s="348" t="s">
        <v>56</v>
      </c>
      <c r="O51" s="350">
        <v>0.02</v>
      </c>
      <c r="P51" s="352">
        <v>40802.5</v>
      </c>
      <c r="Q51" s="351">
        <v>816.05</v>
      </c>
      <c r="R51" s="182"/>
      <c r="U51" s="128"/>
    </row>
    <row r="52" spans="1:21" ht="15.6" x14ac:dyDescent="0.3">
      <c r="A52" s="53"/>
      <c r="B52" s="54"/>
      <c r="C52" s="54"/>
      <c r="D52" s="54"/>
      <c r="E52" s="55"/>
      <c r="F52" s="75"/>
      <c r="G52" s="76"/>
      <c r="H52" s="76"/>
      <c r="I52" s="48"/>
      <c r="J52" s="70"/>
      <c r="K52" s="70"/>
      <c r="L52" s="348" t="s">
        <v>1119</v>
      </c>
      <c r="M52" s="349" t="s">
        <v>1205</v>
      </c>
      <c r="N52" s="348" t="s">
        <v>35</v>
      </c>
      <c r="O52" s="350">
        <v>2</v>
      </c>
      <c r="P52" s="351">
        <v>78.33</v>
      </c>
      <c r="Q52" s="351">
        <v>156.66</v>
      </c>
      <c r="R52" s="182"/>
      <c r="U52" s="128"/>
    </row>
    <row r="53" spans="1:21" ht="15.6" x14ac:dyDescent="0.3">
      <c r="A53" s="53"/>
      <c r="B53" s="54"/>
      <c r="C53" s="54"/>
      <c r="D53" s="54"/>
      <c r="E53" s="55"/>
      <c r="F53" s="75"/>
      <c r="G53" s="76"/>
      <c r="H53" s="76"/>
      <c r="I53" s="48"/>
      <c r="J53" s="70"/>
      <c r="K53" s="70"/>
      <c r="L53" s="348" t="s">
        <v>955</v>
      </c>
      <c r="M53" s="349" t="s">
        <v>770</v>
      </c>
      <c r="N53" s="348" t="s">
        <v>34</v>
      </c>
      <c r="O53" s="350">
        <v>1</v>
      </c>
      <c r="P53" s="351">
        <v>52.8</v>
      </c>
      <c r="Q53" s="351">
        <v>52.8</v>
      </c>
      <c r="R53" s="182"/>
      <c r="U53" s="128"/>
    </row>
    <row r="54" spans="1:21" ht="15.6" x14ac:dyDescent="0.3">
      <c r="A54" s="53"/>
      <c r="B54" s="54"/>
      <c r="C54" s="54"/>
      <c r="D54" s="54"/>
      <c r="E54" s="55"/>
      <c r="F54" s="75"/>
      <c r="G54" s="76"/>
      <c r="H54" s="76"/>
      <c r="I54" s="48"/>
      <c r="J54" s="70"/>
      <c r="K54" s="70"/>
      <c r="L54" s="348" t="s">
        <v>956</v>
      </c>
      <c r="M54" s="349" t="s">
        <v>328</v>
      </c>
      <c r="N54" s="348" t="s">
        <v>34</v>
      </c>
      <c r="O54" s="350">
        <v>10</v>
      </c>
      <c r="P54" s="351">
        <v>65.400000000000006</v>
      </c>
      <c r="Q54" s="351">
        <v>654</v>
      </c>
      <c r="R54" s="182"/>
      <c r="U54" s="128"/>
    </row>
    <row r="55" spans="1:21" ht="15.6" x14ac:dyDescent="0.3">
      <c r="A55" s="53"/>
      <c r="B55" s="54"/>
      <c r="C55" s="54"/>
      <c r="D55" s="54"/>
      <c r="E55" s="55"/>
      <c r="F55" s="75"/>
      <c r="G55" s="76"/>
      <c r="H55" s="76"/>
      <c r="I55" s="48"/>
      <c r="J55" s="70"/>
      <c r="K55" s="70"/>
      <c r="L55" s="348" t="s">
        <v>1869</v>
      </c>
      <c r="M55" s="349" t="s">
        <v>1884</v>
      </c>
      <c r="N55" s="348" t="s">
        <v>34</v>
      </c>
      <c r="O55" s="350">
        <v>1</v>
      </c>
      <c r="P55" s="351">
        <v>78.62</v>
      </c>
      <c r="Q55" s="351">
        <v>78.62</v>
      </c>
      <c r="R55" s="182"/>
      <c r="U55" s="128"/>
    </row>
    <row r="56" spans="1:21" ht="15.6" x14ac:dyDescent="0.3">
      <c r="A56" s="53"/>
      <c r="B56" s="54"/>
      <c r="C56" s="54"/>
      <c r="D56" s="54"/>
      <c r="E56" s="55"/>
      <c r="F56" s="75"/>
      <c r="G56" s="76"/>
      <c r="H56" s="76"/>
      <c r="I56" s="48"/>
      <c r="J56" s="70"/>
      <c r="K56" s="70"/>
      <c r="L56" s="348" t="s">
        <v>773</v>
      </c>
      <c r="M56" s="349" t="s">
        <v>774</v>
      </c>
      <c r="N56" s="348" t="s">
        <v>34</v>
      </c>
      <c r="O56" s="350">
        <v>1</v>
      </c>
      <c r="P56" s="351">
        <v>83.17</v>
      </c>
      <c r="Q56" s="351">
        <v>83.17</v>
      </c>
      <c r="R56" s="182"/>
      <c r="U56" s="128"/>
    </row>
    <row r="57" spans="1:21" ht="15.6" x14ac:dyDescent="0.3">
      <c r="A57" s="53"/>
      <c r="B57" s="54"/>
      <c r="C57" s="54"/>
      <c r="D57" s="54"/>
      <c r="E57" s="55"/>
      <c r="F57" s="75"/>
      <c r="G57" s="76"/>
      <c r="H57" s="76"/>
      <c r="I57" s="48"/>
      <c r="J57" s="70"/>
      <c r="K57" s="70"/>
      <c r="L57" s="348" t="s">
        <v>958</v>
      </c>
      <c r="M57" s="349" t="s">
        <v>337</v>
      </c>
      <c r="N57" s="348" t="s">
        <v>34</v>
      </c>
      <c r="O57" s="350">
        <v>1</v>
      </c>
      <c r="P57" s="351">
        <v>22.2</v>
      </c>
      <c r="Q57" s="351">
        <v>22.2</v>
      </c>
      <c r="R57" s="182"/>
      <c r="U57" s="128"/>
    </row>
    <row r="58" spans="1:21" ht="15.6" x14ac:dyDescent="0.3">
      <c r="A58" s="53"/>
      <c r="B58" s="54"/>
      <c r="C58" s="54"/>
      <c r="D58" s="54"/>
      <c r="E58" s="55"/>
      <c r="F58" s="75"/>
      <c r="G58" s="76"/>
      <c r="H58" s="76"/>
      <c r="I58" s="48"/>
      <c r="J58" s="70"/>
      <c r="K58" s="70"/>
      <c r="L58" s="348" t="s">
        <v>952</v>
      </c>
      <c r="M58" s="349" t="s">
        <v>777</v>
      </c>
      <c r="N58" s="348" t="s">
        <v>34</v>
      </c>
      <c r="O58" s="350">
        <v>1</v>
      </c>
      <c r="P58" s="351">
        <v>257.81</v>
      </c>
      <c r="Q58" s="351">
        <v>257.81</v>
      </c>
      <c r="R58" s="182"/>
      <c r="U58" s="128"/>
    </row>
    <row r="59" spans="1:21" ht="15.6" x14ac:dyDescent="0.3">
      <c r="A59" s="53"/>
      <c r="B59" s="54"/>
      <c r="C59" s="54"/>
      <c r="D59" s="54"/>
      <c r="E59" s="55"/>
      <c r="F59" s="75"/>
      <c r="G59" s="76"/>
      <c r="H59" s="76"/>
      <c r="I59" s="48"/>
      <c r="J59" s="70"/>
      <c r="K59" s="70"/>
      <c r="L59" s="348" t="s">
        <v>953</v>
      </c>
      <c r="M59" s="349" t="s">
        <v>1046</v>
      </c>
      <c r="N59" s="348" t="s">
        <v>34</v>
      </c>
      <c r="O59" s="350">
        <v>0.2</v>
      </c>
      <c r="P59" s="351">
        <v>185</v>
      </c>
      <c r="Q59" s="351">
        <v>37</v>
      </c>
      <c r="R59" s="182"/>
      <c r="U59" s="128"/>
    </row>
    <row r="60" spans="1:21" ht="15.6" x14ac:dyDescent="0.3">
      <c r="A60" s="53"/>
      <c r="B60" s="54"/>
      <c r="C60" s="54"/>
      <c r="D60" s="54"/>
      <c r="E60" s="55"/>
      <c r="F60" s="75"/>
      <c r="G60" s="76"/>
      <c r="H60" s="76"/>
      <c r="I60" s="48"/>
      <c r="J60" s="70"/>
      <c r="K60" s="70"/>
      <c r="L60" s="348" t="s">
        <v>1144</v>
      </c>
      <c r="M60" s="349" t="s">
        <v>1231</v>
      </c>
      <c r="N60" s="348" t="s">
        <v>34</v>
      </c>
      <c r="O60" s="350">
        <v>2</v>
      </c>
      <c r="P60" s="351">
        <v>3.08</v>
      </c>
      <c r="Q60" s="351">
        <v>6.16</v>
      </c>
      <c r="R60" s="182"/>
      <c r="U60" s="128"/>
    </row>
    <row r="61" spans="1:21" ht="30" x14ac:dyDescent="0.3">
      <c r="A61" s="53"/>
      <c r="B61" s="54"/>
      <c r="C61" s="54"/>
      <c r="D61" s="54"/>
      <c r="E61" s="55"/>
      <c r="F61" s="75"/>
      <c r="G61" s="76"/>
      <c r="H61" s="76"/>
      <c r="I61" s="48"/>
      <c r="J61" s="70"/>
      <c r="K61" s="70"/>
      <c r="L61" s="348" t="s">
        <v>959</v>
      </c>
      <c r="M61" s="349" t="s">
        <v>1050</v>
      </c>
      <c r="N61" s="348" t="s">
        <v>34</v>
      </c>
      <c r="O61" s="350">
        <v>13</v>
      </c>
      <c r="P61" s="351">
        <v>13.9</v>
      </c>
      <c r="Q61" s="351">
        <v>180.7</v>
      </c>
      <c r="R61" s="182"/>
      <c r="U61" s="128"/>
    </row>
    <row r="62" spans="1:21" ht="30" x14ac:dyDescent="0.3">
      <c r="A62" s="53"/>
      <c r="B62" s="54"/>
      <c r="C62" s="54"/>
      <c r="D62" s="54"/>
      <c r="E62" s="55"/>
      <c r="F62" s="75"/>
      <c r="G62" s="76"/>
      <c r="H62" s="76"/>
      <c r="I62" s="48"/>
      <c r="J62" s="70"/>
      <c r="K62" s="70"/>
      <c r="L62" s="348" t="s">
        <v>960</v>
      </c>
      <c r="M62" s="349" t="s">
        <v>784</v>
      </c>
      <c r="N62" s="348" t="s">
        <v>34</v>
      </c>
      <c r="O62" s="350">
        <v>5</v>
      </c>
      <c r="P62" s="351">
        <v>13.9</v>
      </c>
      <c r="Q62" s="351">
        <v>69.5</v>
      </c>
      <c r="R62" s="182"/>
      <c r="U62" s="128"/>
    </row>
    <row r="63" spans="1:21" ht="15.6" x14ac:dyDescent="0.3">
      <c r="A63" s="53"/>
      <c r="B63" s="54"/>
      <c r="C63" s="54"/>
      <c r="D63" s="54"/>
      <c r="E63" s="55"/>
      <c r="F63" s="75"/>
      <c r="G63" s="76"/>
      <c r="H63" s="76"/>
      <c r="I63" s="48"/>
      <c r="J63" s="70"/>
      <c r="K63" s="70"/>
      <c r="L63" s="348" t="s">
        <v>961</v>
      </c>
      <c r="M63" s="349" t="s">
        <v>1051</v>
      </c>
      <c r="N63" s="348" t="s">
        <v>34</v>
      </c>
      <c r="O63" s="350">
        <v>0.40200000000000002</v>
      </c>
      <c r="P63" s="351">
        <v>27.01</v>
      </c>
      <c r="Q63" s="351">
        <v>10.86</v>
      </c>
      <c r="R63" s="182"/>
      <c r="U63" s="128"/>
    </row>
    <row r="64" spans="1:21" ht="30" x14ac:dyDescent="0.3">
      <c r="A64" s="53"/>
      <c r="B64" s="54"/>
      <c r="C64" s="54"/>
      <c r="D64" s="54"/>
      <c r="E64" s="55"/>
      <c r="F64" s="75"/>
      <c r="G64" s="76"/>
      <c r="H64" s="76"/>
      <c r="I64" s="48"/>
      <c r="J64" s="70"/>
      <c r="K64" s="70"/>
      <c r="L64" s="348" t="s">
        <v>962</v>
      </c>
      <c r="M64" s="349" t="s">
        <v>787</v>
      </c>
      <c r="N64" s="348" t="s">
        <v>34</v>
      </c>
      <c r="O64" s="350">
        <v>2</v>
      </c>
      <c r="P64" s="351">
        <v>222.4</v>
      </c>
      <c r="Q64" s="351">
        <v>444.8</v>
      </c>
      <c r="R64" s="182"/>
      <c r="U64" s="128"/>
    </row>
    <row r="65" spans="1:21" ht="15.6" x14ac:dyDescent="0.3">
      <c r="A65" s="53"/>
      <c r="B65" s="54"/>
      <c r="C65" s="54"/>
      <c r="D65" s="54"/>
      <c r="E65" s="55"/>
      <c r="F65" s="75"/>
      <c r="G65" s="76"/>
      <c r="H65" s="76"/>
      <c r="I65" s="48"/>
      <c r="J65" s="70"/>
      <c r="K65" s="70"/>
      <c r="L65" s="348" t="s">
        <v>963</v>
      </c>
      <c r="M65" s="349" t="s">
        <v>375</v>
      </c>
      <c r="N65" s="348" t="s">
        <v>34</v>
      </c>
      <c r="O65" s="350">
        <v>14</v>
      </c>
      <c r="P65" s="351">
        <v>163.93</v>
      </c>
      <c r="Q65" s="352">
        <v>2295</v>
      </c>
      <c r="R65" s="182"/>
      <c r="U65" s="128"/>
    </row>
    <row r="66" spans="1:21" ht="30" x14ac:dyDescent="0.3">
      <c r="A66" s="53"/>
      <c r="B66" s="54"/>
      <c r="C66" s="54"/>
      <c r="D66" s="54"/>
      <c r="E66" s="55"/>
      <c r="F66" s="75"/>
      <c r="G66" s="76"/>
      <c r="H66" s="76"/>
      <c r="I66" s="48"/>
      <c r="J66" s="70"/>
      <c r="K66" s="70"/>
      <c r="L66" s="348" t="s">
        <v>378</v>
      </c>
      <c r="M66" s="349" t="s">
        <v>379</v>
      </c>
      <c r="N66" s="348" t="s">
        <v>34</v>
      </c>
      <c r="O66" s="350">
        <v>1</v>
      </c>
      <c r="P66" s="351">
        <v>50.1</v>
      </c>
      <c r="Q66" s="351">
        <v>50.1</v>
      </c>
      <c r="R66" s="182"/>
      <c r="U66" s="128"/>
    </row>
    <row r="67" spans="1:21" ht="30" x14ac:dyDescent="0.3">
      <c r="A67" s="53"/>
      <c r="B67" s="54"/>
      <c r="C67" s="54"/>
      <c r="D67" s="54"/>
      <c r="E67" s="55"/>
      <c r="F67" s="75"/>
      <c r="G67" s="76"/>
      <c r="H67" s="76"/>
      <c r="I67" s="48"/>
      <c r="J67" s="70"/>
      <c r="K67" s="70"/>
      <c r="L67" s="348" t="s">
        <v>964</v>
      </c>
      <c r="M67" s="349" t="s">
        <v>788</v>
      </c>
      <c r="N67" s="348" t="s">
        <v>34</v>
      </c>
      <c r="O67" s="350">
        <v>1</v>
      </c>
      <c r="P67" s="351">
        <v>19.3</v>
      </c>
      <c r="Q67" s="351">
        <v>19.3</v>
      </c>
      <c r="R67" s="182"/>
      <c r="U67" s="128"/>
    </row>
    <row r="68" spans="1:21" ht="15.6" x14ac:dyDescent="0.3">
      <c r="A68" s="53"/>
      <c r="B68" s="54"/>
      <c r="C68" s="54"/>
      <c r="D68" s="54"/>
      <c r="E68" s="55"/>
      <c r="F68" s="75"/>
      <c r="G68" s="76"/>
      <c r="H68" s="76"/>
      <c r="I68" s="48"/>
      <c r="J68" s="70"/>
      <c r="K68" s="70"/>
      <c r="L68" s="348" t="s">
        <v>1304</v>
      </c>
      <c r="M68" s="349" t="s">
        <v>1338</v>
      </c>
      <c r="N68" s="348" t="s">
        <v>39</v>
      </c>
      <c r="O68" s="350">
        <v>0.01</v>
      </c>
      <c r="P68" s="352">
        <v>31681</v>
      </c>
      <c r="Q68" s="351">
        <v>316.81</v>
      </c>
      <c r="R68" s="182"/>
      <c r="U68" s="128"/>
    </row>
    <row r="69" spans="1:21" ht="15.6" x14ac:dyDescent="0.3">
      <c r="A69" s="53"/>
      <c r="B69" s="54"/>
      <c r="C69" s="54"/>
      <c r="D69" s="54"/>
      <c r="E69" s="55"/>
      <c r="F69" s="75"/>
      <c r="G69" s="76"/>
      <c r="H69" s="76"/>
      <c r="I69" s="48"/>
      <c r="J69" s="70"/>
      <c r="K69" s="70"/>
      <c r="L69" s="348" t="s">
        <v>1415</v>
      </c>
      <c r="M69" s="349" t="s">
        <v>1438</v>
      </c>
      <c r="N69" s="348" t="s">
        <v>39</v>
      </c>
      <c r="O69" s="350">
        <v>0.06</v>
      </c>
      <c r="P69" s="352">
        <v>32286.17</v>
      </c>
      <c r="Q69" s="352">
        <v>1937.17</v>
      </c>
      <c r="R69" s="182"/>
      <c r="U69" s="128"/>
    </row>
    <row r="70" spans="1:21" ht="15.6" x14ac:dyDescent="0.3">
      <c r="A70" s="53"/>
      <c r="B70" s="54"/>
      <c r="C70" s="54"/>
      <c r="D70" s="54"/>
      <c r="E70" s="55"/>
      <c r="F70" s="75"/>
      <c r="G70" s="76"/>
      <c r="H70" s="76"/>
      <c r="I70" s="48"/>
      <c r="J70" s="70"/>
      <c r="K70" s="70"/>
      <c r="L70" s="348" t="s">
        <v>965</v>
      </c>
      <c r="M70" s="349" t="s">
        <v>382</v>
      </c>
      <c r="N70" s="348" t="s">
        <v>34</v>
      </c>
      <c r="O70" s="350">
        <v>2.31</v>
      </c>
      <c r="P70" s="351">
        <v>3.8</v>
      </c>
      <c r="Q70" s="351">
        <v>8.7799999999999994</v>
      </c>
      <c r="R70" s="182"/>
      <c r="U70" s="128"/>
    </row>
    <row r="71" spans="1:21" ht="15.6" x14ac:dyDescent="0.3">
      <c r="A71" s="53"/>
      <c r="B71" s="54"/>
      <c r="C71" s="54"/>
      <c r="D71" s="54"/>
      <c r="E71" s="55"/>
      <c r="F71" s="75"/>
      <c r="G71" s="76"/>
      <c r="H71" s="76"/>
      <c r="I71" s="48"/>
      <c r="J71" s="70"/>
      <c r="K71" s="70"/>
      <c r="L71" s="348" t="s">
        <v>939</v>
      </c>
      <c r="M71" s="349" t="s">
        <v>798</v>
      </c>
      <c r="N71" s="348" t="s">
        <v>63</v>
      </c>
      <c r="O71" s="350">
        <v>0.04</v>
      </c>
      <c r="P71" s="352">
        <v>30724</v>
      </c>
      <c r="Q71" s="352">
        <v>1228.96</v>
      </c>
      <c r="R71" s="182"/>
      <c r="U71" s="128"/>
    </row>
    <row r="72" spans="1:21" ht="15.6" x14ac:dyDescent="0.3">
      <c r="A72" s="53"/>
      <c r="B72" s="54"/>
      <c r="C72" s="54"/>
      <c r="D72" s="54"/>
      <c r="E72" s="55"/>
      <c r="F72" s="75"/>
      <c r="G72" s="76"/>
      <c r="H72" s="76"/>
      <c r="I72" s="48"/>
      <c r="J72" s="70"/>
      <c r="K72" s="70"/>
      <c r="L72" s="348" t="s">
        <v>1870</v>
      </c>
      <c r="M72" s="349" t="s">
        <v>1885</v>
      </c>
      <c r="N72" s="348" t="s">
        <v>35</v>
      </c>
      <c r="O72" s="350">
        <v>1</v>
      </c>
      <c r="P72" s="351">
        <v>77.08</v>
      </c>
      <c r="Q72" s="351">
        <v>77.08</v>
      </c>
      <c r="R72" s="182"/>
      <c r="U72" s="128"/>
    </row>
    <row r="73" spans="1:21" ht="15.6" x14ac:dyDescent="0.3">
      <c r="A73" s="53"/>
      <c r="B73" s="54"/>
      <c r="C73" s="54"/>
      <c r="D73" s="54"/>
      <c r="E73" s="55"/>
      <c r="F73" s="75"/>
      <c r="G73" s="76"/>
      <c r="H73" s="76"/>
      <c r="I73" s="48"/>
      <c r="J73" s="70"/>
      <c r="K73" s="70"/>
      <c r="L73" s="348" t="s">
        <v>385</v>
      </c>
      <c r="M73" s="349" t="s">
        <v>386</v>
      </c>
      <c r="N73" s="348" t="s">
        <v>34</v>
      </c>
      <c r="O73" s="350">
        <v>1</v>
      </c>
      <c r="P73" s="351">
        <v>314.3</v>
      </c>
      <c r="Q73" s="351">
        <v>314.3</v>
      </c>
      <c r="R73" s="182"/>
      <c r="U73" s="128"/>
    </row>
    <row r="74" spans="1:21" ht="15.6" x14ac:dyDescent="0.3">
      <c r="A74" s="53"/>
      <c r="B74" s="54"/>
      <c r="C74" s="54"/>
      <c r="D74" s="54"/>
      <c r="E74" s="55"/>
      <c r="F74" s="75"/>
      <c r="G74" s="76"/>
      <c r="H74" s="76"/>
      <c r="I74" s="48"/>
      <c r="J74" s="70"/>
      <c r="K74" s="70"/>
      <c r="L74" s="348" t="s">
        <v>801</v>
      </c>
      <c r="M74" s="349" t="s">
        <v>802</v>
      </c>
      <c r="N74" s="348" t="s">
        <v>34</v>
      </c>
      <c r="O74" s="350">
        <v>2</v>
      </c>
      <c r="P74" s="351">
        <v>308.12</v>
      </c>
      <c r="Q74" s="351">
        <v>616.24</v>
      </c>
      <c r="R74" s="182"/>
      <c r="U74" s="128"/>
    </row>
    <row r="75" spans="1:21" ht="15.6" x14ac:dyDescent="0.3">
      <c r="A75" s="53"/>
      <c r="B75" s="54"/>
      <c r="C75" s="54"/>
      <c r="D75" s="54"/>
      <c r="E75" s="55"/>
      <c r="F75" s="75"/>
      <c r="G75" s="76"/>
      <c r="H75" s="76"/>
      <c r="I75" s="48"/>
      <c r="J75" s="70"/>
      <c r="K75" s="70"/>
      <c r="L75" s="348" t="s">
        <v>1027</v>
      </c>
      <c r="M75" s="349" t="s">
        <v>803</v>
      </c>
      <c r="N75" s="348" t="s">
        <v>45</v>
      </c>
      <c r="O75" s="350">
        <v>30.85</v>
      </c>
      <c r="P75" s="351">
        <v>399.17</v>
      </c>
      <c r="Q75" s="352">
        <v>12314.39</v>
      </c>
      <c r="R75" s="182"/>
      <c r="U75" s="128"/>
    </row>
    <row r="76" spans="1:21" ht="15.6" x14ac:dyDescent="0.3">
      <c r="A76" s="53"/>
      <c r="B76" s="54"/>
      <c r="C76" s="54"/>
      <c r="D76" s="54"/>
      <c r="E76" s="55"/>
      <c r="F76" s="75"/>
      <c r="G76" s="76"/>
      <c r="H76" s="76"/>
      <c r="I76" s="48"/>
      <c r="J76" s="70"/>
      <c r="K76" s="70"/>
      <c r="L76" s="348" t="s">
        <v>1153</v>
      </c>
      <c r="M76" s="349" t="s">
        <v>1240</v>
      </c>
      <c r="N76" s="348" t="s">
        <v>34</v>
      </c>
      <c r="O76" s="350">
        <v>0.08</v>
      </c>
      <c r="P76" s="352">
        <v>1488</v>
      </c>
      <c r="Q76" s="351">
        <v>119.04</v>
      </c>
      <c r="R76" s="182"/>
      <c r="U76" s="128"/>
    </row>
    <row r="77" spans="1:21" ht="15.6" x14ac:dyDescent="0.3">
      <c r="A77" s="53"/>
      <c r="B77" s="54"/>
      <c r="C77" s="54"/>
      <c r="D77" s="54"/>
      <c r="E77" s="55"/>
      <c r="F77" s="75"/>
      <c r="G77" s="76"/>
      <c r="H77" s="76"/>
      <c r="I77" s="48"/>
      <c r="J77" s="70"/>
      <c r="K77" s="70"/>
      <c r="L77" s="348" t="s">
        <v>1154</v>
      </c>
      <c r="M77" s="349" t="s">
        <v>1241</v>
      </c>
      <c r="N77" s="348" t="s">
        <v>34</v>
      </c>
      <c r="O77" s="350">
        <v>2</v>
      </c>
      <c r="P77" s="351">
        <v>158.35</v>
      </c>
      <c r="Q77" s="351">
        <v>316.7</v>
      </c>
      <c r="R77" s="182"/>
      <c r="U77" s="128"/>
    </row>
    <row r="78" spans="1:21" ht="15.6" x14ac:dyDescent="0.3">
      <c r="A78" s="53"/>
      <c r="B78" s="54"/>
      <c r="C78" s="54"/>
      <c r="D78" s="54"/>
      <c r="E78" s="55"/>
      <c r="F78" s="75"/>
      <c r="G78" s="76"/>
      <c r="H78" s="76"/>
      <c r="I78" s="48"/>
      <c r="J78" s="70"/>
      <c r="K78" s="70"/>
      <c r="L78" s="348" t="s">
        <v>1014</v>
      </c>
      <c r="M78" s="349" t="s">
        <v>806</v>
      </c>
      <c r="N78" s="348" t="s">
        <v>34</v>
      </c>
      <c r="O78" s="350">
        <v>1</v>
      </c>
      <c r="P78" s="351">
        <v>48.17</v>
      </c>
      <c r="Q78" s="351">
        <v>48.17</v>
      </c>
      <c r="R78" s="182"/>
      <c r="U78" s="128"/>
    </row>
    <row r="79" spans="1:21" ht="15.6" x14ac:dyDescent="0.3">
      <c r="A79" s="53"/>
      <c r="B79" s="54"/>
      <c r="C79" s="54"/>
      <c r="D79" s="54"/>
      <c r="E79" s="55"/>
      <c r="F79" s="75"/>
      <c r="G79" s="76"/>
      <c r="H79" s="76"/>
      <c r="I79" s="48"/>
      <c r="J79" s="70"/>
      <c r="K79" s="70"/>
      <c r="L79" s="348" t="s">
        <v>1015</v>
      </c>
      <c r="M79" s="349" t="s">
        <v>393</v>
      </c>
      <c r="N79" s="348" t="s">
        <v>34</v>
      </c>
      <c r="O79" s="350">
        <v>5</v>
      </c>
      <c r="P79" s="351">
        <v>21.7</v>
      </c>
      <c r="Q79" s="351">
        <v>108.52</v>
      </c>
      <c r="R79" s="182"/>
      <c r="U79" s="128"/>
    </row>
    <row r="80" spans="1:21" ht="15.6" x14ac:dyDescent="0.3">
      <c r="A80" s="53"/>
      <c r="B80" s="54"/>
      <c r="C80" s="54"/>
      <c r="D80" s="54"/>
      <c r="E80" s="55"/>
      <c r="F80" s="75"/>
      <c r="G80" s="76"/>
      <c r="H80" s="76"/>
      <c r="I80" s="48"/>
      <c r="J80" s="70"/>
      <c r="K80" s="70"/>
      <c r="L80" s="348" t="s">
        <v>1016</v>
      </c>
      <c r="M80" s="349" t="s">
        <v>396</v>
      </c>
      <c r="N80" s="348" t="s">
        <v>34</v>
      </c>
      <c r="O80" s="350">
        <v>3</v>
      </c>
      <c r="P80" s="351">
        <v>41.5</v>
      </c>
      <c r="Q80" s="351">
        <v>124.5</v>
      </c>
      <c r="R80" s="182"/>
      <c r="U80" s="128"/>
    </row>
    <row r="81" spans="1:21" ht="15.6" x14ac:dyDescent="0.3">
      <c r="A81" s="53"/>
      <c r="B81" s="54"/>
      <c r="C81" s="54"/>
      <c r="D81" s="54"/>
      <c r="E81" s="55"/>
      <c r="F81" s="75"/>
      <c r="G81" s="76"/>
      <c r="H81" s="76"/>
      <c r="I81" s="48"/>
      <c r="J81" s="70"/>
      <c r="K81" s="70"/>
      <c r="L81" s="348" t="s">
        <v>1017</v>
      </c>
      <c r="M81" s="349" t="s">
        <v>397</v>
      </c>
      <c r="N81" s="348" t="s">
        <v>34</v>
      </c>
      <c r="O81" s="350">
        <v>4</v>
      </c>
      <c r="P81" s="351">
        <v>28</v>
      </c>
      <c r="Q81" s="351">
        <v>112</v>
      </c>
      <c r="R81" s="182"/>
      <c r="U81" s="128"/>
    </row>
    <row r="82" spans="1:21" ht="15.6" x14ac:dyDescent="0.3">
      <c r="A82" s="53"/>
      <c r="B82" s="54"/>
      <c r="C82" s="54"/>
      <c r="D82" s="54"/>
      <c r="E82" s="55"/>
      <c r="F82" s="75"/>
      <c r="G82" s="76"/>
      <c r="H82" s="76"/>
      <c r="I82" s="48"/>
      <c r="J82" s="70"/>
      <c r="K82" s="70"/>
      <c r="L82" s="348" t="s">
        <v>1157</v>
      </c>
      <c r="M82" s="349" t="s">
        <v>398</v>
      </c>
      <c r="N82" s="348" t="s">
        <v>34</v>
      </c>
      <c r="O82" s="350">
        <v>1</v>
      </c>
      <c r="P82" s="352">
        <v>1290.8</v>
      </c>
      <c r="Q82" s="352">
        <v>1290.8</v>
      </c>
      <c r="R82" s="182"/>
      <c r="U82" s="128"/>
    </row>
    <row r="83" spans="1:21" ht="15.6" x14ac:dyDescent="0.3">
      <c r="A83" s="53"/>
      <c r="B83" s="54"/>
      <c r="C83" s="54"/>
      <c r="D83" s="54"/>
      <c r="E83" s="55"/>
      <c r="F83" s="75"/>
      <c r="G83" s="76"/>
      <c r="H83" s="76"/>
      <c r="I83" s="48"/>
      <c r="J83" s="70"/>
      <c r="K83" s="70"/>
      <c r="L83" s="348" t="s">
        <v>1009</v>
      </c>
      <c r="M83" s="349" t="s">
        <v>811</v>
      </c>
      <c r="N83" s="348" t="s">
        <v>34</v>
      </c>
      <c r="O83" s="350">
        <v>7</v>
      </c>
      <c r="P83" s="351">
        <v>91</v>
      </c>
      <c r="Q83" s="351">
        <v>637</v>
      </c>
      <c r="R83" s="182"/>
      <c r="U83" s="128"/>
    </row>
    <row r="84" spans="1:21" ht="15.6" x14ac:dyDescent="0.3">
      <c r="A84" s="53"/>
      <c r="B84" s="54"/>
      <c r="C84" s="54"/>
      <c r="D84" s="54"/>
      <c r="E84" s="55"/>
      <c r="F84" s="75"/>
      <c r="G84" s="76"/>
      <c r="H84" s="76"/>
      <c r="I84" s="48"/>
      <c r="J84" s="70"/>
      <c r="K84" s="70"/>
      <c r="L84" s="348" t="s">
        <v>1158</v>
      </c>
      <c r="M84" s="349" t="s">
        <v>1244</v>
      </c>
      <c r="N84" s="348" t="s">
        <v>34</v>
      </c>
      <c r="O84" s="350">
        <v>1</v>
      </c>
      <c r="P84" s="351">
        <v>238</v>
      </c>
      <c r="Q84" s="351">
        <v>238</v>
      </c>
      <c r="R84" s="182"/>
      <c r="U84" s="128"/>
    </row>
    <row r="85" spans="1:21" ht="15.6" x14ac:dyDescent="0.3">
      <c r="A85" s="53"/>
      <c r="B85" s="54"/>
      <c r="C85" s="54"/>
      <c r="D85" s="54"/>
      <c r="E85" s="55"/>
      <c r="F85" s="75"/>
      <c r="G85" s="76"/>
      <c r="H85" s="76"/>
      <c r="I85" s="48"/>
      <c r="J85" s="70"/>
      <c r="K85" s="70"/>
      <c r="L85" s="348" t="s">
        <v>944</v>
      </c>
      <c r="M85" s="349" t="s">
        <v>1041</v>
      </c>
      <c r="N85" s="348" t="s">
        <v>903</v>
      </c>
      <c r="O85" s="350">
        <v>4</v>
      </c>
      <c r="P85" s="352">
        <v>1283.5</v>
      </c>
      <c r="Q85" s="352">
        <v>5133.99</v>
      </c>
      <c r="R85" s="182"/>
      <c r="U85" s="128"/>
    </row>
    <row r="86" spans="1:21" ht="15.6" x14ac:dyDescent="0.3">
      <c r="A86" s="53"/>
      <c r="B86" s="54"/>
      <c r="C86" s="54"/>
      <c r="D86" s="54"/>
      <c r="E86" s="55"/>
      <c r="F86" s="75"/>
      <c r="G86" s="76"/>
      <c r="H86" s="76"/>
      <c r="I86" s="48"/>
      <c r="J86" s="70"/>
      <c r="K86" s="70"/>
      <c r="L86" s="348" t="s">
        <v>1163</v>
      </c>
      <c r="M86" s="349" t="s">
        <v>1248</v>
      </c>
      <c r="N86" s="348" t="s">
        <v>34</v>
      </c>
      <c r="O86" s="350">
        <v>2</v>
      </c>
      <c r="P86" s="351">
        <v>622.42999999999995</v>
      </c>
      <c r="Q86" s="352">
        <v>1244.8599999999999</v>
      </c>
      <c r="R86" s="182"/>
      <c r="U86" s="128"/>
    </row>
    <row r="87" spans="1:21" ht="15.6" x14ac:dyDescent="0.3">
      <c r="A87" s="53"/>
      <c r="B87" s="54"/>
      <c r="C87" s="54"/>
      <c r="D87" s="54"/>
      <c r="E87" s="55"/>
      <c r="F87" s="75"/>
      <c r="G87" s="76"/>
      <c r="H87" s="76"/>
      <c r="I87" s="48"/>
      <c r="J87" s="70"/>
      <c r="K87" s="70"/>
      <c r="L87" s="348" t="s">
        <v>1010</v>
      </c>
      <c r="M87" s="349" t="s">
        <v>814</v>
      </c>
      <c r="N87" s="348" t="s">
        <v>34</v>
      </c>
      <c r="O87" s="350">
        <v>5</v>
      </c>
      <c r="P87" s="351">
        <v>644.35</v>
      </c>
      <c r="Q87" s="352">
        <v>3221.75</v>
      </c>
      <c r="R87" s="182"/>
      <c r="U87" s="128"/>
    </row>
    <row r="88" spans="1:21" ht="15.6" x14ac:dyDescent="0.3">
      <c r="A88" s="53"/>
      <c r="B88" s="54"/>
      <c r="C88" s="54"/>
      <c r="D88" s="54"/>
      <c r="E88" s="55"/>
      <c r="F88" s="75"/>
      <c r="G88" s="76"/>
      <c r="H88" s="76"/>
      <c r="I88" s="48"/>
      <c r="J88" s="70"/>
      <c r="K88" s="70"/>
      <c r="L88" s="348" t="s">
        <v>1011</v>
      </c>
      <c r="M88" s="349" t="s">
        <v>815</v>
      </c>
      <c r="N88" s="348" t="s">
        <v>34</v>
      </c>
      <c r="O88" s="350">
        <v>10</v>
      </c>
      <c r="P88" s="351">
        <v>961.4</v>
      </c>
      <c r="Q88" s="352">
        <v>9614.0300000000007</v>
      </c>
      <c r="R88" s="182"/>
      <c r="U88" s="128"/>
    </row>
    <row r="89" spans="1:21" ht="15.6" x14ac:dyDescent="0.3">
      <c r="A89" s="53"/>
      <c r="B89" s="54"/>
      <c r="C89" s="54"/>
      <c r="D89" s="54"/>
      <c r="E89" s="55"/>
      <c r="F89" s="75"/>
      <c r="G89" s="76"/>
      <c r="H89" s="76"/>
      <c r="I89" s="48"/>
      <c r="J89" s="70"/>
      <c r="K89" s="70"/>
      <c r="L89" s="348" t="s">
        <v>1164</v>
      </c>
      <c r="M89" s="349" t="s">
        <v>1249</v>
      </c>
      <c r="N89" s="348" t="s">
        <v>34</v>
      </c>
      <c r="O89" s="350">
        <v>1</v>
      </c>
      <c r="P89" s="351">
        <v>349.11</v>
      </c>
      <c r="Q89" s="351">
        <v>349.11</v>
      </c>
      <c r="R89" s="182"/>
      <c r="U89" s="128"/>
    </row>
    <row r="90" spans="1:21" ht="30" x14ac:dyDescent="0.3">
      <c r="A90" s="53"/>
      <c r="B90" s="54"/>
      <c r="C90" s="54"/>
      <c r="D90" s="54"/>
      <c r="E90" s="55"/>
      <c r="F90" s="75"/>
      <c r="G90" s="76"/>
      <c r="H90" s="76"/>
      <c r="I90" s="48"/>
      <c r="J90" s="70"/>
      <c r="K90" s="70"/>
      <c r="L90" s="348" t="s">
        <v>1360</v>
      </c>
      <c r="M90" s="349" t="s">
        <v>1389</v>
      </c>
      <c r="N90" s="348" t="s">
        <v>903</v>
      </c>
      <c r="O90" s="350">
        <v>0.28999999999999998</v>
      </c>
      <c r="P90" s="352">
        <v>3625</v>
      </c>
      <c r="Q90" s="352">
        <v>1051.25</v>
      </c>
      <c r="R90" s="182"/>
      <c r="U90" s="128"/>
    </row>
    <row r="91" spans="1:21" ht="15.6" x14ac:dyDescent="0.3">
      <c r="A91" s="53"/>
      <c r="B91" s="54"/>
      <c r="C91" s="54"/>
      <c r="D91" s="54"/>
      <c r="E91" s="55"/>
      <c r="F91" s="75"/>
      <c r="G91" s="76"/>
      <c r="H91" s="76"/>
      <c r="I91" s="48"/>
      <c r="J91" s="70"/>
      <c r="K91" s="70"/>
      <c r="L91" s="348" t="s">
        <v>937</v>
      </c>
      <c r="M91" s="349" t="s">
        <v>1036</v>
      </c>
      <c r="N91" s="348" t="s">
        <v>269</v>
      </c>
      <c r="O91" s="350">
        <v>3</v>
      </c>
      <c r="P91" s="352">
        <v>1687.5</v>
      </c>
      <c r="Q91" s="352">
        <v>5062.5</v>
      </c>
      <c r="R91" s="182"/>
      <c r="U91" s="128"/>
    </row>
    <row r="92" spans="1:21" ht="15.6" x14ac:dyDescent="0.3">
      <c r="A92" s="53"/>
      <c r="B92" s="54"/>
      <c r="C92" s="54"/>
      <c r="D92" s="54"/>
      <c r="E92" s="55"/>
      <c r="F92" s="75"/>
      <c r="G92" s="76"/>
      <c r="H92" s="76"/>
      <c r="I92" s="48"/>
      <c r="J92" s="70"/>
      <c r="K92" s="70"/>
      <c r="L92" s="348" t="s">
        <v>938</v>
      </c>
      <c r="M92" s="349" t="s">
        <v>1037</v>
      </c>
      <c r="N92" s="348" t="s">
        <v>269</v>
      </c>
      <c r="O92" s="350">
        <v>4</v>
      </c>
      <c r="P92" s="351">
        <v>813</v>
      </c>
      <c r="Q92" s="352">
        <v>3252</v>
      </c>
      <c r="R92" s="182"/>
      <c r="U92" s="128"/>
    </row>
    <row r="93" spans="1:21" ht="15.6" x14ac:dyDescent="0.3">
      <c r="A93" s="53"/>
      <c r="B93" s="54"/>
      <c r="C93" s="54"/>
      <c r="D93" s="54"/>
      <c r="E93" s="55"/>
      <c r="F93" s="75"/>
      <c r="G93" s="76"/>
      <c r="H93" s="76"/>
      <c r="I93" s="48"/>
      <c r="J93" s="70"/>
      <c r="K93" s="70"/>
      <c r="L93" s="348" t="s">
        <v>1001</v>
      </c>
      <c r="M93" s="349" t="s">
        <v>415</v>
      </c>
      <c r="N93" s="348" t="s">
        <v>34</v>
      </c>
      <c r="O93" s="350">
        <v>11</v>
      </c>
      <c r="P93" s="351">
        <v>59.58</v>
      </c>
      <c r="Q93" s="351">
        <v>655.38</v>
      </c>
      <c r="R93" s="182"/>
      <c r="U93" s="128"/>
    </row>
    <row r="94" spans="1:21" ht="15.6" x14ac:dyDescent="0.3">
      <c r="A94" s="53"/>
      <c r="B94" s="54"/>
      <c r="C94" s="54"/>
      <c r="D94" s="54"/>
      <c r="E94" s="55"/>
      <c r="F94" s="75"/>
      <c r="G94" s="76"/>
      <c r="H94" s="76"/>
      <c r="I94" s="48"/>
      <c r="J94" s="70"/>
      <c r="K94" s="70"/>
      <c r="L94" s="348" t="s">
        <v>1871</v>
      </c>
      <c r="M94" s="349" t="s">
        <v>1886</v>
      </c>
      <c r="N94" s="348" t="s">
        <v>56</v>
      </c>
      <c r="O94" s="350">
        <v>0.01</v>
      </c>
      <c r="P94" s="352">
        <v>55000</v>
      </c>
      <c r="Q94" s="351">
        <v>550</v>
      </c>
      <c r="R94" s="182"/>
      <c r="U94" s="128"/>
    </row>
    <row r="95" spans="1:21" ht="15.6" x14ac:dyDescent="0.3">
      <c r="A95" s="53"/>
      <c r="B95" s="54"/>
      <c r="C95" s="54"/>
      <c r="D95" s="54"/>
      <c r="E95" s="55"/>
      <c r="F95" s="75"/>
      <c r="G95" s="76"/>
      <c r="H95" s="76"/>
      <c r="I95" s="48"/>
      <c r="J95" s="70"/>
      <c r="K95" s="70"/>
      <c r="L95" s="348" t="s">
        <v>1116</v>
      </c>
      <c r="M95" s="349" t="s">
        <v>1202</v>
      </c>
      <c r="N95" s="348" t="s">
        <v>68</v>
      </c>
      <c r="O95" s="350">
        <v>52.13</v>
      </c>
      <c r="P95" s="351">
        <v>178.33</v>
      </c>
      <c r="Q95" s="352">
        <v>9296.52</v>
      </c>
      <c r="R95" s="182"/>
      <c r="U95" s="128"/>
    </row>
    <row r="96" spans="1:21" ht="15.6" x14ac:dyDescent="0.3">
      <c r="A96" s="53"/>
      <c r="B96" s="54"/>
      <c r="C96" s="54"/>
      <c r="D96" s="54"/>
      <c r="E96" s="55"/>
      <c r="F96" s="75"/>
      <c r="G96" s="76"/>
      <c r="H96" s="76"/>
      <c r="I96" s="48"/>
      <c r="J96" s="70"/>
      <c r="K96" s="70"/>
      <c r="L96" s="348" t="s">
        <v>1872</v>
      </c>
      <c r="M96" s="349" t="s">
        <v>1887</v>
      </c>
      <c r="N96" s="348" t="s">
        <v>34</v>
      </c>
      <c r="O96" s="350">
        <v>1</v>
      </c>
      <c r="P96" s="351">
        <v>55</v>
      </c>
      <c r="Q96" s="351">
        <v>55</v>
      </c>
      <c r="R96" s="182"/>
      <c r="U96" s="128"/>
    </row>
    <row r="97" spans="1:21" ht="15.6" x14ac:dyDescent="0.3">
      <c r="A97" s="53"/>
      <c r="B97" s="54"/>
      <c r="C97" s="54"/>
      <c r="D97" s="54"/>
      <c r="E97" s="55"/>
      <c r="F97" s="75"/>
      <c r="G97" s="76"/>
      <c r="H97" s="76"/>
      <c r="I97" s="48"/>
      <c r="J97" s="70"/>
      <c r="K97" s="70"/>
      <c r="L97" s="348" t="s">
        <v>1899</v>
      </c>
      <c r="M97" s="349" t="s">
        <v>1901</v>
      </c>
      <c r="N97" s="348" t="s">
        <v>34</v>
      </c>
      <c r="O97" s="350">
        <v>1</v>
      </c>
      <c r="P97" s="351">
        <v>16.079999999999998</v>
      </c>
      <c r="Q97" s="351">
        <v>16.079999999999998</v>
      </c>
      <c r="R97" s="182"/>
      <c r="U97" s="128"/>
    </row>
    <row r="98" spans="1:21" ht="15.6" x14ac:dyDescent="0.3">
      <c r="A98" s="53"/>
      <c r="B98" s="54"/>
      <c r="C98" s="54"/>
      <c r="D98" s="54"/>
      <c r="E98" s="55"/>
      <c r="F98" s="75"/>
      <c r="G98" s="76"/>
      <c r="H98" s="76"/>
      <c r="I98" s="48"/>
      <c r="J98" s="70"/>
      <c r="K98" s="70"/>
      <c r="L98" s="348" t="s">
        <v>1161</v>
      </c>
      <c r="M98" s="349" t="s">
        <v>436</v>
      </c>
      <c r="N98" s="348" t="s">
        <v>34</v>
      </c>
      <c r="O98" s="350">
        <v>5</v>
      </c>
      <c r="P98" s="351">
        <v>165.67</v>
      </c>
      <c r="Q98" s="351">
        <v>828.35</v>
      </c>
      <c r="R98" s="182"/>
      <c r="U98" s="128"/>
    </row>
    <row r="99" spans="1:21" ht="30" x14ac:dyDescent="0.3">
      <c r="A99" s="53"/>
      <c r="B99" s="54"/>
      <c r="C99" s="54"/>
      <c r="D99" s="54"/>
      <c r="E99" s="55"/>
      <c r="F99" s="75"/>
      <c r="G99" s="76"/>
      <c r="H99" s="76"/>
      <c r="I99" s="48"/>
      <c r="J99" s="70"/>
      <c r="K99" s="70"/>
      <c r="L99" s="348" t="s">
        <v>1004</v>
      </c>
      <c r="M99" s="349" t="s">
        <v>95</v>
      </c>
      <c r="N99" s="348" t="s">
        <v>34</v>
      </c>
      <c r="O99" s="350">
        <v>10</v>
      </c>
      <c r="P99" s="351">
        <v>181.32</v>
      </c>
      <c r="Q99" s="352">
        <v>1813.2</v>
      </c>
      <c r="R99" s="182"/>
      <c r="U99" s="128"/>
    </row>
    <row r="100" spans="1:21" ht="15.6" x14ac:dyDescent="0.3">
      <c r="A100" s="53"/>
      <c r="B100" s="54"/>
      <c r="C100" s="54"/>
      <c r="D100" s="54"/>
      <c r="E100" s="55"/>
      <c r="F100" s="75"/>
      <c r="G100" s="76"/>
      <c r="H100" s="76"/>
      <c r="I100" s="48"/>
      <c r="J100" s="70"/>
      <c r="K100" s="70"/>
      <c r="L100" s="348" t="s">
        <v>1090</v>
      </c>
      <c r="M100" s="349" t="s">
        <v>439</v>
      </c>
      <c r="N100" s="348" t="s">
        <v>34</v>
      </c>
      <c r="O100" s="350">
        <v>1</v>
      </c>
      <c r="P100" s="351">
        <v>89.12</v>
      </c>
      <c r="Q100" s="351">
        <v>89.12</v>
      </c>
      <c r="R100" s="182"/>
      <c r="U100" s="128"/>
    </row>
    <row r="101" spans="1:21" ht="15.6" x14ac:dyDescent="0.3">
      <c r="A101" s="53"/>
      <c r="B101" s="54"/>
      <c r="C101" s="54"/>
      <c r="D101" s="54"/>
      <c r="E101" s="55"/>
      <c r="F101" s="75"/>
      <c r="G101" s="76"/>
      <c r="H101" s="76"/>
      <c r="I101" s="48"/>
      <c r="J101" s="70"/>
      <c r="K101" s="70"/>
      <c r="L101" s="348" t="s">
        <v>1005</v>
      </c>
      <c r="M101" s="349" t="s">
        <v>825</v>
      </c>
      <c r="N101" s="348" t="s">
        <v>34</v>
      </c>
      <c r="O101" s="350">
        <v>4</v>
      </c>
      <c r="P101" s="351">
        <v>288.5</v>
      </c>
      <c r="Q101" s="352">
        <v>1154</v>
      </c>
      <c r="R101" s="272"/>
      <c r="U101" s="128"/>
    </row>
    <row r="102" spans="1:21" ht="15.6" x14ac:dyDescent="0.3">
      <c r="A102" s="53"/>
      <c r="B102" s="54"/>
      <c r="C102" s="54"/>
      <c r="D102" s="54"/>
      <c r="E102" s="55"/>
      <c r="F102" s="75"/>
      <c r="G102" s="76"/>
      <c r="H102" s="76"/>
      <c r="I102" s="48"/>
      <c r="J102" s="70"/>
      <c r="K102" s="70"/>
      <c r="L102" s="348" t="s">
        <v>1006</v>
      </c>
      <c r="M102" s="349" t="s">
        <v>923</v>
      </c>
      <c r="N102" s="348" t="s">
        <v>34</v>
      </c>
      <c r="O102" s="350">
        <v>694</v>
      </c>
      <c r="P102" s="351">
        <v>0.23</v>
      </c>
      <c r="Q102" s="351">
        <v>157.54</v>
      </c>
      <c r="R102" s="182"/>
      <c r="U102" s="128"/>
    </row>
    <row r="103" spans="1:21" ht="15.6" x14ac:dyDescent="0.3">
      <c r="A103" s="53"/>
      <c r="B103" s="54"/>
      <c r="C103" s="54"/>
      <c r="D103" s="54"/>
      <c r="E103" s="55"/>
      <c r="F103" s="75"/>
      <c r="G103" s="76"/>
      <c r="H103" s="76"/>
      <c r="I103" s="48"/>
      <c r="J103" s="70"/>
      <c r="K103" s="70"/>
      <c r="L103" s="348" t="s">
        <v>1007</v>
      </c>
      <c r="M103" s="349" t="s">
        <v>447</v>
      </c>
      <c r="N103" s="348" t="s">
        <v>34</v>
      </c>
      <c r="O103" s="350">
        <v>9</v>
      </c>
      <c r="P103" s="351">
        <v>106.52</v>
      </c>
      <c r="Q103" s="351">
        <v>958.72</v>
      </c>
      <c r="R103" s="182"/>
      <c r="U103" s="128"/>
    </row>
    <row r="104" spans="1:21" ht="15.6" x14ac:dyDescent="0.3">
      <c r="A104" s="53"/>
      <c r="B104" s="54"/>
      <c r="C104" s="54"/>
      <c r="D104" s="54"/>
      <c r="E104" s="55"/>
      <c r="F104" s="75"/>
      <c r="G104" s="76"/>
      <c r="H104" s="76"/>
      <c r="I104" s="48"/>
      <c r="J104" s="70"/>
      <c r="K104" s="70"/>
      <c r="L104" s="348" t="s">
        <v>1873</v>
      </c>
      <c r="M104" s="349" t="s">
        <v>1888</v>
      </c>
      <c r="N104" s="348" t="s">
        <v>34</v>
      </c>
      <c r="O104" s="350">
        <v>6.54</v>
      </c>
      <c r="P104" s="351">
        <v>113.61</v>
      </c>
      <c r="Q104" s="351">
        <v>743.01</v>
      </c>
      <c r="R104" s="182"/>
      <c r="U104" s="128"/>
    </row>
    <row r="105" spans="1:21" ht="15.6" x14ac:dyDescent="0.3">
      <c r="A105" s="53"/>
      <c r="B105" s="54"/>
      <c r="C105" s="54"/>
      <c r="D105" s="54"/>
      <c r="E105" s="55"/>
      <c r="F105" s="75"/>
      <c r="G105" s="76"/>
      <c r="H105" s="76"/>
      <c r="I105" s="48"/>
      <c r="J105" s="70"/>
      <c r="K105" s="70"/>
      <c r="L105" s="348" t="s">
        <v>1900</v>
      </c>
      <c r="M105" s="349" t="s">
        <v>1902</v>
      </c>
      <c r="N105" s="348" t="s">
        <v>34</v>
      </c>
      <c r="O105" s="350">
        <v>1</v>
      </c>
      <c r="P105" s="351">
        <v>39.26</v>
      </c>
      <c r="Q105" s="351">
        <v>39.26</v>
      </c>
      <c r="R105" s="182"/>
      <c r="U105" s="128"/>
    </row>
    <row r="106" spans="1:21" ht="15.6" x14ac:dyDescent="0.3">
      <c r="A106" s="53"/>
      <c r="B106" s="54"/>
      <c r="C106" s="54"/>
      <c r="D106" s="54"/>
      <c r="E106" s="55"/>
      <c r="F106" s="75"/>
      <c r="G106" s="76"/>
      <c r="H106" s="76"/>
      <c r="I106" s="48"/>
      <c r="J106" s="70"/>
      <c r="K106" s="70"/>
      <c r="L106" s="348" t="s">
        <v>1313</v>
      </c>
      <c r="M106" s="349" t="s">
        <v>1347</v>
      </c>
      <c r="N106" s="348" t="s">
        <v>34</v>
      </c>
      <c r="O106" s="350">
        <v>1</v>
      </c>
      <c r="P106" s="351">
        <v>91.5</v>
      </c>
      <c r="Q106" s="351">
        <v>91.5</v>
      </c>
      <c r="R106" s="182"/>
      <c r="U106" s="128"/>
    </row>
    <row r="107" spans="1:21" ht="15.6" x14ac:dyDescent="0.3">
      <c r="A107" s="53"/>
      <c r="B107" s="54"/>
      <c r="C107" s="54"/>
      <c r="D107" s="54"/>
      <c r="E107" s="55"/>
      <c r="F107" s="75"/>
      <c r="G107" s="76"/>
      <c r="H107" s="76"/>
      <c r="I107" s="48"/>
      <c r="J107" s="70"/>
      <c r="K107" s="70"/>
      <c r="L107" s="348" t="s">
        <v>1080</v>
      </c>
      <c r="M107" s="349" t="s">
        <v>1081</v>
      </c>
      <c r="N107" s="348" t="s">
        <v>34</v>
      </c>
      <c r="O107" s="350">
        <v>1</v>
      </c>
      <c r="P107" s="351">
        <v>4.25</v>
      </c>
      <c r="Q107" s="351">
        <v>4.25</v>
      </c>
      <c r="R107" s="182"/>
      <c r="U107" s="128"/>
    </row>
    <row r="108" spans="1:21" ht="15.6" x14ac:dyDescent="0.3">
      <c r="A108" s="53"/>
      <c r="B108" s="54"/>
      <c r="C108" s="54"/>
      <c r="D108" s="54"/>
      <c r="E108" s="55"/>
      <c r="F108" s="75"/>
      <c r="G108" s="76"/>
      <c r="H108" s="76"/>
      <c r="I108" s="48"/>
      <c r="J108" s="70"/>
      <c r="K108" s="70"/>
      <c r="L108" s="348" t="s">
        <v>1378</v>
      </c>
      <c r="M108" s="349" t="s">
        <v>1406</v>
      </c>
      <c r="N108" s="348" t="s">
        <v>34</v>
      </c>
      <c r="O108" s="350">
        <v>1</v>
      </c>
      <c r="P108" s="351">
        <v>31</v>
      </c>
      <c r="Q108" s="351">
        <v>31</v>
      </c>
      <c r="R108" s="182"/>
      <c r="U108" s="128"/>
    </row>
    <row r="109" spans="1:21" ht="15.6" x14ac:dyDescent="0.3">
      <c r="A109" s="53"/>
      <c r="B109" s="54"/>
      <c r="C109" s="54"/>
      <c r="D109" s="54"/>
      <c r="E109" s="55"/>
      <c r="F109" s="75"/>
      <c r="G109" s="76"/>
      <c r="H109" s="76"/>
      <c r="I109" s="48"/>
      <c r="J109" s="70"/>
      <c r="K109" s="70"/>
      <c r="L109" s="348" t="s">
        <v>983</v>
      </c>
      <c r="M109" s="349" t="s">
        <v>471</v>
      </c>
      <c r="N109" s="348" t="s">
        <v>34</v>
      </c>
      <c r="O109" s="350">
        <v>2</v>
      </c>
      <c r="P109" s="351">
        <v>31</v>
      </c>
      <c r="Q109" s="351">
        <v>62</v>
      </c>
      <c r="R109" s="182"/>
      <c r="U109" s="128"/>
    </row>
    <row r="110" spans="1:21" ht="15.6" x14ac:dyDescent="0.3">
      <c r="A110" s="53"/>
      <c r="B110" s="54"/>
      <c r="C110" s="54"/>
      <c r="D110" s="54"/>
      <c r="E110" s="55"/>
      <c r="F110" s="75"/>
      <c r="G110" s="76"/>
      <c r="H110" s="76"/>
      <c r="I110" s="48"/>
      <c r="J110" s="70"/>
      <c r="K110" s="70"/>
      <c r="L110" s="348" t="s">
        <v>984</v>
      </c>
      <c r="M110" s="349" t="s">
        <v>472</v>
      </c>
      <c r="N110" s="348" t="s">
        <v>34</v>
      </c>
      <c r="O110" s="350">
        <v>7</v>
      </c>
      <c r="P110" s="351">
        <v>7.5</v>
      </c>
      <c r="Q110" s="351">
        <v>52.5</v>
      </c>
      <c r="R110" s="182"/>
      <c r="U110" s="128"/>
    </row>
    <row r="111" spans="1:21" ht="15.6" x14ac:dyDescent="0.3">
      <c r="A111" s="53"/>
      <c r="B111" s="54"/>
      <c r="C111" s="54"/>
      <c r="D111" s="54"/>
      <c r="E111" s="55"/>
      <c r="F111" s="75"/>
      <c r="G111" s="76"/>
      <c r="H111" s="76"/>
      <c r="I111" s="48"/>
      <c r="J111" s="70"/>
      <c r="K111" s="70"/>
      <c r="L111" s="348" t="s">
        <v>985</v>
      </c>
      <c r="M111" s="349" t="s">
        <v>473</v>
      </c>
      <c r="N111" s="348" t="s">
        <v>34</v>
      </c>
      <c r="O111" s="350">
        <v>5</v>
      </c>
      <c r="P111" s="351">
        <v>73.400000000000006</v>
      </c>
      <c r="Q111" s="351">
        <v>367</v>
      </c>
      <c r="R111" s="182"/>
      <c r="U111" s="128"/>
    </row>
    <row r="112" spans="1:21" ht="15.6" x14ac:dyDescent="0.3">
      <c r="A112" s="53"/>
      <c r="B112" s="54"/>
      <c r="C112" s="54"/>
      <c r="D112" s="54"/>
      <c r="E112" s="55"/>
      <c r="F112" s="75"/>
      <c r="G112" s="76"/>
      <c r="H112" s="76"/>
      <c r="I112" s="48"/>
      <c r="J112" s="70"/>
      <c r="K112" s="70"/>
      <c r="L112" s="348" t="s">
        <v>1087</v>
      </c>
      <c r="M112" s="349" t="s">
        <v>1089</v>
      </c>
      <c r="N112" s="348" t="s">
        <v>34</v>
      </c>
      <c r="O112" s="350">
        <v>1</v>
      </c>
      <c r="P112" s="351">
        <v>73</v>
      </c>
      <c r="Q112" s="351">
        <v>73</v>
      </c>
      <c r="R112" s="182"/>
      <c r="U112" s="128"/>
    </row>
    <row r="113" spans="1:21" ht="15.6" x14ac:dyDescent="0.3">
      <c r="A113" s="53"/>
      <c r="B113" s="54"/>
      <c r="C113" s="54"/>
      <c r="D113" s="54"/>
      <c r="E113" s="55"/>
      <c r="F113" s="75"/>
      <c r="G113" s="76"/>
      <c r="H113" s="76"/>
      <c r="I113" s="48"/>
      <c r="J113" s="70"/>
      <c r="K113" s="70"/>
      <c r="L113" s="348" t="s">
        <v>1382</v>
      </c>
      <c r="M113" s="349" t="s">
        <v>1410</v>
      </c>
      <c r="N113" s="348" t="s">
        <v>39</v>
      </c>
      <c r="O113" s="350">
        <v>0.02</v>
      </c>
      <c r="P113" s="352">
        <v>35795.5</v>
      </c>
      <c r="Q113" s="351">
        <v>715.91</v>
      </c>
      <c r="R113" s="182"/>
      <c r="U113" s="128"/>
    </row>
    <row r="114" spans="1:21" ht="15.6" x14ac:dyDescent="0.3">
      <c r="A114" s="53"/>
      <c r="B114" s="54"/>
      <c r="C114" s="54"/>
      <c r="D114" s="54"/>
      <c r="E114" s="55"/>
      <c r="F114" s="75"/>
      <c r="G114" s="76"/>
      <c r="H114" s="76"/>
      <c r="I114" s="48"/>
      <c r="J114" s="70"/>
      <c r="K114" s="70"/>
      <c r="L114" s="348" t="s">
        <v>1423</v>
      </c>
      <c r="M114" s="349" t="s">
        <v>1446</v>
      </c>
      <c r="N114" s="348" t="s">
        <v>39</v>
      </c>
      <c r="O114" s="350">
        <v>7.0000000000000007E-2</v>
      </c>
      <c r="P114" s="352">
        <v>31817</v>
      </c>
      <c r="Q114" s="352">
        <v>2227.19</v>
      </c>
      <c r="R114" s="182"/>
      <c r="U114" s="128"/>
    </row>
    <row r="115" spans="1:21" ht="15.6" x14ac:dyDescent="0.3">
      <c r="A115" s="53"/>
      <c r="B115" s="54"/>
      <c r="C115" s="54"/>
      <c r="D115" s="54"/>
      <c r="E115" s="55"/>
      <c r="F115" s="75"/>
      <c r="G115" s="76"/>
      <c r="H115" s="76"/>
      <c r="I115" s="48"/>
      <c r="J115" s="70"/>
      <c r="K115" s="70"/>
      <c r="L115" s="348" t="s">
        <v>1424</v>
      </c>
      <c r="M115" s="349" t="s">
        <v>228</v>
      </c>
      <c r="N115" s="348" t="s">
        <v>39</v>
      </c>
      <c r="O115" s="350">
        <v>0.04</v>
      </c>
      <c r="P115" s="352">
        <v>34206</v>
      </c>
      <c r="Q115" s="352">
        <v>1368.24</v>
      </c>
      <c r="R115" s="182"/>
      <c r="U115" s="128"/>
    </row>
    <row r="116" spans="1:21" ht="15.6" x14ac:dyDescent="0.3">
      <c r="A116" s="53"/>
      <c r="B116" s="54"/>
      <c r="C116" s="54"/>
      <c r="D116" s="54"/>
      <c r="E116" s="55"/>
      <c r="F116" s="75"/>
      <c r="G116" s="76"/>
      <c r="H116" s="76"/>
      <c r="I116" s="48"/>
      <c r="J116" s="70"/>
      <c r="K116" s="70"/>
      <c r="L116" s="348" t="s">
        <v>1847</v>
      </c>
      <c r="M116" s="349" t="s">
        <v>1849</v>
      </c>
      <c r="N116" s="348" t="s">
        <v>39</v>
      </c>
      <c r="O116" s="350">
        <v>0.01</v>
      </c>
      <c r="P116" s="352">
        <v>34578</v>
      </c>
      <c r="Q116" s="351">
        <v>345.78</v>
      </c>
      <c r="R116" s="182"/>
      <c r="U116" s="128"/>
    </row>
    <row r="117" spans="1:21" ht="15.6" x14ac:dyDescent="0.3">
      <c r="A117" s="53"/>
      <c r="B117" s="54"/>
      <c r="C117" s="54"/>
      <c r="D117" s="54"/>
      <c r="E117" s="55"/>
      <c r="F117" s="75"/>
      <c r="G117" s="76"/>
      <c r="H117" s="76"/>
      <c r="I117" s="48"/>
      <c r="J117" s="70"/>
      <c r="K117" s="70"/>
      <c r="L117" s="348" t="s">
        <v>1031</v>
      </c>
      <c r="M117" s="349" t="s">
        <v>834</v>
      </c>
      <c r="N117" s="348" t="s">
        <v>39</v>
      </c>
      <c r="O117" s="350">
        <v>0.13</v>
      </c>
      <c r="P117" s="352">
        <v>35257.919999999998</v>
      </c>
      <c r="Q117" s="352">
        <v>4583.53</v>
      </c>
      <c r="R117" s="182"/>
      <c r="U117" s="128"/>
    </row>
    <row r="118" spans="1:21" ht="15.6" x14ac:dyDescent="0.3">
      <c r="A118" s="53"/>
      <c r="B118" s="54"/>
      <c r="C118" s="54"/>
      <c r="D118" s="54"/>
      <c r="E118" s="55"/>
      <c r="F118" s="75"/>
      <c r="G118" s="76"/>
      <c r="H118" s="76"/>
      <c r="I118" s="48"/>
      <c r="J118" s="70"/>
      <c r="K118" s="70"/>
      <c r="L118" s="348" t="s">
        <v>986</v>
      </c>
      <c r="M118" s="349" t="s">
        <v>835</v>
      </c>
      <c r="N118" s="348" t="s">
        <v>34</v>
      </c>
      <c r="O118" s="350">
        <v>6</v>
      </c>
      <c r="P118" s="351">
        <v>275.86</v>
      </c>
      <c r="Q118" s="352">
        <v>1655.16</v>
      </c>
      <c r="R118" s="182"/>
      <c r="U118" s="128"/>
    </row>
    <row r="119" spans="1:21" ht="15.6" x14ac:dyDescent="0.3">
      <c r="A119" s="53"/>
      <c r="B119" s="54"/>
      <c r="C119" s="54"/>
      <c r="D119" s="54"/>
      <c r="E119" s="55"/>
      <c r="F119" s="75"/>
      <c r="G119" s="76"/>
      <c r="H119" s="76"/>
      <c r="I119" s="48"/>
      <c r="J119" s="70"/>
      <c r="K119" s="70"/>
      <c r="L119" s="348" t="s">
        <v>1179</v>
      </c>
      <c r="M119" s="349" t="s">
        <v>1263</v>
      </c>
      <c r="N119" s="348" t="s">
        <v>34</v>
      </c>
      <c r="O119" s="350">
        <v>0.31</v>
      </c>
      <c r="P119" s="351">
        <v>561</v>
      </c>
      <c r="Q119" s="351">
        <v>173.91</v>
      </c>
      <c r="R119" s="182"/>
      <c r="U119" s="128"/>
    </row>
    <row r="120" spans="1:21" ht="15.6" x14ac:dyDescent="0.3">
      <c r="A120" s="53"/>
      <c r="B120" s="54"/>
      <c r="C120" s="54"/>
      <c r="D120" s="54"/>
      <c r="E120" s="55"/>
      <c r="F120" s="75"/>
      <c r="G120" s="76"/>
      <c r="H120" s="76"/>
      <c r="I120" s="48"/>
      <c r="J120" s="70"/>
      <c r="K120" s="70"/>
      <c r="L120" s="348" t="s">
        <v>1091</v>
      </c>
      <c r="M120" s="349" t="s">
        <v>1095</v>
      </c>
      <c r="N120" s="348" t="s">
        <v>34</v>
      </c>
      <c r="O120" s="350">
        <v>1</v>
      </c>
      <c r="P120" s="351">
        <v>133.97999999999999</v>
      </c>
      <c r="Q120" s="351">
        <v>133.97999999999999</v>
      </c>
      <c r="R120" s="182"/>
      <c r="U120" s="128"/>
    </row>
    <row r="121" spans="1:21" ht="30" x14ac:dyDescent="0.3">
      <c r="A121" s="53"/>
      <c r="B121" s="54"/>
      <c r="C121" s="54"/>
      <c r="D121" s="54"/>
      <c r="E121" s="55"/>
      <c r="F121" s="75"/>
      <c r="G121" s="76"/>
      <c r="H121" s="76"/>
      <c r="I121" s="48"/>
      <c r="J121" s="70"/>
      <c r="K121" s="70"/>
      <c r="L121" s="348" t="s">
        <v>1019</v>
      </c>
      <c r="M121" s="349" t="s">
        <v>836</v>
      </c>
      <c r="N121" s="348" t="s">
        <v>57</v>
      </c>
      <c r="O121" s="350">
        <v>130</v>
      </c>
      <c r="P121" s="351">
        <v>6.09</v>
      </c>
      <c r="Q121" s="351">
        <v>791.7</v>
      </c>
      <c r="R121" s="182"/>
      <c r="U121" s="128"/>
    </row>
    <row r="122" spans="1:21" ht="30" x14ac:dyDescent="0.3">
      <c r="A122" s="53"/>
      <c r="B122" s="54"/>
      <c r="C122" s="54"/>
      <c r="D122" s="54"/>
      <c r="E122" s="55"/>
      <c r="F122" s="75"/>
      <c r="G122" s="76"/>
      <c r="H122" s="76"/>
      <c r="I122" s="48"/>
      <c r="J122" s="70"/>
      <c r="K122" s="70"/>
      <c r="L122" s="348" t="s">
        <v>1020</v>
      </c>
      <c r="M122" s="349" t="s">
        <v>102</v>
      </c>
      <c r="N122" s="348" t="s">
        <v>57</v>
      </c>
      <c r="O122" s="350">
        <v>11</v>
      </c>
      <c r="P122" s="351">
        <v>7.92</v>
      </c>
      <c r="Q122" s="351">
        <v>87.12</v>
      </c>
      <c r="R122" s="182"/>
      <c r="U122" s="128"/>
    </row>
    <row r="123" spans="1:21" ht="15.6" x14ac:dyDescent="0.3">
      <c r="A123" s="53"/>
      <c r="B123" s="54"/>
      <c r="C123" s="54"/>
      <c r="D123" s="54"/>
      <c r="E123" s="55"/>
      <c r="F123" s="75"/>
      <c r="G123" s="76"/>
      <c r="H123" s="76"/>
      <c r="I123" s="48"/>
      <c r="J123" s="70"/>
      <c r="K123" s="70"/>
      <c r="L123" s="348" t="s">
        <v>933</v>
      </c>
      <c r="M123" s="349" t="s">
        <v>932</v>
      </c>
      <c r="N123" s="348" t="s">
        <v>37</v>
      </c>
      <c r="O123" s="350">
        <v>2</v>
      </c>
      <c r="P123" s="351">
        <v>18.899999999999999</v>
      </c>
      <c r="Q123" s="351">
        <v>37.799999999999997</v>
      </c>
      <c r="R123" s="182"/>
      <c r="U123" s="128"/>
    </row>
    <row r="124" spans="1:21" ht="30" x14ac:dyDescent="0.3">
      <c r="A124" s="53"/>
      <c r="B124" s="54"/>
      <c r="C124" s="54"/>
      <c r="D124" s="54"/>
      <c r="E124" s="55"/>
      <c r="F124" s="75"/>
      <c r="G124" s="76"/>
      <c r="H124" s="76"/>
      <c r="I124" s="48"/>
      <c r="J124" s="70"/>
      <c r="K124" s="70"/>
      <c r="L124" s="348" t="s">
        <v>1427</v>
      </c>
      <c r="M124" s="349" t="s">
        <v>1449</v>
      </c>
      <c r="N124" s="348" t="s">
        <v>34</v>
      </c>
      <c r="O124" s="350">
        <v>1</v>
      </c>
      <c r="P124" s="351">
        <v>55.94</v>
      </c>
      <c r="Q124" s="351">
        <v>55.94</v>
      </c>
      <c r="R124" s="182"/>
      <c r="U124" s="128"/>
    </row>
    <row r="125" spans="1:21" ht="15.6" x14ac:dyDescent="0.3">
      <c r="A125" s="53"/>
      <c r="B125" s="54"/>
      <c r="C125" s="54"/>
      <c r="D125" s="54"/>
      <c r="E125" s="55"/>
      <c r="F125" s="75"/>
      <c r="G125" s="76"/>
      <c r="H125" s="76"/>
      <c r="I125" s="48"/>
      <c r="J125" s="70"/>
      <c r="K125" s="70"/>
      <c r="L125" s="348" t="s">
        <v>1178</v>
      </c>
      <c r="M125" s="349" t="s">
        <v>1262</v>
      </c>
      <c r="N125" s="348" t="s">
        <v>34</v>
      </c>
      <c r="O125" s="350">
        <v>2</v>
      </c>
      <c r="P125" s="351">
        <v>35.6</v>
      </c>
      <c r="Q125" s="351">
        <v>71.2</v>
      </c>
      <c r="R125" s="182"/>
      <c r="U125" s="128"/>
    </row>
    <row r="126" spans="1:21" ht="15.6" x14ac:dyDescent="0.3">
      <c r="A126" s="53"/>
      <c r="B126" s="54"/>
      <c r="C126" s="54"/>
      <c r="D126" s="54"/>
      <c r="E126" s="55"/>
      <c r="F126" s="75"/>
      <c r="G126" s="76"/>
      <c r="H126" s="76"/>
      <c r="I126" s="48"/>
      <c r="J126" s="70"/>
      <c r="K126" s="70"/>
      <c r="L126" s="348" t="s">
        <v>1021</v>
      </c>
      <c r="M126" s="349" t="s">
        <v>483</v>
      </c>
      <c r="N126" s="348" t="s">
        <v>57</v>
      </c>
      <c r="O126" s="350">
        <v>13</v>
      </c>
      <c r="P126" s="351">
        <v>31.3</v>
      </c>
      <c r="Q126" s="351">
        <v>406.9</v>
      </c>
      <c r="R126" s="182"/>
      <c r="U126" s="128"/>
    </row>
    <row r="127" spans="1:21" ht="30" x14ac:dyDescent="0.3">
      <c r="A127" s="53"/>
      <c r="B127" s="54"/>
      <c r="C127" s="54"/>
      <c r="D127" s="54"/>
      <c r="E127" s="55"/>
      <c r="F127" s="75"/>
      <c r="G127" s="76"/>
      <c r="H127" s="76"/>
      <c r="I127" s="48"/>
      <c r="J127" s="70"/>
      <c r="K127" s="70"/>
      <c r="L127" s="348" t="s">
        <v>987</v>
      </c>
      <c r="M127" s="349" t="s">
        <v>837</v>
      </c>
      <c r="N127" s="348" t="s">
        <v>34</v>
      </c>
      <c r="O127" s="350">
        <v>3</v>
      </c>
      <c r="P127" s="351">
        <v>53</v>
      </c>
      <c r="Q127" s="351">
        <v>159</v>
      </c>
      <c r="R127" s="182"/>
      <c r="U127" s="128"/>
    </row>
    <row r="128" spans="1:21" ht="15.6" x14ac:dyDescent="0.3">
      <c r="A128" s="53"/>
      <c r="B128" s="54"/>
      <c r="C128" s="54"/>
      <c r="D128" s="54"/>
      <c r="E128" s="55"/>
      <c r="F128" s="75"/>
      <c r="G128" s="76"/>
      <c r="H128" s="76"/>
      <c r="I128" s="48"/>
      <c r="J128" s="70"/>
      <c r="K128" s="70"/>
      <c r="L128" s="348" t="s">
        <v>1316</v>
      </c>
      <c r="M128" s="349" t="s">
        <v>1350</v>
      </c>
      <c r="N128" s="348" t="s">
        <v>39</v>
      </c>
      <c r="O128" s="350">
        <v>0.02</v>
      </c>
      <c r="P128" s="352">
        <v>31617.5</v>
      </c>
      <c r="Q128" s="351">
        <v>632.35</v>
      </c>
      <c r="R128" s="182"/>
      <c r="U128" s="128"/>
    </row>
    <row r="129" spans="1:21" ht="15.6" x14ac:dyDescent="0.3">
      <c r="A129" s="53"/>
      <c r="B129" s="54"/>
      <c r="C129" s="54"/>
      <c r="D129" s="54"/>
      <c r="E129" s="55"/>
      <c r="F129" s="75"/>
      <c r="G129" s="76"/>
      <c r="H129" s="76"/>
      <c r="I129" s="48"/>
      <c r="J129" s="70"/>
      <c r="K129" s="70"/>
      <c r="L129" s="348" t="s">
        <v>1180</v>
      </c>
      <c r="M129" s="349" t="s">
        <v>105</v>
      </c>
      <c r="N129" s="348" t="s">
        <v>34</v>
      </c>
      <c r="O129" s="350">
        <v>399</v>
      </c>
      <c r="P129" s="351">
        <v>0.54</v>
      </c>
      <c r="Q129" s="351">
        <v>216.53</v>
      </c>
      <c r="R129" s="182"/>
      <c r="U129" s="128"/>
    </row>
    <row r="130" spans="1:21" ht="15.6" x14ac:dyDescent="0.3">
      <c r="A130" s="53"/>
      <c r="B130" s="54"/>
      <c r="C130" s="54"/>
      <c r="D130" s="54"/>
      <c r="E130" s="55"/>
      <c r="F130" s="75"/>
      <c r="G130" s="76"/>
      <c r="H130" s="76"/>
      <c r="I130" s="48"/>
      <c r="J130" s="70"/>
      <c r="K130" s="70"/>
      <c r="L130" s="348" t="s">
        <v>988</v>
      </c>
      <c r="M130" s="349" t="s">
        <v>106</v>
      </c>
      <c r="N130" s="348" t="s">
        <v>34</v>
      </c>
      <c r="O130" s="353">
        <v>2335</v>
      </c>
      <c r="P130" s="351">
        <v>0.71</v>
      </c>
      <c r="Q130" s="352">
        <v>1648.72</v>
      </c>
      <c r="R130" s="182"/>
      <c r="U130" s="128"/>
    </row>
    <row r="131" spans="1:21" ht="15.6" x14ac:dyDescent="0.3">
      <c r="A131" s="53"/>
      <c r="B131" s="54"/>
      <c r="C131" s="54"/>
      <c r="D131" s="54"/>
      <c r="E131" s="55"/>
      <c r="F131" s="75"/>
      <c r="G131" s="76"/>
      <c r="H131" s="76"/>
      <c r="I131" s="48"/>
      <c r="J131" s="70"/>
      <c r="K131" s="70"/>
      <c r="L131" s="348" t="s">
        <v>46</v>
      </c>
      <c r="M131" s="349" t="s">
        <v>107</v>
      </c>
      <c r="N131" s="348" t="s">
        <v>64</v>
      </c>
      <c r="O131" s="350">
        <v>0.15</v>
      </c>
      <c r="P131" s="352">
        <v>1435</v>
      </c>
      <c r="Q131" s="351">
        <v>215.25</v>
      </c>
      <c r="R131" s="182"/>
      <c r="U131" s="128"/>
    </row>
    <row r="132" spans="1:21" ht="30" x14ac:dyDescent="0.3">
      <c r="A132" s="53"/>
      <c r="B132" s="54"/>
      <c r="C132" s="54"/>
      <c r="D132" s="54"/>
      <c r="E132" s="55"/>
      <c r="F132" s="75"/>
      <c r="G132" s="76"/>
      <c r="H132" s="76"/>
      <c r="I132" s="48"/>
      <c r="J132" s="70"/>
      <c r="K132" s="70"/>
      <c r="L132" s="348" t="s">
        <v>1079</v>
      </c>
      <c r="M132" s="349" t="s">
        <v>842</v>
      </c>
      <c r="N132" s="348" t="s">
        <v>34</v>
      </c>
      <c r="O132" s="350">
        <v>1</v>
      </c>
      <c r="P132" s="351">
        <v>43.8</v>
      </c>
      <c r="Q132" s="351">
        <v>43.8</v>
      </c>
      <c r="R132" s="182"/>
      <c r="U132" s="128"/>
    </row>
    <row r="133" spans="1:21" ht="15.6" x14ac:dyDescent="0.3">
      <c r="A133" s="53"/>
      <c r="B133" s="54"/>
      <c r="C133" s="54"/>
      <c r="D133" s="54"/>
      <c r="E133" s="55"/>
      <c r="F133" s="75"/>
      <c r="G133" s="76"/>
      <c r="H133" s="76"/>
      <c r="I133" s="48"/>
      <c r="J133" s="70"/>
      <c r="K133" s="70"/>
      <c r="L133" s="348" t="s">
        <v>1874</v>
      </c>
      <c r="M133" s="349" t="s">
        <v>1889</v>
      </c>
      <c r="N133" s="348" t="s">
        <v>64</v>
      </c>
      <c r="O133" s="350">
        <v>2</v>
      </c>
      <c r="P133" s="351">
        <v>18.899999999999999</v>
      </c>
      <c r="Q133" s="351">
        <v>37.799999999999997</v>
      </c>
      <c r="R133" s="182"/>
      <c r="U133" s="128"/>
    </row>
    <row r="134" spans="1:21" ht="15.6" x14ac:dyDescent="0.3">
      <c r="A134" s="53"/>
      <c r="B134" s="54"/>
      <c r="C134" s="54"/>
      <c r="D134" s="54"/>
      <c r="E134" s="55"/>
      <c r="F134" s="75"/>
      <c r="G134" s="76"/>
      <c r="H134" s="76"/>
      <c r="I134" s="48"/>
      <c r="J134" s="70"/>
      <c r="K134" s="70"/>
      <c r="L134" s="348" t="s">
        <v>949</v>
      </c>
      <c r="M134" s="349" t="s">
        <v>494</v>
      </c>
      <c r="N134" s="348" t="s">
        <v>34</v>
      </c>
      <c r="O134" s="350">
        <v>54</v>
      </c>
      <c r="P134" s="351">
        <v>2.5</v>
      </c>
      <c r="Q134" s="351">
        <v>135</v>
      </c>
      <c r="R134" s="182"/>
      <c r="U134" s="128"/>
    </row>
    <row r="135" spans="1:21" ht="30" x14ac:dyDescent="0.3">
      <c r="A135" s="53"/>
      <c r="B135" s="54"/>
      <c r="C135" s="54"/>
      <c r="D135" s="54"/>
      <c r="E135" s="55"/>
      <c r="F135" s="75"/>
      <c r="G135" s="76"/>
      <c r="H135" s="76"/>
      <c r="I135" s="48"/>
      <c r="J135" s="70"/>
      <c r="K135" s="70"/>
      <c r="L135" s="348" t="s">
        <v>950</v>
      </c>
      <c r="M135" s="349" t="s">
        <v>843</v>
      </c>
      <c r="N135" s="348" t="s">
        <v>34</v>
      </c>
      <c r="O135" s="350">
        <v>1</v>
      </c>
      <c r="P135" s="351">
        <v>53.1</v>
      </c>
      <c r="Q135" s="351">
        <v>53.1</v>
      </c>
      <c r="R135" s="182"/>
      <c r="U135" s="128"/>
    </row>
    <row r="136" spans="1:21" ht="15.6" x14ac:dyDescent="0.3">
      <c r="A136" s="53"/>
      <c r="B136" s="54"/>
      <c r="C136" s="54"/>
      <c r="D136" s="54"/>
      <c r="E136" s="55"/>
      <c r="F136" s="75"/>
      <c r="G136" s="76"/>
      <c r="H136" s="76"/>
      <c r="I136" s="48"/>
      <c r="J136" s="70"/>
      <c r="K136" s="70"/>
      <c r="L136" s="348" t="s">
        <v>1875</v>
      </c>
      <c r="M136" s="349" t="s">
        <v>1890</v>
      </c>
      <c r="N136" s="348" t="s">
        <v>34</v>
      </c>
      <c r="O136" s="350">
        <v>1</v>
      </c>
      <c r="P136" s="351">
        <v>52.9</v>
      </c>
      <c r="Q136" s="351">
        <v>52.9</v>
      </c>
      <c r="R136" s="182"/>
      <c r="U136" s="128"/>
    </row>
    <row r="137" spans="1:21" ht="15.6" x14ac:dyDescent="0.3">
      <c r="A137" s="53"/>
      <c r="B137" s="54"/>
      <c r="C137" s="54"/>
      <c r="D137" s="54"/>
      <c r="E137" s="55"/>
      <c r="F137" s="75"/>
      <c r="G137" s="76"/>
      <c r="H137" s="76"/>
      <c r="I137" s="48"/>
      <c r="J137" s="70"/>
      <c r="K137" s="70"/>
      <c r="L137" s="348" t="s">
        <v>1876</v>
      </c>
      <c r="M137" s="349" t="s">
        <v>1891</v>
      </c>
      <c r="N137" s="348" t="s">
        <v>34</v>
      </c>
      <c r="O137" s="350">
        <v>2</v>
      </c>
      <c r="P137" s="351">
        <v>21</v>
      </c>
      <c r="Q137" s="351">
        <v>42</v>
      </c>
      <c r="R137" s="182"/>
      <c r="U137" s="128"/>
    </row>
    <row r="138" spans="1:21" ht="30" x14ac:dyDescent="0.3">
      <c r="A138" s="53"/>
      <c r="B138" s="54"/>
      <c r="C138" s="54"/>
      <c r="D138" s="54"/>
      <c r="E138" s="55"/>
      <c r="F138" s="75"/>
      <c r="G138" s="76"/>
      <c r="H138" s="76"/>
      <c r="I138" s="48"/>
      <c r="J138" s="70"/>
      <c r="K138" s="70"/>
      <c r="L138" s="348" t="s">
        <v>951</v>
      </c>
      <c r="M138" s="349" t="s">
        <v>844</v>
      </c>
      <c r="N138" s="348" t="s">
        <v>34</v>
      </c>
      <c r="O138" s="350">
        <v>4</v>
      </c>
      <c r="P138" s="351">
        <v>21</v>
      </c>
      <c r="Q138" s="351">
        <v>84</v>
      </c>
      <c r="R138" s="182"/>
      <c r="U138" s="128"/>
    </row>
    <row r="139" spans="1:21" ht="15.6" x14ac:dyDescent="0.3">
      <c r="A139" s="53"/>
      <c r="B139" s="54"/>
      <c r="C139" s="54"/>
      <c r="D139" s="54"/>
      <c r="E139" s="55"/>
      <c r="F139" s="75"/>
      <c r="G139" s="76"/>
      <c r="H139" s="76"/>
      <c r="I139" s="48"/>
      <c r="J139" s="70"/>
      <c r="K139" s="70"/>
      <c r="L139" s="348" t="s">
        <v>1167</v>
      </c>
      <c r="M139" s="349" t="s">
        <v>1252</v>
      </c>
      <c r="N139" s="348" t="s">
        <v>34</v>
      </c>
      <c r="O139" s="350">
        <v>0.65</v>
      </c>
      <c r="P139" s="351">
        <v>196</v>
      </c>
      <c r="Q139" s="351">
        <v>127.4</v>
      </c>
      <c r="R139" s="182"/>
      <c r="U139" s="128"/>
    </row>
    <row r="140" spans="1:21" ht="15.6" x14ac:dyDescent="0.3">
      <c r="A140" s="53"/>
      <c r="B140" s="54"/>
      <c r="C140" s="54"/>
      <c r="D140" s="54"/>
      <c r="E140" s="55"/>
      <c r="F140" s="75"/>
      <c r="G140" s="76"/>
      <c r="H140" s="76"/>
      <c r="I140" s="48"/>
      <c r="J140" s="70"/>
      <c r="K140" s="70"/>
      <c r="L140" s="348" t="s">
        <v>1431</v>
      </c>
      <c r="M140" s="349" t="s">
        <v>1453</v>
      </c>
      <c r="N140" s="348" t="s">
        <v>34</v>
      </c>
      <c r="O140" s="350">
        <v>0.52</v>
      </c>
      <c r="P140" s="351">
        <v>185</v>
      </c>
      <c r="Q140" s="351">
        <v>96.2</v>
      </c>
      <c r="R140" s="182"/>
      <c r="U140" s="128"/>
    </row>
    <row r="141" spans="1:21" ht="15.6" x14ac:dyDescent="0.3">
      <c r="A141" s="53"/>
      <c r="B141" s="54"/>
      <c r="C141" s="54"/>
      <c r="D141" s="54"/>
      <c r="E141" s="55"/>
      <c r="F141" s="75"/>
      <c r="G141" s="76"/>
      <c r="H141" s="76"/>
      <c r="I141" s="48"/>
      <c r="J141" s="70"/>
      <c r="K141" s="70"/>
      <c r="L141" s="348" t="s">
        <v>989</v>
      </c>
      <c r="M141" s="349" t="s">
        <v>848</v>
      </c>
      <c r="N141" s="348" t="s">
        <v>34</v>
      </c>
      <c r="O141" s="350">
        <v>2</v>
      </c>
      <c r="P141" s="351">
        <v>118</v>
      </c>
      <c r="Q141" s="351">
        <v>236</v>
      </c>
      <c r="R141" s="182"/>
      <c r="U141" s="128"/>
    </row>
    <row r="142" spans="1:21" ht="15.6" x14ac:dyDescent="0.3">
      <c r="A142" s="53"/>
      <c r="B142" s="54"/>
      <c r="C142" s="54"/>
      <c r="D142" s="54"/>
      <c r="E142" s="55"/>
      <c r="F142" s="75"/>
      <c r="G142" s="76"/>
      <c r="H142" s="76"/>
      <c r="I142" s="48"/>
      <c r="J142" s="70"/>
      <c r="K142" s="70"/>
      <c r="L142" s="348" t="s">
        <v>1168</v>
      </c>
      <c r="M142" s="349" t="s">
        <v>1253</v>
      </c>
      <c r="N142" s="348" t="s">
        <v>34</v>
      </c>
      <c r="O142" s="350">
        <v>1</v>
      </c>
      <c r="P142" s="351">
        <v>110</v>
      </c>
      <c r="Q142" s="351">
        <v>110</v>
      </c>
      <c r="R142" s="182"/>
      <c r="U142" s="128"/>
    </row>
    <row r="143" spans="1:21" ht="15.6" x14ac:dyDescent="0.3">
      <c r="A143" s="53"/>
      <c r="B143" s="54"/>
      <c r="C143" s="54"/>
      <c r="D143" s="54"/>
      <c r="E143" s="55"/>
      <c r="F143" s="75"/>
      <c r="G143" s="76"/>
      <c r="H143" s="76"/>
      <c r="I143" s="48"/>
      <c r="J143" s="70"/>
      <c r="K143" s="70"/>
      <c r="L143" s="348" t="s">
        <v>991</v>
      </c>
      <c r="M143" s="349" t="s">
        <v>1065</v>
      </c>
      <c r="N143" s="348" t="s">
        <v>34</v>
      </c>
      <c r="O143" s="350">
        <v>430</v>
      </c>
      <c r="P143" s="351">
        <v>0.5</v>
      </c>
      <c r="Q143" s="351">
        <v>215</v>
      </c>
      <c r="R143" s="182"/>
      <c r="U143" s="128"/>
    </row>
    <row r="144" spans="1:21" ht="15.6" x14ac:dyDescent="0.3">
      <c r="A144" s="53"/>
      <c r="B144" s="54"/>
      <c r="C144" s="54"/>
      <c r="D144" s="54"/>
      <c r="E144" s="55"/>
      <c r="F144" s="75"/>
      <c r="G144" s="76"/>
      <c r="H144" s="76"/>
      <c r="I144" s="48"/>
      <c r="J144" s="70"/>
      <c r="K144" s="70"/>
      <c r="L144" s="348" t="s">
        <v>992</v>
      </c>
      <c r="M144" s="349" t="s">
        <v>849</v>
      </c>
      <c r="N144" s="348" t="s">
        <v>34</v>
      </c>
      <c r="O144" s="350">
        <v>15</v>
      </c>
      <c r="P144" s="351">
        <v>0.92</v>
      </c>
      <c r="Q144" s="351">
        <v>13.8</v>
      </c>
      <c r="R144" s="182"/>
      <c r="U144" s="128"/>
    </row>
    <row r="145" spans="1:21" ht="15.6" x14ac:dyDescent="0.3">
      <c r="A145" s="53"/>
      <c r="B145" s="54"/>
      <c r="C145" s="54"/>
      <c r="D145" s="54"/>
      <c r="E145" s="55"/>
      <c r="F145" s="75"/>
      <c r="G145" s="76"/>
      <c r="H145" s="76"/>
      <c r="I145" s="48"/>
      <c r="J145" s="70"/>
      <c r="K145" s="70"/>
      <c r="L145" s="348" t="s">
        <v>993</v>
      </c>
      <c r="M145" s="349" t="s">
        <v>852</v>
      </c>
      <c r="N145" s="348" t="s">
        <v>34</v>
      </c>
      <c r="O145" s="350">
        <v>377</v>
      </c>
      <c r="P145" s="351">
        <v>0.5</v>
      </c>
      <c r="Q145" s="351">
        <v>188.5</v>
      </c>
      <c r="R145" s="182"/>
      <c r="U145" s="128"/>
    </row>
    <row r="146" spans="1:21" ht="15.6" x14ac:dyDescent="0.3">
      <c r="A146" s="53"/>
      <c r="B146" s="54"/>
      <c r="C146" s="54"/>
      <c r="D146" s="54"/>
      <c r="E146" s="55"/>
      <c r="F146" s="75"/>
      <c r="G146" s="76"/>
      <c r="H146" s="76"/>
      <c r="I146" s="48"/>
      <c r="J146" s="70"/>
      <c r="K146" s="70"/>
      <c r="L146" s="348" t="s">
        <v>996</v>
      </c>
      <c r="M146" s="349" t="s">
        <v>501</v>
      </c>
      <c r="N146" s="348" t="s">
        <v>34</v>
      </c>
      <c r="O146" s="350">
        <v>6</v>
      </c>
      <c r="P146" s="351">
        <v>34.08</v>
      </c>
      <c r="Q146" s="351">
        <v>204.45</v>
      </c>
      <c r="R146" s="182"/>
      <c r="U146" s="128"/>
    </row>
    <row r="147" spans="1:21" ht="15.6" x14ac:dyDescent="0.3">
      <c r="A147" s="53"/>
      <c r="B147" s="54"/>
      <c r="C147" s="54"/>
      <c r="D147" s="54"/>
      <c r="E147" s="55"/>
      <c r="F147" s="75"/>
      <c r="G147" s="76"/>
      <c r="H147" s="76"/>
      <c r="I147" s="48"/>
      <c r="J147" s="70"/>
      <c r="K147" s="70"/>
      <c r="L147" s="348" t="s">
        <v>997</v>
      </c>
      <c r="M147" s="349" t="s">
        <v>853</v>
      </c>
      <c r="N147" s="348" t="s">
        <v>34</v>
      </c>
      <c r="O147" s="350">
        <v>46</v>
      </c>
      <c r="P147" s="351">
        <v>48</v>
      </c>
      <c r="Q147" s="352">
        <v>2208</v>
      </c>
      <c r="R147" s="182"/>
      <c r="U147" s="128"/>
    </row>
    <row r="148" spans="1:21" ht="15.6" x14ac:dyDescent="0.3">
      <c r="A148" s="53"/>
      <c r="B148" s="54"/>
      <c r="C148" s="54"/>
      <c r="D148" s="54"/>
      <c r="E148" s="55"/>
      <c r="F148" s="75"/>
      <c r="G148" s="76"/>
      <c r="H148" s="76"/>
      <c r="I148" s="48"/>
      <c r="J148" s="70"/>
      <c r="K148" s="70"/>
      <c r="L148" s="348" t="s">
        <v>998</v>
      </c>
      <c r="M148" s="349" t="s">
        <v>1068</v>
      </c>
      <c r="N148" s="348" t="s">
        <v>34</v>
      </c>
      <c r="O148" s="350">
        <v>2</v>
      </c>
      <c r="P148" s="351">
        <v>66.86</v>
      </c>
      <c r="Q148" s="351">
        <v>133.72</v>
      </c>
      <c r="R148" s="182"/>
      <c r="U148" s="128"/>
    </row>
    <row r="149" spans="1:21" ht="15.6" x14ac:dyDescent="0.3">
      <c r="A149" s="53"/>
      <c r="B149" s="54"/>
      <c r="C149" s="54"/>
      <c r="D149" s="54"/>
      <c r="E149" s="55"/>
      <c r="F149" s="75"/>
      <c r="G149" s="76"/>
      <c r="H149" s="76"/>
      <c r="I149" s="48"/>
      <c r="J149" s="70"/>
      <c r="K149" s="70"/>
      <c r="L149" s="348" t="s">
        <v>1877</v>
      </c>
      <c r="M149" s="349" t="s">
        <v>1892</v>
      </c>
      <c r="N149" s="348" t="s">
        <v>34</v>
      </c>
      <c r="O149" s="350">
        <v>7</v>
      </c>
      <c r="P149" s="351">
        <v>11.5</v>
      </c>
      <c r="Q149" s="351">
        <v>80.5</v>
      </c>
      <c r="R149" s="182"/>
      <c r="U149" s="128"/>
    </row>
    <row r="150" spans="1:21" ht="15.6" x14ac:dyDescent="0.3">
      <c r="A150" s="53"/>
      <c r="B150" s="54"/>
      <c r="C150" s="54"/>
      <c r="D150" s="54"/>
      <c r="E150" s="55"/>
      <c r="F150" s="75"/>
      <c r="G150" s="76"/>
      <c r="H150" s="76"/>
      <c r="I150" s="48"/>
      <c r="J150" s="70"/>
      <c r="K150" s="70"/>
      <c r="L150" s="348" t="s">
        <v>999</v>
      </c>
      <c r="M150" s="349" t="s">
        <v>1069</v>
      </c>
      <c r="N150" s="348" t="s">
        <v>34</v>
      </c>
      <c r="O150" s="353">
        <v>2024</v>
      </c>
      <c r="P150" s="351">
        <v>0.24</v>
      </c>
      <c r="Q150" s="351">
        <v>492.39</v>
      </c>
      <c r="R150" s="182"/>
      <c r="U150" s="128"/>
    </row>
    <row r="151" spans="1:21" ht="15.6" x14ac:dyDescent="0.3">
      <c r="A151" s="53"/>
      <c r="B151" s="54"/>
      <c r="C151" s="54"/>
      <c r="D151" s="54"/>
      <c r="E151" s="55"/>
      <c r="F151" s="75"/>
      <c r="G151" s="76"/>
      <c r="H151" s="76"/>
      <c r="I151" s="48"/>
      <c r="J151" s="70"/>
      <c r="K151" s="70"/>
      <c r="L151" s="348" t="s">
        <v>1000</v>
      </c>
      <c r="M151" s="349" t="s">
        <v>248</v>
      </c>
      <c r="N151" s="348" t="s">
        <v>34</v>
      </c>
      <c r="O151" s="350">
        <v>972</v>
      </c>
      <c r="P151" s="351">
        <v>0.24</v>
      </c>
      <c r="Q151" s="351">
        <v>236.47</v>
      </c>
      <c r="R151" s="182"/>
      <c r="U151" s="128"/>
    </row>
    <row r="152" spans="1:21" ht="15.6" x14ac:dyDescent="0.3">
      <c r="A152" s="53"/>
      <c r="B152" s="54"/>
      <c r="C152" s="54"/>
      <c r="D152" s="54"/>
      <c r="E152" s="55"/>
      <c r="F152" s="75"/>
      <c r="G152" s="76"/>
      <c r="H152" s="76"/>
      <c r="I152" s="48"/>
      <c r="J152" s="70"/>
      <c r="K152" s="70"/>
      <c r="L152" s="348" t="s">
        <v>1436</v>
      </c>
      <c r="M152" s="349" t="s">
        <v>1458</v>
      </c>
      <c r="N152" s="348" t="s">
        <v>35</v>
      </c>
      <c r="O152" s="350">
        <v>1.2999999999999999E-2</v>
      </c>
      <c r="P152" s="351">
        <v>307.69</v>
      </c>
      <c r="Q152" s="351">
        <v>4</v>
      </c>
      <c r="R152" s="182"/>
      <c r="U152" s="128"/>
    </row>
    <row r="153" spans="1:21" ht="15.6" x14ac:dyDescent="0.3">
      <c r="A153" s="53"/>
      <c r="B153" s="54"/>
      <c r="C153" s="54"/>
      <c r="D153" s="54"/>
      <c r="E153" s="55"/>
      <c r="F153" s="75"/>
      <c r="G153" s="76"/>
      <c r="H153" s="76"/>
      <c r="I153" s="48"/>
      <c r="J153" s="70"/>
      <c r="K153" s="70"/>
      <c r="L153" s="348" t="s">
        <v>940</v>
      </c>
      <c r="M153" s="349" t="s">
        <v>1038</v>
      </c>
      <c r="N153" s="348" t="s">
        <v>63</v>
      </c>
      <c r="O153" s="350">
        <v>1.4999999999999999E-2</v>
      </c>
      <c r="P153" s="352">
        <v>37211.33</v>
      </c>
      <c r="Q153" s="351">
        <v>558.16999999999996</v>
      </c>
      <c r="R153" s="182"/>
      <c r="U153" s="128"/>
    </row>
    <row r="154" spans="1:21" ht="15.6" x14ac:dyDescent="0.3">
      <c r="A154" s="53"/>
      <c r="B154" s="54"/>
      <c r="C154" s="54"/>
      <c r="D154" s="54"/>
      <c r="E154" s="55"/>
      <c r="F154" s="75"/>
      <c r="G154" s="76"/>
      <c r="H154" s="76"/>
      <c r="I154" s="48"/>
      <c r="J154" s="70"/>
      <c r="K154" s="70"/>
      <c r="L154" s="348" t="s">
        <v>1846</v>
      </c>
      <c r="M154" s="349" t="s">
        <v>1848</v>
      </c>
      <c r="N154" s="348" t="s">
        <v>63</v>
      </c>
      <c r="O154" s="350">
        <v>3.5999999999999997E-2</v>
      </c>
      <c r="P154" s="352">
        <v>35332.78</v>
      </c>
      <c r="Q154" s="352">
        <v>1271.98</v>
      </c>
      <c r="R154" s="182"/>
      <c r="U154" s="128"/>
    </row>
    <row r="155" spans="1:21" ht="15.6" x14ac:dyDescent="0.3">
      <c r="A155" s="53"/>
      <c r="B155" s="54"/>
      <c r="C155" s="54"/>
      <c r="D155" s="54"/>
      <c r="E155" s="55"/>
      <c r="F155" s="75"/>
      <c r="G155" s="76"/>
      <c r="H155" s="76"/>
      <c r="I155" s="48"/>
      <c r="J155" s="70"/>
      <c r="K155" s="70"/>
      <c r="L155" s="348" t="s">
        <v>1374</v>
      </c>
      <c r="M155" s="349" t="s">
        <v>1402</v>
      </c>
      <c r="N155" s="348" t="s">
        <v>34</v>
      </c>
      <c r="O155" s="350">
        <v>4.4999999999999998E-2</v>
      </c>
      <c r="P155" s="351">
        <v>108</v>
      </c>
      <c r="Q155" s="351">
        <v>4.8600000000000003</v>
      </c>
      <c r="R155" s="182"/>
      <c r="U155" s="128"/>
    </row>
    <row r="156" spans="1:21" ht="15.6" x14ac:dyDescent="0.3">
      <c r="A156" s="53"/>
      <c r="B156" s="54"/>
      <c r="C156" s="54"/>
      <c r="D156" s="54"/>
      <c r="E156" s="55"/>
      <c r="F156" s="75"/>
      <c r="G156" s="76"/>
      <c r="H156" s="76"/>
      <c r="I156" s="48"/>
      <c r="J156" s="70"/>
      <c r="K156" s="70"/>
      <c r="L156" s="348" t="s">
        <v>1366</v>
      </c>
      <c r="M156" s="349" t="s">
        <v>1395</v>
      </c>
      <c r="N156" s="348" t="s">
        <v>903</v>
      </c>
      <c r="O156" s="350">
        <v>6.0999999999999999E-2</v>
      </c>
      <c r="P156" s="352">
        <v>24262.46</v>
      </c>
      <c r="Q156" s="352">
        <v>1480.01</v>
      </c>
      <c r="R156" s="182"/>
      <c r="U156" s="128"/>
    </row>
    <row r="157" spans="1:21" ht="15.6" x14ac:dyDescent="0.3">
      <c r="A157" s="53"/>
      <c r="B157" s="54"/>
      <c r="C157" s="54"/>
      <c r="D157" s="54"/>
      <c r="E157" s="55"/>
      <c r="F157" s="75"/>
      <c r="G157" s="76"/>
      <c r="H157" s="76"/>
      <c r="I157" s="48"/>
      <c r="J157" s="70"/>
      <c r="K157" s="70"/>
      <c r="L157" s="348" t="s">
        <v>1111</v>
      </c>
      <c r="M157" s="349" t="s">
        <v>1197</v>
      </c>
      <c r="N157" s="348" t="s">
        <v>903</v>
      </c>
      <c r="O157" s="350">
        <v>0.08</v>
      </c>
      <c r="P157" s="352">
        <v>26855</v>
      </c>
      <c r="Q157" s="352">
        <v>2148.4</v>
      </c>
      <c r="R157" s="182"/>
      <c r="U157" s="128"/>
    </row>
    <row r="158" spans="1:21" ht="15.6" x14ac:dyDescent="0.3">
      <c r="A158" s="53"/>
      <c r="B158" s="54"/>
      <c r="C158" s="54"/>
      <c r="D158" s="54"/>
      <c r="E158" s="55"/>
      <c r="F158" s="75"/>
      <c r="G158" s="76"/>
      <c r="H158" s="76"/>
      <c r="I158" s="48"/>
      <c r="J158" s="70"/>
      <c r="K158" s="70"/>
      <c r="L158" s="348" t="s">
        <v>1188</v>
      </c>
      <c r="M158" s="349" t="s">
        <v>1271</v>
      </c>
      <c r="N158" s="348" t="s">
        <v>214</v>
      </c>
      <c r="O158" s="350">
        <v>0.09</v>
      </c>
      <c r="P158" s="352">
        <v>14916.11</v>
      </c>
      <c r="Q158" s="352">
        <v>1342.45</v>
      </c>
      <c r="R158" s="182"/>
      <c r="U158" s="128"/>
    </row>
    <row r="159" spans="1:21" ht="15.6" x14ac:dyDescent="0.3">
      <c r="A159" s="53"/>
      <c r="B159" s="54"/>
      <c r="C159" s="54"/>
      <c r="D159" s="54"/>
      <c r="E159" s="55"/>
      <c r="F159" s="75"/>
      <c r="G159" s="76"/>
      <c r="H159" s="76"/>
      <c r="I159" s="48"/>
      <c r="J159" s="70"/>
      <c r="K159" s="70"/>
      <c r="L159" s="348" t="s">
        <v>1432</v>
      </c>
      <c r="M159" s="349" t="s">
        <v>1454</v>
      </c>
      <c r="N159" s="348" t="s">
        <v>34</v>
      </c>
      <c r="O159" s="350">
        <v>0.09</v>
      </c>
      <c r="P159" s="351">
        <v>178</v>
      </c>
      <c r="Q159" s="351">
        <v>16.02</v>
      </c>
      <c r="R159" s="182"/>
      <c r="U159" s="128"/>
    </row>
    <row r="160" spans="1:21" ht="15.6" x14ac:dyDescent="0.3">
      <c r="A160" s="53"/>
      <c r="B160" s="54"/>
      <c r="C160" s="54"/>
      <c r="D160" s="54"/>
      <c r="E160" s="55"/>
      <c r="F160" s="75"/>
      <c r="G160" s="76"/>
      <c r="H160" s="76"/>
      <c r="I160" s="48"/>
      <c r="J160" s="70"/>
      <c r="K160" s="70"/>
      <c r="L160" s="348" t="s">
        <v>1109</v>
      </c>
      <c r="M160" s="349" t="s">
        <v>1195</v>
      </c>
      <c r="N160" s="348" t="s">
        <v>903</v>
      </c>
      <c r="O160" s="350">
        <v>9.0999999999999998E-2</v>
      </c>
      <c r="P160" s="352">
        <v>3916.7</v>
      </c>
      <c r="Q160" s="351">
        <v>356.42</v>
      </c>
      <c r="R160" s="182"/>
      <c r="U160" s="128"/>
    </row>
    <row r="161" spans="1:21" ht="15.6" x14ac:dyDescent="0.3">
      <c r="A161" s="53"/>
      <c r="B161" s="54"/>
      <c r="C161" s="54"/>
      <c r="D161" s="54"/>
      <c r="E161" s="55"/>
      <c r="F161" s="75"/>
      <c r="G161" s="76"/>
      <c r="H161" s="76"/>
      <c r="I161" s="48"/>
      <c r="J161" s="70"/>
      <c r="K161" s="70"/>
      <c r="L161" s="348" t="s">
        <v>1029</v>
      </c>
      <c r="M161" s="349" t="s">
        <v>1077</v>
      </c>
      <c r="N161" s="348" t="s">
        <v>214</v>
      </c>
      <c r="O161" s="350">
        <v>9.6000000000000002E-2</v>
      </c>
      <c r="P161" s="352">
        <v>10651.46</v>
      </c>
      <c r="Q161" s="352">
        <v>1022.54</v>
      </c>
      <c r="R161" s="182"/>
      <c r="U161" s="128"/>
    </row>
    <row r="162" spans="1:21" ht="15.6" x14ac:dyDescent="0.3">
      <c r="A162" s="53"/>
      <c r="B162" s="54"/>
      <c r="C162" s="54"/>
      <c r="D162" s="54"/>
      <c r="E162" s="55"/>
      <c r="F162" s="75"/>
      <c r="G162" s="76"/>
      <c r="H162" s="76"/>
      <c r="I162" s="48"/>
      <c r="J162" s="70"/>
      <c r="K162" s="70"/>
      <c r="L162" s="348" t="s">
        <v>1136</v>
      </c>
      <c r="M162" s="349" t="s">
        <v>1223</v>
      </c>
      <c r="N162" s="348" t="s">
        <v>34</v>
      </c>
      <c r="O162" s="350">
        <v>0.13600000000000001</v>
      </c>
      <c r="P162" s="351">
        <v>152.5</v>
      </c>
      <c r="Q162" s="351">
        <v>20.74</v>
      </c>
      <c r="R162" s="182"/>
      <c r="U162" s="128"/>
    </row>
    <row r="163" spans="1:21" ht="15.6" x14ac:dyDescent="0.3">
      <c r="A163" s="53"/>
      <c r="B163" s="54"/>
      <c r="C163" s="54"/>
      <c r="D163" s="54"/>
      <c r="E163" s="55"/>
      <c r="F163" s="75"/>
      <c r="G163" s="76"/>
      <c r="H163" s="76"/>
      <c r="I163" s="48"/>
      <c r="J163" s="70"/>
      <c r="K163" s="70"/>
      <c r="L163" s="348" t="s">
        <v>1422</v>
      </c>
      <c r="M163" s="349" t="s">
        <v>1445</v>
      </c>
      <c r="N163" s="348" t="s">
        <v>34</v>
      </c>
      <c r="O163" s="350">
        <v>0.13600000000000001</v>
      </c>
      <c r="P163" s="351">
        <v>230</v>
      </c>
      <c r="Q163" s="351">
        <v>31.28</v>
      </c>
      <c r="R163" s="182"/>
      <c r="U163" s="128"/>
    </row>
    <row r="164" spans="1:21" ht="15.6" x14ac:dyDescent="0.3">
      <c r="A164" s="53"/>
      <c r="B164" s="54"/>
      <c r="C164" s="54"/>
      <c r="D164" s="54"/>
      <c r="E164" s="55"/>
      <c r="F164" s="75"/>
      <c r="G164" s="76"/>
      <c r="H164" s="76"/>
      <c r="I164" s="48"/>
      <c r="J164" s="70"/>
      <c r="K164" s="70"/>
      <c r="L164" s="348" t="s">
        <v>909</v>
      </c>
      <c r="M164" s="349" t="s">
        <v>910</v>
      </c>
      <c r="N164" s="348" t="s">
        <v>68</v>
      </c>
      <c r="O164" s="350">
        <v>0.14499999999999999</v>
      </c>
      <c r="P164" s="351">
        <v>748.97</v>
      </c>
      <c r="Q164" s="351">
        <v>108.6</v>
      </c>
      <c r="R164" s="182"/>
      <c r="U164" s="128"/>
    </row>
    <row r="165" spans="1:21" ht="15.6" x14ac:dyDescent="0.3">
      <c r="A165" s="53"/>
      <c r="B165" s="54"/>
      <c r="C165" s="54"/>
      <c r="D165" s="54"/>
      <c r="E165" s="55"/>
      <c r="F165" s="75"/>
      <c r="G165" s="76"/>
      <c r="H165" s="76"/>
      <c r="I165" s="48"/>
      <c r="J165" s="70"/>
      <c r="K165" s="70"/>
      <c r="L165" s="348" t="s">
        <v>1003</v>
      </c>
      <c r="M165" s="349" t="s">
        <v>1071</v>
      </c>
      <c r="N165" s="348" t="s">
        <v>34</v>
      </c>
      <c r="O165" s="350">
        <v>0.18</v>
      </c>
      <c r="P165" s="351">
        <v>195</v>
      </c>
      <c r="Q165" s="351">
        <v>35.1</v>
      </c>
      <c r="R165" s="182"/>
      <c r="U165" s="128"/>
    </row>
    <row r="166" spans="1:21" ht="15.6" x14ac:dyDescent="0.3">
      <c r="A166" s="53"/>
      <c r="B166" s="54"/>
      <c r="C166" s="54"/>
      <c r="D166" s="54"/>
      <c r="E166" s="55"/>
      <c r="F166" s="75"/>
      <c r="G166" s="76"/>
      <c r="H166" s="76"/>
      <c r="I166" s="48"/>
      <c r="J166" s="70"/>
      <c r="K166" s="70"/>
      <c r="L166" s="348" t="s">
        <v>1365</v>
      </c>
      <c r="M166" s="349" t="s">
        <v>1394</v>
      </c>
      <c r="N166" s="348" t="s">
        <v>34</v>
      </c>
      <c r="O166" s="350">
        <v>0.18</v>
      </c>
      <c r="P166" s="351">
        <v>140</v>
      </c>
      <c r="Q166" s="351">
        <v>25.2</v>
      </c>
      <c r="R166" s="182"/>
      <c r="U166" s="128"/>
    </row>
    <row r="167" spans="1:21" ht="15.6" x14ac:dyDescent="0.3">
      <c r="A167" s="53"/>
      <c r="B167" s="54"/>
      <c r="C167" s="54"/>
      <c r="D167" s="54"/>
      <c r="E167" s="55"/>
      <c r="F167" s="75"/>
      <c r="G167" s="76"/>
      <c r="H167" s="76"/>
      <c r="I167" s="48"/>
      <c r="J167" s="70"/>
      <c r="K167" s="70"/>
      <c r="L167" s="348" t="s">
        <v>757</v>
      </c>
      <c r="M167" s="349" t="s">
        <v>758</v>
      </c>
      <c r="N167" s="348" t="s">
        <v>34</v>
      </c>
      <c r="O167" s="350">
        <v>0.2</v>
      </c>
      <c r="P167" s="352">
        <v>2803</v>
      </c>
      <c r="Q167" s="351">
        <v>560.6</v>
      </c>
      <c r="R167" s="182"/>
      <c r="U167" s="128"/>
    </row>
    <row r="168" spans="1:21" ht="15.6" x14ac:dyDescent="0.3">
      <c r="A168" s="53"/>
      <c r="B168" s="54"/>
      <c r="C168" s="54"/>
      <c r="D168" s="54"/>
      <c r="E168" s="55"/>
      <c r="F168" s="75"/>
      <c r="G168" s="76"/>
      <c r="H168" s="76"/>
      <c r="I168" s="48"/>
      <c r="J168" s="70"/>
      <c r="K168" s="70"/>
      <c r="L168" s="348" t="s">
        <v>194</v>
      </c>
      <c r="M168" s="349" t="s">
        <v>195</v>
      </c>
      <c r="N168" s="348" t="s">
        <v>34</v>
      </c>
      <c r="O168" s="350">
        <v>0.2</v>
      </c>
      <c r="P168" s="352">
        <v>1500</v>
      </c>
      <c r="Q168" s="351">
        <v>300</v>
      </c>
      <c r="R168" s="182"/>
      <c r="U168" s="128"/>
    </row>
    <row r="169" spans="1:21" ht="15.6" x14ac:dyDescent="0.3">
      <c r="A169" s="53"/>
      <c r="B169" s="54"/>
      <c r="C169" s="54"/>
      <c r="D169" s="54"/>
      <c r="E169" s="55"/>
      <c r="F169" s="75"/>
      <c r="G169" s="76"/>
      <c r="H169" s="76"/>
      <c r="I169" s="48"/>
      <c r="J169" s="70"/>
      <c r="K169" s="70"/>
      <c r="L169" s="348" t="s">
        <v>818</v>
      </c>
      <c r="M169" s="349" t="s">
        <v>819</v>
      </c>
      <c r="N169" s="348" t="s">
        <v>34</v>
      </c>
      <c r="O169" s="350">
        <v>0.2</v>
      </c>
      <c r="P169" s="351">
        <v>175</v>
      </c>
      <c r="Q169" s="351">
        <v>35</v>
      </c>
      <c r="R169" s="182"/>
      <c r="U169" s="128"/>
    </row>
    <row r="170" spans="1:21" ht="15.6" x14ac:dyDescent="0.3">
      <c r="A170" s="53"/>
      <c r="B170" s="54"/>
      <c r="C170" s="54"/>
      <c r="D170" s="54"/>
      <c r="E170" s="55"/>
      <c r="F170" s="75"/>
      <c r="G170" s="76"/>
      <c r="H170" s="76"/>
      <c r="I170" s="48"/>
      <c r="J170" s="70"/>
      <c r="K170" s="70"/>
      <c r="L170" s="348" t="s">
        <v>1363</v>
      </c>
      <c r="M170" s="349" t="s">
        <v>1392</v>
      </c>
      <c r="N170" s="348" t="s">
        <v>34</v>
      </c>
      <c r="O170" s="350">
        <v>0.27</v>
      </c>
      <c r="P170" s="351">
        <v>499</v>
      </c>
      <c r="Q170" s="351">
        <v>134.72999999999999</v>
      </c>
      <c r="R170" s="182"/>
      <c r="U170" s="128"/>
    </row>
    <row r="171" spans="1:21" ht="15.6" x14ac:dyDescent="0.3">
      <c r="A171" s="53"/>
      <c r="B171" s="54"/>
      <c r="C171" s="54"/>
      <c r="D171" s="54"/>
      <c r="E171" s="55"/>
      <c r="F171" s="75"/>
      <c r="G171" s="76"/>
      <c r="H171" s="76"/>
      <c r="I171" s="48"/>
      <c r="J171" s="70"/>
      <c r="K171" s="70"/>
      <c r="L171" s="348" t="s">
        <v>510</v>
      </c>
      <c r="M171" s="349" t="s">
        <v>1060</v>
      </c>
      <c r="N171" s="348" t="s">
        <v>34</v>
      </c>
      <c r="O171" s="350">
        <v>0.27</v>
      </c>
      <c r="P171" s="351">
        <v>169</v>
      </c>
      <c r="Q171" s="351">
        <v>45.63</v>
      </c>
      <c r="R171" s="182"/>
      <c r="U171" s="128"/>
    </row>
    <row r="172" spans="1:21" ht="15.6" x14ac:dyDescent="0.3">
      <c r="A172" s="53"/>
      <c r="B172" s="54"/>
      <c r="C172" s="54"/>
      <c r="D172" s="54"/>
      <c r="E172" s="55"/>
      <c r="F172" s="75"/>
      <c r="G172" s="76"/>
      <c r="H172" s="76"/>
      <c r="I172" s="48"/>
      <c r="J172" s="70"/>
      <c r="K172" s="70"/>
      <c r="L172" s="348" t="s">
        <v>1371</v>
      </c>
      <c r="M172" s="349" t="s">
        <v>99</v>
      </c>
      <c r="N172" s="348" t="s">
        <v>34</v>
      </c>
      <c r="O172" s="350">
        <v>0.27300000000000002</v>
      </c>
      <c r="P172" s="352">
        <v>1041.6500000000001</v>
      </c>
      <c r="Q172" s="351">
        <v>284.37</v>
      </c>
      <c r="R172" s="182"/>
      <c r="U172" s="128"/>
    </row>
    <row r="173" spans="1:21" ht="15.6" x14ac:dyDescent="0.3">
      <c r="A173" s="53"/>
      <c r="B173" s="54"/>
      <c r="C173" s="54"/>
      <c r="D173" s="54"/>
      <c r="E173" s="55"/>
      <c r="F173" s="75"/>
      <c r="G173" s="76"/>
      <c r="H173" s="76"/>
      <c r="I173" s="48"/>
      <c r="J173" s="70"/>
      <c r="K173" s="70"/>
      <c r="L173" s="348" t="s">
        <v>902</v>
      </c>
      <c r="M173" s="349" t="s">
        <v>1039</v>
      </c>
      <c r="N173" s="348" t="s">
        <v>903</v>
      </c>
      <c r="O173" s="350">
        <v>0.27900000000000003</v>
      </c>
      <c r="P173" s="352">
        <v>25111.08</v>
      </c>
      <c r="Q173" s="352">
        <v>7005.99</v>
      </c>
      <c r="R173" s="182"/>
      <c r="U173" s="128"/>
    </row>
    <row r="174" spans="1:21" ht="15.6" x14ac:dyDescent="0.3">
      <c r="A174" s="53"/>
      <c r="B174" s="54"/>
      <c r="C174" s="54"/>
      <c r="D174" s="54"/>
      <c r="E174" s="55"/>
      <c r="F174" s="75"/>
      <c r="G174" s="76"/>
      <c r="H174" s="76"/>
      <c r="I174" s="48"/>
      <c r="J174" s="70"/>
      <c r="K174" s="70"/>
      <c r="L174" s="348" t="s">
        <v>1110</v>
      </c>
      <c r="M174" s="349" t="s">
        <v>1196</v>
      </c>
      <c r="N174" s="348" t="s">
        <v>903</v>
      </c>
      <c r="O174" s="350">
        <v>0.3</v>
      </c>
      <c r="P174" s="352">
        <v>26855</v>
      </c>
      <c r="Q174" s="352">
        <v>8056.5</v>
      </c>
      <c r="R174" s="182"/>
      <c r="U174" s="128"/>
    </row>
    <row r="175" spans="1:21" ht="15.6" x14ac:dyDescent="0.3">
      <c r="A175" s="53"/>
      <c r="B175" s="54"/>
      <c r="C175" s="54"/>
      <c r="D175" s="54"/>
      <c r="E175" s="55"/>
      <c r="F175" s="75"/>
      <c r="G175" s="76"/>
      <c r="H175" s="76"/>
      <c r="I175" s="48"/>
      <c r="J175" s="70"/>
      <c r="K175" s="70"/>
      <c r="L175" s="348" t="s">
        <v>1364</v>
      </c>
      <c r="M175" s="349" t="s">
        <v>1393</v>
      </c>
      <c r="N175" s="348" t="s">
        <v>34</v>
      </c>
      <c r="O175" s="350">
        <v>0.3</v>
      </c>
      <c r="P175" s="351">
        <v>189</v>
      </c>
      <c r="Q175" s="351">
        <v>56.7</v>
      </c>
      <c r="R175" s="182"/>
      <c r="U175" s="128"/>
    </row>
    <row r="176" spans="1:21" ht="15.6" x14ac:dyDescent="0.3">
      <c r="A176" s="53"/>
      <c r="B176" s="54"/>
      <c r="C176" s="54"/>
      <c r="D176" s="54"/>
      <c r="E176" s="55"/>
      <c r="F176" s="75"/>
      <c r="G176" s="76"/>
      <c r="H176" s="76"/>
      <c r="I176" s="48"/>
      <c r="J176" s="70"/>
      <c r="K176" s="70"/>
      <c r="L176" s="348" t="s">
        <v>1030</v>
      </c>
      <c r="M176" s="349" t="s">
        <v>1078</v>
      </c>
      <c r="N176" s="348" t="s">
        <v>214</v>
      </c>
      <c r="O176" s="350">
        <v>0.313</v>
      </c>
      <c r="P176" s="352">
        <v>10651.37</v>
      </c>
      <c r="Q176" s="352">
        <v>3333.88</v>
      </c>
      <c r="R176" s="182"/>
      <c r="U176" s="128"/>
    </row>
    <row r="177" spans="1:21" ht="15.6" x14ac:dyDescent="0.3">
      <c r="A177" s="53"/>
      <c r="B177" s="54"/>
      <c r="C177" s="54"/>
      <c r="D177" s="54"/>
      <c r="E177" s="55"/>
      <c r="F177" s="75"/>
      <c r="G177" s="76"/>
      <c r="H177" s="76"/>
      <c r="I177" s="48"/>
      <c r="J177" s="70"/>
      <c r="K177" s="70"/>
      <c r="L177" s="348" t="s">
        <v>98</v>
      </c>
      <c r="M177" s="349" t="s">
        <v>99</v>
      </c>
      <c r="N177" s="348" t="s">
        <v>37</v>
      </c>
      <c r="O177" s="350">
        <v>0.34</v>
      </c>
      <c r="P177" s="351">
        <v>131</v>
      </c>
      <c r="Q177" s="351">
        <v>44.54</v>
      </c>
      <c r="R177" s="182"/>
      <c r="U177" s="128"/>
    </row>
    <row r="178" spans="1:21" ht="15.6" x14ac:dyDescent="0.3">
      <c r="A178" s="53"/>
      <c r="B178" s="54"/>
      <c r="C178" s="54"/>
      <c r="D178" s="54"/>
      <c r="E178" s="55"/>
      <c r="F178" s="75"/>
      <c r="G178" s="76"/>
      <c r="H178" s="76"/>
      <c r="I178" s="48"/>
      <c r="J178" s="70"/>
      <c r="K178" s="70"/>
      <c r="L178" s="348" t="s">
        <v>893</v>
      </c>
      <c r="M178" s="349" t="s">
        <v>894</v>
      </c>
      <c r="N178" s="348" t="s">
        <v>214</v>
      </c>
      <c r="O178" s="350">
        <v>0.4</v>
      </c>
      <c r="P178" s="352">
        <v>10651.4</v>
      </c>
      <c r="Q178" s="352">
        <v>4260.5600000000004</v>
      </c>
      <c r="R178" s="182"/>
      <c r="U178" s="128"/>
    </row>
    <row r="179" spans="1:21" ht="15.6" x14ac:dyDescent="0.3">
      <c r="A179" s="53"/>
      <c r="B179" s="54"/>
      <c r="C179" s="54"/>
      <c r="D179" s="54"/>
      <c r="E179" s="55"/>
      <c r="F179" s="75"/>
      <c r="G179" s="76"/>
      <c r="H179" s="76"/>
      <c r="I179" s="48"/>
      <c r="J179" s="70"/>
      <c r="K179" s="70"/>
      <c r="L179" s="348" t="s">
        <v>1112</v>
      </c>
      <c r="M179" s="349" t="s">
        <v>1198</v>
      </c>
      <c r="N179" s="348" t="s">
        <v>903</v>
      </c>
      <c r="O179" s="350">
        <v>0.4</v>
      </c>
      <c r="P179" s="352">
        <v>24113</v>
      </c>
      <c r="Q179" s="352">
        <v>9645.2000000000007</v>
      </c>
      <c r="R179" s="182"/>
      <c r="U179" s="128"/>
    </row>
    <row r="180" spans="1:21" ht="15.6" x14ac:dyDescent="0.3">
      <c r="A180" s="53"/>
      <c r="B180" s="54"/>
      <c r="C180" s="54"/>
      <c r="D180" s="54"/>
      <c r="E180" s="55"/>
      <c r="F180" s="75"/>
      <c r="G180" s="76"/>
      <c r="H180" s="76"/>
      <c r="I180" s="48"/>
      <c r="J180" s="70"/>
      <c r="K180" s="70"/>
      <c r="L180" s="348" t="s">
        <v>741</v>
      </c>
      <c r="M180" s="349" t="s">
        <v>742</v>
      </c>
      <c r="N180" s="348" t="s">
        <v>903</v>
      </c>
      <c r="O180" s="350">
        <v>0.436</v>
      </c>
      <c r="P180" s="352">
        <v>13680.55</v>
      </c>
      <c r="Q180" s="352">
        <v>5964.72</v>
      </c>
      <c r="R180" s="182"/>
      <c r="U180" s="128"/>
    </row>
    <row r="181" spans="1:21" ht="15.6" x14ac:dyDescent="0.3">
      <c r="A181" s="53"/>
      <c r="B181" s="54"/>
      <c r="C181" s="54"/>
      <c r="D181" s="54"/>
      <c r="E181" s="55"/>
      <c r="F181" s="75"/>
      <c r="G181" s="76"/>
      <c r="H181" s="76"/>
      <c r="I181" s="48"/>
      <c r="J181" s="70"/>
      <c r="K181" s="70"/>
      <c r="L181" s="348" t="s">
        <v>1002</v>
      </c>
      <c r="M181" s="349" t="s">
        <v>1070</v>
      </c>
      <c r="N181" s="348" t="s">
        <v>34</v>
      </c>
      <c r="O181" s="350">
        <v>0.54</v>
      </c>
      <c r="P181" s="351">
        <v>63</v>
      </c>
      <c r="Q181" s="351">
        <v>34.020000000000003</v>
      </c>
      <c r="R181" s="182"/>
      <c r="U181" s="128"/>
    </row>
    <row r="182" spans="1:21" ht="15.6" x14ac:dyDescent="0.3">
      <c r="A182" s="53"/>
      <c r="B182" s="54"/>
      <c r="C182" s="54"/>
      <c r="D182" s="54"/>
      <c r="E182" s="55"/>
      <c r="F182" s="75"/>
      <c r="G182" s="76"/>
      <c r="H182" s="76"/>
      <c r="I182" s="48"/>
      <c r="J182" s="70"/>
      <c r="K182" s="70"/>
      <c r="L182" s="348" t="s">
        <v>1165</v>
      </c>
      <c r="M182" s="349" t="s">
        <v>1250</v>
      </c>
      <c r="N182" s="348" t="s">
        <v>34</v>
      </c>
      <c r="O182" s="350">
        <v>0.7</v>
      </c>
      <c r="P182" s="352">
        <v>2778.33</v>
      </c>
      <c r="Q182" s="352">
        <v>1944.83</v>
      </c>
      <c r="R182" s="182"/>
      <c r="U182" s="128"/>
    </row>
    <row r="183" spans="1:21" ht="15.6" x14ac:dyDescent="0.3">
      <c r="A183" s="53"/>
      <c r="B183" s="54"/>
      <c r="C183" s="54"/>
      <c r="D183" s="54"/>
      <c r="E183" s="55"/>
      <c r="F183" s="75"/>
      <c r="G183" s="76"/>
      <c r="H183" s="76"/>
      <c r="I183" s="48"/>
      <c r="J183" s="70"/>
      <c r="K183" s="70"/>
      <c r="L183" s="348" t="s">
        <v>1181</v>
      </c>
      <c r="M183" s="349" t="s">
        <v>1264</v>
      </c>
      <c r="N183" s="348" t="s">
        <v>57</v>
      </c>
      <c r="O183" s="350">
        <v>0.8</v>
      </c>
      <c r="P183" s="351">
        <v>18.14</v>
      </c>
      <c r="Q183" s="351">
        <v>14.51</v>
      </c>
      <c r="R183" s="182"/>
      <c r="U183" s="128"/>
    </row>
    <row r="184" spans="1:21" ht="15.6" x14ac:dyDescent="0.3">
      <c r="A184" s="53"/>
      <c r="B184" s="54"/>
      <c r="C184" s="54"/>
      <c r="D184" s="54"/>
      <c r="E184" s="55"/>
      <c r="F184" s="75"/>
      <c r="G184" s="76"/>
      <c r="H184" s="76"/>
      <c r="I184" s="48"/>
      <c r="J184" s="70"/>
      <c r="K184" s="70"/>
      <c r="L184" s="348" t="s">
        <v>429</v>
      </c>
      <c r="M184" s="349" t="s">
        <v>430</v>
      </c>
      <c r="N184" s="348" t="s">
        <v>37</v>
      </c>
      <c r="O184" s="350">
        <v>0.8</v>
      </c>
      <c r="P184" s="351">
        <v>11.5</v>
      </c>
      <c r="Q184" s="351">
        <v>9.1999999999999993</v>
      </c>
      <c r="R184" s="182"/>
      <c r="U184" s="128"/>
    </row>
    <row r="185" spans="1:21" ht="15.6" x14ac:dyDescent="0.3">
      <c r="A185" s="53"/>
      <c r="B185" s="54"/>
      <c r="C185" s="54"/>
      <c r="D185" s="54"/>
      <c r="E185" s="55"/>
      <c r="F185" s="75"/>
      <c r="G185" s="76"/>
      <c r="H185" s="76"/>
      <c r="I185" s="48"/>
      <c r="J185" s="70"/>
      <c r="K185" s="70"/>
      <c r="L185" s="348" t="s">
        <v>38</v>
      </c>
      <c r="M185" s="349" t="s">
        <v>100</v>
      </c>
      <c r="N185" s="348" t="s">
        <v>37</v>
      </c>
      <c r="O185" s="350">
        <v>0.8</v>
      </c>
      <c r="P185" s="351">
        <v>71</v>
      </c>
      <c r="Q185" s="351">
        <v>56.8</v>
      </c>
      <c r="R185" s="182"/>
      <c r="U185" s="128"/>
    </row>
    <row r="186" spans="1:21" ht="15.6" x14ac:dyDescent="0.3">
      <c r="A186" s="53"/>
      <c r="B186" s="54"/>
      <c r="C186" s="54"/>
      <c r="D186" s="54"/>
      <c r="E186" s="55"/>
      <c r="F186" s="75"/>
      <c r="G186" s="76"/>
      <c r="H186" s="76"/>
      <c r="I186" s="48"/>
      <c r="J186" s="70"/>
      <c r="K186" s="70"/>
      <c r="L186" s="348" t="s">
        <v>934</v>
      </c>
      <c r="M186" s="349" t="s">
        <v>1033</v>
      </c>
      <c r="N186" s="348" t="s">
        <v>64</v>
      </c>
      <c r="O186" s="350">
        <v>0.83299999999999996</v>
      </c>
      <c r="P186" s="351">
        <v>735.89</v>
      </c>
      <c r="Q186" s="351">
        <v>613</v>
      </c>
      <c r="R186" s="182"/>
      <c r="U186" s="128"/>
    </row>
    <row r="187" spans="1:21" ht="15.6" x14ac:dyDescent="0.3">
      <c r="A187" s="53"/>
      <c r="B187" s="54"/>
      <c r="C187" s="54"/>
      <c r="D187" s="54"/>
      <c r="E187" s="55"/>
      <c r="F187" s="75"/>
      <c r="G187" s="76"/>
      <c r="H187" s="76"/>
      <c r="I187" s="48"/>
      <c r="J187" s="70"/>
      <c r="K187" s="70"/>
      <c r="L187" s="348" t="s">
        <v>1123</v>
      </c>
      <c r="M187" s="349" t="s">
        <v>1209</v>
      </c>
      <c r="N187" s="348" t="s">
        <v>34</v>
      </c>
      <c r="O187" s="350">
        <v>1</v>
      </c>
      <c r="P187" s="351">
        <v>192.6</v>
      </c>
      <c r="Q187" s="351">
        <v>192.6</v>
      </c>
      <c r="R187" s="182"/>
      <c r="U187" s="128"/>
    </row>
    <row r="188" spans="1:21" ht="15.6" x14ac:dyDescent="0.3">
      <c r="A188" s="53"/>
      <c r="B188" s="54"/>
      <c r="C188" s="54"/>
      <c r="D188" s="54"/>
      <c r="E188" s="55"/>
      <c r="F188" s="75"/>
      <c r="G188" s="76"/>
      <c r="H188" s="76"/>
      <c r="I188" s="48"/>
      <c r="J188" s="70"/>
      <c r="K188" s="70"/>
      <c r="L188" s="348" t="s">
        <v>164</v>
      </c>
      <c r="M188" s="349" t="s">
        <v>165</v>
      </c>
      <c r="N188" s="348" t="s">
        <v>34</v>
      </c>
      <c r="O188" s="350">
        <v>1</v>
      </c>
      <c r="P188" s="351">
        <v>350.83</v>
      </c>
      <c r="Q188" s="351">
        <v>350.83</v>
      </c>
      <c r="R188" s="182"/>
      <c r="U188" s="128"/>
    </row>
    <row r="189" spans="1:21" ht="15.6" x14ac:dyDescent="0.3">
      <c r="A189" s="53"/>
      <c r="B189" s="54"/>
      <c r="C189" s="54"/>
      <c r="D189" s="54"/>
      <c r="E189" s="55"/>
      <c r="F189" s="75"/>
      <c r="G189" s="76"/>
      <c r="H189" s="76"/>
      <c r="I189" s="48"/>
      <c r="J189" s="70"/>
      <c r="K189" s="70"/>
      <c r="L189" s="348" t="s">
        <v>282</v>
      </c>
      <c r="M189" s="349" t="s">
        <v>283</v>
      </c>
      <c r="N189" s="348" t="s">
        <v>34</v>
      </c>
      <c r="O189" s="350">
        <v>1</v>
      </c>
      <c r="P189" s="351">
        <v>81.599999999999994</v>
      </c>
      <c r="Q189" s="351">
        <v>81.599999999999994</v>
      </c>
      <c r="R189" s="182"/>
      <c r="U189" s="128"/>
    </row>
    <row r="190" spans="1:21" ht="15.6" x14ac:dyDescent="0.3">
      <c r="A190" s="53"/>
      <c r="B190" s="54"/>
      <c r="C190" s="54"/>
      <c r="D190" s="54"/>
      <c r="E190" s="55"/>
      <c r="F190" s="75"/>
      <c r="G190" s="76"/>
      <c r="H190" s="76"/>
      <c r="I190" s="48"/>
      <c r="J190" s="70"/>
      <c r="K190" s="70"/>
      <c r="L190" s="348" t="s">
        <v>879</v>
      </c>
      <c r="M190" s="349" t="s">
        <v>880</v>
      </c>
      <c r="N190" s="348" t="s">
        <v>34</v>
      </c>
      <c r="O190" s="350">
        <v>1</v>
      </c>
      <c r="P190" s="352">
        <v>3000</v>
      </c>
      <c r="Q190" s="352">
        <v>3000</v>
      </c>
      <c r="R190" s="182"/>
      <c r="U190" s="128"/>
    </row>
    <row r="191" spans="1:21" ht="15.6" x14ac:dyDescent="0.3">
      <c r="A191" s="53"/>
      <c r="B191" s="54"/>
      <c r="C191" s="54"/>
      <c r="D191" s="54"/>
      <c r="E191" s="55"/>
      <c r="F191" s="75"/>
      <c r="G191" s="76"/>
      <c r="H191" s="76"/>
      <c r="I191" s="48"/>
      <c r="J191" s="70"/>
      <c r="K191" s="70"/>
      <c r="L191" s="348" t="s">
        <v>754</v>
      </c>
      <c r="M191" s="349" t="s">
        <v>755</v>
      </c>
      <c r="N191" s="348" t="s">
        <v>34</v>
      </c>
      <c r="O191" s="350">
        <v>1</v>
      </c>
      <c r="P191" s="352">
        <v>8280</v>
      </c>
      <c r="Q191" s="352">
        <v>8280</v>
      </c>
      <c r="R191" s="182"/>
      <c r="U191" s="128"/>
    </row>
    <row r="192" spans="1:21" ht="15.6" x14ac:dyDescent="0.3">
      <c r="A192" s="53"/>
      <c r="B192" s="54"/>
      <c r="C192" s="54"/>
      <c r="D192" s="54"/>
      <c r="E192" s="55"/>
      <c r="F192" s="75"/>
      <c r="G192" s="76"/>
      <c r="H192" s="76"/>
      <c r="I192" s="48"/>
      <c r="J192" s="70"/>
      <c r="K192" s="70"/>
      <c r="L192" s="348" t="s">
        <v>1130</v>
      </c>
      <c r="M192" s="349" t="s">
        <v>1216</v>
      </c>
      <c r="N192" s="348" t="s">
        <v>34</v>
      </c>
      <c r="O192" s="350">
        <v>1</v>
      </c>
      <c r="P192" s="352">
        <v>6187.5</v>
      </c>
      <c r="Q192" s="352">
        <v>6187.5</v>
      </c>
      <c r="R192" s="182"/>
      <c r="U192" s="128"/>
    </row>
    <row r="193" spans="1:21" ht="15.6" x14ac:dyDescent="0.3">
      <c r="A193" s="53"/>
      <c r="B193" s="54"/>
      <c r="C193" s="54"/>
      <c r="D193" s="54"/>
      <c r="E193" s="55"/>
      <c r="F193" s="75"/>
      <c r="G193" s="76"/>
      <c r="H193" s="76"/>
      <c r="I193" s="48"/>
      <c r="J193" s="70"/>
      <c r="K193" s="70"/>
      <c r="L193" s="348" t="s">
        <v>869</v>
      </c>
      <c r="M193" s="349" t="s">
        <v>898</v>
      </c>
      <c r="N193" s="348" t="s">
        <v>34</v>
      </c>
      <c r="O193" s="350">
        <v>1</v>
      </c>
      <c r="P193" s="351">
        <v>744.12</v>
      </c>
      <c r="Q193" s="351">
        <v>744.12</v>
      </c>
      <c r="R193" s="182"/>
      <c r="U193" s="128"/>
    </row>
    <row r="194" spans="1:21" ht="15.6" x14ac:dyDescent="0.3">
      <c r="A194" s="53"/>
      <c r="B194" s="54"/>
      <c r="C194" s="54"/>
      <c r="D194" s="54"/>
      <c r="E194" s="55"/>
      <c r="F194" s="75"/>
      <c r="G194" s="76"/>
      <c r="H194" s="76"/>
      <c r="I194" s="48"/>
      <c r="J194" s="70"/>
      <c r="K194" s="70"/>
      <c r="L194" s="348" t="s">
        <v>900</v>
      </c>
      <c r="M194" s="349" t="s">
        <v>901</v>
      </c>
      <c r="N194" s="348" t="s">
        <v>34</v>
      </c>
      <c r="O194" s="350">
        <v>1</v>
      </c>
      <c r="P194" s="351">
        <v>64</v>
      </c>
      <c r="Q194" s="351">
        <v>64</v>
      </c>
      <c r="R194" s="182"/>
      <c r="U194" s="128"/>
    </row>
    <row r="195" spans="1:21" ht="15.6" x14ac:dyDescent="0.3">
      <c r="A195" s="53"/>
      <c r="B195" s="54"/>
      <c r="C195" s="54"/>
      <c r="D195" s="54"/>
      <c r="E195" s="55"/>
      <c r="F195" s="75"/>
      <c r="G195" s="76"/>
      <c r="H195" s="76"/>
      <c r="I195" s="48"/>
      <c r="J195" s="70"/>
      <c r="K195" s="70"/>
      <c r="L195" s="348" t="s">
        <v>766</v>
      </c>
      <c r="M195" s="349" t="s">
        <v>767</v>
      </c>
      <c r="N195" s="348" t="s">
        <v>34</v>
      </c>
      <c r="O195" s="350">
        <v>1</v>
      </c>
      <c r="P195" s="352">
        <v>9387.27</v>
      </c>
      <c r="Q195" s="352">
        <v>9387.27</v>
      </c>
      <c r="R195" s="182"/>
      <c r="U195" s="128"/>
    </row>
    <row r="196" spans="1:21" ht="15.6" x14ac:dyDescent="0.3">
      <c r="A196" s="53"/>
      <c r="B196" s="54"/>
      <c r="C196" s="54"/>
      <c r="D196" s="54"/>
      <c r="E196" s="55"/>
      <c r="F196" s="75"/>
      <c r="G196" s="76"/>
      <c r="H196" s="76"/>
      <c r="I196" s="48"/>
      <c r="J196" s="70"/>
      <c r="K196" s="70"/>
      <c r="L196" s="348" t="s">
        <v>859</v>
      </c>
      <c r="M196" s="349" t="s">
        <v>904</v>
      </c>
      <c r="N196" s="348" t="s">
        <v>34</v>
      </c>
      <c r="O196" s="350">
        <v>1</v>
      </c>
      <c r="P196" s="352">
        <v>2882</v>
      </c>
      <c r="Q196" s="352">
        <v>2882</v>
      </c>
      <c r="R196" s="182"/>
      <c r="U196" s="128"/>
    </row>
    <row r="197" spans="1:21" ht="15.6" x14ac:dyDescent="0.3">
      <c r="A197" s="53"/>
      <c r="B197" s="54"/>
      <c r="C197" s="54"/>
      <c r="D197" s="54"/>
      <c r="E197" s="55"/>
      <c r="F197" s="75"/>
      <c r="G197" s="76"/>
      <c r="H197" s="76"/>
      <c r="I197" s="48"/>
      <c r="J197" s="70"/>
      <c r="K197" s="70"/>
      <c r="L197" s="348" t="s">
        <v>868</v>
      </c>
      <c r="M197" s="349" t="s">
        <v>1047</v>
      </c>
      <c r="N197" s="348" t="s">
        <v>34</v>
      </c>
      <c r="O197" s="350">
        <v>1</v>
      </c>
      <c r="P197" s="351">
        <v>807.52</v>
      </c>
      <c r="Q197" s="351">
        <v>807.52</v>
      </c>
      <c r="R197" s="182"/>
      <c r="U197" s="128"/>
    </row>
    <row r="198" spans="1:21" ht="15.6" x14ac:dyDescent="0.3">
      <c r="A198" s="53"/>
      <c r="B198" s="54"/>
      <c r="C198" s="54"/>
      <c r="D198" s="54"/>
      <c r="E198" s="55"/>
      <c r="F198" s="75"/>
      <c r="G198" s="76"/>
      <c r="H198" s="76"/>
      <c r="I198" s="48"/>
      <c r="J198" s="70"/>
      <c r="K198" s="70"/>
      <c r="L198" s="348" t="s">
        <v>340</v>
      </c>
      <c r="M198" s="349" t="s">
        <v>341</v>
      </c>
      <c r="N198" s="348" t="s">
        <v>34</v>
      </c>
      <c r="O198" s="350">
        <v>1</v>
      </c>
      <c r="P198" s="351">
        <v>440.75</v>
      </c>
      <c r="Q198" s="351">
        <v>440.75</v>
      </c>
      <c r="R198" s="182"/>
      <c r="U198" s="128"/>
    </row>
    <row r="199" spans="1:21" ht="15.6" x14ac:dyDescent="0.3">
      <c r="A199" s="53"/>
      <c r="B199" s="54"/>
      <c r="C199" s="54"/>
      <c r="D199" s="54"/>
      <c r="E199" s="55"/>
      <c r="F199" s="75"/>
      <c r="G199" s="76"/>
      <c r="H199" s="76"/>
      <c r="I199" s="48"/>
      <c r="J199" s="70"/>
      <c r="K199" s="70"/>
      <c r="L199" s="348" t="s">
        <v>1147</v>
      </c>
      <c r="M199" s="349" t="s">
        <v>1234</v>
      </c>
      <c r="N199" s="348" t="s">
        <v>34</v>
      </c>
      <c r="O199" s="350">
        <v>1</v>
      </c>
      <c r="P199" s="351">
        <v>876.68</v>
      </c>
      <c r="Q199" s="351">
        <v>876.68</v>
      </c>
      <c r="R199" s="182"/>
      <c r="U199" s="128"/>
    </row>
    <row r="200" spans="1:21" ht="15.6" x14ac:dyDescent="0.3">
      <c r="A200" s="53"/>
      <c r="B200" s="54"/>
      <c r="C200" s="54"/>
      <c r="D200" s="54"/>
      <c r="E200" s="55"/>
      <c r="F200" s="75"/>
      <c r="G200" s="76"/>
      <c r="H200" s="76"/>
      <c r="I200" s="48"/>
      <c r="J200" s="70"/>
      <c r="K200" s="70"/>
      <c r="L200" s="348" t="s">
        <v>1148</v>
      </c>
      <c r="M200" s="349" t="s">
        <v>1235</v>
      </c>
      <c r="N200" s="348" t="s">
        <v>34</v>
      </c>
      <c r="O200" s="350">
        <v>1</v>
      </c>
      <c r="P200" s="351">
        <v>257.81</v>
      </c>
      <c r="Q200" s="351">
        <v>257.81</v>
      </c>
      <c r="R200" s="182"/>
      <c r="U200" s="128"/>
    </row>
    <row r="201" spans="1:21" ht="15.6" x14ac:dyDescent="0.3">
      <c r="A201" s="53"/>
      <c r="B201" s="54"/>
      <c r="C201" s="54"/>
      <c r="D201" s="54"/>
      <c r="E201" s="55"/>
      <c r="F201" s="75"/>
      <c r="G201" s="76"/>
      <c r="H201" s="76"/>
      <c r="I201" s="48"/>
      <c r="J201" s="70"/>
      <c r="K201" s="70"/>
      <c r="L201" s="348" t="s">
        <v>871</v>
      </c>
      <c r="M201" s="349" t="s">
        <v>872</v>
      </c>
      <c r="N201" s="348" t="s">
        <v>34</v>
      </c>
      <c r="O201" s="350">
        <v>1</v>
      </c>
      <c r="P201" s="352">
        <v>1359.89</v>
      </c>
      <c r="Q201" s="352">
        <v>1359.89</v>
      </c>
      <c r="R201" s="182"/>
      <c r="U201" s="128"/>
    </row>
    <row r="202" spans="1:21" ht="15.6" x14ac:dyDescent="0.3">
      <c r="A202" s="53"/>
      <c r="B202" s="54"/>
      <c r="C202" s="54"/>
      <c r="D202" s="54"/>
      <c r="E202" s="55"/>
      <c r="F202" s="75"/>
      <c r="G202" s="76"/>
      <c r="H202" s="76"/>
      <c r="I202" s="48"/>
      <c r="J202" s="70"/>
      <c r="K202" s="70"/>
      <c r="L202" s="348" t="s">
        <v>873</v>
      </c>
      <c r="M202" s="349" t="s">
        <v>874</v>
      </c>
      <c r="N202" s="348" t="s">
        <v>34</v>
      </c>
      <c r="O202" s="350">
        <v>1</v>
      </c>
      <c r="P202" s="351">
        <v>613.29999999999995</v>
      </c>
      <c r="Q202" s="351">
        <v>613.29999999999995</v>
      </c>
      <c r="R202" s="182"/>
      <c r="U202" s="128"/>
    </row>
    <row r="203" spans="1:21" ht="15.6" x14ac:dyDescent="0.3">
      <c r="A203" s="53"/>
      <c r="B203" s="54"/>
      <c r="C203" s="54"/>
      <c r="D203" s="54"/>
      <c r="E203" s="55"/>
      <c r="F203" s="75"/>
      <c r="G203" s="76"/>
      <c r="H203" s="76"/>
      <c r="I203" s="48"/>
      <c r="J203" s="70"/>
      <c r="K203" s="70"/>
      <c r="L203" s="348" t="s">
        <v>1141</v>
      </c>
      <c r="M203" s="349" t="s">
        <v>1228</v>
      </c>
      <c r="N203" s="348" t="s">
        <v>34</v>
      </c>
      <c r="O203" s="350">
        <v>1</v>
      </c>
      <c r="P203" s="351">
        <v>96</v>
      </c>
      <c r="Q203" s="351">
        <v>96</v>
      </c>
      <c r="R203" s="182"/>
      <c r="U203" s="128"/>
    </row>
    <row r="204" spans="1:21" ht="15.6" x14ac:dyDescent="0.3">
      <c r="A204" s="53"/>
      <c r="B204" s="54"/>
      <c r="C204" s="54"/>
      <c r="D204" s="54"/>
      <c r="E204" s="55"/>
      <c r="F204" s="75"/>
      <c r="G204" s="76"/>
      <c r="H204" s="76"/>
      <c r="I204" s="48"/>
      <c r="J204" s="70"/>
      <c r="K204" s="70"/>
      <c r="L204" s="348" t="s">
        <v>1143</v>
      </c>
      <c r="M204" s="349" t="s">
        <v>1230</v>
      </c>
      <c r="N204" s="348" t="s">
        <v>34</v>
      </c>
      <c r="O204" s="350">
        <v>1</v>
      </c>
      <c r="P204" s="351">
        <v>176.27</v>
      </c>
      <c r="Q204" s="351">
        <v>176.27</v>
      </c>
      <c r="R204" s="182"/>
      <c r="U204" s="128"/>
    </row>
    <row r="205" spans="1:21" ht="15.6" x14ac:dyDescent="0.3">
      <c r="A205" s="53"/>
      <c r="B205" s="54"/>
      <c r="C205" s="54"/>
      <c r="D205" s="54"/>
      <c r="E205" s="55"/>
      <c r="F205" s="75"/>
      <c r="G205" s="76"/>
      <c r="H205" s="76"/>
      <c r="I205" s="48"/>
      <c r="J205" s="70"/>
      <c r="K205" s="70"/>
      <c r="L205" s="348" t="s">
        <v>911</v>
      </c>
      <c r="M205" s="349" t="s">
        <v>912</v>
      </c>
      <c r="N205" s="348" t="s">
        <v>34</v>
      </c>
      <c r="O205" s="350">
        <v>1</v>
      </c>
      <c r="P205" s="351">
        <v>103</v>
      </c>
      <c r="Q205" s="351">
        <v>103</v>
      </c>
      <c r="R205" s="182"/>
      <c r="U205" s="128"/>
    </row>
    <row r="206" spans="1:21" ht="15.6" x14ac:dyDescent="0.3">
      <c r="A206" s="53"/>
      <c r="B206" s="54"/>
      <c r="C206" s="54"/>
      <c r="D206" s="54"/>
      <c r="E206" s="55"/>
      <c r="F206" s="75"/>
      <c r="G206" s="76"/>
      <c r="H206" s="76"/>
      <c r="I206" s="48"/>
      <c r="J206" s="70"/>
      <c r="K206" s="70"/>
      <c r="L206" s="348" t="s">
        <v>782</v>
      </c>
      <c r="M206" s="349" t="s">
        <v>783</v>
      </c>
      <c r="N206" s="348" t="s">
        <v>34</v>
      </c>
      <c r="O206" s="350">
        <v>1</v>
      </c>
      <c r="P206" s="352">
        <v>2778.33</v>
      </c>
      <c r="Q206" s="352">
        <v>2778.33</v>
      </c>
      <c r="R206" s="182"/>
      <c r="U206" s="128"/>
    </row>
    <row r="207" spans="1:21" ht="15.6" x14ac:dyDescent="0.3">
      <c r="A207" s="53"/>
      <c r="B207" s="54"/>
      <c r="C207" s="54"/>
      <c r="D207" s="54"/>
      <c r="E207" s="55"/>
      <c r="F207" s="75"/>
      <c r="G207" s="76"/>
      <c r="H207" s="76"/>
      <c r="I207" s="48"/>
      <c r="J207" s="70"/>
      <c r="K207" s="70"/>
      <c r="L207" s="348" t="s">
        <v>884</v>
      </c>
      <c r="M207" s="349" t="s">
        <v>885</v>
      </c>
      <c r="N207" s="348" t="s">
        <v>82</v>
      </c>
      <c r="O207" s="350">
        <v>1</v>
      </c>
      <c r="P207" s="352">
        <v>18062</v>
      </c>
      <c r="Q207" s="352">
        <v>18062</v>
      </c>
      <c r="R207" s="182"/>
      <c r="U207" s="128"/>
    </row>
    <row r="208" spans="1:21" ht="15.6" x14ac:dyDescent="0.3">
      <c r="A208" s="53"/>
      <c r="B208" s="54"/>
      <c r="C208" s="54"/>
      <c r="D208" s="54"/>
      <c r="E208" s="55"/>
      <c r="F208" s="75"/>
      <c r="G208" s="76"/>
      <c r="H208" s="76"/>
      <c r="I208" s="48"/>
      <c r="J208" s="70"/>
      <c r="K208" s="70"/>
      <c r="L208" s="348" t="s">
        <v>732</v>
      </c>
      <c r="M208" s="349" t="s">
        <v>733</v>
      </c>
      <c r="N208" s="348" t="s">
        <v>34</v>
      </c>
      <c r="O208" s="350">
        <v>1</v>
      </c>
      <c r="P208" s="352">
        <v>19165.830000000002</v>
      </c>
      <c r="Q208" s="352">
        <v>19165.830000000002</v>
      </c>
      <c r="R208" s="182"/>
      <c r="U208" s="128"/>
    </row>
    <row r="209" spans="1:21" ht="15.6" x14ac:dyDescent="0.3">
      <c r="A209" s="53"/>
      <c r="B209" s="54"/>
      <c r="C209" s="54"/>
      <c r="D209" s="54"/>
      <c r="E209" s="55"/>
      <c r="F209" s="75"/>
      <c r="G209" s="76"/>
      <c r="H209" s="76"/>
      <c r="I209" s="48"/>
      <c r="J209" s="70"/>
      <c r="K209" s="70"/>
      <c r="L209" s="348" t="s">
        <v>1145</v>
      </c>
      <c r="M209" s="349" t="s">
        <v>1232</v>
      </c>
      <c r="N209" s="348" t="s">
        <v>34</v>
      </c>
      <c r="O209" s="350">
        <v>1</v>
      </c>
      <c r="P209" s="351">
        <v>55.03</v>
      </c>
      <c r="Q209" s="351">
        <v>55.03</v>
      </c>
      <c r="R209" s="182"/>
      <c r="U209" s="128"/>
    </row>
    <row r="210" spans="1:21" ht="15.6" x14ac:dyDescent="0.3">
      <c r="A210" s="53"/>
      <c r="B210" s="54"/>
      <c r="C210" s="54"/>
      <c r="D210" s="54"/>
      <c r="E210" s="55"/>
      <c r="F210" s="75"/>
      <c r="G210" s="76"/>
      <c r="H210" s="76"/>
      <c r="I210" s="48"/>
      <c r="J210" s="70"/>
      <c r="K210" s="70"/>
      <c r="L210" s="348" t="s">
        <v>875</v>
      </c>
      <c r="M210" s="349" t="s">
        <v>876</v>
      </c>
      <c r="N210" s="348" t="s">
        <v>34</v>
      </c>
      <c r="O210" s="350">
        <v>1</v>
      </c>
      <c r="P210" s="352">
        <v>1760.84</v>
      </c>
      <c r="Q210" s="352">
        <v>1760.84</v>
      </c>
      <c r="R210" s="182"/>
      <c r="U210" s="128"/>
    </row>
    <row r="211" spans="1:21" ht="15.6" x14ac:dyDescent="0.3">
      <c r="A211" s="53"/>
      <c r="B211" s="54"/>
      <c r="C211" s="54"/>
      <c r="D211" s="54"/>
      <c r="E211" s="55"/>
      <c r="F211" s="75"/>
      <c r="G211" s="76"/>
      <c r="H211" s="76"/>
      <c r="I211" s="48"/>
      <c r="J211" s="70"/>
      <c r="K211" s="70"/>
      <c r="L211" s="348" t="s">
        <v>1419</v>
      </c>
      <c r="M211" s="349" t="s">
        <v>1442</v>
      </c>
      <c r="N211" s="348" t="s">
        <v>34</v>
      </c>
      <c r="O211" s="350">
        <v>1</v>
      </c>
      <c r="P211" s="351">
        <v>60.52</v>
      </c>
      <c r="Q211" s="351">
        <v>60.52</v>
      </c>
      <c r="R211" s="182"/>
      <c r="U211" s="128"/>
    </row>
    <row r="212" spans="1:21" ht="15.6" x14ac:dyDescent="0.3">
      <c r="A212" s="53"/>
      <c r="B212" s="54"/>
      <c r="C212" s="54"/>
      <c r="D212" s="54"/>
      <c r="E212" s="55"/>
      <c r="F212" s="75"/>
      <c r="G212" s="76"/>
      <c r="H212" s="76"/>
      <c r="I212" s="48"/>
      <c r="J212" s="70"/>
      <c r="K212" s="70"/>
      <c r="L212" s="348" t="s">
        <v>889</v>
      </c>
      <c r="M212" s="349" t="s">
        <v>890</v>
      </c>
      <c r="N212" s="348" t="s">
        <v>82</v>
      </c>
      <c r="O212" s="350">
        <v>1</v>
      </c>
      <c r="P212" s="352">
        <v>5462.5</v>
      </c>
      <c r="Q212" s="352">
        <v>5462.5</v>
      </c>
      <c r="R212" s="182"/>
      <c r="U212" s="128"/>
    </row>
    <row r="213" spans="1:21" ht="15.6" x14ac:dyDescent="0.3">
      <c r="A213" s="53"/>
      <c r="B213" s="54"/>
      <c r="C213" s="54"/>
      <c r="D213" s="54"/>
      <c r="E213" s="55"/>
      <c r="F213" s="75"/>
      <c r="G213" s="76"/>
      <c r="H213" s="76"/>
      <c r="I213" s="48"/>
      <c r="J213" s="70"/>
      <c r="K213" s="70"/>
      <c r="L213" s="348" t="s">
        <v>877</v>
      </c>
      <c r="M213" s="349" t="s">
        <v>878</v>
      </c>
      <c r="N213" s="348" t="s">
        <v>34</v>
      </c>
      <c r="O213" s="350">
        <v>1</v>
      </c>
      <c r="P213" s="351">
        <v>320.66000000000003</v>
      </c>
      <c r="Q213" s="351">
        <v>320.66000000000003</v>
      </c>
      <c r="R213" s="182"/>
      <c r="U213" s="128"/>
    </row>
    <row r="214" spans="1:21" ht="15.6" x14ac:dyDescent="0.3">
      <c r="A214" s="53"/>
      <c r="B214" s="54"/>
      <c r="C214" s="54"/>
      <c r="D214" s="54"/>
      <c r="E214" s="55"/>
      <c r="F214" s="75"/>
      <c r="G214" s="76"/>
      <c r="H214" s="76"/>
      <c r="I214" s="48"/>
      <c r="J214" s="70"/>
      <c r="K214" s="70"/>
      <c r="L214" s="348" t="s">
        <v>915</v>
      </c>
      <c r="M214" s="349" t="s">
        <v>916</v>
      </c>
      <c r="N214" s="348" t="s">
        <v>34</v>
      </c>
      <c r="O214" s="350">
        <v>1</v>
      </c>
      <c r="P214" s="351">
        <v>42</v>
      </c>
      <c r="Q214" s="351">
        <v>42</v>
      </c>
      <c r="R214" s="182"/>
      <c r="U214" s="128"/>
    </row>
    <row r="215" spans="1:21" ht="15.6" x14ac:dyDescent="0.3">
      <c r="A215" s="53"/>
      <c r="B215" s="54"/>
      <c r="C215" s="54"/>
      <c r="D215" s="54"/>
      <c r="E215" s="55"/>
      <c r="F215" s="75"/>
      <c r="G215" s="76"/>
      <c r="H215" s="76"/>
      <c r="I215" s="48"/>
      <c r="J215" s="70"/>
      <c r="K215" s="70"/>
      <c r="L215" s="348" t="s">
        <v>861</v>
      </c>
      <c r="M215" s="349" t="s">
        <v>917</v>
      </c>
      <c r="N215" s="348" t="s">
        <v>34</v>
      </c>
      <c r="O215" s="350">
        <v>1</v>
      </c>
      <c r="P215" s="352">
        <v>8250</v>
      </c>
      <c r="Q215" s="352">
        <v>8250</v>
      </c>
      <c r="R215" s="182"/>
      <c r="U215" s="128"/>
    </row>
    <row r="216" spans="1:21" ht="15.6" x14ac:dyDescent="0.3">
      <c r="A216" s="53"/>
      <c r="B216" s="54"/>
      <c r="C216" s="54"/>
      <c r="D216" s="54"/>
      <c r="E216" s="55"/>
      <c r="F216" s="75"/>
      <c r="G216" s="76"/>
      <c r="H216" s="76"/>
      <c r="I216" s="48"/>
      <c r="J216" s="70"/>
      <c r="K216" s="70"/>
      <c r="L216" s="348" t="s">
        <v>865</v>
      </c>
      <c r="M216" s="349" t="s">
        <v>1055</v>
      </c>
      <c r="N216" s="348" t="s">
        <v>34</v>
      </c>
      <c r="O216" s="350">
        <v>1</v>
      </c>
      <c r="P216" s="352">
        <v>4916.66</v>
      </c>
      <c r="Q216" s="352">
        <v>4916.66</v>
      </c>
      <c r="R216" s="182"/>
      <c r="U216" s="128"/>
    </row>
    <row r="217" spans="1:21" ht="15.6" x14ac:dyDescent="0.3">
      <c r="A217" s="53"/>
      <c r="B217" s="54"/>
      <c r="C217" s="54"/>
      <c r="D217" s="54"/>
      <c r="E217" s="55"/>
      <c r="F217" s="75"/>
      <c r="G217" s="76"/>
      <c r="H217" s="76"/>
      <c r="I217" s="48"/>
      <c r="J217" s="70"/>
      <c r="K217" s="70"/>
      <c r="L217" s="348" t="s">
        <v>799</v>
      </c>
      <c r="M217" s="349" t="s">
        <v>800</v>
      </c>
      <c r="N217" s="348" t="s">
        <v>34</v>
      </c>
      <c r="O217" s="350">
        <v>1</v>
      </c>
      <c r="P217" s="351">
        <v>308.12</v>
      </c>
      <c r="Q217" s="351">
        <v>308.12</v>
      </c>
      <c r="R217" s="182"/>
      <c r="U217" s="128"/>
    </row>
    <row r="218" spans="1:21" ht="15.6" x14ac:dyDescent="0.3">
      <c r="A218" s="53"/>
      <c r="B218" s="54"/>
      <c r="C218" s="54"/>
      <c r="D218" s="54"/>
      <c r="E218" s="55"/>
      <c r="F218" s="75"/>
      <c r="G218" s="76"/>
      <c r="H218" s="76"/>
      <c r="I218" s="48"/>
      <c r="J218" s="70"/>
      <c r="K218" s="70"/>
      <c r="L218" s="348" t="s">
        <v>867</v>
      </c>
      <c r="M218" s="349" t="s">
        <v>918</v>
      </c>
      <c r="N218" s="348" t="s">
        <v>34</v>
      </c>
      <c r="O218" s="350">
        <v>1</v>
      </c>
      <c r="P218" s="352">
        <v>4050</v>
      </c>
      <c r="Q218" s="352">
        <v>4050</v>
      </c>
      <c r="R218" s="182"/>
      <c r="U218" s="128"/>
    </row>
    <row r="219" spans="1:21" ht="15.6" x14ac:dyDescent="0.3">
      <c r="A219" s="53"/>
      <c r="B219" s="54"/>
      <c r="C219" s="54"/>
      <c r="D219" s="54"/>
      <c r="E219" s="55"/>
      <c r="F219" s="75"/>
      <c r="G219" s="76"/>
      <c r="H219" s="76"/>
      <c r="I219" s="48"/>
      <c r="J219" s="70"/>
      <c r="K219" s="70"/>
      <c r="L219" s="348" t="s">
        <v>1311</v>
      </c>
      <c r="M219" s="349" t="s">
        <v>1345</v>
      </c>
      <c r="N219" s="348" t="s">
        <v>34</v>
      </c>
      <c r="O219" s="350">
        <v>1</v>
      </c>
      <c r="P219" s="351">
        <v>21.5</v>
      </c>
      <c r="Q219" s="351">
        <v>21.5</v>
      </c>
      <c r="R219" s="182"/>
      <c r="U219" s="128"/>
    </row>
    <row r="220" spans="1:21" ht="30" x14ac:dyDescent="0.3">
      <c r="A220" s="53"/>
      <c r="B220" s="54"/>
      <c r="C220" s="54"/>
      <c r="D220" s="54"/>
      <c r="E220" s="55"/>
      <c r="F220" s="75"/>
      <c r="G220" s="76"/>
      <c r="H220" s="76"/>
      <c r="I220" s="48"/>
      <c r="J220" s="70"/>
      <c r="K220" s="70"/>
      <c r="L220" s="348" t="s">
        <v>1156</v>
      </c>
      <c r="M220" s="349" t="s">
        <v>1243</v>
      </c>
      <c r="N220" s="348" t="s">
        <v>34</v>
      </c>
      <c r="O220" s="350">
        <v>1</v>
      </c>
      <c r="P220" s="351">
        <v>87.3</v>
      </c>
      <c r="Q220" s="351">
        <v>87.3</v>
      </c>
      <c r="R220" s="182"/>
      <c r="U220" s="128"/>
    </row>
    <row r="221" spans="1:21" ht="15.6" x14ac:dyDescent="0.3">
      <c r="A221" s="53"/>
      <c r="B221" s="54"/>
      <c r="C221" s="54"/>
      <c r="D221" s="54"/>
      <c r="E221" s="55"/>
      <c r="F221" s="75"/>
      <c r="G221" s="76"/>
      <c r="H221" s="76"/>
      <c r="I221" s="48"/>
      <c r="J221" s="70"/>
      <c r="K221" s="70"/>
      <c r="L221" s="348" t="s">
        <v>809</v>
      </c>
      <c r="M221" s="349" t="s">
        <v>810</v>
      </c>
      <c r="N221" s="348" t="s">
        <v>34</v>
      </c>
      <c r="O221" s="350">
        <v>1</v>
      </c>
      <c r="P221" s="351">
        <v>854.38</v>
      </c>
      <c r="Q221" s="351">
        <v>854.38</v>
      </c>
      <c r="R221" s="182"/>
      <c r="U221" s="128"/>
    </row>
    <row r="222" spans="1:21" ht="15.6" x14ac:dyDescent="0.3">
      <c r="A222" s="53"/>
      <c r="B222" s="54"/>
      <c r="C222" s="54"/>
      <c r="D222" s="54"/>
      <c r="E222" s="55"/>
      <c r="F222" s="75"/>
      <c r="G222" s="76"/>
      <c r="H222" s="76"/>
      <c r="I222" s="48"/>
      <c r="J222" s="70"/>
      <c r="K222" s="70"/>
      <c r="L222" s="348" t="s">
        <v>920</v>
      </c>
      <c r="M222" s="349" t="s">
        <v>921</v>
      </c>
      <c r="N222" s="348" t="s">
        <v>34</v>
      </c>
      <c r="O222" s="350">
        <v>1</v>
      </c>
      <c r="P222" s="351">
        <v>60</v>
      </c>
      <c r="Q222" s="351">
        <v>60</v>
      </c>
      <c r="R222" s="182"/>
      <c r="U222" s="128"/>
    </row>
    <row r="223" spans="1:21" ht="15.6" x14ac:dyDescent="0.3">
      <c r="A223" s="53"/>
      <c r="B223" s="54"/>
      <c r="C223" s="54"/>
      <c r="D223" s="54"/>
      <c r="E223" s="55"/>
      <c r="F223" s="75"/>
      <c r="G223" s="76"/>
      <c r="H223" s="76"/>
      <c r="I223" s="48"/>
      <c r="J223" s="70"/>
      <c r="K223" s="70"/>
      <c r="L223" s="348" t="s">
        <v>812</v>
      </c>
      <c r="M223" s="349" t="s">
        <v>813</v>
      </c>
      <c r="N223" s="348" t="s">
        <v>34</v>
      </c>
      <c r="O223" s="350">
        <v>1</v>
      </c>
      <c r="P223" s="352">
        <v>6500</v>
      </c>
      <c r="Q223" s="352">
        <v>6500</v>
      </c>
      <c r="R223" s="182"/>
      <c r="U223" s="128"/>
    </row>
    <row r="224" spans="1:21" ht="15.6" x14ac:dyDescent="0.3">
      <c r="A224" s="53"/>
      <c r="B224" s="54"/>
      <c r="C224" s="54"/>
      <c r="D224" s="54"/>
      <c r="E224" s="55"/>
      <c r="F224" s="75"/>
      <c r="G224" s="76"/>
      <c r="H224" s="76"/>
      <c r="I224" s="48"/>
      <c r="J224" s="70"/>
      <c r="K224" s="70"/>
      <c r="L224" s="348" t="s">
        <v>860</v>
      </c>
      <c r="M224" s="349" t="s">
        <v>922</v>
      </c>
      <c r="N224" s="348" t="s">
        <v>34</v>
      </c>
      <c r="O224" s="350">
        <v>1</v>
      </c>
      <c r="P224" s="352">
        <v>8875</v>
      </c>
      <c r="Q224" s="352">
        <v>8875</v>
      </c>
      <c r="R224" s="182"/>
      <c r="U224" s="128"/>
    </row>
    <row r="225" spans="1:21" ht="15.6" x14ac:dyDescent="0.3">
      <c r="A225" s="53"/>
      <c r="B225" s="54"/>
      <c r="C225" s="54"/>
      <c r="D225" s="54"/>
      <c r="E225" s="55"/>
      <c r="F225" s="75"/>
      <c r="G225" s="76"/>
      <c r="H225" s="76"/>
      <c r="I225" s="48"/>
      <c r="J225" s="70"/>
      <c r="K225" s="70"/>
      <c r="L225" s="348" t="s">
        <v>422</v>
      </c>
      <c r="M225" s="349" t="s">
        <v>423</v>
      </c>
      <c r="N225" s="348" t="s">
        <v>34</v>
      </c>
      <c r="O225" s="350">
        <v>1</v>
      </c>
      <c r="P225" s="351">
        <v>219.9</v>
      </c>
      <c r="Q225" s="351">
        <v>219.9</v>
      </c>
      <c r="R225" s="182"/>
      <c r="U225" s="128"/>
    </row>
    <row r="226" spans="1:21" ht="15.6" x14ac:dyDescent="0.3">
      <c r="A226" s="53"/>
      <c r="B226" s="54"/>
      <c r="C226" s="54"/>
      <c r="D226" s="54"/>
      <c r="E226" s="55"/>
      <c r="F226" s="75"/>
      <c r="G226" s="76"/>
      <c r="H226" s="76"/>
      <c r="I226" s="48"/>
      <c r="J226" s="70"/>
      <c r="K226" s="70"/>
      <c r="L226" s="348" t="s">
        <v>424</v>
      </c>
      <c r="M226" s="349" t="s">
        <v>425</v>
      </c>
      <c r="N226" s="348" t="s">
        <v>34</v>
      </c>
      <c r="O226" s="350">
        <v>1</v>
      </c>
      <c r="P226" s="351">
        <v>201</v>
      </c>
      <c r="Q226" s="351">
        <v>201</v>
      </c>
      <c r="R226" s="182"/>
      <c r="U226" s="128"/>
    </row>
    <row r="227" spans="1:21" ht="15.6" x14ac:dyDescent="0.3">
      <c r="A227" s="53"/>
      <c r="B227" s="54"/>
      <c r="C227" s="54"/>
      <c r="D227" s="54"/>
      <c r="E227" s="55"/>
      <c r="F227" s="75"/>
      <c r="G227" s="76"/>
      <c r="H227" s="76"/>
      <c r="I227" s="48"/>
      <c r="J227" s="70"/>
      <c r="K227" s="70"/>
      <c r="L227" s="348" t="s">
        <v>1159</v>
      </c>
      <c r="M227" s="349" t="s">
        <v>1245</v>
      </c>
      <c r="N227" s="348" t="s">
        <v>34</v>
      </c>
      <c r="O227" s="350">
        <v>1</v>
      </c>
      <c r="P227" s="351">
        <v>39.75</v>
      </c>
      <c r="Q227" s="351">
        <v>39.75</v>
      </c>
      <c r="R227" s="182"/>
      <c r="U227" s="128"/>
    </row>
    <row r="228" spans="1:21" ht="15.6" x14ac:dyDescent="0.3">
      <c r="A228" s="53"/>
      <c r="B228" s="54"/>
      <c r="C228" s="54"/>
      <c r="D228" s="54"/>
      <c r="E228" s="55"/>
      <c r="F228" s="75"/>
      <c r="G228" s="76"/>
      <c r="H228" s="76"/>
      <c r="I228" s="48"/>
      <c r="J228" s="70"/>
      <c r="K228" s="70"/>
      <c r="L228" s="348" t="s">
        <v>826</v>
      </c>
      <c r="M228" s="349" t="s">
        <v>827</v>
      </c>
      <c r="N228" s="348" t="s">
        <v>34</v>
      </c>
      <c r="O228" s="350">
        <v>1</v>
      </c>
      <c r="P228" s="351">
        <v>4.8</v>
      </c>
      <c r="Q228" s="351">
        <v>4.8</v>
      </c>
      <c r="R228" s="182"/>
      <c r="U228" s="128"/>
    </row>
    <row r="229" spans="1:21" ht="15.6" x14ac:dyDescent="0.3">
      <c r="A229" s="53"/>
      <c r="B229" s="54"/>
      <c r="C229" s="54"/>
      <c r="D229" s="54"/>
      <c r="E229" s="55"/>
      <c r="F229" s="75"/>
      <c r="G229" s="76"/>
      <c r="H229" s="76"/>
      <c r="I229" s="48"/>
      <c r="J229" s="70"/>
      <c r="K229" s="70"/>
      <c r="L229" s="348" t="s">
        <v>1177</v>
      </c>
      <c r="M229" s="349" t="s">
        <v>1261</v>
      </c>
      <c r="N229" s="348" t="s">
        <v>34</v>
      </c>
      <c r="O229" s="350">
        <v>1</v>
      </c>
      <c r="P229" s="351">
        <v>130.22</v>
      </c>
      <c r="Q229" s="351">
        <v>130.22</v>
      </c>
      <c r="R229" s="182"/>
      <c r="U229" s="128"/>
    </row>
    <row r="230" spans="1:21" ht="15.6" x14ac:dyDescent="0.3">
      <c r="A230" s="53"/>
      <c r="B230" s="54"/>
      <c r="C230" s="54"/>
      <c r="D230" s="54"/>
      <c r="E230" s="55"/>
      <c r="F230" s="75"/>
      <c r="G230" s="76"/>
      <c r="H230" s="76"/>
      <c r="I230" s="48"/>
      <c r="J230" s="70"/>
      <c r="K230" s="70"/>
      <c r="L230" s="348" t="s">
        <v>828</v>
      </c>
      <c r="M230" s="349" t="s">
        <v>829</v>
      </c>
      <c r="N230" s="348" t="s">
        <v>34</v>
      </c>
      <c r="O230" s="350">
        <v>1</v>
      </c>
      <c r="P230" s="351">
        <v>133.15</v>
      </c>
      <c r="Q230" s="351">
        <v>133.15</v>
      </c>
      <c r="R230" s="182"/>
      <c r="U230" s="128"/>
    </row>
    <row r="231" spans="1:21" ht="15.6" x14ac:dyDescent="0.3">
      <c r="A231" s="53"/>
      <c r="B231" s="54"/>
      <c r="C231" s="54"/>
      <c r="D231" s="54"/>
      <c r="E231" s="55"/>
      <c r="F231" s="75"/>
      <c r="G231" s="76"/>
      <c r="H231" s="76"/>
      <c r="I231" s="48"/>
      <c r="J231" s="70"/>
      <c r="K231" s="70"/>
      <c r="L231" s="348" t="s">
        <v>924</v>
      </c>
      <c r="M231" s="349" t="s">
        <v>925</v>
      </c>
      <c r="N231" s="348" t="s">
        <v>34</v>
      </c>
      <c r="O231" s="350">
        <v>1</v>
      </c>
      <c r="P231" s="351">
        <v>69.34</v>
      </c>
      <c r="Q231" s="351">
        <v>69.34</v>
      </c>
      <c r="R231" s="182"/>
      <c r="U231" s="128"/>
    </row>
    <row r="232" spans="1:21" ht="15.6" x14ac:dyDescent="0.3">
      <c r="A232" s="53"/>
      <c r="B232" s="54"/>
      <c r="C232" s="54"/>
      <c r="D232" s="54"/>
      <c r="E232" s="55"/>
      <c r="F232" s="75"/>
      <c r="G232" s="76"/>
      <c r="H232" s="76"/>
      <c r="I232" s="48"/>
      <c r="J232" s="70"/>
      <c r="K232" s="70"/>
      <c r="L232" s="348" t="s">
        <v>863</v>
      </c>
      <c r="M232" s="349" t="s">
        <v>926</v>
      </c>
      <c r="N232" s="348" t="s">
        <v>34</v>
      </c>
      <c r="O232" s="350">
        <v>1</v>
      </c>
      <c r="P232" s="352">
        <v>8590</v>
      </c>
      <c r="Q232" s="352">
        <v>8590</v>
      </c>
      <c r="R232" s="182"/>
      <c r="U232" s="128"/>
    </row>
    <row r="233" spans="1:21" ht="15.6" x14ac:dyDescent="0.3">
      <c r="A233" s="53"/>
      <c r="B233" s="54"/>
      <c r="C233" s="54"/>
      <c r="D233" s="54"/>
      <c r="E233" s="55"/>
      <c r="F233" s="75"/>
      <c r="G233" s="76"/>
      <c r="H233" s="76"/>
      <c r="I233" s="48"/>
      <c r="J233" s="70"/>
      <c r="K233" s="70"/>
      <c r="L233" s="348" t="s">
        <v>930</v>
      </c>
      <c r="M233" s="349" t="s">
        <v>931</v>
      </c>
      <c r="N233" s="348" t="s">
        <v>34</v>
      </c>
      <c r="O233" s="350">
        <v>1</v>
      </c>
      <c r="P233" s="351">
        <v>124</v>
      </c>
      <c r="Q233" s="351">
        <v>124</v>
      </c>
      <c r="R233" s="182"/>
      <c r="U233" s="128"/>
    </row>
    <row r="234" spans="1:21" ht="15.6" x14ac:dyDescent="0.3">
      <c r="A234" s="53"/>
      <c r="B234" s="54"/>
      <c r="C234" s="54"/>
      <c r="D234" s="54"/>
      <c r="E234" s="55"/>
      <c r="F234" s="75"/>
      <c r="G234" s="76"/>
      <c r="H234" s="76"/>
      <c r="I234" s="48"/>
      <c r="J234" s="70"/>
      <c r="K234" s="70"/>
      <c r="L234" s="348" t="s">
        <v>484</v>
      </c>
      <c r="M234" s="349" t="s">
        <v>1061</v>
      </c>
      <c r="N234" s="348" t="s">
        <v>34</v>
      </c>
      <c r="O234" s="350">
        <v>1</v>
      </c>
      <c r="P234" s="351">
        <v>34.83</v>
      </c>
      <c r="Q234" s="351">
        <v>34.83</v>
      </c>
      <c r="R234" s="182"/>
      <c r="U234" s="128"/>
    </row>
    <row r="235" spans="1:21" ht="15.6" x14ac:dyDescent="0.3">
      <c r="A235" s="53"/>
      <c r="B235" s="54"/>
      <c r="C235" s="54"/>
      <c r="D235" s="54"/>
      <c r="E235" s="55"/>
      <c r="F235" s="75"/>
      <c r="G235" s="76"/>
      <c r="H235" s="76"/>
      <c r="I235" s="48"/>
      <c r="J235" s="70"/>
      <c r="K235" s="70"/>
      <c r="L235" s="348" t="s">
        <v>488</v>
      </c>
      <c r="M235" s="349" t="s">
        <v>1062</v>
      </c>
      <c r="N235" s="348" t="s">
        <v>34</v>
      </c>
      <c r="O235" s="350">
        <v>1</v>
      </c>
      <c r="P235" s="351">
        <v>851.18</v>
      </c>
      <c r="Q235" s="351">
        <v>851.18</v>
      </c>
      <c r="R235" s="182"/>
      <c r="U235" s="128"/>
    </row>
    <row r="236" spans="1:21" ht="15.6" x14ac:dyDescent="0.3">
      <c r="A236" s="53"/>
      <c r="B236" s="54"/>
      <c r="C236" s="54"/>
      <c r="D236" s="54"/>
      <c r="E236" s="55"/>
      <c r="F236" s="75"/>
      <c r="G236" s="76"/>
      <c r="H236" s="76"/>
      <c r="I236" s="48"/>
      <c r="J236" s="70"/>
      <c r="K236" s="70"/>
      <c r="L236" s="348" t="s">
        <v>490</v>
      </c>
      <c r="M236" s="349" t="s">
        <v>491</v>
      </c>
      <c r="N236" s="348" t="s">
        <v>34</v>
      </c>
      <c r="O236" s="350">
        <v>1</v>
      </c>
      <c r="P236" s="352">
        <v>3293.25</v>
      </c>
      <c r="Q236" s="352">
        <v>3293.25</v>
      </c>
      <c r="R236" s="182"/>
      <c r="U236" s="128"/>
    </row>
    <row r="237" spans="1:21" ht="15.6" x14ac:dyDescent="0.3">
      <c r="A237" s="53"/>
      <c r="B237" s="54"/>
      <c r="C237" s="54"/>
      <c r="D237" s="54"/>
      <c r="E237" s="55"/>
      <c r="F237" s="75"/>
      <c r="G237" s="76"/>
      <c r="H237" s="76"/>
      <c r="I237" s="48"/>
      <c r="J237" s="70"/>
      <c r="K237" s="70"/>
      <c r="L237" s="348" t="s">
        <v>862</v>
      </c>
      <c r="M237" s="349" t="s">
        <v>1045</v>
      </c>
      <c r="N237" s="348" t="s">
        <v>34</v>
      </c>
      <c r="O237" s="350">
        <v>1</v>
      </c>
      <c r="P237" s="352">
        <v>12583.33</v>
      </c>
      <c r="Q237" s="352">
        <v>12583.33</v>
      </c>
      <c r="R237" s="182"/>
      <c r="U237" s="128"/>
    </row>
    <row r="238" spans="1:21" ht="15.6" x14ac:dyDescent="0.3">
      <c r="A238" s="53"/>
      <c r="B238" s="54"/>
      <c r="C238" s="54"/>
      <c r="D238" s="54"/>
      <c r="E238" s="55"/>
      <c r="F238" s="75"/>
      <c r="G238" s="76"/>
      <c r="H238" s="76"/>
      <c r="I238" s="48"/>
      <c r="J238" s="70"/>
      <c r="K238" s="70"/>
      <c r="L238" s="348" t="s">
        <v>845</v>
      </c>
      <c r="M238" s="349" t="s">
        <v>846</v>
      </c>
      <c r="N238" s="348" t="s">
        <v>34</v>
      </c>
      <c r="O238" s="350">
        <v>1</v>
      </c>
      <c r="P238" s="351">
        <v>193.17</v>
      </c>
      <c r="Q238" s="351">
        <v>193.17</v>
      </c>
      <c r="R238" s="182"/>
      <c r="U238" s="128"/>
    </row>
    <row r="239" spans="1:21" ht="15.6" x14ac:dyDescent="0.3">
      <c r="A239" s="53"/>
      <c r="B239" s="54"/>
      <c r="C239" s="54"/>
      <c r="D239" s="54"/>
      <c r="E239" s="55"/>
      <c r="F239" s="75"/>
      <c r="G239" s="76"/>
      <c r="H239" s="76"/>
      <c r="I239" s="48"/>
      <c r="J239" s="70"/>
      <c r="K239" s="70"/>
      <c r="L239" s="348" t="s">
        <v>994</v>
      </c>
      <c r="M239" s="349" t="s">
        <v>1066</v>
      </c>
      <c r="N239" s="348" t="s">
        <v>34</v>
      </c>
      <c r="O239" s="350">
        <v>1</v>
      </c>
      <c r="P239" s="352">
        <v>7750</v>
      </c>
      <c r="Q239" s="352">
        <v>7750</v>
      </c>
      <c r="R239" s="182"/>
      <c r="U239" s="128"/>
    </row>
    <row r="240" spans="1:21" ht="15.6" x14ac:dyDescent="0.3">
      <c r="A240" s="53"/>
      <c r="B240" s="54"/>
      <c r="C240" s="54"/>
      <c r="D240" s="54"/>
      <c r="E240" s="55"/>
      <c r="F240" s="75"/>
      <c r="G240" s="76"/>
      <c r="H240" s="76"/>
      <c r="I240" s="48"/>
      <c r="J240" s="70"/>
      <c r="K240" s="70"/>
      <c r="L240" s="348" t="s">
        <v>995</v>
      </c>
      <c r="M240" s="349" t="s">
        <v>1067</v>
      </c>
      <c r="N240" s="348" t="s">
        <v>34</v>
      </c>
      <c r="O240" s="350">
        <v>1</v>
      </c>
      <c r="P240" s="352">
        <v>6036</v>
      </c>
      <c r="Q240" s="352">
        <v>6036</v>
      </c>
      <c r="R240" s="182"/>
      <c r="U240" s="128"/>
    </row>
    <row r="241" spans="1:21" ht="15.6" x14ac:dyDescent="0.3">
      <c r="A241" s="53"/>
      <c r="B241" s="54"/>
      <c r="C241" s="54"/>
      <c r="D241" s="54"/>
      <c r="E241" s="55"/>
      <c r="F241" s="75"/>
      <c r="G241" s="76"/>
      <c r="H241" s="76"/>
      <c r="I241" s="48"/>
      <c r="J241" s="70"/>
      <c r="K241" s="70"/>
      <c r="L241" s="348" t="s">
        <v>1172</v>
      </c>
      <c r="M241" s="349" t="s">
        <v>1257</v>
      </c>
      <c r="N241" s="348" t="s">
        <v>34</v>
      </c>
      <c r="O241" s="350">
        <v>1</v>
      </c>
      <c r="P241" s="351">
        <v>285</v>
      </c>
      <c r="Q241" s="351">
        <v>285</v>
      </c>
      <c r="R241" s="182"/>
      <c r="U241" s="128"/>
    </row>
    <row r="242" spans="1:21" ht="15.6" x14ac:dyDescent="0.3">
      <c r="A242" s="53"/>
      <c r="B242" s="54"/>
      <c r="C242" s="54"/>
      <c r="D242" s="54"/>
      <c r="E242" s="55"/>
      <c r="F242" s="75"/>
      <c r="G242" s="76"/>
      <c r="H242" s="76"/>
      <c r="I242" s="48"/>
      <c r="J242" s="70"/>
      <c r="K242" s="70"/>
      <c r="L242" s="348" t="s">
        <v>796</v>
      </c>
      <c r="M242" s="349" t="s">
        <v>797</v>
      </c>
      <c r="N242" s="348" t="s">
        <v>34</v>
      </c>
      <c r="O242" s="350">
        <v>1.0900000000000001</v>
      </c>
      <c r="P242" s="351">
        <v>338.33</v>
      </c>
      <c r="Q242" s="351">
        <v>368.78</v>
      </c>
      <c r="R242" s="182"/>
      <c r="U242" s="128"/>
    </row>
    <row r="243" spans="1:21" ht="15.6" x14ac:dyDescent="0.3">
      <c r="A243" s="53"/>
      <c r="B243" s="54"/>
      <c r="C243" s="54"/>
      <c r="D243" s="54"/>
      <c r="E243" s="55"/>
      <c r="F243" s="75"/>
      <c r="G243" s="76"/>
      <c r="H243" s="76"/>
      <c r="I243" s="48"/>
      <c r="J243" s="70"/>
      <c r="K243" s="70"/>
      <c r="L243" s="348" t="s">
        <v>1187</v>
      </c>
      <c r="M243" s="349" t="s">
        <v>1270</v>
      </c>
      <c r="N243" s="348" t="s">
        <v>45</v>
      </c>
      <c r="O243" s="350">
        <v>1.1819999999999999</v>
      </c>
      <c r="P243" s="351">
        <v>150.16999999999999</v>
      </c>
      <c r="Q243" s="351">
        <v>177.5</v>
      </c>
      <c r="R243" s="182"/>
      <c r="U243" s="128"/>
    </row>
    <row r="244" spans="1:21" ht="15.6" x14ac:dyDescent="0.3">
      <c r="A244" s="53"/>
      <c r="B244" s="54"/>
      <c r="C244" s="54"/>
      <c r="D244" s="54"/>
      <c r="E244" s="55"/>
      <c r="F244" s="75"/>
      <c r="G244" s="76"/>
      <c r="H244" s="76"/>
      <c r="I244" s="48"/>
      <c r="J244" s="70"/>
      <c r="K244" s="70"/>
      <c r="L244" s="348" t="s">
        <v>743</v>
      </c>
      <c r="M244" s="349" t="s">
        <v>744</v>
      </c>
      <c r="N244" s="348" t="s">
        <v>903</v>
      </c>
      <c r="O244" s="350">
        <v>1.2</v>
      </c>
      <c r="P244" s="352">
        <v>10651.38</v>
      </c>
      <c r="Q244" s="352">
        <v>12781.66</v>
      </c>
      <c r="R244" s="182"/>
      <c r="U244" s="128"/>
    </row>
    <row r="245" spans="1:21" ht="15.6" x14ac:dyDescent="0.3">
      <c r="A245" s="53"/>
      <c r="B245" s="54"/>
      <c r="C245" s="54"/>
      <c r="D245" s="54"/>
      <c r="E245" s="55"/>
      <c r="F245" s="75"/>
      <c r="G245" s="76"/>
      <c r="H245" s="76"/>
      <c r="I245" s="48"/>
      <c r="J245" s="70"/>
      <c r="K245" s="70"/>
      <c r="L245" s="348" t="s">
        <v>1115</v>
      </c>
      <c r="M245" s="349" t="s">
        <v>1201</v>
      </c>
      <c r="N245" s="348" t="s">
        <v>68</v>
      </c>
      <c r="O245" s="350">
        <v>1.2</v>
      </c>
      <c r="P245" s="351">
        <v>186.67</v>
      </c>
      <c r="Q245" s="351">
        <v>224</v>
      </c>
      <c r="R245" s="182"/>
      <c r="U245" s="128"/>
    </row>
    <row r="246" spans="1:21" ht="15.6" x14ac:dyDescent="0.3">
      <c r="A246" s="53"/>
      <c r="B246" s="54"/>
      <c r="C246" s="54"/>
      <c r="D246" s="54"/>
      <c r="E246" s="55"/>
      <c r="F246" s="75"/>
      <c r="G246" s="76"/>
      <c r="H246" s="76"/>
      <c r="I246" s="48"/>
      <c r="J246" s="70"/>
      <c r="K246" s="70"/>
      <c r="L246" s="348" t="s">
        <v>207</v>
      </c>
      <c r="M246" s="349" t="s">
        <v>858</v>
      </c>
      <c r="N246" s="348" t="s">
        <v>68</v>
      </c>
      <c r="O246" s="350">
        <v>1.4</v>
      </c>
      <c r="P246" s="351">
        <v>343.29</v>
      </c>
      <c r="Q246" s="351">
        <v>480.6</v>
      </c>
      <c r="R246" s="182"/>
      <c r="U246" s="128"/>
    </row>
    <row r="247" spans="1:21" ht="15.6" x14ac:dyDescent="0.3">
      <c r="A247" s="53"/>
      <c r="B247" s="54"/>
      <c r="C247" s="54"/>
      <c r="D247" s="54"/>
      <c r="E247" s="55"/>
      <c r="F247" s="75"/>
      <c r="G247" s="76"/>
      <c r="H247" s="76"/>
      <c r="I247" s="48"/>
      <c r="J247" s="70"/>
      <c r="K247" s="70"/>
      <c r="L247" s="348" t="s">
        <v>882</v>
      </c>
      <c r="M247" s="349" t="s">
        <v>883</v>
      </c>
      <c r="N247" s="348" t="s">
        <v>68</v>
      </c>
      <c r="O247" s="350">
        <v>1.75</v>
      </c>
      <c r="P247" s="351">
        <v>188.33</v>
      </c>
      <c r="Q247" s="351">
        <v>329.57</v>
      </c>
      <c r="R247" s="182"/>
      <c r="U247" s="128"/>
    </row>
    <row r="248" spans="1:21" ht="15.6" x14ac:dyDescent="0.3">
      <c r="A248" s="53"/>
      <c r="B248" s="54"/>
      <c r="C248" s="54"/>
      <c r="D248" s="54"/>
      <c r="E248" s="55"/>
      <c r="F248" s="75"/>
      <c r="G248" s="76"/>
      <c r="H248" s="76"/>
      <c r="I248" s="48"/>
      <c r="J248" s="70"/>
      <c r="K248" s="70"/>
      <c r="L248" s="348" t="s">
        <v>936</v>
      </c>
      <c r="M248" s="349" t="s">
        <v>1035</v>
      </c>
      <c r="N248" s="348" t="s">
        <v>64</v>
      </c>
      <c r="O248" s="350">
        <v>2</v>
      </c>
      <c r="P248" s="351">
        <v>736.65</v>
      </c>
      <c r="Q248" s="352">
        <v>1473.3</v>
      </c>
      <c r="R248" s="182"/>
      <c r="U248" s="128"/>
    </row>
    <row r="249" spans="1:21" ht="30" x14ac:dyDescent="0.3">
      <c r="A249" s="53"/>
      <c r="B249" s="54"/>
      <c r="C249" s="54"/>
      <c r="D249" s="54"/>
      <c r="E249" s="55"/>
      <c r="F249" s="75"/>
      <c r="G249" s="76"/>
      <c r="H249" s="76"/>
      <c r="I249" s="48"/>
      <c r="J249" s="70"/>
      <c r="K249" s="70"/>
      <c r="L249" s="348" t="s">
        <v>273</v>
      </c>
      <c r="M249" s="349" t="s">
        <v>274</v>
      </c>
      <c r="N249" s="348" t="s">
        <v>34</v>
      </c>
      <c r="O249" s="350">
        <v>2</v>
      </c>
      <c r="P249" s="351">
        <v>55</v>
      </c>
      <c r="Q249" s="351">
        <v>110</v>
      </c>
      <c r="R249" s="182"/>
      <c r="U249" s="128"/>
    </row>
    <row r="250" spans="1:21" ht="15.6" x14ac:dyDescent="0.3">
      <c r="A250" s="53"/>
      <c r="B250" s="54"/>
      <c r="C250" s="54"/>
      <c r="D250" s="54"/>
      <c r="E250" s="55"/>
      <c r="F250" s="75"/>
      <c r="G250" s="76"/>
      <c r="H250" s="76"/>
      <c r="I250" s="48"/>
      <c r="J250" s="70"/>
      <c r="K250" s="70"/>
      <c r="L250" s="348" t="s">
        <v>1138</v>
      </c>
      <c r="M250" s="349" t="s">
        <v>1225</v>
      </c>
      <c r="N250" s="348" t="s">
        <v>34</v>
      </c>
      <c r="O250" s="350">
        <v>2</v>
      </c>
      <c r="P250" s="351">
        <v>99.92</v>
      </c>
      <c r="Q250" s="351">
        <v>199.84</v>
      </c>
      <c r="R250" s="182"/>
      <c r="U250" s="128"/>
    </row>
    <row r="251" spans="1:21" ht="15.6" x14ac:dyDescent="0.3">
      <c r="A251" s="53"/>
      <c r="B251" s="54"/>
      <c r="C251" s="54"/>
      <c r="D251" s="54"/>
      <c r="E251" s="55"/>
      <c r="F251" s="75"/>
      <c r="G251" s="76"/>
      <c r="H251" s="76"/>
      <c r="I251" s="48"/>
      <c r="J251" s="70"/>
      <c r="K251" s="70"/>
      <c r="L251" s="348" t="s">
        <v>1132</v>
      </c>
      <c r="M251" s="349" t="s">
        <v>1218</v>
      </c>
      <c r="N251" s="348" t="s">
        <v>34</v>
      </c>
      <c r="O251" s="350">
        <v>3</v>
      </c>
      <c r="P251" s="352">
        <v>2152.71</v>
      </c>
      <c r="Q251" s="352">
        <v>6458.13</v>
      </c>
      <c r="R251" s="182"/>
      <c r="U251" s="128"/>
    </row>
    <row r="252" spans="1:21" ht="15.6" x14ac:dyDescent="0.3">
      <c r="A252" s="53"/>
      <c r="B252" s="54"/>
      <c r="C252" s="54"/>
      <c r="D252" s="54"/>
      <c r="E252" s="55"/>
      <c r="F252" s="75"/>
      <c r="G252" s="76"/>
      <c r="H252" s="76"/>
      <c r="I252" s="48"/>
      <c r="J252" s="70"/>
      <c r="K252" s="70"/>
      <c r="L252" s="348" t="s">
        <v>764</v>
      </c>
      <c r="M252" s="349" t="s">
        <v>765</v>
      </c>
      <c r="N252" s="348" t="s">
        <v>34</v>
      </c>
      <c r="O252" s="350">
        <v>2</v>
      </c>
      <c r="P252" s="351">
        <v>499.71</v>
      </c>
      <c r="Q252" s="351">
        <v>999.42</v>
      </c>
      <c r="R252" s="182"/>
      <c r="U252" s="128"/>
    </row>
    <row r="253" spans="1:21" ht="15.6" x14ac:dyDescent="0.3">
      <c r="A253" s="53"/>
      <c r="B253" s="54"/>
      <c r="C253" s="54"/>
      <c r="D253" s="54"/>
      <c r="E253" s="55"/>
      <c r="F253" s="75"/>
      <c r="G253" s="76"/>
      <c r="H253" s="76"/>
      <c r="I253" s="48"/>
      <c r="J253" s="70"/>
      <c r="K253" s="70"/>
      <c r="L253" s="348" t="s">
        <v>1140</v>
      </c>
      <c r="M253" s="349" t="s">
        <v>1227</v>
      </c>
      <c r="N253" s="348" t="s">
        <v>34</v>
      </c>
      <c r="O253" s="350">
        <v>2</v>
      </c>
      <c r="P253" s="352">
        <v>1331</v>
      </c>
      <c r="Q253" s="352">
        <v>2662</v>
      </c>
      <c r="R253" s="182"/>
      <c r="U253" s="128"/>
    </row>
    <row r="254" spans="1:21" ht="15.6" customHeight="1" x14ac:dyDescent="0.3">
      <c r="A254" s="53"/>
      <c r="B254" s="54"/>
      <c r="C254" s="54"/>
      <c r="D254" s="54"/>
      <c r="E254" s="55"/>
      <c r="F254" s="75"/>
      <c r="G254" s="76"/>
      <c r="H254" s="76"/>
      <c r="I254" s="48"/>
      <c r="J254" s="70"/>
      <c r="K254" s="70"/>
      <c r="L254" s="348" t="s">
        <v>966</v>
      </c>
      <c r="M254" s="349" t="s">
        <v>1053</v>
      </c>
      <c r="N254" s="348" t="s">
        <v>34</v>
      </c>
      <c r="O254" s="350">
        <v>2</v>
      </c>
      <c r="P254" s="351">
        <v>195.75</v>
      </c>
      <c r="Q254" s="351">
        <v>391.5</v>
      </c>
      <c r="R254" s="182"/>
      <c r="U254" s="128"/>
    </row>
    <row r="255" spans="1:21" ht="15.6" x14ac:dyDescent="0.3">
      <c r="A255" s="53"/>
      <c r="B255" s="54"/>
      <c r="C255" s="54"/>
      <c r="D255" s="54"/>
      <c r="E255" s="55"/>
      <c r="F255" s="75"/>
      <c r="G255" s="76"/>
      <c r="H255" s="76"/>
      <c r="I255" s="48"/>
      <c r="J255" s="70"/>
      <c r="K255" s="70"/>
      <c r="L255" s="348" t="s">
        <v>363</v>
      </c>
      <c r="M255" s="349" t="s">
        <v>364</v>
      </c>
      <c r="N255" s="348" t="s">
        <v>34</v>
      </c>
      <c r="O255" s="350">
        <v>2</v>
      </c>
      <c r="P255" s="351">
        <v>108.4</v>
      </c>
      <c r="Q255" s="351">
        <v>216.8</v>
      </c>
      <c r="R255" s="182"/>
      <c r="U255" s="128"/>
    </row>
    <row r="256" spans="1:21" ht="30" x14ac:dyDescent="0.3">
      <c r="A256" s="53"/>
      <c r="B256" s="54"/>
      <c r="C256" s="54"/>
      <c r="D256" s="54"/>
      <c r="E256" s="55"/>
      <c r="F256" s="75"/>
      <c r="G256" s="76"/>
      <c r="H256" s="76"/>
      <c r="I256" s="48"/>
      <c r="J256" s="70"/>
      <c r="K256" s="70"/>
      <c r="L256" s="348" t="s">
        <v>1146</v>
      </c>
      <c r="M256" s="349" t="s">
        <v>1233</v>
      </c>
      <c r="N256" s="348" t="s">
        <v>34</v>
      </c>
      <c r="O256" s="350">
        <v>2</v>
      </c>
      <c r="P256" s="351">
        <v>44.8</v>
      </c>
      <c r="Q256" s="351">
        <v>89.6</v>
      </c>
      <c r="R256" s="182"/>
      <c r="U256" s="128"/>
    </row>
    <row r="257" spans="1:21" ht="15.6" x14ac:dyDescent="0.3">
      <c r="A257" s="53"/>
      <c r="B257" s="54"/>
      <c r="C257" s="54"/>
      <c r="D257" s="54"/>
      <c r="E257" s="55"/>
      <c r="F257" s="75"/>
      <c r="G257" s="76"/>
      <c r="H257" s="76"/>
      <c r="I257" s="48"/>
      <c r="J257" s="70"/>
      <c r="K257" s="70"/>
      <c r="L257" s="348" t="s">
        <v>1417</v>
      </c>
      <c r="M257" s="349" t="s">
        <v>1440</v>
      </c>
      <c r="N257" s="348" t="s">
        <v>34</v>
      </c>
      <c r="O257" s="350">
        <v>1</v>
      </c>
      <c r="P257" s="351">
        <v>14.83</v>
      </c>
      <c r="Q257" s="351">
        <v>14.83</v>
      </c>
      <c r="R257" s="182"/>
      <c r="U257" s="128"/>
    </row>
    <row r="258" spans="1:21" ht="15.6" x14ac:dyDescent="0.3">
      <c r="A258" s="53"/>
      <c r="B258" s="54"/>
      <c r="C258" s="54"/>
      <c r="D258" s="54"/>
      <c r="E258" s="55"/>
      <c r="F258" s="75"/>
      <c r="G258" s="76"/>
      <c r="H258" s="76"/>
      <c r="I258" s="48"/>
      <c r="J258" s="70"/>
      <c r="K258" s="70"/>
      <c r="L258" s="348" t="s">
        <v>866</v>
      </c>
      <c r="M258" s="349" t="s">
        <v>919</v>
      </c>
      <c r="N258" s="348" t="s">
        <v>34</v>
      </c>
      <c r="O258" s="350">
        <v>2</v>
      </c>
      <c r="P258" s="352">
        <v>2690</v>
      </c>
      <c r="Q258" s="352">
        <v>5380</v>
      </c>
      <c r="R258" s="182"/>
      <c r="U258" s="128"/>
    </row>
    <row r="259" spans="1:21" ht="15.6" x14ac:dyDescent="0.3">
      <c r="A259" s="53"/>
      <c r="B259" s="54"/>
      <c r="C259" s="54"/>
      <c r="D259" s="54"/>
      <c r="E259" s="55"/>
      <c r="F259" s="75"/>
      <c r="G259" s="76"/>
      <c r="H259" s="76"/>
      <c r="I259" s="48"/>
      <c r="J259" s="70"/>
      <c r="K259" s="70"/>
      <c r="L259" s="348" t="s">
        <v>1018</v>
      </c>
      <c r="M259" s="349" t="s">
        <v>1075</v>
      </c>
      <c r="N259" s="348" t="s">
        <v>34</v>
      </c>
      <c r="O259" s="350">
        <v>4</v>
      </c>
      <c r="P259" s="352">
        <v>1290.8</v>
      </c>
      <c r="Q259" s="352">
        <v>5163.2</v>
      </c>
      <c r="R259" s="182"/>
      <c r="U259" s="128"/>
    </row>
    <row r="260" spans="1:21" ht="15.6" x14ac:dyDescent="0.3">
      <c r="A260" s="53"/>
      <c r="B260" s="54"/>
      <c r="C260" s="54"/>
      <c r="D260" s="54"/>
      <c r="E260" s="55"/>
      <c r="F260" s="75"/>
      <c r="G260" s="76"/>
      <c r="H260" s="76"/>
      <c r="I260" s="48"/>
      <c r="J260" s="70"/>
      <c r="K260" s="70"/>
      <c r="L260" s="348" t="s">
        <v>403</v>
      </c>
      <c r="M260" s="349" t="s">
        <v>1073</v>
      </c>
      <c r="N260" s="348" t="s">
        <v>34</v>
      </c>
      <c r="O260" s="350">
        <v>2</v>
      </c>
      <c r="P260" s="351">
        <v>36.9</v>
      </c>
      <c r="Q260" s="351">
        <v>73.8</v>
      </c>
      <c r="R260" s="182"/>
      <c r="U260" s="128"/>
    </row>
    <row r="261" spans="1:21" ht="15.6" x14ac:dyDescent="0.3">
      <c r="A261" s="53"/>
      <c r="B261" s="54"/>
      <c r="C261" s="54"/>
      <c r="D261" s="54"/>
      <c r="E261" s="55"/>
      <c r="F261" s="75"/>
      <c r="G261" s="76"/>
      <c r="H261" s="76"/>
      <c r="I261" s="48"/>
      <c r="J261" s="70"/>
      <c r="K261" s="70"/>
      <c r="L261" s="348" t="s">
        <v>1114</v>
      </c>
      <c r="M261" s="349" t="s">
        <v>1200</v>
      </c>
      <c r="N261" s="348" t="s">
        <v>68</v>
      </c>
      <c r="O261" s="350">
        <v>2</v>
      </c>
      <c r="P261" s="351">
        <v>36</v>
      </c>
      <c r="Q261" s="351">
        <v>72</v>
      </c>
      <c r="R261" s="182"/>
      <c r="U261" s="128"/>
    </row>
    <row r="262" spans="1:21" ht="15.6" x14ac:dyDescent="0.3">
      <c r="A262" s="53"/>
      <c r="B262" s="54"/>
      <c r="C262" s="54"/>
      <c r="D262" s="54"/>
      <c r="E262" s="55"/>
      <c r="F262" s="75"/>
      <c r="G262" s="76"/>
      <c r="H262" s="76"/>
      <c r="I262" s="48"/>
      <c r="J262" s="70"/>
      <c r="K262" s="70"/>
      <c r="L262" s="348" t="s">
        <v>455</v>
      </c>
      <c r="M262" s="349" t="s">
        <v>456</v>
      </c>
      <c r="N262" s="348" t="s">
        <v>34</v>
      </c>
      <c r="O262" s="350">
        <v>2</v>
      </c>
      <c r="P262" s="351">
        <v>271.88</v>
      </c>
      <c r="Q262" s="351">
        <v>543.76</v>
      </c>
      <c r="R262" s="182"/>
      <c r="U262" s="128"/>
    </row>
    <row r="263" spans="1:21" ht="15.6" x14ac:dyDescent="0.3">
      <c r="A263" s="53"/>
      <c r="B263" s="54"/>
      <c r="C263" s="54"/>
      <c r="D263" s="54"/>
      <c r="E263" s="55"/>
      <c r="F263" s="75"/>
      <c r="G263" s="76"/>
      <c r="H263" s="76"/>
      <c r="I263" s="48"/>
      <c r="J263" s="70"/>
      <c r="K263" s="70"/>
      <c r="L263" s="348" t="s">
        <v>219</v>
      </c>
      <c r="M263" s="349" t="s">
        <v>220</v>
      </c>
      <c r="N263" s="348" t="s">
        <v>34</v>
      </c>
      <c r="O263" s="350">
        <v>2</v>
      </c>
      <c r="P263" s="351">
        <v>112.79</v>
      </c>
      <c r="Q263" s="351">
        <v>225.58</v>
      </c>
      <c r="R263" s="182"/>
      <c r="U263" s="128"/>
    </row>
    <row r="264" spans="1:21" ht="15.6" x14ac:dyDescent="0.3">
      <c r="A264" s="53"/>
      <c r="B264" s="54"/>
      <c r="C264" s="54"/>
      <c r="D264" s="54"/>
      <c r="E264" s="55"/>
      <c r="F264" s="75"/>
      <c r="G264" s="76"/>
      <c r="H264" s="76"/>
      <c r="I264" s="48"/>
      <c r="J264" s="70"/>
      <c r="K264" s="70"/>
      <c r="L264" s="348" t="s">
        <v>832</v>
      </c>
      <c r="M264" s="349" t="s">
        <v>833</v>
      </c>
      <c r="N264" s="348" t="s">
        <v>34</v>
      </c>
      <c r="O264" s="350">
        <v>2</v>
      </c>
      <c r="P264" s="351">
        <v>66.5</v>
      </c>
      <c r="Q264" s="351">
        <v>133</v>
      </c>
      <c r="R264" s="182"/>
      <c r="U264" s="128"/>
    </row>
    <row r="265" spans="1:21" ht="15.6" x14ac:dyDescent="0.3">
      <c r="A265" s="53"/>
      <c r="B265" s="54"/>
      <c r="C265" s="54"/>
      <c r="D265" s="54"/>
      <c r="E265" s="55"/>
      <c r="F265" s="75"/>
      <c r="G265" s="76"/>
      <c r="H265" s="76"/>
      <c r="I265" s="48"/>
      <c r="J265" s="70"/>
      <c r="K265" s="70"/>
      <c r="L265" s="348" t="s">
        <v>1169</v>
      </c>
      <c r="M265" s="349" t="s">
        <v>1254</v>
      </c>
      <c r="N265" s="348" t="s">
        <v>34</v>
      </c>
      <c r="O265" s="350">
        <v>2</v>
      </c>
      <c r="P265" s="351">
        <v>110</v>
      </c>
      <c r="Q265" s="351">
        <v>220</v>
      </c>
      <c r="R265" s="182"/>
      <c r="U265" s="128"/>
    </row>
    <row r="266" spans="1:21" ht="15.6" x14ac:dyDescent="0.3">
      <c r="A266" s="53"/>
      <c r="B266" s="54"/>
      <c r="C266" s="54"/>
      <c r="D266" s="54"/>
      <c r="E266" s="55"/>
      <c r="F266" s="75"/>
      <c r="G266" s="76"/>
      <c r="H266" s="76"/>
      <c r="I266" s="48"/>
      <c r="J266" s="70"/>
      <c r="K266" s="70"/>
      <c r="L266" s="348" t="s">
        <v>1104</v>
      </c>
      <c r="M266" s="349" t="s">
        <v>1190</v>
      </c>
      <c r="N266" s="348" t="s">
        <v>37</v>
      </c>
      <c r="O266" s="350">
        <v>2.7</v>
      </c>
      <c r="P266" s="351">
        <v>266.25</v>
      </c>
      <c r="Q266" s="351">
        <v>718.88</v>
      </c>
      <c r="R266" s="182"/>
      <c r="U266" s="128"/>
    </row>
    <row r="267" spans="1:21" ht="15.6" x14ac:dyDescent="0.3">
      <c r="A267" s="53"/>
      <c r="B267" s="54"/>
      <c r="C267" s="54"/>
      <c r="D267" s="54"/>
      <c r="E267" s="55"/>
      <c r="F267" s="75"/>
      <c r="G267" s="76"/>
      <c r="H267" s="76"/>
      <c r="I267" s="48"/>
      <c r="J267" s="70"/>
      <c r="K267" s="70"/>
      <c r="L267" s="348" t="s">
        <v>768</v>
      </c>
      <c r="M267" s="349" t="s">
        <v>769</v>
      </c>
      <c r="N267" s="348" t="s">
        <v>34</v>
      </c>
      <c r="O267" s="350">
        <v>3</v>
      </c>
      <c r="P267" s="351">
        <v>10</v>
      </c>
      <c r="Q267" s="351">
        <v>30</v>
      </c>
      <c r="R267" s="182"/>
      <c r="U267" s="128"/>
    </row>
    <row r="268" spans="1:21" ht="15.6" x14ac:dyDescent="0.3">
      <c r="A268" s="53"/>
      <c r="B268" s="54"/>
      <c r="C268" s="54"/>
      <c r="D268" s="54"/>
      <c r="E268" s="55"/>
      <c r="F268" s="75"/>
      <c r="G268" s="76"/>
      <c r="H268" s="76"/>
      <c r="I268" s="48"/>
      <c r="J268" s="70"/>
      <c r="K268" s="70"/>
      <c r="L268" s="348" t="s">
        <v>905</v>
      </c>
      <c r="M268" s="349" t="s">
        <v>906</v>
      </c>
      <c r="N268" s="348" t="s">
        <v>34</v>
      </c>
      <c r="O268" s="350">
        <v>3</v>
      </c>
      <c r="P268" s="351">
        <v>10</v>
      </c>
      <c r="Q268" s="351">
        <v>30</v>
      </c>
      <c r="R268" s="182"/>
      <c r="U268" s="128"/>
    </row>
    <row r="269" spans="1:21" ht="15.6" x14ac:dyDescent="0.3">
      <c r="A269" s="53"/>
      <c r="B269" s="54"/>
      <c r="C269" s="54"/>
      <c r="D269" s="54"/>
      <c r="E269" s="55"/>
      <c r="F269" s="75"/>
      <c r="G269" s="76"/>
      <c r="H269" s="76"/>
      <c r="I269" s="48"/>
      <c r="J269" s="70"/>
      <c r="K269" s="70"/>
      <c r="L269" s="348" t="s">
        <v>907</v>
      </c>
      <c r="M269" s="349" t="s">
        <v>908</v>
      </c>
      <c r="N269" s="348" t="s">
        <v>34</v>
      </c>
      <c r="O269" s="350">
        <v>3</v>
      </c>
      <c r="P269" s="351">
        <v>10</v>
      </c>
      <c r="Q269" s="351">
        <v>30</v>
      </c>
      <c r="R269" s="182"/>
      <c r="U269" s="128"/>
    </row>
    <row r="270" spans="1:21" ht="15.6" x14ac:dyDescent="0.3">
      <c r="A270" s="53"/>
      <c r="B270" s="54"/>
      <c r="C270" s="54"/>
      <c r="D270" s="54"/>
      <c r="E270" s="55"/>
      <c r="F270" s="75"/>
      <c r="G270" s="76"/>
      <c r="H270" s="76"/>
      <c r="I270" s="48"/>
      <c r="J270" s="70"/>
      <c r="K270" s="70"/>
      <c r="L270" s="348" t="s">
        <v>778</v>
      </c>
      <c r="M270" s="349" t="s">
        <v>779</v>
      </c>
      <c r="N270" s="348" t="s">
        <v>37</v>
      </c>
      <c r="O270" s="350">
        <v>3</v>
      </c>
      <c r="P270" s="351">
        <v>74.900000000000006</v>
      </c>
      <c r="Q270" s="351">
        <v>224.7</v>
      </c>
      <c r="R270" s="182"/>
      <c r="U270" s="128"/>
    </row>
    <row r="271" spans="1:21" ht="15.6" x14ac:dyDescent="0.3">
      <c r="A271" s="53"/>
      <c r="B271" s="54"/>
      <c r="C271" s="54"/>
      <c r="D271" s="54"/>
      <c r="E271" s="55"/>
      <c r="F271" s="75"/>
      <c r="G271" s="76"/>
      <c r="H271" s="76"/>
      <c r="I271" s="48"/>
      <c r="J271" s="70"/>
      <c r="K271" s="70"/>
      <c r="L271" s="348" t="s">
        <v>785</v>
      </c>
      <c r="M271" s="349" t="s">
        <v>786</v>
      </c>
      <c r="N271" s="348" t="s">
        <v>34</v>
      </c>
      <c r="O271" s="350">
        <v>3</v>
      </c>
      <c r="P271" s="351">
        <v>164.75</v>
      </c>
      <c r="Q271" s="351">
        <v>494.25</v>
      </c>
      <c r="R271" s="182"/>
      <c r="U271" s="128"/>
    </row>
    <row r="272" spans="1:21" ht="15.6" x14ac:dyDescent="0.3">
      <c r="A272" s="53"/>
      <c r="B272" s="54"/>
      <c r="C272" s="54"/>
      <c r="D272" s="54"/>
      <c r="E272" s="55"/>
      <c r="F272" s="75"/>
      <c r="G272" s="76"/>
      <c r="H272" s="76"/>
      <c r="I272" s="48"/>
      <c r="J272" s="70"/>
      <c r="K272" s="70"/>
      <c r="L272" s="348" t="s">
        <v>53</v>
      </c>
      <c r="M272" s="349" t="s">
        <v>85</v>
      </c>
      <c r="N272" s="348" t="s">
        <v>34</v>
      </c>
      <c r="O272" s="350">
        <v>3</v>
      </c>
      <c r="P272" s="351">
        <v>47</v>
      </c>
      <c r="Q272" s="351">
        <v>141</v>
      </c>
      <c r="R272" s="182"/>
      <c r="U272" s="128"/>
    </row>
    <row r="273" spans="1:21" ht="15.6" x14ac:dyDescent="0.3">
      <c r="A273" s="53"/>
      <c r="B273" s="54"/>
      <c r="C273" s="54"/>
      <c r="D273" s="54"/>
      <c r="E273" s="55"/>
      <c r="F273" s="75"/>
      <c r="G273" s="76"/>
      <c r="H273" s="76"/>
      <c r="I273" s="48"/>
      <c r="J273" s="70"/>
      <c r="K273" s="70"/>
      <c r="L273" s="348" t="s">
        <v>887</v>
      </c>
      <c r="M273" s="349" t="s">
        <v>888</v>
      </c>
      <c r="N273" s="348" t="s">
        <v>34</v>
      </c>
      <c r="O273" s="350">
        <v>3</v>
      </c>
      <c r="P273" s="351">
        <v>44.6</v>
      </c>
      <c r="Q273" s="351">
        <v>133.80000000000001</v>
      </c>
      <c r="R273" s="182"/>
      <c r="U273" s="128"/>
    </row>
    <row r="274" spans="1:21" ht="15.6" x14ac:dyDescent="0.3">
      <c r="A274" s="53"/>
      <c r="B274" s="54"/>
      <c r="C274" s="54"/>
      <c r="D274" s="54"/>
      <c r="E274" s="55"/>
      <c r="F274" s="75"/>
      <c r="G274" s="76"/>
      <c r="H274" s="76"/>
      <c r="I274" s="48"/>
      <c r="J274" s="70"/>
      <c r="K274" s="70"/>
      <c r="L274" s="348" t="s">
        <v>891</v>
      </c>
      <c r="M274" s="349" t="s">
        <v>892</v>
      </c>
      <c r="N274" s="348" t="s">
        <v>34</v>
      </c>
      <c r="O274" s="350">
        <v>3</v>
      </c>
      <c r="P274" s="351">
        <v>783</v>
      </c>
      <c r="Q274" s="352">
        <v>2349</v>
      </c>
      <c r="R274" s="182"/>
      <c r="U274" s="128"/>
    </row>
    <row r="275" spans="1:21" ht="15.6" x14ac:dyDescent="0.3">
      <c r="A275" s="53"/>
      <c r="B275" s="54"/>
      <c r="C275" s="54"/>
      <c r="D275" s="54"/>
      <c r="E275" s="55"/>
      <c r="F275" s="75"/>
      <c r="G275" s="76"/>
      <c r="H275" s="76"/>
      <c r="I275" s="48"/>
      <c r="J275" s="70"/>
      <c r="K275" s="70"/>
      <c r="L275" s="348" t="s">
        <v>391</v>
      </c>
      <c r="M275" s="349" t="s">
        <v>392</v>
      </c>
      <c r="N275" s="348" t="s">
        <v>68</v>
      </c>
      <c r="O275" s="350">
        <v>3</v>
      </c>
      <c r="P275" s="352">
        <v>4810.59</v>
      </c>
      <c r="Q275" s="352">
        <v>14431.77</v>
      </c>
      <c r="R275" s="182"/>
      <c r="U275" s="128"/>
    </row>
    <row r="276" spans="1:21" ht="15.6" x14ac:dyDescent="0.3">
      <c r="A276" s="53"/>
      <c r="B276" s="54"/>
      <c r="C276" s="54"/>
      <c r="D276" s="54"/>
      <c r="E276" s="55"/>
      <c r="F276" s="75"/>
      <c r="G276" s="76"/>
      <c r="H276" s="76"/>
      <c r="I276" s="48"/>
      <c r="J276" s="70"/>
      <c r="K276" s="70"/>
      <c r="L276" s="348" t="s">
        <v>1155</v>
      </c>
      <c r="M276" s="349" t="s">
        <v>1242</v>
      </c>
      <c r="N276" s="348" t="s">
        <v>34</v>
      </c>
      <c r="O276" s="350">
        <v>3</v>
      </c>
      <c r="P276" s="351">
        <v>21.5</v>
      </c>
      <c r="Q276" s="351">
        <v>64.5</v>
      </c>
      <c r="R276" s="182"/>
      <c r="U276" s="128"/>
    </row>
    <row r="277" spans="1:21" ht="15.6" x14ac:dyDescent="0.3">
      <c r="A277" s="53"/>
      <c r="B277" s="54"/>
      <c r="C277" s="54"/>
      <c r="D277" s="54"/>
      <c r="E277" s="55"/>
      <c r="F277" s="75"/>
      <c r="G277" s="76"/>
      <c r="H277" s="76"/>
      <c r="I277" s="48"/>
      <c r="J277" s="70"/>
      <c r="K277" s="70"/>
      <c r="L277" s="348" t="s">
        <v>1108</v>
      </c>
      <c r="M277" s="349" t="s">
        <v>1194</v>
      </c>
      <c r="N277" s="348" t="s">
        <v>903</v>
      </c>
      <c r="O277" s="350">
        <v>3</v>
      </c>
      <c r="P277" s="352">
        <v>1283.5</v>
      </c>
      <c r="Q277" s="352">
        <v>3850.5</v>
      </c>
      <c r="R277" s="182"/>
      <c r="U277" s="128"/>
    </row>
    <row r="278" spans="1:21" ht="15.6" x14ac:dyDescent="0.3">
      <c r="A278" s="53"/>
      <c r="B278" s="54"/>
      <c r="C278" s="54"/>
      <c r="D278" s="54"/>
      <c r="E278" s="55"/>
      <c r="F278" s="75"/>
      <c r="G278" s="76"/>
      <c r="H278" s="76"/>
      <c r="I278" s="48"/>
      <c r="J278" s="70"/>
      <c r="K278" s="70"/>
      <c r="L278" s="348" t="s">
        <v>440</v>
      </c>
      <c r="M278" s="349" t="s">
        <v>441</v>
      </c>
      <c r="N278" s="348" t="s">
        <v>442</v>
      </c>
      <c r="O278" s="350">
        <v>3</v>
      </c>
      <c r="P278" s="351">
        <v>75.22</v>
      </c>
      <c r="Q278" s="351">
        <v>225.66</v>
      </c>
      <c r="R278" s="182"/>
      <c r="U278" s="128"/>
    </row>
    <row r="279" spans="1:21" ht="15.6" x14ac:dyDescent="0.3">
      <c r="A279" s="53"/>
      <c r="B279" s="54"/>
      <c r="C279" s="54"/>
      <c r="D279" s="54"/>
      <c r="E279" s="55"/>
      <c r="F279" s="75"/>
      <c r="G279" s="76"/>
      <c r="H279" s="76"/>
      <c r="I279" s="48"/>
      <c r="J279" s="70"/>
      <c r="K279" s="70"/>
      <c r="L279" s="348" t="s">
        <v>886</v>
      </c>
      <c r="M279" s="349" t="s">
        <v>1072</v>
      </c>
      <c r="N279" s="348" t="s">
        <v>34</v>
      </c>
      <c r="O279" s="350">
        <v>3</v>
      </c>
      <c r="P279" s="351">
        <v>350.19</v>
      </c>
      <c r="Q279" s="352">
        <v>1050.56</v>
      </c>
      <c r="R279" s="182"/>
      <c r="U279" s="128"/>
    </row>
    <row r="280" spans="1:21" ht="15.6" x14ac:dyDescent="0.3">
      <c r="A280" s="53"/>
      <c r="B280" s="54"/>
      <c r="C280" s="54"/>
      <c r="D280" s="54"/>
      <c r="E280" s="55"/>
      <c r="F280" s="75"/>
      <c r="G280" s="76"/>
      <c r="H280" s="76"/>
      <c r="I280" s="48"/>
      <c r="J280" s="70"/>
      <c r="K280" s="70"/>
      <c r="L280" s="348" t="s">
        <v>1105</v>
      </c>
      <c r="M280" s="349" t="s">
        <v>1191</v>
      </c>
      <c r="N280" s="348" t="s">
        <v>37</v>
      </c>
      <c r="O280" s="350">
        <v>3</v>
      </c>
      <c r="P280" s="351">
        <v>9.58</v>
      </c>
      <c r="Q280" s="351">
        <v>28.74</v>
      </c>
      <c r="R280" s="182"/>
      <c r="U280" s="128"/>
    </row>
    <row r="281" spans="1:21" ht="15.6" x14ac:dyDescent="0.3">
      <c r="A281" s="53"/>
      <c r="B281" s="54"/>
      <c r="C281" s="54"/>
      <c r="D281" s="54"/>
      <c r="E281" s="55"/>
      <c r="F281" s="75"/>
      <c r="G281" s="76"/>
      <c r="H281" s="76"/>
      <c r="I281" s="48"/>
      <c r="J281" s="70"/>
      <c r="K281" s="70"/>
      <c r="L281" s="348" t="s">
        <v>948</v>
      </c>
      <c r="M281" s="349" t="s">
        <v>1044</v>
      </c>
      <c r="N281" s="348" t="s">
        <v>34</v>
      </c>
      <c r="O281" s="350">
        <v>3</v>
      </c>
      <c r="P281" s="351">
        <v>44</v>
      </c>
      <c r="Q281" s="351">
        <v>132</v>
      </c>
      <c r="R281" s="182"/>
      <c r="U281" s="128"/>
    </row>
    <row r="282" spans="1:21" ht="15.6" x14ac:dyDescent="0.3">
      <c r="A282" s="53"/>
      <c r="B282" s="54"/>
      <c r="C282" s="54"/>
      <c r="D282" s="54"/>
      <c r="E282" s="55"/>
      <c r="F282" s="75"/>
      <c r="G282" s="76"/>
      <c r="H282" s="76"/>
      <c r="I282" s="48"/>
      <c r="J282" s="70"/>
      <c r="K282" s="70"/>
      <c r="L282" s="348" t="s">
        <v>271</v>
      </c>
      <c r="M282" s="349" t="s">
        <v>1059</v>
      </c>
      <c r="N282" s="348" t="s">
        <v>34</v>
      </c>
      <c r="O282" s="350">
        <v>4</v>
      </c>
      <c r="P282" s="351">
        <v>52.89</v>
      </c>
      <c r="Q282" s="351">
        <v>211.54</v>
      </c>
      <c r="R282" s="182"/>
      <c r="U282" s="128"/>
    </row>
    <row r="283" spans="1:21" ht="15.6" x14ac:dyDescent="0.3">
      <c r="A283" s="53"/>
      <c r="B283" s="54"/>
      <c r="C283" s="54"/>
      <c r="D283" s="54"/>
      <c r="E283" s="55"/>
      <c r="F283" s="75"/>
      <c r="G283" s="76"/>
      <c r="H283" s="76"/>
      <c r="I283" s="48"/>
      <c r="J283" s="70"/>
      <c r="K283" s="70"/>
      <c r="L283" s="348" t="s">
        <v>1162</v>
      </c>
      <c r="M283" s="349" t="s">
        <v>1247</v>
      </c>
      <c r="N283" s="348" t="s">
        <v>34</v>
      </c>
      <c r="O283" s="350">
        <v>4</v>
      </c>
      <c r="P283" s="351">
        <v>480.23</v>
      </c>
      <c r="Q283" s="352">
        <v>1920.92</v>
      </c>
      <c r="R283" s="182"/>
      <c r="U283" s="128"/>
    </row>
    <row r="284" spans="1:21" ht="15.6" x14ac:dyDescent="0.3">
      <c r="A284" s="53"/>
      <c r="B284" s="54"/>
      <c r="C284" s="54"/>
      <c r="D284" s="54"/>
      <c r="E284" s="55"/>
      <c r="F284" s="75"/>
      <c r="G284" s="76"/>
      <c r="H284" s="76"/>
      <c r="I284" s="48"/>
      <c r="J284" s="70"/>
      <c r="K284" s="70"/>
      <c r="L284" s="348" t="s">
        <v>188</v>
      </c>
      <c r="M284" s="349" t="s">
        <v>189</v>
      </c>
      <c r="N284" s="348" t="s">
        <v>34</v>
      </c>
      <c r="O284" s="350">
        <v>4</v>
      </c>
      <c r="P284" s="351">
        <v>55.1</v>
      </c>
      <c r="Q284" s="351">
        <v>220.4</v>
      </c>
      <c r="R284" s="182"/>
      <c r="U284" s="128"/>
    </row>
    <row r="285" spans="1:21" ht="15.6" x14ac:dyDescent="0.3">
      <c r="A285" s="53"/>
      <c r="B285" s="54"/>
      <c r="C285" s="54"/>
      <c r="D285" s="54"/>
      <c r="E285" s="55"/>
      <c r="F285" s="75"/>
      <c r="G285" s="76"/>
      <c r="H285" s="76"/>
      <c r="I285" s="48"/>
      <c r="J285" s="70"/>
      <c r="K285" s="70"/>
      <c r="L285" s="348" t="s">
        <v>946</v>
      </c>
      <c r="M285" s="349" t="s">
        <v>1042</v>
      </c>
      <c r="N285" s="348" t="s">
        <v>34</v>
      </c>
      <c r="O285" s="350">
        <v>4</v>
      </c>
      <c r="P285" s="351">
        <v>132.4</v>
      </c>
      <c r="Q285" s="351">
        <v>529.6</v>
      </c>
      <c r="R285" s="182"/>
      <c r="U285" s="128"/>
    </row>
    <row r="286" spans="1:21" ht="15.6" x14ac:dyDescent="0.3">
      <c r="A286" s="53"/>
      <c r="B286" s="54"/>
      <c r="C286" s="54"/>
      <c r="D286" s="54"/>
      <c r="E286" s="55"/>
      <c r="F286" s="75"/>
      <c r="G286" s="76"/>
      <c r="H286" s="76"/>
      <c r="I286" s="48"/>
      <c r="J286" s="70"/>
      <c r="K286" s="70"/>
      <c r="L286" s="348" t="s">
        <v>432</v>
      </c>
      <c r="M286" s="349" t="s">
        <v>433</v>
      </c>
      <c r="N286" s="348" t="s">
        <v>34</v>
      </c>
      <c r="O286" s="350">
        <v>4</v>
      </c>
      <c r="P286" s="351">
        <v>27.6</v>
      </c>
      <c r="Q286" s="351">
        <v>110.4</v>
      </c>
      <c r="R286" s="182"/>
      <c r="U286" s="128"/>
    </row>
    <row r="287" spans="1:21" ht="15.6" x14ac:dyDescent="0.3">
      <c r="A287" s="53"/>
      <c r="B287" s="54"/>
      <c r="C287" s="54"/>
      <c r="D287" s="54"/>
      <c r="E287" s="55"/>
      <c r="F287" s="75"/>
      <c r="G287" s="76"/>
      <c r="H287" s="76"/>
      <c r="I287" s="48"/>
      <c r="J287" s="70"/>
      <c r="K287" s="70"/>
      <c r="L287" s="348" t="s">
        <v>437</v>
      </c>
      <c r="M287" s="349" t="s">
        <v>438</v>
      </c>
      <c r="N287" s="348" t="s">
        <v>34</v>
      </c>
      <c r="O287" s="350">
        <v>4</v>
      </c>
      <c r="P287" s="351">
        <v>166.32</v>
      </c>
      <c r="Q287" s="351">
        <v>665.28</v>
      </c>
      <c r="R287" s="182"/>
      <c r="U287" s="128"/>
    </row>
    <row r="288" spans="1:21" ht="15.6" x14ac:dyDescent="0.3">
      <c r="A288" s="53"/>
      <c r="B288" s="54"/>
      <c r="C288" s="54"/>
      <c r="D288" s="54"/>
      <c r="E288" s="55"/>
      <c r="F288" s="75"/>
      <c r="G288" s="76"/>
      <c r="H288" s="76"/>
      <c r="I288" s="48"/>
      <c r="J288" s="70"/>
      <c r="K288" s="70"/>
      <c r="L288" s="348" t="s">
        <v>864</v>
      </c>
      <c r="M288" s="349" t="s">
        <v>929</v>
      </c>
      <c r="N288" s="348" t="s">
        <v>34</v>
      </c>
      <c r="O288" s="350">
        <v>4</v>
      </c>
      <c r="P288" s="352">
        <v>2430</v>
      </c>
      <c r="Q288" s="352">
        <v>9720</v>
      </c>
      <c r="R288" s="182"/>
      <c r="U288" s="128"/>
    </row>
    <row r="289" spans="1:21" ht="15.6" x14ac:dyDescent="0.3">
      <c r="A289" s="53"/>
      <c r="B289" s="54"/>
      <c r="C289" s="54"/>
      <c r="D289" s="54"/>
      <c r="E289" s="55"/>
      <c r="F289" s="75"/>
      <c r="G289" s="76"/>
      <c r="H289" s="76"/>
      <c r="I289" s="48"/>
      <c r="J289" s="70"/>
      <c r="K289" s="70"/>
      <c r="L289" s="348" t="s">
        <v>1117</v>
      </c>
      <c r="M289" s="349" t="s">
        <v>1203</v>
      </c>
      <c r="N289" s="348" t="s">
        <v>68</v>
      </c>
      <c r="O289" s="350">
        <v>4.72</v>
      </c>
      <c r="P289" s="351">
        <v>188.33</v>
      </c>
      <c r="Q289" s="351">
        <v>888.92</v>
      </c>
      <c r="R289" s="182"/>
      <c r="U289" s="128"/>
    </row>
    <row r="290" spans="1:21" ht="15.6" x14ac:dyDescent="0.3">
      <c r="A290" s="53"/>
      <c r="B290" s="54"/>
      <c r="C290" s="54"/>
      <c r="D290" s="54"/>
      <c r="E290" s="55"/>
      <c r="F290" s="75"/>
      <c r="G290" s="76"/>
      <c r="H290" s="76"/>
      <c r="I290" s="48"/>
      <c r="J290" s="70"/>
      <c r="K290" s="70"/>
      <c r="L290" s="348" t="s">
        <v>1185</v>
      </c>
      <c r="M290" s="349" t="s">
        <v>1268</v>
      </c>
      <c r="N290" s="348" t="s">
        <v>45</v>
      </c>
      <c r="O290" s="350">
        <v>5</v>
      </c>
      <c r="P290" s="351">
        <v>226</v>
      </c>
      <c r="Q290" s="352">
        <v>1130</v>
      </c>
      <c r="R290" s="182"/>
      <c r="U290" s="128"/>
    </row>
    <row r="291" spans="1:21" ht="15.6" x14ac:dyDescent="0.3">
      <c r="A291" s="53"/>
      <c r="B291" s="54"/>
      <c r="C291" s="54"/>
      <c r="D291" s="54"/>
      <c r="E291" s="55"/>
      <c r="F291" s="75"/>
      <c r="G291" s="76"/>
      <c r="H291" s="76"/>
      <c r="I291" s="48"/>
      <c r="J291" s="70"/>
      <c r="K291" s="70"/>
      <c r="L291" s="348" t="s">
        <v>298</v>
      </c>
      <c r="M291" s="349" t="s">
        <v>299</v>
      </c>
      <c r="N291" s="348" t="s">
        <v>34</v>
      </c>
      <c r="O291" s="350">
        <v>5</v>
      </c>
      <c r="P291" s="351">
        <v>220.31</v>
      </c>
      <c r="Q291" s="352">
        <v>1101.56</v>
      </c>
      <c r="R291" s="182"/>
      <c r="U291" s="128"/>
    </row>
    <row r="292" spans="1:21" ht="15.6" x14ac:dyDescent="0.3">
      <c r="A292" s="53"/>
      <c r="B292" s="54"/>
      <c r="C292" s="54"/>
      <c r="D292" s="54"/>
      <c r="E292" s="55"/>
      <c r="F292" s="75"/>
      <c r="G292" s="76"/>
      <c r="H292" s="76"/>
      <c r="I292" s="48"/>
      <c r="J292" s="70"/>
      <c r="K292" s="70"/>
      <c r="L292" s="348" t="s">
        <v>354</v>
      </c>
      <c r="M292" s="349" t="s">
        <v>355</v>
      </c>
      <c r="N292" s="348" t="s">
        <v>34</v>
      </c>
      <c r="O292" s="350">
        <v>5</v>
      </c>
      <c r="P292" s="351">
        <v>10.55</v>
      </c>
      <c r="Q292" s="351">
        <v>52.74</v>
      </c>
      <c r="R292" s="182"/>
      <c r="U292" s="128"/>
    </row>
    <row r="293" spans="1:21" ht="15.6" x14ac:dyDescent="0.3">
      <c r="A293" s="53"/>
      <c r="B293" s="54"/>
      <c r="C293" s="54"/>
      <c r="D293" s="54"/>
      <c r="E293" s="55"/>
      <c r="F293" s="75"/>
      <c r="G293" s="76"/>
      <c r="H293" s="76"/>
      <c r="I293" s="48"/>
      <c r="J293" s="70"/>
      <c r="K293" s="70"/>
      <c r="L293" s="348" t="s">
        <v>373</v>
      </c>
      <c r="M293" s="349" t="s">
        <v>374</v>
      </c>
      <c r="N293" s="348" t="s">
        <v>34</v>
      </c>
      <c r="O293" s="350">
        <v>5</v>
      </c>
      <c r="P293" s="351">
        <v>14.44</v>
      </c>
      <c r="Q293" s="351">
        <v>72.22</v>
      </c>
      <c r="R293" s="182"/>
      <c r="U293" s="128"/>
    </row>
    <row r="294" spans="1:21" ht="15.6" x14ac:dyDescent="0.3">
      <c r="A294" s="53"/>
      <c r="B294" s="54"/>
      <c r="C294" s="54"/>
      <c r="D294" s="54"/>
      <c r="E294" s="55"/>
      <c r="F294" s="75"/>
      <c r="G294" s="76"/>
      <c r="H294" s="76"/>
      <c r="I294" s="48"/>
      <c r="J294" s="70"/>
      <c r="K294" s="70"/>
      <c r="L294" s="348" t="s">
        <v>791</v>
      </c>
      <c r="M294" s="349" t="s">
        <v>792</v>
      </c>
      <c r="N294" s="348" t="s">
        <v>34</v>
      </c>
      <c r="O294" s="350">
        <v>5</v>
      </c>
      <c r="P294" s="351">
        <v>12</v>
      </c>
      <c r="Q294" s="351">
        <v>60</v>
      </c>
      <c r="R294" s="182"/>
      <c r="U294" s="128"/>
    </row>
    <row r="295" spans="1:21" ht="15.6" x14ac:dyDescent="0.3">
      <c r="A295" s="53"/>
      <c r="B295" s="54"/>
      <c r="C295" s="54"/>
      <c r="D295" s="54"/>
      <c r="E295" s="55"/>
      <c r="F295" s="75"/>
      <c r="G295" s="76"/>
      <c r="H295" s="76"/>
      <c r="I295" s="48"/>
      <c r="J295" s="70"/>
      <c r="K295" s="70"/>
      <c r="L295" s="348" t="s">
        <v>823</v>
      </c>
      <c r="M295" s="349" t="s">
        <v>824</v>
      </c>
      <c r="N295" s="348" t="s">
        <v>34</v>
      </c>
      <c r="O295" s="350">
        <v>5</v>
      </c>
      <c r="P295" s="351">
        <v>251.57</v>
      </c>
      <c r="Q295" s="352">
        <v>1257.8399999999999</v>
      </c>
      <c r="R295" s="182"/>
      <c r="U295" s="128"/>
    </row>
    <row r="296" spans="1:21" ht="15.6" x14ac:dyDescent="0.3">
      <c r="A296" s="53"/>
      <c r="B296" s="54"/>
      <c r="C296" s="54"/>
      <c r="D296" s="54"/>
      <c r="E296" s="55"/>
      <c r="F296" s="75"/>
      <c r="G296" s="76"/>
      <c r="H296" s="76"/>
      <c r="I296" s="48"/>
      <c r="J296" s="70"/>
      <c r="K296" s="70"/>
      <c r="L296" s="348" t="s">
        <v>947</v>
      </c>
      <c r="M296" s="349" t="s">
        <v>1043</v>
      </c>
      <c r="N296" s="348" t="s">
        <v>34</v>
      </c>
      <c r="O296" s="350">
        <v>5</v>
      </c>
      <c r="P296" s="351">
        <v>506.11</v>
      </c>
      <c r="Q296" s="352">
        <v>2530.5500000000002</v>
      </c>
      <c r="R296" s="182"/>
      <c r="U296" s="128"/>
    </row>
    <row r="297" spans="1:21" ht="15.6" customHeight="1" x14ac:dyDescent="0.3">
      <c r="A297" s="53"/>
      <c r="B297" s="54"/>
      <c r="C297" s="54"/>
      <c r="D297" s="54"/>
      <c r="E297" s="55"/>
      <c r="F297" s="75"/>
      <c r="G297" s="76"/>
      <c r="H297" s="76"/>
      <c r="I297" s="48"/>
      <c r="J297" s="70"/>
      <c r="K297" s="70"/>
      <c r="L297" s="348" t="s">
        <v>771</v>
      </c>
      <c r="M297" s="349" t="s">
        <v>772</v>
      </c>
      <c r="N297" s="348" t="s">
        <v>34</v>
      </c>
      <c r="O297" s="350">
        <v>6</v>
      </c>
      <c r="P297" s="351">
        <v>204.92</v>
      </c>
      <c r="Q297" s="352">
        <v>1229.54</v>
      </c>
      <c r="R297" s="182"/>
      <c r="U297" s="128"/>
    </row>
    <row r="298" spans="1:21" ht="15.6" x14ac:dyDescent="0.3">
      <c r="A298" s="53"/>
      <c r="B298" s="54"/>
      <c r="C298" s="54"/>
      <c r="D298" s="54"/>
      <c r="E298" s="55"/>
      <c r="F298" s="75"/>
      <c r="G298" s="76"/>
      <c r="H298" s="76"/>
      <c r="I298" s="48"/>
      <c r="J298" s="70"/>
      <c r="K298" s="70"/>
      <c r="L298" s="348" t="s">
        <v>49</v>
      </c>
      <c r="M298" s="349" t="s">
        <v>74</v>
      </c>
      <c r="N298" s="348" t="s">
        <v>34</v>
      </c>
      <c r="O298" s="350">
        <v>6.7</v>
      </c>
      <c r="P298" s="351">
        <v>138.91</v>
      </c>
      <c r="Q298" s="351">
        <v>930.7</v>
      </c>
      <c r="R298" s="182"/>
      <c r="U298" s="128"/>
    </row>
    <row r="299" spans="1:21" ht="15.6" x14ac:dyDescent="0.3">
      <c r="A299" s="53"/>
      <c r="B299" s="54"/>
      <c r="C299" s="54"/>
      <c r="D299" s="54"/>
      <c r="E299" s="55"/>
      <c r="F299" s="75"/>
      <c r="G299" s="76"/>
      <c r="H299" s="76"/>
      <c r="I299" s="48"/>
      <c r="J299" s="70"/>
      <c r="K299" s="70"/>
      <c r="L299" s="348" t="s">
        <v>304</v>
      </c>
      <c r="M299" s="349" t="s">
        <v>305</v>
      </c>
      <c r="N299" s="348" t="s">
        <v>34</v>
      </c>
      <c r="O299" s="350">
        <v>7</v>
      </c>
      <c r="P299" s="351">
        <v>63.7</v>
      </c>
      <c r="Q299" s="351">
        <v>445.9</v>
      </c>
      <c r="R299" s="182"/>
      <c r="U299" s="128"/>
    </row>
    <row r="300" spans="1:21" ht="15.6" x14ac:dyDescent="0.3">
      <c r="A300" s="53"/>
      <c r="B300" s="54"/>
      <c r="C300" s="54"/>
      <c r="D300" s="54"/>
      <c r="E300" s="55"/>
      <c r="F300" s="75"/>
      <c r="G300" s="76"/>
      <c r="H300" s="76"/>
      <c r="I300" s="48"/>
      <c r="J300" s="70"/>
      <c r="K300" s="70"/>
      <c r="L300" s="348" t="s">
        <v>352</v>
      </c>
      <c r="M300" s="349" t="s">
        <v>353</v>
      </c>
      <c r="N300" s="348" t="s">
        <v>34</v>
      </c>
      <c r="O300" s="350">
        <v>7</v>
      </c>
      <c r="P300" s="351">
        <v>7.5</v>
      </c>
      <c r="Q300" s="351">
        <v>52.48</v>
      </c>
      <c r="R300" s="182"/>
      <c r="U300" s="128"/>
    </row>
    <row r="301" spans="1:21" ht="15.6" x14ac:dyDescent="0.3">
      <c r="A301" s="53"/>
      <c r="B301" s="54"/>
      <c r="C301" s="54"/>
      <c r="D301" s="54"/>
      <c r="E301" s="55"/>
      <c r="F301" s="75"/>
      <c r="G301" s="76"/>
      <c r="H301" s="76"/>
      <c r="I301" s="48"/>
      <c r="J301" s="70"/>
      <c r="K301" s="70"/>
      <c r="L301" s="348" t="s">
        <v>58</v>
      </c>
      <c r="M301" s="349" t="s">
        <v>67</v>
      </c>
      <c r="N301" s="348" t="s">
        <v>34</v>
      </c>
      <c r="O301" s="350">
        <v>9</v>
      </c>
      <c r="P301" s="351">
        <v>53.8</v>
      </c>
      <c r="Q301" s="351">
        <v>484.16</v>
      </c>
      <c r="R301" s="182"/>
      <c r="U301" s="128"/>
    </row>
    <row r="302" spans="1:21" ht="15.6" x14ac:dyDescent="0.3">
      <c r="A302" s="53"/>
      <c r="B302" s="54"/>
      <c r="C302" s="54"/>
      <c r="D302" s="54"/>
      <c r="E302" s="55"/>
      <c r="F302" s="75"/>
      <c r="G302" s="76"/>
      <c r="H302" s="76"/>
      <c r="I302" s="48"/>
      <c r="J302" s="70"/>
      <c r="K302" s="70"/>
      <c r="L302" s="348" t="s">
        <v>850</v>
      </c>
      <c r="M302" s="349" t="s">
        <v>851</v>
      </c>
      <c r="N302" s="348" t="s">
        <v>34</v>
      </c>
      <c r="O302" s="350">
        <v>10</v>
      </c>
      <c r="P302" s="351">
        <v>3.62</v>
      </c>
      <c r="Q302" s="351">
        <v>36.200000000000003</v>
      </c>
      <c r="R302" s="182"/>
      <c r="U302" s="128"/>
    </row>
    <row r="303" spans="1:21" ht="15.6" x14ac:dyDescent="0.3">
      <c r="A303" s="53"/>
      <c r="B303" s="54"/>
      <c r="C303" s="54"/>
      <c r="D303" s="54"/>
      <c r="E303" s="55"/>
      <c r="F303" s="75"/>
      <c r="G303" s="76"/>
      <c r="H303" s="76"/>
      <c r="I303" s="48"/>
      <c r="J303" s="70"/>
      <c r="K303" s="70"/>
      <c r="L303" s="348" t="s">
        <v>1186</v>
      </c>
      <c r="M303" s="349" t="s">
        <v>1269</v>
      </c>
      <c r="N303" s="348" t="s">
        <v>45</v>
      </c>
      <c r="O303" s="350">
        <v>11</v>
      </c>
      <c r="P303" s="351">
        <v>486.48</v>
      </c>
      <c r="Q303" s="352">
        <v>5351.28</v>
      </c>
      <c r="R303" s="182"/>
      <c r="U303" s="128"/>
    </row>
    <row r="304" spans="1:21" ht="15.6" x14ac:dyDescent="0.3">
      <c r="A304" s="53"/>
      <c r="B304" s="54"/>
      <c r="C304" s="54"/>
      <c r="D304" s="54"/>
      <c r="E304" s="55"/>
      <c r="F304" s="75"/>
      <c r="G304" s="76"/>
      <c r="H304" s="76"/>
      <c r="I304" s="48"/>
      <c r="J304" s="70"/>
      <c r="K304" s="70"/>
      <c r="L304" s="348" t="s">
        <v>1170</v>
      </c>
      <c r="M304" s="349" t="s">
        <v>1255</v>
      </c>
      <c r="N304" s="348" t="s">
        <v>34</v>
      </c>
      <c r="O304" s="350">
        <v>11</v>
      </c>
      <c r="P304" s="351">
        <v>1.74</v>
      </c>
      <c r="Q304" s="351">
        <v>19.14</v>
      </c>
      <c r="R304" s="182"/>
      <c r="U304" s="128"/>
    </row>
    <row r="305" spans="1:21" ht="15.6" x14ac:dyDescent="0.3">
      <c r="A305" s="53"/>
      <c r="B305" s="54"/>
      <c r="C305" s="54"/>
      <c r="D305" s="54"/>
      <c r="E305" s="55"/>
      <c r="F305" s="75"/>
      <c r="G305" s="76"/>
      <c r="H305" s="76"/>
      <c r="I305" s="48"/>
      <c r="J305" s="70"/>
      <c r="K305" s="70"/>
      <c r="L305" s="348" t="s">
        <v>411</v>
      </c>
      <c r="M305" s="349" t="s">
        <v>412</v>
      </c>
      <c r="N305" s="348" t="s">
        <v>34</v>
      </c>
      <c r="O305" s="350">
        <v>12.6</v>
      </c>
      <c r="P305" s="351">
        <v>58.83</v>
      </c>
      <c r="Q305" s="351">
        <v>741.22</v>
      </c>
      <c r="R305" s="182"/>
      <c r="U305" s="128"/>
    </row>
    <row r="306" spans="1:21" ht="15.6" x14ac:dyDescent="0.3">
      <c r="A306" s="53"/>
      <c r="B306" s="54"/>
      <c r="C306" s="54"/>
      <c r="D306" s="54"/>
      <c r="E306" s="55"/>
      <c r="F306" s="75"/>
      <c r="G306" s="76"/>
      <c r="H306" s="76"/>
      <c r="I306" s="48"/>
      <c r="J306" s="70"/>
      <c r="K306" s="70"/>
      <c r="L306" s="348" t="s">
        <v>789</v>
      </c>
      <c r="M306" s="349" t="s">
        <v>790</v>
      </c>
      <c r="N306" s="348" t="s">
        <v>34</v>
      </c>
      <c r="O306" s="350">
        <v>16</v>
      </c>
      <c r="P306" s="351">
        <v>10</v>
      </c>
      <c r="Q306" s="351">
        <v>160</v>
      </c>
      <c r="R306" s="182"/>
      <c r="U306" s="128"/>
    </row>
    <row r="307" spans="1:21" ht="15.6" customHeight="1" x14ac:dyDescent="0.3">
      <c r="A307" s="53"/>
      <c r="B307" s="54"/>
      <c r="C307" s="54"/>
      <c r="D307" s="54"/>
      <c r="E307" s="55"/>
      <c r="F307" s="75"/>
      <c r="G307" s="76"/>
      <c r="H307" s="76"/>
      <c r="I307" s="48"/>
      <c r="J307" s="70"/>
      <c r="K307" s="70"/>
      <c r="L307" s="348" t="s">
        <v>881</v>
      </c>
      <c r="M307" s="349" t="s">
        <v>1054</v>
      </c>
      <c r="N307" s="348" t="s">
        <v>34</v>
      </c>
      <c r="O307" s="350">
        <v>17</v>
      </c>
      <c r="P307" s="351">
        <v>370.03</v>
      </c>
      <c r="Q307" s="352">
        <v>6290.51</v>
      </c>
      <c r="R307" s="182"/>
      <c r="U307" s="128"/>
    </row>
    <row r="308" spans="1:21" ht="15.6" x14ac:dyDescent="0.3">
      <c r="A308" s="53"/>
      <c r="B308" s="54"/>
      <c r="C308" s="54"/>
      <c r="D308" s="54"/>
      <c r="E308" s="55"/>
      <c r="F308" s="75"/>
      <c r="G308" s="76"/>
      <c r="H308" s="76"/>
      <c r="I308" s="48"/>
      <c r="J308" s="70"/>
      <c r="K308" s="70"/>
      <c r="L308" s="348" t="s">
        <v>746</v>
      </c>
      <c r="M308" s="349" t="s">
        <v>895</v>
      </c>
      <c r="N308" s="348" t="s">
        <v>45</v>
      </c>
      <c r="O308" s="350">
        <v>18</v>
      </c>
      <c r="P308" s="351">
        <v>322.51</v>
      </c>
      <c r="Q308" s="352">
        <v>5805.2</v>
      </c>
      <c r="R308" s="182"/>
      <c r="U308" s="128"/>
    </row>
    <row r="309" spans="1:21" ht="15.6" x14ac:dyDescent="0.3">
      <c r="A309" s="53"/>
      <c r="B309" s="54"/>
      <c r="C309" s="54"/>
      <c r="D309" s="54"/>
      <c r="E309" s="55"/>
      <c r="F309" s="75"/>
      <c r="G309" s="76"/>
      <c r="H309" s="76"/>
      <c r="I309" s="48"/>
      <c r="J309" s="70"/>
      <c r="K309" s="70"/>
      <c r="L309" s="348" t="s">
        <v>1118</v>
      </c>
      <c r="M309" s="349" t="s">
        <v>1204</v>
      </c>
      <c r="N309" s="348" t="s">
        <v>68</v>
      </c>
      <c r="O309" s="350">
        <v>18</v>
      </c>
      <c r="P309" s="351">
        <v>27</v>
      </c>
      <c r="Q309" s="351">
        <v>486</v>
      </c>
      <c r="R309" s="182"/>
      <c r="U309" s="128"/>
    </row>
    <row r="310" spans="1:21" ht="15.6" x14ac:dyDescent="0.3">
      <c r="A310" s="53"/>
      <c r="B310" s="54"/>
      <c r="C310" s="54"/>
      <c r="D310" s="54"/>
      <c r="E310" s="55"/>
      <c r="F310" s="75"/>
      <c r="G310" s="76"/>
      <c r="H310" s="76"/>
      <c r="I310" s="48"/>
      <c r="J310" s="70"/>
      <c r="K310" s="70"/>
      <c r="L310" s="348" t="s">
        <v>761</v>
      </c>
      <c r="M310" s="349" t="s">
        <v>762</v>
      </c>
      <c r="N310" s="348" t="s">
        <v>34</v>
      </c>
      <c r="O310" s="350">
        <v>19</v>
      </c>
      <c r="P310" s="351">
        <v>77.209999999999994</v>
      </c>
      <c r="Q310" s="352">
        <v>1466.99</v>
      </c>
      <c r="R310" s="182"/>
      <c r="U310" s="128"/>
    </row>
    <row r="311" spans="1:21" ht="15.6" x14ac:dyDescent="0.3">
      <c r="A311" s="53"/>
      <c r="B311" s="54"/>
      <c r="C311" s="54"/>
      <c r="D311" s="54"/>
      <c r="E311" s="55"/>
      <c r="F311" s="75"/>
      <c r="G311" s="76"/>
      <c r="H311" s="76"/>
      <c r="I311" s="48"/>
      <c r="J311" s="70"/>
      <c r="K311" s="70"/>
      <c r="L311" s="348" t="s">
        <v>935</v>
      </c>
      <c r="M311" s="349" t="s">
        <v>1034</v>
      </c>
      <c r="N311" s="348" t="s">
        <v>64</v>
      </c>
      <c r="O311" s="350">
        <v>23</v>
      </c>
      <c r="P311" s="351">
        <v>736.65</v>
      </c>
      <c r="Q311" s="352">
        <v>16942.95</v>
      </c>
      <c r="R311" s="182"/>
      <c r="U311" s="128"/>
    </row>
    <row r="312" spans="1:21" ht="15.6" x14ac:dyDescent="0.3">
      <c r="A312" s="53"/>
      <c r="B312" s="54"/>
      <c r="C312" s="54"/>
      <c r="D312" s="54"/>
      <c r="E312" s="55"/>
      <c r="F312" s="75"/>
      <c r="G312" s="76"/>
      <c r="H312" s="76"/>
      <c r="I312" s="48"/>
      <c r="J312" s="70"/>
      <c r="K312" s="70"/>
      <c r="L312" s="348" t="s">
        <v>1184</v>
      </c>
      <c r="M312" s="349" t="s">
        <v>1267</v>
      </c>
      <c r="N312" s="348" t="s">
        <v>57</v>
      </c>
      <c r="O312" s="350">
        <v>23</v>
      </c>
      <c r="P312" s="351">
        <v>26.35</v>
      </c>
      <c r="Q312" s="351">
        <v>606.04999999999995</v>
      </c>
      <c r="R312" s="182"/>
      <c r="U312" s="128"/>
    </row>
    <row r="313" spans="1:21" ht="15.6" x14ac:dyDescent="0.3">
      <c r="A313" s="53"/>
      <c r="B313" s="54"/>
      <c r="C313" s="54"/>
      <c r="D313" s="54"/>
      <c r="E313" s="55"/>
      <c r="F313" s="75"/>
      <c r="G313" s="76"/>
      <c r="H313" s="76"/>
      <c r="I313" s="48"/>
      <c r="J313" s="70"/>
      <c r="K313" s="70"/>
      <c r="L313" s="348" t="s">
        <v>1103</v>
      </c>
      <c r="M313" s="349" t="s">
        <v>1189</v>
      </c>
      <c r="N313" s="348" t="s">
        <v>37</v>
      </c>
      <c r="O313" s="350">
        <v>27</v>
      </c>
      <c r="P313" s="351">
        <v>28.61</v>
      </c>
      <c r="Q313" s="351">
        <v>772.47</v>
      </c>
      <c r="R313" s="182"/>
      <c r="U313" s="128"/>
    </row>
    <row r="314" spans="1:21" ht="15.6" x14ac:dyDescent="0.3">
      <c r="A314" s="53"/>
      <c r="B314" s="54"/>
      <c r="C314" s="54"/>
      <c r="D314" s="54"/>
      <c r="E314" s="55"/>
      <c r="F314" s="75"/>
      <c r="G314" s="76"/>
      <c r="H314" s="76"/>
      <c r="I314" s="48"/>
      <c r="J314" s="70"/>
      <c r="K314" s="70"/>
      <c r="L314" s="348" t="s">
        <v>350</v>
      </c>
      <c r="M314" s="349" t="s">
        <v>351</v>
      </c>
      <c r="N314" s="348" t="s">
        <v>34</v>
      </c>
      <c r="O314" s="350">
        <v>29</v>
      </c>
      <c r="P314" s="351">
        <v>5.24</v>
      </c>
      <c r="Q314" s="351">
        <v>152.09</v>
      </c>
      <c r="R314" s="182"/>
      <c r="U314" s="128"/>
    </row>
    <row r="315" spans="1:21" ht="15.6" x14ac:dyDescent="0.3">
      <c r="A315" s="53"/>
      <c r="B315" s="54"/>
      <c r="C315" s="54"/>
      <c r="D315" s="54"/>
      <c r="E315" s="55"/>
      <c r="F315" s="75"/>
      <c r="G315" s="76"/>
      <c r="H315" s="76"/>
      <c r="I315" s="48"/>
      <c r="J315" s="70"/>
      <c r="K315" s="70"/>
      <c r="L315" s="348" t="s">
        <v>793</v>
      </c>
      <c r="M315" s="349" t="s">
        <v>1052</v>
      </c>
      <c r="N315" s="348" t="s">
        <v>34</v>
      </c>
      <c r="O315" s="350">
        <v>40</v>
      </c>
      <c r="P315" s="351">
        <v>6.44</v>
      </c>
      <c r="Q315" s="351">
        <v>257.60000000000002</v>
      </c>
      <c r="R315" s="182"/>
      <c r="U315" s="128"/>
    </row>
    <row r="316" spans="1:21" ht="15.6" x14ac:dyDescent="0.3">
      <c r="A316" s="53"/>
      <c r="B316" s="54"/>
      <c r="C316" s="54"/>
      <c r="D316" s="54"/>
      <c r="E316" s="55"/>
      <c r="F316" s="75"/>
      <c r="G316" s="76"/>
      <c r="H316" s="76"/>
      <c r="I316" s="48"/>
      <c r="J316" s="70"/>
      <c r="K316" s="70"/>
      <c r="L316" s="348" t="s">
        <v>945</v>
      </c>
      <c r="M316" s="349" t="s">
        <v>1032</v>
      </c>
      <c r="N316" s="348" t="s">
        <v>68</v>
      </c>
      <c r="O316" s="350">
        <v>41</v>
      </c>
      <c r="P316" s="351">
        <v>302.5</v>
      </c>
      <c r="Q316" s="352">
        <v>12402.5</v>
      </c>
      <c r="R316" s="182"/>
      <c r="U316" s="128"/>
    </row>
    <row r="317" spans="1:21" ht="15.6" x14ac:dyDescent="0.3">
      <c r="A317" s="53"/>
      <c r="B317" s="54"/>
      <c r="C317" s="54"/>
      <c r="D317" s="54"/>
      <c r="E317" s="55"/>
      <c r="F317" s="75"/>
      <c r="G317" s="76"/>
      <c r="H317" s="76"/>
      <c r="I317" s="48"/>
      <c r="J317" s="70"/>
      <c r="K317" s="70"/>
      <c r="L317" s="348" t="s">
        <v>371</v>
      </c>
      <c r="M317" s="349" t="s">
        <v>372</v>
      </c>
      <c r="N317" s="348" t="s">
        <v>34</v>
      </c>
      <c r="O317" s="350">
        <v>41</v>
      </c>
      <c r="P317" s="351">
        <v>14.88</v>
      </c>
      <c r="Q317" s="351">
        <v>610.08000000000004</v>
      </c>
      <c r="R317" s="182"/>
      <c r="U317" s="128"/>
    </row>
    <row r="318" spans="1:21" ht="30" x14ac:dyDescent="0.3">
      <c r="A318" s="53"/>
      <c r="B318" s="54"/>
      <c r="C318" s="54"/>
      <c r="D318" s="54"/>
      <c r="E318" s="55"/>
      <c r="F318" s="75"/>
      <c r="G318" s="76"/>
      <c r="H318" s="76"/>
      <c r="I318" s="48"/>
      <c r="J318" s="70"/>
      <c r="K318" s="70"/>
      <c r="L318" s="348" t="s">
        <v>1174</v>
      </c>
      <c r="M318" s="349" t="s">
        <v>1258</v>
      </c>
      <c r="N318" s="348" t="s">
        <v>34</v>
      </c>
      <c r="O318" s="350">
        <v>45</v>
      </c>
      <c r="P318" s="351">
        <v>0.66</v>
      </c>
      <c r="Q318" s="351">
        <v>29.63</v>
      </c>
      <c r="R318" s="182"/>
      <c r="U318" s="128"/>
    </row>
    <row r="319" spans="1:21" ht="30" x14ac:dyDescent="0.3">
      <c r="A319" s="53"/>
      <c r="B319" s="54"/>
      <c r="C319" s="54"/>
      <c r="D319" s="54"/>
      <c r="E319" s="55"/>
      <c r="F319" s="75"/>
      <c r="G319" s="76"/>
      <c r="H319" s="76"/>
      <c r="I319" s="48"/>
      <c r="J319" s="70"/>
      <c r="K319" s="70"/>
      <c r="L319" s="348" t="s">
        <v>238</v>
      </c>
      <c r="M319" s="349" t="s">
        <v>239</v>
      </c>
      <c r="N319" s="348" t="s">
        <v>57</v>
      </c>
      <c r="O319" s="350">
        <v>50</v>
      </c>
      <c r="P319" s="351">
        <v>7.92</v>
      </c>
      <c r="Q319" s="351">
        <v>396</v>
      </c>
      <c r="R319" s="182"/>
      <c r="U319" s="128"/>
    </row>
    <row r="320" spans="1:21" ht="15.6" x14ac:dyDescent="0.3">
      <c r="A320" s="53"/>
      <c r="B320" s="54"/>
      <c r="C320" s="54"/>
      <c r="D320" s="54"/>
      <c r="E320" s="55"/>
      <c r="F320" s="75"/>
      <c r="G320" s="76"/>
      <c r="H320" s="76"/>
      <c r="I320" s="48"/>
      <c r="J320" s="70"/>
      <c r="K320" s="70"/>
      <c r="L320" s="348" t="s">
        <v>1183</v>
      </c>
      <c r="M320" s="349" t="s">
        <v>1266</v>
      </c>
      <c r="N320" s="348" t="s">
        <v>57</v>
      </c>
      <c r="O320" s="350">
        <v>67</v>
      </c>
      <c r="P320" s="351">
        <v>20.38</v>
      </c>
      <c r="Q320" s="352">
        <v>1365.46</v>
      </c>
      <c r="R320" s="182"/>
      <c r="U320" s="128"/>
    </row>
    <row r="321" spans="1:21" ht="15.6" x14ac:dyDescent="0.3">
      <c r="A321" s="53"/>
      <c r="B321" s="54"/>
      <c r="C321" s="54"/>
      <c r="D321" s="54"/>
      <c r="E321" s="55"/>
      <c r="F321" s="75"/>
      <c r="G321" s="76"/>
      <c r="H321" s="76"/>
      <c r="I321" s="48"/>
      <c r="J321" s="70"/>
      <c r="K321" s="70"/>
      <c r="L321" s="348" t="s">
        <v>747</v>
      </c>
      <c r="M321" s="349" t="s">
        <v>748</v>
      </c>
      <c r="N321" s="348" t="s">
        <v>68</v>
      </c>
      <c r="O321" s="350">
        <v>70</v>
      </c>
      <c r="P321" s="351">
        <v>325.58</v>
      </c>
      <c r="Q321" s="352">
        <v>22790.6</v>
      </c>
      <c r="R321" s="182"/>
      <c r="U321" s="128"/>
    </row>
    <row r="322" spans="1:21" ht="15.6" x14ac:dyDescent="0.3">
      <c r="A322" s="53"/>
      <c r="B322" s="54"/>
      <c r="C322" s="54"/>
      <c r="D322" s="54"/>
      <c r="E322" s="55"/>
      <c r="F322" s="75"/>
      <c r="G322" s="76"/>
      <c r="H322" s="76"/>
      <c r="I322" s="48"/>
      <c r="J322" s="70"/>
      <c r="K322" s="70"/>
      <c r="L322" s="348" t="s">
        <v>822</v>
      </c>
      <c r="M322" s="349" t="s">
        <v>213</v>
      </c>
      <c r="N322" s="348" t="s">
        <v>57</v>
      </c>
      <c r="O322" s="350">
        <v>70</v>
      </c>
      <c r="P322" s="351">
        <v>36.24</v>
      </c>
      <c r="Q322" s="352">
        <v>2536.8000000000002</v>
      </c>
      <c r="R322" s="182"/>
      <c r="U322" s="128"/>
    </row>
    <row r="323" spans="1:21" ht="15.6" x14ac:dyDescent="0.3">
      <c r="A323" s="53"/>
      <c r="B323" s="54"/>
      <c r="C323" s="54"/>
      <c r="D323" s="54"/>
      <c r="E323" s="55"/>
      <c r="F323" s="75"/>
      <c r="G323" s="76"/>
      <c r="H323" s="76"/>
      <c r="I323" s="48"/>
      <c r="J323" s="70"/>
      <c r="K323" s="70"/>
      <c r="L323" s="348" t="s">
        <v>1106</v>
      </c>
      <c r="M323" s="349" t="s">
        <v>1192</v>
      </c>
      <c r="N323" s="348" t="s">
        <v>1272</v>
      </c>
      <c r="O323" s="350">
        <v>93</v>
      </c>
      <c r="P323" s="351">
        <v>0.69</v>
      </c>
      <c r="Q323" s="351">
        <v>64.33</v>
      </c>
      <c r="R323" s="182"/>
      <c r="U323" s="128"/>
    </row>
    <row r="324" spans="1:21" ht="15.6" x14ac:dyDescent="0.3">
      <c r="A324" s="53"/>
      <c r="B324" s="54"/>
      <c r="C324" s="54"/>
      <c r="D324" s="54"/>
      <c r="E324" s="55"/>
      <c r="F324" s="75"/>
      <c r="G324" s="76"/>
      <c r="H324" s="76"/>
      <c r="I324" s="48"/>
      <c r="J324" s="70"/>
      <c r="K324" s="70"/>
      <c r="L324" s="348" t="s">
        <v>838</v>
      </c>
      <c r="M324" s="349" t="s">
        <v>839</v>
      </c>
      <c r="N324" s="348" t="s">
        <v>34</v>
      </c>
      <c r="O324" s="350">
        <v>109</v>
      </c>
      <c r="P324" s="351">
        <v>2.12</v>
      </c>
      <c r="Q324" s="351">
        <v>231.13</v>
      </c>
      <c r="R324" s="182"/>
      <c r="U324" s="128"/>
    </row>
    <row r="325" spans="1:21" ht="15.6" x14ac:dyDescent="0.3">
      <c r="A325" s="53"/>
      <c r="B325" s="54"/>
      <c r="C325" s="54"/>
      <c r="D325" s="54"/>
      <c r="E325" s="55"/>
      <c r="F325" s="75"/>
      <c r="G325" s="76"/>
      <c r="H325" s="76"/>
      <c r="I325" s="48"/>
      <c r="J325" s="70"/>
      <c r="K325" s="70"/>
      <c r="L325" s="348" t="s">
        <v>1182</v>
      </c>
      <c r="M325" s="349" t="s">
        <v>1265</v>
      </c>
      <c r="N325" s="348" t="s">
        <v>57</v>
      </c>
      <c r="O325" s="350">
        <v>115</v>
      </c>
      <c r="P325" s="351">
        <v>42.53</v>
      </c>
      <c r="Q325" s="352">
        <v>4890.95</v>
      </c>
      <c r="R325" s="182"/>
      <c r="U325" s="128"/>
    </row>
    <row r="326" spans="1:21" ht="15.6" x14ac:dyDescent="0.3">
      <c r="A326" s="53"/>
      <c r="B326" s="54"/>
      <c r="C326" s="54"/>
      <c r="D326" s="54"/>
      <c r="E326" s="55"/>
      <c r="F326" s="75"/>
      <c r="G326" s="76"/>
      <c r="H326" s="76"/>
      <c r="I326" s="48"/>
      <c r="J326" s="70"/>
      <c r="K326" s="70"/>
      <c r="L326" s="348" t="s">
        <v>1150</v>
      </c>
      <c r="M326" s="349" t="s">
        <v>1237</v>
      </c>
      <c r="N326" s="348" t="s">
        <v>34</v>
      </c>
      <c r="O326" s="350">
        <v>116</v>
      </c>
      <c r="P326" s="351">
        <v>27.72</v>
      </c>
      <c r="Q326" s="352">
        <v>3215.52</v>
      </c>
      <c r="R326" s="182"/>
      <c r="U326" s="128"/>
    </row>
    <row r="327" spans="1:21" ht="15.6" x14ac:dyDescent="0.3">
      <c r="A327" s="53"/>
      <c r="B327" s="54"/>
      <c r="C327" s="54"/>
      <c r="D327" s="54"/>
      <c r="E327" s="55"/>
      <c r="F327" s="75"/>
      <c r="G327" s="76"/>
      <c r="H327" s="76"/>
      <c r="I327" s="48"/>
      <c r="J327" s="70"/>
      <c r="K327" s="70"/>
      <c r="L327" s="348" t="s">
        <v>820</v>
      </c>
      <c r="M327" s="349" t="s">
        <v>821</v>
      </c>
      <c r="N327" s="348" t="s">
        <v>57</v>
      </c>
      <c r="O327" s="350">
        <v>130</v>
      </c>
      <c r="P327" s="351">
        <v>17.149999999999999</v>
      </c>
      <c r="Q327" s="352">
        <v>2229.5</v>
      </c>
      <c r="R327" s="182"/>
      <c r="U327" s="128"/>
    </row>
    <row r="328" spans="1:21" ht="15.6" x14ac:dyDescent="0.3">
      <c r="A328" s="53"/>
      <c r="B328" s="54"/>
      <c r="C328" s="54"/>
      <c r="D328" s="54"/>
      <c r="E328" s="55"/>
      <c r="F328" s="75"/>
      <c r="G328" s="76"/>
      <c r="H328" s="76"/>
      <c r="I328" s="48"/>
      <c r="J328" s="70"/>
      <c r="K328" s="70"/>
      <c r="L328" s="348" t="s">
        <v>794</v>
      </c>
      <c r="M328" s="349" t="s">
        <v>795</v>
      </c>
      <c r="N328" s="348" t="s">
        <v>57</v>
      </c>
      <c r="O328" s="350">
        <v>169</v>
      </c>
      <c r="P328" s="351">
        <v>20.38</v>
      </c>
      <c r="Q328" s="352">
        <v>3444.22</v>
      </c>
      <c r="R328" s="182"/>
      <c r="U328" s="128"/>
    </row>
    <row r="329" spans="1:21" ht="15.6" x14ac:dyDescent="0.3">
      <c r="A329" s="53"/>
      <c r="B329" s="54"/>
      <c r="C329" s="54"/>
      <c r="D329" s="54"/>
      <c r="E329" s="55"/>
      <c r="F329" s="75"/>
      <c r="G329" s="76"/>
      <c r="H329" s="76"/>
      <c r="I329" s="48"/>
      <c r="J329" s="70"/>
      <c r="K329" s="70"/>
      <c r="L329" s="348" t="s">
        <v>736</v>
      </c>
      <c r="M329" s="349" t="s">
        <v>737</v>
      </c>
      <c r="N329" s="348" t="s">
        <v>34</v>
      </c>
      <c r="O329" s="350">
        <v>170</v>
      </c>
      <c r="P329" s="351">
        <v>3.94</v>
      </c>
      <c r="Q329" s="351">
        <v>669.8</v>
      </c>
      <c r="R329" s="182"/>
      <c r="U329" s="128"/>
    </row>
    <row r="330" spans="1:21" ht="15.6" x14ac:dyDescent="0.3">
      <c r="A330" s="53"/>
      <c r="B330" s="54"/>
      <c r="C330" s="54"/>
      <c r="D330" s="54"/>
      <c r="E330" s="55"/>
      <c r="F330" s="75"/>
      <c r="G330" s="76"/>
      <c r="H330" s="76"/>
      <c r="I330" s="48"/>
      <c r="J330" s="70"/>
      <c r="K330" s="70"/>
      <c r="L330" s="348" t="s">
        <v>738</v>
      </c>
      <c r="M330" s="349" t="s">
        <v>739</v>
      </c>
      <c r="N330" s="348" t="s">
        <v>34</v>
      </c>
      <c r="O330" s="350">
        <v>186</v>
      </c>
      <c r="P330" s="351">
        <v>6.76</v>
      </c>
      <c r="Q330" s="352">
        <v>1258.1099999999999</v>
      </c>
      <c r="R330" s="182"/>
      <c r="U330" s="128"/>
    </row>
    <row r="331" spans="1:21" ht="15.6" x14ac:dyDescent="0.3">
      <c r="A331" s="53"/>
      <c r="B331" s="54"/>
      <c r="C331" s="54"/>
      <c r="D331" s="54"/>
      <c r="E331" s="55"/>
      <c r="F331" s="75"/>
      <c r="G331" s="76"/>
      <c r="H331" s="76"/>
      <c r="I331" s="48"/>
      <c r="J331" s="70"/>
      <c r="K331" s="70"/>
      <c r="L331" s="348" t="s">
        <v>1166</v>
      </c>
      <c r="M331" s="349" t="s">
        <v>1251</v>
      </c>
      <c r="N331" s="348" t="s">
        <v>34</v>
      </c>
      <c r="O331" s="350">
        <v>271</v>
      </c>
      <c r="P331" s="351">
        <v>0.57999999999999996</v>
      </c>
      <c r="Q331" s="351">
        <v>156.19999999999999</v>
      </c>
      <c r="R331" s="182"/>
      <c r="U331" s="128"/>
    </row>
    <row r="332" spans="1:21" ht="15.6" x14ac:dyDescent="0.3">
      <c r="A332" s="53"/>
      <c r="B332" s="54"/>
      <c r="C332" s="54"/>
      <c r="D332" s="54"/>
      <c r="E332" s="55"/>
      <c r="F332" s="75"/>
      <c r="G332" s="76"/>
      <c r="H332" s="76"/>
      <c r="I332" s="48"/>
      <c r="J332" s="70"/>
      <c r="K332" s="70"/>
      <c r="L332" s="348" t="s">
        <v>990</v>
      </c>
      <c r="M332" s="349" t="s">
        <v>1064</v>
      </c>
      <c r="N332" s="348" t="s">
        <v>34</v>
      </c>
      <c r="O332" s="350">
        <v>320</v>
      </c>
      <c r="P332" s="351">
        <v>0.92</v>
      </c>
      <c r="Q332" s="351">
        <v>294.39999999999998</v>
      </c>
      <c r="R332" s="182"/>
      <c r="U332" s="128"/>
    </row>
    <row r="333" spans="1:21" ht="15.6" x14ac:dyDescent="0.3">
      <c r="A333" s="53"/>
      <c r="B333" s="54"/>
      <c r="C333" s="54"/>
      <c r="D333" s="54"/>
      <c r="E333" s="55"/>
      <c r="F333" s="75"/>
      <c r="G333" s="76"/>
      <c r="H333" s="76"/>
      <c r="I333" s="48"/>
      <c r="J333" s="70"/>
      <c r="K333" s="70"/>
      <c r="L333" s="348" t="s">
        <v>1171</v>
      </c>
      <c r="M333" s="349" t="s">
        <v>1256</v>
      </c>
      <c r="N333" s="348" t="s">
        <v>34</v>
      </c>
      <c r="O333" s="350">
        <v>400</v>
      </c>
      <c r="P333" s="351">
        <v>0.17</v>
      </c>
      <c r="Q333" s="351">
        <v>68</v>
      </c>
      <c r="R333" s="182"/>
      <c r="U333" s="128"/>
    </row>
    <row r="334" spans="1:21" ht="15.6" x14ac:dyDescent="0.3">
      <c r="A334" s="53"/>
      <c r="B334" s="54"/>
      <c r="C334" s="54"/>
      <c r="D334" s="54"/>
      <c r="E334" s="55"/>
      <c r="F334" s="75"/>
      <c r="G334" s="76"/>
      <c r="H334" s="76"/>
      <c r="I334" s="48"/>
      <c r="J334" s="70"/>
      <c r="K334" s="70"/>
      <c r="L334" s="348" t="s">
        <v>1160</v>
      </c>
      <c r="M334" s="349" t="s">
        <v>1246</v>
      </c>
      <c r="N334" s="348" t="s">
        <v>34</v>
      </c>
      <c r="O334" s="350">
        <v>409</v>
      </c>
      <c r="P334" s="351">
        <v>0.69</v>
      </c>
      <c r="Q334" s="351">
        <v>282.89</v>
      </c>
      <c r="R334" s="182"/>
      <c r="U334" s="128"/>
    </row>
    <row r="335" spans="1:21" ht="15.6" x14ac:dyDescent="0.3">
      <c r="A335" s="53"/>
      <c r="B335" s="54"/>
      <c r="C335" s="54"/>
      <c r="D335" s="54"/>
      <c r="E335" s="55"/>
      <c r="F335" s="75"/>
      <c r="G335" s="76"/>
      <c r="H335" s="76"/>
      <c r="I335" s="48"/>
      <c r="J335" s="70"/>
      <c r="K335" s="70"/>
      <c r="L335" s="348" t="s">
        <v>856</v>
      </c>
      <c r="M335" s="349" t="s">
        <v>857</v>
      </c>
      <c r="N335" s="348" t="s">
        <v>34</v>
      </c>
      <c r="O335" s="353">
        <v>2863</v>
      </c>
      <c r="P335" s="351">
        <v>0.44</v>
      </c>
      <c r="Q335" s="352">
        <v>1262.58</v>
      </c>
      <c r="R335" s="182"/>
      <c r="U335" s="128"/>
    </row>
    <row r="336" spans="1:21" ht="15.6" x14ac:dyDescent="0.3">
      <c r="A336" s="53"/>
      <c r="B336" s="54"/>
      <c r="C336" s="54"/>
      <c r="D336" s="54"/>
      <c r="E336" s="55"/>
      <c r="F336" s="75"/>
      <c r="G336" s="76"/>
      <c r="H336" s="76"/>
      <c r="I336" s="48"/>
      <c r="J336" s="70"/>
      <c r="K336" s="70"/>
      <c r="L336" s="342"/>
      <c r="M336" s="343"/>
      <c r="N336" s="342"/>
      <c r="O336" s="344"/>
      <c r="P336" s="345"/>
      <c r="Q336" s="345"/>
      <c r="R336" s="182"/>
      <c r="U336" s="128"/>
    </row>
    <row r="337" spans="1:21" ht="18.600000000000001" thickBot="1" x14ac:dyDescent="0.35">
      <c r="A337" s="202"/>
      <c r="B337" s="203"/>
      <c r="C337" s="204"/>
      <c r="D337" s="205"/>
      <c r="E337" s="205"/>
      <c r="F337" s="165"/>
      <c r="G337" s="166"/>
      <c r="H337" s="166"/>
      <c r="I337" s="206"/>
      <c r="J337" s="206"/>
      <c r="K337" s="206"/>
      <c r="L337" s="207"/>
      <c r="M337" s="208"/>
      <c r="N337" s="207"/>
      <c r="O337" s="209"/>
      <c r="P337" s="210"/>
      <c r="Q337" s="210"/>
      <c r="R337" s="211"/>
      <c r="T337" s="4"/>
      <c r="U337" s="128"/>
    </row>
    <row r="338" spans="1:21" ht="18.600000000000001" thickBot="1" x14ac:dyDescent="0.35">
      <c r="A338" s="251"/>
      <c r="B338" s="252"/>
      <c r="C338" s="253"/>
      <c r="D338" s="254"/>
      <c r="E338" s="254"/>
      <c r="F338" s="234"/>
      <c r="G338" s="235"/>
      <c r="H338" s="235"/>
      <c r="I338" s="255"/>
      <c r="J338" s="255"/>
      <c r="K338" s="255"/>
      <c r="L338" s="256"/>
      <c r="M338" s="257"/>
      <c r="N338" s="256"/>
      <c r="O338" s="258"/>
      <c r="P338" s="259"/>
      <c r="Q338" s="260">
        <f>SUM(Q19:Q337)</f>
        <v>563980.46000000008</v>
      </c>
      <c r="R338" s="35"/>
      <c r="T338" s="4"/>
      <c r="U338" s="128"/>
    </row>
    <row r="339" spans="1:21" ht="18" x14ac:dyDescent="0.3">
      <c r="A339" s="216"/>
      <c r="B339" s="203"/>
      <c r="C339" s="217"/>
      <c r="D339" s="218"/>
      <c r="E339" s="218"/>
      <c r="F339" s="165"/>
      <c r="G339" s="166"/>
      <c r="H339" s="166"/>
      <c r="I339" s="219"/>
      <c r="J339" s="219"/>
      <c r="K339" s="219"/>
      <c r="L339" s="348" t="s">
        <v>1500</v>
      </c>
      <c r="M339" s="349" t="s">
        <v>1580</v>
      </c>
      <c r="N339" s="348" t="s">
        <v>34</v>
      </c>
      <c r="O339" s="350">
        <v>1</v>
      </c>
      <c r="P339" s="351">
        <v>22</v>
      </c>
      <c r="Q339" s="351">
        <v>22</v>
      </c>
      <c r="R339" s="266"/>
      <c r="T339" s="4"/>
      <c r="U339" s="128"/>
    </row>
    <row r="340" spans="1:21" ht="18" x14ac:dyDescent="0.3">
      <c r="A340" s="216"/>
      <c r="B340" s="203"/>
      <c r="C340" s="217"/>
      <c r="D340" s="218"/>
      <c r="E340" s="218"/>
      <c r="F340" s="165"/>
      <c r="G340" s="166"/>
      <c r="H340" s="166"/>
      <c r="I340" s="219"/>
      <c r="J340" s="219"/>
      <c r="K340" s="219"/>
      <c r="L340" s="348" t="s">
        <v>538</v>
      </c>
      <c r="M340" s="349" t="s">
        <v>117</v>
      </c>
      <c r="N340" s="348" t="s">
        <v>34</v>
      </c>
      <c r="O340" s="350">
        <v>3</v>
      </c>
      <c r="P340" s="351">
        <v>201</v>
      </c>
      <c r="Q340" s="351">
        <v>603</v>
      </c>
      <c r="R340" s="266"/>
      <c r="T340" s="4"/>
      <c r="U340" s="128"/>
    </row>
    <row r="341" spans="1:21" ht="18" x14ac:dyDescent="0.3">
      <c r="A341" s="216"/>
      <c r="B341" s="203"/>
      <c r="C341" s="217"/>
      <c r="D341" s="218"/>
      <c r="E341" s="218"/>
      <c r="F341" s="165"/>
      <c r="G341" s="166"/>
      <c r="H341" s="166"/>
      <c r="I341" s="219"/>
      <c r="J341" s="219"/>
      <c r="K341" s="219"/>
      <c r="L341" s="348" t="s">
        <v>546</v>
      </c>
      <c r="M341" s="349" t="s">
        <v>253</v>
      </c>
      <c r="N341" s="348" t="s">
        <v>34</v>
      </c>
      <c r="O341" s="350">
        <v>2</v>
      </c>
      <c r="P341" s="351">
        <v>78</v>
      </c>
      <c r="Q341" s="351">
        <v>156</v>
      </c>
      <c r="R341" s="266"/>
      <c r="T341" s="4"/>
      <c r="U341" s="128"/>
    </row>
    <row r="342" spans="1:21" ht="18" x14ac:dyDescent="0.3">
      <c r="A342" s="216"/>
      <c r="B342" s="203"/>
      <c r="C342" s="217"/>
      <c r="D342" s="218"/>
      <c r="E342" s="218"/>
      <c r="F342" s="165"/>
      <c r="G342" s="166"/>
      <c r="H342" s="166"/>
      <c r="I342" s="219"/>
      <c r="J342" s="219"/>
      <c r="K342" s="219"/>
      <c r="L342" s="348" t="s">
        <v>1470</v>
      </c>
      <c r="M342" s="349" t="s">
        <v>1549</v>
      </c>
      <c r="N342" s="348" t="s">
        <v>34</v>
      </c>
      <c r="O342" s="350">
        <v>6</v>
      </c>
      <c r="P342" s="351">
        <v>121.67</v>
      </c>
      <c r="Q342" s="351">
        <v>730.02</v>
      </c>
      <c r="R342" s="266"/>
      <c r="T342" s="4"/>
      <c r="U342" s="128"/>
    </row>
    <row r="343" spans="1:21" ht="18" x14ac:dyDescent="0.3">
      <c r="A343" s="216"/>
      <c r="B343" s="203"/>
      <c r="C343" s="217"/>
      <c r="D343" s="218"/>
      <c r="E343" s="218"/>
      <c r="F343" s="165"/>
      <c r="G343" s="166"/>
      <c r="H343" s="166"/>
      <c r="I343" s="219"/>
      <c r="J343" s="219"/>
      <c r="K343" s="219"/>
      <c r="L343" s="348" t="s">
        <v>1468</v>
      </c>
      <c r="M343" s="349" t="s">
        <v>1547</v>
      </c>
      <c r="N343" s="348" t="s">
        <v>34</v>
      </c>
      <c r="O343" s="350">
        <v>1</v>
      </c>
      <c r="P343" s="351">
        <v>54.9</v>
      </c>
      <c r="Q343" s="351">
        <v>54.9</v>
      </c>
      <c r="R343" s="266"/>
      <c r="T343" s="4"/>
      <c r="U343" s="128"/>
    </row>
    <row r="344" spans="1:21" ht="18" customHeight="1" x14ac:dyDescent="0.3">
      <c r="A344" s="216"/>
      <c r="B344" s="203"/>
      <c r="C344" s="217"/>
      <c r="D344" s="218"/>
      <c r="E344" s="218"/>
      <c r="F344" s="165"/>
      <c r="G344" s="166"/>
      <c r="H344" s="166"/>
      <c r="I344" s="219"/>
      <c r="J344" s="219"/>
      <c r="K344" s="219"/>
      <c r="L344" s="348" t="s">
        <v>1503</v>
      </c>
      <c r="M344" s="349" t="s">
        <v>1583</v>
      </c>
      <c r="N344" s="348" t="s">
        <v>35</v>
      </c>
      <c r="O344" s="350">
        <v>1</v>
      </c>
      <c r="P344" s="351">
        <v>65</v>
      </c>
      <c r="Q344" s="351">
        <v>65</v>
      </c>
      <c r="R344" s="266"/>
      <c r="T344" s="4"/>
      <c r="U344" s="128"/>
    </row>
    <row r="345" spans="1:21" ht="18" x14ac:dyDescent="0.3">
      <c r="A345" s="216"/>
      <c r="B345" s="203"/>
      <c r="C345" s="217"/>
      <c r="D345" s="218"/>
      <c r="E345" s="218"/>
      <c r="F345" s="165"/>
      <c r="G345" s="166"/>
      <c r="H345" s="166"/>
      <c r="I345" s="219"/>
      <c r="J345" s="219"/>
      <c r="K345" s="219"/>
      <c r="L345" s="348" t="s">
        <v>1510</v>
      </c>
      <c r="M345" s="349" t="s">
        <v>1591</v>
      </c>
      <c r="N345" s="348" t="s">
        <v>34</v>
      </c>
      <c r="O345" s="350">
        <v>1</v>
      </c>
      <c r="P345" s="351">
        <v>156.66999999999999</v>
      </c>
      <c r="Q345" s="351">
        <v>156.66999999999999</v>
      </c>
      <c r="R345" s="266"/>
      <c r="T345" s="4"/>
      <c r="U345" s="128"/>
    </row>
    <row r="346" spans="1:21" ht="18" x14ac:dyDescent="0.3">
      <c r="A346" s="216"/>
      <c r="B346" s="203"/>
      <c r="C346" s="217"/>
      <c r="D346" s="218"/>
      <c r="E346" s="218"/>
      <c r="F346" s="165"/>
      <c r="G346" s="166"/>
      <c r="H346" s="166"/>
      <c r="I346" s="219"/>
      <c r="J346" s="219"/>
      <c r="K346" s="219"/>
      <c r="L346" s="348" t="s">
        <v>586</v>
      </c>
      <c r="M346" s="349" t="s">
        <v>257</v>
      </c>
      <c r="N346" s="348" t="s">
        <v>34</v>
      </c>
      <c r="O346" s="350">
        <v>1</v>
      </c>
      <c r="P346" s="351">
        <v>196.94</v>
      </c>
      <c r="Q346" s="351">
        <v>196.94</v>
      </c>
      <c r="R346" s="266"/>
      <c r="T346" s="4"/>
      <c r="U346" s="128"/>
    </row>
    <row r="347" spans="1:21" ht="18" x14ac:dyDescent="0.3">
      <c r="A347" s="216"/>
      <c r="B347" s="203"/>
      <c r="C347" s="217"/>
      <c r="D347" s="218"/>
      <c r="E347" s="218"/>
      <c r="F347" s="165"/>
      <c r="G347" s="166"/>
      <c r="H347" s="166"/>
      <c r="I347" s="219"/>
      <c r="J347" s="219"/>
      <c r="K347" s="219"/>
      <c r="L347" s="348" t="s">
        <v>1465</v>
      </c>
      <c r="M347" s="349" t="s">
        <v>1544</v>
      </c>
      <c r="N347" s="348" t="s">
        <v>34</v>
      </c>
      <c r="O347" s="350">
        <v>1</v>
      </c>
      <c r="P347" s="351">
        <v>68.33</v>
      </c>
      <c r="Q347" s="351">
        <v>68.33</v>
      </c>
      <c r="R347" s="266"/>
      <c r="T347" s="4"/>
      <c r="U347" s="128"/>
    </row>
    <row r="348" spans="1:21" ht="18" x14ac:dyDescent="0.3">
      <c r="A348" s="216"/>
      <c r="B348" s="203"/>
      <c r="C348" s="217"/>
      <c r="D348" s="218"/>
      <c r="E348" s="218"/>
      <c r="F348" s="165"/>
      <c r="G348" s="166"/>
      <c r="H348" s="166"/>
      <c r="I348" s="219"/>
      <c r="J348" s="219"/>
      <c r="K348" s="219"/>
      <c r="L348" s="348" t="s">
        <v>1142</v>
      </c>
      <c r="M348" s="349" t="s">
        <v>1229</v>
      </c>
      <c r="N348" s="348" t="s">
        <v>34</v>
      </c>
      <c r="O348" s="350">
        <v>19</v>
      </c>
      <c r="P348" s="351">
        <v>254.11</v>
      </c>
      <c r="Q348" s="352">
        <v>4828</v>
      </c>
      <c r="R348" s="266"/>
      <c r="T348" s="4"/>
      <c r="U348" s="128"/>
    </row>
    <row r="349" spans="1:21" ht="18" x14ac:dyDescent="0.3">
      <c r="A349" s="216"/>
      <c r="B349" s="203"/>
      <c r="C349" s="217"/>
      <c r="D349" s="218"/>
      <c r="E349" s="218"/>
      <c r="F349" s="165"/>
      <c r="G349" s="166"/>
      <c r="H349" s="166"/>
      <c r="I349" s="219"/>
      <c r="J349" s="219"/>
      <c r="K349" s="219"/>
      <c r="L349" s="348" t="s">
        <v>1475</v>
      </c>
      <c r="M349" s="349" t="s">
        <v>1555</v>
      </c>
      <c r="N349" s="348" t="s">
        <v>64</v>
      </c>
      <c r="O349" s="350">
        <v>1</v>
      </c>
      <c r="P349" s="351">
        <v>160.32</v>
      </c>
      <c r="Q349" s="351">
        <v>160.32</v>
      </c>
      <c r="R349" s="266"/>
      <c r="T349" s="4"/>
      <c r="U349" s="128"/>
    </row>
    <row r="350" spans="1:21" ht="18" x14ac:dyDescent="0.3">
      <c r="A350" s="216"/>
      <c r="B350" s="203"/>
      <c r="C350" s="217"/>
      <c r="D350" s="218"/>
      <c r="E350" s="218"/>
      <c r="F350" s="165"/>
      <c r="G350" s="166"/>
      <c r="H350" s="166"/>
      <c r="I350" s="219"/>
      <c r="J350" s="219"/>
      <c r="K350" s="219"/>
      <c r="L350" s="348" t="s">
        <v>1501</v>
      </c>
      <c r="M350" s="349" t="s">
        <v>1581</v>
      </c>
      <c r="N350" s="348" t="s">
        <v>64</v>
      </c>
      <c r="O350" s="350">
        <v>3</v>
      </c>
      <c r="P350" s="351">
        <v>68.14</v>
      </c>
      <c r="Q350" s="351">
        <v>204.43</v>
      </c>
      <c r="R350" s="266"/>
      <c r="T350" s="4"/>
      <c r="U350" s="128"/>
    </row>
    <row r="351" spans="1:21" ht="18" x14ac:dyDescent="0.3">
      <c r="A351" s="216"/>
      <c r="B351" s="203"/>
      <c r="C351" s="217"/>
      <c r="D351" s="218"/>
      <c r="E351" s="218"/>
      <c r="F351" s="165"/>
      <c r="G351" s="166"/>
      <c r="H351" s="166"/>
      <c r="I351" s="219"/>
      <c r="J351" s="219"/>
      <c r="K351" s="219"/>
      <c r="L351" s="348" t="s">
        <v>1633</v>
      </c>
      <c r="M351" s="349" t="s">
        <v>1659</v>
      </c>
      <c r="N351" s="348" t="s">
        <v>64</v>
      </c>
      <c r="O351" s="350">
        <v>1</v>
      </c>
      <c r="P351" s="351">
        <v>51</v>
      </c>
      <c r="Q351" s="351">
        <v>51</v>
      </c>
      <c r="R351" s="266"/>
      <c r="T351" s="4"/>
      <c r="U351" s="128"/>
    </row>
    <row r="352" spans="1:21" ht="18" x14ac:dyDescent="0.3">
      <c r="A352" s="216"/>
      <c r="B352" s="203"/>
      <c r="C352" s="217"/>
      <c r="D352" s="218"/>
      <c r="E352" s="218"/>
      <c r="F352" s="165"/>
      <c r="G352" s="166"/>
      <c r="H352" s="166"/>
      <c r="I352" s="219"/>
      <c r="J352" s="219"/>
      <c r="K352" s="219"/>
      <c r="L352" s="348" t="s">
        <v>1642</v>
      </c>
      <c r="M352" s="349" t="s">
        <v>1668</v>
      </c>
      <c r="N352" s="348" t="s">
        <v>34</v>
      </c>
      <c r="O352" s="350">
        <v>1</v>
      </c>
      <c r="P352" s="351">
        <v>104.2</v>
      </c>
      <c r="Q352" s="351">
        <v>104.2</v>
      </c>
      <c r="R352" s="266"/>
      <c r="T352" s="4"/>
      <c r="U352" s="128"/>
    </row>
    <row r="353" spans="1:21" ht="18" x14ac:dyDescent="0.3">
      <c r="A353" s="216"/>
      <c r="B353" s="203"/>
      <c r="C353" s="217"/>
      <c r="D353" s="218"/>
      <c r="E353" s="218"/>
      <c r="F353" s="165"/>
      <c r="G353" s="166"/>
      <c r="H353" s="166"/>
      <c r="I353" s="219"/>
      <c r="J353" s="219"/>
      <c r="K353" s="219"/>
      <c r="L353" s="348" t="s">
        <v>1528</v>
      </c>
      <c r="M353" s="349" t="s">
        <v>1609</v>
      </c>
      <c r="N353" s="348" t="s">
        <v>34</v>
      </c>
      <c r="O353" s="350">
        <v>1</v>
      </c>
      <c r="P353" s="351">
        <v>61</v>
      </c>
      <c r="Q353" s="351">
        <v>61</v>
      </c>
      <c r="R353" s="266"/>
      <c r="T353" s="4"/>
      <c r="U353" s="128"/>
    </row>
    <row r="354" spans="1:21" ht="18" x14ac:dyDescent="0.3">
      <c r="A354" s="216"/>
      <c r="B354" s="203"/>
      <c r="C354" s="217"/>
      <c r="D354" s="218"/>
      <c r="E354" s="218"/>
      <c r="F354" s="165"/>
      <c r="G354" s="166"/>
      <c r="H354" s="166"/>
      <c r="I354" s="219"/>
      <c r="J354" s="219"/>
      <c r="K354" s="219"/>
      <c r="L354" s="348" t="s">
        <v>599</v>
      </c>
      <c r="M354" s="349" t="s">
        <v>129</v>
      </c>
      <c r="N354" s="348" t="s">
        <v>34</v>
      </c>
      <c r="O354" s="350">
        <v>1</v>
      </c>
      <c r="P354" s="351">
        <v>17.5</v>
      </c>
      <c r="Q354" s="351">
        <v>17.5</v>
      </c>
      <c r="R354" s="266"/>
      <c r="T354" s="4"/>
      <c r="U354" s="128"/>
    </row>
    <row r="355" spans="1:21" ht="18" x14ac:dyDescent="0.3">
      <c r="A355" s="216"/>
      <c r="B355" s="203"/>
      <c r="C355" s="217"/>
      <c r="D355" s="218"/>
      <c r="E355" s="218"/>
      <c r="F355" s="165"/>
      <c r="G355" s="166"/>
      <c r="H355" s="166"/>
      <c r="I355" s="219"/>
      <c r="J355" s="219"/>
      <c r="K355" s="219"/>
      <c r="L355" s="348" t="s">
        <v>600</v>
      </c>
      <c r="M355" s="349" t="s">
        <v>258</v>
      </c>
      <c r="N355" s="348" t="s">
        <v>34</v>
      </c>
      <c r="O355" s="350">
        <v>2</v>
      </c>
      <c r="P355" s="351">
        <v>149.16999999999999</v>
      </c>
      <c r="Q355" s="351">
        <v>298.33999999999997</v>
      </c>
      <c r="R355" s="266"/>
      <c r="T355" s="4"/>
      <c r="U355" s="128"/>
    </row>
    <row r="356" spans="1:21" ht="18" x14ac:dyDescent="0.3">
      <c r="A356" s="216"/>
      <c r="B356" s="203"/>
      <c r="C356" s="217"/>
      <c r="D356" s="218"/>
      <c r="E356" s="218"/>
      <c r="F356" s="165"/>
      <c r="G356" s="166"/>
      <c r="H356" s="166"/>
      <c r="I356" s="219"/>
      <c r="J356" s="219"/>
      <c r="K356" s="219"/>
      <c r="L356" s="348" t="s">
        <v>1643</v>
      </c>
      <c r="M356" s="349" t="s">
        <v>1669</v>
      </c>
      <c r="N356" s="348" t="s">
        <v>34</v>
      </c>
      <c r="O356" s="350">
        <v>1</v>
      </c>
      <c r="P356" s="351">
        <v>197.5</v>
      </c>
      <c r="Q356" s="351">
        <v>197.5</v>
      </c>
      <c r="R356" s="266"/>
      <c r="T356" s="4"/>
      <c r="U356" s="128"/>
    </row>
    <row r="357" spans="1:21" ht="18" x14ac:dyDescent="0.3">
      <c r="A357" s="216"/>
      <c r="B357" s="203"/>
      <c r="C357" s="217"/>
      <c r="D357" s="218"/>
      <c r="E357" s="218"/>
      <c r="F357" s="165"/>
      <c r="G357" s="166"/>
      <c r="H357" s="166"/>
      <c r="I357" s="219"/>
      <c r="J357" s="219"/>
      <c r="K357" s="219"/>
      <c r="L357" s="348" t="s">
        <v>1487</v>
      </c>
      <c r="M357" s="349" t="s">
        <v>1567</v>
      </c>
      <c r="N357" s="348" t="s">
        <v>34</v>
      </c>
      <c r="O357" s="350">
        <v>2</v>
      </c>
      <c r="P357" s="351">
        <v>34</v>
      </c>
      <c r="Q357" s="351">
        <v>68</v>
      </c>
      <c r="R357" s="266"/>
      <c r="T357" s="4"/>
      <c r="U357" s="128"/>
    </row>
    <row r="358" spans="1:21" ht="18" x14ac:dyDescent="0.3">
      <c r="A358" s="216"/>
      <c r="B358" s="203"/>
      <c r="C358" s="217"/>
      <c r="D358" s="218"/>
      <c r="E358" s="218"/>
      <c r="F358" s="165"/>
      <c r="G358" s="166"/>
      <c r="H358" s="166"/>
      <c r="I358" s="219"/>
      <c r="J358" s="219"/>
      <c r="K358" s="219"/>
      <c r="L358" s="348" t="s">
        <v>1684</v>
      </c>
      <c r="M358" s="349" t="s">
        <v>1702</v>
      </c>
      <c r="N358" s="348" t="s">
        <v>34</v>
      </c>
      <c r="O358" s="350">
        <v>1</v>
      </c>
      <c r="P358" s="351">
        <v>265.8</v>
      </c>
      <c r="Q358" s="351">
        <v>265.8</v>
      </c>
      <c r="R358" s="266"/>
      <c r="T358" s="4"/>
      <c r="U358" s="128"/>
    </row>
    <row r="359" spans="1:21" ht="18" x14ac:dyDescent="0.3">
      <c r="A359" s="216"/>
      <c r="B359" s="203"/>
      <c r="C359" s="217"/>
      <c r="D359" s="218"/>
      <c r="E359" s="218"/>
      <c r="F359" s="165"/>
      <c r="G359" s="166"/>
      <c r="H359" s="166"/>
      <c r="I359" s="219"/>
      <c r="J359" s="219"/>
      <c r="K359" s="219"/>
      <c r="L359" s="348" t="s">
        <v>1511</v>
      </c>
      <c r="M359" s="349" t="s">
        <v>1592</v>
      </c>
      <c r="N359" s="348" t="s">
        <v>34</v>
      </c>
      <c r="O359" s="350">
        <v>9</v>
      </c>
      <c r="P359" s="351">
        <v>3.6</v>
      </c>
      <c r="Q359" s="351">
        <v>32.4</v>
      </c>
      <c r="R359" s="266"/>
      <c r="T359" s="4"/>
      <c r="U359" s="128"/>
    </row>
    <row r="360" spans="1:21" ht="18" x14ac:dyDescent="0.3">
      <c r="A360" s="216"/>
      <c r="B360" s="203"/>
      <c r="C360" s="217"/>
      <c r="D360" s="218"/>
      <c r="E360" s="218"/>
      <c r="F360" s="165"/>
      <c r="G360" s="166"/>
      <c r="H360" s="166"/>
      <c r="I360" s="219"/>
      <c r="J360" s="219"/>
      <c r="K360" s="219"/>
      <c r="L360" s="348" t="s">
        <v>1722</v>
      </c>
      <c r="M360" s="349" t="s">
        <v>1743</v>
      </c>
      <c r="N360" s="348" t="s">
        <v>34</v>
      </c>
      <c r="O360" s="350">
        <v>1</v>
      </c>
      <c r="P360" s="351">
        <v>139</v>
      </c>
      <c r="Q360" s="351">
        <v>139</v>
      </c>
      <c r="R360" s="266"/>
      <c r="T360" s="4"/>
      <c r="U360" s="128"/>
    </row>
    <row r="361" spans="1:21" ht="18" x14ac:dyDescent="0.3">
      <c r="A361" s="216"/>
      <c r="B361" s="203"/>
      <c r="C361" s="217"/>
      <c r="D361" s="218"/>
      <c r="E361" s="218"/>
      <c r="F361" s="165"/>
      <c r="G361" s="166"/>
      <c r="H361" s="166"/>
      <c r="I361" s="219"/>
      <c r="J361" s="219"/>
      <c r="K361" s="219"/>
      <c r="L361" s="348" t="s">
        <v>607</v>
      </c>
      <c r="M361" s="349" t="s">
        <v>608</v>
      </c>
      <c r="N361" s="348" t="s">
        <v>34</v>
      </c>
      <c r="O361" s="350">
        <v>13</v>
      </c>
      <c r="P361" s="351">
        <v>44.2</v>
      </c>
      <c r="Q361" s="351">
        <v>574.6</v>
      </c>
      <c r="R361" s="266"/>
      <c r="T361" s="4"/>
      <c r="U361" s="128"/>
    </row>
    <row r="362" spans="1:21" ht="18" x14ac:dyDescent="0.3">
      <c r="A362" s="216"/>
      <c r="B362" s="203"/>
      <c r="C362" s="217"/>
      <c r="D362" s="218"/>
      <c r="E362" s="218"/>
      <c r="F362" s="165"/>
      <c r="G362" s="166"/>
      <c r="H362" s="166"/>
      <c r="I362" s="219"/>
      <c r="J362" s="219"/>
      <c r="K362" s="219"/>
      <c r="L362" s="348" t="s">
        <v>1726</v>
      </c>
      <c r="M362" s="349" t="s">
        <v>1747</v>
      </c>
      <c r="N362" s="348" t="s">
        <v>34</v>
      </c>
      <c r="O362" s="350">
        <v>1</v>
      </c>
      <c r="P362" s="351">
        <v>220</v>
      </c>
      <c r="Q362" s="351">
        <v>220</v>
      </c>
      <c r="R362" s="266"/>
      <c r="T362" s="4"/>
      <c r="U362" s="128"/>
    </row>
    <row r="363" spans="1:21" ht="18" x14ac:dyDescent="0.3">
      <c r="A363" s="216"/>
      <c r="B363" s="203"/>
      <c r="C363" s="217"/>
      <c r="D363" s="218"/>
      <c r="E363" s="218"/>
      <c r="F363" s="165"/>
      <c r="G363" s="166"/>
      <c r="H363" s="166"/>
      <c r="I363" s="219"/>
      <c r="J363" s="219"/>
      <c r="K363" s="219"/>
      <c r="L363" s="348" t="s">
        <v>1514</v>
      </c>
      <c r="M363" s="349" t="s">
        <v>1595</v>
      </c>
      <c r="N363" s="348" t="s">
        <v>34</v>
      </c>
      <c r="O363" s="350">
        <v>5</v>
      </c>
      <c r="P363" s="351">
        <v>55.5</v>
      </c>
      <c r="Q363" s="351">
        <v>277.5</v>
      </c>
      <c r="R363" s="266"/>
      <c r="T363" s="4"/>
      <c r="U363" s="128"/>
    </row>
    <row r="364" spans="1:21" ht="18" x14ac:dyDescent="0.3">
      <c r="A364" s="216"/>
      <c r="B364" s="203"/>
      <c r="C364" s="217"/>
      <c r="D364" s="218"/>
      <c r="E364" s="218"/>
      <c r="F364" s="165"/>
      <c r="G364" s="166"/>
      <c r="H364" s="166"/>
      <c r="I364" s="219"/>
      <c r="J364" s="219"/>
      <c r="K364" s="219"/>
      <c r="L364" s="348" t="s">
        <v>625</v>
      </c>
      <c r="M364" s="349" t="s">
        <v>136</v>
      </c>
      <c r="N364" s="348" t="s">
        <v>34</v>
      </c>
      <c r="O364" s="350">
        <v>6</v>
      </c>
      <c r="P364" s="351">
        <v>56.77</v>
      </c>
      <c r="Q364" s="351">
        <v>340.59</v>
      </c>
      <c r="R364" s="266"/>
      <c r="T364" s="4"/>
      <c r="U364" s="128"/>
    </row>
    <row r="365" spans="1:21" ht="18" x14ac:dyDescent="0.3">
      <c r="A365" s="216"/>
      <c r="B365" s="203"/>
      <c r="C365" s="217"/>
      <c r="D365" s="218"/>
      <c r="E365" s="218"/>
      <c r="F365" s="165"/>
      <c r="G365" s="166"/>
      <c r="H365" s="166"/>
      <c r="I365" s="219"/>
      <c r="J365" s="219"/>
      <c r="K365" s="219"/>
      <c r="L365" s="348" t="s">
        <v>1420</v>
      </c>
      <c r="M365" s="349" t="s">
        <v>1443</v>
      </c>
      <c r="N365" s="348" t="s">
        <v>34</v>
      </c>
      <c r="O365" s="350">
        <v>5</v>
      </c>
      <c r="P365" s="351">
        <v>99.9</v>
      </c>
      <c r="Q365" s="351">
        <v>499.51</v>
      </c>
      <c r="R365" s="266"/>
      <c r="T365" s="4"/>
      <c r="U365" s="128"/>
    </row>
    <row r="366" spans="1:21" ht="18" x14ac:dyDescent="0.3">
      <c r="A366" s="216"/>
      <c r="B366" s="203"/>
      <c r="C366" s="217"/>
      <c r="D366" s="218"/>
      <c r="E366" s="218"/>
      <c r="F366" s="165"/>
      <c r="G366" s="166"/>
      <c r="H366" s="166"/>
      <c r="I366" s="219"/>
      <c r="J366" s="219"/>
      <c r="K366" s="219"/>
      <c r="L366" s="348" t="s">
        <v>1680</v>
      </c>
      <c r="M366" s="349" t="s">
        <v>1698</v>
      </c>
      <c r="N366" s="348" t="s">
        <v>34</v>
      </c>
      <c r="O366" s="350">
        <v>1</v>
      </c>
      <c r="P366" s="351">
        <v>358.52</v>
      </c>
      <c r="Q366" s="351">
        <v>358.52</v>
      </c>
      <c r="R366" s="266"/>
      <c r="T366" s="4"/>
      <c r="U366" s="128"/>
    </row>
    <row r="367" spans="1:21" ht="18" x14ac:dyDescent="0.3">
      <c r="A367" s="216"/>
      <c r="B367" s="203"/>
      <c r="C367" s="217"/>
      <c r="D367" s="218"/>
      <c r="E367" s="218"/>
      <c r="F367" s="165"/>
      <c r="G367" s="166"/>
      <c r="H367" s="166"/>
      <c r="I367" s="219"/>
      <c r="J367" s="219"/>
      <c r="K367" s="219"/>
      <c r="L367" s="348" t="s">
        <v>629</v>
      </c>
      <c r="M367" s="349" t="s">
        <v>138</v>
      </c>
      <c r="N367" s="348" t="s">
        <v>34</v>
      </c>
      <c r="O367" s="350">
        <v>1</v>
      </c>
      <c r="P367" s="351">
        <v>118</v>
      </c>
      <c r="Q367" s="351">
        <v>118</v>
      </c>
      <c r="R367" s="266"/>
      <c r="T367" s="4"/>
      <c r="U367" s="128"/>
    </row>
    <row r="368" spans="1:21" ht="18" x14ac:dyDescent="0.3">
      <c r="A368" s="216"/>
      <c r="B368" s="203"/>
      <c r="C368" s="217"/>
      <c r="D368" s="218"/>
      <c r="E368" s="218"/>
      <c r="F368" s="165"/>
      <c r="G368" s="166"/>
      <c r="H368" s="166"/>
      <c r="I368" s="219"/>
      <c r="J368" s="219"/>
      <c r="K368" s="219"/>
      <c r="L368" s="348" t="s">
        <v>1527</v>
      </c>
      <c r="M368" s="349" t="s">
        <v>1608</v>
      </c>
      <c r="N368" s="348" t="s">
        <v>34</v>
      </c>
      <c r="O368" s="350">
        <v>12</v>
      </c>
      <c r="P368" s="351">
        <v>18.22</v>
      </c>
      <c r="Q368" s="351">
        <v>218.67</v>
      </c>
      <c r="R368" s="266"/>
      <c r="T368" s="4"/>
      <c r="U368" s="128"/>
    </row>
    <row r="369" spans="1:21" ht="18" x14ac:dyDescent="0.3">
      <c r="A369" s="216"/>
      <c r="B369" s="203"/>
      <c r="C369" s="217"/>
      <c r="D369" s="218"/>
      <c r="E369" s="218"/>
      <c r="F369" s="165"/>
      <c r="G369" s="166"/>
      <c r="H369" s="166"/>
      <c r="I369" s="219"/>
      <c r="J369" s="219"/>
      <c r="K369" s="219"/>
      <c r="L369" s="348" t="s">
        <v>1531</v>
      </c>
      <c r="M369" s="349" t="s">
        <v>1611</v>
      </c>
      <c r="N369" s="348" t="s">
        <v>34</v>
      </c>
      <c r="O369" s="350">
        <v>2</v>
      </c>
      <c r="P369" s="351">
        <v>127</v>
      </c>
      <c r="Q369" s="351">
        <v>254</v>
      </c>
      <c r="R369" s="266"/>
      <c r="T369" s="4"/>
      <c r="U369" s="128"/>
    </row>
    <row r="370" spans="1:21" ht="18" x14ac:dyDescent="0.3">
      <c r="A370" s="216"/>
      <c r="B370" s="203"/>
      <c r="C370" s="217"/>
      <c r="D370" s="218"/>
      <c r="E370" s="218"/>
      <c r="F370" s="165"/>
      <c r="G370" s="166"/>
      <c r="H370" s="166"/>
      <c r="I370" s="219"/>
      <c r="J370" s="219"/>
      <c r="K370" s="219"/>
      <c r="L370" s="348" t="s">
        <v>634</v>
      </c>
      <c r="M370" s="349" t="s">
        <v>139</v>
      </c>
      <c r="N370" s="348" t="s">
        <v>34</v>
      </c>
      <c r="O370" s="350">
        <v>1</v>
      </c>
      <c r="P370" s="351">
        <v>127</v>
      </c>
      <c r="Q370" s="351">
        <v>127</v>
      </c>
      <c r="R370" s="266"/>
      <c r="T370" s="4"/>
      <c r="U370" s="128"/>
    </row>
    <row r="371" spans="1:21" ht="18" x14ac:dyDescent="0.3">
      <c r="A371" s="216"/>
      <c r="B371" s="203"/>
      <c r="C371" s="217"/>
      <c r="D371" s="218"/>
      <c r="E371" s="218"/>
      <c r="F371" s="165"/>
      <c r="G371" s="166"/>
      <c r="H371" s="166"/>
      <c r="I371" s="219"/>
      <c r="J371" s="219"/>
      <c r="K371" s="219"/>
      <c r="L371" s="348" t="s">
        <v>638</v>
      </c>
      <c r="M371" s="349" t="s">
        <v>639</v>
      </c>
      <c r="N371" s="348" t="s">
        <v>64</v>
      </c>
      <c r="O371" s="350">
        <v>2</v>
      </c>
      <c r="P371" s="351">
        <v>149.16999999999999</v>
      </c>
      <c r="Q371" s="351">
        <v>298.33999999999997</v>
      </c>
      <c r="R371" s="266"/>
      <c r="T371" s="4"/>
      <c r="U371" s="128"/>
    </row>
    <row r="372" spans="1:21" ht="18" x14ac:dyDescent="0.3">
      <c r="A372" s="216"/>
      <c r="B372" s="203"/>
      <c r="C372" s="217"/>
      <c r="D372" s="218"/>
      <c r="E372" s="218"/>
      <c r="F372" s="165"/>
      <c r="G372" s="166"/>
      <c r="H372" s="166"/>
      <c r="I372" s="219"/>
      <c r="J372" s="219"/>
      <c r="K372" s="219"/>
      <c r="L372" s="348" t="s">
        <v>1529</v>
      </c>
      <c r="M372" s="349" t="s">
        <v>410</v>
      </c>
      <c r="N372" s="348" t="s">
        <v>34</v>
      </c>
      <c r="O372" s="350">
        <v>9</v>
      </c>
      <c r="P372" s="351">
        <v>166.48</v>
      </c>
      <c r="Q372" s="352">
        <v>1498.34</v>
      </c>
      <c r="R372" s="266"/>
      <c r="T372" s="4"/>
      <c r="U372" s="128"/>
    </row>
    <row r="373" spans="1:21" ht="18" x14ac:dyDescent="0.3">
      <c r="A373" s="216"/>
      <c r="B373" s="203"/>
      <c r="C373" s="217"/>
      <c r="D373" s="218"/>
      <c r="E373" s="218"/>
      <c r="F373" s="165"/>
      <c r="G373" s="166"/>
      <c r="H373" s="166"/>
      <c r="I373" s="219"/>
      <c r="J373" s="219"/>
      <c r="K373" s="219"/>
      <c r="L373" s="348" t="s">
        <v>1461</v>
      </c>
      <c r="M373" s="349" t="s">
        <v>1540</v>
      </c>
      <c r="N373" s="348" t="s">
        <v>34</v>
      </c>
      <c r="O373" s="350">
        <v>5</v>
      </c>
      <c r="P373" s="351">
        <v>232.5</v>
      </c>
      <c r="Q373" s="352">
        <v>1162.5</v>
      </c>
      <c r="R373" s="266"/>
      <c r="T373" s="4"/>
      <c r="U373" s="128"/>
    </row>
    <row r="374" spans="1:21" ht="18" x14ac:dyDescent="0.3">
      <c r="A374" s="216"/>
      <c r="B374" s="203"/>
      <c r="C374" s="217"/>
      <c r="D374" s="218"/>
      <c r="E374" s="218"/>
      <c r="F374" s="165"/>
      <c r="G374" s="166"/>
      <c r="H374" s="166"/>
      <c r="I374" s="219"/>
      <c r="J374" s="219"/>
      <c r="K374" s="219"/>
      <c r="L374" s="348" t="s">
        <v>646</v>
      </c>
      <c r="M374" s="349" t="s">
        <v>647</v>
      </c>
      <c r="N374" s="348" t="s">
        <v>34</v>
      </c>
      <c r="O374" s="350">
        <v>2</v>
      </c>
      <c r="P374" s="351">
        <v>422</v>
      </c>
      <c r="Q374" s="351">
        <v>844</v>
      </c>
      <c r="R374" s="266"/>
      <c r="T374" s="4"/>
      <c r="U374" s="128"/>
    </row>
    <row r="375" spans="1:21" ht="18" x14ac:dyDescent="0.3">
      <c r="A375" s="216"/>
      <c r="B375" s="203"/>
      <c r="C375" s="217"/>
      <c r="D375" s="218"/>
      <c r="E375" s="218"/>
      <c r="F375" s="165"/>
      <c r="G375" s="166"/>
      <c r="H375" s="166"/>
      <c r="I375" s="219"/>
      <c r="J375" s="219"/>
      <c r="K375" s="219"/>
      <c r="L375" s="348" t="s">
        <v>1718</v>
      </c>
      <c r="M375" s="349" t="s">
        <v>1739</v>
      </c>
      <c r="N375" s="348" t="s">
        <v>34</v>
      </c>
      <c r="O375" s="350">
        <v>1</v>
      </c>
      <c r="P375" s="351">
        <v>91</v>
      </c>
      <c r="Q375" s="351">
        <v>91</v>
      </c>
      <c r="R375" s="266"/>
      <c r="T375" s="4"/>
      <c r="U375" s="128"/>
    </row>
    <row r="376" spans="1:21" ht="18" x14ac:dyDescent="0.3">
      <c r="A376" s="216"/>
      <c r="B376" s="203"/>
      <c r="C376" s="217"/>
      <c r="D376" s="218"/>
      <c r="E376" s="218"/>
      <c r="F376" s="165"/>
      <c r="G376" s="166"/>
      <c r="H376" s="166"/>
      <c r="I376" s="219"/>
      <c r="J376" s="219"/>
      <c r="K376" s="219"/>
      <c r="L376" s="348" t="s">
        <v>648</v>
      </c>
      <c r="M376" s="349" t="s">
        <v>145</v>
      </c>
      <c r="N376" s="348" t="s">
        <v>37</v>
      </c>
      <c r="O376" s="350">
        <v>22</v>
      </c>
      <c r="P376" s="351">
        <v>61.25</v>
      </c>
      <c r="Q376" s="352">
        <v>1347.5</v>
      </c>
      <c r="R376" s="266"/>
      <c r="T376" s="4"/>
      <c r="U376" s="128"/>
    </row>
    <row r="377" spans="1:21" ht="18" x14ac:dyDescent="0.3">
      <c r="A377" s="216"/>
      <c r="B377" s="203"/>
      <c r="C377" s="217"/>
      <c r="D377" s="218"/>
      <c r="E377" s="218"/>
      <c r="F377" s="165"/>
      <c r="G377" s="166"/>
      <c r="H377" s="166"/>
      <c r="I377" s="219"/>
      <c r="J377" s="219"/>
      <c r="K377" s="219"/>
      <c r="L377" s="348" t="s">
        <v>649</v>
      </c>
      <c r="M377" s="349" t="s">
        <v>650</v>
      </c>
      <c r="N377" s="348" t="s">
        <v>34</v>
      </c>
      <c r="O377" s="350">
        <v>3</v>
      </c>
      <c r="P377" s="351">
        <v>48.08</v>
      </c>
      <c r="Q377" s="351">
        <v>144.25</v>
      </c>
      <c r="R377" s="266"/>
      <c r="T377" s="4"/>
      <c r="U377" s="128"/>
    </row>
    <row r="378" spans="1:21" ht="18" x14ac:dyDescent="0.3">
      <c r="A378" s="216"/>
      <c r="B378" s="203"/>
      <c r="C378" s="217"/>
      <c r="D378" s="218"/>
      <c r="E378" s="218"/>
      <c r="F378" s="165"/>
      <c r="G378" s="166"/>
      <c r="H378" s="166"/>
      <c r="I378" s="219"/>
      <c r="J378" s="219"/>
      <c r="K378" s="219"/>
      <c r="L378" s="348" t="s">
        <v>651</v>
      </c>
      <c r="M378" s="349" t="s">
        <v>652</v>
      </c>
      <c r="N378" s="348" t="s">
        <v>34</v>
      </c>
      <c r="O378" s="350">
        <v>1</v>
      </c>
      <c r="P378" s="351">
        <v>153.33000000000001</v>
      </c>
      <c r="Q378" s="351">
        <v>153.33000000000001</v>
      </c>
      <c r="R378" s="266"/>
      <c r="T378" s="4"/>
      <c r="U378" s="128"/>
    </row>
    <row r="379" spans="1:21" ht="30" x14ac:dyDescent="0.3">
      <c r="A379" s="216"/>
      <c r="B379" s="203"/>
      <c r="C379" s="217"/>
      <c r="D379" s="218"/>
      <c r="E379" s="218"/>
      <c r="F379" s="165"/>
      <c r="G379" s="166"/>
      <c r="H379" s="166"/>
      <c r="I379" s="219"/>
      <c r="J379" s="219"/>
      <c r="K379" s="219"/>
      <c r="L379" s="348" t="s">
        <v>1467</v>
      </c>
      <c r="M379" s="349" t="s">
        <v>1546</v>
      </c>
      <c r="N379" s="348" t="s">
        <v>34</v>
      </c>
      <c r="O379" s="350">
        <v>1</v>
      </c>
      <c r="P379" s="351">
        <v>1</v>
      </c>
      <c r="Q379" s="351">
        <v>1</v>
      </c>
      <c r="R379" s="266"/>
      <c r="T379" s="4"/>
      <c r="U379" s="128"/>
    </row>
    <row r="380" spans="1:21" ht="18" x14ac:dyDescent="0.3">
      <c r="A380" s="216"/>
      <c r="B380" s="203"/>
      <c r="C380" s="217"/>
      <c r="D380" s="218"/>
      <c r="E380" s="218"/>
      <c r="F380" s="165"/>
      <c r="G380" s="166"/>
      <c r="H380" s="166"/>
      <c r="I380" s="219"/>
      <c r="J380" s="219"/>
      <c r="K380" s="219"/>
      <c r="L380" s="348" t="s">
        <v>1486</v>
      </c>
      <c r="M380" s="349" t="s">
        <v>1566</v>
      </c>
      <c r="N380" s="348" t="s">
        <v>34</v>
      </c>
      <c r="O380" s="350">
        <v>3</v>
      </c>
      <c r="P380" s="351">
        <v>247.07</v>
      </c>
      <c r="Q380" s="351">
        <v>741.2</v>
      </c>
      <c r="R380" s="266"/>
      <c r="T380" s="4"/>
      <c r="U380" s="128"/>
    </row>
    <row r="381" spans="1:21" ht="18" x14ac:dyDescent="0.3">
      <c r="A381" s="216"/>
      <c r="B381" s="203"/>
      <c r="C381" s="217"/>
      <c r="D381" s="218"/>
      <c r="E381" s="218"/>
      <c r="F381" s="165"/>
      <c r="G381" s="166"/>
      <c r="H381" s="166"/>
      <c r="I381" s="219"/>
      <c r="J381" s="219"/>
      <c r="K381" s="219"/>
      <c r="L381" s="348" t="s">
        <v>1725</v>
      </c>
      <c r="M381" s="349" t="s">
        <v>1746</v>
      </c>
      <c r="N381" s="348" t="s">
        <v>34</v>
      </c>
      <c r="O381" s="350">
        <v>1</v>
      </c>
      <c r="P381" s="351">
        <v>208.5</v>
      </c>
      <c r="Q381" s="351">
        <v>208.5</v>
      </c>
      <c r="R381" s="266"/>
      <c r="T381" s="4"/>
      <c r="U381" s="128"/>
    </row>
    <row r="382" spans="1:21" ht="18" x14ac:dyDescent="0.3">
      <c r="A382" s="216"/>
      <c r="B382" s="203"/>
      <c r="C382" s="217"/>
      <c r="D382" s="218"/>
      <c r="E382" s="218"/>
      <c r="F382" s="165"/>
      <c r="G382" s="166"/>
      <c r="H382" s="166"/>
      <c r="I382" s="219"/>
      <c r="J382" s="219"/>
      <c r="K382" s="219"/>
      <c r="L382" s="348" t="s">
        <v>1509</v>
      </c>
      <c r="M382" s="349" t="s">
        <v>1590</v>
      </c>
      <c r="N382" s="348" t="s">
        <v>147</v>
      </c>
      <c r="O382" s="350">
        <v>5</v>
      </c>
      <c r="P382" s="351">
        <v>127</v>
      </c>
      <c r="Q382" s="351">
        <v>635</v>
      </c>
      <c r="R382" s="266"/>
      <c r="T382" s="4"/>
      <c r="U382" s="128"/>
    </row>
    <row r="383" spans="1:21" ht="18" x14ac:dyDescent="0.3">
      <c r="A383" s="216"/>
      <c r="B383" s="203"/>
      <c r="C383" s="217"/>
      <c r="D383" s="218"/>
      <c r="E383" s="218"/>
      <c r="F383" s="165"/>
      <c r="G383" s="166"/>
      <c r="H383" s="166"/>
      <c r="I383" s="219"/>
      <c r="J383" s="219"/>
      <c r="K383" s="219"/>
      <c r="L383" s="348" t="s">
        <v>660</v>
      </c>
      <c r="M383" s="349" t="s">
        <v>1588</v>
      </c>
      <c r="N383" s="348" t="s">
        <v>147</v>
      </c>
      <c r="O383" s="350">
        <v>41</v>
      </c>
      <c r="P383" s="351">
        <v>25.44</v>
      </c>
      <c r="Q383" s="352">
        <v>1043.22</v>
      </c>
      <c r="R383" s="266"/>
      <c r="T383" s="4"/>
      <c r="U383" s="128"/>
    </row>
    <row r="384" spans="1:21" ht="18" x14ac:dyDescent="0.3">
      <c r="A384" s="216"/>
      <c r="B384" s="203"/>
      <c r="C384" s="217"/>
      <c r="D384" s="218"/>
      <c r="E384" s="218"/>
      <c r="F384" s="165"/>
      <c r="G384" s="166"/>
      <c r="H384" s="166"/>
      <c r="I384" s="219"/>
      <c r="J384" s="219"/>
      <c r="K384" s="219"/>
      <c r="L384" s="348" t="s">
        <v>1498</v>
      </c>
      <c r="M384" s="349" t="s">
        <v>1578</v>
      </c>
      <c r="N384" s="348" t="s">
        <v>34</v>
      </c>
      <c r="O384" s="350">
        <v>5</v>
      </c>
      <c r="P384" s="351">
        <v>247.84</v>
      </c>
      <c r="Q384" s="352">
        <v>1239.22</v>
      </c>
      <c r="R384" s="266"/>
      <c r="T384" s="4"/>
      <c r="U384" s="128"/>
    </row>
    <row r="385" spans="1:21" ht="18" x14ac:dyDescent="0.3">
      <c r="A385" s="216"/>
      <c r="B385" s="203"/>
      <c r="C385" s="217"/>
      <c r="D385" s="218"/>
      <c r="E385" s="218"/>
      <c r="F385" s="165"/>
      <c r="G385" s="166"/>
      <c r="H385" s="166"/>
      <c r="I385" s="219"/>
      <c r="J385" s="219"/>
      <c r="K385" s="219"/>
      <c r="L385" s="348" t="s">
        <v>663</v>
      </c>
      <c r="M385" s="349" t="s">
        <v>151</v>
      </c>
      <c r="N385" s="348" t="s">
        <v>34</v>
      </c>
      <c r="O385" s="350">
        <v>1</v>
      </c>
      <c r="P385" s="351">
        <v>624.20000000000005</v>
      </c>
      <c r="Q385" s="351">
        <v>624.20000000000005</v>
      </c>
      <c r="R385" s="266"/>
      <c r="T385" s="4"/>
      <c r="U385" s="128"/>
    </row>
    <row r="386" spans="1:21" ht="18" x14ac:dyDescent="0.3">
      <c r="A386" s="216"/>
      <c r="B386" s="203"/>
      <c r="C386" s="217"/>
      <c r="D386" s="218"/>
      <c r="E386" s="218"/>
      <c r="F386" s="165"/>
      <c r="G386" s="166"/>
      <c r="H386" s="166"/>
      <c r="I386" s="219"/>
      <c r="J386" s="219"/>
      <c r="K386" s="219"/>
      <c r="L386" s="348" t="s">
        <v>1493</v>
      </c>
      <c r="M386" s="349" t="s">
        <v>1573</v>
      </c>
      <c r="N386" s="348" t="s">
        <v>34</v>
      </c>
      <c r="O386" s="350">
        <v>1</v>
      </c>
      <c r="P386" s="351">
        <v>97.5</v>
      </c>
      <c r="Q386" s="351">
        <v>97.5</v>
      </c>
      <c r="R386" s="266"/>
      <c r="T386" s="4"/>
      <c r="U386" s="128"/>
    </row>
    <row r="387" spans="1:21" ht="18" x14ac:dyDescent="0.3">
      <c r="A387" s="216"/>
      <c r="B387" s="203"/>
      <c r="C387" s="217"/>
      <c r="D387" s="218"/>
      <c r="E387" s="218"/>
      <c r="F387" s="165"/>
      <c r="G387" s="166"/>
      <c r="H387" s="166"/>
      <c r="I387" s="219"/>
      <c r="J387" s="219"/>
      <c r="K387" s="219"/>
      <c r="L387" s="348" t="s">
        <v>1671</v>
      </c>
      <c r="M387" s="349" t="s">
        <v>1689</v>
      </c>
      <c r="N387" s="348" t="s">
        <v>34</v>
      </c>
      <c r="O387" s="350">
        <v>1</v>
      </c>
      <c r="P387" s="351">
        <v>206.84</v>
      </c>
      <c r="Q387" s="351">
        <v>206.84</v>
      </c>
      <c r="R387" s="266"/>
      <c r="T387" s="4"/>
      <c r="U387" s="128"/>
    </row>
    <row r="388" spans="1:21" ht="18" x14ac:dyDescent="0.3">
      <c r="A388" s="216"/>
      <c r="B388" s="203"/>
      <c r="C388" s="217"/>
      <c r="D388" s="218"/>
      <c r="E388" s="218"/>
      <c r="F388" s="165"/>
      <c r="G388" s="166"/>
      <c r="H388" s="166"/>
      <c r="I388" s="219"/>
      <c r="J388" s="219"/>
      <c r="K388" s="219"/>
      <c r="L388" s="348" t="s">
        <v>1464</v>
      </c>
      <c r="M388" s="349" t="s">
        <v>1543</v>
      </c>
      <c r="N388" s="348" t="s">
        <v>34</v>
      </c>
      <c r="O388" s="350">
        <v>5</v>
      </c>
      <c r="P388" s="351">
        <v>186</v>
      </c>
      <c r="Q388" s="351">
        <v>930</v>
      </c>
      <c r="R388" s="266"/>
      <c r="T388" s="4"/>
      <c r="U388" s="128"/>
    </row>
    <row r="389" spans="1:21" ht="18" x14ac:dyDescent="0.3">
      <c r="A389" s="216"/>
      <c r="B389" s="203"/>
      <c r="C389" s="217"/>
      <c r="D389" s="218"/>
      <c r="E389" s="218"/>
      <c r="F389" s="165"/>
      <c r="G389" s="166"/>
      <c r="H389" s="166"/>
      <c r="I389" s="219"/>
      <c r="J389" s="219"/>
      <c r="K389" s="219"/>
      <c r="L389" s="348" t="s">
        <v>1492</v>
      </c>
      <c r="M389" s="349" t="s">
        <v>1572</v>
      </c>
      <c r="N389" s="348" t="s">
        <v>34</v>
      </c>
      <c r="O389" s="350">
        <v>2</v>
      </c>
      <c r="P389" s="351">
        <v>93</v>
      </c>
      <c r="Q389" s="351">
        <v>186</v>
      </c>
      <c r="R389" s="266"/>
      <c r="T389" s="4"/>
      <c r="U389" s="128"/>
    </row>
    <row r="390" spans="1:21" ht="18" x14ac:dyDescent="0.3">
      <c r="A390" s="216"/>
      <c r="B390" s="203"/>
      <c r="C390" s="217"/>
      <c r="D390" s="218"/>
      <c r="E390" s="218"/>
      <c r="F390" s="165"/>
      <c r="G390" s="166"/>
      <c r="H390" s="166"/>
      <c r="I390" s="219"/>
      <c r="J390" s="219"/>
      <c r="K390" s="219"/>
      <c r="L390" s="348" t="s">
        <v>674</v>
      </c>
      <c r="M390" s="349" t="s">
        <v>675</v>
      </c>
      <c r="N390" s="348" t="s">
        <v>34</v>
      </c>
      <c r="O390" s="350">
        <v>1</v>
      </c>
      <c r="P390" s="351">
        <v>28.08</v>
      </c>
      <c r="Q390" s="351">
        <v>28.08</v>
      </c>
      <c r="R390" s="266"/>
      <c r="T390" s="4"/>
      <c r="U390" s="128"/>
    </row>
    <row r="391" spans="1:21" ht="18" x14ac:dyDescent="0.3">
      <c r="A391" s="216"/>
      <c r="B391" s="203"/>
      <c r="C391" s="217"/>
      <c r="D391" s="218"/>
      <c r="E391" s="218"/>
      <c r="F391" s="165"/>
      <c r="G391" s="166"/>
      <c r="H391" s="166"/>
      <c r="I391" s="219"/>
      <c r="J391" s="219"/>
      <c r="K391" s="219"/>
      <c r="L391" s="348" t="s">
        <v>1505</v>
      </c>
      <c r="M391" s="349" t="s">
        <v>1585</v>
      </c>
      <c r="N391" s="348" t="s">
        <v>34</v>
      </c>
      <c r="O391" s="350">
        <v>1</v>
      </c>
      <c r="P391" s="351">
        <v>49</v>
      </c>
      <c r="Q391" s="351">
        <v>49</v>
      </c>
      <c r="R391" s="266"/>
      <c r="T391" s="4"/>
      <c r="U391" s="128"/>
    </row>
    <row r="392" spans="1:21" ht="18" x14ac:dyDescent="0.3">
      <c r="A392" s="216"/>
      <c r="B392" s="203"/>
      <c r="C392" s="217"/>
      <c r="D392" s="218"/>
      <c r="E392" s="218"/>
      <c r="F392" s="165"/>
      <c r="G392" s="166"/>
      <c r="H392" s="166"/>
      <c r="I392" s="219"/>
      <c r="J392" s="219"/>
      <c r="K392" s="219"/>
      <c r="L392" s="348" t="s">
        <v>677</v>
      </c>
      <c r="M392" s="349" t="s">
        <v>1554</v>
      </c>
      <c r="N392" s="348" t="s">
        <v>34</v>
      </c>
      <c r="O392" s="350">
        <v>3</v>
      </c>
      <c r="P392" s="351">
        <v>120.89</v>
      </c>
      <c r="Q392" s="351">
        <v>362.67</v>
      </c>
      <c r="R392" s="266"/>
      <c r="T392" s="4"/>
      <c r="U392" s="128"/>
    </row>
    <row r="393" spans="1:21" ht="18" x14ac:dyDescent="0.3">
      <c r="A393" s="216"/>
      <c r="B393" s="203"/>
      <c r="C393" s="217"/>
      <c r="D393" s="218"/>
      <c r="E393" s="218"/>
      <c r="F393" s="165"/>
      <c r="G393" s="166"/>
      <c r="H393" s="166"/>
      <c r="I393" s="219"/>
      <c r="J393" s="219"/>
      <c r="K393" s="219"/>
      <c r="L393" s="348" t="s">
        <v>679</v>
      </c>
      <c r="M393" s="349" t="s">
        <v>680</v>
      </c>
      <c r="N393" s="348" t="s">
        <v>34</v>
      </c>
      <c r="O393" s="350">
        <v>1</v>
      </c>
      <c r="P393" s="351">
        <v>5</v>
      </c>
      <c r="Q393" s="351">
        <v>5</v>
      </c>
      <c r="R393" s="266"/>
      <c r="T393" s="4"/>
      <c r="U393" s="128"/>
    </row>
    <row r="394" spans="1:21" ht="18" x14ac:dyDescent="0.3">
      <c r="A394" s="216"/>
      <c r="B394" s="203"/>
      <c r="C394" s="217"/>
      <c r="D394" s="218"/>
      <c r="E394" s="218"/>
      <c r="F394" s="165"/>
      <c r="G394" s="166"/>
      <c r="H394" s="166"/>
      <c r="I394" s="219"/>
      <c r="J394" s="219"/>
      <c r="K394" s="219"/>
      <c r="L394" s="348" t="s">
        <v>682</v>
      </c>
      <c r="M394" s="349" t="s">
        <v>683</v>
      </c>
      <c r="N394" s="348" t="s">
        <v>34</v>
      </c>
      <c r="O394" s="350">
        <v>1</v>
      </c>
      <c r="P394" s="351">
        <v>21.5</v>
      </c>
      <c r="Q394" s="351">
        <v>21.5</v>
      </c>
      <c r="R394" s="266"/>
      <c r="T394" s="4"/>
      <c r="U394" s="128"/>
    </row>
    <row r="395" spans="1:21" ht="18" x14ac:dyDescent="0.3">
      <c r="A395" s="216"/>
      <c r="B395" s="203"/>
      <c r="C395" s="217"/>
      <c r="D395" s="218"/>
      <c r="E395" s="218"/>
      <c r="F395" s="165"/>
      <c r="G395" s="166"/>
      <c r="H395" s="166"/>
      <c r="I395" s="219"/>
      <c r="J395" s="219"/>
      <c r="K395" s="219"/>
      <c r="L395" s="348" t="s">
        <v>1641</v>
      </c>
      <c r="M395" s="349" t="s">
        <v>1667</v>
      </c>
      <c r="N395" s="348" t="s">
        <v>64</v>
      </c>
      <c r="O395" s="350">
        <v>1</v>
      </c>
      <c r="P395" s="351">
        <v>24</v>
      </c>
      <c r="Q395" s="351">
        <v>24</v>
      </c>
      <c r="R395" s="266"/>
      <c r="T395" s="4"/>
      <c r="U395" s="128"/>
    </row>
    <row r="396" spans="1:21" ht="18" x14ac:dyDescent="0.3">
      <c r="A396" s="216"/>
      <c r="B396" s="203"/>
      <c r="C396" s="217"/>
      <c r="D396" s="218"/>
      <c r="E396" s="218"/>
      <c r="F396" s="165"/>
      <c r="G396" s="166"/>
      <c r="H396" s="166"/>
      <c r="I396" s="219"/>
      <c r="J396" s="219"/>
      <c r="K396" s="219"/>
      <c r="L396" s="348" t="s">
        <v>1482</v>
      </c>
      <c r="M396" s="349" t="s">
        <v>1562</v>
      </c>
      <c r="N396" s="348" t="s">
        <v>34</v>
      </c>
      <c r="O396" s="350">
        <v>1</v>
      </c>
      <c r="P396" s="351">
        <v>75.400000000000006</v>
      </c>
      <c r="Q396" s="351">
        <v>75.400000000000006</v>
      </c>
      <c r="R396" s="266"/>
      <c r="T396" s="4"/>
      <c r="U396" s="128"/>
    </row>
    <row r="397" spans="1:21" ht="18" x14ac:dyDescent="0.3">
      <c r="A397" s="216"/>
      <c r="B397" s="203"/>
      <c r="C397" s="217"/>
      <c r="D397" s="218"/>
      <c r="E397" s="218"/>
      <c r="F397" s="165"/>
      <c r="G397" s="166"/>
      <c r="H397" s="166"/>
      <c r="I397" s="219"/>
      <c r="J397" s="219"/>
      <c r="K397" s="219"/>
      <c r="L397" s="348" t="s">
        <v>1472</v>
      </c>
      <c r="M397" s="349" t="s">
        <v>1551</v>
      </c>
      <c r="N397" s="348" t="s">
        <v>34</v>
      </c>
      <c r="O397" s="350">
        <v>1</v>
      </c>
      <c r="P397" s="351">
        <v>146.25</v>
      </c>
      <c r="Q397" s="351">
        <v>146.25</v>
      </c>
      <c r="R397" s="266"/>
      <c r="T397" s="4"/>
      <c r="U397" s="128"/>
    </row>
    <row r="398" spans="1:21" ht="18" x14ac:dyDescent="0.3">
      <c r="A398" s="216"/>
      <c r="B398" s="203"/>
      <c r="C398" s="217"/>
      <c r="D398" s="218"/>
      <c r="E398" s="218"/>
      <c r="F398" s="165"/>
      <c r="G398" s="166"/>
      <c r="H398" s="166"/>
      <c r="I398" s="219"/>
      <c r="J398" s="219"/>
      <c r="K398" s="219"/>
      <c r="L398" s="348" t="s">
        <v>1523</v>
      </c>
      <c r="M398" s="349" t="s">
        <v>1604</v>
      </c>
      <c r="N398" s="348" t="s">
        <v>34</v>
      </c>
      <c r="O398" s="350">
        <v>1</v>
      </c>
      <c r="P398" s="351">
        <v>108.33</v>
      </c>
      <c r="Q398" s="351">
        <v>108.33</v>
      </c>
      <c r="R398" s="266"/>
      <c r="T398" s="4"/>
      <c r="U398" s="128"/>
    </row>
    <row r="399" spans="1:21" ht="18" x14ac:dyDescent="0.3">
      <c r="A399" s="216"/>
      <c r="B399" s="203"/>
      <c r="C399" s="217"/>
      <c r="D399" s="218"/>
      <c r="E399" s="218"/>
      <c r="F399" s="165"/>
      <c r="G399" s="166"/>
      <c r="H399" s="166"/>
      <c r="I399" s="219"/>
      <c r="J399" s="219"/>
      <c r="K399" s="219"/>
      <c r="L399" s="348" t="s">
        <v>1460</v>
      </c>
      <c r="M399" s="349" t="s">
        <v>1539</v>
      </c>
      <c r="N399" s="348" t="s">
        <v>34</v>
      </c>
      <c r="O399" s="350">
        <v>1</v>
      </c>
      <c r="P399" s="351">
        <v>16.600000000000001</v>
      </c>
      <c r="Q399" s="351">
        <v>16.600000000000001</v>
      </c>
      <c r="R399" s="266"/>
      <c r="T399" s="4"/>
      <c r="U399" s="128"/>
    </row>
    <row r="400" spans="1:21" ht="18" x14ac:dyDescent="0.3">
      <c r="A400" s="216"/>
      <c r="B400" s="203"/>
      <c r="C400" s="217"/>
      <c r="D400" s="218"/>
      <c r="E400" s="218"/>
      <c r="F400" s="165"/>
      <c r="G400" s="166"/>
      <c r="H400" s="166"/>
      <c r="I400" s="219"/>
      <c r="J400" s="219"/>
      <c r="K400" s="219"/>
      <c r="L400" s="348" t="s">
        <v>1512</v>
      </c>
      <c r="M400" s="349" t="s">
        <v>1593</v>
      </c>
      <c r="N400" s="348" t="s">
        <v>34</v>
      </c>
      <c r="O400" s="350">
        <v>1</v>
      </c>
      <c r="P400" s="351">
        <v>7.5</v>
      </c>
      <c r="Q400" s="351">
        <v>7.5</v>
      </c>
      <c r="R400" s="266"/>
      <c r="T400" s="4"/>
      <c r="U400" s="128"/>
    </row>
    <row r="401" spans="1:21" ht="18" x14ac:dyDescent="0.3">
      <c r="A401" s="216"/>
      <c r="B401" s="203"/>
      <c r="C401" s="217"/>
      <c r="D401" s="218"/>
      <c r="E401" s="218"/>
      <c r="F401" s="165"/>
      <c r="G401" s="166"/>
      <c r="H401" s="166"/>
      <c r="I401" s="219"/>
      <c r="J401" s="219"/>
      <c r="K401" s="219"/>
      <c r="L401" s="348" t="s">
        <v>698</v>
      </c>
      <c r="M401" s="349" t="s">
        <v>97</v>
      </c>
      <c r="N401" s="348" t="s">
        <v>34</v>
      </c>
      <c r="O401" s="353">
        <v>3266</v>
      </c>
      <c r="P401" s="351">
        <v>0.11</v>
      </c>
      <c r="Q401" s="351">
        <v>349.46</v>
      </c>
      <c r="R401" s="266"/>
      <c r="T401" s="4"/>
      <c r="U401" s="128"/>
    </row>
    <row r="402" spans="1:21" ht="18" x14ac:dyDescent="0.3">
      <c r="A402" s="216"/>
      <c r="B402" s="203"/>
      <c r="C402" s="217"/>
      <c r="D402" s="218"/>
      <c r="E402" s="218"/>
      <c r="F402" s="165"/>
      <c r="G402" s="166"/>
      <c r="H402" s="166"/>
      <c r="I402" s="219"/>
      <c r="J402" s="219"/>
      <c r="K402" s="219"/>
      <c r="L402" s="348" t="s">
        <v>1471</v>
      </c>
      <c r="M402" s="349" t="s">
        <v>1550</v>
      </c>
      <c r="N402" s="348" t="s">
        <v>34</v>
      </c>
      <c r="O402" s="353">
        <v>1333</v>
      </c>
      <c r="P402" s="351">
        <v>0.11</v>
      </c>
      <c r="Q402" s="351">
        <v>142.63</v>
      </c>
      <c r="R402" s="266"/>
      <c r="T402" s="4"/>
      <c r="U402" s="128"/>
    </row>
    <row r="403" spans="1:21" ht="18" x14ac:dyDescent="0.3">
      <c r="A403" s="216"/>
      <c r="B403" s="203"/>
      <c r="C403" s="217"/>
      <c r="D403" s="218"/>
      <c r="E403" s="218"/>
      <c r="F403" s="165"/>
      <c r="G403" s="166"/>
      <c r="H403" s="166"/>
      <c r="I403" s="219"/>
      <c r="J403" s="219"/>
      <c r="K403" s="219"/>
      <c r="L403" s="348" t="s">
        <v>703</v>
      </c>
      <c r="M403" s="349" t="s">
        <v>704</v>
      </c>
      <c r="N403" s="348" t="s">
        <v>34</v>
      </c>
      <c r="O403" s="350">
        <v>1</v>
      </c>
      <c r="P403" s="351">
        <v>99</v>
      </c>
      <c r="Q403" s="351">
        <v>99</v>
      </c>
      <c r="R403" s="266"/>
      <c r="T403" s="4"/>
      <c r="U403" s="128"/>
    </row>
    <row r="404" spans="1:21" ht="18" x14ac:dyDescent="0.3">
      <c r="A404" s="216"/>
      <c r="B404" s="203"/>
      <c r="C404" s="217"/>
      <c r="D404" s="218"/>
      <c r="E404" s="218"/>
      <c r="F404" s="165"/>
      <c r="G404" s="166"/>
      <c r="H404" s="166"/>
      <c r="I404" s="219"/>
      <c r="J404" s="219"/>
      <c r="K404" s="219"/>
      <c r="L404" s="348" t="s">
        <v>1525</v>
      </c>
      <c r="M404" s="349" t="s">
        <v>1606</v>
      </c>
      <c r="N404" s="348" t="s">
        <v>34</v>
      </c>
      <c r="O404" s="350">
        <v>1</v>
      </c>
      <c r="P404" s="351">
        <v>93.6</v>
      </c>
      <c r="Q404" s="351">
        <v>93.6</v>
      </c>
      <c r="R404" s="266"/>
      <c r="T404" s="4"/>
      <c r="U404" s="128"/>
    </row>
    <row r="405" spans="1:21" ht="18" x14ac:dyDescent="0.3">
      <c r="A405" s="216"/>
      <c r="B405" s="203"/>
      <c r="C405" s="217"/>
      <c r="D405" s="218"/>
      <c r="E405" s="218"/>
      <c r="F405" s="165"/>
      <c r="G405" s="166"/>
      <c r="H405" s="166"/>
      <c r="I405" s="219"/>
      <c r="J405" s="219"/>
      <c r="K405" s="219"/>
      <c r="L405" s="348" t="s">
        <v>1459</v>
      </c>
      <c r="M405" s="349" t="s">
        <v>1538</v>
      </c>
      <c r="N405" s="348" t="s">
        <v>34</v>
      </c>
      <c r="O405" s="350">
        <v>1</v>
      </c>
      <c r="P405" s="351">
        <v>737</v>
      </c>
      <c r="Q405" s="351">
        <v>737</v>
      </c>
      <c r="R405" s="266"/>
      <c r="T405" s="4"/>
      <c r="U405" s="128"/>
    </row>
    <row r="406" spans="1:21" ht="18" x14ac:dyDescent="0.3">
      <c r="A406" s="216"/>
      <c r="B406" s="203"/>
      <c r="C406" s="217"/>
      <c r="D406" s="218"/>
      <c r="E406" s="218"/>
      <c r="F406" s="165"/>
      <c r="G406" s="166"/>
      <c r="H406" s="166"/>
      <c r="I406" s="219"/>
      <c r="J406" s="219"/>
      <c r="K406" s="219"/>
      <c r="L406" s="348" t="s">
        <v>1473</v>
      </c>
      <c r="M406" s="349" t="s">
        <v>1552</v>
      </c>
      <c r="N406" s="348" t="s">
        <v>34</v>
      </c>
      <c r="O406" s="350">
        <v>3</v>
      </c>
      <c r="P406" s="351">
        <v>239</v>
      </c>
      <c r="Q406" s="351">
        <v>717</v>
      </c>
      <c r="R406" s="266"/>
      <c r="T406" s="4"/>
      <c r="U406" s="128"/>
    </row>
    <row r="407" spans="1:21" ht="18" x14ac:dyDescent="0.3">
      <c r="A407" s="216"/>
      <c r="B407" s="203"/>
      <c r="C407" s="217"/>
      <c r="D407" s="218"/>
      <c r="E407" s="218"/>
      <c r="F407" s="165"/>
      <c r="G407" s="166"/>
      <c r="H407" s="166"/>
      <c r="I407" s="219"/>
      <c r="J407" s="219"/>
      <c r="K407" s="219"/>
      <c r="L407" s="348" t="s">
        <v>1480</v>
      </c>
      <c r="M407" s="349" t="s">
        <v>1560</v>
      </c>
      <c r="N407" s="348" t="s">
        <v>34</v>
      </c>
      <c r="O407" s="350">
        <v>1</v>
      </c>
      <c r="P407" s="351">
        <v>189</v>
      </c>
      <c r="Q407" s="351">
        <v>189</v>
      </c>
      <c r="R407" s="266"/>
      <c r="T407" s="4"/>
      <c r="U407" s="128"/>
    </row>
    <row r="408" spans="1:21" ht="18" x14ac:dyDescent="0.3">
      <c r="A408" s="216"/>
      <c r="B408" s="203"/>
      <c r="C408" s="217"/>
      <c r="D408" s="218"/>
      <c r="E408" s="218"/>
      <c r="F408" s="165"/>
      <c r="G408" s="166"/>
      <c r="H408" s="166"/>
      <c r="I408" s="219"/>
      <c r="J408" s="219"/>
      <c r="K408" s="219"/>
      <c r="L408" s="348" t="s">
        <v>1490</v>
      </c>
      <c r="M408" s="349" t="s">
        <v>1570</v>
      </c>
      <c r="N408" s="348" t="s">
        <v>34</v>
      </c>
      <c r="O408" s="350">
        <v>3</v>
      </c>
      <c r="P408" s="351">
        <v>554</v>
      </c>
      <c r="Q408" s="352">
        <v>1662</v>
      </c>
      <c r="R408" s="266"/>
      <c r="T408" s="4"/>
      <c r="U408" s="128"/>
    </row>
    <row r="409" spans="1:21" ht="18" x14ac:dyDescent="0.3">
      <c r="A409" s="216"/>
      <c r="B409" s="203"/>
      <c r="C409" s="217"/>
      <c r="D409" s="218"/>
      <c r="E409" s="218"/>
      <c r="F409" s="165"/>
      <c r="G409" s="166"/>
      <c r="H409" s="166"/>
      <c r="I409" s="219"/>
      <c r="J409" s="219"/>
      <c r="K409" s="219"/>
      <c r="L409" s="348" t="s">
        <v>98</v>
      </c>
      <c r="M409" s="349" t="s">
        <v>99</v>
      </c>
      <c r="N409" s="348" t="s">
        <v>37</v>
      </c>
      <c r="O409" s="350">
        <v>4</v>
      </c>
      <c r="P409" s="351">
        <v>131</v>
      </c>
      <c r="Q409" s="351">
        <v>524</v>
      </c>
      <c r="R409" s="266"/>
      <c r="T409" s="4"/>
      <c r="U409" s="128"/>
    </row>
    <row r="410" spans="1:21" ht="18" x14ac:dyDescent="0.3">
      <c r="A410" s="216"/>
      <c r="B410" s="203"/>
      <c r="C410" s="217"/>
      <c r="D410" s="218"/>
      <c r="E410" s="218"/>
      <c r="F410" s="165"/>
      <c r="G410" s="166"/>
      <c r="H410" s="166"/>
      <c r="I410" s="219"/>
      <c r="J410" s="219"/>
      <c r="K410" s="219"/>
      <c r="L410" s="348" t="s">
        <v>710</v>
      </c>
      <c r="M410" s="349" t="s">
        <v>711</v>
      </c>
      <c r="N410" s="348" t="s">
        <v>34</v>
      </c>
      <c r="O410" s="350">
        <v>4</v>
      </c>
      <c r="P410" s="351">
        <v>73</v>
      </c>
      <c r="Q410" s="351">
        <v>292</v>
      </c>
      <c r="R410" s="266"/>
      <c r="T410" s="4"/>
      <c r="U410" s="128"/>
    </row>
    <row r="411" spans="1:21" ht="18" x14ac:dyDescent="0.3">
      <c r="A411" s="216"/>
      <c r="B411" s="203"/>
      <c r="C411" s="217"/>
      <c r="D411" s="218"/>
      <c r="E411" s="218"/>
      <c r="F411" s="165"/>
      <c r="G411" s="166"/>
      <c r="H411" s="166"/>
      <c r="I411" s="219"/>
      <c r="J411" s="219"/>
      <c r="K411" s="219"/>
      <c r="L411" s="348" t="s">
        <v>1481</v>
      </c>
      <c r="M411" s="349" t="s">
        <v>1561</v>
      </c>
      <c r="N411" s="348" t="s">
        <v>34</v>
      </c>
      <c r="O411" s="350">
        <v>1</v>
      </c>
      <c r="P411" s="351">
        <v>52</v>
      </c>
      <c r="Q411" s="351">
        <v>52</v>
      </c>
      <c r="R411" s="266"/>
      <c r="T411" s="4"/>
      <c r="U411" s="128"/>
    </row>
    <row r="412" spans="1:21" ht="18" x14ac:dyDescent="0.3">
      <c r="A412" s="216"/>
      <c r="B412" s="203"/>
      <c r="C412" s="217"/>
      <c r="D412" s="218"/>
      <c r="E412" s="218"/>
      <c r="F412" s="165"/>
      <c r="G412" s="166"/>
      <c r="H412" s="166"/>
      <c r="I412" s="219"/>
      <c r="J412" s="219"/>
      <c r="K412" s="219"/>
      <c r="L412" s="348" t="s">
        <v>1495</v>
      </c>
      <c r="M412" s="349" t="s">
        <v>1575</v>
      </c>
      <c r="N412" s="348" t="s">
        <v>34</v>
      </c>
      <c r="O412" s="350">
        <v>1</v>
      </c>
      <c r="P412" s="351">
        <v>54.17</v>
      </c>
      <c r="Q412" s="351">
        <v>54.17</v>
      </c>
      <c r="R412" s="266"/>
      <c r="T412" s="4"/>
      <c r="U412" s="128"/>
    </row>
    <row r="413" spans="1:21" ht="18" x14ac:dyDescent="0.3">
      <c r="A413" s="216"/>
      <c r="B413" s="203"/>
      <c r="C413" s="217"/>
      <c r="D413" s="218"/>
      <c r="E413" s="218"/>
      <c r="F413" s="165"/>
      <c r="G413" s="166"/>
      <c r="H413" s="166"/>
      <c r="I413" s="219"/>
      <c r="J413" s="219"/>
      <c r="K413" s="219"/>
      <c r="L413" s="348" t="s">
        <v>1483</v>
      </c>
      <c r="M413" s="349" t="s">
        <v>1563</v>
      </c>
      <c r="N413" s="348" t="s">
        <v>34</v>
      </c>
      <c r="O413" s="350">
        <v>2</v>
      </c>
      <c r="P413" s="351">
        <v>57.79</v>
      </c>
      <c r="Q413" s="351">
        <v>115.58</v>
      </c>
      <c r="R413" s="266"/>
      <c r="T413" s="4"/>
      <c r="U413" s="128"/>
    </row>
    <row r="414" spans="1:21" ht="18" x14ac:dyDescent="0.3">
      <c r="A414" s="216"/>
      <c r="B414" s="203"/>
      <c r="C414" s="217"/>
      <c r="D414" s="218"/>
      <c r="E414" s="218"/>
      <c r="F414" s="165"/>
      <c r="G414" s="166"/>
      <c r="H414" s="166"/>
      <c r="I414" s="219"/>
      <c r="J414" s="219"/>
      <c r="K414" s="219"/>
      <c r="L414" s="348" t="s">
        <v>1484</v>
      </c>
      <c r="M414" s="349" t="s">
        <v>1564</v>
      </c>
      <c r="N414" s="348" t="s">
        <v>34</v>
      </c>
      <c r="O414" s="350">
        <v>1</v>
      </c>
      <c r="P414" s="351">
        <v>84.17</v>
      </c>
      <c r="Q414" s="351">
        <v>84.17</v>
      </c>
      <c r="R414" s="266"/>
      <c r="T414" s="4"/>
      <c r="U414" s="128"/>
    </row>
    <row r="415" spans="1:21" ht="18" x14ac:dyDescent="0.3">
      <c r="A415" s="216"/>
      <c r="B415" s="203"/>
      <c r="C415" s="217"/>
      <c r="D415" s="218"/>
      <c r="E415" s="218"/>
      <c r="F415" s="165"/>
      <c r="G415" s="166"/>
      <c r="H415" s="166"/>
      <c r="I415" s="219"/>
      <c r="J415" s="219"/>
      <c r="K415" s="219"/>
      <c r="L415" s="348" t="s">
        <v>157</v>
      </c>
      <c r="M415" s="349" t="s">
        <v>158</v>
      </c>
      <c r="N415" s="348" t="s">
        <v>34</v>
      </c>
      <c r="O415" s="350">
        <v>2</v>
      </c>
      <c r="P415" s="351">
        <v>101.57</v>
      </c>
      <c r="Q415" s="351">
        <v>203.13</v>
      </c>
      <c r="R415" s="266"/>
      <c r="T415" s="4"/>
      <c r="U415" s="128"/>
    </row>
    <row r="416" spans="1:21" ht="18" x14ac:dyDescent="0.3">
      <c r="A416" s="216"/>
      <c r="B416" s="203"/>
      <c r="C416" s="217"/>
      <c r="D416" s="218"/>
      <c r="E416" s="218"/>
      <c r="F416" s="165"/>
      <c r="G416" s="166"/>
      <c r="H416" s="166"/>
      <c r="I416" s="219"/>
      <c r="J416" s="219"/>
      <c r="K416" s="219"/>
      <c r="L416" s="348" t="s">
        <v>1629</v>
      </c>
      <c r="M416" s="349" t="s">
        <v>1655</v>
      </c>
      <c r="N416" s="348" t="s">
        <v>34</v>
      </c>
      <c r="O416" s="350">
        <v>1</v>
      </c>
      <c r="P416" s="351">
        <v>180</v>
      </c>
      <c r="Q416" s="351">
        <v>180</v>
      </c>
      <c r="R416" s="266"/>
      <c r="T416" s="4"/>
      <c r="U416" s="128"/>
    </row>
    <row r="417" spans="1:21" ht="18" x14ac:dyDescent="0.3">
      <c r="A417" s="216"/>
      <c r="B417" s="203"/>
      <c r="C417" s="217"/>
      <c r="D417" s="218"/>
      <c r="E417" s="218"/>
      <c r="F417" s="165"/>
      <c r="G417" s="166"/>
      <c r="H417" s="166"/>
      <c r="I417" s="219"/>
      <c r="J417" s="219"/>
      <c r="K417" s="219"/>
      <c r="L417" s="348" t="s">
        <v>1715</v>
      </c>
      <c r="M417" s="349" t="s">
        <v>1736</v>
      </c>
      <c r="N417" s="348" t="s">
        <v>37</v>
      </c>
      <c r="O417" s="350">
        <v>1</v>
      </c>
      <c r="P417" s="351">
        <v>20.5</v>
      </c>
      <c r="Q417" s="351">
        <v>20.5</v>
      </c>
      <c r="R417" s="266"/>
      <c r="T417" s="4"/>
      <c r="U417" s="128"/>
    </row>
    <row r="418" spans="1:21" ht="18" x14ac:dyDescent="0.3">
      <c r="A418" s="216"/>
      <c r="B418" s="203"/>
      <c r="C418" s="217"/>
      <c r="D418" s="218"/>
      <c r="E418" s="218"/>
      <c r="F418" s="165"/>
      <c r="G418" s="166"/>
      <c r="H418" s="166"/>
      <c r="I418" s="219"/>
      <c r="J418" s="219"/>
      <c r="K418" s="219"/>
      <c r="L418" s="348" t="s">
        <v>1506</v>
      </c>
      <c r="M418" s="349" t="s">
        <v>1586</v>
      </c>
      <c r="N418" s="348" t="s">
        <v>64</v>
      </c>
      <c r="O418" s="350">
        <v>0.1</v>
      </c>
      <c r="P418" s="352">
        <v>4165.8</v>
      </c>
      <c r="Q418" s="351">
        <v>416.58</v>
      </c>
      <c r="R418" s="266"/>
      <c r="T418" s="4"/>
      <c r="U418" s="128"/>
    </row>
    <row r="419" spans="1:21" ht="18" x14ac:dyDescent="0.3">
      <c r="A419" s="216"/>
      <c r="B419" s="203"/>
      <c r="C419" s="217"/>
      <c r="D419" s="218"/>
      <c r="E419" s="218"/>
      <c r="F419" s="165"/>
      <c r="G419" s="166"/>
      <c r="H419" s="166"/>
      <c r="I419" s="219"/>
      <c r="J419" s="219"/>
      <c r="K419" s="219"/>
      <c r="L419" s="348" t="s">
        <v>1640</v>
      </c>
      <c r="M419" s="349" t="s">
        <v>1666</v>
      </c>
      <c r="N419" s="348" t="s">
        <v>34</v>
      </c>
      <c r="O419" s="350">
        <v>1</v>
      </c>
      <c r="P419" s="351">
        <v>291</v>
      </c>
      <c r="Q419" s="351">
        <v>291</v>
      </c>
      <c r="R419" s="266"/>
      <c r="T419" s="4"/>
      <c r="U419" s="128"/>
    </row>
    <row r="420" spans="1:21" ht="18" x14ac:dyDescent="0.3">
      <c r="A420" s="216"/>
      <c r="B420" s="203"/>
      <c r="C420" s="217"/>
      <c r="D420" s="218"/>
      <c r="E420" s="218"/>
      <c r="F420" s="165"/>
      <c r="G420" s="166"/>
      <c r="H420" s="166"/>
      <c r="I420" s="219"/>
      <c r="J420" s="219"/>
      <c r="K420" s="219"/>
      <c r="L420" s="348" t="s">
        <v>1485</v>
      </c>
      <c r="M420" s="349" t="s">
        <v>1565</v>
      </c>
      <c r="N420" s="348" t="s">
        <v>34</v>
      </c>
      <c r="O420" s="350">
        <v>3</v>
      </c>
      <c r="P420" s="351">
        <v>20.09</v>
      </c>
      <c r="Q420" s="351">
        <v>60.26</v>
      </c>
      <c r="R420" s="266"/>
      <c r="T420" s="4"/>
      <c r="U420" s="128"/>
    </row>
    <row r="421" spans="1:21" ht="18" x14ac:dyDescent="0.3">
      <c r="A421" s="216"/>
      <c r="B421" s="203"/>
      <c r="C421" s="217"/>
      <c r="D421" s="218"/>
      <c r="E421" s="218"/>
      <c r="F421" s="165"/>
      <c r="G421" s="166"/>
      <c r="H421" s="166"/>
      <c r="I421" s="219"/>
      <c r="J421" s="219"/>
      <c r="K421" s="219"/>
      <c r="L421" s="348" t="s">
        <v>159</v>
      </c>
      <c r="M421" s="349" t="s">
        <v>160</v>
      </c>
      <c r="N421" s="348" t="s">
        <v>37</v>
      </c>
      <c r="O421" s="350">
        <v>3</v>
      </c>
      <c r="P421" s="351">
        <v>21</v>
      </c>
      <c r="Q421" s="351">
        <v>63</v>
      </c>
      <c r="R421" s="266"/>
      <c r="T421" s="4"/>
      <c r="U421" s="128"/>
    </row>
    <row r="422" spans="1:21" ht="18" x14ac:dyDescent="0.3">
      <c r="A422" s="216"/>
      <c r="B422" s="203"/>
      <c r="C422" s="217"/>
      <c r="D422" s="218"/>
      <c r="E422" s="218"/>
      <c r="F422" s="165"/>
      <c r="G422" s="166"/>
      <c r="H422" s="166"/>
      <c r="I422" s="219"/>
      <c r="J422" s="219"/>
      <c r="K422" s="219"/>
      <c r="L422" s="348" t="s">
        <v>1516</v>
      </c>
      <c r="M422" s="349" t="s">
        <v>1597</v>
      </c>
      <c r="N422" s="348" t="s">
        <v>34</v>
      </c>
      <c r="O422" s="350">
        <v>1</v>
      </c>
      <c r="P422" s="351">
        <v>50.4</v>
      </c>
      <c r="Q422" s="351">
        <v>50.4</v>
      </c>
      <c r="R422" s="266"/>
      <c r="T422" s="4"/>
      <c r="U422" s="128"/>
    </row>
    <row r="423" spans="1:21" ht="18" x14ac:dyDescent="0.3">
      <c r="A423" s="216"/>
      <c r="B423" s="203"/>
      <c r="C423" s="217"/>
      <c r="D423" s="218"/>
      <c r="E423" s="218"/>
      <c r="F423" s="165"/>
      <c r="G423" s="166"/>
      <c r="H423" s="166"/>
      <c r="I423" s="219"/>
      <c r="J423" s="219"/>
      <c r="K423" s="219"/>
      <c r="L423" s="348" t="s">
        <v>1502</v>
      </c>
      <c r="M423" s="349" t="s">
        <v>1582</v>
      </c>
      <c r="N423" s="348" t="s">
        <v>64</v>
      </c>
      <c r="O423" s="350">
        <v>1</v>
      </c>
      <c r="P423" s="351">
        <v>360.8</v>
      </c>
      <c r="Q423" s="351">
        <v>360.8</v>
      </c>
      <c r="R423" s="266"/>
      <c r="T423" s="4"/>
      <c r="U423" s="128"/>
    </row>
    <row r="424" spans="1:21" ht="18" x14ac:dyDescent="0.3">
      <c r="A424" s="216"/>
      <c r="B424" s="203"/>
      <c r="C424" s="217"/>
      <c r="D424" s="218"/>
      <c r="E424" s="218"/>
      <c r="F424" s="165"/>
      <c r="G424" s="166"/>
      <c r="H424" s="166"/>
      <c r="I424" s="219"/>
      <c r="J424" s="219"/>
      <c r="K424" s="219"/>
      <c r="L424" s="348" t="s">
        <v>1521</v>
      </c>
      <c r="M424" s="349" t="s">
        <v>1602</v>
      </c>
      <c r="N424" s="348" t="s">
        <v>34</v>
      </c>
      <c r="O424" s="350">
        <v>1</v>
      </c>
      <c r="P424" s="351">
        <v>56.8</v>
      </c>
      <c r="Q424" s="351">
        <v>56.8</v>
      </c>
      <c r="R424" s="266"/>
      <c r="T424" s="4"/>
      <c r="U424" s="128"/>
    </row>
    <row r="425" spans="1:21" ht="18" x14ac:dyDescent="0.3">
      <c r="A425" s="216"/>
      <c r="B425" s="203"/>
      <c r="C425" s="217"/>
      <c r="D425" s="218"/>
      <c r="E425" s="218"/>
      <c r="F425" s="165"/>
      <c r="G425" s="166"/>
      <c r="H425" s="166"/>
      <c r="I425" s="219"/>
      <c r="J425" s="219"/>
      <c r="K425" s="219"/>
      <c r="L425" s="342"/>
      <c r="M425" s="343"/>
      <c r="N425" s="342"/>
      <c r="O425" s="344"/>
      <c r="P425" s="345"/>
      <c r="Q425" s="345"/>
      <c r="R425" s="266"/>
      <c r="T425" s="4"/>
      <c r="U425" s="128"/>
    </row>
    <row r="426" spans="1:21" ht="18" x14ac:dyDescent="0.3">
      <c r="A426" s="216"/>
      <c r="B426" s="203"/>
      <c r="C426" s="217"/>
      <c r="D426" s="218"/>
      <c r="E426" s="218"/>
      <c r="F426" s="165"/>
      <c r="G426" s="166"/>
      <c r="H426" s="166"/>
      <c r="I426" s="219"/>
      <c r="J426" s="219"/>
      <c r="K426" s="219"/>
      <c r="L426" s="336"/>
      <c r="M426" s="337"/>
      <c r="N426" s="336"/>
      <c r="O426" s="338"/>
      <c r="P426" s="339"/>
      <c r="Q426" s="339"/>
      <c r="R426" s="266"/>
      <c r="T426" s="4"/>
      <c r="U426" s="128"/>
    </row>
    <row r="427" spans="1:21" ht="18" x14ac:dyDescent="0.3">
      <c r="A427" s="216"/>
      <c r="B427" s="203"/>
      <c r="C427" s="217"/>
      <c r="D427" s="218"/>
      <c r="E427" s="218"/>
      <c r="F427" s="165"/>
      <c r="G427" s="166"/>
      <c r="H427" s="166"/>
      <c r="I427" s="219"/>
      <c r="J427" s="219"/>
      <c r="K427" s="219"/>
      <c r="L427" s="336"/>
      <c r="M427" s="337"/>
      <c r="N427" s="336"/>
      <c r="O427" s="338"/>
      <c r="P427" s="339"/>
      <c r="Q427" s="339"/>
      <c r="R427" s="266"/>
      <c r="T427" s="4"/>
      <c r="U427" s="128"/>
    </row>
    <row r="428" spans="1:21" ht="18" x14ac:dyDescent="0.3">
      <c r="A428" s="216"/>
      <c r="B428" s="203"/>
      <c r="C428" s="217"/>
      <c r="D428" s="218"/>
      <c r="E428" s="218"/>
      <c r="F428" s="165"/>
      <c r="G428" s="166"/>
      <c r="H428" s="166"/>
      <c r="I428" s="219"/>
      <c r="J428" s="219"/>
      <c r="K428" s="219"/>
      <c r="L428" s="330"/>
      <c r="M428" s="331"/>
      <c r="N428" s="330"/>
      <c r="O428" s="332"/>
      <c r="P428" s="333"/>
      <c r="Q428" s="333"/>
      <c r="R428" s="266"/>
      <c r="T428" s="4"/>
      <c r="U428" s="128"/>
    </row>
    <row r="429" spans="1:21" ht="18.600000000000001" thickBot="1" x14ac:dyDescent="0.35">
      <c r="A429" s="216"/>
      <c r="B429" s="203"/>
      <c r="C429" s="217"/>
      <c r="D429" s="218"/>
      <c r="E429" s="218"/>
      <c r="F429" s="165"/>
      <c r="G429" s="166"/>
      <c r="H429" s="166"/>
      <c r="I429" s="219"/>
      <c r="J429" s="219"/>
      <c r="K429" s="219"/>
      <c r="L429" s="221"/>
      <c r="M429" s="222"/>
      <c r="N429" s="221"/>
      <c r="O429" s="223"/>
      <c r="P429" s="224"/>
      <c r="Q429" s="224"/>
      <c r="R429" s="266"/>
      <c r="T429" s="4"/>
      <c r="U429" s="128"/>
    </row>
    <row r="430" spans="1:21" ht="21.6" thickBot="1" x14ac:dyDescent="0.35">
      <c r="A430" s="28"/>
      <c r="B430" s="29" t="s">
        <v>29</v>
      </c>
      <c r="C430" s="30"/>
      <c r="D430" s="31">
        <f>SUM(D337:D429)</f>
        <v>0</v>
      </c>
      <c r="E430" s="31"/>
      <c r="F430" s="71"/>
      <c r="G430" s="71"/>
      <c r="H430" s="71"/>
      <c r="I430" s="71"/>
      <c r="J430" s="71"/>
      <c r="K430" s="71"/>
      <c r="L430" s="120"/>
      <c r="M430" s="121"/>
      <c r="N430" s="121"/>
      <c r="O430" s="34"/>
      <c r="P430" s="34"/>
      <c r="Q430" s="34">
        <f>SUM(Q339:Q429)</f>
        <v>30579.090000000007</v>
      </c>
      <c r="R430" s="35"/>
    </row>
    <row r="431" spans="1:21" ht="21.6" thickBot="1" x14ac:dyDescent="0.35">
      <c r="A431" s="36"/>
      <c r="B431" s="37" t="s">
        <v>30</v>
      </c>
      <c r="C431" s="38"/>
      <c r="D431" s="39"/>
      <c r="E431" s="39"/>
      <c r="F431" s="73"/>
      <c r="G431" s="73"/>
      <c r="H431" s="73"/>
      <c r="I431" s="73"/>
      <c r="J431" s="73"/>
      <c r="K431" s="73"/>
      <c r="L431" s="122"/>
      <c r="M431" s="123"/>
      <c r="N431" s="123"/>
      <c r="O431" s="42"/>
      <c r="P431" s="42"/>
      <c r="Q431" s="42">
        <f>Q430+Q338</f>
        <v>594559.55000000005</v>
      </c>
      <c r="R431" s="43"/>
    </row>
    <row r="432" spans="1:21" ht="25.2" customHeight="1" x14ac:dyDescent="0.4">
      <c r="A432" s="288" t="s">
        <v>12</v>
      </c>
      <c r="B432" s="288"/>
      <c r="C432" s="288"/>
      <c r="D432" s="288"/>
      <c r="E432" s="288"/>
      <c r="F432" s="288"/>
      <c r="G432" s="288"/>
      <c r="H432" s="288"/>
      <c r="I432" s="288"/>
      <c r="J432" s="288"/>
      <c r="K432" s="288"/>
      <c r="L432" s="288"/>
      <c r="M432" s="288"/>
      <c r="N432" s="288"/>
      <c r="O432" s="124"/>
      <c r="P432" s="284"/>
      <c r="Q432" s="284"/>
      <c r="R432" s="5"/>
    </row>
    <row r="433" spans="1:18" ht="25.2" customHeight="1" x14ac:dyDescent="0.4">
      <c r="A433" s="288" t="s">
        <v>13</v>
      </c>
      <c r="B433" s="288"/>
      <c r="C433" s="288"/>
      <c r="D433" s="288"/>
      <c r="E433" s="288"/>
      <c r="F433" s="288"/>
      <c r="G433" s="288"/>
      <c r="H433" s="288"/>
      <c r="I433" s="288"/>
      <c r="J433" s="288"/>
      <c r="K433" s="288"/>
      <c r="L433" s="288"/>
      <c r="M433" s="288"/>
      <c r="N433" s="288"/>
      <c r="O433" s="124"/>
      <c r="P433" s="284"/>
      <c r="Q433" s="284"/>
      <c r="R433" s="5"/>
    </row>
    <row r="434" spans="1:18" ht="25.2" customHeight="1" x14ac:dyDescent="0.4">
      <c r="A434" s="290" t="s">
        <v>14</v>
      </c>
      <c r="B434" s="290"/>
      <c r="C434" s="290"/>
      <c r="D434" s="290"/>
      <c r="E434" s="290"/>
      <c r="F434" s="290"/>
      <c r="G434" s="290"/>
      <c r="H434" s="290"/>
      <c r="I434" s="290"/>
      <c r="J434" s="290"/>
      <c r="K434" s="290"/>
      <c r="L434" s="290"/>
      <c r="M434" s="290"/>
      <c r="N434" s="290"/>
      <c r="O434" s="125"/>
      <c r="P434" s="285"/>
      <c r="Q434" s="285"/>
      <c r="R434" s="5"/>
    </row>
    <row r="435" spans="1:18" ht="25.2" customHeight="1" x14ac:dyDescent="0.4">
      <c r="A435" s="288" t="s">
        <v>15</v>
      </c>
      <c r="B435" s="288"/>
      <c r="C435" s="288"/>
      <c r="D435" s="288"/>
      <c r="E435" s="288"/>
      <c r="F435" s="288"/>
      <c r="G435" s="288"/>
      <c r="H435" s="288"/>
      <c r="I435" s="288"/>
      <c r="J435" s="288"/>
      <c r="K435" s="288"/>
      <c r="L435" s="288"/>
      <c r="M435" s="288"/>
      <c r="N435" s="288"/>
      <c r="O435" s="124"/>
      <c r="P435" s="284"/>
      <c r="Q435" s="284"/>
      <c r="R435" s="5"/>
    </row>
    <row r="436" spans="1:18" ht="25.2" customHeight="1" x14ac:dyDescent="0.4">
      <c r="A436" s="288" t="s">
        <v>16</v>
      </c>
      <c r="B436" s="288"/>
      <c r="C436" s="288"/>
      <c r="D436" s="288"/>
      <c r="E436" s="288"/>
      <c r="F436" s="288"/>
      <c r="G436" s="288"/>
      <c r="H436" s="288"/>
      <c r="I436" s="288"/>
      <c r="J436" s="288"/>
      <c r="K436" s="288"/>
      <c r="L436" s="288"/>
      <c r="M436" s="288"/>
      <c r="N436" s="288"/>
      <c r="O436" s="124"/>
      <c r="P436" s="284"/>
      <c r="Q436" s="284"/>
      <c r="R436" s="5"/>
    </row>
    <row r="437" spans="1:18" ht="25.2" customHeight="1" x14ac:dyDescent="0.4">
      <c r="A437" s="288" t="s">
        <v>17</v>
      </c>
      <c r="B437" s="288"/>
      <c r="C437" s="288"/>
      <c r="D437" s="288"/>
      <c r="E437" s="288"/>
      <c r="F437" s="288"/>
      <c r="G437" s="288"/>
      <c r="H437" s="288"/>
      <c r="I437" s="288"/>
      <c r="J437" s="288"/>
      <c r="K437" s="288"/>
      <c r="L437" s="288"/>
      <c r="M437" s="288"/>
      <c r="N437" s="288"/>
      <c r="O437" s="124"/>
      <c r="P437" s="284"/>
      <c r="Q437" s="284"/>
      <c r="R437" s="5"/>
    </row>
    <row r="438" spans="1:18" ht="25.2" customHeight="1" x14ac:dyDescent="0.4">
      <c r="A438" s="288" t="s">
        <v>1852</v>
      </c>
      <c r="B438" s="288"/>
      <c r="C438" s="288"/>
      <c r="D438" s="288"/>
      <c r="E438" s="288"/>
      <c r="F438" s="288"/>
      <c r="G438" s="288"/>
      <c r="H438" s="288"/>
      <c r="I438" s="288"/>
      <c r="J438" s="288"/>
      <c r="K438" s="288"/>
      <c r="L438" s="288"/>
      <c r="M438" s="288"/>
      <c r="N438" s="288"/>
      <c r="O438" s="124"/>
      <c r="P438" s="284"/>
      <c r="Q438" s="284"/>
      <c r="R438" s="5"/>
    </row>
    <row r="439" spans="1:18" ht="25.2" customHeight="1" x14ac:dyDescent="0.4">
      <c r="A439" s="288" t="s">
        <v>17</v>
      </c>
      <c r="B439" s="288"/>
      <c r="C439" s="288"/>
      <c r="D439" s="288"/>
      <c r="E439" s="288"/>
      <c r="F439" s="288"/>
      <c r="G439" s="288"/>
      <c r="H439" s="288"/>
      <c r="I439" s="288"/>
      <c r="J439" s="288"/>
      <c r="K439" s="288"/>
      <c r="L439" s="288"/>
      <c r="M439" s="288"/>
      <c r="N439" s="288"/>
      <c r="O439" s="124"/>
      <c r="P439" s="284"/>
      <c r="Q439" s="284"/>
      <c r="R439" s="5"/>
    </row>
    <row r="440" spans="1:18" ht="25.2" customHeight="1" x14ac:dyDescent="0.4">
      <c r="A440" s="288" t="s">
        <v>19</v>
      </c>
      <c r="B440" s="288"/>
      <c r="C440" s="288"/>
      <c r="D440" s="288"/>
      <c r="E440" s="288"/>
      <c r="F440" s="288"/>
      <c r="G440" s="288"/>
      <c r="H440" s="288"/>
      <c r="I440" s="288"/>
      <c r="J440" s="288"/>
      <c r="K440" s="288"/>
      <c r="L440" s="288"/>
      <c r="M440" s="288"/>
      <c r="N440" s="288"/>
      <c r="O440" s="124"/>
      <c r="P440" s="284"/>
      <c r="Q440" s="284"/>
      <c r="R440" s="5"/>
    </row>
    <row r="441" spans="1:18" ht="25.2" customHeight="1" x14ac:dyDescent="0.4">
      <c r="A441" s="288" t="s">
        <v>11</v>
      </c>
      <c r="B441" s="288"/>
      <c r="C441" s="288"/>
      <c r="D441" s="288"/>
      <c r="E441" s="288"/>
      <c r="F441" s="288"/>
      <c r="G441" s="288"/>
      <c r="H441" s="288"/>
      <c r="I441" s="288"/>
      <c r="J441" s="288"/>
      <c r="K441" s="288"/>
      <c r="L441" s="288"/>
      <c r="M441" s="288"/>
      <c r="N441" s="288"/>
      <c r="O441" s="124"/>
      <c r="P441" s="284"/>
      <c r="Q441" s="284"/>
      <c r="R441" s="5"/>
    </row>
    <row r="442" spans="1:18" ht="25.2" customHeight="1" x14ac:dyDescent="0.4">
      <c r="A442" s="288" t="s">
        <v>1859</v>
      </c>
      <c r="B442" s="288"/>
      <c r="C442" s="288"/>
      <c r="D442" s="288"/>
      <c r="E442" s="288"/>
      <c r="F442" s="288"/>
      <c r="G442" s="288"/>
      <c r="H442" s="288"/>
      <c r="I442" s="288"/>
      <c r="J442" s="288"/>
      <c r="K442" s="288"/>
      <c r="L442" s="288"/>
      <c r="M442" s="288"/>
      <c r="N442" s="288"/>
      <c r="O442" s="124"/>
      <c r="P442" s="284"/>
      <c r="Q442" s="284"/>
      <c r="R442" s="5"/>
    </row>
    <row r="443" spans="1:18" ht="25.2" customHeight="1" x14ac:dyDescent="0.4">
      <c r="A443" s="289" t="s">
        <v>31</v>
      </c>
      <c r="B443" s="289"/>
      <c r="C443" s="289"/>
      <c r="D443" s="289"/>
      <c r="E443" s="289"/>
      <c r="F443" s="289"/>
      <c r="G443" s="289"/>
      <c r="H443" s="289"/>
      <c r="I443" s="289"/>
      <c r="J443" s="289"/>
      <c r="K443" s="289"/>
      <c r="L443" s="289"/>
      <c r="M443" s="289"/>
      <c r="N443" s="289"/>
      <c r="O443" s="126"/>
      <c r="P443" s="286"/>
      <c r="Q443" s="286"/>
      <c r="R443" s="5"/>
    </row>
    <row r="444" spans="1:18" ht="36" customHeight="1" x14ac:dyDescent="0.3"/>
  </sheetData>
  <autoFilter ref="A18:U443" xr:uid="{DE685D05-9FEE-404B-AA01-BE2D5B544193}"/>
  <mergeCells count="36">
    <mergeCell ref="A442:N442"/>
    <mergeCell ref="A443:N443"/>
    <mergeCell ref="A436:N436"/>
    <mergeCell ref="A437:N437"/>
    <mergeCell ref="A438:N438"/>
    <mergeCell ref="A439:N439"/>
    <mergeCell ref="A440:N440"/>
    <mergeCell ref="A441:N441"/>
    <mergeCell ref="M16:Q16"/>
    <mergeCell ref="R16:R17"/>
    <mergeCell ref="A432:N432"/>
    <mergeCell ref="A433:N433"/>
    <mergeCell ref="A434:N434"/>
    <mergeCell ref="A435:N435"/>
    <mergeCell ref="F16:F17"/>
    <mergeCell ref="G16:G17"/>
    <mergeCell ref="H16:H17"/>
    <mergeCell ref="I16:I17"/>
    <mergeCell ref="J16:J17"/>
    <mergeCell ref="K16:K17"/>
    <mergeCell ref="A12:R12"/>
    <mergeCell ref="A13:R13"/>
    <mergeCell ref="A14:Q14"/>
    <mergeCell ref="A15:K15"/>
    <mergeCell ref="L15:R15"/>
    <mergeCell ref="A16:A17"/>
    <mergeCell ref="B16:B17"/>
    <mergeCell ref="C16:C17"/>
    <mergeCell ref="D16:D17"/>
    <mergeCell ref="E16:E17"/>
    <mergeCell ref="M1:R2"/>
    <mergeCell ref="M4:R4"/>
    <mergeCell ref="M5:R5"/>
    <mergeCell ref="M7:R7"/>
    <mergeCell ref="A10:R10"/>
    <mergeCell ref="A11:R11"/>
  </mergeCells>
  <pageMargins left="0.25" right="0.25" top="0.75" bottom="0.75" header="0.3" footer="0.3"/>
  <pageSetup paperSize="9" scale="36" fitToHeight="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A69F-FE93-4D00-ADD0-008E875B0549}">
  <sheetPr>
    <tabColor rgb="FFFFFF00"/>
    <pageSetUpPr fitToPage="1"/>
  </sheetPr>
  <dimension ref="A1:U420"/>
  <sheetViews>
    <sheetView topLeftCell="L2" zoomScale="70" zoomScaleNormal="70" workbookViewId="0">
      <selection activeCell="L45" sqref="L45:O45"/>
    </sheetView>
  </sheetViews>
  <sheetFormatPr defaultRowHeight="14.4" x14ac:dyDescent="0.3"/>
  <cols>
    <col min="1" max="1" width="6.6640625" style="96" customWidth="1"/>
    <col min="2" max="2" width="63.109375" customWidth="1"/>
    <col min="3" max="3" width="10.44140625" style="96" customWidth="1"/>
    <col min="4" max="4" width="11.109375" style="96" customWidth="1"/>
    <col min="5" max="5" width="13.109375" style="96" customWidth="1"/>
    <col min="6" max="6" width="20.109375" style="96" customWidth="1"/>
    <col min="7" max="11" width="13.109375" style="96" customWidth="1"/>
    <col min="12" max="12" width="17.33203125" style="96" customWidth="1"/>
    <col min="13" max="13" width="61" customWidth="1"/>
    <col min="14" max="16" width="11.6640625" style="4" customWidth="1"/>
    <col min="17" max="17" width="15.44140625" style="4" bestFit="1" customWidth="1"/>
    <col min="18" max="18" width="35.44140625" customWidth="1"/>
    <col min="19" max="19" width="12.109375" bestFit="1" customWidth="1"/>
    <col min="21" max="21" width="9.88671875" bestFit="1" customWidth="1"/>
  </cols>
  <sheetData>
    <row r="1" spans="1:20" ht="15.75" customHeight="1" x14ac:dyDescent="0.3">
      <c r="A1" s="2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06" t="s">
        <v>26</v>
      </c>
      <c r="N1" s="306"/>
      <c r="O1" s="306"/>
      <c r="P1" s="306"/>
      <c r="Q1" s="306"/>
      <c r="R1" s="306"/>
      <c r="S1" s="13"/>
      <c r="T1" s="13"/>
    </row>
    <row r="2" spans="1:20" ht="15" customHeight="1" x14ac:dyDescent="0.3">
      <c r="A2" s="2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07"/>
      <c r="N2" s="307"/>
      <c r="O2" s="307"/>
      <c r="P2" s="307"/>
      <c r="Q2" s="307"/>
      <c r="R2" s="307"/>
      <c r="S2" s="13"/>
      <c r="T2" s="13"/>
    </row>
    <row r="3" spans="1:20" ht="15.6" x14ac:dyDescent="0.3">
      <c r="A3" s="2"/>
      <c r="B3" s="1"/>
      <c r="C3" s="2"/>
      <c r="D3" s="3"/>
      <c r="E3" s="3"/>
      <c r="F3" s="3"/>
      <c r="G3" s="3"/>
      <c r="H3" s="3"/>
      <c r="I3" s="3"/>
      <c r="J3" s="3"/>
      <c r="K3" s="3"/>
      <c r="L3" s="3"/>
      <c r="M3" s="98"/>
      <c r="N3" s="98"/>
      <c r="O3" s="98"/>
      <c r="P3" s="98"/>
      <c r="Q3" s="98"/>
      <c r="R3" s="98"/>
      <c r="S3" s="13"/>
      <c r="T3" s="13"/>
    </row>
    <row r="4" spans="1:20" ht="23.4" x14ac:dyDescent="0.45">
      <c r="A4" s="2"/>
      <c r="B4" s="1"/>
      <c r="C4" s="2"/>
      <c r="D4" s="3"/>
      <c r="E4" s="3"/>
      <c r="F4" s="3"/>
      <c r="G4" s="3"/>
      <c r="H4" s="3"/>
      <c r="I4" s="3"/>
      <c r="J4" s="3"/>
      <c r="K4" s="3"/>
      <c r="L4" s="3"/>
      <c r="M4" s="308" t="s">
        <v>27</v>
      </c>
      <c r="N4" s="308"/>
      <c r="O4" s="308"/>
      <c r="P4" s="308"/>
      <c r="Q4" s="308"/>
      <c r="R4" s="308"/>
      <c r="S4" s="13"/>
      <c r="T4" s="13"/>
    </row>
    <row r="5" spans="1:20" ht="21" x14ac:dyDescent="0.4">
      <c r="A5" s="2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09" t="s">
        <v>28</v>
      </c>
      <c r="N5" s="309"/>
      <c r="O5" s="309"/>
      <c r="P5" s="309"/>
      <c r="Q5" s="309"/>
      <c r="R5" s="309"/>
      <c r="S5" s="13"/>
      <c r="T5" s="13"/>
    </row>
    <row r="6" spans="1:20" ht="15.6" x14ac:dyDescent="0.3">
      <c r="A6" s="2"/>
      <c r="B6" s="1"/>
      <c r="C6" s="2"/>
      <c r="D6" s="3"/>
      <c r="E6" s="3"/>
      <c r="F6" s="3"/>
      <c r="G6" s="3"/>
      <c r="H6" s="3"/>
      <c r="I6" s="3"/>
      <c r="J6" s="3"/>
      <c r="K6" s="3"/>
      <c r="L6" s="3"/>
      <c r="M6" s="2"/>
      <c r="N6" s="9"/>
      <c r="O6" s="9"/>
      <c r="P6" s="10"/>
      <c r="Q6" s="11"/>
      <c r="R6" s="12"/>
      <c r="S6" s="13"/>
      <c r="T6" s="13"/>
    </row>
    <row r="7" spans="1:20" ht="18" x14ac:dyDescent="0.35">
      <c r="A7" s="2"/>
      <c r="B7" s="1"/>
      <c r="C7" s="2"/>
      <c r="D7" s="3"/>
      <c r="E7" s="3"/>
      <c r="F7" s="3"/>
      <c r="G7" s="3"/>
      <c r="H7" s="3"/>
      <c r="I7" s="3"/>
      <c r="J7" s="3"/>
      <c r="K7" s="3"/>
      <c r="L7" s="3"/>
      <c r="M7" s="310" t="s">
        <v>33</v>
      </c>
      <c r="N7" s="310"/>
      <c r="O7" s="310"/>
      <c r="P7" s="310"/>
      <c r="Q7" s="310"/>
      <c r="R7" s="310"/>
      <c r="S7" s="13"/>
      <c r="T7" s="13"/>
    </row>
    <row r="8" spans="1:20" ht="15.6" x14ac:dyDescent="0.3">
      <c r="A8" s="2"/>
      <c r="B8" s="1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S8" s="13"/>
      <c r="T8" s="13"/>
    </row>
    <row r="9" spans="1:20" ht="15.6" x14ac:dyDescent="0.3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S9" s="13"/>
      <c r="T9" s="13"/>
    </row>
    <row r="10" spans="1:20" ht="18" customHeight="1" x14ac:dyDescent="0.3">
      <c r="A10" s="305" t="s">
        <v>0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13"/>
      <c r="T10" s="13"/>
    </row>
    <row r="11" spans="1:20" ht="18" customHeight="1" x14ac:dyDescent="0.3">
      <c r="A11" s="305" t="s">
        <v>1</v>
      </c>
      <c r="B11" s="305"/>
      <c r="C11" s="305"/>
      <c r="D11" s="305"/>
      <c r="E11" s="305"/>
      <c r="F11" s="305"/>
      <c r="G11" s="305"/>
      <c r="H11" s="305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13"/>
      <c r="T11" s="13"/>
    </row>
    <row r="12" spans="1:20" ht="18" customHeight="1" x14ac:dyDescent="0.3">
      <c r="A12" s="305" t="s">
        <v>2</v>
      </c>
      <c r="B12" s="305"/>
      <c r="C12" s="305"/>
      <c r="D12" s="305"/>
      <c r="E12" s="305"/>
      <c r="F12" s="305"/>
      <c r="G12" s="305"/>
      <c r="H12" s="305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13"/>
      <c r="T12" s="13"/>
    </row>
    <row r="13" spans="1:20" ht="63.6" customHeight="1" x14ac:dyDescent="0.3">
      <c r="A13" s="311" t="s">
        <v>720</v>
      </c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</row>
    <row r="14" spans="1:20" ht="27" customHeight="1" thickBot="1" x14ac:dyDescent="0.35">
      <c r="A14" s="313" t="s">
        <v>36</v>
      </c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  <c r="M14" s="313"/>
      <c r="N14" s="313"/>
      <c r="O14" s="313"/>
      <c r="P14" s="313"/>
      <c r="Q14" s="313"/>
    </row>
    <row r="15" spans="1:20" ht="30.6" customHeight="1" thickBot="1" x14ac:dyDescent="0.35">
      <c r="A15" s="314" t="s">
        <v>24</v>
      </c>
      <c r="B15" s="315"/>
      <c r="C15" s="315"/>
      <c r="D15" s="315"/>
      <c r="E15" s="315"/>
      <c r="F15" s="315"/>
      <c r="G15" s="315"/>
      <c r="H15" s="315"/>
      <c r="I15" s="315"/>
      <c r="J15" s="315"/>
      <c r="K15" s="315"/>
      <c r="L15" s="316" t="s">
        <v>25</v>
      </c>
      <c r="M15" s="317"/>
      <c r="N15" s="317"/>
      <c r="O15" s="317"/>
      <c r="P15" s="317"/>
      <c r="Q15" s="317"/>
      <c r="R15" s="318"/>
    </row>
    <row r="16" spans="1:20" ht="15" customHeight="1" x14ac:dyDescent="0.3">
      <c r="A16" s="298" t="s">
        <v>3</v>
      </c>
      <c r="B16" s="300" t="s">
        <v>4</v>
      </c>
      <c r="C16" s="300"/>
      <c r="D16" s="293" t="s">
        <v>5</v>
      </c>
      <c r="E16" s="300" t="s">
        <v>6</v>
      </c>
      <c r="F16" s="291"/>
      <c r="G16" s="293"/>
      <c r="H16" s="293"/>
      <c r="I16" s="294"/>
      <c r="J16" s="293" t="s">
        <v>21</v>
      </c>
      <c r="K16" s="296" t="s">
        <v>22</v>
      </c>
      <c r="L16" s="16"/>
      <c r="M16" s="302" t="s">
        <v>7</v>
      </c>
      <c r="N16" s="303"/>
      <c r="O16" s="303"/>
      <c r="P16" s="303"/>
      <c r="Q16" s="304"/>
      <c r="R16" s="296" t="s">
        <v>8</v>
      </c>
    </row>
    <row r="17" spans="1:18" ht="34.200000000000003" customHeight="1" x14ac:dyDescent="0.3">
      <c r="A17" s="299"/>
      <c r="B17" s="301"/>
      <c r="C17" s="301"/>
      <c r="D17" s="292"/>
      <c r="E17" s="301"/>
      <c r="F17" s="292"/>
      <c r="G17" s="292"/>
      <c r="H17" s="292"/>
      <c r="I17" s="295"/>
      <c r="J17" s="292"/>
      <c r="K17" s="297"/>
      <c r="L17" s="17" t="s">
        <v>20</v>
      </c>
      <c r="M17" s="14" t="s">
        <v>9</v>
      </c>
      <c r="N17" s="18" t="s">
        <v>10</v>
      </c>
      <c r="O17" s="7" t="s">
        <v>6</v>
      </c>
      <c r="P17" s="8" t="s">
        <v>21</v>
      </c>
      <c r="Q17" s="8" t="s">
        <v>22</v>
      </c>
      <c r="R17" s="297"/>
    </row>
    <row r="18" spans="1:18" ht="15" thickBot="1" x14ac:dyDescent="0.35">
      <c r="A18" s="21">
        <v>1</v>
      </c>
      <c r="B18" s="22">
        <v>2</v>
      </c>
      <c r="C18" s="22"/>
      <c r="D18" s="22">
        <v>3</v>
      </c>
      <c r="E18" s="22">
        <v>4</v>
      </c>
      <c r="F18" s="22"/>
      <c r="G18" s="22"/>
      <c r="H18" s="22"/>
      <c r="I18" s="74"/>
      <c r="J18" s="22">
        <v>5</v>
      </c>
      <c r="K18" s="23">
        <v>6</v>
      </c>
      <c r="L18" s="83">
        <v>7</v>
      </c>
      <c r="M18" s="7">
        <v>8</v>
      </c>
      <c r="N18" s="7">
        <v>9</v>
      </c>
      <c r="O18" s="7">
        <v>10</v>
      </c>
      <c r="P18" s="14">
        <v>11</v>
      </c>
      <c r="Q18" s="14">
        <v>12</v>
      </c>
      <c r="R18" s="107">
        <v>13</v>
      </c>
    </row>
    <row r="19" spans="1:18" ht="33.6" customHeight="1" x14ac:dyDescent="0.3">
      <c r="A19" s="60"/>
      <c r="B19" s="80" t="s">
        <v>721</v>
      </c>
      <c r="C19" s="80"/>
      <c r="D19" s="80" t="s">
        <v>34</v>
      </c>
      <c r="E19" s="80">
        <v>1</v>
      </c>
      <c r="F19" s="69"/>
      <c r="G19" s="69"/>
      <c r="H19" s="69"/>
      <c r="I19" s="69"/>
      <c r="J19" s="69"/>
      <c r="K19" s="69"/>
      <c r="L19" s="63" t="s">
        <v>519</v>
      </c>
      <c r="M19" s="52" t="s">
        <v>162</v>
      </c>
      <c r="N19" s="65" t="s">
        <v>34</v>
      </c>
      <c r="O19" s="65">
        <v>1</v>
      </c>
      <c r="P19" s="92">
        <f>VLOOKUP(L19,[1]TDSheet!B$10:E$365,4,FALSE)</f>
        <v>3</v>
      </c>
      <c r="Q19" s="92">
        <f>P19-O19</f>
        <v>2</v>
      </c>
      <c r="R19" s="106">
        <f>VLOOKUP(L19,[2]TDSheet!B$10:E$436,4,FALSE)</f>
        <v>1</v>
      </c>
    </row>
    <row r="20" spans="1:18" ht="15.6" x14ac:dyDescent="0.3">
      <c r="A20" s="51"/>
      <c r="B20" s="59"/>
      <c r="C20" s="47"/>
      <c r="D20" s="61"/>
      <c r="E20" s="62"/>
      <c r="F20" s="75"/>
      <c r="G20" s="76"/>
      <c r="H20" s="76"/>
      <c r="I20" s="48"/>
      <c r="J20" s="48"/>
      <c r="K20" s="48"/>
      <c r="L20" s="81" t="s">
        <v>271</v>
      </c>
      <c r="M20" s="82" t="s">
        <v>272</v>
      </c>
      <c r="N20" s="50" t="s">
        <v>34</v>
      </c>
      <c r="O20" s="84">
        <v>6</v>
      </c>
      <c r="P20" s="92">
        <f>VLOOKUP(L20,[1]TDSheet!B$10:E$365,4,FALSE)</f>
        <v>24</v>
      </c>
      <c r="Q20" s="92">
        <f t="shared" ref="Q20:Q83" si="0">P20-O20</f>
        <v>18</v>
      </c>
      <c r="R20" s="106">
        <f>VLOOKUP(L20,[2]TDSheet!B$10:E$436,4,FALSE)</f>
        <v>24</v>
      </c>
    </row>
    <row r="21" spans="1:18" ht="15.6" x14ac:dyDescent="0.3">
      <c r="A21" s="51"/>
      <c r="B21" s="59"/>
      <c r="C21" s="47"/>
      <c r="D21" s="61"/>
      <c r="E21" s="62"/>
      <c r="F21" s="75"/>
      <c r="G21" s="76"/>
      <c r="H21" s="76"/>
      <c r="I21" s="48"/>
      <c r="J21" s="48"/>
      <c r="K21" s="48"/>
      <c r="L21" s="81" t="s">
        <v>58</v>
      </c>
      <c r="M21" s="82" t="s">
        <v>67</v>
      </c>
      <c r="N21" s="50" t="s">
        <v>34</v>
      </c>
      <c r="O21" s="84">
        <v>16</v>
      </c>
      <c r="P21" s="92">
        <f>VLOOKUP(L21,[1]TDSheet!B$10:E$365,4,FALSE)</f>
        <v>59</v>
      </c>
      <c r="Q21" s="92">
        <f t="shared" si="0"/>
        <v>43</v>
      </c>
      <c r="R21" s="106">
        <f>VLOOKUP(L21,[2]TDSheet!B$10:E$436,4,FALSE)</f>
        <v>59</v>
      </c>
    </row>
    <row r="22" spans="1:18" ht="31.2" x14ac:dyDescent="0.3">
      <c r="A22" s="51"/>
      <c r="B22" s="59"/>
      <c r="C22" s="47"/>
      <c r="D22" s="61"/>
      <c r="E22" s="62"/>
      <c r="F22" s="75"/>
      <c r="G22" s="76"/>
      <c r="H22" s="76"/>
      <c r="I22" s="48"/>
      <c r="J22" s="48"/>
      <c r="K22" s="48"/>
      <c r="L22" s="81" t="s">
        <v>273</v>
      </c>
      <c r="M22" s="82" t="s">
        <v>274</v>
      </c>
      <c r="N22" s="50" t="s">
        <v>34</v>
      </c>
      <c r="O22" s="84">
        <v>3</v>
      </c>
      <c r="P22" s="92">
        <f>VLOOKUP(L22,[1]TDSheet!B$10:E$365,4,FALSE)</f>
        <v>12</v>
      </c>
      <c r="Q22" s="92">
        <f t="shared" si="0"/>
        <v>9</v>
      </c>
      <c r="R22" s="106">
        <f>VLOOKUP(L22,[2]TDSheet!B$10:E$436,4,FALSE)</f>
        <v>12</v>
      </c>
    </row>
    <row r="23" spans="1:18" ht="15.6" x14ac:dyDescent="0.3">
      <c r="A23" s="53"/>
      <c r="B23" s="54"/>
      <c r="C23" s="54"/>
      <c r="D23" s="54"/>
      <c r="E23" s="55"/>
      <c r="F23" s="75"/>
      <c r="G23" s="76"/>
      <c r="H23" s="76"/>
      <c r="I23" s="48"/>
      <c r="J23" s="70"/>
      <c r="K23" s="70"/>
      <c r="L23" s="81" t="s">
        <v>275</v>
      </c>
      <c r="M23" s="56" t="s">
        <v>276</v>
      </c>
      <c r="N23" s="50" t="s">
        <v>34</v>
      </c>
      <c r="O23" s="57">
        <v>1</v>
      </c>
      <c r="P23" s="92">
        <f>VLOOKUP(L23,[1]TDSheet!B$10:E$365,4,FALSE)</f>
        <v>4</v>
      </c>
      <c r="Q23" s="92">
        <f t="shared" si="0"/>
        <v>3</v>
      </c>
      <c r="R23" s="106">
        <f>VLOOKUP(L23,[2]TDSheet!B$10:E$436,4,FALSE)</f>
        <v>3</v>
      </c>
    </row>
    <row r="24" spans="1:18" ht="15.6" x14ac:dyDescent="0.3">
      <c r="A24" s="53"/>
      <c r="B24" s="54"/>
      <c r="C24" s="54"/>
      <c r="D24" s="54"/>
      <c r="E24" s="55"/>
      <c r="F24" s="75"/>
      <c r="G24" s="76"/>
      <c r="H24" s="76"/>
      <c r="I24" s="48"/>
      <c r="J24" s="70"/>
      <c r="K24" s="70"/>
      <c r="L24" s="58">
        <v>355</v>
      </c>
      <c r="M24" s="56" t="s">
        <v>163</v>
      </c>
      <c r="N24" s="50" t="s">
        <v>34</v>
      </c>
      <c r="O24" s="56">
        <v>2</v>
      </c>
      <c r="P24" s="92">
        <f>VLOOKUP(L24,[1]TDSheet!B$10:E$365,4,FALSE)</f>
        <v>3</v>
      </c>
      <c r="Q24" s="92">
        <f t="shared" si="0"/>
        <v>1</v>
      </c>
      <c r="R24" s="106" t="e">
        <f>VLOOKUP(L24,[2]TDSheet!B$10:E$436,4,FALSE)</f>
        <v>#N/A</v>
      </c>
    </row>
    <row r="25" spans="1:18" ht="15.6" x14ac:dyDescent="0.3">
      <c r="A25" s="53"/>
      <c r="B25" s="54"/>
      <c r="C25" s="54"/>
      <c r="D25" s="54"/>
      <c r="E25" s="55"/>
      <c r="F25" s="75"/>
      <c r="G25" s="76"/>
      <c r="H25" s="76"/>
      <c r="I25" s="48"/>
      <c r="J25" s="70"/>
      <c r="K25" s="70"/>
      <c r="L25" s="58" t="s">
        <v>277</v>
      </c>
      <c r="M25" s="56" t="s">
        <v>278</v>
      </c>
      <c r="N25" s="50" t="s">
        <v>34</v>
      </c>
      <c r="O25" s="56">
        <v>2</v>
      </c>
      <c r="P25" s="92">
        <f>VLOOKUP(L25,[1]TDSheet!B$10:E$365,4,FALSE)</f>
        <v>4</v>
      </c>
      <c r="Q25" s="92">
        <f t="shared" si="0"/>
        <v>2</v>
      </c>
      <c r="R25" s="106">
        <f>VLOOKUP(L25,[2]TDSheet!B$10:E$436,4,FALSE)</f>
        <v>2</v>
      </c>
    </row>
    <row r="26" spans="1:18" ht="15.6" x14ac:dyDescent="0.3">
      <c r="A26" s="53"/>
      <c r="B26" s="54"/>
      <c r="C26" s="54"/>
      <c r="D26" s="54"/>
      <c r="E26" s="55"/>
      <c r="F26" s="75"/>
      <c r="G26" s="76"/>
      <c r="H26" s="76"/>
      <c r="I26" s="48"/>
      <c r="J26" s="70"/>
      <c r="K26" s="70"/>
      <c r="L26" s="58">
        <v>601</v>
      </c>
      <c r="M26" s="56" t="s">
        <v>69</v>
      </c>
      <c r="N26" s="50" t="s">
        <v>45</v>
      </c>
      <c r="O26" s="56">
        <v>110</v>
      </c>
      <c r="P26" s="92">
        <f>VLOOKUP(L26,[1]TDSheet!B$10:E$365,4,FALSE)</f>
        <v>112</v>
      </c>
      <c r="Q26" s="92">
        <f t="shared" si="0"/>
        <v>2</v>
      </c>
      <c r="R26" s="106" t="e">
        <f>VLOOKUP(L26,[2]TDSheet!B$10:E$436,4,FALSE)</f>
        <v>#N/A</v>
      </c>
    </row>
    <row r="27" spans="1:18" ht="15.6" x14ac:dyDescent="0.3">
      <c r="A27" s="53"/>
      <c r="B27" s="54"/>
      <c r="C27" s="54"/>
      <c r="D27" s="54"/>
      <c r="E27" s="55"/>
      <c r="F27" s="75"/>
      <c r="G27" s="76"/>
      <c r="H27" s="76"/>
      <c r="I27" s="48"/>
      <c r="J27" s="70"/>
      <c r="K27" s="70"/>
      <c r="L27" s="58">
        <v>18520</v>
      </c>
      <c r="M27" s="56" t="s">
        <v>70</v>
      </c>
      <c r="N27" s="50" t="s">
        <v>56</v>
      </c>
      <c r="O27" s="56">
        <v>0.26500000000000001</v>
      </c>
      <c r="P27" s="92">
        <f>VLOOKUP(L27,[1]TDSheet!B$10:E$365,4,FALSE)</f>
        <v>1.085</v>
      </c>
      <c r="Q27" s="92">
        <f t="shared" si="0"/>
        <v>0.82</v>
      </c>
      <c r="R27" s="106" t="e">
        <f>VLOOKUP(L27,[2]TDSheet!B$10:E$436,4,FALSE)</f>
        <v>#N/A</v>
      </c>
    </row>
    <row r="28" spans="1:18" ht="15.6" x14ac:dyDescent="0.3">
      <c r="A28" s="53"/>
      <c r="B28" s="54"/>
      <c r="C28" s="54"/>
      <c r="D28" s="54"/>
      <c r="E28" s="55"/>
      <c r="F28" s="75"/>
      <c r="G28" s="76"/>
      <c r="H28" s="76"/>
      <c r="I28" s="48"/>
      <c r="J28" s="70"/>
      <c r="K28" s="70"/>
      <c r="L28" s="58">
        <v>18382</v>
      </c>
      <c r="M28" s="56" t="s">
        <v>71</v>
      </c>
      <c r="N28" s="50" t="s">
        <v>56</v>
      </c>
      <c r="O28" s="56">
        <v>0.5</v>
      </c>
      <c r="P28" s="92">
        <f>VLOOKUP(L28,[1]TDSheet!B$10:E$365,4,FALSE)</f>
        <v>2.1709999999999998</v>
      </c>
      <c r="Q28" s="92">
        <f t="shared" si="0"/>
        <v>1.6709999999999998</v>
      </c>
      <c r="R28" s="106" t="e">
        <f>VLOOKUP(L28,[2]TDSheet!B$10:E$436,4,FALSE)</f>
        <v>#N/A</v>
      </c>
    </row>
    <row r="29" spans="1:18" ht="15.6" x14ac:dyDescent="0.3">
      <c r="A29" s="53"/>
      <c r="B29" s="54"/>
      <c r="C29" s="54"/>
      <c r="D29" s="54"/>
      <c r="E29" s="55"/>
      <c r="F29" s="75"/>
      <c r="G29" s="76"/>
      <c r="H29" s="76"/>
      <c r="I29" s="48"/>
      <c r="J29" s="70"/>
      <c r="K29" s="70"/>
      <c r="L29" s="58">
        <v>18518</v>
      </c>
      <c r="M29" s="56" t="s">
        <v>72</v>
      </c>
      <c r="N29" s="50" t="s">
        <v>56</v>
      </c>
      <c r="O29" s="91">
        <f>0.012+0.012+0.009+0.034</f>
        <v>6.7000000000000004E-2</v>
      </c>
      <c r="P29" s="92">
        <f>VLOOKUP(L29,[1]TDSheet!B$10:E$365,4,FALSE)</f>
        <v>0.17499999999999999</v>
      </c>
      <c r="Q29" s="92">
        <f t="shared" si="0"/>
        <v>0.10799999999999998</v>
      </c>
      <c r="R29" s="106" t="e">
        <f>VLOOKUP(L29,[2]TDSheet!B$10:E$436,4,FALSE)</f>
        <v>#N/A</v>
      </c>
    </row>
    <row r="30" spans="1:18" ht="15.6" x14ac:dyDescent="0.3">
      <c r="A30" s="53"/>
      <c r="B30" s="54"/>
      <c r="C30" s="54"/>
      <c r="D30" s="54"/>
      <c r="E30" s="55"/>
      <c r="F30" s="75"/>
      <c r="G30" s="76"/>
      <c r="H30" s="76"/>
      <c r="I30" s="48"/>
      <c r="J30" s="70"/>
      <c r="K30" s="70"/>
      <c r="L30" s="58">
        <v>599</v>
      </c>
      <c r="M30" s="56" t="s">
        <v>73</v>
      </c>
      <c r="N30" s="50" t="s">
        <v>34</v>
      </c>
      <c r="O30" s="56">
        <v>10</v>
      </c>
      <c r="P30" s="92">
        <f>VLOOKUP(L30,[1]TDSheet!B$10:E$365,4,FALSE)</f>
        <v>35</v>
      </c>
      <c r="Q30" s="92">
        <f t="shared" si="0"/>
        <v>25</v>
      </c>
      <c r="R30" s="106" t="e">
        <f>VLOOKUP(L30,[2]TDSheet!B$10:E$436,4,FALSE)</f>
        <v>#N/A</v>
      </c>
    </row>
    <row r="31" spans="1:18" ht="15.6" x14ac:dyDescent="0.3">
      <c r="A31" s="53"/>
      <c r="B31" s="54"/>
      <c r="C31" s="54"/>
      <c r="D31" s="54"/>
      <c r="E31" s="55"/>
      <c r="F31" s="75"/>
      <c r="G31" s="76"/>
      <c r="H31" s="76"/>
      <c r="I31" s="48"/>
      <c r="J31" s="70"/>
      <c r="K31" s="70"/>
      <c r="L31" s="58">
        <v>616</v>
      </c>
      <c r="M31" s="56" t="s">
        <v>279</v>
      </c>
      <c r="N31" s="50" t="s">
        <v>34</v>
      </c>
      <c r="O31" s="56">
        <v>2</v>
      </c>
      <c r="P31" s="92">
        <f>VLOOKUP(L31,[1]TDSheet!B$10:E$365,4,FALSE)</f>
        <v>8</v>
      </c>
      <c r="Q31" s="92">
        <f t="shared" si="0"/>
        <v>6</v>
      </c>
      <c r="R31" s="106" t="e">
        <f>VLOOKUP(L31,[2]TDSheet!B$10:E$436,4,FALSE)</f>
        <v>#N/A</v>
      </c>
    </row>
    <row r="32" spans="1:18" ht="15.6" x14ac:dyDescent="0.3">
      <c r="A32" s="53"/>
      <c r="B32" s="54"/>
      <c r="C32" s="54"/>
      <c r="D32" s="54"/>
      <c r="E32" s="55"/>
      <c r="F32" s="75"/>
      <c r="G32" s="76"/>
      <c r="H32" s="76"/>
      <c r="I32" s="48"/>
      <c r="J32" s="70"/>
      <c r="K32" s="70"/>
      <c r="L32" s="58" t="s">
        <v>280</v>
      </c>
      <c r="M32" s="56" t="s">
        <v>281</v>
      </c>
      <c r="N32" s="50" t="s">
        <v>34</v>
      </c>
      <c r="O32" s="56">
        <v>1</v>
      </c>
      <c r="P32" s="92">
        <f>VLOOKUP(L32,[1]TDSheet!B$10:E$365,4,FALSE)</f>
        <v>4</v>
      </c>
      <c r="Q32" s="92">
        <f t="shared" si="0"/>
        <v>3</v>
      </c>
      <c r="R32" s="106">
        <f>VLOOKUP(L32,[2]TDSheet!B$10:E$436,4,FALSE)</f>
        <v>4</v>
      </c>
    </row>
    <row r="33" spans="1:18" ht="15.6" x14ac:dyDescent="0.3">
      <c r="A33" s="53"/>
      <c r="B33" s="54"/>
      <c r="C33" s="54"/>
      <c r="D33" s="54"/>
      <c r="E33" s="55"/>
      <c r="F33" s="75"/>
      <c r="G33" s="76"/>
      <c r="H33" s="76"/>
      <c r="I33" s="48"/>
      <c r="J33" s="70"/>
      <c r="K33" s="70"/>
      <c r="L33" s="58" t="s">
        <v>164</v>
      </c>
      <c r="M33" s="56" t="s">
        <v>165</v>
      </c>
      <c r="N33" s="50" t="s">
        <v>34</v>
      </c>
      <c r="O33" s="56">
        <v>1</v>
      </c>
      <c r="P33" s="92">
        <f>VLOOKUP(L33,[1]TDSheet!B$10:E$365,4,FALSE)</f>
        <v>4</v>
      </c>
      <c r="Q33" s="92">
        <f t="shared" si="0"/>
        <v>3</v>
      </c>
      <c r="R33" s="106">
        <f>VLOOKUP(L33,[2]TDSheet!B$10:E$436,4,FALSE)</f>
        <v>4</v>
      </c>
    </row>
    <row r="34" spans="1:18" ht="15.6" x14ac:dyDescent="0.3">
      <c r="A34" s="53"/>
      <c r="B34" s="54"/>
      <c r="C34" s="54"/>
      <c r="D34" s="54"/>
      <c r="E34" s="55"/>
      <c r="F34" s="75"/>
      <c r="G34" s="76"/>
      <c r="H34" s="76"/>
      <c r="I34" s="48"/>
      <c r="J34" s="70"/>
      <c r="K34" s="70"/>
      <c r="L34" s="58" t="s">
        <v>282</v>
      </c>
      <c r="M34" s="56" t="s">
        <v>283</v>
      </c>
      <c r="N34" s="50" t="s">
        <v>34</v>
      </c>
      <c r="O34" s="56">
        <v>7</v>
      </c>
      <c r="P34" s="92">
        <f>VLOOKUP(L34,[1]TDSheet!B$10:E$365,4,FALSE)</f>
        <v>33</v>
      </c>
      <c r="Q34" s="92">
        <f t="shared" si="0"/>
        <v>26</v>
      </c>
      <c r="R34" s="106">
        <f>VLOOKUP(L34,[2]TDSheet!B$10:E$436,4,FALSE)</f>
        <v>33</v>
      </c>
    </row>
    <row r="35" spans="1:18" ht="15.6" x14ac:dyDescent="0.3">
      <c r="A35" s="53"/>
      <c r="B35" s="54"/>
      <c r="C35" s="54"/>
      <c r="D35" s="54"/>
      <c r="E35" s="55"/>
      <c r="F35" s="75"/>
      <c r="G35" s="76"/>
      <c r="H35" s="76"/>
      <c r="I35" s="48"/>
      <c r="J35" s="70"/>
      <c r="K35" s="70"/>
      <c r="L35" s="58">
        <v>486</v>
      </c>
      <c r="M35" s="56" t="s">
        <v>284</v>
      </c>
      <c r="N35" s="50" t="s">
        <v>34</v>
      </c>
      <c r="O35" s="56">
        <v>4</v>
      </c>
      <c r="P35" s="92">
        <f>VLOOKUP(L35,[1]TDSheet!B$10:E$365,4,FALSE)</f>
        <v>16</v>
      </c>
      <c r="Q35" s="92">
        <f t="shared" si="0"/>
        <v>12</v>
      </c>
      <c r="R35" s="106" t="e">
        <f>VLOOKUP(L35,[2]TDSheet!B$10:E$436,4,FALSE)</f>
        <v>#N/A</v>
      </c>
    </row>
    <row r="36" spans="1:18" ht="15.6" x14ac:dyDescent="0.3">
      <c r="A36" s="53"/>
      <c r="B36" s="54"/>
      <c r="C36" s="54"/>
      <c r="D36" s="54"/>
      <c r="E36" s="55"/>
      <c r="F36" s="75"/>
      <c r="G36" s="76"/>
      <c r="H36" s="76"/>
      <c r="I36" s="48"/>
      <c r="J36" s="70"/>
      <c r="K36" s="70"/>
      <c r="L36" s="58">
        <v>17002</v>
      </c>
      <c r="M36" s="56" t="s">
        <v>285</v>
      </c>
      <c r="N36" s="50" t="s">
        <v>34</v>
      </c>
      <c r="O36" s="56">
        <v>4</v>
      </c>
      <c r="P36" s="92">
        <f>VLOOKUP(L36,[1]TDSheet!B$10:E$365,4,FALSE)</f>
        <v>16</v>
      </c>
      <c r="Q36" s="92">
        <f t="shared" si="0"/>
        <v>12</v>
      </c>
      <c r="R36" s="106" t="e">
        <f>VLOOKUP(L36,[2]TDSheet!B$10:E$436,4,FALSE)</f>
        <v>#N/A</v>
      </c>
    </row>
    <row r="37" spans="1:18" ht="15.6" x14ac:dyDescent="0.3">
      <c r="A37" s="53"/>
      <c r="B37" s="54"/>
      <c r="C37" s="54"/>
      <c r="D37" s="54"/>
      <c r="E37" s="55"/>
      <c r="F37" s="75"/>
      <c r="G37" s="76"/>
      <c r="H37" s="76"/>
      <c r="I37" s="48"/>
      <c r="J37" s="70"/>
      <c r="K37" s="70"/>
      <c r="L37" s="58" t="s">
        <v>286</v>
      </c>
      <c r="M37" s="56" t="s">
        <v>287</v>
      </c>
      <c r="N37" s="50" t="s">
        <v>34</v>
      </c>
      <c r="O37" s="56">
        <v>3</v>
      </c>
      <c r="P37" s="92">
        <f>VLOOKUP(L37,[1]TDSheet!B$10:E$365,4,FALSE)</f>
        <v>12</v>
      </c>
      <c r="Q37" s="92">
        <f t="shared" si="0"/>
        <v>9</v>
      </c>
      <c r="R37" s="106">
        <f>VLOOKUP(L37,[2]TDSheet!B$10:E$436,4,FALSE)</f>
        <v>12</v>
      </c>
    </row>
    <row r="38" spans="1:18" ht="15.6" x14ac:dyDescent="0.3">
      <c r="A38" s="53"/>
      <c r="B38" s="54"/>
      <c r="C38" s="54"/>
      <c r="D38" s="54"/>
      <c r="E38" s="55"/>
      <c r="F38" s="75"/>
      <c r="G38" s="76"/>
      <c r="H38" s="76"/>
      <c r="I38" s="48"/>
      <c r="J38" s="70"/>
      <c r="K38" s="70"/>
      <c r="L38" s="58">
        <v>10911</v>
      </c>
      <c r="M38" s="56" t="s">
        <v>288</v>
      </c>
      <c r="N38" s="50" t="s">
        <v>34</v>
      </c>
      <c r="O38" s="56">
        <v>3</v>
      </c>
      <c r="P38" s="92">
        <f>VLOOKUP(L38,[1]TDSheet!B$10:E$365,4,FALSE)</f>
        <v>1</v>
      </c>
      <c r="Q38" s="92">
        <f t="shared" si="0"/>
        <v>-2</v>
      </c>
      <c r="R38" s="106" t="e">
        <f>VLOOKUP(L38,[2]TDSheet!B$10:E$436,4,FALSE)</f>
        <v>#N/A</v>
      </c>
    </row>
    <row r="39" spans="1:18" ht="15.6" x14ac:dyDescent="0.3">
      <c r="A39" s="53"/>
      <c r="B39" s="54"/>
      <c r="C39" s="54"/>
      <c r="D39" s="54"/>
      <c r="E39" s="55"/>
      <c r="F39" s="75"/>
      <c r="G39" s="76"/>
      <c r="H39" s="76"/>
      <c r="I39" s="48"/>
      <c r="J39" s="70"/>
      <c r="K39" s="70"/>
      <c r="L39" s="58" t="s">
        <v>49</v>
      </c>
      <c r="M39" s="56" t="s">
        <v>74</v>
      </c>
      <c r="N39" s="50" t="s">
        <v>34</v>
      </c>
      <c r="O39" s="56">
        <v>6</v>
      </c>
      <c r="P39" s="92">
        <f>VLOOKUP(L39,[1]TDSheet!B$10:E$365,4,FALSE)</f>
        <v>10</v>
      </c>
      <c r="Q39" s="92">
        <f t="shared" si="0"/>
        <v>4</v>
      </c>
      <c r="R39" s="106">
        <f>VLOOKUP(L39,[2]TDSheet!B$10:E$436,4,FALSE)</f>
        <v>10</v>
      </c>
    </row>
    <row r="40" spans="1:18" ht="15.6" x14ac:dyDescent="0.3">
      <c r="A40" s="53"/>
      <c r="B40" s="54"/>
      <c r="C40" s="54"/>
      <c r="D40" s="54"/>
      <c r="E40" s="55"/>
      <c r="F40" s="75"/>
      <c r="G40" s="76"/>
      <c r="H40" s="76"/>
      <c r="I40" s="48"/>
      <c r="J40" s="70"/>
      <c r="K40" s="70"/>
      <c r="L40" s="58" t="s">
        <v>166</v>
      </c>
      <c r="M40" s="56" t="s">
        <v>167</v>
      </c>
      <c r="N40" s="50" t="s">
        <v>34</v>
      </c>
      <c r="O40" s="56">
        <v>2</v>
      </c>
      <c r="P40" s="92">
        <f>VLOOKUP(L40,[1]TDSheet!B$10:E$365,4,FALSE)</f>
        <v>3</v>
      </c>
      <c r="Q40" s="92">
        <f t="shared" si="0"/>
        <v>1</v>
      </c>
      <c r="R40" s="106">
        <f>VLOOKUP(L40,[2]TDSheet!B$10:E$436,4,FALSE)</f>
        <v>3</v>
      </c>
    </row>
    <row r="41" spans="1:18" ht="15.6" x14ac:dyDescent="0.3">
      <c r="A41" s="53"/>
      <c r="B41" s="54"/>
      <c r="C41" s="54"/>
      <c r="D41" s="54"/>
      <c r="E41" s="55"/>
      <c r="F41" s="75"/>
      <c r="G41" s="76"/>
      <c r="H41" s="76"/>
      <c r="I41" s="48"/>
      <c r="J41" s="70"/>
      <c r="K41" s="70"/>
      <c r="L41" s="58">
        <v>5990</v>
      </c>
      <c r="M41" s="56" t="s">
        <v>75</v>
      </c>
      <c r="N41" s="50" t="s">
        <v>34</v>
      </c>
      <c r="O41" s="56">
        <v>4</v>
      </c>
      <c r="P41" s="92">
        <f>VLOOKUP(L41,[1]TDSheet!B$10:E$365,4,FALSE)</f>
        <v>100</v>
      </c>
      <c r="Q41" s="92">
        <f t="shared" si="0"/>
        <v>96</v>
      </c>
      <c r="R41" s="106" t="e">
        <f>VLOOKUP(L41,[2]TDSheet!B$10:E$436,4,FALSE)</f>
        <v>#N/A</v>
      </c>
    </row>
    <row r="42" spans="1:18" ht="15.6" x14ac:dyDescent="0.3">
      <c r="A42" s="53"/>
      <c r="B42" s="54"/>
      <c r="C42" s="54"/>
      <c r="D42" s="54"/>
      <c r="E42" s="55"/>
      <c r="F42" s="75"/>
      <c r="G42" s="76"/>
      <c r="H42" s="76"/>
      <c r="I42" s="48"/>
      <c r="J42" s="70"/>
      <c r="K42" s="70"/>
      <c r="L42" s="58">
        <v>11093</v>
      </c>
      <c r="M42" s="56" t="s">
        <v>289</v>
      </c>
      <c r="N42" s="50" t="s">
        <v>35</v>
      </c>
      <c r="O42" s="91">
        <v>19</v>
      </c>
      <c r="P42" s="92">
        <f>VLOOKUP(L42,[1]TDSheet!B$10:E$365,4,FALSE)</f>
        <v>28.5</v>
      </c>
      <c r="Q42" s="92">
        <f t="shared" si="0"/>
        <v>9.5</v>
      </c>
      <c r="R42" s="106" t="e">
        <f>VLOOKUP(L42,[2]TDSheet!B$10:E$436,4,FALSE)</f>
        <v>#N/A</v>
      </c>
    </row>
    <row r="43" spans="1:18" ht="15.6" x14ac:dyDescent="0.3">
      <c r="A43" s="53"/>
      <c r="B43" s="54"/>
      <c r="C43" s="54"/>
      <c r="D43" s="54"/>
      <c r="E43" s="55"/>
      <c r="F43" s="75"/>
      <c r="G43" s="76"/>
      <c r="H43" s="76"/>
      <c r="I43" s="48"/>
      <c r="J43" s="70"/>
      <c r="K43" s="70"/>
      <c r="L43" s="94" t="s">
        <v>42</v>
      </c>
      <c r="M43" s="56" t="s">
        <v>76</v>
      </c>
      <c r="N43" s="50" t="s">
        <v>34</v>
      </c>
      <c r="O43" s="91">
        <v>2250</v>
      </c>
      <c r="P43" s="92">
        <f>VLOOKUP(L43,[1]TDSheet!B$10:E$365,4,FALSE)</f>
        <v>1200</v>
      </c>
      <c r="Q43" s="92">
        <f t="shared" si="0"/>
        <v>-1050</v>
      </c>
      <c r="R43" s="106">
        <f>VLOOKUP(L43,[2]TDSheet!B$10:E$436,4,FALSE)</f>
        <v>1150</v>
      </c>
    </row>
    <row r="44" spans="1:18" ht="15.6" x14ac:dyDescent="0.3">
      <c r="A44" s="53"/>
      <c r="B44" s="54"/>
      <c r="C44" s="54"/>
      <c r="D44" s="54"/>
      <c r="E44" s="55"/>
      <c r="F44" s="75"/>
      <c r="G44" s="76"/>
      <c r="H44" s="76"/>
      <c r="I44" s="48"/>
      <c r="J44" s="70"/>
      <c r="K44" s="70"/>
      <c r="L44" s="58" t="s">
        <v>168</v>
      </c>
      <c r="M44" s="56" t="s">
        <v>169</v>
      </c>
      <c r="N44" s="50" t="s">
        <v>34</v>
      </c>
      <c r="O44" s="56">
        <v>2600</v>
      </c>
      <c r="P44" s="92">
        <f>VLOOKUP(L44,[1]TDSheet!B$10:E$365,4,FALSE)</f>
        <v>2600</v>
      </c>
      <c r="Q44" s="92">
        <f t="shared" si="0"/>
        <v>0</v>
      </c>
      <c r="R44" s="106">
        <f>VLOOKUP(L44,[2]TDSheet!B$10:E$436,4,FALSE)</f>
        <v>1100</v>
      </c>
    </row>
    <row r="45" spans="1:18" ht="15.6" x14ac:dyDescent="0.3">
      <c r="A45" s="53"/>
      <c r="B45" s="54"/>
      <c r="C45" s="54"/>
      <c r="D45" s="54"/>
      <c r="E45" s="55"/>
      <c r="F45" s="75"/>
      <c r="G45" s="76"/>
      <c r="H45" s="76"/>
      <c r="I45" s="48"/>
      <c r="J45" s="70"/>
      <c r="K45" s="70"/>
      <c r="L45" s="94">
        <v>5936</v>
      </c>
      <c r="M45" s="56" t="s">
        <v>77</v>
      </c>
      <c r="N45" s="50" t="s">
        <v>34</v>
      </c>
      <c r="O45" s="91">
        <v>3500</v>
      </c>
      <c r="P45" s="92">
        <f>VLOOKUP(L45,[1]TDSheet!B$10:E$365,4,FALSE)</f>
        <v>2750</v>
      </c>
      <c r="Q45" s="92">
        <f t="shared" si="0"/>
        <v>-750</v>
      </c>
      <c r="R45" s="106" t="e">
        <f>VLOOKUP(L45,[2]TDSheet!B$10:E$436,4,FALSE)</f>
        <v>#N/A</v>
      </c>
    </row>
    <row r="46" spans="1:18" ht="15.6" x14ac:dyDescent="0.3">
      <c r="A46" s="53"/>
      <c r="B46" s="54"/>
      <c r="C46" s="54"/>
      <c r="D46" s="54"/>
      <c r="E46" s="55"/>
      <c r="F46" s="75"/>
      <c r="G46" s="76"/>
      <c r="H46" s="76"/>
      <c r="I46" s="48"/>
      <c r="J46" s="70"/>
      <c r="K46" s="70"/>
      <c r="L46" s="58" t="s">
        <v>41</v>
      </c>
      <c r="M46" s="56" t="s">
        <v>78</v>
      </c>
      <c r="N46" s="50" t="s">
        <v>34</v>
      </c>
      <c r="O46" s="56">
        <v>5100</v>
      </c>
      <c r="P46" s="92">
        <f>VLOOKUP(L46,[1]TDSheet!B$10:E$365,4,FALSE)</f>
        <v>2900</v>
      </c>
      <c r="Q46" s="92">
        <f t="shared" si="0"/>
        <v>-2200</v>
      </c>
      <c r="R46" s="106">
        <f>VLOOKUP(L46,[2]TDSheet!B$10:E$436,4,FALSE)</f>
        <v>4000</v>
      </c>
    </row>
    <row r="47" spans="1:18" ht="15.6" x14ac:dyDescent="0.3">
      <c r="A47" s="53"/>
      <c r="B47" s="54"/>
      <c r="C47" s="54"/>
      <c r="D47" s="54"/>
      <c r="E47" s="55"/>
      <c r="F47" s="75"/>
      <c r="G47" s="76"/>
      <c r="H47" s="76"/>
      <c r="I47" s="48"/>
      <c r="J47" s="70"/>
      <c r="K47" s="70"/>
      <c r="L47" s="58" t="s">
        <v>443</v>
      </c>
      <c r="M47" s="56" t="s">
        <v>79</v>
      </c>
      <c r="N47" s="50" t="s">
        <v>34</v>
      </c>
      <c r="O47" s="56">
        <v>1250</v>
      </c>
      <c r="P47" s="92">
        <f>VLOOKUP(L47,[1]TDSheet!B$10:E$365,4,FALSE)</f>
        <v>4750</v>
      </c>
      <c r="Q47" s="92">
        <f t="shared" si="0"/>
        <v>3500</v>
      </c>
      <c r="R47" s="106">
        <f>VLOOKUP(L47,[2]TDSheet!B$10:E$436,4,FALSE)</f>
        <v>4750</v>
      </c>
    </row>
    <row r="48" spans="1:18" ht="15.6" x14ac:dyDescent="0.3">
      <c r="A48" s="53"/>
      <c r="B48" s="54"/>
      <c r="C48" s="54"/>
      <c r="D48" s="54"/>
      <c r="E48" s="55"/>
      <c r="F48" s="75"/>
      <c r="G48" s="76"/>
      <c r="H48" s="76"/>
      <c r="I48" s="48"/>
      <c r="J48" s="70"/>
      <c r="K48" s="70"/>
      <c r="L48" s="58">
        <v>17039</v>
      </c>
      <c r="M48" s="56" t="s">
        <v>290</v>
      </c>
      <c r="N48" s="50" t="s">
        <v>34</v>
      </c>
      <c r="O48" s="56">
        <v>1</v>
      </c>
      <c r="P48" s="92">
        <f>VLOOKUP(L48,[1]TDSheet!B$10:E$365,4,FALSE)</f>
        <v>5</v>
      </c>
      <c r="Q48" s="92">
        <f t="shared" si="0"/>
        <v>4</v>
      </c>
      <c r="R48" s="106" t="e">
        <f>VLOOKUP(L48,[2]TDSheet!B$10:E$436,4,FALSE)</f>
        <v>#N/A</v>
      </c>
    </row>
    <row r="49" spans="1:18" ht="15.6" x14ac:dyDescent="0.3">
      <c r="A49" s="53"/>
      <c r="B49" s="54"/>
      <c r="C49" s="54"/>
      <c r="D49" s="54"/>
      <c r="E49" s="55"/>
      <c r="F49" s="75"/>
      <c r="G49" s="76"/>
      <c r="H49" s="76"/>
      <c r="I49" s="48"/>
      <c r="J49" s="70"/>
      <c r="K49" s="70"/>
      <c r="L49" s="58" t="s">
        <v>170</v>
      </c>
      <c r="M49" s="56" t="s">
        <v>171</v>
      </c>
      <c r="N49" s="50" t="s">
        <v>34</v>
      </c>
      <c r="O49" s="56">
        <v>2</v>
      </c>
      <c r="P49" s="92">
        <f>VLOOKUP(L49,[1]TDSheet!B$10:E$365,4,FALSE)</f>
        <v>8</v>
      </c>
      <c r="Q49" s="92">
        <f t="shared" si="0"/>
        <v>6</v>
      </c>
      <c r="R49" s="106">
        <f>VLOOKUP(L49,[2]TDSheet!B$10:E$436,4,FALSE)</f>
        <v>8</v>
      </c>
    </row>
    <row r="50" spans="1:18" ht="15.6" x14ac:dyDescent="0.3">
      <c r="A50" s="53"/>
      <c r="B50" s="54"/>
      <c r="C50" s="54"/>
      <c r="D50" s="54"/>
      <c r="E50" s="55"/>
      <c r="F50" s="75"/>
      <c r="G50" s="76"/>
      <c r="H50" s="76"/>
      <c r="I50" s="48"/>
      <c r="J50" s="70"/>
      <c r="K50" s="70"/>
      <c r="L50" s="58">
        <v>597</v>
      </c>
      <c r="M50" s="56" t="s">
        <v>291</v>
      </c>
      <c r="N50" s="50" t="s">
        <v>34</v>
      </c>
      <c r="O50" s="56">
        <v>4</v>
      </c>
      <c r="P50" s="92">
        <f>VLOOKUP(L50,[1]TDSheet!B$10:E$365,4,FALSE)</f>
        <v>4</v>
      </c>
      <c r="Q50" s="92">
        <f t="shared" si="0"/>
        <v>0</v>
      </c>
      <c r="R50" s="106" t="e">
        <f>VLOOKUP(L50,[2]TDSheet!B$10:E$436,4,FALSE)</f>
        <v>#N/A</v>
      </c>
    </row>
    <row r="51" spans="1:18" ht="15.6" x14ac:dyDescent="0.3">
      <c r="A51" s="53"/>
      <c r="B51" s="54"/>
      <c r="C51" s="54"/>
      <c r="D51" s="54"/>
      <c r="E51" s="55"/>
      <c r="F51" s="75"/>
      <c r="G51" s="76"/>
      <c r="H51" s="76"/>
      <c r="I51" s="48"/>
      <c r="J51" s="70"/>
      <c r="K51" s="70"/>
      <c r="L51" s="58" t="s">
        <v>172</v>
      </c>
      <c r="M51" s="56" t="s">
        <v>173</v>
      </c>
      <c r="N51" s="50" t="s">
        <v>34</v>
      </c>
      <c r="O51" s="56">
        <v>5</v>
      </c>
      <c r="P51" s="92">
        <f>VLOOKUP(L51,[1]TDSheet!B$10:E$365,4,FALSE)</f>
        <v>5</v>
      </c>
      <c r="Q51" s="92">
        <f t="shared" si="0"/>
        <v>0</v>
      </c>
      <c r="R51" s="106">
        <f>VLOOKUP(L51,[2]TDSheet!B$10:E$436,4,FALSE)</f>
        <v>5</v>
      </c>
    </row>
    <row r="52" spans="1:18" ht="15.6" x14ac:dyDescent="0.3">
      <c r="A52" s="53"/>
      <c r="B52" s="54"/>
      <c r="C52" s="54"/>
      <c r="D52" s="54"/>
      <c r="E52" s="55"/>
      <c r="F52" s="75"/>
      <c r="G52" s="76"/>
      <c r="H52" s="76"/>
      <c r="I52" s="48"/>
      <c r="J52" s="70"/>
      <c r="K52" s="70"/>
      <c r="L52" s="58">
        <v>643</v>
      </c>
      <c r="M52" s="56" t="s">
        <v>80</v>
      </c>
      <c r="N52" s="50" t="s">
        <v>45</v>
      </c>
      <c r="O52" s="56">
        <v>560</v>
      </c>
      <c r="P52" s="92">
        <f>VLOOKUP(L52,[1]TDSheet!B$10:E$365,4,FALSE)</f>
        <v>1320</v>
      </c>
      <c r="Q52" s="92">
        <f t="shared" si="0"/>
        <v>760</v>
      </c>
      <c r="R52" s="106" t="e">
        <f>VLOOKUP(L52,[2]TDSheet!B$10:E$436,4,FALSE)</f>
        <v>#N/A</v>
      </c>
    </row>
    <row r="53" spans="1:18" ht="15.6" x14ac:dyDescent="0.3">
      <c r="A53" s="53"/>
      <c r="B53" s="54"/>
      <c r="C53" s="54"/>
      <c r="D53" s="54"/>
      <c r="E53" s="55"/>
      <c r="F53" s="75"/>
      <c r="G53" s="76"/>
      <c r="H53" s="76"/>
      <c r="I53" s="48"/>
      <c r="J53" s="70"/>
      <c r="K53" s="70"/>
      <c r="L53" s="58" t="s">
        <v>292</v>
      </c>
      <c r="M53" s="56" t="s">
        <v>293</v>
      </c>
      <c r="N53" s="50" t="s">
        <v>34</v>
      </c>
      <c r="O53" s="56">
        <v>1</v>
      </c>
      <c r="P53" s="92">
        <f>VLOOKUP(L53,[1]TDSheet!B$10:E$365,4,FALSE)</f>
        <v>1</v>
      </c>
      <c r="Q53" s="92">
        <f t="shared" si="0"/>
        <v>0</v>
      </c>
      <c r="R53" s="106">
        <f>VLOOKUP(L53,[2]TDSheet!B$10:E$436,4,FALSE)</f>
        <v>1</v>
      </c>
    </row>
    <row r="54" spans="1:18" ht="15.6" x14ac:dyDescent="0.3">
      <c r="A54" s="53"/>
      <c r="B54" s="54"/>
      <c r="C54" s="54"/>
      <c r="D54" s="54"/>
      <c r="E54" s="55"/>
      <c r="F54" s="75"/>
      <c r="G54" s="76"/>
      <c r="H54" s="76"/>
      <c r="I54" s="48"/>
      <c r="J54" s="70"/>
      <c r="K54" s="70"/>
      <c r="L54" s="58">
        <v>336</v>
      </c>
      <c r="M54" s="56" t="s">
        <v>174</v>
      </c>
      <c r="N54" s="50" t="s">
        <v>45</v>
      </c>
      <c r="O54" s="56">
        <v>45.5</v>
      </c>
      <c r="P54" s="92">
        <f>VLOOKUP(L54,[1]TDSheet!B$10:E$365,4,FALSE)</f>
        <v>182</v>
      </c>
      <c r="Q54" s="92">
        <f t="shared" si="0"/>
        <v>136.5</v>
      </c>
      <c r="R54" s="106" t="e">
        <f>VLOOKUP(L54,[2]TDSheet!B$10:E$436,4,FALSE)</f>
        <v>#N/A</v>
      </c>
    </row>
    <row r="55" spans="1:18" ht="15.6" x14ac:dyDescent="0.3">
      <c r="A55" s="53"/>
      <c r="B55" s="54"/>
      <c r="C55" s="54"/>
      <c r="D55" s="54"/>
      <c r="E55" s="55"/>
      <c r="F55" s="75"/>
      <c r="G55" s="76"/>
      <c r="H55" s="76"/>
      <c r="I55" s="48"/>
      <c r="J55" s="70"/>
      <c r="K55" s="70"/>
      <c r="L55" s="58" t="s">
        <v>175</v>
      </c>
      <c r="M55" s="56" t="s">
        <v>176</v>
      </c>
      <c r="N55" s="50" t="s">
        <v>34</v>
      </c>
      <c r="O55" s="56">
        <v>1</v>
      </c>
      <c r="P55" s="92">
        <f>VLOOKUP(L55,[1]TDSheet!B$10:E$365,4,FALSE)</f>
        <v>1</v>
      </c>
      <c r="Q55" s="92">
        <f t="shared" si="0"/>
        <v>0</v>
      </c>
      <c r="R55" s="106">
        <f>VLOOKUP(L55,[2]TDSheet!B$10:E$436,4,FALSE)</f>
        <v>1</v>
      </c>
    </row>
    <row r="56" spans="1:18" ht="15.6" x14ac:dyDescent="0.3">
      <c r="A56" s="53"/>
      <c r="B56" s="54"/>
      <c r="C56" s="54"/>
      <c r="D56" s="54"/>
      <c r="E56" s="55"/>
      <c r="F56" s="75"/>
      <c r="G56" s="76"/>
      <c r="H56" s="76"/>
      <c r="I56" s="48"/>
      <c r="J56" s="70"/>
      <c r="K56" s="70"/>
      <c r="L56" s="58">
        <v>89</v>
      </c>
      <c r="M56" s="56" t="s">
        <v>294</v>
      </c>
      <c r="N56" s="50" t="s">
        <v>34</v>
      </c>
      <c r="O56" s="56">
        <v>2</v>
      </c>
      <c r="P56" s="92">
        <f>VLOOKUP(L56,[1]TDSheet!B$10:E$365,4,FALSE)</f>
        <v>8</v>
      </c>
      <c r="Q56" s="92">
        <f t="shared" si="0"/>
        <v>6</v>
      </c>
      <c r="R56" s="106" t="e">
        <f>VLOOKUP(L56,[2]TDSheet!B$10:E$436,4,FALSE)</f>
        <v>#N/A</v>
      </c>
    </row>
    <row r="57" spans="1:18" ht="15.6" x14ac:dyDescent="0.3">
      <c r="A57" s="53"/>
      <c r="B57" s="54"/>
      <c r="C57" s="54"/>
      <c r="D57" s="54"/>
      <c r="E57" s="55"/>
      <c r="F57" s="75"/>
      <c r="G57" s="76"/>
      <c r="H57" s="76"/>
      <c r="I57" s="48"/>
      <c r="J57" s="70"/>
      <c r="K57" s="70"/>
      <c r="L57" s="58">
        <v>87</v>
      </c>
      <c r="M57" s="56" t="s">
        <v>295</v>
      </c>
      <c r="N57" s="50" t="s">
        <v>34</v>
      </c>
      <c r="O57" s="56">
        <v>3</v>
      </c>
      <c r="P57" s="92">
        <f>VLOOKUP(L57,[1]TDSheet!B$10:E$365,4,FALSE)</f>
        <v>12</v>
      </c>
      <c r="Q57" s="92">
        <f t="shared" si="0"/>
        <v>9</v>
      </c>
      <c r="R57" s="106" t="e">
        <f>VLOOKUP(L57,[2]TDSheet!B$10:E$436,4,FALSE)</f>
        <v>#N/A</v>
      </c>
    </row>
    <row r="58" spans="1:18" ht="15.6" x14ac:dyDescent="0.3">
      <c r="A58" s="53"/>
      <c r="B58" s="54"/>
      <c r="C58" s="54"/>
      <c r="D58" s="54"/>
      <c r="E58" s="55"/>
      <c r="F58" s="75"/>
      <c r="G58" s="76"/>
      <c r="H58" s="76"/>
      <c r="I58" s="48"/>
      <c r="J58" s="70"/>
      <c r="K58" s="70"/>
      <c r="L58" s="58">
        <v>19322</v>
      </c>
      <c r="M58" s="56" t="s">
        <v>296</v>
      </c>
      <c r="N58" s="50" t="s">
        <v>34</v>
      </c>
      <c r="O58" s="56">
        <v>6</v>
      </c>
      <c r="P58" s="92">
        <f>VLOOKUP(L58,[1]TDSheet!B$10:E$365,4,FALSE)</f>
        <v>27</v>
      </c>
      <c r="Q58" s="92">
        <f t="shared" si="0"/>
        <v>21</v>
      </c>
      <c r="R58" s="106" t="e">
        <f>VLOOKUP(L58,[2]TDSheet!B$10:E$436,4,FALSE)</f>
        <v>#N/A</v>
      </c>
    </row>
    <row r="59" spans="1:18" ht="15.6" x14ac:dyDescent="0.3">
      <c r="A59" s="53"/>
      <c r="B59" s="54"/>
      <c r="C59" s="54"/>
      <c r="D59" s="54"/>
      <c r="E59" s="55"/>
      <c r="F59" s="75"/>
      <c r="G59" s="76"/>
      <c r="H59" s="76"/>
      <c r="I59" s="48"/>
      <c r="J59" s="70"/>
      <c r="K59" s="70"/>
      <c r="L59" s="58">
        <v>341</v>
      </c>
      <c r="M59" s="56" t="s">
        <v>297</v>
      </c>
      <c r="N59" s="50" t="s">
        <v>34</v>
      </c>
      <c r="O59" s="56">
        <v>6</v>
      </c>
      <c r="P59" s="92">
        <f>VLOOKUP(L59,[1]TDSheet!B$10:E$365,4,FALSE)</f>
        <v>44</v>
      </c>
      <c r="Q59" s="92">
        <f t="shared" si="0"/>
        <v>38</v>
      </c>
      <c r="R59" s="106" t="e">
        <f>VLOOKUP(L59,[2]TDSheet!B$10:E$436,4,FALSE)</f>
        <v>#N/A</v>
      </c>
    </row>
    <row r="60" spans="1:18" ht="15.6" x14ac:dyDescent="0.3">
      <c r="A60" s="53"/>
      <c r="B60" s="54"/>
      <c r="C60" s="54"/>
      <c r="D60" s="54"/>
      <c r="E60" s="55"/>
      <c r="F60" s="75"/>
      <c r="G60" s="76"/>
      <c r="H60" s="76"/>
      <c r="I60" s="48"/>
      <c r="J60" s="70"/>
      <c r="K60" s="70"/>
      <c r="L60" s="58">
        <v>19317</v>
      </c>
      <c r="M60" s="56" t="s">
        <v>177</v>
      </c>
      <c r="N60" s="50" t="s">
        <v>34</v>
      </c>
      <c r="O60" s="56">
        <v>12</v>
      </c>
      <c r="P60" s="92">
        <f>VLOOKUP(L60,[1]TDSheet!B$10:E$365,4,FALSE)</f>
        <v>13</v>
      </c>
      <c r="Q60" s="92">
        <f t="shared" si="0"/>
        <v>1</v>
      </c>
      <c r="R60" s="106" t="e">
        <f>VLOOKUP(L60,[2]TDSheet!B$10:E$436,4,FALSE)</f>
        <v>#N/A</v>
      </c>
    </row>
    <row r="61" spans="1:18" ht="15.6" x14ac:dyDescent="0.3">
      <c r="A61" s="53"/>
      <c r="B61" s="54"/>
      <c r="C61" s="54"/>
      <c r="D61" s="54"/>
      <c r="E61" s="55"/>
      <c r="F61" s="75"/>
      <c r="G61" s="76"/>
      <c r="H61" s="76"/>
      <c r="I61" s="48"/>
      <c r="J61" s="70"/>
      <c r="K61" s="70"/>
      <c r="L61" s="58" t="s">
        <v>298</v>
      </c>
      <c r="M61" s="56" t="s">
        <v>299</v>
      </c>
      <c r="N61" s="50" t="s">
        <v>34</v>
      </c>
      <c r="O61" s="91">
        <v>8</v>
      </c>
      <c r="P61" s="92">
        <f>VLOOKUP(L61,[1]TDSheet!B$10:E$365,4,FALSE)</f>
        <v>31</v>
      </c>
      <c r="Q61" s="92">
        <f t="shared" si="0"/>
        <v>23</v>
      </c>
      <c r="R61" s="106">
        <f>VLOOKUP(L61,[2]TDSheet!B$10:E$436,4,FALSE)</f>
        <v>31</v>
      </c>
    </row>
    <row r="62" spans="1:18" ht="15.6" x14ac:dyDescent="0.3">
      <c r="A62" s="53"/>
      <c r="B62" s="54"/>
      <c r="C62" s="54"/>
      <c r="D62" s="54"/>
      <c r="E62" s="55"/>
      <c r="F62" s="75"/>
      <c r="G62" s="76"/>
      <c r="H62" s="76"/>
      <c r="I62" s="48"/>
      <c r="J62" s="70"/>
      <c r="K62" s="70"/>
      <c r="L62" s="58" t="s">
        <v>300</v>
      </c>
      <c r="M62" s="56" t="s">
        <v>301</v>
      </c>
      <c r="N62" s="50" t="s">
        <v>34</v>
      </c>
      <c r="O62" s="56">
        <v>1</v>
      </c>
      <c r="P62" s="92">
        <f>VLOOKUP(L62,[1]TDSheet!B$10:E$365,4,FALSE)</f>
        <v>1</v>
      </c>
      <c r="Q62" s="92">
        <f t="shared" si="0"/>
        <v>0</v>
      </c>
      <c r="R62" s="106">
        <f>VLOOKUP(L62,[2]TDSheet!B$10:E$436,4,FALSE)</f>
        <v>1</v>
      </c>
    </row>
    <row r="63" spans="1:18" ht="15.6" x14ac:dyDescent="0.3">
      <c r="A63" s="53"/>
      <c r="B63" s="54"/>
      <c r="C63" s="54"/>
      <c r="D63" s="54"/>
      <c r="E63" s="55"/>
      <c r="F63" s="75"/>
      <c r="G63" s="76"/>
      <c r="H63" s="76"/>
      <c r="I63" s="48"/>
      <c r="J63" s="70"/>
      <c r="K63" s="70"/>
      <c r="L63" s="58" t="s">
        <v>302</v>
      </c>
      <c r="M63" s="56" t="s">
        <v>303</v>
      </c>
      <c r="N63" s="50" t="s">
        <v>35</v>
      </c>
      <c r="O63" s="56">
        <v>150</v>
      </c>
      <c r="P63" s="92">
        <f>VLOOKUP(L63,[1]TDSheet!B$10:E$365,4,FALSE)</f>
        <v>150</v>
      </c>
      <c r="Q63" s="92">
        <f t="shared" si="0"/>
        <v>0</v>
      </c>
      <c r="R63" s="106">
        <f>VLOOKUP(L63,[2]TDSheet!B$10:E$436,4,FALSE)</f>
        <v>150</v>
      </c>
    </row>
    <row r="64" spans="1:18" ht="15.6" x14ac:dyDescent="0.3">
      <c r="A64" s="53"/>
      <c r="B64" s="54"/>
      <c r="C64" s="54"/>
      <c r="D64" s="54"/>
      <c r="E64" s="55"/>
      <c r="F64" s="75"/>
      <c r="G64" s="76"/>
      <c r="H64" s="76"/>
      <c r="I64" s="48"/>
      <c r="J64" s="70"/>
      <c r="K64" s="70"/>
      <c r="L64" s="93" t="s">
        <v>51</v>
      </c>
      <c r="M64" s="56" t="s">
        <v>52</v>
      </c>
      <c r="N64" s="50" t="s">
        <v>68</v>
      </c>
      <c r="O64" s="91">
        <f>15.63+1.012*2.07</f>
        <v>17.72484</v>
      </c>
      <c r="P64" s="92" t="e">
        <f>VLOOKUP(L64,[1]TDSheet!B$10:E$365,4,FALSE)</f>
        <v>#N/A</v>
      </c>
      <c r="Q64" s="92" t="e">
        <f t="shared" si="0"/>
        <v>#N/A</v>
      </c>
      <c r="R64" s="106" t="e">
        <f>VLOOKUP(L64,[2]TDSheet!B$10:E$436,4,FALSE)</f>
        <v>#N/A</v>
      </c>
    </row>
    <row r="65" spans="1:18" ht="15.6" x14ac:dyDescent="0.3">
      <c r="A65" s="53"/>
      <c r="B65" s="54"/>
      <c r="C65" s="54"/>
      <c r="D65" s="54"/>
      <c r="E65" s="55"/>
      <c r="F65" s="75"/>
      <c r="G65" s="76"/>
      <c r="H65" s="76"/>
      <c r="I65" s="48"/>
      <c r="J65" s="70"/>
      <c r="K65" s="70"/>
      <c r="L65" s="58" t="s">
        <v>304</v>
      </c>
      <c r="M65" s="56" t="s">
        <v>305</v>
      </c>
      <c r="N65" s="50" t="s">
        <v>34</v>
      </c>
      <c r="O65" s="91">
        <v>40</v>
      </c>
      <c r="P65" s="92">
        <f>VLOOKUP(L65,[1]TDSheet!B$10:E$365,4,FALSE)</f>
        <v>72</v>
      </c>
      <c r="Q65" s="92">
        <f t="shared" si="0"/>
        <v>32</v>
      </c>
      <c r="R65" s="106">
        <f>VLOOKUP(L65,[2]TDSheet!B$10:E$436,4,FALSE)</f>
        <v>72</v>
      </c>
    </row>
    <row r="66" spans="1:18" ht="15.6" x14ac:dyDescent="0.3">
      <c r="A66" s="53"/>
      <c r="B66" s="54"/>
      <c r="C66" s="54"/>
      <c r="D66" s="54"/>
      <c r="E66" s="55"/>
      <c r="F66" s="75"/>
      <c r="G66" s="76"/>
      <c r="H66" s="76"/>
      <c r="I66" s="48"/>
      <c r="J66" s="70"/>
      <c r="K66" s="70"/>
      <c r="L66" s="58" t="s">
        <v>306</v>
      </c>
      <c r="M66" s="56" t="s">
        <v>307</v>
      </c>
      <c r="N66" s="50" t="s">
        <v>34</v>
      </c>
      <c r="O66" s="56">
        <v>16</v>
      </c>
      <c r="P66" s="92">
        <f>VLOOKUP(L66,[1]TDSheet!B$10:E$365,4,FALSE)</f>
        <v>32</v>
      </c>
      <c r="Q66" s="92">
        <f t="shared" si="0"/>
        <v>16</v>
      </c>
      <c r="R66" s="106">
        <f>VLOOKUP(L66,[2]TDSheet!B$10:E$436,4,FALSE)</f>
        <v>32</v>
      </c>
    </row>
    <row r="67" spans="1:18" ht="15.6" x14ac:dyDescent="0.3">
      <c r="A67" s="53"/>
      <c r="B67" s="54"/>
      <c r="C67" s="54"/>
      <c r="D67" s="54"/>
      <c r="E67" s="55"/>
      <c r="F67" s="75"/>
      <c r="G67" s="76"/>
      <c r="H67" s="76"/>
      <c r="I67" s="48"/>
      <c r="J67" s="70"/>
      <c r="K67" s="70"/>
      <c r="L67" s="93" t="s">
        <v>308</v>
      </c>
      <c r="M67" s="56" t="s">
        <v>309</v>
      </c>
      <c r="N67" s="50" t="s">
        <v>34</v>
      </c>
      <c r="O67" s="56">
        <v>32</v>
      </c>
      <c r="P67" s="92" t="e">
        <f>VLOOKUP(L67,[1]TDSheet!B$10:E$365,4,FALSE)</f>
        <v>#N/A</v>
      </c>
      <c r="Q67" s="92" t="e">
        <f t="shared" si="0"/>
        <v>#N/A</v>
      </c>
      <c r="R67" s="106">
        <f>VLOOKUP(L67,[2]TDSheet!B$10:E$436,4,FALSE)</f>
        <v>54</v>
      </c>
    </row>
    <row r="68" spans="1:18" ht="15.6" x14ac:dyDescent="0.3">
      <c r="A68" s="53"/>
      <c r="B68" s="54"/>
      <c r="C68" s="54"/>
      <c r="D68" s="54"/>
      <c r="E68" s="55"/>
      <c r="F68" s="75"/>
      <c r="G68" s="76"/>
      <c r="H68" s="76"/>
      <c r="I68" s="48"/>
      <c r="J68" s="70"/>
      <c r="K68" s="70"/>
      <c r="L68" s="93" t="s">
        <v>310</v>
      </c>
      <c r="M68" s="56" t="s">
        <v>311</v>
      </c>
      <c r="N68" s="50" t="s">
        <v>34</v>
      </c>
      <c r="O68" s="56">
        <v>8</v>
      </c>
      <c r="P68" s="92" t="e">
        <f>VLOOKUP(L68,[1]TDSheet!B$10:E$365,4,FALSE)</f>
        <v>#N/A</v>
      </c>
      <c r="Q68" s="92" t="e">
        <f t="shared" si="0"/>
        <v>#N/A</v>
      </c>
      <c r="R68" s="106">
        <f>VLOOKUP(L68,[2]TDSheet!B$10:E$436,4,FALSE)</f>
        <v>14</v>
      </c>
    </row>
    <row r="69" spans="1:18" ht="15.6" x14ac:dyDescent="0.3">
      <c r="A69" s="53"/>
      <c r="B69" s="54"/>
      <c r="C69" s="54"/>
      <c r="D69" s="54"/>
      <c r="E69" s="55"/>
      <c r="F69" s="75"/>
      <c r="G69" s="76"/>
      <c r="H69" s="76"/>
      <c r="I69" s="48"/>
      <c r="J69" s="70"/>
      <c r="K69" s="70"/>
      <c r="L69" s="58" t="s">
        <v>312</v>
      </c>
      <c r="M69" s="56" t="s">
        <v>313</v>
      </c>
      <c r="N69" s="50" t="s">
        <v>34</v>
      </c>
      <c r="O69" s="56">
        <v>4</v>
      </c>
      <c r="P69" s="92">
        <f>VLOOKUP(L69,[1]TDSheet!B$10:E$365,4,FALSE)</f>
        <v>20</v>
      </c>
      <c r="Q69" s="92">
        <f t="shared" si="0"/>
        <v>16</v>
      </c>
      <c r="R69" s="106">
        <f>VLOOKUP(L69,[2]TDSheet!B$10:E$436,4,FALSE)</f>
        <v>20</v>
      </c>
    </row>
    <row r="70" spans="1:18" ht="15.6" x14ac:dyDescent="0.3">
      <c r="A70" s="53"/>
      <c r="B70" s="54"/>
      <c r="C70" s="54"/>
      <c r="D70" s="54"/>
      <c r="E70" s="55"/>
      <c r="F70" s="75"/>
      <c r="G70" s="76"/>
      <c r="H70" s="76"/>
      <c r="I70" s="48"/>
      <c r="J70" s="70"/>
      <c r="K70" s="70"/>
      <c r="L70" s="58" t="s">
        <v>314</v>
      </c>
      <c r="M70" s="56" t="s">
        <v>315</v>
      </c>
      <c r="N70" s="50" t="s">
        <v>66</v>
      </c>
      <c r="O70" s="56">
        <v>0.504</v>
      </c>
      <c r="P70" s="92">
        <f>VLOOKUP(L70,[1]TDSheet!B$10:E$365,4,FALSE)</f>
        <v>1.1040000000000001</v>
      </c>
      <c r="Q70" s="92">
        <f t="shared" si="0"/>
        <v>0.60000000000000009</v>
      </c>
      <c r="R70" s="106">
        <f>VLOOKUP(L70,[2]TDSheet!B$10:E$436,4,FALSE)</f>
        <v>1.1040000000000001</v>
      </c>
    </row>
    <row r="71" spans="1:18" ht="15.6" x14ac:dyDescent="0.3">
      <c r="A71" s="53"/>
      <c r="B71" s="54"/>
      <c r="C71" s="54"/>
      <c r="D71" s="54"/>
      <c r="E71" s="55"/>
      <c r="F71" s="75"/>
      <c r="G71" s="76"/>
      <c r="H71" s="76"/>
      <c r="I71" s="48"/>
      <c r="J71" s="70"/>
      <c r="K71" s="70"/>
      <c r="L71" s="58">
        <v>7114</v>
      </c>
      <c r="M71" s="56" t="s">
        <v>316</v>
      </c>
      <c r="N71" s="50" t="s">
        <v>34</v>
      </c>
      <c r="O71" s="56">
        <v>1</v>
      </c>
      <c r="P71" s="92">
        <f>VLOOKUP(L71,[1]TDSheet!B$10:E$365,4,FALSE)</f>
        <v>1</v>
      </c>
      <c r="Q71" s="92">
        <f t="shared" si="0"/>
        <v>0</v>
      </c>
      <c r="R71" s="106" t="e">
        <f>VLOOKUP(L71,[2]TDSheet!B$10:E$436,4,FALSE)</f>
        <v>#N/A</v>
      </c>
    </row>
    <row r="72" spans="1:18" ht="15.6" x14ac:dyDescent="0.3">
      <c r="A72" s="53"/>
      <c r="B72" s="54"/>
      <c r="C72" s="54"/>
      <c r="D72" s="54"/>
      <c r="E72" s="55"/>
      <c r="F72" s="75"/>
      <c r="G72" s="76"/>
      <c r="H72" s="76"/>
      <c r="I72" s="48"/>
      <c r="J72" s="70"/>
      <c r="K72" s="70"/>
      <c r="L72" s="58">
        <v>12923</v>
      </c>
      <c r="M72" s="56" t="s">
        <v>317</v>
      </c>
      <c r="N72" s="50" t="s">
        <v>34</v>
      </c>
      <c r="O72" s="56">
        <v>2</v>
      </c>
      <c r="P72" s="92">
        <f>VLOOKUP(L72,[1]TDSheet!B$10:E$365,4,FALSE)</f>
        <v>2</v>
      </c>
      <c r="Q72" s="92">
        <f t="shared" si="0"/>
        <v>0</v>
      </c>
      <c r="R72" s="106" t="e">
        <f>VLOOKUP(L72,[2]TDSheet!B$10:E$436,4,FALSE)</f>
        <v>#N/A</v>
      </c>
    </row>
    <row r="73" spans="1:18" ht="15.6" x14ac:dyDescent="0.3">
      <c r="A73" s="53"/>
      <c r="B73" s="54"/>
      <c r="C73" s="54"/>
      <c r="D73" s="54"/>
      <c r="E73" s="55"/>
      <c r="F73" s="75"/>
      <c r="G73" s="76"/>
      <c r="H73" s="76"/>
      <c r="I73" s="48"/>
      <c r="J73" s="70"/>
      <c r="K73" s="70"/>
      <c r="L73" s="58">
        <v>9858</v>
      </c>
      <c r="M73" s="56" t="s">
        <v>178</v>
      </c>
      <c r="N73" s="50" t="s">
        <v>56</v>
      </c>
      <c r="O73" s="56">
        <v>0.01</v>
      </c>
      <c r="P73" s="92">
        <f>VLOOKUP(L73,[1]TDSheet!B$10:E$365,4,FALSE)</f>
        <v>0.03</v>
      </c>
      <c r="Q73" s="92">
        <f t="shared" si="0"/>
        <v>1.9999999999999997E-2</v>
      </c>
      <c r="R73" s="106" t="e">
        <f>VLOOKUP(L73,[2]TDSheet!B$10:E$436,4,FALSE)</f>
        <v>#N/A</v>
      </c>
    </row>
    <row r="74" spans="1:18" ht="15.6" x14ac:dyDescent="0.3">
      <c r="A74" s="53"/>
      <c r="B74" s="54"/>
      <c r="C74" s="54"/>
      <c r="D74" s="54"/>
      <c r="E74" s="55"/>
      <c r="F74" s="75"/>
      <c r="G74" s="76"/>
      <c r="H74" s="76"/>
      <c r="I74" s="48"/>
      <c r="J74" s="70"/>
      <c r="K74" s="70"/>
      <c r="L74" s="58" t="s">
        <v>318</v>
      </c>
      <c r="M74" s="56" t="s">
        <v>319</v>
      </c>
      <c r="N74" s="50" t="s">
        <v>34</v>
      </c>
      <c r="O74" s="56">
        <v>1</v>
      </c>
      <c r="P74" s="92">
        <f>VLOOKUP(L74,[1]TDSheet!B$10:E$365,4,FALSE)</f>
        <v>1</v>
      </c>
      <c r="Q74" s="92">
        <f t="shared" si="0"/>
        <v>0</v>
      </c>
      <c r="R74" s="106">
        <f>VLOOKUP(L74,[2]TDSheet!B$10:E$436,4,FALSE)</f>
        <v>1</v>
      </c>
    </row>
    <row r="75" spans="1:18" ht="15.6" x14ac:dyDescent="0.3">
      <c r="A75" s="53"/>
      <c r="B75" s="54"/>
      <c r="C75" s="54"/>
      <c r="D75" s="54"/>
      <c r="E75" s="55"/>
      <c r="F75" s="75"/>
      <c r="G75" s="76"/>
      <c r="H75" s="76"/>
      <c r="I75" s="48"/>
      <c r="J75" s="70"/>
      <c r="K75" s="70"/>
      <c r="L75" s="58" t="s">
        <v>320</v>
      </c>
      <c r="M75" s="56" t="s">
        <v>321</v>
      </c>
      <c r="N75" s="50" t="s">
        <v>34</v>
      </c>
      <c r="O75" s="56">
        <v>1</v>
      </c>
      <c r="P75" s="92">
        <f>VLOOKUP(L75,[1]TDSheet!B$10:E$365,4,FALSE)</f>
        <v>1</v>
      </c>
      <c r="Q75" s="92">
        <f t="shared" si="0"/>
        <v>0</v>
      </c>
      <c r="R75" s="106">
        <f>VLOOKUP(L75,[2]TDSheet!B$10:E$436,4,FALSE)</f>
        <v>1</v>
      </c>
    </row>
    <row r="76" spans="1:18" ht="15.6" x14ac:dyDescent="0.3">
      <c r="A76" s="53"/>
      <c r="B76" s="54"/>
      <c r="C76" s="54"/>
      <c r="D76" s="54"/>
      <c r="E76" s="55"/>
      <c r="F76" s="75"/>
      <c r="G76" s="76"/>
      <c r="H76" s="76"/>
      <c r="I76" s="48"/>
      <c r="J76" s="70"/>
      <c r="K76" s="70"/>
      <c r="L76" s="58" t="s">
        <v>179</v>
      </c>
      <c r="M76" s="56" t="s">
        <v>180</v>
      </c>
      <c r="N76" s="50" t="s">
        <v>34</v>
      </c>
      <c r="O76" s="56">
        <v>300</v>
      </c>
      <c r="P76" s="92">
        <f>VLOOKUP(L76,[1]TDSheet!B$10:E$365,4,FALSE)</f>
        <v>300</v>
      </c>
      <c r="Q76" s="92">
        <f t="shared" si="0"/>
        <v>0</v>
      </c>
      <c r="R76" s="106">
        <f>VLOOKUP(L76,[2]TDSheet!B$10:E$436,4,FALSE)</f>
        <v>300</v>
      </c>
    </row>
    <row r="77" spans="1:18" ht="15.6" x14ac:dyDescent="0.3">
      <c r="A77" s="53"/>
      <c r="B77" s="54"/>
      <c r="C77" s="54"/>
      <c r="D77" s="54"/>
      <c r="E77" s="55"/>
      <c r="F77" s="75"/>
      <c r="G77" s="76"/>
      <c r="H77" s="76"/>
      <c r="I77" s="48"/>
      <c r="J77" s="70"/>
      <c r="K77" s="70"/>
      <c r="L77" s="58" t="s">
        <v>181</v>
      </c>
      <c r="M77" s="56" t="s">
        <v>182</v>
      </c>
      <c r="N77" s="50" t="s">
        <v>34</v>
      </c>
      <c r="O77" s="56">
        <v>50</v>
      </c>
      <c r="P77" s="92">
        <f>VLOOKUP(L77,[1]TDSheet!B$10:E$365,4,FALSE)</f>
        <v>450</v>
      </c>
      <c r="Q77" s="92">
        <f t="shared" si="0"/>
        <v>400</v>
      </c>
      <c r="R77" s="106">
        <f>VLOOKUP(L77,[2]TDSheet!B$10:E$436,4,FALSE)</f>
        <v>450</v>
      </c>
    </row>
    <row r="78" spans="1:18" ht="15.6" x14ac:dyDescent="0.3">
      <c r="A78" s="53"/>
      <c r="B78" s="54"/>
      <c r="C78" s="54"/>
      <c r="D78" s="54"/>
      <c r="E78" s="55"/>
      <c r="F78" s="75"/>
      <c r="G78" s="76"/>
      <c r="H78" s="76"/>
      <c r="I78" s="48"/>
      <c r="J78" s="70"/>
      <c r="K78" s="70"/>
      <c r="L78" s="58" t="s">
        <v>322</v>
      </c>
      <c r="M78" s="56" t="s">
        <v>323</v>
      </c>
      <c r="N78" s="50" t="s">
        <v>34</v>
      </c>
      <c r="O78" s="56">
        <v>1</v>
      </c>
      <c r="P78" s="92">
        <f>VLOOKUP(L78,[1]TDSheet!B$10:E$365,4,FALSE)</f>
        <v>4</v>
      </c>
      <c r="Q78" s="92">
        <f t="shared" si="0"/>
        <v>3</v>
      </c>
      <c r="R78" s="106">
        <f>VLOOKUP(L78,[2]TDSheet!B$10:E$436,4,FALSE)</f>
        <v>4</v>
      </c>
    </row>
    <row r="79" spans="1:18" ht="15.6" x14ac:dyDescent="0.3">
      <c r="A79" s="53"/>
      <c r="B79" s="54"/>
      <c r="C79" s="54"/>
      <c r="D79" s="54"/>
      <c r="E79" s="55"/>
      <c r="F79" s="75"/>
      <c r="G79" s="76"/>
      <c r="H79" s="76"/>
      <c r="I79" s="48"/>
      <c r="J79" s="70"/>
      <c r="K79" s="70"/>
      <c r="L79" s="58" t="s">
        <v>324</v>
      </c>
      <c r="M79" s="56" t="s">
        <v>325</v>
      </c>
      <c r="N79" s="50" t="s">
        <v>34</v>
      </c>
      <c r="O79" s="56">
        <v>1</v>
      </c>
      <c r="P79" s="92">
        <f>VLOOKUP(L79,[1]TDSheet!B$10:E$365,4,FALSE)</f>
        <v>4</v>
      </c>
      <c r="Q79" s="92">
        <f t="shared" si="0"/>
        <v>3</v>
      </c>
      <c r="R79" s="106">
        <f>VLOOKUP(L79,[2]TDSheet!B$10:E$436,4,FALSE)</f>
        <v>4</v>
      </c>
    </row>
    <row r="80" spans="1:18" ht="15.6" x14ac:dyDescent="0.3">
      <c r="A80" s="53"/>
      <c r="B80" s="54"/>
      <c r="C80" s="54"/>
      <c r="D80" s="54"/>
      <c r="E80" s="55"/>
      <c r="F80" s="75"/>
      <c r="G80" s="76"/>
      <c r="H80" s="76"/>
      <c r="I80" s="48"/>
      <c r="J80" s="70"/>
      <c r="K80" s="70"/>
      <c r="L80" s="58" t="s">
        <v>326</v>
      </c>
      <c r="M80" s="56" t="s">
        <v>327</v>
      </c>
      <c r="N80" s="50" t="s">
        <v>34</v>
      </c>
      <c r="O80" s="56">
        <v>1</v>
      </c>
      <c r="P80" s="92">
        <f>VLOOKUP(L80,[1]TDSheet!B$10:E$365,4,FALSE)</f>
        <v>1</v>
      </c>
      <c r="Q80" s="92">
        <f t="shared" si="0"/>
        <v>0</v>
      </c>
      <c r="R80" s="106">
        <f>VLOOKUP(L80,[2]TDSheet!B$10:E$436,4,FALSE)</f>
        <v>1</v>
      </c>
    </row>
    <row r="81" spans="1:18" ht="15.6" x14ac:dyDescent="0.3">
      <c r="A81" s="53"/>
      <c r="B81" s="54"/>
      <c r="C81" s="54"/>
      <c r="D81" s="54"/>
      <c r="E81" s="55"/>
      <c r="F81" s="75"/>
      <c r="G81" s="76"/>
      <c r="H81" s="76"/>
      <c r="I81" s="48"/>
      <c r="J81" s="70"/>
      <c r="K81" s="70"/>
      <c r="L81" s="58">
        <v>102</v>
      </c>
      <c r="M81" s="56" t="s">
        <v>328</v>
      </c>
      <c r="N81" s="50" t="s">
        <v>34</v>
      </c>
      <c r="O81" s="56">
        <v>24</v>
      </c>
      <c r="P81" s="92">
        <f>VLOOKUP(L81,[1]TDSheet!B$10:E$365,4,FALSE)</f>
        <v>81</v>
      </c>
      <c r="Q81" s="92">
        <f t="shared" si="0"/>
        <v>57</v>
      </c>
      <c r="R81" s="106" t="e">
        <f>VLOOKUP(L81,[2]TDSheet!B$10:E$436,4,FALSE)</f>
        <v>#N/A</v>
      </c>
    </row>
    <row r="82" spans="1:18" ht="15.6" x14ac:dyDescent="0.3">
      <c r="A82" s="53"/>
      <c r="B82" s="54"/>
      <c r="C82" s="54"/>
      <c r="D82" s="54"/>
      <c r="E82" s="55"/>
      <c r="F82" s="75"/>
      <c r="G82" s="76"/>
      <c r="H82" s="76"/>
      <c r="I82" s="48"/>
      <c r="J82" s="70"/>
      <c r="K82" s="70"/>
      <c r="L82" s="94" t="s">
        <v>329</v>
      </c>
      <c r="M82" s="56" t="s">
        <v>330</v>
      </c>
      <c r="N82" s="50" t="s">
        <v>34</v>
      </c>
      <c r="O82" s="56">
        <v>4</v>
      </c>
      <c r="P82" s="92">
        <f>VLOOKUP(L82,[1]TDSheet!B$10:E$365,4,FALSE)</f>
        <v>2</v>
      </c>
      <c r="Q82" s="92">
        <f t="shared" si="0"/>
        <v>-2</v>
      </c>
      <c r="R82" s="106">
        <f>VLOOKUP(L82,[2]TDSheet!B$10:E$436,4,FALSE)</f>
        <v>10</v>
      </c>
    </row>
    <row r="83" spans="1:18" ht="15.6" x14ac:dyDescent="0.3">
      <c r="A83" s="53"/>
      <c r="B83" s="54"/>
      <c r="C83" s="54"/>
      <c r="D83" s="54"/>
      <c r="E83" s="55"/>
      <c r="F83" s="75"/>
      <c r="G83" s="76"/>
      <c r="H83" s="76"/>
      <c r="I83" s="48"/>
      <c r="J83" s="70"/>
      <c r="K83" s="70"/>
      <c r="L83" s="58" t="s">
        <v>331</v>
      </c>
      <c r="M83" s="56" t="s">
        <v>332</v>
      </c>
      <c r="N83" s="50" t="s">
        <v>34</v>
      </c>
      <c r="O83" s="56">
        <v>3</v>
      </c>
      <c r="P83" s="92">
        <f>VLOOKUP(L83,[1]TDSheet!B$10:E$365,4,FALSE)</f>
        <v>12</v>
      </c>
      <c r="Q83" s="92">
        <f t="shared" si="0"/>
        <v>9</v>
      </c>
      <c r="R83" s="106">
        <f>VLOOKUP(L83,[2]TDSheet!B$10:E$436,4,FALSE)</f>
        <v>12</v>
      </c>
    </row>
    <row r="84" spans="1:18" ht="15.6" x14ac:dyDescent="0.3">
      <c r="A84" s="53"/>
      <c r="B84" s="54"/>
      <c r="C84" s="54"/>
      <c r="D84" s="54"/>
      <c r="E84" s="55"/>
      <c r="F84" s="75"/>
      <c r="G84" s="76"/>
      <c r="H84" s="76"/>
      <c r="I84" s="48"/>
      <c r="J84" s="70"/>
      <c r="K84" s="70"/>
      <c r="L84" s="58" t="s">
        <v>333</v>
      </c>
      <c r="M84" s="56" t="s">
        <v>334</v>
      </c>
      <c r="N84" s="50" t="s">
        <v>34</v>
      </c>
      <c r="O84" s="56">
        <v>3</v>
      </c>
      <c r="P84" s="92">
        <f>VLOOKUP(L84,[1]TDSheet!B$10:E$365,4,FALSE)</f>
        <v>12</v>
      </c>
      <c r="Q84" s="92">
        <f t="shared" ref="Q84:Q147" si="1">P84-O84</f>
        <v>9</v>
      </c>
      <c r="R84" s="106">
        <f>VLOOKUP(L84,[2]TDSheet!B$10:E$436,4,FALSE)</f>
        <v>12</v>
      </c>
    </row>
    <row r="85" spans="1:18" ht="15.6" x14ac:dyDescent="0.3">
      <c r="A85" s="53"/>
      <c r="B85" s="54"/>
      <c r="C85" s="54"/>
      <c r="D85" s="54"/>
      <c r="E85" s="55"/>
      <c r="F85" s="75"/>
      <c r="G85" s="76"/>
      <c r="H85" s="76"/>
      <c r="I85" s="48"/>
      <c r="J85" s="70"/>
      <c r="K85" s="70"/>
      <c r="L85" s="58" t="s">
        <v>335</v>
      </c>
      <c r="M85" s="56" t="s">
        <v>336</v>
      </c>
      <c r="N85" s="50" t="s">
        <v>34</v>
      </c>
      <c r="O85" s="56">
        <v>36</v>
      </c>
      <c r="P85" s="92">
        <f>VLOOKUP(L85,[1]TDSheet!B$10:E$365,4,FALSE)</f>
        <v>64</v>
      </c>
      <c r="Q85" s="92">
        <f t="shared" si="1"/>
        <v>28</v>
      </c>
      <c r="R85" s="106">
        <f>VLOOKUP(L85,[2]TDSheet!B$10:E$436,4,FALSE)</f>
        <v>64</v>
      </c>
    </row>
    <row r="86" spans="1:18" ht="15.6" x14ac:dyDescent="0.3">
      <c r="A86" s="53"/>
      <c r="B86" s="54"/>
      <c r="C86" s="54"/>
      <c r="D86" s="54"/>
      <c r="E86" s="55"/>
      <c r="F86" s="75"/>
      <c r="G86" s="76"/>
      <c r="H86" s="76"/>
      <c r="I86" s="48"/>
      <c r="J86" s="70"/>
      <c r="K86" s="70"/>
      <c r="L86" s="58">
        <v>21688</v>
      </c>
      <c r="M86" s="56" t="s">
        <v>337</v>
      </c>
      <c r="N86" s="50" t="s">
        <v>34</v>
      </c>
      <c r="O86" s="56">
        <v>2</v>
      </c>
      <c r="P86" s="92">
        <f>VLOOKUP(L86,[1]TDSheet!B$10:E$365,4,FALSE)</f>
        <v>8</v>
      </c>
      <c r="Q86" s="92">
        <f t="shared" si="1"/>
        <v>6</v>
      </c>
      <c r="R86" s="106" t="e">
        <f>VLOOKUP(L86,[2]TDSheet!B$10:E$436,4,FALSE)</f>
        <v>#N/A</v>
      </c>
    </row>
    <row r="87" spans="1:18" ht="15.6" x14ac:dyDescent="0.3">
      <c r="A87" s="53"/>
      <c r="B87" s="54"/>
      <c r="C87" s="54"/>
      <c r="D87" s="54"/>
      <c r="E87" s="55"/>
      <c r="F87" s="75"/>
      <c r="G87" s="76"/>
      <c r="H87" s="76"/>
      <c r="I87" s="48"/>
      <c r="J87" s="70"/>
      <c r="K87" s="70"/>
      <c r="L87" s="58">
        <v>4120</v>
      </c>
      <c r="M87" s="56" t="s">
        <v>81</v>
      </c>
      <c r="N87" s="50" t="s">
        <v>82</v>
      </c>
      <c r="O87" s="56">
        <v>15</v>
      </c>
      <c r="P87" s="92" t="e">
        <f>VLOOKUP(L87,[1]TDSheet!B$10:E$365,4,FALSE)</f>
        <v>#N/A</v>
      </c>
      <c r="Q87" s="92" t="e">
        <f t="shared" si="1"/>
        <v>#N/A</v>
      </c>
      <c r="R87" s="106" t="e">
        <f>VLOOKUP(L87,[2]TDSheet!B$10:E$436,4,FALSE)</f>
        <v>#N/A</v>
      </c>
    </row>
    <row r="88" spans="1:18" ht="15.6" x14ac:dyDescent="0.3">
      <c r="A88" s="53"/>
      <c r="B88" s="54"/>
      <c r="C88" s="54"/>
      <c r="D88" s="54"/>
      <c r="E88" s="55"/>
      <c r="F88" s="75"/>
      <c r="G88" s="76"/>
      <c r="H88" s="76"/>
      <c r="I88" s="48"/>
      <c r="J88" s="70"/>
      <c r="K88" s="70"/>
      <c r="L88" s="58" t="s">
        <v>338</v>
      </c>
      <c r="M88" s="56" t="s">
        <v>339</v>
      </c>
      <c r="N88" s="50" t="s">
        <v>34</v>
      </c>
      <c r="O88" s="56">
        <v>1</v>
      </c>
      <c r="P88" s="92">
        <f>VLOOKUP(L88,[1]TDSheet!B$10:E$365,4,FALSE)</f>
        <v>4</v>
      </c>
      <c r="Q88" s="92">
        <f t="shared" si="1"/>
        <v>3</v>
      </c>
      <c r="R88" s="106">
        <f>VLOOKUP(L88,[2]TDSheet!B$10:E$436,4,FALSE)</f>
        <v>4</v>
      </c>
    </row>
    <row r="89" spans="1:18" ht="15.6" x14ac:dyDescent="0.3">
      <c r="A89" s="53"/>
      <c r="B89" s="54"/>
      <c r="C89" s="54"/>
      <c r="D89" s="54"/>
      <c r="E89" s="55"/>
      <c r="F89" s="75"/>
      <c r="G89" s="76"/>
      <c r="H89" s="76"/>
      <c r="I89" s="48"/>
      <c r="J89" s="70"/>
      <c r="K89" s="70"/>
      <c r="L89" s="58" t="s">
        <v>340</v>
      </c>
      <c r="M89" s="56" t="s">
        <v>341</v>
      </c>
      <c r="N89" s="50" t="s">
        <v>34</v>
      </c>
      <c r="O89" s="56">
        <v>5</v>
      </c>
      <c r="P89" s="92">
        <f>VLOOKUP(L89,[1]TDSheet!B$10:E$365,4,FALSE)</f>
        <v>15</v>
      </c>
      <c r="Q89" s="92">
        <f t="shared" si="1"/>
        <v>10</v>
      </c>
      <c r="R89" s="106">
        <f>VLOOKUP(L89,[2]TDSheet!B$10:E$436,4,FALSE)</f>
        <v>15</v>
      </c>
    </row>
    <row r="90" spans="1:18" ht="15.6" x14ac:dyDescent="0.3">
      <c r="A90" s="53"/>
      <c r="B90" s="54"/>
      <c r="C90" s="54"/>
      <c r="D90" s="54"/>
      <c r="E90" s="55"/>
      <c r="F90" s="75"/>
      <c r="G90" s="76"/>
      <c r="H90" s="76"/>
      <c r="I90" s="48"/>
      <c r="J90" s="70"/>
      <c r="K90" s="70"/>
      <c r="L90" s="58" t="s">
        <v>525</v>
      </c>
      <c r="M90" s="56" t="s">
        <v>526</v>
      </c>
      <c r="N90" s="50" t="s">
        <v>34</v>
      </c>
      <c r="O90" s="56">
        <v>5</v>
      </c>
      <c r="P90" s="92">
        <f>VLOOKUP(L90,[1]TDSheet!B$10:E$365,4,FALSE)</f>
        <v>25</v>
      </c>
      <c r="Q90" s="92">
        <f t="shared" si="1"/>
        <v>20</v>
      </c>
      <c r="R90" s="106">
        <f>VLOOKUP(L90,[2]TDSheet!B$10:E$436,4,FALSE)</f>
        <v>25</v>
      </c>
    </row>
    <row r="91" spans="1:18" ht="15.6" x14ac:dyDescent="0.3">
      <c r="A91" s="53"/>
      <c r="B91" s="54"/>
      <c r="C91" s="54"/>
      <c r="D91" s="54"/>
      <c r="E91" s="55"/>
      <c r="F91" s="75"/>
      <c r="G91" s="76"/>
      <c r="H91" s="76"/>
      <c r="I91" s="48"/>
      <c r="J91" s="70"/>
      <c r="K91" s="70"/>
      <c r="L91" s="58" t="s">
        <v>342</v>
      </c>
      <c r="M91" s="56" t="s">
        <v>343</v>
      </c>
      <c r="N91" s="50" t="s">
        <v>34</v>
      </c>
      <c r="O91" s="56">
        <v>1.5</v>
      </c>
      <c r="P91" s="92">
        <f>VLOOKUP(L91,[1]TDSheet!B$10:E$365,4,FALSE)</f>
        <v>24</v>
      </c>
      <c r="Q91" s="92">
        <f t="shared" si="1"/>
        <v>22.5</v>
      </c>
      <c r="R91" s="106">
        <f>VLOOKUP(L91,[2]TDSheet!B$10:E$436,4,FALSE)</f>
        <v>24</v>
      </c>
    </row>
    <row r="92" spans="1:18" ht="15.6" x14ac:dyDescent="0.3">
      <c r="A92" s="53"/>
      <c r="B92" s="54"/>
      <c r="C92" s="54"/>
      <c r="D92" s="54"/>
      <c r="E92" s="55"/>
      <c r="F92" s="75"/>
      <c r="G92" s="76"/>
      <c r="H92" s="76"/>
      <c r="I92" s="48"/>
      <c r="J92" s="70"/>
      <c r="K92" s="70"/>
      <c r="L92" s="58" t="s">
        <v>344</v>
      </c>
      <c r="M92" s="56" t="s">
        <v>345</v>
      </c>
      <c r="N92" s="50" t="s">
        <v>34</v>
      </c>
      <c r="O92" s="56">
        <v>1</v>
      </c>
      <c r="P92" s="92">
        <f>VLOOKUP(L92,[1]TDSheet!B$10:E$365,4,FALSE)</f>
        <v>1</v>
      </c>
      <c r="Q92" s="92">
        <f t="shared" si="1"/>
        <v>0</v>
      </c>
      <c r="R92" s="106">
        <f>VLOOKUP(L92,[2]TDSheet!B$10:E$436,4,FALSE)</f>
        <v>1</v>
      </c>
    </row>
    <row r="93" spans="1:18" ht="15.6" x14ac:dyDescent="0.3">
      <c r="A93" s="53"/>
      <c r="B93" s="54"/>
      <c r="C93" s="54"/>
      <c r="D93" s="54"/>
      <c r="E93" s="55"/>
      <c r="F93" s="75"/>
      <c r="G93" s="76"/>
      <c r="H93" s="76"/>
      <c r="I93" s="48"/>
      <c r="J93" s="70"/>
      <c r="K93" s="70"/>
      <c r="L93" s="58">
        <v>21201</v>
      </c>
      <c r="M93" s="56" t="s">
        <v>346</v>
      </c>
      <c r="N93" s="50" t="s">
        <v>34</v>
      </c>
      <c r="O93" s="56">
        <v>1</v>
      </c>
      <c r="P93" s="92">
        <f>VLOOKUP(L93,[1]TDSheet!B$10:E$365,4,FALSE)</f>
        <v>4</v>
      </c>
      <c r="Q93" s="92">
        <f t="shared" si="1"/>
        <v>3</v>
      </c>
      <c r="R93" s="106" t="e">
        <f>VLOOKUP(L93,[2]TDSheet!B$10:E$436,4,FALSE)</f>
        <v>#N/A</v>
      </c>
    </row>
    <row r="94" spans="1:18" ht="15.6" x14ac:dyDescent="0.3">
      <c r="A94" s="53"/>
      <c r="B94" s="54"/>
      <c r="C94" s="54"/>
      <c r="D94" s="54"/>
      <c r="E94" s="55"/>
      <c r="F94" s="75"/>
      <c r="G94" s="76"/>
      <c r="H94" s="76"/>
      <c r="I94" s="48"/>
      <c r="J94" s="70"/>
      <c r="K94" s="70"/>
      <c r="L94" s="58" t="s">
        <v>184</v>
      </c>
      <c r="M94" s="56" t="s">
        <v>185</v>
      </c>
      <c r="N94" s="50" t="s">
        <v>34</v>
      </c>
      <c r="O94" s="56">
        <v>2</v>
      </c>
      <c r="P94" s="92">
        <f>VLOOKUP(L94,[1]TDSheet!B$10:E$365,4,FALSE)</f>
        <v>3</v>
      </c>
      <c r="Q94" s="92">
        <f t="shared" si="1"/>
        <v>1</v>
      </c>
      <c r="R94" s="106">
        <f>VLOOKUP(L94,[2]TDSheet!B$10:E$436,4,FALSE)</f>
        <v>3</v>
      </c>
    </row>
    <row r="95" spans="1:18" ht="15.6" x14ac:dyDescent="0.3">
      <c r="A95" s="53"/>
      <c r="B95" s="54"/>
      <c r="C95" s="54"/>
      <c r="D95" s="54"/>
      <c r="E95" s="55"/>
      <c r="F95" s="75"/>
      <c r="G95" s="76"/>
      <c r="H95" s="76"/>
      <c r="I95" s="48"/>
      <c r="J95" s="70"/>
      <c r="K95" s="70"/>
      <c r="L95" s="58" t="s">
        <v>347</v>
      </c>
      <c r="M95" s="56" t="s">
        <v>348</v>
      </c>
      <c r="N95" s="50" t="s">
        <v>34</v>
      </c>
      <c r="O95" s="56">
        <v>1</v>
      </c>
      <c r="P95" s="92">
        <f>VLOOKUP(L95,[1]TDSheet!B$10:E$365,4,FALSE)</f>
        <v>1</v>
      </c>
      <c r="Q95" s="92">
        <f t="shared" si="1"/>
        <v>0</v>
      </c>
      <c r="R95" s="106">
        <f>VLOOKUP(L95,[2]TDSheet!B$10:E$436,4,FALSE)</f>
        <v>1</v>
      </c>
    </row>
    <row r="96" spans="1:18" ht="15.6" x14ac:dyDescent="0.3">
      <c r="A96" s="53"/>
      <c r="B96" s="54"/>
      <c r="C96" s="54"/>
      <c r="D96" s="54"/>
      <c r="E96" s="55"/>
      <c r="F96" s="75"/>
      <c r="G96" s="76"/>
      <c r="H96" s="76"/>
      <c r="I96" s="48"/>
      <c r="J96" s="70"/>
      <c r="K96" s="70"/>
      <c r="L96" s="58">
        <v>13658</v>
      </c>
      <c r="M96" s="56" t="s">
        <v>349</v>
      </c>
      <c r="N96" s="50" t="s">
        <v>34</v>
      </c>
      <c r="O96" s="56">
        <v>5</v>
      </c>
      <c r="P96" s="92">
        <f>VLOOKUP(L96,[1]TDSheet!B$10:E$365,4,FALSE)</f>
        <v>5</v>
      </c>
      <c r="Q96" s="92">
        <f t="shared" si="1"/>
        <v>0</v>
      </c>
      <c r="R96" s="106" t="e">
        <f>VLOOKUP(L96,[2]TDSheet!B$10:E$436,4,FALSE)</f>
        <v>#N/A</v>
      </c>
    </row>
    <row r="97" spans="1:18" ht="15.6" x14ac:dyDescent="0.3">
      <c r="A97" s="53"/>
      <c r="B97" s="54"/>
      <c r="C97" s="54"/>
      <c r="D97" s="54"/>
      <c r="E97" s="55"/>
      <c r="F97" s="75"/>
      <c r="G97" s="76"/>
      <c r="H97" s="76"/>
      <c r="I97" s="48"/>
      <c r="J97" s="70"/>
      <c r="K97" s="70"/>
      <c r="L97" s="58" t="s">
        <v>350</v>
      </c>
      <c r="M97" s="56" t="s">
        <v>351</v>
      </c>
      <c r="N97" s="50" t="s">
        <v>34</v>
      </c>
      <c r="O97" s="56">
        <v>18</v>
      </c>
      <c r="P97" s="92">
        <f>VLOOKUP(L97,[1]TDSheet!B$10:E$365,4,FALSE)</f>
        <v>272</v>
      </c>
      <c r="Q97" s="92">
        <f t="shared" si="1"/>
        <v>254</v>
      </c>
      <c r="R97" s="106">
        <f>VLOOKUP(L97,[2]TDSheet!B$10:E$436,4,FALSE)</f>
        <v>272</v>
      </c>
    </row>
    <row r="98" spans="1:18" ht="15.6" x14ac:dyDescent="0.3">
      <c r="A98" s="53"/>
      <c r="B98" s="54"/>
      <c r="C98" s="54"/>
      <c r="D98" s="54"/>
      <c r="E98" s="55"/>
      <c r="F98" s="75"/>
      <c r="G98" s="76"/>
      <c r="H98" s="76"/>
      <c r="I98" s="48"/>
      <c r="J98" s="70"/>
      <c r="K98" s="70"/>
      <c r="L98" s="58" t="s">
        <v>352</v>
      </c>
      <c r="M98" s="56" t="s">
        <v>353</v>
      </c>
      <c r="N98" s="50" t="s">
        <v>34</v>
      </c>
      <c r="O98" s="56">
        <v>34</v>
      </c>
      <c r="P98" s="92">
        <f>VLOOKUP(L98,[1]TDSheet!B$10:E$365,4,FALSE)</f>
        <v>136</v>
      </c>
      <c r="Q98" s="92">
        <f t="shared" si="1"/>
        <v>102</v>
      </c>
      <c r="R98" s="106">
        <f>VLOOKUP(L98,[2]TDSheet!B$10:E$436,4,FALSE)</f>
        <v>136</v>
      </c>
    </row>
    <row r="99" spans="1:18" ht="15.6" x14ac:dyDescent="0.3">
      <c r="A99" s="53"/>
      <c r="B99" s="54"/>
      <c r="C99" s="54"/>
      <c r="D99" s="54"/>
      <c r="E99" s="55"/>
      <c r="F99" s="75"/>
      <c r="G99" s="76"/>
      <c r="H99" s="76"/>
      <c r="I99" s="48"/>
      <c r="J99" s="70"/>
      <c r="K99" s="70"/>
      <c r="L99" s="58" t="s">
        <v>354</v>
      </c>
      <c r="M99" s="56" t="s">
        <v>355</v>
      </c>
      <c r="N99" s="50" t="s">
        <v>34</v>
      </c>
      <c r="O99" s="56">
        <v>6</v>
      </c>
      <c r="P99" s="92">
        <f>VLOOKUP(L99,[1]TDSheet!B$10:E$365,4,FALSE)</f>
        <v>99</v>
      </c>
      <c r="Q99" s="92">
        <f t="shared" si="1"/>
        <v>93</v>
      </c>
      <c r="R99" s="106">
        <f>VLOOKUP(L99,[2]TDSheet!B$10:E$436,4,FALSE)</f>
        <v>99</v>
      </c>
    </row>
    <row r="100" spans="1:18" ht="15.6" x14ac:dyDescent="0.3">
      <c r="A100" s="53"/>
      <c r="B100" s="54"/>
      <c r="C100" s="54"/>
      <c r="D100" s="54"/>
      <c r="E100" s="55"/>
      <c r="F100" s="75"/>
      <c r="G100" s="76"/>
      <c r="H100" s="76"/>
      <c r="I100" s="48"/>
      <c r="J100" s="70"/>
      <c r="K100" s="70"/>
      <c r="L100" s="93" t="s">
        <v>356</v>
      </c>
      <c r="M100" s="56" t="s">
        <v>357</v>
      </c>
      <c r="N100" s="50" t="s">
        <v>34</v>
      </c>
      <c r="O100" s="56">
        <v>4</v>
      </c>
      <c r="P100" s="92" t="e">
        <f>VLOOKUP(L100,[1]TDSheet!B$10:E$365,4,FALSE)</f>
        <v>#N/A</v>
      </c>
      <c r="Q100" s="92" t="e">
        <f t="shared" si="1"/>
        <v>#N/A</v>
      </c>
      <c r="R100" s="106" t="e">
        <f>VLOOKUP(L100,[2]TDSheet!B$10:E$436,4,FALSE)</f>
        <v>#N/A</v>
      </c>
    </row>
    <row r="101" spans="1:18" ht="15.6" x14ac:dyDescent="0.3">
      <c r="A101" s="53"/>
      <c r="B101" s="54"/>
      <c r="C101" s="54"/>
      <c r="D101" s="54"/>
      <c r="E101" s="55"/>
      <c r="F101" s="75"/>
      <c r="G101" s="76"/>
      <c r="H101" s="76"/>
      <c r="I101" s="48"/>
      <c r="J101" s="70"/>
      <c r="K101" s="70"/>
      <c r="L101" s="93" t="s">
        <v>186</v>
      </c>
      <c r="M101" s="56" t="s">
        <v>187</v>
      </c>
      <c r="N101" s="50" t="s">
        <v>34</v>
      </c>
      <c r="O101" s="56">
        <v>2</v>
      </c>
      <c r="P101" s="92" t="e">
        <f>VLOOKUP(L101,[1]TDSheet!B$10:E$365,4,FALSE)</f>
        <v>#N/A</v>
      </c>
      <c r="Q101" s="92" t="e">
        <f t="shared" si="1"/>
        <v>#N/A</v>
      </c>
      <c r="R101" s="106" t="e">
        <f>VLOOKUP(L101,[2]TDSheet!B$10:E$436,4,FALSE)</f>
        <v>#N/A</v>
      </c>
    </row>
    <row r="102" spans="1:18" ht="15.6" x14ac:dyDescent="0.3">
      <c r="A102" s="53"/>
      <c r="B102" s="54"/>
      <c r="C102" s="54"/>
      <c r="D102" s="54"/>
      <c r="E102" s="55"/>
      <c r="F102" s="75"/>
      <c r="G102" s="76"/>
      <c r="H102" s="76"/>
      <c r="I102" s="48"/>
      <c r="J102" s="70"/>
      <c r="K102" s="70"/>
      <c r="L102" s="58">
        <v>19376</v>
      </c>
      <c r="M102" s="56" t="s">
        <v>358</v>
      </c>
      <c r="N102" s="50" t="s">
        <v>34</v>
      </c>
      <c r="O102" s="56">
        <v>1</v>
      </c>
      <c r="P102" s="92">
        <f>VLOOKUP(L102,[1]TDSheet!B$10:E$365,4,FALSE)</f>
        <v>4</v>
      </c>
      <c r="Q102" s="92">
        <f t="shared" si="1"/>
        <v>3</v>
      </c>
      <c r="R102" s="106" t="e">
        <f>VLOOKUP(L102,[2]TDSheet!B$10:E$436,4,FALSE)</f>
        <v>#N/A</v>
      </c>
    </row>
    <row r="103" spans="1:18" ht="15.6" x14ac:dyDescent="0.3">
      <c r="A103" s="53"/>
      <c r="B103" s="54"/>
      <c r="C103" s="54"/>
      <c r="D103" s="54"/>
      <c r="E103" s="55"/>
      <c r="F103" s="75"/>
      <c r="G103" s="76"/>
      <c r="H103" s="76"/>
      <c r="I103" s="48"/>
      <c r="J103" s="70"/>
      <c r="K103" s="70"/>
      <c r="L103" s="58" t="s">
        <v>359</v>
      </c>
      <c r="M103" s="56" t="s">
        <v>360</v>
      </c>
      <c r="N103" s="50" t="s">
        <v>34</v>
      </c>
      <c r="O103" s="56">
        <v>1</v>
      </c>
      <c r="P103" s="92">
        <f>VLOOKUP(L103,[1]TDSheet!B$10:E$365,4,FALSE)</f>
        <v>5</v>
      </c>
      <c r="Q103" s="92">
        <f t="shared" si="1"/>
        <v>4</v>
      </c>
      <c r="R103" s="106">
        <f>VLOOKUP(L103,[2]TDSheet!B$10:E$436,4,FALSE)</f>
        <v>5</v>
      </c>
    </row>
    <row r="104" spans="1:18" ht="15.6" x14ac:dyDescent="0.3">
      <c r="A104" s="53"/>
      <c r="B104" s="54"/>
      <c r="C104" s="54"/>
      <c r="D104" s="54"/>
      <c r="E104" s="55"/>
      <c r="F104" s="75"/>
      <c r="G104" s="76"/>
      <c r="H104" s="76"/>
      <c r="I104" s="48"/>
      <c r="J104" s="70"/>
      <c r="K104" s="70"/>
      <c r="L104" s="58" t="s">
        <v>361</v>
      </c>
      <c r="M104" s="56" t="s">
        <v>362</v>
      </c>
      <c r="N104" s="50" t="s">
        <v>34</v>
      </c>
      <c r="O104" s="56">
        <v>1</v>
      </c>
      <c r="P104" s="92">
        <f>VLOOKUP(L104,[1]TDSheet!B$10:E$365,4,FALSE)</f>
        <v>4</v>
      </c>
      <c r="Q104" s="92">
        <f t="shared" si="1"/>
        <v>3</v>
      </c>
      <c r="R104" s="106">
        <f>VLOOKUP(L104,[2]TDSheet!B$10:E$436,4,FALSE)</f>
        <v>4</v>
      </c>
    </row>
    <row r="105" spans="1:18" ht="15.6" x14ac:dyDescent="0.3">
      <c r="A105" s="53"/>
      <c r="B105" s="54"/>
      <c r="C105" s="54"/>
      <c r="D105" s="54"/>
      <c r="E105" s="55"/>
      <c r="F105" s="75"/>
      <c r="G105" s="76"/>
      <c r="H105" s="76"/>
      <c r="I105" s="48"/>
      <c r="J105" s="70"/>
      <c r="K105" s="70"/>
      <c r="L105" s="58" t="s">
        <v>363</v>
      </c>
      <c r="M105" s="56" t="s">
        <v>364</v>
      </c>
      <c r="N105" s="50" t="s">
        <v>34</v>
      </c>
      <c r="O105" s="56">
        <v>4</v>
      </c>
      <c r="P105" s="92">
        <f>VLOOKUP(L105,[1]TDSheet!B$10:E$365,4,FALSE)</f>
        <v>16</v>
      </c>
      <c r="Q105" s="92">
        <f t="shared" si="1"/>
        <v>12</v>
      </c>
      <c r="R105" s="106">
        <f>VLOOKUP(L105,[2]TDSheet!B$10:E$436,4,FALSE)</f>
        <v>16</v>
      </c>
    </row>
    <row r="106" spans="1:18" ht="15.6" x14ac:dyDescent="0.3">
      <c r="A106" s="53"/>
      <c r="B106" s="54"/>
      <c r="C106" s="54"/>
      <c r="D106" s="54"/>
      <c r="E106" s="55"/>
      <c r="F106" s="75"/>
      <c r="G106" s="76"/>
      <c r="H106" s="76"/>
      <c r="I106" s="48"/>
      <c r="J106" s="70"/>
      <c r="K106" s="70"/>
      <c r="L106" s="58" t="s">
        <v>365</v>
      </c>
      <c r="M106" s="56" t="s">
        <v>366</v>
      </c>
      <c r="N106" s="50" t="s">
        <v>34</v>
      </c>
      <c r="O106" s="56">
        <v>20</v>
      </c>
      <c r="P106" s="92">
        <f>VLOOKUP(L106,[1]TDSheet!B$10:E$365,4,FALSE)</f>
        <v>86</v>
      </c>
      <c r="Q106" s="92">
        <f t="shared" si="1"/>
        <v>66</v>
      </c>
      <c r="R106" s="106">
        <f>VLOOKUP(L106,[2]TDSheet!B$10:E$436,4,FALSE)</f>
        <v>86</v>
      </c>
    </row>
    <row r="107" spans="1:18" ht="15.6" x14ac:dyDescent="0.3">
      <c r="A107" s="53"/>
      <c r="B107" s="54"/>
      <c r="C107" s="54"/>
      <c r="D107" s="54"/>
      <c r="E107" s="55"/>
      <c r="F107" s="75"/>
      <c r="G107" s="76"/>
      <c r="H107" s="76"/>
      <c r="I107" s="48"/>
      <c r="J107" s="70"/>
      <c r="K107" s="70"/>
      <c r="L107" s="58" t="s">
        <v>188</v>
      </c>
      <c r="M107" s="56" t="s">
        <v>189</v>
      </c>
      <c r="N107" s="50" t="s">
        <v>34</v>
      </c>
      <c r="O107" s="56">
        <v>3</v>
      </c>
      <c r="P107" s="92">
        <f>VLOOKUP(L107,[1]TDSheet!B$10:E$365,4,FALSE)</f>
        <v>7</v>
      </c>
      <c r="Q107" s="92">
        <f t="shared" si="1"/>
        <v>4</v>
      </c>
      <c r="R107" s="106">
        <f>VLOOKUP(L107,[2]TDSheet!B$10:E$436,4,FALSE)</f>
        <v>7</v>
      </c>
    </row>
    <row r="108" spans="1:18" ht="15.6" x14ac:dyDescent="0.3">
      <c r="A108" s="53"/>
      <c r="B108" s="54"/>
      <c r="C108" s="54"/>
      <c r="D108" s="54"/>
      <c r="E108" s="55"/>
      <c r="F108" s="75"/>
      <c r="G108" s="76"/>
      <c r="H108" s="76"/>
      <c r="I108" s="48"/>
      <c r="J108" s="70"/>
      <c r="K108" s="70"/>
      <c r="L108" s="93" t="s">
        <v>367</v>
      </c>
      <c r="M108" s="56" t="s">
        <v>368</v>
      </c>
      <c r="N108" s="50" t="s">
        <v>34</v>
      </c>
      <c r="O108" s="56">
        <v>5</v>
      </c>
      <c r="P108" s="92" t="e">
        <f>VLOOKUP(L108,[1]TDSheet!B$10:E$365,4,FALSE)</f>
        <v>#N/A</v>
      </c>
      <c r="Q108" s="92" t="e">
        <f t="shared" si="1"/>
        <v>#N/A</v>
      </c>
      <c r="R108" s="106" t="e">
        <f>VLOOKUP(L108,[2]TDSheet!B$10:E$436,4,FALSE)</f>
        <v>#N/A</v>
      </c>
    </row>
    <row r="109" spans="1:18" ht="15.6" x14ac:dyDescent="0.3">
      <c r="A109" s="53"/>
      <c r="B109" s="54"/>
      <c r="C109" s="54"/>
      <c r="D109" s="54"/>
      <c r="E109" s="55"/>
      <c r="F109" s="75"/>
      <c r="G109" s="76"/>
      <c r="H109" s="76"/>
      <c r="I109" s="48"/>
      <c r="J109" s="70"/>
      <c r="K109" s="70"/>
      <c r="L109" s="93" t="s">
        <v>369</v>
      </c>
      <c r="M109" s="56" t="s">
        <v>370</v>
      </c>
      <c r="N109" s="50" t="s">
        <v>34</v>
      </c>
      <c r="O109" s="91">
        <v>3</v>
      </c>
      <c r="P109" s="92" t="e">
        <f>VLOOKUP(L109,[1]TDSheet!B$10:E$365,4,FALSE)</f>
        <v>#N/A</v>
      </c>
      <c r="Q109" s="92" t="e">
        <f t="shared" si="1"/>
        <v>#N/A</v>
      </c>
      <c r="R109" s="106" t="e">
        <f>VLOOKUP(L109,[2]TDSheet!B$10:E$436,4,FALSE)</f>
        <v>#N/A</v>
      </c>
    </row>
    <row r="110" spans="1:18" ht="15.6" x14ac:dyDescent="0.3">
      <c r="A110" s="53"/>
      <c r="B110" s="54"/>
      <c r="C110" s="54"/>
      <c r="D110" s="54"/>
      <c r="E110" s="55"/>
      <c r="F110" s="75"/>
      <c r="G110" s="76"/>
      <c r="H110" s="76"/>
      <c r="I110" s="48"/>
      <c r="J110" s="70"/>
      <c r="K110" s="70"/>
      <c r="L110" s="58" t="s">
        <v>371</v>
      </c>
      <c r="M110" s="56" t="s">
        <v>372</v>
      </c>
      <c r="N110" s="50" t="s">
        <v>34</v>
      </c>
      <c r="O110" s="56">
        <v>54</v>
      </c>
      <c r="P110" s="92">
        <f>VLOOKUP(L110,[1]TDSheet!B$10:E$365,4,FALSE)</f>
        <v>166</v>
      </c>
      <c r="Q110" s="92">
        <f t="shared" si="1"/>
        <v>112</v>
      </c>
      <c r="R110" s="106">
        <f>VLOOKUP(L110,[2]TDSheet!B$10:E$436,4,FALSE)</f>
        <v>166</v>
      </c>
    </row>
    <row r="111" spans="1:18" ht="15.6" x14ac:dyDescent="0.3">
      <c r="A111" s="53"/>
      <c r="B111" s="54"/>
      <c r="C111" s="54"/>
      <c r="D111" s="54"/>
      <c r="E111" s="55"/>
      <c r="F111" s="75"/>
      <c r="G111" s="76"/>
      <c r="H111" s="76"/>
      <c r="I111" s="48"/>
      <c r="J111" s="70"/>
      <c r="K111" s="70"/>
      <c r="L111" s="58" t="s">
        <v>373</v>
      </c>
      <c r="M111" s="56" t="s">
        <v>374</v>
      </c>
      <c r="N111" s="50" t="s">
        <v>34</v>
      </c>
      <c r="O111" s="56">
        <v>12</v>
      </c>
      <c r="P111" s="92">
        <f>VLOOKUP(L111,[1]TDSheet!B$10:E$365,4,FALSE)</f>
        <v>48</v>
      </c>
      <c r="Q111" s="92">
        <f t="shared" si="1"/>
        <v>36</v>
      </c>
      <c r="R111" s="106">
        <f>VLOOKUP(L111,[2]TDSheet!B$10:E$436,4,FALSE)</f>
        <v>48</v>
      </c>
    </row>
    <row r="112" spans="1:18" ht="15.6" x14ac:dyDescent="0.3">
      <c r="A112" s="53"/>
      <c r="B112" s="54"/>
      <c r="C112" s="54"/>
      <c r="D112" s="54"/>
      <c r="E112" s="55"/>
      <c r="F112" s="75"/>
      <c r="G112" s="76"/>
      <c r="H112" s="76"/>
      <c r="I112" s="48"/>
      <c r="J112" s="70"/>
      <c r="K112" s="70"/>
      <c r="L112" s="58">
        <v>21939</v>
      </c>
      <c r="M112" s="56" t="s">
        <v>375</v>
      </c>
      <c r="N112" s="50" t="s">
        <v>34</v>
      </c>
      <c r="O112" s="56">
        <v>18</v>
      </c>
      <c r="P112" s="92">
        <f>VLOOKUP(L112,[1]TDSheet!B$10:E$365,4,FALSE)</f>
        <v>56</v>
      </c>
      <c r="Q112" s="92">
        <f t="shared" si="1"/>
        <v>38</v>
      </c>
      <c r="R112" s="106" t="e">
        <f>VLOOKUP(L112,[2]TDSheet!B$10:E$436,4,FALSE)</f>
        <v>#N/A</v>
      </c>
    </row>
    <row r="113" spans="1:18" ht="15.6" x14ac:dyDescent="0.3">
      <c r="A113" s="53"/>
      <c r="B113" s="54"/>
      <c r="C113" s="54"/>
      <c r="D113" s="54"/>
      <c r="E113" s="55"/>
      <c r="F113" s="75"/>
      <c r="G113" s="76"/>
      <c r="H113" s="76"/>
      <c r="I113" s="48"/>
      <c r="J113" s="70"/>
      <c r="K113" s="70"/>
      <c r="L113" s="58" t="s">
        <v>376</v>
      </c>
      <c r="M113" s="56" t="s">
        <v>377</v>
      </c>
      <c r="N113" s="50" t="s">
        <v>34</v>
      </c>
      <c r="O113" s="56">
        <v>1</v>
      </c>
      <c r="P113" s="92">
        <f>VLOOKUP(L113,[1]TDSheet!B$10:E$365,4,FALSE)</f>
        <v>4</v>
      </c>
      <c r="Q113" s="92">
        <f t="shared" si="1"/>
        <v>3</v>
      </c>
      <c r="R113" s="106">
        <f>VLOOKUP(L113,[2]TDSheet!B$10:E$436,4,FALSE)</f>
        <v>4</v>
      </c>
    </row>
    <row r="114" spans="1:18" ht="15.6" x14ac:dyDescent="0.3">
      <c r="A114" s="53"/>
      <c r="B114" s="54"/>
      <c r="C114" s="54"/>
      <c r="D114" s="54"/>
      <c r="E114" s="55"/>
      <c r="F114" s="75"/>
      <c r="G114" s="76"/>
      <c r="H114" s="76"/>
      <c r="I114" s="48"/>
      <c r="J114" s="70"/>
      <c r="K114" s="70"/>
      <c r="L114" s="58" t="s">
        <v>378</v>
      </c>
      <c r="M114" s="56" t="s">
        <v>379</v>
      </c>
      <c r="N114" s="50" t="s">
        <v>34</v>
      </c>
      <c r="O114" s="56">
        <v>5</v>
      </c>
      <c r="P114" s="92">
        <f>VLOOKUP(L114,[1]TDSheet!B$10:E$365,4,FALSE)</f>
        <v>25</v>
      </c>
      <c r="Q114" s="92">
        <f t="shared" si="1"/>
        <v>20</v>
      </c>
      <c r="R114" s="106">
        <f>VLOOKUP(L114,[2]TDSheet!B$10:E$436,4,FALSE)</f>
        <v>25</v>
      </c>
    </row>
    <row r="115" spans="1:18" ht="15.6" x14ac:dyDescent="0.3">
      <c r="A115" s="53"/>
      <c r="B115" s="54"/>
      <c r="C115" s="54"/>
      <c r="D115" s="54"/>
      <c r="E115" s="55"/>
      <c r="F115" s="75"/>
      <c r="G115" s="76"/>
      <c r="H115" s="76"/>
      <c r="I115" s="48"/>
      <c r="J115" s="70"/>
      <c r="K115" s="70"/>
      <c r="L115" s="93" t="s">
        <v>380</v>
      </c>
      <c r="M115" s="56" t="s">
        <v>381</v>
      </c>
      <c r="N115" s="50" t="s">
        <v>34</v>
      </c>
      <c r="O115" s="56">
        <v>5</v>
      </c>
      <c r="P115" s="92" t="e">
        <f>VLOOKUP(L115,[1]TDSheet!B$10:E$365,4,FALSE)</f>
        <v>#N/A</v>
      </c>
      <c r="Q115" s="92" t="e">
        <f t="shared" si="1"/>
        <v>#N/A</v>
      </c>
      <c r="R115" s="106" t="e">
        <f>VLOOKUP(L115,[2]TDSheet!B$10:E$436,4,FALSE)</f>
        <v>#N/A</v>
      </c>
    </row>
    <row r="116" spans="1:18" ht="15.6" x14ac:dyDescent="0.3">
      <c r="A116" s="53"/>
      <c r="B116" s="54"/>
      <c r="C116" s="54"/>
      <c r="D116" s="54"/>
      <c r="E116" s="55"/>
      <c r="F116" s="75"/>
      <c r="G116" s="76"/>
      <c r="H116" s="76"/>
      <c r="I116" s="48"/>
      <c r="J116" s="70"/>
      <c r="K116" s="70"/>
      <c r="L116" s="58" t="s">
        <v>83</v>
      </c>
      <c r="M116" s="56" t="s">
        <v>84</v>
      </c>
      <c r="N116" s="50" t="s">
        <v>37</v>
      </c>
      <c r="O116" s="56">
        <v>16</v>
      </c>
      <c r="P116" s="92">
        <f>VLOOKUP(L116,[1]TDSheet!B$10:E$365,4,FALSE)</f>
        <v>4.25</v>
      </c>
      <c r="Q116" s="92">
        <f t="shared" si="1"/>
        <v>-11.75</v>
      </c>
      <c r="R116" s="106">
        <f>VLOOKUP(L116,[2]TDSheet!B$10:E$436,4,FALSE)</f>
        <v>16</v>
      </c>
    </row>
    <row r="117" spans="1:18" ht="15.6" x14ac:dyDescent="0.3">
      <c r="A117" s="53"/>
      <c r="B117" s="54"/>
      <c r="C117" s="54"/>
      <c r="D117" s="54"/>
      <c r="E117" s="55"/>
      <c r="F117" s="75"/>
      <c r="G117" s="76"/>
      <c r="H117" s="76"/>
      <c r="I117" s="48"/>
      <c r="J117" s="70"/>
      <c r="K117" s="70"/>
      <c r="L117" s="58" t="s">
        <v>53</v>
      </c>
      <c r="M117" s="56" t="s">
        <v>85</v>
      </c>
      <c r="N117" s="50" t="s">
        <v>34</v>
      </c>
      <c r="O117" s="56">
        <v>10</v>
      </c>
      <c r="P117" s="92">
        <f>VLOOKUP(L117,[1]TDSheet!B$10:E$365,4,FALSE)</f>
        <v>50</v>
      </c>
      <c r="Q117" s="92">
        <f t="shared" si="1"/>
        <v>40</v>
      </c>
      <c r="R117" s="106">
        <f>VLOOKUP(L117,[2]TDSheet!B$10:E$436,4,FALSE)</f>
        <v>50</v>
      </c>
    </row>
    <row r="118" spans="1:18" ht="15.6" x14ac:dyDescent="0.3">
      <c r="A118" s="53"/>
      <c r="B118" s="54"/>
      <c r="C118" s="54"/>
      <c r="D118" s="54"/>
      <c r="E118" s="55"/>
      <c r="F118" s="75"/>
      <c r="G118" s="76"/>
      <c r="H118" s="76"/>
      <c r="I118" s="48"/>
      <c r="J118" s="70"/>
      <c r="K118" s="70"/>
      <c r="L118" s="58" t="s">
        <v>54</v>
      </c>
      <c r="M118" s="56" t="s">
        <v>86</v>
      </c>
      <c r="N118" s="50" t="s">
        <v>34</v>
      </c>
      <c r="O118" s="56">
        <v>40</v>
      </c>
      <c r="P118" s="92">
        <f>VLOOKUP(L118,[1]TDSheet!B$10:E$365,4,FALSE)</f>
        <v>49</v>
      </c>
      <c r="Q118" s="92">
        <f t="shared" si="1"/>
        <v>9</v>
      </c>
      <c r="R118" s="106">
        <f>VLOOKUP(L118,[2]TDSheet!B$10:E$436,4,FALSE)</f>
        <v>49</v>
      </c>
    </row>
    <row r="119" spans="1:18" ht="15.6" x14ac:dyDescent="0.3">
      <c r="A119" s="53"/>
      <c r="B119" s="54"/>
      <c r="C119" s="54"/>
      <c r="D119" s="54"/>
      <c r="E119" s="55"/>
      <c r="F119" s="75"/>
      <c r="G119" s="76"/>
      <c r="H119" s="76"/>
      <c r="I119" s="48"/>
      <c r="J119" s="70"/>
      <c r="K119" s="70"/>
      <c r="L119" s="58">
        <v>106</v>
      </c>
      <c r="M119" s="56" t="s">
        <v>382</v>
      </c>
      <c r="N119" s="50" t="s">
        <v>34</v>
      </c>
      <c r="O119" s="56">
        <v>14</v>
      </c>
      <c r="P119" s="92">
        <f>VLOOKUP(L119,[1]TDSheet!B$10:E$365,4,FALSE)</f>
        <v>126</v>
      </c>
      <c r="Q119" s="92">
        <f t="shared" si="1"/>
        <v>112</v>
      </c>
      <c r="R119" s="106" t="e">
        <f>VLOOKUP(L119,[2]TDSheet!B$10:E$436,4,FALSE)</f>
        <v>#N/A</v>
      </c>
    </row>
    <row r="120" spans="1:18" ht="15.6" x14ac:dyDescent="0.3">
      <c r="A120" s="53"/>
      <c r="B120" s="54"/>
      <c r="C120" s="54"/>
      <c r="D120" s="54"/>
      <c r="E120" s="55"/>
      <c r="F120" s="75"/>
      <c r="G120" s="76"/>
      <c r="H120" s="76"/>
      <c r="I120" s="48"/>
      <c r="J120" s="70"/>
      <c r="K120" s="70"/>
      <c r="L120" s="58" t="s">
        <v>190</v>
      </c>
      <c r="M120" s="56" t="s">
        <v>191</v>
      </c>
      <c r="N120" s="50" t="s">
        <v>34</v>
      </c>
      <c r="O120" s="56">
        <v>5</v>
      </c>
      <c r="P120" s="92">
        <f>VLOOKUP(L120,[1]TDSheet!B$10:E$365,4,FALSE)</f>
        <v>5</v>
      </c>
      <c r="Q120" s="92">
        <f t="shared" si="1"/>
        <v>0</v>
      </c>
      <c r="R120" s="106">
        <f>VLOOKUP(L120,[2]TDSheet!B$10:E$436,4,FALSE)</f>
        <v>5</v>
      </c>
    </row>
    <row r="121" spans="1:18" ht="15.6" x14ac:dyDescent="0.3">
      <c r="A121" s="53"/>
      <c r="B121" s="54"/>
      <c r="C121" s="54"/>
      <c r="D121" s="54"/>
      <c r="E121" s="55"/>
      <c r="F121" s="75"/>
      <c r="G121" s="76"/>
      <c r="H121" s="76"/>
      <c r="I121" s="48"/>
      <c r="J121" s="70"/>
      <c r="K121" s="70"/>
      <c r="L121" s="58">
        <v>9893</v>
      </c>
      <c r="M121" s="56" t="s">
        <v>383</v>
      </c>
      <c r="N121" s="50" t="s">
        <v>34</v>
      </c>
      <c r="O121" s="56">
        <v>1</v>
      </c>
      <c r="P121" s="92">
        <f>VLOOKUP(L121,[1]TDSheet!B$10:E$365,4,FALSE)</f>
        <v>4</v>
      </c>
      <c r="Q121" s="92">
        <f t="shared" si="1"/>
        <v>3</v>
      </c>
      <c r="R121" s="106" t="e">
        <f>VLOOKUP(L121,[2]TDSheet!B$10:E$436,4,FALSE)</f>
        <v>#N/A</v>
      </c>
    </row>
    <row r="122" spans="1:18" ht="15.6" x14ac:dyDescent="0.3">
      <c r="A122" s="53"/>
      <c r="B122" s="54"/>
      <c r="C122" s="54"/>
      <c r="D122" s="54"/>
      <c r="E122" s="55"/>
      <c r="F122" s="75"/>
      <c r="G122" s="76"/>
      <c r="H122" s="76"/>
      <c r="I122" s="48"/>
      <c r="J122" s="70"/>
      <c r="K122" s="70"/>
      <c r="L122" s="58">
        <v>3893</v>
      </c>
      <c r="M122" s="56" t="s">
        <v>87</v>
      </c>
      <c r="N122" s="50" t="s">
        <v>63</v>
      </c>
      <c r="O122" s="56">
        <v>0.113</v>
      </c>
      <c r="P122" s="92">
        <f>VLOOKUP(L122,[1]TDSheet!B$10:E$365,4,FALSE)</f>
        <v>0.48</v>
      </c>
      <c r="Q122" s="92">
        <f t="shared" si="1"/>
        <v>0.36699999999999999</v>
      </c>
      <c r="R122" s="106" t="e">
        <f>VLOOKUP(L122,[2]TDSheet!B$10:E$436,4,FALSE)</f>
        <v>#N/A</v>
      </c>
    </row>
    <row r="123" spans="1:18" ht="15.6" x14ac:dyDescent="0.3">
      <c r="A123" s="53"/>
      <c r="B123" s="54"/>
      <c r="C123" s="54"/>
      <c r="D123" s="54"/>
      <c r="E123" s="55"/>
      <c r="F123" s="75"/>
      <c r="G123" s="76"/>
      <c r="H123" s="76"/>
      <c r="I123" s="48"/>
      <c r="J123" s="70"/>
      <c r="K123" s="70"/>
      <c r="L123" s="58">
        <v>6597</v>
      </c>
      <c r="M123" s="56" t="s">
        <v>384</v>
      </c>
      <c r="N123" s="50" t="s">
        <v>63</v>
      </c>
      <c r="O123" s="56">
        <v>0.25</v>
      </c>
      <c r="P123" s="92">
        <f>VLOOKUP(L123,[1]TDSheet!B$10:E$365,4,FALSE)</f>
        <v>1.7749999999999999</v>
      </c>
      <c r="Q123" s="92">
        <f t="shared" si="1"/>
        <v>1.5249999999999999</v>
      </c>
      <c r="R123" s="106" t="e">
        <f>VLOOKUP(L123,[2]TDSheet!B$10:E$436,4,FALSE)</f>
        <v>#N/A</v>
      </c>
    </row>
    <row r="124" spans="1:18" ht="15.6" x14ac:dyDescent="0.3">
      <c r="A124" s="53"/>
      <c r="B124" s="54"/>
      <c r="C124" s="54"/>
      <c r="D124" s="54"/>
      <c r="E124" s="55"/>
      <c r="F124" s="75"/>
      <c r="G124" s="76"/>
      <c r="H124" s="76"/>
      <c r="I124" s="48"/>
      <c r="J124" s="70"/>
      <c r="K124" s="70"/>
      <c r="L124" s="58">
        <v>17298</v>
      </c>
      <c r="M124" s="56" t="s">
        <v>88</v>
      </c>
      <c r="N124" s="50" t="s">
        <v>63</v>
      </c>
      <c r="O124" s="56">
        <v>0.1</v>
      </c>
      <c r="P124" s="92">
        <f>VLOOKUP(L124,[1]TDSheet!B$10:E$365,4,FALSE)</f>
        <v>0.1</v>
      </c>
      <c r="Q124" s="92">
        <f t="shared" si="1"/>
        <v>0</v>
      </c>
      <c r="R124" s="106" t="e">
        <f>VLOOKUP(L124,[2]TDSheet!B$10:E$436,4,FALSE)</f>
        <v>#N/A</v>
      </c>
    </row>
    <row r="125" spans="1:18" ht="15.6" x14ac:dyDescent="0.3">
      <c r="A125" s="53"/>
      <c r="B125" s="54"/>
      <c r="C125" s="54"/>
      <c r="D125" s="54"/>
      <c r="E125" s="55"/>
      <c r="F125" s="75"/>
      <c r="G125" s="76"/>
      <c r="H125" s="76"/>
      <c r="I125" s="48"/>
      <c r="J125" s="70"/>
      <c r="K125" s="70"/>
      <c r="L125" s="58" t="s">
        <v>40</v>
      </c>
      <c r="M125" s="56" t="s">
        <v>89</v>
      </c>
      <c r="N125" s="50" t="s">
        <v>63</v>
      </c>
      <c r="O125" s="56">
        <v>0.13</v>
      </c>
      <c r="P125" s="92">
        <f>VLOOKUP(L125,[1]TDSheet!B$10:E$365,4,FALSE)</f>
        <v>0.158</v>
      </c>
      <c r="Q125" s="92">
        <f t="shared" si="1"/>
        <v>2.7999999999999997E-2</v>
      </c>
      <c r="R125" s="106">
        <f>VLOOKUP(L125,[2]TDSheet!B$10:E$436,4,FALSE)</f>
        <v>0.22500000000000001</v>
      </c>
    </row>
    <row r="126" spans="1:18" ht="15.6" x14ac:dyDescent="0.3">
      <c r="A126" s="53"/>
      <c r="B126" s="54"/>
      <c r="C126" s="54"/>
      <c r="D126" s="54"/>
      <c r="E126" s="55"/>
      <c r="F126" s="75"/>
      <c r="G126" s="76"/>
      <c r="H126" s="76"/>
      <c r="I126" s="48"/>
      <c r="J126" s="70"/>
      <c r="K126" s="70"/>
      <c r="L126" s="58">
        <v>17403</v>
      </c>
      <c r="M126" s="56" t="s">
        <v>192</v>
      </c>
      <c r="N126" s="50" t="s">
        <v>63</v>
      </c>
      <c r="O126" s="56">
        <v>0.06</v>
      </c>
      <c r="P126" s="92">
        <f>VLOOKUP(L126,[1]TDSheet!B$10:E$365,4,FALSE)</f>
        <v>1.512</v>
      </c>
      <c r="Q126" s="92">
        <f t="shared" si="1"/>
        <v>1.452</v>
      </c>
      <c r="R126" s="106" t="e">
        <f>VLOOKUP(L126,[2]TDSheet!B$10:E$436,4,FALSE)</f>
        <v>#N/A</v>
      </c>
    </row>
    <row r="127" spans="1:18" ht="15.6" x14ac:dyDescent="0.3">
      <c r="A127" s="53"/>
      <c r="B127" s="54"/>
      <c r="C127" s="54"/>
      <c r="D127" s="54"/>
      <c r="E127" s="55"/>
      <c r="F127" s="75"/>
      <c r="G127" s="76"/>
      <c r="H127" s="76"/>
      <c r="I127" s="48"/>
      <c r="J127" s="70"/>
      <c r="K127" s="70"/>
      <c r="L127" s="58">
        <v>4057</v>
      </c>
      <c r="M127" s="56" t="s">
        <v>193</v>
      </c>
      <c r="N127" s="50" t="s">
        <v>63</v>
      </c>
      <c r="O127" s="56">
        <v>0.18</v>
      </c>
      <c r="P127" s="92">
        <f>VLOOKUP(L127,[1]TDSheet!B$10:E$365,4,FALSE)</f>
        <v>0.255</v>
      </c>
      <c r="Q127" s="92">
        <f t="shared" si="1"/>
        <v>7.5000000000000011E-2</v>
      </c>
      <c r="R127" s="106" t="e">
        <f>VLOOKUP(L127,[2]TDSheet!B$10:E$436,4,FALSE)</f>
        <v>#N/A</v>
      </c>
    </row>
    <row r="128" spans="1:18" ht="15.6" x14ac:dyDescent="0.3">
      <c r="A128" s="53"/>
      <c r="B128" s="54"/>
      <c r="C128" s="54"/>
      <c r="D128" s="54"/>
      <c r="E128" s="55"/>
      <c r="F128" s="75"/>
      <c r="G128" s="76"/>
      <c r="H128" s="76"/>
      <c r="I128" s="48"/>
      <c r="J128" s="70"/>
      <c r="K128" s="70"/>
      <c r="L128" s="93" t="s">
        <v>385</v>
      </c>
      <c r="M128" s="56" t="s">
        <v>386</v>
      </c>
      <c r="N128" s="50" t="s">
        <v>34</v>
      </c>
      <c r="O128" s="56">
        <v>2</v>
      </c>
      <c r="P128" s="92" t="e">
        <f>VLOOKUP(L128,[1]TDSheet!B$10:E$365,4,FALSE)</f>
        <v>#N/A</v>
      </c>
      <c r="Q128" s="92" t="e">
        <f t="shared" si="1"/>
        <v>#N/A</v>
      </c>
      <c r="R128" s="106">
        <f>VLOOKUP(L128,[2]TDSheet!B$10:E$436,4,FALSE)</f>
        <v>2</v>
      </c>
    </row>
    <row r="129" spans="1:18" ht="15.6" x14ac:dyDescent="0.3">
      <c r="A129" s="53"/>
      <c r="B129" s="54"/>
      <c r="C129" s="54"/>
      <c r="D129" s="54"/>
      <c r="E129" s="55"/>
      <c r="F129" s="75"/>
      <c r="G129" s="76"/>
      <c r="H129" s="76"/>
      <c r="I129" s="48"/>
      <c r="J129" s="70"/>
      <c r="K129" s="70"/>
      <c r="L129" s="93" t="s">
        <v>387</v>
      </c>
      <c r="M129" s="56" t="s">
        <v>388</v>
      </c>
      <c r="N129" s="50" t="s">
        <v>34</v>
      </c>
      <c r="O129" s="56">
        <v>2</v>
      </c>
      <c r="P129" s="92" t="e">
        <f>VLOOKUP(L129,[1]TDSheet!B$10:E$365,4,FALSE)</f>
        <v>#N/A</v>
      </c>
      <c r="Q129" s="92" t="e">
        <f t="shared" si="1"/>
        <v>#N/A</v>
      </c>
      <c r="R129" s="106">
        <f>VLOOKUP(L129,[2]TDSheet!B$10:E$436,4,FALSE)</f>
        <v>4</v>
      </c>
    </row>
    <row r="130" spans="1:18" ht="15.6" x14ac:dyDescent="0.3">
      <c r="A130" s="53"/>
      <c r="B130" s="54"/>
      <c r="C130" s="54"/>
      <c r="D130" s="54"/>
      <c r="E130" s="55"/>
      <c r="F130" s="75"/>
      <c r="G130" s="76"/>
      <c r="H130" s="76"/>
      <c r="I130" s="48"/>
      <c r="J130" s="70"/>
      <c r="K130" s="70"/>
      <c r="L130" s="93">
        <v>614</v>
      </c>
      <c r="M130" s="56" t="s">
        <v>518</v>
      </c>
      <c r="N130" s="50" t="s">
        <v>45</v>
      </c>
      <c r="O130" s="56">
        <v>10</v>
      </c>
      <c r="P130" s="92" t="e">
        <f>VLOOKUP(L130,[1]TDSheet!B$10:E$365,4,FALSE)</f>
        <v>#N/A</v>
      </c>
      <c r="Q130" s="92" t="e">
        <f t="shared" si="1"/>
        <v>#N/A</v>
      </c>
      <c r="R130" s="106" t="e">
        <f>VLOOKUP(L130,[2]TDSheet!B$10:E$436,4,FALSE)</f>
        <v>#N/A</v>
      </c>
    </row>
    <row r="131" spans="1:18" ht="15.6" x14ac:dyDescent="0.3">
      <c r="A131" s="53"/>
      <c r="B131" s="54"/>
      <c r="C131" s="54"/>
      <c r="D131" s="54"/>
      <c r="E131" s="55"/>
      <c r="F131" s="75"/>
      <c r="G131" s="76"/>
      <c r="H131" s="76"/>
      <c r="I131" s="48"/>
      <c r="J131" s="70"/>
      <c r="K131" s="70"/>
      <c r="L131" s="58" t="s">
        <v>389</v>
      </c>
      <c r="M131" s="56" t="s">
        <v>390</v>
      </c>
      <c r="N131" s="50" t="s">
        <v>34</v>
      </c>
      <c r="O131" s="56">
        <v>1</v>
      </c>
      <c r="P131" s="92">
        <f>VLOOKUP(L131,[1]TDSheet!B$10:E$365,4,FALSE)</f>
        <v>2</v>
      </c>
      <c r="Q131" s="92">
        <f t="shared" si="1"/>
        <v>1</v>
      </c>
      <c r="R131" s="106">
        <f>VLOOKUP(L131,[2]TDSheet!B$10:E$436,4,FALSE)</f>
        <v>2</v>
      </c>
    </row>
    <row r="132" spans="1:18" ht="15.6" x14ac:dyDescent="0.3">
      <c r="A132" s="53"/>
      <c r="B132" s="54"/>
      <c r="C132" s="54"/>
      <c r="D132" s="54"/>
      <c r="E132" s="55"/>
      <c r="F132" s="75"/>
      <c r="G132" s="76"/>
      <c r="H132" s="76"/>
      <c r="I132" s="48"/>
      <c r="J132" s="70"/>
      <c r="K132" s="70"/>
      <c r="L132" s="58" t="s">
        <v>194</v>
      </c>
      <c r="M132" s="56" t="s">
        <v>195</v>
      </c>
      <c r="N132" s="50" t="s">
        <v>34</v>
      </c>
      <c r="O132" s="56">
        <v>3</v>
      </c>
      <c r="P132" s="92">
        <f>VLOOKUP(L132,[1]TDSheet!B$10:E$365,4,FALSE)</f>
        <v>3</v>
      </c>
      <c r="Q132" s="92">
        <f t="shared" si="1"/>
        <v>0</v>
      </c>
      <c r="R132" s="106">
        <f>VLOOKUP(L132,[2]TDSheet!B$10:E$436,4,FALSE)</f>
        <v>3</v>
      </c>
    </row>
    <row r="133" spans="1:18" ht="15.6" x14ac:dyDescent="0.3">
      <c r="A133" s="53"/>
      <c r="B133" s="54"/>
      <c r="C133" s="54"/>
      <c r="D133" s="54"/>
      <c r="E133" s="55"/>
      <c r="F133" s="75"/>
      <c r="G133" s="76"/>
      <c r="H133" s="76"/>
      <c r="I133" s="48"/>
      <c r="J133" s="70"/>
      <c r="K133" s="70"/>
      <c r="L133" s="58" t="s">
        <v>391</v>
      </c>
      <c r="M133" s="56" t="s">
        <v>392</v>
      </c>
      <c r="N133" s="50" t="s">
        <v>68</v>
      </c>
      <c r="O133" s="56">
        <v>5.5739999999999998</v>
      </c>
      <c r="P133" s="92">
        <f>VLOOKUP(L133,[1]TDSheet!B$10:E$365,4,FALSE)</f>
        <v>9.202</v>
      </c>
      <c r="Q133" s="92">
        <f t="shared" si="1"/>
        <v>3.6280000000000001</v>
      </c>
      <c r="R133" s="106">
        <f>VLOOKUP(L133,[2]TDSheet!B$10:E$436,4,FALSE)</f>
        <v>9.202</v>
      </c>
    </row>
    <row r="134" spans="1:18" ht="15.6" x14ac:dyDescent="0.3">
      <c r="A134" s="53"/>
      <c r="B134" s="54"/>
      <c r="C134" s="54"/>
      <c r="D134" s="54"/>
      <c r="E134" s="55"/>
      <c r="F134" s="75"/>
      <c r="G134" s="76"/>
      <c r="H134" s="76"/>
      <c r="I134" s="48"/>
      <c r="J134" s="70"/>
      <c r="K134" s="70"/>
      <c r="L134" s="58">
        <v>19338</v>
      </c>
      <c r="M134" s="56" t="s">
        <v>393</v>
      </c>
      <c r="N134" s="50" t="s">
        <v>34</v>
      </c>
      <c r="O134" s="56">
        <v>5</v>
      </c>
      <c r="P134" s="92">
        <f>VLOOKUP(L134,[1]TDSheet!B$10:E$365,4,FALSE)</f>
        <v>45</v>
      </c>
      <c r="Q134" s="92">
        <f t="shared" si="1"/>
        <v>40</v>
      </c>
      <c r="R134" s="106" t="e">
        <f>VLOOKUP(L134,[2]TDSheet!B$10:E$436,4,FALSE)</f>
        <v>#N/A</v>
      </c>
    </row>
    <row r="135" spans="1:18" ht="15.6" x14ac:dyDescent="0.3">
      <c r="A135" s="53"/>
      <c r="B135" s="54"/>
      <c r="C135" s="54"/>
      <c r="D135" s="54"/>
      <c r="E135" s="55"/>
      <c r="F135" s="75"/>
      <c r="G135" s="76"/>
      <c r="H135" s="76"/>
      <c r="I135" s="48"/>
      <c r="J135" s="70"/>
      <c r="K135" s="70"/>
      <c r="L135" s="58" t="s">
        <v>527</v>
      </c>
      <c r="M135" s="56" t="s">
        <v>528</v>
      </c>
      <c r="N135" s="50" t="s">
        <v>34</v>
      </c>
      <c r="O135" s="56">
        <v>4</v>
      </c>
      <c r="P135" s="92">
        <f>VLOOKUP(L135,[1]TDSheet!B$10:E$365,4,FALSE)</f>
        <v>4</v>
      </c>
      <c r="Q135" s="92">
        <f t="shared" si="1"/>
        <v>0</v>
      </c>
      <c r="R135" s="106">
        <f>VLOOKUP(L135,[2]TDSheet!B$10:E$436,4,FALSE)</f>
        <v>4</v>
      </c>
    </row>
    <row r="136" spans="1:18" ht="15.6" x14ac:dyDescent="0.3">
      <c r="A136" s="53"/>
      <c r="B136" s="54"/>
      <c r="C136" s="54"/>
      <c r="D136" s="54"/>
      <c r="E136" s="55"/>
      <c r="F136" s="75"/>
      <c r="G136" s="76"/>
      <c r="H136" s="76"/>
      <c r="I136" s="48"/>
      <c r="J136" s="70"/>
      <c r="K136" s="70"/>
      <c r="L136" s="58" t="s">
        <v>394</v>
      </c>
      <c r="M136" s="56" t="s">
        <v>395</v>
      </c>
      <c r="N136" s="50" t="s">
        <v>34</v>
      </c>
      <c r="O136" s="56">
        <v>1</v>
      </c>
      <c r="P136" s="92">
        <f>VLOOKUP(L136,[1]TDSheet!B$10:E$365,4,FALSE)</f>
        <v>1</v>
      </c>
      <c r="Q136" s="92">
        <f t="shared" si="1"/>
        <v>0</v>
      </c>
      <c r="R136" s="106">
        <f>VLOOKUP(L136,[2]TDSheet!B$10:E$436,4,FALSE)</f>
        <v>1</v>
      </c>
    </row>
    <row r="137" spans="1:18" ht="15.6" x14ac:dyDescent="0.3">
      <c r="A137" s="53"/>
      <c r="B137" s="54"/>
      <c r="C137" s="54"/>
      <c r="D137" s="54"/>
      <c r="E137" s="55"/>
      <c r="F137" s="75"/>
      <c r="G137" s="76"/>
      <c r="H137" s="76"/>
      <c r="I137" s="48"/>
      <c r="J137" s="70"/>
      <c r="K137" s="70"/>
      <c r="L137" s="58">
        <v>345</v>
      </c>
      <c r="M137" s="56" t="s">
        <v>396</v>
      </c>
      <c r="N137" s="50" t="s">
        <v>34</v>
      </c>
      <c r="O137" s="56">
        <v>2</v>
      </c>
      <c r="P137" s="92">
        <f>VLOOKUP(L137,[1]TDSheet!B$10:E$365,4,FALSE)</f>
        <v>58</v>
      </c>
      <c r="Q137" s="92">
        <f t="shared" si="1"/>
        <v>56</v>
      </c>
      <c r="R137" s="106" t="e">
        <f>VLOOKUP(L137,[2]TDSheet!B$10:E$436,4,FALSE)</f>
        <v>#N/A</v>
      </c>
    </row>
    <row r="138" spans="1:18" ht="15.6" x14ac:dyDescent="0.3">
      <c r="A138" s="53"/>
      <c r="B138" s="54"/>
      <c r="C138" s="54"/>
      <c r="D138" s="54"/>
      <c r="E138" s="55"/>
      <c r="F138" s="75"/>
      <c r="G138" s="76"/>
      <c r="H138" s="76"/>
      <c r="I138" s="48"/>
      <c r="J138" s="70"/>
      <c r="K138" s="70"/>
      <c r="L138" s="58">
        <v>107</v>
      </c>
      <c r="M138" s="56" t="s">
        <v>397</v>
      </c>
      <c r="N138" s="50" t="s">
        <v>34</v>
      </c>
      <c r="O138" s="56">
        <v>2</v>
      </c>
      <c r="P138" s="92">
        <f>VLOOKUP(L138,[1]TDSheet!B$10:E$365,4,FALSE)</f>
        <v>5</v>
      </c>
      <c r="Q138" s="92">
        <f t="shared" si="1"/>
        <v>3</v>
      </c>
      <c r="R138" s="106" t="e">
        <f>VLOOKUP(L138,[2]TDSheet!B$10:E$436,4,FALSE)</f>
        <v>#N/A</v>
      </c>
    </row>
    <row r="139" spans="1:18" ht="15.6" x14ac:dyDescent="0.3">
      <c r="A139" s="53"/>
      <c r="B139" s="54"/>
      <c r="C139" s="54"/>
      <c r="D139" s="54"/>
      <c r="E139" s="55"/>
      <c r="F139" s="75"/>
      <c r="G139" s="76"/>
      <c r="H139" s="76"/>
      <c r="I139" s="48"/>
      <c r="J139" s="70"/>
      <c r="K139" s="70"/>
      <c r="L139" s="93" t="s">
        <v>59</v>
      </c>
      <c r="M139" s="56" t="s">
        <v>90</v>
      </c>
      <c r="N139" s="50" t="s">
        <v>34</v>
      </c>
      <c r="O139" s="56">
        <v>3</v>
      </c>
      <c r="P139" s="92" t="e">
        <f>VLOOKUP(L139,[1]TDSheet!B$10:E$365,4,FALSE)</f>
        <v>#N/A</v>
      </c>
      <c r="Q139" s="92" t="e">
        <f t="shared" si="1"/>
        <v>#N/A</v>
      </c>
      <c r="R139" s="106" t="e">
        <f>VLOOKUP(L139,[2]TDSheet!B$10:E$436,4,FALSE)</f>
        <v>#N/A</v>
      </c>
    </row>
    <row r="140" spans="1:18" ht="15.6" x14ac:dyDescent="0.3">
      <c r="A140" s="53"/>
      <c r="B140" s="54"/>
      <c r="C140" s="54"/>
      <c r="D140" s="54"/>
      <c r="E140" s="55"/>
      <c r="F140" s="75"/>
      <c r="G140" s="76"/>
      <c r="H140" s="76"/>
      <c r="I140" s="48"/>
      <c r="J140" s="70"/>
      <c r="K140" s="70"/>
      <c r="L140" s="93">
        <v>21807</v>
      </c>
      <c r="M140" s="56" t="s">
        <v>398</v>
      </c>
      <c r="N140" s="50" t="s">
        <v>34</v>
      </c>
      <c r="O140" s="56">
        <v>5</v>
      </c>
      <c r="P140" s="92" t="e">
        <f>VLOOKUP(L140,[1]TDSheet!B$10:E$365,4,FALSE)</f>
        <v>#N/A</v>
      </c>
      <c r="Q140" s="92" t="e">
        <f t="shared" si="1"/>
        <v>#N/A</v>
      </c>
      <c r="R140" s="106" t="e">
        <f>VLOOKUP(L140,[2]TDSheet!B$10:E$436,4,FALSE)</f>
        <v>#N/A</v>
      </c>
    </row>
    <row r="141" spans="1:18" ht="15.6" x14ac:dyDescent="0.3">
      <c r="A141" s="53"/>
      <c r="B141" s="54"/>
      <c r="C141" s="54"/>
      <c r="D141" s="54"/>
      <c r="E141" s="55"/>
      <c r="F141" s="75"/>
      <c r="G141" s="76"/>
      <c r="H141" s="76"/>
      <c r="I141" s="48"/>
      <c r="J141" s="70"/>
      <c r="K141" s="70"/>
      <c r="L141" s="58">
        <v>16131</v>
      </c>
      <c r="M141" s="56" t="s">
        <v>399</v>
      </c>
      <c r="N141" s="50" t="s">
        <v>34</v>
      </c>
      <c r="O141" s="56">
        <v>3</v>
      </c>
      <c r="P141" s="92">
        <f>VLOOKUP(L141,[1]TDSheet!B$10:E$365,4,FALSE)</f>
        <v>12</v>
      </c>
      <c r="Q141" s="92">
        <f t="shared" si="1"/>
        <v>9</v>
      </c>
      <c r="R141" s="106" t="e">
        <f>VLOOKUP(L141,[2]TDSheet!B$10:E$436,4,FALSE)</f>
        <v>#N/A</v>
      </c>
    </row>
    <row r="142" spans="1:18" ht="15.6" x14ac:dyDescent="0.3">
      <c r="A142" s="53"/>
      <c r="B142" s="54"/>
      <c r="C142" s="54"/>
      <c r="D142" s="54"/>
      <c r="E142" s="55"/>
      <c r="F142" s="75"/>
      <c r="G142" s="76"/>
      <c r="H142" s="76"/>
      <c r="I142" s="48"/>
      <c r="J142" s="70"/>
      <c r="K142" s="70"/>
      <c r="L142" s="58" t="s">
        <v>196</v>
      </c>
      <c r="M142" s="56" t="s">
        <v>197</v>
      </c>
      <c r="N142" s="50" t="s">
        <v>34</v>
      </c>
      <c r="O142" s="56">
        <v>4</v>
      </c>
      <c r="P142" s="92">
        <f>VLOOKUP(L142,[1]TDSheet!B$10:E$365,4,FALSE)</f>
        <v>11</v>
      </c>
      <c r="Q142" s="92">
        <f t="shared" si="1"/>
        <v>7</v>
      </c>
      <c r="R142" s="106">
        <f>VLOOKUP(L142,[2]TDSheet!B$10:E$436,4,FALSE)</f>
        <v>11</v>
      </c>
    </row>
    <row r="143" spans="1:18" ht="15.6" x14ac:dyDescent="0.3">
      <c r="A143" s="53"/>
      <c r="B143" s="54"/>
      <c r="C143" s="54"/>
      <c r="D143" s="54"/>
      <c r="E143" s="55"/>
      <c r="F143" s="75"/>
      <c r="G143" s="76"/>
      <c r="H143" s="76"/>
      <c r="I143" s="48"/>
      <c r="J143" s="70"/>
      <c r="K143" s="70"/>
      <c r="L143" s="58" t="s">
        <v>400</v>
      </c>
      <c r="M143" s="56" t="s">
        <v>401</v>
      </c>
      <c r="N143" s="50" t="s">
        <v>34</v>
      </c>
      <c r="O143" s="56">
        <v>1</v>
      </c>
      <c r="P143" s="92">
        <f>VLOOKUP(L143,[1]TDSheet!B$10:E$365,4,FALSE)</f>
        <v>4</v>
      </c>
      <c r="Q143" s="92">
        <f t="shared" si="1"/>
        <v>3</v>
      </c>
      <c r="R143" s="106">
        <f>VLOOKUP(L143,[2]TDSheet!B$10:E$436,4,FALSE)</f>
        <v>4</v>
      </c>
    </row>
    <row r="144" spans="1:18" ht="15.6" x14ac:dyDescent="0.3">
      <c r="A144" s="53"/>
      <c r="B144" s="54"/>
      <c r="C144" s="54"/>
      <c r="D144" s="54"/>
      <c r="E144" s="55"/>
      <c r="F144" s="75"/>
      <c r="G144" s="76"/>
      <c r="H144" s="76"/>
      <c r="I144" s="48"/>
      <c r="J144" s="70"/>
      <c r="K144" s="70"/>
      <c r="L144" s="94">
        <v>22343</v>
      </c>
      <c r="M144" s="56" t="s">
        <v>92</v>
      </c>
      <c r="N144" s="50" t="s">
        <v>68</v>
      </c>
      <c r="O144" s="56">
        <v>255</v>
      </c>
      <c r="P144" s="92">
        <f>VLOOKUP(L144,[1]TDSheet!B$10:E$365,4,FALSE)</f>
        <v>49</v>
      </c>
      <c r="Q144" s="92">
        <f t="shared" si="1"/>
        <v>-206</v>
      </c>
      <c r="R144" s="106" t="e">
        <f>VLOOKUP(L144,[2]TDSheet!B$10:E$436,4,FALSE)</f>
        <v>#N/A</v>
      </c>
    </row>
    <row r="145" spans="1:18" ht="15.6" x14ac:dyDescent="0.3">
      <c r="A145" s="53"/>
      <c r="B145" s="54"/>
      <c r="C145" s="54"/>
      <c r="D145" s="54"/>
      <c r="E145" s="55"/>
      <c r="F145" s="75"/>
      <c r="G145" s="76"/>
      <c r="H145" s="76"/>
      <c r="I145" s="48"/>
      <c r="J145" s="70"/>
      <c r="K145" s="70"/>
      <c r="L145" s="58">
        <v>19330</v>
      </c>
      <c r="M145" s="56" t="s">
        <v>402</v>
      </c>
      <c r="N145" s="50" t="s">
        <v>34</v>
      </c>
      <c r="O145" s="56">
        <v>2</v>
      </c>
      <c r="P145" s="92">
        <f>VLOOKUP(L145,[1]TDSheet!B$10:E$365,4,FALSE)</f>
        <v>8</v>
      </c>
      <c r="Q145" s="92">
        <f t="shared" si="1"/>
        <v>6</v>
      </c>
      <c r="R145" s="106" t="e">
        <f>VLOOKUP(L145,[2]TDSheet!B$10:E$436,4,FALSE)</f>
        <v>#N/A</v>
      </c>
    </row>
    <row r="146" spans="1:18" ht="15.6" x14ac:dyDescent="0.3">
      <c r="A146" s="53"/>
      <c r="B146" s="54"/>
      <c r="C146" s="54"/>
      <c r="D146" s="54"/>
      <c r="E146" s="55"/>
      <c r="F146" s="75"/>
      <c r="G146" s="76"/>
      <c r="H146" s="76"/>
      <c r="I146" s="48"/>
      <c r="J146" s="70"/>
      <c r="K146" s="70"/>
      <c r="L146" s="58" t="s">
        <v>403</v>
      </c>
      <c r="M146" s="56" t="s">
        <v>404</v>
      </c>
      <c r="N146" s="50" t="s">
        <v>34</v>
      </c>
      <c r="O146" s="56">
        <v>2</v>
      </c>
      <c r="P146" s="92">
        <f>VLOOKUP(L146,[1]TDSheet!B$10:E$365,4,FALSE)</f>
        <v>8</v>
      </c>
      <c r="Q146" s="92">
        <f t="shared" si="1"/>
        <v>6</v>
      </c>
      <c r="R146" s="106">
        <f>VLOOKUP(L146,[2]TDSheet!B$10:E$436,4,FALSE)</f>
        <v>8</v>
      </c>
    </row>
    <row r="147" spans="1:18" ht="15.6" x14ac:dyDescent="0.3">
      <c r="A147" s="53"/>
      <c r="B147" s="54"/>
      <c r="C147" s="54"/>
      <c r="D147" s="54"/>
      <c r="E147" s="55"/>
      <c r="F147" s="75"/>
      <c r="G147" s="76"/>
      <c r="H147" s="76"/>
      <c r="I147" s="48"/>
      <c r="J147" s="70"/>
      <c r="K147" s="70"/>
      <c r="L147" s="58" t="s">
        <v>198</v>
      </c>
      <c r="M147" s="56" t="s">
        <v>199</v>
      </c>
      <c r="N147" s="50" t="s">
        <v>34</v>
      </c>
      <c r="O147" s="56">
        <v>2</v>
      </c>
      <c r="P147" s="92">
        <f>VLOOKUP(L147,[1]TDSheet!B$10:E$365,4,FALSE)</f>
        <v>3</v>
      </c>
      <c r="Q147" s="92">
        <f t="shared" si="1"/>
        <v>1</v>
      </c>
      <c r="R147" s="106">
        <f>VLOOKUP(L147,[2]TDSheet!B$10:E$436,4,FALSE)</f>
        <v>3</v>
      </c>
    </row>
    <row r="148" spans="1:18" ht="15.6" x14ac:dyDescent="0.3">
      <c r="A148" s="53"/>
      <c r="B148" s="54"/>
      <c r="C148" s="54"/>
      <c r="D148" s="54"/>
      <c r="E148" s="55"/>
      <c r="F148" s="75"/>
      <c r="G148" s="76"/>
      <c r="H148" s="76"/>
      <c r="I148" s="48"/>
      <c r="J148" s="70"/>
      <c r="K148" s="70"/>
      <c r="L148" s="58" t="s">
        <v>200</v>
      </c>
      <c r="M148" s="56" t="s">
        <v>201</v>
      </c>
      <c r="N148" s="50" t="s">
        <v>34</v>
      </c>
      <c r="O148" s="56">
        <v>2</v>
      </c>
      <c r="P148" s="92">
        <f>VLOOKUP(L148,[1]TDSheet!B$10:E$365,4,FALSE)</f>
        <v>3</v>
      </c>
      <c r="Q148" s="92">
        <f t="shared" ref="Q148:Q212" si="2">P148-O148</f>
        <v>1</v>
      </c>
      <c r="R148" s="106">
        <f>VLOOKUP(L148,[2]TDSheet!B$10:E$436,4,FALSE)</f>
        <v>3</v>
      </c>
    </row>
    <row r="149" spans="1:18" ht="15.6" x14ac:dyDescent="0.3">
      <c r="A149" s="53"/>
      <c r="B149" s="54"/>
      <c r="C149" s="54"/>
      <c r="D149" s="54"/>
      <c r="E149" s="55"/>
      <c r="F149" s="75"/>
      <c r="G149" s="76"/>
      <c r="H149" s="76"/>
      <c r="I149" s="48"/>
      <c r="J149" s="70"/>
      <c r="K149" s="70"/>
      <c r="L149" s="58" t="s">
        <v>405</v>
      </c>
      <c r="M149" s="56" t="s">
        <v>406</v>
      </c>
      <c r="N149" s="50" t="s">
        <v>34</v>
      </c>
      <c r="O149" s="56">
        <v>2</v>
      </c>
      <c r="P149" s="92">
        <f>VLOOKUP(L149,[1]TDSheet!B$10:E$365,4,FALSE)</f>
        <v>8</v>
      </c>
      <c r="Q149" s="92">
        <f t="shared" si="2"/>
        <v>6</v>
      </c>
      <c r="R149" s="106">
        <f>VLOOKUP(L149,[2]TDSheet!B$10:E$436,4,FALSE)</f>
        <v>8</v>
      </c>
    </row>
    <row r="150" spans="1:18" ht="15.6" x14ac:dyDescent="0.3">
      <c r="A150" s="53"/>
      <c r="B150" s="54"/>
      <c r="C150" s="54"/>
      <c r="D150" s="54"/>
      <c r="E150" s="55"/>
      <c r="F150" s="75"/>
      <c r="G150" s="76"/>
      <c r="H150" s="76"/>
      <c r="I150" s="48"/>
      <c r="J150" s="70"/>
      <c r="K150" s="70"/>
      <c r="L150" s="58" t="s">
        <v>202</v>
      </c>
      <c r="M150" s="56" t="s">
        <v>203</v>
      </c>
      <c r="N150" s="50" t="s">
        <v>34</v>
      </c>
      <c r="O150" s="56">
        <v>3</v>
      </c>
      <c r="P150" s="92">
        <f>VLOOKUP(L150,[1]TDSheet!B$10:E$365,4,FALSE)</f>
        <v>7</v>
      </c>
      <c r="Q150" s="92">
        <f t="shared" si="2"/>
        <v>4</v>
      </c>
      <c r="R150" s="106">
        <f>VLOOKUP(L150,[2]TDSheet!B$10:E$436,4,FALSE)</f>
        <v>7</v>
      </c>
    </row>
    <row r="151" spans="1:18" ht="15.6" x14ac:dyDescent="0.3">
      <c r="A151" s="53"/>
      <c r="B151" s="54"/>
      <c r="C151" s="54"/>
      <c r="D151" s="54"/>
      <c r="E151" s="55"/>
      <c r="F151" s="75"/>
      <c r="G151" s="76"/>
      <c r="H151" s="76"/>
      <c r="I151" s="48"/>
      <c r="J151" s="70"/>
      <c r="K151" s="70"/>
      <c r="L151" s="58">
        <v>85</v>
      </c>
      <c r="M151" s="56" t="s">
        <v>407</v>
      </c>
      <c r="N151" s="50" t="s">
        <v>34</v>
      </c>
      <c r="O151" s="56">
        <v>2</v>
      </c>
      <c r="P151" s="92">
        <f>VLOOKUP(L151,[1]TDSheet!B$10:E$365,4,FALSE)</f>
        <v>8</v>
      </c>
      <c r="Q151" s="92">
        <f t="shared" si="2"/>
        <v>6</v>
      </c>
      <c r="R151" s="106" t="e">
        <f>VLOOKUP(L151,[2]TDSheet!B$10:E$436,4,FALSE)</f>
        <v>#N/A</v>
      </c>
    </row>
    <row r="152" spans="1:18" ht="15.6" x14ac:dyDescent="0.3">
      <c r="A152" s="53"/>
      <c r="B152" s="54"/>
      <c r="C152" s="54"/>
      <c r="D152" s="54"/>
      <c r="E152" s="55"/>
      <c r="F152" s="75"/>
      <c r="G152" s="76"/>
      <c r="H152" s="76"/>
      <c r="I152" s="48"/>
      <c r="J152" s="70"/>
      <c r="K152" s="70"/>
      <c r="L152" s="58">
        <v>477</v>
      </c>
      <c r="M152" s="56" t="s">
        <v>93</v>
      </c>
      <c r="N152" s="50" t="s">
        <v>34</v>
      </c>
      <c r="O152" s="56">
        <v>18</v>
      </c>
      <c r="P152" s="92">
        <f>VLOOKUP(L152,[1]TDSheet!B$10:E$365,4,FALSE)</f>
        <v>20</v>
      </c>
      <c r="Q152" s="92">
        <f t="shared" si="2"/>
        <v>2</v>
      </c>
      <c r="R152" s="106" t="e">
        <f>VLOOKUP(L152,[2]TDSheet!B$10:E$436,4,FALSE)</f>
        <v>#N/A</v>
      </c>
    </row>
    <row r="153" spans="1:18" ht="15.6" x14ac:dyDescent="0.3">
      <c r="A153" s="53"/>
      <c r="B153" s="54"/>
      <c r="C153" s="54"/>
      <c r="D153" s="54"/>
      <c r="E153" s="55"/>
      <c r="F153" s="75"/>
      <c r="G153" s="76"/>
      <c r="H153" s="76"/>
      <c r="I153" s="48"/>
      <c r="J153" s="70"/>
      <c r="K153" s="70"/>
      <c r="L153" s="58" t="s">
        <v>408</v>
      </c>
      <c r="M153" s="56" t="s">
        <v>409</v>
      </c>
      <c r="N153" s="50" t="s">
        <v>34</v>
      </c>
      <c r="O153" s="56">
        <v>12</v>
      </c>
      <c r="P153" s="92">
        <f>VLOOKUP(L153,[1]TDSheet!B$10:E$365,4,FALSE)</f>
        <v>8</v>
      </c>
      <c r="Q153" s="92">
        <f t="shared" si="2"/>
        <v>-4</v>
      </c>
      <c r="R153" s="106">
        <f>VLOOKUP(L153,[2]TDSheet!B$10:E$436,4,FALSE)</f>
        <v>8</v>
      </c>
    </row>
    <row r="154" spans="1:18" ht="15.6" x14ac:dyDescent="0.3">
      <c r="A154" s="53"/>
      <c r="B154" s="54"/>
      <c r="C154" s="54"/>
      <c r="D154" s="54"/>
      <c r="E154" s="55"/>
      <c r="F154" s="75"/>
      <c r="G154" s="76"/>
      <c r="H154" s="76"/>
      <c r="I154" s="48"/>
      <c r="J154" s="70"/>
      <c r="K154" s="70"/>
      <c r="L154" s="58">
        <v>10992</v>
      </c>
      <c r="M154" s="56" t="s">
        <v>410</v>
      </c>
      <c r="N154" s="50" t="s">
        <v>34</v>
      </c>
      <c r="O154" s="56">
        <v>12</v>
      </c>
      <c r="P154" s="92">
        <f>VLOOKUP(L154,[1]TDSheet!B$10:E$365,4,FALSE)</f>
        <v>14</v>
      </c>
      <c r="Q154" s="92">
        <f t="shared" si="2"/>
        <v>2</v>
      </c>
      <c r="R154" s="106" t="e">
        <f>VLOOKUP(L154,[2]TDSheet!B$10:E$436,4,FALSE)</f>
        <v>#N/A</v>
      </c>
    </row>
    <row r="155" spans="1:18" ht="15.6" x14ac:dyDescent="0.3">
      <c r="A155" s="53"/>
      <c r="B155" s="54"/>
      <c r="C155" s="54"/>
      <c r="D155" s="54"/>
      <c r="E155" s="55"/>
      <c r="F155" s="75"/>
      <c r="G155" s="76"/>
      <c r="H155" s="76"/>
      <c r="I155" s="48"/>
      <c r="J155" s="70"/>
      <c r="K155" s="70"/>
      <c r="L155" s="93" t="s">
        <v>44</v>
      </c>
      <c r="M155" s="56" t="s">
        <v>94</v>
      </c>
      <c r="N155" s="50" t="s">
        <v>34</v>
      </c>
      <c r="O155" s="56">
        <v>134</v>
      </c>
      <c r="P155" s="92" t="e">
        <f>VLOOKUP(L155,[1]TDSheet!B$10:E$365,4,FALSE)</f>
        <v>#N/A</v>
      </c>
      <c r="Q155" s="92" t="e">
        <f t="shared" si="2"/>
        <v>#N/A</v>
      </c>
      <c r="R155" s="106" t="e">
        <f>VLOOKUP(L155,[2]TDSheet!B$10:E$436,4,FALSE)</f>
        <v>#N/A</v>
      </c>
    </row>
    <row r="156" spans="1:18" ht="15.6" x14ac:dyDescent="0.3">
      <c r="A156" s="53"/>
      <c r="B156" s="54"/>
      <c r="C156" s="54"/>
      <c r="D156" s="54"/>
      <c r="E156" s="55"/>
      <c r="F156" s="75"/>
      <c r="G156" s="76"/>
      <c r="H156" s="76"/>
      <c r="I156" s="48"/>
      <c r="J156" s="70"/>
      <c r="K156" s="70"/>
      <c r="L156" s="93"/>
      <c r="M156" s="56" t="s">
        <v>520</v>
      </c>
      <c r="N156" s="50" t="s">
        <v>34</v>
      </c>
      <c r="O156" s="56">
        <v>146</v>
      </c>
      <c r="P156" s="92"/>
      <c r="Q156" s="92">
        <f t="shared" si="2"/>
        <v>-146</v>
      </c>
      <c r="R156" s="106" t="e">
        <f>VLOOKUP(L156,[2]TDSheet!B$10:E$436,4,FALSE)</f>
        <v>#N/A</v>
      </c>
    </row>
    <row r="157" spans="1:18" ht="15.6" x14ac:dyDescent="0.3">
      <c r="A157" s="53"/>
      <c r="B157" s="54"/>
      <c r="C157" s="54"/>
      <c r="D157" s="54"/>
      <c r="E157" s="55"/>
      <c r="F157" s="75"/>
      <c r="G157" s="76"/>
      <c r="H157" s="76"/>
      <c r="I157" s="48"/>
      <c r="J157" s="70"/>
      <c r="K157" s="70"/>
      <c r="L157" s="58" t="s">
        <v>411</v>
      </c>
      <c r="M157" s="56" t="s">
        <v>412</v>
      </c>
      <c r="N157" s="50" t="s">
        <v>34</v>
      </c>
      <c r="O157" s="56">
        <v>2</v>
      </c>
      <c r="P157" s="92">
        <f>VLOOKUP(L157,[1]TDSheet!B$10:E$365,4,FALSE)</f>
        <v>4</v>
      </c>
      <c r="Q157" s="92">
        <f t="shared" si="2"/>
        <v>2</v>
      </c>
      <c r="R157" s="106">
        <f>VLOOKUP(L157,[2]TDSheet!B$10:E$436,4,FALSE)</f>
        <v>850</v>
      </c>
    </row>
    <row r="158" spans="1:18" ht="15.6" x14ac:dyDescent="0.3">
      <c r="A158" s="53"/>
      <c r="B158" s="54"/>
      <c r="C158" s="54"/>
      <c r="D158" s="54"/>
      <c r="E158" s="55"/>
      <c r="F158" s="75"/>
      <c r="G158" s="76"/>
      <c r="H158" s="76"/>
      <c r="I158" s="48"/>
      <c r="J158" s="70"/>
      <c r="K158" s="70"/>
      <c r="L158" s="58" t="s">
        <v>204</v>
      </c>
      <c r="M158" s="56" t="s">
        <v>205</v>
      </c>
      <c r="N158" s="50" t="s">
        <v>34</v>
      </c>
      <c r="O158" s="56">
        <v>12</v>
      </c>
      <c r="P158" s="92">
        <f>VLOOKUP(L158,[1]TDSheet!B$10:E$365,4,FALSE)</f>
        <v>24</v>
      </c>
      <c r="Q158" s="92">
        <f t="shared" si="2"/>
        <v>12</v>
      </c>
      <c r="R158" s="106">
        <f>VLOOKUP(L158,[2]TDSheet!B$10:E$436,4,FALSE)</f>
        <v>24</v>
      </c>
    </row>
    <row r="159" spans="1:18" ht="15.6" x14ac:dyDescent="0.3">
      <c r="A159" s="53"/>
      <c r="B159" s="54"/>
      <c r="C159" s="54"/>
      <c r="D159" s="54"/>
      <c r="E159" s="55"/>
      <c r="F159" s="75"/>
      <c r="G159" s="76"/>
      <c r="H159" s="76"/>
      <c r="I159" s="48"/>
      <c r="J159" s="70"/>
      <c r="K159" s="70"/>
      <c r="L159" s="93">
        <v>3726</v>
      </c>
      <c r="M159" s="56" t="s">
        <v>413</v>
      </c>
      <c r="N159" s="50" t="s">
        <v>34</v>
      </c>
      <c r="O159" s="91">
        <v>12</v>
      </c>
      <c r="P159" s="92" t="e">
        <f>VLOOKUP(L159,[1]TDSheet!B$10:E$365,4,FALSE)</f>
        <v>#N/A</v>
      </c>
      <c r="Q159" s="92" t="e">
        <f t="shared" si="2"/>
        <v>#N/A</v>
      </c>
      <c r="R159" s="106" t="e">
        <f>VLOOKUP(L159,[2]TDSheet!B$10:E$436,4,FALSE)</f>
        <v>#N/A</v>
      </c>
    </row>
    <row r="160" spans="1:18" ht="15.6" x14ac:dyDescent="0.3">
      <c r="A160" s="53"/>
      <c r="B160" s="54"/>
      <c r="C160" s="54"/>
      <c r="D160" s="54"/>
      <c r="E160" s="55"/>
      <c r="F160" s="75"/>
      <c r="G160" s="76"/>
      <c r="H160" s="76"/>
      <c r="I160" s="48"/>
      <c r="J160" s="70"/>
      <c r="K160" s="70"/>
      <c r="L160" s="93"/>
      <c r="M160" s="56" t="s">
        <v>206</v>
      </c>
      <c r="N160" s="50" t="s">
        <v>34</v>
      </c>
      <c r="O160" s="91">
        <v>72</v>
      </c>
      <c r="P160" s="92" t="e">
        <f>VLOOKUP(L160,[1]TDSheet!B$10:E$365,4,FALSE)</f>
        <v>#N/A</v>
      </c>
      <c r="Q160" s="92" t="e">
        <f t="shared" si="2"/>
        <v>#N/A</v>
      </c>
      <c r="R160" s="106" t="e">
        <f>VLOOKUP(L160,[2]TDSheet!B$10:E$436,4,FALSE)</f>
        <v>#N/A</v>
      </c>
    </row>
    <row r="161" spans="1:18" ht="15.6" x14ac:dyDescent="0.3">
      <c r="A161" s="53"/>
      <c r="B161" s="54"/>
      <c r="C161" s="54"/>
      <c r="D161" s="54"/>
      <c r="E161" s="55"/>
      <c r="F161" s="75"/>
      <c r="G161" s="76"/>
      <c r="H161" s="76"/>
      <c r="I161" s="48"/>
      <c r="J161" s="70"/>
      <c r="K161" s="70"/>
      <c r="L161" s="94" t="s">
        <v>184</v>
      </c>
      <c r="M161" s="56" t="s">
        <v>516</v>
      </c>
      <c r="N161" s="50" t="s">
        <v>34</v>
      </c>
      <c r="O161" s="91">
        <v>4</v>
      </c>
      <c r="P161" s="92">
        <f>VLOOKUP(L161,[1]TDSheet!B$10:E$365,4,FALSE)</f>
        <v>3</v>
      </c>
      <c r="Q161" s="92">
        <f t="shared" si="2"/>
        <v>-1</v>
      </c>
      <c r="R161" s="106">
        <f>VLOOKUP(L161,[2]TDSheet!B$10:E$436,4,FALSE)</f>
        <v>3</v>
      </c>
    </row>
    <row r="162" spans="1:18" ht="15.6" x14ac:dyDescent="0.3">
      <c r="A162" s="53"/>
      <c r="B162" s="54"/>
      <c r="C162" s="54"/>
      <c r="D162" s="54"/>
      <c r="E162" s="55"/>
      <c r="F162" s="75"/>
      <c r="G162" s="76"/>
      <c r="H162" s="76"/>
      <c r="I162" s="48"/>
      <c r="J162" s="70"/>
      <c r="K162" s="70"/>
      <c r="L162" s="93"/>
      <c r="M162" s="56" t="s">
        <v>517</v>
      </c>
      <c r="N162" s="50" t="s">
        <v>34</v>
      </c>
      <c r="O162" s="91">
        <v>3</v>
      </c>
      <c r="P162" s="92" t="e">
        <f>VLOOKUP(L162,[1]TDSheet!B$10:E$365,4,FALSE)</f>
        <v>#N/A</v>
      </c>
      <c r="Q162" s="92" t="e">
        <f t="shared" si="2"/>
        <v>#N/A</v>
      </c>
      <c r="R162" s="106" t="e">
        <f>VLOOKUP(L162,[2]TDSheet!B$10:E$436,4,FALSE)</f>
        <v>#N/A</v>
      </c>
    </row>
    <row r="163" spans="1:18" ht="15.6" x14ac:dyDescent="0.3">
      <c r="A163" s="53"/>
      <c r="B163" s="54"/>
      <c r="C163" s="54"/>
      <c r="D163" s="54"/>
      <c r="E163" s="55"/>
      <c r="F163" s="75"/>
      <c r="G163" s="76"/>
      <c r="H163" s="76"/>
      <c r="I163" s="48"/>
      <c r="J163" s="70"/>
      <c r="K163" s="70"/>
      <c r="L163" s="93"/>
      <c r="M163" s="56" t="s">
        <v>512</v>
      </c>
      <c r="N163" s="50" t="s">
        <v>45</v>
      </c>
      <c r="O163" s="91">
        <v>270</v>
      </c>
      <c r="P163" s="92" t="e">
        <f>VLOOKUP(L163,[1]TDSheet!B$10:E$365,4,FALSE)</f>
        <v>#N/A</v>
      </c>
      <c r="Q163" s="92" t="e">
        <f t="shared" si="2"/>
        <v>#N/A</v>
      </c>
      <c r="R163" s="106" t="e">
        <f>VLOOKUP(L163,[2]TDSheet!B$10:E$436,4,FALSE)</f>
        <v>#N/A</v>
      </c>
    </row>
    <row r="164" spans="1:18" ht="15.6" x14ac:dyDescent="0.3">
      <c r="A164" s="53"/>
      <c r="B164" s="54"/>
      <c r="C164" s="54"/>
      <c r="D164" s="54"/>
      <c r="E164" s="55"/>
      <c r="F164" s="75"/>
      <c r="G164" s="76"/>
      <c r="H164" s="76"/>
      <c r="I164" s="48"/>
      <c r="J164" s="70"/>
      <c r="K164" s="70"/>
      <c r="L164" s="58" t="s">
        <v>414</v>
      </c>
      <c r="M164" s="56" t="s">
        <v>415</v>
      </c>
      <c r="N164" s="50" t="s">
        <v>37</v>
      </c>
      <c r="O164" s="56">
        <v>95</v>
      </c>
      <c r="P164" s="92">
        <f>VLOOKUP(L164,[1]TDSheet!B$10:E$365,4,FALSE)</f>
        <v>95</v>
      </c>
      <c r="Q164" s="92">
        <f t="shared" si="2"/>
        <v>0</v>
      </c>
      <c r="R164" s="106">
        <f>VLOOKUP(L164,[2]TDSheet!B$10:E$436,4,FALSE)</f>
        <v>95</v>
      </c>
    </row>
    <row r="165" spans="1:18" ht="15.6" x14ac:dyDescent="0.3">
      <c r="A165" s="53"/>
      <c r="B165" s="54"/>
      <c r="C165" s="54"/>
      <c r="D165" s="54"/>
      <c r="E165" s="55"/>
      <c r="F165" s="75"/>
      <c r="G165" s="76"/>
      <c r="H165" s="76"/>
      <c r="I165" s="48"/>
      <c r="J165" s="70"/>
      <c r="K165" s="70"/>
      <c r="L165" s="93" t="s">
        <v>207</v>
      </c>
      <c r="M165" s="56" t="s">
        <v>513</v>
      </c>
      <c r="N165" s="50" t="s">
        <v>68</v>
      </c>
      <c r="O165" s="56">
        <v>110</v>
      </c>
      <c r="P165" s="92">
        <f>VLOOKUP(L165,[1]TDSheet!B$10:E$365,4,FALSE)</f>
        <v>-110</v>
      </c>
      <c r="Q165" s="92">
        <f t="shared" si="2"/>
        <v>-220</v>
      </c>
      <c r="R165" s="106">
        <f>VLOOKUP(L165,[2]TDSheet!B$10:E$436,4,FALSE)</f>
        <v>120</v>
      </c>
    </row>
    <row r="166" spans="1:18" ht="15.6" x14ac:dyDescent="0.3">
      <c r="A166" s="53"/>
      <c r="B166" s="54"/>
      <c r="C166" s="54"/>
      <c r="D166" s="54"/>
      <c r="E166" s="55"/>
      <c r="F166" s="75"/>
      <c r="G166" s="76"/>
      <c r="H166" s="76"/>
      <c r="I166" s="48"/>
      <c r="J166" s="70"/>
      <c r="K166" s="70"/>
      <c r="L166" s="58" t="s">
        <v>208</v>
      </c>
      <c r="M166" s="56" t="s">
        <v>209</v>
      </c>
      <c r="N166" s="50" t="s">
        <v>34</v>
      </c>
      <c r="O166" s="56">
        <v>9</v>
      </c>
      <c r="P166" s="92">
        <f>VLOOKUP(L166,[1]TDSheet!B$10:E$365,4,FALSE)</f>
        <v>16</v>
      </c>
      <c r="Q166" s="92">
        <f t="shared" si="2"/>
        <v>7</v>
      </c>
      <c r="R166" s="106">
        <f>VLOOKUP(L166,[2]TDSheet!B$10:E$436,4,FALSE)</f>
        <v>16</v>
      </c>
    </row>
    <row r="167" spans="1:18" ht="15.6" x14ac:dyDescent="0.3">
      <c r="A167" s="53"/>
      <c r="B167" s="54"/>
      <c r="C167" s="54"/>
      <c r="D167" s="54"/>
      <c r="E167" s="55"/>
      <c r="F167" s="75"/>
      <c r="G167" s="76"/>
      <c r="H167" s="76"/>
      <c r="I167" s="48"/>
      <c r="J167" s="70"/>
      <c r="K167" s="70"/>
      <c r="L167" s="58" t="s">
        <v>416</v>
      </c>
      <c r="M167" s="56" t="s">
        <v>417</v>
      </c>
      <c r="N167" s="50" t="s">
        <v>34</v>
      </c>
      <c r="O167" s="56">
        <v>1</v>
      </c>
      <c r="P167" s="92">
        <f>VLOOKUP(L167,[1]TDSheet!B$10:E$365,4,FALSE)</f>
        <v>1</v>
      </c>
      <c r="Q167" s="92">
        <f t="shared" si="2"/>
        <v>0</v>
      </c>
      <c r="R167" s="106">
        <f>VLOOKUP(L167,[2]TDSheet!B$10:E$436,4,FALSE)</f>
        <v>1</v>
      </c>
    </row>
    <row r="168" spans="1:18" ht="15.6" x14ac:dyDescent="0.3">
      <c r="A168" s="53"/>
      <c r="B168" s="54"/>
      <c r="C168" s="54"/>
      <c r="D168" s="54"/>
      <c r="E168" s="55"/>
      <c r="F168" s="75"/>
      <c r="G168" s="76"/>
      <c r="H168" s="76"/>
      <c r="I168" s="48"/>
      <c r="J168" s="70"/>
      <c r="K168" s="70"/>
      <c r="L168" s="58" t="s">
        <v>418</v>
      </c>
      <c r="M168" s="56" t="s">
        <v>419</v>
      </c>
      <c r="N168" s="50" t="s">
        <v>34</v>
      </c>
      <c r="O168" s="56">
        <v>1</v>
      </c>
      <c r="P168" s="92">
        <f>VLOOKUP(L168,[1]TDSheet!B$10:E$365,4,FALSE)</f>
        <v>1</v>
      </c>
      <c r="Q168" s="92">
        <f t="shared" si="2"/>
        <v>0</v>
      </c>
      <c r="R168" s="106">
        <f>VLOOKUP(L168,[2]TDSheet!B$10:E$436,4,FALSE)</f>
        <v>1</v>
      </c>
    </row>
    <row r="169" spans="1:18" ht="15.6" x14ac:dyDescent="0.3">
      <c r="A169" s="53"/>
      <c r="B169" s="54"/>
      <c r="C169" s="54"/>
      <c r="D169" s="54"/>
      <c r="E169" s="55"/>
      <c r="F169" s="75"/>
      <c r="G169" s="76"/>
      <c r="H169" s="76"/>
      <c r="I169" s="48"/>
      <c r="J169" s="70"/>
      <c r="K169" s="70"/>
      <c r="L169" s="58" t="s">
        <v>420</v>
      </c>
      <c r="M169" s="56" t="s">
        <v>421</v>
      </c>
      <c r="N169" s="50" t="s">
        <v>37</v>
      </c>
      <c r="O169" s="56">
        <v>20</v>
      </c>
      <c r="P169" s="92">
        <f>VLOOKUP(L169,[1]TDSheet!B$10:E$365,4,FALSE)</f>
        <v>80</v>
      </c>
      <c r="Q169" s="92">
        <f t="shared" si="2"/>
        <v>60</v>
      </c>
      <c r="R169" s="106">
        <f>VLOOKUP(L169,[2]TDSheet!B$10:E$436,4,FALSE)</f>
        <v>80</v>
      </c>
    </row>
    <row r="170" spans="1:18" ht="15.6" x14ac:dyDescent="0.3">
      <c r="A170" s="53"/>
      <c r="B170" s="54"/>
      <c r="C170" s="54"/>
      <c r="D170" s="54"/>
      <c r="E170" s="55"/>
      <c r="F170" s="75"/>
      <c r="G170" s="76"/>
      <c r="H170" s="76"/>
      <c r="I170" s="48"/>
      <c r="J170" s="70"/>
      <c r="K170" s="70"/>
      <c r="L170" s="58" t="s">
        <v>422</v>
      </c>
      <c r="M170" s="56" t="s">
        <v>423</v>
      </c>
      <c r="N170" s="50" t="s">
        <v>34</v>
      </c>
      <c r="O170" s="56">
        <v>2</v>
      </c>
      <c r="P170" s="92">
        <f>VLOOKUP(L170,[1]TDSheet!B$10:E$365,4,FALSE)</f>
        <v>8</v>
      </c>
      <c r="Q170" s="92">
        <f t="shared" si="2"/>
        <v>6</v>
      </c>
      <c r="R170" s="106">
        <f>VLOOKUP(L170,[2]TDSheet!B$10:E$436,4,FALSE)</f>
        <v>8</v>
      </c>
    </row>
    <row r="171" spans="1:18" ht="15.6" x14ac:dyDescent="0.3">
      <c r="A171" s="53"/>
      <c r="B171" s="54"/>
      <c r="C171" s="54"/>
      <c r="D171" s="54"/>
      <c r="E171" s="55"/>
      <c r="F171" s="75"/>
      <c r="G171" s="76"/>
      <c r="H171" s="76"/>
      <c r="I171" s="48"/>
      <c r="J171" s="70"/>
      <c r="K171" s="70"/>
      <c r="L171" s="58" t="s">
        <v>424</v>
      </c>
      <c r="M171" s="56" t="s">
        <v>425</v>
      </c>
      <c r="N171" s="50" t="s">
        <v>34</v>
      </c>
      <c r="O171" s="56">
        <v>2</v>
      </c>
      <c r="P171" s="92">
        <f>VLOOKUP(L171,[1]TDSheet!B$10:E$365,4,FALSE)</f>
        <v>2</v>
      </c>
      <c r="Q171" s="92">
        <f t="shared" si="2"/>
        <v>0</v>
      </c>
      <c r="R171" s="106">
        <f>VLOOKUP(L171,[2]TDSheet!B$10:E$436,4,FALSE)</f>
        <v>2</v>
      </c>
    </row>
    <row r="172" spans="1:18" ht="15.6" x14ac:dyDescent="0.3">
      <c r="A172" s="53"/>
      <c r="B172" s="54"/>
      <c r="C172" s="54"/>
      <c r="D172" s="54"/>
      <c r="E172" s="55"/>
      <c r="F172" s="75"/>
      <c r="G172" s="76"/>
      <c r="H172" s="76"/>
      <c r="I172" s="48"/>
      <c r="J172" s="70"/>
      <c r="K172" s="70"/>
      <c r="L172" s="58" t="s">
        <v>210</v>
      </c>
      <c r="M172" s="56" t="s">
        <v>211</v>
      </c>
      <c r="N172" s="50" t="s">
        <v>34</v>
      </c>
      <c r="O172" s="56">
        <v>7.2</v>
      </c>
      <c r="P172" s="92">
        <f>VLOOKUP(L172,[1]TDSheet!B$10:E$365,4,FALSE)</f>
        <v>30.8</v>
      </c>
      <c r="Q172" s="92">
        <f t="shared" si="2"/>
        <v>23.6</v>
      </c>
      <c r="R172" s="106">
        <f>VLOOKUP(L172,[2]TDSheet!B$10:E$436,4,FALSE)</f>
        <v>30.8</v>
      </c>
    </row>
    <row r="173" spans="1:18" ht="15.6" x14ac:dyDescent="0.3">
      <c r="A173" s="53"/>
      <c r="B173" s="54"/>
      <c r="C173" s="54"/>
      <c r="D173" s="54"/>
      <c r="E173" s="55"/>
      <c r="F173" s="75"/>
      <c r="G173" s="76"/>
      <c r="H173" s="76"/>
      <c r="I173" s="48"/>
      <c r="J173" s="70"/>
      <c r="K173" s="70"/>
      <c r="L173" s="58" t="s">
        <v>426</v>
      </c>
      <c r="M173" s="56" t="s">
        <v>427</v>
      </c>
      <c r="N173" s="50" t="s">
        <v>68</v>
      </c>
      <c r="O173" s="56">
        <v>148.65600000000001</v>
      </c>
      <c r="P173" s="92">
        <f>VLOOKUP(L173,[1]TDSheet!B$10:E$365,4,FALSE)</f>
        <v>502.71600000000001</v>
      </c>
      <c r="Q173" s="92">
        <f t="shared" si="2"/>
        <v>354.06</v>
      </c>
      <c r="R173" s="106">
        <f>VLOOKUP(L173,[2]TDSheet!B$10:E$436,4,FALSE)</f>
        <v>502.71600000000001</v>
      </c>
    </row>
    <row r="174" spans="1:18" ht="15.6" x14ac:dyDescent="0.3">
      <c r="A174" s="53"/>
      <c r="B174" s="54"/>
      <c r="C174" s="54"/>
      <c r="D174" s="54"/>
      <c r="E174" s="55"/>
      <c r="F174" s="75"/>
      <c r="G174" s="76"/>
      <c r="H174" s="76"/>
      <c r="I174" s="48"/>
      <c r="J174" s="70"/>
      <c r="K174" s="70"/>
      <c r="L174" s="58">
        <v>17304</v>
      </c>
      <c r="M174" s="56" t="s">
        <v>428</v>
      </c>
      <c r="N174" s="50" t="s">
        <v>68</v>
      </c>
      <c r="O174" s="56">
        <v>111.60599999999999</v>
      </c>
      <c r="P174" s="92">
        <f>VLOOKUP(L174,[1]TDSheet!B$10:E$365,4,FALSE)</f>
        <v>334.81799999999998</v>
      </c>
      <c r="Q174" s="92">
        <f t="shared" si="2"/>
        <v>223.21199999999999</v>
      </c>
      <c r="R174" s="106" t="e">
        <f>VLOOKUP(L174,[2]TDSheet!B$10:E$436,4,FALSE)</f>
        <v>#N/A</v>
      </c>
    </row>
    <row r="175" spans="1:18" ht="15.6" x14ac:dyDescent="0.3">
      <c r="A175" s="53"/>
      <c r="B175" s="54"/>
      <c r="C175" s="54"/>
      <c r="D175" s="54"/>
      <c r="E175" s="55"/>
      <c r="F175" s="75"/>
      <c r="G175" s="76"/>
      <c r="H175" s="76"/>
      <c r="I175" s="48"/>
      <c r="J175" s="70"/>
      <c r="K175" s="70"/>
      <c r="L175" s="58" t="s">
        <v>429</v>
      </c>
      <c r="M175" s="56" t="s">
        <v>430</v>
      </c>
      <c r="N175" s="50" t="s">
        <v>37</v>
      </c>
      <c r="O175" s="56">
        <v>111</v>
      </c>
      <c r="P175" s="92">
        <f>VLOOKUP(L175,[1]TDSheet!B$10:E$365,4,FALSE)</f>
        <v>195</v>
      </c>
      <c r="Q175" s="92">
        <f t="shared" si="2"/>
        <v>84</v>
      </c>
      <c r="R175" s="106">
        <f>VLOOKUP(L175,[2]TDSheet!B$10:E$436,4,FALSE)</f>
        <v>195</v>
      </c>
    </row>
    <row r="176" spans="1:18" ht="15.6" x14ac:dyDescent="0.3">
      <c r="A176" s="53"/>
      <c r="B176" s="54"/>
      <c r="C176" s="54"/>
      <c r="D176" s="54"/>
      <c r="E176" s="55"/>
      <c r="F176" s="75"/>
      <c r="G176" s="76"/>
      <c r="H176" s="76"/>
      <c r="I176" s="48"/>
      <c r="J176" s="70"/>
      <c r="K176" s="70"/>
      <c r="L176" s="58">
        <v>21862</v>
      </c>
      <c r="M176" s="56" t="s">
        <v>431</v>
      </c>
      <c r="N176" s="50" t="s">
        <v>68</v>
      </c>
      <c r="O176" s="56">
        <v>104.61499999999999</v>
      </c>
      <c r="P176" s="92">
        <f>VLOOKUP(L176,[1]TDSheet!B$10:E$365,4,FALSE)</f>
        <v>409.49299999999999</v>
      </c>
      <c r="Q176" s="92">
        <f t="shared" si="2"/>
        <v>304.87799999999999</v>
      </c>
      <c r="R176" s="106" t="e">
        <f>VLOOKUP(L176,[2]TDSheet!B$10:E$436,4,FALSE)</f>
        <v>#N/A</v>
      </c>
    </row>
    <row r="177" spans="1:18" ht="15.6" x14ac:dyDescent="0.3">
      <c r="A177" s="53"/>
      <c r="B177" s="54"/>
      <c r="C177" s="54"/>
      <c r="D177" s="54"/>
      <c r="E177" s="55"/>
      <c r="F177" s="75"/>
      <c r="G177" s="76"/>
      <c r="H177" s="76"/>
      <c r="I177" s="48"/>
      <c r="J177" s="70"/>
      <c r="K177" s="70"/>
      <c r="L177" s="58" t="s">
        <v>432</v>
      </c>
      <c r="M177" s="56" t="s">
        <v>433</v>
      </c>
      <c r="N177" s="50" t="s">
        <v>34</v>
      </c>
      <c r="O177" s="56">
        <v>4</v>
      </c>
      <c r="P177" s="92">
        <f>VLOOKUP(L177,[1]TDSheet!B$10:E$365,4,FALSE)</f>
        <v>16</v>
      </c>
      <c r="Q177" s="92">
        <f t="shared" si="2"/>
        <v>12</v>
      </c>
      <c r="R177" s="106">
        <f>VLOOKUP(L177,[2]TDSheet!B$10:E$436,4,FALSE)</f>
        <v>16</v>
      </c>
    </row>
    <row r="178" spans="1:18" ht="15.6" x14ac:dyDescent="0.3">
      <c r="A178" s="53"/>
      <c r="B178" s="54"/>
      <c r="C178" s="54"/>
      <c r="D178" s="54"/>
      <c r="E178" s="55"/>
      <c r="F178" s="75"/>
      <c r="G178" s="76"/>
      <c r="H178" s="76"/>
      <c r="I178" s="48"/>
      <c r="J178" s="70"/>
      <c r="K178" s="70"/>
      <c r="L178" s="93" t="s">
        <v>212</v>
      </c>
      <c r="M178" s="56" t="s">
        <v>213</v>
      </c>
      <c r="N178" s="50" t="s">
        <v>214</v>
      </c>
      <c r="O178" s="56">
        <v>2.0249999999999999</v>
      </c>
      <c r="P178" s="92" t="e">
        <f>VLOOKUP(L178,[1]TDSheet!B$10:E$365,4,FALSE)</f>
        <v>#N/A</v>
      </c>
      <c r="Q178" s="92" t="e">
        <f t="shared" si="2"/>
        <v>#N/A</v>
      </c>
      <c r="R178" s="106" t="e">
        <f>VLOOKUP(L178,[2]TDSheet!B$10:E$436,4,FALSE)</f>
        <v>#N/A</v>
      </c>
    </row>
    <row r="179" spans="1:18" ht="15.6" x14ac:dyDescent="0.3">
      <c r="A179" s="53"/>
      <c r="B179" s="54"/>
      <c r="C179" s="54"/>
      <c r="D179" s="54"/>
      <c r="E179" s="55"/>
      <c r="F179" s="75"/>
      <c r="G179" s="76"/>
      <c r="H179" s="76"/>
      <c r="I179" s="48"/>
      <c r="J179" s="70"/>
      <c r="K179" s="70"/>
      <c r="L179" s="58" t="s">
        <v>48</v>
      </c>
      <c r="M179" s="56" t="s">
        <v>65</v>
      </c>
      <c r="N179" s="50" t="s">
        <v>66</v>
      </c>
      <c r="O179" s="56">
        <v>1.345</v>
      </c>
      <c r="P179" s="92">
        <f>VLOOKUP(L179,[1]TDSheet!B$10:E$365,4,FALSE)</f>
        <v>2.5459999999999998</v>
      </c>
      <c r="Q179" s="92">
        <f t="shared" si="2"/>
        <v>1.2009999999999998</v>
      </c>
      <c r="R179" s="106">
        <f>VLOOKUP(L179,[2]TDSheet!B$10:E$436,4,FALSE)</f>
        <v>2.5459999999999998</v>
      </c>
    </row>
    <row r="180" spans="1:18" ht="15.6" x14ac:dyDescent="0.3">
      <c r="A180" s="53"/>
      <c r="B180" s="54"/>
      <c r="C180" s="54"/>
      <c r="D180" s="54"/>
      <c r="E180" s="55"/>
      <c r="F180" s="75"/>
      <c r="G180" s="76"/>
      <c r="H180" s="76"/>
      <c r="I180" s="48"/>
      <c r="J180" s="70"/>
      <c r="K180" s="70"/>
      <c r="L180" s="94" t="s">
        <v>434</v>
      </c>
      <c r="M180" s="56" t="s">
        <v>435</v>
      </c>
      <c r="N180" s="50" t="s">
        <v>34</v>
      </c>
      <c r="O180" s="56">
        <v>6</v>
      </c>
      <c r="P180" s="92">
        <f>VLOOKUP(L180,[1]TDSheet!B$10:E$365,4,FALSE)</f>
        <v>1</v>
      </c>
      <c r="Q180" s="92">
        <f t="shared" si="2"/>
        <v>-5</v>
      </c>
      <c r="R180" s="106">
        <f>VLOOKUP(L180,[2]TDSheet!B$10:E$436,4,FALSE)</f>
        <v>7</v>
      </c>
    </row>
    <row r="181" spans="1:18" ht="15.6" x14ac:dyDescent="0.3">
      <c r="A181" s="53"/>
      <c r="B181" s="54"/>
      <c r="C181" s="54"/>
      <c r="D181" s="54"/>
      <c r="E181" s="55"/>
      <c r="F181" s="75"/>
      <c r="G181" s="76"/>
      <c r="H181" s="76"/>
      <c r="I181" s="48"/>
      <c r="J181" s="70"/>
      <c r="K181" s="70"/>
      <c r="L181" s="58">
        <v>22062</v>
      </c>
      <c r="M181" s="56" t="s">
        <v>436</v>
      </c>
      <c r="N181" s="50" t="s">
        <v>34</v>
      </c>
      <c r="O181" s="56">
        <v>10</v>
      </c>
      <c r="P181" s="92">
        <f>VLOOKUP(L181,[1]TDSheet!B$10:E$365,4,FALSE)</f>
        <v>40</v>
      </c>
      <c r="Q181" s="92">
        <f t="shared" si="2"/>
        <v>30</v>
      </c>
      <c r="R181" s="106" t="e">
        <f>VLOOKUP(L181,[2]TDSheet!B$10:E$436,4,FALSE)</f>
        <v>#N/A</v>
      </c>
    </row>
    <row r="182" spans="1:18" ht="15.6" x14ac:dyDescent="0.3">
      <c r="A182" s="53"/>
      <c r="B182" s="54"/>
      <c r="C182" s="54"/>
      <c r="D182" s="54"/>
      <c r="E182" s="55"/>
      <c r="F182" s="75"/>
      <c r="G182" s="76"/>
      <c r="H182" s="76"/>
      <c r="I182" s="48"/>
      <c r="J182" s="70"/>
      <c r="K182" s="70"/>
      <c r="L182" s="58">
        <v>19254</v>
      </c>
      <c r="M182" s="56" t="s">
        <v>95</v>
      </c>
      <c r="N182" s="50" t="s">
        <v>34</v>
      </c>
      <c r="O182" s="56">
        <v>10</v>
      </c>
      <c r="P182" s="92">
        <f>VLOOKUP(L182,[1]TDSheet!B$10:E$365,4,FALSE)</f>
        <v>10</v>
      </c>
      <c r="Q182" s="92">
        <f t="shared" si="2"/>
        <v>0</v>
      </c>
      <c r="R182" s="106" t="e">
        <f>VLOOKUP(L182,[2]TDSheet!B$10:E$436,4,FALSE)</f>
        <v>#N/A</v>
      </c>
    </row>
    <row r="183" spans="1:18" ht="15.6" x14ac:dyDescent="0.3">
      <c r="A183" s="53"/>
      <c r="B183" s="54"/>
      <c r="C183" s="54"/>
      <c r="D183" s="54"/>
      <c r="E183" s="55"/>
      <c r="F183" s="75"/>
      <c r="G183" s="76"/>
      <c r="H183" s="76"/>
      <c r="I183" s="48"/>
      <c r="J183" s="70"/>
      <c r="K183" s="70"/>
      <c r="L183" s="58" t="s">
        <v>437</v>
      </c>
      <c r="M183" s="56" t="s">
        <v>438</v>
      </c>
      <c r="N183" s="50" t="s">
        <v>34</v>
      </c>
      <c r="O183" s="56">
        <v>20</v>
      </c>
      <c r="P183" s="92">
        <f>VLOOKUP(L183,[1]TDSheet!B$10:E$365,4,FALSE)</f>
        <v>180</v>
      </c>
      <c r="Q183" s="92">
        <f t="shared" si="2"/>
        <v>160</v>
      </c>
      <c r="R183" s="106">
        <f>VLOOKUP(L183,[2]TDSheet!B$10:E$436,4,FALSE)</f>
        <v>180</v>
      </c>
    </row>
    <row r="184" spans="1:18" ht="15.6" x14ac:dyDescent="0.3">
      <c r="A184" s="53"/>
      <c r="B184" s="54"/>
      <c r="C184" s="54"/>
      <c r="D184" s="54"/>
      <c r="E184" s="55"/>
      <c r="F184" s="75"/>
      <c r="G184" s="76"/>
      <c r="H184" s="76"/>
      <c r="I184" s="48"/>
      <c r="J184" s="70"/>
      <c r="K184" s="70"/>
      <c r="L184" s="58">
        <v>615</v>
      </c>
      <c r="M184" s="56" t="s">
        <v>439</v>
      </c>
      <c r="N184" s="50" t="s">
        <v>34</v>
      </c>
      <c r="O184" s="56">
        <v>3</v>
      </c>
      <c r="P184" s="92">
        <f>VLOOKUP(L184,[1]TDSheet!B$10:E$365,4,FALSE)</f>
        <v>13</v>
      </c>
      <c r="Q184" s="92">
        <f t="shared" si="2"/>
        <v>10</v>
      </c>
      <c r="R184" s="106" t="e">
        <f>VLOOKUP(L184,[2]TDSheet!B$10:E$436,4,FALSE)</f>
        <v>#N/A</v>
      </c>
    </row>
    <row r="185" spans="1:18" ht="15.6" x14ac:dyDescent="0.3">
      <c r="A185" s="53"/>
      <c r="B185" s="54"/>
      <c r="C185" s="54"/>
      <c r="D185" s="54"/>
      <c r="E185" s="55"/>
      <c r="F185" s="75"/>
      <c r="G185" s="76"/>
      <c r="H185" s="76"/>
      <c r="I185" s="48"/>
      <c r="J185" s="70"/>
      <c r="K185" s="70"/>
      <c r="L185" s="58" t="s">
        <v>440</v>
      </c>
      <c r="M185" s="56" t="s">
        <v>441</v>
      </c>
      <c r="N185" s="50" t="s">
        <v>442</v>
      </c>
      <c r="O185" s="56">
        <v>20</v>
      </c>
      <c r="P185" s="92">
        <f>VLOOKUP(L185,[1]TDSheet!B$10:E$365,4,FALSE)</f>
        <v>30</v>
      </c>
      <c r="Q185" s="92">
        <f t="shared" si="2"/>
        <v>10</v>
      </c>
      <c r="R185" s="106">
        <f>VLOOKUP(L185,[2]TDSheet!B$10:E$436,4,FALSE)</f>
        <v>30</v>
      </c>
    </row>
    <row r="186" spans="1:18" ht="15.6" x14ac:dyDescent="0.3">
      <c r="A186" s="53"/>
      <c r="B186" s="54"/>
      <c r="C186" s="54"/>
      <c r="D186" s="54"/>
      <c r="E186" s="55"/>
      <c r="F186" s="75"/>
      <c r="G186" s="76"/>
      <c r="H186" s="76"/>
      <c r="I186" s="48"/>
      <c r="J186" s="70"/>
      <c r="K186" s="70"/>
      <c r="L186" s="94" t="s">
        <v>43</v>
      </c>
      <c r="M186" s="56" t="s">
        <v>96</v>
      </c>
      <c r="N186" s="50" t="s">
        <v>34</v>
      </c>
      <c r="O186" s="91">
        <f>180+250</f>
        <v>430</v>
      </c>
      <c r="P186" s="92">
        <f>VLOOKUP(L186,[1]TDSheet!B$10:E$365,4,FALSE)</f>
        <v>100</v>
      </c>
      <c r="Q186" s="92">
        <f t="shared" si="2"/>
        <v>-330</v>
      </c>
      <c r="R186" s="106">
        <f>VLOOKUP(L186,[2]TDSheet!B$10:E$436,4,FALSE)</f>
        <v>500</v>
      </c>
    </row>
    <row r="187" spans="1:18" ht="15.6" x14ac:dyDescent="0.3">
      <c r="A187" s="53"/>
      <c r="B187" s="54"/>
      <c r="C187" s="54"/>
      <c r="D187" s="54"/>
      <c r="E187" s="55"/>
      <c r="F187" s="75"/>
      <c r="G187" s="76"/>
      <c r="H187" s="76"/>
      <c r="I187" s="48"/>
      <c r="J187" s="70"/>
      <c r="K187" s="70"/>
      <c r="L187" s="58" t="s">
        <v>443</v>
      </c>
      <c r="M187" s="56" t="s">
        <v>444</v>
      </c>
      <c r="N187" s="50" t="s">
        <v>34</v>
      </c>
      <c r="O187" s="56">
        <v>250</v>
      </c>
      <c r="P187" s="92">
        <f>VLOOKUP(L187,[1]TDSheet!B$10:E$365,4,FALSE)</f>
        <v>4750</v>
      </c>
      <c r="Q187" s="92">
        <f t="shared" si="2"/>
        <v>4500</v>
      </c>
      <c r="R187" s="106">
        <f>VLOOKUP(L187,[2]TDSheet!B$10:E$436,4,FALSE)</f>
        <v>4750</v>
      </c>
    </row>
    <row r="188" spans="1:18" ht="15.6" x14ac:dyDescent="0.3">
      <c r="A188" s="53"/>
      <c r="B188" s="54"/>
      <c r="C188" s="54"/>
      <c r="D188" s="54"/>
      <c r="E188" s="55"/>
      <c r="F188" s="75"/>
      <c r="G188" s="76"/>
      <c r="H188" s="76"/>
      <c r="I188" s="48"/>
      <c r="J188" s="70"/>
      <c r="K188" s="70"/>
      <c r="L188" s="58" t="s">
        <v>445</v>
      </c>
      <c r="M188" s="56" t="s">
        <v>446</v>
      </c>
      <c r="N188" s="50" t="s">
        <v>34</v>
      </c>
      <c r="O188" s="56">
        <v>11</v>
      </c>
      <c r="P188" s="92">
        <f>VLOOKUP(L188,[1]TDSheet!B$10:E$365,4,FALSE)</f>
        <v>30</v>
      </c>
      <c r="Q188" s="92">
        <f t="shared" si="2"/>
        <v>19</v>
      </c>
      <c r="R188" s="106">
        <f>VLOOKUP(L188,[2]TDSheet!B$10:E$436,4,FALSE)</f>
        <v>14</v>
      </c>
    </row>
    <row r="189" spans="1:18" ht="15.6" x14ac:dyDescent="0.3">
      <c r="A189" s="53"/>
      <c r="B189" s="54"/>
      <c r="C189" s="54"/>
      <c r="D189" s="54"/>
      <c r="E189" s="55"/>
      <c r="F189" s="75"/>
      <c r="G189" s="76"/>
      <c r="H189" s="76"/>
      <c r="I189" s="48"/>
      <c r="J189" s="70"/>
      <c r="K189" s="70"/>
      <c r="L189" s="58">
        <v>22350</v>
      </c>
      <c r="M189" s="56" t="s">
        <v>447</v>
      </c>
      <c r="N189" s="50" t="s">
        <v>34</v>
      </c>
      <c r="O189" s="56">
        <v>10</v>
      </c>
      <c r="P189" s="92">
        <f>VLOOKUP(L189,[1]TDSheet!B$10:E$365,4,FALSE)</f>
        <v>40</v>
      </c>
      <c r="Q189" s="92">
        <f t="shared" si="2"/>
        <v>30</v>
      </c>
      <c r="R189" s="106" t="e">
        <f>VLOOKUP(L189,[2]TDSheet!B$10:E$436,4,FALSE)</f>
        <v>#N/A</v>
      </c>
    </row>
    <row r="190" spans="1:18" ht="15.6" x14ac:dyDescent="0.3">
      <c r="A190" s="53"/>
      <c r="B190" s="54"/>
      <c r="C190" s="54"/>
      <c r="D190" s="54"/>
      <c r="E190" s="55"/>
      <c r="F190" s="75"/>
      <c r="G190" s="76"/>
      <c r="H190" s="76"/>
      <c r="I190" s="48"/>
      <c r="J190" s="70"/>
      <c r="K190" s="70"/>
      <c r="L190" s="58" t="s">
        <v>448</v>
      </c>
      <c r="M190" s="56" t="s">
        <v>449</v>
      </c>
      <c r="N190" s="50" t="s">
        <v>34</v>
      </c>
      <c r="O190" s="56">
        <v>1</v>
      </c>
      <c r="P190" s="92">
        <f>VLOOKUP(L190,[1]TDSheet!B$10:E$365,4,FALSE)</f>
        <v>4</v>
      </c>
      <c r="Q190" s="92">
        <f t="shared" si="2"/>
        <v>3</v>
      </c>
      <c r="R190" s="106">
        <f>VLOOKUP(L190,[2]TDSheet!B$10:E$436,4,FALSE)</f>
        <v>4</v>
      </c>
    </row>
    <row r="191" spans="1:18" ht="15.6" x14ac:dyDescent="0.3">
      <c r="A191" s="53"/>
      <c r="B191" s="54"/>
      <c r="C191" s="54"/>
      <c r="D191" s="54"/>
      <c r="E191" s="55"/>
      <c r="F191" s="75"/>
      <c r="G191" s="76"/>
      <c r="H191" s="76"/>
      <c r="I191" s="48"/>
      <c r="J191" s="70"/>
      <c r="K191" s="70"/>
      <c r="L191" s="58" t="s">
        <v>450</v>
      </c>
      <c r="M191" s="56" t="s">
        <v>451</v>
      </c>
      <c r="N191" s="50" t="s">
        <v>34</v>
      </c>
      <c r="O191" s="56">
        <v>1</v>
      </c>
      <c r="P191" s="92">
        <f>VLOOKUP(L191,[1]TDSheet!B$10:E$365,4,FALSE)</f>
        <v>4</v>
      </c>
      <c r="Q191" s="92">
        <f t="shared" si="2"/>
        <v>3</v>
      </c>
      <c r="R191" s="106">
        <f>VLOOKUP(L191,[2]TDSheet!B$10:E$436,4,FALSE)</f>
        <v>4</v>
      </c>
    </row>
    <row r="192" spans="1:18" ht="15.6" x14ac:dyDescent="0.3">
      <c r="A192" s="53"/>
      <c r="B192" s="54"/>
      <c r="C192" s="54"/>
      <c r="D192" s="54"/>
      <c r="E192" s="55"/>
      <c r="F192" s="75"/>
      <c r="G192" s="76"/>
      <c r="H192" s="76"/>
      <c r="I192" s="48"/>
      <c r="J192" s="70"/>
      <c r="K192" s="70"/>
      <c r="L192" s="58" t="s">
        <v>452</v>
      </c>
      <c r="M192" s="56" t="s">
        <v>453</v>
      </c>
      <c r="N192" s="50" t="s">
        <v>34</v>
      </c>
      <c r="O192" s="56">
        <v>11</v>
      </c>
      <c r="P192" s="92">
        <f>VLOOKUP(L192,[1]TDSheet!B$10:E$365,4,FALSE)</f>
        <v>44</v>
      </c>
      <c r="Q192" s="92">
        <f t="shared" si="2"/>
        <v>33</v>
      </c>
      <c r="R192" s="106">
        <f>VLOOKUP(L192,[2]TDSheet!B$10:E$436,4,FALSE)</f>
        <v>44</v>
      </c>
    </row>
    <row r="193" spans="1:18" ht="15.6" x14ac:dyDescent="0.3">
      <c r="A193" s="53"/>
      <c r="B193" s="54"/>
      <c r="C193" s="54"/>
      <c r="D193" s="54"/>
      <c r="E193" s="55"/>
      <c r="F193" s="75"/>
      <c r="G193" s="76"/>
      <c r="H193" s="76"/>
      <c r="I193" s="48"/>
      <c r="J193" s="70"/>
      <c r="K193" s="70"/>
      <c r="L193" s="58">
        <v>19295</v>
      </c>
      <c r="M193" s="56" t="s">
        <v>454</v>
      </c>
      <c r="N193" s="50" t="s">
        <v>34</v>
      </c>
      <c r="O193" s="56">
        <v>2</v>
      </c>
      <c r="P193" s="92">
        <f>VLOOKUP(L193,[1]TDSheet!B$10:E$365,4,FALSE)</f>
        <v>2</v>
      </c>
      <c r="Q193" s="92">
        <f t="shared" si="2"/>
        <v>0</v>
      </c>
      <c r="R193" s="106" t="e">
        <f>VLOOKUP(L193,[2]TDSheet!B$10:E$436,4,FALSE)</f>
        <v>#N/A</v>
      </c>
    </row>
    <row r="194" spans="1:18" ht="15.6" x14ac:dyDescent="0.3">
      <c r="A194" s="53"/>
      <c r="B194" s="54"/>
      <c r="C194" s="54"/>
      <c r="D194" s="54"/>
      <c r="E194" s="55"/>
      <c r="F194" s="75"/>
      <c r="G194" s="76"/>
      <c r="H194" s="76"/>
      <c r="I194" s="48"/>
      <c r="J194" s="70"/>
      <c r="K194" s="70"/>
      <c r="L194" s="58">
        <v>11561</v>
      </c>
      <c r="M194" s="56" t="s">
        <v>215</v>
      </c>
      <c r="N194" s="50" t="s">
        <v>34</v>
      </c>
      <c r="O194" s="56">
        <v>1</v>
      </c>
      <c r="P194" s="92">
        <f>VLOOKUP(L194,[1]TDSheet!B$10:E$365,4,FALSE)</f>
        <v>1</v>
      </c>
      <c r="Q194" s="92">
        <f t="shared" si="2"/>
        <v>0</v>
      </c>
      <c r="R194" s="106" t="e">
        <f>VLOOKUP(L194,[2]TDSheet!B$10:E$436,4,FALSE)</f>
        <v>#N/A</v>
      </c>
    </row>
    <row r="195" spans="1:18" ht="15.6" x14ac:dyDescent="0.3">
      <c r="A195" s="53"/>
      <c r="B195" s="54"/>
      <c r="C195" s="54"/>
      <c r="D195" s="54"/>
      <c r="E195" s="55"/>
      <c r="F195" s="75"/>
      <c r="G195" s="76"/>
      <c r="H195" s="76"/>
      <c r="I195" s="48"/>
      <c r="J195" s="70"/>
      <c r="K195" s="70"/>
      <c r="L195" s="58">
        <v>19314</v>
      </c>
      <c r="M195" s="56" t="s">
        <v>216</v>
      </c>
      <c r="N195" s="50" t="s">
        <v>34</v>
      </c>
      <c r="O195" s="56">
        <v>4</v>
      </c>
      <c r="P195" s="92">
        <f>VLOOKUP(L195,[1]TDSheet!B$10:E$365,4,FALSE)</f>
        <v>4</v>
      </c>
      <c r="Q195" s="92">
        <f t="shared" si="2"/>
        <v>0</v>
      </c>
      <c r="R195" s="106" t="e">
        <f>VLOOKUP(L195,[2]TDSheet!B$10:E$436,4,FALSE)</f>
        <v>#N/A</v>
      </c>
    </row>
    <row r="196" spans="1:18" ht="15.6" x14ac:dyDescent="0.3">
      <c r="A196" s="53"/>
      <c r="B196" s="54"/>
      <c r="C196" s="54"/>
      <c r="D196" s="54"/>
      <c r="E196" s="55"/>
      <c r="F196" s="75"/>
      <c r="G196" s="76"/>
      <c r="H196" s="76"/>
      <c r="I196" s="48"/>
      <c r="J196" s="70"/>
      <c r="K196" s="70"/>
      <c r="L196" s="58" t="s">
        <v>217</v>
      </c>
      <c r="M196" s="56" t="s">
        <v>218</v>
      </c>
      <c r="N196" s="50" t="s">
        <v>34</v>
      </c>
      <c r="O196" s="56">
        <v>1</v>
      </c>
      <c r="P196" s="92">
        <f>VLOOKUP(L196,[1]TDSheet!B$10:E$365,4,FALSE)</f>
        <v>1</v>
      </c>
      <c r="Q196" s="92">
        <f t="shared" si="2"/>
        <v>0</v>
      </c>
      <c r="R196" s="106">
        <f>VLOOKUP(L196,[2]TDSheet!B$10:E$436,4,FALSE)</f>
        <v>1</v>
      </c>
    </row>
    <row r="197" spans="1:18" ht="15.6" x14ac:dyDescent="0.3">
      <c r="A197" s="53"/>
      <c r="B197" s="54"/>
      <c r="C197" s="54"/>
      <c r="D197" s="54"/>
      <c r="E197" s="55"/>
      <c r="F197" s="75"/>
      <c r="G197" s="76"/>
      <c r="H197" s="76"/>
      <c r="I197" s="48"/>
      <c r="J197" s="70"/>
      <c r="K197" s="70"/>
      <c r="L197" s="58">
        <v>21892</v>
      </c>
      <c r="M197" s="56" t="s">
        <v>97</v>
      </c>
      <c r="N197" s="50" t="s">
        <v>34</v>
      </c>
      <c r="O197" s="56">
        <v>12</v>
      </c>
      <c r="P197" s="92">
        <f>VLOOKUP(L197,[1]TDSheet!B$10:E$365,4,FALSE)</f>
        <v>30</v>
      </c>
      <c r="Q197" s="92">
        <f t="shared" si="2"/>
        <v>18</v>
      </c>
      <c r="R197" s="106" t="e">
        <f>VLOOKUP(L197,[2]TDSheet!B$10:E$436,4,FALSE)</f>
        <v>#N/A</v>
      </c>
    </row>
    <row r="198" spans="1:18" ht="15.6" x14ac:dyDescent="0.3">
      <c r="A198" s="53"/>
      <c r="B198" s="54"/>
      <c r="C198" s="54"/>
      <c r="D198" s="54"/>
      <c r="E198" s="55"/>
      <c r="F198" s="75"/>
      <c r="G198" s="76"/>
      <c r="H198" s="76"/>
      <c r="I198" s="48"/>
      <c r="J198" s="70"/>
      <c r="K198" s="70"/>
      <c r="L198" s="58" t="s">
        <v>455</v>
      </c>
      <c r="M198" s="56" t="s">
        <v>456</v>
      </c>
      <c r="N198" s="50" t="s">
        <v>34</v>
      </c>
      <c r="O198" s="56">
        <v>4</v>
      </c>
      <c r="P198" s="92">
        <f>VLOOKUP(L198,[1]TDSheet!B$10:E$365,4,FALSE)</f>
        <v>16</v>
      </c>
      <c r="Q198" s="92">
        <f t="shared" si="2"/>
        <v>12</v>
      </c>
      <c r="R198" s="106">
        <f>VLOOKUP(L198,[2]TDSheet!B$10:E$436,4,FALSE)</f>
        <v>16</v>
      </c>
    </row>
    <row r="199" spans="1:18" ht="15.6" x14ac:dyDescent="0.3">
      <c r="A199" s="53"/>
      <c r="B199" s="54"/>
      <c r="C199" s="54"/>
      <c r="D199" s="54"/>
      <c r="E199" s="55"/>
      <c r="F199" s="75"/>
      <c r="G199" s="76"/>
      <c r="H199" s="76"/>
      <c r="I199" s="48"/>
      <c r="J199" s="70"/>
      <c r="K199" s="70"/>
      <c r="L199" s="58" t="s">
        <v>457</v>
      </c>
      <c r="M199" s="56" t="s">
        <v>458</v>
      </c>
      <c r="N199" s="50" t="s">
        <v>34</v>
      </c>
      <c r="O199" s="56">
        <v>1</v>
      </c>
      <c r="P199" s="92">
        <f>VLOOKUP(L199,[1]TDSheet!B$10:E$365,4,FALSE)</f>
        <v>1</v>
      </c>
      <c r="Q199" s="92">
        <f t="shared" si="2"/>
        <v>0</v>
      </c>
      <c r="R199" s="106">
        <f>VLOOKUP(L199,[2]TDSheet!B$10:E$436,4,FALSE)</f>
        <v>1</v>
      </c>
    </row>
    <row r="200" spans="1:18" ht="15.6" x14ac:dyDescent="0.3">
      <c r="A200" s="53"/>
      <c r="B200" s="54"/>
      <c r="C200" s="54"/>
      <c r="D200" s="54"/>
      <c r="E200" s="55"/>
      <c r="F200" s="75"/>
      <c r="G200" s="76"/>
      <c r="H200" s="76"/>
      <c r="I200" s="48"/>
      <c r="J200" s="70"/>
      <c r="K200" s="70"/>
      <c r="L200" s="58" t="s">
        <v>529</v>
      </c>
      <c r="M200" s="56" t="s">
        <v>530</v>
      </c>
      <c r="N200" s="50" t="s">
        <v>34</v>
      </c>
      <c r="O200" s="56">
        <v>2</v>
      </c>
      <c r="P200" s="92">
        <f>VLOOKUP(L200,[1]TDSheet!B$10:E$365,4,FALSE)</f>
        <v>3</v>
      </c>
      <c r="Q200" s="92">
        <f t="shared" si="2"/>
        <v>1</v>
      </c>
      <c r="R200" s="106">
        <f>VLOOKUP(L200,[2]TDSheet!B$10:E$436,4,FALSE)</f>
        <v>3</v>
      </c>
    </row>
    <row r="201" spans="1:18" ht="15.6" x14ac:dyDescent="0.3">
      <c r="A201" s="53"/>
      <c r="B201" s="54"/>
      <c r="C201" s="54"/>
      <c r="D201" s="54"/>
      <c r="E201" s="55"/>
      <c r="F201" s="75"/>
      <c r="G201" s="76"/>
      <c r="H201" s="76"/>
      <c r="I201" s="48"/>
      <c r="J201" s="70"/>
      <c r="K201" s="70"/>
      <c r="L201" s="94" t="s">
        <v>459</v>
      </c>
      <c r="M201" s="56" t="s">
        <v>460</v>
      </c>
      <c r="N201" s="50" t="s">
        <v>34</v>
      </c>
      <c r="O201" s="56">
        <v>5</v>
      </c>
      <c r="P201" s="92">
        <f>VLOOKUP(L201,[1]TDSheet!B$10:E$365,4,FALSE)</f>
        <v>2</v>
      </c>
      <c r="Q201" s="92">
        <f t="shared" si="2"/>
        <v>-3</v>
      </c>
      <c r="R201" s="106">
        <f>VLOOKUP(L201,[2]TDSheet!B$10:E$436,4,FALSE)</f>
        <v>4</v>
      </c>
    </row>
    <row r="202" spans="1:18" ht="15.6" x14ac:dyDescent="0.3">
      <c r="A202" s="53"/>
      <c r="B202" s="54"/>
      <c r="C202" s="54"/>
      <c r="D202" s="54"/>
      <c r="E202" s="55"/>
      <c r="F202" s="75"/>
      <c r="G202" s="76"/>
      <c r="H202" s="76"/>
      <c r="I202" s="48"/>
      <c r="J202" s="70"/>
      <c r="K202" s="70"/>
      <c r="L202" s="58">
        <v>423</v>
      </c>
      <c r="M202" s="56" t="s">
        <v>461</v>
      </c>
      <c r="N202" s="50" t="s">
        <v>34</v>
      </c>
      <c r="O202" s="56">
        <v>4</v>
      </c>
      <c r="P202" s="92">
        <f>VLOOKUP(L202,[1]TDSheet!B$10:E$365,4,FALSE)</f>
        <v>8</v>
      </c>
      <c r="Q202" s="92">
        <f t="shared" si="2"/>
        <v>4</v>
      </c>
      <c r="R202" s="106" t="e">
        <f>VLOOKUP(L202,[2]TDSheet!B$10:E$436,4,FALSE)</f>
        <v>#N/A</v>
      </c>
    </row>
    <row r="203" spans="1:18" ht="15.6" x14ac:dyDescent="0.3">
      <c r="A203" s="53"/>
      <c r="B203" s="54"/>
      <c r="C203" s="54"/>
      <c r="D203" s="54"/>
      <c r="E203" s="55"/>
      <c r="F203" s="75"/>
      <c r="G203" s="76"/>
      <c r="H203" s="76"/>
      <c r="I203" s="48"/>
      <c r="J203" s="70"/>
      <c r="K203" s="70"/>
      <c r="L203" s="58" t="s">
        <v>462</v>
      </c>
      <c r="M203" s="56" t="s">
        <v>463</v>
      </c>
      <c r="N203" s="50" t="s">
        <v>34</v>
      </c>
      <c r="O203" s="56">
        <v>1</v>
      </c>
      <c r="P203" s="92">
        <f>VLOOKUP(L203,[1]TDSheet!B$10:E$365,4,FALSE)</f>
        <v>1</v>
      </c>
      <c r="Q203" s="92">
        <f t="shared" si="2"/>
        <v>0</v>
      </c>
      <c r="R203" s="106">
        <f>VLOOKUP(L203,[2]TDSheet!B$10:E$436,4,FALSE)</f>
        <v>1</v>
      </c>
    </row>
    <row r="204" spans="1:18" ht="15.6" x14ac:dyDescent="0.3">
      <c r="A204" s="53"/>
      <c r="B204" s="54"/>
      <c r="C204" s="54"/>
      <c r="D204" s="54"/>
      <c r="E204" s="55"/>
      <c r="F204" s="75"/>
      <c r="G204" s="76"/>
      <c r="H204" s="76"/>
      <c r="I204" s="48"/>
      <c r="J204" s="70"/>
      <c r="K204" s="70"/>
      <c r="L204" s="93" t="s">
        <v>464</v>
      </c>
      <c r="M204" s="56" t="s">
        <v>465</v>
      </c>
      <c r="N204" s="50" t="s">
        <v>34</v>
      </c>
      <c r="O204" s="56">
        <v>2</v>
      </c>
      <c r="P204" s="92" t="e">
        <f>VLOOKUP(L204,[1]TDSheet!B$10:E$365,4,FALSE)</f>
        <v>#N/A</v>
      </c>
      <c r="Q204" s="92" t="e">
        <f t="shared" si="2"/>
        <v>#N/A</v>
      </c>
      <c r="R204" s="106" t="e">
        <f>VLOOKUP(L204,[2]TDSheet!B$10:E$436,4,FALSE)</f>
        <v>#N/A</v>
      </c>
    </row>
    <row r="205" spans="1:18" ht="15.6" x14ac:dyDescent="0.3">
      <c r="A205" s="53"/>
      <c r="B205" s="54"/>
      <c r="C205" s="54"/>
      <c r="D205" s="54"/>
      <c r="E205" s="55"/>
      <c r="F205" s="75"/>
      <c r="G205" s="76"/>
      <c r="H205" s="76"/>
      <c r="I205" s="48"/>
      <c r="J205" s="70"/>
      <c r="K205" s="70"/>
      <c r="L205" s="58" t="s">
        <v>219</v>
      </c>
      <c r="M205" s="56" t="s">
        <v>220</v>
      </c>
      <c r="N205" s="50" t="s">
        <v>34</v>
      </c>
      <c r="O205" s="56">
        <v>10</v>
      </c>
      <c r="P205" s="92">
        <f>VLOOKUP(L205,[1]TDSheet!B$10:E$365,4,FALSE)</f>
        <v>40</v>
      </c>
      <c r="Q205" s="92">
        <f t="shared" si="2"/>
        <v>30</v>
      </c>
      <c r="R205" s="106">
        <f>VLOOKUP(L205,[2]TDSheet!B$10:E$436,4,FALSE)</f>
        <v>40</v>
      </c>
    </row>
    <row r="206" spans="1:18" ht="15.6" x14ac:dyDescent="0.3">
      <c r="A206" s="53"/>
      <c r="B206" s="54"/>
      <c r="C206" s="54"/>
      <c r="D206" s="54"/>
      <c r="E206" s="55"/>
      <c r="F206" s="75"/>
      <c r="G206" s="76"/>
      <c r="H206" s="76"/>
      <c r="I206" s="48"/>
      <c r="J206" s="70"/>
      <c r="K206" s="70"/>
      <c r="L206" s="58">
        <v>21829</v>
      </c>
      <c r="M206" s="56" t="s">
        <v>221</v>
      </c>
      <c r="N206" s="50" t="s">
        <v>34</v>
      </c>
      <c r="O206" s="56">
        <v>5</v>
      </c>
      <c r="P206" s="92">
        <f>VLOOKUP(L206,[1]TDSheet!B$10:E$365,4,FALSE)</f>
        <v>5</v>
      </c>
      <c r="Q206" s="92">
        <f t="shared" si="2"/>
        <v>0</v>
      </c>
      <c r="R206" s="106" t="e">
        <f>VLOOKUP(L206,[2]TDSheet!B$10:E$436,4,FALSE)</f>
        <v>#N/A</v>
      </c>
    </row>
    <row r="207" spans="1:18" ht="15.6" x14ac:dyDescent="0.3">
      <c r="A207" s="53"/>
      <c r="B207" s="54"/>
      <c r="C207" s="54"/>
      <c r="D207" s="54"/>
      <c r="E207" s="55"/>
      <c r="F207" s="75"/>
      <c r="G207" s="76"/>
      <c r="H207" s="76"/>
      <c r="I207" s="48"/>
      <c r="J207" s="70"/>
      <c r="K207" s="70"/>
      <c r="L207" s="58" t="s">
        <v>98</v>
      </c>
      <c r="M207" s="56" t="s">
        <v>99</v>
      </c>
      <c r="N207" s="50" t="s">
        <v>37</v>
      </c>
      <c r="O207" s="56">
        <v>12</v>
      </c>
      <c r="P207" s="92">
        <f>VLOOKUP(L207,[1]TDSheet!B$10:E$365,4,FALSE)</f>
        <v>12</v>
      </c>
      <c r="Q207" s="92">
        <f t="shared" si="2"/>
        <v>0</v>
      </c>
      <c r="R207" s="106">
        <f>VLOOKUP(L207,[2]TDSheet!B$10:E$436,4,FALSE)</f>
        <v>12</v>
      </c>
    </row>
    <row r="208" spans="1:18" ht="15.6" x14ac:dyDescent="0.3">
      <c r="A208" s="53"/>
      <c r="B208" s="54"/>
      <c r="C208" s="54"/>
      <c r="D208" s="54"/>
      <c r="E208" s="55"/>
      <c r="F208" s="75"/>
      <c r="G208" s="76"/>
      <c r="H208" s="76"/>
      <c r="I208" s="48"/>
      <c r="J208" s="70"/>
      <c r="K208" s="70"/>
      <c r="L208" s="58">
        <v>17739</v>
      </c>
      <c r="M208" s="56" t="s">
        <v>222</v>
      </c>
      <c r="N208" s="50" t="s">
        <v>34</v>
      </c>
      <c r="O208" s="56">
        <v>11</v>
      </c>
      <c r="P208" s="92">
        <f>VLOOKUP(L208,[1]TDSheet!B$10:E$365,4,FALSE)</f>
        <v>11</v>
      </c>
      <c r="Q208" s="92">
        <f t="shared" si="2"/>
        <v>0</v>
      </c>
      <c r="R208" s="106" t="e">
        <f>VLOOKUP(L208,[2]TDSheet!B$10:E$436,4,FALSE)</f>
        <v>#N/A</v>
      </c>
    </row>
    <row r="209" spans="1:18" ht="15.6" x14ac:dyDescent="0.3">
      <c r="A209" s="53"/>
      <c r="B209" s="54"/>
      <c r="C209" s="54"/>
      <c r="D209" s="54"/>
      <c r="E209" s="55"/>
      <c r="F209" s="75"/>
      <c r="G209" s="76"/>
      <c r="H209" s="76"/>
      <c r="I209" s="48"/>
      <c r="J209" s="70"/>
      <c r="K209" s="70"/>
      <c r="L209" s="58" t="s">
        <v>466</v>
      </c>
      <c r="M209" s="56" t="s">
        <v>467</v>
      </c>
      <c r="N209" s="50" t="s">
        <v>34</v>
      </c>
      <c r="O209" s="56">
        <v>2</v>
      </c>
      <c r="P209" s="92">
        <f>VLOOKUP(L209,[1]TDSheet!B$10:E$365,4,FALSE)</f>
        <v>2</v>
      </c>
      <c r="Q209" s="92">
        <f t="shared" si="2"/>
        <v>0</v>
      </c>
      <c r="R209" s="106">
        <f>VLOOKUP(L209,[2]TDSheet!B$10:E$436,4,FALSE)</f>
        <v>2</v>
      </c>
    </row>
    <row r="210" spans="1:18" ht="15.6" x14ac:dyDescent="0.3">
      <c r="A210" s="53"/>
      <c r="B210" s="54"/>
      <c r="C210" s="54"/>
      <c r="D210" s="54"/>
      <c r="E210" s="55"/>
      <c r="F210" s="75"/>
      <c r="G210" s="76"/>
      <c r="H210" s="76"/>
      <c r="I210" s="48"/>
      <c r="J210" s="70"/>
      <c r="K210" s="70"/>
      <c r="L210" s="58">
        <v>14686</v>
      </c>
      <c r="M210" s="56" t="s">
        <v>468</v>
      </c>
      <c r="N210" s="50" t="s">
        <v>34</v>
      </c>
      <c r="O210" s="56">
        <v>4</v>
      </c>
      <c r="P210" s="92">
        <f>VLOOKUP(L210,[1]TDSheet!B$10:E$365,4,FALSE)</f>
        <v>10</v>
      </c>
      <c r="Q210" s="92">
        <f t="shared" si="2"/>
        <v>6</v>
      </c>
      <c r="R210" s="106" t="e">
        <f>VLOOKUP(L210,[2]TDSheet!B$10:E$436,4,FALSE)</f>
        <v>#N/A</v>
      </c>
    </row>
    <row r="211" spans="1:18" ht="15.6" x14ac:dyDescent="0.3">
      <c r="A211" s="53"/>
      <c r="B211" s="54"/>
      <c r="C211" s="54"/>
      <c r="D211" s="54"/>
      <c r="E211" s="55"/>
      <c r="F211" s="75"/>
      <c r="G211" s="76"/>
      <c r="H211" s="76"/>
      <c r="I211" s="48"/>
      <c r="J211" s="70"/>
      <c r="K211" s="70"/>
      <c r="L211" s="58" t="s">
        <v>223</v>
      </c>
      <c r="M211" s="56" t="s">
        <v>224</v>
      </c>
      <c r="N211" s="50" t="s">
        <v>34</v>
      </c>
      <c r="O211" s="56">
        <v>9</v>
      </c>
      <c r="P211" s="92">
        <f>VLOOKUP(L211,[1]TDSheet!B$10:E$365,4,FALSE)</f>
        <v>22</v>
      </c>
      <c r="Q211" s="92">
        <f t="shared" si="2"/>
        <v>13</v>
      </c>
      <c r="R211" s="106">
        <f>VLOOKUP(L211,[2]TDSheet!B$10:E$436,4,FALSE)</f>
        <v>12</v>
      </c>
    </row>
    <row r="212" spans="1:18" ht="15.6" x14ac:dyDescent="0.3">
      <c r="A212" s="53"/>
      <c r="B212" s="54"/>
      <c r="C212" s="54"/>
      <c r="D212" s="54"/>
      <c r="E212" s="55"/>
      <c r="F212" s="75"/>
      <c r="G212" s="76"/>
      <c r="H212" s="76"/>
      <c r="I212" s="48"/>
      <c r="J212" s="70"/>
      <c r="K212" s="70"/>
      <c r="L212" s="58" t="s">
        <v>469</v>
      </c>
      <c r="M212" s="56" t="s">
        <v>470</v>
      </c>
      <c r="N212" s="50" t="s">
        <v>34</v>
      </c>
      <c r="O212" s="56">
        <v>3</v>
      </c>
      <c r="P212" s="92">
        <f>VLOOKUP(L212,[1]TDSheet!B$10:E$365,4,FALSE)</f>
        <v>3</v>
      </c>
      <c r="Q212" s="92">
        <f t="shared" si="2"/>
        <v>0</v>
      </c>
      <c r="R212" s="106">
        <f>VLOOKUP(L212,[2]TDSheet!B$10:E$436,4,FALSE)</f>
        <v>3</v>
      </c>
    </row>
    <row r="213" spans="1:18" ht="15.6" x14ac:dyDescent="0.3">
      <c r="A213" s="53"/>
      <c r="B213" s="54"/>
      <c r="C213" s="54"/>
      <c r="D213" s="54"/>
      <c r="E213" s="55"/>
      <c r="F213" s="75"/>
      <c r="G213" s="76"/>
      <c r="H213" s="76"/>
      <c r="I213" s="48"/>
      <c r="J213" s="70"/>
      <c r="K213" s="70"/>
      <c r="L213" s="58">
        <v>19328</v>
      </c>
      <c r="M213" s="56" t="s">
        <v>471</v>
      </c>
      <c r="N213" s="50" t="s">
        <v>34</v>
      </c>
      <c r="O213" s="56">
        <v>1</v>
      </c>
      <c r="P213" s="92">
        <f>VLOOKUP(L213,[1]TDSheet!B$10:E$365,4,FALSE)</f>
        <v>5</v>
      </c>
      <c r="Q213" s="92">
        <f t="shared" ref="Q213:Q269" si="3">P213-O213</f>
        <v>4</v>
      </c>
      <c r="R213" s="106" t="e">
        <f>VLOOKUP(L213,[2]TDSheet!B$10:E$436,4,FALSE)</f>
        <v>#N/A</v>
      </c>
    </row>
    <row r="214" spans="1:18" ht="15.6" x14ac:dyDescent="0.3">
      <c r="A214" s="53"/>
      <c r="B214" s="54"/>
      <c r="C214" s="54"/>
      <c r="D214" s="54"/>
      <c r="E214" s="55"/>
      <c r="F214" s="75"/>
      <c r="G214" s="76"/>
      <c r="H214" s="76"/>
      <c r="I214" s="48"/>
      <c r="J214" s="70"/>
      <c r="K214" s="70"/>
      <c r="L214" s="58">
        <v>100</v>
      </c>
      <c r="M214" s="56" t="s">
        <v>472</v>
      </c>
      <c r="N214" s="50" t="s">
        <v>34</v>
      </c>
      <c r="O214" s="56">
        <v>6</v>
      </c>
      <c r="P214" s="92">
        <f>VLOOKUP(L214,[1]TDSheet!B$10:E$365,4,FALSE)</f>
        <v>28</v>
      </c>
      <c r="Q214" s="92">
        <f t="shared" si="3"/>
        <v>22</v>
      </c>
      <c r="R214" s="106" t="e">
        <f>VLOOKUP(L214,[2]TDSheet!B$10:E$436,4,FALSE)</f>
        <v>#N/A</v>
      </c>
    </row>
    <row r="215" spans="1:18" ht="15.6" x14ac:dyDescent="0.3">
      <c r="A215" s="53"/>
      <c r="B215" s="54"/>
      <c r="C215" s="54"/>
      <c r="D215" s="54"/>
      <c r="E215" s="55"/>
      <c r="F215" s="75"/>
      <c r="G215" s="76"/>
      <c r="H215" s="76"/>
      <c r="I215" s="48"/>
      <c r="J215" s="70"/>
      <c r="K215" s="70"/>
      <c r="L215" s="58">
        <v>101</v>
      </c>
      <c r="M215" s="56" t="s">
        <v>473</v>
      </c>
      <c r="N215" s="50" t="s">
        <v>34</v>
      </c>
      <c r="O215" s="56">
        <v>8</v>
      </c>
      <c r="P215" s="92">
        <f>VLOOKUP(L215,[1]TDSheet!B$10:E$365,4,FALSE)</f>
        <v>37</v>
      </c>
      <c r="Q215" s="92">
        <f t="shared" si="3"/>
        <v>29</v>
      </c>
      <c r="R215" s="106" t="e">
        <f>VLOOKUP(L215,[2]TDSheet!B$10:E$436,4,FALSE)</f>
        <v>#N/A</v>
      </c>
    </row>
    <row r="216" spans="1:18" ht="15.6" x14ac:dyDescent="0.3">
      <c r="A216" s="53"/>
      <c r="B216" s="54"/>
      <c r="C216" s="54"/>
      <c r="D216" s="54"/>
      <c r="E216" s="55"/>
      <c r="F216" s="75"/>
      <c r="G216" s="76"/>
      <c r="H216" s="76"/>
      <c r="I216" s="48"/>
      <c r="J216" s="70"/>
      <c r="K216" s="70"/>
      <c r="L216" s="58">
        <v>21706</v>
      </c>
      <c r="M216" s="56" t="s">
        <v>474</v>
      </c>
      <c r="N216" s="50" t="s">
        <v>34</v>
      </c>
      <c r="O216" s="56">
        <v>4</v>
      </c>
      <c r="P216" s="92">
        <f>VLOOKUP(L216,[1]TDSheet!B$10:E$365,4,FALSE)</f>
        <v>16</v>
      </c>
      <c r="Q216" s="92">
        <f t="shared" si="3"/>
        <v>12</v>
      </c>
      <c r="R216" s="106" t="e">
        <f>VLOOKUP(L216,[2]TDSheet!B$10:E$436,4,FALSE)</f>
        <v>#N/A</v>
      </c>
    </row>
    <row r="217" spans="1:18" ht="15.6" x14ac:dyDescent="0.3">
      <c r="A217" s="53"/>
      <c r="B217" s="54"/>
      <c r="C217" s="54"/>
      <c r="D217" s="54"/>
      <c r="E217" s="55"/>
      <c r="F217" s="75"/>
      <c r="G217" s="76"/>
      <c r="H217" s="76"/>
      <c r="I217" s="48"/>
      <c r="J217" s="70"/>
      <c r="K217" s="70"/>
      <c r="L217" s="58" t="s">
        <v>225</v>
      </c>
      <c r="M217" s="56" t="s">
        <v>226</v>
      </c>
      <c r="N217" s="50" t="s">
        <v>37</v>
      </c>
      <c r="O217" s="56">
        <v>220</v>
      </c>
      <c r="P217" s="92">
        <f>VLOOKUP(L217,[1]TDSheet!B$10:E$365,4,FALSE)</f>
        <v>677</v>
      </c>
      <c r="Q217" s="92">
        <f t="shared" si="3"/>
        <v>457</v>
      </c>
      <c r="R217" s="106">
        <f>VLOOKUP(L217,[2]TDSheet!B$10:E$436,4,FALSE)</f>
        <v>598</v>
      </c>
    </row>
    <row r="218" spans="1:18" ht="15.6" x14ac:dyDescent="0.3">
      <c r="A218" s="53"/>
      <c r="B218" s="54"/>
      <c r="C218" s="54"/>
      <c r="D218" s="54"/>
      <c r="E218" s="55"/>
      <c r="F218" s="75"/>
      <c r="G218" s="76"/>
      <c r="H218" s="76"/>
      <c r="I218" s="48"/>
      <c r="J218" s="70"/>
      <c r="K218" s="70"/>
      <c r="L218" s="58" t="s">
        <v>227</v>
      </c>
      <c r="M218" s="56" t="s">
        <v>228</v>
      </c>
      <c r="N218" s="50" t="s">
        <v>37</v>
      </c>
      <c r="O218" s="56">
        <v>83</v>
      </c>
      <c r="P218" s="92">
        <f>VLOOKUP(L218,[1]TDSheet!B$10:E$365,4,FALSE)</f>
        <v>166</v>
      </c>
      <c r="Q218" s="92">
        <f t="shared" si="3"/>
        <v>83</v>
      </c>
      <c r="R218" s="106">
        <f>VLOOKUP(L218,[2]TDSheet!B$10:E$436,4,FALSE)</f>
        <v>166</v>
      </c>
    </row>
    <row r="219" spans="1:18" ht="15.6" x14ac:dyDescent="0.3">
      <c r="A219" s="53"/>
      <c r="B219" s="54"/>
      <c r="C219" s="54"/>
      <c r="D219" s="54"/>
      <c r="E219" s="55"/>
      <c r="F219" s="75"/>
      <c r="G219" s="76"/>
      <c r="H219" s="76"/>
      <c r="I219" s="48"/>
      <c r="J219" s="70"/>
      <c r="K219" s="70"/>
      <c r="L219" s="58" t="s">
        <v>229</v>
      </c>
      <c r="M219" s="56" t="s">
        <v>230</v>
      </c>
      <c r="N219" s="50" t="s">
        <v>37</v>
      </c>
      <c r="O219" s="56">
        <v>167.79999999999998</v>
      </c>
      <c r="P219" s="92">
        <f>VLOOKUP(L219,[1]TDSheet!B$10:E$365,4,FALSE)</f>
        <v>399.2</v>
      </c>
      <c r="Q219" s="92">
        <f t="shared" si="3"/>
        <v>231.4</v>
      </c>
      <c r="R219" s="106">
        <f>VLOOKUP(L219,[2]TDSheet!B$10:E$436,4,FALSE)</f>
        <v>399.2</v>
      </c>
    </row>
    <row r="220" spans="1:18" ht="15.6" x14ac:dyDescent="0.3">
      <c r="A220" s="53"/>
      <c r="B220" s="54"/>
      <c r="C220" s="54"/>
      <c r="D220" s="54"/>
      <c r="E220" s="55"/>
      <c r="F220" s="75"/>
      <c r="G220" s="76"/>
      <c r="H220" s="76"/>
      <c r="I220" s="48"/>
      <c r="J220" s="70"/>
      <c r="K220" s="70"/>
      <c r="L220" s="58" t="s">
        <v>38</v>
      </c>
      <c r="M220" s="56" t="s">
        <v>100</v>
      </c>
      <c r="N220" s="50" t="s">
        <v>37</v>
      </c>
      <c r="O220" s="56">
        <v>249</v>
      </c>
      <c r="P220" s="92">
        <f>VLOOKUP(L220,[1]TDSheet!B$10:E$365,4,FALSE)</f>
        <v>381</v>
      </c>
      <c r="Q220" s="92">
        <f t="shared" si="3"/>
        <v>132</v>
      </c>
      <c r="R220" s="106">
        <f>VLOOKUP(L220,[2]TDSheet!B$10:E$436,4,FALSE)</f>
        <v>381</v>
      </c>
    </row>
    <row r="221" spans="1:18" ht="15.6" x14ac:dyDescent="0.3">
      <c r="A221" s="53"/>
      <c r="B221" s="54"/>
      <c r="C221" s="54"/>
      <c r="D221" s="54"/>
      <c r="E221" s="55"/>
      <c r="F221" s="75"/>
      <c r="G221" s="76"/>
      <c r="H221" s="76"/>
      <c r="I221" s="48"/>
      <c r="J221" s="70"/>
      <c r="K221" s="70"/>
      <c r="L221" s="58" t="s">
        <v>231</v>
      </c>
      <c r="M221" s="56" t="s">
        <v>232</v>
      </c>
      <c r="N221" s="50" t="s">
        <v>37</v>
      </c>
      <c r="O221" s="56">
        <v>390</v>
      </c>
      <c r="P221" s="92">
        <f>VLOOKUP(L221,[1]TDSheet!B$10:E$365,4,FALSE)</f>
        <v>1614</v>
      </c>
      <c r="Q221" s="92">
        <f t="shared" si="3"/>
        <v>1224</v>
      </c>
      <c r="R221" s="106">
        <f>VLOOKUP(L221,[2]TDSheet!B$10:E$436,4,FALSE)</f>
        <v>244</v>
      </c>
    </row>
    <row r="222" spans="1:18" ht="15.6" x14ac:dyDescent="0.3">
      <c r="A222" s="53"/>
      <c r="B222" s="54"/>
      <c r="C222" s="54"/>
      <c r="D222" s="54"/>
      <c r="E222" s="55"/>
      <c r="F222" s="75"/>
      <c r="G222" s="76"/>
      <c r="H222" s="76"/>
      <c r="I222" s="48"/>
      <c r="J222" s="70"/>
      <c r="K222" s="70"/>
      <c r="L222" s="93" t="s">
        <v>475</v>
      </c>
      <c r="M222" s="56" t="s">
        <v>476</v>
      </c>
      <c r="N222" s="50" t="s">
        <v>34</v>
      </c>
      <c r="O222" s="56">
        <v>4</v>
      </c>
      <c r="P222" s="92" t="e">
        <f>VLOOKUP(L222,[1]TDSheet!B$10:E$365,4,FALSE)</f>
        <v>#N/A</v>
      </c>
      <c r="Q222" s="92" t="e">
        <f t="shared" si="3"/>
        <v>#N/A</v>
      </c>
      <c r="R222" s="106">
        <f>VLOOKUP(L222,[2]TDSheet!B$10:E$436,4,FALSE)</f>
        <v>4</v>
      </c>
    </row>
    <row r="223" spans="1:18" ht="15.6" x14ac:dyDescent="0.3">
      <c r="A223" s="53"/>
      <c r="B223" s="54"/>
      <c r="C223" s="54"/>
      <c r="D223" s="54"/>
      <c r="E223" s="55"/>
      <c r="F223" s="75"/>
      <c r="G223" s="76"/>
      <c r="H223" s="76"/>
      <c r="I223" s="48"/>
      <c r="J223" s="70"/>
      <c r="K223" s="70"/>
      <c r="L223" s="58">
        <v>18042</v>
      </c>
      <c r="M223" s="56" t="s">
        <v>233</v>
      </c>
      <c r="N223" s="50" t="s">
        <v>57</v>
      </c>
      <c r="O223" s="56">
        <v>30</v>
      </c>
      <c r="P223" s="92">
        <f>VLOOKUP(L223,[1]TDSheet!B$10:E$365,4,FALSE)</f>
        <v>70</v>
      </c>
      <c r="Q223" s="92">
        <f t="shared" si="3"/>
        <v>40</v>
      </c>
      <c r="R223" s="106" t="e">
        <f>VLOOKUP(L223,[2]TDSheet!B$10:E$436,4,FALSE)</f>
        <v>#N/A</v>
      </c>
    </row>
    <row r="224" spans="1:18" ht="15.6" x14ac:dyDescent="0.3">
      <c r="A224" s="53"/>
      <c r="B224" s="54"/>
      <c r="C224" s="54"/>
      <c r="D224" s="54"/>
      <c r="E224" s="55"/>
      <c r="F224" s="75"/>
      <c r="G224" s="76"/>
      <c r="H224" s="76"/>
      <c r="I224" s="48"/>
      <c r="J224" s="70"/>
      <c r="K224" s="70"/>
      <c r="L224" s="58" t="s">
        <v>521</v>
      </c>
      <c r="M224" s="56" t="s">
        <v>522</v>
      </c>
      <c r="N224" s="50" t="s">
        <v>39</v>
      </c>
      <c r="O224" s="56">
        <v>5.8000000000000003E-2</v>
      </c>
      <c r="P224" s="92">
        <f>VLOOKUP(L224,[1]TDSheet!B$10:E$365,4,FALSE)</f>
        <v>0.155</v>
      </c>
      <c r="Q224" s="92">
        <f t="shared" si="3"/>
        <v>9.7000000000000003E-2</v>
      </c>
      <c r="R224" s="106">
        <f>VLOOKUP(L224,[2]TDSheet!B$10:E$436,4,FALSE)</f>
        <v>0.155</v>
      </c>
    </row>
    <row r="225" spans="1:18" ht="15.6" x14ac:dyDescent="0.3">
      <c r="A225" s="53"/>
      <c r="B225" s="54"/>
      <c r="C225" s="54"/>
      <c r="D225" s="54"/>
      <c r="E225" s="55"/>
      <c r="F225" s="75"/>
      <c r="G225" s="76"/>
      <c r="H225" s="76"/>
      <c r="I225" s="48"/>
      <c r="J225" s="70"/>
      <c r="K225" s="70"/>
      <c r="L225" s="58" t="s">
        <v>234</v>
      </c>
      <c r="M225" s="56" t="s">
        <v>235</v>
      </c>
      <c r="N225" s="50" t="s">
        <v>34</v>
      </c>
      <c r="O225" s="56">
        <v>2</v>
      </c>
      <c r="P225" s="92">
        <f>VLOOKUP(L225,[1]TDSheet!B$10:E$365,4,FALSE)</f>
        <v>8</v>
      </c>
      <c r="Q225" s="92">
        <f t="shared" si="3"/>
        <v>6</v>
      </c>
      <c r="R225" s="106">
        <f>VLOOKUP(L225,[2]TDSheet!B$10:E$436,4,FALSE)</f>
        <v>8</v>
      </c>
    </row>
    <row r="226" spans="1:18" ht="15.6" x14ac:dyDescent="0.3">
      <c r="A226" s="53"/>
      <c r="B226" s="54"/>
      <c r="C226" s="54"/>
      <c r="D226" s="54"/>
      <c r="E226" s="55"/>
      <c r="F226" s="75"/>
      <c r="G226" s="76"/>
      <c r="H226" s="76"/>
      <c r="I226" s="48"/>
      <c r="J226" s="70"/>
      <c r="K226" s="70"/>
      <c r="L226" s="58" t="s">
        <v>236</v>
      </c>
      <c r="M226" s="56" t="s">
        <v>237</v>
      </c>
      <c r="N226" s="50" t="s">
        <v>34</v>
      </c>
      <c r="O226" s="56">
        <v>4</v>
      </c>
      <c r="P226" s="92">
        <f>VLOOKUP(L226,[1]TDSheet!B$10:E$365,4,FALSE)</f>
        <v>16</v>
      </c>
      <c r="Q226" s="92">
        <f t="shared" si="3"/>
        <v>12</v>
      </c>
      <c r="R226" s="106">
        <f>VLOOKUP(L226,[2]TDSheet!B$10:E$436,4,FALSE)</f>
        <v>16</v>
      </c>
    </row>
    <row r="227" spans="1:18" ht="15.6" x14ac:dyDescent="0.3">
      <c r="A227" s="53"/>
      <c r="B227" s="54"/>
      <c r="C227" s="54"/>
      <c r="D227" s="54"/>
      <c r="E227" s="55"/>
      <c r="F227" s="75"/>
      <c r="G227" s="76"/>
      <c r="H227" s="76"/>
      <c r="I227" s="48"/>
      <c r="J227" s="70"/>
      <c r="K227" s="70"/>
      <c r="L227" s="58" t="s">
        <v>238</v>
      </c>
      <c r="M227" s="56" t="s">
        <v>239</v>
      </c>
      <c r="N227" s="50" t="s">
        <v>57</v>
      </c>
      <c r="O227" s="56">
        <v>80</v>
      </c>
      <c r="P227" s="92">
        <f>VLOOKUP(L227,[1]TDSheet!B$10:E$365,4,FALSE)</f>
        <v>1920</v>
      </c>
      <c r="Q227" s="92">
        <f t="shared" si="3"/>
        <v>1840</v>
      </c>
      <c r="R227" s="106">
        <f>VLOOKUP(L227,[2]TDSheet!B$10:E$436,4,FALSE)</f>
        <v>1920</v>
      </c>
    </row>
    <row r="228" spans="1:18" ht="15.6" x14ac:dyDescent="0.3">
      <c r="A228" s="53"/>
      <c r="B228" s="54"/>
      <c r="C228" s="54"/>
      <c r="D228" s="54"/>
      <c r="E228" s="55"/>
      <c r="F228" s="75"/>
      <c r="G228" s="76"/>
      <c r="H228" s="76"/>
      <c r="I228" s="48"/>
      <c r="J228" s="70"/>
      <c r="K228" s="70"/>
      <c r="L228" s="58">
        <v>9068</v>
      </c>
      <c r="M228" s="56" t="s">
        <v>102</v>
      </c>
      <c r="N228" s="50" t="s">
        <v>57</v>
      </c>
      <c r="O228" s="56">
        <v>375</v>
      </c>
      <c r="P228" s="92">
        <f>VLOOKUP(L228,[1]TDSheet!B$10:E$365,4,FALSE)</f>
        <v>375</v>
      </c>
      <c r="Q228" s="92">
        <f t="shared" si="3"/>
        <v>0</v>
      </c>
      <c r="R228" s="106" t="e">
        <f>VLOOKUP(L228,[2]TDSheet!B$10:E$436,4,FALSE)</f>
        <v>#N/A</v>
      </c>
    </row>
    <row r="229" spans="1:18" ht="15.6" x14ac:dyDescent="0.3">
      <c r="A229" s="53"/>
      <c r="B229" s="54"/>
      <c r="C229" s="54"/>
      <c r="D229" s="54"/>
      <c r="E229" s="55"/>
      <c r="F229" s="75"/>
      <c r="G229" s="76"/>
      <c r="H229" s="76"/>
      <c r="I229" s="48"/>
      <c r="J229" s="70"/>
      <c r="K229" s="70"/>
      <c r="L229" s="58" t="s">
        <v>103</v>
      </c>
      <c r="M229" s="56" t="s">
        <v>104</v>
      </c>
      <c r="N229" s="50" t="s">
        <v>57</v>
      </c>
      <c r="O229" s="56">
        <v>25</v>
      </c>
      <c r="P229" s="92">
        <f>VLOOKUP(L229,[1]TDSheet!B$10:E$365,4,FALSE)</f>
        <v>100</v>
      </c>
      <c r="Q229" s="92">
        <f t="shared" si="3"/>
        <v>75</v>
      </c>
      <c r="R229" s="106">
        <f>VLOOKUP(L229,[2]TDSheet!B$10:E$436,4,FALSE)</f>
        <v>100</v>
      </c>
    </row>
    <row r="230" spans="1:18" ht="15.6" x14ac:dyDescent="0.3">
      <c r="A230" s="53"/>
      <c r="B230" s="54"/>
      <c r="C230" s="54"/>
      <c r="D230" s="54"/>
      <c r="E230" s="55"/>
      <c r="F230" s="75"/>
      <c r="G230" s="76"/>
      <c r="H230" s="76"/>
      <c r="I230" s="48"/>
      <c r="J230" s="70"/>
      <c r="K230" s="70"/>
      <c r="L230" s="58" t="s">
        <v>477</v>
      </c>
      <c r="M230" s="56" t="s">
        <v>478</v>
      </c>
      <c r="N230" s="50" t="s">
        <v>34</v>
      </c>
      <c r="O230" s="56">
        <v>1</v>
      </c>
      <c r="P230" s="92">
        <f>VLOOKUP(L230,[1]TDSheet!B$10:E$365,4,FALSE)</f>
        <v>4</v>
      </c>
      <c r="Q230" s="92">
        <f t="shared" si="3"/>
        <v>3</v>
      </c>
      <c r="R230" s="106">
        <f>VLOOKUP(L230,[2]TDSheet!B$10:E$436,4,FALSE)</f>
        <v>4</v>
      </c>
    </row>
    <row r="231" spans="1:18" ht="15.6" x14ac:dyDescent="0.3">
      <c r="A231" s="53"/>
      <c r="B231" s="54"/>
      <c r="C231" s="54"/>
      <c r="D231" s="54"/>
      <c r="E231" s="55"/>
      <c r="F231" s="75"/>
      <c r="G231" s="76"/>
      <c r="H231" s="76"/>
      <c r="I231" s="48"/>
      <c r="J231" s="70"/>
      <c r="K231" s="70"/>
      <c r="L231" s="58" t="s">
        <v>479</v>
      </c>
      <c r="M231" s="56" t="s">
        <v>480</v>
      </c>
      <c r="N231" s="50" t="s">
        <v>34</v>
      </c>
      <c r="O231" s="56">
        <v>5</v>
      </c>
      <c r="P231" s="92">
        <f>VLOOKUP(L231,[1]TDSheet!B$10:E$365,4,FALSE)</f>
        <v>20</v>
      </c>
      <c r="Q231" s="92">
        <f t="shared" si="3"/>
        <v>15</v>
      </c>
      <c r="R231" s="106">
        <f>VLOOKUP(L231,[2]TDSheet!B$10:E$436,4,FALSE)</f>
        <v>20</v>
      </c>
    </row>
    <row r="232" spans="1:18" ht="15.6" x14ac:dyDescent="0.3">
      <c r="A232" s="53"/>
      <c r="B232" s="54"/>
      <c r="C232" s="54"/>
      <c r="D232" s="54"/>
      <c r="E232" s="55"/>
      <c r="F232" s="75"/>
      <c r="G232" s="76"/>
      <c r="H232" s="76"/>
      <c r="I232" s="48"/>
      <c r="J232" s="70"/>
      <c r="K232" s="70"/>
      <c r="L232" s="58" t="s">
        <v>481</v>
      </c>
      <c r="M232" s="56" t="s">
        <v>482</v>
      </c>
      <c r="N232" s="50" t="s">
        <v>34</v>
      </c>
      <c r="O232" s="56">
        <v>5</v>
      </c>
      <c r="P232" s="92">
        <f>VLOOKUP(L232,[1]TDSheet!B$10:E$365,4,FALSE)</f>
        <v>20</v>
      </c>
      <c r="Q232" s="92">
        <f t="shared" si="3"/>
        <v>15</v>
      </c>
      <c r="R232" s="106">
        <f>VLOOKUP(L232,[2]TDSheet!B$10:E$436,4,FALSE)</f>
        <v>20</v>
      </c>
    </row>
    <row r="233" spans="1:18" ht="15.6" x14ac:dyDescent="0.3">
      <c r="A233" s="53"/>
      <c r="B233" s="54"/>
      <c r="C233" s="54"/>
      <c r="D233" s="54"/>
      <c r="E233" s="55"/>
      <c r="F233" s="75"/>
      <c r="G233" s="76"/>
      <c r="H233" s="76"/>
      <c r="I233" s="48"/>
      <c r="J233" s="70"/>
      <c r="K233" s="70"/>
      <c r="L233" s="58">
        <v>589</v>
      </c>
      <c r="M233" s="56" t="s">
        <v>483</v>
      </c>
      <c r="N233" s="50" t="s">
        <v>57</v>
      </c>
      <c r="O233" s="56">
        <v>34</v>
      </c>
      <c r="P233" s="92">
        <f>VLOOKUP(L233,[1]TDSheet!B$10:E$365,4,FALSE)</f>
        <v>148</v>
      </c>
      <c r="Q233" s="92">
        <f t="shared" si="3"/>
        <v>114</v>
      </c>
      <c r="R233" s="106" t="e">
        <f>VLOOKUP(L233,[2]TDSheet!B$10:E$436,4,FALSE)</f>
        <v>#N/A</v>
      </c>
    </row>
    <row r="234" spans="1:18" ht="15.6" x14ac:dyDescent="0.3">
      <c r="A234" s="53"/>
      <c r="B234" s="54"/>
      <c r="C234" s="54"/>
      <c r="D234" s="54"/>
      <c r="E234" s="55"/>
      <c r="F234" s="75"/>
      <c r="G234" s="76"/>
      <c r="H234" s="76"/>
      <c r="I234" s="48"/>
      <c r="J234" s="70"/>
      <c r="K234" s="70"/>
      <c r="L234" s="58" t="s">
        <v>240</v>
      </c>
      <c r="M234" s="56" t="s">
        <v>241</v>
      </c>
      <c r="N234" s="50" t="s">
        <v>34</v>
      </c>
      <c r="O234" s="56">
        <v>1</v>
      </c>
      <c r="P234" s="92">
        <f>VLOOKUP(L234,[1]TDSheet!B$10:E$365,4,FALSE)</f>
        <v>4</v>
      </c>
      <c r="Q234" s="92">
        <f t="shared" si="3"/>
        <v>3</v>
      </c>
      <c r="R234" s="106">
        <f>VLOOKUP(L234,[2]TDSheet!B$10:E$436,4,FALSE)</f>
        <v>4</v>
      </c>
    </row>
    <row r="235" spans="1:18" ht="15.6" x14ac:dyDescent="0.3">
      <c r="A235" s="53"/>
      <c r="B235" s="54"/>
      <c r="C235" s="54"/>
      <c r="D235" s="54"/>
      <c r="E235" s="55"/>
      <c r="F235" s="75"/>
      <c r="G235" s="76"/>
      <c r="H235" s="76"/>
      <c r="I235" s="48"/>
      <c r="J235" s="70"/>
      <c r="K235" s="70"/>
      <c r="L235" s="58" t="s">
        <v>484</v>
      </c>
      <c r="M235" s="56" t="s">
        <v>485</v>
      </c>
      <c r="N235" s="50" t="s">
        <v>34</v>
      </c>
      <c r="O235" s="56">
        <v>1</v>
      </c>
      <c r="P235" s="92">
        <f>VLOOKUP(L235,[1]TDSheet!B$10:E$365,4,FALSE)</f>
        <v>4</v>
      </c>
      <c r="Q235" s="92">
        <f t="shared" si="3"/>
        <v>3</v>
      </c>
      <c r="R235" s="106">
        <f>VLOOKUP(L235,[2]TDSheet!B$10:E$436,4,FALSE)</f>
        <v>4</v>
      </c>
    </row>
    <row r="236" spans="1:18" ht="15.6" x14ac:dyDescent="0.3">
      <c r="A236" s="53"/>
      <c r="B236" s="54"/>
      <c r="C236" s="54"/>
      <c r="D236" s="54"/>
      <c r="E236" s="55"/>
      <c r="F236" s="75"/>
      <c r="G236" s="76"/>
      <c r="H236" s="76"/>
      <c r="I236" s="48"/>
      <c r="J236" s="70"/>
      <c r="K236" s="70"/>
      <c r="L236" s="58" t="s">
        <v>486</v>
      </c>
      <c r="M236" s="56" t="s">
        <v>487</v>
      </c>
      <c r="N236" s="50" t="s">
        <v>34</v>
      </c>
      <c r="O236" s="56">
        <v>2</v>
      </c>
      <c r="P236" s="92">
        <f>VLOOKUP(L236,[1]TDSheet!B$10:E$365,4,FALSE)</f>
        <v>8</v>
      </c>
      <c r="Q236" s="92">
        <f t="shared" si="3"/>
        <v>6</v>
      </c>
      <c r="R236" s="106">
        <f>VLOOKUP(L236,[2]TDSheet!B$10:E$436,4,FALSE)</f>
        <v>8</v>
      </c>
    </row>
    <row r="237" spans="1:18" ht="15.6" x14ac:dyDescent="0.3">
      <c r="A237" s="53"/>
      <c r="B237" s="54"/>
      <c r="C237" s="54"/>
      <c r="D237" s="54"/>
      <c r="E237" s="55"/>
      <c r="F237" s="75"/>
      <c r="G237" s="76"/>
      <c r="H237" s="76"/>
      <c r="I237" s="48"/>
      <c r="J237" s="70"/>
      <c r="K237" s="70"/>
      <c r="L237" s="58" t="s">
        <v>488</v>
      </c>
      <c r="M237" s="56" t="s">
        <v>489</v>
      </c>
      <c r="N237" s="50" t="s">
        <v>34</v>
      </c>
      <c r="O237" s="56">
        <v>5</v>
      </c>
      <c r="P237" s="92">
        <f>VLOOKUP(L237,[1]TDSheet!B$10:E$365,4,FALSE)</f>
        <v>20</v>
      </c>
      <c r="Q237" s="92">
        <f t="shared" si="3"/>
        <v>15</v>
      </c>
      <c r="R237" s="106">
        <f>VLOOKUP(L237,[2]TDSheet!B$10:E$436,4,FALSE)</f>
        <v>20</v>
      </c>
    </row>
    <row r="238" spans="1:18" ht="15.6" x14ac:dyDescent="0.3">
      <c r="A238" s="53"/>
      <c r="B238" s="54"/>
      <c r="C238" s="54"/>
      <c r="D238" s="54"/>
      <c r="E238" s="55"/>
      <c r="F238" s="75"/>
      <c r="G238" s="76"/>
      <c r="H238" s="76"/>
      <c r="I238" s="48"/>
      <c r="J238" s="70"/>
      <c r="K238" s="70"/>
      <c r="L238" s="58">
        <v>396</v>
      </c>
      <c r="M238" s="56" t="s">
        <v>105</v>
      </c>
      <c r="N238" s="50" t="s">
        <v>34</v>
      </c>
      <c r="O238" s="91">
        <v>3000</v>
      </c>
      <c r="P238" s="92">
        <f>VLOOKUP(L238,[1]TDSheet!B$10:E$365,4,FALSE)</f>
        <v>5000</v>
      </c>
      <c r="Q238" s="92">
        <f t="shared" si="3"/>
        <v>2000</v>
      </c>
      <c r="R238" s="106" t="e">
        <f>VLOOKUP(L238,[2]TDSheet!B$10:E$436,4,FALSE)</f>
        <v>#N/A</v>
      </c>
    </row>
    <row r="239" spans="1:18" ht="15.6" x14ac:dyDescent="0.3">
      <c r="A239" s="53"/>
      <c r="B239" s="54"/>
      <c r="C239" s="54"/>
      <c r="D239" s="54"/>
      <c r="E239" s="55"/>
      <c r="F239" s="75"/>
      <c r="G239" s="76"/>
      <c r="H239" s="76"/>
      <c r="I239" s="48"/>
      <c r="J239" s="70"/>
      <c r="K239" s="70"/>
      <c r="L239" s="58">
        <v>395</v>
      </c>
      <c r="M239" s="56" t="s">
        <v>106</v>
      </c>
      <c r="N239" s="50" t="s">
        <v>34</v>
      </c>
      <c r="O239" s="91">
        <v>150</v>
      </c>
      <c r="P239" s="92">
        <f>VLOOKUP(L239,[1]TDSheet!B$10:E$365,4,FALSE)</f>
        <v>360</v>
      </c>
      <c r="Q239" s="92">
        <f t="shared" si="3"/>
        <v>210</v>
      </c>
      <c r="R239" s="106" t="e">
        <f>VLOOKUP(L239,[2]TDSheet!B$10:E$436,4,FALSE)</f>
        <v>#N/A</v>
      </c>
    </row>
    <row r="240" spans="1:18" ht="15.6" x14ac:dyDescent="0.3">
      <c r="A240" s="53"/>
      <c r="B240" s="54"/>
      <c r="C240" s="54"/>
      <c r="D240" s="54"/>
      <c r="E240" s="55"/>
      <c r="F240" s="75"/>
      <c r="G240" s="76"/>
      <c r="H240" s="76"/>
      <c r="I240" s="48"/>
      <c r="J240" s="70"/>
      <c r="K240" s="70"/>
      <c r="L240" s="93"/>
      <c r="M240" s="56" t="s">
        <v>514</v>
      </c>
      <c r="N240" s="50" t="s">
        <v>34</v>
      </c>
      <c r="O240" s="91">
        <f>250*6</f>
        <v>1500</v>
      </c>
      <c r="P240" s="92" t="e">
        <f>VLOOKUP(L240,[1]TDSheet!B$10:E$365,4,FALSE)</f>
        <v>#N/A</v>
      </c>
      <c r="Q240" s="92" t="e">
        <f t="shared" si="3"/>
        <v>#N/A</v>
      </c>
      <c r="R240" s="106" t="e">
        <f>VLOOKUP(L240,[2]TDSheet!B$10:E$436,4,FALSE)</f>
        <v>#N/A</v>
      </c>
    </row>
    <row r="241" spans="1:18" ht="15.6" x14ac:dyDescent="0.3">
      <c r="A241" s="53"/>
      <c r="B241" s="54"/>
      <c r="C241" s="54"/>
      <c r="D241" s="54"/>
      <c r="E241" s="55"/>
      <c r="F241" s="75"/>
      <c r="G241" s="76"/>
      <c r="H241" s="76"/>
      <c r="I241" s="48"/>
      <c r="J241" s="70"/>
      <c r="K241" s="70"/>
      <c r="L241" s="93"/>
      <c r="M241" s="56" t="s">
        <v>515</v>
      </c>
      <c r="N241" s="50" t="s">
        <v>34</v>
      </c>
      <c r="O241" s="91">
        <f>400</f>
        <v>400</v>
      </c>
      <c r="P241" s="92" t="e">
        <f>VLOOKUP(L241,[1]TDSheet!B$10:E$365,4,FALSE)</f>
        <v>#N/A</v>
      </c>
      <c r="Q241" s="92" t="e">
        <f t="shared" si="3"/>
        <v>#N/A</v>
      </c>
      <c r="R241" s="106" t="e">
        <f>VLOOKUP(L241,[2]TDSheet!B$10:E$436,4,FALSE)</f>
        <v>#N/A</v>
      </c>
    </row>
    <row r="242" spans="1:18" ht="15.6" x14ac:dyDescent="0.3">
      <c r="A242" s="53"/>
      <c r="B242" s="54"/>
      <c r="C242" s="54"/>
      <c r="D242" s="54"/>
      <c r="E242" s="55"/>
      <c r="F242" s="75"/>
      <c r="G242" s="76"/>
      <c r="H242" s="76"/>
      <c r="I242" s="48"/>
      <c r="J242" s="70"/>
      <c r="K242" s="70"/>
      <c r="L242" s="58" t="s">
        <v>490</v>
      </c>
      <c r="M242" s="56" t="s">
        <v>491</v>
      </c>
      <c r="N242" s="50" t="s">
        <v>34</v>
      </c>
      <c r="O242" s="56">
        <v>2</v>
      </c>
      <c r="P242" s="92">
        <f>VLOOKUP(L242,[1]TDSheet!B$10:E$365,4,FALSE)</f>
        <v>8</v>
      </c>
      <c r="Q242" s="92">
        <f t="shared" si="3"/>
        <v>6</v>
      </c>
      <c r="R242" s="106">
        <f>VLOOKUP(L242,[2]TDSheet!B$10:E$436,4,FALSE)</f>
        <v>8</v>
      </c>
    </row>
    <row r="243" spans="1:18" ht="15.6" x14ac:dyDescent="0.3">
      <c r="A243" s="53"/>
      <c r="B243" s="54"/>
      <c r="C243" s="54"/>
      <c r="D243" s="54"/>
      <c r="E243" s="55"/>
      <c r="F243" s="75"/>
      <c r="G243" s="76"/>
      <c r="H243" s="76"/>
      <c r="I243" s="48"/>
      <c r="J243" s="70"/>
      <c r="K243" s="70"/>
      <c r="L243" s="58" t="s">
        <v>46</v>
      </c>
      <c r="M243" s="56" t="s">
        <v>107</v>
      </c>
      <c r="N243" s="50" t="s">
        <v>64</v>
      </c>
      <c r="O243" s="56">
        <v>51</v>
      </c>
      <c r="P243" s="92">
        <f>VLOOKUP(L243,[1]TDSheet!B$10:E$365,4,FALSE)</f>
        <v>26</v>
      </c>
      <c r="Q243" s="92">
        <f t="shared" si="3"/>
        <v>-25</v>
      </c>
      <c r="R243" s="106">
        <f>VLOOKUP(L243,[2]TDSheet!B$10:E$436,4,FALSE)</f>
        <v>26</v>
      </c>
    </row>
    <row r="244" spans="1:18" ht="15.6" x14ac:dyDescent="0.3">
      <c r="A244" s="85"/>
      <c r="B244" s="54"/>
      <c r="C244" s="54"/>
      <c r="D244" s="54"/>
      <c r="E244" s="55"/>
      <c r="F244" s="86"/>
      <c r="G244" s="87"/>
      <c r="H244" s="87"/>
      <c r="I244" s="48"/>
      <c r="J244" s="70"/>
      <c r="K244" s="70"/>
      <c r="L244" s="88" t="s">
        <v>492</v>
      </c>
      <c r="M244" s="89" t="s">
        <v>493</v>
      </c>
      <c r="N244" s="90" t="s">
        <v>34</v>
      </c>
      <c r="O244" s="89">
        <v>1</v>
      </c>
      <c r="P244" s="92">
        <f>VLOOKUP(L244,[1]TDSheet!B$10:E$365,4,FALSE)</f>
        <v>4</v>
      </c>
      <c r="Q244" s="92">
        <f t="shared" si="3"/>
        <v>3</v>
      </c>
      <c r="R244" s="106">
        <f>VLOOKUP(L244,[2]TDSheet!B$10:E$436,4,FALSE)</f>
        <v>4</v>
      </c>
    </row>
    <row r="245" spans="1:18" ht="15.6" x14ac:dyDescent="0.3">
      <c r="A245" s="85"/>
      <c r="B245" s="54"/>
      <c r="C245" s="54"/>
      <c r="D245" s="54"/>
      <c r="E245" s="55"/>
      <c r="F245" s="86"/>
      <c r="G245" s="87"/>
      <c r="H245" s="87"/>
      <c r="I245" s="48"/>
      <c r="J245" s="70"/>
      <c r="K245" s="70"/>
      <c r="L245" s="88">
        <v>104</v>
      </c>
      <c r="M245" s="89" t="s">
        <v>494</v>
      </c>
      <c r="N245" s="90" t="s">
        <v>34</v>
      </c>
      <c r="O245" s="89">
        <v>48</v>
      </c>
      <c r="P245" s="92">
        <f>VLOOKUP(L245,[1]TDSheet!B$10:E$365,4,FALSE)</f>
        <v>211</v>
      </c>
      <c r="Q245" s="92">
        <f t="shared" si="3"/>
        <v>163</v>
      </c>
      <c r="R245" s="106" t="e">
        <f>VLOOKUP(L245,[2]TDSheet!B$10:E$436,4,FALSE)</f>
        <v>#N/A</v>
      </c>
    </row>
    <row r="246" spans="1:18" ht="15.6" x14ac:dyDescent="0.3">
      <c r="A246" s="85"/>
      <c r="B246" s="54"/>
      <c r="C246" s="54"/>
      <c r="D246" s="54"/>
      <c r="E246" s="55"/>
      <c r="F246" s="86"/>
      <c r="G246" s="87"/>
      <c r="H246" s="87"/>
      <c r="I246" s="48"/>
      <c r="J246" s="70"/>
      <c r="K246" s="70"/>
      <c r="L246" s="88" t="s">
        <v>242</v>
      </c>
      <c r="M246" s="89" t="s">
        <v>243</v>
      </c>
      <c r="N246" s="90" t="s">
        <v>34</v>
      </c>
      <c r="O246" s="89">
        <v>1</v>
      </c>
      <c r="P246" s="92">
        <f>VLOOKUP(L246,[1]TDSheet!B$10:E$365,4,FALSE)</f>
        <v>2</v>
      </c>
      <c r="Q246" s="92">
        <f t="shared" si="3"/>
        <v>1</v>
      </c>
      <c r="R246" s="106">
        <f>VLOOKUP(L246,[2]TDSheet!B$10:E$436,4,FALSE)</f>
        <v>2</v>
      </c>
    </row>
    <row r="247" spans="1:18" ht="15.6" x14ac:dyDescent="0.3">
      <c r="A247" s="85"/>
      <c r="B247" s="54"/>
      <c r="C247" s="54"/>
      <c r="D247" s="54"/>
      <c r="E247" s="55"/>
      <c r="F247" s="86"/>
      <c r="G247" s="87"/>
      <c r="H247" s="87"/>
      <c r="I247" s="48"/>
      <c r="J247" s="70"/>
      <c r="K247" s="70"/>
      <c r="L247" s="88" t="s">
        <v>244</v>
      </c>
      <c r="M247" s="89" t="s">
        <v>245</v>
      </c>
      <c r="N247" s="90" t="s">
        <v>34</v>
      </c>
      <c r="O247" s="89">
        <v>1</v>
      </c>
      <c r="P247" s="92">
        <f>VLOOKUP(L247,[1]TDSheet!B$10:E$365,4,FALSE)</f>
        <v>1</v>
      </c>
      <c r="Q247" s="92">
        <f t="shared" si="3"/>
        <v>0</v>
      </c>
      <c r="R247" s="106">
        <f>VLOOKUP(L247,[2]TDSheet!B$10:E$436,4,FALSE)</f>
        <v>1</v>
      </c>
    </row>
    <row r="248" spans="1:18" ht="15.6" x14ac:dyDescent="0.3">
      <c r="A248" s="85"/>
      <c r="B248" s="54"/>
      <c r="C248" s="54"/>
      <c r="D248" s="54"/>
      <c r="E248" s="55"/>
      <c r="F248" s="86"/>
      <c r="G248" s="87"/>
      <c r="H248" s="87"/>
      <c r="I248" s="48"/>
      <c r="J248" s="70"/>
      <c r="K248" s="70"/>
      <c r="L248" s="88" t="s">
        <v>246</v>
      </c>
      <c r="M248" s="89" t="s">
        <v>247</v>
      </c>
      <c r="N248" s="90" t="s">
        <v>34</v>
      </c>
      <c r="O248" s="89">
        <v>2</v>
      </c>
      <c r="P248" s="92">
        <f>VLOOKUP(L248,[1]TDSheet!B$10:E$365,4,FALSE)</f>
        <v>1</v>
      </c>
      <c r="Q248" s="92">
        <f t="shared" si="3"/>
        <v>-1</v>
      </c>
      <c r="R248" s="106">
        <f>VLOOKUP(L248,[2]TDSheet!B$10:E$436,4,FALSE)</f>
        <v>1</v>
      </c>
    </row>
    <row r="249" spans="1:18" ht="15.6" x14ac:dyDescent="0.3">
      <c r="A249" s="85"/>
      <c r="B249" s="54"/>
      <c r="C249" s="54"/>
      <c r="D249" s="54"/>
      <c r="E249" s="55"/>
      <c r="F249" s="86"/>
      <c r="G249" s="87"/>
      <c r="H249" s="87"/>
      <c r="I249" s="48"/>
      <c r="J249" s="70"/>
      <c r="K249" s="70"/>
      <c r="L249" s="88" t="s">
        <v>47</v>
      </c>
      <c r="M249" s="89" t="s">
        <v>108</v>
      </c>
      <c r="N249" s="90" t="s">
        <v>34</v>
      </c>
      <c r="O249" s="89">
        <v>23</v>
      </c>
      <c r="P249" s="92">
        <f>VLOOKUP(L249,[1]TDSheet!B$10:E$365,4,FALSE)</f>
        <v>2</v>
      </c>
      <c r="Q249" s="92">
        <f t="shared" si="3"/>
        <v>-21</v>
      </c>
      <c r="R249" s="106">
        <f>VLOOKUP(L249,[2]TDSheet!B$10:E$436,4,FALSE)</f>
        <v>88</v>
      </c>
    </row>
    <row r="250" spans="1:18" ht="15.6" x14ac:dyDescent="0.3">
      <c r="A250" s="85"/>
      <c r="B250" s="54"/>
      <c r="C250" s="54"/>
      <c r="D250" s="54"/>
      <c r="E250" s="55"/>
      <c r="F250" s="86"/>
      <c r="G250" s="87"/>
      <c r="H250" s="87"/>
      <c r="I250" s="48"/>
      <c r="J250" s="70"/>
      <c r="K250" s="70"/>
      <c r="L250" s="88" t="s">
        <v>495</v>
      </c>
      <c r="M250" s="89" t="s">
        <v>496</v>
      </c>
      <c r="N250" s="90" t="s">
        <v>34</v>
      </c>
      <c r="O250" s="89">
        <v>6</v>
      </c>
      <c r="P250" s="92">
        <f>VLOOKUP(L250,[1]TDSheet!B$10:E$365,4,FALSE)</f>
        <v>3</v>
      </c>
      <c r="Q250" s="92">
        <f t="shared" si="3"/>
        <v>-3</v>
      </c>
      <c r="R250" s="106">
        <f>VLOOKUP(L250,[2]TDSheet!B$10:E$436,4,FALSE)</f>
        <v>3</v>
      </c>
    </row>
    <row r="251" spans="1:18" ht="15.6" x14ac:dyDescent="0.3">
      <c r="A251" s="85"/>
      <c r="B251" s="54"/>
      <c r="C251" s="54"/>
      <c r="D251" s="54"/>
      <c r="E251" s="55"/>
      <c r="F251" s="86"/>
      <c r="G251" s="87"/>
      <c r="H251" s="87"/>
      <c r="I251" s="48"/>
      <c r="J251" s="70"/>
      <c r="K251" s="70"/>
      <c r="L251" s="88" t="s">
        <v>497</v>
      </c>
      <c r="M251" s="89" t="s">
        <v>498</v>
      </c>
      <c r="N251" s="90" t="s">
        <v>34</v>
      </c>
      <c r="O251" s="89">
        <v>3</v>
      </c>
      <c r="P251" s="92">
        <f>VLOOKUP(L251,[1]TDSheet!B$10:E$365,4,FALSE)</f>
        <v>1</v>
      </c>
      <c r="Q251" s="92">
        <f t="shared" si="3"/>
        <v>-2</v>
      </c>
      <c r="R251" s="106">
        <f>VLOOKUP(L251,[2]TDSheet!B$10:E$436,4,FALSE)</f>
        <v>2</v>
      </c>
    </row>
    <row r="252" spans="1:18" ht="15.6" x14ac:dyDescent="0.3">
      <c r="A252" s="85"/>
      <c r="B252" s="54"/>
      <c r="C252" s="54"/>
      <c r="D252" s="54"/>
      <c r="E252" s="55"/>
      <c r="F252" s="86"/>
      <c r="G252" s="87"/>
      <c r="H252" s="87"/>
      <c r="I252" s="48"/>
      <c r="J252" s="70"/>
      <c r="K252" s="70"/>
      <c r="L252" s="88" t="s">
        <v>499</v>
      </c>
      <c r="M252" s="89" t="s">
        <v>500</v>
      </c>
      <c r="N252" s="90" t="s">
        <v>34</v>
      </c>
      <c r="O252" s="89">
        <v>2</v>
      </c>
      <c r="P252" s="92">
        <f>VLOOKUP(L252,[1]TDSheet!B$10:E$365,4,FALSE)</f>
        <v>2</v>
      </c>
      <c r="Q252" s="92">
        <f t="shared" si="3"/>
        <v>0</v>
      </c>
      <c r="R252" s="106">
        <f>VLOOKUP(L252,[2]TDSheet!B$10:E$436,4,FALSE)</f>
        <v>2</v>
      </c>
    </row>
    <row r="253" spans="1:18" ht="15.6" x14ac:dyDescent="0.3">
      <c r="A253" s="85"/>
      <c r="B253" s="54"/>
      <c r="C253" s="54"/>
      <c r="D253" s="54"/>
      <c r="E253" s="55"/>
      <c r="F253" s="86"/>
      <c r="G253" s="87"/>
      <c r="H253" s="87"/>
      <c r="I253" s="48"/>
      <c r="J253" s="70"/>
      <c r="K253" s="70"/>
      <c r="L253" s="88">
        <v>15090</v>
      </c>
      <c r="M253" s="89" t="s">
        <v>501</v>
      </c>
      <c r="N253" s="90" t="s">
        <v>34</v>
      </c>
      <c r="O253" s="89">
        <v>8</v>
      </c>
      <c r="P253" s="92">
        <f>VLOOKUP(L253,[1]TDSheet!B$10:E$365,4,FALSE)</f>
        <v>32</v>
      </c>
      <c r="Q253" s="92">
        <f t="shared" si="3"/>
        <v>24</v>
      </c>
      <c r="R253" s="106" t="e">
        <f>VLOOKUP(L253,[2]TDSheet!B$10:E$436,4,FALSE)</f>
        <v>#N/A</v>
      </c>
    </row>
    <row r="254" spans="1:18" ht="15.6" x14ac:dyDescent="0.3">
      <c r="A254" s="85"/>
      <c r="B254" s="54"/>
      <c r="C254" s="54"/>
      <c r="D254" s="54"/>
      <c r="E254" s="55"/>
      <c r="F254" s="86"/>
      <c r="G254" s="87"/>
      <c r="H254" s="87"/>
      <c r="I254" s="48"/>
      <c r="J254" s="70"/>
      <c r="K254" s="70"/>
      <c r="L254" s="88" t="s">
        <v>502</v>
      </c>
      <c r="M254" s="89" t="s">
        <v>503</v>
      </c>
      <c r="N254" s="90" t="s">
        <v>34</v>
      </c>
      <c r="O254" s="89">
        <v>2</v>
      </c>
      <c r="P254" s="92">
        <f>VLOOKUP(L254,[1]TDSheet!B$10:E$365,4,FALSE)</f>
        <v>8</v>
      </c>
      <c r="Q254" s="92">
        <f t="shared" si="3"/>
        <v>6</v>
      </c>
      <c r="R254" s="106">
        <f>VLOOKUP(L254,[2]TDSheet!B$10:E$436,4,FALSE)</f>
        <v>8</v>
      </c>
    </row>
    <row r="255" spans="1:18" ht="15.6" x14ac:dyDescent="0.3">
      <c r="A255" s="85"/>
      <c r="B255" s="54"/>
      <c r="C255" s="54"/>
      <c r="D255" s="54"/>
      <c r="E255" s="55"/>
      <c r="F255" s="86"/>
      <c r="G255" s="87"/>
      <c r="H255" s="87"/>
      <c r="I255" s="48"/>
      <c r="J255" s="70"/>
      <c r="K255" s="70"/>
      <c r="L255" s="88" t="s">
        <v>504</v>
      </c>
      <c r="M255" s="89" t="s">
        <v>505</v>
      </c>
      <c r="N255" s="90" t="s">
        <v>34</v>
      </c>
      <c r="O255" s="89">
        <v>10</v>
      </c>
      <c r="P255" s="92">
        <f>VLOOKUP(L255,[1]TDSheet!B$10:E$365,4,FALSE)</f>
        <v>4</v>
      </c>
      <c r="Q255" s="92">
        <f t="shared" si="3"/>
        <v>-6</v>
      </c>
      <c r="R255" s="106">
        <f>VLOOKUP(L255,[2]TDSheet!B$10:E$436,4,FALSE)</f>
        <v>4</v>
      </c>
    </row>
    <row r="256" spans="1:18" ht="15.6" x14ac:dyDescent="0.3">
      <c r="A256" s="85"/>
      <c r="B256" s="54"/>
      <c r="C256" s="54"/>
      <c r="D256" s="54"/>
      <c r="E256" s="55"/>
      <c r="F256" s="86"/>
      <c r="G256" s="87"/>
      <c r="H256" s="87"/>
      <c r="I256" s="48"/>
      <c r="J256" s="70"/>
      <c r="K256" s="70"/>
      <c r="L256" s="88">
        <v>12126</v>
      </c>
      <c r="M256" s="89" t="s">
        <v>506</v>
      </c>
      <c r="N256" s="90" t="s">
        <v>34</v>
      </c>
      <c r="O256" s="89">
        <v>2000</v>
      </c>
      <c r="P256" s="92">
        <f>VLOOKUP(L256,[1]TDSheet!B$10:E$365,4,FALSE)</f>
        <v>2000</v>
      </c>
      <c r="Q256" s="92">
        <f t="shared" si="3"/>
        <v>0</v>
      </c>
      <c r="R256" s="106" t="e">
        <f>VLOOKUP(L256,[2]TDSheet!B$10:E$436,4,FALSE)</f>
        <v>#N/A</v>
      </c>
    </row>
    <row r="257" spans="1:18" ht="15.6" x14ac:dyDescent="0.3">
      <c r="A257" s="85"/>
      <c r="B257" s="54"/>
      <c r="C257" s="54"/>
      <c r="D257" s="54"/>
      <c r="E257" s="55"/>
      <c r="F257" s="86"/>
      <c r="G257" s="87"/>
      <c r="H257" s="87"/>
      <c r="I257" s="48"/>
      <c r="J257" s="70"/>
      <c r="K257" s="70"/>
      <c r="L257" s="88">
        <v>4659</v>
      </c>
      <c r="M257" s="89" t="s">
        <v>109</v>
      </c>
      <c r="N257" s="90" t="s">
        <v>34</v>
      </c>
      <c r="O257" s="89">
        <v>5000</v>
      </c>
      <c r="P257" s="92">
        <f>VLOOKUP(L257,[1]TDSheet!B$10:E$365,4,FALSE)</f>
        <v>5000</v>
      </c>
      <c r="Q257" s="92">
        <f t="shared" si="3"/>
        <v>0</v>
      </c>
      <c r="R257" s="106" t="e">
        <f>VLOOKUP(L257,[2]TDSheet!B$10:E$436,4,FALSE)</f>
        <v>#N/A</v>
      </c>
    </row>
    <row r="258" spans="1:18" ht="15.6" x14ac:dyDescent="0.3">
      <c r="A258" s="85"/>
      <c r="B258" s="54"/>
      <c r="C258" s="54"/>
      <c r="D258" s="54"/>
      <c r="E258" s="55"/>
      <c r="F258" s="86"/>
      <c r="G258" s="87"/>
      <c r="H258" s="87"/>
      <c r="I258" s="48"/>
      <c r="J258" s="70"/>
      <c r="K258" s="70"/>
      <c r="L258" s="88">
        <v>4453</v>
      </c>
      <c r="M258" s="89" t="s">
        <v>248</v>
      </c>
      <c r="N258" s="90" t="s">
        <v>34</v>
      </c>
      <c r="O258" s="89">
        <v>900</v>
      </c>
      <c r="P258" s="92">
        <f>VLOOKUP(L258,[1]TDSheet!B$10:E$365,4,FALSE)</f>
        <v>900</v>
      </c>
      <c r="Q258" s="92">
        <f t="shared" si="3"/>
        <v>0</v>
      </c>
      <c r="R258" s="106" t="e">
        <f>VLOOKUP(L258,[2]TDSheet!B$10:E$436,4,FALSE)</f>
        <v>#N/A</v>
      </c>
    </row>
    <row r="259" spans="1:18" ht="15.6" x14ac:dyDescent="0.3">
      <c r="A259" s="85"/>
      <c r="B259" s="54"/>
      <c r="C259" s="54"/>
      <c r="D259" s="54"/>
      <c r="E259" s="55"/>
      <c r="F259" s="86"/>
      <c r="G259" s="87"/>
      <c r="H259" s="87"/>
      <c r="I259" s="48"/>
      <c r="J259" s="70"/>
      <c r="K259" s="70"/>
      <c r="L259" s="88">
        <v>2054</v>
      </c>
      <c r="M259" s="89" t="s">
        <v>507</v>
      </c>
      <c r="N259" s="90" t="s">
        <v>34</v>
      </c>
      <c r="O259" s="89">
        <v>700</v>
      </c>
      <c r="P259" s="92">
        <f>VLOOKUP(L259,[1]TDSheet!B$10:E$365,4,FALSE)</f>
        <v>700</v>
      </c>
      <c r="Q259" s="92">
        <f t="shared" si="3"/>
        <v>0</v>
      </c>
      <c r="R259" s="106" t="e">
        <f>VLOOKUP(L259,[2]TDSheet!B$10:E$436,4,FALSE)</f>
        <v>#N/A</v>
      </c>
    </row>
    <row r="260" spans="1:18" ht="15.6" x14ac:dyDescent="0.3">
      <c r="A260" s="85"/>
      <c r="B260" s="54"/>
      <c r="C260" s="54"/>
      <c r="D260" s="54"/>
      <c r="E260" s="55"/>
      <c r="F260" s="86"/>
      <c r="G260" s="87"/>
      <c r="H260" s="87"/>
      <c r="I260" s="48"/>
      <c r="J260" s="70"/>
      <c r="K260" s="70"/>
      <c r="L260" s="88" t="s">
        <v>508</v>
      </c>
      <c r="M260" s="89" t="s">
        <v>509</v>
      </c>
      <c r="N260" s="90" t="s">
        <v>34</v>
      </c>
      <c r="O260" s="89">
        <v>5</v>
      </c>
      <c r="P260" s="92">
        <f>VLOOKUP(L260,[1]TDSheet!B$10:E$365,4,FALSE)</f>
        <v>21</v>
      </c>
      <c r="Q260" s="92">
        <f t="shared" si="3"/>
        <v>16</v>
      </c>
      <c r="R260" s="106">
        <f>VLOOKUP(L260,[2]TDSheet!B$10:E$436,4,FALSE)</f>
        <v>21</v>
      </c>
    </row>
    <row r="261" spans="1:18" ht="15.6" x14ac:dyDescent="0.3">
      <c r="A261" s="85"/>
      <c r="B261" s="54"/>
      <c r="C261" s="54"/>
      <c r="D261" s="54"/>
      <c r="E261" s="55"/>
      <c r="F261" s="86"/>
      <c r="G261" s="87"/>
      <c r="H261" s="87"/>
      <c r="I261" s="48"/>
      <c r="J261" s="70"/>
      <c r="K261" s="70"/>
      <c r="L261" s="88" t="s">
        <v>55</v>
      </c>
      <c r="M261" s="89" t="s">
        <v>110</v>
      </c>
      <c r="N261" s="90" t="s">
        <v>34</v>
      </c>
      <c r="O261" s="89">
        <v>2</v>
      </c>
      <c r="P261" s="92">
        <f>VLOOKUP(L261,[1]TDSheet!B$10:E$365,4,FALSE)</f>
        <v>4</v>
      </c>
      <c r="Q261" s="92">
        <f t="shared" si="3"/>
        <v>2</v>
      </c>
      <c r="R261" s="106">
        <f>VLOOKUP(L261,[2]TDSheet!B$10:E$436,4,FALSE)</f>
        <v>4</v>
      </c>
    </row>
    <row r="262" spans="1:18" ht="15.6" x14ac:dyDescent="0.3">
      <c r="A262" s="85"/>
      <c r="B262" s="54"/>
      <c r="C262" s="54"/>
      <c r="D262" s="54"/>
      <c r="E262" s="55"/>
      <c r="F262" s="86"/>
      <c r="G262" s="87"/>
      <c r="H262" s="87"/>
      <c r="I262" s="48"/>
      <c r="J262" s="70"/>
      <c r="K262" s="70"/>
      <c r="L262" s="88" t="s">
        <v>523</v>
      </c>
      <c r="M262" s="89" t="s">
        <v>62</v>
      </c>
      <c r="N262" s="90" t="s">
        <v>34</v>
      </c>
      <c r="O262" s="89">
        <v>2</v>
      </c>
      <c r="P262" s="92">
        <f>VLOOKUP(L262,[1]TDSheet!B$10:E$365,4,FALSE)</f>
        <v>10</v>
      </c>
      <c r="Q262" s="92">
        <f t="shared" si="3"/>
        <v>8</v>
      </c>
      <c r="R262" s="106">
        <f>VLOOKUP(L262,[2]TDSheet!B$10:E$436,4,FALSE)</f>
        <v>10</v>
      </c>
    </row>
    <row r="263" spans="1:18" ht="15.6" x14ac:dyDescent="0.3">
      <c r="A263" s="85"/>
      <c r="B263" s="54"/>
      <c r="C263" s="54"/>
      <c r="D263" s="54"/>
      <c r="E263" s="55"/>
      <c r="F263" s="86"/>
      <c r="G263" s="87"/>
      <c r="H263" s="87"/>
      <c r="I263" s="48"/>
      <c r="J263" s="70"/>
      <c r="K263" s="70"/>
      <c r="L263" s="95"/>
      <c r="M263" s="89" t="s">
        <v>91</v>
      </c>
      <c r="N263" s="90" t="s">
        <v>34</v>
      </c>
      <c r="O263" s="89">
        <v>1</v>
      </c>
      <c r="P263" s="92" t="e">
        <f>VLOOKUP(L263,[1]TDSheet!B$10:E$365,4,FALSE)</f>
        <v>#N/A</v>
      </c>
      <c r="Q263" s="92" t="e">
        <f t="shared" si="3"/>
        <v>#N/A</v>
      </c>
      <c r="R263" s="106" t="e">
        <f>VLOOKUP(L263,[2]TDSheet!B$10:E$436,4,FALSE)</f>
        <v>#N/A</v>
      </c>
    </row>
    <row r="264" spans="1:18" ht="15.6" x14ac:dyDescent="0.3">
      <c r="A264" s="85"/>
      <c r="B264" s="54"/>
      <c r="C264" s="54"/>
      <c r="D264" s="54"/>
      <c r="E264" s="55"/>
      <c r="F264" s="86"/>
      <c r="G264" s="87"/>
      <c r="H264" s="87"/>
      <c r="I264" s="48"/>
      <c r="J264" s="70"/>
      <c r="K264" s="70"/>
      <c r="L264" s="95"/>
      <c r="M264" s="89" t="s">
        <v>101</v>
      </c>
      <c r="N264" s="90" t="s">
        <v>39</v>
      </c>
      <c r="O264" s="89">
        <v>0.08</v>
      </c>
      <c r="P264" s="92" t="e">
        <f>VLOOKUP(L264,[1]TDSheet!B$10:E$365,4,FALSE)</f>
        <v>#N/A</v>
      </c>
      <c r="Q264" s="92" t="e">
        <f t="shared" si="3"/>
        <v>#N/A</v>
      </c>
      <c r="R264" s="106" t="e">
        <f>VLOOKUP(L264,[2]TDSheet!B$10:E$436,4,FALSE)</f>
        <v>#N/A</v>
      </c>
    </row>
    <row r="265" spans="1:18" ht="15.6" x14ac:dyDescent="0.3">
      <c r="A265" s="85"/>
      <c r="B265" s="54"/>
      <c r="C265" s="54"/>
      <c r="D265" s="54"/>
      <c r="E265" s="55"/>
      <c r="F265" s="86"/>
      <c r="G265" s="87"/>
      <c r="H265" s="87"/>
      <c r="I265" s="48"/>
      <c r="J265" s="70"/>
      <c r="K265" s="70"/>
      <c r="L265" s="95"/>
      <c r="M265" s="89" t="s">
        <v>60</v>
      </c>
      <c r="N265" s="90" t="s">
        <v>34</v>
      </c>
      <c r="O265" s="89">
        <v>4</v>
      </c>
      <c r="P265" s="92" t="e">
        <f>VLOOKUP(L265,[1]TDSheet!B$10:E$365,4,FALSE)</f>
        <v>#N/A</v>
      </c>
      <c r="Q265" s="92" t="e">
        <f t="shared" si="3"/>
        <v>#N/A</v>
      </c>
      <c r="R265" s="106" t="e">
        <f>VLOOKUP(L265,[2]TDSheet!B$10:E$436,4,FALSE)</f>
        <v>#N/A</v>
      </c>
    </row>
    <row r="266" spans="1:18" ht="15.6" x14ac:dyDescent="0.3">
      <c r="A266" s="85"/>
      <c r="B266" s="54"/>
      <c r="C266" s="54"/>
      <c r="D266" s="54"/>
      <c r="E266" s="55"/>
      <c r="F266" s="86"/>
      <c r="G266" s="87"/>
      <c r="H266" s="87"/>
      <c r="I266" s="48"/>
      <c r="J266" s="70"/>
      <c r="K266" s="70"/>
      <c r="L266" s="95"/>
      <c r="M266" s="89" t="s">
        <v>50</v>
      </c>
      <c r="N266" s="90" t="s">
        <v>34</v>
      </c>
      <c r="O266" s="89">
        <v>1</v>
      </c>
      <c r="P266" s="92" t="e">
        <f>VLOOKUP(L266,[1]TDSheet!B$10:E$365,4,FALSE)</f>
        <v>#N/A</v>
      </c>
      <c r="Q266" s="92" t="e">
        <f t="shared" si="3"/>
        <v>#N/A</v>
      </c>
      <c r="R266" s="106" t="e">
        <f>VLOOKUP(L266,[2]TDSheet!B$10:E$436,4,FALSE)</f>
        <v>#N/A</v>
      </c>
    </row>
    <row r="267" spans="1:18" ht="15.6" x14ac:dyDescent="0.3">
      <c r="A267" s="85"/>
      <c r="B267" s="54"/>
      <c r="C267" s="54"/>
      <c r="D267" s="54"/>
      <c r="E267" s="55"/>
      <c r="F267" s="86"/>
      <c r="G267" s="87"/>
      <c r="H267" s="87"/>
      <c r="I267" s="48"/>
      <c r="J267" s="70"/>
      <c r="K267" s="70"/>
      <c r="L267" s="95"/>
      <c r="M267" s="89" t="s">
        <v>524</v>
      </c>
      <c r="N267" s="90" t="s">
        <v>34</v>
      </c>
      <c r="O267" s="89">
        <v>2</v>
      </c>
      <c r="P267" s="92" t="e">
        <f>VLOOKUP(L267,[1]TDSheet!B$10:E$365,4,FALSE)</f>
        <v>#N/A</v>
      </c>
      <c r="Q267" s="92" t="e">
        <f t="shared" si="3"/>
        <v>#N/A</v>
      </c>
      <c r="R267" s="106" t="e">
        <f>VLOOKUP(L267,[2]TDSheet!B$10:E$436,4,FALSE)</f>
        <v>#N/A</v>
      </c>
    </row>
    <row r="268" spans="1:18" ht="15.6" x14ac:dyDescent="0.3">
      <c r="A268" s="85"/>
      <c r="B268" s="54"/>
      <c r="C268" s="54"/>
      <c r="D268" s="54"/>
      <c r="E268" s="55"/>
      <c r="F268" s="86"/>
      <c r="G268" s="87"/>
      <c r="H268" s="87"/>
      <c r="I268" s="48"/>
      <c r="J268" s="70"/>
      <c r="K268" s="70"/>
      <c r="L268" s="95"/>
      <c r="M268" s="89" t="s">
        <v>61</v>
      </c>
      <c r="N268" s="90" t="s">
        <v>34</v>
      </c>
      <c r="O268" s="89">
        <v>3</v>
      </c>
      <c r="P268" s="92" t="e">
        <f>VLOOKUP(L268,[1]TDSheet!B$10:E$365,4,FALSE)</f>
        <v>#N/A</v>
      </c>
      <c r="Q268" s="92" t="e">
        <f t="shared" si="3"/>
        <v>#N/A</v>
      </c>
      <c r="R268" s="106" t="e">
        <f>VLOOKUP(L268,[2]TDSheet!B$10:E$436,4,FALSE)</f>
        <v>#N/A</v>
      </c>
    </row>
    <row r="269" spans="1:18" ht="15.6" x14ac:dyDescent="0.3">
      <c r="A269" s="85"/>
      <c r="B269" s="54"/>
      <c r="C269" s="54"/>
      <c r="D269" s="54"/>
      <c r="E269" s="55"/>
      <c r="F269" s="86"/>
      <c r="G269" s="87"/>
      <c r="H269" s="87"/>
      <c r="I269" s="48"/>
      <c r="J269" s="70"/>
      <c r="K269" s="70"/>
      <c r="L269" s="88" t="s">
        <v>510</v>
      </c>
      <c r="M269" s="89" t="s">
        <v>511</v>
      </c>
      <c r="N269" s="90" t="s">
        <v>34</v>
      </c>
      <c r="O269" s="89">
        <v>3</v>
      </c>
      <c r="P269" s="92">
        <f>VLOOKUP(L269,[1]TDSheet!B$10:E$365,4,FALSE)</f>
        <v>6</v>
      </c>
      <c r="Q269" s="92">
        <f t="shared" si="3"/>
        <v>3</v>
      </c>
      <c r="R269" s="106">
        <f>VLOOKUP(L269,[2]TDSheet!B$10:E$436,4,FALSE)</f>
        <v>6</v>
      </c>
    </row>
    <row r="270" spans="1:18" ht="15.6" x14ac:dyDescent="0.3">
      <c r="A270" s="85"/>
      <c r="B270" s="54"/>
      <c r="C270" s="54"/>
      <c r="D270" s="54"/>
      <c r="E270" s="55"/>
      <c r="F270" s="86"/>
      <c r="G270" s="87"/>
      <c r="H270" s="87"/>
      <c r="I270" s="48"/>
      <c r="J270" s="70"/>
      <c r="K270" s="70"/>
      <c r="L270" s="116" t="s">
        <v>722</v>
      </c>
      <c r="M270" s="117" t="s">
        <v>723</v>
      </c>
      <c r="N270" s="118" t="s">
        <v>34</v>
      </c>
      <c r="O270" s="117">
        <v>1</v>
      </c>
      <c r="P270" s="92"/>
      <c r="Q270" s="92"/>
      <c r="R270" s="106"/>
    </row>
    <row r="271" spans="1:18" ht="15.6" x14ac:dyDescent="0.3">
      <c r="A271" s="85"/>
      <c r="B271" s="54"/>
      <c r="C271" s="54"/>
      <c r="D271" s="54"/>
      <c r="E271" s="55"/>
      <c r="F271" s="86"/>
      <c r="G271" s="87"/>
      <c r="H271" s="87"/>
      <c r="I271" s="48"/>
      <c r="J271" s="70"/>
      <c r="K271" s="70"/>
      <c r="L271" s="116" t="s">
        <v>724</v>
      </c>
      <c r="M271" s="117" t="s">
        <v>725</v>
      </c>
      <c r="N271" s="118" t="s">
        <v>34</v>
      </c>
      <c r="O271" s="117">
        <v>1</v>
      </c>
      <c r="P271" s="92"/>
      <c r="Q271" s="92"/>
      <c r="R271" s="106"/>
    </row>
    <row r="272" spans="1:18" ht="16.2" thickBot="1" x14ac:dyDescent="0.35">
      <c r="A272" s="85"/>
      <c r="B272" s="54"/>
      <c r="C272" s="54"/>
      <c r="D272" s="54"/>
      <c r="E272" s="55"/>
      <c r="F272" s="86"/>
      <c r="G272" s="87"/>
      <c r="H272" s="87"/>
      <c r="I272" s="48"/>
      <c r="J272" s="70"/>
      <c r="K272" s="70"/>
      <c r="L272" s="116" t="s">
        <v>726</v>
      </c>
      <c r="M272" s="117" t="s">
        <v>727</v>
      </c>
      <c r="N272" s="118" t="s">
        <v>34</v>
      </c>
      <c r="O272" s="117">
        <v>1</v>
      </c>
      <c r="P272" s="92"/>
      <c r="Q272" s="92"/>
      <c r="R272" s="106"/>
    </row>
    <row r="273" spans="1:21" ht="21.6" thickBot="1" x14ac:dyDescent="0.35">
      <c r="A273" s="28"/>
      <c r="B273" s="29" t="s">
        <v>23</v>
      </c>
      <c r="C273" s="30"/>
      <c r="D273" s="31"/>
      <c r="E273" s="31"/>
      <c r="F273" s="31"/>
      <c r="G273" s="31"/>
      <c r="H273" s="31">
        <f>SUM(H20:H243)</f>
        <v>0</v>
      </c>
      <c r="I273" s="71"/>
      <c r="J273" s="71"/>
      <c r="K273" s="71"/>
      <c r="L273" s="32"/>
      <c r="M273" s="33"/>
      <c r="N273" s="33"/>
      <c r="O273" s="34"/>
      <c r="P273" s="34"/>
      <c r="Q273" s="34" t="e">
        <f>SUM(Q19:Q272)</f>
        <v>#N/A</v>
      </c>
      <c r="R273" s="35"/>
    </row>
    <row r="274" spans="1:21" ht="21" x14ac:dyDescent="0.3">
      <c r="A274" s="24"/>
      <c r="B274" s="27"/>
      <c r="C274" s="25"/>
      <c r="D274" s="26"/>
      <c r="E274" s="26"/>
      <c r="F274" s="77"/>
      <c r="G274" s="78"/>
      <c r="H274" s="79"/>
      <c r="I274" s="72"/>
      <c r="J274" s="72"/>
      <c r="K274" s="72"/>
      <c r="L274" s="66" t="s">
        <v>531</v>
      </c>
      <c r="M274" s="64" t="s">
        <v>111</v>
      </c>
      <c r="N274" s="64" t="s">
        <v>34</v>
      </c>
      <c r="O274" s="46">
        <v>14</v>
      </c>
      <c r="P274" s="46"/>
      <c r="Q274" s="46"/>
      <c r="R274" s="19"/>
      <c r="T274" s="319"/>
      <c r="U274" s="319"/>
    </row>
    <row r="275" spans="1:21" ht="18" x14ac:dyDescent="0.3">
      <c r="A275" s="15"/>
      <c r="B275" s="20"/>
      <c r="C275" s="6"/>
      <c r="D275" s="44"/>
      <c r="E275" s="44"/>
      <c r="F275" s="75"/>
      <c r="G275" s="76"/>
      <c r="H275" s="76"/>
      <c r="I275" s="49"/>
      <c r="J275" s="49"/>
      <c r="K275" s="49"/>
      <c r="L275" s="67" t="s">
        <v>532</v>
      </c>
      <c r="M275" s="68" t="s">
        <v>533</v>
      </c>
      <c r="N275" s="68" t="s">
        <v>34</v>
      </c>
      <c r="O275" s="45">
        <v>2</v>
      </c>
      <c r="P275" s="45"/>
      <c r="Q275" s="45"/>
      <c r="R275" s="19"/>
      <c r="T275" s="4"/>
      <c r="U275" s="4"/>
    </row>
    <row r="276" spans="1:21" ht="18" x14ac:dyDescent="0.3">
      <c r="A276" s="15"/>
      <c r="B276" s="20"/>
      <c r="C276" s="6"/>
      <c r="D276" s="44"/>
      <c r="E276" s="44"/>
      <c r="F276" s="75"/>
      <c r="G276" s="76"/>
      <c r="H276" s="76"/>
      <c r="I276" s="49"/>
      <c r="J276" s="49"/>
      <c r="K276" s="49"/>
      <c r="L276" s="67" t="s">
        <v>112</v>
      </c>
      <c r="M276" s="68" t="s">
        <v>113</v>
      </c>
      <c r="N276" s="68" t="s">
        <v>34</v>
      </c>
      <c r="O276" s="45">
        <v>26</v>
      </c>
      <c r="P276" s="45"/>
      <c r="Q276" s="45"/>
      <c r="R276" s="19"/>
      <c r="T276" s="4"/>
      <c r="U276" s="4"/>
    </row>
    <row r="277" spans="1:21" ht="18" x14ac:dyDescent="0.3">
      <c r="A277" s="15"/>
      <c r="B277" s="20"/>
      <c r="C277" s="6"/>
      <c r="D277" s="44"/>
      <c r="E277" s="44"/>
      <c r="F277" s="75"/>
      <c r="G277" s="76"/>
      <c r="H277" s="76"/>
      <c r="I277" s="49"/>
      <c r="J277" s="49"/>
      <c r="K277" s="49"/>
      <c r="L277" s="67" t="s">
        <v>534</v>
      </c>
      <c r="M277" s="68" t="s">
        <v>535</v>
      </c>
      <c r="N277" s="68" t="s">
        <v>34</v>
      </c>
      <c r="O277" s="45">
        <v>3</v>
      </c>
      <c r="P277" s="45"/>
      <c r="Q277" s="45"/>
      <c r="R277" s="19"/>
      <c r="T277" s="4"/>
      <c r="U277" s="4"/>
    </row>
    <row r="278" spans="1:21" ht="18" x14ac:dyDescent="0.3">
      <c r="A278" s="15"/>
      <c r="B278" s="20"/>
      <c r="C278" s="6"/>
      <c r="D278" s="44"/>
      <c r="E278" s="44"/>
      <c r="F278" s="75"/>
      <c r="G278" s="76"/>
      <c r="H278" s="76"/>
      <c r="I278" s="49"/>
      <c r="J278" s="49"/>
      <c r="K278" s="49"/>
      <c r="L278" s="67" t="s">
        <v>536</v>
      </c>
      <c r="M278" s="68" t="s">
        <v>249</v>
      </c>
      <c r="N278" s="68" t="s">
        <v>34</v>
      </c>
      <c r="O278" s="45">
        <v>5</v>
      </c>
      <c r="P278" s="45"/>
      <c r="Q278" s="45"/>
      <c r="R278" s="19"/>
      <c r="T278" s="4"/>
      <c r="U278" s="4"/>
    </row>
    <row r="279" spans="1:21" ht="18" x14ac:dyDescent="0.3">
      <c r="A279" s="15"/>
      <c r="B279" s="20"/>
      <c r="C279" s="6"/>
      <c r="D279" s="44"/>
      <c r="E279" s="44"/>
      <c r="F279" s="75"/>
      <c r="G279" s="76"/>
      <c r="H279" s="76"/>
      <c r="I279" s="49"/>
      <c r="J279" s="49"/>
      <c r="K279" s="49"/>
      <c r="L279" s="67" t="s">
        <v>114</v>
      </c>
      <c r="M279" s="68" t="s">
        <v>115</v>
      </c>
      <c r="N279" s="68" t="s">
        <v>34</v>
      </c>
      <c r="O279" s="45">
        <v>19</v>
      </c>
      <c r="P279" s="45"/>
      <c r="Q279" s="45"/>
      <c r="R279" s="19"/>
      <c r="T279" s="4"/>
      <c r="U279" s="4"/>
    </row>
    <row r="280" spans="1:21" ht="18" x14ac:dyDescent="0.3">
      <c r="A280" s="15"/>
      <c r="B280" s="20"/>
      <c r="C280" s="6"/>
      <c r="D280" s="44"/>
      <c r="E280" s="44"/>
      <c r="F280" s="75"/>
      <c r="G280" s="76"/>
      <c r="H280" s="76"/>
      <c r="I280" s="49"/>
      <c r="J280" s="49"/>
      <c r="K280" s="49"/>
      <c r="L280" s="67" t="s">
        <v>116</v>
      </c>
      <c r="M280" s="68" t="s">
        <v>537</v>
      </c>
      <c r="N280" s="68" t="s">
        <v>34</v>
      </c>
      <c r="O280" s="45">
        <v>8</v>
      </c>
      <c r="P280" s="45"/>
      <c r="Q280" s="45"/>
      <c r="R280" s="19"/>
      <c r="T280" s="4"/>
      <c r="U280" s="4"/>
    </row>
    <row r="281" spans="1:21" ht="18" x14ac:dyDescent="0.3">
      <c r="A281" s="15"/>
      <c r="B281" s="20"/>
      <c r="C281" s="6"/>
      <c r="D281" s="44"/>
      <c r="E281" s="44"/>
      <c r="F281" s="75"/>
      <c r="G281" s="76"/>
      <c r="H281" s="76"/>
      <c r="I281" s="49"/>
      <c r="J281" s="49"/>
      <c r="K281" s="49"/>
      <c r="L281" s="67" t="s">
        <v>538</v>
      </c>
      <c r="M281" s="68" t="s">
        <v>117</v>
      </c>
      <c r="N281" s="68" t="s">
        <v>34</v>
      </c>
      <c r="O281" s="45">
        <v>9</v>
      </c>
      <c r="P281" s="45"/>
      <c r="Q281" s="45"/>
      <c r="R281" s="19"/>
      <c r="T281" s="4"/>
      <c r="U281" s="4"/>
    </row>
    <row r="282" spans="1:21" ht="18" x14ac:dyDescent="0.3">
      <c r="A282" s="15"/>
      <c r="B282" s="20"/>
      <c r="C282" s="6"/>
      <c r="D282" s="44"/>
      <c r="E282" s="44"/>
      <c r="F282" s="75"/>
      <c r="G282" s="76"/>
      <c r="H282" s="76"/>
      <c r="I282" s="49"/>
      <c r="J282" s="49"/>
      <c r="K282" s="49"/>
      <c r="L282" s="67" t="s">
        <v>539</v>
      </c>
      <c r="M282" s="68" t="s">
        <v>540</v>
      </c>
      <c r="N282" s="68" t="s">
        <v>34</v>
      </c>
      <c r="O282" s="45">
        <v>1</v>
      </c>
      <c r="P282" s="45"/>
      <c r="Q282" s="45"/>
      <c r="R282" s="19"/>
      <c r="T282" s="4"/>
      <c r="U282" s="4"/>
    </row>
    <row r="283" spans="1:21" ht="18" x14ac:dyDescent="0.3">
      <c r="A283" s="15"/>
      <c r="B283" s="20"/>
      <c r="C283" s="6"/>
      <c r="D283" s="44"/>
      <c r="E283" s="44"/>
      <c r="F283" s="75"/>
      <c r="G283" s="76"/>
      <c r="H283" s="76"/>
      <c r="I283" s="49"/>
      <c r="J283" s="49"/>
      <c r="K283" s="49"/>
      <c r="L283" s="67" t="s">
        <v>541</v>
      </c>
      <c r="M283" s="68" t="s">
        <v>542</v>
      </c>
      <c r="N283" s="68" t="s">
        <v>34</v>
      </c>
      <c r="O283" s="45">
        <v>1</v>
      </c>
      <c r="P283" s="45"/>
      <c r="Q283" s="45"/>
      <c r="R283" s="19"/>
      <c r="T283" s="4"/>
      <c r="U283" s="4"/>
    </row>
    <row r="284" spans="1:21" ht="18" x14ac:dyDescent="0.3">
      <c r="A284" s="15"/>
      <c r="B284" s="20"/>
      <c r="C284" s="6"/>
      <c r="D284" s="44"/>
      <c r="E284" s="44"/>
      <c r="F284" s="75"/>
      <c r="G284" s="76"/>
      <c r="H284" s="76"/>
      <c r="I284" s="49"/>
      <c r="J284" s="49"/>
      <c r="K284" s="49"/>
      <c r="L284" s="67" t="s">
        <v>543</v>
      </c>
      <c r="M284" s="68" t="s">
        <v>250</v>
      </c>
      <c r="N284" s="68" t="s">
        <v>34</v>
      </c>
      <c r="O284" s="45">
        <v>29</v>
      </c>
      <c r="P284" s="45"/>
      <c r="Q284" s="45"/>
      <c r="R284" s="19"/>
      <c r="T284" s="4"/>
      <c r="U284" s="4"/>
    </row>
    <row r="285" spans="1:21" ht="18" x14ac:dyDescent="0.3">
      <c r="A285" s="15"/>
      <c r="B285" s="20"/>
      <c r="C285" s="6"/>
      <c r="D285" s="44"/>
      <c r="E285" s="44"/>
      <c r="F285" s="75"/>
      <c r="G285" s="76"/>
      <c r="H285" s="76"/>
      <c r="I285" s="49"/>
      <c r="J285" s="49"/>
      <c r="K285" s="49"/>
      <c r="L285" s="67" t="s">
        <v>544</v>
      </c>
      <c r="M285" s="68" t="s">
        <v>545</v>
      </c>
      <c r="N285" s="68" t="s">
        <v>34</v>
      </c>
      <c r="O285" s="45">
        <v>3</v>
      </c>
      <c r="P285" s="45"/>
      <c r="Q285" s="45"/>
      <c r="R285" s="19"/>
      <c r="T285" s="4"/>
      <c r="U285" s="4"/>
    </row>
    <row r="286" spans="1:21" ht="18" x14ac:dyDescent="0.3">
      <c r="A286" s="15"/>
      <c r="B286" s="20"/>
      <c r="C286" s="6"/>
      <c r="D286" s="44"/>
      <c r="E286" s="44"/>
      <c r="F286" s="75"/>
      <c r="G286" s="76"/>
      <c r="H286" s="76"/>
      <c r="I286" s="49"/>
      <c r="J286" s="49"/>
      <c r="K286" s="49"/>
      <c r="L286" s="67" t="s">
        <v>118</v>
      </c>
      <c r="M286" s="68" t="s">
        <v>119</v>
      </c>
      <c r="N286" s="68" t="s">
        <v>34</v>
      </c>
      <c r="O286" s="45">
        <v>14</v>
      </c>
      <c r="P286" s="45"/>
      <c r="Q286" s="45"/>
      <c r="R286" s="19"/>
      <c r="T286" s="4"/>
      <c r="U286" s="4"/>
    </row>
    <row r="287" spans="1:21" ht="18" x14ac:dyDescent="0.3">
      <c r="A287" s="15"/>
      <c r="B287" s="20"/>
      <c r="C287" s="6"/>
      <c r="D287" s="44"/>
      <c r="E287" s="44"/>
      <c r="F287" s="75"/>
      <c r="G287" s="76"/>
      <c r="H287" s="76"/>
      <c r="I287" s="49"/>
      <c r="J287" s="49"/>
      <c r="K287" s="49"/>
      <c r="L287" s="67" t="s">
        <v>251</v>
      </c>
      <c r="M287" s="68" t="s">
        <v>252</v>
      </c>
      <c r="N287" s="68" t="s">
        <v>34</v>
      </c>
      <c r="O287" s="45">
        <v>1</v>
      </c>
      <c r="P287" s="45"/>
      <c r="Q287" s="45"/>
      <c r="R287" s="19"/>
      <c r="T287" s="4"/>
      <c r="U287" s="4"/>
    </row>
    <row r="288" spans="1:21" ht="18" x14ac:dyDescent="0.3">
      <c r="A288" s="15"/>
      <c r="B288" s="20"/>
      <c r="C288" s="6"/>
      <c r="D288" s="44"/>
      <c r="E288" s="44"/>
      <c r="F288" s="75"/>
      <c r="G288" s="76"/>
      <c r="H288" s="76"/>
      <c r="I288" s="49"/>
      <c r="J288" s="49"/>
      <c r="K288" s="49"/>
      <c r="L288" s="67" t="s">
        <v>546</v>
      </c>
      <c r="M288" s="68" t="s">
        <v>253</v>
      </c>
      <c r="N288" s="68" t="s">
        <v>34</v>
      </c>
      <c r="O288" s="45">
        <v>3</v>
      </c>
      <c r="P288" s="45"/>
      <c r="Q288" s="45"/>
      <c r="R288" s="19"/>
      <c r="T288" s="4"/>
      <c r="U288" s="4"/>
    </row>
    <row r="289" spans="1:21" ht="18" x14ac:dyDescent="0.3">
      <c r="A289" s="15"/>
      <c r="B289" s="20"/>
      <c r="C289" s="6"/>
      <c r="D289" s="44"/>
      <c r="E289" s="44"/>
      <c r="F289" s="75"/>
      <c r="G289" s="76"/>
      <c r="H289" s="76"/>
      <c r="I289" s="49"/>
      <c r="J289" s="49"/>
      <c r="K289" s="49"/>
      <c r="L289" s="67" t="s">
        <v>547</v>
      </c>
      <c r="M289" s="68" t="s">
        <v>120</v>
      </c>
      <c r="N289" s="68" t="s">
        <v>34</v>
      </c>
      <c r="O289" s="45">
        <v>20</v>
      </c>
      <c r="P289" s="45"/>
      <c r="Q289" s="45"/>
      <c r="R289" s="19"/>
      <c r="T289" s="4"/>
      <c r="U289" s="4"/>
    </row>
    <row r="290" spans="1:21" ht="18" x14ac:dyDescent="0.3">
      <c r="A290" s="15"/>
      <c r="B290" s="20"/>
      <c r="C290" s="6"/>
      <c r="D290" s="44"/>
      <c r="E290" s="44"/>
      <c r="F290" s="75"/>
      <c r="G290" s="76"/>
      <c r="H290" s="76"/>
      <c r="I290" s="49"/>
      <c r="J290" s="49"/>
      <c r="K290" s="49"/>
      <c r="L290" s="67" t="s">
        <v>548</v>
      </c>
      <c r="M290" s="68" t="s">
        <v>121</v>
      </c>
      <c r="N290" s="68" t="s">
        <v>64</v>
      </c>
      <c r="O290" s="45">
        <v>1</v>
      </c>
      <c r="P290" s="45"/>
      <c r="Q290" s="45"/>
      <c r="R290" s="19"/>
      <c r="T290" s="4"/>
      <c r="U290" s="4"/>
    </row>
    <row r="291" spans="1:21" ht="18" x14ac:dyDescent="0.3">
      <c r="A291" s="15"/>
      <c r="B291" s="20"/>
      <c r="C291" s="6"/>
      <c r="D291" s="44"/>
      <c r="E291" s="44"/>
      <c r="F291" s="75"/>
      <c r="G291" s="76"/>
      <c r="H291" s="76"/>
      <c r="I291" s="49"/>
      <c r="J291" s="49"/>
      <c r="K291" s="49"/>
      <c r="L291" s="67" t="s">
        <v>549</v>
      </c>
      <c r="M291" s="68" t="s">
        <v>122</v>
      </c>
      <c r="N291" s="68" t="s">
        <v>34</v>
      </c>
      <c r="O291" s="45">
        <v>4</v>
      </c>
      <c r="P291" s="45"/>
      <c r="Q291" s="45"/>
      <c r="R291" s="19"/>
      <c r="T291" s="4"/>
      <c r="U291" s="4"/>
    </row>
    <row r="292" spans="1:21" ht="18" x14ac:dyDescent="0.3">
      <c r="A292" s="15"/>
      <c r="B292" s="20"/>
      <c r="C292" s="6"/>
      <c r="D292" s="44"/>
      <c r="E292" s="44"/>
      <c r="F292" s="75"/>
      <c r="G292" s="76"/>
      <c r="H292" s="76"/>
      <c r="I292" s="49"/>
      <c r="J292" s="49"/>
      <c r="K292" s="49"/>
      <c r="L292" s="67" t="s">
        <v>550</v>
      </c>
      <c r="M292" s="68" t="s">
        <v>551</v>
      </c>
      <c r="N292" s="68" t="s">
        <v>34</v>
      </c>
      <c r="O292" s="45">
        <v>1</v>
      </c>
      <c r="P292" s="45"/>
      <c r="Q292" s="45"/>
      <c r="R292" s="19"/>
      <c r="T292" s="4"/>
      <c r="U292" s="4"/>
    </row>
    <row r="293" spans="1:21" ht="18" x14ac:dyDescent="0.3">
      <c r="A293" s="15"/>
      <c r="B293" s="20"/>
      <c r="C293" s="6"/>
      <c r="D293" s="44"/>
      <c r="E293" s="44"/>
      <c r="F293" s="75"/>
      <c r="G293" s="76"/>
      <c r="H293" s="76"/>
      <c r="I293" s="49"/>
      <c r="J293" s="49"/>
      <c r="K293" s="49"/>
      <c r="L293" s="67" t="s">
        <v>552</v>
      </c>
      <c r="M293" s="68" t="s">
        <v>553</v>
      </c>
      <c r="N293" s="68" t="s">
        <v>34</v>
      </c>
      <c r="O293" s="45">
        <v>10</v>
      </c>
      <c r="P293" s="45"/>
      <c r="Q293" s="45"/>
      <c r="R293" s="19"/>
      <c r="T293" s="4"/>
      <c r="U293" s="4"/>
    </row>
    <row r="294" spans="1:21" ht="18" x14ac:dyDescent="0.3">
      <c r="A294" s="15"/>
      <c r="B294" s="20"/>
      <c r="C294" s="6"/>
      <c r="D294" s="44"/>
      <c r="E294" s="44"/>
      <c r="F294" s="75"/>
      <c r="G294" s="76"/>
      <c r="H294" s="76"/>
      <c r="I294" s="49"/>
      <c r="J294" s="49"/>
      <c r="K294" s="49"/>
      <c r="L294" s="67" t="s">
        <v>554</v>
      </c>
      <c r="M294" s="68" t="s">
        <v>555</v>
      </c>
      <c r="N294" s="68" t="s">
        <v>34</v>
      </c>
      <c r="O294" s="45">
        <v>10</v>
      </c>
      <c r="P294" s="45"/>
      <c r="Q294" s="45"/>
      <c r="R294" s="19"/>
      <c r="T294" s="4"/>
      <c r="U294" s="4"/>
    </row>
    <row r="295" spans="1:21" ht="18" x14ac:dyDescent="0.3">
      <c r="A295" s="15"/>
      <c r="B295" s="20"/>
      <c r="C295" s="6"/>
      <c r="D295" s="44"/>
      <c r="E295" s="44"/>
      <c r="F295" s="75"/>
      <c r="G295" s="76"/>
      <c r="H295" s="76"/>
      <c r="I295" s="49"/>
      <c r="J295" s="49"/>
      <c r="K295" s="49"/>
      <c r="L295" s="67" t="s">
        <v>556</v>
      </c>
      <c r="M295" s="68" t="s">
        <v>557</v>
      </c>
      <c r="N295" s="68" t="s">
        <v>34</v>
      </c>
      <c r="O295" s="45">
        <v>4</v>
      </c>
      <c r="P295" s="45"/>
      <c r="Q295" s="45"/>
      <c r="R295" s="19"/>
      <c r="T295" s="4"/>
      <c r="U295" s="4"/>
    </row>
    <row r="296" spans="1:21" ht="18" x14ac:dyDescent="0.3">
      <c r="A296" s="15"/>
      <c r="B296" s="20"/>
      <c r="C296" s="6"/>
      <c r="D296" s="44"/>
      <c r="E296" s="44"/>
      <c r="F296" s="75"/>
      <c r="G296" s="76"/>
      <c r="H296" s="76"/>
      <c r="I296" s="49"/>
      <c r="J296" s="49"/>
      <c r="K296" s="49"/>
      <c r="L296" s="67" t="s">
        <v>123</v>
      </c>
      <c r="M296" s="68" t="s">
        <v>558</v>
      </c>
      <c r="N296" s="68" t="s">
        <v>34</v>
      </c>
      <c r="O296" s="45">
        <v>20</v>
      </c>
      <c r="P296" s="45"/>
      <c r="Q296" s="45"/>
      <c r="R296" s="19"/>
      <c r="T296" s="4"/>
      <c r="U296" s="4"/>
    </row>
    <row r="297" spans="1:21" ht="18" x14ac:dyDescent="0.3">
      <c r="A297" s="15"/>
      <c r="B297" s="20"/>
      <c r="C297" s="6"/>
      <c r="D297" s="44"/>
      <c r="E297" s="44"/>
      <c r="F297" s="75"/>
      <c r="G297" s="76"/>
      <c r="H297" s="76"/>
      <c r="I297" s="49"/>
      <c r="J297" s="49"/>
      <c r="K297" s="49"/>
      <c r="L297" s="67" t="s">
        <v>559</v>
      </c>
      <c r="M297" s="68" t="s">
        <v>560</v>
      </c>
      <c r="N297" s="68" t="s">
        <v>34</v>
      </c>
      <c r="O297" s="45">
        <v>11</v>
      </c>
      <c r="P297" s="45"/>
      <c r="Q297" s="45"/>
      <c r="R297" s="19"/>
      <c r="T297" s="4"/>
      <c r="U297" s="4"/>
    </row>
    <row r="298" spans="1:21" ht="18" x14ac:dyDescent="0.3">
      <c r="A298" s="15"/>
      <c r="B298" s="20"/>
      <c r="C298" s="6"/>
      <c r="D298" s="44"/>
      <c r="E298" s="44"/>
      <c r="F298" s="75"/>
      <c r="G298" s="76"/>
      <c r="H298" s="76"/>
      <c r="I298" s="49"/>
      <c r="J298" s="49"/>
      <c r="K298" s="49"/>
      <c r="L298" s="67" t="s">
        <v>254</v>
      </c>
      <c r="M298" s="68" t="s">
        <v>255</v>
      </c>
      <c r="N298" s="68" t="s">
        <v>34</v>
      </c>
      <c r="O298" s="45">
        <v>1</v>
      </c>
      <c r="P298" s="45"/>
      <c r="Q298" s="45"/>
      <c r="R298" s="19"/>
      <c r="T298" s="4"/>
      <c r="U298" s="4"/>
    </row>
    <row r="299" spans="1:21" ht="18" x14ac:dyDescent="0.3">
      <c r="A299" s="15"/>
      <c r="B299" s="20"/>
      <c r="C299" s="6"/>
      <c r="D299" s="44"/>
      <c r="E299" s="44"/>
      <c r="F299" s="75"/>
      <c r="G299" s="76"/>
      <c r="H299" s="76"/>
      <c r="I299" s="49"/>
      <c r="J299" s="49"/>
      <c r="K299" s="49"/>
      <c r="L299" s="67" t="s">
        <v>561</v>
      </c>
      <c r="M299" s="68" t="s">
        <v>562</v>
      </c>
      <c r="N299" s="68" t="s">
        <v>34</v>
      </c>
      <c r="O299" s="45">
        <v>1</v>
      </c>
      <c r="P299" s="45"/>
      <c r="Q299" s="45"/>
      <c r="R299" s="19"/>
      <c r="T299" s="4"/>
      <c r="U299" s="4"/>
    </row>
    <row r="300" spans="1:21" ht="28.8" x14ac:dyDescent="0.3">
      <c r="A300" s="15"/>
      <c r="B300" s="20"/>
      <c r="C300" s="6"/>
      <c r="D300" s="44"/>
      <c r="E300" s="44"/>
      <c r="F300" s="75"/>
      <c r="G300" s="76"/>
      <c r="H300" s="76"/>
      <c r="I300" s="49"/>
      <c r="J300" s="49"/>
      <c r="K300" s="49"/>
      <c r="L300" s="67" t="s">
        <v>563</v>
      </c>
      <c r="M300" s="68" t="s">
        <v>256</v>
      </c>
      <c r="N300" s="68" t="s">
        <v>34</v>
      </c>
      <c r="O300" s="45">
        <v>8</v>
      </c>
      <c r="P300" s="45"/>
      <c r="Q300" s="45"/>
      <c r="R300" s="19"/>
      <c r="T300" s="4"/>
      <c r="U300" s="4"/>
    </row>
    <row r="301" spans="1:21" ht="18" x14ac:dyDescent="0.3">
      <c r="A301" s="15"/>
      <c r="B301" s="20"/>
      <c r="C301" s="6"/>
      <c r="D301" s="44"/>
      <c r="E301" s="44"/>
      <c r="F301" s="75"/>
      <c r="G301" s="76"/>
      <c r="H301" s="76"/>
      <c r="I301" s="49"/>
      <c r="J301" s="49"/>
      <c r="K301" s="49"/>
      <c r="L301" s="67" t="s">
        <v>564</v>
      </c>
      <c r="M301" s="68" t="s">
        <v>565</v>
      </c>
      <c r="N301" s="68" t="s">
        <v>34</v>
      </c>
      <c r="O301" s="45">
        <v>10</v>
      </c>
      <c r="P301" s="45"/>
      <c r="Q301" s="45"/>
      <c r="R301" s="19"/>
      <c r="T301" s="4"/>
      <c r="U301" s="4"/>
    </row>
    <row r="302" spans="1:21" ht="18" x14ac:dyDescent="0.3">
      <c r="A302" s="15"/>
      <c r="B302" s="20"/>
      <c r="C302" s="6"/>
      <c r="D302" s="44"/>
      <c r="E302" s="44"/>
      <c r="F302" s="75"/>
      <c r="G302" s="76"/>
      <c r="H302" s="76"/>
      <c r="I302" s="49"/>
      <c r="J302" s="49"/>
      <c r="K302" s="49"/>
      <c r="L302" s="67" t="s">
        <v>566</v>
      </c>
      <c r="M302" s="68" t="s">
        <v>567</v>
      </c>
      <c r="N302" s="68" t="s">
        <v>34</v>
      </c>
      <c r="O302" s="45">
        <v>10</v>
      </c>
      <c r="P302" s="45"/>
      <c r="Q302" s="45"/>
      <c r="R302" s="19"/>
      <c r="T302" s="4"/>
      <c r="U302" s="4"/>
    </row>
    <row r="303" spans="1:21" ht="18" x14ac:dyDescent="0.3">
      <c r="A303" s="15"/>
      <c r="B303" s="20"/>
      <c r="C303" s="6"/>
      <c r="D303" s="44"/>
      <c r="E303" s="44"/>
      <c r="F303" s="75"/>
      <c r="G303" s="76"/>
      <c r="H303" s="76"/>
      <c r="I303" s="49"/>
      <c r="J303" s="49"/>
      <c r="K303" s="49"/>
      <c r="L303" s="67" t="s">
        <v>568</v>
      </c>
      <c r="M303" s="68" t="s">
        <v>569</v>
      </c>
      <c r="N303" s="68" t="s">
        <v>35</v>
      </c>
      <c r="O303" s="45">
        <v>17</v>
      </c>
      <c r="P303" s="45"/>
      <c r="Q303" s="45"/>
      <c r="R303" s="19"/>
      <c r="T303" s="4"/>
      <c r="U303" s="4"/>
    </row>
    <row r="304" spans="1:21" ht="18" x14ac:dyDescent="0.3">
      <c r="A304" s="15"/>
      <c r="B304" s="20"/>
      <c r="C304" s="6"/>
      <c r="D304" s="44"/>
      <c r="E304" s="44"/>
      <c r="F304" s="75"/>
      <c r="G304" s="76"/>
      <c r="H304" s="76"/>
      <c r="I304" s="49"/>
      <c r="J304" s="49"/>
      <c r="K304" s="49"/>
      <c r="L304" s="67" t="s">
        <v>570</v>
      </c>
      <c r="M304" s="68" t="s">
        <v>571</v>
      </c>
      <c r="N304" s="68" t="s">
        <v>34</v>
      </c>
      <c r="O304" s="45">
        <v>3</v>
      </c>
      <c r="P304" s="45"/>
      <c r="Q304" s="45"/>
      <c r="R304" s="19"/>
      <c r="T304" s="4"/>
      <c r="U304" s="4"/>
    </row>
    <row r="305" spans="1:21" ht="18" x14ac:dyDescent="0.3">
      <c r="A305" s="15"/>
      <c r="B305" s="20"/>
      <c r="C305" s="6"/>
      <c r="D305" s="44"/>
      <c r="E305" s="44"/>
      <c r="F305" s="75"/>
      <c r="G305" s="76"/>
      <c r="H305" s="76"/>
      <c r="I305" s="49"/>
      <c r="J305" s="49"/>
      <c r="K305" s="49"/>
      <c r="L305" s="67" t="s">
        <v>572</v>
      </c>
      <c r="M305" s="68" t="s">
        <v>573</v>
      </c>
      <c r="N305" s="68" t="s">
        <v>34</v>
      </c>
      <c r="O305" s="45">
        <v>1</v>
      </c>
      <c r="P305" s="45"/>
      <c r="Q305" s="45"/>
      <c r="R305" s="19"/>
      <c r="T305" s="4"/>
      <c r="U305" s="4"/>
    </row>
    <row r="306" spans="1:21" ht="18" x14ac:dyDescent="0.3">
      <c r="A306" s="15"/>
      <c r="B306" s="20"/>
      <c r="C306" s="6"/>
      <c r="D306" s="44"/>
      <c r="E306" s="44"/>
      <c r="F306" s="75"/>
      <c r="G306" s="76"/>
      <c r="H306" s="76"/>
      <c r="I306" s="49"/>
      <c r="J306" s="49"/>
      <c r="K306" s="49"/>
      <c r="L306" s="67" t="s">
        <v>574</v>
      </c>
      <c r="M306" s="68" t="s">
        <v>575</v>
      </c>
      <c r="N306" s="68" t="s">
        <v>34</v>
      </c>
      <c r="O306" s="45">
        <v>20</v>
      </c>
      <c r="P306" s="45"/>
      <c r="Q306" s="45"/>
      <c r="R306" s="19"/>
      <c r="T306" s="4"/>
      <c r="U306" s="4"/>
    </row>
    <row r="307" spans="1:21" ht="18" x14ac:dyDescent="0.3">
      <c r="A307" s="15"/>
      <c r="B307" s="20"/>
      <c r="C307" s="6"/>
      <c r="D307" s="44"/>
      <c r="E307" s="44"/>
      <c r="F307" s="75"/>
      <c r="G307" s="76"/>
      <c r="H307" s="76"/>
      <c r="I307" s="49"/>
      <c r="J307" s="49"/>
      <c r="K307" s="49"/>
      <c r="L307" s="67" t="s">
        <v>576</v>
      </c>
      <c r="M307" s="68" t="s">
        <v>577</v>
      </c>
      <c r="N307" s="68" t="s">
        <v>34</v>
      </c>
      <c r="O307" s="45">
        <v>1</v>
      </c>
      <c r="P307" s="45"/>
      <c r="Q307" s="45"/>
      <c r="R307" s="19"/>
      <c r="T307" s="4"/>
      <c r="U307" s="4"/>
    </row>
    <row r="308" spans="1:21" ht="18" x14ac:dyDescent="0.3">
      <c r="A308" s="15"/>
      <c r="B308" s="20"/>
      <c r="C308" s="6"/>
      <c r="D308" s="44"/>
      <c r="E308" s="44"/>
      <c r="F308" s="75"/>
      <c r="G308" s="76"/>
      <c r="H308" s="76"/>
      <c r="I308" s="49"/>
      <c r="J308" s="49"/>
      <c r="K308" s="49"/>
      <c r="L308" s="67" t="s">
        <v>578</v>
      </c>
      <c r="M308" s="68" t="s">
        <v>183</v>
      </c>
      <c r="N308" s="68" t="s">
        <v>34</v>
      </c>
      <c r="O308" s="45">
        <v>3</v>
      </c>
      <c r="P308" s="45"/>
      <c r="Q308" s="45"/>
      <c r="R308" s="19"/>
      <c r="T308" s="4"/>
      <c r="U308" s="4"/>
    </row>
    <row r="309" spans="1:21" ht="18" x14ac:dyDescent="0.3">
      <c r="A309" s="15"/>
      <c r="B309" s="20"/>
      <c r="C309" s="6"/>
      <c r="D309" s="44"/>
      <c r="E309" s="44"/>
      <c r="F309" s="75"/>
      <c r="G309" s="76"/>
      <c r="H309" s="76"/>
      <c r="I309" s="49"/>
      <c r="J309" s="49"/>
      <c r="K309" s="49"/>
      <c r="L309" s="67" t="s">
        <v>579</v>
      </c>
      <c r="M309" s="68" t="s">
        <v>124</v>
      </c>
      <c r="N309" s="68" t="s">
        <v>34</v>
      </c>
      <c r="O309" s="45">
        <v>4</v>
      </c>
      <c r="P309" s="45"/>
      <c r="Q309" s="45"/>
      <c r="R309" s="19"/>
      <c r="T309" s="4"/>
      <c r="U309" s="4"/>
    </row>
    <row r="310" spans="1:21" ht="18" x14ac:dyDescent="0.3">
      <c r="A310" s="15"/>
      <c r="B310" s="20"/>
      <c r="C310" s="6"/>
      <c r="D310" s="44"/>
      <c r="E310" s="44"/>
      <c r="F310" s="75"/>
      <c r="G310" s="76"/>
      <c r="H310" s="76"/>
      <c r="I310" s="49"/>
      <c r="J310" s="49"/>
      <c r="K310" s="49"/>
      <c r="L310" s="67" t="s">
        <v>580</v>
      </c>
      <c r="M310" s="68" t="s">
        <v>125</v>
      </c>
      <c r="N310" s="68" t="s">
        <v>34</v>
      </c>
      <c r="O310" s="45">
        <v>7</v>
      </c>
      <c r="P310" s="45"/>
      <c r="Q310" s="45"/>
      <c r="R310" s="19"/>
      <c r="T310" s="4"/>
      <c r="U310" s="4"/>
    </row>
    <row r="311" spans="1:21" ht="18" x14ac:dyDescent="0.3">
      <c r="A311" s="15"/>
      <c r="B311" s="20"/>
      <c r="C311" s="6"/>
      <c r="D311" s="44"/>
      <c r="E311" s="44"/>
      <c r="F311" s="75"/>
      <c r="G311" s="76"/>
      <c r="H311" s="76"/>
      <c r="I311" s="49"/>
      <c r="J311" s="49"/>
      <c r="K311" s="49"/>
      <c r="L311" s="67" t="s">
        <v>581</v>
      </c>
      <c r="M311" s="68" t="s">
        <v>582</v>
      </c>
      <c r="N311" s="68" t="s">
        <v>34</v>
      </c>
      <c r="O311" s="45">
        <v>1</v>
      </c>
      <c r="P311" s="45"/>
      <c r="Q311" s="45"/>
      <c r="R311" s="19"/>
      <c r="T311" s="4"/>
      <c r="U311" s="4"/>
    </row>
    <row r="312" spans="1:21" ht="18" x14ac:dyDescent="0.3">
      <c r="A312" s="15"/>
      <c r="B312" s="20"/>
      <c r="C312" s="6"/>
      <c r="D312" s="44"/>
      <c r="E312" s="44"/>
      <c r="F312" s="75"/>
      <c r="G312" s="76"/>
      <c r="H312" s="76"/>
      <c r="I312" s="49"/>
      <c r="J312" s="49"/>
      <c r="K312" s="49"/>
      <c r="L312" s="67" t="s">
        <v>583</v>
      </c>
      <c r="M312" s="68" t="s">
        <v>126</v>
      </c>
      <c r="N312" s="68" t="s">
        <v>34</v>
      </c>
      <c r="O312" s="45">
        <v>53</v>
      </c>
      <c r="P312" s="45"/>
      <c r="Q312" s="45"/>
      <c r="R312" s="19"/>
      <c r="T312" s="4"/>
      <c r="U312" s="4"/>
    </row>
    <row r="313" spans="1:21" ht="18" x14ac:dyDescent="0.3">
      <c r="A313" s="15"/>
      <c r="B313" s="20"/>
      <c r="C313" s="6"/>
      <c r="D313" s="44"/>
      <c r="E313" s="44"/>
      <c r="F313" s="75"/>
      <c r="G313" s="76"/>
      <c r="H313" s="76"/>
      <c r="I313" s="49"/>
      <c r="J313" s="49"/>
      <c r="K313" s="49"/>
      <c r="L313" s="67" t="s">
        <v>584</v>
      </c>
      <c r="M313" s="68" t="s">
        <v>585</v>
      </c>
      <c r="N313" s="68" t="s">
        <v>34</v>
      </c>
      <c r="O313" s="45">
        <v>1</v>
      </c>
      <c r="P313" s="45"/>
      <c r="Q313" s="45"/>
      <c r="R313" s="19"/>
      <c r="T313" s="4"/>
      <c r="U313" s="4"/>
    </row>
    <row r="314" spans="1:21" ht="18" x14ac:dyDescent="0.3">
      <c r="A314" s="15"/>
      <c r="B314" s="20"/>
      <c r="C314" s="6"/>
      <c r="D314" s="44"/>
      <c r="E314" s="44"/>
      <c r="F314" s="75"/>
      <c r="G314" s="76"/>
      <c r="H314" s="76"/>
      <c r="I314" s="49"/>
      <c r="J314" s="49"/>
      <c r="K314" s="49"/>
      <c r="L314" s="67" t="s">
        <v>586</v>
      </c>
      <c r="M314" s="68" t="s">
        <v>257</v>
      </c>
      <c r="N314" s="68" t="s">
        <v>34</v>
      </c>
      <c r="O314" s="45">
        <v>3</v>
      </c>
      <c r="P314" s="45"/>
      <c r="Q314" s="45"/>
      <c r="R314" s="19"/>
      <c r="T314" s="4"/>
      <c r="U314" s="4"/>
    </row>
    <row r="315" spans="1:21" ht="18" x14ac:dyDescent="0.3">
      <c r="A315" s="15"/>
      <c r="B315" s="20"/>
      <c r="C315" s="6"/>
      <c r="D315" s="44"/>
      <c r="E315" s="44"/>
      <c r="F315" s="75"/>
      <c r="G315" s="76"/>
      <c r="H315" s="76"/>
      <c r="I315" s="49"/>
      <c r="J315" s="49"/>
      <c r="K315" s="49"/>
      <c r="L315" s="67" t="s">
        <v>587</v>
      </c>
      <c r="M315" s="68" t="s">
        <v>588</v>
      </c>
      <c r="N315" s="68" t="s">
        <v>34</v>
      </c>
      <c r="O315" s="45">
        <v>1</v>
      </c>
      <c r="P315" s="45"/>
      <c r="Q315" s="45"/>
      <c r="R315" s="19"/>
      <c r="T315" s="4"/>
      <c r="U315" s="4"/>
    </row>
    <row r="316" spans="1:21" ht="18" x14ac:dyDescent="0.3">
      <c r="A316" s="15"/>
      <c r="B316" s="20"/>
      <c r="C316" s="6"/>
      <c r="D316" s="44"/>
      <c r="E316" s="44"/>
      <c r="F316" s="75"/>
      <c r="G316" s="76"/>
      <c r="H316" s="76"/>
      <c r="I316" s="49"/>
      <c r="J316" s="49"/>
      <c r="K316" s="49"/>
      <c r="L316" s="67" t="s">
        <v>589</v>
      </c>
      <c r="M316" s="68" t="s">
        <v>590</v>
      </c>
      <c r="N316" s="68" t="s">
        <v>34</v>
      </c>
      <c r="O316" s="45">
        <v>1</v>
      </c>
      <c r="P316" s="45"/>
      <c r="Q316" s="45"/>
      <c r="R316" s="19"/>
      <c r="T316" s="4"/>
      <c r="U316" s="4"/>
    </row>
    <row r="317" spans="1:21" ht="18" x14ac:dyDescent="0.3">
      <c r="A317" s="15"/>
      <c r="B317" s="20"/>
      <c r="C317" s="6"/>
      <c r="D317" s="44"/>
      <c r="E317" s="44"/>
      <c r="F317" s="75"/>
      <c r="G317" s="76"/>
      <c r="H317" s="76"/>
      <c r="I317" s="49"/>
      <c r="J317" s="49"/>
      <c r="K317" s="49"/>
      <c r="L317" s="67" t="s">
        <v>591</v>
      </c>
      <c r="M317" s="68" t="s">
        <v>592</v>
      </c>
      <c r="N317" s="68" t="s">
        <v>34</v>
      </c>
      <c r="O317" s="45">
        <v>1</v>
      </c>
      <c r="P317" s="45"/>
      <c r="Q317" s="45"/>
      <c r="R317" s="19"/>
      <c r="T317" s="4"/>
      <c r="U317" s="4"/>
    </row>
    <row r="318" spans="1:21" ht="18" x14ac:dyDescent="0.3">
      <c r="A318" s="15"/>
      <c r="B318" s="20"/>
      <c r="C318" s="6"/>
      <c r="D318" s="44"/>
      <c r="E318" s="44"/>
      <c r="F318" s="75"/>
      <c r="G318" s="76"/>
      <c r="H318" s="76"/>
      <c r="I318" s="49"/>
      <c r="J318" s="49"/>
      <c r="K318" s="49"/>
      <c r="L318" s="67" t="s">
        <v>593</v>
      </c>
      <c r="M318" s="68" t="s">
        <v>594</v>
      </c>
      <c r="N318" s="68" t="s">
        <v>34</v>
      </c>
      <c r="O318" s="45">
        <v>1</v>
      </c>
      <c r="P318" s="45"/>
      <c r="Q318" s="45"/>
      <c r="R318" s="19"/>
      <c r="T318" s="4"/>
      <c r="U318" s="4"/>
    </row>
    <row r="319" spans="1:21" ht="18" x14ac:dyDescent="0.3">
      <c r="A319" s="15"/>
      <c r="B319" s="20"/>
      <c r="C319" s="6"/>
      <c r="D319" s="44"/>
      <c r="E319" s="44"/>
      <c r="F319" s="75"/>
      <c r="G319" s="76"/>
      <c r="H319" s="76"/>
      <c r="I319" s="49"/>
      <c r="J319" s="49"/>
      <c r="K319" s="49"/>
      <c r="L319" s="67" t="s">
        <v>127</v>
      </c>
      <c r="M319" s="68" t="s">
        <v>128</v>
      </c>
      <c r="N319" s="68" t="s">
        <v>34</v>
      </c>
      <c r="O319" s="45">
        <v>2</v>
      </c>
      <c r="P319" s="45"/>
      <c r="Q319" s="45"/>
      <c r="R319" s="19"/>
      <c r="T319" s="4"/>
      <c r="U319" s="4"/>
    </row>
    <row r="320" spans="1:21" ht="18" x14ac:dyDescent="0.3">
      <c r="A320" s="15"/>
      <c r="B320" s="20"/>
      <c r="C320" s="6"/>
      <c r="D320" s="44"/>
      <c r="E320" s="44"/>
      <c r="F320" s="75"/>
      <c r="G320" s="76"/>
      <c r="H320" s="76"/>
      <c r="I320" s="49"/>
      <c r="J320" s="49"/>
      <c r="K320" s="49"/>
      <c r="L320" s="67" t="s">
        <v>595</v>
      </c>
      <c r="M320" s="68" t="s">
        <v>596</v>
      </c>
      <c r="N320" s="68" t="s">
        <v>34</v>
      </c>
      <c r="O320" s="45">
        <v>3</v>
      </c>
      <c r="P320" s="45"/>
      <c r="Q320" s="45"/>
      <c r="R320" s="19"/>
      <c r="T320" s="4"/>
      <c r="U320" s="4"/>
    </row>
    <row r="321" spans="1:21" ht="18" x14ac:dyDescent="0.3">
      <c r="A321" s="15"/>
      <c r="B321" s="20"/>
      <c r="C321" s="6"/>
      <c r="D321" s="44"/>
      <c r="E321" s="44"/>
      <c r="F321" s="75"/>
      <c r="G321" s="76"/>
      <c r="H321" s="76"/>
      <c r="I321" s="49"/>
      <c r="J321" s="49"/>
      <c r="K321" s="49"/>
      <c r="L321" s="67" t="s">
        <v>597</v>
      </c>
      <c r="M321" s="68" t="s">
        <v>598</v>
      </c>
      <c r="N321" s="68" t="s">
        <v>34</v>
      </c>
      <c r="O321" s="45">
        <v>6</v>
      </c>
      <c r="P321" s="45"/>
      <c r="Q321" s="45"/>
      <c r="R321" s="19"/>
      <c r="T321" s="4"/>
      <c r="U321" s="4"/>
    </row>
    <row r="322" spans="1:21" ht="18" x14ac:dyDescent="0.3">
      <c r="A322" s="15"/>
      <c r="B322" s="20"/>
      <c r="C322" s="6"/>
      <c r="D322" s="44"/>
      <c r="E322" s="44"/>
      <c r="F322" s="75"/>
      <c r="G322" s="76"/>
      <c r="H322" s="76"/>
      <c r="I322" s="49"/>
      <c r="J322" s="49"/>
      <c r="K322" s="49"/>
      <c r="L322" s="67" t="s">
        <v>599</v>
      </c>
      <c r="M322" s="68" t="s">
        <v>129</v>
      </c>
      <c r="N322" s="68" t="s">
        <v>34</v>
      </c>
      <c r="O322" s="45">
        <v>137</v>
      </c>
      <c r="P322" s="45"/>
      <c r="Q322" s="45"/>
      <c r="R322" s="19"/>
      <c r="T322" s="4"/>
      <c r="U322" s="4"/>
    </row>
    <row r="323" spans="1:21" ht="18" x14ac:dyDescent="0.3">
      <c r="A323" s="15"/>
      <c r="B323" s="20"/>
      <c r="C323" s="6"/>
      <c r="D323" s="44"/>
      <c r="E323" s="44"/>
      <c r="F323" s="75"/>
      <c r="G323" s="76"/>
      <c r="H323" s="76"/>
      <c r="I323" s="49"/>
      <c r="J323" s="49"/>
      <c r="K323" s="49"/>
      <c r="L323" s="67" t="s">
        <v>600</v>
      </c>
      <c r="M323" s="68" t="s">
        <v>258</v>
      </c>
      <c r="N323" s="68" t="s">
        <v>34</v>
      </c>
      <c r="O323" s="45">
        <v>33</v>
      </c>
      <c r="P323" s="45"/>
      <c r="Q323" s="45"/>
      <c r="R323" s="19"/>
      <c r="T323" s="4"/>
      <c r="U323" s="4"/>
    </row>
    <row r="324" spans="1:21" ht="18" x14ac:dyDescent="0.3">
      <c r="A324" s="15"/>
      <c r="B324" s="20"/>
      <c r="C324" s="6"/>
      <c r="D324" s="44"/>
      <c r="E324" s="44"/>
      <c r="F324" s="75"/>
      <c r="G324" s="76"/>
      <c r="H324" s="76"/>
      <c r="I324" s="49"/>
      <c r="J324" s="49"/>
      <c r="K324" s="49"/>
      <c r="L324" s="67" t="s">
        <v>601</v>
      </c>
      <c r="M324" s="68" t="s">
        <v>602</v>
      </c>
      <c r="N324" s="68" t="s">
        <v>34</v>
      </c>
      <c r="O324" s="45">
        <v>6</v>
      </c>
      <c r="P324" s="45"/>
      <c r="Q324" s="45"/>
      <c r="R324" s="19"/>
      <c r="T324" s="4"/>
      <c r="U324" s="4"/>
    </row>
    <row r="325" spans="1:21" ht="18" x14ac:dyDescent="0.3">
      <c r="A325" s="15"/>
      <c r="B325" s="20"/>
      <c r="C325" s="6"/>
      <c r="D325" s="44"/>
      <c r="E325" s="44"/>
      <c r="F325" s="75"/>
      <c r="G325" s="76"/>
      <c r="H325" s="76"/>
      <c r="I325" s="49"/>
      <c r="J325" s="49"/>
      <c r="K325" s="49"/>
      <c r="L325" s="67" t="s">
        <v>130</v>
      </c>
      <c r="M325" s="68" t="s">
        <v>603</v>
      </c>
      <c r="N325" s="68" t="s">
        <v>34</v>
      </c>
      <c r="O325" s="45">
        <v>10</v>
      </c>
      <c r="P325" s="45"/>
      <c r="Q325" s="45"/>
      <c r="R325" s="19"/>
      <c r="T325" s="4"/>
      <c r="U325" s="4"/>
    </row>
    <row r="326" spans="1:21" ht="18" x14ac:dyDescent="0.3">
      <c r="A326" s="15"/>
      <c r="B326" s="20"/>
      <c r="C326" s="6"/>
      <c r="D326" s="44"/>
      <c r="E326" s="44"/>
      <c r="F326" s="75"/>
      <c r="G326" s="76"/>
      <c r="H326" s="76"/>
      <c r="I326" s="49"/>
      <c r="J326" s="49"/>
      <c r="K326" s="49"/>
      <c r="L326" s="67" t="s">
        <v>131</v>
      </c>
      <c r="M326" s="68" t="s">
        <v>132</v>
      </c>
      <c r="N326" s="68" t="s">
        <v>34</v>
      </c>
      <c r="O326" s="45">
        <v>5</v>
      </c>
      <c r="P326" s="45"/>
      <c r="Q326" s="45"/>
      <c r="R326" s="19"/>
      <c r="T326" s="4"/>
      <c r="U326" s="4"/>
    </row>
    <row r="327" spans="1:21" ht="18" x14ac:dyDescent="0.3">
      <c r="A327" s="15"/>
      <c r="B327" s="20"/>
      <c r="C327" s="6"/>
      <c r="D327" s="44"/>
      <c r="E327" s="44"/>
      <c r="F327" s="75"/>
      <c r="G327" s="76"/>
      <c r="H327" s="76"/>
      <c r="I327" s="49"/>
      <c r="J327" s="49"/>
      <c r="K327" s="49"/>
      <c r="L327" s="67" t="s">
        <v>604</v>
      </c>
      <c r="M327" s="68" t="s">
        <v>605</v>
      </c>
      <c r="N327" s="68" t="s">
        <v>64</v>
      </c>
      <c r="O327" s="45">
        <v>2</v>
      </c>
      <c r="P327" s="45"/>
      <c r="Q327" s="45"/>
      <c r="R327" s="19"/>
      <c r="T327" s="4"/>
      <c r="U327" s="4"/>
    </row>
    <row r="328" spans="1:21" ht="18" x14ac:dyDescent="0.3">
      <c r="A328" s="15"/>
      <c r="B328" s="20"/>
      <c r="C328" s="6"/>
      <c r="D328" s="44"/>
      <c r="E328" s="44"/>
      <c r="F328" s="75"/>
      <c r="G328" s="76"/>
      <c r="H328" s="76"/>
      <c r="I328" s="49"/>
      <c r="J328" s="49"/>
      <c r="K328" s="49"/>
      <c r="L328" s="67" t="s">
        <v>606</v>
      </c>
      <c r="M328" s="68" t="s">
        <v>133</v>
      </c>
      <c r="N328" s="68" t="s">
        <v>64</v>
      </c>
      <c r="O328" s="45">
        <v>36</v>
      </c>
      <c r="P328" s="45"/>
      <c r="Q328" s="45"/>
      <c r="R328" s="19"/>
      <c r="T328" s="4"/>
      <c r="U328" s="4"/>
    </row>
    <row r="329" spans="1:21" ht="18" x14ac:dyDescent="0.3">
      <c r="A329" s="15"/>
      <c r="B329" s="20"/>
      <c r="C329" s="6"/>
      <c r="D329" s="44"/>
      <c r="E329" s="44"/>
      <c r="F329" s="75"/>
      <c r="G329" s="76"/>
      <c r="H329" s="76"/>
      <c r="I329" s="49"/>
      <c r="J329" s="49"/>
      <c r="K329" s="49"/>
      <c r="L329" s="67" t="s">
        <v>607</v>
      </c>
      <c r="M329" s="68" t="s">
        <v>608</v>
      </c>
      <c r="N329" s="68" t="s">
        <v>34</v>
      </c>
      <c r="O329" s="45">
        <v>10</v>
      </c>
      <c r="P329" s="45"/>
      <c r="Q329" s="45"/>
      <c r="R329" s="19"/>
      <c r="T329" s="4"/>
      <c r="U329" s="4"/>
    </row>
    <row r="330" spans="1:21" ht="18" x14ac:dyDescent="0.3">
      <c r="A330" s="15"/>
      <c r="B330" s="20"/>
      <c r="C330" s="6"/>
      <c r="D330" s="44"/>
      <c r="E330" s="44"/>
      <c r="F330" s="75"/>
      <c r="G330" s="76"/>
      <c r="H330" s="76"/>
      <c r="I330" s="49"/>
      <c r="J330" s="49"/>
      <c r="K330" s="49"/>
      <c r="L330" s="67" t="s">
        <v>609</v>
      </c>
      <c r="M330" s="68" t="s">
        <v>134</v>
      </c>
      <c r="N330" s="68" t="s">
        <v>34</v>
      </c>
      <c r="O330" s="45">
        <v>20</v>
      </c>
      <c r="P330" s="45"/>
      <c r="Q330" s="45"/>
      <c r="R330" s="19"/>
      <c r="T330" s="4"/>
      <c r="U330" s="4"/>
    </row>
    <row r="331" spans="1:21" ht="18" x14ac:dyDescent="0.3">
      <c r="A331" s="15"/>
      <c r="B331" s="20"/>
      <c r="C331" s="6"/>
      <c r="D331" s="44"/>
      <c r="E331" s="44"/>
      <c r="F331" s="75"/>
      <c r="G331" s="76"/>
      <c r="H331" s="76"/>
      <c r="I331" s="49"/>
      <c r="J331" s="49"/>
      <c r="K331" s="49"/>
      <c r="L331" s="67" t="s">
        <v>610</v>
      </c>
      <c r="M331" s="68" t="s">
        <v>611</v>
      </c>
      <c r="N331" s="68" t="s">
        <v>34</v>
      </c>
      <c r="O331" s="45">
        <v>35</v>
      </c>
      <c r="P331" s="45"/>
      <c r="Q331" s="45"/>
      <c r="R331" s="19"/>
      <c r="T331" s="4"/>
      <c r="U331" s="4"/>
    </row>
    <row r="332" spans="1:21" ht="18" x14ac:dyDescent="0.3">
      <c r="A332" s="15"/>
      <c r="B332" s="20"/>
      <c r="C332" s="6"/>
      <c r="D332" s="44"/>
      <c r="E332" s="44"/>
      <c r="F332" s="75"/>
      <c r="G332" s="76"/>
      <c r="H332" s="76"/>
      <c r="I332" s="49"/>
      <c r="J332" s="49"/>
      <c r="K332" s="49"/>
      <c r="L332" s="67" t="s">
        <v>612</v>
      </c>
      <c r="M332" s="68" t="s">
        <v>135</v>
      </c>
      <c r="N332" s="68" t="s">
        <v>34</v>
      </c>
      <c r="O332" s="45">
        <v>60</v>
      </c>
      <c r="P332" s="45"/>
      <c r="Q332" s="45"/>
      <c r="R332" s="19"/>
      <c r="T332" s="4"/>
      <c r="U332" s="4"/>
    </row>
    <row r="333" spans="1:21" ht="18" x14ac:dyDescent="0.3">
      <c r="A333" s="15"/>
      <c r="B333" s="20"/>
      <c r="C333" s="6"/>
      <c r="D333" s="44"/>
      <c r="E333" s="44"/>
      <c r="F333" s="75"/>
      <c r="G333" s="76"/>
      <c r="H333" s="76"/>
      <c r="I333" s="49"/>
      <c r="J333" s="49"/>
      <c r="K333" s="49"/>
      <c r="L333" s="67" t="s">
        <v>613</v>
      </c>
      <c r="M333" s="68" t="s">
        <v>614</v>
      </c>
      <c r="N333" s="68" t="s">
        <v>34</v>
      </c>
      <c r="O333" s="45">
        <v>2</v>
      </c>
      <c r="P333" s="45"/>
      <c r="Q333" s="45"/>
      <c r="R333" s="19"/>
      <c r="T333" s="4"/>
      <c r="U333" s="4"/>
    </row>
    <row r="334" spans="1:21" ht="18" x14ac:dyDescent="0.3">
      <c r="A334" s="15"/>
      <c r="B334" s="20"/>
      <c r="C334" s="6"/>
      <c r="D334" s="44"/>
      <c r="E334" s="44"/>
      <c r="F334" s="75"/>
      <c r="G334" s="76"/>
      <c r="H334" s="76"/>
      <c r="I334" s="49"/>
      <c r="J334" s="49"/>
      <c r="K334" s="49"/>
      <c r="L334" s="67" t="s">
        <v>615</v>
      </c>
      <c r="M334" s="68" t="s">
        <v>616</v>
      </c>
      <c r="N334" s="68" t="s">
        <v>34</v>
      </c>
      <c r="O334" s="45">
        <v>3</v>
      </c>
      <c r="P334" s="45"/>
      <c r="Q334" s="45"/>
      <c r="R334" s="19"/>
      <c r="T334" s="4"/>
      <c r="U334" s="4"/>
    </row>
    <row r="335" spans="1:21" ht="18" x14ac:dyDescent="0.3">
      <c r="A335" s="15"/>
      <c r="B335" s="20"/>
      <c r="C335" s="6"/>
      <c r="D335" s="44"/>
      <c r="E335" s="44"/>
      <c r="F335" s="75"/>
      <c r="G335" s="76"/>
      <c r="H335" s="76"/>
      <c r="I335" s="49"/>
      <c r="J335" s="49"/>
      <c r="K335" s="49"/>
      <c r="L335" s="67" t="s">
        <v>617</v>
      </c>
      <c r="M335" s="68" t="s">
        <v>618</v>
      </c>
      <c r="N335" s="68" t="s">
        <v>34</v>
      </c>
      <c r="O335" s="45">
        <v>1</v>
      </c>
      <c r="P335" s="45"/>
      <c r="Q335" s="45"/>
      <c r="R335" s="19"/>
      <c r="T335" s="4"/>
      <c r="U335" s="4"/>
    </row>
    <row r="336" spans="1:21" ht="18" x14ac:dyDescent="0.3">
      <c r="A336" s="15"/>
      <c r="B336" s="20"/>
      <c r="C336" s="6"/>
      <c r="D336" s="44"/>
      <c r="E336" s="44"/>
      <c r="F336" s="75"/>
      <c r="G336" s="76"/>
      <c r="H336" s="76"/>
      <c r="I336" s="49"/>
      <c r="J336" s="49"/>
      <c r="K336" s="49"/>
      <c r="L336" s="67" t="s">
        <v>619</v>
      </c>
      <c r="M336" s="68" t="s">
        <v>620</v>
      </c>
      <c r="N336" s="68" t="s">
        <v>34</v>
      </c>
      <c r="O336" s="45">
        <v>1</v>
      </c>
      <c r="P336" s="45"/>
      <c r="Q336" s="45"/>
      <c r="R336" s="19"/>
      <c r="T336" s="4"/>
      <c r="U336" s="4"/>
    </row>
    <row r="337" spans="1:21" ht="18" x14ac:dyDescent="0.3">
      <c r="A337" s="15"/>
      <c r="B337" s="20"/>
      <c r="C337" s="6"/>
      <c r="D337" s="44"/>
      <c r="E337" s="44"/>
      <c r="F337" s="75"/>
      <c r="G337" s="76"/>
      <c r="H337" s="76"/>
      <c r="I337" s="49"/>
      <c r="J337" s="49"/>
      <c r="K337" s="49"/>
      <c r="L337" s="67" t="s">
        <v>621</v>
      </c>
      <c r="M337" s="68" t="s">
        <v>622</v>
      </c>
      <c r="N337" s="68" t="s">
        <v>34</v>
      </c>
      <c r="O337" s="45">
        <v>1</v>
      </c>
      <c r="P337" s="45"/>
      <c r="Q337" s="45"/>
      <c r="R337" s="19"/>
      <c r="T337" s="4"/>
      <c r="U337" s="4"/>
    </row>
    <row r="338" spans="1:21" ht="18" x14ac:dyDescent="0.3">
      <c r="A338" s="15"/>
      <c r="B338" s="20"/>
      <c r="C338" s="6"/>
      <c r="D338" s="44"/>
      <c r="E338" s="44"/>
      <c r="F338" s="75"/>
      <c r="G338" s="76"/>
      <c r="H338" s="76"/>
      <c r="I338" s="49"/>
      <c r="J338" s="49"/>
      <c r="K338" s="49"/>
      <c r="L338" s="67" t="s">
        <v>623</v>
      </c>
      <c r="M338" s="68" t="s">
        <v>624</v>
      </c>
      <c r="N338" s="68" t="s">
        <v>34</v>
      </c>
      <c r="O338" s="45">
        <v>5</v>
      </c>
      <c r="P338" s="45"/>
      <c r="Q338" s="45"/>
      <c r="R338" s="19"/>
      <c r="T338" s="4"/>
      <c r="U338" s="4"/>
    </row>
    <row r="339" spans="1:21" ht="18" x14ac:dyDescent="0.3">
      <c r="A339" s="15"/>
      <c r="B339" s="20"/>
      <c r="C339" s="6"/>
      <c r="D339" s="44"/>
      <c r="E339" s="44"/>
      <c r="F339" s="75"/>
      <c r="G339" s="76"/>
      <c r="H339" s="76"/>
      <c r="I339" s="49"/>
      <c r="J339" s="49"/>
      <c r="K339" s="49"/>
      <c r="L339" s="67" t="s">
        <v>625</v>
      </c>
      <c r="M339" s="68" t="s">
        <v>136</v>
      </c>
      <c r="N339" s="68" t="s">
        <v>34</v>
      </c>
      <c r="O339" s="45">
        <v>35</v>
      </c>
      <c r="P339" s="45"/>
      <c r="Q339" s="45"/>
      <c r="R339" s="19"/>
      <c r="T339" s="4"/>
      <c r="U339" s="4"/>
    </row>
    <row r="340" spans="1:21" ht="18" x14ac:dyDescent="0.3">
      <c r="A340" s="15"/>
      <c r="B340" s="20"/>
      <c r="C340" s="6"/>
      <c r="D340" s="44"/>
      <c r="E340" s="44"/>
      <c r="F340" s="75"/>
      <c r="G340" s="76"/>
      <c r="H340" s="76"/>
      <c r="I340" s="49"/>
      <c r="J340" s="49"/>
      <c r="K340" s="49"/>
      <c r="L340" s="67" t="s">
        <v>626</v>
      </c>
      <c r="M340" s="68" t="s">
        <v>137</v>
      </c>
      <c r="N340" s="68" t="s">
        <v>34</v>
      </c>
      <c r="O340" s="45">
        <v>41</v>
      </c>
      <c r="P340" s="45"/>
      <c r="Q340" s="45"/>
      <c r="R340" s="19"/>
      <c r="T340" s="4"/>
      <c r="U340" s="4"/>
    </row>
    <row r="341" spans="1:21" ht="18" x14ac:dyDescent="0.3">
      <c r="A341" s="15"/>
      <c r="B341" s="20"/>
      <c r="C341" s="6"/>
      <c r="D341" s="44"/>
      <c r="E341" s="44"/>
      <c r="F341" s="75"/>
      <c r="G341" s="76"/>
      <c r="H341" s="76"/>
      <c r="I341" s="49"/>
      <c r="J341" s="49"/>
      <c r="K341" s="49"/>
      <c r="L341" s="67" t="s">
        <v>259</v>
      </c>
      <c r="M341" s="68" t="s">
        <v>260</v>
      </c>
      <c r="N341" s="68" t="s">
        <v>34</v>
      </c>
      <c r="O341" s="45">
        <v>8</v>
      </c>
      <c r="P341" s="45"/>
      <c r="Q341" s="45"/>
      <c r="R341" s="19"/>
      <c r="T341" s="4"/>
      <c r="U341" s="4"/>
    </row>
    <row r="342" spans="1:21" ht="18" x14ac:dyDescent="0.3">
      <c r="A342" s="15"/>
      <c r="B342" s="20"/>
      <c r="C342" s="6"/>
      <c r="D342" s="44"/>
      <c r="E342" s="44"/>
      <c r="F342" s="75"/>
      <c r="G342" s="76"/>
      <c r="H342" s="76"/>
      <c r="I342" s="49"/>
      <c r="J342" s="49"/>
      <c r="K342" s="49"/>
      <c r="L342" s="67" t="s">
        <v>627</v>
      </c>
      <c r="M342" s="68" t="s">
        <v>628</v>
      </c>
      <c r="N342" s="68" t="s">
        <v>34</v>
      </c>
      <c r="O342" s="45">
        <v>36</v>
      </c>
      <c r="P342" s="45"/>
      <c r="Q342" s="45"/>
      <c r="R342" s="19"/>
      <c r="T342" s="4"/>
      <c r="U342" s="4"/>
    </row>
    <row r="343" spans="1:21" ht="18" x14ac:dyDescent="0.3">
      <c r="A343" s="15"/>
      <c r="B343" s="20"/>
      <c r="C343" s="6"/>
      <c r="D343" s="44"/>
      <c r="E343" s="44"/>
      <c r="F343" s="75"/>
      <c r="G343" s="76"/>
      <c r="H343" s="76"/>
      <c r="I343" s="49"/>
      <c r="J343" s="49"/>
      <c r="K343" s="49"/>
      <c r="L343" s="67" t="s">
        <v>629</v>
      </c>
      <c r="M343" s="68" t="s">
        <v>138</v>
      </c>
      <c r="N343" s="68" t="s">
        <v>34</v>
      </c>
      <c r="O343" s="45">
        <v>3</v>
      </c>
      <c r="P343" s="45"/>
      <c r="Q343" s="45"/>
      <c r="R343" s="19"/>
      <c r="T343" s="4"/>
      <c r="U343" s="4"/>
    </row>
    <row r="344" spans="1:21" ht="18" x14ac:dyDescent="0.3">
      <c r="A344" s="15"/>
      <c r="B344" s="20"/>
      <c r="C344" s="6"/>
      <c r="D344" s="44"/>
      <c r="E344" s="44"/>
      <c r="F344" s="75"/>
      <c r="G344" s="76"/>
      <c r="H344" s="76"/>
      <c r="I344" s="49"/>
      <c r="J344" s="49"/>
      <c r="K344" s="49"/>
      <c r="L344" s="67" t="s">
        <v>630</v>
      </c>
      <c r="M344" s="68" t="s">
        <v>631</v>
      </c>
      <c r="N344" s="68" t="s">
        <v>34</v>
      </c>
      <c r="O344" s="45">
        <v>4</v>
      </c>
      <c r="P344" s="45"/>
      <c r="Q344" s="45"/>
      <c r="R344" s="19"/>
      <c r="T344" s="4"/>
      <c r="U344" s="4"/>
    </row>
    <row r="345" spans="1:21" ht="18" x14ac:dyDescent="0.3">
      <c r="A345" s="15"/>
      <c r="B345" s="20"/>
      <c r="C345" s="6"/>
      <c r="D345" s="44"/>
      <c r="E345" s="44"/>
      <c r="F345" s="75"/>
      <c r="G345" s="76"/>
      <c r="H345" s="76"/>
      <c r="I345" s="49"/>
      <c r="J345" s="49"/>
      <c r="K345" s="49"/>
      <c r="L345" s="67" t="s">
        <v>632</v>
      </c>
      <c r="M345" s="68" t="s">
        <v>633</v>
      </c>
      <c r="N345" s="68" t="s">
        <v>34</v>
      </c>
      <c r="O345" s="45">
        <v>2</v>
      </c>
      <c r="P345" s="45"/>
      <c r="Q345" s="45"/>
      <c r="R345" s="19"/>
      <c r="T345" s="4"/>
      <c r="U345" s="4"/>
    </row>
    <row r="346" spans="1:21" ht="18" x14ac:dyDescent="0.3">
      <c r="A346" s="15"/>
      <c r="B346" s="20"/>
      <c r="C346" s="6"/>
      <c r="D346" s="44"/>
      <c r="E346" s="44"/>
      <c r="F346" s="75"/>
      <c r="G346" s="76"/>
      <c r="H346" s="76"/>
      <c r="I346" s="49"/>
      <c r="J346" s="49"/>
      <c r="K346" s="49"/>
      <c r="L346" s="67" t="s">
        <v>634</v>
      </c>
      <c r="M346" s="68" t="s">
        <v>139</v>
      </c>
      <c r="N346" s="68" t="s">
        <v>34</v>
      </c>
      <c r="O346" s="45">
        <v>8</v>
      </c>
      <c r="P346" s="45"/>
      <c r="Q346" s="45"/>
      <c r="R346" s="19"/>
      <c r="T346" s="4"/>
      <c r="U346" s="4"/>
    </row>
    <row r="347" spans="1:21" ht="18" x14ac:dyDescent="0.3">
      <c r="A347" s="15"/>
      <c r="B347" s="20"/>
      <c r="C347" s="6"/>
      <c r="D347" s="44"/>
      <c r="E347" s="44"/>
      <c r="F347" s="75"/>
      <c r="G347" s="76"/>
      <c r="H347" s="76"/>
      <c r="I347" s="49"/>
      <c r="J347" s="49"/>
      <c r="K347" s="49"/>
      <c r="L347" s="67" t="s">
        <v>140</v>
      </c>
      <c r="M347" s="68" t="s">
        <v>141</v>
      </c>
      <c r="N347" s="68" t="s">
        <v>34</v>
      </c>
      <c r="O347" s="45">
        <v>5</v>
      </c>
      <c r="P347" s="45"/>
      <c r="Q347" s="45"/>
      <c r="R347" s="19"/>
      <c r="T347" s="4"/>
      <c r="U347" s="4"/>
    </row>
    <row r="348" spans="1:21" ht="18" x14ac:dyDescent="0.3">
      <c r="A348" s="15"/>
      <c r="B348" s="20"/>
      <c r="C348" s="6"/>
      <c r="D348" s="44"/>
      <c r="E348" s="44"/>
      <c r="F348" s="75"/>
      <c r="G348" s="76"/>
      <c r="H348" s="76"/>
      <c r="I348" s="49"/>
      <c r="J348" s="49"/>
      <c r="K348" s="49"/>
      <c r="L348" s="67" t="s">
        <v>635</v>
      </c>
      <c r="M348" s="68" t="s">
        <v>142</v>
      </c>
      <c r="N348" s="68" t="s">
        <v>34</v>
      </c>
      <c r="O348" s="45">
        <v>8</v>
      </c>
      <c r="P348" s="45"/>
      <c r="Q348" s="45"/>
      <c r="R348" s="19"/>
      <c r="T348" s="4"/>
      <c r="U348" s="4"/>
    </row>
    <row r="349" spans="1:21" ht="18" x14ac:dyDescent="0.3">
      <c r="A349" s="15"/>
      <c r="B349" s="20"/>
      <c r="C349" s="6"/>
      <c r="D349" s="44"/>
      <c r="E349" s="44"/>
      <c r="F349" s="75"/>
      <c r="G349" s="76"/>
      <c r="H349" s="76"/>
      <c r="I349" s="49"/>
      <c r="J349" s="49"/>
      <c r="K349" s="49"/>
      <c r="L349" s="67" t="s">
        <v>636</v>
      </c>
      <c r="M349" s="68" t="s">
        <v>637</v>
      </c>
      <c r="N349" s="68" t="s">
        <v>34</v>
      </c>
      <c r="O349" s="45">
        <v>2</v>
      </c>
      <c r="P349" s="45"/>
      <c r="Q349" s="45"/>
      <c r="R349" s="19"/>
      <c r="T349" s="4"/>
      <c r="U349" s="4"/>
    </row>
    <row r="350" spans="1:21" ht="18" x14ac:dyDescent="0.3">
      <c r="A350" s="15"/>
      <c r="B350" s="20"/>
      <c r="C350" s="6"/>
      <c r="D350" s="44"/>
      <c r="E350" s="44"/>
      <c r="F350" s="75"/>
      <c r="G350" s="76"/>
      <c r="H350" s="76"/>
      <c r="I350" s="49"/>
      <c r="J350" s="49"/>
      <c r="K350" s="49"/>
      <c r="L350" s="67" t="s">
        <v>638</v>
      </c>
      <c r="M350" s="68" t="s">
        <v>639</v>
      </c>
      <c r="N350" s="68" t="s">
        <v>64</v>
      </c>
      <c r="O350" s="45">
        <v>3</v>
      </c>
      <c r="P350" s="45"/>
      <c r="Q350" s="45"/>
      <c r="R350" s="19"/>
      <c r="T350" s="4"/>
      <c r="U350" s="4"/>
    </row>
    <row r="351" spans="1:21" ht="18" x14ac:dyDescent="0.3">
      <c r="A351" s="15"/>
      <c r="B351" s="20"/>
      <c r="C351" s="6"/>
      <c r="D351" s="44"/>
      <c r="E351" s="44"/>
      <c r="F351" s="75"/>
      <c r="G351" s="76"/>
      <c r="H351" s="76"/>
      <c r="I351" s="49"/>
      <c r="J351" s="49"/>
      <c r="K351" s="49"/>
      <c r="L351" s="67" t="s">
        <v>261</v>
      </c>
      <c r="M351" s="68" t="s">
        <v>262</v>
      </c>
      <c r="N351" s="68" t="s">
        <v>34</v>
      </c>
      <c r="O351" s="45">
        <v>1</v>
      </c>
      <c r="P351" s="45"/>
      <c r="Q351" s="45"/>
      <c r="R351" s="19"/>
      <c r="T351" s="4"/>
      <c r="U351" s="4"/>
    </row>
    <row r="352" spans="1:21" ht="18" x14ac:dyDescent="0.3">
      <c r="A352" s="15"/>
      <c r="B352" s="20"/>
      <c r="C352" s="6"/>
      <c r="D352" s="44"/>
      <c r="E352" s="44"/>
      <c r="F352" s="75"/>
      <c r="G352" s="76"/>
      <c r="H352" s="76"/>
      <c r="I352" s="49"/>
      <c r="J352" s="49"/>
      <c r="K352" s="49"/>
      <c r="L352" s="67" t="s">
        <v>640</v>
      </c>
      <c r="M352" s="68" t="s">
        <v>641</v>
      </c>
      <c r="N352" s="68" t="s">
        <v>34</v>
      </c>
      <c r="O352" s="45">
        <v>2</v>
      </c>
      <c r="P352" s="45"/>
      <c r="Q352" s="45"/>
      <c r="R352" s="19"/>
      <c r="T352" s="4"/>
      <c r="U352" s="4"/>
    </row>
    <row r="353" spans="1:21" ht="18" x14ac:dyDescent="0.3">
      <c r="A353" s="15"/>
      <c r="B353" s="20"/>
      <c r="C353" s="6"/>
      <c r="D353" s="44"/>
      <c r="E353" s="44"/>
      <c r="F353" s="75"/>
      <c r="G353" s="76"/>
      <c r="H353" s="76"/>
      <c r="I353" s="49"/>
      <c r="J353" s="49"/>
      <c r="K353" s="49"/>
      <c r="L353" s="67" t="s">
        <v>642</v>
      </c>
      <c r="M353" s="68" t="s">
        <v>643</v>
      </c>
      <c r="N353" s="68" t="s">
        <v>34</v>
      </c>
      <c r="O353" s="45">
        <v>1</v>
      </c>
      <c r="P353" s="45"/>
      <c r="Q353" s="45"/>
      <c r="R353" s="19"/>
      <c r="T353" s="4"/>
      <c r="U353" s="4"/>
    </row>
    <row r="354" spans="1:21" ht="18" x14ac:dyDescent="0.3">
      <c r="A354" s="15"/>
      <c r="B354" s="20"/>
      <c r="C354" s="6"/>
      <c r="D354" s="44"/>
      <c r="E354" s="44"/>
      <c r="F354" s="75"/>
      <c r="G354" s="76"/>
      <c r="H354" s="76"/>
      <c r="I354" s="49"/>
      <c r="J354" s="49"/>
      <c r="K354" s="49"/>
      <c r="L354" s="67" t="s">
        <v>143</v>
      </c>
      <c r="M354" s="68" t="s">
        <v>144</v>
      </c>
      <c r="N354" s="68" t="s">
        <v>34</v>
      </c>
      <c r="O354" s="45">
        <v>4</v>
      </c>
      <c r="P354" s="45"/>
      <c r="Q354" s="45"/>
      <c r="R354" s="19"/>
      <c r="T354" s="4"/>
      <c r="U354" s="4"/>
    </row>
    <row r="355" spans="1:21" ht="18" x14ac:dyDescent="0.3">
      <c r="A355" s="15"/>
      <c r="B355" s="20"/>
      <c r="C355" s="6"/>
      <c r="D355" s="44"/>
      <c r="E355" s="44"/>
      <c r="F355" s="75"/>
      <c r="G355" s="76"/>
      <c r="H355" s="76"/>
      <c r="I355" s="49"/>
      <c r="J355" s="49"/>
      <c r="K355" s="49"/>
      <c r="L355" s="67" t="s">
        <v>263</v>
      </c>
      <c r="M355" s="68" t="s">
        <v>264</v>
      </c>
      <c r="N355" s="68" t="s">
        <v>34</v>
      </c>
      <c r="O355" s="45">
        <v>7</v>
      </c>
      <c r="P355" s="45"/>
      <c r="Q355" s="45"/>
      <c r="R355" s="19"/>
      <c r="T355" s="4"/>
      <c r="U355" s="4"/>
    </row>
    <row r="356" spans="1:21" ht="18" x14ac:dyDescent="0.3">
      <c r="A356" s="15"/>
      <c r="B356" s="20"/>
      <c r="C356" s="6"/>
      <c r="D356" s="44"/>
      <c r="E356" s="44"/>
      <c r="F356" s="75"/>
      <c r="G356" s="76"/>
      <c r="H356" s="76"/>
      <c r="I356" s="49"/>
      <c r="J356" s="49"/>
      <c r="K356" s="49"/>
      <c r="L356" s="67" t="s">
        <v>644</v>
      </c>
      <c r="M356" s="68" t="s">
        <v>645</v>
      </c>
      <c r="N356" s="68" t="s">
        <v>34</v>
      </c>
      <c r="O356" s="45">
        <v>2</v>
      </c>
      <c r="P356" s="45"/>
      <c r="Q356" s="45"/>
      <c r="R356" s="19"/>
      <c r="T356" s="4"/>
      <c r="U356" s="4"/>
    </row>
    <row r="357" spans="1:21" ht="18" x14ac:dyDescent="0.3">
      <c r="A357" s="15"/>
      <c r="B357" s="20"/>
      <c r="C357" s="6"/>
      <c r="D357" s="44"/>
      <c r="E357" s="44"/>
      <c r="F357" s="75"/>
      <c r="G357" s="76"/>
      <c r="H357" s="76"/>
      <c r="I357" s="49"/>
      <c r="J357" s="49"/>
      <c r="K357" s="49"/>
      <c r="L357" s="67" t="s">
        <v>646</v>
      </c>
      <c r="M357" s="68" t="s">
        <v>647</v>
      </c>
      <c r="N357" s="68" t="s">
        <v>34</v>
      </c>
      <c r="O357" s="45">
        <v>4</v>
      </c>
      <c r="P357" s="45"/>
      <c r="Q357" s="45"/>
      <c r="R357" s="19"/>
      <c r="T357" s="4"/>
      <c r="U357" s="4"/>
    </row>
    <row r="358" spans="1:21" ht="18" x14ac:dyDescent="0.3">
      <c r="A358" s="15"/>
      <c r="B358" s="20"/>
      <c r="C358" s="6"/>
      <c r="D358" s="44"/>
      <c r="E358" s="44"/>
      <c r="F358" s="75"/>
      <c r="G358" s="76"/>
      <c r="H358" s="76"/>
      <c r="I358" s="49"/>
      <c r="J358" s="49"/>
      <c r="K358" s="49"/>
      <c r="L358" s="67" t="s">
        <v>648</v>
      </c>
      <c r="M358" s="68" t="s">
        <v>145</v>
      </c>
      <c r="N358" s="68" t="s">
        <v>37</v>
      </c>
      <c r="O358" s="45">
        <v>400</v>
      </c>
      <c r="P358" s="45"/>
      <c r="Q358" s="45"/>
      <c r="R358" s="19"/>
      <c r="T358" s="4"/>
      <c r="U358" s="4"/>
    </row>
    <row r="359" spans="1:21" ht="18" x14ac:dyDescent="0.3">
      <c r="A359" s="15"/>
      <c r="B359" s="20"/>
      <c r="C359" s="6"/>
      <c r="D359" s="44"/>
      <c r="E359" s="44"/>
      <c r="F359" s="75"/>
      <c r="G359" s="76"/>
      <c r="H359" s="76"/>
      <c r="I359" s="49"/>
      <c r="J359" s="49"/>
      <c r="K359" s="49"/>
      <c r="L359" s="67" t="s">
        <v>649</v>
      </c>
      <c r="M359" s="68" t="s">
        <v>650</v>
      </c>
      <c r="N359" s="68" t="s">
        <v>34</v>
      </c>
      <c r="O359" s="45">
        <v>10</v>
      </c>
      <c r="P359" s="45"/>
      <c r="Q359" s="45"/>
      <c r="R359" s="19"/>
      <c r="T359" s="4"/>
      <c r="U359" s="4"/>
    </row>
    <row r="360" spans="1:21" ht="18" x14ac:dyDescent="0.3">
      <c r="A360" s="15"/>
      <c r="B360" s="20"/>
      <c r="C360" s="6"/>
      <c r="D360" s="44"/>
      <c r="E360" s="44"/>
      <c r="F360" s="75"/>
      <c r="G360" s="76"/>
      <c r="H360" s="76"/>
      <c r="I360" s="49"/>
      <c r="J360" s="49"/>
      <c r="K360" s="49"/>
      <c r="L360" s="67" t="s">
        <v>651</v>
      </c>
      <c r="M360" s="68" t="s">
        <v>652</v>
      </c>
      <c r="N360" s="68" t="s">
        <v>34</v>
      </c>
      <c r="O360" s="45">
        <v>10</v>
      </c>
      <c r="P360" s="45"/>
      <c r="Q360" s="45"/>
      <c r="R360" s="19"/>
      <c r="T360" s="4"/>
      <c r="U360" s="4"/>
    </row>
    <row r="361" spans="1:21" ht="18" x14ac:dyDescent="0.3">
      <c r="A361" s="15"/>
      <c r="B361" s="20"/>
      <c r="C361" s="6"/>
      <c r="D361" s="44"/>
      <c r="E361" s="44"/>
      <c r="F361" s="75"/>
      <c r="G361" s="76"/>
      <c r="H361" s="76"/>
      <c r="I361" s="49"/>
      <c r="J361" s="49"/>
      <c r="K361" s="49"/>
      <c r="L361" s="67" t="s">
        <v>653</v>
      </c>
      <c r="M361" s="68" t="s">
        <v>146</v>
      </c>
      <c r="N361" s="68" t="s">
        <v>147</v>
      </c>
      <c r="O361" s="45">
        <v>17</v>
      </c>
      <c r="P361" s="45"/>
      <c r="Q361" s="45"/>
      <c r="R361" s="19"/>
      <c r="T361" s="4"/>
      <c r="U361" s="4"/>
    </row>
    <row r="362" spans="1:21" ht="18" x14ac:dyDescent="0.3">
      <c r="A362" s="15"/>
      <c r="B362" s="20"/>
      <c r="C362" s="6"/>
      <c r="D362" s="44"/>
      <c r="E362" s="44"/>
      <c r="F362" s="75"/>
      <c r="G362" s="76"/>
      <c r="H362" s="76"/>
      <c r="I362" s="49"/>
      <c r="J362" s="49"/>
      <c r="K362" s="49"/>
      <c r="L362" s="67" t="s">
        <v>654</v>
      </c>
      <c r="M362" s="68" t="s">
        <v>148</v>
      </c>
      <c r="N362" s="68" t="s">
        <v>147</v>
      </c>
      <c r="O362" s="45">
        <v>99</v>
      </c>
      <c r="P362" s="45"/>
      <c r="Q362" s="45"/>
      <c r="R362" s="19"/>
      <c r="T362" s="4"/>
      <c r="U362" s="4"/>
    </row>
    <row r="363" spans="1:21" ht="18" x14ac:dyDescent="0.3">
      <c r="A363" s="15"/>
      <c r="B363" s="20"/>
      <c r="C363" s="6"/>
      <c r="D363" s="44"/>
      <c r="E363" s="44"/>
      <c r="F363" s="75"/>
      <c r="G363" s="76"/>
      <c r="H363" s="76"/>
      <c r="I363" s="49"/>
      <c r="J363" s="49"/>
      <c r="K363" s="49"/>
      <c r="L363" s="67" t="s">
        <v>655</v>
      </c>
      <c r="M363" s="68" t="s">
        <v>149</v>
      </c>
      <c r="N363" s="68" t="s">
        <v>34</v>
      </c>
      <c r="O363" s="45">
        <v>29</v>
      </c>
      <c r="P363" s="45"/>
      <c r="Q363" s="45"/>
      <c r="R363" s="19"/>
      <c r="T363" s="4"/>
      <c r="U363" s="4"/>
    </row>
    <row r="364" spans="1:21" ht="18" x14ac:dyDescent="0.3">
      <c r="A364" s="15"/>
      <c r="B364" s="20"/>
      <c r="C364" s="6"/>
      <c r="D364" s="44"/>
      <c r="E364" s="44"/>
      <c r="F364" s="75"/>
      <c r="G364" s="76"/>
      <c r="H364" s="76"/>
      <c r="I364" s="49"/>
      <c r="J364" s="49"/>
      <c r="K364" s="49"/>
      <c r="L364" s="67" t="s">
        <v>656</v>
      </c>
      <c r="M364" s="68" t="s">
        <v>657</v>
      </c>
      <c r="N364" s="68" t="s">
        <v>34</v>
      </c>
      <c r="O364" s="45">
        <v>8</v>
      </c>
      <c r="P364" s="45"/>
      <c r="Q364" s="45"/>
      <c r="R364" s="19"/>
      <c r="T364" s="4"/>
      <c r="U364" s="4"/>
    </row>
    <row r="365" spans="1:21" ht="18" x14ac:dyDescent="0.3">
      <c r="A365" s="15"/>
      <c r="B365" s="20"/>
      <c r="C365" s="6"/>
      <c r="D365" s="44"/>
      <c r="E365" s="44"/>
      <c r="F365" s="75"/>
      <c r="G365" s="76"/>
      <c r="H365" s="76"/>
      <c r="I365" s="49"/>
      <c r="J365" s="49"/>
      <c r="K365" s="49"/>
      <c r="L365" s="67" t="s">
        <v>658</v>
      </c>
      <c r="M365" s="68" t="s">
        <v>659</v>
      </c>
      <c r="N365" s="68" t="s">
        <v>34</v>
      </c>
      <c r="O365" s="45">
        <v>10</v>
      </c>
      <c r="P365" s="45"/>
      <c r="Q365" s="45"/>
      <c r="R365" s="19"/>
      <c r="T365" s="4"/>
      <c r="U365" s="4"/>
    </row>
    <row r="366" spans="1:21" ht="18" x14ac:dyDescent="0.3">
      <c r="A366" s="15"/>
      <c r="B366" s="20"/>
      <c r="C366" s="6"/>
      <c r="D366" s="44"/>
      <c r="E366" s="44"/>
      <c r="F366" s="75"/>
      <c r="G366" s="76"/>
      <c r="H366" s="76"/>
      <c r="I366" s="49"/>
      <c r="J366" s="49"/>
      <c r="K366" s="49"/>
      <c r="L366" s="67" t="s">
        <v>660</v>
      </c>
      <c r="M366" s="68" t="s">
        <v>661</v>
      </c>
      <c r="N366" s="68" t="s">
        <v>147</v>
      </c>
      <c r="O366" s="45">
        <v>2</v>
      </c>
      <c r="P366" s="45"/>
      <c r="Q366" s="45"/>
      <c r="R366" s="19"/>
      <c r="T366" s="4"/>
      <c r="U366" s="4"/>
    </row>
    <row r="367" spans="1:21" ht="18" x14ac:dyDescent="0.3">
      <c r="A367" s="15"/>
      <c r="B367" s="20"/>
      <c r="C367" s="6"/>
      <c r="D367" s="44"/>
      <c r="E367" s="44"/>
      <c r="F367" s="75"/>
      <c r="G367" s="76"/>
      <c r="H367" s="76"/>
      <c r="I367" s="49"/>
      <c r="J367" s="49"/>
      <c r="K367" s="49"/>
      <c r="L367" s="67" t="s">
        <v>150</v>
      </c>
      <c r="M367" s="68" t="s">
        <v>662</v>
      </c>
      <c r="N367" s="68" t="s">
        <v>34</v>
      </c>
      <c r="O367" s="45">
        <v>5</v>
      </c>
      <c r="P367" s="45"/>
      <c r="Q367" s="45"/>
      <c r="R367" s="19"/>
      <c r="T367" s="4"/>
      <c r="U367" s="4"/>
    </row>
    <row r="368" spans="1:21" ht="18" x14ac:dyDescent="0.3">
      <c r="A368" s="15"/>
      <c r="B368" s="20"/>
      <c r="C368" s="6"/>
      <c r="D368" s="44"/>
      <c r="E368" s="44"/>
      <c r="F368" s="75"/>
      <c r="G368" s="76"/>
      <c r="H368" s="76"/>
      <c r="I368" s="49"/>
      <c r="J368" s="49"/>
      <c r="K368" s="49"/>
      <c r="L368" s="67" t="s">
        <v>663</v>
      </c>
      <c r="M368" s="68" t="s">
        <v>151</v>
      </c>
      <c r="N368" s="68" t="s">
        <v>34</v>
      </c>
      <c r="O368" s="45">
        <v>9</v>
      </c>
      <c r="P368" s="45"/>
      <c r="Q368" s="45"/>
      <c r="R368" s="19"/>
      <c r="T368" s="4"/>
      <c r="U368" s="4"/>
    </row>
    <row r="369" spans="1:21" ht="18" x14ac:dyDescent="0.3">
      <c r="A369" s="15"/>
      <c r="B369" s="20"/>
      <c r="C369" s="6"/>
      <c r="D369" s="44"/>
      <c r="E369" s="44"/>
      <c r="F369" s="75"/>
      <c r="G369" s="76"/>
      <c r="H369" s="76"/>
      <c r="I369" s="49"/>
      <c r="J369" s="49"/>
      <c r="K369" s="49"/>
      <c r="L369" s="67" t="s">
        <v>664</v>
      </c>
      <c r="M369" s="68" t="s">
        <v>665</v>
      </c>
      <c r="N369" s="68" t="s">
        <v>34</v>
      </c>
      <c r="O369" s="45">
        <v>1</v>
      </c>
      <c r="P369" s="45"/>
      <c r="Q369" s="45"/>
      <c r="R369" s="19"/>
      <c r="T369" s="4"/>
      <c r="U369" s="4"/>
    </row>
    <row r="370" spans="1:21" ht="18" x14ac:dyDescent="0.3">
      <c r="A370" s="15"/>
      <c r="B370" s="20"/>
      <c r="C370" s="6"/>
      <c r="D370" s="44"/>
      <c r="E370" s="44"/>
      <c r="F370" s="75"/>
      <c r="G370" s="76"/>
      <c r="H370" s="76"/>
      <c r="I370" s="49"/>
      <c r="J370" s="49"/>
      <c r="K370" s="49"/>
      <c r="L370" s="67" t="s">
        <v>666</v>
      </c>
      <c r="M370" s="68" t="s">
        <v>667</v>
      </c>
      <c r="N370" s="68" t="s">
        <v>34</v>
      </c>
      <c r="O370" s="45">
        <v>1</v>
      </c>
      <c r="P370" s="45"/>
      <c r="Q370" s="45"/>
      <c r="R370" s="19"/>
      <c r="T370" s="4"/>
      <c r="U370" s="4"/>
    </row>
    <row r="371" spans="1:21" ht="18" x14ac:dyDescent="0.3">
      <c r="A371" s="15"/>
      <c r="B371" s="20"/>
      <c r="C371" s="6"/>
      <c r="D371" s="44"/>
      <c r="E371" s="44"/>
      <c r="F371" s="75"/>
      <c r="G371" s="76"/>
      <c r="H371" s="76"/>
      <c r="I371" s="49"/>
      <c r="J371" s="49"/>
      <c r="K371" s="49"/>
      <c r="L371" s="67" t="s">
        <v>668</v>
      </c>
      <c r="M371" s="68" t="s">
        <v>669</v>
      </c>
      <c r="N371" s="68" t="s">
        <v>34</v>
      </c>
      <c r="O371" s="45">
        <v>1</v>
      </c>
      <c r="P371" s="45"/>
      <c r="Q371" s="45"/>
      <c r="R371" s="19"/>
      <c r="T371" s="4"/>
      <c r="U371" s="4"/>
    </row>
    <row r="372" spans="1:21" ht="18" x14ac:dyDescent="0.3">
      <c r="A372" s="15"/>
      <c r="B372" s="20"/>
      <c r="C372" s="6"/>
      <c r="D372" s="44"/>
      <c r="E372" s="44"/>
      <c r="F372" s="75"/>
      <c r="G372" s="76"/>
      <c r="H372" s="76"/>
      <c r="I372" s="49"/>
      <c r="J372" s="49"/>
      <c r="K372" s="49"/>
      <c r="L372" s="67" t="s">
        <v>670</v>
      </c>
      <c r="M372" s="68" t="s">
        <v>671</v>
      </c>
      <c r="N372" s="68" t="s">
        <v>34</v>
      </c>
      <c r="O372" s="45">
        <v>10</v>
      </c>
      <c r="P372" s="45"/>
      <c r="Q372" s="45"/>
      <c r="R372" s="19"/>
      <c r="T372" s="4"/>
      <c r="U372" s="4"/>
    </row>
    <row r="373" spans="1:21" ht="18" x14ac:dyDescent="0.3">
      <c r="A373" s="15"/>
      <c r="B373" s="20"/>
      <c r="C373" s="6"/>
      <c r="D373" s="44"/>
      <c r="E373" s="44"/>
      <c r="F373" s="75"/>
      <c r="G373" s="76"/>
      <c r="H373" s="76"/>
      <c r="I373" s="49"/>
      <c r="J373" s="49"/>
      <c r="K373" s="49"/>
      <c r="L373" s="67" t="s">
        <v>672</v>
      </c>
      <c r="M373" s="68" t="s">
        <v>673</v>
      </c>
      <c r="N373" s="68" t="s">
        <v>34</v>
      </c>
      <c r="O373" s="45">
        <v>24</v>
      </c>
      <c r="P373" s="45"/>
      <c r="Q373" s="45"/>
      <c r="R373" s="19"/>
      <c r="T373" s="4"/>
      <c r="U373" s="4"/>
    </row>
    <row r="374" spans="1:21" ht="18" x14ac:dyDescent="0.3">
      <c r="A374" s="15"/>
      <c r="B374" s="20"/>
      <c r="C374" s="6"/>
      <c r="D374" s="44"/>
      <c r="E374" s="44"/>
      <c r="F374" s="75"/>
      <c r="G374" s="76"/>
      <c r="H374" s="76"/>
      <c r="I374" s="49"/>
      <c r="J374" s="49"/>
      <c r="K374" s="49"/>
      <c r="L374" s="67" t="s">
        <v>674</v>
      </c>
      <c r="M374" s="68" t="s">
        <v>675</v>
      </c>
      <c r="N374" s="68" t="s">
        <v>34</v>
      </c>
      <c r="O374" s="45">
        <v>10</v>
      </c>
      <c r="P374" s="45"/>
      <c r="Q374" s="45"/>
      <c r="R374" s="19"/>
      <c r="T374" s="4"/>
      <c r="U374" s="4"/>
    </row>
    <row r="375" spans="1:21" ht="18" x14ac:dyDescent="0.3">
      <c r="A375" s="15"/>
      <c r="B375" s="20"/>
      <c r="C375" s="6"/>
      <c r="D375" s="44"/>
      <c r="E375" s="44"/>
      <c r="F375" s="75"/>
      <c r="G375" s="76"/>
      <c r="H375" s="76"/>
      <c r="I375" s="49"/>
      <c r="J375" s="49"/>
      <c r="K375" s="49"/>
      <c r="L375" s="67" t="s">
        <v>676</v>
      </c>
      <c r="M375" s="68" t="s">
        <v>152</v>
      </c>
      <c r="N375" s="68" t="s">
        <v>34</v>
      </c>
      <c r="O375" s="45">
        <v>20</v>
      </c>
      <c r="P375" s="45"/>
      <c r="Q375" s="45"/>
      <c r="R375" s="19"/>
      <c r="T375" s="4"/>
      <c r="U375" s="4"/>
    </row>
    <row r="376" spans="1:21" ht="18" x14ac:dyDescent="0.3">
      <c r="A376" s="15"/>
      <c r="B376" s="20"/>
      <c r="C376" s="6"/>
      <c r="D376" s="44"/>
      <c r="E376" s="44"/>
      <c r="F376" s="75"/>
      <c r="G376" s="76"/>
      <c r="H376" s="76"/>
      <c r="I376" s="49"/>
      <c r="J376" s="49"/>
      <c r="K376" s="49"/>
      <c r="L376" s="67" t="s">
        <v>677</v>
      </c>
      <c r="M376" s="68" t="s">
        <v>678</v>
      </c>
      <c r="N376" s="68" t="s">
        <v>34</v>
      </c>
      <c r="O376" s="45">
        <v>19</v>
      </c>
      <c r="P376" s="45"/>
      <c r="Q376" s="45"/>
      <c r="R376" s="19"/>
      <c r="T376" s="4"/>
      <c r="U376" s="4"/>
    </row>
    <row r="377" spans="1:21" ht="18" x14ac:dyDescent="0.3">
      <c r="A377" s="15"/>
      <c r="B377" s="20"/>
      <c r="C377" s="6"/>
      <c r="D377" s="44"/>
      <c r="E377" s="44"/>
      <c r="F377" s="75"/>
      <c r="G377" s="76"/>
      <c r="H377" s="76"/>
      <c r="I377" s="49"/>
      <c r="J377" s="49"/>
      <c r="K377" s="49"/>
      <c r="L377" s="67" t="s">
        <v>679</v>
      </c>
      <c r="M377" s="68" t="s">
        <v>680</v>
      </c>
      <c r="N377" s="68" t="s">
        <v>34</v>
      </c>
      <c r="O377" s="45">
        <v>5</v>
      </c>
      <c r="P377" s="45"/>
      <c r="Q377" s="45"/>
      <c r="R377" s="19"/>
      <c r="T377" s="4"/>
      <c r="U377" s="4"/>
    </row>
    <row r="378" spans="1:21" ht="18" x14ac:dyDescent="0.3">
      <c r="A378" s="15"/>
      <c r="B378" s="20"/>
      <c r="C378" s="6"/>
      <c r="D378" s="44"/>
      <c r="E378" s="44"/>
      <c r="F378" s="75"/>
      <c r="G378" s="76"/>
      <c r="H378" s="76"/>
      <c r="I378" s="49"/>
      <c r="J378" s="49"/>
      <c r="K378" s="49"/>
      <c r="L378" s="67" t="s">
        <v>153</v>
      </c>
      <c r="M378" s="68" t="s">
        <v>681</v>
      </c>
      <c r="N378" s="68" t="s">
        <v>34</v>
      </c>
      <c r="O378" s="45">
        <v>28</v>
      </c>
      <c r="P378" s="45"/>
      <c r="Q378" s="45"/>
      <c r="R378" s="19"/>
      <c r="T378" s="4"/>
      <c r="U378" s="4"/>
    </row>
    <row r="379" spans="1:21" ht="18" x14ac:dyDescent="0.3">
      <c r="A379" s="15"/>
      <c r="B379" s="20"/>
      <c r="C379" s="6"/>
      <c r="D379" s="44"/>
      <c r="E379" s="44"/>
      <c r="F379" s="75"/>
      <c r="G379" s="76"/>
      <c r="H379" s="76"/>
      <c r="I379" s="49"/>
      <c r="J379" s="49"/>
      <c r="K379" s="49"/>
      <c r="L379" s="67" t="s">
        <v>682</v>
      </c>
      <c r="M379" s="68" t="s">
        <v>683</v>
      </c>
      <c r="N379" s="68" t="s">
        <v>34</v>
      </c>
      <c r="O379" s="45">
        <v>10</v>
      </c>
      <c r="P379" s="45"/>
      <c r="Q379" s="45"/>
      <c r="R379" s="19"/>
      <c r="T379" s="4"/>
      <c r="U379" s="4"/>
    </row>
    <row r="380" spans="1:21" ht="18" x14ac:dyDescent="0.3">
      <c r="A380" s="15"/>
      <c r="B380" s="20"/>
      <c r="C380" s="6"/>
      <c r="D380" s="44"/>
      <c r="E380" s="44"/>
      <c r="F380" s="75"/>
      <c r="G380" s="76"/>
      <c r="H380" s="76"/>
      <c r="I380" s="49"/>
      <c r="J380" s="49"/>
      <c r="K380" s="49"/>
      <c r="L380" s="67" t="s">
        <v>684</v>
      </c>
      <c r="M380" s="68" t="s">
        <v>685</v>
      </c>
      <c r="N380" s="68" t="s">
        <v>34</v>
      </c>
      <c r="O380" s="45">
        <v>9</v>
      </c>
      <c r="P380" s="45"/>
      <c r="Q380" s="45"/>
      <c r="R380" s="19"/>
      <c r="T380" s="4"/>
      <c r="U380" s="4"/>
    </row>
    <row r="381" spans="1:21" ht="18" x14ac:dyDescent="0.3">
      <c r="A381" s="15"/>
      <c r="B381" s="20"/>
      <c r="C381" s="6"/>
      <c r="D381" s="44"/>
      <c r="E381" s="44"/>
      <c r="F381" s="75"/>
      <c r="G381" s="76"/>
      <c r="H381" s="76"/>
      <c r="I381" s="49"/>
      <c r="J381" s="49"/>
      <c r="K381" s="49"/>
      <c r="L381" s="67" t="s">
        <v>686</v>
      </c>
      <c r="M381" s="68" t="s">
        <v>687</v>
      </c>
      <c r="N381" s="68" t="s">
        <v>34</v>
      </c>
      <c r="O381" s="45">
        <v>1</v>
      </c>
      <c r="P381" s="45"/>
      <c r="Q381" s="45"/>
      <c r="R381" s="19"/>
      <c r="T381" s="4"/>
      <c r="U381" s="4"/>
    </row>
    <row r="382" spans="1:21" ht="18" x14ac:dyDescent="0.3">
      <c r="A382" s="15"/>
      <c r="B382" s="20"/>
      <c r="C382" s="6"/>
      <c r="D382" s="44"/>
      <c r="E382" s="44"/>
      <c r="F382" s="75"/>
      <c r="G382" s="76"/>
      <c r="H382" s="76"/>
      <c r="I382" s="49"/>
      <c r="J382" s="49"/>
      <c r="K382" s="49"/>
      <c r="L382" s="67" t="s">
        <v>688</v>
      </c>
      <c r="M382" s="68" t="s">
        <v>689</v>
      </c>
      <c r="N382" s="68" t="s">
        <v>34</v>
      </c>
      <c r="O382" s="45">
        <v>2</v>
      </c>
      <c r="P382" s="45"/>
      <c r="Q382" s="45"/>
      <c r="R382" s="19"/>
      <c r="T382" s="4"/>
      <c r="U382" s="4"/>
    </row>
    <row r="383" spans="1:21" ht="18" x14ac:dyDescent="0.3">
      <c r="A383" s="15"/>
      <c r="B383" s="20"/>
      <c r="C383" s="6"/>
      <c r="D383" s="44"/>
      <c r="E383" s="44"/>
      <c r="F383" s="75"/>
      <c r="G383" s="76"/>
      <c r="H383" s="76"/>
      <c r="I383" s="49"/>
      <c r="J383" s="49"/>
      <c r="K383" s="49"/>
      <c r="L383" s="67" t="s">
        <v>690</v>
      </c>
      <c r="M383" s="68" t="s">
        <v>691</v>
      </c>
      <c r="N383" s="68" t="s">
        <v>34</v>
      </c>
      <c r="O383" s="45">
        <v>2</v>
      </c>
      <c r="P383" s="45"/>
      <c r="Q383" s="45"/>
      <c r="R383" s="19"/>
      <c r="T383" s="4"/>
      <c r="U383" s="4"/>
    </row>
    <row r="384" spans="1:21" ht="18" x14ac:dyDescent="0.3">
      <c r="A384" s="15"/>
      <c r="B384" s="20"/>
      <c r="C384" s="6"/>
      <c r="D384" s="44"/>
      <c r="E384" s="44"/>
      <c r="F384" s="75"/>
      <c r="G384" s="76"/>
      <c r="H384" s="76"/>
      <c r="I384" s="49"/>
      <c r="J384" s="49"/>
      <c r="K384" s="49"/>
      <c r="L384" s="67" t="s">
        <v>692</v>
      </c>
      <c r="M384" s="68" t="s">
        <v>693</v>
      </c>
      <c r="N384" s="68" t="s">
        <v>34</v>
      </c>
      <c r="O384" s="45">
        <v>1</v>
      </c>
      <c r="P384" s="45"/>
      <c r="Q384" s="45"/>
      <c r="R384" s="19"/>
      <c r="T384" s="4"/>
      <c r="U384" s="4"/>
    </row>
    <row r="385" spans="1:21" ht="18" x14ac:dyDescent="0.3">
      <c r="A385" s="15"/>
      <c r="B385" s="20"/>
      <c r="C385" s="6"/>
      <c r="D385" s="44"/>
      <c r="E385" s="44"/>
      <c r="F385" s="75"/>
      <c r="G385" s="76"/>
      <c r="H385" s="76"/>
      <c r="I385" s="49"/>
      <c r="J385" s="49"/>
      <c r="K385" s="49"/>
      <c r="L385" s="67" t="s">
        <v>694</v>
      </c>
      <c r="M385" s="68" t="s">
        <v>695</v>
      </c>
      <c r="N385" s="68" t="s">
        <v>34</v>
      </c>
      <c r="O385" s="45">
        <v>2</v>
      </c>
      <c r="P385" s="45"/>
      <c r="Q385" s="45"/>
      <c r="R385" s="19"/>
      <c r="T385" s="4"/>
      <c r="U385" s="4"/>
    </row>
    <row r="386" spans="1:21" ht="18" x14ac:dyDescent="0.3">
      <c r="A386" s="15"/>
      <c r="B386" s="20"/>
      <c r="C386" s="6"/>
      <c r="D386" s="44"/>
      <c r="E386" s="44"/>
      <c r="F386" s="75"/>
      <c r="G386" s="76"/>
      <c r="H386" s="76"/>
      <c r="I386" s="49"/>
      <c r="J386" s="49"/>
      <c r="K386" s="49"/>
      <c r="L386" s="67" t="s">
        <v>696</v>
      </c>
      <c r="M386" s="68" t="s">
        <v>697</v>
      </c>
      <c r="N386" s="68" t="s">
        <v>34</v>
      </c>
      <c r="O386" s="45">
        <v>2</v>
      </c>
      <c r="P386" s="45"/>
      <c r="Q386" s="45"/>
      <c r="R386" s="19"/>
      <c r="T386" s="4"/>
      <c r="U386" s="4"/>
    </row>
    <row r="387" spans="1:21" ht="18" x14ac:dyDescent="0.3">
      <c r="A387" s="15"/>
      <c r="B387" s="20"/>
      <c r="C387" s="6"/>
      <c r="D387" s="44"/>
      <c r="E387" s="44"/>
      <c r="F387" s="75"/>
      <c r="G387" s="76"/>
      <c r="H387" s="76"/>
      <c r="I387" s="49"/>
      <c r="J387" s="49"/>
      <c r="K387" s="49"/>
      <c r="L387" s="67" t="s">
        <v>698</v>
      </c>
      <c r="M387" s="68" t="s">
        <v>97</v>
      </c>
      <c r="N387" s="68" t="s">
        <v>34</v>
      </c>
      <c r="O387" s="45">
        <v>43</v>
      </c>
      <c r="P387" s="45"/>
      <c r="Q387" s="45"/>
      <c r="R387" s="19"/>
      <c r="T387" s="4"/>
      <c r="U387" s="4"/>
    </row>
    <row r="388" spans="1:21" ht="18" x14ac:dyDescent="0.3">
      <c r="A388" s="15"/>
      <c r="B388" s="20"/>
      <c r="C388" s="6"/>
      <c r="D388" s="44"/>
      <c r="E388" s="44"/>
      <c r="F388" s="75"/>
      <c r="G388" s="76"/>
      <c r="H388" s="76"/>
      <c r="I388" s="49"/>
      <c r="J388" s="49"/>
      <c r="K388" s="49"/>
      <c r="L388" s="67" t="s">
        <v>699</v>
      </c>
      <c r="M388" s="68" t="s">
        <v>700</v>
      </c>
      <c r="N388" s="68" t="s">
        <v>34</v>
      </c>
      <c r="O388" s="45">
        <v>3</v>
      </c>
      <c r="P388" s="45"/>
      <c r="Q388" s="45"/>
      <c r="R388" s="19"/>
      <c r="T388" s="4"/>
      <c r="U388" s="4"/>
    </row>
    <row r="389" spans="1:21" ht="18" x14ac:dyDescent="0.3">
      <c r="A389" s="15"/>
      <c r="B389" s="20"/>
      <c r="C389" s="6"/>
      <c r="D389" s="44"/>
      <c r="E389" s="44"/>
      <c r="F389" s="75"/>
      <c r="G389" s="76"/>
      <c r="H389" s="76"/>
      <c r="I389" s="49"/>
      <c r="J389" s="49"/>
      <c r="K389" s="49"/>
      <c r="L389" s="67" t="s">
        <v>701</v>
      </c>
      <c r="M389" s="68" t="s">
        <v>702</v>
      </c>
      <c r="N389" s="68" t="s">
        <v>34</v>
      </c>
      <c r="O389" s="45">
        <v>2</v>
      </c>
      <c r="P389" s="45"/>
      <c r="Q389" s="45"/>
      <c r="R389" s="19"/>
      <c r="T389" s="4"/>
      <c r="U389" s="4"/>
    </row>
    <row r="390" spans="1:21" ht="18" x14ac:dyDescent="0.3">
      <c r="A390" s="15"/>
      <c r="B390" s="20"/>
      <c r="C390" s="6"/>
      <c r="D390" s="44"/>
      <c r="E390" s="44"/>
      <c r="F390" s="75"/>
      <c r="G390" s="76"/>
      <c r="H390" s="76"/>
      <c r="I390" s="49"/>
      <c r="J390" s="49"/>
      <c r="K390" s="49"/>
      <c r="L390" s="67" t="s">
        <v>703</v>
      </c>
      <c r="M390" s="68" t="s">
        <v>704</v>
      </c>
      <c r="N390" s="68" t="s">
        <v>34</v>
      </c>
      <c r="O390" s="45">
        <v>2</v>
      </c>
      <c r="P390" s="45"/>
      <c r="Q390" s="45"/>
      <c r="R390" s="19"/>
      <c r="T390" s="4"/>
      <c r="U390" s="4"/>
    </row>
    <row r="391" spans="1:21" ht="18" x14ac:dyDescent="0.3">
      <c r="A391" s="15"/>
      <c r="B391" s="20"/>
      <c r="C391" s="6"/>
      <c r="D391" s="44"/>
      <c r="E391" s="44"/>
      <c r="F391" s="75"/>
      <c r="G391" s="76"/>
      <c r="H391" s="76"/>
      <c r="I391" s="49"/>
      <c r="J391" s="49"/>
      <c r="K391" s="49"/>
      <c r="L391" s="67" t="s">
        <v>705</v>
      </c>
      <c r="M391" s="68" t="s">
        <v>154</v>
      </c>
      <c r="N391" s="68" t="s">
        <v>34</v>
      </c>
      <c r="O391" s="45">
        <v>1</v>
      </c>
      <c r="P391" s="45"/>
      <c r="Q391" s="45"/>
      <c r="R391" s="19"/>
      <c r="T391" s="4"/>
      <c r="U391" s="4"/>
    </row>
    <row r="392" spans="1:21" ht="18" x14ac:dyDescent="0.3">
      <c r="A392" s="15"/>
      <c r="B392" s="20"/>
      <c r="C392" s="6"/>
      <c r="D392" s="44"/>
      <c r="E392" s="44"/>
      <c r="F392" s="75"/>
      <c r="G392" s="76"/>
      <c r="H392" s="76"/>
      <c r="I392" s="49"/>
      <c r="J392" s="49"/>
      <c r="K392" s="49"/>
      <c r="L392" s="67" t="s">
        <v>706</v>
      </c>
      <c r="M392" s="68" t="s">
        <v>155</v>
      </c>
      <c r="N392" s="68" t="s">
        <v>34</v>
      </c>
      <c r="O392" s="45">
        <v>15</v>
      </c>
      <c r="P392" s="45"/>
      <c r="Q392" s="45"/>
      <c r="R392" s="19"/>
      <c r="T392" s="4"/>
      <c r="U392" s="4"/>
    </row>
    <row r="393" spans="1:21" ht="18" x14ac:dyDescent="0.3">
      <c r="A393" s="15"/>
      <c r="B393" s="20"/>
      <c r="C393" s="6"/>
      <c r="D393" s="44"/>
      <c r="E393" s="44"/>
      <c r="F393" s="75"/>
      <c r="G393" s="76"/>
      <c r="H393" s="76"/>
      <c r="I393" s="49"/>
      <c r="J393" s="49"/>
      <c r="K393" s="49"/>
      <c r="L393" s="67" t="s">
        <v>265</v>
      </c>
      <c r="M393" s="68" t="s">
        <v>266</v>
      </c>
      <c r="N393" s="68" t="s">
        <v>34</v>
      </c>
      <c r="O393" s="45">
        <v>1</v>
      </c>
      <c r="P393" s="45"/>
      <c r="Q393" s="45"/>
      <c r="R393" s="19"/>
      <c r="T393" s="4"/>
      <c r="U393" s="4"/>
    </row>
    <row r="394" spans="1:21" ht="18" x14ac:dyDescent="0.3">
      <c r="A394" s="15"/>
      <c r="B394" s="20"/>
      <c r="C394" s="6"/>
      <c r="D394" s="44"/>
      <c r="E394" s="44"/>
      <c r="F394" s="75"/>
      <c r="G394" s="76"/>
      <c r="H394" s="76"/>
      <c r="I394" s="49"/>
      <c r="J394" s="49"/>
      <c r="K394" s="49"/>
      <c r="L394" s="67" t="s">
        <v>267</v>
      </c>
      <c r="M394" s="68" t="s">
        <v>268</v>
      </c>
      <c r="N394" s="68" t="s">
        <v>34</v>
      </c>
      <c r="O394" s="45">
        <v>1</v>
      </c>
      <c r="P394" s="45"/>
      <c r="Q394" s="45"/>
      <c r="R394" s="19"/>
      <c r="T394" s="4"/>
      <c r="U394" s="4"/>
    </row>
    <row r="395" spans="1:21" ht="18" x14ac:dyDescent="0.3">
      <c r="A395" s="15"/>
      <c r="B395" s="20"/>
      <c r="C395" s="6"/>
      <c r="D395" s="44"/>
      <c r="E395" s="44"/>
      <c r="F395" s="75"/>
      <c r="G395" s="76"/>
      <c r="H395" s="76"/>
      <c r="I395" s="49"/>
      <c r="J395" s="49"/>
      <c r="K395" s="49"/>
      <c r="L395" s="67" t="s">
        <v>707</v>
      </c>
      <c r="M395" s="68" t="s">
        <v>708</v>
      </c>
      <c r="N395" s="68" t="s">
        <v>34</v>
      </c>
      <c r="O395" s="45">
        <v>2</v>
      </c>
      <c r="P395" s="45"/>
      <c r="Q395" s="45"/>
      <c r="R395" s="19"/>
      <c r="T395" s="4"/>
      <c r="U395" s="4"/>
    </row>
    <row r="396" spans="1:21" ht="18" x14ac:dyDescent="0.3">
      <c r="A396" s="15"/>
      <c r="B396" s="20"/>
      <c r="C396" s="6"/>
      <c r="D396" s="44"/>
      <c r="E396" s="44"/>
      <c r="F396" s="75"/>
      <c r="G396" s="76"/>
      <c r="H396" s="76"/>
      <c r="I396" s="49"/>
      <c r="J396" s="49"/>
      <c r="K396" s="49"/>
      <c r="L396" s="67" t="s">
        <v>709</v>
      </c>
      <c r="M396" s="68" t="s">
        <v>156</v>
      </c>
      <c r="N396" s="68" t="s">
        <v>34</v>
      </c>
      <c r="O396" s="45">
        <v>12</v>
      </c>
      <c r="P396" s="45"/>
      <c r="Q396" s="45"/>
      <c r="R396" s="19"/>
      <c r="T396" s="4"/>
      <c r="U396" s="4"/>
    </row>
    <row r="397" spans="1:21" ht="18" x14ac:dyDescent="0.3">
      <c r="A397" s="15"/>
      <c r="B397" s="20"/>
      <c r="C397" s="6"/>
      <c r="D397" s="44"/>
      <c r="E397" s="44"/>
      <c r="F397" s="75"/>
      <c r="G397" s="76"/>
      <c r="H397" s="76"/>
      <c r="I397" s="49"/>
      <c r="J397" s="49"/>
      <c r="K397" s="49"/>
      <c r="L397" s="67" t="s">
        <v>710</v>
      </c>
      <c r="M397" s="68" t="s">
        <v>711</v>
      </c>
      <c r="N397" s="68" t="s">
        <v>34</v>
      </c>
      <c r="O397" s="45">
        <v>2</v>
      </c>
      <c r="P397" s="45"/>
      <c r="Q397" s="45"/>
      <c r="R397" s="19"/>
      <c r="T397" s="4"/>
      <c r="U397" s="4"/>
    </row>
    <row r="398" spans="1:21" ht="18" x14ac:dyDescent="0.3">
      <c r="A398" s="15"/>
      <c r="B398" s="20"/>
      <c r="C398" s="6"/>
      <c r="D398" s="44"/>
      <c r="E398" s="44"/>
      <c r="F398" s="75"/>
      <c r="G398" s="76"/>
      <c r="H398" s="76"/>
      <c r="I398" s="49"/>
      <c r="J398" s="49"/>
      <c r="K398" s="49"/>
      <c r="L398" s="67" t="s">
        <v>712</v>
      </c>
      <c r="M398" s="68" t="s">
        <v>713</v>
      </c>
      <c r="N398" s="68" t="s">
        <v>34</v>
      </c>
      <c r="O398" s="45">
        <v>1</v>
      </c>
      <c r="P398" s="45"/>
      <c r="Q398" s="45"/>
      <c r="R398" s="19"/>
      <c r="T398" s="4"/>
      <c r="U398" s="4"/>
    </row>
    <row r="399" spans="1:21" ht="18" x14ac:dyDescent="0.3">
      <c r="A399" s="15"/>
      <c r="B399" s="20"/>
      <c r="C399" s="6"/>
      <c r="D399" s="44"/>
      <c r="E399" s="44"/>
      <c r="F399" s="75"/>
      <c r="G399" s="76"/>
      <c r="H399" s="76"/>
      <c r="I399" s="49"/>
      <c r="J399" s="49"/>
      <c r="K399" s="49"/>
      <c r="L399" s="67" t="s">
        <v>714</v>
      </c>
      <c r="M399" s="68" t="s">
        <v>270</v>
      </c>
      <c r="N399" s="68" t="s">
        <v>269</v>
      </c>
      <c r="O399" s="45">
        <v>2</v>
      </c>
      <c r="P399" s="45"/>
      <c r="Q399" s="45"/>
      <c r="R399" s="19"/>
      <c r="T399" s="4"/>
      <c r="U399" s="4"/>
    </row>
    <row r="400" spans="1:21" ht="18" x14ac:dyDescent="0.3">
      <c r="A400" s="15"/>
      <c r="B400" s="20"/>
      <c r="C400" s="6"/>
      <c r="D400" s="44"/>
      <c r="E400" s="44"/>
      <c r="F400" s="75"/>
      <c r="G400" s="76"/>
      <c r="H400" s="76"/>
      <c r="I400" s="49"/>
      <c r="J400" s="49"/>
      <c r="K400" s="49"/>
      <c r="L400" s="67" t="s">
        <v>715</v>
      </c>
      <c r="M400" s="68" t="s">
        <v>716</v>
      </c>
      <c r="N400" s="68" t="s">
        <v>34</v>
      </c>
      <c r="O400" s="45">
        <v>2</v>
      </c>
      <c r="P400" s="45"/>
      <c r="Q400" s="45"/>
      <c r="R400" s="19"/>
      <c r="T400" s="4"/>
      <c r="U400" s="4"/>
    </row>
    <row r="401" spans="1:21" ht="18" x14ac:dyDescent="0.3">
      <c r="A401" s="15"/>
      <c r="B401" s="20"/>
      <c r="C401" s="6"/>
      <c r="D401" s="44"/>
      <c r="E401" s="44"/>
      <c r="F401" s="75"/>
      <c r="G401" s="76"/>
      <c r="H401" s="76"/>
      <c r="I401" s="49"/>
      <c r="J401" s="49"/>
      <c r="K401" s="49"/>
      <c r="L401" s="67" t="s">
        <v>157</v>
      </c>
      <c r="M401" s="68" t="s">
        <v>158</v>
      </c>
      <c r="N401" s="68" t="s">
        <v>34</v>
      </c>
      <c r="O401" s="45">
        <v>21</v>
      </c>
      <c r="P401" s="45"/>
      <c r="Q401" s="45"/>
      <c r="R401" s="19"/>
      <c r="T401" s="4"/>
      <c r="U401" s="4"/>
    </row>
    <row r="402" spans="1:21" ht="18" x14ac:dyDescent="0.3">
      <c r="A402" s="15"/>
      <c r="B402" s="20"/>
      <c r="C402" s="6"/>
      <c r="D402" s="44"/>
      <c r="E402" s="44"/>
      <c r="F402" s="75"/>
      <c r="G402" s="76"/>
      <c r="H402" s="76"/>
      <c r="I402" s="49"/>
      <c r="J402" s="49"/>
      <c r="K402" s="49"/>
      <c r="L402" s="67" t="s">
        <v>246</v>
      </c>
      <c r="M402" s="68" t="s">
        <v>247</v>
      </c>
      <c r="N402" s="68" t="s">
        <v>34</v>
      </c>
      <c r="O402" s="45">
        <v>10</v>
      </c>
      <c r="P402" s="45"/>
      <c r="Q402" s="45"/>
      <c r="R402" s="19"/>
      <c r="T402" s="4"/>
      <c r="U402" s="4"/>
    </row>
    <row r="403" spans="1:21" ht="18" x14ac:dyDescent="0.3">
      <c r="A403" s="15"/>
      <c r="B403" s="20"/>
      <c r="C403" s="6"/>
      <c r="D403" s="44"/>
      <c r="E403" s="44"/>
      <c r="F403" s="75"/>
      <c r="G403" s="76"/>
      <c r="H403" s="76"/>
      <c r="I403" s="49"/>
      <c r="J403" s="49"/>
      <c r="K403" s="49"/>
      <c r="L403" s="67" t="s">
        <v>717</v>
      </c>
      <c r="M403" s="68" t="s">
        <v>718</v>
      </c>
      <c r="N403" s="68" t="s">
        <v>34</v>
      </c>
      <c r="O403" s="45">
        <v>2</v>
      </c>
      <c r="P403" s="45"/>
      <c r="Q403" s="45"/>
      <c r="R403" s="19"/>
      <c r="T403" s="4"/>
      <c r="U403" s="4"/>
    </row>
    <row r="404" spans="1:21" ht="18" x14ac:dyDescent="0.3">
      <c r="A404" s="15"/>
      <c r="B404" s="20"/>
      <c r="C404" s="6"/>
      <c r="D404" s="44"/>
      <c r="E404" s="44"/>
      <c r="F404" s="75"/>
      <c r="G404" s="76"/>
      <c r="H404" s="76"/>
      <c r="I404" s="49"/>
      <c r="J404" s="49"/>
      <c r="K404" s="49"/>
      <c r="L404" s="67" t="s">
        <v>159</v>
      </c>
      <c r="M404" s="68" t="s">
        <v>160</v>
      </c>
      <c r="N404" s="68" t="s">
        <v>37</v>
      </c>
      <c r="O404" s="45">
        <v>30</v>
      </c>
      <c r="P404" s="45"/>
      <c r="Q404" s="45"/>
      <c r="R404" s="19"/>
      <c r="T404" s="4"/>
      <c r="U404" s="4"/>
    </row>
    <row r="405" spans="1:21" ht="18.600000000000001" thickBot="1" x14ac:dyDescent="0.35">
      <c r="A405" s="15"/>
      <c r="B405" s="20"/>
      <c r="C405" s="6"/>
      <c r="D405" s="44"/>
      <c r="E405" s="44"/>
      <c r="F405" s="75"/>
      <c r="G405" s="76"/>
      <c r="H405" s="76"/>
      <c r="I405" s="49"/>
      <c r="J405" s="49"/>
      <c r="K405" s="49"/>
      <c r="L405" s="67" t="s">
        <v>719</v>
      </c>
      <c r="M405" s="68" t="s">
        <v>161</v>
      </c>
      <c r="N405" s="68" t="s">
        <v>37</v>
      </c>
      <c r="O405" s="45">
        <v>9</v>
      </c>
      <c r="P405" s="45"/>
      <c r="Q405" s="45"/>
      <c r="R405" s="19"/>
      <c r="T405" s="4"/>
      <c r="U405" s="4"/>
    </row>
    <row r="406" spans="1:21" ht="21.6" thickBot="1" x14ac:dyDescent="0.35">
      <c r="A406" s="28"/>
      <c r="B406" s="29" t="s">
        <v>29</v>
      </c>
      <c r="C406" s="30"/>
      <c r="D406" s="31">
        <f>SUM(D274:D405)</f>
        <v>0</v>
      </c>
      <c r="E406" s="31"/>
      <c r="F406" s="71"/>
      <c r="G406" s="71"/>
      <c r="H406" s="71"/>
      <c r="I406" s="71"/>
      <c r="J406" s="71"/>
      <c r="K406" s="71"/>
      <c r="L406" s="32"/>
      <c r="M406" s="33"/>
      <c r="N406" s="33"/>
      <c r="O406" s="34">
        <f>SUM(O274:O405)</f>
        <v>1829</v>
      </c>
      <c r="P406" s="34"/>
      <c r="Q406" s="34">
        <f>SUM(Q274:Q405)</f>
        <v>0</v>
      </c>
      <c r="R406" s="35"/>
    </row>
    <row r="407" spans="1:21" ht="21.6" thickBot="1" x14ac:dyDescent="0.35">
      <c r="A407" s="36"/>
      <c r="B407" s="37" t="s">
        <v>30</v>
      </c>
      <c r="C407" s="38"/>
      <c r="D407" s="39">
        <f>D273+D406</f>
        <v>0</v>
      </c>
      <c r="E407" s="39"/>
      <c r="F407" s="73"/>
      <c r="G407" s="73"/>
      <c r="H407" s="73"/>
      <c r="I407" s="73"/>
      <c r="J407" s="73"/>
      <c r="K407" s="73"/>
      <c r="L407" s="40"/>
      <c r="M407" s="41"/>
      <c r="N407" s="41"/>
      <c r="O407" s="42">
        <f>O273+O406</f>
        <v>1829</v>
      </c>
      <c r="P407" s="42"/>
      <c r="Q407" s="42" t="e">
        <f>Q273+Q406</f>
        <v>#N/A</v>
      </c>
      <c r="R407" s="43"/>
    </row>
    <row r="408" spans="1:21" ht="25.2" customHeight="1" x14ac:dyDescent="0.4">
      <c r="A408" s="288" t="s">
        <v>12</v>
      </c>
      <c r="B408" s="288"/>
      <c r="C408" s="288"/>
      <c r="D408" s="288"/>
      <c r="E408" s="288"/>
      <c r="F408" s="288"/>
      <c r="G408" s="288"/>
      <c r="H408" s="288"/>
      <c r="I408" s="288"/>
      <c r="J408" s="288"/>
      <c r="K408" s="288"/>
      <c r="L408" s="288"/>
      <c r="M408" s="288"/>
      <c r="N408" s="288"/>
      <c r="O408" s="99"/>
      <c r="P408" s="99"/>
      <c r="Q408" s="99"/>
      <c r="R408" s="5"/>
    </row>
    <row r="409" spans="1:21" ht="25.2" customHeight="1" x14ac:dyDescent="0.4">
      <c r="A409" s="288" t="s">
        <v>13</v>
      </c>
      <c r="B409" s="288"/>
      <c r="C409" s="288"/>
      <c r="D409" s="288"/>
      <c r="E409" s="288"/>
      <c r="F409" s="288"/>
      <c r="G409" s="288"/>
      <c r="H409" s="288"/>
      <c r="I409" s="288"/>
      <c r="J409" s="288"/>
      <c r="K409" s="288"/>
      <c r="L409" s="288"/>
      <c r="M409" s="288"/>
      <c r="N409" s="288"/>
      <c r="O409" s="99"/>
      <c r="P409" s="99"/>
      <c r="Q409" s="99"/>
      <c r="R409" s="5"/>
    </row>
    <row r="410" spans="1:21" ht="25.2" customHeight="1" x14ac:dyDescent="0.4">
      <c r="A410" s="290" t="s">
        <v>14</v>
      </c>
      <c r="B410" s="290"/>
      <c r="C410" s="290"/>
      <c r="D410" s="290"/>
      <c r="E410" s="290"/>
      <c r="F410" s="290"/>
      <c r="G410" s="290"/>
      <c r="H410" s="290"/>
      <c r="I410" s="290"/>
      <c r="J410" s="290"/>
      <c r="K410" s="290"/>
      <c r="L410" s="290"/>
      <c r="M410" s="290"/>
      <c r="N410" s="290"/>
      <c r="O410" s="100"/>
      <c r="P410" s="100"/>
      <c r="Q410" s="100"/>
      <c r="R410" s="5"/>
    </row>
    <row r="411" spans="1:21" ht="25.2" customHeight="1" x14ac:dyDescent="0.4">
      <c r="A411" s="288" t="s">
        <v>15</v>
      </c>
      <c r="B411" s="288"/>
      <c r="C411" s="288"/>
      <c r="D411" s="288"/>
      <c r="E411" s="288"/>
      <c r="F411" s="288"/>
      <c r="G411" s="288"/>
      <c r="H411" s="288"/>
      <c r="I411" s="288"/>
      <c r="J411" s="288"/>
      <c r="K411" s="288"/>
      <c r="L411" s="288"/>
      <c r="M411" s="288"/>
      <c r="N411" s="288"/>
      <c r="O411" s="99"/>
      <c r="P411" s="99"/>
      <c r="Q411" s="99"/>
      <c r="R411" s="5"/>
    </row>
    <row r="412" spans="1:21" ht="25.2" customHeight="1" x14ac:dyDescent="0.4">
      <c r="A412" s="288" t="s">
        <v>16</v>
      </c>
      <c r="B412" s="288"/>
      <c r="C412" s="288"/>
      <c r="D412" s="288"/>
      <c r="E412" s="288"/>
      <c r="F412" s="288"/>
      <c r="G412" s="288"/>
      <c r="H412" s="288"/>
      <c r="I412" s="288"/>
      <c r="J412" s="288"/>
      <c r="K412" s="288"/>
      <c r="L412" s="288"/>
      <c r="M412" s="288"/>
      <c r="N412" s="288"/>
      <c r="O412" s="99"/>
      <c r="P412" s="99"/>
      <c r="Q412" s="99"/>
      <c r="R412" s="5"/>
    </row>
    <row r="413" spans="1:21" ht="25.2" customHeight="1" x14ac:dyDescent="0.4">
      <c r="A413" s="288" t="s">
        <v>17</v>
      </c>
      <c r="B413" s="288"/>
      <c r="C413" s="288"/>
      <c r="D413" s="288"/>
      <c r="E413" s="288"/>
      <c r="F413" s="288"/>
      <c r="G413" s="288"/>
      <c r="H413" s="288"/>
      <c r="I413" s="288"/>
      <c r="J413" s="288"/>
      <c r="K413" s="288"/>
      <c r="L413" s="288"/>
      <c r="M413" s="288"/>
      <c r="N413" s="288"/>
      <c r="O413" s="99"/>
      <c r="P413" s="99"/>
      <c r="Q413" s="99"/>
      <c r="R413" s="5"/>
    </row>
    <row r="414" spans="1:21" ht="25.2" customHeight="1" x14ac:dyDescent="0.4">
      <c r="A414" s="288" t="s">
        <v>18</v>
      </c>
      <c r="B414" s="288"/>
      <c r="C414" s="288"/>
      <c r="D414" s="288"/>
      <c r="E414" s="288"/>
      <c r="F414" s="288"/>
      <c r="G414" s="288"/>
      <c r="H414" s="288"/>
      <c r="I414" s="288"/>
      <c r="J414" s="288"/>
      <c r="K414" s="288"/>
      <c r="L414" s="288"/>
      <c r="M414" s="288"/>
      <c r="N414" s="288"/>
      <c r="O414" s="99"/>
      <c r="P414" s="99"/>
      <c r="Q414" s="99"/>
      <c r="R414" s="5"/>
    </row>
    <row r="415" spans="1:21" ht="25.2" customHeight="1" x14ac:dyDescent="0.4">
      <c r="A415" s="288" t="s">
        <v>17</v>
      </c>
      <c r="B415" s="288"/>
      <c r="C415" s="288"/>
      <c r="D415" s="288"/>
      <c r="E415" s="288"/>
      <c r="F415" s="288"/>
      <c r="G415" s="288"/>
      <c r="H415" s="288"/>
      <c r="I415" s="288"/>
      <c r="J415" s="288"/>
      <c r="K415" s="288"/>
      <c r="L415" s="288"/>
      <c r="M415" s="288"/>
      <c r="N415" s="288"/>
      <c r="O415" s="99"/>
      <c r="P415" s="99"/>
      <c r="Q415" s="99"/>
      <c r="R415" s="5"/>
    </row>
    <row r="416" spans="1:21" ht="25.2" customHeight="1" x14ac:dyDescent="0.4">
      <c r="A416" s="288" t="s">
        <v>19</v>
      </c>
      <c r="B416" s="288"/>
      <c r="C416" s="288"/>
      <c r="D416" s="288"/>
      <c r="E416" s="288"/>
      <c r="F416" s="288"/>
      <c r="G416" s="288"/>
      <c r="H416" s="288"/>
      <c r="I416" s="288"/>
      <c r="J416" s="288"/>
      <c r="K416" s="288"/>
      <c r="L416" s="288"/>
      <c r="M416" s="288"/>
      <c r="N416" s="288"/>
      <c r="O416" s="99"/>
      <c r="P416" s="99"/>
      <c r="Q416" s="99"/>
      <c r="R416" s="5"/>
    </row>
    <row r="417" spans="1:18" ht="25.2" customHeight="1" x14ac:dyDescent="0.4">
      <c r="A417" s="288" t="s">
        <v>11</v>
      </c>
      <c r="B417" s="288"/>
      <c r="C417" s="288"/>
      <c r="D417" s="288"/>
      <c r="E417" s="288"/>
      <c r="F417" s="288"/>
      <c r="G417" s="288"/>
      <c r="H417" s="288"/>
      <c r="I417" s="288"/>
      <c r="J417" s="288"/>
      <c r="K417" s="288"/>
      <c r="L417" s="288"/>
      <c r="M417" s="288"/>
      <c r="N417" s="288"/>
      <c r="O417" s="99"/>
      <c r="P417" s="99"/>
      <c r="Q417" s="99"/>
      <c r="R417" s="5"/>
    </row>
    <row r="418" spans="1:18" ht="25.2" customHeight="1" x14ac:dyDescent="0.4">
      <c r="A418" s="288" t="s">
        <v>32</v>
      </c>
      <c r="B418" s="288"/>
      <c r="C418" s="288"/>
      <c r="D418" s="288"/>
      <c r="E418" s="288"/>
      <c r="F418" s="288"/>
      <c r="G418" s="288"/>
      <c r="H418" s="288"/>
      <c r="I418" s="288"/>
      <c r="J418" s="288"/>
      <c r="K418" s="288"/>
      <c r="L418" s="288"/>
      <c r="M418" s="288"/>
      <c r="N418" s="288"/>
      <c r="O418" s="99"/>
      <c r="P418" s="99"/>
      <c r="Q418" s="99"/>
      <c r="R418" s="5"/>
    </row>
    <row r="419" spans="1:18" ht="25.2" customHeight="1" x14ac:dyDescent="0.4">
      <c r="A419" s="289" t="s">
        <v>31</v>
      </c>
      <c r="B419" s="289"/>
      <c r="C419" s="289"/>
      <c r="D419" s="289"/>
      <c r="E419" s="289"/>
      <c r="F419" s="289"/>
      <c r="G419" s="289"/>
      <c r="H419" s="289"/>
      <c r="I419" s="289"/>
      <c r="J419" s="289"/>
      <c r="K419" s="289"/>
      <c r="L419" s="289"/>
      <c r="M419" s="289"/>
      <c r="N419" s="289"/>
      <c r="O419" s="97"/>
      <c r="P419" s="97"/>
      <c r="Q419" s="97"/>
      <c r="R419" s="5"/>
    </row>
    <row r="420" spans="1:18" ht="36" customHeight="1" x14ac:dyDescent="0.3"/>
  </sheetData>
  <autoFilter ref="L18:P243" xr:uid="{00000000-0001-0000-0000-000000000000}"/>
  <mergeCells count="37">
    <mergeCell ref="C16:C17"/>
    <mergeCell ref="D16:D17"/>
    <mergeCell ref="A418:N418"/>
    <mergeCell ref="A419:N419"/>
    <mergeCell ref="A411:N411"/>
    <mergeCell ref="A412:N412"/>
    <mergeCell ref="A413:N413"/>
    <mergeCell ref="A414:N414"/>
    <mergeCell ref="A415:N415"/>
    <mergeCell ref="A416:N416"/>
    <mergeCell ref="E16:E17"/>
    <mergeCell ref="M16:Q16"/>
    <mergeCell ref="A16:A17"/>
    <mergeCell ref="B16:B17"/>
    <mergeCell ref="T274:U274"/>
    <mergeCell ref="A408:N408"/>
    <mergeCell ref="A409:N409"/>
    <mergeCell ref="A417:N417"/>
    <mergeCell ref="A410:N410"/>
    <mergeCell ref="A12:R12"/>
    <mergeCell ref="A13:R13"/>
    <mergeCell ref="A14:Q14"/>
    <mergeCell ref="A15:K15"/>
    <mergeCell ref="L15:R15"/>
    <mergeCell ref="R16:R17"/>
    <mergeCell ref="F16:F17"/>
    <mergeCell ref="G16:G17"/>
    <mergeCell ref="H16:H17"/>
    <mergeCell ref="I16:I17"/>
    <mergeCell ref="J16:J17"/>
    <mergeCell ref="K16:K17"/>
    <mergeCell ref="A11:R11"/>
    <mergeCell ref="M1:R2"/>
    <mergeCell ref="M4:R4"/>
    <mergeCell ref="M5:R5"/>
    <mergeCell ref="M7:R7"/>
    <mergeCell ref="A10:R10"/>
  </mergeCells>
  <pageMargins left="0.25" right="0.25" top="0.75" bottom="0.75" header="0.3" footer="0.3"/>
  <pageSetup paperSize="9" scale="45" fitToHeight="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0AB7-BC9F-4F6E-B493-F16DAF672D62}">
  <dimension ref="A1:G33"/>
  <sheetViews>
    <sheetView zoomScale="85" zoomScaleNormal="85" workbookViewId="0">
      <selection activeCell="D34" sqref="D34"/>
    </sheetView>
  </sheetViews>
  <sheetFormatPr defaultRowHeight="14.4" x14ac:dyDescent="0.3"/>
  <cols>
    <col min="1" max="1" width="20.88671875" customWidth="1"/>
    <col min="2" max="2" width="52.88671875" customWidth="1"/>
    <col min="4" max="4" width="11.5546875" customWidth="1"/>
  </cols>
  <sheetData>
    <row r="1" spans="1:7" ht="15.6" x14ac:dyDescent="0.3">
      <c r="A1" s="108" t="s">
        <v>42</v>
      </c>
      <c r="B1" s="109" t="s">
        <v>76</v>
      </c>
      <c r="C1" s="110" t="s">
        <v>34</v>
      </c>
      <c r="D1" s="109">
        <v>1050</v>
      </c>
      <c r="E1" s="111"/>
      <c r="F1" s="111"/>
      <c r="G1" s="112"/>
    </row>
    <row r="2" spans="1:7" ht="15.6" x14ac:dyDescent="0.3">
      <c r="A2" s="108" t="s">
        <v>41</v>
      </c>
      <c r="B2" s="109" t="s">
        <v>78</v>
      </c>
      <c r="C2" s="110" t="s">
        <v>34</v>
      </c>
      <c r="D2" s="109">
        <v>2200</v>
      </c>
      <c r="E2" s="111"/>
      <c r="F2" s="111"/>
      <c r="G2" s="112"/>
    </row>
    <row r="3" spans="1:7" ht="15.6" x14ac:dyDescent="0.3">
      <c r="A3" s="108">
        <v>5936</v>
      </c>
      <c r="B3" s="109" t="s">
        <v>77</v>
      </c>
      <c r="C3" s="110" t="s">
        <v>34</v>
      </c>
      <c r="D3" s="109">
        <v>750</v>
      </c>
      <c r="E3" s="111"/>
      <c r="F3" s="111"/>
      <c r="G3" s="112"/>
    </row>
    <row r="4" spans="1:7" ht="15.6" x14ac:dyDescent="0.3">
      <c r="A4" s="108" t="s">
        <v>308</v>
      </c>
      <c r="B4" s="109" t="s">
        <v>309</v>
      </c>
      <c r="C4" s="110" t="s">
        <v>34</v>
      </c>
      <c r="D4" s="109">
        <v>32</v>
      </c>
      <c r="E4" s="111"/>
      <c r="F4" s="111"/>
      <c r="G4" s="112"/>
    </row>
    <row r="5" spans="1:7" ht="15.6" x14ac:dyDescent="0.3">
      <c r="A5" s="108" t="s">
        <v>310</v>
      </c>
      <c r="B5" s="109" t="s">
        <v>311</v>
      </c>
      <c r="C5" s="110" t="s">
        <v>34</v>
      </c>
      <c r="D5" s="109">
        <v>8</v>
      </c>
      <c r="E5" s="111"/>
      <c r="F5" s="111"/>
      <c r="G5" s="112"/>
    </row>
    <row r="6" spans="1:7" ht="15.6" x14ac:dyDescent="0.3">
      <c r="A6" s="108" t="s">
        <v>329</v>
      </c>
      <c r="B6" s="109" t="s">
        <v>330</v>
      </c>
      <c r="C6" s="110" t="s">
        <v>34</v>
      </c>
      <c r="D6" s="109">
        <v>2</v>
      </c>
      <c r="E6" s="111"/>
      <c r="F6" s="111"/>
      <c r="G6" s="112"/>
    </row>
    <row r="7" spans="1:7" ht="15.6" x14ac:dyDescent="0.3">
      <c r="A7" s="108" t="s">
        <v>385</v>
      </c>
      <c r="B7" s="109" t="s">
        <v>386</v>
      </c>
      <c r="C7" s="110" t="s">
        <v>34</v>
      </c>
      <c r="D7" s="109">
        <v>2</v>
      </c>
      <c r="E7" s="111"/>
      <c r="F7" s="111"/>
      <c r="G7" s="112"/>
    </row>
    <row r="8" spans="1:7" ht="15.6" x14ac:dyDescent="0.3">
      <c r="A8" s="108" t="s">
        <v>387</v>
      </c>
      <c r="B8" s="109" t="s">
        <v>388</v>
      </c>
      <c r="C8" s="110" t="s">
        <v>34</v>
      </c>
      <c r="D8" s="109">
        <v>2</v>
      </c>
      <c r="E8" s="111"/>
      <c r="F8" s="111"/>
      <c r="G8" s="112"/>
    </row>
    <row r="9" spans="1:7" ht="15.6" x14ac:dyDescent="0.3">
      <c r="A9" s="108" t="s">
        <v>184</v>
      </c>
      <c r="B9" s="109" t="s">
        <v>516</v>
      </c>
      <c r="C9" s="110" t="s">
        <v>34</v>
      </c>
      <c r="D9" s="109">
        <v>1</v>
      </c>
      <c r="E9" s="111"/>
      <c r="F9" s="111"/>
      <c r="G9" s="112"/>
    </row>
    <row r="10" spans="1:7" ht="15.6" x14ac:dyDescent="0.3">
      <c r="A10" s="108" t="s">
        <v>207</v>
      </c>
      <c r="B10" s="109" t="s">
        <v>513</v>
      </c>
      <c r="C10" s="110" t="s">
        <v>68</v>
      </c>
      <c r="D10" s="109">
        <v>120</v>
      </c>
      <c r="E10" s="111"/>
      <c r="F10" s="111"/>
      <c r="G10" s="112"/>
    </row>
    <row r="11" spans="1:7" ht="15.6" x14ac:dyDescent="0.3">
      <c r="A11" s="108" t="s">
        <v>43</v>
      </c>
      <c r="B11" s="109" t="s">
        <v>96</v>
      </c>
      <c r="C11" s="110" t="s">
        <v>34</v>
      </c>
      <c r="D11" s="109">
        <v>330</v>
      </c>
      <c r="E11" s="111"/>
      <c r="F11" s="111"/>
      <c r="G11" s="112"/>
    </row>
    <row r="12" spans="1:7" ht="15.6" x14ac:dyDescent="0.3">
      <c r="A12" s="108" t="s">
        <v>459</v>
      </c>
      <c r="B12" s="109" t="s">
        <v>460</v>
      </c>
      <c r="C12" s="110" t="s">
        <v>34</v>
      </c>
      <c r="D12" s="109">
        <v>3</v>
      </c>
      <c r="E12" s="111"/>
      <c r="F12" s="111"/>
      <c r="G12" s="112"/>
    </row>
    <row r="13" spans="1:7" ht="15.6" x14ac:dyDescent="0.3">
      <c r="A13" s="108" t="s">
        <v>475</v>
      </c>
      <c r="B13" s="109" t="s">
        <v>476</v>
      </c>
      <c r="C13" s="110" t="s">
        <v>34</v>
      </c>
      <c r="D13" s="109">
        <v>4</v>
      </c>
      <c r="E13" s="111"/>
      <c r="F13" s="111"/>
      <c r="G13" s="112"/>
    </row>
    <row r="14" spans="1:7" ht="15.6" x14ac:dyDescent="0.3">
      <c r="A14" s="108" t="s">
        <v>46</v>
      </c>
      <c r="B14" s="109" t="s">
        <v>107</v>
      </c>
      <c r="C14" s="110" t="s">
        <v>64</v>
      </c>
      <c r="D14" s="109">
        <v>25</v>
      </c>
      <c r="E14" s="111"/>
      <c r="F14" s="111"/>
      <c r="G14" s="112"/>
    </row>
    <row r="15" spans="1:7" ht="15.6" x14ac:dyDescent="0.3">
      <c r="A15" s="113" t="s">
        <v>246</v>
      </c>
      <c r="B15" s="114" t="s">
        <v>247</v>
      </c>
      <c r="C15" s="115" t="s">
        <v>34</v>
      </c>
      <c r="D15" s="114">
        <v>1</v>
      </c>
      <c r="E15" s="111"/>
      <c r="F15" s="111"/>
      <c r="G15" s="112"/>
    </row>
    <row r="16" spans="1:7" ht="15.6" x14ac:dyDescent="0.3">
      <c r="A16" s="113" t="s">
        <v>47</v>
      </c>
      <c r="B16" s="114" t="s">
        <v>108</v>
      </c>
      <c r="C16" s="115" t="s">
        <v>34</v>
      </c>
      <c r="D16" s="114">
        <v>21</v>
      </c>
      <c r="E16" s="111"/>
      <c r="F16" s="111"/>
      <c r="G16" s="112"/>
    </row>
    <row r="17" spans="1:7" ht="15.6" x14ac:dyDescent="0.3">
      <c r="A17" s="113" t="s">
        <v>495</v>
      </c>
      <c r="B17" s="114" t="s">
        <v>496</v>
      </c>
      <c r="C17" s="115" t="s">
        <v>34</v>
      </c>
      <c r="D17" s="114">
        <v>3</v>
      </c>
      <c r="E17" s="111"/>
      <c r="F17" s="111"/>
      <c r="G17" s="112"/>
    </row>
    <row r="18" spans="1:7" ht="15.6" x14ac:dyDescent="0.3">
      <c r="A18" s="113" t="s">
        <v>497</v>
      </c>
      <c r="B18" s="114" t="s">
        <v>498</v>
      </c>
      <c r="C18" s="115" t="s">
        <v>34</v>
      </c>
      <c r="D18" s="114">
        <v>2</v>
      </c>
      <c r="E18" s="111"/>
      <c r="F18" s="111"/>
      <c r="G18" s="112"/>
    </row>
    <row r="19" spans="1:7" ht="15.6" x14ac:dyDescent="0.3">
      <c r="A19" s="113" t="s">
        <v>504</v>
      </c>
      <c r="B19" s="114" t="s">
        <v>505</v>
      </c>
      <c r="C19" s="115" t="s">
        <v>34</v>
      </c>
      <c r="D19" s="114">
        <v>4</v>
      </c>
      <c r="E19" s="111"/>
      <c r="F19" s="111"/>
      <c r="G19" s="112"/>
    </row>
    <row r="20" spans="1:7" ht="15.6" x14ac:dyDescent="0.3">
      <c r="A20" s="113" t="s">
        <v>722</v>
      </c>
      <c r="B20" s="114" t="s">
        <v>723</v>
      </c>
      <c r="C20" s="115" t="s">
        <v>34</v>
      </c>
      <c r="D20" s="114">
        <v>1</v>
      </c>
      <c r="E20" s="111"/>
      <c r="F20" s="111"/>
      <c r="G20" s="112"/>
    </row>
    <row r="21" spans="1:7" ht="15.6" x14ac:dyDescent="0.3">
      <c r="A21" s="113" t="s">
        <v>724</v>
      </c>
      <c r="B21" s="114" t="s">
        <v>725</v>
      </c>
      <c r="C21" s="115" t="s">
        <v>34</v>
      </c>
      <c r="D21" s="114">
        <v>1</v>
      </c>
      <c r="E21" s="111"/>
      <c r="F21" s="111"/>
      <c r="G21" s="112"/>
    </row>
    <row r="22" spans="1:7" ht="15.6" x14ac:dyDescent="0.3">
      <c r="A22" s="113" t="s">
        <v>726</v>
      </c>
      <c r="B22" s="114" t="s">
        <v>727</v>
      </c>
      <c r="C22" s="115" t="s">
        <v>34</v>
      </c>
      <c r="D22" s="114">
        <v>1</v>
      </c>
      <c r="E22" s="111"/>
      <c r="F22" s="111"/>
      <c r="G22" s="112"/>
    </row>
    <row r="23" spans="1:7" ht="15.6" x14ac:dyDescent="0.3">
      <c r="A23" s="108">
        <v>3979</v>
      </c>
      <c r="B23" s="109" t="s">
        <v>206</v>
      </c>
      <c r="C23" s="110" t="s">
        <v>34</v>
      </c>
      <c r="D23" s="109">
        <v>72</v>
      </c>
    </row>
    <row r="24" spans="1:7" ht="15.6" x14ac:dyDescent="0.3">
      <c r="A24" s="108" t="s">
        <v>728</v>
      </c>
      <c r="B24" s="109" t="s">
        <v>729</v>
      </c>
      <c r="C24" s="110" t="s">
        <v>34</v>
      </c>
      <c r="D24" s="109">
        <v>0.2280000000000002</v>
      </c>
    </row>
    <row r="25" spans="1:7" ht="15.6" x14ac:dyDescent="0.3">
      <c r="A25" s="108" t="s">
        <v>728</v>
      </c>
      <c r="B25" s="109" t="s">
        <v>729</v>
      </c>
      <c r="C25" s="110" t="s">
        <v>34</v>
      </c>
      <c r="D25" s="109">
        <v>2.5469999999999997</v>
      </c>
    </row>
    <row r="26" spans="1:7" ht="15.6" x14ac:dyDescent="0.3">
      <c r="A26" s="108" t="s">
        <v>730</v>
      </c>
      <c r="B26" s="109" t="s">
        <v>731</v>
      </c>
      <c r="C26" s="110" t="s">
        <v>34</v>
      </c>
      <c r="D26" s="109">
        <v>4</v>
      </c>
    </row>
    <row r="27" spans="1:7" ht="15.6" x14ac:dyDescent="0.3">
      <c r="A27" s="108" t="s">
        <v>732</v>
      </c>
      <c r="B27" s="109" t="s">
        <v>733</v>
      </c>
      <c r="C27" s="110" t="s">
        <v>34</v>
      </c>
      <c r="D27" s="109">
        <v>1</v>
      </c>
    </row>
    <row r="28" spans="1:7" ht="15.6" x14ac:dyDescent="0.3">
      <c r="A28" s="108" t="s">
        <v>732</v>
      </c>
      <c r="B28" s="109" t="s">
        <v>733</v>
      </c>
      <c r="C28" s="110" t="s">
        <v>34</v>
      </c>
      <c r="D28" s="109">
        <v>2</v>
      </c>
    </row>
    <row r="29" spans="1:7" ht="15.6" x14ac:dyDescent="0.3">
      <c r="A29" s="108" t="s">
        <v>734</v>
      </c>
      <c r="B29" s="109" t="s">
        <v>92</v>
      </c>
      <c r="C29" s="110" t="s">
        <v>68</v>
      </c>
      <c r="D29" s="109">
        <v>49</v>
      </c>
    </row>
    <row r="30" spans="1:7" ht="15.6" x14ac:dyDescent="0.3">
      <c r="A30" s="108" t="s">
        <v>411</v>
      </c>
      <c r="B30" s="109" t="s">
        <v>412</v>
      </c>
      <c r="C30" s="110" t="s">
        <v>34</v>
      </c>
      <c r="D30" s="109">
        <v>136</v>
      </c>
    </row>
    <row r="31" spans="1:7" ht="15.6" x14ac:dyDescent="0.3">
      <c r="A31" s="108" t="s">
        <v>204</v>
      </c>
      <c r="B31" s="109" t="s">
        <v>735</v>
      </c>
      <c r="C31" s="110" t="s">
        <v>34</v>
      </c>
      <c r="D31" s="109">
        <v>158</v>
      </c>
    </row>
    <row r="32" spans="1:7" ht="15.6" x14ac:dyDescent="0.3">
      <c r="A32" s="108" t="s">
        <v>302</v>
      </c>
      <c r="B32" s="109" t="s">
        <v>303</v>
      </c>
      <c r="C32" s="110" t="s">
        <v>35</v>
      </c>
      <c r="D32" s="109">
        <v>3</v>
      </c>
    </row>
    <row r="33" spans="1:4" ht="15.6" x14ac:dyDescent="0.3">
      <c r="A33" s="108" t="s">
        <v>434</v>
      </c>
      <c r="B33" s="109" t="s">
        <v>435</v>
      </c>
      <c r="C33" s="110" t="s">
        <v>34</v>
      </c>
      <c r="D33" s="109">
        <v>5</v>
      </c>
    </row>
  </sheetData>
  <phoneticPr fontId="4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М29 №35 (2)</vt:lpstr>
      <vt:lpstr>М29 №29</vt:lpstr>
      <vt:lpstr>М29 №30</vt:lpstr>
      <vt:lpstr>М29 №31</vt:lpstr>
      <vt:lpstr>М29 №32</vt:lpstr>
      <vt:lpstr>М29 №33</vt:lpstr>
      <vt:lpstr>М29 №34</vt:lpstr>
      <vt:lpstr>М29 №36</vt:lpstr>
      <vt:lpstr>М29 №37</vt:lpstr>
      <vt:lpstr>М29 №38</vt:lpstr>
      <vt:lpstr>М29 №39</vt:lpstr>
      <vt:lpstr>М29 №1 (2)</vt:lpstr>
      <vt:lpstr>ПЕРЕВЕСТИ НА ВИРОБНИЧИЙ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2025-11-28T11:31:57Z</dcterms:modified>
</cp:coreProperties>
</file>
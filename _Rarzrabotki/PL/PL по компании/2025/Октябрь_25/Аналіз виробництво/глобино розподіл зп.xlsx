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.antonov\Desktop\"/>
    </mc:Choice>
  </mc:AlternateContent>
  <xr:revisionPtr revIDLastSave="0" documentId="13_ncr:1_{CDA05B1F-6E6B-4C6E-881C-E0539B8633A6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1" l="1"/>
  <c r="J17" i="1" s="1"/>
  <c r="E17" i="1"/>
  <c r="F17" i="1"/>
  <c r="G17" i="1"/>
  <c r="H17" i="1"/>
  <c r="D17" i="1"/>
  <c r="M2" i="1" l="1"/>
  <c r="D2" i="1"/>
  <c r="R2" i="1"/>
  <c r="I2" i="1"/>
  <c r="L3" i="1" s="1"/>
  <c r="H3" i="1" l="1"/>
  <c r="H5" i="1" s="1"/>
  <c r="L4" i="1"/>
  <c r="D3" i="1"/>
  <c r="F3" i="1"/>
  <c r="O3" i="1"/>
  <c r="O4" i="1" s="1"/>
  <c r="M3" i="1"/>
  <c r="M4" i="1" s="1"/>
  <c r="P3" i="1"/>
  <c r="P4" i="1" s="1"/>
  <c r="E3" i="1"/>
  <c r="H6" i="1"/>
  <c r="C3" i="1"/>
  <c r="G3" i="1"/>
  <c r="N3" i="1"/>
  <c r="N4" i="1" s="1"/>
  <c r="Q3" i="1"/>
  <c r="Q4" i="1" s="1"/>
  <c r="H4" i="1"/>
  <c r="E5" i="1" l="1"/>
  <c r="E4" i="1"/>
  <c r="E6" i="1"/>
  <c r="G6" i="1"/>
  <c r="G5" i="1"/>
  <c r="G4" i="1"/>
  <c r="R4" i="1"/>
  <c r="S4" i="1" s="1"/>
  <c r="C5" i="1"/>
  <c r="I3" i="1"/>
  <c r="C4" i="1"/>
  <c r="C6" i="1"/>
  <c r="F4" i="1"/>
  <c r="F5" i="1"/>
  <c r="F6" i="1"/>
  <c r="D6" i="1"/>
  <c r="D4" i="1"/>
  <c r="D5" i="1"/>
  <c r="R3" i="1"/>
  <c r="I4" i="1" l="1"/>
  <c r="J4" i="1" s="1"/>
  <c r="I6" i="1"/>
  <c r="J6" i="1" s="1"/>
  <c r="I5" i="1"/>
  <c r="J5" i="1" s="1"/>
</calcChain>
</file>

<file path=xl/sharedStrings.xml><?xml version="1.0" encoding="utf-8"?>
<sst xmlns="http://schemas.openxmlformats.org/spreadsheetml/2006/main" count="26" uniqueCount="14">
  <si>
    <t>глобино</t>
  </si>
  <si>
    <t>Форшахта</t>
  </si>
  <si>
    <t>галерея 25,6</t>
  </si>
  <si>
    <t>ГРП</t>
  </si>
  <si>
    <t>Парк меляси</t>
  </si>
  <si>
    <t xml:space="preserve">Сумма по Ф2, грн </t>
  </si>
  <si>
    <t>Сумма итого, грн</t>
  </si>
  <si>
    <t xml:space="preserve">Сумма по Ф1, грн  </t>
  </si>
  <si>
    <t xml:space="preserve">ЗП производственного персонала </t>
  </si>
  <si>
    <t>Удержание с зарплаты производственного персонала</t>
  </si>
  <si>
    <t>Начисления на зарплату производственного персонала</t>
  </si>
  <si>
    <t>всього</t>
  </si>
  <si>
    <t>перевірка</t>
  </si>
  <si>
    <t>Будівельні матеріали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</si>
</sst>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" fontId="0" fillId="0" borderId="0" xfId="0" applyNumberFormat="1"/>
    <xf numFmtId="0" fontId="0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 xr:uid="{5E02878E-E5EF-4A8B-AFA5-1D882E52D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M11" sqref="M11"/>
    </sheetView>
  </sheetViews>
  <sheetFormatPr defaultRowHeight="14.4" x14ac:dyDescent="0.3"/>
  <cols>
    <col min="1" max="1" width="25.109375" customWidth="1"/>
    <col min="2" max="3" width="9.88671875" bestFit="1" customWidth="1"/>
    <col min="4" max="4" width="10" bestFit="1" customWidth="1"/>
    <col min="5" max="8" width="9" bestFit="1" customWidth="1"/>
    <col min="9" max="9" width="10" customWidth="1"/>
    <col min="10" max="10" width="9.88671875" bestFit="1" customWidth="1"/>
    <col min="12" max="13" width="9.88671875" bestFit="1" customWidth="1"/>
    <col min="14" max="16" width="9" bestFit="1" customWidth="1"/>
    <col min="17" max="18" width="9.88671875" bestFit="1" customWidth="1"/>
  </cols>
  <sheetData>
    <row r="1" spans="1:19" ht="28.8" x14ac:dyDescent="0.3"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4" t="s">
        <v>11</v>
      </c>
      <c r="J1" s="4" t="s">
        <v>12</v>
      </c>
      <c r="L1" s="1" t="s">
        <v>0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4" t="s">
        <v>11</v>
      </c>
      <c r="S1" s="4" t="s">
        <v>12</v>
      </c>
    </row>
    <row r="2" spans="1:19" x14ac:dyDescent="0.3">
      <c r="C2" s="2">
        <v>0</v>
      </c>
      <c r="D2" s="2">
        <f>829+1268</f>
        <v>2097</v>
      </c>
      <c r="E2" s="2">
        <v>89</v>
      </c>
      <c r="F2" s="2">
        <v>618</v>
      </c>
      <c r="G2" s="2">
        <v>417</v>
      </c>
      <c r="H2" s="2">
        <v>904</v>
      </c>
      <c r="I2">
        <f>SUM(C2:H2)</f>
        <v>4125</v>
      </c>
      <c r="L2" s="2">
        <v>0</v>
      </c>
      <c r="M2" s="2">
        <f>829+1268</f>
        <v>2097</v>
      </c>
      <c r="N2" s="2">
        <v>89</v>
      </c>
      <c r="O2" s="2">
        <v>618</v>
      </c>
      <c r="P2" s="2">
        <v>417</v>
      </c>
      <c r="Q2" s="2">
        <v>904</v>
      </c>
      <c r="R2">
        <f>SUM(L2:Q2)</f>
        <v>4125</v>
      </c>
    </row>
    <row r="3" spans="1:19" x14ac:dyDescent="0.3">
      <c r="C3">
        <f>C2/$I$2</f>
        <v>0</v>
      </c>
      <c r="D3">
        <f t="shared" ref="D3:H3" si="0">D2/$I$2</f>
        <v>0.50836363636363635</v>
      </c>
      <c r="E3">
        <f t="shared" si="0"/>
        <v>2.1575757575757575E-2</v>
      </c>
      <c r="F3">
        <f t="shared" si="0"/>
        <v>0.14981818181818182</v>
      </c>
      <c r="G3">
        <f t="shared" si="0"/>
        <v>0.10109090909090909</v>
      </c>
      <c r="H3">
        <f t="shared" si="0"/>
        <v>0.21915151515151515</v>
      </c>
      <c r="I3">
        <f>SUM(C3:H3)</f>
        <v>1</v>
      </c>
      <c r="L3">
        <f>L2/$I$2</f>
        <v>0</v>
      </c>
      <c r="M3">
        <f t="shared" ref="M3" si="1">M2/$I$2</f>
        <v>0.50836363636363635</v>
      </c>
      <c r="N3">
        <f t="shared" ref="N3" si="2">N2/$I$2</f>
        <v>2.1575757575757575E-2</v>
      </c>
      <c r="O3">
        <f t="shared" ref="O3" si="3">O2/$I$2</f>
        <v>0.14981818181818182</v>
      </c>
      <c r="P3">
        <f t="shared" ref="P3" si="4">P2/$I$2</f>
        <v>0.10109090909090909</v>
      </c>
      <c r="Q3">
        <f t="shared" ref="Q3" si="5">Q2/$I$2</f>
        <v>0.21915151515151515</v>
      </c>
      <c r="R3">
        <f>SUM(L3:Q3)</f>
        <v>1</v>
      </c>
    </row>
    <row r="4" spans="1:19" x14ac:dyDescent="0.3">
      <c r="A4" t="s">
        <v>8</v>
      </c>
      <c r="C4" s="3">
        <f>$B$10*C3</f>
        <v>0</v>
      </c>
      <c r="D4" s="3">
        <f t="shared" ref="D4:H4" si="6">$B$10*D3</f>
        <v>35697.447054545453</v>
      </c>
      <c r="E4" s="3">
        <f t="shared" si="6"/>
        <v>1515.0561696969696</v>
      </c>
      <c r="F4" s="3">
        <f t="shared" si="6"/>
        <v>10520.277672727274</v>
      </c>
      <c r="G4" s="3">
        <f t="shared" si="6"/>
        <v>7098.6339636363637</v>
      </c>
      <c r="H4" s="3">
        <f t="shared" si="6"/>
        <v>15388.88513939394</v>
      </c>
      <c r="I4" s="3">
        <f t="shared" ref="I4:I6" si="7">SUM(C4:H4)</f>
        <v>70220.299999999988</v>
      </c>
      <c r="J4" s="3">
        <f>I4-B10</f>
        <v>0</v>
      </c>
      <c r="L4" s="3">
        <f>$C$10*L$3</f>
        <v>0</v>
      </c>
      <c r="M4" s="3">
        <f t="shared" ref="M4:Q4" si="8">$C$10*M$3</f>
        <v>277240.29292363633</v>
      </c>
      <c r="N4" s="3">
        <f t="shared" si="8"/>
        <v>11766.516962424241</v>
      </c>
      <c r="O4" s="3">
        <f t="shared" si="8"/>
        <v>81704.578458181815</v>
      </c>
      <c r="P4" s="3">
        <f t="shared" si="8"/>
        <v>55130.75925090909</v>
      </c>
      <c r="Q4" s="3">
        <f t="shared" si="8"/>
        <v>119516.08240484848</v>
      </c>
      <c r="R4" s="3">
        <f>SUM(L4:Q4)</f>
        <v>545358.23</v>
      </c>
      <c r="S4" s="3">
        <f>R4-C10</f>
        <v>0</v>
      </c>
    </row>
    <row r="5" spans="1:19" x14ac:dyDescent="0.3">
      <c r="A5" t="s">
        <v>9</v>
      </c>
      <c r="C5" s="3">
        <f>$B$11*C3</f>
        <v>0</v>
      </c>
      <c r="D5" s="3">
        <f t="shared" ref="D5:H5" si="9">$B$11*D3</f>
        <v>10662.861185454545</v>
      </c>
      <c r="E5" s="3">
        <f t="shared" si="9"/>
        <v>452.54871030303025</v>
      </c>
      <c r="F5" s="3">
        <f t="shared" si="9"/>
        <v>3142.4168872727273</v>
      </c>
      <c r="G5" s="3">
        <f t="shared" si="9"/>
        <v>2120.3686763636365</v>
      </c>
      <c r="H5" s="3">
        <f t="shared" si="9"/>
        <v>4596.67454060606</v>
      </c>
      <c r="I5" s="3">
        <f t="shared" si="7"/>
        <v>20974.87</v>
      </c>
      <c r="J5" s="3">
        <f t="shared" ref="J5:J6" si="10">I5-B11</f>
        <v>0</v>
      </c>
    </row>
    <row r="6" spans="1:19" x14ac:dyDescent="0.3">
      <c r="A6" t="s">
        <v>10</v>
      </c>
      <c r="C6" s="3">
        <f>$B$12*C3</f>
        <v>0</v>
      </c>
      <c r="D6" s="3">
        <f t="shared" ref="D6:H6" si="11">$B$12*D3</f>
        <v>9773.6874327272726</v>
      </c>
      <c r="E6" s="3">
        <f t="shared" si="11"/>
        <v>414.81076848484844</v>
      </c>
      <c r="F6" s="3">
        <f t="shared" si="11"/>
        <v>2880.3714036363635</v>
      </c>
      <c r="G6" s="3">
        <f t="shared" si="11"/>
        <v>1943.5515781818181</v>
      </c>
      <c r="H6" s="3">
        <f t="shared" si="11"/>
        <v>4213.3588169696968</v>
      </c>
      <c r="I6" s="3">
        <f t="shared" si="7"/>
        <v>19225.78</v>
      </c>
      <c r="J6" s="3">
        <f t="shared" si="10"/>
        <v>0</v>
      </c>
    </row>
    <row r="9" spans="1:19" x14ac:dyDescent="0.3">
      <c r="B9" t="s">
        <v>7</v>
      </c>
      <c r="C9" t="s">
        <v>5</v>
      </c>
      <c r="D9" t="s">
        <v>6</v>
      </c>
    </row>
    <row r="10" spans="1:19" x14ac:dyDescent="0.3">
      <c r="A10" t="s">
        <v>8</v>
      </c>
      <c r="B10" s="3">
        <v>70220.3</v>
      </c>
      <c r="C10" s="3">
        <v>545358.23</v>
      </c>
      <c r="D10" s="3">
        <v>615578.53</v>
      </c>
    </row>
    <row r="11" spans="1:19" x14ac:dyDescent="0.3">
      <c r="A11" t="s">
        <v>9</v>
      </c>
      <c r="B11" s="3">
        <v>20974.87</v>
      </c>
      <c r="C11" s="3"/>
      <c r="D11" s="3">
        <v>20974.87</v>
      </c>
    </row>
    <row r="12" spans="1:19" x14ac:dyDescent="0.3">
      <c r="A12" t="s">
        <v>10</v>
      </c>
      <c r="B12" s="3">
        <v>19225.78</v>
      </c>
      <c r="C12" s="3"/>
      <c r="D12" s="3">
        <v>19225.78</v>
      </c>
    </row>
    <row r="17" spans="1:10" x14ac:dyDescent="0.3">
      <c r="A17" t="s">
        <v>13</v>
      </c>
      <c r="B17" s="3">
        <v>146855.61599999998</v>
      </c>
      <c r="C17" s="3"/>
      <c r="D17" s="3">
        <f>$B$17*D3</f>
        <v>74656.054970181809</v>
      </c>
      <c r="E17" s="3">
        <f t="shared" ref="E17:H17" si="12">$B$17*E3</f>
        <v>3168.5211694545446</v>
      </c>
      <c r="F17" s="3">
        <f t="shared" si="12"/>
        <v>22001.641378909088</v>
      </c>
      <c r="G17" s="3">
        <f t="shared" si="12"/>
        <v>14845.767726545453</v>
      </c>
      <c r="H17" s="3">
        <f t="shared" si="12"/>
        <v>32183.630754909085</v>
      </c>
      <c r="I17" s="3">
        <f t="shared" ref="I17" si="13">SUM(C17:H17)</f>
        <v>146855.61599999998</v>
      </c>
      <c r="J17" s="3">
        <f>I17-B23</f>
        <v>146855.61599999998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dcterms:created xsi:type="dcterms:W3CDTF">2015-06-05T18:17:20Z</dcterms:created>
  <dcterms:modified xsi:type="dcterms:W3CDTF">2025-10-17T14:19:42Z</dcterms:modified>
</cp:coreProperties>
</file>
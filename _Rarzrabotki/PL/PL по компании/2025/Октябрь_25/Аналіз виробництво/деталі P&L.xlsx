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Октябрь_25\Аналіз виробництво\"/>
    </mc:Choice>
  </mc:AlternateContent>
  <xr:revisionPtr revIDLastSave="0" documentId="13_ncr:1_{92780C36-A01D-40C2-8627-E98C9A941B06}" xr6:coauthVersionLast="45" xr6:coauthVersionMax="45" xr10:uidLastSave="{00000000-0000-0000-0000-000000000000}"/>
  <bookViews>
    <workbookView xWindow="-108" yWindow="-108" windowWidth="23256" windowHeight="12600" activeTab="1" xr2:uid="{00000000-000D-0000-FFFF-FFFF00000000}"/>
  </bookViews>
  <sheets>
    <sheet name="Sheet1" sheetId="1" r:id="rId1"/>
    <sheet name="Лист2" sheetId="3" r:id="rId2"/>
    <sheet name="Лист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1" i="3" l="1"/>
  <c r="B9" i="3"/>
  <c r="E47" i="2"/>
  <c r="F45" i="2"/>
</calcChain>
</file>

<file path=xl/sharedStrings.xml><?xml version="1.0" encoding="utf-8"?>
<sst xmlns="http://schemas.openxmlformats.org/spreadsheetml/2006/main" count="555" uniqueCount="166">
  <si>
    <t>ТОВ "ІНДАСТРІАЛБУД"</t>
  </si>
  <si>
    <t>Картка рахунку 631 за Травень 2025 р. - Листопад 2025 р.</t>
  </si>
  <si>
    <t>Виведені дані:</t>
  </si>
  <si>
    <t>БО (дані бухгалтерського обліку)</t>
  </si>
  <si>
    <t>Відбір:</t>
  </si>
  <si>
    <t>Договори Дорівнює "РАХУНКИ_МД ООН 2025" и Контрагенти Дорівнює "ПЕРША ПОКРІВЕЛЬНА ГІЛЬДІЯ ТОВ" и Договори.Підрозділ Дорівнює "МД ООН 2025" и Договори.Направлення Дорівнює "Производство"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</si>
  <si>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</si>
  <si>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</si>
  <si>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</si>
  <si>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</si>
  <si>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</si>
  <si>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</si>
  <si>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</si>
  <si>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</si>
  <si>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Сальдо на початок</t>
  </si>
  <si>
    <t>16.07.2025</t>
  </si>
  <si>
    <t>Списання з банківського рахунку 00011649 від 16.07.2025 15:58:01
Оплата (аванс)</t>
  </si>
  <si>
    <t>ПЕРША ПОКРІВЕЛЬНА ГІЛЬДІЯ ТОВ
РАХУНКИ_МД ООН 2025
Рахунок на оплату постачальника ІБ00-003052 від 01.07.2025 21:32:51</t>
  </si>
  <si>
    <t>ОТП_ТОВ "ІНДАСТРІАЛБУД" UA973005280000026004000010559
Строительные материалы</t>
  </si>
  <si>
    <t>631</t>
  </si>
  <si>
    <t>311</t>
  </si>
  <si>
    <t xml:space="preserve"> </t>
  </si>
  <si>
    <t>Д</t>
  </si>
  <si>
    <t>Надходження товарів і послуг ІБ00-003937 від 16.07.2025 17:41:07
Услуги (Зачет аванса поставщику)</t>
  </si>
  <si>
    <t>Обл. НДС
Виробничий (Цех МД ООН)
///Цех МД ООН
Прямі виробничі витрати на придбання робіт, послуг</t>
  </si>
  <si>
    <t>231</t>
  </si>
  <si>
    <t>Надходження товарів і послуг ІБ00-003937 від 16.07.2025 17:41:07
НДС - налоговый кредит (услуги), второе событие (Зачет аванса поставщику)</t>
  </si>
  <si>
    <t>6441</t>
  </si>
  <si>
    <t>13.08.2025</t>
  </si>
  <si>
    <t>Списання з банківського рахунку 00012900 від 13.08.2025 13:01:14
Оплата (аванс)</t>
  </si>
  <si>
    <t>ПЕРША ПОКРІВЕЛЬНА ГІЛЬДІЯ ТОВ
РАХУНКИ_МД ООН 2025
Рахунок на оплату постачальника ІБ00-003649 від 31.07.2025 23:59:59</t>
  </si>
  <si>
    <t>Списання з банківського рахунку 00012901 від 13.08.2025 13:03:16
Оплата (аванс)</t>
  </si>
  <si>
    <t>ПЕРША ПОКРІВЕЛЬНА ГІЛЬДІЯ ТОВ
РАХУНКИ_МД ООН 2025
Рахунок на оплату постачальника ІБ00-003648 від 04.08.2025 17:20:43</t>
  </si>
  <si>
    <t>Надходження товарів і послуг ІБ00-004500 від 13.08.2025 19:00:21
Оприходованы ТМЦ</t>
  </si>
  <si>
    <t>Обл. НДС
Профнастил ПС-10
Надходження товарів і послуг ІБ00-004500 від 13.08.2025 19:00:21
Цех МД ООН</t>
  </si>
  <si>
    <t>205</t>
  </si>
  <si>
    <t>Надходження товарів і послуг ІБ00-004500 від 13.08.2025 19:00:21
Оприходованы ТМЦ (Зачет аванса поставщику)</t>
  </si>
  <si>
    <t>Надходження товарів і послуг ІБ00-004500 від 13.08.2025 19:00:21
НДС - налоговый кредит (товары)</t>
  </si>
  <si>
    <t>6442</t>
  </si>
  <si>
    <t>Надходження товарів і послуг ІБ00-004500 від 13.08.2025 19:00:21
НДС - налоговый кредит (товары), друга подія</t>
  </si>
  <si>
    <t>К</t>
  </si>
  <si>
    <t>Надходження товарів і послуг ІБ00-004700 від 13.08.2025 19:00:40
Услуги (Зачет аванса поставщику)</t>
  </si>
  <si>
    <t>Обл. НДС
Виробничий (Цех МД ООН)
Цех МД ООН 
Прямі виробничі витрати на придбання робіт, послуг</t>
  </si>
  <si>
    <t>Надходження товарів і послуг ІБ00-004700 від 13.08.2025 19:00:40
НДС - налоговый кредит (услуги), второе событие (Зачет аванса поставщику)</t>
  </si>
  <si>
    <t>15.08.2025</t>
  </si>
  <si>
    <t>Списання з банківського рахунку 00013123 від 15.08.2025 13:50:01
Оплата (аванс)</t>
  </si>
  <si>
    <t>ПЕРША ПОКРІВЕЛЬНА ГІЛЬДІЯ ТОВ
РАХУНКИ_МД ООН 2025
Рахунок на оплату постачальника ІБ00-003705 від 15.08.2025 17:49:11</t>
  </si>
  <si>
    <t>Списання з банківського рахунку 00013124 від 15.08.2025 13:51:27
Оплата (аванс)</t>
  </si>
  <si>
    <t>ПЕРША ПОКРІВЕЛЬНА ГІЛЬДІЯ ТОВ
РАХУНКИ_МД ООН 2025
Рахунок на оплату постачальника ІБ00-003706 від 15.08.2025 17:49:12</t>
  </si>
  <si>
    <t>Списання з банківського рахунку 00013125 від 15.08.2025 13:52:45
Оплата (аванс)</t>
  </si>
  <si>
    <t>ПЕРША ПОКРІВЕЛЬНА ГІЛЬДІЯ ТОВ
РАХУНКИ_МД ООН 2025
Рахунок на оплату постачальника ІБ00-003707 від 15.08.2025 17:49:13</t>
  </si>
  <si>
    <t>Надходження товарів і послуг ІБ00-004715 від 15.08.2025 20:00:48
Услуги (Зачет аванса поставщику)</t>
  </si>
  <si>
    <t>Надходження товарів і послуг ІБ00-004715 від 15.08.2025 20:00:48
НДС - налоговый кредит (услуги), второе событие (Зачет аванса поставщику)</t>
  </si>
  <si>
    <t>Надходження товарів і послуг ІБ00-004762 від 15.08.2025 20:00:51
Услуги (Зачет аванса поставщику)</t>
  </si>
  <si>
    <t>Надходження товарів і послуг ІБ00-004762 від 15.08.2025 20:00:51
НДС - налоговый кредит (услуги), второе событие (Зачет аванса поставщику)</t>
  </si>
  <si>
    <t>Надходження товарів і послуг ІБ00-004763 від 15.08.2025 20:00:52
Услуги (Зачет аванса поставщику)</t>
  </si>
  <si>
    <t>Надходження товарів і послуг ІБ00-004763 від 15.08.2025 20:00:52
НДС - налоговый кредит (услуги), второе событие (Зачет аванса поставщику)</t>
  </si>
  <si>
    <t>29.08.2025</t>
  </si>
  <si>
    <t>Надходження товарів і послуг ІБ00-005048 від 29.08.2025 19:00:26
Оприходованы ТМЦ</t>
  </si>
  <si>
    <t>Обл. НДС
Профнастил ПК-18
Надходження товарів і послуг ІБ00-005048 від 29.08.2025 19:00:26
Цех МД ООН</t>
  </si>
  <si>
    <t>ПЕРША ПОКРІВЕЛЬНА ГІЛЬДІЯ ТОВ
РАХУНКИ_МД ООН 2025
Рахунок на оплату постачальника ІБ00-004239 від 01.08.2025 23:25:58</t>
  </si>
  <si>
    <t>Надходження товарів і послуг ІБ00-005048 від 29.08.2025 19:00:26
НДС - налоговый кредит (товары), первое событие</t>
  </si>
  <si>
    <t>10.09.2025</t>
  </si>
  <si>
    <t>Надходження товарів і послуг ІБ00-005861 від 10.09.2025 00:00:00
Услуги</t>
  </si>
  <si>
    <t>ПЕРША ПОКРІВЕЛЬНА ГІЛЬДІЯ ТОВ
РАХУНКИ_МД ООН 2025
Рахунок на оплату постачальника ІБ00-004218 від 29.08.2025 19:00:20</t>
  </si>
  <si>
    <t>Надходження товарів і послуг ІБ00-005861 від 10.09.2025 00:00:00
НДС - налоговый кредит (услуги), первое событие</t>
  </si>
  <si>
    <t>Списання з банківського рахунку 00014592 від 10.09.2025 13:34:59
Оплата (аванс)</t>
  </si>
  <si>
    <t>ПЕРША ПОКРІВЕЛЬНА ГІЛЬДІЯ ТОВ
РАХУНКИ_МД ООН 2025
Рахунок на оплату постачальника ІБ00-004217 від 29.08.2025 19:00:19</t>
  </si>
  <si>
    <t>Списання з банківського рахунку 00014593 від 10.09.2025 13:36:32
Оплата (аванс)</t>
  </si>
  <si>
    <t>ПЕРША ПОКРІВЕЛЬНА ГІЛЬДІЯ ТОВ
РАХУНКИ_МД ООН 2025
Рахунок на оплату постачальника ІБ00-004216 від 29.08.2025 19:00:18</t>
  </si>
  <si>
    <t>Списання з банківського рахунку 00014594 від 10.09.2025 13:40:02
Оплата</t>
  </si>
  <si>
    <t>Надходження товарів і послуг ІБ00-005862 від 10.09.2025 23:10:27
Услуги (Зачет аванса поставщику)</t>
  </si>
  <si>
    <t>Надходження товарів і послуг ІБ00-005862 від 10.09.2025 23:10:27
НДС - налоговый кредит (услуги), второе событие (Зачет аванса поставщику)</t>
  </si>
  <si>
    <t>Надходження товарів і послуг ІБ00-005863 від 10.09.2025 23:10:28
Услуги (Зачет аванса поставщику)</t>
  </si>
  <si>
    <t>Надходження товарів і послуг ІБ00-005863 від 10.09.2025 23:10:28
НДС - налоговый кредит (услуги), второе событие (Зачет аванса поставщику)</t>
  </si>
  <si>
    <t>24.09.2025</t>
  </si>
  <si>
    <t>Списання з банківського рахунку 00015469 від 24.09.2025 12:34:10
Оплата</t>
  </si>
  <si>
    <t>Списання з банківського рахунку 00015471 від 24.09.2025 12:40:19
Оплата (аванс)</t>
  </si>
  <si>
    <t>ПЕРША ПОКРІВЕЛЬНА ГІЛЬДІЯ ТОВ
РАХУНКИ_МД ООН 2025
Рахунок на оплату постачальника ІБ00-004505 від 29.08.2025 19:01:07</t>
  </si>
  <si>
    <t>30.09.2025</t>
  </si>
  <si>
    <t>Надходження товарів і послуг ІБ00-005864 від 30.09.2025 20:00:00
Услуги (Зачет аванса поставщику)</t>
  </si>
  <si>
    <t>Надходження товарів і послуг ІБ00-005864 від 30.09.2025 20:00:00
НДС - налоговый кредит (услуги), второе событие (Зачет аванса поставщику)</t>
  </si>
  <si>
    <t>Надходження товарів і послуг ІБ00-005868 від 30.09.2025 20:00:00
Услуги</t>
  </si>
  <si>
    <t>ПЕРША ПОКРІВЕЛЬНА ГІЛЬДІЯ ТОВ
РАХУНКИ_МД ООН 2025
Рахунок на оплату постачальника ІБ00-004837 від 25.09.2025 19:06:49</t>
  </si>
  <si>
    <t>Надходження товарів і послуг ІБ00-005868 від 30.09.2025 20:00:00
НДС - налоговый кредит (услуги), первое событие</t>
  </si>
  <si>
    <t>Надходження товарів і послуг ІБ00-005869 від 30.09.2025 20:00:00
Услуги</t>
  </si>
  <si>
    <t>ПЕРША ПОКРІВЕЛЬНА ГІЛЬДІЯ ТОВ
РАХУНКИ_МД ООН 2025
Рахунок на оплату постачальника ІБ00-004838 від 25.09.2025 19:06:50</t>
  </si>
  <si>
    <t>Надходження товарів і послуг ІБ00-005869 від 30.09.2025 20:00:00
НДС - налоговый кредит (услуги), первое событие</t>
  </si>
  <si>
    <t>10.10.2025</t>
  </si>
  <si>
    <t>Списання з банківського рахунку 00016301 від 10.10.2025 12:01:57
Оплата (аванс)</t>
  </si>
  <si>
    <t>ПЕРША ПОКРІВЕЛЬНА ГІЛЬДІЯ ТОВ
РАХУНКИ_МД ООН 2025
Рахунок на оплату постачальника ІБ00-004808 від 25.09.2025 19:06:47</t>
  </si>
  <si>
    <t>Списання з банківського рахунку 00016305 від 10.10.2025 12:05:26
Оплата</t>
  </si>
  <si>
    <t>Списання з банківського рахунку 00016306 від 10.10.2025 12:07:26
Оплата (аванс)</t>
  </si>
  <si>
    <t>ПЕРША ПОКРІВЕЛЬНА ГІЛЬДІЯ ТОВ
РАХУНКИ_МД ООН 2025
Рахунок на оплату постачальника ІБ00-004807 від 25.09.2025 19:06:46</t>
  </si>
  <si>
    <t>Надходження товарів і послуг ІБ00-005865 від 10.10.2025 18:22:19
Услуги (Зачет аванса поставщику)</t>
  </si>
  <si>
    <t>Надходження товарів і послуг ІБ00-005865 від 10.10.2025 18:22:19
НДС - налоговый кредит (услуги), второе событие (Зачет аванса поставщику)</t>
  </si>
  <si>
    <t>Надходження товарів і послуг ІБ00-005866 від 10.10.2025 18:22:20
Услуги (Зачет аванса поставщику)</t>
  </si>
  <si>
    <t>Надходження товарів і послуг ІБ00-005866 від 10.10.2025 18:22:20
НДС - налоговый кредит (услуги), второе событие (Зачет аванса поставщику)</t>
  </si>
  <si>
    <t>Надходження товарів і послуг ІБ00-005870 від 10.10.2025 18:22:21
Услуги</t>
  </si>
  <si>
    <t>ПЕРША ПОКРІВЕЛЬНА ГІЛЬДІЯ ТОВ
РАХУНКИ_МД ООН 2025
Рахунок на оплату постачальника ІБ00-004839 від 30.09.2025 23:59:59</t>
  </si>
  <si>
    <t>Надходження товарів і послуг ІБ00-005870 від 10.10.2025 18:22:21
НДС - налоговый кредит (услуги), первое событие</t>
  </si>
  <si>
    <t>22.10.2025</t>
  </si>
  <si>
    <t>Списання з банківського рахунку 00017095 від 22.10.2025 15:10:57
Оплата</t>
  </si>
  <si>
    <t>30.10.2025</t>
  </si>
  <si>
    <t>Списання з банківського рахунку 00017521 від 30.10.2025 11:35:42
Оплата (аванс)</t>
  </si>
  <si>
    <t>ПЕРША ПОКРІВЕЛЬНА ГІЛЬДІЯ ТОВ
РАХУНКИ_МД ООН 2025
Рахунок на оплату постачальника ІБ00-005276 від 27.10.2025 17:24:01</t>
  </si>
  <si>
    <t>Надходження товарів і послуг ІБ00-006506 від 30.10.2025 18:47:22
Оприходованы ТМЦ</t>
  </si>
  <si>
    <t>Обл. НДС
Профнастил ПС-10
Надходження товарів і послуг ІБ00-006506 від 30.10.2025 18:47:22
Цех МД ООН</t>
  </si>
  <si>
    <t>Надходження товарів і послуг ІБ00-006506 від 30.10.2025 18:47:22
Оприходованы ТМЦ (Зачет аванса поставщику)</t>
  </si>
  <si>
    <t>Надходження товарів і послуг ІБ00-006506 від 30.10.2025 18:47:22
НДС - налоговый кредит (товары)</t>
  </si>
  <si>
    <t>Надходження товарів і послуг ІБ00-006506 від 30.10.2025 18:47:22
НДС - налоговый кредит (товары), друга подія</t>
  </si>
  <si>
    <t>03.11.2025</t>
  </si>
  <si>
    <t>Надходження товарів і послуг ІБ00-006874 від 03.11.2025 17:41:35
Оприходованы ТМЦ</t>
  </si>
  <si>
    <t>Обл. НДС
Профнастил ПС-10
Надходження товарів і послуг ІБ00-006874 від 03.11.2025 17:41:35
Цех МД ООН</t>
  </si>
  <si>
    <t>ПЕРША ПОКРІВЕЛЬНА ГІЛЬДІЯ ТОВ
РАХУНКИ_МД ООН 2025
Рахунок на оплату постачальника ІБ00-005696 від 01.11.2025 12:01:14</t>
  </si>
  <si>
    <t>Надходження товарів і послуг ІБ00-006874 від 03.11.2025 17:41:35
НДС - налоговый кредит (товары), первое событие</t>
  </si>
  <si>
    <t>28.11.2025</t>
  </si>
  <si>
    <t>Списання з банківського рахунку 00018910 від 28.11.2025 16:08:34
Оплата (аванс)</t>
  </si>
  <si>
    <t>ПЕРША ПОКРІВЕЛЬНА ГІЛЬДІЯ ТОВ
РАХУНКИ_МД ООН 2025
Рахунок на оплату постачальника ІБ00-005827 від 20.11.2025 18:50:51</t>
  </si>
  <si>
    <t>ОТП_ТОВ "ІНДАСТРІАЛБУД" UA973005280000026004000010559
Услуги сторонних организаций</t>
  </si>
  <si>
    <t>Списання з банківського рахунку 00018912 від 28.11.2025 16:28:18
Оплата (аванс)</t>
  </si>
  <si>
    <t>ПЕРША ПОКРІВЕЛЬНА ГІЛЬДІЯ ТОВ
РАХУНКИ_МД ООН 2025
Рахунок на оплату постачальника ІБ00-005828 від 01.11.2025 12:50:01</t>
  </si>
  <si>
    <t>Обороти за період та сальдо на кінець</t>
  </si>
  <si>
    <t>Параметри:</t>
  </si>
  <si>
    <t>Период: 01.05.2025 - 30.11.2025</t>
  </si>
  <si>
    <t>Подразделение: МД ООН 2025</t>
  </si>
  <si>
    <t>Не выводить фин деятельность: Ні</t>
  </si>
  <si>
    <t>Направление Дорівнює "Производство" и
Вид оплаты Дорівнює "Наличные" и
Статья движения денежных средств Дорівнює "Услуги сторонних организаций"</t>
  </si>
  <si>
    <t>Реєстратор</t>
  </si>
  <si>
    <t>Сумма план</t>
  </si>
  <si>
    <t>Сумма факт</t>
  </si>
  <si>
    <t>Расходный кассовый ордер N00051214 від 14.05.2025 13:53:35</t>
  </si>
  <si>
    <t>Расходный кассовый ордер N00051268 від 16.05.2025 15:19:34</t>
  </si>
  <si>
    <t>Бюджет(за период) 000002661 від 01.07.2025 16:29:19</t>
  </si>
  <si>
    <t>Расходный кассовый ордер N00051798 від 18.07.2025 00:00:00</t>
  </si>
  <si>
    <t>Бюджет(за период) 000002726 від 01.08.2025 00:00:00</t>
  </si>
  <si>
    <t>Расходный кассовый ордер N00052105 від 21.08.2025 10:03:27</t>
  </si>
  <si>
    <t>Бюджет(за период) 000002798 від 01.09.2025 12:00:49</t>
  </si>
  <si>
    <t>Бюджет(за период) 000002824 від 09.10.2025 12:25:18</t>
  </si>
  <si>
    <t>Расходный кассовый ордер N00052524 від 09.10.2025 21:53:06</t>
  </si>
  <si>
    <t>Расходный кассовый ордер N00052650 від 29.10.2025 17:38:50</t>
  </si>
  <si>
    <t>Разом</t>
  </si>
  <si>
    <t>Направление Дорівнює "Производство" и
Вид оплаты Дорівнює "Безналичные" и
Статья движения денежных средств Дорівнює "Услуги сторонних организаций"</t>
  </si>
  <si>
    <t>Платежное поручение исходящее 00006957 від 13.05.2025 15:07:48</t>
  </si>
  <si>
    <t>Платежное поручение исходящее 00007847 від 27.05.2025 13:29:28</t>
  </si>
  <si>
    <t>Платежное поручение исходящее 00011620 від 16.07.2025 13:58:40</t>
  </si>
  <si>
    <t>Платежное поручение исходящее 00012904 від 13.08.2025 13:04:55</t>
  </si>
  <si>
    <t>Платежное поручение исходящее 00012905 від 13.08.2025 13:07:14</t>
  </si>
  <si>
    <t>Платежное поручение исходящее 00013674 від 22.08.2025 15:16:04</t>
  </si>
  <si>
    <t>Платежное поручение исходящее 00014576 від 10.09.2025 12:28:08</t>
  </si>
  <si>
    <t>Платежное поручение исходящее 00014589 від 10.09.2025 13:06:00</t>
  </si>
  <si>
    <t>Платежное поручение исходящее 00015432 від 24.09.2025 09:50:50</t>
  </si>
  <si>
    <t>Платежное поручение исходящее 00016318 від 10.10.2025 12:25:03</t>
  </si>
  <si>
    <t>Платежное поручение исходящее 00016576 від 15.10.2025 12:03:56</t>
  </si>
  <si>
    <t>електрика</t>
  </si>
  <si>
    <t>конд</t>
  </si>
  <si>
    <t>на кінець жовтня</t>
  </si>
  <si>
    <t>травень</t>
  </si>
  <si>
    <t>модуль</t>
  </si>
  <si>
    <t>липень</t>
  </si>
  <si>
    <t>серпень</t>
  </si>
  <si>
    <t>вересень</t>
  </si>
  <si>
    <t>жовтень</t>
  </si>
  <si>
    <t>всього</t>
  </si>
  <si>
    <t>листопад</t>
  </si>
  <si>
    <t>сума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</si>
</sst>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sz val="8"/>
      <name val="Arial"/>
      <family val="2"/>
      <charset val="204"/>
    </font>
    <font>
      <sz val="10"/>
      <color indexed="21"/>
      <name val="Arial"/>
      <family val="2"/>
      <charset val="204"/>
    </font>
    <font>
      <b/>
      <sz val="10"/>
      <color indexed="2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0"/>
      </left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/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/>
      <top/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/>
      <right/>
      <top/>
      <bottom style="thin">
        <color indexed="60"/>
      </bottom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/>
      <bottom style="thin">
        <color indexed="6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54">
    <xf numFmtId="0" fontId="0" fillId="0" borderId="0" xfId="0"/>
    <xf numFmtId="0" fontId="1" fillId="0" borderId="0" xfId="0" applyFont="1"/>
    <xf numFmtId="0" fontId="6" fillId="2" borderId="1" xfId="1" applyNumberFormat="1" applyFont="1" applyFill="1" applyBorder="1" applyAlignment="1">
      <alignment vertical="top"/>
    </xf>
    <xf numFmtId="0" fontId="6" fillId="2" borderId="2" xfId="1" applyNumberFormat="1" applyFont="1" applyFill="1" applyBorder="1" applyAlignment="1">
      <alignment vertical="top"/>
    </xf>
    <xf numFmtId="0" fontId="6" fillId="2" borderId="3" xfId="1" applyNumberFormat="1" applyFont="1" applyFill="1" applyBorder="1" applyAlignment="1">
      <alignment vertical="top"/>
    </xf>
    <xf numFmtId="0" fontId="6" fillId="2" borderId="2" xfId="1" applyNumberFormat="1" applyFont="1" applyFill="1" applyBorder="1" applyAlignment="1">
      <alignment horizontal="center" vertical="top"/>
    </xf>
    <xf numFmtId="0" fontId="6" fillId="2" borderId="4" xfId="1" applyNumberFormat="1" applyFont="1" applyFill="1" applyBorder="1" applyAlignment="1">
      <alignment horizontal="center" vertical="top"/>
    </xf>
    <xf numFmtId="0" fontId="6" fillId="2" borderId="5" xfId="1" applyNumberFormat="1" applyFont="1" applyFill="1" applyBorder="1" applyAlignment="1">
      <alignment vertical="top"/>
    </xf>
    <xf numFmtId="0" fontId="6" fillId="2" borderId="6" xfId="1" applyNumberFormat="1" applyFont="1" applyFill="1" applyBorder="1" applyAlignment="1">
      <alignment vertical="top"/>
    </xf>
    <xf numFmtId="0" fontId="6" fillId="2" borderId="7" xfId="1" applyNumberFormat="1" applyFont="1" applyFill="1" applyBorder="1" applyAlignment="1">
      <alignment vertical="top"/>
    </xf>
    <xf numFmtId="0" fontId="6" fillId="2" borderId="4" xfId="1" applyNumberFormat="1" applyFont="1" applyFill="1" applyBorder="1" applyAlignment="1">
      <alignment vertical="top"/>
    </xf>
    <xf numFmtId="0" fontId="6" fillId="2" borderId="8" xfId="1" applyNumberFormat="1" applyFont="1" applyFill="1" applyBorder="1" applyAlignment="1">
      <alignment vertical="top"/>
    </xf>
    <xf numFmtId="0" fontId="6" fillId="2" borderId="8" xfId="1" applyNumberFormat="1" applyFont="1" applyFill="1" applyBorder="1" applyAlignment="1">
      <alignment vertical="top"/>
    </xf>
    <xf numFmtId="0" fontId="6" fillId="2" borderId="9" xfId="1" applyNumberFormat="1" applyFont="1" applyFill="1" applyBorder="1" applyAlignment="1">
      <alignment vertical="top"/>
    </xf>
    <xf numFmtId="0" fontId="6" fillId="2" borderId="10" xfId="1" applyNumberFormat="1" applyFont="1" applyFill="1" applyBorder="1" applyAlignment="1">
      <alignment vertical="top"/>
    </xf>
    <xf numFmtId="0" fontId="6" fillId="2" borderId="11" xfId="1" applyNumberFormat="1" applyFont="1" applyFill="1" applyBorder="1" applyAlignment="1">
      <alignment vertical="top"/>
    </xf>
    <xf numFmtId="0" fontId="6" fillId="2" borderId="11" xfId="1" applyNumberFormat="1" applyFont="1" applyFill="1" applyBorder="1" applyAlignment="1">
      <alignment horizontal="right" vertical="top"/>
    </xf>
    <xf numFmtId="0" fontId="6" fillId="2" borderId="12" xfId="1" applyNumberFormat="1" applyFont="1" applyFill="1" applyBorder="1" applyAlignment="1">
      <alignment horizontal="center" vertical="top"/>
    </xf>
    <xf numFmtId="0" fontId="5" fillId="0" borderId="11" xfId="1" applyNumberFormat="1" applyFont="1" applyBorder="1" applyAlignment="1">
      <alignment vertical="top"/>
    </xf>
    <xf numFmtId="0" fontId="5" fillId="0" borderId="11" xfId="1" applyNumberFormat="1" applyFont="1" applyBorder="1" applyAlignment="1">
      <alignment horizontal="left" vertical="top"/>
    </xf>
    <xf numFmtId="0" fontId="5" fillId="0" borderId="12" xfId="1" applyNumberFormat="1" applyFont="1" applyBorder="1" applyAlignment="1">
      <alignment horizontal="center" vertical="top"/>
    </xf>
    <xf numFmtId="0" fontId="7" fillId="2" borderId="11" xfId="1" applyNumberFormat="1" applyFont="1" applyFill="1" applyBorder="1" applyAlignment="1">
      <alignment vertical="top"/>
    </xf>
    <xf numFmtId="0" fontId="7" fillId="2" borderId="12" xfId="1" applyNumberFormat="1" applyFont="1" applyFill="1" applyBorder="1" applyAlignment="1">
      <alignment horizontal="center" vertical="top"/>
    </xf>
    <xf numFmtId="0" fontId="3" fillId="0" borderId="0" xfId="1" applyNumberFormat="1" applyFont="1" applyAlignment="1"/>
    <xf numFmtId="0" fontId="2" fillId="0" borderId="0" xfId="1" applyAlignment="1"/>
    <xf numFmtId="0" fontId="0" fillId="0" borderId="0" xfId="0" applyAlignment="1"/>
    <xf numFmtId="0" fontId="4" fillId="0" borderId="0" xfId="1" applyNumberFormat="1" applyFont="1" applyAlignment="1"/>
    <xf numFmtId="0" fontId="5" fillId="0" borderId="0" xfId="1" applyNumberFormat="1" applyFont="1" applyAlignment="1">
      <alignment vertical="top"/>
    </xf>
    <xf numFmtId="2" fontId="6" fillId="2" borderId="13" xfId="1" applyNumberFormat="1" applyFont="1" applyFill="1" applyBorder="1" applyAlignment="1">
      <alignment horizontal="right" vertical="top"/>
    </xf>
    <xf numFmtId="4" fontId="5" fillId="0" borderId="11" xfId="1" applyNumberFormat="1" applyFont="1" applyBorder="1" applyAlignment="1">
      <alignment horizontal="right" vertical="top"/>
    </xf>
    <xf numFmtId="0" fontId="5" fillId="0" borderId="13" xfId="1" applyNumberFormat="1" applyFont="1" applyBorder="1" applyAlignment="1">
      <alignment horizontal="right" vertical="top"/>
    </xf>
    <xf numFmtId="4" fontId="5" fillId="0" borderId="13" xfId="1" applyNumberFormat="1" applyFont="1" applyBorder="1" applyAlignment="1">
      <alignment horizontal="right" vertical="top"/>
    </xf>
    <xf numFmtId="0" fontId="5" fillId="0" borderId="11" xfId="1" applyNumberFormat="1" applyFont="1" applyBorder="1" applyAlignment="1">
      <alignment horizontal="right" vertical="top"/>
    </xf>
    <xf numFmtId="4" fontId="5" fillId="0" borderId="13" xfId="1" applyNumberFormat="1" applyFont="1" applyBorder="1" applyAlignment="1">
      <alignment horizontal="right" vertical="top"/>
    </xf>
    <xf numFmtId="2" fontId="5" fillId="0" borderId="13" xfId="1" applyNumberFormat="1" applyFont="1" applyBorder="1" applyAlignment="1">
      <alignment horizontal="right" vertical="top"/>
    </xf>
    <xf numFmtId="2" fontId="5" fillId="0" borderId="13" xfId="1" applyNumberFormat="1" applyFont="1" applyBorder="1" applyAlignment="1">
      <alignment horizontal="right" vertical="top"/>
    </xf>
    <xf numFmtId="0" fontId="5" fillId="0" borderId="13" xfId="1" applyNumberFormat="1" applyFont="1" applyBorder="1" applyAlignment="1">
      <alignment horizontal="right" vertical="top"/>
    </xf>
    <xf numFmtId="4" fontId="7" fillId="2" borderId="11" xfId="1" applyNumberFormat="1" applyFont="1" applyFill="1" applyBorder="1" applyAlignment="1">
      <alignment horizontal="right" vertical="top"/>
    </xf>
    <xf numFmtId="4" fontId="7" fillId="2" borderId="13" xfId="1" applyNumberFormat="1" applyFont="1" applyFill="1" applyBorder="1" applyAlignment="1">
      <alignment horizontal="right" vertical="top"/>
    </xf>
    <xf numFmtId="4" fontId="5" fillId="3" borderId="13" xfId="1" applyNumberFormat="1" applyFont="1" applyFill="1" applyBorder="1" applyAlignment="1">
      <alignment horizontal="right" vertical="top"/>
    </xf>
    <xf numFmtId="2" fontId="5" fillId="3" borderId="13" xfId="1" applyNumberFormat="1" applyFont="1" applyFill="1" applyBorder="1" applyAlignment="1">
      <alignment horizontal="right" vertical="top"/>
    </xf>
    <xf numFmtId="0" fontId="5" fillId="3" borderId="11" xfId="1" applyNumberFormat="1" applyFont="1" applyFill="1" applyBorder="1" applyAlignment="1">
      <alignment vertical="top"/>
    </xf>
    <xf numFmtId="0" fontId="5" fillId="3" borderId="11" xfId="1" applyNumberFormat="1" applyFont="1" applyFill="1" applyBorder="1" applyAlignment="1">
      <alignment horizontal="left" vertical="top"/>
    </xf>
    <xf numFmtId="0" fontId="5" fillId="3" borderId="11" xfId="1" applyNumberFormat="1" applyFont="1" applyFill="1" applyBorder="1" applyAlignment="1">
      <alignment horizontal="right" vertical="top"/>
    </xf>
    <xf numFmtId="0" fontId="2" fillId="0" borderId="0" xfId="2"/>
    <xf numFmtId="0" fontId="2" fillId="0" borderId="0" xfId="2" applyNumberFormat="1" applyAlignment="1">
      <alignment vertical="top"/>
    </xf>
    <xf numFmtId="0" fontId="2" fillId="0" borderId="0" xfId="2" applyNumberFormat="1" applyAlignment="1">
      <alignment vertical="top" wrapText="1"/>
    </xf>
    <xf numFmtId="0" fontId="7" fillId="2" borderId="4" xfId="2" applyNumberFormat="1" applyFont="1" applyFill="1" applyBorder="1" applyAlignment="1">
      <alignment vertical="top" wrapText="1"/>
    </xf>
    <xf numFmtId="0" fontId="2" fillId="0" borderId="11" xfId="2" applyNumberFormat="1" applyFont="1" applyBorder="1" applyAlignment="1">
      <alignment vertical="top" wrapText="1"/>
    </xf>
    <xf numFmtId="0" fontId="2" fillId="0" borderId="11" xfId="2" applyNumberFormat="1" applyFont="1" applyBorder="1" applyAlignment="1">
      <alignment horizontal="right" vertical="top"/>
    </xf>
    <xf numFmtId="4" fontId="2" fillId="0" borderId="11" xfId="2" applyNumberFormat="1" applyFont="1" applyBorder="1" applyAlignment="1">
      <alignment horizontal="right" vertical="top"/>
    </xf>
    <xf numFmtId="0" fontId="7" fillId="2" borderId="4" xfId="2" applyNumberFormat="1" applyFont="1" applyFill="1" applyBorder="1" applyAlignment="1">
      <alignment vertical="top"/>
    </xf>
    <xf numFmtId="4" fontId="7" fillId="2" borderId="4" xfId="2" applyNumberFormat="1" applyFont="1" applyFill="1" applyBorder="1" applyAlignment="1">
      <alignment horizontal="right" vertical="top"/>
    </xf>
    <xf numFmtId="0" fontId="2" fillId="0" borderId="0" xfId="2" applyNumberFormat="1" applyAlignment="1">
      <alignment vertical="top" wrapText="1"/>
    </xf>
  </cellXfs>
  <cellStyles count="3">
    <cellStyle name="Обычный" xfId="0" builtinId="0"/>
    <cellStyle name="Обычный_Sheet1" xfId="1" xr:uid="{1F4D7613-B691-4E22-B713-9B57121388F8}"/>
    <cellStyle name="Обычный_Лист1" xfId="2" xr:uid="{7B57E64B-CA36-42E7-BD7A-22FE1C2A08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"/>
  <sheetViews>
    <sheetView workbookViewId="0">
      <selection activeCell="I12" activeCellId="2" sqref="I33:J58 I20:J30 I12:J13"/>
    </sheetView>
  </sheetViews>
  <sheetFormatPr defaultRowHeight="14.4" x14ac:dyDescent="0.3"/>
  <cols>
    <col min="1" max="1" width="36.88671875" style="25" customWidth="1"/>
    <col min="2" max="2" width="48.77734375" style="25" customWidth="1"/>
    <col min="3" max="3" width="43.33203125" style="25" customWidth="1"/>
    <col min="4" max="16384" width="8.88671875" style="25"/>
  </cols>
  <sheetData>
    <row r="1" spans="1:12" x14ac:dyDescent="0.3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ht="15.6" x14ac:dyDescent="0.3">
      <c r="A2" s="26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 x14ac:dyDescent="0.3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1:12" x14ac:dyDescent="0.3">
      <c r="A4" s="27" t="s">
        <v>2</v>
      </c>
      <c r="B4" s="27" t="s">
        <v>3</v>
      </c>
      <c r="C4" s="24"/>
      <c r="D4" s="24"/>
      <c r="E4" s="24"/>
      <c r="F4" s="24"/>
      <c r="G4" s="24"/>
      <c r="H4" s="24"/>
      <c r="I4" s="24"/>
      <c r="J4" s="24"/>
      <c r="K4" s="24"/>
      <c r="L4" s="24"/>
    </row>
    <row r="5" spans="1:12" x14ac:dyDescent="0.3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</row>
    <row r="6" spans="1:12" x14ac:dyDescent="0.3">
      <c r="A6" s="27" t="s">
        <v>4</v>
      </c>
      <c r="B6" s="27" t="s">
        <v>5</v>
      </c>
      <c r="C6" s="24"/>
      <c r="D6" s="24"/>
      <c r="E6" s="24"/>
      <c r="F6" s="24"/>
      <c r="G6" s="24"/>
      <c r="H6" s="24"/>
      <c r="I6" s="24"/>
      <c r="J6" s="24"/>
      <c r="K6" s="24"/>
      <c r="L6" s="24"/>
    </row>
    <row r="7" spans="1:12" x14ac:dyDescent="0.3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</row>
    <row r="8" spans="1:12" x14ac:dyDescent="0.3">
      <c r="A8" s="2" t="s">
        <v>6</v>
      </c>
      <c r="B8" s="3" t="s">
        <v>7</v>
      </c>
      <c r="C8" s="3" t="s">
        <v>8</v>
      </c>
      <c r="D8" s="4" t="s">
        <v>9</v>
      </c>
      <c r="E8" s="5" t="s">
        <v>10</v>
      </c>
      <c r="F8" s="5"/>
      <c r="G8" s="5"/>
      <c r="H8" s="6" t="s">
        <v>11</v>
      </c>
      <c r="I8" s="6"/>
      <c r="J8" s="6"/>
      <c r="K8" s="3" t="s">
        <v>12</v>
      </c>
      <c r="L8" s="3"/>
    </row>
    <row r="9" spans="1:12" x14ac:dyDescent="0.3">
      <c r="A9" s="7"/>
      <c r="B9" s="8"/>
      <c r="C9" s="8"/>
      <c r="D9" s="9"/>
      <c r="E9" s="10" t="s">
        <v>13</v>
      </c>
      <c r="F9" s="11"/>
      <c r="G9" s="11"/>
      <c r="H9" s="12" t="s">
        <v>13</v>
      </c>
      <c r="I9" s="13"/>
      <c r="J9" s="13"/>
      <c r="K9" s="7"/>
      <c r="L9" s="14"/>
    </row>
    <row r="10" spans="1:12" x14ac:dyDescent="0.3">
      <c r="A10" s="15" t="s">
        <v>14</v>
      </c>
      <c r="B10" s="15"/>
      <c r="C10" s="15"/>
      <c r="D10" s="15"/>
      <c r="E10" s="16"/>
      <c r="F10" s="16"/>
      <c r="G10" s="16"/>
      <c r="H10" s="16"/>
      <c r="I10" s="16"/>
      <c r="J10" s="16"/>
      <c r="K10" s="17"/>
      <c r="L10" s="28">
        <v>0</v>
      </c>
    </row>
    <row r="11" spans="1:12" x14ac:dyDescent="0.3">
      <c r="A11" s="18" t="s">
        <v>15</v>
      </c>
      <c r="B11" s="18" t="s">
        <v>16</v>
      </c>
      <c r="C11" s="18" t="s">
        <v>17</v>
      </c>
      <c r="D11" s="18" t="s">
        <v>18</v>
      </c>
      <c r="E11" s="19" t="s">
        <v>19</v>
      </c>
      <c r="F11" s="29">
        <v>3236.8</v>
      </c>
      <c r="G11" s="29"/>
      <c r="H11" s="19" t="s">
        <v>20</v>
      </c>
      <c r="I11" s="30" t="s">
        <v>21</v>
      </c>
      <c r="J11" s="30"/>
      <c r="K11" s="20" t="s">
        <v>22</v>
      </c>
      <c r="L11" s="31">
        <v>3236.8</v>
      </c>
    </row>
    <row r="12" spans="1:12" x14ac:dyDescent="0.3">
      <c r="A12" s="18" t="s">
        <v>15</v>
      </c>
      <c r="B12" s="18" t="s">
        <v>23</v>
      </c>
      <c r="C12" s="18" t="s">
        <v>24</v>
      </c>
      <c r="D12" s="18" t="s">
        <v>17</v>
      </c>
      <c r="E12" s="19" t="s">
        <v>25</v>
      </c>
      <c r="F12" s="32" t="s">
        <v>21</v>
      </c>
      <c r="G12" s="32"/>
      <c r="H12" s="19" t="s">
        <v>19</v>
      </c>
      <c r="I12" s="33">
        <v>2697.33</v>
      </c>
      <c r="J12" s="33"/>
      <c r="K12" s="20" t="s">
        <v>22</v>
      </c>
      <c r="L12" s="34">
        <v>539.47</v>
      </c>
    </row>
    <row r="13" spans="1:12" x14ac:dyDescent="0.3">
      <c r="A13" s="18" t="s">
        <v>15</v>
      </c>
      <c r="B13" s="18" t="s">
        <v>26</v>
      </c>
      <c r="C13" s="18" t="s">
        <v>17</v>
      </c>
      <c r="D13" s="18" t="s">
        <v>17</v>
      </c>
      <c r="E13" s="19" t="s">
        <v>27</v>
      </c>
      <c r="F13" s="32" t="s">
        <v>21</v>
      </c>
      <c r="G13" s="32"/>
      <c r="H13" s="19" t="s">
        <v>19</v>
      </c>
      <c r="I13" s="35">
        <v>539.47</v>
      </c>
      <c r="J13" s="35"/>
      <c r="K13" s="20"/>
      <c r="L13" s="36"/>
    </row>
    <row r="14" spans="1:12" x14ac:dyDescent="0.3">
      <c r="A14" s="18" t="s">
        <v>28</v>
      </c>
      <c r="B14" s="18" t="s">
        <v>29</v>
      </c>
      <c r="C14" s="18" t="s">
        <v>30</v>
      </c>
      <c r="D14" s="18" t="s">
        <v>18</v>
      </c>
      <c r="E14" s="19" t="s">
        <v>19</v>
      </c>
      <c r="F14" s="29">
        <v>50755.54</v>
      </c>
      <c r="G14" s="29"/>
      <c r="H14" s="19" t="s">
        <v>20</v>
      </c>
      <c r="I14" s="30" t="s">
        <v>21</v>
      </c>
      <c r="J14" s="30"/>
      <c r="K14" s="20" t="s">
        <v>22</v>
      </c>
      <c r="L14" s="31">
        <v>50755.54</v>
      </c>
    </row>
    <row r="15" spans="1:12" x14ac:dyDescent="0.3">
      <c r="A15" s="18" t="s">
        <v>28</v>
      </c>
      <c r="B15" s="18" t="s">
        <v>31</v>
      </c>
      <c r="C15" s="18" t="s">
        <v>32</v>
      </c>
      <c r="D15" s="18" t="s">
        <v>18</v>
      </c>
      <c r="E15" s="19" t="s">
        <v>19</v>
      </c>
      <c r="F15" s="29">
        <v>7571.04</v>
      </c>
      <c r="G15" s="29"/>
      <c r="H15" s="19" t="s">
        <v>20</v>
      </c>
      <c r="I15" s="30" t="s">
        <v>21</v>
      </c>
      <c r="J15" s="30"/>
      <c r="K15" s="20" t="s">
        <v>22</v>
      </c>
      <c r="L15" s="31">
        <v>58326.58</v>
      </c>
    </row>
    <row r="16" spans="1:12" x14ac:dyDescent="0.3">
      <c r="A16" s="18" t="s">
        <v>28</v>
      </c>
      <c r="B16" s="41" t="s">
        <v>33</v>
      </c>
      <c r="C16" s="41" t="s">
        <v>34</v>
      </c>
      <c r="D16" s="41" t="s">
        <v>30</v>
      </c>
      <c r="E16" s="42" t="s">
        <v>35</v>
      </c>
      <c r="F16" s="43" t="s">
        <v>21</v>
      </c>
      <c r="G16" s="43"/>
      <c r="H16" s="42" t="s">
        <v>19</v>
      </c>
      <c r="I16" s="39">
        <v>2114.8200000000002</v>
      </c>
      <c r="J16" s="39"/>
      <c r="K16" s="20" t="s">
        <v>22</v>
      </c>
      <c r="L16" s="31">
        <v>56211.76</v>
      </c>
    </row>
    <row r="17" spans="1:12" x14ac:dyDescent="0.3">
      <c r="A17" s="18" t="s">
        <v>28</v>
      </c>
      <c r="B17" s="41" t="s">
        <v>36</v>
      </c>
      <c r="C17" s="41" t="s">
        <v>34</v>
      </c>
      <c r="D17" s="41" t="s">
        <v>30</v>
      </c>
      <c r="E17" s="42" t="s">
        <v>35</v>
      </c>
      <c r="F17" s="43" t="s">
        <v>21</v>
      </c>
      <c r="G17" s="43"/>
      <c r="H17" s="42" t="s">
        <v>19</v>
      </c>
      <c r="I17" s="39">
        <v>50755.54</v>
      </c>
      <c r="J17" s="39"/>
      <c r="K17" s="20" t="s">
        <v>22</v>
      </c>
      <c r="L17" s="31">
        <v>5456.22</v>
      </c>
    </row>
    <row r="18" spans="1:12" x14ac:dyDescent="0.3">
      <c r="A18" s="18" t="s">
        <v>28</v>
      </c>
      <c r="B18" s="41" t="s">
        <v>37</v>
      </c>
      <c r="C18" s="41" t="s">
        <v>30</v>
      </c>
      <c r="D18" s="41" t="s">
        <v>30</v>
      </c>
      <c r="E18" s="42" t="s">
        <v>38</v>
      </c>
      <c r="F18" s="43" t="s">
        <v>21</v>
      </c>
      <c r="G18" s="43"/>
      <c r="H18" s="42" t="s">
        <v>19</v>
      </c>
      <c r="I18" s="39">
        <v>2114.81</v>
      </c>
      <c r="J18" s="39"/>
      <c r="K18" s="20" t="s">
        <v>22</v>
      </c>
      <c r="L18" s="31">
        <v>3341.41</v>
      </c>
    </row>
    <row r="19" spans="1:12" x14ac:dyDescent="0.3">
      <c r="A19" s="18" t="s">
        <v>28</v>
      </c>
      <c r="B19" s="41" t="s">
        <v>39</v>
      </c>
      <c r="C19" s="41" t="s">
        <v>30</v>
      </c>
      <c r="D19" s="41" t="s">
        <v>30</v>
      </c>
      <c r="E19" s="42" t="s">
        <v>27</v>
      </c>
      <c r="F19" s="43" t="s">
        <v>21</v>
      </c>
      <c r="G19" s="43"/>
      <c r="H19" s="42" t="s">
        <v>19</v>
      </c>
      <c r="I19" s="39">
        <v>8459.26</v>
      </c>
      <c r="J19" s="39"/>
      <c r="K19" s="20" t="s">
        <v>40</v>
      </c>
      <c r="L19" s="31">
        <v>5117.8500000000004</v>
      </c>
    </row>
    <row r="20" spans="1:12" x14ac:dyDescent="0.3">
      <c r="A20" s="18" t="s">
        <v>28</v>
      </c>
      <c r="B20" s="18" t="s">
        <v>41</v>
      </c>
      <c r="C20" s="18" t="s">
        <v>42</v>
      </c>
      <c r="D20" s="18" t="s">
        <v>32</v>
      </c>
      <c r="E20" s="19" t="s">
        <v>25</v>
      </c>
      <c r="F20" s="32" t="s">
        <v>21</v>
      </c>
      <c r="G20" s="32"/>
      <c r="H20" s="19" t="s">
        <v>19</v>
      </c>
      <c r="I20" s="33">
        <v>6309.2</v>
      </c>
      <c r="J20" s="33"/>
      <c r="K20" s="20" t="s">
        <v>40</v>
      </c>
      <c r="L20" s="31">
        <v>11427.05</v>
      </c>
    </row>
    <row r="21" spans="1:12" x14ac:dyDescent="0.3">
      <c r="A21" s="18" t="s">
        <v>28</v>
      </c>
      <c r="B21" s="18" t="s">
        <v>43</v>
      </c>
      <c r="C21" s="18" t="s">
        <v>32</v>
      </c>
      <c r="D21" s="18" t="s">
        <v>32</v>
      </c>
      <c r="E21" s="19" t="s">
        <v>27</v>
      </c>
      <c r="F21" s="32" t="s">
        <v>21</v>
      </c>
      <c r="G21" s="32"/>
      <c r="H21" s="19" t="s">
        <v>19</v>
      </c>
      <c r="I21" s="33">
        <v>1261.8399999999999</v>
      </c>
      <c r="J21" s="33"/>
      <c r="K21" s="20" t="s">
        <v>40</v>
      </c>
      <c r="L21" s="31">
        <v>12688.89</v>
      </c>
    </row>
    <row r="22" spans="1:12" x14ac:dyDescent="0.3">
      <c r="A22" s="18" t="s">
        <v>44</v>
      </c>
      <c r="B22" s="18" t="s">
        <v>45</v>
      </c>
      <c r="C22" s="18" t="s">
        <v>46</v>
      </c>
      <c r="D22" s="18" t="s">
        <v>18</v>
      </c>
      <c r="E22" s="19" t="s">
        <v>19</v>
      </c>
      <c r="F22" s="29">
        <v>10557</v>
      </c>
      <c r="G22" s="29"/>
      <c r="H22" s="19" t="s">
        <v>20</v>
      </c>
      <c r="I22" s="30" t="s">
        <v>21</v>
      </c>
      <c r="J22" s="30"/>
      <c r="K22" s="20" t="s">
        <v>40</v>
      </c>
      <c r="L22" s="31">
        <v>2131.89</v>
      </c>
    </row>
    <row r="23" spans="1:12" x14ac:dyDescent="0.3">
      <c r="A23" s="18" t="s">
        <v>44</v>
      </c>
      <c r="B23" s="18" t="s">
        <v>47</v>
      </c>
      <c r="C23" s="18" t="s">
        <v>48</v>
      </c>
      <c r="D23" s="18" t="s">
        <v>18</v>
      </c>
      <c r="E23" s="19" t="s">
        <v>19</v>
      </c>
      <c r="F23" s="29">
        <v>10557</v>
      </c>
      <c r="G23" s="29"/>
      <c r="H23" s="19" t="s">
        <v>20</v>
      </c>
      <c r="I23" s="30" t="s">
        <v>21</v>
      </c>
      <c r="J23" s="30"/>
      <c r="K23" s="20" t="s">
        <v>22</v>
      </c>
      <c r="L23" s="31">
        <v>8425.11</v>
      </c>
    </row>
    <row r="24" spans="1:12" x14ac:dyDescent="0.3">
      <c r="A24" s="18" t="s">
        <v>44</v>
      </c>
      <c r="B24" s="18" t="s">
        <v>49</v>
      </c>
      <c r="C24" s="18" t="s">
        <v>50</v>
      </c>
      <c r="D24" s="18" t="s">
        <v>18</v>
      </c>
      <c r="E24" s="19" t="s">
        <v>19</v>
      </c>
      <c r="F24" s="29">
        <v>11732.5</v>
      </c>
      <c r="G24" s="29"/>
      <c r="H24" s="19" t="s">
        <v>20</v>
      </c>
      <c r="I24" s="30" t="s">
        <v>21</v>
      </c>
      <c r="J24" s="30"/>
      <c r="K24" s="20" t="s">
        <v>22</v>
      </c>
      <c r="L24" s="31">
        <v>20157.61</v>
      </c>
    </row>
    <row r="25" spans="1:12" x14ac:dyDescent="0.3">
      <c r="A25" s="18" t="s">
        <v>44</v>
      </c>
      <c r="B25" s="18" t="s">
        <v>51</v>
      </c>
      <c r="C25" s="18" t="s">
        <v>42</v>
      </c>
      <c r="D25" s="18" t="s">
        <v>48</v>
      </c>
      <c r="E25" s="19" t="s">
        <v>25</v>
      </c>
      <c r="F25" s="32" t="s">
        <v>21</v>
      </c>
      <c r="G25" s="32"/>
      <c r="H25" s="19" t="s">
        <v>19</v>
      </c>
      <c r="I25" s="33">
        <v>8797.5</v>
      </c>
      <c r="J25" s="33"/>
      <c r="K25" s="20" t="s">
        <v>22</v>
      </c>
      <c r="L25" s="31">
        <v>11360.11</v>
      </c>
    </row>
    <row r="26" spans="1:12" x14ac:dyDescent="0.3">
      <c r="A26" s="18" t="s">
        <v>44</v>
      </c>
      <c r="B26" s="18" t="s">
        <v>52</v>
      </c>
      <c r="C26" s="18" t="s">
        <v>48</v>
      </c>
      <c r="D26" s="18" t="s">
        <v>48</v>
      </c>
      <c r="E26" s="19" t="s">
        <v>27</v>
      </c>
      <c r="F26" s="32" t="s">
        <v>21</v>
      </c>
      <c r="G26" s="32"/>
      <c r="H26" s="19" t="s">
        <v>19</v>
      </c>
      <c r="I26" s="33">
        <v>1759.5</v>
      </c>
      <c r="J26" s="33"/>
      <c r="K26" s="20" t="s">
        <v>22</v>
      </c>
      <c r="L26" s="31">
        <v>9600.61</v>
      </c>
    </row>
    <row r="27" spans="1:12" x14ac:dyDescent="0.3">
      <c r="A27" s="18" t="s">
        <v>44</v>
      </c>
      <c r="B27" s="18" t="s">
        <v>53</v>
      </c>
      <c r="C27" s="18" t="s">
        <v>42</v>
      </c>
      <c r="D27" s="18" t="s">
        <v>50</v>
      </c>
      <c r="E27" s="19" t="s">
        <v>25</v>
      </c>
      <c r="F27" s="32" t="s">
        <v>21</v>
      </c>
      <c r="G27" s="32"/>
      <c r="H27" s="19" t="s">
        <v>19</v>
      </c>
      <c r="I27" s="33">
        <v>9777.08</v>
      </c>
      <c r="J27" s="33"/>
      <c r="K27" s="20" t="s">
        <v>40</v>
      </c>
      <c r="L27" s="34">
        <v>176.47</v>
      </c>
    </row>
    <row r="28" spans="1:12" x14ac:dyDescent="0.3">
      <c r="A28" s="18" t="s">
        <v>44</v>
      </c>
      <c r="B28" s="18" t="s">
        <v>54</v>
      </c>
      <c r="C28" s="18" t="s">
        <v>50</v>
      </c>
      <c r="D28" s="18" t="s">
        <v>50</v>
      </c>
      <c r="E28" s="19" t="s">
        <v>27</v>
      </c>
      <c r="F28" s="32" t="s">
        <v>21</v>
      </c>
      <c r="G28" s="32"/>
      <c r="H28" s="19" t="s">
        <v>19</v>
      </c>
      <c r="I28" s="33">
        <v>1955.42</v>
      </c>
      <c r="J28" s="33"/>
      <c r="K28" s="20" t="s">
        <v>40</v>
      </c>
      <c r="L28" s="31">
        <v>2131.89</v>
      </c>
    </row>
    <row r="29" spans="1:12" x14ac:dyDescent="0.3">
      <c r="A29" s="18" t="s">
        <v>44</v>
      </c>
      <c r="B29" s="18" t="s">
        <v>55</v>
      </c>
      <c r="C29" s="18" t="s">
        <v>42</v>
      </c>
      <c r="D29" s="18" t="s">
        <v>46</v>
      </c>
      <c r="E29" s="19" t="s">
        <v>25</v>
      </c>
      <c r="F29" s="32" t="s">
        <v>21</v>
      </c>
      <c r="G29" s="32"/>
      <c r="H29" s="19" t="s">
        <v>19</v>
      </c>
      <c r="I29" s="33">
        <v>8797.5</v>
      </c>
      <c r="J29" s="33"/>
      <c r="K29" s="20" t="s">
        <v>40</v>
      </c>
      <c r="L29" s="31">
        <v>10929.39</v>
      </c>
    </row>
    <row r="30" spans="1:12" x14ac:dyDescent="0.3">
      <c r="A30" s="18" t="s">
        <v>44</v>
      </c>
      <c r="B30" s="18" t="s">
        <v>56</v>
      </c>
      <c r="C30" s="18" t="s">
        <v>46</v>
      </c>
      <c r="D30" s="18" t="s">
        <v>46</v>
      </c>
      <c r="E30" s="19" t="s">
        <v>27</v>
      </c>
      <c r="F30" s="32" t="s">
        <v>21</v>
      </c>
      <c r="G30" s="32"/>
      <c r="H30" s="19" t="s">
        <v>19</v>
      </c>
      <c r="I30" s="33">
        <v>1759.5</v>
      </c>
      <c r="J30" s="33"/>
      <c r="K30" s="20" t="s">
        <v>40</v>
      </c>
      <c r="L30" s="31">
        <v>12688.89</v>
      </c>
    </row>
    <row r="31" spans="1:12" x14ac:dyDescent="0.3">
      <c r="A31" s="18" t="s">
        <v>57</v>
      </c>
      <c r="B31" s="41" t="s">
        <v>58</v>
      </c>
      <c r="C31" s="41" t="s">
        <v>59</v>
      </c>
      <c r="D31" s="41" t="s">
        <v>60</v>
      </c>
      <c r="E31" s="42" t="s">
        <v>35</v>
      </c>
      <c r="F31" s="43" t="s">
        <v>21</v>
      </c>
      <c r="G31" s="43"/>
      <c r="H31" s="42" t="s">
        <v>19</v>
      </c>
      <c r="I31" s="39">
        <v>4980.2700000000004</v>
      </c>
      <c r="J31" s="39"/>
      <c r="K31" s="20" t="s">
        <v>40</v>
      </c>
      <c r="L31" s="31">
        <v>17669.16</v>
      </c>
    </row>
    <row r="32" spans="1:12" x14ac:dyDescent="0.3">
      <c r="A32" s="18" t="s">
        <v>57</v>
      </c>
      <c r="B32" s="41" t="s">
        <v>61</v>
      </c>
      <c r="C32" s="41" t="s">
        <v>60</v>
      </c>
      <c r="D32" s="41" t="s">
        <v>60</v>
      </c>
      <c r="E32" s="42" t="s">
        <v>38</v>
      </c>
      <c r="F32" s="43" t="s">
        <v>21</v>
      </c>
      <c r="G32" s="43"/>
      <c r="H32" s="42" t="s">
        <v>19</v>
      </c>
      <c r="I32" s="40">
        <v>996.05</v>
      </c>
      <c r="J32" s="40"/>
      <c r="K32" s="20" t="s">
        <v>40</v>
      </c>
      <c r="L32" s="31">
        <v>18665.21</v>
      </c>
    </row>
    <row r="33" spans="1:12" x14ac:dyDescent="0.3">
      <c r="A33" s="18" t="s">
        <v>62</v>
      </c>
      <c r="B33" s="18" t="s">
        <v>63</v>
      </c>
      <c r="C33" s="18" t="s">
        <v>42</v>
      </c>
      <c r="D33" s="18" t="s">
        <v>64</v>
      </c>
      <c r="E33" s="19" t="s">
        <v>25</v>
      </c>
      <c r="F33" s="32" t="s">
        <v>21</v>
      </c>
      <c r="G33" s="32"/>
      <c r="H33" s="19" t="s">
        <v>19</v>
      </c>
      <c r="I33" s="33">
        <v>8993</v>
      </c>
      <c r="J33" s="33"/>
      <c r="K33" s="20" t="s">
        <v>40</v>
      </c>
      <c r="L33" s="31">
        <v>27658.21</v>
      </c>
    </row>
    <row r="34" spans="1:12" x14ac:dyDescent="0.3">
      <c r="A34" s="18" t="s">
        <v>62</v>
      </c>
      <c r="B34" s="18" t="s">
        <v>65</v>
      </c>
      <c r="C34" s="18" t="s">
        <v>64</v>
      </c>
      <c r="D34" s="18" t="s">
        <v>64</v>
      </c>
      <c r="E34" s="19" t="s">
        <v>38</v>
      </c>
      <c r="F34" s="32" t="s">
        <v>21</v>
      </c>
      <c r="G34" s="32"/>
      <c r="H34" s="19" t="s">
        <v>19</v>
      </c>
      <c r="I34" s="33">
        <v>1798.6</v>
      </c>
      <c r="J34" s="33"/>
      <c r="K34" s="20" t="s">
        <v>40</v>
      </c>
      <c r="L34" s="31">
        <v>29456.81</v>
      </c>
    </row>
    <row r="35" spans="1:12" x14ac:dyDescent="0.3">
      <c r="A35" s="18" t="s">
        <v>62</v>
      </c>
      <c r="B35" s="18" t="s">
        <v>66</v>
      </c>
      <c r="C35" s="18" t="s">
        <v>67</v>
      </c>
      <c r="D35" s="18" t="s">
        <v>18</v>
      </c>
      <c r="E35" s="19" t="s">
        <v>19</v>
      </c>
      <c r="F35" s="29">
        <v>6175</v>
      </c>
      <c r="G35" s="29"/>
      <c r="H35" s="19" t="s">
        <v>20</v>
      </c>
      <c r="I35" s="30" t="s">
        <v>21</v>
      </c>
      <c r="J35" s="30"/>
      <c r="K35" s="20" t="s">
        <v>40</v>
      </c>
      <c r="L35" s="31">
        <v>23281.81</v>
      </c>
    </row>
    <row r="36" spans="1:12" x14ac:dyDescent="0.3">
      <c r="A36" s="18" t="s">
        <v>62</v>
      </c>
      <c r="B36" s="18" t="s">
        <v>68</v>
      </c>
      <c r="C36" s="18" t="s">
        <v>69</v>
      </c>
      <c r="D36" s="18" t="s">
        <v>18</v>
      </c>
      <c r="E36" s="19" t="s">
        <v>19</v>
      </c>
      <c r="F36" s="29">
        <v>5557.5</v>
      </c>
      <c r="G36" s="29"/>
      <c r="H36" s="19" t="s">
        <v>20</v>
      </c>
      <c r="I36" s="30" t="s">
        <v>21</v>
      </c>
      <c r="J36" s="30"/>
      <c r="K36" s="20" t="s">
        <v>40</v>
      </c>
      <c r="L36" s="31">
        <v>17724.310000000001</v>
      </c>
    </row>
    <row r="37" spans="1:12" x14ac:dyDescent="0.3">
      <c r="A37" s="18" t="s">
        <v>62</v>
      </c>
      <c r="B37" s="18" t="s">
        <v>70</v>
      </c>
      <c r="C37" s="18" t="s">
        <v>64</v>
      </c>
      <c r="D37" s="18" t="s">
        <v>18</v>
      </c>
      <c r="E37" s="19" t="s">
        <v>19</v>
      </c>
      <c r="F37" s="29">
        <v>10791.6</v>
      </c>
      <c r="G37" s="29"/>
      <c r="H37" s="19" t="s">
        <v>20</v>
      </c>
      <c r="I37" s="30" t="s">
        <v>21</v>
      </c>
      <c r="J37" s="30"/>
      <c r="K37" s="20" t="s">
        <v>40</v>
      </c>
      <c r="L37" s="31">
        <v>6932.71</v>
      </c>
    </row>
    <row r="38" spans="1:12" x14ac:dyDescent="0.3">
      <c r="A38" s="18" t="s">
        <v>62</v>
      </c>
      <c r="B38" s="18" t="s">
        <v>71</v>
      </c>
      <c r="C38" s="18" t="s">
        <v>42</v>
      </c>
      <c r="D38" s="18" t="s">
        <v>69</v>
      </c>
      <c r="E38" s="19" t="s">
        <v>25</v>
      </c>
      <c r="F38" s="32" t="s">
        <v>21</v>
      </c>
      <c r="G38" s="32"/>
      <c r="H38" s="19" t="s">
        <v>19</v>
      </c>
      <c r="I38" s="33">
        <v>4631.25</v>
      </c>
      <c r="J38" s="33"/>
      <c r="K38" s="20" t="s">
        <v>40</v>
      </c>
      <c r="L38" s="31">
        <v>11563.96</v>
      </c>
    </row>
    <row r="39" spans="1:12" x14ac:dyDescent="0.3">
      <c r="A39" s="18" t="s">
        <v>62</v>
      </c>
      <c r="B39" s="18" t="s">
        <v>72</v>
      </c>
      <c r="C39" s="18" t="s">
        <v>69</v>
      </c>
      <c r="D39" s="18" t="s">
        <v>69</v>
      </c>
      <c r="E39" s="19" t="s">
        <v>27</v>
      </c>
      <c r="F39" s="32" t="s">
        <v>21</v>
      </c>
      <c r="G39" s="32"/>
      <c r="H39" s="19" t="s">
        <v>19</v>
      </c>
      <c r="I39" s="35">
        <v>926.25</v>
      </c>
      <c r="J39" s="35"/>
      <c r="K39" s="20" t="s">
        <v>40</v>
      </c>
      <c r="L39" s="31">
        <v>12490.21</v>
      </c>
    </row>
    <row r="40" spans="1:12" x14ac:dyDescent="0.3">
      <c r="A40" s="18" t="s">
        <v>62</v>
      </c>
      <c r="B40" s="18" t="s">
        <v>73</v>
      </c>
      <c r="C40" s="18" t="s">
        <v>42</v>
      </c>
      <c r="D40" s="18" t="s">
        <v>67</v>
      </c>
      <c r="E40" s="19" t="s">
        <v>25</v>
      </c>
      <c r="F40" s="32" t="s">
        <v>21</v>
      </c>
      <c r="G40" s="32"/>
      <c r="H40" s="19" t="s">
        <v>19</v>
      </c>
      <c r="I40" s="33">
        <v>5145.83</v>
      </c>
      <c r="J40" s="33"/>
      <c r="K40" s="20" t="s">
        <v>40</v>
      </c>
      <c r="L40" s="31">
        <v>17636.04</v>
      </c>
    </row>
    <row r="41" spans="1:12" x14ac:dyDescent="0.3">
      <c r="A41" s="18" t="s">
        <v>62</v>
      </c>
      <c r="B41" s="18" t="s">
        <v>74</v>
      </c>
      <c r="C41" s="18" t="s">
        <v>67</v>
      </c>
      <c r="D41" s="18" t="s">
        <v>67</v>
      </c>
      <c r="E41" s="19" t="s">
        <v>27</v>
      </c>
      <c r="F41" s="32" t="s">
        <v>21</v>
      </c>
      <c r="G41" s="32"/>
      <c r="H41" s="19" t="s">
        <v>19</v>
      </c>
      <c r="I41" s="33">
        <v>1029.17</v>
      </c>
      <c r="J41" s="33"/>
      <c r="K41" s="20" t="s">
        <v>40</v>
      </c>
      <c r="L41" s="31">
        <v>18665.21</v>
      </c>
    </row>
    <row r="42" spans="1:12" x14ac:dyDescent="0.3">
      <c r="A42" s="18" t="s">
        <v>75</v>
      </c>
      <c r="B42" s="18" t="s">
        <v>76</v>
      </c>
      <c r="C42" s="18" t="s">
        <v>60</v>
      </c>
      <c r="D42" s="18" t="s">
        <v>18</v>
      </c>
      <c r="E42" s="19" t="s">
        <v>19</v>
      </c>
      <c r="F42" s="29">
        <v>5976.32</v>
      </c>
      <c r="G42" s="29"/>
      <c r="H42" s="19" t="s">
        <v>20</v>
      </c>
      <c r="I42" s="30" t="s">
        <v>21</v>
      </c>
      <c r="J42" s="30"/>
      <c r="K42" s="20" t="s">
        <v>40</v>
      </c>
      <c r="L42" s="31">
        <v>12688.89</v>
      </c>
    </row>
    <row r="43" spans="1:12" x14ac:dyDescent="0.3">
      <c r="A43" s="18" t="s">
        <v>75</v>
      </c>
      <c r="B43" s="18" t="s">
        <v>77</v>
      </c>
      <c r="C43" s="18" t="s">
        <v>78</v>
      </c>
      <c r="D43" s="18" t="s">
        <v>18</v>
      </c>
      <c r="E43" s="19" t="s">
        <v>19</v>
      </c>
      <c r="F43" s="29">
        <v>10557</v>
      </c>
      <c r="G43" s="29"/>
      <c r="H43" s="19" t="s">
        <v>20</v>
      </c>
      <c r="I43" s="30" t="s">
        <v>21</v>
      </c>
      <c r="J43" s="30"/>
      <c r="K43" s="20" t="s">
        <v>40</v>
      </c>
      <c r="L43" s="31">
        <v>2131.89</v>
      </c>
    </row>
    <row r="44" spans="1:12" x14ac:dyDescent="0.3">
      <c r="A44" s="18" t="s">
        <v>79</v>
      </c>
      <c r="B44" s="18" t="s">
        <v>80</v>
      </c>
      <c r="C44" s="18" t="s">
        <v>42</v>
      </c>
      <c r="D44" s="18" t="s">
        <v>78</v>
      </c>
      <c r="E44" s="19" t="s">
        <v>25</v>
      </c>
      <c r="F44" s="32" t="s">
        <v>21</v>
      </c>
      <c r="G44" s="32"/>
      <c r="H44" s="19" t="s">
        <v>19</v>
      </c>
      <c r="I44" s="33">
        <v>8797.5</v>
      </c>
      <c r="J44" s="33"/>
      <c r="K44" s="20" t="s">
        <v>40</v>
      </c>
      <c r="L44" s="31">
        <v>10929.39</v>
      </c>
    </row>
    <row r="45" spans="1:12" x14ac:dyDescent="0.3">
      <c r="A45" s="18" t="s">
        <v>79</v>
      </c>
      <c r="B45" s="18" t="s">
        <v>81</v>
      </c>
      <c r="C45" s="18" t="s">
        <v>78</v>
      </c>
      <c r="D45" s="18" t="s">
        <v>78</v>
      </c>
      <c r="E45" s="19" t="s">
        <v>27</v>
      </c>
      <c r="F45" s="32" t="s">
        <v>21</v>
      </c>
      <c r="G45" s="32"/>
      <c r="H45" s="19" t="s">
        <v>19</v>
      </c>
      <c r="I45" s="33">
        <v>1759.5</v>
      </c>
      <c r="J45" s="33"/>
      <c r="K45" s="20" t="s">
        <v>40</v>
      </c>
      <c r="L45" s="31">
        <v>12688.89</v>
      </c>
    </row>
    <row r="46" spans="1:12" x14ac:dyDescent="0.3">
      <c r="A46" s="18" t="s">
        <v>79</v>
      </c>
      <c r="B46" s="18" t="s">
        <v>82</v>
      </c>
      <c r="C46" s="18" t="s">
        <v>42</v>
      </c>
      <c r="D46" s="18" t="s">
        <v>83</v>
      </c>
      <c r="E46" s="19" t="s">
        <v>25</v>
      </c>
      <c r="F46" s="32" t="s">
        <v>21</v>
      </c>
      <c r="G46" s="32"/>
      <c r="H46" s="19" t="s">
        <v>19</v>
      </c>
      <c r="I46" s="33">
        <v>8993</v>
      </c>
      <c r="J46" s="33"/>
      <c r="K46" s="20" t="s">
        <v>40</v>
      </c>
      <c r="L46" s="31">
        <v>21681.89</v>
      </c>
    </row>
    <row r="47" spans="1:12" x14ac:dyDescent="0.3">
      <c r="A47" s="18" t="s">
        <v>79</v>
      </c>
      <c r="B47" s="18" t="s">
        <v>84</v>
      </c>
      <c r="C47" s="18" t="s">
        <v>83</v>
      </c>
      <c r="D47" s="18" t="s">
        <v>83</v>
      </c>
      <c r="E47" s="19" t="s">
        <v>38</v>
      </c>
      <c r="F47" s="32" t="s">
        <v>21</v>
      </c>
      <c r="G47" s="32"/>
      <c r="H47" s="19" t="s">
        <v>19</v>
      </c>
      <c r="I47" s="33">
        <v>1798.6</v>
      </c>
      <c r="J47" s="33"/>
      <c r="K47" s="20" t="s">
        <v>40</v>
      </c>
      <c r="L47" s="31">
        <v>23480.49</v>
      </c>
    </row>
    <row r="48" spans="1:12" x14ac:dyDescent="0.3">
      <c r="A48" s="18" t="s">
        <v>79</v>
      </c>
      <c r="B48" s="18" t="s">
        <v>85</v>
      </c>
      <c r="C48" s="18" t="s">
        <v>42</v>
      </c>
      <c r="D48" s="18" t="s">
        <v>86</v>
      </c>
      <c r="E48" s="19" t="s">
        <v>25</v>
      </c>
      <c r="F48" s="32" t="s">
        <v>21</v>
      </c>
      <c r="G48" s="32"/>
      <c r="H48" s="19" t="s">
        <v>19</v>
      </c>
      <c r="I48" s="33">
        <v>8797.5</v>
      </c>
      <c r="J48" s="33"/>
      <c r="K48" s="20" t="s">
        <v>40</v>
      </c>
      <c r="L48" s="31">
        <v>32277.99</v>
      </c>
    </row>
    <row r="49" spans="1:12" x14ac:dyDescent="0.3">
      <c r="A49" s="18" t="s">
        <v>79</v>
      </c>
      <c r="B49" s="18" t="s">
        <v>87</v>
      </c>
      <c r="C49" s="18" t="s">
        <v>86</v>
      </c>
      <c r="D49" s="18" t="s">
        <v>86</v>
      </c>
      <c r="E49" s="19" t="s">
        <v>38</v>
      </c>
      <c r="F49" s="32" t="s">
        <v>21</v>
      </c>
      <c r="G49" s="32"/>
      <c r="H49" s="19" t="s">
        <v>19</v>
      </c>
      <c r="I49" s="33">
        <v>1759.5</v>
      </c>
      <c r="J49" s="33"/>
      <c r="K49" s="20" t="s">
        <v>40</v>
      </c>
      <c r="L49" s="31">
        <v>34037.49</v>
      </c>
    </row>
    <row r="50" spans="1:12" x14ac:dyDescent="0.3">
      <c r="A50" s="18" t="s">
        <v>88</v>
      </c>
      <c r="B50" s="18" t="s">
        <v>89</v>
      </c>
      <c r="C50" s="18" t="s">
        <v>90</v>
      </c>
      <c r="D50" s="18" t="s">
        <v>18</v>
      </c>
      <c r="E50" s="19" t="s">
        <v>19</v>
      </c>
      <c r="F50" s="29">
        <v>6897</v>
      </c>
      <c r="G50" s="29"/>
      <c r="H50" s="19" t="s">
        <v>20</v>
      </c>
      <c r="I50" s="30" t="s">
        <v>21</v>
      </c>
      <c r="J50" s="30"/>
      <c r="K50" s="20" t="s">
        <v>40</v>
      </c>
      <c r="L50" s="31">
        <v>27140.49</v>
      </c>
    </row>
    <row r="51" spans="1:12" x14ac:dyDescent="0.3">
      <c r="A51" s="18" t="s">
        <v>88</v>
      </c>
      <c r="B51" s="18" t="s">
        <v>91</v>
      </c>
      <c r="C51" s="18" t="s">
        <v>30</v>
      </c>
      <c r="D51" s="18" t="s">
        <v>18</v>
      </c>
      <c r="E51" s="19" t="s">
        <v>19</v>
      </c>
      <c r="F51" s="29">
        <v>12688.89</v>
      </c>
      <c r="G51" s="29"/>
      <c r="H51" s="19" t="s">
        <v>20</v>
      </c>
      <c r="I51" s="30" t="s">
        <v>21</v>
      </c>
      <c r="J51" s="30"/>
      <c r="K51" s="20" t="s">
        <v>40</v>
      </c>
      <c r="L51" s="31">
        <v>14451.6</v>
      </c>
    </row>
    <row r="52" spans="1:12" x14ac:dyDescent="0.3">
      <c r="A52" s="18" t="s">
        <v>88</v>
      </c>
      <c r="B52" s="18" t="s">
        <v>92</v>
      </c>
      <c r="C52" s="18" t="s">
        <v>93</v>
      </c>
      <c r="D52" s="18" t="s">
        <v>18</v>
      </c>
      <c r="E52" s="19" t="s">
        <v>19</v>
      </c>
      <c r="F52" s="29">
        <v>6270</v>
      </c>
      <c r="G52" s="29"/>
      <c r="H52" s="19" t="s">
        <v>20</v>
      </c>
      <c r="I52" s="30" t="s">
        <v>21</v>
      </c>
      <c r="J52" s="30"/>
      <c r="K52" s="20" t="s">
        <v>40</v>
      </c>
      <c r="L52" s="31">
        <v>8181.6</v>
      </c>
    </row>
    <row r="53" spans="1:12" x14ac:dyDescent="0.3">
      <c r="A53" s="18" t="s">
        <v>88</v>
      </c>
      <c r="B53" s="18" t="s">
        <v>94</v>
      </c>
      <c r="C53" s="18" t="s">
        <v>42</v>
      </c>
      <c r="D53" s="18" t="s">
        <v>90</v>
      </c>
      <c r="E53" s="19" t="s">
        <v>25</v>
      </c>
      <c r="F53" s="32" t="s">
        <v>21</v>
      </c>
      <c r="G53" s="32"/>
      <c r="H53" s="19" t="s">
        <v>19</v>
      </c>
      <c r="I53" s="33">
        <v>5747.5</v>
      </c>
      <c r="J53" s="33"/>
      <c r="K53" s="20" t="s">
        <v>40</v>
      </c>
      <c r="L53" s="31">
        <v>13929.1</v>
      </c>
    </row>
    <row r="54" spans="1:12" x14ac:dyDescent="0.3">
      <c r="A54" s="18" t="s">
        <v>88</v>
      </c>
      <c r="B54" s="18" t="s">
        <v>95</v>
      </c>
      <c r="C54" s="18" t="s">
        <v>90</v>
      </c>
      <c r="D54" s="18" t="s">
        <v>90</v>
      </c>
      <c r="E54" s="19" t="s">
        <v>27</v>
      </c>
      <c r="F54" s="32" t="s">
        <v>21</v>
      </c>
      <c r="G54" s="32"/>
      <c r="H54" s="19" t="s">
        <v>19</v>
      </c>
      <c r="I54" s="33">
        <v>1149.5</v>
      </c>
      <c r="J54" s="33"/>
      <c r="K54" s="20" t="s">
        <v>40</v>
      </c>
      <c r="L54" s="31">
        <v>15078.6</v>
      </c>
    </row>
    <row r="55" spans="1:12" x14ac:dyDescent="0.3">
      <c r="A55" s="18" t="s">
        <v>88</v>
      </c>
      <c r="B55" s="18" t="s">
        <v>96</v>
      </c>
      <c r="C55" s="18" t="s">
        <v>42</v>
      </c>
      <c r="D55" s="18" t="s">
        <v>93</v>
      </c>
      <c r="E55" s="19" t="s">
        <v>25</v>
      </c>
      <c r="F55" s="32" t="s">
        <v>21</v>
      </c>
      <c r="G55" s="32"/>
      <c r="H55" s="19" t="s">
        <v>19</v>
      </c>
      <c r="I55" s="33">
        <v>5225</v>
      </c>
      <c r="J55" s="33"/>
      <c r="K55" s="20" t="s">
        <v>40</v>
      </c>
      <c r="L55" s="31">
        <v>20303.599999999999</v>
      </c>
    </row>
    <row r="56" spans="1:12" x14ac:dyDescent="0.3">
      <c r="A56" s="18" t="s">
        <v>88</v>
      </c>
      <c r="B56" s="18" t="s">
        <v>97</v>
      </c>
      <c r="C56" s="18" t="s">
        <v>93</v>
      </c>
      <c r="D56" s="18" t="s">
        <v>93</v>
      </c>
      <c r="E56" s="19" t="s">
        <v>27</v>
      </c>
      <c r="F56" s="32" t="s">
        <v>21</v>
      </c>
      <c r="G56" s="32"/>
      <c r="H56" s="19" t="s">
        <v>19</v>
      </c>
      <c r="I56" s="33">
        <v>1045</v>
      </c>
      <c r="J56" s="33"/>
      <c r="K56" s="20" t="s">
        <v>40</v>
      </c>
      <c r="L56" s="31">
        <v>21348.6</v>
      </c>
    </row>
    <row r="57" spans="1:12" x14ac:dyDescent="0.3">
      <c r="A57" s="18" t="s">
        <v>88</v>
      </c>
      <c r="B57" s="18" t="s">
        <v>98</v>
      </c>
      <c r="C57" s="18" t="s">
        <v>42</v>
      </c>
      <c r="D57" s="18" t="s">
        <v>99</v>
      </c>
      <c r="E57" s="19" t="s">
        <v>25</v>
      </c>
      <c r="F57" s="32" t="s">
        <v>21</v>
      </c>
      <c r="G57" s="32"/>
      <c r="H57" s="19" t="s">
        <v>19</v>
      </c>
      <c r="I57" s="33">
        <v>8107.67</v>
      </c>
      <c r="J57" s="33"/>
      <c r="K57" s="20" t="s">
        <v>40</v>
      </c>
      <c r="L57" s="31">
        <v>29456.27</v>
      </c>
    </row>
    <row r="58" spans="1:12" x14ac:dyDescent="0.3">
      <c r="A58" s="18" t="s">
        <v>88</v>
      </c>
      <c r="B58" s="18" t="s">
        <v>100</v>
      </c>
      <c r="C58" s="18" t="s">
        <v>99</v>
      </c>
      <c r="D58" s="18" t="s">
        <v>99</v>
      </c>
      <c r="E58" s="19" t="s">
        <v>38</v>
      </c>
      <c r="F58" s="32" t="s">
        <v>21</v>
      </c>
      <c r="G58" s="32"/>
      <c r="H58" s="19" t="s">
        <v>19</v>
      </c>
      <c r="I58" s="33">
        <v>1621.53</v>
      </c>
      <c r="J58" s="33"/>
      <c r="K58" s="20" t="s">
        <v>40</v>
      </c>
      <c r="L58" s="31">
        <v>31077.8</v>
      </c>
    </row>
    <row r="59" spans="1:12" x14ac:dyDescent="0.3">
      <c r="A59" s="18" t="s">
        <v>101</v>
      </c>
      <c r="B59" s="18" t="s">
        <v>102</v>
      </c>
      <c r="C59" s="18" t="s">
        <v>86</v>
      </c>
      <c r="D59" s="18" t="s">
        <v>18</v>
      </c>
      <c r="E59" s="19" t="s">
        <v>19</v>
      </c>
      <c r="F59" s="29">
        <v>10557</v>
      </c>
      <c r="G59" s="29"/>
      <c r="H59" s="19" t="s">
        <v>20</v>
      </c>
      <c r="I59" s="30" t="s">
        <v>21</v>
      </c>
      <c r="J59" s="30"/>
      <c r="K59" s="20" t="s">
        <v>40</v>
      </c>
      <c r="L59" s="31">
        <v>20520.8</v>
      </c>
    </row>
    <row r="60" spans="1:12" x14ac:dyDescent="0.3">
      <c r="A60" s="18" t="s">
        <v>103</v>
      </c>
      <c r="B60" s="18" t="s">
        <v>104</v>
      </c>
      <c r="C60" s="18" t="s">
        <v>105</v>
      </c>
      <c r="D60" s="18" t="s">
        <v>18</v>
      </c>
      <c r="E60" s="19" t="s">
        <v>19</v>
      </c>
      <c r="F60" s="29">
        <v>43678.77</v>
      </c>
      <c r="G60" s="29"/>
      <c r="H60" s="19" t="s">
        <v>20</v>
      </c>
      <c r="I60" s="30" t="s">
        <v>21</v>
      </c>
      <c r="J60" s="30"/>
      <c r="K60" s="20" t="s">
        <v>22</v>
      </c>
      <c r="L60" s="31">
        <v>23157.97</v>
      </c>
    </row>
    <row r="61" spans="1:12" x14ac:dyDescent="0.3">
      <c r="A61" s="18" t="s">
        <v>103</v>
      </c>
      <c r="B61" s="41" t="s">
        <v>106</v>
      </c>
      <c r="C61" s="41" t="s">
        <v>107</v>
      </c>
      <c r="D61" s="41" t="s">
        <v>105</v>
      </c>
      <c r="E61" s="42" t="s">
        <v>35</v>
      </c>
      <c r="F61" s="43" t="s">
        <v>21</v>
      </c>
      <c r="G61" s="43"/>
      <c r="H61" s="42" t="s">
        <v>19</v>
      </c>
      <c r="I61" s="39">
        <v>1819.95</v>
      </c>
      <c r="J61" s="39"/>
      <c r="K61" s="20" t="s">
        <v>22</v>
      </c>
      <c r="L61" s="31">
        <v>21338.02</v>
      </c>
    </row>
    <row r="62" spans="1:12" x14ac:dyDescent="0.3">
      <c r="A62" s="18" t="s">
        <v>103</v>
      </c>
      <c r="B62" s="41" t="s">
        <v>108</v>
      </c>
      <c r="C62" s="41" t="s">
        <v>107</v>
      </c>
      <c r="D62" s="41" t="s">
        <v>105</v>
      </c>
      <c r="E62" s="42" t="s">
        <v>35</v>
      </c>
      <c r="F62" s="43" t="s">
        <v>21</v>
      </c>
      <c r="G62" s="43"/>
      <c r="H62" s="42" t="s">
        <v>19</v>
      </c>
      <c r="I62" s="39">
        <v>43678.77</v>
      </c>
      <c r="J62" s="39"/>
      <c r="K62" s="20" t="s">
        <v>40</v>
      </c>
      <c r="L62" s="31">
        <v>22340.75</v>
      </c>
    </row>
    <row r="63" spans="1:12" x14ac:dyDescent="0.3">
      <c r="A63" s="18" t="s">
        <v>103</v>
      </c>
      <c r="B63" s="41" t="s">
        <v>109</v>
      </c>
      <c r="C63" s="41" t="s">
        <v>105</v>
      </c>
      <c r="D63" s="41" t="s">
        <v>105</v>
      </c>
      <c r="E63" s="42" t="s">
        <v>38</v>
      </c>
      <c r="F63" s="43" t="s">
        <v>21</v>
      </c>
      <c r="G63" s="43"/>
      <c r="H63" s="42" t="s">
        <v>19</v>
      </c>
      <c r="I63" s="39">
        <v>1819.94</v>
      </c>
      <c r="J63" s="39"/>
      <c r="K63" s="20" t="s">
        <v>40</v>
      </c>
      <c r="L63" s="31">
        <v>24160.69</v>
      </c>
    </row>
    <row r="64" spans="1:12" x14ac:dyDescent="0.3">
      <c r="A64" s="18" t="s">
        <v>103</v>
      </c>
      <c r="B64" s="41" t="s">
        <v>110</v>
      </c>
      <c r="C64" s="41" t="s">
        <v>105</v>
      </c>
      <c r="D64" s="41" t="s">
        <v>105</v>
      </c>
      <c r="E64" s="42" t="s">
        <v>27</v>
      </c>
      <c r="F64" s="43" t="s">
        <v>21</v>
      </c>
      <c r="G64" s="43"/>
      <c r="H64" s="42" t="s">
        <v>19</v>
      </c>
      <c r="I64" s="39">
        <v>7279.8</v>
      </c>
      <c r="J64" s="39"/>
      <c r="K64" s="20" t="s">
        <v>40</v>
      </c>
      <c r="L64" s="31">
        <v>31440.49</v>
      </c>
    </row>
    <row r="65" spans="1:12" x14ac:dyDescent="0.3">
      <c r="A65" s="18" t="s">
        <v>111</v>
      </c>
      <c r="B65" s="41" t="s">
        <v>112</v>
      </c>
      <c r="C65" s="41" t="s">
        <v>113</v>
      </c>
      <c r="D65" s="41" t="s">
        <v>114</v>
      </c>
      <c r="E65" s="42" t="s">
        <v>35</v>
      </c>
      <c r="F65" s="43" t="s">
        <v>21</v>
      </c>
      <c r="G65" s="43"/>
      <c r="H65" s="42" t="s">
        <v>19</v>
      </c>
      <c r="I65" s="39">
        <v>41343.019999999997</v>
      </c>
      <c r="J65" s="39"/>
      <c r="K65" s="20" t="s">
        <v>40</v>
      </c>
      <c r="L65" s="31">
        <v>72783.509999999995</v>
      </c>
    </row>
    <row r="66" spans="1:12" x14ac:dyDescent="0.3">
      <c r="A66" s="18" t="s">
        <v>111</v>
      </c>
      <c r="B66" s="41" t="s">
        <v>115</v>
      </c>
      <c r="C66" s="41" t="s">
        <v>114</v>
      </c>
      <c r="D66" s="41" t="s">
        <v>114</v>
      </c>
      <c r="E66" s="42" t="s">
        <v>38</v>
      </c>
      <c r="F66" s="43" t="s">
        <v>21</v>
      </c>
      <c r="G66" s="43"/>
      <c r="H66" s="42" t="s">
        <v>19</v>
      </c>
      <c r="I66" s="39">
        <v>8268.6</v>
      </c>
      <c r="J66" s="39"/>
      <c r="K66" s="20" t="s">
        <v>40</v>
      </c>
      <c r="L66" s="31">
        <v>81052.11</v>
      </c>
    </row>
    <row r="67" spans="1:12" x14ac:dyDescent="0.3">
      <c r="A67" s="18" t="s">
        <v>116</v>
      </c>
      <c r="B67" s="18" t="s">
        <v>117</v>
      </c>
      <c r="C67" s="18" t="s">
        <v>118</v>
      </c>
      <c r="D67" s="18" t="s">
        <v>119</v>
      </c>
      <c r="E67" s="19" t="s">
        <v>19</v>
      </c>
      <c r="F67" s="29">
        <v>30286.080000000002</v>
      </c>
      <c r="G67" s="29"/>
      <c r="H67" s="19" t="s">
        <v>20</v>
      </c>
      <c r="I67" s="30" t="s">
        <v>21</v>
      </c>
      <c r="J67" s="30"/>
      <c r="K67" s="20" t="s">
        <v>40</v>
      </c>
      <c r="L67" s="31">
        <v>50766.03</v>
      </c>
    </row>
    <row r="68" spans="1:12" x14ac:dyDescent="0.3">
      <c r="A68" s="18" t="s">
        <v>116</v>
      </c>
      <c r="B68" s="18" t="s">
        <v>120</v>
      </c>
      <c r="C68" s="18" t="s">
        <v>121</v>
      </c>
      <c r="D68" s="18" t="s">
        <v>18</v>
      </c>
      <c r="E68" s="19" t="s">
        <v>19</v>
      </c>
      <c r="F68" s="29">
        <v>262389.53999999998</v>
      </c>
      <c r="G68" s="29"/>
      <c r="H68" s="19" t="s">
        <v>20</v>
      </c>
      <c r="I68" s="30" t="s">
        <v>21</v>
      </c>
      <c r="J68" s="30"/>
      <c r="K68" s="20" t="s">
        <v>22</v>
      </c>
      <c r="L68" s="31">
        <v>211623.51</v>
      </c>
    </row>
    <row r="69" spans="1:12" x14ac:dyDescent="0.3">
      <c r="A69" s="21" t="s">
        <v>122</v>
      </c>
      <c r="B69" s="21"/>
      <c r="C69" s="21"/>
      <c r="D69" s="21"/>
      <c r="E69" s="37">
        <v>506234.58</v>
      </c>
      <c r="F69" s="37"/>
      <c r="G69" s="37"/>
      <c r="H69" s="37">
        <v>294611.07</v>
      </c>
      <c r="I69" s="37"/>
      <c r="J69" s="37"/>
      <c r="K69" s="22" t="s">
        <v>22</v>
      </c>
      <c r="L69" s="38">
        <v>211623.51</v>
      </c>
    </row>
  </sheetData>
  <mergeCells count="130">
    <mergeCell ref="A69:D69"/>
    <mergeCell ref="E69:G69"/>
    <mergeCell ref="H69:J69"/>
    <mergeCell ref="F66:G66"/>
    <mergeCell ref="I66:J66"/>
    <mergeCell ref="F67:G67"/>
    <mergeCell ref="I67:J67"/>
    <mergeCell ref="F68:G68"/>
    <mergeCell ref="I68:J68"/>
    <mergeCell ref="F63:G63"/>
    <mergeCell ref="I63:J63"/>
    <mergeCell ref="F64:G64"/>
    <mergeCell ref="I64:J64"/>
    <mergeCell ref="F65:G65"/>
    <mergeCell ref="I65:J65"/>
    <mergeCell ref="F60:G60"/>
    <mergeCell ref="I60:J60"/>
    <mergeCell ref="F61:G61"/>
    <mergeCell ref="I61:J61"/>
    <mergeCell ref="F62:G62"/>
    <mergeCell ref="I62:J62"/>
    <mergeCell ref="F57:G57"/>
    <mergeCell ref="I57:J57"/>
    <mergeCell ref="F58:G58"/>
    <mergeCell ref="I58:J58"/>
    <mergeCell ref="F59:G59"/>
    <mergeCell ref="I59:J59"/>
    <mergeCell ref="F54:G54"/>
    <mergeCell ref="I54:J54"/>
    <mergeCell ref="F55:G55"/>
    <mergeCell ref="I55:J55"/>
    <mergeCell ref="F56:G56"/>
    <mergeCell ref="I56:J56"/>
    <mergeCell ref="F51:G51"/>
    <mergeCell ref="I51:J51"/>
    <mergeCell ref="F52:G52"/>
    <mergeCell ref="I52:J52"/>
    <mergeCell ref="F53:G53"/>
    <mergeCell ref="I53:J53"/>
    <mergeCell ref="F48:G48"/>
    <mergeCell ref="I48:J48"/>
    <mergeCell ref="F49:G49"/>
    <mergeCell ref="I49:J49"/>
    <mergeCell ref="F50:G50"/>
    <mergeCell ref="I50:J50"/>
    <mergeCell ref="F45:G45"/>
    <mergeCell ref="I45:J45"/>
    <mergeCell ref="F46:G46"/>
    <mergeCell ref="I46:J46"/>
    <mergeCell ref="F47:G47"/>
    <mergeCell ref="I47:J47"/>
    <mergeCell ref="F42:G42"/>
    <mergeCell ref="I42:J42"/>
    <mergeCell ref="F43:G43"/>
    <mergeCell ref="I43:J43"/>
    <mergeCell ref="F44:G44"/>
    <mergeCell ref="I44:J44"/>
    <mergeCell ref="F39:G39"/>
    <mergeCell ref="I39:J39"/>
    <mergeCell ref="F40:G40"/>
    <mergeCell ref="I40:J40"/>
    <mergeCell ref="F41:G41"/>
    <mergeCell ref="I41:J41"/>
    <mergeCell ref="F36:G36"/>
    <mergeCell ref="I36:J36"/>
    <mergeCell ref="F37:G37"/>
    <mergeCell ref="I37:J37"/>
    <mergeCell ref="F38:G38"/>
    <mergeCell ref="I38:J38"/>
    <mergeCell ref="F33:G33"/>
    <mergeCell ref="I33:J33"/>
    <mergeCell ref="F34:G34"/>
    <mergeCell ref="I34:J34"/>
    <mergeCell ref="F35:G35"/>
    <mergeCell ref="I35:J35"/>
    <mergeCell ref="F30:G30"/>
    <mergeCell ref="I30:J30"/>
    <mergeCell ref="F31:G31"/>
    <mergeCell ref="I31:J31"/>
    <mergeCell ref="F32:G32"/>
    <mergeCell ref="I32:J32"/>
    <mergeCell ref="F27:G27"/>
    <mergeCell ref="I27:J27"/>
    <mergeCell ref="F28:G28"/>
    <mergeCell ref="I28:J28"/>
    <mergeCell ref="F29:G29"/>
    <mergeCell ref="I29:J29"/>
    <mergeCell ref="F24:G24"/>
    <mergeCell ref="I24:J24"/>
    <mergeCell ref="F25:G25"/>
    <mergeCell ref="I25:J25"/>
    <mergeCell ref="F26:G26"/>
    <mergeCell ref="I26:J26"/>
    <mergeCell ref="F21:G21"/>
    <mergeCell ref="I21:J21"/>
    <mergeCell ref="F22:G22"/>
    <mergeCell ref="I22:J22"/>
    <mergeCell ref="F23:G23"/>
    <mergeCell ref="I23:J23"/>
    <mergeCell ref="F18:G18"/>
    <mergeCell ref="I18:J18"/>
    <mergeCell ref="F19:G19"/>
    <mergeCell ref="I19:J19"/>
    <mergeCell ref="F20:G20"/>
    <mergeCell ref="I20:J20"/>
    <mergeCell ref="F15:G15"/>
    <mergeCell ref="I15:J15"/>
    <mergeCell ref="F16:G16"/>
    <mergeCell ref="I16:J16"/>
    <mergeCell ref="F17:G17"/>
    <mergeCell ref="I17:J17"/>
    <mergeCell ref="F12:G12"/>
    <mergeCell ref="I12:J12"/>
    <mergeCell ref="F13:G13"/>
    <mergeCell ref="I13:J13"/>
    <mergeCell ref="F14:G14"/>
    <mergeCell ref="I14:J14"/>
    <mergeCell ref="K8:L9"/>
    <mergeCell ref="F9:G9"/>
    <mergeCell ref="I9:J9"/>
    <mergeCell ref="A10:D10"/>
    <mergeCell ref="E10:J10"/>
    <mergeCell ref="F11:G11"/>
    <mergeCell ref="I11:J11"/>
    <mergeCell ref="A8:A9"/>
    <mergeCell ref="B8:B9"/>
    <mergeCell ref="C8:C9"/>
    <mergeCell ref="D8:D9"/>
    <mergeCell ref="E8:G8"/>
    <mergeCell ref="H8:J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7EBFD-7204-4F07-8078-616F42E1FB3D}">
  <dimension ref="A3:C11"/>
  <sheetViews>
    <sheetView tabSelected="1" workbookViewId="0">
      <selection activeCell="C12" sqref="C12"/>
    </sheetView>
  </sheetViews>
  <sheetFormatPr defaultRowHeight="14.4" x14ac:dyDescent="0.3"/>
  <cols>
    <col min="3" max="3" width="12.33203125" customWidth="1"/>
  </cols>
  <sheetData>
    <row r="3" spans="1:3" x14ac:dyDescent="0.3">
      <c r="B3" t="s">
        <v>158</v>
      </c>
      <c r="C3" t="s">
        <v>165</v>
      </c>
    </row>
    <row r="4" spans="1:3" x14ac:dyDescent="0.3">
      <c r="A4" t="s">
        <v>157</v>
      </c>
      <c r="B4">
        <v>2</v>
      </c>
    </row>
    <row r="5" spans="1:3" x14ac:dyDescent="0.3">
      <c r="A5" t="s">
        <v>159</v>
      </c>
      <c r="B5">
        <v>3</v>
      </c>
    </row>
    <row r="6" spans="1:3" x14ac:dyDescent="0.3">
      <c r="A6" t="s">
        <v>160</v>
      </c>
      <c r="B6">
        <v>1</v>
      </c>
    </row>
    <row r="7" spans="1:3" x14ac:dyDescent="0.3">
      <c r="A7" t="s">
        <v>161</v>
      </c>
      <c r="B7">
        <v>4</v>
      </c>
    </row>
    <row r="8" spans="1:3" x14ac:dyDescent="0.3">
      <c r="A8" t="s">
        <v>162</v>
      </c>
      <c r="B8">
        <v>9</v>
      </c>
    </row>
    <row r="9" spans="1:3" x14ac:dyDescent="0.3">
      <c r="A9" s="1" t="s">
        <v>163</v>
      </c>
      <c r="B9" s="1">
        <f>SUM(B4:B8)</f>
        <v>19</v>
      </c>
      <c r="C9">
        <v>1007340</v>
      </c>
    </row>
    <row r="10" spans="1:3" x14ac:dyDescent="0.3">
      <c r="A10" t="s">
        <v>164</v>
      </c>
      <c r="B10">
        <v>5</v>
      </c>
      <c r="C10">
        <v>215900</v>
      </c>
    </row>
    <row r="11" spans="1:3" x14ac:dyDescent="0.3">
      <c r="A11" s="1" t="s">
        <v>163</v>
      </c>
      <c r="B11" s="1">
        <v>24</v>
      </c>
      <c r="C11" s="1">
        <f>SUM(C9:C10)</f>
        <v>1223240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65626-4007-4F1F-9B2F-4C3A01351D62}">
  <dimension ref="A1:G47"/>
  <sheetViews>
    <sheetView workbookViewId="0">
      <selection activeCell="E17" activeCellId="1" sqref="E9:E15 E17"/>
    </sheetView>
  </sheetViews>
  <sheetFormatPr defaultRowHeight="14.4" x14ac:dyDescent="0.3"/>
  <cols>
    <col min="1" max="1" width="70" customWidth="1"/>
    <col min="2" max="3" width="12.77734375" customWidth="1"/>
  </cols>
  <sheetData>
    <row r="1" spans="1:6" x14ac:dyDescent="0.3">
      <c r="A1" s="44"/>
      <c r="B1" s="44"/>
      <c r="C1" s="44"/>
    </row>
    <row r="2" spans="1:6" x14ac:dyDescent="0.3">
      <c r="A2" s="45" t="s">
        <v>123</v>
      </c>
      <c r="B2" s="45" t="s">
        <v>124</v>
      </c>
      <c r="C2" s="44"/>
    </row>
    <row r="3" spans="1:6" x14ac:dyDescent="0.3">
      <c r="A3" s="44"/>
      <c r="B3" s="45" t="s">
        <v>125</v>
      </c>
      <c r="C3" s="44"/>
    </row>
    <row r="4" spans="1:6" ht="20.399999999999999" x14ac:dyDescent="0.3">
      <c r="A4" s="44"/>
      <c r="B4" s="53" t="s">
        <v>126</v>
      </c>
      <c r="C4" s="44"/>
    </row>
    <row r="5" spans="1:6" ht="35.4" customHeight="1" x14ac:dyDescent="0.3">
      <c r="A5" s="45" t="s">
        <v>4</v>
      </c>
      <c r="B5" s="46" t="s">
        <v>127</v>
      </c>
      <c r="C5" s="46"/>
    </row>
    <row r="6" spans="1:6" x14ac:dyDescent="0.3">
      <c r="A6" s="44"/>
      <c r="B6" s="44"/>
      <c r="C6" s="44"/>
    </row>
    <row r="7" spans="1:6" x14ac:dyDescent="0.3">
      <c r="A7" s="47" t="s">
        <v>128</v>
      </c>
      <c r="B7" s="47" t="s">
        <v>129</v>
      </c>
      <c r="C7" s="47" t="s">
        <v>130</v>
      </c>
    </row>
    <row r="8" spans="1:6" x14ac:dyDescent="0.3">
      <c r="A8" s="48" t="s">
        <v>131</v>
      </c>
      <c r="B8" s="49"/>
      <c r="C8" s="50">
        <v>-15000</v>
      </c>
      <c r="D8" t="s">
        <v>155</v>
      </c>
      <c r="F8">
        <v>3</v>
      </c>
    </row>
    <row r="9" spans="1:6" x14ac:dyDescent="0.3">
      <c r="A9" s="48" t="s">
        <v>132</v>
      </c>
      <c r="B9" s="49"/>
      <c r="C9" s="50">
        <v>-20000</v>
      </c>
      <c r="D9" t="s">
        <v>154</v>
      </c>
      <c r="E9">
        <v>2</v>
      </c>
    </row>
    <row r="10" spans="1:6" x14ac:dyDescent="0.3">
      <c r="A10" s="48" t="s">
        <v>133</v>
      </c>
      <c r="B10" s="50">
        <v>-30000</v>
      </c>
      <c r="C10" s="49"/>
    </row>
    <row r="11" spans="1:6" x14ac:dyDescent="0.3">
      <c r="A11" s="48" t="s">
        <v>134</v>
      </c>
      <c r="B11" s="49"/>
      <c r="C11" s="50">
        <v>-50000</v>
      </c>
      <c r="D11" t="s">
        <v>154</v>
      </c>
      <c r="E11">
        <v>5</v>
      </c>
    </row>
    <row r="12" spans="1:6" x14ac:dyDescent="0.3">
      <c r="A12" s="48" t="s">
        <v>135</v>
      </c>
      <c r="B12" s="50">
        <v>-80000</v>
      </c>
      <c r="C12" s="49"/>
    </row>
    <row r="13" spans="1:6" x14ac:dyDescent="0.3">
      <c r="A13" s="48" t="s">
        <v>136</v>
      </c>
      <c r="B13" s="49"/>
      <c r="C13" s="50">
        <v>-10000</v>
      </c>
      <c r="D13" t="s">
        <v>154</v>
      </c>
      <c r="E13">
        <v>1</v>
      </c>
    </row>
    <row r="14" spans="1:6" x14ac:dyDescent="0.3">
      <c r="A14" s="48" t="s">
        <v>137</v>
      </c>
      <c r="B14" s="50">
        <v>-100000</v>
      </c>
      <c r="C14" s="49"/>
    </row>
    <row r="15" spans="1:6" x14ac:dyDescent="0.3">
      <c r="A15" s="48" t="s">
        <v>138</v>
      </c>
      <c r="B15" s="50">
        <v>-120000</v>
      </c>
      <c r="C15" s="49"/>
    </row>
    <row r="16" spans="1:6" x14ac:dyDescent="0.3">
      <c r="A16" s="48" t="s">
        <v>139</v>
      </c>
      <c r="B16" s="49"/>
      <c r="C16" s="50">
        <v>-70000</v>
      </c>
      <c r="D16" t="s">
        <v>154</v>
      </c>
      <c r="E16">
        <v>7</v>
      </c>
    </row>
    <row r="17" spans="1:6" x14ac:dyDescent="0.3">
      <c r="A17" s="48" t="s">
        <v>140</v>
      </c>
      <c r="B17" s="49"/>
      <c r="C17" s="50">
        <v>-90000</v>
      </c>
      <c r="D17" t="s">
        <v>154</v>
      </c>
      <c r="E17">
        <v>9</v>
      </c>
    </row>
    <row r="18" spans="1:6" x14ac:dyDescent="0.3">
      <c r="A18" s="51" t="s">
        <v>141</v>
      </c>
      <c r="B18" s="52">
        <v>-330000</v>
      </c>
      <c r="C18" s="52">
        <v>-255000</v>
      </c>
    </row>
    <row r="23" spans="1:6" x14ac:dyDescent="0.3">
      <c r="A23" s="44"/>
      <c r="B23" s="44"/>
      <c r="C23" s="44"/>
    </row>
    <row r="24" spans="1:6" x14ac:dyDescent="0.3">
      <c r="A24" s="45" t="s">
        <v>123</v>
      </c>
      <c r="B24" s="45" t="s">
        <v>124</v>
      </c>
      <c r="C24" s="44"/>
    </row>
    <row r="25" spans="1:6" x14ac:dyDescent="0.3">
      <c r="A25" s="44"/>
      <c r="B25" s="45" t="s">
        <v>125</v>
      </c>
      <c r="C25" s="44"/>
    </row>
    <row r="26" spans="1:6" x14ac:dyDescent="0.3">
      <c r="A26" s="44"/>
      <c r="B26" s="45" t="s">
        <v>126</v>
      </c>
      <c r="C26" s="44"/>
    </row>
    <row r="27" spans="1:6" ht="30.6" customHeight="1" x14ac:dyDescent="0.3">
      <c r="A27" s="45" t="s">
        <v>4</v>
      </c>
      <c r="B27" s="46" t="s">
        <v>142</v>
      </c>
      <c r="C27" s="46"/>
    </row>
    <row r="28" spans="1:6" x14ac:dyDescent="0.3">
      <c r="A28" s="44"/>
      <c r="B28" s="44"/>
      <c r="C28" s="44"/>
    </row>
    <row r="29" spans="1:6" x14ac:dyDescent="0.3">
      <c r="A29" s="47" t="s">
        <v>128</v>
      </c>
      <c r="B29" s="47" t="s">
        <v>129</v>
      </c>
      <c r="C29" s="47" t="s">
        <v>130</v>
      </c>
    </row>
    <row r="30" spans="1:6" x14ac:dyDescent="0.3">
      <c r="A30" s="48" t="s">
        <v>143</v>
      </c>
      <c r="B30" s="49"/>
      <c r="C30" s="50">
        <v>-3102</v>
      </c>
    </row>
    <row r="31" spans="1:6" x14ac:dyDescent="0.3">
      <c r="A31" s="48" t="s">
        <v>144</v>
      </c>
      <c r="B31" s="49"/>
      <c r="C31" s="50">
        <v>-5150</v>
      </c>
      <c r="D31" t="s">
        <v>155</v>
      </c>
      <c r="F31">
        <v>1</v>
      </c>
    </row>
    <row r="32" spans="1:6" x14ac:dyDescent="0.3">
      <c r="A32" s="48" t="s">
        <v>133</v>
      </c>
      <c r="B32" s="50">
        <v>-15000</v>
      </c>
      <c r="C32" s="49"/>
    </row>
    <row r="33" spans="1:7" x14ac:dyDescent="0.3">
      <c r="A33" s="48" t="s">
        <v>145</v>
      </c>
      <c r="B33" s="49"/>
      <c r="C33" s="50">
        <v>-15465</v>
      </c>
      <c r="D33" t="s">
        <v>155</v>
      </c>
      <c r="F33">
        <v>3</v>
      </c>
    </row>
    <row r="34" spans="1:7" x14ac:dyDescent="0.3">
      <c r="A34" s="48" t="s">
        <v>135</v>
      </c>
      <c r="B34" s="50">
        <v>-40000</v>
      </c>
      <c r="C34" s="49"/>
    </row>
    <row r="35" spans="1:7" x14ac:dyDescent="0.3">
      <c r="A35" s="48" t="s">
        <v>146</v>
      </c>
      <c r="B35" s="49"/>
      <c r="C35" s="50">
        <v>-15465</v>
      </c>
      <c r="D35" t="s">
        <v>155</v>
      </c>
      <c r="F35">
        <v>3</v>
      </c>
    </row>
    <row r="36" spans="1:7" x14ac:dyDescent="0.3">
      <c r="A36" s="48" t="s">
        <v>147</v>
      </c>
      <c r="B36" s="49"/>
      <c r="C36" s="50">
        <v>-5155</v>
      </c>
      <c r="D36" t="s">
        <v>155</v>
      </c>
      <c r="F36">
        <v>1</v>
      </c>
    </row>
    <row r="37" spans="1:7" x14ac:dyDescent="0.3">
      <c r="A37" s="48" t="s">
        <v>148</v>
      </c>
      <c r="B37" s="49"/>
      <c r="C37" s="50">
        <v>-10310</v>
      </c>
      <c r="D37" t="s">
        <v>155</v>
      </c>
      <c r="F37">
        <v>2</v>
      </c>
    </row>
    <row r="38" spans="1:7" x14ac:dyDescent="0.3">
      <c r="A38" s="48" t="s">
        <v>137</v>
      </c>
      <c r="B38" s="50">
        <v>-36510</v>
      </c>
      <c r="C38" s="49"/>
    </row>
    <row r="39" spans="1:7" x14ac:dyDescent="0.3">
      <c r="A39" s="48" t="s">
        <v>149</v>
      </c>
      <c r="B39" s="49"/>
      <c r="C39" s="50">
        <v>-10310</v>
      </c>
      <c r="D39" t="s">
        <v>155</v>
      </c>
      <c r="F39">
        <v>2</v>
      </c>
    </row>
    <row r="40" spans="1:7" x14ac:dyDescent="0.3">
      <c r="A40" s="48" t="s">
        <v>150</v>
      </c>
      <c r="B40" s="49"/>
      <c r="C40" s="50">
        <v>-10310</v>
      </c>
      <c r="D40" t="s">
        <v>155</v>
      </c>
      <c r="F40">
        <v>2</v>
      </c>
    </row>
    <row r="41" spans="1:7" x14ac:dyDescent="0.3">
      <c r="A41" s="48" t="s">
        <v>151</v>
      </c>
      <c r="B41" s="49"/>
      <c r="C41" s="50">
        <v>-15465</v>
      </c>
      <c r="D41" t="s">
        <v>155</v>
      </c>
      <c r="F41">
        <v>3</v>
      </c>
    </row>
    <row r="42" spans="1:7" x14ac:dyDescent="0.3">
      <c r="A42" s="48" t="s">
        <v>138</v>
      </c>
      <c r="B42" s="50">
        <v>-41920</v>
      </c>
      <c r="C42" s="49"/>
    </row>
    <row r="43" spans="1:7" x14ac:dyDescent="0.3">
      <c r="A43" s="48" t="s">
        <v>152</v>
      </c>
      <c r="B43" s="49"/>
      <c r="C43" s="50">
        <v>-10310</v>
      </c>
      <c r="D43" t="s">
        <v>155</v>
      </c>
      <c r="F43">
        <v>2</v>
      </c>
    </row>
    <row r="44" spans="1:7" x14ac:dyDescent="0.3">
      <c r="A44" s="48" t="s">
        <v>153</v>
      </c>
      <c r="B44" s="49"/>
      <c r="C44" s="50">
        <v>-10310</v>
      </c>
      <c r="D44" t="s">
        <v>155</v>
      </c>
      <c r="F44">
        <v>2</v>
      </c>
    </row>
    <row r="45" spans="1:7" x14ac:dyDescent="0.3">
      <c r="A45" s="51" t="s">
        <v>141</v>
      </c>
      <c r="B45" s="52">
        <v>-133430</v>
      </c>
      <c r="C45" s="52">
        <v>-111352</v>
      </c>
      <c r="D45" t="s">
        <v>155</v>
      </c>
      <c r="F45">
        <f>SUM(F8:F44)</f>
        <v>24</v>
      </c>
    </row>
    <row r="47" spans="1:7" x14ac:dyDescent="0.3">
      <c r="D47" t="s">
        <v>154</v>
      </c>
      <c r="E47">
        <f>SUM(E8:E46)</f>
        <v>24</v>
      </c>
      <c r="G47" t="s">
        <v>156</v>
      </c>
    </row>
  </sheetData>
  <mergeCells count="2">
    <mergeCell ref="B5:C5"/>
    <mergeCell ref="B27:C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Sheet1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I.antonov</dc:creator>
  <cp:lastModifiedBy>I.antonov</cp:lastModifiedBy>
  <dcterms:created xsi:type="dcterms:W3CDTF">2015-06-05T18:17:20Z</dcterms:created>
  <dcterms:modified xsi:type="dcterms:W3CDTF">2025-12-11T08:28:14Z</dcterms:modified>
</cp:coreProperties>
</file>
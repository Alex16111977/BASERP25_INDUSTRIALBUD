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Октябрь_25\"/>
    </mc:Choice>
  </mc:AlternateContent>
  <xr:revisionPtr revIDLastSave="0" documentId="13_ncr:1_{9D23E67F-C04A-4A2D-9DBF-0A5493763581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26" i="1" s="1"/>
  <c r="F17" i="1"/>
  <c r="F18" i="1"/>
  <c r="F19" i="1"/>
  <c r="F20" i="1"/>
  <c r="F21" i="1"/>
  <c r="F22" i="1"/>
  <c r="F23" i="1"/>
  <c r="F24" i="1"/>
  <c r="F25" i="1"/>
  <c r="F5" i="1"/>
  <c r="D37" i="1"/>
  <c r="E37" i="1" s="1"/>
  <c r="D36" i="1"/>
  <c r="C36" i="1"/>
  <c r="E36" i="1" s="1"/>
  <c r="D35" i="1"/>
  <c r="E35" i="1" s="1"/>
  <c r="D26" i="1" l="1"/>
  <c r="E26" i="1"/>
  <c r="D38" i="1" l="1"/>
  <c r="E38" i="1" l="1"/>
  <c r="C38" i="1"/>
</calcChain>
</file>

<file path=xl/sharedStrings.xml><?xml version="1.0" encoding="utf-8"?>
<sst xmlns="http://schemas.openxmlformats.org/spreadsheetml/2006/main" count="55" uniqueCount="38">
  <si>
    <t>Зарплата ИТР</t>
  </si>
  <si>
    <t>Грушко Лариса Вікторівна</t>
  </si>
  <si>
    <t>Пономаренко Віталій Вікторович</t>
  </si>
  <si>
    <t>Скрипник Сергій Павлович</t>
  </si>
  <si>
    <t>Зарплата кладовщика</t>
  </si>
  <si>
    <t>Бойчук Ірина Валеріївна</t>
  </si>
  <si>
    <t>Зарплата производственного персонала</t>
  </si>
  <si>
    <t>Васильєв Віталій Юрійович</t>
  </si>
  <si>
    <t>Пономаренко Світлана Юріївна</t>
  </si>
  <si>
    <t>Серебренніков Володимир Олександрович</t>
  </si>
  <si>
    <t>Зарплата управленческого персонала</t>
  </si>
  <si>
    <t>Антонов Ігор Сергійович</t>
  </si>
  <si>
    <t xml:space="preserve">Баєва Олена Миколаївна </t>
  </si>
  <si>
    <t>Бреус Віталій Григорович</t>
  </si>
  <si>
    <t>Бутенко Матвій Анатолійович</t>
  </si>
  <si>
    <t xml:space="preserve">Воронцова Ольга Марківна </t>
  </si>
  <si>
    <t>Парнєва Олена Вікторівна</t>
  </si>
  <si>
    <t>Пономаренко Олександр Вікторович</t>
  </si>
  <si>
    <t>Стецюк Тетяна Леонідівна</t>
  </si>
  <si>
    <t xml:space="preserve">Трепядько Інна Олексіївна </t>
  </si>
  <si>
    <t>Чуб Владислав Володимирович</t>
  </si>
  <si>
    <t xml:space="preserve">Шишкіна Людмила Григорівна </t>
  </si>
  <si>
    <t>ф1, 1-31,10</t>
  </si>
  <si>
    <t>Губань Сергій Петрович</t>
  </si>
  <si>
    <t>Григоренко Ілля Олександрович</t>
  </si>
  <si>
    <t>Ісайкіна Тетяна Іванівна</t>
  </si>
  <si>
    <t xml:space="preserve">ЗП производственного персонала </t>
  </si>
  <si>
    <t>Статья</t>
  </si>
  <si>
    <r>
      <t xml:space="preserve">Сумма по Ф1, грн </t>
    </r>
    <r>
      <rPr>
        <b/>
        <i/>
        <sz val="10"/>
        <color indexed="18"/>
        <rFont val="Times New Roman"/>
        <family val="1"/>
        <charset val="204"/>
      </rPr>
      <t xml:space="preserve"> </t>
    </r>
  </si>
  <si>
    <t xml:space="preserve">Сумма по Ф2, грн </t>
  </si>
  <si>
    <t>Сумма итого, грн</t>
  </si>
  <si>
    <t xml:space="preserve">Зарплата ИТР </t>
  </si>
  <si>
    <t>ЗП управленческого персонала</t>
  </si>
  <si>
    <t>жовтень</t>
  </si>
  <si>
    <t>ф2, 13,10-14,11</t>
  </si>
  <si>
    <t>всього</t>
  </si>
  <si>
    <t>є у постійних витратах</t>
  </si>
  <si>
    <t>перенесено на ООН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</si>
</sst>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63"/>
      <name val="Arial"/>
      <family val="2"/>
    </font>
    <font>
      <sz val="10"/>
      <name val="Tahoma"/>
      <family val="2"/>
      <charset val="204"/>
    </font>
    <font>
      <sz val="11"/>
      <name val="Times New Roman"/>
      <family val="1"/>
      <charset val="204"/>
    </font>
    <font>
      <sz val="11"/>
      <color indexed="18"/>
      <name val="Times New Roman"/>
      <family val="1"/>
      <charset val="204"/>
    </font>
    <font>
      <b/>
      <sz val="10"/>
      <color indexed="18"/>
      <name val="Times New Roman"/>
      <family val="1"/>
      <charset val="204"/>
    </font>
    <font>
      <b/>
      <i/>
      <sz val="10"/>
      <color indexed="18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4">
    <xf numFmtId="0" fontId="0" fillId="0" borderId="0" xfId="0"/>
    <xf numFmtId="0" fontId="2" fillId="0" borderId="1" xfId="1" applyNumberFormat="1" applyFont="1" applyBorder="1" applyAlignment="1">
      <alignment vertical="top" wrapText="1" indent="4"/>
    </xf>
    <xf numFmtId="4" fontId="2" fillId="0" borderId="1" xfId="1" applyNumberFormat="1" applyFont="1" applyBorder="1" applyAlignment="1">
      <alignment horizontal="right" vertical="top"/>
    </xf>
    <xf numFmtId="0" fontId="2" fillId="0" borderId="1" xfId="1" applyNumberFormat="1" applyFont="1" applyBorder="1" applyAlignment="1">
      <alignment horizontal="right" vertical="top"/>
    </xf>
    <xf numFmtId="2" fontId="2" fillId="0" borderId="1" xfId="1" applyNumberFormat="1" applyFont="1" applyBorder="1" applyAlignment="1">
      <alignment horizontal="right" vertical="top"/>
    </xf>
    <xf numFmtId="0" fontId="2" fillId="2" borderId="1" xfId="1" applyNumberFormat="1" applyFont="1" applyFill="1" applyBorder="1" applyAlignment="1">
      <alignment vertical="top" wrapText="1" indent="4"/>
    </xf>
    <xf numFmtId="0" fontId="4" fillId="0" borderId="2" xfId="2" applyFont="1" applyBorder="1" applyAlignment="1">
      <alignment vertical="center"/>
    </xf>
    <xf numFmtId="4" fontId="5" fillId="0" borderId="3" xfId="2" applyNumberFormat="1" applyFont="1" applyBorder="1" applyAlignment="1">
      <alignment horizontal="center" vertical="center"/>
    </xf>
    <xf numFmtId="3" fontId="5" fillId="0" borderId="3" xfId="2" applyNumberFormat="1" applyFont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4" fillId="0" borderId="7" xfId="2" applyFont="1" applyBorder="1" applyAlignment="1">
      <alignment horizontal="left" vertical="center"/>
    </xf>
    <xf numFmtId="3" fontId="0" fillId="0" borderId="0" xfId="0" applyNumberFormat="1"/>
    <xf numFmtId="0" fontId="2" fillId="0" borderId="1" xfId="1" applyNumberFormat="1" applyFont="1" applyBorder="1" applyAlignment="1">
      <alignment vertical="top"/>
    </xf>
    <xf numFmtId="4" fontId="0" fillId="0" borderId="0" xfId="0" applyNumberFormat="1"/>
    <xf numFmtId="0" fontId="2" fillId="4" borderId="1" xfId="1" applyNumberFormat="1" applyFont="1" applyFill="1" applyBorder="1" applyAlignment="1">
      <alignment vertical="top"/>
    </xf>
    <xf numFmtId="0" fontId="0" fillId="4" borderId="0" xfId="0" applyFill="1"/>
    <xf numFmtId="0" fontId="2" fillId="5" borderId="1" xfId="1" applyNumberFormat="1" applyFont="1" applyFill="1" applyBorder="1" applyAlignment="1">
      <alignment vertical="top"/>
    </xf>
    <xf numFmtId="0" fontId="2" fillId="5" borderId="1" xfId="1" applyNumberFormat="1" applyFont="1" applyFill="1" applyBorder="1" applyAlignment="1">
      <alignment vertical="top" wrapText="1" indent="4"/>
    </xf>
    <xf numFmtId="4" fontId="2" fillId="5" borderId="1" xfId="1" applyNumberFormat="1" applyFont="1" applyFill="1" applyBorder="1" applyAlignment="1">
      <alignment horizontal="right" vertical="top"/>
    </xf>
    <xf numFmtId="3" fontId="0" fillId="5" borderId="0" xfId="0" applyNumberFormat="1" applyFill="1"/>
    <xf numFmtId="0" fontId="0" fillId="5" borderId="0" xfId="0" applyFill="1"/>
    <xf numFmtId="0" fontId="0" fillId="0" borderId="8" xfId="0" applyBorder="1" applyAlignment="1">
      <alignment horizontal="center"/>
    </xf>
  </cellXfs>
  <cellStyles count="3">
    <cellStyle name="Обычный" xfId="0" builtinId="0"/>
    <cellStyle name="Обычный 2" xfId="2" xr:uid="{A89062F4-3DC2-4CF7-BB09-FD70DD9B66EB}"/>
    <cellStyle name="Обычный_Sheet1" xfId="1" xr:uid="{381AFBBF-DBCA-49FE-809F-5EB0DD3B5F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38"/>
  <sheetViews>
    <sheetView tabSelected="1" workbookViewId="0">
      <selection activeCell="D16" sqref="D16"/>
    </sheetView>
  </sheetViews>
  <sheetFormatPr defaultRowHeight="14.4" x14ac:dyDescent="0.3"/>
  <cols>
    <col min="1" max="1" width="17.33203125" customWidth="1"/>
    <col min="2" max="2" width="46.33203125" customWidth="1"/>
    <col min="3" max="3" width="11.77734375" customWidth="1"/>
    <col min="4" max="4" width="10.44140625" customWidth="1"/>
    <col min="5" max="5" width="9.88671875" customWidth="1"/>
    <col min="6" max="6" width="10.109375" customWidth="1"/>
  </cols>
  <sheetData>
    <row r="3" spans="1:7" x14ac:dyDescent="0.3">
      <c r="A3" s="17" t="s">
        <v>36</v>
      </c>
    </row>
    <row r="4" spans="1:7" x14ac:dyDescent="0.3">
      <c r="D4" t="s">
        <v>22</v>
      </c>
      <c r="E4" t="s">
        <v>34</v>
      </c>
      <c r="F4" t="s">
        <v>35</v>
      </c>
    </row>
    <row r="5" spans="1:7" x14ac:dyDescent="0.3">
      <c r="A5" s="16" t="s">
        <v>0</v>
      </c>
      <c r="B5" s="1" t="s">
        <v>1</v>
      </c>
      <c r="C5" s="2"/>
      <c r="D5" s="2">
        <v>9394</v>
      </c>
      <c r="E5" s="2">
        <v>23400</v>
      </c>
      <c r="F5" s="13">
        <f>SUM(D5:E5)</f>
        <v>32794</v>
      </c>
    </row>
    <row r="6" spans="1:7" x14ac:dyDescent="0.3">
      <c r="A6" s="14" t="s">
        <v>0</v>
      </c>
      <c r="B6" s="5" t="s">
        <v>23</v>
      </c>
      <c r="C6" s="2"/>
      <c r="D6" s="2"/>
      <c r="E6" s="2">
        <v>72500</v>
      </c>
      <c r="F6" s="13">
        <f t="shared" ref="F6:F25" si="0">SUM(D6:E6)</f>
        <v>72500</v>
      </c>
    </row>
    <row r="7" spans="1:7" x14ac:dyDescent="0.3">
      <c r="A7" s="16" t="s">
        <v>0</v>
      </c>
      <c r="B7" s="1" t="s">
        <v>2</v>
      </c>
      <c r="C7" s="2"/>
      <c r="D7" s="2">
        <v>18356.97</v>
      </c>
      <c r="E7" s="2">
        <v>29600</v>
      </c>
      <c r="F7" s="13">
        <f t="shared" si="0"/>
        <v>47956.97</v>
      </c>
    </row>
    <row r="8" spans="1:7" x14ac:dyDescent="0.3">
      <c r="A8" s="16" t="s">
        <v>0</v>
      </c>
      <c r="B8" s="1" t="s">
        <v>3</v>
      </c>
      <c r="C8" s="2"/>
      <c r="D8" s="2">
        <v>17201.97</v>
      </c>
      <c r="E8" s="2">
        <v>32800</v>
      </c>
      <c r="F8" s="13">
        <f t="shared" si="0"/>
        <v>50001.97</v>
      </c>
    </row>
    <row r="9" spans="1:7" x14ac:dyDescent="0.3">
      <c r="A9" s="16" t="s">
        <v>4</v>
      </c>
      <c r="B9" s="1" t="s">
        <v>5</v>
      </c>
      <c r="C9" s="2"/>
      <c r="D9" s="2">
        <v>8470</v>
      </c>
      <c r="E9" s="2">
        <v>16600</v>
      </c>
      <c r="F9" s="13">
        <f t="shared" si="0"/>
        <v>25070</v>
      </c>
    </row>
    <row r="10" spans="1:7" x14ac:dyDescent="0.3">
      <c r="A10" s="14" t="s">
        <v>6</v>
      </c>
      <c r="B10" s="1" t="s">
        <v>7</v>
      </c>
      <c r="C10" s="2"/>
      <c r="D10" s="2">
        <v>7854</v>
      </c>
      <c r="E10" s="2">
        <v>33000</v>
      </c>
      <c r="F10" s="13">
        <f t="shared" si="0"/>
        <v>40854</v>
      </c>
    </row>
    <row r="11" spans="1:7" x14ac:dyDescent="0.3">
      <c r="A11" s="18" t="s">
        <v>6</v>
      </c>
      <c r="B11" s="19" t="s">
        <v>24</v>
      </c>
      <c r="C11" s="20"/>
      <c r="D11" s="20"/>
      <c r="E11" s="20">
        <v>9600</v>
      </c>
      <c r="F11" s="21">
        <f t="shared" si="0"/>
        <v>9600</v>
      </c>
      <c r="G11" s="22" t="s">
        <v>37</v>
      </c>
    </row>
    <row r="12" spans="1:7" x14ac:dyDescent="0.3">
      <c r="A12" s="14" t="s">
        <v>6</v>
      </c>
      <c r="B12" s="5" t="s">
        <v>25</v>
      </c>
      <c r="C12" s="2"/>
      <c r="D12" s="2"/>
      <c r="E12" s="2">
        <v>38100</v>
      </c>
      <c r="F12" s="13">
        <f t="shared" si="0"/>
        <v>38100</v>
      </c>
    </row>
    <row r="13" spans="1:7" x14ac:dyDescent="0.3">
      <c r="A13" s="14" t="s">
        <v>6</v>
      </c>
      <c r="B13" s="1" t="s">
        <v>8</v>
      </c>
      <c r="C13" s="2"/>
      <c r="D13" s="2">
        <v>7854</v>
      </c>
      <c r="E13" s="2">
        <v>26800</v>
      </c>
      <c r="F13" s="13">
        <f t="shared" si="0"/>
        <v>34654</v>
      </c>
    </row>
    <row r="14" spans="1:7" x14ac:dyDescent="0.3">
      <c r="A14" s="14" t="s">
        <v>6</v>
      </c>
      <c r="B14" s="1" t="s">
        <v>9</v>
      </c>
      <c r="C14" s="3"/>
      <c r="D14" s="3"/>
      <c r="F14" s="13">
        <f t="shared" si="0"/>
        <v>0</v>
      </c>
    </row>
    <row r="15" spans="1:7" x14ac:dyDescent="0.3">
      <c r="A15" s="16" t="s">
        <v>10</v>
      </c>
      <c r="B15" s="1" t="s">
        <v>11</v>
      </c>
      <c r="C15" s="2"/>
      <c r="D15" s="2">
        <v>9894.82</v>
      </c>
      <c r="E15" s="2">
        <v>33600</v>
      </c>
      <c r="F15" s="13">
        <f t="shared" si="0"/>
        <v>43494.82</v>
      </c>
    </row>
    <row r="16" spans="1:7" x14ac:dyDescent="0.3">
      <c r="A16" s="16" t="s">
        <v>10</v>
      </c>
      <c r="B16" s="1" t="s">
        <v>12</v>
      </c>
      <c r="C16" s="2"/>
      <c r="D16" s="20">
        <v>8470</v>
      </c>
      <c r="E16" s="2">
        <v>14050</v>
      </c>
      <c r="F16" s="13">
        <f t="shared" si="0"/>
        <v>22520</v>
      </c>
    </row>
    <row r="17" spans="1:6" x14ac:dyDescent="0.3">
      <c r="A17" s="16" t="s">
        <v>10</v>
      </c>
      <c r="B17" s="1" t="s">
        <v>13</v>
      </c>
      <c r="C17" s="2"/>
      <c r="D17" s="2">
        <v>16940</v>
      </c>
      <c r="E17" s="2">
        <v>23100</v>
      </c>
      <c r="F17" s="13">
        <f t="shared" si="0"/>
        <v>40040</v>
      </c>
    </row>
    <row r="18" spans="1:6" x14ac:dyDescent="0.3">
      <c r="A18" s="16" t="s">
        <v>10</v>
      </c>
      <c r="B18" s="1" t="s">
        <v>14</v>
      </c>
      <c r="C18" s="2"/>
      <c r="D18" s="2">
        <v>25212.19</v>
      </c>
      <c r="E18" s="2">
        <v>9800</v>
      </c>
      <c r="F18" s="13">
        <f t="shared" si="0"/>
        <v>35012.19</v>
      </c>
    </row>
    <row r="19" spans="1:6" x14ac:dyDescent="0.3">
      <c r="A19" s="16" t="s">
        <v>10</v>
      </c>
      <c r="B19" s="1" t="s">
        <v>15</v>
      </c>
      <c r="C19" s="2"/>
      <c r="D19" s="2">
        <v>1674.75</v>
      </c>
      <c r="F19" s="13">
        <f t="shared" si="0"/>
        <v>1674.75</v>
      </c>
    </row>
    <row r="20" spans="1:6" x14ac:dyDescent="0.3">
      <c r="A20" s="16" t="s">
        <v>10</v>
      </c>
      <c r="B20" s="1" t="s">
        <v>16</v>
      </c>
      <c r="C20" s="2"/>
      <c r="D20" s="2">
        <v>1674.75</v>
      </c>
      <c r="F20" s="13">
        <f t="shared" si="0"/>
        <v>1674.75</v>
      </c>
    </row>
    <row r="21" spans="1:6" x14ac:dyDescent="0.3">
      <c r="A21" s="16" t="s">
        <v>10</v>
      </c>
      <c r="B21" s="1" t="s">
        <v>17</v>
      </c>
      <c r="C21" s="2"/>
      <c r="D21" s="2">
        <v>17971.97</v>
      </c>
      <c r="E21" s="2">
        <v>32000</v>
      </c>
      <c r="F21" s="13">
        <f t="shared" si="0"/>
        <v>49971.97</v>
      </c>
    </row>
    <row r="22" spans="1:6" x14ac:dyDescent="0.3">
      <c r="A22" s="16" t="s">
        <v>10</v>
      </c>
      <c r="B22" s="1" t="s">
        <v>18</v>
      </c>
      <c r="C22" s="2"/>
      <c r="D22" s="2">
        <v>10549</v>
      </c>
      <c r="E22" s="2">
        <v>19400</v>
      </c>
      <c r="F22" s="13">
        <f t="shared" si="0"/>
        <v>29949</v>
      </c>
    </row>
    <row r="23" spans="1:6" x14ac:dyDescent="0.3">
      <c r="A23" s="14" t="s">
        <v>10</v>
      </c>
      <c r="B23" s="1" t="s">
        <v>19</v>
      </c>
      <c r="C23" s="2"/>
      <c r="D23" s="2">
        <v>16940</v>
      </c>
      <c r="E23" s="2"/>
      <c r="F23" s="13">
        <f t="shared" si="0"/>
        <v>16940</v>
      </c>
    </row>
    <row r="24" spans="1:6" x14ac:dyDescent="0.3">
      <c r="A24" s="16" t="s">
        <v>10</v>
      </c>
      <c r="B24" s="1" t="s">
        <v>20</v>
      </c>
      <c r="C24" s="2"/>
      <c r="D24" s="2">
        <v>1674.75</v>
      </c>
      <c r="F24" s="13">
        <f t="shared" si="0"/>
        <v>1674.75</v>
      </c>
    </row>
    <row r="25" spans="1:6" x14ac:dyDescent="0.3">
      <c r="A25" s="16" t="s">
        <v>10</v>
      </c>
      <c r="B25" s="1" t="s">
        <v>21</v>
      </c>
      <c r="C25" s="2"/>
      <c r="D25" s="2">
        <v>5531.88</v>
      </c>
      <c r="E25" s="2">
        <v>12950</v>
      </c>
      <c r="F25" s="13">
        <f t="shared" si="0"/>
        <v>18481.88</v>
      </c>
    </row>
    <row r="26" spans="1:6" x14ac:dyDescent="0.3">
      <c r="C26" s="15"/>
      <c r="D26" s="15">
        <f t="shared" ref="D26" si="1">SUM(D5:D25)</f>
        <v>185665.05000000002</v>
      </c>
      <c r="E26" s="15">
        <f>SUM(E5:E25)</f>
        <v>427300</v>
      </c>
      <c r="F26" s="13">
        <f>SUM(F5:F25)</f>
        <v>612965.05000000005</v>
      </c>
    </row>
    <row r="27" spans="1:6" x14ac:dyDescent="0.3">
      <c r="D27" s="2"/>
    </row>
    <row r="28" spans="1:6" x14ac:dyDescent="0.3">
      <c r="D28" s="2"/>
    </row>
    <row r="29" spans="1:6" x14ac:dyDescent="0.3">
      <c r="D29" s="2"/>
    </row>
    <row r="30" spans="1:6" x14ac:dyDescent="0.3">
      <c r="D30" s="4"/>
    </row>
    <row r="31" spans="1:6" x14ac:dyDescent="0.3">
      <c r="D31" s="4"/>
    </row>
    <row r="32" spans="1:6" x14ac:dyDescent="0.3">
      <c r="D32" s="2"/>
    </row>
    <row r="33" spans="2:5" ht="15" thickBot="1" x14ac:dyDescent="0.35">
      <c r="B33" s="23" t="s">
        <v>33</v>
      </c>
      <c r="C33" s="23"/>
      <c r="D33" s="23"/>
      <c r="E33" s="23"/>
    </row>
    <row r="34" spans="2:5" ht="27" thickBot="1" x14ac:dyDescent="0.35">
      <c r="B34" s="9" t="s">
        <v>27</v>
      </c>
      <c r="C34" s="10" t="s">
        <v>28</v>
      </c>
      <c r="D34" s="10" t="s">
        <v>29</v>
      </c>
      <c r="E34" s="11" t="s">
        <v>30</v>
      </c>
    </row>
    <row r="35" spans="2:5" x14ac:dyDescent="0.3">
      <c r="B35" s="6" t="s">
        <v>26</v>
      </c>
      <c r="C35" s="7">
        <v>15708</v>
      </c>
      <c r="D35" s="7">
        <f>60500+47000</f>
        <v>107500</v>
      </c>
      <c r="E35" s="8">
        <f t="shared" ref="E35:E37" si="2">C35+D35</f>
        <v>123208</v>
      </c>
    </row>
    <row r="36" spans="2:5" x14ac:dyDescent="0.3">
      <c r="B36" s="6" t="s">
        <v>31</v>
      </c>
      <c r="C36" s="7">
        <f>44952.94+8470</f>
        <v>53422.94</v>
      </c>
      <c r="D36" s="7">
        <f>32800+72500+29600+23400+16600</f>
        <v>174900</v>
      </c>
      <c r="E36" s="8">
        <f t="shared" si="2"/>
        <v>228322.94</v>
      </c>
    </row>
    <row r="37" spans="2:5" x14ac:dyDescent="0.3">
      <c r="B37" s="12" t="s">
        <v>32</v>
      </c>
      <c r="C37" s="8">
        <v>125004.11</v>
      </c>
      <c r="D37" s="8">
        <f>60600+84300</f>
        <v>144900</v>
      </c>
      <c r="E37" s="8">
        <f t="shared" si="2"/>
        <v>269904.11</v>
      </c>
    </row>
    <row r="38" spans="2:5" x14ac:dyDescent="0.3">
      <c r="C38" s="13">
        <f t="shared" ref="C38:D38" si="3">SUM(C35:C37)</f>
        <v>194135.05</v>
      </c>
      <c r="D38" s="13">
        <f t="shared" si="3"/>
        <v>427300</v>
      </c>
      <c r="E38" s="13">
        <f>SUM(E35:E37)</f>
        <v>621435.05000000005</v>
      </c>
    </row>
  </sheetData>
  <mergeCells count="1">
    <mergeCell ref="B33:E3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I.antonov</dc:creator>
  <cp:lastModifiedBy>I.antonov</cp:lastModifiedBy>
  <dcterms:created xsi:type="dcterms:W3CDTF">2015-06-05T18:17:20Z</dcterms:created>
  <dcterms:modified xsi:type="dcterms:W3CDTF">2025-11-18T11:15:02Z</dcterms:modified>
</cp:coreProperties>
</file>
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.shyshkina\Desktop\Логістика\"/>
    </mc:Choice>
  </mc:AlternateContent>
  <xr:revisionPtr revIDLastSave="0" documentId="13_ncr:1_{18CE84A2-A680-4F9B-83CF-43897FDD442A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Обєкти" sheetId="10" r:id="rId1"/>
    <sheet name="10.2025 МАНИ" sheetId="1" r:id="rId2"/>
    <sheet name="Автосвіт" sheetId="2" r:id="rId3"/>
    <sheet name="Нікса" sheetId="6" r:id="rId4"/>
    <sheet name="Приватний Двір" sheetId="5" r:id="rId5"/>
    <sheet name="Ендор Логістик " sheetId="3" r:id="rId6"/>
    <sheet name="Корусанд" sheetId="9" r:id="rId7"/>
    <sheet name="АЙРІС ВОРДВАЙЛ" sheetId="8" r:id="rId8"/>
    <sheet name="ФЛУКОРДІ" sheetId="4" r:id="rId9"/>
    <sheet name="ПРЕМІУМ ТРАНС" sheetId="11" r:id="rId10"/>
    <sheet name="Компанія Агротранс" sheetId="14" r:id="rId11"/>
    <sheet name="Автоленд" sheetId="15" r:id="rId12"/>
    <sheet name="Лист2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" i="5" l="1"/>
  <c r="F37" i="2"/>
  <c r="E37" i="2"/>
  <c r="K64" i="10"/>
  <c r="L64" i="10"/>
  <c r="M64" i="10"/>
  <c r="N64" i="10"/>
  <c r="O64" i="10"/>
  <c r="P64" i="10"/>
  <c r="Q64" i="10"/>
  <c r="R64" i="10"/>
  <c r="S64" i="10"/>
  <c r="J64" i="10"/>
  <c r="E20" i="1" l="1"/>
  <c r="G16" i="5" l="1"/>
  <c r="G37" i="2"/>
  <c r="I37" i="2" s="1"/>
  <c r="T64" i="10" l="1"/>
  <c r="M66" i="10" l="1"/>
  <c r="F10" i="15" l="1"/>
  <c r="E10" i="15"/>
  <c r="L66" i="10"/>
  <c r="K66" i="10"/>
  <c r="E7" i="3" l="1"/>
  <c r="E68" i="10" l="1"/>
  <c r="I16" i="5"/>
  <c r="F11" i="14" l="1"/>
  <c r="E11" i="14"/>
  <c r="F11" i="11" l="1"/>
  <c r="E11" i="11"/>
  <c r="F16" i="5" l="1"/>
  <c r="E7" i="4"/>
  <c r="I65" i="10" l="1"/>
  <c r="U65" i="10"/>
  <c r="Q66" i="10" l="1"/>
  <c r="F7" i="3" l="1"/>
  <c r="F68" i="10" l="1"/>
  <c r="F69" i="10" l="1"/>
  <c r="N66" i="10" l="1"/>
  <c r="O66" i="10"/>
  <c r="R66" i="10"/>
  <c r="S66" i="10"/>
  <c r="T66" i="10"/>
  <c r="J66" i="10" l="1"/>
  <c r="P66" i="10" l="1"/>
  <c r="U66" i="10" s="1"/>
  <c r="U64" i="10"/>
  <c r="F70" i="10" l="1"/>
  <c r="E11" i="9" l="1"/>
  <c r="E11" i="6"/>
  <c r="E21" i="1" s="1"/>
  <c r="F12" i="8" l="1"/>
  <c r="E12" i="8"/>
  <c r="F11" i="6"/>
  <c r="F11" i="9" l="1"/>
  <c r="F7" i="4" l="1"/>
  <c r="E23" i="1" s="1"/>
  <c r="E26" i="1" s="1"/>
</calcChain>
</file>

<file path=xl/sharedStrings.xml><?xml version="1.0" encoding="utf-8"?>
<sst xmlns="http://schemas.openxmlformats.org/spreadsheetml/2006/main" count="543" uniqueCount="136">
  <si>
    <t>АКТ</t>
  </si>
  <si>
    <t>ДАТА</t>
  </si>
  <si>
    <t>акт</t>
  </si>
  <si>
    <t>РАХ</t>
  </si>
  <si>
    <t>МАНИ</t>
  </si>
  <si>
    <t xml:space="preserve"> Експедиція</t>
  </si>
  <si>
    <t>Індаст</t>
  </si>
  <si>
    <t>дата</t>
  </si>
  <si>
    <t>ВООЗ</t>
  </si>
  <si>
    <t>Глобине</t>
  </si>
  <si>
    <t>ООН</t>
  </si>
  <si>
    <t xml:space="preserve">Стіл </t>
  </si>
  <si>
    <t>ТТН</t>
  </si>
  <si>
    <t>Об'єднання</t>
  </si>
  <si>
    <t>КУХНЯ КЕРНЕЛ</t>
  </si>
  <si>
    <t xml:space="preserve">ОПЛАТА </t>
  </si>
  <si>
    <t>оплачено</t>
  </si>
  <si>
    <t>ттн</t>
  </si>
  <si>
    <t>рах</t>
  </si>
  <si>
    <t xml:space="preserve">Акт </t>
  </si>
  <si>
    <t>ДАТА ОТР</t>
  </si>
  <si>
    <t>ОТР</t>
  </si>
  <si>
    <t>IRS</t>
  </si>
  <si>
    <t>Біла Церква</t>
  </si>
  <si>
    <t>Франківськ</t>
  </si>
  <si>
    <t>ТИЩЕНКИ</t>
  </si>
  <si>
    <t>ТОВ "Приватний Двір"</t>
  </si>
  <si>
    <t>будматеріали та кутики ООН</t>
  </si>
  <si>
    <t>Біла Церква - Варва</t>
  </si>
  <si>
    <t>інвентар Кухня Кернел</t>
  </si>
  <si>
    <t xml:space="preserve">ТОВ "АВТОСВІФТ" </t>
  </si>
  <si>
    <t>Біла Церква - Запоріжжя</t>
  </si>
  <si>
    <t>ООН МАН 5 Голуб</t>
  </si>
  <si>
    <t>модуль</t>
  </si>
  <si>
    <t>даск центр</t>
  </si>
  <si>
    <t>ООН МАН 4 Томченко</t>
  </si>
  <si>
    <t>Путрівка</t>
  </si>
  <si>
    <t>проведено</t>
  </si>
  <si>
    <t xml:space="preserve">проведено </t>
  </si>
  <si>
    <t>непров</t>
  </si>
  <si>
    <t>пров</t>
  </si>
  <si>
    <t>01.10 - 01.10</t>
  </si>
  <si>
    <t>02.10 - 02.10</t>
  </si>
  <si>
    <t>кутики ООН</t>
  </si>
  <si>
    <t>01.10 - 02.10</t>
  </si>
  <si>
    <t>ТОВ "Ендор Логістик"</t>
  </si>
  <si>
    <t>Біла Церква - Путрівка</t>
  </si>
  <si>
    <t>труби</t>
  </si>
  <si>
    <t>06.10 - 06.10</t>
  </si>
  <si>
    <t>будматеріали ООН</t>
  </si>
  <si>
    <t>путрівка</t>
  </si>
  <si>
    <t>Біла Церква - Глобине</t>
  </si>
  <si>
    <t>МК</t>
  </si>
  <si>
    <t>03.10 - 04.10</t>
  </si>
  <si>
    <t>Київ - Біла Церква</t>
  </si>
  <si>
    <t>лист н/ж ООН</t>
  </si>
  <si>
    <t>03.10 - 03.10</t>
  </si>
  <si>
    <t>Біла Церква - Будище</t>
  </si>
  <si>
    <t>Лазня МХП негабарит</t>
  </si>
  <si>
    <t>07.10 - 07.10</t>
  </si>
  <si>
    <t>06.10 - 07.10</t>
  </si>
  <si>
    <t>будматеріали ООН / Цеху (ремонт інструменту)  3000 + 1000</t>
  </si>
  <si>
    <t>деревина ООН</t>
  </si>
  <si>
    <t>08.10 - 08.10</t>
  </si>
  <si>
    <t>ТОВ "Компанія Агротранс і К"</t>
  </si>
  <si>
    <t>інвентар ООН</t>
  </si>
  <si>
    <t>08.10 - 09.10</t>
  </si>
  <si>
    <t>09.10 - 09.10</t>
  </si>
  <si>
    <t>10.10 - 10.10</t>
  </si>
  <si>
    <t>12.10 - 14.10</t>
  </si>
  <si>
    <t>МАН 5 Голуб Глобино</t>
  </si>
  <si>
    <t>Белая Церковь - Глобино</t>
  </si>
  <si>
    <t>12.10 - 13.10</t>
  </si>
  <si>
    <t>13.10 - 13.10</t>
  </si>
  <si>
    <t>Київ - Варва</t>
  </si>
  <si>
    <t>сантехніка</t>
  </si>
  <si>
    <t>15.10 - 16.10</t>
  </si>
  <si>
    <t>15.10 - 15.10</t>
  </si>
  <si>
    <t>ТДВ "ОДЕБП"</t>
  </si>
  <si>
    <t>Власівка - Біла Церква МАН 5 Голуб</t>
  </si>
  <si>
    <t>14.10 - 15.10</t>
  </si>
  <si>
    <t>ЗБК</t>
  </si>
  <si>
    <t>14.10 - 14.10</t>
  </si>
  <si>
    <t>будматеріали ООН БУД МАГ</t>
  </si>
  <si>
    <t>16.10 - 16.10</t>
  </si>
  <si>
    <t>16.10 - 17.10</t>
  </si>
  <si>
    <t>Глобине МАН 5 Голуб</t>
  </si>
  <si>
    <t>19.10 - 20.10</t>
  </si>
  <si>
    <t>ТОВ "Автоленд-Кремінь"</t>
  </si>
  <si>
    <t>Глобине - Кременчук</t>
  </si>
  <si>
    <t>Автокран Клинці</t>
  </si>
  <si>
    <t>20.10 - 20.10</t>
  </si>
  <si>
    <t>Спецтехніка</t>
  </si>
  <si>
    <t>Власівка - Васильків МАН 5 Голуб</t>
  </si>
  <si>
    <t>20.09 - 21.09</t>
  </si>
  <si>
    <t>грунт та розчиник Альянс ЛКМ</t>
  </si>
  <si>
    <t>21.10 - 21.10</t>
  </si>
  <si>
    <t>Київ - Путрівка</t>
  </si>
  <si>
    <t>вібротрамбовка КМД</t>
  </si>
  <si>
    <t>23.10 - 23.10</t>
  </si>
  <si>
    <t>Генератор на ремонт СТІЛ</t>
  </si>
  <si>
    <t>будматеріали ООН БУДМАГ</t>
  </si>
  <si>
    <t>Фурси - Біла Церква</t>
  </si>
  <si>
    <t>матраци ООН</t>
  </si>
  <si>
    <t>КМД Путрівка МАН 4 Томченко</t>
  </si>
  <si>
    <t>Глобине - Путрівка</t>
  </si>
  <si>
    <t>23.10 - 24.10</t>
  </si>
  <si>
    <t>бункер для подачи бетонної суміші</t>
  </si>
  <si>
    <t>Глобине МАН 4 Томченко</t>
  </si>
  <si>
    <t>22.10 - 23.10</t>
  </si>
  <si>
    <t>сантехніка ООН</t>
  </si>
  <si>
    <t>24.10 - 24.10</t>
  </si>
  <si>
    <t>стрела РДК</t>
  </si>
  <si>
    <t>26.10 - 27.10</t>
  </si>
  <si>
    <t>Обладнання ООН Епіцентр</t>
  </si>
  <si>
    <t>28.10 - 28.10</t>
  </si>
  <si>
    <t>Брус ООН Старвуд</t>
  </si>
  <si>
    <t>будматеріали ВООЗ БУДМАГ</t>
  </si>
  <si>
    <t>будматеріали Кухня Кернел БУДМАГ</t>
  </si>
  <si>
    <t>профлист ВООЗ Перша Покрівельна</t>
  </si>
  <si>
    <t>29.10 - 30.10</t>
  </si>
  <si>
    <t>будматеріали Кухня Кернел Будмаг</t>
  </si>
  <si>
    <t>29.10 - 29.10</t>
  </si>
  <si>
    <t>30.10 - 30.10</t>
  </si>
  <si>
    <t>Щасливе - Біла Церква</t>
  </si>
  <si>
    <t>лак ВООЗ Руф-Стар</t>
  </si>
  <si>
    <t>31.10 - 31.10</t>
  </si>
  <si>
    <t>ТОВ "Нікса ЛТД"</t>
  </si>
  <si>
    <t>Тищенки - Бровари</t>
  </si>
  <si>
    <t>опалубка</t>
  </si>
  <si>
    <t>30.10 - 31.10</t>
  </si>
  <si>
    <t>інвентар</t>
  </si>
  <si>
    <t>Кутики гнуття ООН</t>
  </si>
  <si>
    <t>Брус ООН СТАРВУД</t>
  </si>
  <si>
    <t>Будматеріали ВООЗ БУДМАГ</t>
  </si>
  <si>
    <t>16.10 - 18.10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</si>
</sst>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8"/>
      <color theme="1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sz val="11"/>
      <color rgb="FF1F1F1F"/>
      <name val="Calibri"/>
      <family val="2"/>
      <charset val="204"/>
    </font>
    <font>
      <sz val="12"/>
      <color rgb="FF000000"/>
      <name val="Calibri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vertical="center"/>
    </xf>
    <xf numFmtId="14" fontId="0" fillId="0" borderId="6" xfId="0" applyNumberFormat="1" applyBorder="1"/>
    <xf numFmtId="0" fontId="0" fillId="0" borderId="6" xfId="0" applyBorder="1"/>
    <xf numFmtId="0" fontId="1" fillId="4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right" vertical="center"/>
    </xf>
    <xf numFmtId="0" fontId="0" fillId="4" borderId="0" xfId="0" applyFill="1"/>
    <xf numFmtId="0" fontId="1" fillId="2" borderId="7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3" fontId="1" fillId="2" borderId="4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center" vertical="center" wrapText="1"/>
    </xf>
    <xf numFmtId="3" fontId="1" fillId="4" borderId="4" xfId="0" applyNumberFormat="1" applyFont="1" applyFill="1" applyBorder="1" applyAlignment="1">
      <alignment horizontal="right" vertical="center"/>
    </xf>
    <xf numFmtId="0" fontId="0" fillId="3" borderId="0" xfId="0" applyFill="1"/>
    <xf numFmtId="0" fontId="0" fillId="5" borderId="0" xfId="0" applyFill="1"/>
    <xf numFmtId="16" fontId="0" fillId="0" borderId="0" xfId="0" applyNumberFormat="1"/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right" vertical="center"/>
    </xf>
    <xf numFmtId="0" fontId="1" fillId="2" borderId="8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right" vertical="center"/>
    </xf>
    <xf numFmtId="0" fontId="1" fillId="4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0" fillId="0" borderId="0" xfId="0" applyBorder="1"/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right" vertical="center"/>
    </xf>
    <xf numFmtId="0" fontId="0" fillId="0" borderId="10" xfId="0" applyBorder="1"/>
    <xf numFmtId="14" fontId="0" fillId="6" borderId="6" xfId="0" applyNumberFormat="1" applyFill="1" applyBorder="1"/>
    <xf numFmtId="0" fontId="1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right" vertical="center"/>
    </xf>
    <xf numFmtId="3" fontId="1" fillId="6" borderId="6" xfId="0" applyNumberFormat="1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right" vertical="center"/>
    </xf>
    <xf numFmtId="0" fontId="0" fillId="6" borderId="6" xfId="0" applyFill="1" applyBorder="1"/>
    <xf numFmtId="0" fontId="2" fillId="2" borderId="0" xfId="0" applyFont="1" applyFill="1" applyBorder="1" applyAlignment="1">
      <alignment vertical="center"/>
    </xf>
    <xf numFmtId="3" fontId="1" fillId="4" borderId="0" xfId="0" applyNumberFormat="1" applyFont="1" applyFill="1" applyBorder="1" applyAlignment="1">
      <alignment horizontal="right" vertical="center"/>
    </xf>
    <xf numFmtId="0" fontId="0" fillId="4" borderId="6" xfId="0" applyFill="1" applyBorder="1"/>
    <xf numFmtId="49" fontId="0" fillId="0" borderId="6" xfId="0" applyNumberFormat="1" applyBorder="1"/>
    <xf numFmtId="3" fontId="0" fillId="3" borderId="0" xfId="0" applyNumberFormat="1" applyFill="1"/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vertical="center"/>
    </xf>
    <xf numFmtId="0" fontId="0" fillId="8" borderId="12" xfId="0" applyFill="1" applyBorder="1"/>
    <xf numFmtId="0" fontId="0" fillId="8" borderId="0" xfId="0" applyFill="1"/>
    <xf numFmtId="0" fontId="0" fillId="0" borderId="10" xfId="0" applyBorder="1" applyAlignment="1">
      <alignment wrapText="1"/>
    </xf>
    <xf numFmtId="0" fontId="0" fillId="5" borderId="10" xfId="0" applyFill="1" applyBorder="1"/>
    <xf numFmtId="0" fontId="1" fillId="4" borderId="0" xfId="0" applyFont="1" applyFill="1" applyBorder="1" applyAlignment="1">
      <alignment vertical="center"/>
    </xf>
    <xf numFmtId="0" fontId="0" fillId="9" borderId="0" xfId="0" applyFill="1" applyBorder="1"/>
    <xf numFmtId="16" fontId="0" fillId="0" borderId="6" xfId="0" applyNumberFormat="1" applyBorder="1"/>
    <xf numFmtId="0" fontId="0" fillId="5" borderId="6" xfId="0" applyFill="1" applyBorder="1"/>
    <xf numFmtId="0" fontId="0" fillId="8" borderId="6" xfId="0" applyFill="1" applyBorder="1"/>
    <xf numFmtId="0" fontId="1" fillId="5" borderId="13" xfId="0" applyFont="1" applyFill="1" applyBorder="1" applyAlignment="1">
      <alignment vertical="center"/>
    </xf>
    <xf numFmtId="0" fontId="1" fillId="7" borderId="3" xfId="0" applyFont="1" applyFill="1" applyBorder="1" applyAlignment="1">
      <alignment horizontal="center" vertical="center"/>
    </xf>
    <xf numFmtId="0" fontId="5" fillId="10" borderId="0" xfId="0" applyFont="1" applyFill="1"/>
    <xf numFmtId="0" fontId="0" fillId="11" borderId="0" xfId="0" applyFill="1"/>
    <xf numFmtId="49" fontId="0" fillId="0" borderId="0" xfId="0" applyNumberFormat="1"/>
    <xf numFmtId="0" fontId="0" fillId="10" borderId="6" xfId="0" applyFill="1" applyBorder="1"/>
    <xf numFmtId="0" fontId="0" fillId="10" borderId="0" xfId="0" applyFill="1"/>
    <xf numFmtId="0" fontId="1" fillId="4" borderId="6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4" fillId="4" borderId="10" xfId="0" applyFont="1" applyFill="1" applyBorder="1" applyAlignment="1">
      <alignment wrapText="1"/>
    </xf>
    <xf numFmtId="0" fontId="3" fillId="4" borderId="6" xfId="0" applyFont="1" applyFill="1" applyBorder="1"/>
    <xf numFmtId="0" fontId="3" fillId="4" borderId="0" xfId="0" applyFont="1" applyFill="1"/>
    <xf numFmtId="0" fontId="6" fillId="3" borderId="2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4" fontId="0" fillId="0" borderId="0" xfId="0" applyNumberFormat="1"/>
    <xf numFmtId="0" fontId="7" fillId="0" borderId="10" xfId="0" applyFont="1" applyBorder="1" applyAlignment="1">
      <alignment wrapText="1"/>
    </xf>
    <xf numFmtId="0" fontId="8" fillId="4" borderId="10" xfId="0" applyFont="1" applyFill="1" applyBorder="1" applyAlignment="1">
      <alignment wrapText="1"/>
    </xf>
    <xf numFmtId="0" fontId="7" fillId="5" borderId="10" xfId="0" applyFont="1" applyFill="1" applyBorder="1"/>
    <xf numFmtId="0" fontId="7" fillId="8" borderId="12" xfId="0" applyFont="1" applyFill="1" applyBorder="1"/>
    <xf numFmtId="0" fontId="1" fillId="10" borderId="3" xfId="0" applyFont="1" applyFill="1" applyBorder="1" applyAlignment="1">
      <alignment horizontal="right" vertical="center"/>
    </xf>
    <xf numFmtId="3" fontId="1" fillId="3" borderId="2" xfId="0" applyNumberFormat="1" applyFon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1" fillId="7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right" vertical="center"/>
    </xf>
    <xf numFmtId="0" fontId="1" fillId="10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3" fontId="1" fillId="4" borderId="2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vertical="center"/>
    </xf>
    <xf numFmtId="3" fontId="1" fillId="4" borderId="3" xfId="0" applyNumberFormat="1" applyFont="1" applyFill="1" applyBorder="1" applyAlignment="1">
      <alignment horizontal="right" vertical="center"/>
    </xf>
    <xf numFmtId="0" fontId="9" fillId="0" borderId="5" xfId="0" applyFont="1" applyBorder="1" applyAlignment="1">
      <alignment horizontal="center" vertical="center" wrapText="1"/>
    </xf>
    <xf numFmtId="3" fontId="1" fillId="3" borderId="3" xfId="0" applyNumberFormat="1" applyFont="1" applyFill="1" applyBorder="1" applyAlignment="1">
      <alignment horizontal="right" vertical="center"/>
    </xf>
    <xf numFmtId="0" fontId="1" fillId="2" borderId="11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0" fillId="0" borderId="16" xfId="0" applyBorder="1"/>
    <xf numFmtId="0" fontId="1" fillId="12" borderId="2" xfId="0" applyFont="1" applyFill="1" applyBorder="1" applyAlignment="1">
      <alignment horizontal="right" vertical="center"/>
    </xf>
    <xf numFmtId="0" fontId="1" fillId="12" borderId="3" xfId="0" applyFont="1" applyFill="1" applyBorder="1" applyAlignment="1">
      <alignment horizontal="right" vertical="center"/>
    </xf>
    <xf numFmtId="0" fontId="1" fillId="12" borderId="14" xfId="0" applyFont="1" applyFill="1" applyBorder="1" applyAlignment="1">
      <alignment horizontal="right" vertical="center"/>
    </xf>
    <xf numFmtId="0" fontId="1" fillId="3" borderId="15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right" vertical="center"/>
    </xf>
    <xf numFmtId="0" fontId="1" fillId="2" borderId="14" xfId="0" applyFont="1" applyFill="1" applyBorder="1" applyAlignment="1">
      <alignment horizontal="right" vertical="center"/>
    </xf>
    <xf numFmtId="0" fontId="1" fillId="4" borderId="15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0" fillId="4" borderId="10" xfId="0" applyFill="1" applyBorder="1"/>
    <xf numFmtId="0" fontId="3" fillId="4" borderId="10" xfId="0" applyFont="1" applyFill="1" applyBorder="1"/>
    <xf numFmtId="0" fontId="0" fillId="8" borderId="10" xfId="0" applyFill="1" applyBorder="1"/>
    <xf numFmtId="0" fontId="6" fillId="0" borderId="7" xfId="0" applyFont="1" applyBorder="1" applyAlignment="1">
      <alignment vertical="center"/>
    </xf>
    <xf numFmtId="3" fontId="1" fillId="7" borderId="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3" fontId="1" fillId="7" borderId="3" xfId="0" applyNumberFormat="1" applyFont="1" applyFill="1" applyBorder="1" applyAlignment="1">
      <alignment horizontal="right" vertical="center"/>
    </xf>
    <xf numFmtId="0" fontId="1" fillId="2" borderId="15" xfId="0" applyFont="1" applyFill="1" applyBorder="1" applyAlignment="1">
      <alignment horizontal="center" vertical="center"/>
    </xf>
    <xf numFmtId="0" fontId="0" fillId="4" borderId="0" xfId="0" applyFill="1" applyBorder="1"/>
    <xf numFmtId="0" fontId="1" fillId="3" borderId="15" xfId="0" applyFont="1" applyFill="1" applyBorder="1" applyAlignment="1">
      <alignment horizontal="right" vertical="center"/>
    </xf>
    <xf numFmtId="0" fontId="1" fillId="2" borderId="15" xfId="0" applyFont="1" applyFill="1" applyBorder="1" applyAlignment="1">
      <alignment horizontal="right" vertical="center"/>
    </xf>
    <xf numFmtId="0" fontId="1" fillId="10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7" borderId="2" xfId="0" applyFont="1" applyFill="1" applyBorder="1" applyAlignment="1">
      <alignment horizontal="right" vertical="center"/>
    </xf>
    <xf numFmtId="0" fontId="10" fillId="0" borderId="17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0" fillId="0" borderId="18" xfId="0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1" fillId="2" borderId="8" xfId="0" applyFont="1" applyFill="1" applyBorder="1" applyAlignment="1">
      <alignment horizontal="right" vertical="center"/>
    </xf>
    <xf numFmtId="0" fontId="1" fillId="10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right" vertical="center"/>
    </xf>
    <xf numFmtId="0" fontId="0" fillId="0" borderId="0" xfId="0" applyBorder="1" applyAlignment="1">
      <alignment wrapText="1"/>
    </xf>
    <xf numFmtId="0" fontId="1" fillId="2" borderId="19" xfId="0" applyFont="1" applyFill="1" applyBorder="1" applyAlignment="1">
      <alignment vertical="center"/>
    </xf>
    <xf numFmtId="0" fontId="0" fillId="13" borderId="9" xfId="0" applyFill="1" applyBorder="1" applyAlignment="1">
      <alignment wrapText="1"/>
    </xf>
    <xf numFmtId="14" fontId="0" fillId="13" borderId="6" xfId="0" applyNumberFormat="1" applyFill="1" applyBorder="1"/>
    <xf numFmtId="0" fontId="0" fillId="13" borderId="6" xfId="0" applyFill="1" applyBorder="1"/>
    <xf numFmtId="0" fontId="0" fillId="13" borderId="6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787A-38EB-4EC4-9761-627ECCB07D42}">
  <sheetPr>
    <pageSetUpPr fitToPage="1"/>
  </sheetPr>
  <dimension ref="A1:U70"/>
  <sheetViews>
    <sheetView tabSelected="1" topLeftCell="B43" workbookViewId="0">
      <selection activeCell="T66" sqref="T66"/>
    </sheetView>
  </sheetViews>
  <sheetFormatPr defaultRowHeight="14.4" x14ac:dyDescent="0.3"/>
  <cols>
    <col min="1" max="1" width="22.44140625" customWidth="1"/>
    <col min="2" max="2" width="25.88671875" customWidth="1"/>
    <col min="3" max="3" width="32.21875" style="7" customWidth="1"/>
    <col min="4" max="4" width="11.44140625" customWidth="1"/>
    <col min="5" max="5" width="8.109375" customWidth="1"/>
    <col min="6" max="6" width="8.6640625" customWidth="1"/>
    <col min="7" max="7" width="5.5546875" customWidth="1"/>
    <col min="8" max="8" width="4.6640625" customWidth="1"/>
    <col min="9" max="9" width="7" customWidth="1"/>
    <col min="10" max="10" width="7.33203125" customWidth="1"/>
    <col min="11" max="11" width="7" customWidth="1"/>
    <col min="12" max="12" width="7.21875" customWidth="1"/>
    <col min="13" max="13" width="8.44140625" customWidth="1"/>
    <col min="14" max="14" width="7.109375" customWidth="1"/>
    <col min="15" max="15" width="6.88671875" style="86" customWidth="1"/>
    <col min="16" max="16" width="8.6640625" customWidth="1"/>
    <col min="17" max="17" width="7.77734375" customWidth="1"/>
    <col min="18" max="18" width="8" customWidth="1"/>
    <col min="19" max="19" width="6.88671875" customWidth="1"/>
    <col min="20" max="20" width="7.109375" style="64" customWidth="1"/>
  </cols>
  <sheetData>
    <row r="1" spans="1:20" ht="29.4" customHeight="1" thickBot="1" x14ac:dyDescent="0.35">
      <c r="H1" t="s">
        <v>12</v>
      </c>
      <c r="J1" s="65" t="s">
        <v>8</v>
      </c>
      <c r="K1" s="65" t="s">
        <v>22</v>
      </c>
      <c r="L1" s="65" t="s">
        <v>10</v>
      </c>
      <c r="M1" s="65" t="s">
        <v>9</v>
      </c>
      <c r="N1" s="90" t="s">
        <v>14</v>
      </c>
      <c r="O1" s="84" t="s">
        <v>50</v>
      </c>
      <c r="P1" s="65" t="s">
        <v>92</v>
      </c>
      <c r="Q1" s="65" t="s">
        <v>24</v>
      </c>
      <c r="R1" s="65" t="s">
        <v>25</v>
      </c>
      <c r="S1" s="66" t="s">
        <v>11</v>
      </c>
      <c r="T1" s="63" t="s">
        <v>13</v>
      </c>
    </row>
    <row r="2" spans="1:20" ht="15" thickBot="1" x14ac:dyDescent="0.35">
      <c r="A2" s="1" t="s">
        <v>30</v>
      </c>
      <c r="B2" s="2" t="s">
        <v>23</v>
      </c>
      <c r="C2" s="130" t="s">
        <v>27</v>
      </c>
      <c r="D2" s="100" t="s">
        <v>41</v>
      </c>
      <c r="E2" s="101">
        <v>4500</v>
      </c>
      <c r="F2" s="30">
        <v>5000</v>
      </c>
      <c r="G2" s="32"/>
      <c r="H2" s="10"/>
      <c r="I2" s="10"/>
      <c r="J2" s="10"/>
      <c r="K2" s="10"/>
      <c r="L2" s="10">
        <v>5000</v>
      </c>
      <c r="M2" s="10"/>
      <c r="N2" s="10"/>
      <c r="O2" s="85"/>
      <c r="P2" s="10"/>
      <c r="Q2" s="10"/>
      <c r="R2" s="10"/>
      <c r="S2" s="70"/>
      <c r="T2" s="71"/>
    </row>
    <row r="3" spans="1:20" ht="15" thickBot="1" x14ac:dyDescent="0.35">
      <c r="A3" s="18" t="s">
        <v>26</v>
      </c>
      <c r="B3" s="19" t="s">
        <v>28</v>
      </c>
      <c r="C3" s="97" t="s">
        <v>29</v>
      </c>
      <c r="D3" s="103" t="s">
        <v>42</v>
      </c>
      <c r="E3" s="98">
        <v>18500</v>
      </c>
      <c r="F3" s="99">
        <v>18500</v>
      </c>
      <c r="G3" s="72"/>
      <c r="H3" s="10"/>
      <c r="I3" s="10"/>
      <c r="J3" s="10"/>
      <c r="K3" s="10"/>
      <c r="L3" s="10"/>
      <c r="M3" s="10"/>
      <c r="N3" s="10">
        <v>18500</v>
      </c>
      <c r="O3" s="85"/>
      <c r="P3" s="10"/>
      <c r="Q3" s="10"/>
      <c r="R3" s="10"/>
      <c r="S3" s="70"/>
      <c r="T3" s="71"/>
    </row>
    <row r="4" spans="1:20" ht="15" thickBot="1" x14ac:dyDescent="0.35">
      <c r="A4" s="18" t="s">
        <v>30</v>
      </c>
      <c r="B4" s="19" t="s">
        <v>23</v>
      </c>
      <c r="C4" s="131" t="s">
        <v>43</v>
      </c>
      <c r="D4" s="103" t="s">
        <v>42</v>
      </c>
      <c r="E4" s="98">
        <v>1800</v>
      </c>
      <c r="F4" s="99">
        <v>2000</v>
      </c>
      <c r="G4" s="8"/>
      <c r="H4" s="10"/>
      <c r="I4" s="10"/>
      <c r="J4" s="10"/>
      <c r="K4" s="10"/>
      <c r="L4" s="10">
        <v>2000</v>
      </c>
      <c r="M4" s="10"/>
      <c r="N4" s="10"/>
      <c r="O4" s="85"/>
      <c r="P4" s="10"/>
      <c r="Q4" s="10"/>
      <c r="R4" s="10"/>
      <c r="S4" s="70"/>
      <c r="T4" s="71"/>
    </row>
    <row r="5" spans="1:20" s="17" customFormat="1" ht="15" thickBot="1" x14ac:dyDescent="0.35">
      <c r="A5" s="62"/>
      <c r="B5" s="129" t="s">
        <v>32</v>
      </c>
      <c r="C5" s="2" t="s">
        <v>31</v>
      </c>
      <c r="D5" s="100" t="s">
        <v>44</v>
      </c>
      <c r="E5" s="100" t="s">
        <v>33</v>
      </c>
      <c r="F5" s="128">
        <v>38700</v>
      </c>
      <c r="G5" s="104"/>
      <c r="H5" s="55"/>
      <c r="I5" s="55"/>
      <c r="J5" s="55"/>
      <c r="K5" s="55"/>
      <c r="L5" s="55">
        <v>38700</v>
      </c>
      <c r="M5" s="55"/>
      <c r="N5" s="55"/>
      <c r="O5" s="85"/>
      <c r="P5" s="55"/>
      <c r="Q5" s="55"/>
      <c r="R5" s="55"/>
      <c r="S5" s="70"/>
      <c r="T5" s="71"/>
    </row>
    <row r="6" spans="1:20" s="17" customFormat="1" ht="15" thickBot="1" x14ac:dyDescent="0.35">
      <c r="A6" s="1"/>
      <c r="B6" s="62" t="s">
        <v>35</v>
      </c>
      <c r="C6" s="5" t="s">
        <v>31</v>
      </c>
      <c r="D6" s="73" t="s">
        <v>44</v>
      </c>
      <c r="E6" s="73" t="s">
        <v>33</v>
      </c>
      <c r="F6" s="132">
        <v>38700</v>
      </c>
      <c r="G6" s="104"/>
      <c r="H6" s="55"/>
      <c r="I6" s="55"/>
      <c r="J6" s="55"/>
      <c r="K6" s="55"/>
      <c r="L6" s="55">
        <v>38700</v>
      </c>
      <c r="M6" s="55"/>
      <c r="N6" s="55"/>
      <c r="O6" s="85"/>
      <c r="P6" s="55"/>
      <c r="Q6" s="55"/>
      <c r="R6" s="55"/>
      <c r="S6" s="70"/>
      <c r="T6" s="71"/>
    </row>
    <row r="7" spans="1:20" s="17" customFormat="1" ht="15" thickBot="1" x14ac:dyDescent="0.35">
      <c r="A7" s="18" t="s">
        <v>26</v>
      </c>
      <c r="B7" s="2" t="s">
        <v>51</v>
      </c>
      <c r="C7" s="60" t="s">
        <v>52</v>
      </c>
      <c r="D7" s="60" t="s">
        <v>53</v>
      </c>
      <c r="E7" s="61">
        <v>23400</v>
      </c>
      <c r="F7" s="30">
        <v>23400</v>
      </c>
      <c r="G7" s="104"/>
      <c r="H7" s="134"/>
      <c r="I7" s="55"/>
      <c r="J7" s="55"/>
      <c r="K7" s="55"/>
      <c r="L7" s="55"/>
      <c r="M7" s="55"/>
      <c r="N7" s="55"/>
      <c r="O7" s="85"/>
      <c r="P7" s="55"/>
      <c r="Q7" s="55"/>
      <c r="R7" s="55"/>
      <c r="S7" s="70">
        <v>23400</v>
      </c>
      <c r="T7" s="71"/>
    </row>
    <row r="8" spans="1:20" s="17" customFormat="1" ht="15" thickBot="1" x14ac:dyDescent="0.35">
      <c r="A8" s="18" t="s">
        <v>30</v>
      </c>
      <c r="B8" s="133" t="s">
        <v>54</v>
      </c>
      <c r="C8" s="118" t="s">
        <v>55</v>
      </c>
      <c r="D8" s="118" t="s">
        <v>56</v>
      </c>
      <c r="E8" s="135">
        <v>1900</v>
      </c>
      <c r="F8" s="136">
        <v>2000</v>
      </c>
      <c r="G8" s="104"/>
      <c r="H8" s="134"/>
      <c r="I8" s="55"/>
      <c r="J8" s="55"/>
      <c r="K8" s="55"/>
      <c r="L8" s="55">
        <v>2000</v>
      </c>
      <c r="M8" s="55"/>
      <c r="N8" s="55"/>
      <c r="O8" s="85"/>
      <c r="P8" s="55"/>
      <c r="Q8" s="55"/>
      <c r="R8" s="55"/>
      <c r="S8" s="70"/>
      <c r="T8" s="71"/>
    </row>
    <row r="9" spans="1:20" s="17" customFormat="1" ht="15" thickBot="1" x14ac:dyDescent="0.35">
      <c r="A9" s="1" t="s">
        <v>30</v>
      </c>
      <c r="B9" s="2" t="s">
        <v>23</v>
      </c>
      <c r="C9" s="60" t="s">
        <v>49</v>
      </c>
      <c r="D9" s="60" t="s">
        <v>56</v>
      </c>
      <c r="E9" s="61">
        <v>1800</v>
      </c>
      <c r="F9" s="30">
        <v>2000</v>
      </c>
      <c r="G9" s="104"/>
      <c r="H9" s="134"/>
      <c r="I9" s="55"/>
      <c r="J9" s="55"/>
      <c r="K9" s="55"/>
      <c r="L9" s="55">
        <v>2000</v>
      </c>
      <c r="M9" s="55"/>
      <c r="N9" s="55"/>
      <c r="O9" s="85"/>
      <c r="P9" s="55"/>
      <c r="Q9" s="55"/>
      <c r="R9" s="55"/>
      <c r="S9" s="70"/>
      <c r="T9" s="71"/>
    </row>
    <row r="10" spans="1:20" s="17" customFormat="1" ht="15" thickBot="1" x14ac:dyDescent="0.35">
      <c r="A10" s="18" t="s">
        <v>45</v>
      </c>
      <c r="B10" s="19" t="s">
        <v>46</v>
      </c>
      <c r="C10" s="97" t="s">
        <v>47</v>
      </c>
      <c r="D10" s="103" t="s">
        <v>48</v>
      </c>
      <c r="E10" s="98">
        <v>2500</v>
      </c>
      <c r="F10" s="99">
        <v>2750</v>
      </c>
      <c r="G10" s="105"/>
      <c r="H10" s="105"/>
      <c r="I10" s="55"/>
      <c r="J10" s="55"/>
      <c r="K10" s="55"/>
      <c r="L10" s="55"/>
      <c r="M10" s="55"/>
      <c r="N10" s="55"/>
      <c r="O10" s="85">
        <v>2750</v>
      </c>
      <c r="P10" s="55"/>
      <c r="Q10" s="55"/>
      <c r="R10" s="55"/>
      <c r="S10" s="70"/>
      <c r="T10" s="71"/>
    </row>
    <row r="11" spans="1:20" s="17" customFormat="1" ht="22.8" customHeight="1" thickBot="1" x14ac:dyDescent="0.35">
      <c r="A11" s="18" t="s">
        <v>30</v>
      </c>
      <c r="B11" s="19" t="s">
        <v>23</v>
      </c>
      <c r="C11" s="97" t="s">
        <v>49</v>
      </c>
      <c r="D11" s="103" t="s">
        <v>48</v>
      </c>
      <c r="E11" s="98">
        <v>900</v>
      </c>
      <c r="F11" s="99">
        <v>1000</v>
      </c>
      <c r="G11" s="105"/>
      <c r="H11" s="105"/>
      <c r="I11" s="55"/>
      <c r="J11" s="55"/>
      <c r="K11" s="55"/>
      <c r="L11" s="55">
        <v>1000</v>
      </c>
      <c r="M11" s="55"/>
      <c r="N11" s="55"/>
      <c r="O11" s="85"/>
      <c r="P11" s="55"/>
      <c r="Q11" s="55"/>
      <c r="R11" s="55"/>
      <c r="S11" s="70"/>
      <c r="T11" s="71"/>
    </row>
    <row r="12" spans="1:20" s="17" customFormat="1" ht="15" thickBot="1" x14ac:dyDescent="0.35">
      <c r="A12" s="18" t="s">
        <v>26</v>
      </c>
      <c r="B12" s="2" t="s">
        <v>57</v>
      </c>
      <c r="C12" s="60" t="s">
        <v>58</v>
      </c>
      <c r="D12" s="103" t="s">
        <v>59</v>
      </c>
      <c r="E12" s="61">
        <v>23000</v>
      </c>
      <c r="F12" s="30">
        <v>23000</v>
      </c>
      <c r="G12" s="107"/>
      <c r="H12" s="107"/>
      <c r="I12" s="55"/>
      <c r="J12" s="55"/>
      <c r="K12" s="55"/>
      <c r="L12" s="55"/>
      <c r="M12" s="55"/>
      <c r="N12" s="55"/>
      <c r="O12" s="85"/>
      <c r="P12" s="55"/>
      <c r="Q12" s="55"/>
      <c r="R12" s="55"/>
      <c r="S12" s="70">
        <v>23000</v>
      </c>
      <c r="T12" s="71"/>
    </row>
    <row r="13" spans="1:20" s="17" customFormat="1" ht="15" thickBot="1" x14ac:dyDescent="0.35">
      <c r="A13" s="1" t="s">
        <v>30</v>
      </c>
      <c r="B13" s="5" t="s">
        <v>23</v>
      </c>
      <c r="C13" s="58" t="s">
        <v>61</v>
      </c>
      <c r="D13" s="100" t="s">
        <v>59</v>
      </c>
      <c r="E13" s="59">
        <v>3600</v>
      </c>
      <c r="F13" s="31">
        <v>4000</v>
      </c>
      <c r="G13" s="105"/>
      <c r="H13" s="55"/>
      <c r="I13" s="55"/>
      <c r="J13" s="55"/>
      <c r="K13" s="55"/>
      <c r="L13" s="55">
        <v>3000</v>
      </c>
      <c r="M13" s="55"/>
      <c r="N13" s="55"/>
      <c r="O13" s="85"/>
      <c r="P13" s="55"/>
      <c r="Q13" s="55"/>
      <c r="R13" s="55"/>
      <c r="S13" s="70">
        <v>1000</v>
      </c>
      <c r="T13" s="71"/>
    </row>
    <row r="14" spans="1:20" s="17" customFormat="1" ht="15" thickBot="1" x14ac:dyDescent="0.35">
      <c r="A14" s="1"/>
      <c r="B14" s="129" t="s">
        <v>32</v>
      </c>
      <c r="C14" s="2" t="s">
        <v>31</v>
      </c>
      <c r="D14" s="60" t="s">
        <v>60</v>
      </c>
      <c r="E14" s="60" t="s">
        <v>33</v>
      </c>
      <c r="F14" s="95">
        <v>38700</v>
      </c>
      <c r="G14" s="107"/>
      <c r="H14" s="55"/>
      <c r="I14" s="55"/>
      <c r="J14" s="55"/>
      <c r="K14" s="55"/>
      <c r="L14" s="55">
        <v>38700</v>
      </c>
      <c r="M14" s="55"/>
      <c r="N14" s="55"/>
      <c r="O14" s="85"/>
      <c r="P14" s="55"/>
      <c r="Q14" s="55"/>
      <c r="R14" s="55"/>
      <c r="S14" s="70"/>
      <c r="T14" s="71"/>
    </row>
    <row r="15" spans="1:20" s="17" customFormat="1" ht="15" thickBot="1" x14ac:dyDescent="0.35">
      <c r="A15" s="62"/>
      <c r="B15" s="62" t="s">
        <v>35</v>
      </c>
      <c r="C15" s="5" t="s">
        <v>31</v>
      </c>
      <c r="D15" s="58" t="s">
        <v>60</v>
      </c>
      <c r="E15" s="58" t="s">
        <v>33</v>
      </c>
      <c r="F15" s="110">
        <v>38700</v>
      </c>
      <c r="G15" s="107"/>
      <c r="H15" s="55"/>
      <c r="I15" s="55"/>
      <c r="J15" s="55"/>
      <c r="K15" s="55"/>
      <c r="L15" s="55">
        <v>38700</v>
      </c>
      <c r="M15" s="55"/>
      <c r="N15" s="55"/>
      <c r="O15" s="85"/>
      <c r="P15" s="55"/>
      <c r="Q15" s="55"/>
      <c r="R15" s="55"/>
      <c r="S15" s="70"/>
      <c r="T15" s="71"/>
    </row>
    <row r="16" spans="1:20" s="17" customFormat="1" ht="15" thickBot="1" x14ac:dyDescent="0.35">
      <c r="A16" s="1" t="s">
        <v>30</v>
      </c>
      <c r="B16" s="2" t="s">
        <v>23</v>
      </c>
      <c r="C16" s="60" t="s">
        <v>62</v>
      </c>
      <c r="D16" s="100" t="s">
        <v>63</v>
      </c>
      <c r="E16" s="61">
        <v>6000</v>
      </c>
      <c r="F16" s="30">
        <v>6600</v>
      </c>
      <c r="G16" s="107"/>
      <c r="H16" s="55"/>
      <c r="I16" s="55"/>
      <c r="J16" s="55"/>
      <c r="K16" s="55"/>
      <c r="L16" s="55">
        <v>6600</v>
      </c>
      <c r="M16" s="55"/>
      <c r="N16" s="55"/>
      <c r="O16" s="85"/>
      <c r="P16" s="55"/>
      <c r="Q16" s="55"/>
      <c r="R16" s="55"/>
      <c r="S16" s="70"/>
      <c r="T16" s="71"/>
    </row>
    <row r="17" spans="1:21" s="17" customFormat="1" ht="15" thickBot="1" x14ac:dyDescent="0.35">
      <c r="A17" s="62" t="s">
        <v>30</v>
      </c>
      <c r="B17" s="5" t="s">
        <v>23</v>
      </c>
      <c r="C17" s="58" t="s">
        <v>49</v>
      </c>
      <c r="D17" s="73" t="s">
        <v>63</v>
      </c>
      <c r="E17" s="59">
        <v>1800</v>
      </c>
      <c r="F17" s="31">
        <v>2000</v>
      </c>
      <c r="G17" s="107"/>
      <c r="H17" s="55"/>
      <c r="I17" s="55"/>
      <c r="J17" s="55"/>
      <c r="K17" s="55"/>
      <c r="L17" s="55">
        <v>2000</v>
      </c>
      <c r="M17" s="55"/>
      <c r="N17" s="55"/>
      <c r="O17" s="85"/>
      <c r="P17" s="55"/>
      <c r="Q17" s="55"/>
      <c r="R17" s="55"/>
      <c r="S17" s="70"/>
      <c r="T17" s="71"/>
    </row>
    <row r="18" spans="1:21" s="17" customFormat="1" ht="15" thickBot="1" x14ac:dyDescent="0.35">
      <c r="A18" s="1" t="s">
        <v>64</v>
      </c>
      <c r="B18" s="2" t="s">
        <v>31</v>
      </c>
      <c r="C18" s="60" t="s">
        <v>65</v>
      </c>
      <c r="D18" s="100" t="s">
        <v>66</v>
      </c>
      <c r="E18" s="61">
        <v>35000</v>
      </c>
      <c r="F18" s="30">
        <v>38700</v>
      </c>
      <c r="G18" s="107"/>
      <c r="H18" s="55"/>
      <c r="I18" s="55"/>
      <c r="J18" s="55"/>
      <c r="K18" s="55"/>
      <c r="L18" s="55">
        <v>38700</v>
      </c>
      <c r="M18" s="55"/>
      <c r="N18" s="55"/>
      <c r="O18" s="85"/>
      <c r="P18" s="55"/>
      <c r="Q18" s="55"/>
      <c r="R18" s="55"/>
      <c r="S18" s="70"/>
      <c r="T18" s="71"/>
    </row>
    <row r="19" spans="1:21" s="17" customFormat="1" ht="15" thickBot="1" x14ac:dyDescent="0.35">
      <c r="A19" s="62" t="s">
        <v>30</v>
      </c>
      <c r="B19" s="5" t="s">
        <v>23</v>
      </c>
      <c r="C19" s="58" t="s">
        <v>49</v>
      </c>
      <c r="D19" s="73" t="s">
        <v>67</v>
      </c>
      <c r="E19" s="59">
        <v>900</v>
      </c>
      <c r="F19" s="31">
        <v>1000</v>
      </c>
      <c r="G19" s="107"/>
      <c r="H19" s="55"/>
      <c r="I19" s="55"/>
      <c r="J19" s="55"/>
      <c r="K19" s="55"/>
      <c r="L19" s="55">
        <v>1000</v>
      </c>
      <c r="M19" s="55"/>
      <c r="N19" s="55"/>
      <c r="O19" s="85"/>
      <c r="P19" s="55"/>
      <c r="Q19" s="55"/>
      <c r="R19" s="55"/>
      <c r="S19" s="70"/>
      <c r="T19" s="71"/>
    </row>
    <row r="20" spans="1:21" s="17" customFormat="1" ht="15" thickBot="1" x14ac:dyDescent="0.35">
      <c r="A20" s="62" t="s">
        <v>30</v>
      </c>
      <c r="B20" s="5" t="s">
        <v>23</v>
      </c>
      <c r="C20" s="58" t="s">
        <v>62</v>
      </c>
      <c r="D20" s="73" t="s">
        <v>67</v>
      </c>
      <c r="E20" s="59">
        <v>3000</v>
      </c>
      <c r="F20" s="31">
        <v>3300</v>
      </c>
      <c r="G20" s="107"/>
      <c r="H20" s="55"/>
      <c r="I20" s="55"/>
      <c r="J20" s="55"/>
      <c r="K20" s="55"/>
      <c r="L20" s="55">
        <v>3300</v>
      </c>
      <c r="M20" s="55"/>
      <c r="N20" s="55"/>
      <c r="O20" s="85"/>
      <c r="P20" s="55"/>
      <c r="Q20" s="55"/>
      <c r="R20" s="55"/>
      <c r="S20" s="70"/>
      <c r="T20" s="71"/>
    </row>
    <row r="21" spans="1:21" s="17" customFormat="1" ht="15" thickBot="1" x14ac:dyDescent="0.35">
      <c r="A21" s="1" t="s">
        <v>30</v>
      </c>
      <c r="B21" s="2" t="s">
        <v>23</v>
      </c>
      <c r="C21" s="130" t="s">
        <v>49</v>
      </c>
      <c r="D21" s="100" t="s">
        <v>68</v>
      </c>
      <c r="E21" s="101">
        <v>900</v>
      </c>
      <c r="F21" s="30">
        <v>1000</v>
      </c>
      <c r="G21" s="107"/>
      <c r="H21" s="55"/>
      <c r="I21" s="55"/>
      <c r="J21" s="55"/>
      <c r="K21" s="55"/>
      <c r="L21" s="55">
        <v>1000</v>
      </c>
      <c r="M21" s="55"/>
      <c r="N21" s="55"/>
      <c r="O21" s="85"/>
      <c r="P21" s="55"/>
      <c r="Q21" s="55"/>
      <c r="R21" s="55"/>
      <c r="S21" s="70"/>
      <c r="T21" s="71"/>
    </row>
    <row r="22" spans="1:21" s="17" customFormat="1" ht="15" thickBot="1" x14ac:dyDescent="0.35">
      <c r="A22" s="62" t="s">
        <v>30</v>
      </c>
      <c r="B22" s="5" t="s">
        <v>23</v>
      </c>
      <c r="C22" s="137" t="s">
        <v>62</v>
      </c>
      <c r="D22" s="73" t="s">
        <v>68</v>
      </c>
      <c r="E22" s="94">
        <v>3000</v>
      </c>
      <c r="F22" s="31">
        <v>3300</v>
      </c>
      <c r="G22" s="107"/>
      <c r="H22" s="55"/>
      <c r="I22" s="55"/>
      <c r="J22" s="55"/>
      <c r="K22" s="55"/>
      <c r="L22" s="55">
        <v>3300</v>
      </c>
      <c r="M22" s="55"/>
      <c r="N22" s="55"/>
      <c r="O22" s="85"/>
      <c r="P22" s="55"/>
      <c r="Q22" s="55"/>
      <c r="R22" s="55"/>
      <c r="S22" s="70"/>
      <c r="T22" s="71"/>
    </row>
    <row r="23" spans="1:21" s="17" customFormat="1" ht="15" thickBot="1" x14ac:dyDescent="0.35">
      <c r="A23" s="1"/>
      <c r="B23" s="129" t="s">
        <v>35</v>
      </c>
      <c r="C23" s="2" t="s">
        <v>31</v>
      </c>
      <c r="D23" s="60" t="s">
        <v>69</v>
      </c>
      <c r="E23" s="60" t="s">
        <v>33</v>
      </c>
      <c r="F23" s="95">
        <v>38700</v>
      </c>
      <c r="G23" s="107"/>
      <c r="H23" s="55"/>
      <c r="I23" s="55"/>
      <c r="J23" s="55"/>
      <c r="K23" s="55"/>
      <c r="L23" s="55">
        <v>38700</v>
      </c>
      <c r="M23" s="55"/>
      <c r="N23" s="55"/>
      <c r="O23" s="85"/>
      <c r="P23" s="55"/>
      <c r="Q23" s="55"/>
      <c r="R23" s="55"/>
      <c r="S23" s="70"/>
      <c r="T23" s="71"/>
    </row>
    <row r="24" spans="1:21" s="17" customFormat="1" ht="15" thickBot="1" x14ac:dyDescent="0.35">
      <c r="A24" s="1"/>
      <c r="B24" s="62" t="s">
        <v>70</v>
      </c>
      <c r="C24" s="5" t="s">
        <v>71</v>
      </c>
      <c r="D24" s="58" t="s">
        <v>72</v>
      </c>
      <c r="E24" s="58" t="s">
        <v>52</v>
      </c>
      <c r="F24" s="59">
        <v>23400</v>
      </c>
      <c r="G24" s="122"/>
      <c r="H24" s="123"/>
      <c r="I24" s="124"/>
      <c r="J24" s="124"/>
      <c r="K24" s="124"/>
      <c r="L24" s="124"/>
      <c r="M24" s="124"/>
      <c r="N24" s="124"/>
      <c r="O24" s="125"/>
      <c r="P24" s="124"/>
      <c r="Q24" s="124"/>
      <c r="R24" s="124"/>
      <c r="S24" s="66">
        <v>23400</v>
      </c>
      <c r="T24" s="126"/>
      <c r="U24" s="17" t="s">
        <v>34</v>
      </c>
    </row>
    <row r="25" spans="1:21" s="17" customFormat="1" ht="15" thickBot="1" x14ac:dyDescent="0.35">
      <c r="A25" s="1" t="s">
        <v>30</v>
      </c>
      <c r="B25" s="2" t="s">
        <v>23</v>
      </c>
      <c r="C25" s="60" t="s">
        <v>49</v>
      </c>
      <c r="D25" s="100" t="s">
        <v>73</v>
      </c>
      <c r="E25" s="61">
        <v>2700</v>
      </c>
      <c r="F25" s="30">
        <v>3000</v>
      </c>
      <c r="G25" s="79"/>
      <c r="H25" s="79"/>
      <c r="I25" s="55"/>
      <c r="J25" s="55"/>
      <c r="K25" s="55"/>
      <c r="L25" s="55">
        <v>3000</v>
      </c>
      <c r="M25" s="55"/>
      <c r="N25" s="55"/>
      <c r="O25" s="85"/>
      <c r="P25" s="55"/>
      <c r="Q25" s="55"/>
      <c r="R25" s="55"/>
      <c r="S25" s="70"/>
      <c r="T25" s="71"/>
    </row>
    <row r="26" spans="1:21" s="17" customFormat="1" ht="15" thickBot="1" x14ac:dyDescent="0.35">
      <c r="A26" s="127"/>
      <c r="B26" s="138" t="s">
        <v>78</v>
      </c>
      <c r="C26" s="8" t="s">
        <v>79</v>
      </c>
      <c r="D26" s="100" t="s">
        <v>80</v>
      </c>
      <c r="E26" s="100" t="s">
        <v>81</v>
      </c>
      <c r="F26" s="139">
        <v>13000</v>
      </c>
      <c r="G26" s="79"/>
      <c r="H26" s="79"/>
      <c r="I26" s="55"/>
      <c r="J26" s="55"/>
      <c r="K26" s="55"/>
      <c r="L26" s="55"/>
      <c r="M26" s="55"/>
      <c r="N26" s="55"/>
      <c r="O26" s="85"/>
      <c r="P26" s="55"/>
      <c r="Q26" s="55"/>
      <c r="R26" s="55"/>
      <c r="S26" s="70"/>
      <c r="T26" s="71">
        <v>13000</v>
      </c>
    </row>
    <row r="27" spans="1:21" s="17" customFormat="1" ht="15" thickBot="1" x14ac:dyDescent="0.35">
      <c r="A27" s="1" t="s">
        <v>30</v>
      </c>
      <c r="B27" s="2" t="s">
        <v>23</v>
      </c>
      <c r="C27" s="60" t="s">
        <v>49</v>
      </c>
      <c r="D27" s="100" t="s">
        <v>82</v>
      </c>
      <c r="E27" s="61">
        <v>900</v>
      </c>
      <c r="F27" s="30">
        <v>1000</v>
      </c>
      <c r="G27" s="79"/>
      <c r="H27" s="79"/>
      <c r="I27" s="55"/>
      <c r="J27" s="55"/>
      <c r="K27" s="55"/>
      <c r="L27" s="55">
        <v>1000</v>
      </c>
      <c r="M27" s="55"/>
      <c r="N27" s="55"/>
      <c r="O27" s="85"/>
      <c r="P27" s="55"/>
      <c r="Q27" s="55"/>
      <c r="R27" s="55"/>
      <c r="S27" s="70"/>
      <c r="T27" s="71"/>
    </row>
    <row r="28" spans="1:21" s="17" customFormat="1" ht="15" thickBot="1" x14ac:dyDescent="0.35">
      <c r="A28" s="1" t="s">
        <v>30</v>
      </c>
      <c r="B28" s="2" t="s">
        <v>74</v>
      </c>
      <c r="C28" s="60" t="s">
        <v>75</v>
      </c>
      <c r="D28" s="100" t="s">
        <v>76</v>
      </c>
      <c r="E28" s="61">
        <v>5000</v>
      </c>
      <c r="F28" s="30">
        <v>5500</v>
      </c>
      <c r="G28" s="79"/>
      <c r="H28" s="79"/>
      <c r="I28" s="55"/>
      <c r="J28" s="55"/>
      <c r="K28" s="55"/>
      <c r="L28" s="55"/>
      <c r="M28" s="55"/>
      <c r="N28" s="55">
        <v>5500</v>
      </c>
      <c r="O28" s="85"/>
      <c r="P28" s="55"/>
      <c r="Q28" s="55"/>
      <c r="R28" s="55"/>
      <c r="S28" s="70"/>
      <c r="T28" s="71"/>
    </row>
    <row r="29" spans="1:21" s="17" customFormat="1" ht="15" thickBot="1" x14ac:dyDescent="0.35">
      <c r="A29" s="62" t="s">
        <v>30</v>
      </c>
      <c r="B29" s="5" t="s">
        <v>23</v>
      </c>
      <c r="C29" s="58" t="s">
        <v>62</v>
      </c>
      <c r="D29" s="73" t="s">
        <v>77</v>
      </c>
      <c r="E29" s="59">
        <v>3000</v>
      </c>
      <c r="F29" s="31">
        <v>3300</v>
      </c>
      <c r="G29" s="79"/>
      <c r="H29" s="79"/>
      <c r="I29" s="55"/>
      <c r="J29" s="55"/>
      <c r="K29" s="55"/>
      <c r="L29" s="55">
        <v>3300</v>
      </c>
      <c r="M29" s="55"/>
      <c r="N29" s="55"/>
      <c r="O29" s="85"/>
      <c r="P29" s="55"/>
      <c r="Q29" s="55"/>
      <c r="R29" s="55"/>
      <c r="S29" s="70"/>
      <c r="T29" s="71"/>
    </row>
    <row r="30" spans="1:21" s="17" customFormat="1" ht="15" thickBot="1" x14ac:dyDescent="0.35">
      <c r="A30" s="1"/>
      <c r="B30" s="129" t="s">
        <v>32</v>
      </c>
      <c r="C30" s="2" t="s">
        <v>31</v>
      </c>
      <c r="D30" s="60" t="s">
        <v>76</v>
      </c>
      <c r="E30" s="60" t="s">
        <v>33</v>
      </c>
      <c r="F30" s="95">
        <v>38700</v>
      </c>
      <c r="G30" s="79"/>
      <c r="H30" s="79"/>
      <c r="I30" s="55"/>
      <c r="J30" s="55"/>
      <c r="K30" s="55"/>
      <c r="L30" s="55">
        <v>38700</v>
      </c>
      <c r="M30" s="55"/>
      <c r="N30" s="55"/>
      <c r="O30" s="85"/>
      <c r="P30" s="55"/>
      <c r="Q30" s="55"/>
      <c r="R30" s="55"/>
      <c r="S30" s="70"/>
      <c r="T30" s="71"/>
    </row>
    <row r="31" spans="1:21" s="17" customFormat="1" ht="15" thickBot="1" x14ac:dyDescent="0.35">
      <c r="A31" s="62"/>
      <c r="B31" s="62" t="s">
        <v>35</v>
      </c>
      <c r="C31" s="5" t="s">
        <v>31</v>
      </c>
      <c r="D31" s="58" t="s">
        <v>76</v>
      </c>
      <c r="E31" s="58" t="s">
        <v>33</v>
      </c>
      <c r="F31" s="110">
        <v>38700</v>
      </c>
      <c r="G31" s="79"/>
      <c r="H31" s="79"/>
      <c r="I31" s="55"/>
      <c r="J31" s="55"/>
      <c r="K31" s="55"/>
      <c r="L31" s="55">
        <v>38700</v>
      </c>
      <c r="M31" s="55"/>
      <c r="N31" s="55"/>
      <c r="O31" s="85"/>
      <c r="P31" s="55"/>
      <c r="Q31" s="55"/>
      <c r="R31" s="55"/>
      <c r="S31" s="70"/>
      <c r="T31" s="71"/>
    </row>
    <row r="32" spans="1:21" s="17" customFormat="1" ht="15" thickBot="1" x14ac:dyDescent="0.35">
      <c r="A32" s="1" t="s">
        <v>30</v>
      </c>
      <c r="B32" s="2" t="s">
        <v>23</v>
      </c>
      <c r="C32" s="60" t="s">
        <v>83</v>
      </c>
      <c r="D32" s="100" t="s">
        <v>84</v>
      </c>
      <c r="E32" s="61">
        <v>2700</v>
      </c>
      <c r="F32" s="30">
        <v>3000</v>
      </c>
      <c r="G32" s="79"/>
      <c r="H32" s="79"/>
      <c r="I32" s="55"/>
      <c r="J32" s="55"/>
      <c r="K32" s="55"/>
      <c r="L32" s="55">
        <v>3000</v>
      </c>
      <c r="M32" s="55"/>
      <c r="N32" s="55"/>
      <c r="O32" s="85"/>
      <c r="P32" s="55"/>
      <c r="Q32" s="55"/>
      <c r="R32" s="55"/>
      <c r="S32" s="70"/>
      <c r="T32" s="71"/>
    </row>
    <row r="33" spans="1:20" s="17" customFormat="1" ht="15" thickBot="1" x14ac:dyDescent="0.35">
      <c r="A33" s="62" t="s">
        <v>26</v>
      </c>
      <c r="B33" s="5" t="s">
        <v>51</v>
      </c>
      <c r="C33" s="58" t="s">
        <v>52</v>
      </c>
      <c r="D33" s="73" t="s">
        <v>85</v>
      </c>
      <c r="E33" s="59">
        <v>23400</v>
      </c>
      <c r="F33" s="31">
        <v>23400</v>
      </c>
      <c r="G33" s="79"/>
      <c r="H33" s="79"/>
      <c r="I33" s="55"/>
      <c r="J33" s="55"/>
      <c r="K33" s="55"/>
      <c r="L33" s="55"/>
      <c r="M33" s="55"/>
      <c r="N33" s="55"/>
      <c r="O33" s="85"/>
      <c r="P33" s="55"/>
      <c r="Q33" s="55"/>
      <c r="R33" s="55"/>
      <c r="S33" s="70">
        <v>23400</v>
      </c>
      <c r="T33" s="71"/>
    </row>
    <row r="34" spans="1:20" s="17" customFormat="1" ht="15" thickBot="1" x14ac:dyDescent="0.35">
      <c r="A34" s="12"/>
      <c r="B34" s="1" t="s">
        <v>86</v>
      </c>
      <c r="C34" s="2" t="s">
        <v>51</v>
      </c>
      <c r="D34" s="60" t="s">
        <v>87</v>
      </c>
      <c r="E34" s="60" t="s">
        <v>52</v>
      </c>
      <c r="F34" s="61">
        <v>23400</v>
      </c>
      <c r="G34" s="79"/>
      <c r="H34" s="79"/>
      <c r="I34" s="55"/>
      <c r="J34" s="55"/>
      <c r="K34" s="55"/>
      <c r="L34" s="55"/>
      <c r="M34" s="55"/>
      <c r="N34" s="55"/>
      <c r="O34" s="85"/>
      <c r="P34" s="55"/>
      <c r="Q34" s="55"/>
      <c r="R34" s="55"/>
      <c r="S34" s="70">
        <v>23400</v>
      </c>
      <c r="T34" s="71"/>
    </row>
    <row r="35" spans="1:20" s="17" customFormat="1" ht="15" thickBot="1" x14ac:dyDescent="0.35">
      <c r="A35" s="1" t="s">
        <v>88</v>
      </c>
      <c r="B35" s="2" t="s">
        <v>89</v>
      </c>
      <c r="C35" s="60" t="s">
        <v>90</v>
      </c>
      <c r="D35" s="100" t="s">
        <v>91</v>
      </c>
      <c r="E35" s="61">
        <v>29000</v>
      </c>
      <c r="F35" s="30">
        <v>29000</v>
      </c>
      <c r="G35" s="79"/>
      <c r="H35" s="79"/>
      <c r="I35" s="55"/>
      <c r="J35" s="55"/>
      <c r="K35" s="55"/>
      <c r="L35" s="55"/>
      <c r="M35" s="55"/>
      <c r="N35" s="55"/>
      <c r="O35" s="85"/>
      <c r="P35" s="55">
        <v>29000</v>
      </c>
      <c r="Q35" s="55"/>
      <c r="R35" s="55"/>
      <c r="S35" s="70"/>
      <c r="T35" s="71"/>
    </row>
    <row r="36" spans="1:20" s="17" customFormat="1" ht="15" thickBot="1" x14ac:dyDescent="0.35">
      <c r="A36" s="12"/>
      <c r="B36" s="138" t="s">
        <v>78</v>
      </c>
      <c r="C36" s="8" t="s">
        <v>93</v>
      </c>
      <c r="D36" s="60" t="s">
        <v>94</v>
      </c>
      <c r="E36" s="60" t="s">
        <v>81</v>
      </c>
      <c r="F36" s="61">
        <v>12000</v>
      </c>
      <c r="G36" s="79"/>
      <c r="H36" s="79"/>
      <c r="I36" s="55"/>
      <c r="J36" s="55"/>
      <c r="K36" s="55"/>
      <c r="L36" s="55"/>
      <c r="M36" s="55"/>
      <c r="N36" s="55"/>
      <c r="O36" s="85"/>
      <c r="P36" s="55"/>
      <c r="Q36" s="55"/>
      <c r="R36" s="55"/>
      <c r="S36" s="70"/>
      <c r="T36" s="71">
        <v>12000</v>
      </c>
    </row>
    <row r="37" spans="1:20" s="17" customFormat="1" ht="15" thickBot="1" x14ac:dyDescent="0.35">
      <c r="A37" s="1" t="s">
        <v>30</v>
      </c>
      <c r="B37" s="2" t="s">
        <v>54</v>
      </c>
      <c r="C37" s="60" t="s">
        <v>95</v>
      </c>
      <c r="D37" s="100" t="s">
        <v>96</v>
      </c>
      <c r="E37" s="61">
        <v>2700</v>
      </c>
      <c r="F37" s="30">
        <v>3000</v>
      </c>
      <c r="G37" s="79"/>
      <c r="H37" s="79"/>
      <c r="I37" s="55"/>
      <c r="J37" s="55"/>
      <c r="K37" s="55"/>
      <c r="L37" s="55"/>
      <c r="M37" s="55"/>
      <c r="N37" s="55"/>
      <c r="O37" s="85"/>
      <c r="P37" s="55"/>
      <c r="Q37" s="55"/>
      <c r="R37" s="55"/>
      <c r="S37" s="70">
        <v>3000</v>
      </c>
      <c r="T37" s="71"/>
    </row>
    <row r="38" spans="1:20" s="17" customFormat="1" ht="15" thickBot="1" x14ac:dyDescent="0.35">
      <c r="A38" s="1" t="s">
        <v>30</v>
      </c>
      <c r="B38" s="2" t="s">
        <v>97</v>
      </c>
      <c r="C38" s="60" t="s">
        <v>98</v>
      </c>
      <c r="D38" s="60" t="s">
        <v>99</v>
      </c>
      <c r="E38" s="61">
        <v>2300</v>
      </c>
      <c r="F38" s="30">
        <v>2500</v>
      </c>
      <c r="G38" s="79"/>
      <c r="H38" s="79"/>
      <c r="I38" s="55"/>
      <c r="J38" s="55"/>
      <c r="K38" s="55"/>
      <c r="L38" s="55"/>
      <c r="M38" s="55"/>
      <c r="N38" s="55"/>
      <c r="O38" s="85">
        <v>2500</v>
      </c>
      <c r="P38" s="55"/>
      <c r="Q38" s="55"/>
      <c r="R38" s="55"/>
      <c r="S38" s="70"/>
      <c r="T38" s="71"/>
    </row>
    <row r="39" spans="1:20" s="17" customFormat="1" ht="15" thickBot="1" x14ac:dyDescent="0.35">
      <c r="A39" s="62" t="s">
        <v>30</v>
      </c>
      <c r="B39" s="5" t="s">
        <v>23</v>
      </c>
      <c r="C39" s="58" t="s">
        <v>100</v>
      </c>
      <c r="D39" s="58" t="s">
        <v>99</v>
      </c>
      <c r="E39" s="59">
        <v>900</v>
      </c>
      <c r="F39" s="31">
        <v>1000</v>
      </c>
      <c r="G39" s="79"/>
      <c r="H39" s="79"/>
      <c r="I39" s="55"/>
      <c r="J39" s="55"/>
      <c r="K39" s="55"/>
      <c r="L39" s="55"/>
      <c r="M39" s="55"/>
      <c r="N39" s="55"/>
      <c r="O39" s="85"/>
      <c r="P39" s="55"/>
      <c r="Q39" s="55"/>
      <c r="R39" s="55"/>
      <c r="S39" s="70">
        <v>1000</v>
      </c>
      <c r="T39" s="71"/>
    </row>
    <row r="40" spans="1:20" s="17" customFormat="1" ht="15" thickBot="1" x14ac:dyDescent="0.35">
      <c r="A40" s="62" t="s">
        <v>30</v>
      </c>
      <c r="B40" s="5" t="s">
        <v>23</v>
      </c>
      <c r="C40" s="58" t="s">
        <v>101</v>
      </c>
      <c r="D40" s="58" t="s">
        <v>99</v>
      </c>
      <c r="E40" s="59">
        <v>900</v>
      </c>
      <c r="F40" s="31">
        <v>1000</v>
      </c>
      <c r="G40" s="79"/>
      <c r="H40" s="79"/>
      <c r="I40" s="55"/>
      <c r="J40" s="55"/>
      <c r="K40" s="55"/>
      <c r="L40" s="55">
        <v>1000</v>
      </c>
      <c r="M40" s="55"/>
      <c r="N40" s="55"/>
      <c r="O40" s="85"/>
      <c r="P40" s="55"/>
      <c r="Q40" s="55"/>
      <c r="R40" s="55"/>
      <c r="S40" s="70"/>
      <c r="T40" s="71"/>
    </row>
    <row r="41" spans="1:20" s="17" customFormat="1" ht="15" thickBot="1" x14ac:dyDescent="0.35">
      <c r="A41" s="62" t="s">
        <v>30</v>
      </c>
      <c r="B41" s="5" t="s">
        <v>102</v>
      </c>
      <c r="C41" s="58" t="s">
        <v>103</v>
      </c>
      <c r="D41" s="58" t="s">
        <v>99</v>
      </c>
      <c r="E41" s="59">
        <v>1600</v>
      </c>
      <c r="F41" s="31">
        <v>1750</v>
      </c>
      <c r="G41" s="79"/>
      <c r="H41" s="79"/>
      <c r="I41" s="55"/>
      <c r="J41" s="55"/>
      <c r="K41" s="55"/>
      <c r="L41" s="55">
        <v>1750</v>
      </c>
      <c r="M41" s="55"/>
      <c r="N41" s="55"/>
      <c r="O41" s="85"/>
      <c r="P41" s="55"/>
      <c r="Q41" s="55"/>
      <c r="R41" s="55"/>
      <c r="S41" s="70"/>
      <c r="T41" s="71"/>
    </row>
    <row r="42" spans="1:20" s="17" customFormat="1" ht="16.2" thickBot="1" x14ac:dyDescent="0.35">
      <c r="A42" s="12"/>
      <c r="B42" s="140" t="s">
        <v>104</v>
      </c>
      <c r="C42" s="141" t="s">
        <v>105</v>
      </c>
      <c r="D42" s="60" t="s">
        <v>106</v>
      </c>
      <c r="E42" s="142" t="s">
        <v>107</v>
      </c>
      <c r="F42" s="143">
        <v>10000</v>
      </c>
      <c r="G42" s="79"/>
      <c r="H42" s="79"/>
      <c r="I42" s="55"/>
      <c r="J42" s="55"/>
      <c r="K42" s="55"/>
      <c r="L42" s="55"/>
      <c r="M42" s="55"/>
      <c r="N42" s="55"/>
      <c r="O42" s="85">
        <v>10000</v>
      </c>
      <c r="P42" s="55"/>
      <c r="Q42" s="55"/>
      <c r="R42" s="55"/>
      <c r="S42" s="70"/>
      <c r="T42" s="71"/>
    </row>
    <row r="43" spans="1:20" s="17" customFormat="1" ht="16.2" thickBot="1" x14ac:dyDescent="0.35">
      <c r="A43" s="12"/>
      <c r="B43" s="144" t="s">
        <v>108</v>
      </c>
      <c r="C43" s="145" t="s">
        <v>51</v>
      </c>
      <c r="D43" s="58" t="s">
        <v>109</v>
      </c>
      <c r="E43" s="146" t="s">
        <v>52</v>
      </c>
      <c r="F43" s="147">
        <v>23400</v>
      </c>
      <c r="G43" s="79"/>
      <c r="H43" s="79"/>
      <c r="I43" s="55"/>
      <c r="J43" s="55"/>
      <c r="K43" s="55"/>
      <c r="L43" s="55"/>
      <c r="M43" s="55"/>
      <c r="N43" s="55"/>
      <c r="O43" s="85"/>
      <c r="P43" s="55"/>
      <c r="Q43" s="55"/>
      <c r="R43" s="55"/>
      <c r="S43" s="70">
        <v>23400</v>
      </c>
      <c r="T43" s="71"/>
    </row>
    <row r="44" spans="1:20" s="17" customFormat="1" ht="15" thickBot="1" x14ac:dyDescent="0.35">
      <c r="A44" s="18" t="s">
        <v>30</v>
      </c>
      <c r="B44" s="19" t="s">
        <v>54</v>
      </c>
      <c r="C44" s="97" t="s">
        <v>110</v>
      </c>
      <c r="D44" s="97" t="s">
        <v>111</v>
      </c>
      <c r="E44" s="98">
        <v>3500</v>
      </c>
      <c r="F44" s="99">
        <v>3850</v>
      </c>
      <c r="G44" s="79"/>
      <c r="H44" s="79"/>
      <c r="I44" s="55"/>
      <c r="J44" s="55"/>
      <c r="K44" s="55"/>
      <c r="L44" s="55">
        <v>3850</v>
      </c>
      <c r="M44" s="55"/>
      <c r="N44" s="55"/>
      <c r="O44" s="85"/>
      <c r="P44" s="55"/>
      <c r="Q44" s="55"/>
      <c r="R44" s="55"/>
      <c r="S44" s="70"/>
      <c r="T44" s="71"/>
    </row>
    <row r="45" spans="1:20" s="17" customFormat="1" ht="15" thickBot="1" x14ac:dyDescent="0.35">
      <c r="A45" s="1" t="s">
        <v>30</v>
      </c>
      <c r="B45" s="2" t="s">
        <v>23</v>
      </c>
      <c r="C45" s="60" t="s">
        <v>101</v>
      </c>
      <c r="D45" s="97" t="s">
        <v>111</v>
      </c>
      <c r="E45" s="61">
        <v>3600</v>
      </c>
      <c r="F45" s="30">
        <v>4000</v>
      </c>
      <c r="G45" s="79"/>
      <c r="H45" s="79"/>
      <c r="I45" s="55"/>
      <c r="J45" s="55"/>
      <c r="K45" s="55"/>
      <c r="L45" s="55">
        <v>4000</v>
      </c>
      <c r="M45" s="55"/>
      <c r="N45" s="55"/>
      <c r="O45" s="85"/>
      <c r="P45" s="55"/>
      <c r="Q45" s="55"/>
      <c r="R45" s="55"/>
      <c r="S45" s="70"/>
      <c r="T45" s="71"/>
    </row>
    <row r="46" spans="1:20" s="17" customFormat="1" ht="16.2" thickBot="1" x14ac:dyDescent="0.35">
      <c r="A46" s="12"/>
      <c r="B46" s="148" t="s">
        <v>104</v>
      </c>
      <c r="C46" s="2" t="s">
        <v>46</v>
      </c>
      <c r="D46" s="60" t="s">
        <v>111</v>
      </c>
      <c r="E46" s="60" t="s">
        <v>112</v>
      </c>
      <c r="F46" s="61">
        <v>6500</v>
      </c>
      <c r="G46" s="79"/>
      <c r="H46" s="79"/>
      <c r="I46" s="55"/>
      <c r="J46" s="55"/>
      <c r="K46" s="55"/>
      <c r="L46" s="55"/>
      <c r="M46" s="55"/>
      <c r="N46" s="55"/>
      <c r="O46" s="85">
        <v>6500</v>
      </c>
      <c r="P46" s="55"/>
      <c r="Q46" s="55"/>
      <c r="R46" s="55"/>
      <c r="S46" s="70"/>
      <c r="T46" s="71"/>
    </row>
    <row r="47" spans="1:20" s="17" customFormat="1" ht="15" thickBot="1" x14ac:dyDescent="0.35">
      <c r="A47" s="12"/>
      <c r="B47" s="129" t="s">
        <v>32</v>
      </c>
      <c r="C47" s="2" t="s">
        <v>31</v>
      </c>
      <c r="D47" s="60" t="s">
        <v>113</v>
      </c>
      <c r="E47" s="60" t="s">
        <v>33</v>
      </c>
      <c r="F47" s="95">
        <v>38700</v>
      </c>
      <c r="G47" s="79"/>
      <c r="H47" s="79"/>
      <c r="I47" s="55"/>
      <c r="J47" s="55"/>
      <c r="K47" s="55"/>
      <c r="L47" s="55">
        <v>38700</v>
      </c>
      <c r="M47" s="55"/>
      <c r="N47" s="55"/>
      <c r="O47" s="85"/>
      <c r="P47" s="55"/>
      <c r="Q47" s="55"/>
      <c r="R47" s="55"/>
      <c r="S47" s="70"/>
      <c r="T47" s="71"/>
    </row>
    <row r="48" spans="1:20" s="17" customFormat="1" ht="15" thickBot="1" x14ac:dyDescent="0.35">
      <c r="A48" s="12"/>
      <c r="B48" s="62" t="s">
        <v>35</v>
      </c>
      <c r="C48" s="5" t="s">
        <v>31</v>
      </c>
      <c r="D48" s="58" t="s">
        <v>113</v>
      </c>
      <c r="E48" s="58" t="s">
        <v>33</v>
      </c>
      <c r="F48" s="110">
        <v>38700</v>
      </c>
      <c r="G48" s="79"/>
      <c r="H48" s="79"/>
      <c r="I48" s="55"/>
      <c r="J48" s="55"/>
      <c r="K48" s="55"/>
      <c r="L48" s="55">
        <v>38700</v>
      </c>
      <c r="M48" s="55"/>
      <c r="N48" s="55"/>
      <c r="O48" s="85"/>
      <c r="P48" s="55"/>
      <c r="Q48" s="55"/>
      <c r="R48" s="55"/>
      <c r="S48" s="70"/>
      <c r="T48" s="71"/>
    </row>
    <row r="49" spans="1:21" s="17" customFormat="1" ht="15" thickBot="1" x14ac:dyDescent="0.35">
      <c r="A49" s="18" t="s">
        <v>30</v>
      </c>
      <c r="B49" s="19" t="s">
        <v>23</v>
      </c>
      <c r="C49" s="60" t="s">
        <v>114</v>
      </c>
      <c r="D49" s="60" t="s">
        <v>115</v>
      </c>
      <c r="E49" s="61">
        <v>2300</v>
      </c>
      <c r="F49" s="30">
        <v>2500</v>
      </c>
      <c r="G49" s="79"/>
      <c r="H49" s="79"/>
      <c r="I49" s="55"/>
      <c r="J49" s="55"/>
      <c r="K49" s="55"/>
      <c r="L49" s="55">
        <v>2500</v>
      </c>
      <c r="M49" s="55"/>
      <c r="N49" s="55"/>
      <c r="O49" s="85"/>
      <c r="P49" s="55"/>
      <c r="Q49" s="55"/>
      <c r="R49" s="55"/>
      <c r="S49" s="70"/>
      <c r="T49" s="71"/>
    </row>
    <row r="50" spans="1:21" s="17" customFormat="1" ht="15" thickBot="1" x14ac:dyDescent="0.35">
      <c r="A50" s="1" t="s">
        <v>30</v>
      </c>
      <c r="B50" s="2" t="s">
        <v>23</v>
      </c>
      <c r="C50" s="58" t="s">
        <v>116</v>
      </c>
      <c r="D50" s="58" t="s">
        <v>115</v>
      </c>
      <c r="E50" s="59">
        <v>3700</v>
      </c>
      <c r="F50" s="31">
        <v>4000</v>
      </c>
      <c r="G50" s="79"/>
      <c r="H50" s="79"/>
      <c r="I50" s="55"/>
      <c r="J50" s="55"/>
      <c r="K50" s="55"/>
      <c r="L50" s="55">
        <v>4000</v>
      </c>
      <c r="M50" s="55"/>
      <c r="N50" s="55"/>
      <c r="O50" s="85"/>
      <c r="P50" s="55"/>
      <c r="Q50" s="55"/>
      <c r="R50" s="55"/>
      <c r="S50" s="70"/>
      <c r="T50" s="71"/>
    </row>
    <row r="51" spans="1:21" s="17" customFormat="1" ht="15" thickBot="1" x14ac:dyDescent="0.35">
      <c r="A51" s="62" t="s">
        <v>30</v>
      </c>
      <c r="B51" s="5" t="s">
        <v>23</v>
      </c>
      <c r="C51" s="58" t="s">
        <v>117</v>
      </c>
      <c r="D51" s="58" t="s">
        <v>115</v>
      </c>
      <c r="E51" s="59">
        <v>2700</v>
      </c>
      <c r="F51" s="31">
        <v>3000</v>
      </c>
      <c r="G51" s="79"/>
      <c r="H51" s="79"/>
      <c r="I51" s="55"/>
      <c r="J51" s="55">
        <v>3000</v>
      </c>
      <c r="K51" s="55"/>
      <c r="L51" s="55"/>
      <c r="M51" s="55"/>
      <c r="N51" s="55"/>
      <c r="O51" s="85"/>
      <c r="P51" s="55"/>
      <c r="Q51" s="55"/>
      <c r="R51" s="55"/>
      <c r="S51" s="70"/>
      <c r="T51" s="71"/>
    </row>
    <row r="52" spans="1:21" s="17" customFormat="1" ht="15" thickBot="1" x14ac:dyDescent="0.35">
      <c r="A52" s="62" t="s">
        <v>30</v>
      </c>
      <c r="B52" s="5" t="s">
        <v>23</v>
      </c>
      <c r="C52" s="58" t="s">
        <v>118</v>
      </c>
      <c r="D52" s="58" t="s">
        <v>115</v>
      </c>
      <c r="E52" s="59">
        <v>900</v>
      </c>
      <c r="F52" s="31">
        <v>1000</v>
      </c>
      <c r="G52" s="79"/>
      <c r="H52" s="79"/>
      <c r="I52" s="55"/>
      <c r="J52" s="55"/>
      <c r="K52" s="55"/>
      <c r="L52" s="55"/>
      <c r="M52" s="55"/>
      <c r="N52" s="55">
        <v>1000</v>
      </c>
      <c r="O52" s="85"/>
      <c r="P52" s="55"/>
      <c r="Q52" s="55"/>
      <c r="R52" s="55"/>
      <c r="S52" s="70"/>
      <c r="T52" s="71"/>
    </row>
    <row r="53" spans="1:21" s="17" customFormat="1" ht="15" thickBot="1" x14ac:dyDescent="0.35">
      <c r="A53" s="1" t="s">
        <v>30</v>
      </c>
      <c r="B53" s="2" t="s">
        <v>23</v>
      </c>
      <c r="C53" s="130" t="s">
        <v>119</v>
      </c>
      <c r="D53" s="100" t="s">
        <v>115</v>
      </c>
      <c r="E53" s="101">
        <v>900</v>
      </c>
      <c r="F53" s="30">
        <v>1000</v>
      </c>
      <c r="G53" s="79"/>
      <c r="H53" s="79"/>
      <c r="I53" s="55"/>
      <c r="J53" s="55">
        <v>1000</v>
      </c>
      <c r="K53" s="55"/>
      <c r="L53" s="55"/>
      <c r="M53" s="55"/>
      <c r="N53" s="55"/>
      <c r="O53" s="85"/>
      <c r="P53" s="55"/>
      <c r="Q53" s="55"/>
      <c r="R53" s="55"/>
      <c r="S53" s="70"/>
      <c r="T53" s="71"/>
    </row>
    <row r="54" spans="1:21" s="17" customFormat="1" ht="15" thickBot="1" x14ac:dyDescent="0.35">
      <c r="A54" s="12"/>
      <c r="B54" s="1" t="s">
        <v>86</v>
      </c>
      <c r="C54" s="2" t="s">
        <v>51</v>
      </c>
      <c r="D54" s="60" t="s">
        <v>120</v>
      </c>
      <c r="E54" s="60" t="s">
        <v>52</v>
      </c>
      <c r="F54" s="61">
        <v>23400</v>
      </c>
      <c r="G54" s="79"/>
      <c r="H54" s="79"/>
      <c r="I54" s="55"/>
      <c r="J54" s="55"/>
      <c r="K54" s="55"/>
      <c r="L54" s="55"/>
      <c r="M54" s="55"/>
      <c r="N54" s="55"/>
      <c r="O54" s="85"/>
      <c r="P54" s="55"/>
      <c r="Q54" s="55"/>
      <c r="R54" s="55"/>
      <c r="S54" s="70">
        <v>23400</v>
      </c>
      <c r="T54" s="71"/>
    </row>
    <row r="55" spans="1:21" s="17" customFormat="1" ht="15" thickBot="1" x14ac:dyDescent="0.35">
      <c r="A55" s="1" t="s">
        <v>26</v>
      </c>
      <c r="B55" s="2" t="s">
        <v>31</v>
      </c>
      <c r="C55" s="60" t="s">
        <v>65</v>
      </c>
      <c r="D55" s="60" t="s">
        <v>120</v>
      </c>
      <c r="E55" s="61">
        <v>24000</v>
      </c>
      <c r="F55" s="30">
        <v>25800</v>
      </c>
      <c r="G55" s="79"/>
      <c r="H55" s="79"/>
      <c r="I55" s="55"/>
      <c r="J55" s="55"/>
      <c r="K55" s="55"/>
      <c r="L55" s="55">
        <v>25800</v>
      </c>
      <c r="M55" s="55"/>
      <c r="N55" s="55"/>
      <c r="O55" s="85"/>
      <c r="P55" s="55"/>
      <c r="Q55" s="55"/>
      <c r="R55" s="55"/>
      <c r="S55" s="70"/>
      <c r="T55" s="71"/>
    </row>
    <row r="56" spans="1:21" s="17" customFormat="1" ht="15" thickBot="1" x14ac:dyDescent="0.35">
      <c r="A56" s="62" t="s">
        <v>30</v>
      </c>
      <c r="B56" s="5" t="s">
        <v>23</v>
      </c>
      <c r="C56" s="58" t="s">
        <v>121</v>
      </c>
      <c r="D56" s="58" t="s">
        <v>122</v>
      </c>
      <c r="E56" s="59">
        <v>1800</v>
      </c>
      <c r="F56" s="31">
        <v>2000</v>
      </c>
      <c r="G56" s="79"/>
      <c r="H56" s="79"/>
      <c r="I56" s="55"/>
      <c r="J56" s="55"/>
      <c r="K56" s="55"/>
      <c r="L56" s="55"/>
      <c r="M56" s="55"/>
      <c r="N56" s="55">
        <v>2000</v>
      </c>
      <c r="O56" s="85"/>
      <c r="P56" s="55"/>
      <c r="Q56" s="55"/>
      <c r="R56" s="55"/>
      <c r="S56" s="70"/>
      <c r="T56" s="71"/>
    </row>
    <row r="57" spans="1:21" s="17" customFormat="1" ht="15" thickBot="1" x14ac:dyDescent="0.35">
      <c r="A57" s="1" t="s">
        <v>30</v>
      </c>
      <c r="B57" s="2" t="s">
        <v>23</v>
      </c>
      <c r="C57" s="60" t="s">
        <v>117</v>
      </c>
      <c r="D57" s="100" t="s">
        <v>123</v>
      </c>
      <c r="E57" s="61">
        <v>2700</v>
      </c>
      <c r="F57" s="30">
        <v>3000</v>
      </c>
      <c r="G57" s="79"/>
      <c r="H57" s="79"/>
      <c r="I57" s="55"/>
      <c r="J57" s="55">
        <v>3000</v>
      </c>
      <c r="K57" s="55"/>
      <c r="L57" s="55"/>
      <c r="M57" s="55"/>
      <c r="N57" s="55"/>
      <c r="O57" s="85"/>
      <c r="P57" s="55"/>
      <c r="Q57" s="55"/>
      <c r="R57" s="55"/>
      <c r="S57" s="70"/>
      <c r="T57" s="71"/>
    </row>
    <row r="58" spans="1:21" s="17" customFormat="1" ht="15" thickBot="1" x14ac:dyDescent="0.35">
      <c r="A58" s="18" t="s">
        <v>45</v>
      </c>
      <c r="B58" s="19" t="s">
        <v>124</v>
      </c>
      <c r="C58" s="97" t="s">
        <v>125</v>
      </c>
      <c r="D58" s="100" t="s">
        <v>126</v>
      </c>
      <c r="E58" s="98">
        <v>2500</v>
      </c>
      <c r="F58" s="121">
        <v>2750</v>
      </c>
      <c r="G58" s="79"/>
      <c r="H58" s="79"/>
      <c r="I58" s="55"/>
      <c r="J58" s="55">
        <v>2750</v>
      </c>
      <c r="K58" s="55"/>
      <c r="L58" s="55"/>
      <c r="M58" s="55"/>
      <c r="N58" s="55"/>
      <c r="O58" s="85"/>
      <c r="P58" s="55"/>
      <c r="Q58" s="55"/>
      <c r="R58" s="55"/>
      <c r="S58" s="70"/>
      <c r="T58" s="71"/>
    </row>
    <row r="59" spans="1:21" s="17" customFormat="1" ht="15" thickBot="1" x14ac:dyDescent="0.35">
      <c r="A59" s="1" t="s">
        <v>127</v>
      </c>
      <c r="B59" s="2" t="s">
        <v>128</v>
      </c>
      <c r="C59" s="60" t="s">
        <v>129</v>
      </c>
      <c r="D59" s="73" t="s">
        <v>130</v>
      </c>
      <c r="E59" s="61">
        <v>16000</v>
      </c>
      <c r="F59" s="149">
        <v>18600</v>
      </c>
      <c r="G59" s="79"/>
      <c r="H59" s="79"/>
      <c r="I59" s="55"/>
      <c r="J59" s="55"/>
      <c r="K59" s="55"/>
      <c r="L59" s="55"/>
      <c r="M59" s="55"/>
      <c r="N59" s="55"/>
      <c r="O59" s="85"/>
      <c r="P59" s="55"/>
      <c r="Q59" s="55"/>
      <c r="R59" s="55">
        <v>18600</v>
      </c>
      <c r="S59" s="70"/>
      <c r="T59" s="71"/>
    </row>
    <row r="60" spans="1:21" s="17" customFormat="1" ht="15" thickBot="1" x14ac:dyDescent="0.35">
      <c r="A60" s="154" t="s">
        <v>26</v>
      </c>
      <c r="B60" s="133" t="s">
        <v>28</v>
      </c>
      <c r="C60" s="118" t="s">
        <v>131</v>
      </c>
      <c r="D60" s="119" t="s">
        <v>126</v>
      </c>
      <c r="E60" s="135">
        <v>16000</v>
      </c>
      <c r="F60" s="14">
        <v>16500</v>
      </c>
      <c r="G60" s="79"/>
      <c r="H60" s="79"/>
      <c r="I60" s="55"/>
      <c r="J60" s="55"/>
      <c r="K60" s="55"/>
      <c r="L60" s="55"/>
      <c r="M60" s="55"/>
      <c r="N60" s="55">
        <v>16500</v>
      </c>
      <c r="O60" s="85"/>
      <c r="P60" s="55"/>
      <c r="Q60" s="55"/>
      <c r="R60" s="55"/>
      <c r="S60" s="70"/>
      <c r="T60" s="71"/>
    </row>
    <row r="61" spans="1:21" s="17" customFormat="1" ht="15" thickBot="1" x14ac:dyDescent="0.35">
      <c r="A61" s="1" t="s">
        <v>30</v>
      </c>
      <c r="B61" s="2" t="s">
        <v>23</v>
      </c>
      <c r="C61" s="60" t="s">
        <v>132</v>
      </c>
      <c r="D61" s="103" t="s">
        <v>126</v>
      </c>
      <c r="E61" s="61">
        <v>900</v>
      </c>
      <c r="F61" s="149">
        <v>1000</v>
      </c>
      <c r="G61" s="79"/>
      <c r="H61" s="79"/>
      <c r="I61" s="55"/>
      <c r="J61" s="55"/>
      <c r="K61" s="55"/>
      <c r="L61" s="55">
        <v>1000</v>
      </c>
      <c r="M61" s="55"/>
      <c r="N61" s="55"/>
      <c r="O61" s="85"/>
      <c r="P61" s="55"/>
      <c r="Q61" s="55"/>
      <c r="R61" s="55"/>
      <c r="S61" s="70"/>
      <c r="T61" s="71"/>
    </row>
    <row r="62" spans="1:21" s="17" customFormat="1" ht="15" thickBot="1" x14ac:dyDescent="0.35">
      <c r="A62" s="62" t="s">
        <v>30</v>
      </c>
      <c r="B62" s="5" t="s">
        <v>23</v>
      </c>
      <c r="C62" s="58" t="s">
        <v>133</v>
      </c>
      <c r="D62" s="103" t="s">
        <v>126</v>
      </c>
      <c r="E62" s="59">
        <v>3700</v>
      </c>
      <c r="F62" s="111">
        <v>4000</v>
      </c>
      <c r="G62" s="79"/>
      <c r="H62" s="79"/>
      <c r="I62" s="55"/>
      <c r="J62" s="55"/>
      <c r="K62" s="55"/>
      <c r="L62" s="55">
        <v>4000</v>
      </c>
      <c r="M62" s="55"/>
      <c r="N62" s="55"/>
      <c r="O62" s="85"/>
      <c r="P62" s="55"/>
      <c r="Q62" s="55"/>
      <c r="R62" s="55"/>
      <c r="S62" s="70"/>
      <c r="T62" s="71"/>
    </row>
    <row r="63" spans="1:21" s="17" customFormat="1" ht="15" thickBot="1" x14ac:dyDescent="0.35">
      <c r="A63" s="62" t="s">
        <v>30</v>
      </c>
      <c r="B63" s="5" t="s">
        <v>23</v>
      </c>
      <c r="C63" s="58" t="s">
        <v>134</v>
      </c>
      <c r="D63" s="103" t="s">
        <v>126</v>
      </c>
      <c r="E63" s="59">
        <v>4500</v>
      </c>
      <c r="F63" s="111">
        <v>5000</v>
      </c>
      <c r="G63" s="79"/>
      <c r="H63" s="79"/>
      <c r="I63" s="55"/>
      <c r="J63" s="55">
        <v>5000</v>
      </c>
      <c r="K63" s="55"/>
      <c r="L63" s="55"/>
      <c r="M63" s="55"/>
      <c r="N63" s="55"/>
      <c r="O63" s="85"/>
      <c r="P63" s="55"/>
      <c r="Q63" s="55"/>
      <c r="R63" s="55"/>
      <c r="S63" s="70"/>
      <c r="T63" s="71"/>
    </row>
    <row r="64" spans="1:21" x14ac:dyDescent="0.3">
      <c r="A64" s="12"/>
      <c r="B64" s="13"/>
      <c r="C64" s="35"/>
      <c r="D64" s="27"/>
      <c r="E64" s="54"/>
      <c r="F64" s="67"/>
      <c r="I64" t="s">
        <v>16</v>
      </c>
      <c r="J64" s="68">
        <f t="shared" ref="J64:S64" si="0">SUM(J2:J63)</f>
        <v>14750</v>
      </c>
      <c r="K64" s="68">
        <f t="shared" si="0"/>
        <v>0</v>
      </c>
      <c r="L64" s="68">
        <f t="shared" si="0"/>
        <v>477400</v>
      </c>
      <c r="M64" s="68">
        <f t="shared" si="0"/>
        <v>0</v>
      </c>
      <c r="N64" s="68">
        <f t="shared" si="0"/>
        <v>43500</v>
      </c>
      <c r="O64" s="68">
        <f t="shared" si="0"/>
        <v>21750</v>
      </c>
      <c r="P64" s="68">
        <f t="shared" si="0"/>
        <v>29000</v>
      </c>
      <c r="Q64" s="68">
        <f t="shared" si="0"/>
        <v>0</v>
      </c>
      <c r="R64" s="68">
        <f t="shared" si="0"/>
        <v>18600</v>
      </c>
      <c r="S64" s="68">
        <f t="shared" si="0"/>
        <v>168400</v>
      </c>
      <c r="T64" s="68">
        <f>SUM(T2:T57)</f>
        <v>25000</v>
      </c>
      <c r="U64" s="77">
        <f>SUM(J64:T64)</f>
        <v>798400</v>
      </c>
    </row>
    <row r="65" spans="5:21" x14ac:dyDescent="0.3">
      <c r="I65">
        <f>J65+K65+L65+M65+N65+O65+P65+R65+S65+T65+Q65</f>
        <v>488850</v>
      </c>
      <c r="L65">
        <v>290900</v>
      </c>
      <c r="M65" s="75"/>
      <c r="N65">
        <v>24000</v>
      </c>
      <c r="O65" s="86">
        <v>21750</v>
      </c>
      <c r="P65">
        <v>29000</v>
      </c>
      <c r="S65">
        <v>98200</v>
      </c>
      <c r="T65" s="64">
        <v>25000</v>
      </c>
      <c r="U65" s="77">
        <f>SUM(J65:T65)</f>
        <v>488850</v>
      </c>
    </row>
    <row r="66" spans="5:21" x14ac:dyDescent="0.3">
      <c r="J66" s="78">
        <f>J64-J65</f>
        <v>14750</v>
      </c>
      <c r="K66" s="78">
        <f>K64-K65</f>
        <v>0</v>
      </c>
      <c r="L66" s="78">
        <f>L64-L65</f>
        <v>186500</v>
      </c>
      <c r="M66" s="78">
        <f>M64-M65</f>
        <v>0</v>
      </c>
      <c r="N66" s="78">
        <f t="shared" ref="N66:T66" si="1">N64-N65</f>
        <v>19500</v>
      </c>
      <c r="O66" s="17">
        <f t="shared" si="1"/>
        <v>0</v>
      </c>
      <c r="P66" s="78">
        <f t="shared" si="1"/>
        <v>0</v>
      </c>
      <c r="Q66" s="78">
        <f t="shared" si="1"/>
        <v>0</v>
      </c>
      <c r="R66" s="78">
        <f t="shared" si="1"/>
        <v>18600</v>
      </c>
      <c r="S66" s="78">
        <f t="shared" si="1"/>
        <v>70200</v>
      </c>
      <c r="T66" s="78">
        <f t="shared" si="1"/>
        <v>0</v>
      </c>
      <c r="U66" s="77">
        <f>SUM(J66:T66)</f>
        <v>309550</v>
      </c>
    </row>
    <row r="68" spans="5:21" ht="27.6" customHeight="1" x14ac:dyDescent="0.3">
      <c r="E68">
        <f>SUM(E2:E67)</f>
        <v>297300</v>
      </c>
      <c r="F68" s="24">
        <f>SUM(F2:F67)</f>
        <v>798400</v>
      </c>
      <c r="J68" s="90" t="s">
        <v>8</v>
      </c>
      <c r="K68" s="65" t="s">
        <v>22</v>
      </c>
      <c r="L68" s="90" t="s">
        <v>10</v>
      </c>
      <c r="M68" s="90" t="s">
        <v>9</v>
      </c>
      <c r="N68" s="90" t="s">
        <v>14</v>
      </c>
      <c r="O68" s="91" t="s">
        <v>36</v>
      </c>
      <c r="P68" s="90" t="s">
        <v>92</v>
      </c>
      <c r="Q68" s="65" t="s">
        <v>24</v>
      </c>
      <c r="R68" s="90" t="s">
        <v>25</v>
      </c>
      <c r="S68" s="92" t="s">
        <v>11</v>
      </c>
      <c r="T68" s="93" t="s">
        <v>13</v>
      </c>
    </row>
    <row r="69" spans="5:21" ht="20.399999999999999" customHeight="1" x14ac:dyDescent="0.3">
      <c r="E69" t="s">
        <v>15</v>
      </c>
      <c r="F69">
        <f>I65</f>
        <v>488850</v>
      </c>
    </row>
    <row r="70" spans="5:21" ht="25.2" customHeight="1" x14ac:dyDescent="0.3">
      <c r="F70" s="74">
        <f>F68-F69</f>
        <v>309550</v>
      </c>
    </row>
  </sheetData>
  <pageMargins left="0.25" right="0.25" top="0.75" bottom="0.75" header="0.3" footer="0.3"/>
  <pageSetup paperSize="9"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opLeftCell="A4" workbookViewId="0">
      <selection activeCell="D21" sqref="D21"/>
    </sheetView>
  </sheetViews>
  <sheetFormatPr defaultRowHeight="14.4" x14ac:dyDescent="0.3"/>
  <cols>
    <col min="1" max="1" width="44.44140625" customWidth="1"/>
    <col min="2" max="2" width="40.6640625" customWidth="1"/>
    <col min="3" max="3" width="34.33203125" customWidth="1"/>
    <col min="4" max="4" width="17.109375" customWidth="1"/>
    <col min="5" max="5" width="22.44140625" customWidth="1"/>
  </cols>
  <sheetData>
    <row r="1" spans="1:9" ht="15" thickBot="1" x14ac:dyDescent="0.35">
      <c r="C1" s="17"/>
      <c r="D1" s="17"/>
      <c r="E1" s="17"/>
    </row>
    <row r="2" spans="1:9" ht="15" thickBot="1" x14ac:dyDescent="0.35">
      <c r="A2" s="129" t="s">
        <v>32</v>
      </c>
      <c r="B2" s="2" t="s">
        <v>31</v>
      </c>
      <c r="C2" s="100" t="s">
        <v>44</v>
      </c>
      <c r="D2" s="100" t="s">
        <v>33</v>
      </c>
      <c r="E2" s="128">
        <v>38700</v>
      </c>
    </row>
    <row r="3" spans="1:9" ht="15" thickBot="1" x14ac:dyDescent="0.35">
      <c r="A3" s="62" t="s">
        <v>35</v>
      </c>
      <c r="B3" s="5" t="s">
        <v>31</v>
      </c>
      <c r="C3" s="73" t="s">
        <v>44</v>
      </c>
      <c r="D3" s="73" t="s">
        <v>33</v>
      </c>
      <c r="E3" s="132">
        <v>38700</v>
      </c>
    </row>
    <row r="4" spans="1:9" ht="15" thickBot="1" x14ac:dyDescent="0.35">
      <c r="A4" s="129" t="s">
        <v>32</v>
      </c>
      <c r="B4" s="2" t="s">
        <v>31</v>
      </c>
      <c r="C4" s="60" t="s">
        <v>60</v>
      </c>
      <c r="D4" s="60" t="s">
        <v>33</v>
      </c>
      <c r="E4" s="95">
        <v>38700</v>
      </c>
    </row>
    <row r="5" spans="1:9" ht="15" thickBot="1" x14ac:dyDescent="0.35">
      <c r="A5" s="62" t="s">
        <v>35</v>
      </c>
      <c r="B5" s="5" t="s">
        <v>31</v>
      </c>
      <c r="C5" s="58" t="s">
        <v>60</v>
      </c>
      <c r="D5" s="58" t="s">
        <v>33</v>
      </c>
      <c r="E5" s="110">
        <v>38700</v>
      </c>
      <c r="G5" s="12"/>
      <c r="H5" s="12"/>
      <c r="I5" s="37"/>
    </row>
    <row r="6" spans="1:9" ht="15" thickBot="1" x14ac:dyDescent="0.35">
      <c r="A6" s="129" t="s">
        <v>35</v>
      </c>
      <c r="B6" s="2" t="s">
        <v>31</v>
      </c>
      <c r="C6" s="60" t="s">
        <v>69</v>
      </c>
      <c r="D6" s="60" t="s">
        <v>33</v>
      </c>
      <c r="E6" s="95">
        <v>38700</v>
      </c>
      <c r="F6" s="12"/>
      <c r="H6" s="12"/>
      <c r="I6" s="37"/>
    </row>
    <row r="7" spans="1:9" ht="15" thickBot="1" x14ac:dyDescent="0.35">
      <c r="A7" s="62" t="s">
        <v>70</v>
      </c>
      <c r="B7" s="5" t="s">
        <v>71</v>
      </c>
      <c r="C7" s="58" t="s">
        <v>72</v>
      </c>
      <c r="D7" s="58" t="s">
        <v>52</v>
      </c>
      <c r="E7" s="59">
        <v>23400</v>
      </c>
      <c r="G7" s="12"/>
    </row>
    <row r="8" spans="1:9" ht="15" thickBot="1" x14ac:dyDescent="0.35">
      <c r="A8" s="138" t="s">
        <v>78</v>
      </c>
      <c r="B8" s="8" t="s">
        <v>79</v>
      </c>
      <c r="C8" s="100" t="s">
        <v>80</v>
      </c>
      <c r="D8" s="100" t="s">
        <v>81</v>
      </c>
      <c r="E8" s="139">
        <v>13000</v>
      </c>
      <c r="G8" s="12"/>
    </row>
    <row r="9" spans="1:9" ht="15" thickBot="1" x14ac:dyDescent="0.35">
      <c r="A9" s="129" t="s">
        <v>32</v>
      </c>
      <c r="B9" s="2" t="s">
        <v>31</v>
      </c>
      <c r="C9" s="60" t="s">
        <v>76</v>
      </c>
      <c r="D9" s="60" t="s">
        <v>33</v>
      </c>
      <c r="E9" s="95">
        <v>38700</v>
      </c>
      <c r="F9" s="17"/>
      <c r="G9" s="37"/>
    </row>
    <row r="10" spans="1:9" ht="15" thickBot="1" x14ac:dyDescent="0.35">
      <c r="A10" s="62" t="s">
        <v>35</v>
      </c>
      <c r="B10" s="5" t="s">
        <v>31</v>
      </c>
      <c r="C10" s="58" t="s">
        <v>76</v>
      </c>
      <c r="D10" s="58" t="s">
        <v>33</v>
      </c>
      <c r="E10" s="110">
        <v>38700</v>
      </c>
    </row>
    <row r="11" spans="1:9" ht="15" thickBot="1" x14ac:dyDescent="0.35">
      <c r="A11" s="1" t="s">
        <v>86</v>
      </c>
      <c r="B11" s="2" t="s">
        <v>51</v>
      </c>
      <c r="C11" s="60" t="s">
        <v>87</v>
      </c>
      <c r="D11" s="60" t="s">
        <v>52</v>
      </c>
      <c r="E11" s="61">
        <v>23400</v>
      </c>
    </row>
    <row r="12" spans="1:9" ht="15" thickBot="1" x14ac:dyDescent="0.35">
      <c r="A12" s="138" t="s">
        <v>78</v>
      </c>
      <c r="B12" s="8" t="s">
        <v>93</v>
      </c>
      <c r="C12" s="60" t="s">
        <v>94</v>
      </c>
      <c r="D12" s="60" t="s">
        <v>81</v>
      </c>
      <c r="E12" s="61">
        <v>12000</v>
      </c>
      <c r="F12" s="17"/>
    </row>
    <row r="13" spans="1:9" ht="16.2" thickBot="1" x14ac:dyDescent="0.35">
      <c r="A13" s="140" t="s">
        <v>104</v>
      </c>
      <c r="B13" s="141" t="s">
        <v>105</v>
      </c>
      <c r="C13" s="60" t="s">
        <v>106</v>
      </c>
      <c r="D13" s="142" t="s">
        <v>107</v>
      </c>
      <c r="E13" s="143">
        <v>10000</v>
      </c>
      <c r="F13" s="17"/>
    </row>
    <row r="14" spans="1:9" ht="16.2" thickBot="1" x14ac:dyDescent="0.35">
      <c r="A14" s="144" t="s">
        <v>108</v>
      </c>
      <c r="B14" s="145" t="s">
        <v>51</v>
      </c>
      <c r="C14" s="58" t="s">
        <v>109</v>
      </c>
      <c r="D14" s="146" t="s">
        <v>52</v>
      </c>
      <c r="E14" s="147">
        <v>23400</v>
      </c>
      <c r="F14" s="106"/>
    </row>
    <row r="15" spans="1:9" ht="16.2" thickBot="1" x14ac:dyDescent="0.35">
      <c r="A15" s="148" t="s">
        <v>104</v>
      </c>
      <c r="B15" s="2" t="s">
        <v>46</v>
      </c>
      <c r="C15" s="60" t="s">
        <v>111</v>
      </c>
      <c r="D15" s="60" t="s">
        <v>112</v>
      </c>
      <c r="E15" s="61">
        <v>6500</v>
      </c>
      <c r="F15" s="108"/>
    </row>
    <row r="16" spans="1:9" ht="15" thickBot="1" x14ac:dyDescent="0.35">
      <c r="A16" s="129" t="s">
        <v>32</v>
      </c>
      <c r="B16" s="2" t="s">
        <v>31</v>
      </c>
      <c r="C16" s="60" t="s">
        <v>113</v>
      </c>
      <c r="D16" s="60" t="s">
        <v>33</v>
      </c>
      <c r="E16" s="95">
        <v>38700</v>
      </c>
      <c r="F16" s="54"/>
    </row>
    <row r="17" spans="1:6" ht="15" thickBot="1" x14ac:dyDescent="0.35">
      <c r="A17" s="62" t="s">
        <v>35</v>
      </c>
      <c r="B17" s="5" t="s">
        <v>31</v>
      </c>
      <c r="C17" s="58" t="s">
        <v>113</v>
      </c>
      <c r="D17" s="58" t="s">
        <v>33</v>
      </c>
      <c r="E17" s="110">
        <v>38700</v>
      </c>
      <c r="F17" s="54"/>
    </row>
    <row r="18" spans="1:6" ht="15" thickBot="1" x14ac:dyDescent="0.35">
      <c r="A18" s="1" t="s">
        <v>86</v>
      </c>
      <c r="B18" s="2" t="s">
        <v>51</v>
      </c>
      <c r="C18" s="60" t="s">
        <v>120</v>
      </c>
      <c r="D18" s="60" t="s">
        <v>52</v>
      </c>
      <c r="E18" s="61">
        <v>23400</v>
      </c>
      <c r="F18" s="54"/>
    </row>
    <row r="19" spans="1:6" x14ac:dyDescent="0.3">
      <c r="A19" s="53"/>
      <c r="B19" s="13"/>
      <c r="C19" s="27"/>
      <c r="D19" s="35"/>
      <c r="E19" s="54"/>
      <c r="F19" s="12"/>
    </row>
    <row r="20" spans="1:6" x14ac:dyDescent="0.3">
      <c r="D20" t="s">
        <v>4</v>
      </c>
      <c r="E20" s="6">
        <f>SUM(E1:E19)</f>
        <v>483400</v>
      </c>
    </row>
    <row r="21" spans="1:6" x14ac:dyDescent="0.3">
      <c r="D21" t="s">
        <v>5</v>
      </c>
      <c r="E21">
        <f>Автосвіт!E37+Нікса!E11+'Приватний Двір'!E16+'Ендор Логістик '!E7+Корусанд!E11+'АЙРІС ВОРДВАЙЛ'!E12+ФЛУКОРДІ!E7+'ПРЕМІУМ ТРАНС'!E11+'Компанія Агротранс'!E11+Автоленд!E10</f>
        <v>297300</v>
      </c>
    </row>
    <row r="23" spans="1:6" x14ac:dyDescent="0.3">
      <c r="D23" t="s">
        <v>6</v>
      </c>
      <c r="E23" s="6">
        <f>Автосвіт!F37+Нікса!F11+'Приватний Двір'!F16+'Ендор Логістик '!F7+Корусанд!F11+'АЙРІС ВОРДВАЙЛ'!F12+ФЛУКОРДІ!F7+'ПРЕМІУМ ТРАНС'!F11+'Компанія Агротранс'!F11+Автоленд!F10</f>
        <v>315000</v>
      </c>
    </row>
    <row r="26" spans="1:6" x14ac:dyDescent="0.3">
      <c r="E26" s="57">
        <f>E23+E20</f>
        <v>798400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8"/>
  <sheetViews>
    <sheetView topLeftCell="A27" workbookViewId="0">
      <selection activeCell="F39" sqref="F39"/>
    </sheetView>
  </sheetViews>
  <sheetFormatPr defaultRowHeight="14.4" x14ac:dyDescent="0.3"/>
  <cols>
    <col min="1" max="1" width="17" customWidth="1"/>
    <col min="2" max="2" width="30.5546875" customWidth="1"/>
    <col min="3" max="3" width="39.88671875" customWidth="1"/>
    <col min="4" max="4" width="13.88671875" customWidth="1"/>
    <col min="5" max="5" width="11.5546875" customWidth="1"/>
    <col min="6" max="6" width="8.5546875" customWidth="1"/>
    <col min="7" max="7" width="13.21875" customWidth="1"/>
    <col min="8" max="8" width="5" customWidth="1"/>
    <col min="9" max="9" width="6.109375" customWidth="1"/>
    <col min="10" max="10" width="6.5546875" style="7" customWidth="1"/>
    <col min="11" max="11" width="11.109375" customWidth="1"/>
    <col min="12" max="12" width="5.88671875" customWidth="1"/>
  </cols>
  <sheetData>
    <row r="1" spans="1:11" ht="15" thickBot="1" x14ac:dyDescent="0.35">
      <c r="G1" t="s">
        <v>37</v>
      </c>
      <c r="H1" t="s">
        <v>17</v>
      </c>
      <c r="J1" s="7" t="s">
        <v>0</v>
      </c>
      <c r="K1" t="s">
        <v>1</v>
      </c>
    </row>
    <row r="2" spans="1:11" ht="15" thickBot="1" x14ac:dyDescent="0.35">
      <c r="A2" s="1" t="s">
        <v>30</v>
      </c>
      <c r="B2" s="2" t="s">
        <v>23</v>
      </c>
      <c r="C2" s="130" t="s">
        <v>27</v>
      </c>
      <c r="D2" s="100" t="s">
        <v>41</v>
      </c>
      <c r="E2" s="101">
        <v>4500</v>
      </c>
      <c r="F2" s="30">
        <v>5000</v>
      </c>
      <c r="G2" s="79"/>
      <c r="H2" s="79"/>
      <c r="I2" s="79"/>
      <c r="J2" s="155"/>
      <c r="K2" s="156"/>
    </row>
    <row r="3" spans="1:11" ht="15" thickBot="1" x14ac:dyDescent="0.35">
      <c r="A3" s="18" t="s">
        <v>30</v>
      </c>
      <c r="B3" s="19" t="s">
        <v>23</v>
      </c>
      <c r="C3" s="131" t="s">
        <v>43</v>
      </c>
      <c r="D3" s="103" t="s">
        <v>42</v>
      </c>
      <c r="E3" s="98">
        <v>1800</v>
      </c>
      <c r="F3" s="99">
        <v>2000</v>
      </c>
      <c r="G3" s="79"/>
      <c r="H3" s="79"/>
      <c r="I3" s="79"/>
      <c r="J3" s="155"/>
      <c r="K3" s="156"/>
    </row>
    <row r="4" spans="1:11" ht="15" thickBot="1" x14ac:dyDescent="0.35">
      <c r="A4" s="18" t="s">
        <v>30</v>
      </c>
      <c r="B4" s="19" t="s">
        <v>23</v>
      </c>
      <c r="C4" s="97" t="s">
        <v>49</v>
      </c>
      <c r="D4" s="103" t="s">
        <v>48</v>
      </c>
      <c r="E4" s="98">
        <v>900</v>
      </c>
      <c r="F4" s="99">
        <v>1000</v>
      </c>
      <c r="G4" s="79"/>
      <c r="H4" s="79"/>
      <c r="I4" s="79"/>
      <c r="J4" s="155"/>
      <c r="K4" s="156"/>
    </row>
    <row r="5" spans="1:11" ht="15" thickBot="1" x14ac:dyDescent="0.35">
      <c r="A5" s="18" t="s">
        <v>30</v>
      </c>
      <c r="B5" s="133" t="s">
        <v>54</v>
      </c>
      <c r="C5" s="118" t="s">
        <v>55</v>
      </c>
      <c r="D5" s="118" t="s">
        <v>56</v>
      </c>
      <c r="E5" s="135">
        <v>1900</v>
      </c>
      <c r="F5" s="136">
        <v>2000</v>
      </c>
      <c r="G5" s="79"/>
      <c r="H5" s="79"/>
      <c r="I5" s="79"/>
      <c r="J5" s="155"/>
      <c r="K5" s="156"/>
    </row>
    <row r="6" spans="1:11" ht="15" thickBot="1" x14ac:dyDescent="0.35">
      <c r="A6" s="1" t="s">
        <v>30</v>
      </c>
      <c r="B6" s="2" t="s">
        <v>23</v>
      </c>
      <c r="C6" s="60" t="s">
        <v>49</v>
      </c>
      <c r="D6" s="60" t="s">
        <v>56</v>
      </c>
      <c r="E6" s="61">
        <v>1800</v>
      </c>
      <c r="F6" s="30">
        <v>2000</v>
      </c>
      <c r="G6" s="79"/>
      <c r="H6" s="79"/>
      <c r="I6" s="79"/>
      <c r="J6" s="155"/>
      <c r="K6" s="156"/>
    </row>
    <row r="7" spans="1:11" ht="24" customHeight="1" thickBot="1" x14ac:dyDescent="0.35">
      <c r="A7" s="1" t="s">
        <v>30</v>
      </c>
      <c r="B7" s="5" t="s">
        <v>23</v>
      </c>
      <c r="C7" s="58" t="s">
        <v>61</v>
      </c>
      <c r="D7" s="100" t="s">
        <v>59</v>
      </c>
      <c r="E7" s="59">
        <v>3600</v>
      </c>
      <c r="F7" s="31">
        <v>4000</v>
      </c>
      <c r="G7" s="79"/>
      <c r="H7" s="79"/>
      <c r="I7" s="79"/>
      <c r="J7" s="155"/>
      <c r="K7" s="156"/>
    </row>
    <row r="8" spans="1:11" ht="22.2" customHeight="1" thickBot="1" x14ac:dyDescent="0.35">
      <c r="A8" s="1" t="s">
        <v>30</v>
      </c>
      <c r="B8" s="2" t="s">
        <v>23</v>
      </c>
      <c r="C8" s="60" t="s">
        <v>62</v>
      </c>
      <c r="D8" s="100" t="s">
        <v>63</v>
      </c>
      <c r="E8" s="61">
        <v>6000</v>
      </c>
      <c r="F8" s="30">
        <v>6600</v>
      </c>
      <c r="G8" s="79"/>
      <c r="H8" s="79"/>
      <c r="I8" s="79"/>
      <c r="J8" s="155"/>
      <c r="K8" s="156"/>
    </row>
    <row r="9" spans="1:11" ht="28.5" customHeight="1" thickBot="1" x14ac:dyDescent="0.35">
      <c r="A9" s="62" t="s">
        <v>30</v>
      </c>
      <c r="B9" s="5" t="s">
        <v>23</v>
      </c>
      <c r="C9" s="58" t="s">
        <v>49</v>
      </c>
      <c r="D9" s="73" t="s">
        <v>63</v>
      </c>
      <c r="E9" s="59">
        <v>1800</v>
      </c>
      <c r="F9" s="31">
        <v>2000</v>
      </c>
      <c r="G9" s="79"/>
      <c r="H9" s="79"/>
      <c r="I9" s="79"/>
      <c r="J9" s="155"/>
      <c r="K9" s="156"/>
    </row>
    <row r="10" spans="1:11" ht="15" thickBot="1" x14ac:dyDescent="0.35">
      <c r="A10" s="62" t="s">
        <v>30</v>
      </c>
      <c r="B10" s="5" t="s">
        <v>23</v>
      </c>
      <c r="C10" s="58" t="s">
        <v>49</v>
      </c>
      <c r="D10" s="73" t="s">
        <v>67</v>
      </c>
      <c r="E10" s="59">
        <v>900</v>
      </c>
      <c r="F10" s="31">
        <v>1000</v>
      </c>
      <c r="G10" s="79"/>
      <c r="H10" s="79"/>
      <c r="I10" s="79"/>
      <c r="J10" s="155"/>
      <c r="K10" s="156"/>
    </row>
    <row r="11" spans="1:11" ht="15" thickBot="1" x14ac:dyDescent="0.35">
      <c r="A11" s="62" t="s">
        <v>30</v>
      </c>
      <c r="B11" s="5" t="s">
        <v>23</v>
      </c>
      <c r="C11" s="58" t="s">
        <v>62</v>
      </c>
      <c r="D11" s="73" t="s">
        <v>67</v>
      </c>
      <c r="E11" s="59">
        <v>3000</v>
      </c>
      <c r="F11" s="31">
        <v>3300</v>
      </c>
      <c r="G11" s="79"/>
      <c r="H11" s="79"/>
      <c r="I11" s="79"/>
      <c r="J11" s="155"/>
      <c r="K11" s="156"/>
    </row>
    <row r="12" spans="1:11" ht="15" thickBot="1" x14ac:dyDescent="0.35">
      <c r="A12" s="1" t="s">
        <v>30</v>
      </c>
      <c r="B12" s="2" t="s">
        <v>23</v>
      </c>
      <c r="C12" s="130" t="s">
        <v>49</v>
      </c>
      <c r="D12" s="100" t="s">
        <v>68</v>
      </c>
      <c r="E12" s="101">
        <v>900</v>
      </c>
      <c r="F12" s="30">
        <v>1000</v>
      </c>
      <c r="G12" s="79"/>
      <c r="H12" s="79"/>
      <c r="I12" s="79"/>
      <c r="J12" s="155"/>
      <c r="K12" s="157"/>
    </row>
    <row r="13" spans="1:11" ht="15" thickBot="1" x14ac:dyDescent="0.35">
      <c r="A13" s="62" t="s">
        <v>30</v>
      </c>
      <c r="B13" s="5" t="s">
        <v>23</v>
      </c>
      <c r="C13" s="137" t="s">
        <v>62</v>
      </c>
      <c r="D13" s="73" t="s">
        <v>68</v>
      </c>
      <c r="E13" s="94">
        <v>3000</v>
      </c>
      <c r="F13" s="31">
        <v>3300</v>
      </c>
      <c r="G13" s="79"/>
      <c r="H13" s="79"/>
      <c r="I13" s="79"/>
      <c r="J13" s="155"/>
      <c r="K13" s="157"/>
    </row>
    <row r="14" spans="1:11" ht="15" thickBot="1" x14ac:dyDescent="0.35">
      <c r="A14" s="1" t="s">
        <v>30</v>
      </c>
      <c r="B14" s="2" t="s">
        <v>23</v>
      </c>
      <c r="C14" s="60" t="s">
        <v>49</v>
      </c>
      <c r="D14" s="100" t="s">
        <v>73</v>
      </c>
      <c r="E14" s="61">
        <v>2700</v>
      </c>
      <c r="F14" s="30">
        <v>3000</v>
      </c>
      <c r="G14" s="32"/>
      <c r="H14" s="32"/>
      <c r="I14" s="32"/>
      <c r="J14" s="155"/>
      <c r="K14" s="157"/>
    </row>
    <row r="15" spans="1:11" ht="15" thickBot="1" x14ac:dyDescent="0.35">
      <c r="A15" s="1" t="s">
        <v>30</v>
      </c>
      <c r="B15" s="2" t="s">
        <v>23</v>
      </c>
      <c r="C15" s="60" t="s">
        <v>49</v>
      </c>
      <c r="D15" s="100" t="s">
        <v>82</v>
      </c>
      <c r="E15" s="61">
        <v>900</v>
      </c>
      <c r="F15" s="30">
        <v>1000</v>
      </c>
      <c r="G15" s="32"/>
      <c r="H15" s="32"/>
      <c r="I15" s="32"/>
      <c r="J15" s="155"/>
      <c r="K15" s="157"/>
    </row>
    <row r="16" spans="1:11" ht="15" thickBot="1" x14ac:dyDescent="0.35">
      <c r="A16" s="1" t="s">
        <v>30</v>
      </c>
      <c r="B16" s="2" t="s">
        <v>74</v>
      </c>
      <c r="C16" s="60" t="s">
        <v>75</v>
      </c>
      <c r="D16" s="100" t="s">
        <v>76</v>
      </c>
      <c r="E16" s="61">
        <v>5000</v>
      </c>
      <c r="F16" s="30">
        <v>5500</v>
      </c>
      <c r="G16" s="32"/>
      <c r="H16" s="10"/>
      <c r="I16" s="32"/>
      <c r="J16" s="158"/>
      <c r="K16" s="157"/>
    </row>
    <row r="17" spans="1:11" ht="15" thickBot="1" x14ac:dyDescent="0.35">
      <c r="A17" s="62" t="s">
        <v>30</v>
      </c>
      <c r="B17" s="5" t="s">
        <v>23</v>
      </c>
      <c r="C17" s="58" t="s">
        <v>62</v>
      </c>
      <c r="D17" s="73" t="s">
        <v>77</v>
      </c>
      <c r="E17" s="59">
        <v>3000</v>
      </c>
      <c r="F17" s="31">
        <v>3300</v>
      </c>
      <c r="G17" s="32"/>
      <c r="H17" s="10"/>
      <c r="I17" s="32"/>
      <c r="J17" s="158"/>
      <c r="K17" s="157"/>
    </row>
    <row r="18" spans="1:11" ht="15" thickBot="1" x14ac:dyDescent="0.35">
      <c r="A18" s="1" t="s">
        <v>30</v>
      </c>
      <c r="B18" s="2" t="s">
        <v>23</v>
      </c>
      <c r="C18" s="60" t="s">
        <v>83</v>
      </c>
      <c r="D18" s="100" t="s">
        <v>84</v>
      </c>
      <c r="E18" s="61">
        <v>2700</v>
      </c>
      <c r="F18" s="149">
        <v>3000</v>
      </c>
      <c r="G18" s="32"/>
      <c r="H18" s="10"/>
      <c r="I18" s="32"/>
      <c r="J18" s="158"/>
      <c r="K18" s="157"/>
    </row>
    <row r="19" spans="1:11" ht="15" thickBot="1" x14ac:dyDescent="0.35">
      <c r="A19" s="1" t="s">
        <v>30</v>
      </c>
      <c r="B19" s="2" t="s">
        <v>97</v>
      </c>
      <c r="C19" s="60" t="s">
        <v>98</v>
      </c>
      <c r="D19" s="60" t="s">
        <v>99</v>
      </c>
      <c r="E19" s="61">
        <v>2300</v>
      </c>
      <c r="F19" s="149">
        <v>2500</v>
      </c>
      <c r="G19" s="32"/>
      <c r="H19" s="10"/>
      <c r="I19" s="32"/>
      <c r="J19" s="158"/>
      <c r="K19" s="157"/>
    </row>
    <row r="20" spans="1:11" ht="15" thickBot="1" x14ac:dyDescent="0.35">
      <c r="A20" s="62" t="s">
        <v>30</v>
      </c>
      <c r="B20" s="5" t="s">
        <v>23</v>
      </c>
      <c r="C20" s="58" t="s">
        <v>100</v>
      </c>
      <c r="D20" s="58" t="s">
        <v>99</v>
      </c>
      <c r="E20" s="59">
        <v>900</v>
      </c>
      <c r="F20" s="111">
        <v>1000</v>
      </c>
      <c r="G20" s="32"/>
      <c r="H20" s="10"/>
      <c r="I20" s="32"/>
      <c r="J20" s="158"/>
      <c r="K20" s="157"/>
    </row>
    <row r="21" spans="1:11" ht="15" thickBot="1" x14ac:dyDescent="0.35">
      <c r="A21" s="62" t="s">
        <v>30</v>
      </c>
      <c r="B21" s="5" t="s">
        <v>23</v>
      </c>
      <c r="C21" s="58" t="s">
        <v>101</v>
      </c>
      <c r="D21" s="58" t="s">
        <v>99</v>
      </c>
      <c r="E21" s="59">
        <v>900</v>
      </c>
      <c r="F21" s="111">
        <v>1000</v>
      </c>
      <c r="G21" s="32"/>
      <c r="H21" s="10"/>
      <c r="I21" s="32"/>
      <c r="J21" s="158"/>
      <c r="K21" s="157"/>
    </row>
    <row r="22" spans="1:11" ht="15" thickBot="1" x14ac:dyDescent="0.35">
      <c r="A22" s="62" t="s">
        <v>30</v>
      </c>
      <c r="B22" s="5" t="s">
        <v>102</v>
      </c>
      <c r="C22" s="58" t="s">
        <v>103</v>
      </c>
      <c r="D22" s="58" t="s">
        <v>99</v>
      </c>
      <c r="E22" s="59">
        <v>1600</v>
      </c>
      <c r="F22" s="111">
        <v>1750</v>
      </c>
      <c r="G22" s="32"/>
      <c r="H22" s="10"/>
      <c r="I22" s="32"/>
      <c r="J22" s="158"/>
      <c r="K22" s="157"/>
    </row>
    <row r="23" spans="1:11" ht="15" thickBot="1" x14ac:dyDescent="0.35">
      <c r="A23" s="18" t="s">
        <v>30</v>
      </c>
      <c r="B23" s="19" t="s">
        <v>54</v>
      </c>
      <c r="C23" s="97" t="s">
        <v>110</v>
      </c>
      <c r="D23" s="97" t="s">
        <v>111</v>
      </c>
      <c r="E23" s="98">
        <v>3500</v>
      </c>
      <c r="F23" s="121">
        <v>3850</v>
      </c>
      <c r="G23" s="32"/>
      <c r="H23" s="10"/>
      <c r="I23" s="32"/>
      <c r="J23" s="158"/>
      <c r="K23" s="157"/>
    </row>
    <row r="24" spans="1:11" ht="15" thickBot="1" x14ac:dyDescent="0.35">
      <c r="A24" s="1" t="s">
        <v>30</v>
      </c>
      <c r="B24" s="2" t="s">
        <v>54</v>
      </c>
      <c r="C24" s="60" t="s">
        <v>95</v>
      </c>
      <c r="D24" s="100" t="s">
        <v>96</v>
      </c>
      <c r="E24" s="61">
        <v>2700</v>
      </c>
      <c r="F24" s="149">
        <v>3000</v>
      </c>
      <c r="G24" s="32"/>
      <c r="H24" s="10"/>
      <c r="I24" s="32"/>
      <c r="J24" s="158"/>
      <c r="K24" s="157"/>
    </row>
    <row r="25" spans="1:11" ht="15" thickBot="1" x14ac:dyDescent="0.35">
      <c r="A25" s="1" t="s">
        <v>30</v>
      </c>
      <c r="B25" s="2" t="s">
        <v>23</v>
      </c>
      <c r="C25" s="60" t="s">
        <v>101</v>
      </c>
      <c r="D25" s="97" t="s">
        <v>111</v>
      </c>
      <c r="E25" s="61">
        <v>3600</v>
      </c>
      <c r="F25" s="149">
        <v>4000</v>
      </c>
      <c r="G25" s="32"/>
      <c r="H25" s="10"/>
      <c r="I25" s="32"/>
      <c r="J25" s="158"/>
      <c r="K25" s="157"/>
    </row>
    <row r="26" spans="1:11" ht="15" thickBot="1" x14ac:dyDescent="0.35">
      <c r="A26" s="18" t="s">
        <v>30</v>
      </c>
      <c r="B26" s="19" t="s">
        <v>23</v>
      </c>
      <c r="C26" s="60" t="s">
        <v>114</v>
      </c>
      <c r="D26" s="60" t="s">
        <v>115</v>
      </c>
      <c r="E26" s="61">
        <v>2300</v>
      </c>
      <c r="F26" s="149">
        <v>2500</v>
      </c>
      <c r="G26" s="10"/>
      <c r="H26" s="10"/>
      <c r="I26" s="10"/>
      <c r="J26" s="83"/>
      <c r="K26" s="10"/>
    </row>
    <row r="27" spans="1:11" ht="15" thickBot="1" x14ac:dyDescent="0.35">
      <c r="A27" s="1" t="s">
        <v>30</v>
      </c>
      <c r="B27" s="2" t="s">
        <v>23</v>
      </c>
      <c r="C27" s="58" t="s">
        <v>116</v>
      </c>
      <c r="D27" s="58" t="s">
        <v>115</v>
      </c>
      <c r="E27" s="59">
        <v>3700</v>
      </c>
      <c r="F27" s="111">
        <v>4000</v>
      </c>
      <c r="G27" s="32"/>
      <c r="H27" s="10"/>
      <c r="I27" s="32"/>
      <c r="J27" s="83"/>
      <c r="K27" s="10"/>
    </row>
    <row r="28" spans="1:11" ht="15" thickBot="1" x14ac:dyDescent="0.35">
      <c r="A28" s="62" t="s">
        <v>30</v>
      </c>
      <c r="B28" s="5" t="s">
        <v>23</v>
      </c>
      <c r="C28" s="58" t="s">
        <v>117</v>
      </c>
      <c r="D28" s="58" t="s">
        <v>115</v>
      </c>
      <c r="E28" s="59">
        <v>2700</v>
      </c>
      <c r="F28" s="111">
        <v>3000</v>
      </c>
      <c r="G28" s="32"/>
      <c r="H28" s="10"/>
      <c r="I28" s="32"/>
      <c r="J28" s="83"/>
      <c r="K28" s="10"/>
    </row>
    <row r="29" spans="1:11" ht="15" thickBot="1" x14ac:dyDescent="0.35">
      <c r="A29" s="62" t="s">
        <v>30</v>
      </c>
      <c r="B29" s="5" t="s">
        <v>23</v>
      </c>
      <c r="C29" s="58" t="s">
        <v>118</v>
      </c>
      <c r="D29" s="58" t="s">
        <v>115</v>
      </c>
      <c r="E29" s="59">
        <v>900</v>
      </c>
      <c r="F29" s="111">
        <v>1000</v>
      </c>
      <c r="G29" s="32"/>
      <c r="H29" s="10"/>
      <c r="I29" s="32"/>
      <c r="J29" s="83"/>
      <c r="K29" s="10"/>
    </row>
    <row r="30" spans="1:11" ht="15" thickBot="1" x14ac:dyDescent="0.35">
      <c r="A30" s="1" t="s">
        <v>30</v>
      </c>
      <c r="B30" s="2" t="s">
        <v>23</v>
      </c>
      <c r="C30" s="60" t="s">
        <v>119</v>
      </c>
      <c r="D30" s="60" t="s">
        <v>115</v>
      </c>
      <c r="E30" s="61">
        <v>900</v>
      </c>
      <c r="F30" s="149">
        <v>1000</v>
      </c>
      <c r="G30" s="32"/>
      <c r="H30" s="10"/>
      <c r="I30" s="32"/>
      <c r="J30" s="83"/>
      <c r="K30" s="10"/>
    </row>
    <row r="31" spans="1:11" ht="15" thickBot="1" x14ac:dyDescent="0.35">
      <c r="A31" s="62" t="s">
        <v>30</v>
      </c>
      <c r="B31" s="5" t="s">
        <v>23</v>
      </c>
      <c r="C31" s="58" t="s">
        <v>121</v>
      </c>
      <c r="D31" s="58" t="s">
        <v>122</v>
      </c>
      <c r="E31" s="59">
        <v>1800</v>
      </c>
      <c r="F31" s="111">
        <v>2000</v>
      </c>
      <c r="G31" s="32"/>
      <c r="H31" s="10"/>
      <c r="I31" s="32"/>
      <c r="J31" s="83"/>
      <c r="K31" s="10"/>
    </row>
    <row r="32" spans="1:11" ht="15" thickBot="1" x14ac:dyDescent="0.35">
      <c r="A32" s="1" t="s">
        <v>30</v>
      </c>
      <c r="B32" s="2" t="s">
        <v>23</v>
      </c>
      <c r="C32" s="60" t="s">
        <v>117</v>
      </c>
      <c r="D32" s="100" t="s">
        <v>123</v>
      </c>
      <c r="E32" s="61">
        <v>2700</v>
      </c>
      <c r="F32" s="149">
        <v>3000</v>
      </c>
      <c r="G32" s="32"/>
      <c r="H32" s="10"/>
      <c r="I32" s="32"/>
      <c r="J32" s="83"/>
      <c r="K32" s="10"/>
    </row>
    <row r="33" spans="1:11" ht="15" thickBot="1" x14ac:dyDescent="0.35">
      <c r="A33" s="1" t="s">
        <v>30</v>
      </c>
      <c r="B33" s="2" t="s">
        <v>23</v>
      </c>
      <c r="C33" s="60" t="s">
        <v>132</v>
      </c>
      <c r="D33" s="103" t="s">
        <v>126</v>
      </c>
      <c r="E33" s="61">
        <v>900</v>
      </c>
      <c r="F33" s="149">
        <v>1000</v>
      </c>
      <c r="G33" s="32"/>
      <c r="H33" s="10"/>
      <c r="I33" s="32"/>
      <c r="J33" s="83"/>
      <c r="K33" s="10"/>
    </row>
    <row r="34" spans="1:11" ht="15" thickBot="1" x14ac:dyDescent="0.35">
      <c r="A34" s="62" t="s">
        <v>30</v>
      </c>
      <c r="B34" s="5" t="s">
        <v>23</v>
      </c>
      <c r="C34" s="58" t="s">
        <v>133</v>
      </c>
      <c r="D34" s="103" t="s">
        <v>126</v>
      </c>
      <c r="E34" s="59">
        <v>3700</v>
      </c>
      <c r="F34" s="111">
        <v>4000</v>
      </c>
      <c r="G34" s="32"/>
      <c r="H34" s="10"/>
      <c r="I34" s="32"/>
      <c r="J34" s="83"/>
      <c r="K34" s="10"/>
    </row>
    <row r="35" spans="1:11" ht="15" thickBot="1" x14ac:dyDescent="0.35">
      <c r="A35" s="62" t="s">
        <v>30</v>
      </c>
      <c r="B35" s="5" t="s">
        <v>23</v>
      </c>
      <c r="C35" s="58" t="s">
        <v>134</v>
      </c>
      <c r="D35" s="103" t="s">
        <v>126</v>
      </c>
      <c r="E35" s="59">
        <v>4500</v>
      </c>
      <c r="F35" s="111">
        <v>5000</v>
      </c>
      <c r="G35" s="32"/>
      <c r="H35" s="10"/>
      <c r="I35" s="32"/>
      <c r="J35" s="83"/>
      <c r="K35" s="10"/>
    </row>
    <row r="36" spans="1:11" x14ac:dyDescent="0.3">
      <c r="A36" s="12"/>
      <c r="B36" s="13"/>
      <c r="C36" s="150"/>
      <c r="D36" s="151"/>
      <c r="E36" s="152"/>
      <c r="F36" s="14"/>
      <c r="G36" s="12"/>
      <c r="H36" s="37"/>
      <c r="I36" s="12"/>
      <c r="J36" s="153"/>
      <c r="K36" s="37"/>
    </row>
    <row r="37" spans="1:11" ht="15" customHeight="1" x14ac:dyDescent="0.3">
      <c r="E37" s="24">
        <f>SUM(E2:E35)</f>
        <v>84000</v>
      </c>
      <c r="F37" s="24">
        <f>SUM(F2:F35)</f>
        <v>92600</v>
      </c>
      <c r="G37" s="24">
        <f>SUM(G2:G18)</f>
        <v>0</v>
      </c>
      <c r="I37">
        <f>E37-G37</f>
        <v>84000</v>
      </c>
    </row>
    <row r="38" spans="1:11" x14ac:dyDescent="0.3">
      <c r="E38" s="81">
        <v>59900</v>
      </c>
      <c r="F38" t="s">
        <v>40</v>
      </c>
    </row>
  </sheetData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A2" sqref="A2:F2"/>
    </sheetView>
  </sheetViews>
  <sheetFormatPr defaultRowHeight="14.4" x14ac:dyDescent="0.3"/>
  <cols>
    <col min="1" max="1" width="23.33203125" customWidth="1"/>
    <col min="2" max="2" width="20.88671875" customWidth="1"/>
    <col min="3" max="3" width="17.88671875" customWidth="1"/>
    <col min="4" max="4" width="13.88671875" customWidth="1"/>
    <col min="5" max="5" width="13.5546875" customWidth="1"/>
    <col min="6" max="6" width="14.5546875" customWidth="1"/>
    <col min="7" max="7" width="13.88671875" customWidth="1"/>
    <col min="9" max="9" width="10.109375" bestFit="1" customWidth="1"/>
  </cols>
  <sheetData>
    <row r="1" spans="1:9" ht="15" thickBot="1" x14ac:dyDescent="0.35">
      <c r="A1" s="18"/>
      <c r="B1" s="19"/>
      <c r="C1" s="33"/>
      <c r="D1" s="33"/>
      <c r="E1" s="34"/>
      <c r="F1" s="23"/>
      <c r="G1" s="20"/>
      <c r="H1" t="s">
        <v>19</v>
      </c>
    </row>
    <row r="2" spans="1:9" ht="15" thickBot="1" x14ac:dyDescent="0.35">
      <c r="A2" s="1" t="s">
        <v>127</v>
      </c>
      <c r="B2" s="2" t="s">
        <v>128</v>
      </c>
      <c r="C2" s="60" t="s">
        <v>129</v>
      </c>
      <c r="D2" s="73" t="s">
        <v>130</v>
      </c>
      <c r="E2" s="61">
        <v>16000</v>
      </c>
      <c r="F2" s="30">
        <v>18600</v>
      </c>
      <c r="G2" s="8"/>
      <c r="H2" s="52"/>
      <c r="I2" s="45"/>
    </row>
    <row r="3" spans="1:9" ht="15" thickBot="1" x14ac:dyDescent="0.35">
      <c r="A3" s="1"/>
      <c r="B3" s="2"/>
      <c r="C3" s="49"/>
      <c r="D3" s="50"/>
      <c r="E3" s="51"/>
      <c r="F3" s="3"/>
      <c r="G3" s="8"/>
      <c r="H3" s="10"/>
      <c r="I3" s="10"/>
    </row>
    <row r="4" spans="1:9" ht="15" thickBot="1" x14ac:dyDescent="0.35">
      <c r="A4" s="36"/>
      <c r="B4" s="5"/>
      <c r="C4" s="22"/>
      <c r="D4" s="11"/>
      <c r="E4" s="16"/>
      <c r="F4" s="31"/>
      <c r="G4" s="20"/>
    </row>
    <row r="11" spans="1:9" x14ac:dyDescent="0.3">
      <c r="E11" s="24">
        <f>SUM(E1:E10)</f>
        <v>16000</v>
      </c>
      <c r="F11" s="6">
        <f>SUM(F1:F10)</f>
        <v>18600</v>
      </c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6"/>
  <sheetViews>
    <sheetView workbookViewId="0">
      <selection activeCell="I5" sqref="I5"/>
    </sheetView>
  </sheetViews>
  <sheetFormatPr defaultRowHeight="14.4" x14ac:dyDescent="0.3"/>
  <cols>
    <col min="1" max="1" width="23.88671875" customWidth="1"/>
    <col min="2" max="2" width="41.33203125" customWidth="1"/>
    <col min="3" max="3" width="38.6640625" customWidth="1"/>
    <col min="4" max="4" width="12.6640625" customWidth="1"/>
    <col min="5" max="5" width="8.44140625" customWidth="1"/>
    <col min="6" max="6" width="11" customWidth="1"/>
    <col min="7" max="7" width="17.88671875" customWidth="1"/>
    <col min="8" max="8" width="7.109375" customWidth="1"/>
    <col min="9" max="9" width="10.109375" bestFit="1" customWidth="1"/>
  </cols>
  <sheetData>
    <row r="1" spans="1:9" ht="15" thickBot="1" x14ac:dyDescent="0.35">
      <c r="A1" s="18"/>
      <c r="B1" s="19"/>
      <c r="C1" s="19"/>
      <c r="D1" s="33"/>
      <c r="E1" s="34"/>
      <c r="F1" s="21"/>
      <c r="G1" s="20" t="s">
        <v>38</v>
      </c>
      <c r="H1" s="44"/>
      <c r="I1" s="44"/>
    </row>
    <row r="2" spans="1:9" ht="15" thickBot="1" x14ac:dyDescent="0.35">
      <c r="A2" s="18" t="s">
        <v>26</v>
      </c>
      <c r="B2" s="19" t="s">
        <v>28</v>
      </c>
      <c r="C2" s="97" t="s">
        <v>29</v>
      </c>
      <c r="D2" s="103" t="s">
        <v>42</v>
      </c>
      <c r="E2" s="98">
        <v>18500</v>
      </c>
      <c r="F2" s="99">
        <v>18500</v>
      </c>
      <c r="G2" s="4">
        <v>2762</v>
      </c>
      <c r="H2" s="52"/>
      <c r="I2" s="45"/>
    </row>
    <row r="3" spans="1:9" ht="34.5" customHeight="1" thickBot="1" x14ac:dyDescent="0.35">
      <c r="A3" s="18" t="s">
        <v>26</v>
      </c>
      <c r="B3" s="2" t="s">
        <v>51</v>
      </c>
      <c r="C3" s="60" t="s">
        <v>52</v>
      </c>
      <c r="D3" s="60" t="s">
        <v>53</v>
      </c>
      <c r="E3" s="61">
        <v>23400</v>
      </c>
      <c r="F3" s="30">
        <v>23400</v>
      </c>
      <c r="G3" s="4">
        <v>2763</v>
      </c>
      <c r="H3" s="52">
        <v>2769</v>
      </c>
      <c r="I3" s="45">
        <v>45934</v>
      </c>
    </row>
    <row r="4" spans="1:9" ht="15" thickBot="1" x14ac:dyDescent="0.35">
      <c r="A4" s="18" t="s">
        <v>26</v>
      </c>
      <c r="B4" s="2" t="s">
        <v>57</v>
      </c>
      <c r="C4" s="60" t="s">
        <v>58</v>
      </c>
      <c r="D4" s="103" t="s">
        <v>59</v>
      </c>
      <c r="E4" s="61">
        <v>23000</v>
      </c>
      <c r="F4" s="30">
        <v>23000</v>
      </c>
      <c r="G4" s="4">
        <v>2764</v>
      </c>
      <c r="H4" s="52">
        <v>2770</v>
      </c>
      <c r="I4" s="45">
        <v>45937</v>
      </c>
    </row>
    <row r="5" spans="1:9" ht="15" thickBot="1" x14ac:dyDescent="0.35">
      <c r="A5" s="62" t="s">
        <v>26</v>
      </c>
      <c r="B5" s="5" t="s">
        <v>51</v>
      </c>
      <c r="C5" s="58" t="s">
        <v>52</v>
      </c>
      <c r="D5" s="73" t="s">
        <v>135</v>
      </c>
      <c r="E5" s="59">
        <v>23400</v>
      </c>
      <c r="F5" s="31">
        <v>23400</v>
      </c>
      <c r="G5" s="4"/>
      <c r="H5" s="52"/>
      <c r="I5" s="45"/>
    </row>
    <row r="6" spans="1:9" ht="15" thickBot="1" x14ac:dyDescent="0.35">
      <c r="A6" s="1" t="s">
        <v>26</v>
      </c>
      <c r="B6" s="2" t="s">
        <v>31</v>
      </c>
      <c r="C6" s="60" t="s">
        <v>65</v>
      </c>
      <c r="D6" s="60" t="s">
        <v>120</v>
      </c>
      <c r="E6" s="61">
        <v>24000</v>
      </c>
      <c r="F6" s="30">
        <v>25800</v>
      </c>
      <c r="G6" s="4"/>
      <c r="H6" s="10"/>
      <c r="I6" s="9"/>
    </row>
    <row r="7" spans="1:9" ht="15" thickBot="1" x14ac:dyDescent="0.35">
      <c r="A7" s="154" t="s">
        <v>26</v>
      </c>
      <c r="B7" s="133" t="s">
        <v>28</v>
      </c>
      <c r="C7" s="118" t="s">
        <v>131</v>
      </c>
      <c r="D7" s="119" t="s">
        <v>126</v>
      </c>
      <c r="E7" s="135">
        <v>16000</v>
      </c>
      <c r="F7" s="14">
        <v>16500</v>
      </c>
      <c r="G7" s="4"/>
      <c r="H7" s="10"/>
      <c r="I7" s="10"/>
    </row>
    <row r="8" spans="1:9" ht="15" thickBot="1" x14ac:dyDescent="0.35">
      <c r="A8" s="18"/>
      <c r="B8" s="19"/>
      <c r="C8" s="97"/>
      <c r="D8" s="103"/>
      <c r="E8" s="98"/>
      <c r="F8" s="99"/>
      <c r="G8" s="4"/>
      <c r="H8" s="10"/>
      <c r="I8" s="10"/>
    </row>
    <row r="9" spans="1:9" ht="15" thickBot="1" x14ac:dyDescent="0.35">
      <c r="A9" s="1"/>
      <c r="B9" s="2"/>
      <c r="C9" s="60"/>
      <c r="D9" s="103"/>
      <c r="E9" s="61"/>
      <c r="F9" s="30"/>
      <c r="G9" s="32"/>
      <c r="H9" s="10"/>
      <c r="I9" s="10"/>
    </row>
    <row r="10" spans="1:9" ht="15" thickBot="1" x14ac:dyDescent="0.35">
      <c r="A10" s="62"/>
      <c r="B10" s="5"/>
      <c r="C10" s="58"/>
      <c r="D10" s="73"/>
      <c r="E10" s="59"/>
      <c r="F10" s="31"/>
      <c r="G10" s="32"/>
      <c r="H10" s="10"/>
      <c r="I10" s="10"/>
    </row>
    <row r="11" spans="1:9" ht="15" thickBot="1" x14ac:dyDescent="0.35">
      <c r="A11" s="1"/>
      <c r="B11" s="5"/>
      <c r="C11" s="58"/>
      <c r="D11" s="73"/>
      <c r="E11" s="59"/>
      <c r="F11" s="111"/>
      <c r="G11" s="32"/>
      <c r="H11" s="10"/>
      <c r="I11" s="10"/>
    </row>
    <row r="12" spans="1:9" ht="15" thickBot="1" x14ac:dyDescent="0.35">
      <c r="A12" s="18"/>
      <c r="B12" s="19"/>
      <c r="C12" s="97"/>
      <c r="D12" s="103"/>
      <c r="E12" s="98"/>
      <c r="F12" s="121"/>
      <c r="G12" s="32"/>
      <c r="H12" s="10"/>
      <c r="I12" s="10"/>
    </row>
    <row r="13" spans="1:9" ht="15" thickBot="1" x14ac:dyDescent="0.35">
      <c r="A13" s="62"/>
      <c r="B13" s="19"/>
      <c r="C13" s="96"/>
      <c r="D13" s="97"/>
      <c r="E13" s="98"/>
      <c r="F13" s="99"/>
      <c r="G13" s="12"/>
      <c r="H13" s="37"/>
      <c r="I13" s="37"/>
    </row>
    <row r="14" spans="1:9" x14ac:dyDescent="0.3">
      <c r="A14" s="12"/>
      <c r="B14" s="13"/>
      <c r="C14" s="35"/>
      <c r="D14" s="27"/>
      <c r="E14" s="28"/>
      <c r="F14" s="14"/>
      <c r="G14" s="12"/>
      <c r="H14" s="37"/>
      <c r="I14" s="37"/>
    </row>
    <row r="15" spans="1:9" x14ac:dyDescent="0.3">
      <c r="A15" s="12"/>
      <c r="B15" s="13"/>
      <c r="C15" s="27"/>
      <c r="D15" s="27"/>
      <c r="E15" s="28"/>
      <c r="F15" s="15"/>
      <c r="G15" s="12"/>
      <c r="I15" t="s">
        <v>39</v>
      </c>
    </row>
    <row r="16" spans="1:9" x14ac:dyDescent="0.3">
      <c r="E16" s="24">
        <f>SUM(E1:E13)</f>
        <v>128300</v>
      </c>
      <c r="F16" s="57">
        <f>SUM(F1:F13)</f>
        <v>130600</v>
      </c>
      <c r="G16" s="57">
        <f>SUM(G1:G13)</f>
        <v>8289</v>
      </c>
      <c r="I16" s="6">
        <f>E16-G16</f>
        <v>120011</v>
      </c>
    </row>
  </sheetData>
  <pageMargins left="0.7" right="0.7" top="0.75" bottom="0.75" header="0.3" footer="0.3"/>
  <pageSetup paperSize="9" scale="7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workbookViewId="0">
      <selection activeCell="A3" sqref="A3:F3"/>
    </sheetView>
  </sheetViews>
  <sheetFormatPr defaultRowHeight="14.4" x14ac:dyDescent="0.3"/>
  <cols>
    <col min="1" max="1" width="10.33203125" customWidth="1"/>
    <col min="2" max="2" width="37.109375" customWidth="1"/>
    <col min="3" max="3" width="18" customWidth="1"/>
    <col min="4" max="4" width="13.88671875" customWidth="1"/>
    <col min="5" max="5" width="7.88671875" customWidth="1"/>
    <col min="7" max="7" width="14.44140625" customWidth="1"/>
    <col min="8" max="8" width="10.44140625" style="76" customWidth="1"/>
    <col min="9" max="9" width="10.109375" bestFit="1" customWidth="1"/>
    <col min="10" max="10" width="9.77734375" style="76" customWidth="1"/>
    <col min="11" max="11" width="5.109375" customWidth="1"/>
    <col min="12" max="12" width="10.109375" bestFit="1" customWidth="1"/>
  </cols>
  <sheetData>
    <row r="1" spans="1:12" ht="15" thickBot="1" x14ac:dyDescent="0.35">
      <c r="H1" s="76" t="s">
        <v>0</v>
      </c>
      <c r="J1" s="76" t="s">
        <v>18</v>
      </c>
      <c r="L1" t="s">
        <v>20</v>
      </c>
    </row>
    <row r="2" spans="1:12" ht="23.4" customHeight="1" thickBot="1" x14ac:dyDescent="0.35">
      <c r="A2" s="18" t="s">
        <v>45</v>
      </c>
      <c r="B2" s="19" t="s">
        <v>46</v>
      </c>
      <c r="C2" s="97" t="s">
        <v>47</v>
      </c>
      <c r="D2" s="103" t="s">
        <v>48</v>
      </c>
      <c r="E2" s="98">
        <v>2500</v>
      </c>
      <c r="F2" s="99">
        <v>2750</v>
      </c>
      <c r="G2" s="29"/>
      <c r="H2" s="56"/>
      <c r="I2" s="9"/>
      <c r="J2" s="56"/>
      <c r="K2" s="10"/>
      <c r="L2" s="89"/>
    </row>
    <row r="3" spans="1:12" ht="15" thickBot="1" x14ac:dyDescent="0.35">
      <c r="A3" s="18" t="s">
        <v>45</v>
      </c>
      <c r="B3" s="19" t="s">
        <v>124</v>
      </c>
      <c r="C3" s="97" t="s">
        <v>125</v>
      </c>
      <c r="D3" s="100" t="s">
        <v>126</v>
      </c>
      <c r="E3" s="98">
        <v>2500</v>
      </c>
      <c r="F3" s="99">
        <v>2750</v>
      </c>
      <c r="G3" s="29"/>
      <c r="H3" s="56"/>
      <c r="I3" s="9"/>
      <c r="J3" s="56"/>
      <c r="K3" s="10"/>
      <c r="L3" s="89"/>
    </row>
    <row r="4" spans="1:12" ht="15" thickBot="1" x14ac:dyDescent="0.35">
      <c r="A4" s="1"/>
      <c r="B4" s="2"/>
      <c r="C4" s="60"/>
      <c r="D4" s="60"/>
      <c r="E4" s="61"/>
      <c r="F4" s="30"/>
      <c r="G4" s="29"/>
      <c r="H4" s="56"/>
      <c r="I4" s="9"/>
      <c r="J4" s="56"/>
      <c r="K4" s="10"/>
      <c r="L4" s="89"/>
    </row>
    <row r="5" spans="1:12" ht="15" thickBot="1" x14ac:dyDescent="0.35">
      <c r="A5" s="1"/>
      <c r="B5" s="2"/>
      <c r="C5" s="60"/>
      <c r="D5" s="87"/>
      <c r="E5" s="61"/>
      <c r="F5" s="30"/>
      <c r="G5" s="29"/>
      <c r="H5" s="56"/>
      <c r="I5" s="9"/>
      <c r="J5" s="56"/>
      <c r="K5" s="10"/>
      <c r="L5" s="89"/>
    </row>
    <row r="6" spans="1:12" x14ac:dyDescent="0.3">
      <c r="A6" s="12"/>
      <c r="B6" s="13"/>
      <c r="C6" s="80"/>
      <c r="D6" s="88"/>
      <c r="E6" s="81"/>
      <c r="F6" s="14"/>
      <c r="G6" s="12"/>
    </row>
    <row r="7" spans="1:12" x14ac:dyDescent="0.3">
      <c r="E7" s="24">
        <f>SUM(E2:E5)</f>
        <v>5000</v>
      </c>
      <c r="F7" s="24">
        <f>SUM(F2:F5)</f>
        <v>5500</v>
      </c>
    </row>
  </sheetData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workbookViewId="0">
      <selection activeCell="F29" sqref="F29"/>
    </sheetView>
  </sheetViews>
  <sheetFormatPr defaultRowHeight="14.4" x14ac:dyDescent="0.3"/>
  <cols>
    <col min="1" max="1" width="19.33203125" customWidth="1"/>
    <col min="2" max="2" width="24.88671875" customWidth="1"/>
    <col min="3" max="3" width="31.6640625" customWidth="1"/>
    <col min="4" max="4" width="13.33203125" customWidth="1"/>
    <col min="7" max="7" width="16.5546875" customWidth="1"/>
    <col min="9" max="10" width="10.109375" bestFit="1" customWidth="1"/>
  </cols>
  <sheetData>
    <row r="1" spans="1:10" ht="15" thickBot="1" x14ac:dyDescent="0.35">
      <c r="H1" s="10" t="s">
        <v>2</v>
      </c>
      <c r="I1" s="10" t="s">
        <v>7</v>
      </c>
      <c r="J1" t="s">
        <v>21</v>
      </c>
    </row>
    <row r="2" spans="1:10" ht="15" thickBot="1" x14ac:dyDescent="0.35">
      <c r="A2" s="18"/>
      <c r="B2" s="19"/>
      <c r="C2" s="97"/>
      <c r="D2" s="97"/>
      <c r="E2" s="98"/>
      <c r="F2" s="99"/>
      <c r="G2" s="4"/>
      <c r="H2" s="10"/>
      <c r="I2" s="9"/>
      <c r="J2" s="89"/>
    </row>
    <row r="3" spans="1:10" ht="15" thickBot="1" x14ac:dyDescent="0.35">
      <c r="A3" s="18"/>
      <c r="B3" s="19"/>
      <c r="C3" s="97"/>
      <c r="D3" s="97"/>
      <c r="E3" s="98"/>
      <c r="F3" s="117"/>
      <c r="G3" s="4"/>
      <c r="H3" s="10"/>
      <c r="I3" s="69"/>
      <c r="J3" s="89"/>
    </row>
    <row r="4" spans="1:10" ht="15" thickBot="1" x14ac:dyDescent="0.35">
      <c r="A4" s="18"/>
      <c r="B4" s="2"/>
      <c r="C4" s="58"/>
      <c r="D4" s="73"/>
      <c r="E4" s="59"/>
      <c r="F4" s="116"/>
      <c r="G4" s="8"/>
    </row>
    <row r="5" spans="1:10" x14ac:dyDescent="0.3">
      <c r="A5" s="18"/>
      <c r="B5" s="19"/>
      <c r="C5" s="118"/>
      <c r="D5" s="119"/>
      <c r="E5" s="98"/>
      <c r="F5" s="120"/>
    </row>
    <row r="11" spans="1:10" x14ac:dyDescent="0.3">
      <c r="E11" s="25">
        <f>SUM(E2:E10)</f>
        <v>0</v>
      </c>
      <c r="F11">
        <f>SUM(F2:F10)</f>
        <v>0</v>
      </c>
    </row>
  </sheetData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2"/>
  <sheetViews>
    <sheetView workbookViewId="0">
      <selection activeCell="A2" sqref="A2:F2"/>
    </sheetView>
  </sheetViews>
  <sheetFormatPr defaultRowHeight="14.4" x14ac:dyDescent="0.3"/>
  <cols>
    <col min="1" max="1" width="18.109375" customWidth="1"/>
    <col min="2" max="2" width="38.6640625" customWidth="1"/>
    <col min="3" max="3" width="21" customWidth="1"/>
    <col min="4" max="4" width="13.6640625" customWidth="1"/>
    <col min="5" max="5" width="11" customWidth="1"/>
    <col min="6" max="6" width="11.109375" customWidth="1"/>
    <col min="9" max="9" width="10.109375" bestFit="1" customWidth="1"/>
  </cols>
  <sheetData>
    <row r="1" spans="1:10" ht="16.5" customHeight="1" thickBot="1" x14ac:dyDescent="0.35">
      <c r="A1" s="32"/>
      <c r="B1" s="42"/>
      <c r="C1" s="39"/>
      <c r="D1" s="46"/>
      <c r="E1" s="47"/>
      <c r="F1" s="48"/>
      <c r="G1" s="112"/>
      <c r="H1" s="44"/>
      <c r="I1">
        <v>1</v>
      </c>
      <c r="J1" s="26"/>
    </row>
    <row r="2" spans="1:10" x14ac:dyDescent="0.3">
      <c r="A2" s="127"/>
      <c r="B2" s="19"/>
      <c r="C2" s="97"/>
      <c r="D2" s="103"/>
      <c r="E2" s="98"/>
      <c r="F2" s="99"/>
      <c r="G2" s="32"/>
      <c r="H2" s="10"/>
      <c r="I2" s="9"/>
    </row>
    <row r="3" spans="1:10" ht="15" thickBot="1" x14ac:dyDescent="0.35">
      <c r="A3" s="109"/>
      <c r="B3" s="5"/>
      <c r="C3" s="82"/>
      <c r="D3" s="73"/>
      <c r="E3" s="59"/>
      <c r="F3" s="111"/>
      <c r="G3" s="32"/>
      <c r="H3" s="10"/>
      <c r="I3" s="10"/>
    </row>
    <row r="4" spans="1:10" x14ac:dyDescent="0.3">
      <c r="A4" s="32"/>
      <c r="B4" s="42"/>
      <c r="C4" s="38"/>
      <c r="D4" s="46"/>
      <c r="E4" s="47"/>
      <c r="F4" s="48"/>
      <c r="G4" s="113"/>
      <c r="H4" s="114"/>
    </row>
    <row r="5" spans="1:10" x14ac:dyDescent="0.3">
      <c r="A5" s="32"/>
      <c r="B5" s="42"/>
      <c r="C5" s="38"/>
      <c r="D5" s="46"/>
      <c r="E5" s="47"/>
      <c r="F5" s="48"/>
      <c r="G5" s="32"/>
      <c r="H5" s="10"/>
    </row>
    <row r="6" spans="1:10" x14ac:dyDescent="0.3">
      <c r="A6" s="32"/>
      <c r="B6" s="42"/>
      <c r="C6" s="38"/>
      <c r="D6" s="46"/>
      <c r="E6" s="47"/>
      <c r="F6" s="48"/>
      <c r="G6" s="32"/>
      <c r="H6" s="10"/>
    </row>
    <row r="7" spans="1:10" x14ac:dyDescent="0.3">
      <c r="A7" s="32"/>
      <c r="B7" s="42"/>
      <c r="C7" s="38"/>
      <c r="D7" s="39"/>
      <c r="E7" s="40"/>
      <c r="F7" s="43"/>
      <c r="G7" s="32"/>
      <c r="H7" s="10"/>
    </row>
    <row r="8" spans="1:10" x14ac:dyDescent="0.3">
      <c r="A8" s="32"/>
      <c r="B8" s="42"/>
      <c r="C8" s="38"/>
      <c r="D8" s="39"/>
      <c r="E8" s="40"/>
      <c r="F8" s="41"/>
      <c r="G8" s="32"/>
      <c r="H8" s="10"/>
    </row>
    <row r="9" spans="1:10" x14ac:dyDescent="0.3">
      <c r="A9" s="12"/>
      <c r="B9" s="13"/>
      <c r="C9" s="35"/>
      <c r="D9" s="27"/>
      <c r="E9" s="28"/>
      <c r="F9" s="15"/>
      <c r="G9" s="12"/>
    </row>
    <row r="10" spans="1:10" x14ac:dyDescent="0.3">
      <c r="A10" s="12"/>
      <c r="B10" s="13"/>
      <c r="C10" s="35"/>
      <c r="D10" s="27"/>
      <c r="E10" s="28"/>
      <c r="F10" s="15"/>
      <c r="G10" s="12"/>
    </row>
    <row r="11" spans="1:10" x14ac:dyDescent="0.3">
      <c r="A11" s="12"/>
      <c r="B11" s="13"/>
      <c r="C11" s="35"/>
      <c r="D11" s="27"/>
      <c r="E11" s="14"/>
      <c r="F11" s="15"/>
      <c r="G11" s="12"/>
    </row>
    <row r="12" spans="1:10" x14ac:dyDescent="0.3">
      <c r="E12" s="24">
        <f>SUM(E1:E8)</f>
        <v>0</v>
      </c>
      <c r="F12" s="24">
        <f>SUM(F1:F8)</f>
        <v>0</v>
      </c>
    </row>
  </sheetData>
  <pageMargins left="0.7" right="0.7" top="0.75" bottom="0.75" header="0.3" footer="0.3"/>
  <pageSetup paperSize="9" scale="9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workbookViewId="0">
      <selection activeCell="A2" sqref="A2:F2"/>
    </sheetView>
  </sheetViews>
  <sheetFormatPr defaultRowHeight="14.4" x14ac:dyDescent="0.3"/>
  <cols>
    <col min="1" max="1" width="17.109375" customWidth="1"/>
    <col min="2" max="2" width="32.6640625" customWidth="1"/>
    <col min="3" max="3" width="17.5546875" customWidth="1"/>
    <col min="4" max="4" width="13.88671875" customWidth="1"/>
    <col min="5" max="5" width="14.44140625" customWidth="1"/>
    <col min="7" max="7" width="8" customWidth="1"/>
    <col min="9" max="9" width="10.109375" bestFit="1" customWidth="1"/>
  </cols>
  <sheetData>
    <row r="1" spans="1:10" ht="15" thickBot="1" x14ac:dyDescent="0.35">
      <c r="H1" t="s">
        <v>0</v>
      </c>
      <c r="I1" t="s">
        <v>1</v>
      </c>
      <c r="J1" t="s">
        <v>3</v>
      </c>
    </row>
    <row r="2" spans="1:10" ht="15" thickBot="1" x14ac:dyDescent="0.35">
      <c r="A2" s="18"/>
      <c r="B2" s="19"/>
      <c r="C2" s="97"/>
      <c r="D2" s="103"/>
      <c r="E2" s="98"/>
      <c r="F2" s="99"/>
      <c r="G2" s="4"/>
      <c r="H2" s="56"/>
      <c r="I2" s="9"/>
      <c r="J2" s="10"/>
    </row>
    <row r="3" spans="1:10" ht="15" thickBot="1" x14ac:dyDescent="0.35">
      <c r="A3" s="1"/>
      <c r="B3" s="19"/>
      <c r="C3" s="96"/>
      <c r="D3" s="103"/>
      <c r="E3" s="98"/>
      <c r="F3" s="99"/>
      <c r="G3" s="4"/>
      <c r="H3" s="56"/>
      <c r="I3" s="9"/>
      <c r="J3" s="10"/>
    </row>
    <row r="4" spans="1:10" ht="15" thickBot="1" x14ac:dyDescent="0.35">
      <c r="A4" s="1"/>
      <c r="B4" s="2"/>
      <c r="C4" s="102"/>
      <c r="D4" s="73"/>
      <c r="E4" s="94"/>
      <c r="F4" s="31"/>
      <c r="G4" s="10"/>
      <c r="H4" s="10"/>
      <c r="I4" s="10"/>
      <c r="J4" s="10"/>
    </row>
    <row r="5" spans="1:10" ht="15" thickBot="1" x14ac:dyDescent="0.35">
      <c r="A5" s="62"/>
      <c r="B5" s="19"/>
      <c r="C5" s="96"/>
      <c r="D5" s="97"/>
      <c r="E5" s="98"/>
      <c r="F5" s="99"/>
      <c r="G5" s="10"/>
      <c r="H5" s="10"/>
      <c r="I5" s="10"/>
      <c r="J5" s="10"/>
    </row>
    <row r="7" spans="1:10" x14ac:dyDescent="0.3">
      <c r="E7">
        <f>SUM(E2:E6)</f>
        <v>0</v>
      </c>
      <c r="F7" s="6">
        <f>SUM(F2:F6)</f>
        <v>0</v>
      </c>
    </row>
  </sheetData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8D48-F5DF-4F72-A463-23D973439B67}">
  <sheetPr>
    <pageSetUpPr fitToPage="1"/>
  </sheetPr>
  <dimension ref="A1:J11"/>
  <sheetViews>
    <sheetView workbookViewId="0">
      <selection activeCell="E16" sqref="E16"/>
    </sheetView>
  </sheetViews>
  <sheetFormatPr defaultRowHeight="14.4" x14ac:dyDescent="0.3"/>
  <cols>
    <col min="1" max="1" width="18.109375" customWidth="1"/>
    <col min="2" max="2" width="38.6640625" customWidth="1"/>
    <col min="3" max="3" width="21" customWidth="1"/>
    <col min="4" max="4" width="13.6640625" customWidth="1"/>
    <col min="5" max="5" width="11" customWidth="1"/>
    <col min="6" max="6" width="11.109375" customWidth="1"/>
    <col min="9" max="9" width="10.109375" bestFit="1" customWidth="1"/>
  </cols>
  <sheetData>
    <row r="1" spans="1:10" ht="16.5" customHeight="1" thickBot="1" x14ac:dyDescent="0.35">
      <c r="A1" s="32"/>
      <c r="B1" s="42"/>
      <c r="C1" s="39"/>
      <c r="D1" s="46"/>
      <c r="E1" s="47"/>
      <c r="F1" s="48"/>
      <c r="G1" s="32"/>
      <c r="H1" s="10"/>
      <c r="I1">
        <v>1</v>
      </c>
      <c r="J1" s="26"/>
    </row>
    <row r="2" spans="1:10" ht="15" thickBot="1" x14ac:dyDescent="0.35">
      <c r="A2" s="1"/>
      <c r="B2" s="2"/>
      <c r="C2" s="60"/>
      <c r="D2" s="100"/>
      <c r="E2" s="61"/>
      <c r="F2" s="30"/>
      <c r="G2" s="8"/>
      <c r="I2" s="89"/>
    </row>
    <row r="3" spans="1:10" ht="15" thickBot="1" x14ac:dyDescent="0.35">
      <c r="A3" s="1"/>
      <c r="B3" s="5"/>
      <c r="C3" s="58"/>
      <c r="D3" s="73"/>
      <c r="E3" s="59"/>
      <c r="F3" s="31"/>
      <c r="G3" s="32"/>
      <c r="H3" s="10"/>
    </row>
    <row r="4" spans="1:10" x14ac:dyDescent="0.3">
      <c r="A4" s="32"/>
      <c r="B4" s="42"/>
      <c r="C4" s="38"/>
      <c r="D4" s="46"/>
      <c r="E4" s="47"/>
      <c r="F4" s="48"/>
      <c r="G4" s="32"/>
      <c r="H4" s="10"/>
    </row>
    <row r="5" spans="1:10" x14ac:dyDescent="0.3">
      <c r="A5" s="32"/>
      <c r="B5" s="42"/>
      <c r="C5" s="38"/>
      <c r="D5" s="46"/>
      <c r="E5" s="47"/>
      <c r="F5" s="48"/>
      <c r="G5" s="32"/>
      <c r="H5" s="10"/>
    </row>
    <row r="6" spans="1:10" x14ac:dyDescent="0.3">
      <c r="A6" s="32"/>
      <c r="B6" s="42"/>
      <c r="C6" s="38"/>
      <c r="D6" s="39"/>
      <c r="E6" s="40"/>
      <c r="F6" s="43"/>
      <c r="G6" s="32"/>
      <c r="H6" s="10"/>
    </row>
    <row r="7" spans="1:10" x14ac:dyDescent="0.3">
      <c r="A7" s="32"/>
      <c r="B7" s="42"/>
      <c r="C7" s="38"/>
      <c r="D7" s="39"/>
      <c r="E7" s="40"/>
      <c r="F7" s="41"/>
      <c r="G7" s="32"/>
      <c r="H7" s="10"/>
    </row>
    <row r="8" spans="1:10" x14ac:dyDescent="0.3">
      <c r="A8" s="12"/>
      <c r="B8" s="13"/>
      <c r="C8" s="35"/>
      <c r="D8" s="27"/>
      <c r="E8" s="28"/>
      <c r="F8" s="15"/>
      <c r="G8" s="12"/>
    </row>
    <row r="9" spans="1:10" x14ac:dyDescent="0.3">
      <c r="A9" s="12"/>
      <c r="B9" s="13"/>
      <c r="C9" s="35"/>
      <c r="D9" s="27"/>
      <c r="E9" s="28"/>
      <c r="F9" s="15"/>
      <c r="G9" s="12"/>
    </row>
    <row r="10" spans="1:10" x14ac:dyDescent="0.3">
      <c r="A10" s="12"/>
      <c r="B10" s="13"/>
      <c r="C10" s="35"/>
      <c r="D10" s="27"/>
      <c r="E10" s="14"/>
      <c r="F10" s="15"/>
      <c r="G10" s="12" t="s">
        <v>40</v>
      </c>
    </row>
    <row r="11" spans="1:10" x14ac:dyDescent="0.3">
      <c r="E11" s="24">
        <f>SUM(E1:E7)</f>
        <v>0</v>
      </c>
      <c r="F11" s="24">
        <f>SUM(F1:F7)</f>
        <v>0</v>
      </c>
      <c r="G11">
        <v>41000</v>
      </c>
    </row>
  </sheetData>
  <pageMargins left="0.7" right="0.7" top="0.75" bottom="0.75" header="0.3" footer="0.3"/>
  <pageSetup paperSize="9" scale="9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C0AA-8F4C-4375-819C-3918EA4E1CE6}">
  <sheetPr>
    <pageSetUpPr fitToPage="1"/>
  </sheetPr>
  <dimension ref="A1:J11"/>
  <sheetViews>
    <sheetView workbookViewId="0">
      <selection activeCell="A2" sqref="A2:F2"/>
    </sheetView>
  </sheetViews>
  <sheetFormatPr defaultRowHeight="14.4" x14ac:dyDescent="0.3"/>
  <cols>
    <col min="1" max="1" width="25.77734375" customWidth="1"/>
    <col min="2" max="2" width="38.6640625" customWidth="1"/>
    <col min="3" max="3" width="21" customWidth="1"/>
    <col min="4" max="4" width="13.6640625" customWidth="1"/>
    <col min="5" max="5" width="11" customWidth="1"/>
    <col min="6" max="6" width="11.109375" customWidth="1"/>
  </cols>
  <sheetData>
    <row r="1" spans="1:10" ht="16.5" customHeight="1" thickBot="1" x14ac:dyDescent="0.35">
      <c r="A1" s="32"/>
      <c r="B1" s="42"/>
      <c r="C1" s="39"/>
      <c r="D1" s="46"/>
      <c r="E1" s="47"/>
      <c r="F1" s="48"/>
      <c r="G1" s="32"/>
      <c r="H1" s="10"/>
      <c r="I1">
        <v>1</v>
      </c>
      <c r="J1" s="26"/>
    </row>
    <row r="2" spans="1:10" ht="15" thickBot="1" x14ac:dyDescent="0.35">
      <c r="A2" s="1" t="s">
        <v>64</v>
      </c>
      <c r="B2" s="2" t="s">
        <v>31</v>
      </c>
      <c r="C2" s="60" t="s">
        <v>65</v>
      </c>
      <c r="D2" s="100" t="s">
        <v>66</v>
      </c>
      <c r="E2" s="61">
        <v>35000</v>
      </c>
      <c r="F2" s="30">
        <v>38700</v>
      </c>
      <c r="G2" s="8"/>
    </row>
    <row r="3" spans="1:10" ht="15" thickBot="1" x14ac:dyDescent="0.35">
      <c r="A3" s="62"/>
      <c r="B3" s="5"/>
      <c r="C3" s="58"/>
      <c r="D3" s="73"/>
      <c r="E3" s="59"/>
      <c r="F3" s="31"/>
      <c r="G3" s="32"/>
      <c r="H3" s="10"/>
    </row>
    <row r="4" spans="1:10" x14ac:dyDescent="0.3">
      <c r="A4" s="32"/>
      <c r="B4" s="42"/>
      <c r="C4" s="38"/>
      <c r="D4" s="46"/>
      <c r="E4" s="47"/>
      <c r="F4" s="48"/>
      <c r="G4" s="32"/>
      <c r="H4" s="10"/>
    </row>
    <row r="5" spans="1:10" x14ac:dyDescent="0.3">
      <c r="A5" s="32"/>
      <c r="B5" s="42"/>
      <c r="C5" s="38"/>
      <c r="D5" s="46"/>
      <c r="E5" s="47"/>
      <c r="F5" s="48"/>
      <c r="G5" s="32"/>
      <c r="H5" s="10"/>
    </row>
    <row r="6" spans="1:10" x14ac:dyDescent="0.3">
      <c r="A6" s="32"/>
      <c r="B6" s="42"/>
      <c r="C6" s="38"/>
      <c r="D6" s="39"/>
      <c r="E6" s="40"/>
      <c r="F6" s="43"/>
      <c r="G6" s="32"/>
      <c r="H6" s="10"/>
    </row>
    <row r="7" spans="1:10" x14ac:dyDescent="0.3">
      <c r="A7" s="32"/>
      <c r="B7" s="42"/>
      <c r="C7" s="38"/>
      <c r="D7" s="39"/>
      <c r="E7" s="40"/>
      <c r="F7" s="41"/>
      <c r="G7" s="32"/>
      <c r="H7" s="10"/>
    </row>
    <row r="8" spans="1:10" x14ac:dyDescent="0.3">
      <c r="A8" s="12"/>
      <c r="B8" s="13"/>
      <c r="C8" s="35"/>
      <c r="D8" s="27"/>
      <c r="E8" s="28"/>
      <c r="F8" s="15"/>
      <c r="G8" s="12"/>
    </row>
    <row r="9" spans="1:10" x14ac:dyDescent="0.3">
      <c r="A9" s="12"/>
      <c r="B9" s="13"/>
      <c r="C9" s="35"/>
      <c r="D9" s="27"/>
      <c r="E9" s="28"/>
      <c r="F9" s="15"/>
      <c r="G9" s="12"/>
    </row>
    <row r="10" spans="1:10" x14ac:dyDescent="0.3">
      <c r="A10" s="12"/>
      <c r="B10" s="13"/>
      <c r="C10" s="35"/>
      <c r="D10" s="27"/>
      <c r="E10" s="14"/>
      <c r="F10" s="15"/>
      <c r="G10" s="12"/>
    </row>
    <row r="11" spans="1:10" x14ac:dyDescent="0.3">
      <c r="E11" s="24">
        <f>SUM(E1:E7)</f>
        <v>35000</v>
      </c>
      <c r="F11" s="24">
        <f>SUM(F1:F7)</f>
        <v>38700</v>
      </c>
    </row>
  </sheetData>
  <pageMargins left="0.7" right="0.7" top="0.75" bottom="0.75" header="0.3" footer="0.3"/>
  <pageSetup paperSize="9" scale="9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0008-CCDE-4A5F-8E18-ED0A0A22280E}">
  <sheetPr>
    <pageSetUpPr fitToPage="1"/>
  </sheetPr>
  <dimension ref="A1:J10"/>
  <sheetViews>
    <sheetView topLeftCell="A4" workbookViewId="0">
      <selection activeCell="B20" sqref="B20"/>
    </sheetView>
  </sheetViews>
  <sheetFormatPr defaultRowHeight="14.4" x14ac:dyDescent="0.3"/>
  <cols>
    <col min="1" max="1" width="18.109375" customWidth="1"/>
    <col min="2" max="2" width="38.6640625" customWidth="1"/>
    <col min="3" max="3" width="21" customWidth="1"/>
    <col min="4" max="4" width="13.6640625" customWidth="1"/>
    <col min="5" max="5" width="11" customWidth="1"/>
    <col min="6" max="6" width="11.109375" customWidth="1"/>
  </cols>
  <sheetData>
    <row r="1" spans="1:10" ht="16.5" customHeight="1" thickBot="1" x14ac:dyDescent="0.35">
      <c r="A1" s="32"/>
      <c r="B1" s="42"/>
      <c r="C1" s="39"/>
      <c r="D1" s="46"/>
      <c r="E1" s="47"/>
      <c r="F1" s="48"/>
      <c r="G1" s="32"/>
      <c r="H1" s="10"/>
      <c r="I1">
        <v>1</v>
      </c>
      <c r="J1" s="26"/>
    </row>
    <row r="2" spans="1:10" ht="15" thickBot="1" x14ac:dyDescent="0.35">
      <c r="A2" s="1"/>
      <c r="B2" s="2"/>
      <c r="C2" s="60"/>
      <c r="D2" s="60"/>
      <c r="E2" s="61"/>
      <c r="F2" s="115"/>
      <c r="G2" s="8"/>
    </row>
    <row r="3" spans="1:10" ht="15" thickBot="1" x14ac:dyDescent="0.35">
      <c r="A3" s="32"/>
      <c r="B3" s="42"/>
      <c r="C3" s="38"/>
      <c r="D3" s="46"/>
      <c r="E3" s="47"/>
      <c r="F3" s="48"/>
      <c r="G3" s="32"/>
      <c r="H3" s="10"/>
    </row>
    <row r="4" spans="1:10" ht="15" thickBot="1" x14ac:dyDescent="0.35">
      <c r="A4" s="1" t="s">
        <v>88</v>
      </c>
      <c r="B4" s="2" t="s">
        <v>89</v>
      </c>
      <c r="C4" s="60" t="s">
        <v>90</v>
      </c>
      <c r="D4" s="100" t="s">
        <v>91</v>
      </c>
      <c r="E4" s="61">
        <v>29000</v>
      </c>
      <c r="F4" s="30">
        <v>29000</v>
      </c>
      <c r="G4" s="32"/>
      <c r="H4" s="10"/>
    </row>
    <row r="5" spans="1:10" x14ac:dyDescent="0.3">
      <c r="A5" s="32"/>
      <c r="B5" s="42"/>
      <c r="C5" s="38"/>
      <c r="D5" s="39"/>
      <c r="E5" s="40"/>
      <c r="F5" s="43"/>
      <c r="G5" s="32"/>
      <c r="H5" s="10"/>
    </row>
    <row r="6" spans="1:10" x14ac:dyDescent="0.3">
      <c r="A6" s="32"/>
      <c r="B6" s="42"/>
      <c r="C6" s="38"/>
      <c r="D6" s="39"/>
      <c r="E6" s="40"/>
      <c r="F6" s="41"/>
      <c r="G6" s="32"/>
      <c r="H6" s="10"/>
    </row>
    <row r="7" spans="1:10" x14ac:dyDescent="0.3">
      <c r="A7" s="12"/>
      <c r="B7" s="13"/>
      <c r="C7" s="35"/>
      <c r="D7" s="27"/>
      <c r="E7" s="28"/>
      <c r="F7" s="15"/>
      <c r="G7" s="12"/>
    </row>
    <row r="8" spans="1:10" x14ac:dyDescent="0.3">
      <c r="A8" s="12"/>
      <c r="B8" s="13"/>
      <c r="C8" s="35"/>
      <c r="D8" s="27"/>
      <c r="E8" s="28"/>
      <c r="F8" s="15"/>
      <c r="G8" s="12"/>
    </row>
    <row r="9" spans="1:10" x14ac:dyDescent="0.3">
      <c r="A9" s="12"/>
      <c r="B9" s="13"/>
      <c r="C9" s="35"/>
      <c r="D9" s="27"/>
      <c r="E9" s="14"/>
      <c r="F9" s="15"/>
      <c r="G9" s="12"/>
    </row>
    <row r="10" spans="1:10" x14ac:dyDescent="0.3">
      <c r="E10" s="24">
        <f>SUM(E1:E6)</f>
        <v>29000</v>
      </c>
      <c r="F10" s="24">
        <f>SUM(F1:F6)</f>
        <v>29000</v>
      </c>
    </row>
  </sheetData>
  <pageMargins left="0.7" right="0.7" top="0.75" bottom="0.75" header="0.3" footer="0.3"/>
  <pageSetup paperSize="9" scale="9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2F47-7FA9-40EF-90CF-065C2C41D0D1}">
  <dimension ref="A1"/>
  <sheetViews>
    <sheetView workbookViewId="0">
      <selection activeCell="P11" sqref="P1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Обєкти</vt:lpstr>
      <vt:lpstr>10.2025 МАНИ</vt:lpstr>
      <vt:lpstr>Автосвіт</vt:lpstr>
      <vt:lpstr>Нікса</vt:lpstr>
      <vt:lpstr>Приватний Двір</vt:lpstr>
      <vt:lpstr>Ендор Логістик </vt:lpstr>
      <vt:lpstr>Корусанд</vt:lpstr>
      <vt:lpstr>АЙРІС ВОРДВАЙЛ</vt:lpstr>
      <vt:lpstr>ФЛУКОРДІ</vt:lpstr>
      <vt:lpstr>ПРЕМІУМ ТРАНС</vt:lpstr>
      <vt:lpstr>Компанія Агротранс</vt:lpstr>
      <vt:lpstr>Автоленд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l.shyshkina</cp:lastModifiedBy>
  <cp:lastPrinted>2025-11-12T08:03:37Z</cp:lastPrinted>
  <dcterms:created xsi:type="dcterms:W3CDTF">2015-06-05T18:17:20Z</dcterms:created>
  <dcterms:modified xsi:type="dcterms:W3CDTF">2025-11-12T08:05:14Z</dcterms:modified>
</cp:coreProperties>
</file>
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antonov\Desktop\Нова пошта розподіл\"/>
    </mc:Choice>
  </mc:AlternateContent>
  <xr:revisionPtr revIDLastSave="0" documentId="13_ncr:1_{2509B670-629A-4FF0-8F86-2EEEF7C5C247}" xr6:coauthVersionLast="45" xr6:coauthVersionMax="47" xr10:uidLastSave="{00000000-0000-0000-0000-000000000000}"/>
  <bookViews>
    <workbookView minimized="1" xWindow="8004" yWindow="1356" windowWidth="13464" windowHeight="11376" xr2:uid="{238A8A4C-9B99-4527-B353-6C20CCD5F7F9}"/>
  </bookViews>
  <sheets>
    <sheet name="Лист2" sheetId="3" r:id="rId1"/>
    <sheet name="Лист1" sheetId="2" r:id="rId2"/>
  </sheets>
  <definedNames>
    <definedName name="_xlnm._FilterDatabase" localSheetId="1" hidden="1">Лист1!$A$1:$O$46</definedName>
  </definedName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<sst xmlns="http://schemas.openxmlformats.org/spreadsheetml/2006/main" count="441" uniqueCount="162">
  <si>
    <t>Дата ЕН</t>
  </si>
  <si>
    <t>Маршрут</t>
  </si>
  <si>
    <t>Відправник</t>
  </si>
  <si>
    <t>Контакт відправника</t>
  </si>
  <si>
    <t>Отримувач</t>
  </si>
  <si>
    <t>Контакт отримувача</t>
  </si>
  <si>
    <t>Опис вантажу</t>
  </si>
  <si>
    <t>Вага</t>
  </si>
  <si>
    <t>Кількість місць</t>
  </si>
  <si>
    <t>Вартість вантажу</t>
  </si>
  <si>
    <t>Сума</t>
  </si>
  <si>
    <t>ЦФО</t>
  </si>
  <si>
    <t>Статья</t>
  </si>
  <si>
    <t>04.11.2025</t>
  </si>
  <si>
    <t>Чернігів - Біла Церква</t>
  </si>
  <si>
    <t>ТОВ "ЗАВОД "СИМВОЛ" м. Чернігів, Відділення №26: вул. Дрозда, 7</t>
  </si>
  <si>
    <t>Лавриновський Пилип Олександрович 380977848835</t>
  </si>
  <si>
    <t>ТОВ "ІНДАСТРІАЛБУД" м. Біла Церква, вул. Мережна, 6</t>
  </si>
  <si>
    <t>Бреус Віталій Григорович 380675002415</t>
  </si>
  <si>
    <t>Металеві вироби (металоконструкції, метал)</t>
  </si>
  <si>
    <t>Материалы</t>
  </si>
  <si>
    <t>06.11.2025</t>
  </si>
  <si>
    <t>Київ - Біла Церква</t>
  </si>
  <si>
    <t>ТОВ "СФЕРАЛАЙН ЛТД" м. Київ, просп. Перемоги, 67</t>
  </si>
  <si>
    <t>Магдій Дмитро Миколайович 380676213041</t>
  </si>
  <si>
    <t>ТОВ "ІНДАСТРІАЛБУД" м. Біла Церква, Белая Церковь, вул. Мережна, 6, кв. 1</t>
  </si>
  <si>
    <t>Электротовары</t>
  </si>
  <si>
    <t>Дніпро - Біла Церква</t>
  </si>
  <si>
    <t>ТОВ "ПЛАТІНУМ ЕЛЕКТРИК" м. Дніпро, Відділення №1, вул. Сонячна Набережна, 114</t>
  </si>
  <si>
    <t>Придвєрєв Олексій Олександрович 380933594770</t>
  </si>
  <si>
    <t>Електричне обладнання та матеріали</t>
  </si>
  <si>
    <t>03.11.2025</t>
  </si>
  <si>
    <t>Приватна особа м. Київ, Відділення №6: вул. Миколи Василенка, 2</t>
  </si>
  <si>
    <t>Павліченко Олександр Дмитрович 380971825950</t>
  </si>
  <si>
    <t>Кондиціонер(и)</t>
  </si>
  <si>
    <t>Палети</t>
  </si>
  <si>
    <t>07.11.2025</t>
  </si>
  <si>
    <t>ТОВ "ТЕПЛОКЕРАМІК" м. Київ, вул. Малинська, 3</t>
  </si>
  <si>
    <t>Глушенко Олег Миколайович 380958704869</t>
  </si>
  <si>
    <t>МД ООН 2025</t>
  </si>
  <si>
    <t>МД ВООЗ 2025</t>
  </si>
  <si>
    <t>01.09.2025</t>
  </si>
  <si>
    <t>ТОВ "ІНДАСТРІАЛБУД" м. Київ, Відділення №240 (до 30 кг), вул. Преображенська, 8б</t>
  </si>
  <si>
    <t>Шкурат Ігор Миколаєвич 380674118312</t>
  </si>
  <si>
    <t>ТОВ "ІНДАСТРІАЛБУД" м. Біла Церква, Відділення №6 (до 30 кг на одне місце), вул. Заярська, 1</t>
  </si>
  <si>
    <t>Документи</t>
  </si>
  <si>
    <t>цо</t>
  </si>
  <si>
    <t>Курьерские</t>
  </si>
  <si>
    <t>02.10.2025</t>
  </si>
  <si>
    <t>Біла Церква - Варва</t>
  </si>
  <si>
    <t>ТОВ "ІНДАСТРІАЛБУД" м. Біла Церква, Відділення №18 (до 30 кг на одне місце): вул. Героїв Маріуполя, 41а</t>
  </si>
  <si>
    <t>Приватна особа смт Варва, Відділення №1: вул. Миру, 10/3</t>
  </si>
  <si>
    <t>Дехтяр Владислав Олександрович 380981126988</t>
  </si>
  <si>
    <t>зразки</t>
  </si>
  <si>
    <t>Кернел Кухня</t>
  </si>
  <si>
    <t>03.10.2025</t>
  </si>
  <si>
    <t>Біла Церква - Біла Церква</t>
  </si>
  <si>
    <t>Приватна особа м. Біла Церква, Відділення №15 (до 30 кг на одне місце): бульв.Олександрійський, 169</t>
  </si>
  <si>
    <t>Макарова Анна Борисівна 380965281534</t>
  </si>
  <si>
    <t>08.10.2025</t>
  </si>
  <si>
    <t>Кременчук - Біла Церква</t>
  </si>
  <si>
    <t>Приватна особа м. Кременчук, Відділення №10 (до 30 кг на одне місце): вул. Івана Приходька, 42а</t>
  </si>
  <si>
    <t>Поліщук Джульєтта Дмитрівна 380985979848</t>
  </si>
  <si>
    <t>Меліоративне - Біла Церква</t>
  </si>
  <si>
    <t>ТОВ "НВП "ДНІПРО-СПЕЦЕМАЛЬ" смт Меліоративне (Новомосковський р-н), Відділення №1: вул. Молодіжна, 8А</t>
  </si>
  <si>
    <t>Шило В'ячеслав Вікторович 380679019096</t>
  </si>
  <si>
    <t>Астарта Тищенки</t>
  </si>
  <si>
    <t>07.10.2025</t>
  </si>
  <si>
    <t>ТОВ "НВФ "КОНСТАНТА-СТРОЙ" м. Дніпро, Відділення №51 (до 30 кг на одне місце ):  просп. Науки, 105Б</t>
  </si>
  <si>
    <t>Кутькіна Олена Михайлівна 380974841159</t>
  </si>
  <si>
    <t>Кропивницький - Біла Церква</t>
  </si>
  <si>
    <t>Приватна особа м. Кропивницький, Відділення №7 (до 30 кг на одне місце): вул. Леоніда Каденюка, 11 Б</t>
  </si>
  <si>
    <t>Семенова Тетяна Григорівна 380660558890</t>
  </si>
  <si>
    <t>01.10.2025</t>
  </si>
  <si>
    <t>Більцан Костянтин Миколайович 380675393637</t>
  </si>
  <si>
    <t>06.10.2025</t>
  </si>
  <si>
    <t>ТОВ "КОМПАНІЯ-АГРОДАР" м. Київ, вул. Бориспільська, 26д</t>
  </si>
  <si>
    <t>Остапович Олександр Іванович 380502206297</t>
  </si>
  <si>
    <t>30.09.2025</t>
  </si>
  <si>
    <t>Охтирка - Біла Церква</t>
  </si>
  <si>
    <t>Приватна особа м. Охтирка, Відділення №3 (до 30 кг на одне місце): вул. Армійська (ран. Червоноармійська), 89б</t>
  </si>
  <si>
    <t>Марченко Адександра Сергеевна 380664746602</t>
  </si>
  <si>
    <t>Полтава - Біла Церква</t>
  </si>
  <si>
    <t>Приватна особа м. Полтава, Мобільне відділення №19 (до 5 кг), вул. Європейська, 185</t>
  </si>
  <si>
    <t>Кійко Олег Володимирович 380664455819</t>
  </si>
  <si>
    <t>Берестин - Біла Церква</t>
  </si>
  <si>
    <t>ТОВ "УНІВЕРСАЛ ПРОМ ТРЕЙД" м. Берестин (Харківська обл), Відділення №2 (до 30 кг): вул. 19 Вересня, 95 а</t>
  </si>
  <si>
    <t>Некрасова Інна Володимирівна 380951444154</t>
  </si>
  <si>
    <t>Щасливе - Біла Церква</t>
  </si>
  <si>
    <t>Приватна особа с. Щасливе, Відділення №1: вул. Перспективна, 2</t>
  </si>
  <si>
    <t>Кухар Віктор Іванович 380983221894</t>
  </si>
  <si>
    <t>лакофарбові матеріали</t>
  </si>
  <si>
    <t>МД Лазня</t>
  </si>
  <si>
    <t>Біла Церква - Черкаси</t>
  </si>
  <si>
    <t>ТОВ""ГАЛАВТОТРАНС" м. Черкаси, Відділення №25 (до 10 кг): бульв. Шевченка/вул. Митницька, 274/13 (ТРЦ "Pioneer")</t>
  </si>
  <si>
    <t>Зугань Ірина Миколаївна 380674738393</t>
  </si>
  <si>
    <t>14.10.2025</t>
  </si>
  <si>
    <t>Біла Церква - Київ</t>
  </si>
  <si>
    <t>ТОВ "ІНДАСТРІАЛБУД" м. Біла Церква, Відділення №17 (до 30 кг): вул. Шолом Алейхема, 37, прим. №103 та №104</t>
  </si>
  <si>
    <t>Манжула Максим Анатолійович 380662608501</t>
  </si>
  <si>
    <t>Зразки</t>
  </si>
  <si>
    <t>ВООЗ ЄМС 2025</t>
  </si>
  <si>
    <t>15.10.2025</t>
  </si>
  <si>
    <t>ТОВ "ЗАВОД "СИМВОЛ" м. Чернігів, вул. Захисників України (Одинцова), 25, (приватний будинок)</t>
  </si>
  <si>
    <t>Лавриновський Пилип Олександрович 380677090516</t>
  </si>
  <si>
    <t>Транспортные</t>
  </si>
  <si>
    <t>Астарта. Тищенко</t>
  </si>
  <si>
    <t>17.10.2025</t>
  </si>
  <si>
    <t>Приватна особа м. Полтава, Поштомат "Нова Пошта" №21826: вул. Дмитра Пругла, 10, під'їзд №3 (ТІЛЬКИ ДЛЯ МЕШКАНЦІВ)</t>
  </si>
  <si>
    <t>Чорномазов Денис Анатолійович 380954478678</t>
  </si>
  <si>
    <t>ТОВ "ІНДАСТРІАЛБУД" м. Біла Церква, Біла Церква, вул. Мережна, 6</t>
  </si>
  <si>
    <t>Бреус Віталій 380675002415</t>
  </si>
  <si>
    <t>13.10.2025</t>
  </si>
  <si>
    <t>ПІКУЛЬ ЄЛИЗАВЕТА ЮРІЇВНА ФОП м. Київ, Відділення №172 (до 30 кг): вул. Олевська, 9, прим. 304</t>
  </si>
  <si>
    <t>Нестеров Микола Миколайович 380956784735</t>
  </si>
  <si>
    <t>16.10.2025</t>
  </si>
  <si>
    <t>ТОВ "ПЛАТІНУМ ЕЛЕКТРИК" м. Дніпро, Поштомат "Нова Пошта" №30960: вул. Любарського, 143 (ТОВ "Платінум Електрик")</t>
  </si>
  <si>
    <t>Шаталова Карина Петрівна 380686900966</t>
  </si>
  <si>
    <t>Харків - Біла Церква</t>
  </si>
  <si>
    <t>Приватна особа м. Харків, Відділення №27 (до 200 кг на одне місце): вул. Шевченка, 317</t>
  </si>
  <si>
    <t>Приватна особа м. Київ, Відділення №400 (до 30 кг): бульв. Лесі Українки, 10</t>
  </si>
  <si>
    <t>Кечко Ірина Анатоліївна 380502658449</t>
  </si>
  <si>
    <t>10.10.2025</t>
  </si>
  <si>
    <t>ТОВ "ВЦ "ГЕОСЕРВІС УКРАЇНА" м. Київ, Відділення №301 (до 30 кг на одне місце): просп. Червоної Калини, 26 А</t>
  </si>
  <si>
    <t>Лось Катерина Вікторівна 380967193859</t>
  </si>
  <si>
    <t>18.10.2025</t>
  </si>
  <si>
    <t>Приватна особа м. Київ, Відділення №172 (до 30 кг): вул. Олевська, 9, прим. 304</t>
  </si>
  <si>
    <t>Сенченко Касян Богданович 380999505665</t>
  </si>
  <si>
    <t>фурнітура</t>
  </si>
  <si>
    <t>ТОВ "КОМПАНІЯ "ТЕХНОПРЕСТИЖ" м. Київ, Відділення №6: вул. Миколи Василенка, 2</t>
  </si>
  <si>
    <t>22.10.2025</t>
  </si>
  <si>
    <t>Опалювальне обладнання</t>
  </si>
  <si>
    <t>30.10.2025</t>
  </si>
  <si>
    <t>20.10.2025</t>
  </si>
  <si>
    <t>Приватна особа м. Київ, вул. Бориспільська, 26 Д</t>
  </si>
  <si>
    <t>28.10.2025</t>
  </si>
  <si>
    <t>Шишаки - Біла Церква</t>
  </si>
  <si>
    <t>Приватна особа смт Шишаки, Відділення №1: вул. Захисників Неба, 58 (район Лікарні)</t>
  </si>
  <si>
    <t>Яценко Руслан Віталійович 380667547525</t>
  </si>
  <si>
    <t>ТОВ "РУФ-СТАР" м. Київ, Відділення №100 (до 30 кг на одне місце): вул. Інженерна, 1 (маг. "Сільпо")</t>
  </si>
  <si>
    <t>Кухар Віктор Іванович 380634104144</t>
  </si>
  <si>
    <t>27.10.2025</t>
  </si>
  <si>
    <t>Малин - Біла Церква</t>
  </si>
  <si>
    <t>Приватна особа м. Малин, Відділення №3 (до 30 кг): вул. Православна, 23 (біля залізничного вокзалу)</t>
  </si>
  <si>
    <t>Корзун Евгеній Юрійович 380978117707</t>
  </si>
  <si>
    <t>ТОВ "ОХРАНА.УА" м. Київ, Відділення №144 (до 30 кг на одне місце): просп. Науки, 35</t>
  </si>
  <si>
    <t>Комінов Володимир Володимирович 380965699444</t>
  </si>
  <si>
    <t>Электрическое оборудование и материалы</t>
  </si>
  <si>
    <t>ТАРАСЕНКО АЛЛА МИХАЙЛІВНА ФОП м. Київ, бульвар Вацлава Гавела (Лепсе Івана), 16</t>
  </si>
  <si>
    <t>Тарасенко Алла Михайлівна 380671321775</t>
  </si>
  <si>
    <t>ТОВ "ІНДАСТРІАЛБУД" м. Біла Церква, Білоцерківський, Біла Церква, вул. Мережна, 6, кв. 6</t>
  </si>
  <si>
    <t>Заклёпка крашенная 4,0x10 RAL 9006 упаковка 500 шт (45/13710</t>
  </si>
  <si>
    <t>21.10.2025</t>
  </si>
  <si>
    <t>Транспотные</t>
  </si>
  <si>
    <t>24.10.2025</t>
  </si>
  <si>
    <t>ЕПІЦЕНТР ОНЛАЙН м. Чернігів, Відділення №14 : вул. Старобілоуська,16а</t>
  </si>
  <si>
    <t>Брильова Тетяна Олегівна 380958940821</t>
  </si>
  <si>
    <t>Килимки для ванної кімнати; Покриття для підлоги</t>
  </si>
  <si>
    <t>Названия строк</t>
  </si>
  <si>
    <t>Общий итог</t>
  </si>
  <si>
    <t>Сумма по полю Сума</t>
  </si>
  <si>
    <t>(несколько элементов)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</si>
</sst>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8"/>
      <color indexed="24"/>
      <name val="Arial"/>
      <family val="2"/>
    </font>
    <font>
      <sz val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4">
    <border>
      <left/>
      <right/>
      <top/>
      <bottom/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/>
    </xf>
    <xf numFmtId="1" fontId="2" fillId="0" borderId="1" xfId="0" applyNumberFormat="1" applyFont="1" applyBorder="1" applyAlignment="1">
      <alignment horizontal="right" vertical="top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/>
    </xf>
    <xf numFmtId="2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 wrapText="1"/>
    </xf>
    <xf numFmtId="4" fontId="1" fillId="2" borderId="2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4" fontId="2" fillId="0" borderId="3" xfId="0" applyNumberFormat="1" applyFont="1" applyBorder="1" applyAlignment="1">
      <alignment horizontal="right" vertical="top"/>
    </xf>
    <xf numFmtId="2" fontId="2" fillId="0" borderId="3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Обычный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24"/>
        <name val="Arial"/>
        <family val="2"/>
        <scheme val="none"/>
      </font>
      <numFmt numFmtId="4" formatCode="#,##0.00"/>
      <fill>
        <patternFill patternType="solid">
          <fgColor indexed="64"/>
          <bgColor indexed="28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26"/>
        </left>
        <right style="thin">
          <color indexed="2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border outline="0">
        <top style="thin">
          <color indexed="29"/>
        </top>
      </border>
    </dxf>
    <dxf>
      <border outline="0">
        <bottom style="thin">
          <color indexed="26"/>
        </bottom>
      </border>
    </dxf>
    <dxf>
      <border outline="0">
        <top style="thin">
          <color indexed="26"/>
        </top>
        <bottom style="thin">
          <color indexed="2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.antonov" refreshedDate="45979.678705208331" createdVersion="6" refreshedVersion="6" minRefreshableVersion="3" recordCount="45" xr:uid="{8C4916AF-8BC5-4DA6-8F31-4C32BCD28E64}">
  <cacheSource type="worksheet">
    <worksheetSource name="Таблица1"/>
  </cacheSource>
  <cacheFields count="13">
    <cacheField name="Дата ЕН" numFmtId="0">
      <sharedItems count="26">
        <s v="01.09.2025"/>
        <s v="02.10.2025"/>
        <s v="03.10.2025"/>
        <s v="08.10.2025"/>
        <s v="07.10.2025"/>
        <s v="01.10.2025"/>
        <s v="06.10.2025"/>
        <s v="30.09.2025"/>
        <s v="14.10.2025"/>
        <s v="15.10.2025"/>
        <s v="17.10.2025"/>
        <s v="13.10.2025"/>
        <s v="16.10.2025"/>
        <s v="10.10.2025"/>
        <s v="18.10.2025"/>
        <s v="22.10.2025"/>
        <s v="30.10.2025"/>
        <s v="20.10.2025"/>
        <s v="28.10.2025"/>
        <s v="27.10.2025"/>
        <s v="21.10.2025"/>
        <s v="24.10.2025"/>
        <s v="04.11.2025"/>
        <s v="06.11.2025"/>
        <s v="03.11.2025"/>
        <s v="07.11.2025"/>
      </sharedItems>
    </cacheField>
    <cacheField name="Маршрут" numFmtId="0">
      <sharedItems/>
    </cacheField>
    <cacheField name="Відправник" numFmtId="0">
      <sharedItems/>
    </cacheField>
    <cacheField name="Контакт відправника" numFmtId="0">
      <sharedItems/>
    </cacheField>
    <cacheField name="Отримувач" numFmtId="0">
      <sharedItems/>
    </cacheField>
    <cacheField name="Контакт отримувача" numFmtId="0">
      <sharedItems/>
    </cacheField>
    <cacheField name="Опис вантажу" numFmtId="0">
      <sharedItems/>
    </cacheField>
    <cacheField name="Вага" numFmtId="0">
      <sharedItems containsSemiMixedTypes="0" containsString="0" containsNumber="1" minValue="0.1" maxValue="1000"/>
    </cacheField>
    <cacheField name="Кількість місць" numFmtId="0">
      <sharedItems containsSemiMixedTypes="0" containsString="0" containsNumber="1" containsInteger="1" minValue="1" maxValue="4"/>
    </cacheField>
    <cacheField name="Вартість вантажу" numFmtId="0">
      <sharedItems containsSemiMixedTypes="0" containsString="0" containsNumber="1" minValue="50" maxValue="130000"/>
    </cacheField>
    <cacheField name="Сума" numFmtId="0">
      <sharedItems containsSemiMixedTypes="0" containsString="0" containsNumber="1" minValue="65" maxValue="3828.24"/>
    </cacheField>
    <cacheField name="ЦФО" numFmtId="2">
      <sharedItems count="8">
        <s v="цо"/>
        <s v="Кернел Кухня"/>
        <s v="МД ООН 2025"/>
        <s v="Астарта Тищенки"/>
        <s v="МД Лазня"/>
        <s v="ВООЗ ЄМС 2025"/>
        <s v="Астарта. Тищенко"/>
        <s v="МД ВООЗ 2025"/>
      </sharedItems>
    </cacheField>
    <cacheField name="Статья" numFmtId="2">
      <sharedItems count="4">
        <s v="Курьерские"/>
        <s v="Материалы"/>
        <s v="Транспортные"/>
        <s v="Транспотные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Київ - Біла Церква"/>
    <s v="ТОВ &quot;ІНДАСТРІАЛБУД&quot; м. Київ, Відділення №240 (до 30 кг), вул. Преображенська, 8б"/>
    <s v="Шкурат Ігор Миколаєвич 380674118312"/>
    <s v="ТОВ &quot;ІНДАСТРІАЛБУД&quot; м. Біла Церква, Відділення №6 (до 30 кг на одне місце), вул. Заярська, 1"/>
    <s v="Бреус Віталій Григорович 380675002415"/>
    <s v="Документи"/>
    <n v="1"/>
    <n v="1"/>
    <n v="100"/>
    <n v="295"/>
    <x v="0"/>
    <x v="0"/>
  </r>
  <r>
    <x v="1"/>
    <s v="Біла Церква - Варва"/>
    <s v="ТОВ &quot;ІНДАСТРІАЛБУД&quot; м. Біла Церква, Відділення №18 (до 30 кг на одне місце): вул. Героїв Маріуполя, 41а"/>
    <s v="Бреус Віталій Григорович 380675002415"/>
    <s v="Приватна особа смт Варва, Відділення №1: вул. Миру, 10/3"/>
    <s v="Дехтяр Владислав Олександрович 380981126988"/>
    <s v="зразки"/>
    <n v="1"/>
    <n v="1"/>
    <n v="100"/>
    <n v="115"/>
    <x v="1"/>
    <x v="0"/>
  </r>
  <r>
    <x v="2"/>
    <s v="Біла Церква - Біла Церква"/>
    <s v="Приватна особа м. Біла Церква, Відділення №15 (до 30 кг на одне місце): бульв.Олександрійський, 169"/>
    <s v="Макарова Анна Борисівна 380965281534"/>
    <s v="ТОВ &quot;ІНДАСТРІАЛБУД&quot; м. Біла Церква, вул. Мережна, 6"/>
    <s v="Бреус Віталій Григорович 380675002415"/>
    <s v="Документи"/>
    <n v="1"/>
    <n v="1"/>
    <n v="100"/>
    <n v="100"/>
    <x v="0"/>
    <x v="0"/>
  </r>
  <r>
    <x v="3"/>
    <s v="Кременчук - Біла Церква"/>
    <s v="Приватна особа м. Кременчук, Відділення №10 (до 30 кг на одне місце): вул. Івана Приходька, 42а"/>
    <s v="Поліщук Джульєтта Дмитрівна 380985979848"/>
    <s v="ТОВ &quot;ІНДАСТРІАЛБУД&quot; м. Біла Церква, вул. Мережна, 6"/>
    <s v="Бреус Віталій Григорович 380675002415"/>
    <s v="Документи"/>
    <n v="1"/>
    <n v="1"/>
    <n v="100"/>
    <n v="100"/>
    <x v="2"/>
    <x v="0"/>
  </r>
  <r>
    <x v="3"/>
    <s v="Меліоративне - Біла Церква"/>
    <s v="ТОВ &quot;НВП &quot;ДНІПРО-СПЕЦЕМАЛЬ&quot; смт Меліоративне (Новомосковський р-н), Відділення №1: вул. Молодіжна, 8А"/>
    <s v="Шило В'ячеслав Вікторович 380679019096"/>
    <s v="ТОВ &quot;ІНДАСТРІАЛБУД&quot; м. Біла Церква, вул. Мережна, 6"/>
    <s v="Бреус Віталій Григорович 380675002415"/>
    <s v="Документи"/>
    <n v="0.2"/>
    <n v="1"/>
    <n v="200"/>
    <n v="100"/>
    <x v="3"/>
    <x v="0"/>
  </r>
  <r>
    <x v="4"/>
    <s v="Дніпро - Біла Церква"/>
    <s v="ТОВ &quot;НВФ &quot;КОНСТАНТА-СТРОЙ&quot; м. Дніпро, Відділення №51 (до 30 кг на одне місце ):  просп. Науки, 105Б"/>
    <s v="Кутькіна Олена Михайлівна 380974841159"/>
    <s v="ТОВ &quot;ІНДАСТРІАЛБУД&quot; м. Біла Церква, вул. Мережна, 6"/>
    <s v="Бреус Віталій Григорович 380675002415"/>
    <s v="Документи"/>
    <n v="1"/>
    <n v="1"/>
    <n v="200"/>
    <n v="100"/>
    <x v="2"/>
    <x v="0"/>
  </r>
  <r>
    <x v="1"/>
    <s v="Кропивницький - Біла Церква"/>
    <s v="Приватна особа м. Кропивницький, Відділення №7 (до 30 кг на одне місце): вул. Леоніда Каденюка, 11 Б"/>
    <s v="Семенова Тетяна Григорівна 380660558890"/>
    <s v="ТОВ &quot;ІНДАСТРІАЛБУД&quot; м. Біла Церква, вул. Мережна, 6"/>
    <s v="Бреус Віталій Григорович 380675002415"/>
    <s v="Документи"/>
    <n v="1"/>
    <n v="1"/>
    <n v="500"/>
    <n v="100"/>
    <x v="3"/>
    <x v="0"/>
  </r>
  <r>
    <x v="5"/>
    <s v="Дніпро - Біла Церква"/>
    <s v="ТОВ &quot;НВФ &quot;КОНСТАНТА-СТРОЙ&quot; м. Дніпро, Відділення №51 (до 30 кг на одне місце ):  просп. Науки, 105Б"/>
    <s v="Більцан Костянтин Миколайович 380675393637"/>
    <s v="ТОВ &quot;ІНДАСТРІАЛБУД&quot; м. Біла Церква, вул. Мережна, 6"/>
    <s v="Бреус Віталій Григорович 380675002415"/>
    <s v="Документи"/>
    <n v="1"/>
    <n v="1"/>
    <n v="500"/>
    <n v="100"/>
    <x v="2"/>
    <x v="0"/>
  </r>
  <r>
    <x v="6"/>
    <s v="Київ - Біла Церква"/>
    <s v="ТОВ &quot;КОМПАНІЯ-АГРОДАР&quot; м. Київ, вул. Бориспільська, 26д"/>
    <s v="Остапович Олександр Іванович 380502206297"/>
    <s v="ТОВ &quot;ІНДАСТРІАЛБУД&quot; м. Біла Церква, вул. Мережна, 6"/>
    <s v="Бреус Віталій Григорович 380675002415"/>
    <s v="Документи"/>
    <n v="1"/>
    <n v="1"/>
    <n v="500"/>
    <n v="135"/>
    <x v="3"/>
    <x v="0"/>
  </r>
  <r>
    <x v="7"/>
    <s v="Охтирка - Біла Церква"/>
    <s v="Приватна особа м. Охтирка, Відділення №3 (до 30 кг на одне місце): вул. Армійська (ран. Червоноармійська), 89б"/>
    <s v="Марченко Адександра Сергеевна 380664746602"/>
    <s v="ТОВ &quot;ІНДАСТРІАЛБУД&quot; м. Біла Церква, вул. Мережна, 6"/>
    <s v="Бреус Віталій Григорович 380675002415"/>
    <s v="Документи"/>
    <n v="1"/>
    <n v="1"/>
    <n v="500"/>
    <n v="100"/>
    <x v="2"/>
    <x v="0"/>
  </r>
  <r>
    <x v="7"/>
    <s v="Полтава - Біла Церква"/>
    <s v="Приватна особа м. Полтава, Мобільне відділення №19 (до 5 кг), вул. Європейська, 185"/>
    <s v="Кійко Олег Володимирович 380664455819"/>
    <s v="ТОВ &quot;ІНДАСТРІАЛБУД&quot; м. Біла Церква, вул. Мережна, 6"/>
    <s v="Бреус Віталій Григорович 380675002415"/>
    <s v="Документи"/>
    <n v="1"/>
    <n v="1"/>
    <n v="500"/>
    <n v="100"/>
    <x v="3"/>
    <x v="0"/>
  </r>
  <r>
    <x v="7"/>
    <s v="Берестин - Біла Церква"/>
    <s v="ТОВ &quot;УНІВЕРСАЛ ПРОМ ТРЕЙД&quot; м. Берестин (Харківська обл), Відділення №2 (до 30 кг): вул. 19 Вересня, 95 а"/>
    <s v="Некрасова Інна Володимирівна 380951444154"/>
    <s v="ТОВ &quot;ІНДАСТРІАЛБУД&quot; м. Біла Церква, вул. Мережна, 6"/>
    <s v="Бреус Віталій Григорович 380675002415"/>
    <s v="Документи"/>
    <n v="1"/>
    <n v="1"/>
    <n v="100"/>
    <n v="100"/>
    <x v="3"/>
    <x v="0"/>
  </r>
  <r>
    <x v="6"/>
    <s v="Щасливе - Біла Церква"/>
    <s v="Приватна особа с. Щасливе, Відділення №1: вул. Перспективна, 2"/>
    <s v="Кухар Віктор Іванович 380983221894"/>
    <s v="ТОВ &quot;ІНДАСТРІАЛБУД&quot; м. Біла Церква, вул. Мережна, 6"/>
    <s v="Бреус Віталій Григорович 380675002415"/>
    <s v="лакофарбові матеріали"/>
    <n v="6"/>
    <n v="2"/>
    <n v="2650"/>
    <n v="268.25"/>
    <x v="4"/>
    <x v="1"/>
  </r>
  <r>
    <x v="7"/>
    <s v="Біла Церква - Черкаси"/>
    <s v="ТОВ &quot;ІНДАСТРІАЛБУД&quot; м. Біла Церква, Відділення №18 (до 30 кг на одне місце): вул. Героїв Маріуполя, 41а"/>
    <s v="Бреус Віталій Григорович 380675002415"/>
    <s v="ТОВ&quot;&quot;ГАЛАВТОТРАНС&quot; м. Черкаси, Відділення №25 (до 10 кг): бульв. Шевченка/вул. Митницька, 274/13 (ТРЦ &quot;Pioneer&quot;)"/>
    <s v="Зугань Ірина Миколаївна 380674738393"/>
    <s v="Документи"/>
    <n v="1"/>
    <n v="1"/>
    <n v="100"/>
    <n v="65"/>
    <x v="2"/>
    <x v="0"/>
  </r>
  <r>
    <x v="8"/>
    <s v="Біла Церква - Київ"/>
    <s v="ТОВ &quot;ІНДАСТРІАЛБУД&quot; м. Біла Церква, Відділення №17 (до 30 кг): вул. Шолом Алейхема, 37, прим. №103 та №104"/>
    <s v="Бреус Віталій Григорович 380675002415"/>
    <s v="ТОВ &quot;ІНДАСТРІАЛБУД&quot; м. Київ, Відділення №240 (до 30 кг), вул. Преображенська, 8б"/>
    <s v="Манжула Максим Анатолійович 380662608501"/>
    <s v="зразки"/>
    <n v="0.5"/>
    <n v="1"/>
    <n v="100"/>
    <n v="84.4"/>
    <x v="5"/>
    <x v="0"/>
  </r>
  <r>
    <x v="9"/>
    <s v="Чернігів - Біла Церква"/>
    <s v="ТОВ &quot;ЗАВОД &quot;СИМВОЛ&quot; м. Чернігів, вул. Захисників України (Одинцова), 25, (приватний будинок)"/>
    <s v="Лавриновський Пилип Олександрович 380677090516"/>
    <s v="ТОВ &quot;ІНДАСТРІАЛБУД&quot; м. Біла Церква, вул. Мережна, 6"/>
    <s v="Бреус Віталій Григорович 380675002415"/>
    <s v="Палети"/>
    <n v="500"/>
    <n v="1"/>
    <n v="23000"/>
    <n v="2285"/>
    <x v="2"/>
    <x v="2"/>
  </r>
  <r>
    <x v="8"/>
    <s v="Берестин - Біла Церква"/>
    <s v="ТОВ &quot;УНІВЕРСАЛ ПРОМ ТРЕЙД&quot; м. Берестин (Харківська обл), Відділення №2 (до 30 кг): вул. 19 Вересня, 95 а"/>
    <s v="Некрасова Інна Володимирівна 380951444154"/>
    <s v="ТОВ &quot;ІНДАСТРІАЛБУД&quot; м. Біла Церква, вул. Мережна, 6"/>
    <s v="Бреус Віталій Григорович 380675002415"/>
    <s v="Документи"/>
    <n v="1"/>
    <n v="1"/>
    <n v="100"/>
    <n v="93"/>
    <x v="6"/>
    <x v="0"/>
  </r>
  <r>
    <x v="10"/>
    <s v="Полтава - Біла Церква"/>
    <s v="Приватна особа м. Полтава, Поштомат &quot;Нова Пошта&quot; №21826: вул. Дмитра Пругла, 10, під'їзд №3 (ТІЛЬКИ ДЛЯ МЕШКАНЦІВ)"/>
    <s v="Чорномазов Денис Анатолійович 380954478678"/>
    <s v="ТОВ &quot;ІНДАСТРІАЛБУД&quot; м. Біла Церква, Біла Церква, вул. Мережна, 6"/>
    <s v="Бреус Віталій 380675002415"/>
    <s v="Документи"/>
    <n v="1"/>
    <n v="1"/>
    <n v="200"/>
    <n v="93"/>
    <x v="6"/>
    <x v="0"/>
  </r>
  <r>
    <x v="11"/>
    <s v="Київ - Біла Церква"/>
    <s v="ПІКУЛЬ ЄЛИЗАВЕТА ЮРІЇВНА ФОП м. Київ, Відділення №172 (до 30 кг): вул. Олевська, 9, прим. 304"/>
    <s v="Нестеров Микола Миколайович 380956784735"/>
    <s v="ТОВ &quot;ІНДАСТРІАЛБУД&quot; м. Біла Церква, вул. Мережна, 6"/>
    <s v="Бреус Віталій Григорович 380675002415"/>
    <s v="Документи"/>
    <n v="0.5"/>
    <n v="1"/>
    <n v="500"/>
    <n v="100"/>
    <x v="2"/>
    <x v="0"/>
  </r>
  <r>
    <x v="12"/>
    <s v="Дніпро - Біла Церква"/>
    <s v="ТОВ &quot;ПЛАТІНУМ ЕЛЕКТРИК&quot; м. Дніпро, Поштомат &quot;Нова Пошта&quot; №30960: вул. Любарського, 143 (ТОВ &quot;Платінум Електрик&quot;)"/>
    <s v="Шаталова Карина Петрівна 380686900966"/>
    <s v="ТОВ &quot;ІНДАСТРІАЛБУД&quot; м. Біла Церква, вул. Мережна, 6"/>
    <s v="Бреус Віталій Григорович 380675002415"/>
    <s v="Документи"/>
    <n v="0.15"/>
    <n v="1"/>
    <n v="50"/>
    <n v="93"/>
    <x v="2"/>
    <x v="0"/>
  </r>
  <r>
    <x v="12"/>
    <s v="Харків - Біла Церква"/>
    <s v="Приватна особа м. Харків, Відділення №27 (до 200 кг на одне місце): вул. Шевченка, 317"/>
    <s v="Кійко Олег Володимирович 380664455819"/>
    <s v="ТОВ &quot;ІНДАСТРІАЛБУД&quot; м. Біла Церква, вул. Мережна, 6"/>
    <s v="Бреус Віталій Григорович 380675002415"/>
    <s v="Документи"/>
    <n v="1"/>
    <n v="1"/>
    <n v="500"/>
    <n v="93"/>
    <x v="6"/>
    <x v="0"/>
  </r>
  <r>
    <x v="9"/>
    <s v="Київ - Біла Церква"/>
    <s v="Приватна особа м. Київ, Відділення №400 (до 30 кг): бульв. Лесі Українки, 10"/>
    <s v="Кечко Ірина Анатоліївна 380502658449"/>
    <s v="ТОВ &quot;ІНДАСТРІАЛБУД&quot; м. Біла Церква, вул. Мережна, 6"/>
    <s v="Бреус Віталій Григорович 380675002415"/>
    <s v="Документи"/>
    <n v="1"/>
    <n v="1"/>
    <n v="100"/>
    <n v="93"/>
    <x v="5"/>
    <x v="0"/>
  </r>
  <r>
    <x v="13"/>
    <s v="Київ - Біла Церква"/>
    <s v="ТОВ &quot;ВЦ &quot;ГЕОСЕРВІС УКРАЇНА&quot; м. Київ, Відділення №301 (до 30 кг на одне місце): просп. Червоної Калини, 26 А"/>
    <s v="Лось Катерина Вікторівна 380967193859"/>
    <s v="ТОВ &quot;ІНДАСТРІАЛБУД&quot; м. Біла Церква, вул. Мережна, 6"/>
    <s v="Бреус Віталій Григорович 380675002415"/>
    <s v="Документи"/>
    <n v="0.5"/>
    <n v="1"/>
    <n v="200"/>
    <n v="100"/>
    <x v="6"/>
    <x v="0"/>
  </r>
  <r>
    <x v="14"/>
    <s v="Київ - Біла Церква"/>
    <s v="Приватна особа м. Київ, Відділення №172 (до 30 кг): вул. Олевська, 9, прим. 304"/>
    <s v="Сенченко Касян Богданович 380999505665"/>
    <s v="ТОВ &quot;ІНДАСТРІАЛБУД&quot; м. Біла Церква, вул. Мережна, 6"/>
    <s v="Бреус Віталій Григорович 380675002415"/>
    <s v="фурнітура"/>
    <n v="1"/>
    <n v="1"/>
    <n v="100"/>
    <n v="106.95"/>
    <x v="2"/>
    <x v="2"/>
  </r>
  <r>
    <x v="11"/>
    <s v="Київ - Біла Церква"/>
    <s v="ТОВ &quot;КОМПАНІЯ &quot;ТЕХНОПРЕСТИЖ&quot; м. Київ, Відділення №6: вул. Миколи Василенка, 2"/>
    <s v="Павліченко Олександр Дмитрович 380971825950"/>
    <s v="ТОВ &quot;ІНДАСТРІАЛБУД&quot; м. Біла Церква, вул. Мережна, 6"/>
    <s v="Бреус Віталій Григорович 380675002415"/>
    <s v="Кондиціонер(и)"/>
    <n v="50.55"/>
    <n v="2"/>
    <n v="22999"/>
    <n v="659"/>
    <x v="2"/>
    <x v="1"/>
  </r>
  <r>
    <x v="15"/>
    <s v="Чернігів - Біла Церква"/>
    <s v="ТОВ &quot;ЗАВОД &quot;СИМВОЛ&quot; м. Чернігів, вул. Захисників України (Одинцова), 25, (приватний будинок)"/>
    <s v="Лавриновський Пилип Олександрович 380977848835"/>
    <s v="ТОВ &quot;ІНДАСТРІАЛБУД&quot; м. Біла Церква, Біла Церква, вул. Мережна, 6"/>
    <s v="Бреус Віталій Григорович 380675002415"/>
    <s v="Опалювальне обладнання"/>
    <n v="100"/>
    <n v="1"/>
    <n v="15000"/>
    <n v="1192.2"/>
    <x v="2"/>
    <x v="1"/>
  </r>
  <r>
    <x v="16"/>
    <s v="Біла Церква - Біла Церква"/>
    <s v="Приватна особа м. Біла Церква, Відділення №15 (до 30 кг на одне місце): бульв.Олександрійський, 169"/>
    <s v="Макарова Анна Борисівна 380965281534"/>
    <s v="ТОВ &quot;ІНДАСТРІАЛБУД&quot; м. Біла Церква, вул. Мережна, 6"/>
    <s v="Бреус Віталій Григорович 380675002415"/>
    <s v="Документи"/>
    <n v="1"/>
    <n v="1"/>
    <n v="200"/>
    <n v="93"/>
    <x v="2"/>
    <x v="0"/>
  </r>
  <r>
    <x v="17"/>
    <s v="Київ - Біла Церква"/>
    <s v="Приватна особа м. Київ, вул. Бориспільська, 26 Д"/>
    <s v="Остапович Олександр Іванович 380502206297"/>
    <s v="ТОВ &quot;ІНДАСТРІАЛБУД&quot; м. Біла Церква, вул. Мережна, 6"/>
    <s v="Бреус Віталій Григорович 380675002415"/>
    <s v="Документи"/>
    <n v="1"/>
    <n v="1"/>
    <n v="100"/>
    <n v="125.55"/>
    <x v="2"/>
    <x v="0"/>
  </r>
  <r>
    <x v="17"/>
    <s v="Берестин - Біла Церква"/>
    <s v="ТОВ &quot;УНІВЕРСАЛ ПРОМ ТРЕЙД&quot; м. Берестин (Харківська обл), Відділення №2 (до 30 кг): вул. 19 Вересня, 95 а"/>
    <s v="Некрасова Інна Володимирівна 380951444154"/>
    <s v="ТОВ &quot;ІНДАСТРІАЛБУД&quot; м. Біла Церква, вул. Мережна, 6"/>
    <s v="Бреус Віталій Григорович 380675002415"/>
    <s v="Документи"/>
    <n v="0.1"/>
    <n v="1"/>
    <n v="100"/>
    <n v="93"/>
    <x v="6"/>
    <x v="0"/>
  </r>
  <r>
    <x v="17"/>
    <s v="Дніпро - Біла Церква"/>
    <s v="ТОВ &quot;НВФ &quot;КОНСТАНТА-СТРОЙ&quot; м. Дніпро, Відділення №51 (до 30 кг на одне місце ):  просп. Науки, 105Б"/>
    <s v="Більцан Костянтин Миколайович 380675393637"/>
    <s v="ТОВ &quot;ІНДАСТРІАЛБУД&quot; м. Біла Церква, вул. Мережна, 6"/>
    <s v="Бреус Віталій Григорович 380675002415"/>
    <s v="Документи"/>
    <n v="1"/>
    <n v="1"/>
    <n v="500"/>
    <n v="93"/>
    <x v="2"/>
    <x v="0"/>
  </r>
  <r>
    <x v="18"/>
    <s v="Шишаки - Біла Церква"/>
    <s v="Приватна особа смт Шишаки, Відділення №1: вул. Захисників Неба, 58 (район Лікарні)"/>
    <s v="Яценко Руслан Віталійович 380667547525"/>
    <s v="ТОВ &quot;ІНДАСТРІАЛБУД&quot; м. Біла Церква, вул. Мережна, 6"/>
    <s v="Бреус Віталій Григорович 380675002415"/>
    <s v="Документи"/>
    <n v="1"/>
    <n v="1"/>
    <n v="200"/>
    <n v="93"/>
    <x v="6"/>
    <x v="0"/>
  </r>
  <r>
    <x v="18"/>
    <s v="Київ - Біла Церква"/>
    <s v="ТОВ &quot;РУФ-СТАР&quot; м. Київ, Відділення №100 (до 30 кг на одне місце): вул. Інженерна, 1 (маг. &quot;Сільпо&quot;)"/>
    <s v="Кухар Віктор Іванович 380634104144"/>
    <s v="ТОВ &quot;ІНДАСТРІАЛБУД&quot; м. Біла Церква, вул. Мережна, 6"/>
    <s v="Бреус Віталій Григорович 380675002415"/>
    <s v="Документи"/>
    <n v="0.5"/>
    <n v="1"/>
    <n v="200"/>
    <n v="93"/>
    <x v="2"/>
    <x v="0"/>
  </r>
  <r>
    <x v="19"/>
    <s v="Малин - Біла Церква"/>
    <s v="Приватна особа м. Малин, Відділення №3 (до 30 кг): вул. Православна, 23 (біля залізничного вокзалу)"/>
    <s v="Корзун Евгеній Юрійович 380978117707"/>
    <s v="ТОВ &quot;ІНДАСТРІАЛБУД&quot; м. Біла Церква, вул. Мережна, 6"/>
    <s v="Бреус Віталій Григорович 380675002415"/>
    <s v="Документи"/>
    <n v="0.1"/>
    <n v="1"/>
    <n v="200"/>
    <n v="93"/>
    <x v="6"/>
    <x v="0"/>
  </r>
  <r>
    <x v="16"/>
    <s v="Київ - Біла Церква"/>
    <s v="ТОВ &quot;ОХРАНА.УА&quot; м. Київ, Відділення №144 (до 30 кг на одне місце): просп. Науки, 35"/>
    <s v="Комінов Володимир Володимирович 380965699444"/>
    <s v="ТОВ &quot;ІНДАСТРІАЛБУД&quot; м. Біла Церква, вул. Мережна, 6"/>
    <s v="Бреус Віталій Григорович 380675002415"/>
    <s v="Электрическое оборудование и материалы"/>
    <n v="6"/>
    <n v="1"/>
    <n v="6525"/>
    <n v="167.48"/>
    <x v="2"/>
    <x v="1"/>
  </r>
  <r>
    <x v="16"/>
    <s v="Київ - Біла Церква"/>
    <s v="ТАРАСЕНКО АЛЛА МИХАЙЛІВНА ФОП м. Київ, бульвар Вацлава Гавела (Лепсе Івана), 16"/>
    <s v="Тарасенко Алла Михайлівна 380671321775"/>
    <s v="ТОВ &quot;ІНДАСТРІАЛБУД&quot; м. Біла Церква, Білоцерківський, Біла Церква, вул. Мережна, 6, кв. 6"/>
    <s v="Бреус Віталій Григорович 380675002415"/>
    <s v="Заклёпка крашенная 4,0x10 RAL 9006 упаковка 500 шт (45/13710"/>
    <n v="1"/>
    <n v="1"/>
    <n v="312.89"/>
    <n v="139.5"/>
    <x v="1"/>
    <x v="1"/>
  </r>
  <r>
    <x v="20"/>
    <s v="Київ - Біла Церква"/>
    <s v="Приватна особа м. Київ, Відділення №6: вул. Миколи Василенка, 2"/>
    <s v="Павліченко Олександр Дмитрович 380971825950"/>
    <s v="ТОВ &quot;ІНДАСТРІАЛБУД&quot; м. Біла Церква, Біла Церква, вул. Мережна, 6"/>
    <s v="Бреус Віталій Григорович 380675002415"/>
    <s v="Кондиціонер(и)"/>
    <n v="101.1"/>
    <n v="4"/>
    <n v="44000"/>
    <n v="1231.8399999999999"/>
    <x v="2"/>
    <x v="3"/>
  </r>
  <r>
    <x v="21"/>
    <s v="Чернігів - Біла Церква"/>
    <s v="ЕПІЦЕНТР ОНЛАЙН м. Чернігів, Відділення №14 : вул. Старобілоуська,16а"/>
    <s v="Брильова Тетяна Олегівна 380958940821"/>
    <s v="ТОВ &quot;ІНДАСТРІАЛБУД&quot; м. Біла Церква, вул. Мережна, 6"/>
    <s v="Бреус Віталій 380675002415"/>
    <s v="Килимки для ванної кімнати; Покриття для підлоги"/>
    <n v="30.6"/>
    <n v="1"/>
    <n v="4583"/>
    <n v="200"/>
    <x v="2"/>
    <x v="1"/>
  </r>
  <r>
    <x v="22"/>
    <s v="Чернігів - Біла Церква"/>
    <s v="ТОВ &quot;ЗАВОД &quot;СИМВОЛ&quot; м. Чернігів, Відділення №26: вул. Дрозда, 7"/>
    <s v="Лавриновський Пилип Олександрович 380977848835"/>
    <s v="ТОВ &quot;ІНДАСТРІАЛБУД&quot; м. Біла Церква, вул. Мережна, 6"/>
    <s v="Бреус Віталій Григорович 380675002415"/>
    <s v="Металеві вироби (металоконструкції, метал)"/>
    <n v="50"/>
    <n v="1"/>
    <n v="15000"/>
    <n v="838.6"/>
    <x v="2"/>
    <x v="1"/>
  </r>
  <r>
    <x v="23"/>
    <s v="Київ - Біла Церква"/>
    <s v="ТОВ &quot;СФЕРАЛАЙН ЛТД&quot; м. Київ, просп. Перемоги, 67"/>
    <s v="Магдій Дмитро Миколайович 380676213041"/>
    <s v="ТОВ &quot;ІНДАСТРІАЛБУД&quot; м. Біла Церква, Белая Церковь, вул. Мережна, 6, кв. 1"/>
    <s v="Бреус Віталій Григорович 380675002415"/>
    <s v="Электротовары"/>
    <n v="13.5"/>
    <n v="1"/>
    <n v="1000"/>
    <n v="268.89999999999998"/>
    <x v="2"/>
    <x v="1"/>
  </r>
  <r>
    <x v="23"/>
    <s v="Дніпро - Біла Церква"/>
    <s v="ТОВ &quot;ПЛАТІНУМ ЕЛЕКТРИК&quot; м. Дніпро, Відділення №1, вул. Сонячна Набережна, 114"/>
    <s v="Придвєрєв Олексій Олександрович 380933594770"/>
    <s v="ТОВ &quot;ІНДАСТРІАЛБУД&quot; м. Біла Церква, вул. Мережна, 6"/>
    <s v="Бреус Віталій Григорович 380675002415"/>
    <s v="Електричне обладнання та матеріали"/>
    <n v="20"/>
    <n v="1"/>
    <n v="1000"/>
    <n v="236.35"/>
    <x v="2"/>
    <x v="1"/>
  </r>
  <r>
    <x v="24"/>
    <s v="Київ - Біла Церква"/>
    <s v="Приватна особа м. Київ, Відділення №6: вул. Миколи Василенка, 2"/>
    <s v="Павліченко Олександр Дмитрович 380971825950"/>
    <s v="ТОВ &quot;ІНДАСТРІАЛБУД&quot; м. Біла Церква, вул. Мережна, 6"/>
    <s v="Бреус Віталій Григорович 380675002415"/>
    <s v="Кондиціонер(и)"/>
    <n v="50"/>
    <n v="2"/>
    <n v="22900"/>
    <n v="627.86"/>
    <x v="2"/>
    <x v="1"/>
  </r>
  <r>
    <x v="23"/>
    <s v="Київ - Біла Церква"/>
    <s v="ТОВ &quot;СФЕРАЛАЙН ЛТД&quot; м. Київ, просп. Перемоги, 67"/>
    <s v="Магдій Дмитро Миколайович 380676213041"/>
    <s v="ТОВ &quot;ІНДАСТРІАЛБУД&quot; м. Біла Церква, Белая Церковь, вул. Мережна, 6, кв. 1"/>
    <s v="Бреус Віталій Григорович 380675002415"/>
    <s v="Палети"/>
    <n v="750"/>
    <n v="1"/>
    <n v="1000"/>
    <n v="2655.5"/>
    <x v="2"/>
    <x v="1"/>
  </r>
  <r>
    <x v="25"/>
    <s v="Дніпро - Біла Церква"/>
    <s v="ТОВ &quot;ПЛАТІНУМ ЕЛЕКТРИК&quot; м. Дніпро, Відділення №1, вул. Сонячна Набережна, 114"/>
    <s v="Придвєрєв Олексій Олександрович 380933594770"/>
    <s v="ТОВ &quot;ІНДАСТРІАЛБУД&quot; м. Біла Церква, вул. Мережна, 6"/>
    <s v="Бреус Віталій Григорович 380675002415"/>
    <s v="Палети"/>
    <n v="500"/>
    <n v="1"/>
    <n v="130000"/>
    <n v="2649.5"/>
    <x v="7"/>
    <x v="1"/>
  </r>
  <r>
    <x v="24"/>
    <s v="Київ - Біла Церква"/>
    <s v="ТОВ &quot;ТЕПЛОКЕРАМІК&quot; м. Київ, вул. Малинська, 3"/>
    <s v="Глушенко Олег Миколайович 380958704869"/>
    <s v="ТОВ &quot;ІНДАСТРІАЛБУД&quot; м. Біла Церква, вул. Мережна, 6"/>
    <s v="Бреус Віталій Григорович 380675002415"/>
    <s v="Палети"/>
    <n v="1000"/>
    <n v="2"/>
    <n v="77448"/>
    <n v="3828.24"/>
    <x v="2"/>
    <x v="1"/>
  </r>
  <r>
    <x v="23"/>
    <s v="Дніпро - Біла Церква"/>
    <s v="ТОВ &quot;ПЛАТІНУМ ЕЛЕКТРИК&quot; м. Дніпро, Відділення №1, вул. Сонячна Набережна, 114"/>
    <s v="Придвєрєв Олексій Олександрович 380933594770"/>
    <s v="ТОВ &quot;ІНДАСТРІАЛБУД&quot; м. Біла Церква, вул. Мережна, 6"/>
    <s v="Бреус Віталій Григорович 380675002415"/>
    <s v="Палети"/>
    <n v="500"/>
    <n v="1"/>
    <n v="35000"/>
    <n v="2174.5"/>
    <x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EC71C-F852-4B43-B376-722A713512FA}" name="Сводная таблица2" cacheId="1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22" firstHeaderRow="1" firstDataRow="1" firstDataCol="1" rowPageCount="1" colPageCount="1"/>
  <pivotFields count="13">
    <pivotField axis="axisPage" multipleItemSelectionAllowed="1" showAll="0">
      <items count="27">
        <item h="1" x="0"/>
        <item x="5"/>
        <item x="1"/>
        <item x="2"/>
        <item h="1" x="24"/>
        <item h="1" x="22"/>
        <item x="6"/>
        <item h="1" x="23"/>
        <item x="4"/>
        <item h="1" x="25"/>
        <item x="3"/>
        <item x="13"/>
        <item x="11"/>
        <item x="8"/>
        <item x="9"/>
        <item x="12"/>
        <item x="10"/>
        <item x="14"/>
        <item x="17"/>
        <item x="20"/>
        <item x="15"/>
        <item x="21"/>
        <item x="19"/>
        <item x="18"/>
        <item h="1"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3"/>
        <item x="6"/>
        <item x="5"/>
        <item x="1"/>
        <item x="7"/>
        <item x="4"/>
        <item x="2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12"/>
  </rowFields>
  <rowItems count="19">
    <i>
      <x/>
    </i>
    <i r="1">
      <x/>
    </i>
    <i>
      <x v="1"/>
    </i>
    <i r="1">
      <x/>
    </i>
    <i>
      <x v="2"/>
    </i>
    <i r="1">
      <x/>
    </i>
    <i>
      <x v="3"/>
    </i>
    <i r="1">
      <x/>
    </i>
    <i r="1">
      <x v="1"/>
    </i>
    <i>
      <x v="5"/>
    </i>
    <i r="1">
      <x v="1"/>
    </i>
    <i>
      <x v="6"/>
    </i>
    <i r="1">
      <x/>
    </i>
    <i r="1">
      <x v="1"/>
    </i>
    <i r="1">
      <x v="2"/>
    </i>
    <i r="1">
      <x v="3"/>
    </i>
    <i>
      <x v="7"/>
    </i>
    <i r="1">
      <x/>
    </i>
    <i t="grand">
      <x/>
    </i>
  </rowItems>
  <colItems count="1">
    <i/>
  </colItems>
  <pageFields count="1">
    <pageField fld="0" hier="-1"/>
  </pageFields>
  <dataFields count="1">
    <dataField name="Сумма по полю Сума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3C6D2-097B-49A2-B037-8EBCB473B100}" name="Таблица1" displayName="Таблица1" ref="A1:M46" totalsRowShown="0" headerRowDxfId="0" dataDxfId="1" headerRowBorderDxfId="16" tableBorderDxfId="17" totalsRowBorderDxfId="15">
  <autoFilter ref="A1:M46" xr:uid="{DB42554F-7D0B-4D8E-873E-2B6F564A7530}"/>
  <tableColumns count="13">
    <tableColumn id="1" xr3:uid="{AFEC010A-9819-42A2-950D-AC8555E23871}" name="Дата ЕН" dataDxfId="14"/>
    <tableColumn id="2" xr3:uid="{520388DB-6C40-42AA-BDED-7F00AAF9C112}" name="Маршрут" dataDxfId="13"/>
    <tableColumn id="3" xr3:uid="{9E0A1B25-9012-4F22-9BFC-A48868D2D60C}" name="Відправник" dataDxfId="12"/>
    <tableColumn id="4" xr3:uid="{7337BB4E-254C-4B20-9C65-FF5A9ECC8706}" name="Контакт відправника" dataDxfId="11"/>
    <tableColumn id="5" xr3:uid="{B85EA93B-5A33-4EB7-A2EE-FF3912FB5FD2}" name="Отримувач" dataDxfId="10"/>
    <tableColumn id="6" xr3:uid="{E41F93BF-7738-4471-B437-8652D3ED420B}" name="Контакт отримувача" dataDxfId="9"/>
    <tableColumn id="7" xr3:uid="{0D06EE52-B889-4997-BEA1-3B33DEA6302F}" name="Опис вантажу" dataDxfId="8"/>
    <tableColumn id="8" xr3:uid="{BEA827C4-D5B9-4B96-8344-68D08CDCCCA4}" name="Вага" dataDxfId="7"/>
    <tableColumn id="9" xr3:uid="{3E6A24DD-8A8C-49A1-B593-8D14F0CFBCBC}" name="Кількість місць" dataDxfId="6"/>
    <tableColumn id="10" xr3:uid="{D80641BD-244A-4270-9B37-3A4E31456585}" name="Вартість вантажу" dataDxfId="5"/>
    <tableColumn id="11" xr3:uid="{FA3A02C8-9A7A-4C6C-99C3-C42A874D220B}" name="Сума" dataDxfId="4"/>
    <tableColumn id="12" xr3:uid="{AC5188A6-8F88-46DB-8757-085D3E024C26}" name="ЦФО" dataDxfId="3"/>
    <tableColumn id="13" xr3:uid="{747176CF-F24F-4271-A36E-628D1BA30A75}" name="Стать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6D75-00D3-41A7-9F16-64082B3F37DE}">
  <dimension ref="A1:B22"/>
  <sheetViews>
    <sheetView tabSelected="1" workbookViewId="0">
      <selection activeCell="I18" sqref="I18"/>
    </sheetView>
  </sheetViews>
  <sheetFormatPr defaultRowHeight="10.199999999999999" x14ac:dyDescent="0.2"/>
  <cols>
    <col min="1" max="1" width="20" bestFit="1" customWidth="1"/>
    <col min="2" max="2" width="23.5703125" bestFit="1" customWidth="1"/>
  </cols>
  <sheetData>
    <row r="1" spans="1:2" x14ac:dyDescent="0.2">
      <c r="A1" s="19" t="s">
        <v>0</v>
      </c>
      <c r="B1" s="9" t="s">
        <v>161</v>
      </c>
    </row>
    <row r="3" spans="1:2" x14ac:dyDescent="0.2">
      <c r="A3" s="19" t="s">
        <v>158</v>
      </c>
      <c r="B3" t="s">
        <v>160</v>
      </c>
    </row>
    <row r="4" spans="1:2" x14ac:dyDescent="0.2">
      <c r="A4" s="4" t="s">
        <v>66</v>
      </c>
      <c r="B4" s="21">
        <v>335</v>
      </c>
    </row>
    <row r="5" spans="1:2" x14ac:dyDescent="0.2">
      <c r="A5" s="20" t="s">
        <v>47</v>
      </c>
      <c r="B5" s="21">
        <v>335</v>
      </c>
    </row>
    <row r="6" spans="1:2" x14ac:dyDescent="0.2">
      <c r="A6" s="4" t="s">
        <v>106</v>
      </c>
      <c r="B6" s="21">
        <v>658</v>
      </c>
    </row>
    <row r="7" spans="1:2" x14ac:dyDescent="0.2">
      <c r="A7" s="20" t="s">
        <v>47</v>
      </c>
      <c r="B7" s="21">
        <v>658</v>
      </c>
    </row>
    <row r="8" spans="1:2" x14ac:dyDescent="0.2">
      <c r="A8" s="4" t="s">
        <v>101</v>
      </c>
      <c r="B8" s="21">
        <v>177.4</v>
      </c>
    </row>
    <row r="9" spans="1:2" x14ac:dyDescent="0.2">
      <c r="A9" s="20" t="s">
        <v>47</v>
      </c>
      <c r="B9" s="21">
        <v>177.4</v>
      </c>
    </row>
    <row r="10" spans="1:2" x14ac:dyDescent="0.2">
      <c r="A10" s="4" t="s">
        <v>54</v>
      </c>
      <c r="B10" s="21">
        <v>254.5</v>
      </c>
    </row>
    <row r="11" spans="1:2" x14ac:dyDescent="0.2">
      <c r="A11" s="20" t="s">
        <v>47</v>
      </c>
      <c r="B11" s="21">
        <v>115</v>
      </c>
    </row>
    <row r="12" spans="1:2" x14ac:dyDescent="0.2">
      <c r="A12" s="20" t="s">
        <v>20</v>
      </c>
      <c r="B12" s="21">
        <v>139.5</v>
      </c>
    </row>
    <row r="13" spans="1:2" x14ac:dyDescent="0.2">
      <c r="A13" s="4" t="s">
        <v>92</v>
      </c>
      <c r="B13" s="21">
        <v>268.25</v>
      </c>
    </row>
    <row r="14" spans="1:2" x14ac:dyDescent="0.2">
      <c r="A14" s="20" t="s">
        <v>20</v>
      </c>
      <c r="B14" s="21">
        <v>268.25</v>
      </c>
    </row>
    <row r="15" spans="1:2" x14ac:dyDescent="0.2">
      <c r="A15" s="4" t="s">
        <v>39</v>
      </c>
      <c r="B15" s="21">
        <v>6740.02</v>
      </c>
    </row>
    <row r="16" spans="1:2" x14ac:dyDescent="0.2">
      <c r="A16" s="20" t="s">
        <v>47</v>
      </c>
      <c r="B16" s="21">
        <v>897.55</v>
      </c>
    </row>
    <row r="17" spans="1:2" x14ac:dyDescent="0.2">
      <c r="A17" s="20" t="s">
        <v>20</v>
      </c>
      <c r="B17" s="21">
        <v>2218.6800000000003</v>
      </c>
    </row>
    <row r="18" spans="1:2" x14ac:dyDescent="0.2">
      <c r="A18" s="20" t="s">
        <v>105</v>
      </c>
      <c r="B18" s="21">
        <v>2391.9499999999998</v>
      </c>
    </row>
    <row r="19" spans="1:2" x14ac:dyDescent="0.2">
      <c r="A19" s="20" t="s">
        <v>153</v>
      </c>
      <c r="B19" s="21">
        <v>1231.8399999999999</v>
      </c>
    </row>
    <row r="20" spans="1:2" x14ac:dyDescent="0.2">
      <c r="A20" s="4" t="s">
        <v>46</v>
      </c>
      <c r="B20" s="21">
        <v>100</v>
      </c>
    </row>
    <row r="21" spans="1:2" x14ac:dyDescent="0.2">
      <c r="A21" s="20" t="s">
        <v>47</v>
      </c>
      <c r="B21" s="21">
        <v>100</v>
      </c>
    </row>
    <row r="22" spans="1:2" x14ac:dyDescent="0.2">
      <c r="A22" s="4" t="s">
        <v>159</v>
      </c>
      <c r="B22" s="21">
        <v>8533.17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82D3-8E5D-4209-9284-640061B9BAD3}">
  <dimension ref="A1:P46"/>
  <sheetViews>
    <sheetView zoomScale="130" zoomScaleNormal="130" workbookViewId="0">
      <selection activeCell="M1" sqref="M1"/>
    </sheetView>
  </sheetViews>
  <sheetFormatPr defaultRowHeight="12" customHeight="1" x14ac:dyDescent="0.2"/>
  <cols>
    <col min="1" max="13" width="6.7109375" customWidth="1"/>
  </cols>
  <sheetData>
    <row r="1" spans="1:16" ht="12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5" t="s">
        <v>12</v>
      </c>
    </row>
    <row r="2" spans="1:16" ht="52.8" x14ac:dyDescent="0.2">
      <c r="A2" s="1" t="s">
        <v>41</v>
      </c>
      <c r="B2" s="1" t="s">
        <v>22</v>
      </c>
      <c r="C2" s="1" t="s">
        <v>42</v>
      </c>
      <c r="D2" s="1" t="s">
        <v>43</v>
      </c>
      <c r="E2" s="1" t="s">
        <v>44</v>
      </c>
      <c r="F2" s="1" t="s">
        <v>18</v>
      </c>
      <c r="G2" s="1" t="s">
        <v>45</v>
      </c>
      <c r="H2" s="2">
        <v>1</v>
      </c>
      <c r="I2" s="2">
        <v>1</v>
      </c>
      <c r="J2" s="2">
        <v>100</v>
      </c>
      <c r="K2" s="2">
        <v>295</v>
      </c>
      <c r="L2" s="3" t="s">
        <v>46</v>
      </c>
      <c r="M2" s="3" t="s">
        <v>47</v>
      </c>
    </row>
    <row r="3" spans="1:16" ht="12" customHeight="1" x14ac:dyDescent="0.2">
      <c r="A3" s="1" t="s">
        <v>48</v>
      </c>
      <c r="B3" s="1" t="s">
        <v>49</v>
      </c>
      <c r="C3" s="1" t="s">
        <v>50</v>
      </c>
      <c r="D3" s="1" t="s">
        <v>18</v>
      </c>
      <c r="E3" s="1" t="s">
        <v>51</v>
      </c>
      <c r="F3" s="1" t="s">
        <v>52</v>
      </c>
      <c r="G3" s="1" t="s">
        <v>53</v>
      </c>
      <c r="H3" s="2">
        <v>1</v>
      </c>
      <c r="I3" s="2">
        <v>1</v>
      </c>
      <c r="J3" s="2">
        <v>100</v>
      </c>
      <c r="K3" s="2">
        <v>115</v>
      </c>
      <c r="L3" s="3" t="s">
        <v>54</v>
      </c>
      <c r="M3" s="3" t="s">
        <v>47</v>
      </c>
      <c r="O3" s="9"/>
      <c r="P3" s="9"/>
    </row>
    <row r="4" spans="1:16" ht="12" customHeight="1" x14ac:dyDescent="0.2">
      <c r="A4" s="1" t="s">
        <v>55</v>
      </c>
      <c r="B4" s="1" t="s">
        <v>56</v>
      </c>
      <c r="C4" s="1" t="s">
        <v>57</v>
      </c>
      <c r="D4" s="1" t="s">
        <v>58</v>
      </c>
      <c r="E4" s="1" t="s">
        <v>17</v>
      </c>
      <c r="F4" s="1" t="s">
        <v>18</v>
      </c>
      <c r="G4" s="1" t="s">
        <v>45</v>
      </c>
      <c r="H4" s="2">
        <v>1</v>
      </c>
      <c r="I4" s="2">
        <v>1</v>
      </c>
      <c r="J4" s="2">
        <v>100</v>
      </c>
      <c r="K4" s="2">
        <v>100</v>
      </c>
      <c r="L4" s="3" t="s">
        <v>46</v>
      </c>
      <c r="M4" s="3" t="s">
        <v>47</v>
      </c>
      <c r="O4" s="9"/>
      <c r="P4" s="9"/>
    </row>
    <row r="5" spans="1:16" ht="12" customHeight="1" x14ac:dyDescent="0.2">
      <c r="A5" s="1" t="s">
        <v>59</v>
      </c>
      <c r="B5" s="1" t="s">
        <v>60</v>
      </c>
      <c r="C5" s="1" t="s">
        <v>61</v>
      </c>
      <c r="D5" s="1" t="s">
        <v>62</v>
      </c>
      <c r="E5" s="1" t="s">
        <v>17</v>
      </c>
      <c r="F5" s="1" t="s">
        <v>18</v>
      </c>
      <c r="G5" s="1" t="s">
        <v>45</v>
      </c>
      <c r="H5" s="2">
        <v>1</v>
      </c>
      <c r="I5" s="2">
        <v>1</v>
      </c>
      <c r="J5" s="2">
        <v>100</v>
      </c>
      <c r="K5" s="2">
        <v>100</v>
      </c>
      <c r="L5" s="3" t="s">
        <v>39</v>
      </c>
      <c r="M5" s="3" t="s">
        <v>47</v>
      </c>
      <c r="O5" s="9"/>
      <c r="P5" s="9"/>
    </row>
    <row r="6" spans="1:16" ht="12" customHeight="1" x14ac:dyDescent="0.2">
      <c r="A6" s="1" t="s">
        <v>59</v>
      </c>
      <c r="B6" s="1" t="s">
        <v>63</v>
      </c>
      <c r="C6" s="1" t="s">
        <v>64</v>
      </c>
      <c r="D6" s="1" t="s">
        <v>65</v>
      </c>
      <c r="E6" s="1" t="s">
        <v>17</v>
      </c>
      <c r="F6" s="1" t="s">
        <v>18</v>
      </c>
      <c r="G6" s="1" t="s">
        <v>45</v>
      </c>
      <c r="H6" s="2">
        <v>0.2</v>
      </c>
      <c r="I6" s="2">
        <v>1</v>
      </c>
      <c r="J6" s="2">
        <v>200</v>
      </c>
      <c r="K6" s="2">
        <v>100</v>
      </c>
      <c r="L6" s="3" t="s">
        <v>66</v>
      </c>
      <c r="M6" s="3" t="s">
        <v>47</v>
      </c>
      <c r="O6" s="9"/>
      <c r="P6" s="9"/>
    </row>
    <row r="7" spans="1:16" ht="12" customHeight="1" x14ac:dyDescent="0.2">
      <c r="A7" s="1" t="s">
        <v>67</v>
      </c>
      <c r="B7" s="1" t="s">
        <v>27</v>
      </c>
      <c r="C7" s="1" t="s">
        <v>68</v>
      </c>
      <c r="D7" s="1" t="s">
        <v>69</v>
      </c>
      <c r="E7" s="1" t="s">
        <v>17</v>
      </c>
      <c r="F7" s="1" t="s">
        <v>18</v>
      </c>
      <c r="G7" s="1" t="s">
        <v>45</v>
      </c>
      <c r="H7" s="2">
        <v>1</v>
      </c>
      <c r="I7" s="2">
        <v>1</v>
      </c>
      <c r="J7" s="2">
        <v>200</v>
      </c>
      <c r="K7" s="2">
        <v>100</v>
      </c>
      <c r="L7" s="3" t="s">
        <v>39</v>
      </c>
      <c r="M7" s="3" t="s">
        <v>47</v>
      </c>
      <c r="O7" s="9"/>
      <c r="P7" s="9"/>
    </row>
    <row r="8" spans="1:16" ht="12" customHeight="1" x14ac:dyDescent="0.2">
      <c r="A8" s="1" t="s">
        <v>48</v>
      </c>
      <c r="B8" s="1" t="s">
        <v>70</v>
      </c>
      <c r="C8" s="1" t="s">
        <v>71</v>
      </c>
      <c r="D8" s="1" t="s">
        <v>72</v>
      </c>
      <c r="E8" s="1" t="s">
        <v>17</v>
      </c>
      <c r="F8" s="1" t="s">
        <v>18</v>
      </c>
      <c r="G8" s="1" t="s">
        <v>45</v>
      </c>
      <c r="H8" s="2">
        <v>1</v>
      </c>
      <c r="I8" s="2">
        <v>1</v>
      </c>
      <c r="J8" s="2">
        <v>500</v>
      </c>
      <c r="K8" s="2">
        <v>100</v>
      </c>
      <c r="L8" s="3" t="s">
        <v>66</v>
      </c>
      <c r="M8" s="3" t="s">
        <v>47</v>
      </c>
      <c r="O8" s="9"/>
      <c r="P8" s="9"/>
    </row>
    <row r="9" spans="1:16" ht="12" customHeight="1" x14ac:dyDescent="0.2">
      <c r="A9" s="1" t="s">
        <v>73</v>
      </c>
      <c r="B9" s="1" t="s">
        <v>27</v>
      </c>
      <c r="C9" s="1" t="s">
        <v>68</v>
      </c>
      <c r="D9" s="1" t="s">
        <v>74</v>
      </c>
      <c r="E9" s="1" t="s">
        <v>17</v>
      </c>
      <c r="F9" s="1" t="s">
        <v>18</v>
      </c>
      <c r="G9" s="1" t="s">
        <v>45</v>
      </c>
      <c r="H9" s="2">
        <v>1</v>
      </c>
      <c r="I9" s="2">
        <v>1</v>
      </c>
      <c r="J9" s="2">
        <v>500</v>
      </c>
      <c r="K9" s="2">
        <v>100</v>
      </c>
      <c r="L9" s="3" t="s">
        <v>39</v>
      </c>
      <c r="M9" s="3" t="s">
        <v>47</v>
      </c>
      <c r="O9" s="9"/>
      <c r="P9" s="9"/>
    </row>
    <row r="10" spans="1:16" ht="12" customHeight="1" x14ac:dyDescent="0.2">
      <c r="A10" s="1" t="s">
        <v>75</v>
      </c>
      <c r="B10" s="1" t="s">
        <v>22</v>
      </c>
      <c r="C10" s="1" t="s">
        <v>76</v>
      </c>
      <c r="D10" s="1" t="s">
        <v>77</v>
      </c>
      <c r="E10" s="1" t="s">
        <v>17</v>
      </c>
      <c r="F10" s="1" t="s">
        <v>18</v>
      </c>
      <c r="G10" s="1" t="s">
        <v>45</v>
      </c>
      <c r="H10" s="2">
        <v>1</v>
      </c>
      <c r="I10" s="2">
        <v>1</v>
      </c>
      <c r="J10" s="2">
        <v>500</v>
      </c>
      <c r="K10" s="2">
        <v>135</v>
      </c>
      <c r="L10" s="3" t="s">
        <v>66</v>
      </c>
      <c r="M10" s="3" t="s">
        <v>47</v>
      </c>
      <c r="O10" s="9"/>
      <c r="P10" s="9"/>
    </row>
    <row r="11" spans="1:16" ht="59.4" x14ac:dyDescent="0.2">
      <c r="A11" s="1" t="s">
        <v>78</v>
      </c>
      <c r="B11" s="1" t="s">
        <v>79</v>
      </c>
      <c r="C11" s="1" t="s">
        <v>80</v>
      </c>
      <c r="D11" s="1" t="s">
        <v>81</v>
      </c>
      <c r="E11" s="1" t="s">
        <v>17</v>
      </c>
      <c r="F11" s="1" t="s">
        <v>18</v>
      </c>
      <c r="G11" s="1" t="s">
        <v>45</v>
      </c>
      <c r="H11" s="2">
        <v>1</v>
      </c>
      <c r="I11" s="2">
        <v>1</v>
      </c>
      <c r="J11" s="2">
        <v>500</v>
      </c>
      <c r="K11" s="2">
        <v>100</v>
      </c>
      <c r="L11" s="3" t="s">
        <v>39</v>
      </c>
      <c r="M11" s="3" t="s">
        <v>47</v>
      </c>
    </row>
    <row r="12" spans="1:16" ht="46.2" x14ac:dyDescent="0.2">
      <c r="A12" s="1" t="s">
        <v>78</v>
      </c>
      <c r="B12" s="1" t="s">
        <v>82</v>
      </c>
      <c r="C12" s="1" t="s">
        <v>83</v>
      </c>
      <c r="D12" s="1" t="s">
        <v>84</v>
      </c>
      <c r="E12" s="1" t="s">
        <v>17</v>
      </c>
      <c r="F12" s="1" t="s">
        <v>18</v>
      </c>
      <c r="G12" s="1" t="s">
        <v>45</v>
      </c>
      <c r="H12" s="2">
        <v>1</v>
      </c>
      <c r="I12" s="2">
        <v>1</v>
      </c>
      <c r="J12" s="2">
        <v>500</v>
      </c>
      <c r="K12" s="2">
        <v>100</v>
      </c>
      <c r="L12" s="3" t="s">
        <v>66</v>
      </c>
      <c r="M12" s="3" t="s">
        <v>47</v>
      </c>
    </row>
    <row r="13" spans="1:16" ht="59.4" x14ac:dyDescent="0.2">
      <c r="A13" s="1" t="s">
        <v>78</v>
      </c>
      <c r="B13" s="1" t="s">
        <v>85</v>
      </c>
      <c r="C13" s="1" t="s">
        <v>86</v>
      </c>
      <c r="D13" s="1" t="s">
        <v>87</v>
      </c>
      <c r="E13" s="1" t="s">
        <v>17</v>
      </c>
      <c r="F13" s="1" t="s">
        <v>18</v>
      </c>
      <c r="G13" s="1" t="s">
        <v>45</v>
      </c>
      <c r="H13" s="2">
        <v>1</v>
      </c>
      <c r="I13" s="2">
        <v>1</v>
      </c>
      <c r="J13" s="2">
        <v>100</v>
      </c>
      <c r="K13" s="2">
        <v>100</v>
      </c>
      <c r="L13" s="3" t="s">
        <v>66</v>
      </c>
      <c r="M13" s="3" t="s">
        <v>47</v>
      </c>
    </row>
    <row r="14" spans="1:16" ht="12" customHeight="1" x14ac:dyDescent="0.2">
      <c r="A14" s="1" t="s">
        <v>75</v>
      </c>
      <c r="B14" s="1" t="s">
        <v>88</v>
      </c>
      <c r="C14" s="1" t="s">
        <v>89</v>
      </c>
      <c r="D14" s="1" t="s">
        <v>90</v>
      </c>
      <c r="E14" s="1" t="s">
        <v>17</v>
      </c>
      <c r="F14" s="1" t="s">
        <v>18</v>
      </c>
      <c r="G14" s="1" t="s">
        <v>91</v>
      </c>
      <c r="H14" s="2">
        <v>6</v>
      </c>
      <c r="I14" s="2">
        <v>2</v>
      </c>
      <c r="J14" s="2">
        <v>2650</v>
      </c>
      <c r="K14" s="2">
        <v>268.25</v>
      </c>
      <c r="L14" s="3" t="s">
        <v>92</v>
      </c>
      <c r="M14" s="3" t="s">
        <v>20</v>
      </c>
      <c r="O14" s="9"/>
    </row>
    <row r="15" spans="1:16" ht="66" x14ac:dyDescent="0.2">
      <c r="A15" s="1" t="s">
        <v>78</v>
      </c>
      <c r="B15" s="1" t="s">
        <v>93</v>
      </c>
      <c r="C15" s="1" t="s">
        <v>50</v>
      </c>
      <c r="D15" s="1" t="s">
        <v>18</v>
      </c>
      <c r="E15" s="1" t="s">
        <v>94</v>
      </c>
      <c r="F15" s="1" t="s">
        <v>95</v>
      </c>
      <c r="G15" s="1" t="s">
        <v>45</v>
      </c>
      <c r="H15" s="2">
        <v>1</v>
      </c>
      <c r="I15" s="2">
        <v>1</v>
      </c>
      <c r="J15" s="2">
        <v>100</v>
      </c>
      <c r="K15" s="2">
        <v>65</v>
      </c>
      <c r="L15" s="3" t="s">
        <v>39</v>
      </c>
      <c r="M15" s="3" t="s">
        <v>47</v>
      </c>
    </row>
    <row r="16" spans="1:16" ht="12" customHeight="1" x14ac:dyDescent="0.2">
      <c r="A16" s="5" t="s">
        <v>96</v>
      </c>
      <c r="B16" s="5" t="s">
        <v>97</v>
      </c>
      <c r="C16" s="5" t="s">
        <v>98</v>
      </c>
      <c r="D16" s="5" t="s">
        <v>18</v>
      </c>
      <c r="E16" s="5" t="s">
        <v>42</v>
      </c>
      <c r="F16" s="5" t="s">
        <v>99</v>
      </c>
      <c r="G16" s="5" t="s">
        <v>100</v>
      </c>
      <c r="H16" s="6">
        <v>0.5</v>
      </c>
      <c r="I16" s="7">
        <v>1</v>
      </c>
      <c r="J16" s="6">
        <v>100</v>
      </c>
      <c r="K16" s="8">
        <v>84.4</v>
      </c>
      <c r="L16" s="8" t="s">
        <v>101</v>
      </c>
      <c r="M16" s="8" t="s">
        <v>47</v>
      </c>
      <c r="O16" s="9"/>
    </row>
    <row r="17" spans="1:15" ht="12" customHeight="1" x14ac:dyDescent="0.2">
      <c r="A17" s="5" t="s">
        <v>102</v>
      </c>
      <c r="B17" s="5" t="s">
        <v>14</v>
      </c>
      <c r="C17" s="5" t="s">
        <v>103</v>
      </c>
      <c r="D17" s="5" t="s">
        <v>104</v>
      </c>
      <c r="E17" s="5" t="s">
        <v>17</v>
      </c>
      <c r="F17" s="5" t="s">
        <v>18</v>
      </c>
      <c r="G17" s="5" t="s">
        <v>35</v>
      </c>
      <c r="H17" s="6">
        <v>500</v>
      </c>
      <c r="I17" s="7">
        <v>1</v>
      </c>
      <c r="J17" s="6">
        <v>23000</v>
      </c>
      <c r="K17" s="8">
        <v>2285</v>
      </c>
      <c r="L17" s="8" t="s">
        <v>39</v>
      </c>
      <c r="M17" s="8" t="s">
        <v>105</v>
      </c>
      <c r="O17" s="9"/>
    </row>
    <row r="18" spans="1:15" ht="12" customHeight="1" x14ac:dyDescent="0.2">
      <c r="A18" s="5" t="s">
        <v>96</v>
      </c>
      <c r="B18" s="5" t="s">
        <v>85</v>
      </c>
      <c r="C18" s="5" t="s">
        <v>86</v>
      </c>
      <c r="D18" s="5" t="s">
        <v>87</v>
      </c>
      <c r="E18" s="5" t="s">
        <v>17</v>
      </c>
      <c r="F18" s="5" t="s">
        <v>18</v>
      </c>
      <c r="G18" s="5" t="s">
        <v>45</v>
      </c>
      <c r="H18" s="6">
        <v>1</v>
      </c>
      <c r="I18" s="7">
        <v>1</v>
      </c>
      <c r="J18" s="6">
        <v>100</v>
      </c>
      <c r="K18" s="8">
        <v>93</v>
      </c>
      <c r="L18" s="8" t="s">
        <v>106</v>
      </c>
      <c r="M18" s="8" t="s">
        <v>47</v>
      </c>
      <c r="O18" s="9"/>
    </row>
    <row r="19" spans="1:15" ht="12" customHeight="1" x14ac:dyDescent="0.2">
      <c r="A19" s="5" t="s">
        <v>107</v>
      </c>
      <c r="B19" s="5" t="s">
        <v>82</v>
      </c>
      <c r="C19" s="5" t="s">
        <v>108</v>
      </c>
      <c r="D19" s="5" t="s">
        <v>109</v>
      </c>
      <c r="E19" s="5" t="s">
        <v>110</v>
      </c>
      <c r="F19" s="5" t="s">
        <v>111</v>
      </c>
      <c r="G19" s="5" t="s">
        <v>45</v>
      </c>
      <c r="H19" s="6">
        <v>1</v>
      </c>
      <c r="I19" s="7">
        <v>1</v>
      </c>
      <c r="J19" s="6">
        <v>200</v>
      </c>
      <c r="K19" s="8">
        <v>93</v>
      </c>
      <c r="L19" s="8" t="s">
        <v>106</v>
      </c>
      <c r="M19" s="8" t="s">
        <v>47</v>
      </c>
    </row>
    <row r="20" spans="1:15" ht="12" customHeight="1" x14ac:dyDescent="0.2">
      <c r="A20" s="5" t="s">
        <v>112</v>
      </c>
      <c r="B20" s="5" t="s">
        <v>22</v>
      </c>
      <c r="C20" s="5" t="s">
        <v>113</v>
      </c>
      <c r="D20" s="5" t="s">
        <v>114</v>
      </c>
      <c r="E20" s="5" t="s">
        <v>17</v>
      </c>
      <c r="F20" s="5" t="s">
        <v>18</v>
      </c>
      <c r="G20" s="5" t="s">
        <v>45</v>
      </c>
      <c r="H20" s="6">
        <v>0.5</v>
      </c>
      <c r="I20" s="7">
        <v>1</v>
      </c>
      <c r="J20" s="6">
        <v>500</v>
      </c>
      <c r="K20" s="8">
        <v>100</v>
      </c>
      <c r="L20" s="8" t="s">
        <v>39</v>
      </c>
      <c r="M20" s="8" t="s">
        <v>47</v>
      </c>
    </row>
    <row r="21" spans="1:15" ht="12" customHeight="1" x14ac:dyDescent="0.2">
      <c r="A21" s="5" t="s">
        <v>115</v>
      </c>
      <c r="B21" s="5" t="s">
        <v>27</v>
      </c>
      <c r="C21" s="5" t="s">
        <v>116</v>
      </c>
      <c r="D21" s="5" t="s">
        <v>117</v>
      </c>
      <c r="E21" s="5" t="s">
        <v>17</v>
      </c>
      <c r="F21" s="5" t="s">
        <v>18</v>
      </c>
      <c r="G21" s="5" t="s">
        <v>45</v>
      </c>
      <c r="H21" s="6">
        <v>0.15</v>
      </c>
      <c r="I21" s="7">
        <v>1</v>
      </c>
      <c r="J21" s="6">
        <v>50</v>
      </c>
      <c r="K21" s="8">
        <v>93</v>
      </c>
      <c r="L21" s="8" t="s">
        <v>39</v>
      </c>
      <c r="M21" s="8" t="s">
        <v>47</v>
      </c>
    </row>
    <row r="22" spans="1:15" ht="12" customHeight="1" x14ac:dyDescent="0.2">
      <c r="A22" s="5" t="s">
        <v>115</v>
      </c>
      <c r="B22" s="5" t="s">
        <v>118</v>
      </c>
      <c r="C22" s="5" t="s">
        <v>119</v>
      </c>
      <c r="D22" s="5" t="s">
        <v>84</v>
      </c>
      <c r="E22" s="5" t="s">
        <v>17</v>
      </c>
      <c r="F22" s="5" t="s">
        <v>18</v>
      </c>
      <c r="G22" s="5" t="s">
        <v>45</v>
      </c>
      <c r="H22" s="6">
        <v>1</v>
      </c>
      <c r="I22" s="7">
        <v>1</v>
      </c>
      <c r="J22" s="6">
        <v>500</v>
      </c>
      <c r="K22" s="8">
        <v>93</v>
      </c>
      <c r="L22" s="8" t="s">
        <v>106</v>
      </c>
      <c r="M22" s="8" t="s">
        <v>47</v>
      </c>
    </row>
    <row r="23" spans="1:15" ht="12" customHeight="1" x14ac:dyDescent="0.2">
      <c r="A23" s="5" t="s">
        <v>102</v>
      </c>
      <c r="B23" s="5" t="s">
        <v>22</v>
      </c>
      <c r="C23" s="5" t="s">
        <v>120</v>
      </c>
      <c r="D23" s="5" t="s">
        <v>121</v>
      </c>
      <c r="E23" s="5" t="s">
        <v>17</v>
      </c>
      <c r="F23" s="5" t="s">
        <v>18</v>
      </c>
      <c r="G23" s="5" t="s">
        <v>45</v>
      </c>
      <c r="H23" s="6">
        <v>1</v>
      </c>
      <c r="I23" s="7">
        <v>1</v>
      </c>
      <c r="J23" s="6">
        <v>100</v>
      </c>
      <c r="K23" s="8">
        <v>93</v>
      </c>
      <c r="L23" s="8" t="s">
        <v>101</v>
      </c>
      <c r="M23" s="8" t="s">
        <v>47</v>
      </c>
    </row>
    <row r="24" spans="1:15" ht="12" customHeight="1" x14ac:dyDescent="0.2">
      <c r="A24" s="5" t="s">
        <v>122</v>
      </c>
      <c r="B24" s="5" t="s">
        <v>22</v>
      </c>
      <c r="C24" s="5" t="s">
        <v>123</v>
      </c>
      <c r="D24" s="5" t="s">
        <v>124</v>
      </c>
      <c r="E24" s="5" t="s">
        <v>17</v>
      </c>
      <c r="F24" s="5" t="s">
        <v>18</v>
      </c>
      <c r="G24" s="5" t="s">
        <v>45</v>
      </c>
      <c r="H24" s="6">
        <v>0.5</v>
      </c>
      <c r="I24" s="7">
        <v>1</v>
      </c>
      <c r="J24" s="6">
        <v>200</v>
      </c>
      <c r="K24" s="8">
        <v>100</v>
      </c>
      <c r="L24" s="8" t="s">
        <v>106</v>
      </c>
      <c r="M24" s="8" t="s">
        <v>47</v>
      </c>
    </row>
    <row r="25" spans="1:15" ht="12" customHeight="1" x14ac:dyDescent="0.2">
      <c r="A25" s="5" t="s">
        <v>125</v>
      </c>
      <c r="B25" s="5" t="s">
        <v>22</v>
      </c>
      <c r="C25" s="5" t="s">
        <v>126</v>
      </c>
      <c r="D25" s="5" t="s">
        <v>127</v>
      </c>
      <c r="E25" s="5" t="s">
        <v>17</v>
      </c>
      <c r="F25" s="5" t="s">
        <v>18</v>
      </c>
      <c r="G25" s="5" t="s">
        <v>128</v>
      </c>
      <c r="H25" s="6">
        <v>1</v>
      </c>
      <c r="I25" s="7">
        <v>1</v>
      </c>
      <c r="J25" s="6">
        <v>100</v>
      </c>
      <c r="K25" s="8">
        <v>106.95</v>
      </c>
      <c r="L25" s="8" t="s">
        <v>39</v>
      </c>
      <c r="M25" s="8" t="s">
        <v>105</v>
      </c>
    </row>
    <row r="26" spans="1:15" ht="12" customHeight="1" x14ac:dyDescent="0.2">
      <c r="A26" s="5" t="s">
        <v>112</v>
      </c>
      <c r="B26" s="5" t="s">
        <v>22</v>
      </c>
      <c r="C26" s="5" t="s">
        <v>129</v>
      </c>
      <c r="D26" s="5" t="s">
        <v>33</v>
      </c>
      <c r="E26" s="5" t="s">
        <v>17</v>
      </c>
      <c r="F26" s="5" t="s">
        <v>18</v>
      </c>
      <c r="G26" s="5" t="s">
        <v>34</v>
      </c>
      <c r="H26" s="6">
        <v>50.55</v>
      </c>
      <c r="I26" s="7">
        <v>2</v>
      </c>
      <c r="J26" s="6">
        <v>22999</v>
      </c>
      <c r="K26" s="8">
        <v>659</v>
      </c>
      <c r="L26" s="8" t="s">
        <v>39</v>
      </c>
      <c r="M26" s="8" t="s">
        <v>20</v>
      </c>
    </row>
    <row r="27" spans="1:15" ht="12" customHeight="1" x14ac:dyDescent="0.2">
      <c r="A27" s="10" t="s">
        <v>130</v>
      </c>
      <c r="B27" s="10" t="s">
        <v>14</v>
      </c>
      <c r="C27" s="10" t="s">
        <v>103</v>
      </c>
      <c r="D27" s="10" t="s">
        <v>16</v>
      </c>
      <c r="E27" s="10" t="s">
        <v>110</v>
      </c>
      <c r="F27" s="10" t="s">
        <v>18</v>
      </c>
      <c r="G27" s="10" t="s">
        <v>131</v>
      </c>
      <c r="H27" s="11">
        <v>100</v>
      </c>
      <c r="I27" s="11">
        <v>1</v>
      </c>
      <c r="J27" s="11">
        <v>15000</v>
      </c>
      <c r="K27" s="11">
        <v>1192.2</v>
      </c>
      <c r="L27" s="12" t="s">
        <v>39</v>
      </c>
      <c r="M27" s="12" t="s">
        <v>20</v>
      </c>
    </row>
    <row r="28" spans="1:15" ht="12" customHeight="1" x14ac:dyDescent="0.2">
      <c r="A28" s="10" t="s">
        <v>132</v>
      </c>
      <c r="B28" s="10" t="s">
        <v>56</v>
      </c>
      <c r="C28" s="10" t="s">
        <v>57</v>
      </c>
      <c r="D28" s="10" t="s">
        <v>58</v>
      </c>
      <c r="E28" s="10" t="s">
        <v>17</v>
      </c>
      <c r="F28" s="10" t="s">
        <v>18</v>
      </c>
      <c r="G28" s="10" t="s">
        <v>45</v>
      </c>
      <c r="H28" s="11">
        <v>1</v>
      </c>
      <c r="I28" s="11">
        <v>1</v>
      </c>
      <c r="J28" s="11">
        <v>200</v>
      </c>
      <c r="K28" s="11">
        <v>93</v>
      </c>
      <c r="L28" s="12" t="s">
        <v>39</v>
      </c>
      <c r="M28" s="12" t="s">
        <v>47</v>
      </c>
    </row>
    <row r="29" spans="1:15" ht="12" customHeight="1" x14ac:dyDescent="0.2">
      <c r="A29" s="10" t="s">
        <v>133</v>
      </c>
      <c r="B29" s="10" t="s">
        <v>22</v>
      </c>
      <c r="C29" s="10" t="s">
        <v>134</v>
      </c>
      <c r="D29" s="10" t="s">
        <v>77</v>
      </c>
      <c r="E29" s="10" t="s">
        <v>17</v>
      </c>
      <c r="F29" s="10" t="s">
        <v>18</v>
      </c>
      <c r="G29" s="10" t="s">
        <v>45</v>
      </c>
      <c r="H29" s="11">
        <v>1</v>
      </c>
      <c r="I29" s="11">
        <v>1</v>
      </c>
      <c r="J29" s="11">
        <v>100</v>
      </c>
      <c r="K29" s="11">
        <v>125.55</v>
      </c>
      <c r="L29" s="12" t="s">
        <v>39</v>
      </c>
      <c r="M29" s="12" t="s">
        <v>47</v>
      </c>
    </row>
    <row r="30" spans="1:15" ht="12" customHeight="1" x14ac:dyDescent="0.2">
      <c r="A30" s="10" t="s">
        <v>133</v>
      </c>
      <c r="B30" s="10" t="s">
        <v>85</v>
      </c>
      <c r="C30" s="10" t="s">
        <v>86</v>
      </c>
      <c r="D30" s="10" t="s">
        <v>87</v>
      </c>
      <c r="E30" s="10" t="s">
        <v>17</v>
      </c>
      <c r="F30" s="10" t="s">
        <v>18</v>
      </c>
      <c r="G30" s="10" t="s">
        <v>45</v>
      </c>
      <c r="H30" s="11">
        <v>0.1</v>
      </c>
      <c r="I30" s="11">
        <v>1</v>
      </c>
      <c r="J30" s="11">
        <v>100</v>
      </c>
      <c r="K30" s="11">
        <v>93</v>
      </c>
      <c r="L30" s="12" t="s">
        <v>106</v>
      </c>
      <c r="M30" s="12" t="s">
        <v>47</v>
      </c>
    </row>
    <row r="31" spans="1:15" ht="12" customHeight="1" x14ac:dyDescent="0.2">
      <c r="A31" s="10" t="s">
        <v>133</v>
      </c>
      <c r="B31" s="10" t="s">
        <v>27</v>
      </c>
      <c r="C31" s="10" t="s">
        <v>68</v>
      </c>
      <c r="D31" s="10" t="s">
        <v>74</v>
      </c>
      <c r="E31" s="10" t="s">
        <v>17</v>
      </c>
      <c r="F31" s="10" t="s">
        <v>18</v>
      </c>
      <c r="G31" s="10" t="s">
        <v>45</v>
      </c>
      <c r="H31" s="11">
        <v>1</v>
      </c>
      <c r="I31" s="11">
        <v>1</v>
      </c>
      <c r="J31" s="11">
        <v>500</v>
      </c>
      <c r="K31" s="11">
        <v>93</v>
      </c>
      <c r="L31" s="12" t="s">
        <v>39</v>
      </c>
      <c r="M31" s="12" t="s">
        <v>47</v>
      </c>
    </row>
    <row r="32" spans="1:15" ht="12" customHeight="1" x14ac:dyDescent="0.2">
      <c r="A32" s="10" t="s">
        <v>135</v>
      </c>
      <c r="B32" s="10" t="s">
        <v>136</v>
      </c>
      <c r="C32" s="10" t="s">
        <v>137</v>
      </c>
      <c r="D32" s="10" t="s">
        <v>138</v>
      </c>
      <c r="E32" s="10" t="s">
        <v>17</v>
      </c>
      <c r="F32" s="10" t="s">
        <v>18</v>
      </c>
      <c r="G32" s="10" t="s">
        <v>45</v>
      </c>
      <c r="H32" s="11">
        <v>1</v>
      </c>
      <c r="I32" s="11">
        <v>1</v>
      </c>
      <c r="J32" s="11">
        <v>200</v>
      </c>
      <c r="K32" s="11">
        <v>93</v>
      </c>
      <c r="L32" s="12" t="s">
        <v>106</v>
      </c>
      <c r="M32" s="12" t="s">
        <v>47</v>
      </c>
    </row>
    <row r="33" spans="1:13" ht="12" customHeight="1" x14ac:dyDescent="0.2">
      <c r="A33" s="10" t="s">
        <v>135</v>
      </c>
      <c r="B33" s="10" t="s">
        <v>22</v>
      </c>
      <c r="C33" s="10" t="s">
        <v>139</v>
      </c>
      <c r="D33" s="10" t="s">
        <v>140</v>
      </c>
      <c r="E33" s="10" t="s">
        <v>17</v>
      </c>
      <c r="F33" s="10" t="s">
        <v>18</v>
      </c>
      <c r="G33" s="10" t="s">
        <v>45</v>
      </c>
      <c r="H33" s="11">
        <v>0.5</v>
      </c>
      <c r="I33" s="11">
        <v>1</v>
      </c>
      <c r="J33" s="11">
        <v>200</v>
      </c>
      <c r="K33" s="11">
        <v>93</v>
      </c>
      <c r="L33" s="12" t="s">
        <v>39</v>
      </c>
      <c r="M33" s="12" t="s">
        <v>47</v>
      </c>
    </row>
    <row r="34" spans="1:13" ht="12" customHeight="1" x14ac:dyDescent="0.2">
      <c r="A34" s="10" t="s">
        <v>141</v>
      </c>
      <c r="B34" s="10" t="s">
        <v>142</v>
      </c>
      <c r="C34" s="10" t="s">
        <v>143</v>
      </c>
      <c r="D34" s="10" t="s">
        <v>144</v>
      </c>
      <c r="E34" s="10" t="s">
        <v>17</v>
      </c>
      <c r="F34" s="10" t="s">
        <v>18</v>
      </c>
      <c r="G34" s="10" t="s">
        <v>45</v>
      </c>
      <c r="H34" s="11">
        <v>0.1</v>
      </c>
      <c r="I34" s="11">
        <v>1</v>
      </c>
      <c r="J34" s="11">
        <v>200</v>
      </c>
      <c r="K34" s="11">
        <v>93</v>
      </c>
      <c r="L34" s="12" t="s">
        <v>106</v>
      </c>
      <c r="M34" s="12" t="s">
        <v>47</v>
      </c>
    </row>
    <row r="35" spans="1:13" ht="12" customHeight="1" x14ac:dyDescent="0.2">
      <c r="A35" s="10" t="s">
        <v>132</v>
      </c>
      <c r="B35" s="10" t="s">
        <v>22</v>
      </c>
      <c r="C35" s="10" t="s">
        <v>145</v>
      </c>
      <c r="D35" s="10" t="s">
        <v>146</v>
      </c>
      <c r="E35" s="10" t="s">
        <v>17</v>
      </c>
      <c r="F35" s="10" t="s">
        <v>18</v>
      </c>
      <c r="G35" s="10" t="s">
        <v>147</v>
      </c>
      <c r="H35" s="11">
        <v>6</v>
      </c>
      <c r="I35" s="11">
        <v>1</v>
      </c>
      <c r="J35" s="11">
        <v>6525</v>
      </c>
      <c r="K35" s="11">
        <v>167.48</v>
      </c>
      <c r="L35" s="12" t="s">
        <v>39</v>
      </c>
      <c r="M35" s="12" t="s">
        <v>20</v>
      </c>
    </row>
    <row r="36" spans="1:13" ht="12" customHeight="1" x14ac:dyDescent="0.2">
      <c r="A36" s="10" t="s">
        <v>132</v>
      </c>
      <c r="B36" s="10" t="s">
        <v>22</v>
      </c>
      <c r="C36" s="10" t="s">
        <v>148</v>
      </c>
      <c r="D36" s="10" t="s">
        <v>149</v>
      </c>
      <c r="E36" s="10" t="s">
        <v>150</v>
      </c>
      <c r="F36" s="10" t="s">
        <v>18</v>
      </c>
      <c r="G36" s="10" t="s">
        <v>151</v>
      </c>
      <c r="H36" s="11">
        <v>1</v>
      </c>
      <c r="I36" s="11">
        <v>1</v>
      </c>
      <c r="J36" s="11">
        <v>312.89</v>
      </c>
      <c r="K36" s="11">
        <v>139.5</v>
      </c>
      <c r="L36" s="12" t="s">
        <v>54</v>
      </c>
      <c r="M36" s="12" t="s">
        <v>20</v>
      </c>
    </row>
    <row r="37" spans="1:13" ht="12" customHeight="1" x14ac:dyDescent="0.2">
      <c r="A37" s="10" t="s">
        <v>152</v>
      </c>
      <c r="B37" s="10" t="s">
        <v>22</v>
      </c>
      <c r="C37" s="10" t="s">
        <v>32</v>
      </c>
      <c r="D37" s="10" t="s">
        <v>33</v>
      </c>
      <c r="E37" s="10" t="s">
        <v>110</v>
      </c>
      <c r="F37" s="10" t="s">
        <v>18</v>
      </c>
      <c r="G37" s="10" t="s">
        <v>34</v>
      </c>
      <c r="H37" s="11">
        <v>101.1</v>
      </c>
      <c r="I37" s="11">
        <v>4</v>
      </c>
      <c r="J37" s="11">
        <v>44000</v>
      </c>
      <c r="K37" s="11">
        <v>1231.8399999999999</v>
      </c>
      <c r="L37" s="12" t="s">
        <v>39</v>
      </c>
      <c r="M37" s="12" t="s">
        <v>153</v>
      </c>
    </row>
    <row r="38" spans="1:13" ht="12" customHeight="1" x14ac:dyDescent="0.2">
      <c r="A38" s="10" t="s">
        <v>154</v>
      </c>
      <c r="B38" s="10" t="s">
        <v>14</v>
      </c>
      <c r="C38" s="10" t="s">
        <v>155</v>
      </c>
      <c r="D38" s="10" t="s">
        <v>156</v>
      </c>
      <c r="E38" s="10" t="s">
        <v>17</v>
      </c>
      <c r="F38" s="10" t="s">
        <v>111</v>
      </c>
      <c r="G38" s="10" t="s">
        <v>157</v>
      </c>
      <c r="H38" s="11">
        <v>30.6</v>
      </c>
      <c r="I38" s="11">
        <v>1</v>
      </c>
      <c r="J38" s="11">
        <v>4583</v>
      </c>
      <c r="K38" s="11">
        <v>200</v>
      </c>
      <c r="L38" s="12" t="s">
        <v>39</v>
      </c>
      <c r="M38" s="12" t="s">
        <v>20</v>
      </c>
    </row>
    <row r="39" spans="1:13" ht="39.6" x14ac:dyDescent="0.2">
      <c r="A39" s="10" t="s">
        <v>13</v>
      </c>
      <c r="B39" s="10" t="s">
        <v>14</v>
      </c>
      <c r="C39" s="10" t="s">
        <v>15</v>
      </c>
      <c r="D39" s="10" t="s">
        <v>16</v>
      </c>
      <c r="E39" s="10" t="s">
        <v>17</v>
      </c>
      <c r="F39" s="10" t="s">
        <v>18</v>
      </c>
      <c r="G39" s="10" t="s">
        <v>19</v>
      </c>
      <c r="H39" s="11">
        <v>50</v>
      </c>
      <c r="I39" s="11">
        <v>1</v>
      </c>
      <c r="J39" s="11">
        <v>15000</v>
      </c>
      <c r="K39" s="11">
        <v>838.6</v>
      </c>
      <c r="L39" s="12" t="s">
        <v>39</v>
      </c>
      <c r="M39" s="12" t="s">
        <v>20</v>
      </c>
    </row>
    <row r="40" spans="1:13" ht="46.2" x14ac:dyDescent="0.2">
      <c r="A40" s="10" t="s">
        <v>21</v>
      </c>
      <c r="B40" s="10" t="s">
        <v>22</v>
      </c>
      <c r="C40" s="10" t="s">
        <v>23</v>
      </c>
      <c r="D40" s="10" t="s">
        <v>24</v>
      </c>
      <c r="E40" s="10" t="s">
        <v>25</v>
      </c>
      <c r="F40" s="10" t="s">
        <v>18</v>
      </c>
      <c r="G40" s="10" t="s">
        <v>26</v>
      </c>
      <c r="H40" s="11">
        <v>13.5</v>
      </c>
      <c r="I40" s="11">
        <v>1</v>
      </c>
      <c r="J40" s="11">
        <v>1000</v>
      </c>
      <c r="K40" s="11">
        <v>268.89999999999998</v>
      </c>
      <c r="L40" s="12" t="s">
        <v>39</v>
      </c>
      <c r="M40" s="12" t="s">
        <v>20</v>
      </c>
    </row>
    <row r="41" spans="1:13" ht="46.2" x14ac:dyDescent="0.2">
      <c r="A41" s="10" t="s">
        <v>21</v>
      </c>
      <c r="B41" s="10" t="s">
        <v>27</v>
      </c>
      <c r="C41" s="10" t="s">
        <v>28</v>
      </c>
      <c r="D41" s="10" t="s">
        <v>29</v>
      </c>
      <c r="E41" s="10" t="s">
        <v>17</v>
      </c>
      <c r="F41" s="10" t="s">
        <v>18</v>
      </c>
      <c r="G41" s="10" t="s">
        <v>30</v>
      </c>
      <c r="H41" s="11">
        <v>20</v>
      </c>
      <c r="I41" s="11">
        <v>1</v>
      </c>
      <c r="J41" s="11">
        <v>1000</v>
      </c>
      <c r="K41" s="11">
        <v>236.35</v>
      </c>
      <c r="L41" s="12" t="s">
        <v>39</v>
      </c>
      <c r="M41" s="12" t="s">
        <v>20</v>
      </c>
    </row>
    <row r="42" spans="1:13" ht="33" x14ac:dyDescent="0.2">
      <c r="A42" s="10" t="s">
        <v>31</v>
      </c>
      <c r="B42" s="10" t="s">
        <v>22</v>
      </c>
      <c r="C42" s="10" t="s">
        <v>32</v>
      </c>
      <c r="D42" s="10" t="s">
        <v>33</v>
      </c>
      <c r="E42" s="10" t="s">
        <v>17</v>
      </c>
      <c r="F42" s="10" t="s">
        <v>18</v>
      </c>
      <c r="G42" s="10" t="s">
        <v>34</v>
      </c>
      <c r="H42" s="11">
        <v>50</v>
      </c>
      <c r="I42" s="11">
        <v>2</v>
      </c>
      <c r="J42" s="11">
        <v>22900</v>
      </c>
      <c r="K42" s="11">
        <v>627.86</v>
      </c>
      <c r="L42" s="12" t="s">
        <v>39</v>
      </c>
      <c r="M42" s="12" t="s">
        <v>20</v>
      </c>
    </row>
    <row r="43" spans="1:13" ht="46.2" x14ac:dyDescent="0.2">
      <c r="A43" s="10" t="s">
        <v>21</v>
      </c>
      <c r="B43" s="10" t="s">
        <v>22</v>
      </c>
      <c r="C43" s="10" t="s">
        <v>23</v>
      </c>
      <c r="D43" s="10" t="s">
        <v>24</v>
      </c>
      <c r="E43" s="10" t="s">
        <v>25</v>
      </c>
      <c r="F43" s="10" t="s">
        <v>18</v>
      </c>
      <c r="G43" s="10" t="s">
        <v>35</v>
      </c>
      <c r="H43" s="11">
        <v>750</v>
      </c>
      <c r="I43" s="11">
        <v>1</v>
      </c>
      <c r="J43" s="11">
        <v>1000</v>
      </c>
      <c r="K43" s="11">
        <v>2655.5</v>
      </c>
      <c r="L43" s="12" t="s">
        <v>39</v>
      </c>
      <c r="M43" s="12" t="s">
        <v>20</v>
      </c>
    </row>
    <row r="44" spans="1:13" ht="46.2" x14ac:dyDescent="0.2">
      <c r="A44" s="10" t="s">
        <v>36</v>
      </c>
      <c r="B44" s="10" t="s">
        <v>27</v>
      </c>
      <c r="C44" s="10" t="s">
        <v>28</v>
      </c>
      <c r="D44" s="10" t="s">
        <v>29</v>
      </c>
      <c r="E44" s="10" t="s">
        <v>17</v>
      </c>
      <c r="F44" s="10" t="s">
        <v>18</v>
      </c>
      <c r="G44" s="10" t="s">
        <v>35</v>
      </c>
      <c r="H44" s="11">
        <v>500</v>
      </c>
      <c r="I44" s="11">
        <v>1</v>
      </c>
      <c r="J44" s="11">
        <v>130000</v>
      </c>
      <c r="K44" s="11">
        <v>2649.5</v>
      </c>
      <c r="L44" s="12" t="s">
        <v>40</v>
      </c>
      <c r="M44" s="12" t="s">
        <v>20</v>
      </c>
    </row>
    <row r="45" spans="1:13" ht="33" x14ac:dyDescent="0.2">
      <c r="A45" s="10" t="s">
        <v>31</v>
      </c>
      <c r="B45" s="10" t="s">
        <v>22</v>
      </c>
      <c r="C45" s="10" t="s">
        <v>37</v>
      </c>
      <c r="D45" s="10" t="s">
        <v>38</v>
      </c>
      <c r="E45" s="10" t="s">
        <v>17</v>
      </c>
      <c r="F45" s="10" t="s">
        <v>18</v>
      </c>
      <c r="G45" s="10" t="s">
        <v>35</v>
      </c>
      <c r="H45" s="11">
        <v>1000</v>
      </c>
      <c r="I45" s="11">
        <v>2</v>
      </c>
      <c r="J45" s="11">
        <v>77448</v>
      </c>
      <c r="K45" s="11">
        <v>3828.24</v>
      </c>
      <c r="L45" s="12" t="s">
        <v>39</v>
      </c>
      <c r="M45" s="12" t="s">
        <v>20</v>
      </c>
    </row>
    <row r="46" spans="1:13" ht="46.2" x14ac:dyDescent="0.2">
      <c r="A46" s="16" t="s">
        <v>21</v>
      </c>
      <c r="B46" s="16" t="s">
        <v>27</v>
      </c>
      <c r="C46" s="16" t="s">
        <v>28</v>
      </c>
      <c r="D46" s="16" t="s">
        <v>29</v>
      </c>
      <c r="E46" s="16" t="s">
        <v>17</v>
      </c>
      <c r="F46" s="16" t="s">
        <v>18</v>
      </c>
      <c r="G46" s="16" t="s">
        <v>35</v>
      </c>
      <c r="H46" s="17">
        <v>500</v>
      </c>
      <c r="I46" s="17">
        <v>1</v>
      </c>
      <c r="J46" s="17">
        <v>35000</v>
      </c>
      <c r="K46" s="17">
        <v>2174.5</v>
      </c>
      <c r="L46" s="18" t="s">
        <v>40</v>
      </c>
      <c r="M46" s="18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I.antonov</cp:lastModifiedBy>
  <dcterms:created xsi:type="dcterms:W3CDTF">2025-11-12T09:00:40Z</dcterms:created>
  <dcterms:modified xsi:type="dcterms:W3CDTF">2025-11-18T15:29:33Z</dcterms:modified>
</cp:coreProperties>
</file>
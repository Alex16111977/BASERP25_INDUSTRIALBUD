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.antonov\Desktop\Нова пошта розподіл\"/>
    </mc:Choice>
  </mc:AlternateContent>
  <xr:revisionPtr revIDLastSave="0" documentId="13_ncr:1_{C9FADCA1-A681-420F-B419-046343F16BCC}" xr6:coauthVersionLast="45" xr6:coauthVersionMax="47" xr10:uidLastSave="{00000000-0000-0000-0000-000000000000}"/>
  <bookViews>
    <workbookView xWindow="-108" yWindow="-108" windowWidth="23256" windowHeight="12600" tabRatio="183" xr2:uid="{00000000-000D-0000-FFFF-FFFF00000000}"/>
  </bookViews>
  <sheets>
    <sheet name="Лист1" sheetId="3" r:id="rId1"/>
    <sheet name="зведена" sheetId="2" r:id="rId2"/>
  </sheets>
  <definedNames>
    <definedName name="_xlnm._FilterDatabase" localSheetId="1" hidden="1">зведена!$A$1:$N$44</definedName>
    <definedName name="Agreement">#REF!</definedName>
    <definedName name="BODY">#REF!</definedName>
    <definedName name="CompanyName">#REF!</definedName>
    <definedName name="CompanyName2">#REF!</definedName>
    <definedName name="Counter">#REF!</definedName>
    <definedName name="CustName">#REF!</definedName>
    <definedName name="Description">#REF!</definedName>
    <definedName name="Direction">#REF!</definedName>
    <definedName name="ExecutorAddress">#REF!</definedName>
    <definedName name="ExecutorContactCenter">#REF!</definedName>
    <definedName name="ExecutorEDRPOU">#REF!</definedName>
    <definedName name="ExecutorName">#REF!</definedName>
    <definedName name="LineAmount">#REF!</definedName>
    <definedName name="NumberDateTxt">#REF!</definedName>
    <definedName name="PackageValue">#REF!</definedName>
    <definedName name="PAGEFOOTER">#REF!</definedName>
    <definedName name="PAGEHEADER">#REF!</definedName>
    <definedName name="Receiver">#REF!</definedName>
    <definedName name="ReceiverContact">#REF!</definedName>
    <definedName name="REPORTFOOTER">#REF!</definedName>
    <definedName name="REPORTHEADER">#REF!</definedName>
    <definedName name="SeatCount">#REF!</definedName>
    <definedName name="Sender">#REF!</definedName>
    <definedName name="SenderContact">#REF!</definedName>
    <definedName name="ShipmentDate">#REF!</definedName>
    <definedName name="ShipmentOrder">#REF!</definedName>
    <definedName name="TotalAmount">#REF!</definedName>
    <definedName name="TotalPackageValue">#REF!</definedName>
    <definedName name="TotalSeatCount">#REF!</definedName>
    <definedName name="TotalWeight">#REF!</definedName>
    <definedName name="Weight">#REF!</definedName>
  </definedNames>
  <calcPr calcId="191029"/>
  <pivotCaches>
    <pivotCache cacheId="1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2" i="2" l="1"/>
  <c r="Q3" i="2"/>
  <c r="Q6" i="2"/>
</calcChain>
</file>

<file path=xl/sharedStrings.xml><?xml version="1.0" encoding="utf-8"?>
<sst xmlns="http://schemas.openxmlformats.org/spreadsheetml/2006/main" count="480" uniqueCount="197">
  <si>
    <t>Документ ЕН</t>
  </si>
  <si>
    <t>Дата ЕН</t>
  </si>
  <si>
    <t>Маршрут</t>
  </si>
  <si>
    <t>Відправник</t>
  </si>
  <si>
    <t>Контакт відправника</t>
  </si>
  <si>
    <t>Отримувач</t>
  </si>
  <si>
    <t>Контакт отримувача</t>
  </si>
  <si>
    <t>Опис вантажу</t>
  </si>
  <si>
    <t>Вага</t>
  </si>
  <si>
    <t>Кількість місць</t>
  </si>
  <si>
    <t>Вартість вантажу</t>
  </si>
  <si>
    <t>Сума</t>
  </si>
  <si>
    <t>59001485830820</t>
  </si>
  <si>
    <t>26.10.2025</t>
  </si>
  <si>
    <t>Новосілки - Біла Церква</t>
  </si>
  <si>
    <t>ТОВ "АГРОСЕРВІС-ГРУП" с. Новосілки (Чабанівська селищна рада), Відділення №1: вул. Васильківська, 2а</t>
  </si>
  <si>
    <t>Буряк Олександр Сергійович 380979997941</t>
  </si>
  <si>
    <t>ТОВ "ІНДЕПТ СТІЛ" м. Біла Церква, вул. Мережна, 6</t>
  </si>
  <si>
    <t>Бреус Віталій Григорович 380675002415</t>
  </si>
  <si>
    <t>інші запчастини</t>
  </si>
  <si>
    <t>59001482798862</t>
  </si>
  <si>
    <t>22.10.2025</t>
  </si>
  <si>
    <t>Біла Церква - Біла Церква</t>
  </si>
  <si>
    <t>Приватна особа м. Біла Церква, Відділення №15 (до 30 кг на одне місце): бульв.Олександрійський, 169</t>
  </si>
  <si>
    <t>Макарова Анна Борисівна 380965281534</t>
  </si>
  <si>
    <t>Документи</t>
  </si>
  <si>
    <t>20451276139302</t>
  </si>
  <si>
    <t>21.10.2025</t>
  </si>
  <si>
    <t>Біла Церква - Київ</t>
  </si>
  <si>
    <t>Дяченко Анна Володимирівна 380953034738</t>
  </si>
  <si>
    <t>ТОВ "ІНДЕПТ СТІЛ" м. Київ, Відділення №240 (до 30 кг), вул. Преображенська, 8б</t>
  </si>
  <si>
    <t>Дяченко Анна 380953034738</t>
  </si>
  <si>
    <t>20451277879086</t>
  </si>
  <si>
    <t>23.10.2025</t>
  </si>
  <si>
    <t>Київ - Біла Церква</t>
  </si>
  <si>
    <t>ТОВ "РОМСТАЛ УКРАЇНА" м. Київ, Відділення №17: вул. Новокостянтинівська, 22/15</t>
  </si>
  <si>
    <t>Невідомий Віктор Валерійович 380664246343</t>
  </si>
  <si>
    <t>59001483738362</t>
  </si>
  <si>
    <t>Приватна особа м. Київ, Відділення №400 (до 30 кг): бульв. Лесі Українки, 10</t>
  </si>
  <si>
    <t>Кечко Ірина Анатоліївна 380502658449</t>
  </si>
  <si>
    <t>20451282347361</t>
  </si>
  <si>
    <t>29.10.2025</t>
  </si>
  <si>
    <t>20451278684762</t>
  </si>
  <si>
    <t>24.10.2025</t>
  </si>
  <si>
    <t>20400484800594</t>
  </si>
  <si>
    <t>ТОВ "БРАВО-СП" м. Київ, Відділення №2: вул. Богатирська, 11</t>
  </si>
  <si>
    <t>Курков Олег Валерійович 380971633330</t>
  </si>
  <si>
    <t>Спецодяг</t>
  </si>
  <si>
    <t>59001482010641</t>
  </si>
  <si>
    <t>ТОВ "УКРПЛАЗМА" м. Київ, Відділення №170 (до 30 кг на одне місце): просп. Володимира Івасюка, 39В</t>
  </si>
  <si>
    <t>Терещенко Євгеній Олександрович 380935536085</t>
  </si>
  <si>
    <t>20451282701830</t>
  </si>
  <si>
    <t>ТОВ "УКРПЛАЗМА" м. Київ, Відділення №160 (до 30 кг на одне місце): просп. Володимира Івасюка, 56Б</t>
  </si>
  <si>
    <t>Симоненко Ольга Вікторівна 380663353102</t>
  </si>
  <si>
    <t>Запчастини</t>
  </si>
  <si>
    <t>20451272703326</t>
  </si>
  <si>
    <t>16.10.2025</t>
  </si>
  <si>
    <t>Біла Церква - Запоріжжя</t>
  </si>
  <si>
    <t>Бутенко Матвій Анатолійович 380991500180</t>
  </si>
  <si>
    <t>Приватна особа м. Запоріжжя, Відділення №4 (до 30 кг на одне місце), просп. Соборний, 141</t>
  </si>
  <si>
    <t>Чешко Сергій 380996672253</t>
  </si>
  <si>
    <t>Коробка</t>
  </si>
  <si>
    <t>20451278839748</t>
  </si>
  <si>
    <t>Запчастини до ВПТ</t>
  </si>
  <si>
    <t>20451277742653</t>
  </si>
  <si>
    <t>Біла Церква - Варва</t>
  </si>
  <si>
    <t>Приватна особа смт Варва, Відділення №1: вул. Миру, 10/3</t>
  </si>
  <si>
    <t>Дехтяр Влад 380981126988</t>
  </si>
  <si>
    <t>20451278501820</t>
  </si>
  <si>
    <t>ПП "ТУЛ ТЕХНОЛОДЖИ" м. Київ, просп. Курбаса Леся (50-річчя Жовтня), 2б</t>
  </si>
  <si>
    <t>Бульба Віктор Михайлович 380966895133</t>
  </si>
  <si>
    <t>59001481879717</t>
  </si>
  <si>
    <t>Приватна особа м. Запоріжжя, Відділення №3, вул. Айвазовського, 9</t>
  </si>
  <si>
    <t>Чешко Сергій Анатолійович 380996672253</t>
  </si>
  <si>
    <t>Інше</t>
  </si>
  <si>
    <t>59001480816269</t>
  </si>
  <si>
    <t>20.10.2025</t>
  </si>
  <si>
    <t>Дніпро - Київ</t>
  </si>
  <si>
    <t>Приватна особа м. Дніпро, Відділення №60 (до 30 кг на одне місце ): вул. Ламана, 2</t>
  </si>
  <si>
    <t>Позднякова Інна Едуардівна 380504216109</t>
  </si>
  <si>
    <t>59001483405536</t>
  </si>
  <si>
    <t>Приватна особа м. Дніпро, Відділення №97 (до 30 кг): просп. Науки, 112Б, прим. 4-2</t>
  </si>
  <si>
    <t>Тарасенко Вікторія Олександрівна 380979270399</t>
  </si>
  <si>
    <t>ЦО</t>
  </si>
  <si>
    <t>курєрські</t>
  </si>
  <si>
    <t>Кернел Кухня</t>
  </si>
  <si>
    <t>Астарта</t>
  </si>
  <si>
    <t>МШП</t>
  </si>
  <si>
    <t>Глобіно</t>
  </si>
  <si>
    <t>ООН 2025</t>
  </si>
  <si>
    <t>Буд Матеріали</t>
  </si>
  <si>
    <t>59001469389823</t>
  </si>
  <si>
    <t>05.10.2025</t>
  </si>
  <si>
    <t>Біла Церква - Рівне</t>
  </si>
  <si>
    <t>Приватна особа м. Рівне, Відділення №5 (до 30 кг на одне місце ): просп. Миру, 12</t>
  </si>
  <si>
    <t>Матвєєва Тетяна Ярославівна 380967800529</t>
  </si>
  <si>
    <t>Курєрські послуги</t>
  </si>
  <si>
    <t>20451273392571</t>
  </si>
  <si>
    <t>17.10.2025</t>
  </si>
  <si>
    <t>Кременчук - Біла Церква</t>
  </si>
  <si>
    <t>ПП "ТУЛ ТЕХНОЛОДЖИ" м. Кременчук, Відділення №7, вул. Пугачова Вадима, 10</t>
  </si>
  <si>
    <t>Палети</t>
  </si>
  <si>
    <t>20451265549607</t>
  </si>
  <si>
    <t>07.10.2025</t>
  </si>
  <si>
    <t>Біла Церква - Баштанка</t>
  </si>
  <si>
    <t>Приватна особа м. Баштанка, Відділення №1: вул. Промислова,  13</t>
  </si>
  <si>
    <t>Щербак Петро 380668171451</t>
  </si>
  <si>
    <t>Банер</t>
  </si>
  <si>
    <t>МД IRS</t>
  </si>
  <si>
    <t>льні матеріали</t>
  </si>
  <si>
    <t>20451267876490</t>
  </si>
  <si>
    <t>10.10.2025</t>
  </si>
  <si>
    <t>59001477185769</t>
  </si>
  <si>
    <t>15.10.2025</t>
  </si>
  <si>
    <t>МАКАРОВ АНДРІЙ МИКОЛАЙОВИЧ ФОП м. Біла Церква, Відділення №15 (до 30 кг на одне місце): бульв.Олександрійський, 169</t>
  </si>
  <si>
    <t>Макаров Андрій Миколайович 380978223738</t>
  </si>
  <si>
    <t>МД Лазня</t>
  </si>
  <si>
    <t>59001476397799</t>
  </si>
  <si>
    <t>14.10.2025</t>
  </si>
  <si>
    <t>Тростянець - Біла Церква</t>
  </si>
  <si>
    <t>Приватна особа м. Тростянець (Сумська обл.), Відділення №1: вул. Благовіщенська, 58</t>
  </si>
  <si>
    <t>Кліщов Евген Олександртвич 380953105810</t>
  </si>
  <si>
    <t>20451271562383</t>
  </si>
  <si>
    <t>20400484020456</t>
  </si>
  <si>
    <t>Одяг</t>
  </si>
  <si>
    <t>20451272489407</t>
  </si>
  <si>
    <t>ТОВ "АГАТ ІМПЕКС" м. Київ, вул. Сім’ї Стешенків (Строкача Тимофія), 1</t>
  </si>
  <si>
    <t>Дробишева-Мєшкова Ольга Володимирівна 380679246012</t>
  </si>
  <si>
    <t>Бреус Віталій В 380675002415</t>
  </si>
  <si>
    <t>Канцелярські товари</t>
  </si>
  <si>
    <t>20451273333761</t>
  </si>
  <si>
    <t>18.10.2025</t>
  </si>
  <si>
    <t>Віта-Поштова - Біла Церква</t>
  </si>
  <si>
    <t>ПП "ТУЛ ТЕХНОЛОДЖИ" с. Віта-Поштова, Відділення №1: вул. Звенигородська, 23</t>
  </si>
  <si>
    <t>Довірена Особа Особа 380675002415</t>
  </si>
  <si>
    <t>30.09.2025</t>
  </si>
  <si>
    <t>ТОВ "ІНДАСТРІАЛБУД" м. Київ, Відділення №240 (до 30 кг), вул. Преображенська, 8б</t>
  </si>
  <si>
    <t>Шкурат Ігор Миколаєвич 380674118312</t>
  </si>
  <si>
    <t>Ноутбук(и)</t>
  </si>
  <si>
    <t>06.10.2025</t>
  </si>
  <si>
    <t>МК Глобіно</t>
  </si>
  <si>
    <t>01.10.2025</t>
  </si>
  <si>
    <t>Гатне - Біла Церква</t>
  </si>
  <si>
    <t>ТОВ "АГРОСЕРВІС-ГРУП" с. Гатне, Відділення №2: вул. Київська, 2-В, корп. 2</t>
  </si>
  <si>
    <t>ЗАПЧАСТИНИ</t>
  </si>
  <si>
    <t>08.10.2025</t>
  </si>
  <si>
    <t>Київ - Київ</t>
  </si>
  <si>
    <t>Приватна особа м. Київ, Відділення №354 (до 30 кг на одне місце): вул. Івана Дзюби, 17о</t>
  </si>
  <si>
    <t>Савенчук Олена Юріївна 380932966033</t>
  </si>
  <si>
    <t>Рівне - Біла Церква</t>
  </si>
  <si>
    <t>Приватна особа м. Рівне, Відділення №22: вул. Пасхальна, 28</t>
  </si>
  <si>
    <t>Савицький Паша Дмитрович 380976619659</t>
  </si>
  <si>
    <t>03.10.2025</t>
  </si>
  <si>
    <t>Кам'янське - Біла Церква</t>
  </si>
  <si>
    <t>ПП "ПРОММОНТАЖ-СЕРВІС" м. Кам'янське (Дніпропетровська обл), Відділення №10 ( до 30 кг на одне місце), просп. Відродження,</t>
  </si>
  <si>
    <t>Гладких Артем Олександрович 380970447020</t>
  </si>
  <si>
    <t>Охтирка - Біла Церква</t>
  </si>
  <si>
    <t>Приватна особа м. Охтирка, Відділення №3 (до 30 кг на одне місце): вул. Армійська (ран. Червоноармійська), 89б</t>
  </si>
  <si>
    <t>Марченко Адександра Сергеевна 380664746602</t>
  </si>
  <si>
    <t>Приватна особа м. Рівне, Відділення №6 (до 30 кг на одне місце): вул. Київська, 44 (біля кафе Мономах)</t>
  </si>
  <si>
    <t>Іванків - Біла Церква</t>
  </si>
  <si>
    <t>Приватна особа смт Іванків (Вишгородський р-н), Відділення №1: вул. Івана Проскури, 73</t>
  </si>
  <si>
    <t>Лозенко Марія Василівна 380674775570</t>
  </si>
  <si>
    <t>02.10.2025</t>
  </si>
  <si>
    <t>ПП "ТУЛ ТЕХНОЛОДЖИ" м. Київ, Відділення №287 (до 30 кг): вул. Гната Юри, 7 (літера А)</t>
  </si>
  <si>
    <t>Біла Церква - Кринички</t>
  </si>
  <si>
    <t>Приватна особа смт Кринички, Відділення №1: вул. Грушевського, 39а</t>
  </si>
  <si>
    <t>Щербак Петро Іванович 380668171451</t>
  </si>
  <si>
    <t>Диван</t>
  </si>
  <si>
    <t>МД ВООЗ ЄМС</t>
  </si>
  <si>
    <t>Буд матеріали</t>
  </si>
  <si>
    <t>ТОВ "А-ТРИМИКС ГРУП" м. Київ, Відділення №148: вул. Балабуєва Петра Авіаконструктора (ран. вул.Екскаваторна), 37А</t>
  </si>
  <si>
    <t>Представник Представник Представникович 380674869639</t>
  </si>
  <si>
    <t>Сварочні апарати</t>
  </si>
  <si>
    <t>Ремонт</t>
  </si>
  <si>
    <t>59001465700957</t>
  </si>
  <si>
    <t>20451264251853</t>
  </si>
  <si>
    <t>59001466713988</t>
  </si>
  <si>
    <t>59001471898257</t>
  </si>
  <si>
    <t>59001466230020</t>
  </si>
  <si>
    <t>59001465867241</t>
  </si>
  <si>
    <t>59001467867918</t>
  </si>
  <si>
    <t>59001471692886</t>
  </si>
  <si>
    <t>20451262285408</t>
  </si>
  <si>
    <t>59001469564007</t>
  </si>
  <si>
    <t>59001466053087</t>
  </si>
  <si>
    <t>59001467542463</t>
  </si>
  <si>
    <t>59001468146762</t>
  </si>
  <si>
    <t>20451264233919</t>
  </si>
  <si>
    <t>20451265563382</t>
  </si>
  <si>
    <t>20451265587727</t>
  </si>
  <si>
    <t>Столбец1</t>
  </si>
  <si>
    <t>Столбец2</t>
  </si>
  <si>
    <t>Названия строк</t>
  </si>
  <si>
    <t>Общий итог</t>
  </si>
  <si>
    <t>Сумма по полю Сума</t>
  </si>
  <si>
    <t>(несколько элементов)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</si>
</sst>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name val="Arial"/>
      <family val="2"/>
    </font>
    <font>
      <sz val="5"/>
      <name val="Arial"/>
      <family val="2"/>
    </font>
    <font>
      <sz val="6"/>
      <name val="Arial"/>
      <family val="2"/>
    </font>
    <font>
      <b/>
      <sz val="8"/>
      <color indexed="24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 applyNumberFormat="1" applyFont="1" applyFill="1" applyBorder="1"/>
    <xf numFmtId="0" fontId="0" fillId="0" borderId="0" xfId="0" applyNumberFormat="1" applyFont="1" applyFill="1" applyBorder="1"/>
    <xf numFmtId="0" fontId="4" fillId="0" borderId="1" xfId="0" applyNumberFormat="1" applyFont="1" applyFill="1" applyBorder="1"/>
    <xf numFmtId="0" fontId="0" fillId="0" borderId="0" xfId="0"/>
    <xf numFmtId="0" fontId="0" fillId="0" borderId="0" xfId="0" applyNumberFormat="1" applyFont="1" applyFill="1" applyBorder="1" applyAlignment="1">
      <alignment horizontal="left"/>
    </xf>
    <xf numFmtId="0" fontId="0" fillId="0" borderId="1" xfId="0" applyNumberFormat="1" applyFont="1" applyFill="1" applyBorder="1"/>
    <xf numFmtId="0" fontId="1" fillId="0" borderId="1" xfId="0" applyNumberFormat="1" applyFont="1" applyFill="1" applyBorder="1" applyAlignment="1">
      <alignment horizontal="left" vertical="top" wrapText="1"/>
    </xf>
    <xf numFmtId="2" fontId="1" fillId="0" borderId="1" xfId="0" applyNumberFormat="1" applyFont="1" applyFill="1" applyBorder="1" applyAlignment="1">
      <alignment horizontal="right" vertical="top"/>
    </xf>
    <xf numFmtId="1" fontId="1" fillId="0" borderId="1" xfId="0" applyNumberFormat="1" applyFont="1" applyFill="1" applyBorder="1" applyAlignment="1">
      <alignment horizontal="right" vertical="top"/>
    </xf>
    <xf numFmtId="0" fontId="2" fillId="0" borderId="1" xfId="0" applyNumberFormat="1" applyFont="1" applyFill="1" applyBorder="1"/>
    <xf numFmtId="0" fontId="1" fillId="0" borderId="1" xfId="0" applyFont="1" applyBorder="1" applyAlignment="1">
      <alignment horizontal="left" vertical="top" wrapText="1"/>
    </xf>
    <xf numFmtId="2" fontId="1" fillId="0" borderId="1" xfId="0" applyNumberFormat="1" applyFont="1" applyBorder="1" applyAlignment="1">
      <alignment horizontal="right" vertical="top"/>
    </xf>
    <xf numFmtId="1" fontId="1" fillId="0" borderId="1" xfId="0" applyNumberFormat="1" applyFont="1" applyBorder="1" applyAlignment="1">
      <alignment horizontal="right" vertical="top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2" xfId="0" applyNumberFormat="1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0" fillId="0" borderId="3" xfId="0" applyNumberFormat="1" applyFont="1" applyFill="1" applyBorder="1"/>
    <xf numFmtId="0" fontId="2" fillId="0" borderId="3" xfId="0" applyNumberFormat="1" applyFont="1" applyFill="1" applyBorder="1"/>
    <xf numFmtId="0" fontId="4" fillId="0" borderId="3" xfId="0" applyNumberFormat="1" applyFont="1" applyFill="1" applyBorder="1"/>
    <xf numFmtId="0" fontId="2" fillId="0" borderId="3" xfId="0" applyFont="1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/>
    <xf numFmtId="0" fontId="3" fillId="2" borderId="4" xfId="0" applyNumberFormat="1" applyFont="1" applyFill="1" applyBorder="1" applyAlignment="1">
      <alignment horizontal="left" vertical="top" wrapText="1"/>
    </xf>
    <xf numFmtId="0" fontId="3" fillId="2" borderId="5" xfId="0" applyNumberFormat="1" applyFont="1" applyFill="1" applyBorder="1" applyAlignment="1">
      <alignment horizontal="left" vertical="top" wrapText="1"/>
    </xf>
    <xf numFmtId="0" fontId="0" fillId="0" borderId="5" xfId="0" applyNumberFormat="1" applyFont="1" applyFill="1" applyBorder="1"/>
    <xf numFmtId="0" fontId="0" fillId="0" borderId="6" xfId="0" applyNumberFormat="1" applyFont="1" applyFill="1" applyBorder="1"/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2" fontId="1" fillId="0" borderId="8" xfId="0" applyNumberFormat="1" applyFont="1" applyBorder="1" applyAlignment="1">
      <alignment horizontal="right" vertical="top"/>
    </xf>
    <xf numFmtId="1" fontId="1" fillId="0" borderId="8" xfId="0" applyNumberFormat="1" applyFont="1" applyBorder="1" applyAlignment="1">
      <alignment horizontal="right" vertical="top"/>
    </xf>
    <xf numFmtId="0" fontId="0" fillId="0" borderId="8" xfId="0" applyBorder="1"/>
    <xf numFmtId="0" fontId="0" fillId="0" borderId="9" xfId="0" applyBorder="1"/>
    <xf numFmtId="0" fontId="0" fillId="0" borderId="0" xfId="0" pivotButton="1" applyNumberFormat="1" applyFont="1" applyFill="1" applyBorder="1"/>
    <xf numFmtId="0" fontId="0" fillId="0" borderId="0" xfId="0" applyNumberFormat="1" applyFont="1" applyFill="1" applyBorder="1" applyAlignment="1">
      <alignment horizontal="left" indent="1"/>
    </xf>
  </cellXfs>
  <cellStyles count="1">
    <cellStyle name="Обычный" xfId="0" builtinId="0"/>
  </cellStyles>
  <dxfs count="1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auto="1"/>
        <name val="Arial"/>
        <family val="2"/>
        <scheme val="none"/>
      </font>
      <numFmt numFmtId="2" formatCode="0.00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auto="1"/>
        <name val="Arial"/>
        <family val="2"/>
        <scheme val="none"/>
      </font>
      <numFmt numFmtId="2" formatCode="0.00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auto="1"/>
        <name val="Arial"/>
        <family val="2"/>
        <scheme val="none"/>
      </font>
      <numFmt numFmtId="1" formatCode="0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auto="1"/>
        <name val="Arial"/>
        <family val="2"/>
        <scheme val="none"/>
      </font>
      <numFmt numFmtId="2" formatCode="0.00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auto="1"/>
        <name val="Arial"/>
        <family val="2"/>
        <scheme val="none"/>
      </font>
      <alignment horizontal="righ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24"/>
        <name val="Arial"/>
        <family val="2"/>
        <scheme val="none"/>
      </font>
      <numFmt numFmtId="0" formatCode="General"/>
      <fill>
        <patternFill patternType="solid">
          <fgColor indexed="64"/>
          <bgColor indexed="28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3F2F"/>
      <rgbColor rgb="00993366"/>
      <rgbColor rgb="00B3AC86"/>
      <rgbColor rgb="00CCFFFF"/>
      <rgbColor rgb="00D6E5CB"/>
      <rgbColor rgb="00ACC8BD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.antonov" refreshedDate="45979.670502893518" createdVersion="6" refreshedVersion="6" minRefreshableVersion="3" recordCount="43" xr:uid="{7E4051F9-6E91-42D0-AD15-1AB9BA3991CF}">
  <cacheSource type="worksheet">
    <worksheetSource name="Таблица1"/>
  </cacheSource>
  <cacheFields count="14">
    <cacheField name="Документ ЕН" numFmtId="0">
      <sharedItems/>
    </cacheField>
    <cacheField name="Дата ЕН" numFmtId="0">
      <sharedItems count="21">
        <s v="26.10.2025"/>
        <s v="22.10.2025"/>
        <s v="21.10.2025"/>
        <s v="23.10.2025"/>
        <s v="29.10.2025"/>
        <s v="24.10.2025"/>
        <s v="16.10.2025"/>
        <s v="20.10.2025"/>
        <s v="05.10.2025"/>
        <s v="17.10.2025"/>
        <s v="07.10.2025"/>
        <s v="10.10.2025"/>
        <s v="15.10.2025"/>
        <s v="14.10.2025"/>
        <s v="18.10.2025"/>
        <s v="30.09.2025"/>
        <s v="06.10.2025"/>
        <s v="01.10.2025"/>
        <s v="08.10.2025"/>
        <s v="03.10.2025"/>
        <s v="02.10.2025"/>
      </sharedItems>
    </cacheField>
    <cacheField name="Маршрут" numFmtId="0">
      <sharedItems/>
    </cacheField>
    <cacheField name="Відправник" numFmtId="0">
      <sharedItems/>
    </cacheField>
    <cacheField name="Контакт відправника" numFmtId="0">
      <sharedItems/>
    </cacheField>
    <cacheField name="Отримувач" numFmtId="0">
      <sharedItems/>
    </cacheField>
    <cacheField name="Контакт отримувача" numFmtId="0">
      <sharedItems/>
    </cacheField>
    <cacheField name="Опис вантажу" numFmtId="0">
      <sharedItems/>
    </cacheField>
    <cacheField name="Вага" numFmtId="2">
      <sharedItems containsSemiMixedTypes="0" containsString="0" containsNumber="1" minValue="0.1" maxValue="500"/>
    </cacheField>
    <cacheField name="Кількість місць" numFmtId="1">
      <sharedItems containsSemiMixedTypes="0" containsString="0" containsNumber="1" containsInteger="1" minValue="1" maxValue="6"/>
    </cacheField>
    <cacheField name="Вартість вантажу" numFmtId="2">
      <sharedItems containsSemiMixedTypes="0" containsString="0" containsNumber="1" containsInteger="1" minValue="100" maxValue="30000"/>
    </cacheField>
    <cacheField name="Сума" numFmtId="2">
      <sharedItems containsSemiMixedTypes="0" containsString="0" containsNumber="1" minValue="60" maxValue="1620"/>
    </cacheField>
    <cacheField name="Столбец1" numFmtId="0">
      <sharedItems count="10">
        <s v="ЦО"/>
        <s v="Кернел Кухня"/>
        <s v="Астарта"/>
        <s v="МК Глобіно"/>
        <s v="ООН 2025"/>
        <s v="МД IRS"/>
        <s v="МД Лазня"/>
        <s v="МД ВООЗ ЄМС"/>
        <s v="Мк. Глобіно" u="1"/>
        <s v="Глобіно" u="1"/>
      </sharedItems>
    </cacheField>
    <cacheField name="Столбец2" numFmtId="0">
      <sharedItems containsBlank="1" count="12">
        <s v="Запчастини"/>
        <s v="курєрські"/>
        <s v="Спецодяг"/>
        <s v="МШП"/>
        <s v="Буд Матеріали"/>
        <s v="Курєрські послуги"/>
        <s v="льні матеріали"/>
        <s v="Одяг"/>
        <s v="Канцелярські товари"/>
        <m/>
        <s v="Документи"/>
        <s v="Ремонт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s v="59001485830820"/>
    <x v="0"/>
    <s v="Новосілки - Біла Церква"/>
    <s v="ТОВ &quot;АГРОСЕРВІС-ГРУП&quot; с. Новосілки (Чабанівська селищна рада), Відділення №1: вул. Васильківська, 2а"/>
    <s v="Буряк Олександр Сергійович 380979997941"/>
    <s v="ТОВ &quot;ІНДЕПТ СТІЛ&quot; м. Біла Церква, вул. Мережна, 6"/>
    <s v="Бреус Віталій Григорович 380675002415"/>
    <s v="інші запчастини"/>
    <n v="3"/>
    <n v="1"/>
    <n v="100"/>
    <n v="164.85"/>
    <x v="0"/>
    <x v="0"/>
  </r>
  <r>
    <s v="59001482798862"/>
    <x v="1"/>
    <s v="Біла Церква - Біла Церква"/>
    <s v="Приватна особа м. Біла Церква, Відділення №15 (до 30 кг на одне місце): бульв.Олександрійський, 169"/>
    <s v="Макарова Анна Борисівна 380965281534"/>
    <s v="ТОВ &quot;ІНДЕПТ СТІЛ&quot; м. Біла Церква, вул. Мережна, 6"/>
    <s v="Бреус Віталій Григорович 380675002415"/>
    <s v="Документи"/>
    <n v="1"/>
    <n v="1"/>
    <n v="200"/>
    <n v="93"/>
    <x v="0"/>
    <x v="1"/>
  </r>
  <r>
    <s v="20451276139302"/>
    <x v="2"/>
    <s v="Біла Церква - Київ"/>
    <s v="ТОВ &quot;ІНДЕПТ СТІЛ&quot; м. Біла Церква, вул. Мережна, 6"/>
    <s v="Дяченко Анна Володимирівна 380953034738"/>
    <s v="ТОВ &quot;ІНДЕПТ СТІЛ&quot; м. Київ, Відділення №240 (до 30 кг), вул. Преображенська, 8б"/>
    <s v="Дяченко Анна 380953034738"/>
    <s v="Документи"/>
    <n v="0.5"/>
    <n v="1"/>
    <n v="200"/>
    <n v="93"/>
    <x v="0"/>
    <x v="1"/>
  </r>
  <r>
    <s v="20451277879086"/>
    <x v="3"/>
    <s v="Київ - Біла Церква"/>
    <s v="ТОВ &quot;РОМСТАЛ УКРАЇНА&quot; м. Київ, Відділення №17: вул. Новокостянтинівська, 22/15"/>
    <s v="Невідомий Віктор Валерійович 380664246343"/>
    <s v="ТОВ &quot;ІНДЕПТ СТІЛ&quot; м. Біла Церква, вул. Мережна, 6"/>
    <s v="Бреус Віталій Григорович 380675002415"/>
    <s v="Документи"/>
    <n v="0.5"/>
    <n v="1"/>
    <n v="200"/>
    <n v="93"/>
    <x v="1"/>
    <x v="1"/>
  </r>
  <r>
    <s v="59001483738362"/>
    <x v="3"/>
    <s v="Київ - Біла Церква"/>
    <s v="Приватна особа м. Київ, Відділення №400 (до 30 кг): бульв. Лесі Українки, 10"/>
    <s v="Кечко Ірина Анатоліївна 380502658449"/>
    <s v="ТОВ &quot;ІНДЕПТ СТІЛ&quot; м. Біла Церква, вул. Мережна, 6"/>
    <s v="Бреус Віталій Григорович 380675002415"/>
    <s v="Документи"/>
    <n v="1"/>
    <n v="1"/>
    <n v="500"/>
    <n v="93"/>
    <x v="0"/>
    <x v="1"/>
  </r>
  <r>
    <s v="20451282347361"/>
    <x v="4"/>
    <s v="Біла Церква - Київ"/>
    <s v="ТОВ &quot;ІНДЕПТ СТІЛ&quot; м. Біла Церква, вул. Мережна, 6"/>
    <s v="Дяченко Анна Володимирівна 380953034738"/>
    <s v="ТОВ &quot;ІНДЕПТ СТІЛ&quot; м. Київ, Відділення №240 (до 30 кг), вул. Преображенська, 8б"/>
    <s v="Дяченко Анна 380953034738"/>
    <s v="Документи"/>
    <n v="0.5"/>
    <n v="1"/>
    <n v="200"/>
    <n v="93"/>
    <x v="0"/>
    <x v="1"/>
  </r>
  <r>
    <s v="20451278684762"/>
    <x v="5"/>
    <s v="Біла Церква - Київ"/>
    <s v="ТОВ &quot;ІНДЕПТ СТІЛ&quot; м. Біла Церква, вул. Мережна, 6"/>
    <s v="Дяченко Анна Володимирівна 380953034738"/>
    <s v="ТОВ &quot;ІНДЕПТ СТІЛ&quot; м. Київ, Відділення №240 (до 30 кг), вул. Преображенська, 8б"/>
    <s v="Дяченко Анна 380953034738"/>
    <s v="Документи"/>
    <n v="0.5"/>
    <n v="1"/>
    <n v="200"/>
    <n v="93"/>
    <x v="0"/>
    <x v="1"/>
  </r>
  <r>
    <s v="20400484800594"/>
    <x v="2"/>
    <s v="Київ - Біла Церква"/>
    <s v="ТОВ &quot;БРАВО-СП&quot; м. Київ, Відділення №2: вул. Богатирська, 11"/>
    <s v="Курков Олег Валерійович 380971633330"/>
    <s v="ТОВ &quot;ІНДЕПТ СТІЛ&quot; м. Біла Церква, вул. Мережна, 6"/>
    <s v="Бреус Віталій Григорович 380675002415"/>
    <s v="Спецодяг"/>
    <n v="6"/>
    <n v="1"/>
    <n v="1980"/>
    <n v="144.75"/>
    <x v="0"/>
    <x v="2"/>
  </r>
  <r>
    <s v="59001482010641"/>
    <x v="2"/>
    <s v="Київ - Біла Церква"/>
    <s v="ТОВ &quot;УКРПЛАЗМА&quot; м. Київ, Відділення №170 (до 30 кг на одне місце): просп. Володимира Івасюка, 39В"/>
    <s v="Терещенко Євгеній Олександрович 380935536085"/>
    <s v="ТОВ &quot;ІНДЕПТ СТІЛ&quot; м. Біла Церква, вул. Мережна, 6"/>
    <s v="Бреус Віталій Григорович 380675002415"/>
    <s v="інші запчастини"/>
    <n v="2"/>
    <n v="1"/>
    <n v="15000"/>
    <n v="181.95"/>
    <x v="2"/>
    <x v="3"/>
  </r>
  <r>
    <s v="20451282701830"/>
    <x v="4"/>
    <s v="Київ - Біла Церква"/>
    <s v="ТОВ &quot;УКРПЛАЗМА&quot; м. Київ, Відділення №160 (до 30 кг на одне місце): просп. Володимира Івасюка, 56Б"/>
    <s v="Симоненко Ольга Вікторівна 380663353102"/>
    <s v="ТОВ &quot;ІНДЕПТ СТІЛ&quot; м. Біла Церква, вул. Мережна, 6"/>
    <s v="Бреус Віталій Григорович 380675002415"/>
    <s v="Запчастини"/>
    <n v="0.5"/>
    <n v="1"/>
    <n v="5000"/>
    <n v="131.94999999999999"/>
    <x v="3"/>
    <x v="3"/>
  </r>
  <r>
    <s v="20451272703326"/>
    <x v="6"/>
    <s v="Біла Церква - Запоріжжя"/>
    <s v="ТОВ &quot;ІНДЕПТ СТІЛ&quot; м. Біла Церква, вул. Мережна, 6"/>
    <s v="Бутенко Матвій Анатолійович 380991500180"/>
    <s v="Приватна особа м. Запоріжжя, Відділення №4 (до 30 кг на одне місце), просп. Соборний, 141"/>
    <s v="Чешко Сергій 380996672253"/>
    <s v="Коробка"/>
    <n v="3.54"/>
    <n v="1"/>
    <n v="200"/>
    <n v="145"/>
    <x v="4"/>
    <x v="4"/>
  </r>
  <r>
    <s v="20451278839748"/>
    <x v="5"/>
    <s v="Київ - Біла Церква"/>
    <s v="ТОВ &quot;УКРПЛАЗМА&quot; м. Київ, Відділення №160 (до 30 кг на одне місце): просп. Володимира Івасюка, 56Б"/>
    <s v="Симоненко Ольга Вікторівна 380663353102"/>
    <s v="ТОВ &quot;ІНДЕПТ СТІЛ&quot; м. Біла Церква, вул. Мережна, 6"/>
    <s v="Бреус Віталій Григорович 380675002415"/>
    <s v="Запчастини до ВПТ"/>
    <n v="10"/>
    <n v="1"/>
    <n v="25000"/>
    <n v="259.85000000000002"/>
    <x v="2"/>
    <x v="3"/>
  </r>
  <r>
    <s v="20451277742653"/>
    <x v="3"/>
    <s v="Біла Церква - Варва"/>
    <s v="ТОВ &quot;ІНДЕПТ СТІЛ&quot; м. Біла Церква, вул. Мережна, 6"/>
    <s v="Бутенко Матвій Анатолійович 380991500180"/>
    <s v="Приватна особа смт Варва, Відділення №1: вул. Миру, 10/3"/>
    <s v="Дехтяр Влад 380981126988"/>
    <s v="Коробка"/>
    <n v="30"/>
    <n v="1"/>
    <n v="200"/>
    <n v="204.6"/>
    <x v="4"/>
    <x v="4"/>
  </r>
  <r>
    <s v="20451278501820"/>
    <x v="5"/>
    <s v="Київ - Біла Церква"/>
    <s v="ПП &quot;ТУЛ ТЕХНОЛОДЖИ&quot; м. Київ, просп. Курбаса Леся (50-річчя Жовтня), 2б"/>
    <s v="Бульба Віктор Михайлович 380966895133"/>
    <s v="ТОВ &quot;ІНДЕПТ СТІЛ&quot; м. Біла Церква, вул. Мережна, 6"/>
    <s v="Бреус Віталій Григорович 380675002415"/>
    <s v="Запчастини"/>
    <n v="25"/>
    <n v="4"/>
    <n v="13000"/>
    <n v="539.29999999999995"/>
    <x v="2"/>
    <x v="3"/>
  </r>
  <r>
    <s v="59001481879717"/>
    <x v="2"/>
    <s v="Біла Церква - Запоріжжя"/>
    <s v="ТОВ &quot;ІНДЕПТ СТІЛ&quot; м. Біла Церква, вул. Мережна, 6"/>
    <s v="Бутенко Матвій Анатолійович 380991500180"/>
    <s v="Приватна особа м. Запоріжжя, Відділення №3, вул. Айвазовського, 9"/>
    <s v="Чешко Сергій Анатолійович 380996672253"/>
    <s v="Інше"/>
    <n v="40"/>
    <n v="1"/>
    <n v="2000"/>
    <n v="456.4"/>
    <x v="4"/>
    <x v="4"/>
  </r>
  <r>
    <s v="59001480816269"/>
    <x v="7"/>
    <s v="Дніпро - Київ"/>
    <s v="Приватна особа м. Дніпро, Відділення №60 (до 30 кг на одне місце ): вул. Ламана, 2"/>
    <s v="Позднякова Інна Едуардівна 380504216109"/>
    <s v="ТОВ &quot;ІНДЕПТ СТІЛ&quot; м. Київ, Відділення №240 (до 30 кг), вул. Преображенська, 8б"/>
    <s v="Дяченко Анна Володимирівна 380953034738"/>
    <s v="Документи"/>
    <n v="1"/>
    <n v="1"/>
    <n v="500"/>
    <n v="65"/>
    <x v="0"/>
    <x v="1"/>
  </r>
  <r>
    <s v="59001483405536"/>
    <x v="3"/>
    <s v="Дніпро - Київ"/>
    <s v="Приватна особа м. Дніпро, Відділення №97 (до 30 кг): просп. Науки, 112Б, прим. 4-2"/>
    <s v="Тарасенко Вікторія Олександрівна 380979270399"/>
    <s v="ТОВ &quot;ІНДЕПТ СТІЛ&quot; м. Київ, Відділення №240 (до 30 кг), вул. Преображенська, 8б"/>
    <s v="Дяченко Анна Володимирівна 380953034738"/>
    <s v="Документи"/>
    <n v="1"/>
    <n v="1"/>
    <n v="500"/>
    <n v="60.45"/>
    <x v="0"/>
    <x v="1"/>
  </r>
  <r>
    <s v="59001469389823"/>
    <x v="8"/>
    <s v="Біла Церква - Рівне"/>
    <s v="ТОВ &quot;ІНДЕПТ СТІЛ&quot; м. Біла Церква, вул. Мережна, 6"/>
    <s v="Бреус Віталій Григорович 380675002415"/>
    <s v="Приватна особа м. Рівне, Відділення №5 (до 30 кг на одне місце ): просп. Миру, 12"/>
    <s v="Матвєєва Тетяна Ярославівна 380967800529"/>
    <s v="Документи"/>
    <n v="1"/>
    <n v="1"/>
    <n v="200"/>
    <n v="60"/>
    <x v="3"/>
    <x v="5"/>
  </r>
  <r>
    <s v="20451273392571"/>
    <x v="9"/>
    <s v="Кременчук - Біла Церква"/>
    <s v="ПП &quot;ТУЛ ТЕХНОЛОДЖИ&quot; м. Кременчук, Відділення №7, вул. Пугачова Вадима, 10"/>
    <s v="Бульба Віктор Михайлович 380966895133"/>
    <s v="ТОВ &quot;ІНДЕПТ СТІЛ&quot; м. Біла Церква, вул. Мережна, 6"/>
    <s v="Бреус Віталій Григорович 380675002415"/>
    <s v="Палети"/>
    <n v="500"/>
    <n v="1"/>
    <n v="10000"/>
    <n v="1620"/>
    <x v="3"/>
    <x v="3"/>
  </r>
  <r>
    <s v="20451265549607"/>
    <x v="10"/>
    <s v="Біла Церква - Баштанка"/>
    <s v="ТОВ &quot;ІНДЕПТ СТІЛ&quot; м. Біла Церква, вул. Мережна, 6"/>
    <s v="Бутенко Матвій Анатолійович 380991500180"/>
    <s v="Приватна особа м. Баштанка, Відділення №1: вул. Промислова,  13"/>
    <s v="Щербак Петро 380668171451"/>
    <s v="Банер"/>
    <n v="2.5"/>
    <n v="1"/>
    <n v="2000"/>
    <n v="505"/>
    <x v="5"/>
    <x v="6"/>
  </r>
  <r>
    <s v="20451267876490"/>
    <x v="11"/>
    <s v="Кременчук - Біла Церква"/>
    <s v="ПП &quot;ТУЛ ТЕХНОЛОДЖИ&quot; м. Кременчук, Відділення №7, вул. Пугачова Вадима, 10"/>
    <s v="Бульба Віктор Михайлович 380966895133"/>
    <s v="ТОВ &quot;ІНДЕПТ СТІЛ&quot; м. Біла Церква, вул. Мережна, 6"/>
    <s v="Бреус Віталій Григорович 380675002415"/>
    <s v="Палети"/>
    <n v="500"/>
    <n v="1"/>
    <n v="10000"/>
    <n v="1620"/>
    <x v="3"/>
    <x v="3"/>
  </r>
  <r>
    <s v="59001477185769"/>
    <x v="12"/>
    <s v="Біла Церква - Біла Церква"/>
    <s v="МАКАРОВ АНДРІЙ МИКОЛАЙОВИЧ ФОП м. Біла Церква, Відділення №15 (до 30 кг на одне місце): бульв.Олександрійський, 169"/>
    <s v="Макаров Андрій Миколайович 380978223738"/>
    <s v="ТОВ &quot;ІНДЕПТ СТІЛ&quot; м. Біла Церква, вул. Мережна, 6"/>
    <s v="Бреус Віталій Григорович 380675002415"/>
    <s v="Документи"/>
    <n v="0.1"/>
    <n v="1"/>
    <n v="200"/>
    <n v="100"/>
    <x v="6"/>
    <x v="5"/>
  </r>
  <r>
    <s v="59001476397799"/>
    <x v="13"/>
    <s v="Тростянець - Біла Церква"/>
    <s v="Приватна особа м. Тростянець (Сумська обл.), Відділення №1: вул. Благовіщенська, 58"/>
    <s v="Кліщов Евген Олександртвич 380953105810"/>
    <s v="ТОВ &quot;ІНДЕПТ СТІЛ&quot; м. Біла Церква, вул. Мережна, 6"/>
    <s v="Бреус Віталій Григорович 380675002415"/>
    <s v="Документи"/>
    <n v="0.1"/>
    <n v="1"/>
    <n v="200"/>
    <n v="100"/>
    <x v="3"/>
    <x v="5"/>
  </r>
  <r>
    <s v="20451271562383"/>
    <x v="12"/>
    <s v="Київ - Біла Церква"/>
    <s v="ТОВ &quot;УКРПЛАЗМА&quot; м. Київ, Відділення №160 (до 30 кг на одне місце): просп. Володимира Івасюка, 56Б"/>
    <s v="Симоненко Ольга Вікторівна 380663353102"/>
    <s v="ТОВ &quot;ІНДЕПТ СТІЛ&quot; м. Біла Церква, вул. Мережна, 6"/>
    <s v="Бреус Віталій Григорович 380675002415"/>
    <s v="Запчастини до ВПТ"/>
    <n v="5"/>
    <n v="1"/>
    <n v="20000"/>
    <n v="245"/>
    <x v="3"/>
    <x v="3"/>
  </r>
  <r>
    <s v="20400484020456"/>
    <x v="9"/>
    <s v="Київ - Біла Церква"/>
    <s v="ТОВ &quot;БРАВО-СП&quot; м. Київ, Відділення №2: вул. Богатирська, 11"/>
    <s v="Курков Олег Валерійович 380971633330"/>
    <s v="ТОВ &quot;ІНДЕПТ СТІЛ&quot; м. Біла Церква, вул. Мережна, 6"/>
    <s v="Бреус Віталій Григорович 380675002415"/>
    <s v="Спецодяг"/>
    <n v="6"/>
    <n v="1"/>
    <n v="2970"/>
    <n v="159.85"/>
    <x v="0"/>
    <x v="7"/>
  </r>
  <r>
    <s v="20451272489407"/>
    <x v="9"/>
    <s v="Київ - Біла Церква"/>
    <s v="ТОВ &quot;АГАТ ІМПЕКС&quot; м. Київ, вул. Сім’ї Стешенків (Строкача Тимофія), 1"/>
    <s v="Дробишева-Мєшкова Ольга Володимирівна 380679246012"/>
    <s v="ТОВ &quot;ІНДЕПТ СТІЛ&quot; м. Біла Церква, вул. Мережна, 6"/>
    <s v="Бреус Віталій В 380675002415"/>
    <s v="Канцелярські товари"/>
    <n v="62"/>
    <n v="6"/>
    <n v="4000"/>
    <n v="1140"/>
    <x v="0"/>
    <x v="8"/>
  </r>
  <r>
    <s v="20451273333761"/>
    <x v="14"/>
    <s v="Віта-Поштова - Біла Церква"/>
    <s v="ПП &quot;ТУЛ ТЕХНОЛОДЖИ&quot; с. Віта-Поштова, Відділення №1: вул. Звенигородська, 23"/>
    <s v="Бульба Віктор Михайлович 380966895133"/>
    <s v="ТОВ &quot;ІНДЕПТ СТІЛ&quot; м. Біла Церква, вул. Мережна, 6"/>
    <s v="Довірена Особа Особа 380675002415"/>
    <s v="Палети"/>
    <n v="500"/>
    <n v="1"/>
    <n v="20000"/>
    <n v="1100"/>
    <x v="3"/>
    <x v="5"/>
  </r>
  <r>
    <s v="59001465700957"/>
    <x v="15"/>
    <s v="Київ - Біла Церква"/>
    <s v="ТОВ &quot;ІНДАСТРІАЛБУД&quot; м. Київ, Відділення №240 (до 30 кг), вул. Преображенська, 8б"/>
    <s v="Шкурат Ігор Миколаєвич 380674118312"/>
    <s v="ТОВ &quot;ІНДЕПТ СТІЛ&quot; м. Біла Церква, вул. Мережна, 6"/>
    <s v="Бреус Віталій Григорович 380675002415"/>
    <s v="Ноутбук(и)"/>
    <n v="4"/>
    <n v="1"/>
    <n v="10000"/>
    <n v="240"/>
    <x v="0"/>
    <x v="9"/>
  </r>
  <r>
    <s v="20451264251853"/>
    <x v="16"/>
    <s v="Кременчук - Біла Церква"/>
    <s v="ПП &quot;ТУЛ ТЕХНОЛОДЖИ&quot; м. Кременчук, Відділення №7, вул. Пугачова Вадима, 10"/>
    <s v="Бульба Віктор Михайлович 380966895133"/>
    <s v="ТОВ &quot;ІНДЕПТ СТІЛ&quot; м. Біла Церква, вул. Мережна, 6"/>
    <s v="Бреус Віталій Григорович 380675002415"/>
    <s v="Палети"/>
    <n v="500"/>
    <n v="1"/>
    <n v="10000"/>
    <n v="1620"/>
    <x v="3"/>
    <x v="3"/>
  </r>
  <r>
    <s v="59001466713988"/>
    <x v="17"/>
    <s v="Гатне - Біла Церква"/>
    <s v="ТОВ &quot;АГРОСЕРВІС-ГРУП&quot; с. Гатне, Відділення №2: вул. Київська, 2-В, корп. 2"/>
    <s v="Буряк Олександр Сергійович 380979997941"/>
    <s v="ТОВ &quot;ІНДЕПТ СТІЛ&quot; м. Біла Церква, вул. Мережна, 6"/>
    <s v="Бреус Віталій Григорович 380675002415"/>
    <s v="Запчастини"/>
    <n v="40"/>
    <n v="1"/>
    <n v="30000"/>
    <n v="850"/>
    <x v="0"/>
    <x v="0"/>
  </r>
  <r>
    <s v="59001471898257"/>
    <x v="18"/>
    <s v="Київ - Київ"/>
    <s v="Приватна особа м. Київ, Відділення №354 (до 30 кг на одне місце): вул. Івана Дзюби, 17о"/>
    <s v="Савенчук Олена Юріївна 380932966033"/>
    <s v="ТОВ &quot;ІНДЕПТ СТІЛ&quot; м. Київ, Відділення №240 (до 30 кг), вул. Преображенська, 8б"/>
    <s v="Дяченко Анна Володимирівна 380953034738"/>
    <s v="Документи"/>
    <n v="1"/>
    <n v="1"/>
    <n v="200"/>
    <n v="65"/>
    <x v="0"/>
    <x v="10"/>
  </r>
  <r>
    <s v="59001466230020"/>
    <x v="17"/>
    <s v="Біла Церква - Біла Церква"/>
    <s v="Приватна особа м. Біла Церква, Відділення №15 (до 30 кг на одне місце): бульв.Олександрійський, 169"/>
    <s v="Макарова Анна Борисівна 380965281534"/>
    <s v="ТОВ &quot;ІНДЕПТ СТІЛ&quot; м. Біла Церква, вул. Мережна, 6"/>
    <s v="Бреус Віталій Григорович 380675002415"/>
    <s v="Документи"/>
    <n v="1"/>
    <n v="1"/>
    <n v="100"/>
    <n v="100"/>
    <x v="0"/>
    <x v="10"/>
  </r>
  <r>
    <s v="59001465867241"/>
    <x v="15"/>
    <s v="Рівне - Біла Церква"/>
    <s v="Приватна особа м. Рівне, Відділення №22: вул. Пасхальна, 28"/>
    <s v="Савицький Паша Дмитрович 380976619659"/>
    <s v="ТОВ &quot;ІНДЕПТ СТІЛ&quot; м. Біла Церква, вул. Мережна, 6"/>
    <s v="Бреус Віталій Григорович 380675002415"/>
    <s v="Документи"/>
    <n v="1"/>
    <n v="1"/>
    <n v="100"/>
    <n v="100"/>
    <x v="3"/>
    <x v="10"/>
  </r>
  <r>
    <s v="59001467867918"/>
    <x v="19"/>
    <s v="Кам'янське - Біла Церква"/>
    <s v="ПП &quot;ПРОММОНТАЖ-СЕРВІС&quot; м. Кам'янське (Дніпропетровська обл), Відділення №10 ( до 30 кг на одне місце), просп. Відродження,"/>
    <s v="Гладких Артем Олександрович 380970447020"/>
    <s v="ТОВ &quot;ІНДЕПТ СТІЛ&quot; м. Біла Церква, вул. Мережна, 6"/>
    <s v="Бреус Віталій Григорович 380675002415"/>
    <s v="Документи"/>
    <n v="1"/>
    <n v="1"/>
    <n v="500"/>
    <n v="100"/>
    <x v="3"/>
    <x v="10"/>
  </r>
  <r>
    <s v="59001471692886"/>
    <x v="18"/>
    <s v="Охтирка - Біла Церква"/>
    <s v="Приватна особа м. Охтирка, Відділення №3 (до 30 кг на одне місце): вул. Армійська (ран. Червоноармійська), 89б"/>
    <s v="Марченко Адександра Сергеевна 380664746602"/>
    <s v="ТОВ &quot;ІНДЕПТ СТІЛ&quot; м. Біла Церква, вул. Мережна, 6"/>
    <s v="Бреус Віталій Григорович 380675002415"/>
    <s v="Документи"/>
    <n v="1"/>
    <n v="1"/>
    <n v="500"/>
    <n v="100"/>
    <x v="3"/>
    <x v="10"/>
  </r>
  <r>
    <s v="20451262285408"/>
    <x v="19"/>
    <s v="Біла Церква - Київ"/>
    <s v="ТОВ &quot;ІНДЕПТ СТІЛ&quot; м. Біла Церква, вул. Мережна, 6"/>
    <s v="Дяченко Анна Володимирівна 380953034738"/>
    <s v="ТОВ &quot;ІНДЕПТ СТІЛ&quot; м. Київ, Відділення №240 (до 30 кг), вул. Преображенська, 8б"/>
    <s v="Дяченко Анна 380953034738"/>
    <s v="Документи"/>
    <n v="0.5"/>
    <n v="1"/>
    <n v="200"/>
    <n v="100"/>
    <x v="0"/>
    <x v="10"/>
  </r>
  <r>
    <s v="59001469564007"/>
    <x v="16"/>
    <s v="Рівне - Біла Церква"/>
    <s v="Приватна особа м. Рівне, Відділення №6 (до 30 кг на одне місце): вул. Київська, 44 (біля кафе Мономах)"/>
    <s v="Савицький Паша Дмитрович 380976619659"/>
    <s v="ТОВ &quot;ІНДЕПТ СТІЛ&quot; м. Біла Церква, вул. Мережна, 6"/>
    <s v="Бреус Віталій Григорович 380675002415"/>
    <s v="Документи"/>
    <n v="1"/>
    <n v="1"/>
    <n v="200"/>
    <n v="100"/>
    <x v="3"/>
    <x v="10"/>
  </r>
  <r>
    <s v="59001466053087"/>
    <x v="17"/>
    <s v="Іванків - Біла Церква"/>
    <s v="Приватна особа смт Іванків (Вишгородський р-н), Відділення №1: вул. Івана Проскури, 73"/>
    <s v="Лозенко Марія Василівна 380674775570"/>
    <s v="ТОВ &quot;ІНДЕПТ СТІЛ&quot; м. Біла Церква, вул. Мережна, 6"/>
    <s v="Бреус Віталій Григорович 380675002415"/>
    <s v="Документи"/>
    <n v="0.1"/>
    <n v="1"/>
    <n v="100"/>
    <n v="100"/>
    <x v="3"/>
    <x v="10"/>
  </r>
  <r>
    <s v="59001467542463"/>
    <x v="20"/>
    <s v="Київ - Біла Церква"/>
    <s v="Приватна особа м. Київ, Відділення №400 (до 30 кг): бульв. Лесі Українки, 10"/>
    <s v="Кечко Ірина Анатоліївна 380502658449"/>
    <s v="ТОВ &quot;ІНДЕПТ СТІЛ&quot; м. Біла Церква, вул. Мережна, 6"/>
    <s v="Бреус Віталій Григорович 380675002415"/>
    <s v="Документи"/>
    <n v="1"/>
    <n v="1"/>
    <n v="200"/>
    <n v="100"/>
    <x v="3"/>
    <x v="10"/>
  </r>
  <r>
    <s v="59001468146762"/>
    <x v="19"/>
    <s v="Київ - Біла Церква"/>
    <s v="ТОВ &quot;УКРПЛАЗМА&quot; м. Київ, Відділення №170 (до 30 кг на одне місце): просп. Володимира Івасюка, 39В"/>
    <s v="Терещенко Євгеній Олександрович 380935536085"/>
    <s v="ТОВ &quot;ІНДЕПТ СТІЛ&quot; м. Біла Церква, вул. Мережна, 6"/>
    <s v="Бреус Віталій Григорович 380675002415"/>
    <s v="інші запчастини"/>
    <n v="2"/>
    <n v="1"/>
    <n v="20000"/>
    <n v="215"/>
    <x v="3"/>
    <x v="3"/>
  </r>
  <r>
    <s v="20451264233919"/>
    <x v="16"/>
    <s v="Київ - Біла Церква"/>
    <s v="ПП &quot;ТУЛ ТЕХНОЛОДЖИ&quot; м. Київ, Відділення №287 (до 30 кг): вул. Гната Юри, 7 (літера А)"/>
    <s v="Бульба Віктор Михайлович 380966895133"/>
    <s v="ТОВ &quot;ІНДЕПТ СТІЛ&quot; м. Біла Церква, вул. Мережна, 6"/>
    <s v="Бреус Віталій Григорович 380675002415"/>
    <s v="Запчастини"/>
    <n v="30"/>
    <n v="2"/>
    <n v="2000"/>
    <n v="365"/>
    <x v="3"/>
    <x v="3"/>
  </r>
  <r>
    <s v="20451265563382"/>
    <x v="10"/>
    <s v="Біла Церква - Кринички"/>
    <s v="ТОВ &quot;ІНДЕПТ СТІЛ&quot; м. Біла Церква, вул. Мережна, 6"/>
    <s v="Бутенко Матвій Анатолійович 380991500180"/>
    <s v="Приватна особа смт Кринички, Відділення №1: вул. Грушевського, 39а"/>
    <s v="Щербак Петро Іванович 380668171451"/>
    <s v="Диван"/>
    <n v="112"/>
    <n v="1"/>
    <n v="2000"/>
    <n v="1482"/>
    <x v="7"/>
    <x v="4"/>
  </r>
  <r>
    <s v="20451265587727"/>
    <x v="10"/>
    <s v="Біла Церква - Київ"/>
    <s v="ТОВ &quot;ІНДЕПТ СТІЛ&quot; м. Біла Церква, вул. Мережна, 6"/>
    <s v="Бутенко Матвій Анатолійович 380991500180"/>
    <s v="ТОВ &quot;А-ТРИМИКС ГРУП&quot; м. Київ, Відділення №148: вул. Балабуєва Петра Авіаконструктора (ран. вул.Екскаваторна), 37А"/>
    <s v="Представник Представник Представникович 380674869639"/>
    <s v="Сварочні апарати"/>
    <n v="105"/>
    <n v="2"/>
    <n v="5000"/>
    <n v="1113"/>
    <x v="0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665EEC-354E-4592-9AF7-FC4B9CB392A3}" name="Сводная таблица1" cacheId="1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B28" firstHeaderRow="1" firstDataRow="1" firstDataCol="1" rowPageCount="1" colPageCount="1"/>
  <pivotFields count="14">
    <pivotField showAll="0"/>
    <pivotField axis="axisPage" multipleItemSelectionAllowed="1" showAll="0">
      <items count="22">
        <item x="17"/>
        <item x="20"/>
        <item x="19"/>
        <item x="8"/>
        <item x="16"/>
        <item x="10"/>
        <item x="18"/>
        <item x="11"/>
        <item x="13"/>
        <item x="12"/>
        <item x="6"/>
        <item x="9"/>
        <item x="14"/>
        <item x="7"/>
        <item x="2"/>
        <item x="1"/>
        <item x="3"/>
        <item x="5"/>
        <item x="0"/>
        <item x="4"/>
        <item h="1" x="15"/>
        <item t="default"/>
      </items>
    </pivotField>
    <pivotField showAll="0"/>
    <pivotField showAll="0"/>
    <pivotField showAll="0"/>
    <pivotField showAll="0"/>
    <pivotField showAll="0"/>
    <pivotField showAll="0"/>
    <pivotField numFmtId="2" showAll="0"/>
    <pivotField numFmtId="1" showAll="0"/>
    <pivotField numFmtId="2" showAll="0"/>
    <pivotField dataField="1" numFmtId="2" showAll="0"/>
    <pivotField axis="axisRow" showAll="0">
      <items count="11">
        <item x="2"/>
        <item m="1" x="9"/>
        <item x="1"/>
        <item x="5"/>
        <item x="7"/>
        <item x="6"/>
        <item x="3"/>
        <item m="1" x="8"/>
        <item x="4"/>
        <item x="0"/>
        <item t="default"/>
      </items>
    </pivotField>
    <pivotField axis="axisRow" showAll="0">
      <items count="13">
        <item x="4"/>
        <item x="10"/>
        <item x="0"/>
        <item x="8"/>
        <item x="1"/>
        <item x="5"/>
        <item x="6"/>
        <item x="3"/>
        <item x="7"/>
        <item x="11"/>
        <item x="2"/>
        <item x="9"/>
        <item t="default"/>
      </items>
    </pivotField>
  </pivotFields>
  <rowFields count="2">
    <field x="12"/>
    <field x="13"/>
  </rowFields>
  <rowItems count="25">
    <i>
      <x/>
    </i>
    <i r="1">
      <x v="7"/>
    </i>
    <i>
      <x v="2"/>
    </i>
    <i r="1">
      <x v="4"/>
    </i>
    <i>
      <x v="3"/>
    </i>
    <i r="1">
      <x v="6"/>
    </i>
    <i>
      <x v="4"/>
    </i>
    <i r="1">
      <x/>
    </i>
    <i>
      <x v="5"/>
    </i>
    <i r="1">
      <x v="5"/>
    </i>
    <i>
      <x v="6"/>
    </i>
    <i r="1">
      <x v="1"/>
    </i>
    <i r="1">
      <x v="5"/>
    </i>
    <i r="1">
      <x v="7"/>
    </i>
    <i>
      <x v="8"/>
    </i>
    <i r="1">
      <x/>
    </i>
    <i>
      <x v="9"/>
    </i>
    <i r="1">
      <x v="1"/>
    </i>
    <i r="1">
      <x v="2"/>
    </i>
    <i r="1">
      <x v="3"/>
    </i>
    <i r="1">
      <x v="4"/>
    </i>
    <i r="1">
      <x v="8"/>
    </i>
    <i r="1">
      <x v="9"/>
    </i>
    <i r="1">
      <x v="10"/>
    </i>
    <i t="grand">
      <x/>
    </i>
  </rowItems>
  <colItems count="1">
    <i/>
  </colItems>
  <pageFields count="1">
    <pageField fld="1" hier="-1"/>
  </pageFields>
  <dataFields count="1">
    <dataField name="Сумма по полю Сума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7728DA-0D43-43EF-9228-329D92E18306}" name="Таблица1" displayName="Таблица1" ref="A1:N44" totalsRowShown="0" headerRowDxfId="18" dataDxfId="16" headerRowBorderDxfId="17" tableBorderDxfId="15" totalsRowBorderDxfId="14">
  <autoFilter ref="A1:N44" xr:uid="{9AEB191F-81B0-4504-9B3B-07234E902BC3}"/>
  <tableColumns count="14">
    <tableColumn id="1" xr3:uid="{5BB34D1D-E00A-4E52-9015-B1F48FF0BD3A}" name="Документ ЕН" dataDxfId="13"/>
    <tableColumn id="2" xr3:uid="{21E4686B-0711-476A-8C21-6046F329ABA0}" name="Дата ЕН" dataDxfId="12"/>
    <tableColumn id="3" xr3:uid="{FA033892-4F9E-41CE-A960-253CBA4BDDE2}" name="Маршрут" dataDxfId="11"/>
    <tableColumn id="4" xr3:uid="{4135162B-2EAE-4090-9038-BCCA286689BF}" name="Відправник" dataDxfId="10"/>
    <tableColumn id="5" xr3:uid="{B457E5E3-6687-4A67-854C-1B12A3688478}" name="Контакт відправника" dataDxfId="9"/>
    <tableColumn id="6" xr3:uid="{FA843C38-002A-4DBE-A8FE-F4EE244ADAB4}" name="Отримувач" dataDxfId="8"/>
    <tableColumn id="7" xr3:uid="{2193CE0B-7A52-418C-B90F-741C3F186DEC}" name="Контакт отримувача" dataDxfId="7"/>
    <tableColumn id="8" xr3:uid="{46184724-7121-49DB-900E-413046141133}" name="Опис вантажу" dataDxfId="6"/>
    <tableColumn id="9" xr3:uid="{3716365F-BFDD-4FAF-A9CD-4EEDEBF479A7}" name="Вага" dataDxfId="5"/>
    <tableColumn id="10" xr3:uid="{B2E87182-EEE6-4C17-B7CD-88808179048C}" name="Кількість місць" dataDxfId="4"/>
    <tableColumn id="11" xr3:uid="{B7A71669-B2EA-40AF-9A36-867FA5B27D6E}" name="Вартість вантажу" dataDxfId="3"/>
    <tableColumn id="12" xr3:uid="{9D57A652-C596-4B09-B0B4-49BADEA6E8E4}" name="Сума" dataDxfId="2"/>
    <tableColumn id="13" xr3:uid="{D393F9DB-455A-4340-94E2-D2E06B910E16}" name="Столбец1" dataDxfId="1"/>
    <tableColumn id="14" xr3:uid="{19A85ED5-C7C7-42AE-B951-A6E2D0F94DFC}" name="Столбец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1DFB6-4B1A-4E31-9E48-872CA6426DCC}">
  <dimension ref="A1:B28"/>
  <sheetViews>
    <sheetView tabSelected="1" workbookViewId="0">
      <selection activeCell="E13" sqref="E13"/>
    </sheetView>
  </sheetViews>
  <sheetFormatPr defaultRowHeight="10.199999999999999" x14ac:dyDescent="0.2"/>
  <cols>
    <col min="1" max="1" width="23.42578125" bestFit="1" customWidth="1"/>
    <col min="2" max="2" width="23.5703125" bestFit="1" customWidth="1"/>
  </cols>
  <sheetData>
    <row r="1" spans="1:2" x14ac:dyDescent="0.2">
      <c r="A1" s="34" t="s">
        <v>1</v>
      </c>
      <c r="B1" s="1" t="s">
        <v>196</v>
      </c>
    </row>
    <row r="3" spans="1:2" x14ac:dyDescent="0.2">
      <c r="A3" s="34" t="s">
        <v>193</v>
      </c>
      <c r="B3" t="s">
        <v>195</v>
      </c>
    </row>
    <row r="4" spans="1:2" x14ac:dyDescent="0.2">
      <c r="A4" s="4" t="s">
        <v>86</v>
      </c>
      <c r="B4" s="1">
        <v>981.09999999999991</v>
      </c>
    </row>
    <row r="5" spans="1:2" x14ac:dyDescent="0.2">
      <c r="A5" s="35" t="s">
        <v>87</v>
      </c>
      <c r="B5" s="1">
        <v>981.09999999999991</v>
      </c>
    </row>
    <row r="6" spans="1:2" x14ac:dyDescent="0.2">
      <c r="A6" s="4" t="s">
        <v>85</v>
      </c>
      <c r="B6" s="1">
        <v>93</v>
      </c>
    </row>
    <row r="7" spans="1:2" x14ac:dyDescent="0.2">
      <c r="A7" s="35" t="s">
        <v>84</v>
      </c>
      <c r="B7" s="1">
        <v>93</v>
      </c>
    </row>
    <row r="8" spans="1:2" x14ac:dyDescent="0.2">
      <c r="A8" s="4" t="s">
        <v>108</v>
      </c>
      <c r="B8" s="1">
        <v>505</v>
      </c>
    </row>
    <row r="9" spans="1:2" x14ac:dyDescent="0.2">
      <c r="A9" s="35" t="s">
        <v>109</v>
      </c>
      <c r="B9" s="1">
        <v>505</v>
      </c>
    </row>
    <row r="10" spans="1:2" x14ac:dyDescent="0.2">
      <c r="A10" s="4" t="s">
        <v>169</v>
      </c>
      <c r="B10" s="1">
        <v>1482</v>
      </c>
    </row>
    <row r="11" spans="1:2" x14ac:dyDescent="0.2">
      <c r="A11" s="35" t="s">
        <v>90</v>
      </c>
      <c r="B11" s="1">
        <v>1482</v>
      </c>
    </row>
    <row r="12" spans="1:2" x14ac:dyDescent="0.2">
      <c r="A12" s="4" t="s">
        <v>116</v>
      </c>
      <c r="B12" s="1">
        <v>100</v>
      </c>
    </row>
    <row r="13" spans="1:2" x14ac:dyDescent="0.2">
      <c r="A13" s="35" t="s">
        <v>96</v>
      </c>
      <c r="B13" s="1">
        <v>100</v>
      </c>
    </row>
    <row r="14" spans="1:2" x14ac:dyDescent="0.2">
      <c r="A14" s="4" t="s">
        <v>140</v>
      </c>
      <c r="B14" s="1">
        <v>7576.95</v>
      </c>
    </row>
    <row r="15" spans="1:2" x14ac:dyDescent="0.2">
      <c r="A15" s="35" t="s">
        <v>25</v>
      </c>
      <c r="B15" s="1">
        <v>500</v>
      </c>
    </row>
    <row r="16" spans="1:2" x14ac:dyDescent="0.2">
      <c r="A16" s="35" t="s">
        <v>96</v>
      </c>
      <c r="B16" s="1">
        <v>1260</v>
      </c>
    </row>
    <row r="17" spans="1:2" x14ac:dyDescent="0.2">
      <c r="A17" s="35" t="s">
        <v>87</v>
      </c>
      <c r="B17" s="1">
        <v>5816.95</v>
      </c>
    </row>
    <row r="18" spans="1:2" x14ac:dyDescent="0.2">
      <c r="A18" s="4" t="s">
        <v>89</v>
      </c>
      <c r="B18" s="1">
        <v>806</v>
      </c>
    </row>
    <row r="19" spans="1:2" x14ac:dyDescent="0.2">
      <c r="A19" s="35" t="s">
        <v>90</v>
      </c>
      <c r="B19" s="1">
        <v>806</v>
      </c>
    </row>
    <row r="20" spans="1:2" x14ac:dyDescent="0.2">
      <c r="A20" s="4" t="s">
        <v>83</v>
      </c>
      <c r="B20" s="1">
        <v>4427.8999999999996</v>
      </c>
    </row>
    <row r="21" spans="1:2" x14ac:dyDescent="0.2">
      <c r="A21" s="35" t="s">
        <v>25</v>
      </c>
      <c r="B21" s="1">
        <v>265</v>
      </c>
    </row>
    <row r="22" spans="1:2" x14ac:dyDescent="0.2">
      <c r="A22" s="35" t="s">
        <v>54</v>
      </c>
      <c r="B22" s="1">
        <v>1014.85</v>
      </c>
    </row>
    <row r="23" spans="1:2" x14ac:dyDescent="0.2">
      <c r="A23" s="35" t="s">
        <v>129</v>
      </c>
      <c r="B23" s="1">
        <v>1140</v>
      </c>
    </row>
    <row r="24" spans="1:2" x14ac:dyDescent="0.2">
      <c r="A24" s="35" t="s">
        <v>84</v>
      </c>
      <c r="B24" s="1">
        <v>590.45000000000005</v>
      </c>
    </row>
    <row r="25" spans="1:2" x14ac:dyDescent="0.2">
      <c r="A25" s="35" t="s">
        <v>124</v>
      </c>
      <c r="B25" s="1">
        <v>159.85</v>
      </c>
    </row>
    <row r="26" spans="1:2" x14ac:dyDescent="0.2">
      <c r="A26" s="35" t="s">
        <v>174</v>
      </c>
      <c r="B26" s="1">
        <v>1113</v>
      </c>
    </row>
    <row r="27" spans="1:2" x14ac:dyDescent="0.2">
      <c r="A27" s="35" t="s">
        <v>47</v>
      </c>
      <c r="B27" s="1">
        <v>144.75</v>
      </c>
    </row>
    <row r="28" spans="1:2" x14ac:dyDescent="0.2">
      <c r="A28" s="4" t="s">
        <v>194</v>
      </c>
      <c r="B28" s="1">
        <v>15971.95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9A8C5-25AD-4C9B-B00F-F8A8C0CD0B43}">
  <dimension ref="A1:Q44"/>
  <sheetViews>
    <sheetView topLeftCell="C1" zoomScale="130" zoomScaleNormal="130" workbookViewId="0">
      <selection activeCell="M18" sqref="M18"/>
    </sheetView>
  </sheetViews>
  <sheetFormatPr defaultRowHeight="15.75" customHeight="1" x14ac:dyDescent="0.2"/>
  <cols>
    <col min="1" max="1" width="7.7109375" customWidth="1"/>
    <col min="2" max="2" width="10.140625" customWidth="1"/>
    <col min="3" max="3" width="10.85546875" customWidth="1"/>
    <col min="4" max="4" width="13.28515625" customWidth="1"/>
    <col min="5" max="5" width="21.7109375" customWidth="1"/>
    <col min="6" max="6" width="13" customWidth="1"/>
    <col min="7" max="7" width="21.140625" customWidth="1"/>
    <col min="8" max="8" width="15.42578125" customWidth="1"/>
    <col min="10" max="10" width="16.7109375" customWidth="1"/>
    <col min="11" max="11" width="18.42578125" customWidth="1"/>
    <col min="13" max="13" width="22.42578125" customWidth="1"/>
    <col min="14" max="14" width="11.7109375" customWidth="1"/>
  </cols>
  <sheetData>
    <row r="1" spans="1:17" ht="15.75" customHeight="1" x14ac:dyDescent="0.2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6" t="s">
        <v>191</v>
      </c>
      <c r="N1" s="27" t="s">
        <v>192</v>
      </c>
    </row>
    <row r="2" spans="1:17" ht="15.75" customHeight="1" x14ac:dyDescent="0.2">
      <c r="A2" s="15" t="s">
        <v>12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7">
        <v>3</v>
      </c>
      <c r="J2" s="8">
        <v>1</v>
      </c>
      <c r="K2" s="7">
        <v>100</v>
      </c>
      <c r="L2" s="7">
        <v>164.85</v>
      </c>
      <c r="M2" s="9" t="s">
        <v>83</v>
      </c>
      <c r="N2" s="18" t="s">
        <v>54</v>
      </c>
    </row>
    <row r="3" spans="1:17" ht="15.75" customHeight="1" x14ac:dyDescent="0.2">
      <c r="A3" s="15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17</v>
      </c>
      <c r="G3" s="6" t="s">
        <v>18</v>
      </c>
      <c r="H3" s="6" t="s">
        <v>25</v>
      </c>
      <c r="I3" s="7">
        <v>1</v>
      </c>
      <c r="J3" s="8">
        <v>1</v>
      </c>
      <c r="K3" s="7">
        <v>200</v>
      </c>
      <c r="L3" s="7">
        <v>93</v>
      </c>
      <c r="M3" s="5" t="s">
        <v>83</v>
      </c>
      <c r="N3" s="17" t="s">
        <v>84</v>
      </c>
      <c r="P3" s="1" t="s">
        <v>83</v>
      </c>
      <c r="Q3">
        <f>4667.9-240</f>
        <v>4427.8999999999996</v>
      </c>
    </row>
    <row r="4" spans="1:17" ht="15.75" customHeight="1" x14ac:dyDescent="0.2">
      <c r="A4" s="15" t="s">
        <v>26</v>
      </c>
      <c r="B4" s="6" t="s">
        <v>27</v>
      </c>
      <c r="C4" s="6" t="s">
        <v>28</v>
      </c>
      <c r="D4" s="6" t="s">
        <v>17</v>
      </c>
      <c r="E4" s="6" t="s">
        <v>29</v>
      </c>
      <c r="F4" s="6" t="s">
        <v>30</v>
      </c>
      <c r="G4" s="6" t="s">
        <v>31</v>
      </c>
      <c r="H4" s="6" t="s">
        <v>25</v>
      </c>
      <c r="I4" s="7">
        <v>0.5</v>
      </c>
      <c r="J4" s="8">
        <v>1</v>
      </c>
      <c r="K4" s="7">
        <v>200</v>
      </c>
      <c r="L4" s="7">
        <v>93</v>
      </c>
      <c r="M4" s="5" t="s">
        <v>83</v>
      </c>
      <c r="N4" s="17" t="s">
        <v>84</v>
      </c>
      <c r="P4" s="1" t="s">
        <v>85</v>
      </c>
      <c r="Q4">
        <v>93</v>
      </c>
    </row>
    <row r="5" spans="1:17" ht="15.75" customHeight="1" x14ac:dyDescent="0.2">
      <c r="A5" s="15" t="s">
        <v>32</v>
      </c>
      <c r="B5" s="6" t="s">
        <v>33</v>
      </c>
      <c r="C5" s="6" t="s">
        <v>34</v>
      </c>
      <c r="D5" s="6" t="s">
        <v>35</v>
      </c>
      <c r="E5" s="6" t="s">
        <v>36</v>
      </c>
      <c r="F5" s="6" t="s">
        <v>17</v>
      </c>
      <c r="G5" s="6" t="s">
        <v>18</v>
      </c>
      <c r="H5" s="6" t="s">
        <v>25</v>
      </c>
      <c r="I5" s="7">
        <v>0.5</v>
      </c>
      <c r="J5" s="8">
        <v>1</v>
      </c>
      <c r="K5" s="7">
        <v>200</v>
      </c>
      <c r="L5" s="7">
        <v>93</v>
      </c>
      <c r="M5" s="5" t="s">
        <v>85</v>
      </c>
      <c r="N5" s="17" t="s">
        <v>84</v>
      </c>
      <c r="P5" s="1" t="s">
        <v>86</v>
      </c>
      <c r="Q5">
        <v>981.1</v>
      </c>
    </row>
    <row r="6" spans="1:17" ht="15.75" customHeight="1" x14ac:dyDescent="0.2">
      <c r="A6" s="15" t="s">
        <v>37</v>
      </c>
      <c r="B6" s="6" t="s">
        <v>33</v>
      </c>
      <c r="C6" s="6" t="s">
        <v>34</v>
      </c>
      <c r="D6" s="6" t="s">
        <v>38</v>
      </c>
      <c r="E6" s="6" t="s">
        <v>39</v>
      </c>
      <c r="F6" s="6" t="s">
        <v>17</v>
      </c>
      <c r="G6" s="6" t="s">
        <v>18</v>
      </c>
      <c r="H6" s="6" t="s">
        <v>25</v>
      </c>
      <c r="I6" s="7">
        <v>1</v>
      </c>
      <c r="J6" s="8">
        <v>1</v>
      </c>
      <c r="K6" s="7">
        <v>500</v>
      </c>
      <c r="L6" s="7">
        <v>93</v>
      </c>
      <c r="M6" s="5" t="s">
        <v>83</v>
      </c>
      <c r="N6" s="17" t="s">
        <v>84</v>
      </c>
      <c r="P6" s="1" t="s">
        <v>88</v>
      </c>
      <c r="Q6">
        <f>7676.95-100</f>
        <v>7576.95</v>
      </c>
    </row>
    <row r="7" spans="1:17" ht="15.75" customHeight="1" x14ac:dyDescent="0.2">
      <c r="A7" s="15" t="s">
        <v>40</v>
      </c>
      <c r="B7" s="6" t="s">
        <v>41</v>
      </c>
      <c r="C7" s="6" t="s">
        <v>28</v>
      </c>
      <c r="D7" s="6" t="s">
        <v>17</v>
      </c>
      <c r="E7" s="6" t="s">
        <v>29</v>
      </c>
      <c r="F7" s="6" t="s">
        <v>30</v>
      </c>
      <c r="G7" s="6" t="s">
        <v>31</v>
      </c>
      <c r="H7" s="6" t="s">
        <v>25</v>
      </c>
      <c r="I7" s="7">
        <v>0.5</v>
      </c>
      <c r="J7" s="8">
        <v>1</v>
      </c>
      <c r="K7" s="7">
        <v>200</v>
      </c>
      <c r="L7" s="7">
        <v>93</v>
      </c>
      <c r="M7" s="5" t="s">
        <v>83</v>
      </c>
      <c r="N7" s="17" t="s">
        <v>84</v>
      </c>
      <c r="P7" s="1" t="s">
        <v>89</v>
      </c>
      <c r="Q7">
        <v>806</v>
      </c>
    </row>
    <row r="8" spans="1:17" ht="15.75" customHeight="1" x14ac:dyDescent="0.2">
      <c r="A8" s="15" t="s">
        <v>42</v>
      </c>
      <c r="B8" s="6" t="s">
        <v>43</v>
      </c>
      <c r="C8" s="6" t="s">
        <v>28</v>
      </c>
      <c r="D8" s="6" t="s">
        <v>17</v>
      </c>
      <c r="E8" s="6" t="s">
        <v>29</v>
      </c>
      <c r="F8" s="6" t="s">
        <v>30</v>
      </c>
      <c r="G8" s="6" t="s">
        <v>31</v>
      </c>
      <c r="H8" s="6" t="s">
        <v>25</v>
      </c>
      <c r="I8" s="7">
        <v>0.5</v>
      </c>
      <c r="J8" s="8">
        <v>1</v>
      </c>
      <c r="K8" s="7">
        <v>200</v>
      </c>
      <c r="L8" s="7">
        <v>93</v>
      </c>
      <c r="M8" s="5" t="s">
        <v>83</v>
      </c>
      <c r="N8" s="17" t="s">
        <v>84</v>
      </c>
      <c r="P8" s="2" t="s">
        <v>108</v>
      </c>
      <c r="Q8">
        <v>505</v>
      </c>
    </row>
    <row r="9" spans="1:17" ht="15.75" customHeight="1" x14ac:dyDescent="0.2">
      <c r="A9" s="15" t="s">
        <v>44</v>
      </c>
      <c r="B9" s="6" t="s">
        <v>27</v>
      </c>
      <c r="C9" s="6" t="s">
        <v>34</v>
      </c>
      <c r="D9" s="6" t="s">
        <v>45</v>
      </c>
      <c r="E9" s="6" t="s">
        <v>46</v>
      </c>
      <c r="F9" s="6" t="s">
        <v>17</v>
      </c>
      <c r="G9" s="6" t="s">
        <v>18</v>
      </c>
      <c r="H9" s="6" t="s">
        <v>47</v>
      </c>
      <c r="I9" s="7">
        <v>6</v>
      </c>
      <c r="J9" s="8">
        <v>1</v>
      </c>
      <c r="K9" s="7">
        <v>1980</v>
      </c>
      <c r="L9" s="7">
        <v>144.75</v>
      </c>
      <c r="M9" s="5" t="s">
        <v>83</v>
      </c>
      <c r="N9" s="17" t="s">
        <v>47</v>
      </c>
      <c r="P9" s="3" t="s">
        <v>169</v>
      </c>
      <c r="Q9">
        <v>1482</v>
      </c>
    </row>
    <row r="10" spans="1:17" ht="15.75" customHeight="1" x14ac:dyDescent="0.2">
      <c r="A10" s="15" t="s">
        <v>48</v>
      </c>
      <c r="B10" s="6" t="s">
        <v>27</v>
      </c>
      <c r="C10" s="6" t="s">
        <v>34</v>
      </c>
      <c r="D10" s="6" t="s">
        <v>49</v>
      </c>
      <c r="E10" s="6" t="s">
        <v>50</v>
      </c>
      <c r="F10" s="6" t="s">
        <v>17</v>
      </c>
      <c r="G10" s="6" t="s">
        <v>18</v>
      </c>
      <c r="H10" s="6" t="s">
        <v>19</v>
      </c>
      <c r="I10" s="7">
        <v>2</v>
      </c>
      <c r="J10" s="8">
        <v>1</v>
      </c>
      <c r="K10" s="7">
        <v>15000</v>
      </c>
      <c r="L10" s="7">
        <v>181.95</v>
      </c>
      <c r="M10" s="5" t="s">
        <v>86</v>
      </c>
      <c r="N10" s="17" t="s">
        <v>87</v>
      </c>
      <c r="P10" s="2" t="s">
        <v>116</v>
      </c>
      <c r="Q10">
        <v>100</v>
      </c>
    </row>
    <row r="11" spans="1:17" ht="15.75" customHeight="1" x14ac:dyDescent="0.2">
      <c r="A11" s="15" t="s">
        <v>51</v>
      </c>
      <c r="B11" s="6" t="s">
        <v>41</v>
      </c>
      <c r="C11" s="6" t="s">
        <v>34</v>
      </c>
      <c r="D11" s="6" t="s">
        <v>52</v>
      </c>
      <c r="E11" s="6" t="s">
        <v>53</v>
      </c>
      <c r="F11" s="6" t="s">
        <v>17</v>
      </c>
      <c r="G11" s="6" t="s">
        <v>18</v>
      </c>
      <c r="H11" s="6" t="s">
        <v>54</v>
      </c>
      <c r="I11" s="7">
        <v>0.5</v>
      </c>
      <c r="J11" s="8">
        <v>1</v>
      </c>
      <c r="K11" s="7">
        <v>5000</v>
      </c>
      <c r="L11" s="7">
        <v>131.94999999999999</v>
      </c>
      <c r="M11" s="14" t="s">
        <v>140</v>
      </c>
      <c r="N11" s="17" t="s">
        <v>87</v>
      </c>
    </row>
    <row r="12" spans="1:17" ht="15.75" customHeight="1" x14ac:dyDescent="0.2">
      <c r="A12" s="15" t="s">
        <v>55</v>
      </c>
      <c r="B12" s="6" t="s">
        <v>56</v>
      </c>
      <c r="C12" s="6" t="s">
        <v>57</v>
      </c>
      <c r="D12" s="6" t="s">
        <v>17</v>
      </c>
      <c r="E12" s="6" t="s">
        <v>58</v>
      </c>
      <c r="F12" s="6" t="s">
        <v>59</v>
      </c>
      <c r="G12" s="6" t="s">
        <v>60</v>
      </c>
      <c r="H12" s="6" t="s">
        <v>61</v>
      </c>
      <c r="I12" s="7">
        <v>3.54</v>
      </c>
      <c r="J12" s="8">
        <v>1</v>
      </c>
      <c r="K12" s="7">
        <v>200</v>
      </c>
      <c r="L12" s="7">
        <v>145</v>
      </c>
      <c r="M12" s="5" t="s">
        <v>89</v>
      </c>
      <c r="N12" s="17" t="s">
        <v>90</v>
      </c>
      <c r="Q12">
        <f>SUM(Q3:Q11)</f>
        <v>15971.95</v>
      </c>
    </row>
    <row r="13" spans="1:17" ht="15.75" customHeight="1" x14ac:dyDescent="0.2">
      <c r="A13" s="15" t="s">
        <v>62</v>
      </c>
      <c r="B13" s="6" t="s">
        <v>43</v>
      </c>
      <c r="C13" s="6" t="s">
        <v>34</v>
      </c>
      <c r="D13" s="6" t="s">
        <v>52</v>
      </c>
      <c r="E13" s="6" t="s">
        <v>53</v>
      </c>
      <c r="F13" s="6" t="s">
        <v>17</v>
      </c>
      <c r="G13" s="6" t="s">
        <v>18</v>
      </c>
      <c r="H13" s="6" t="s">
        <v>63</v>
      </c>
      <c r="I13" s="7">
        <v>10</v>
      </c>
      <c r="J13" s="8">
        <v>1</v>
      </c>
      <c r="K13" s="7">
        <v>25000</v>
      </c>
      <c r="L13" s="7">
        <v>259.85000000000002</v>
      </c>
      <c r="M13" s="5" t="s">
        <v>86</v>
      </c>
      <c r="N13" s="17" t="s">
        <v>87</v>
      </c>
    </row>
    <row r="14" spans="1:17" ht="15.75" customHeight="1" x14ac:dyDescent="0.2">
      <c r="A14" s="15" t="s">
        <v>64</v>
      </c>
      <c r="B14" s="6" t="s">
        <v>33</v>
      </c>
      <c r="C14" s="6" t="s">
        <v>65</v>
      </c>
      <c r="D14" s="6" t="s">
        <v>17</v>
      </c>
      <c r="E14" s="6" t="s">
        <v>58</v>
      </c>
      <c r="F14" s="6" t="s">
        <v>66</v>
      </c>
      <c r="G14" s="6" t="s">
        <v>67</v>
      </c>
      <c r="H14" s="6" t="s">
        <v>61</v>
      </c>
      <c r="I14" s="7">
        <v>30</v>
      </c>
      <c r="J14" s="8">
        <v>1</v>
      </c>
      <c r="K14" s="7">
        <v>200</v>
      </c>
      <c r="L14" s="7">
        <v>204.6</v>
      </c>
      <c r="M14" s="5" t="s">
        <v>89</v>
      </c>
      <c r="N14" s="17" t="s">
        <v>90</v>
      </c>
    </row>
    <row r="15" spans="1:17" ht="15.75" customHeight="1" x14ac:dyDescent="0.2">
      <c r="A15" s="15" t="s">
        <v>68</v>
      </c>
      <c r="B15" s="6" t="s">
        <v>43</v>
      </c>
      <c r="C15" s="6" t="s">
        <v>34</v>
      </c>
      <c r="D15" s="6" t="s">
        <v>69</v>
      </c>
      <c r="E15" s="6" t="s">
        <v>70</v>
      </c>
      <c r="F15" s="6" t="s">
        <v>17</v>
      </c>
      <c r="G15" s="6" t="s">
        <v>18</v>
      </c>
      <c r="H15" s="6" t="s">
        <v>54</v>
      </c>
      <c r="I15" s="7">
        <v>25</v>
      </c>
      <c r="J15" s="8">
        <v>4</v>
      </c>
      <c r="K15" s="7">
        <v>13000</v>
      </c>
      <c r="L15" s="7">
        <v>539.29999999999995</v>
      </c>
      <c r="M15" s="5" t="s">
        <v>86</v>
      </c>
      <c r="N15" s="17" t="s">
        <v>87</v>
      </c>
    </row>
    <row r="16" spans="1:17" ht="15.75" customHeight="1" x14ac:dyDescent="0.2">
      <c r="A16" s="15" t="s">
        <v>71</v>
      </c>
      <c r="B16" s="6" t="s">
        <v>27</v>
      </c>
      <c r="C16" s="6" t="s">
        <v>57</v>
      </c>
      <c r="D16" s="6" t="s">
        <v>17</v>
      </c>
      <c r="E16" s="6" t="s">
        <v>58</v>
      </c>
      <c r="F16" s="6" t="s">
        <v>72</v>
      </c>
      <c r="G16" s="6" t="s">
        <v>73</v>
      </c>
      <c r="H16" s="6" t="s">
        <v>74</v>
      </c>
      <c r="I16" s="7">
        <v>40</v>
      </c>
      <c r="J16" s="8">
        <v>1</v>
      </c>
      <c r="K16" s="7">
        <v>2000</v>
      </c>
      <c r="L16" s="7">
        <v>456.4</v>
      </c>
      <c r="M16" s="5" t="s">
        <v>89</v>
      </c>
      <c r="N16" s="17" t="s">
        <v>90</v>
      </c>
    </row>
    <row r="17" spans="1:14" ht="15.75" customHeight="1" x14ac:dyDescent="0.2">
      <c r="A17" s="15" t="s">
        <v>75</v>
      </c>
      <c r="B17" s="6" t="s">
        <v>76</v>
      </c>
      <c r="C17" s="6" t="s">
        <v>77</v>
      </c>
      <c r="D17" s="6" t="s">
        <v>78</v>
      </c>
      <c r="E17" s="6" t="s">
        <v>79</v>
      </c>
      <c r="F17" s="6" t="s">
        <v>30</v>
      </c>
      <c r="G17" s="6" t="s">
        <v>29</v>
      </c>
      <c r="H17" s="6" t="s">
        <v>25</v>
      </c>
      <c r="I17" s="7">
        <v>1</v>
      </c>
      <c r="J17" s="8">
        <v>1</v>
      </c>
      <c r="K17" s="7">
        <v>500</v>
      </c>
      <c r="L17" s="7">
        <v>65</v>
      </c>
      <c r="M17" s="5" t="s">
        <v>83</v>
      </c>
      <c r="N17" s="17" t="s">
        <v>84</v>
      </c>
    </row>
    <row r="18" spans="1:14" ht="15.75" customHeight="1" x14ac:dyDescent="0.2">
      <c r="A18" s="15" t="s">
        <v>80</v>
      </c>
      <c r="B18" s="6" t="s">
        <v>33</v>
      </c>
      <c r="C18" s="6" t="s">
        <v>77</v>
      </c>
      <c r="D18" s="6" t="s">
        <v>81</v>
      </c>
      <c r="E18" s="6" t="s">
        <v>82</v>
      </c>
      <c r="F18" s="6" t="s">
        <v>30</v>
      </c>
      <c r="G18" s="6" t="s">
        <v>29</v>
      </c>
      <c r="H18" s="6" t="s">
        <v>25</v>
      </c>
      <c r="I18" s="7">
        <v>1</v>
      </c>
      <c r="J18" s="8">
        <v>1</v>
      </c>
      <c r="K18" s="7">
        <v>500</v>
      </c>
      <c r="L18" s="7">
        <v>60.45</v>
      </c>
      <c r="M18" s="5" t="s">
        <v>83</v>
      </c>
      <c r="N18" s="17" t="s">
        <v>84</v>
      </c>
    </row>
    <row r="19" spans="1:14" ht="15.75" customHeight="1" x14ac:dyDescent="0.2">
      <c r="A19" s="15" t="s">
        <v>91</v>
      </c>
      <c r="B19" s="6" t="s">
        <v>92</v>
      </c>
      <c r="C19" s="6" t="s">
        <v>93</v>
      </c>
      <c r="D19" s="6" t="s">
        <v>17</v>
      </c>
      <c r="E19" s="6" t="s">
        <v>18</v>
      </c>
      <c r="F19" s="6" t="s">
        <v>94</v>
      </c>
      <c r="G19" s="6" t="s">
        <v>95</v>
      </c>
      <c r="H19" s="6" t="s">
        <v>25</v>
      </c>
      <c r="I19" s="7">
        <v>1</v>
      </c>
      <c r="J19" s="8">
        <v>1</v>
      </c>
      <c r="K19" s="7">
        <v>200</v>
      </c>
      <c r="L19" s="7">
        <v>60</v>
      </c>
      <c r="M19" s="14" t="s">
        <v>140</v>
      </c>
      <c r="N19" s="19" t="s">
        <v>96</v>
      </c>
    </row>
    <row r="20" spans="1:14" ht="15.75" customHeight="1" x14ac:dyDescent="0.2">
      <c r="A20" s="15" t="s">
        <v>97</v>
      </c>
      <c r="B20" s="6" t="s">
        <v>98</v>
      </c>
      <c r="C20" s="6" t="s">
        <v>99</v>
      </c>
      <c r="D20" s="6" t="s">
        <v>100</v>
      </c>
      <c r="E20" s="6" t="s">
        <v>70</v>
      </c>
      <c r="F20" s="6" t="s">
        <v>17</v>
      </c>
      <c r="G20" s="6" t="s">
        <v>18</v>
      </c>
      <c r="H20" s="6" t="s">
        <v>101</v>
      </c>
      <c r="I20" s="7">
        <v>500</v>
      </c>
      <c r="J20" s="8">
        <v>1</v>
      </c>
      <c r="K20" s="7">
        <v>10000</v>
      </c>
      <c r="L20" s="7">
        <v>1620</v>
      </c>
      <c r="M20" s="14" t="s">
        <v>140</v>
      </c>
      <c r="N20" s="19" t="s">
        <v>87</v>
      </c>
    </row>
    <row r="21" spans="1:14" ht="15.75" customHeight="1" x14ac:dyDescent="0.2">
      <c r="A21" s="15" t="s">
        <v>102</v>
      </c>
      <c r="B21" s="6" t="s">
        <v>103</v>
      </c>
      <c r="C21" s="6" t="s">
        <v>104</v>
      </c>
      <c r="D21" s="6" t="s">
        <v>17</v>
      </c>
      <c r="E21" s="6" t="s">
        <v>58</v>
      </c>
      <c r="F21" s="6" t="s">
        <v>105</v>
      </c>
      <c r="G21" s="6" t="s">
        <v>106</v>
      </c>
      <c r="H21" s="6" t="s">
        <v>107</v>
      </c>
      <c r="I21" s="7">
        <v>2.5</v>
      </c>
      <c r="J21" s="8">
        <v>1</v>
      </c>
      <c r="K21" s="7">
        <v>2000</v>
      </c>
      <c r="L21" s="7">
        <v>505</v>
      </c>
      <c r="M21" s="2" t="s">
        <v>108</v>
      </c>
      <c r="N21" s="19" t="s">
        <v>109</v>
      </c>
    </row>
    <row r="22" spans="1:14" ht="15.75" customHeight="1" x14ac:dyDescent="0.2">
      <c r="A22" s="15" t="s">
        <v>110</v>
      </c>
      <c r="B22" s="6" t="s">
        <v>111</v>
      </c>
      <c r="C22" s="6" t="s">
        <v>99</v>
      </c>
      <c r="D22" s="6" t="s">
        <v>100</v>
      </c>
      <c r="E22" s="6" t="s">
        <v>70</v>
      </c>
      <c r="F22" s="6" t="s">
        <v>17</v>
      </c>
      <c r="G22" s="6" t="s">
        <v>18</v>
      </c>
      <c r="H22" s="6" t="s">
        <v>101</v>
      </c>
      <c r="I22" s="7">
        <v>500</v>
      </c>
      <c r="J22" s="8">
        <v>1</v>
      </c>
      <c r="K22" s="7">
        <v>10000</v>
      </c>
      <c r="L22" s="7">
        <v>1620</v>
      </c>
      <c r="M22" s="14" t="s">
        <v>140</v>
      </c>
      <c r="N22" s="19" t="s">
        <v>87</v>
      </c>
    </row>
    <row r="23" spans="1:14" ht="15.75" customHeight="1" x14ac:dyDescent="0.2">
      <c r="A23" s="15" t="s">
        <v>112</v>
      </c>
      <c r="B23" s="6" t="s">
        <v>113</v>
      </c>
      <c r="C23" s="6" t="s">
        <v>22</v>
      </c>
      <c r="D23" s="6" t="s">
        <v>114</v>
      </c>
      <c r="E23" s="6" t="s">
        <v>115</v>
      </c>
      <c r="F23" s="6" t="s">
        <v>17</v>
      </c>
      <c r="G23" s="6" t="s">
        <v>18</v>
      </c>
      <c r="H23" s="6" t="s">
        <v>25</v>
      </c>
      <c r="I23" s="7">
        <v>0.1</v>
      </c>
      <c r="J23" s="8">
        <v>1</v>
      </c>
      <c r="K23" s="7">
        <v>200</v>
      </c>
      <c r="L23" s="7">
        <v>100</v>
      </c>
      <c r="M23" s="2" t="s">
        <v>116</v>
      </c>
      <c r="N23" s="19" t="s">
        <v>96</v>
      </c>
    </row>
    <row r="24" spans="1:14" ht="15.75" customHeight="1" x14ac:dyDescent="0.2">
      <c r="A24" s="15" t="s">
        <v>117</v>
      </c>
      <c r="B24" s="6" t="s">
        <v>118</v>
      </c>
      <c r="C24" s="6" t="s">
        <v>119</v>
      </c>
      <c r="D24" s="6" t="s">
        <v>120</v>
      </c>
      <c r="E24" s="6" t="s">
        <v>121</v>
      </c>
      <c r="F24" s="6" t="s">
        <v>17</v>
      </c>
      <c r="G24" s="6" t="s">
        <v>18</v>
      </c>
      <c r="H24" s="6" t="s">
        <v>25</v>
      </c>
      <c r="I24" s="7">
        <v>0.1</v>
      </c>
      <c r="J24" s="8">
        <v>1</v>
      </c>
      <c r="K24" s="7">
        <v>200</v>
      </c>
      <c r="L24" s="7">
        <v>100</v>
      </c>
      <c r="M24" s="14" t="s">
        <v>140</v>
      </c>
      <c r="N24" s="19" t="s">
        <v>96</v>
      </c>
    </row>
    <row r="25" spans="1:14" ht="15.75" customHeight="1" x14ac:dyDescent="0.2">
      <c r="A25" s="15" t="s">
        <v>122</v>
      </c>
      <c r="B25" s="6" t="s">
        <v>113</v>
      </c>
      <c r="C25" s="6" t="s">
        <v>34</v>
      </c>
      <c r="D25" s="6" t="s">
        <v>52</v>
      </c>
      <c r="E25" s="6" t="s">
        <v>53</v>
      </c>
      <c r="F25" s="6" t="s">
        <v>17</v>
      </c>
      <c r="G25" s="6" t="s">
        <v>18</v>
      </c>
      <c r="H25" s="6" t="s">
        <v>63</v>
      </c>
      <c r="I25" s="7">
        <v>5</v>
      </c>
      <c r="J25" s="8">
        <v>1</v>
      </c>
      <c r="K25" s="7">
        <v>20000</v>
      </c>
      <c r="L25" s="7">
        <v>245</v>
      </c>
      <c r="M25" s="14" t="s">
        <v>140</v>
      </c>
      <c r="N25" s="19" t="s">
        <v>87</v>
      </c>
    </row>
    <row r="26" spans="1:14" ht="15.75" customHeight="1" x14ac:dyDescent="0.2">
      <c r="A26" s="15" t="s">
        <v>123</v>
      </c>
      <c r="B26" s="6" t="s">
        <v>98</v>
      </c>
      <c r="C26" s="6" t="s">
        <v>34</v>
      </c>
      <c r="D26" s="6" t="s">
        <v>45</v>
      </c>
      <c r="E26" s="6" t="s">
        <v>46</v>
      </c>
      <c r="F26" s="6" t="s">
        <v>17</v>
      </c>
      <c r="G26" s="6" t="s">
        <v>18</v>
      </c>
      <c r="H26" s="6" t="s">
        <v>47</v>
      </c>
      <c r="I26" s="7">
        <v>6</v>
      </c>
      <c r="J26" s="8">
        <v>1</v>
      </c>
      <c r="K26" s="7">
        <v>2970</v>
      </c>
      <c r="L26" s="7">
        <v>159.85</v>
      </c>
      <c r="M26" s="2" t="s">
        <v>83</v>
      </c>
      <c r="N26" s="19" t="s">
        <v>124</v>
      </c>
    </row>
    <row r="27" spans="1:14" ht="15.75" customHeight="1" x14ac:dyDescent="0.2">
      <c r="A27" s="15" t="s">
        <v>125</v>
      </c>
      <c r="B27" s="6" t="s">
        <v>98</v>
      </c>
      <c r="C27" s="6" t="s">
        <v>34</v>
      </c>
      <c r="D27" s="6" t="s">
        <v>126</v>
      </c>
      <c r="E27" s="6" t="s">
        <v>127</v>
      </c>
      <c r="F27" s="6" t="s">
        <v>17</v>
      </c>
      <c r="G27" s="6" t="s">
        <v>128</v>
      </c>
      <c r="H27" s="6" t="s">
        <v>129</v>
      </c>
      <c r="I27" s="7">
        <v>62</v>
      </c>
      <c r="J27" s="8">
        <v>6</v>
      </c>
      <c r="K27" s="7">
        <v>4000</v>
      </c>
      <c r="L27" s="7">
        <v>1140</v>
      </c>
      <c r="M27" s="2" t="s">
        <v>83</v>
      </c>
      <c r="N27" s="19" t="s">
        <v>129</v>
      </c>
    </row>
    <row r="28" spans="1:14" ht="15.75" customHeight="1" x14ac:dyDescent="0.2">
      <c r="A28" s="15" t="s">
        <v>130</v>
      </c>
      <c r="B28" s="6" t="s">
        <v>131</v>
      </c>
      <c r="C28" s="6" t="s">
        <v>132</v>
      </c>
      <c r="D28" s="6" t="s">
        <v>133</v>
      </c>
      <c r="E28" s="6" t="s">
        <v>70</v>
      </c>
      <c r="F28" s="6" t="s">
        <v>17</v>
      </c>
      <c r="G28" s="6" t="s">
        <v>134</v>
      </c>
      <c r="H28" s="6" t="s">
        <v>101</v>
      </c>
      <c r="I28" s="7">
        <v>500</v>
      </c>
      <c r="J28" s="8">
        <v>1</v>
      </c>
      <c r="K28" s="7">
        <v>20000</v>
      </c>
      <c r="L28" s="7">
        <v>1100</v>
      </c>
      <c r="M28" s="14" t="s">
        <v>140</v>
      </c>
      <c r="N28" s="19" t="s">
        <v>96</v>
      </c>
    </row>
    <row r="29" spans="1:14" ht="15.75" customHeight="1" x14ac:dyDescent="0.2">
      <c r="A29" s="16" t="s">
        <v>175</v>
      </c>
      <c r="B29" s="10" t="s">
        <v>135</v>
      </c>
      <c r="C29" s="10" t="s">
        <v>34</v>
      </c>
      <c r="D29" s="10" t="s">
        <v>136</v>
      </c>
      <c r="E29" s="10" t="s">
        <v>137</v>
      </c>
      <c r="F29" s="10" t="s">
        <v>17</v>
      </c>
      <c r="G29" s="10" t="s">
        <v>18</v>
      </c>
      <c r="H29" s="10" t="s">
        <v>138</v>
      </c>
      <c r="I29" s="11">
        <v>4</v>
      </c>
      <c r="J29" s="12">
        <v>1</v>
      </c>
      <c r="K29" s="11">
        <v>10000</v>
      </c>
      <c r="L29" s="11">
        <v>240</v>
      </c>
      <c r="M29" s="13" t="s">
        <v>83</v>
      </c>
      <c r="N29" s="20"/>
    </row>
    <row r="30" spans="1:14" ht="15.75" customHeight="1" x14ac:dyDescent="0.2">
      <c r="A30" s="16" t="s">
        <v>176</v>
      </c>
      <c r="B30" s="10" t="s">
        <v>139</v>
      </c>
      <c r="C30" s="10" t="s">
        <v>99</v>
      </c>
      <c r="D30" s="10" t="s">
        <v>100</v>
      </c>
      <c r="E30" s="10" t="s">
        <v>70</v>
      </c>
      <c r="F30" s="10" t="s">
        <v>17</v>
      </c>
      <c r="G30" s="10" t="s">
        <v>18</v>
      </c>
      <c r="H30" s="10" t="s">
        <v>101</v>
      </c>
      <c r="I30" s="11">
        <v>500</v>
      </c>
      <c r="J30" s="12">
        <v>1</v>
      </c>
      <c r="K30" s="11">
        <v>10000</v>
      </c>
      <c r="L30" s="11">
        <v>1620</v>
      </c>
      <c r="M30" s="14" t="s">
        <v>140</v>
      </c>
      <c r="N30" s="21" t="s">
        <v>87</v>
      </c>
    </row>
    <row r="31" spans="1:14" ht="15.75" customHeight="1" x14ac:dyDescent="0.2">
      <c r="A31" s="16" t="s">
        <v>177</v>
      </c>
      <c r="B31" s="10" t="s">
        <v>141</v>
      </c>
      <c r="C31" s="10" t="s">
        <v>142</v>
      </c>
      <c r="D31" s="10" t="s">
        <v>143</v>
      </c>
      <c r="E31" s="10" t="s">
        <v>16</v>
      </c>
      <c r="F31" s="10" t="s">
        <v>17</v>
      </c>
      <c r="G31" s="10" t="s">
        <v>18</v>
      </c>
      <c r="H31" s="10" t="s">
        <v>144</v>
      </c>
      <c r="I31" s="11">
        <v>40</v>
      </c>
      <c r="J31" s="12">
        <v>1</v>
      </c>
      <c r="K31" s="11">
        <v>30000</v>
      </c>
      <c r="L31" s="11">
        <v>850</v>
      </c>
      <c r="M31" s="13" t="s">
        <v>83</v>
      </c>
      <c r="N31" s="21" t="s">
        <v>54</v>
      </c>
    </row>
    <row r="32" spans="1:14" ht="15.75" customHeight="1" x14ac:dyDescent="0.2">
      <c r="A32" s="16" t="s">
        <v>178</v>
      </c>
      <c r="B32" s="10" t="s">
        <v>145</v>
      </c>
      <c r="C32" s="10" t="s">
        <v>146</v>
      </c>
      <c r="D32" s="10" t="s">
        <v>147</v>
      </c>
      <c r="E32" s="10" t="s">
        <v>148</v>
      </c>
      <c r="F32" s="10" t="s">
        <v>30</v>
      </c>
      <c r="G32" s="10" t="s">
        <v>29</v>
      </c>
      <c r="H32" s="10" t="s">
        <v>25</v>
      </c>
      <c r="I32" s="11">
        <v>1</v>
      </c>
      <c r="J32" s="12">
        <v>1</v>
      </c>
      <c r="K32" s="11">
        <v>200</v>
      </c>
      <c r="L32" s="11">
        <v>65</v>
      </c>
      <c r="M32" s="13" t="s">
        <v>83</v>
      </c>
      <c r="N32" s="22" t="s">
        <v>25</v>
      </c>
    </row>
    <row r="33" spans="1:14" ht="15.75" customHeight="1" x14ac:dyDescent="0.2">
      <c r="A33" s="16" t="s">
        <v>179</v>
      </c>
      <c r="B33" s="10" t="s">
        <v>141</v>
      </c>
      <c r="C33" s="10" t="s">
        <v>22</v>
      </c>
      <c r="D33" s="10" t="s">
        <v>23</v>
      </c>
      <c r="E33" s="10" t="s">
        <v>24</v>
      </c>
      <c r="F33" s="10" t="s">
        <v>17</v>
      </c>
      <c r="G33" s="10" t="s">
        <v>18</v>
      </c>
      <c r="H33" s="10" t="s">
        <v>25</v>
      </c>
      <c r="I33" s="11">
        <v>1</v>
      </c>
      <c r="J33" s="12">
        <v>1</v>
      </c>
      <c r="K33" s="11">
        <v>100</v>
      </c>
      <c r="L33" s="11">
        <v>100</v>
      </c>
      <c r="M33" s="13" t="s">
        <v>83</v>
      </c>
      <c r="N33" s="22" t="s">
        <v>25</v>
      </c>
    </row>
    <row r="34" spans="1:14" ht="15.75" customHeight="1" x14ac:dyDescent="0.2">
      <c r="A34" s="16" t="s">
        <v>180</v>
      </c>
      <c r="B34" s="10" t="s">
        <v>135</v>
      </c>
      <c r="C34" s="10" t="s">
        <v>149</v>
      </c>
      <c r="D34" s="10" t="s">
        <v>150</v>
      </c>
      <c r="E34" s="10" t="s">
        <v>151</v>
      </c>
      <c r="F34" s="10" t="s">
        <v>17</v>
      </c>
      <c r="G34" s="10" t="s">
        <v>18</v>
      </c>
      <c r="H34" s="10" t="s">
        <v>25</v>
      </c>
      <c r="I34" s="11">
        <v>1</v>
      </c>
      <c r="J34" s="12">
        <v>1</v>
      </c>
      <c r="K34" s="11">
        <v>100</v>
      </c>
      <c r="L34" s="11">
        <v>100</v>
      </c>
      <c r="M34" s="14" t="s">
        <v>140</v>
      </c>
      <c r="N34" s="22" t="s">
        <v>25</v>
      </c>
    </row>
    <row r="35" spans="1:14" ht="15.75" customHeight="1" x14ac:dyDescent="0.2">
      <c r="A35" s="16" t="s">
        <v>181</v>
      </c>
      <c r="B35" s="10" t="s">
        <v>152</v>
      </c>
      <c r="C35" s="10" t="s">
        <v>153</v>
      </c>
      <c r="D35" s="10" t="s">
        <v>154</v>
      </c>
      <c r="E35" s="10" t="s">
        <v>155</v>
      </c>
      <c r="F35" s="10" t="s">
        <v>17</v>
      </c>
      <c r="G35" s="10" t="s">
        <v>18</v>
      </c>
      <c r="H35" s="10" t="s">
        <v>25</v>
      </c>
      <c r="I35" s="11">
        <v>1</v>
      </c>
      <c r="J35" s="12">
        <v>1</v>
      </c>
      <c r="K35" s="11">
        <v>500</v>
      </c>
      <c r="L35" s="11">
        <v>100</v>
      </c>
      <c r="M35" s="14" t="s">
        <v>140</v>
      </c>
      <c r="N35" s="22" t="s">
        <v>25</v>
      </c>
    </row>
    <row r="36" spans="1:14" ht="15.75" customHeight="1" x14ac:dyDescent="0.2">
      <c r="A36" s="16" t="s">
        <v>182</v>
      </c>
      <c r="B36" s="10" t="s">
        <v>145</v>
      </c>
      <c r="C36" s="10" t="s">
        <v>156</v>
      </c>
      <c r="D36" s="10" t="s">
        <v>157</v>
      </c>
      <c r="E36" s="10" t="s">
        <v>158</v>
      </c>
      <c r="F36" s="10" t="s">
        <v>17</v>
      </c>
      <c r="G36" s="10" t="s">
        <v>18</v>
      </c>
      <c r="H36" s="10" t="s">
        <v>25</v>
      </c>
      <c r="I36" s="11">
        <v>1</v>
      </c>
      <c r="J36" s="12">
        <v>1</v>
      </c>
      <c r="K36" s="11">
        <v>500</v>
      </c>
      <c r="L36" s="11">
        <v>100</v>
      </c>
      <c r="M36" s="14" t="s">
        <v>140</v>
      </c>
      <c r="N36" s="22" t="s">
        <v>25</v>
      </c>
    </row>
    <row r="37" spans="1:14" ht="15.75" customHeight="1" x14ac:dyDescent="0.2">
      <c r="A37" s="16" t="s">
        <v>183</v>
      </c>
      <c r="B37" s="10" t="s">
        <v>152</v>
      </c>
      <c r="C37" s="10" t="s">
        <v>28</v>
      </c>
      <c r="D37" s="10" t="s">
        <v>17</v>
      </c>
      <c r="E37" s="10" t="s">
        <v>29</v>
      </c>
      <c r="F37" s="10" t="s">
        <v>30</v>
      </c>
      <c r="G37" s="10" t="s">
        <v>31</v>
      </c>
      <c r="H37" s="10" t="s">
        <v>25</v>
      </c>
      <c r="I37" s="11">
        <v>0.5</v>
      </c>
      <c r="J37" s="12">
        <v>1</v>
      </c>
      <c r="K37" s="11">
        <v>200</v>
      </c>
      <c r="L37" s="11">
        <v>100</v>
      </c>
      <c r="M37" s="13" t="s">
        <v>83</v>
      </c>
      <c r="N37" s="22" t="s">
        <v>25</v>
      </c>
    </row>
    <row r="38" spans="1:14" ht="15.75" customHeight="1" x14ac:dyDescent="0.2">
      <c r="A38" s="16" t="s">
        <v>184</v>
      </c>
      <c r="B38" s="10" t="s">
        <v>139</v>
      </c>
      <c r="C38" s="10" t="s">
        <v>149</v>
      </c>
      <c r="D38" s="10" t="s">
        <v>159</v>
      </c>
      <c r="E38" s="10" t="s">
        <v>151</v>
      </c>
      <c r="F38" s="10" t="s">
        <v>17</v>
      </c>
      <c r="G38" s="10" t="s">
        <v>18</v>
      </c>
      <c r="H38" s="10" t="s">
        <v>25</v>
      </c>
      <c r="I38" s="11">
        <v>1</v>
      </c>
      <c r="J38" s="12">
        <v>1</v>
      </c>
      <c r="K38" s="11">
        <v>200</v>
      </c>
      <c r="L38" s="11">
        <v>100</v>
      </c>
      <c r="M38" s="14" t="s">
        <v>140</v>
      </c>
      <c r="N38" s="23" t="s">
        <v>25</v>
      </c>
    </row>
    <row r="39" spans="1:14" ht="15.75" customHeight="1" x14ac:dyDescent="0.2">
      <c r="A39" s="16" t="s">
        <v>185</v>
      </c>
      <c r="B39" s="10" t="s">
        <v>141</v>
      </c>
      <c r="C39" s="10" t="s">
        <v>160</v>
      </c>
      <c r="D39" s="10" t="s">
        <v>161</v>
      </c>
      <c r="E39" s="10" t="s">
        <v>162</v>
      </c>
      <c r="F39" s="10" t="s">
        <v>17</v>
      </c>
      <c r="G39" s="10" t="s">
        <v>18</v>
      </c>
      <c r="H39" s="10" t="s">
        <v>25</v>
      </c>
      <c r="I39" s="11">
        <v>0.1</v>
      </c>
      <c r="J39" s="12">
        <v>1</v>
      </c>
      <c r="K39" s="11">
        <v>100</v>
      </c>
      <c r="L39" s="11">
        <v>100</v>
      </c>
      <c r="M39" s="14" t="s">
        <v>140</v>
      </c>
      <c r="N39" s="23" t="s">
        <v>25</v>
      </c>
    </row>
    <row r="40" spans="1:14" ht="15.75" customHeight="1" x14ac:dyDescent="0.2">
      <c r="A40" s="16" t="s">
        <v>186</v>
      </c>
      <c r="B40" s="10" t="s">
        <v>163</v>
      </c>
      <c r="C40" s="10" t="s">
        <v>34</v>
      </c>
      <c r="D40" s="10" t="s">
        <v>38</v>
      </c>
      <c r="E40" s="10" t="s">
        <v>39</v>
      </c>
      <c r="F40" s="10" t="s">
        <v>17</v>
      </c>
      <c r="G40" s="10" t="s">
        <v>18</v>
      </c>
      <c r="H40" s="10" t="s">
        <v>25</v>
      </c>
      <c r="I40" s="11">
        <v>1</v>
      </c>
      <c r="J40" s="12">
        <v>1</v>
      </c>
      <c r="K40" s="11">
        <v>200</v>
      </c>
      <c r="L40" s="11">
        <v>100</v>
      </c>
      <c r="M40" s="14" t="s">
        <v>140</v>
      </c>
      <c r="N40" s="23" t="s">
        <v>25</v>
      </c>
    </row>
    <row r="41" spans="1:14" ht="15.75" customHeight="1" x14ac:dyDescent="0.2">
      <c r="A41" s="16" t="s">
        <v>187</v>
      </c>
      <c r="B41" s="10" t="s">
        <v>152</v>
      </c>
      <c r="C41" s="10" t="s">
        <v>34</v>
      </c>
      <c r="D41" s="10" t="s">
        <v>49</v>
      </c>
      <c r="E41" s="10" t="s">
        <v>50</v>
      </c>
      <c r="F41" s="10" t="s">
        <v>17</v>
      </c>
      <c r="G41" s="10" t="s">
        <v>18</v>
      </c>
      <c r="H41" s="10" t="s">
        <v>19</v>
      </c>
      <c r="I41" s="11">
        <v>2</v>
      </c>
      <c r="J41" s="12">
        <v>1</v>
      </c>
      <c r="K41" s="11">
        <v>20000</v>
      </c>
      <c r="L41" s="11">
        <v>215</v>
      </c>
      <c r="M41" s="14" t="s">
        <v>140</v>
      </c>
      <c r="N41" s="23" t="s">
        <v>87</v>
      </c>
    </row>
    <row r="42" spans="1:14" ht="15.75" customHeight="1" x14ac:dyDescent="0.2">
      <c r="A42" s="16" t="s">
        <v>188</v>
      </c>
      <c r="B42" s="10" t="s">
        <v>139</v>
      </c>
      <c r="C42" s="10" t="s">
        <v>34</v>
      </c>
      <c r="D42" s="10" t="s">
        <v>164</v>
      </c>
      <c r="E42" s="10" t="s">
        <v>70</v>
      </c>
      <c r="F42" s="10" t="s">
        <v>17</v>
      </c>
      <c r="G42" s="10" t="s">
        <v>18</v>
      </c>
      <c r="H42" s="10" t="s">
        <v>54</v>
      </c>
      <c r="I42" s="11">
        <v>30</v>
      </c>
      <c r="J42" s="12">
        <v>2</v>
      </c>
      <c r="K42" s="11">
        <v>2000</v>
      </c>
      <c r="L42" s="11">
        <v>365</v>
      </c>
      <c r="M42" s="14" t="s">
        <v>140</v>
      </c>
      <c r="N42" s="23" t="s">
        <v>87</v>
      </c>
    </row>
    <row r="43" spans="1:14" ht="15.75" customHeight="1" x14ac:dyDescent="0.2">
      <c r="A43" s="16" t="s">
        <v>189</v>
      </c>
      <c r="B43" s="10" t="s">
        <v>103</v>
      </c>
      <c r="C43" s="10" t="s">
        <v>165</v>
      </c>
      <c r="D43" s="10" t="s">
        <v>17</v>
      </c>
      <c r="E43" s="10" t="s">
        <v>58</v>
      </c>
      <c r="F43" s="10" t="s">
        <v>166</v>
      </c>
      <c r="G43" s="10" t="s">
        <v>167</v>
      </c>
      <c r="H43" s="10" t="s">
        <v>168</v>
      </c>
      <c r="I43" s="11">
        <v>112</v>
      </c>
      <c r="J43" s="12">
        <v>1</v>
      </c>
      <c r="K43" s="11">
        <v>2000</v>
      </c>
      <c r="L43" s="11">
        <v>1482</v>
      </c>
      <c r="M43" s="14" t="s">
        <v>169</v>
      </c>
      <c r="N43" s="23" t="s">
        <v>170</v>
      </c>
    </row>
    <row r="44" spans="1:14" ht="15.75" customHeight="1" x14ac:dyDescent="0.2">
      <c r="A44" s="28" t="s">
        <v>190</v>
      </c>
      <c r="B44" s="29" t="s">
        <v>103</v>
      </c>
      <c r="C44" s="29" t="s">
        <v>28</v>
      </c>
      <c r="D44" s="29" t="s">
        <v>17</v>
      </c>
      <c r="E44" s="29" t="s">
        <v>58</v>
      </c>
      <c r="F44" s="29" t="s">
        <v>171</v>
      </c>
      <c r="G44" s="29" t="s">
        <v>172</v>
      </c>
      <c r="H44" s="29" t="s">
        <v>173</v>
      </c>
      <c r="I44" s="30">
        <v>105</v>
      </c>
      <c r="J44" s="31">
        <v>2</v>
      </c>
      <c r="K44" s="30">
        <v>5000</v>
      </c>
      <c r="L44" s="30">
        <v>1113</v>
      </c>
      <c r="M44" s="32" t="s">
        <v>83</v>
      </c>
      <c r="N44" s="33" t="s">
        <v>174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DE9155FF087646B26748F8ADFEA557" ma:contentTypeVersion="6" ma:contentTypeDescription="Create a new document." ma:contentTypeScope="" ma:versionID="da93d305c8f4e73edfdcd283385a4e57">
  <xsd:schema xmlns:xsd="http://www.w3.org/2001/XMLSchema" xmlns:xs="http://www.w3.org/2001/XMLSchema" xmlns:p="http://schemas.microsoft.com/office/2006/metadata/properties" xmlns:ns2="54a6b218-bbd4-4f7c-a6b7-a9c81ddcb214" targetNamespace="http://schemas.microsoft.com/office/2006/metadata/properties" ma:root="true" ma:fieldsID="485f59923a081aa5e550f35aa2fc692d" ns2:_="">
    <xsd:import namespace="54a6b218-bbd4-4f7c-a6b7-a9c81ddcb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a6b218-bbd4-4f7c-a6b7-a9c81ddcb2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7D51D7-D38B-432B-8AC9-06A3E6EDB6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a6b218-bbd4-4f7c-a6b7-a9c81ddcb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97496F-ADDB-435A-8196-3AFFD18E3C70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54a6b218-bbd4-4f7c-a6b7-a9c81ddcb214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39B52EC-42B0-4331-BFEA-9A2CFBAA16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зведена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Dmytro Chastkov (OntargIT)</dc:creator>
  <cp:keywords/>
  <dc:description/>
  <cp:lastModifiedBy>I.antonov</cp:lastModifiedBy>
  <cp:revision>1</cp:revision>
  <cp:lastPrinted>2018-07-23T07:47:11Z</cp:lastPrinted>
  <dcterms:created xsi:type="dcterms:W3CDTF">2018-07-17T06:37:41Z</dcterms:created>
  <dcterms:modified xsi:type="dcterms:W3CDTF">2025-11-18T14:15:17Z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0x010100D7DE9155FF087646B26748F8ADFEA557</vt:lpwstr>
  </property>
</Properties>
</file>
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Октябрь_25\Данные\Строительство\"/>
    </mc:Choice>
  </mc:AlternateContent>
  <xr:revisionPtr revIDLastSave="0" documentId="13_ncr:1_{8F1F8F9E-3D5E-483A-94C8-D8CF22987A29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9" i="1" l="1"/>
  <c r="D88" i="1"/>
  <c r="D85" i="1"/>
  <c r="D76" i="1"/>
  <c r="D75" i="1"/>
  <c r="D73" i="1"/>
  <c r="D74" i="1"/>
  <c r="D70" i="1"/>
  <c r="D71" i="1" s="1"/>
</calcChain>
</file>

<file path=xl/sharedStrings.xml><?xml version="1.0" encoding="utf-8"?>
<sst xmlns="http://schemas.openxmlformats.org/spreadsheetml/2006/main" count="612" uniqueCount="236">
  <si>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</si>
  <si>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</si>
  <si>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</si>
  <si>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</si>
  <si>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</si>
  <si>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</si>
  <si>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</si>
  <si>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</si>
  <si>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</si>
  <si>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КАТЕРИНОПІЛЬСЬКИЙ ЕЛЕВАТОР ТОВ</t>
  </si>
  <si>
    <t>грн</t>
  </si>
  <si>
    <t>Виробничий (Катеринопіль МХП)</t>
  </si>
  <si>
    <t>ТОВ "ІНДАСТРІАЛБУД"</t>
  </si>
  <si>
    <t>Хлань Елена</t>
  </si>
  <si>
    <t>АГРОФІРМА ІМ. ДОВЖЕНКА ТОВ</t>
  </si>
  <si>
    <t>Виробничий (Астарта_Тищенки)</t>
  </si>
  <si>
    <t>АСТАРТА АГРО ПРОТЕЇН ТОВ</t>
  </si>
  <si>
    <t>Виробничий (Глобине-2)</t>
  </si>
  <si>
    <t>Аулова Маргарита</t>
  </si>
  <si>
    <t>НІЖИНСЬКИЙ ЖИРКОМБІНАТ ПрАТ</t>
  </si>
  <si>
    <t>Виробничий (Ніжин-4)</t>
  </si>
  <si>
    <t>Астарта.Тищенки</t>
  </si>
  <si>
    <t>Глобино-2</t>
  </si>
  <si>
    <t>МХП Катеринополь</t>
  </si>
  <si>
    <t>Нежин-4</t>
  </si>
  <si>
    <t>01.10.2025 10:46:44</t>
  </si>
  <si>
    <t>ІБ00-000641</t>
  </si>
  <si>
    <t>Акт 10 № 09/05/2025ВО від 09.05.2025</t>
  </si>
  <si>
    <t>01.10.2025 11:02:13</t>
  </si>
  <si>
    <t>ІБ00-000642</t>
  </si>
  <si>
    <t>Акт 19</t>
  </si>
  <si>
    <t>01.10.2025 11:02:36</t>
  </si>
  <si>
    <t>ІБ00-000643</t>
  </si>
  <si>
    <t>Акт 20</t>
  </si>
  <si>
    <t>01.10.2025 11:03:29</t>
  </si>
  <si>
    <t>ІБ00-000644</t>
  </si>
  <si>
    <t>Акт 21</t>
  </si>
  <si>
    <t>01.10.2025 18:12:51</t>
  </si>
  <si>
    <t>ІБ00-000661</t>
  </si>
  <si>
    <t>Акт 1 № 12/05/2025/ВО від 12.05.2025</t>
  </si>
  <si>
    <t>01.10.2025 19:00:15</t>
  </si>
  <si>
    <t>ІБ00-000677</t>
  </si>
  <si>
    <t>Акт 1 ДУ 3 № 09/05/2025ВО від 09.05.2025</t>
  </si>
  <si>
    <t>02.10.2025 00:00:00</t>
  </si>
  <si>
    <t>ІБ00-000621</t>
  </si>
  <si>
    <t xml:space="preserve"> Акт 30/1.9-КБ (СПК)</t>
  </si>
  <si>
    <t>ІБ00-000622</t>
  </si>
  <si>
    <t>Акт 75/1.3-КМ(Цех екстракції поз. 3 ГБ)</t>
  </si>
  <si>
    <t>ІБ00-000623</t>
  </si>
  <si>
    <t xml:space="preserve"> Акт 22/1.14-КМ (Котельня)</t>
  </si>
  <si>
    <t>ІБ00-000624</t>
  </si>
  <si>
    <t xml:space="preserve"> Акт 25/1.9-ЗБ</t>
  </si>
  <si>
    <t>ІБ00-000625</t>
  </si>
  <si>
    <t xml:space="preserve"> Акт 11/1.25 (Демонтажні роботи) </t>
  </si>
  <si>
    <t>ІБ00-000626</t>
  </si>
  <si>
    <t xml:space="preserve"> Акт 9/1.1-АР</t>
  </si>
  <si>
    <t>ІБ00-000628</t>
  </si>
  <si>
    <t xml:space="preserve"> Акт 1/1.17-КБ Очисні споруди</t>
  </si>
  <si>
    <t>ІБ00-000629</t>
  </si>
  <si>
    <t>Акт 76/1.3-КМ(Цех екстракції поз. 3 ГБ)</t>
  </si>
  <si>
    <t>ІБ00-000630</t>
  </si>
  <si>
    <t>Акт 77/1.3-КМ(Цех екстракції поз. 3 ГБ)</t>
  </si>
  <si>
    <t>ІБ00-000631</t>
  </si>
  <si>
    <t>Акт 78/1.3-КМ(Цех екстракції поз. 3 ГБ)</t>
  </si>
  <si>
    <t>ІБ00-000632</t>
  </si>
  <si>
    <t>Акт 79/1.3-КМ(Цех екстракції поз. 3 ГБ)</t>
  </si>
  <si>
    <t>ІБ00-000633</t>
  </si>
  <si>
    <t>Акт 18/1.16-КБ (Насосна пожежогасіння поз.7 по ГП)</t>
  </si>
  <si>
    <t>06.10.2025 16:48:18</t>
  </si>
  <si>
    <t>ІБ00-000654</t>
  </si>
  <si>
    <t>Корівник №7 АВР № 2-08</t>
  </si>
  <si>
    <t>07.10.2025 20:16:52</t>
  </si>
  <si>
    <t>ІБ00-000669</t>
  </si>
  <si>
    <t>Акт 7 (Транспортна галерея)</t>
  </si>
  <si>
    <t>13.10.2025 09:08:35</t>
  </si>
  <si>
    <t>ІБ00-000637</t>
  </si>
  <si>
    <t>Акт 20/1.4-КБ (резервуар для зберігання розчинника)</t>
  </si>
  <si>
    <t>13.10.2025 09:09:16</t>
  </si>
  <si>
    <t>ІБ00-000638</t>
  </si>
  <si>
    <t xml:space="preserve"> Акт 20/1.9-КМ (СПК)</t>
  </si>
  <si>
    <t>13.10.2025 13:21:24</t>
  </si>
  <si>
    <t>ІБ00-000655</t>
  </si>
  <si>
    <t xml:space="preserve"> Акт 21/1.1-КБ (АПК)</t>
  </si>
  <si>
    <t>13.10.2025 13:25:16</t>
  </si>
  <si>
    <t>ІБ00-000656</t>
  </si>
  <si>
    <t>Акт 80/1.3-КМ(Цех екстракції поз. 3 ГБ)</t>
  </si>
  <si>
    <t>13.10.2025 13:26:53</t>
  </si>
  <si>
    <t>ІБ00-000657</t>
  </si>
  <si>
    <t>Акт 81/1.3-КМ(Цех екстракції поз. 3 ГБ)</t>
  </si>
  <si>
    <t>13.10.2025 13:28:31</t>
  </si>
  <si>
    <t>ІБ00-000658</t>
  </si>
  <si>
    <t>Акт 82/1.3-КМ(Цех екстракції поз. 3 ГБ)</t>
  </si>
  <si>
    <t>13.10.2025 13:31:11</t>
  </si>
  <si>
    <t>ІБ00-000664</t>
  </si>
  <si>
    <t>Корівник № 6 Акт  1-06</t>
  </si>
  <si>
    <t>13.10.2025 13:31:19</t>
  </si>
  <si>
    <t>ІБ00-000659</t>
  </si>
  <si>
    <t>Акт 33/1.3-КБ(Цех екстракції поз. 3 ГБ)</t>
  </si>
  <si>
    <t>13.10.2025 13:34:57</t>
  </si>
  <si>
    <t>ІБ00-000665</t>
  </si>
  <si>
    <t>Корівник №7 АВР № 2-09</t>
  </si>
  <si>
    <t>13.10.2025 13:37:15</t>
  </si>
  <si>
    <t>ІБ00-000666</t>
  </si>
  <si>
    <t>Доїльно-молочний блок Акт 4-04</t>
  </si>
  <si>
    <t>20.10.2025 18:22:44</t>
  </si>
  <si>
    <t>ІБ00-000685</t>
  </si>
  <si>
    <t>Акт 11 № 09/05/2025ВО від 09.05.2025</t>
  </si>
  <si>
    <t>21.10.2025 08:14:53</t>
  </si>
  <si>
    <t>ІБ00-000671</t>
  </si>
  <si>
    <t>Акт 34/1.3-КБ(Цех екстракції поз. 3 ГБ)</t>
  </si>
  <si>
    <t>21.10.2025 08:15:56</t>
  </si>
  <si>
    <t>ІБ00-000672</t>
  </si>
  <si>
    <t xml:space="preserve"> Акт 10/1.1-АР</t>
  </si>
  <si>
    <t>21.10.2025 08:16:59</t>
  </si>
  <si>
    <t>ІБ00-000673</t>
  </si>
  <si>
    <t xml:space="preserve"> Акт 21/1.9-КМ (СПК)</t>
  </si>
  <si>
    <t>21.10.2025 09:41:05</t>
  </si>
  <si>
    <t>ІБ00-000675</t>
  </si>
  <si>
    <t xml:space="preserve"> Акт 22/1.9-КМ (СПК)</t>
  </si>
  <si>
    <t>21.10.2025 11:42:31</t>
  </si>
  <si>
    <t>ІБ00-000680</t>
  </si>
  <si>
    <t>Корівник № 6 Акт  1-07</t>
  </si>
  <si>
    <t>21.10.2025 11:43:11</t>
  </si>
  <si>
    <t>ІБ00-000681</t>
  </si>
  <si>
    <t>Корівник № 6 Акт  1-08</t>
  </si>
  <si>
    <t>21.10.2025 12:32:43</t>
  </si>
  <si>
    <t>ІБ00-000683</t>
  </si>
  <si>
    <t>Корівник №7 АВР № 2-11</t>
  </si>
  <si>
    <t>21.10.2025 12:51:07</t>
  </si>
  <si>
    <t>ІБ00-000684</t>
  </si>
  <si>
    <t>Ємність освітлених вод Акт  3-04</t>
  </si>
  <si>
    <t>21.10.2025 15:02:15</t>
  </si>
  <si>
    <t>ІБ00-000678</t>
  </si>
  <si>
    <t>Акт 83/1.3-КМ(Цех екстракції поз. 3 ГБ)</t>
  </si>
  <si>
    <t>21.10.2025 18:44:57</t>
  </si>
  <si>
    <t>ІБ00-000724</t>
  </si>
  <si>
    <t>Корівник №7 АВР № 2-10</t>
  </si>
  <si>
    <t>22.10.2025 18:15:33</t>
  </si>
  <si>
    <t>ІБ00-000697</t>
  </si>
  <si>
    <t>Акт 8 (Транспортна галерея)</t>
  </si>
  <si>
    <t>23.10.2025 18:14:41</t>
  </si>
  <si>
    <t>ІБ00-000701</t>
  </si>
  <si>
    <t>Акт 6 (Охолодження макухи)</t>
  </si>
  <si>
    <t>27.10.2025 08:13:24</t>
  </si>
  <si>
    <t>ІБ00-000670</t>
  </si>
  <si>
    <t xml:space="preserve"> Акт 2/1.17-КБ Очисні Споруди</t>
  </si>
  <si>
    <t>27.10.2025 09:39:49</t>
  </si>
  <si>
    <t>ІБ00-000674</t>
  </si>
  <si>
    <t xml:space="preserve"> Акт 1/1.12-АР меляса</t>
  </si>
  <si>
    <t>27.10.2025 09:40:20</t>
  </si>
  <si>
    <t>ІБ00-000698</t>
  </si>
  <si>
    <t>Корівник № 6 Акт  1-09</t>
  </si>
  <si>
    <t>27.10.2025 10:02:27</t>
  </si>
  <si>
    <t>ІБ00-000699</t>
  </si>
  <si>
    <t>Корівник №7 АВР № 2-12</t>
  </si>
  <si>
    <t>27.10.2025 10:17:47</t>
  </si>
  <si>
    <t>ІБ00-000700</t>
  </si>
  <si>
    <t>Ємність освітлених вод Акт  3-05</t>
  </si>
  <si>
    <t>27.10.2025 14:53:39</t>
  </si>
  <si>
    <t>ІБ00-000691</t>
  </si>
  <si>
    <t xml:space="preserve"> Акт 4/1.7-КМ</t>
  </si>
  <si>
    <t>27.10.2025 14:56:57</t>
  </si>
  <si>
    <t>ІБ00-000692</t>
  </si>
  <si>
    <t xml:space="preserve"> Акт 23/1.9-КМ (СПК)</t>
  </si>
  <si>
    <t>27.10.2025 14:59:20</t>
  </si>
  <si>
    <t>ІБ00-000693</t>
  </si>
  <si>
    <t>Акт 85/1.3-КМ(Цех екстракції поз. 3 ГБ)</t>
  </si>
  <si>
    <t>27.10.2025 14:59:46</t>
  </si>
  <si>
    <t>ІБ00-000694</t>
  </si>
  <si>
    <t>Акт 86/1.3-КМ(Цех екстракції поз. 3 ГБ)</t>
  </si>
  <si>
    <t>27.10.2025 15:00:20</t>
  </si>
  <si>
    <t>ІБ00-000695</t>
  </si>
  <si>
    <t>Акт 35/1.3-КБ(Цех екстракції поз. 3 ГБ)</t>
  </si>
  <si>
    <t>27.10.2025 15:01:10</t>
  </si>
  <si>
    <t>ІБ00-000696</t>
  </si>
  <si>
    <t xml:space="preserve"> Акт 20/1.14-АР (Котельня)</t>
  </si>
  <si>
    <t>27.10.2025 15:41:47</t>
  </si>
  <si>
    <t>ІБ00-000702</t>
  </si>
  <si>
    <t>Акт 84/1.3-КМ(Цех екстракції поз. 3 ГБ)</t>
  </si>
  <si>
    <t>27.10.2025 15:44:14</t>
  </si>
  <si>
    <t>ІБ00-000703</t>
  </si>
  <si>
    <t xml:space="preserve"> Акт 19/1.26_Б</t>
  </si>
  <si>
    <t>27.10.2025 16:41:55</t>
  </si>
  <si>
    <t>ІБ00-000716</t>
  </si>
  <si>
    <t>Акт 22</t>
  </si>
  <si>
    <t>27.10.2025 16:43:00</t>
  </si>
  <si>
    <t>ІБ00-000717</t>
  </si>
  <si>
    <t>Акт 23</t>
  </si>
  <si>
    <t>27.10.2025 16:43:51</t>
  </si>
  <si>
    <t>ІБ00-000718</t>
  </si>
  <si>
    <t>Акт 25</t>
  </si>
  <si>
    <t>27.10.2025 16:44:29</t>
  </si>
  <si>
    <t>ІБ00-000719</t>
  </si>
  <si>
    <t>Акт 27</t>
  </si>
  <si>
    <t>29.10.2025 14:47:28</t>
  </si>
  <si>
    <t>ІБ00-000689</t>
  </si>
  <si>
    <t xml:space="preserve"> Акт 3/1.17-КБ Очисні Споруди</t>
  </si>
  <si>
    <t>29.10.2025 14:49:52</t>
  </si>
  <si>
    <t>ІБ00-000690</t>
  </si>
  <si>
    <t xml:space="preserve"> Акт 11/1.1-АР</t>
  </si>
  <si>
    <t>29.10.2025 15:06:02</t>
  </si>
  <si>
    <t>ІБ00-000627</t>
  </si>
  <si>
    <t xml:space="preserve"> Акт 21/1.14-АР (Котельня)</t>
  </si>
  <si>
    <t>29.10.2025 16:28:37</t>
  </si>
  <si>
    <t>ІБ00-000708</t>
  </si>
  <si>
    <t>Акт 87/1.3-КМ(Цех екстракції поз. 3 ГБ)</t>
  </si>
  <si>
    <t>29.10.2025 16:29:01</t>
  </si>
  <si>
    <t>ІБ00-000709</t>
  </si>
  <si>
    <t>Акт 88/1.3-КМ(Цех екстракції поз. 3 ГБ)</t>
  </si>
  <si>
    <t>29.10.2025 16:30:36</t>
  </si>
  <si>
    <t>ІБ00-000711</t>
  </si>
  <si>
    <t>Акт 4/1.5-АР (насосна,градирня)</t>
  </si>
  <si>
    <t>29.10.2025 16:31:10</t>
  </si>
  <si>
    <t>ІБ00-000712</t>
  </si>
  <si>
    <t xml:space="preserve"> Акт 24/1.9-КМ (СПК)</t>
  </si>
  <si>
    <t>31.10.2025 13:30:28</t>
  </si>
  <si>
    <t>ІБ00-000715</t>
  </si>
  <si>
    <t>Доїльно-молочний блок Акт 4-05</t>
  </si>
  <si>
    <t>Вид операції</t>
  </si>
  <si>
    <t>Склад</t>
  </si>
  <si>
    <t>02.10.2025 12:35:30</t>
  </si>
  <si>
    <t>ІБ00-000058</t>
  </si>
  <si>
    <t>Продаж, комісія</t>
  </si>
  <si>
    <t>Цех екстракції (Глобине)</t>
  </si>
  <si>
    <t>пєрєпровєріть :)</t>
  </si>
  <si>
    <t>03.10.2025 14:24:06</t>
  </si>
  <si>
    <t>ІБ00-000059</t>
  </si>
  <si>
    <t>Глобине-2</t>
  </si>
  <si>
    <t>20.10.2025 00:00:00</t>
  </si>
  <si>
    <t>ІБ00-000063</t>
  </si>
  <si>
    <t>22.10.2025 11:13:52</t>
  </si>
  <si>
    <t>ІБ00-000065</t>
  </si>
  <si>
    <t>24.10.2025 10:00:00</t>
  </si>
  <si>
    <t>ІБ00-000064</t>
  </si>
  <si>
    <t>Астарта_Тищенки</t>
  </si>
  <si>
    <t>пєрєпровєріть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</si>
</sst>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0"/>
      <color indexed="63"/>
      <name val="Arial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0" fontId="4" fillId="2" borderId="1" xfId="1" applyNumberFormat="1" applyFont="1" applyFill="1" applyBorder="1" applyAlignment="1">
      <alignment horizontal="left" vertical="top"/>
    </xf>
    <xf numFmtId="4" fontId="5" fillId="0" borderId="0" xfId="0" applyNumberFormat="1" applyFont="1"/>
  </cellXfs>
  <cellStyles count="2">
    <cellStyle name="Обычный" xfId="0" builtinId="0"/>
    <cellStyle name="Обычный_Sheet1" xfId="1" xr:uid="{A4CBD336-2455-4BFE-AA39-A0D27E8D5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topLeftCell="A43" workbookViewId="0">
      <selection activeCell="E97" sqref="E97"/>
    </sheetView>
  </sheetViews>
  <sheetFormatPr defaultRowHeight="14.4" x14ac:dyDescent="0.3"/>
  <cols>
    <col min="1" max="1" width="14" bestFit="1" customWidth="1"/>
    <col min="2" max="2" width="9.21875" bestFit="1" customWidth="1"/>
    <col min="3" max="3" width="33" bestFit="1" customWidth="1"/>
    <col min="4" max="4" width="12.33203125" bestFit="1" customWidth="1"/>
    <col min="5" max="5" width="7.6640625" bestFit="1" customWidth="1"/>
    <col min="6" max="6" width="26" bestFit="1" customWidth="1"/>
    <col min="7" max="7" width="16.6640625" bestFit="1" customWidth="1"/>
    <col min="8" max="8" width="14.5546875" bestFit="1" customWidth="1"/>
    <col min="9" max="9" width="47.664062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2" t="s">
        <v>25</v>
      </c>
      <c r="B2" s="2" t="s">
        <v>26</v>
      </c>
      <c r="C2" s="2" t="s">
        <v>9</v>
      </c>
      <c r="D2" s="3">
        <v>169607.82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27</v>
      </c>
    </row>
    <row r="3" spans="1:9" x14ac:dyDescent="0.3">
      <c r="A3" s="2" t="s">
        <v>28</v>
      </c>
      <c r="B3" s="2" t="s">
        <v>29</v>
      </c>
      <c r="C3" s="2" t="s">
        <v>19</v>
      </c>
      <c r="D3" s="3">
        <v>20000</v>
      </c>
      <c r="E3" s="2" t="s">
        <v>10</v>
      </c>
      <c r="F3" s="2" t="s">
        <v>20</v>
      </c>
      <c r="G3" s="2" t="s">
        <v>12</v>
      </c>
      <c r="H3" s="2" t="s">
        <v>13</v>
      </c>
      <c r="I3" s="2" t="s">
        <v>30</v>
      </c>
    </row>
    <row r="4" spans="1:9" x14ac:dyDescent="0.3">
      <c r="A4" s="2" t="s">
        <v>31</v>
      </c>
      <c r="B4" s="2" t="s">
        <v>32</v>
      </c>
      <c r="C4" s="2" t="s">
        <v>19</v>
      </c>
      <c r="D4" s="3">
        <v>307868.3</v>
      </c>
      <c r="E4" s="2" t="s">
        <v>10</v>
      </c>
      <c r="F4" s="2" t="s">
        <v>20</v>
      </c>
      <c r="G4" s="2" t="s">
        <v>12</v>
      </c>
      <c r="H4" s="2" t="s">
        <v>13</v>
      </c>
      <c r="I4" s="2" t="s">
        <v>33</v>
      </c>
    </row>
    <row r="5" spans="1:9" x14ac:dyDescent="0.3">
      <c r="A5" s="2" t="s">
        <v>34</v>
      </c>
      <c r="B5" s="2" t="s">
        <v>35</v>
      </c>
      <c r="C5" s="2" t="s">
        <v>19</v>
      </c>
      <c r="D5" s="3">
        <v>1121667</v>
      </c>
      <c r="E5" s="2" t="s">
        <v>10</v>
      </c>
      <c r="F5" s="2" t="s">
        <v>20</v>
      </c>
      <c r="G5" s="2" t="s">
        <v>12</v>
      </c>
      <c r="H5" s="2" t="s">
        <v>13</v>
      </c>
      <c r="I5" s="2" t="s">
        <v>36</v>
      </c>
    </row>
    <row r="6" spans="1:9" x14ac:dyDescent="0.3">
      <c r="A6" s="2" t="s">
        <v>37</v>
      </c>
      <c r="B6" s="2" t="s">
        <v>38</v>
      </c>
      <c r="C6" s="2" t="s">
        <v>9</v>
      </c>
      <c r="D6" s="3">
        <v>869299.69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39</v>
      </c>
    </row>
    <row r="7" spans="1:9" x14ac:dyDescent="0.3">
      <c r="A7" s="2" t="s">
        <v>40</v>
      </c>
      <c r="B7" s="2" t="s">
        <v>41</v>
      </c>
      <c r="C7" s="2" t="s">
        <v>9</v>
      </c>
      <c r="D7" s="3">
        <v>111924.89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42</v>
      </c>
    </row>
    <row r="8" spans="1:9" x14ac:dyDescent="0.3">
      <c r="A8" s="2" t="s">
        <v>43</v>
      </c>
      <c r="B8" s="2" t="s">
        <v>44</v>
      </c>
      <c r="C8" s="2" t="s">
        <v>16</v>
      </c>
      <c r="D8" s="3">
        <v>9479.24</v>
      </c>
      <c r="E8" s="2" t="s">
        <v>10</v>
      </c>
      <c r="F8" s="2" t="s">
        <v>17</v>
      </c>
      <c r="G8" s="2" t="s">
        <v>12</v>
      </c>
      <c r="H8" s="2" t="s">
        <v>13</v>
      </c>
      <c r="I8" s="2" t="s">
        <v>45</v>
      </c>
    </row>
    <row r="9" spans="1:9" x14ac:dyDescent="0.3">
      <c r="A9" s="2" t="s">
        <v>43</v>
      </c>
      <c r="B9" s="2" t="s">
        <v>46</v>
      </c>
      <c r="C9" s="2" t="s">
        <v>16</v>
      </c>
      <c r="D9" s="3">
        <v>3072177.08</v>
      </c>
      <c r="E9" s="2" t="s">
        <v>10</v>
      </c>
      <c r="F9" s="2" t="s">
        <v>17</v>
      </c>
      <c r="G9" s="2" t="s">
        <v>12</v>
      </c>
      <c r="H9" s="2" t="s">
        <v>13</v>
      </c>
      <c r="I9" s="2" t="s">
        <v>47</v>
      </c>
    </row>
    <row r="10" spans="1:9" x14ac:dyDescent="0.3">
      <c r="A10" s="2" t="s">
        <v>43</v>
      </c>
      <c r="B10" s="2" t="s">
        <v>48</v>
      </c>
      <c r="C10" s="2" t="s">
        <v>16</v>
      </c>
      <c r="D10" s="3">
        <v>32011.69</v>
      </c>
      <c r="E10" s="2" t="s">
        <v>10</v>
      </c>
      <c r="F10" s="2" t="s">
        <v>17</v>
      </c>
      <c r="G10" s="2" t="s">
        <v>12</v>
      </c>
      <c r="H10" s="2" t="s">
        <v>13</v>
      </c>
      <c r="I10" s="2" t="s">
        <v>49</v>
      </c>
    </row>
    <row r="11" spans="1:9" x14ac:dyDescent="0.3">
      <c r="A11" s="2" t="s">
        <v>43</v>
      </c>
      <c r="B11" s="2" t="s">
        <v>50</v>
      </c>
      <c r="C11" s="2" t="s">
        <v>16</v>
      </c>
      <c r="D11" s="3">
        <v>6389.12</v>
      </c>
      <c r="E11" s="2" t="s">
        <v>10</v>
      </c>
      <c r="F11" s="2" t="s">
        <v>17</v>
      </c>
      <c r="G11" s="2" t="s">
        <v>12</v>
      </c>
      <c r="H11" s="2" t="s">
        <v>13</v>
      </c>
      <c r="I11" s="2" t="s">
        <v>51</v>
      </c>
    </row>
    <row r="12" spans="1:9" x14ac:dyDescent="0.3">
      <c r="A12" s="2" t="s">
        <v>43</v>
      </c>
      <c r="B12" s="2" t="s">
        <v>52</v>
      </c>
      <c r="C12" s="2" t="s">
        <v>16</v>
      </c>
      <c r="D12" s="3">
        <v>17749.73</v>
      </c>
      <c r="E12" s="2" t="s">
        <v>10</v>
      </c>
      <c r="F12" s="2" t="s">
        <v>17</v>
      </c>
      <c r="G12" s="2" t="s">
        <v>12</v>
      </c>
      <c r="H12" s="2" t="s">
        <v>13</v>
      </c>
      <c r="I12" s="2" t="s">
        <v>53</v>
      </c>
    </row>
    <row r="13" spans="1:9" x14ac:dyDescent="0.3">
      <c r="A13" s="2" t="s">
        <v>43</v>
      </c>
      <c r="B13" s="2" t="s">
        <v>54</v>
      </c>
      <c r="C13" s="2" t="s">
        <v>16</v>
      </c>
      <c r="D13" s="3">
        <v>221274.13</v>
      </c>
      <c r="E13" s="2" t="s">
        <v>10</v>
      </c>
      <c r="F13" s="2" t="s">
        <v>17</v>
      </c>
      <c r="G13" s="2" t="s">
        <v>12</v>
      </c>
      <c r="H13" s="2" t="s">
        <v>13</v>
      </c>
      <c r="I13" s="2" t="s">
        <v>55</v>
      </c>
    </row>
    <row r="14" spans="1:9" x14ac:dyDescent="0.3">
      <c r="A14" s="2" t="s">
        <v>43</v>
      </c>
      <c r="B14" s="2" t="s">
        <v>56</v>
      </c>
      <c r="C14" s="2" t="s">
        <v>16</v>
      </c>
      <c r="D14" s="3">
        <v>309053.75</v>
      </c>
      <c r="E14" s="2" t="s">
        <v>10</v>
      </c>
      <c r="F14" s="2" t="s">
        <v>17</v>
      </c>
      <c r="G14" s="2" t="s">
        <v>12</v>
      </c>
      <c r="H14" s="2" t="s">
        <v>13</v>
      </c>
      <c r="I14" s="2" t="s">
        <v>57</v>
      </c>
    </row>
    <row r="15" spans="1:9" x14ac:dyDescent="0.3">
      <c r="A15" s="2" t="s">
        <v>43</v>
      </c>
      <c r="B15" s="2" t="s">
        <v>58</v>
      </c>
      <c r="C15" s="2" t="s">
        <v>16</v>
      </c>
      <c r="D15" s="3">
        <v>1710923.7</v>
      </c>
      <c r="E15" s="2" t="s">
        <v>10</v>
      </c>
      <c r="F15" s="2" t="s">
        <v>17</v>
      </c>
      <c r="G15" s="2" t="s">
        <v>12</v>
      </c>
      <c r="H15" s="2" t="s">
        <v>13</v>
      </c>
      <c r="I15" s="2" t="s">
        <v>59</v>
      </c>
    </row>
    <row r="16" spans="1:9" x14ac:dyDescent="0.3">
      <c r="A16" s="2" t="s">
        <v>43</v>
      </c>
      <c r="B16" s="2" t="s">
        <v>60</v>
      </c>
      <c r="C16" s="2" t="s">
        <v>16</v>
      </c>
      <c r="D16" s="3">
        <v>1679596.7</v>
      </c>
      <c r="E16" s="2" t="s">
        <v>10</v>
      </c>
      <c r="F16" s="2" t="s">
        <v>17</v>
      </c>
      <c r="G16" s="2" t="s">
        <v>12</v>
      </c>
      <c r="H16" s="2" t="s">
        <v>13</v>
      </c>
      <c r="I16" s="2" t="s">
        <v>61</v>
      </c>
    </row>
    <row r="17" spans="1:9" x14ac:dyDescent="0.3">
      <c r="A17" s="2" t="s">
        <v>43</v>
      </c>
      <c r="B17" s="2" t="s">
        <v>62</v>
      </c>
      <c r="C17" s="2" t="s">
        <v>16</v>
      </c>
      <c r="D17" s="3">
        <v>1529167.57</v>
      </c>
      <c r="E17" s="2" t="s">
        <v>10</v>
      </c>
      <c r="F17" s="2" t="s">
        <v>17</v>
      </c>
      <c r="G17" s="2" t="s">
        <v>12</v>
      </c>
      <c r="H17" s="2" t="s">
        <v>13</v>
      </c>
      <c r="I17" s="2" t="s">
        <v>63</v>
      </c>
    </row>
    <row r="18" spans="1:9" x14ac:dyDescent="0.3">
      <c r="A18" s="2" t="s">
        <v>43</v>
      </c>
      <c r="B18" s="2" t="s">
        <v>64</v>
      </c>
      <c r="C18" s="2" t="s">
        <v>16</v>
      </c>
      <c r="D18" s="3">
        <v>1709496.06</v>
      </c>
      <c r="E18" s="2" t="s">
        <v>10</v>
      </c>
      <c r="F18" s="2" t="s">
        <v>17</v>
      </c>
      <c r="G18" s="2" t="s">
        <v>12</v>
      </c>
      <c r="H18" s="2" t="s">
        <v>13</v>
      </c>
      <c r="I18" s="2" t="s">
        <v>65</v>
      </c>
    </row>
    <row r="19" spans="1:9" x14ac:dyDescent="0.3">
      <c r="A19" s="2" t="s">
        <v>43</v>
      </c>
      <c r="B19" s="2" t="s">
        <v>66</v>
      </c>
      <c r="C19" s="2" t="s">
        <v>16</v>
      </c>
      <c r="D19" s="3">
        <v>11319.85</v>
      </c>
      <c r="E19" s="2" t="s">
        <v>10</v>
      </c>
      <c r="F19" s="2" t="s">
        <v>17</v>
      </c>
      <c r="G19" s="2" t="s">
        <v>12</v>
      </c>
      <c r="H19" s="2" t="s">
        <v>13</v>
      </c>
      <c r="I19" s="2" t="s">
        <v>67</v>
      </c>
    </row>
    <row r="20" spans="1:9" x14ac:dyDescent="0.3">
      <c r="A20" s="2" t="s">
        <v>68</v>
      </c>
      <c r="B20" s="2" t="s">
        <v>69</v>
      </c>
      <c r="C20" s="2" t="s">
        <v>14</v>
      </c>
      <c r="D20" s="3">
        <v>2365473.9700000002</v>
      </c>
      <c r="E20" s="2" t="s">
        <v>10</v>
      </c>
      <c r="F20" s="2" t="s">
        <v>15</v>
      </c>
      <c r="G20" s="2" t="s">
        <v>12</v>
      </c>
      <c r="H20" s="2" t="s">
        <v>18</v>
      </c>
      <c r="I20" s="2" t="s">
        <v>70</v>
      </c>
    </row>
    <row r="21" spans="1:9" x14ac:dyDescent="0.3">
      <c r="A21" s="2" t="s">
        <v>71</v>
      </c>
      <c r="B21" s="2" t="s">
        <v>72</v>
      </c>
      <c r="C21" s="2" t="s">
        <v>9</v>
      </c>
      <c r="D21" s="3">
        <v>630842.32999999996</v>
      </c>
      <c r="E21" s="2" t="s">
        <v>10</v>
      </c>
      <c r="F21" s="2" t="s">
        <v>11</v>
      </c>
      <c r="G21" s="2" t="s">
        <v>12</v>
      </c>
      <c r="H21" s="2" t="s">
        <v>13</v>
      </c>
      <c r="I21" s="2" t="s">
        <v>73</v>
      </c>
    </row>
    <row r="22" spans="1:9" x14ac:dyDescent="0.3">
      <c r="A22" s="2" t="s">
        <v>74</v>
      </c>
      <c r="B22" s="2" t="s">
        <v>75</v>
      </c>
      <c r="C22" s="2" t="s">
        <v>16</v>
      </c>
      <c r="D22" s="3">
        <v>97710.8</v>
      </c>
      <c r="E22" s="2" t="s">
        <v>10</v>
      </c>
      <c r="F22" s="2" t="s">
        <v>17</v>
      </c>
      <c r="G22" s="2" t="s">
        <v>12</v>
      </c>
      <c r="H22" s="2" t="s">
        <v>13</v>
      </c>
      <c r="I22" s="2" t="s">
        <v>76</v>
      </c>
    </row>
    <row r="23" spans="1:9" x14ac:dyDescent="0.3">
      <c r="A23" s="2" t="s">
        <v>77</v>
      </c>
      <c r="B23" s="2" t="s">
        <v>78</v>
      </c>
      <c r="C23" s="2" t="s">
        <v>16</v>
      </c>
      <c r="D23" s="3">
        <v>1403033.66</v>
      </c>
      <c r="E23" s="2" t="s">
        <v>10</v>
      </c>
      <c r="F23" s="2" t="s">
        <v>17</v>
      </c>
      <c r="G23" s="2" t="s">
        <v>12</v>
      </c>
      <c r="H23" s="2" t="s">
        <v>13</v>
      </c>
      <c r="I23" s="2" t="s">
        <v>79</v>
      </c>
    </row>
    <row r="24" spans="1:9" x14ac:dyDescent="0.3">
      <c r="A24" s="2" t="s">
        <v>80</v>
      </c>
      <c r="B24" s="2" t="s">
        <v>81</v>
      </c>
      <c r="C24" s="2" t="s">
        <v>16</v>
      </c>
      <c r="D24" s="3">
        <v>119171.52</v>
      </c>
      <c r="E24" s="2" t="s">
        <v>10</v>
      </c>
      <c r="F24" s="2" t="s">
        <v>17</v>
      </c>
      <c r="G24" s="2" t="s">
        <v>12</v>
      </c>
      <c r="H24" s="2" t="s">
        <v>18</v>
      </c>
      <c r="I24" s="2" t="s">
        <v>82</v>
      </c>
    </row>
    <row r="25" spans="1:9" x14ac:dyDescent="0.3">
      <c r="A25" s="2" t="s">
        <v>83</v>
      </c>
      <c r="B25" s="2" t="s">
        <v>84</v>
      </c>
      <c r="C25" s="2" t="s">
        <v>16</v>
      </c>
      <c r="D25" s="3">
        <v>3275724.05</v>
      </c>
      <c r="E25" s="2" t="s">
        <v>10</v>
      </c>
      <c r="F25" s="2" t="s">
        <v>17</v>
      </c>
      <c r="G25" s="2" t="s">
        <v>12</v>
      </c>
      <c r="H25" s="2" t="s">
        <v>18</v>
      </c>
      <c r="I25" s="2" t="s">
        <v>85</v>
      </c>
    </row>
    <row r="26" spans="1:9" x14ac:dyDescent="0.3">
      <c r="A26" s="2" t="s">
        <v>86</v>
      </c>
      <c r="B26" s="2" t="s">
        <v>87</v>
      </c>
      <c r="C26" s="2" t="s">
        <v>16</v>
      </c>
      <c r="D26" s="3">
        <v>1779946.51</v>
      </c>
      <c r="E26" s="2" t="s">
        <v>10</v>
      </c>
      <c r="F26" s="2" t="s">
        <v>17</v>
      </c>
      <c r="G26" s="2" t="s">
        <v>12</v>
      </c>
      <c r="H26" s="2" t="s">
        <v>18</v>
      </c>
      <c r="I26" s="2" t="s">
        <v>88</v>
      </c>
    </row>
    <row r="27" spans="1:9" x14ac:dyDescent="0.3">
      <c r="A27" s="2" t="s">
        <v>89</v>
      </c>
      <c r="B27" s="2" t="s">
        <v>90</v>
      </c>
      <c r="C27" s="2" t="s">
        <v>16</v>
      </c>
      <c r="D27" s="3">
        <v>1573713.31</v>
      </c>
      <c r="E27" s="2" t="s">
        <v>10</v>
      </c>
      <c r="F27" s="2" t="s">
        <v>17</v>
      </c>
      <c r="G27" s="2" t="s">
        <v>12</v>
      </c>
      <c r="H27" s="2" t="s">
        <v>18</v>
      </c>
      <c r="I27" s="2" t="s">
        <v>91</v>
      </c>
    </row>
    <row r="28" spans="1:9" x14ac:dyDescent="0.3">
      <c r="A28" s="2" t="s">
        <v>92</v>
      </c>
      <c r="B28" s="2" t="s">
        <v>93</v>
      </c>
      <c r="C28" s="2" t="s">
        <v>14</v>
      </c>
      <c r="D28" s="3">
        <v>540629.86</v>
      </c>
      <c r="E28" s="2" t="s">
        <v>10</v>
      </c>
      <c r="F28" s="2" t="s">
        <v>15</v>
      </c>
      <c r="G28" s="2" t="s">
        <v>12</v>
      </c>
      <c r="H28" s="2" t="s">
        <v>18</v>
      </c>
      <c r="I28" s="2" t="s">
        <v>94</v>
      </c>
    </row>
    <row r="29" spans="1:9" x14ac:dyDescent="0.3">
      <c r="A29" s="2" t="s">
        <v>95</v>
      </c>
      <c r="B29" s="2" t="s">
        <v>96</v>
      </c>
      <c r="C29" s="2" t="s">
        <v>16</v>
      </c>
      <c r="D29" s="3">
        <v>137641.37</v>
      </c>
      <c r="E29" s="2" t="s">
        <v>10</v>
      </c>
      <c r="F29" s="2" t="s">
        <v>17</v>
      </c>
      <c r="G29" s="2" t="s">
        <v>12</v>
      </c>
      <c r="H29" s="2" t="s">
        <v>18</v>
      </c>
      <c r="I29" s="2" t="s">
        <v>97</v>
      </c>
    </row>
    <row r="30" spans="1:9" x14ac:dyDescent="0.3">
      <c r="A30" s="2" t="s">
        <v>98</v>
      </c>
      <c r="B30" s="2" t="s">
        <v>99</v>
      </c>
      <c r="C30" s="2" t="s">
        <v>14</v>
      </c>
      <c r="D30" s="3">
        <v>835612.94</v>
      </c>
      <c r="E30" s="2" t="s">
        <v>10</v>
      </c>
      <c r="F30" s="2" t="s">
        <v>15</v>
      </c>
      <c r="G30" s="2" t="s">
        <v>12</v>
      </c>
      <c r="H30" s="2" t="s">
        <v>18</v>
      </c>
      <c r="I30" s="2" t="s">
        <v>100</v>
      </c>
    </row>
    <row r="31" spans="1:9" x14ac:dyDescent="0.3">
      <c r="A31" s="2" t="s">
        <v>101</v>
      </c>
      <c r="B31" s="2" t="s">
        <v>102</v>
      </c>
      <c r="C31" s="2" t="s">
        <v>14</v>
      </c>
      <c r="D31" s="3">
        <v>232567.03</v>
      </c>
      <c r="E31" s="2" t="s">
        <v>10</v>
      </c>
      <c r="F31" s="2" t="s">
        <v>15</v>
      </c>
      <c r="G31" s="2" t="s">
        <v>12</v>
      </c>
      <c r="H31" s="2" t="s">
        <v>18</v>
      </c>
      <c r="I31" s="2" t="s">
        <v>103</v>
      </c>
    </row>
    <row r="32" spans="1:9" x14ac:dyDescent="0.3">
      <c r="A32" s="2" t="s">
        <v>104</v>
      </c>
      <c r="B32" s="2" t="s">
        <v>105</v>
      </c>
      <c r="C32" s="2" t="s">
        <v>9</v>
      </c>
      <c r="D32" s="3">
        <v>149627.07999999999</v>
      </c>
      <c r="E32" s="2" t="s">
        <v>10</v>
      </c>
      <c r="F32" s="2" t="s">
        <v>11</v>
      </c>
      <c r="G32" s="2" t="s">
        <v>12</v>
      </c>
      <c r="H32" s="2" t="s">
        <v>13</v>
      </c>
      <c r="I32" s="2" t="s">
        <v>106</v>
      </c>
    </row>
    <row r="33" spans="1:9" x14ac:dyDescent="0.3">
      <c r="A33" s="2" t="s">
        <v>107</v>
      </c>
      <c r="B33" s="2" t="s">
        <v>108</v>
      </c>
      <c r="C33" s="2" t="s">
        <v>16</v>
      </c>
      <c r="D33" s="3">
        <v>919976.52</v>
      </c>
      <c r="E33" s="2" t="s">
        <v>10</v>
      </c>
      <c r="F33" s="2" t="s">
        <v>17</v>
      </c>
      <c r="G33" s="2" t="s">
        <v>12</v>
      </c>
      <c r="H33" s="2" t="s">
        <v>18</v>
      </c>
      <c r="I33" s="2" t="s">
        <v>109</v>
      </c>
    </row>
    <row r="34" spans="1:9" x14ac:dyDescent="0.3">
      <c r="A34" s="2" t="s">
        <v>110</v>
      </c>
      <c r="B34" s="2" t="s">
        <v>111</v>
      </c>
      <c r="C34" s="2" t="s">
        <v>16</v>
      </c>
      <c r="D34" s="3">
        <v>394826.27</v>
      </c>
      <c r="E34" s="2" t="s">
        <v>10</v>
      </c>
      <c r="F34" s="2" t="s">
        <v>17</v>
      </c>
      <c r="G34" s="2" t="s">
        <v>12</v>
      </c>
      <c r="H34" s="2" t="s">
        <v>18</v>
      </c>
      <c r="I34" s="2" t="s">
        <v>112</v>
      </c>
    </row>
    <row r="35" spans="1:9" x14ac:dyDescent="0.3">
      <c r="A35" s="2" t="s">
        <v>113</v>
      </c>
      <c r="B35" s="2" t="s">
        <v>114</v>
      </c>
      <c r="C35" s="2" t="s">
        <v>16</v>
      </c>
      <c r="D35" s="3">
        <v>558329.16</v>
      </c>
      <c r="E35" s="2" t="s">
        <v>10</v>
      </c>
      <c r="F35" s="2" t="s">
        <v>17</v>
      </c>
      <c r="G35" s="2" t="s">
        <v>12</v>
      </c>
      <c r="H35" s="2" t="s">
        <v>18</v>
      </c>
      <c r="I35" s="2" t="s">
        <v>115</v>
      </c>
    </row>
    <row r="36" spans="1:9" x14ac:dyDescent="0.3">
      <c r="A36" s="2" t="s">
        <v>116</v>
      </c>
      <c r="B36" s="2" t="s">
        <v>117</v>
      </c>
      <c r="C36" s="2" t="s">
        <v>16</v>
      </c>
      <c r="D36" s="3">
        <v>909170.62</v>
      </c>
      <c r="E36" s="2" t="s">
        <v>10</v>
      </c>
      <c r="F36" s="2" t="s">
        <v>17</v>
      </c>
      <c r="G36" s="2" t="s">
        <v>12</v>
      </c>
      <c r="H36" s="2" t="s">
        <v>13</v>
      </c>
      <c r="I36" s="2" t="s">
        <v>118</v>
      </c>
    </row>
    <row r="37" spans="1:9" x14ac:dyDescent="0.3">
      <c r="A37" s="2" t="s">
        <v>119</v>
      </c>
      <c r="B37" s="2" t="s">
        <v>120</v>
      </c>
      <c r="C37" s="2" t="s">
        <v>14</v>
      </c>
      <c r="D37" s="3">
        <v>62412.19</v>
      </c>
      <c r="E37" s="2" t="s">
        <v>10</v>
      </c>
      <c r="F37" s="2" t="s">
        <v>15</v>
      </c>
      <c r="G37" s="2" t="s">
        <v>12</v>
      </c>
      <c r="H37" s="2" t="s">
        <v>13</v>
      </c>
      <c r="I37" s="2" t="s">
        <v>121</v>
      </c>
    </row>
    <row r="38" spans="1:9" x14ac:dyDescent="0.3">
      <c r="A38" s="2" t="s">
        <v>122</v>
      </c>
      <c r="B38" s="2" t="s">
        <v>123</v>
      </c>
      <c r="C38" s="2" t="s">
        <v>14</v>
      </c>
      <c r="D38" s="3">
        <v>20345.98</v>
      </c>
      <c r="E38" s="2" t="s">
        <v>10</v>
      </c>
      <c r="F38" s="2" t="s">
        <v>15</v>
      </c>
      <c r="G38" s="2" t="s">
        <v>12</v>
      </c>
      <c r="H38" s="2" t="s">
        <v>13</v>
      </c>
      <c r="I38" s="2" t="s">
        <v>124</v>
      </c>
    </row>
    <row r="39" spans="1:9" x14ac:dyDescent="0.3">
      <c r="A39" s="2" t="s">
        <v>125</v>
      </c>
      <c r="B39" s="2" t="s">
        <v>126</v>
      </c>
      <c r="C39" s="2" t="s">
        <v>14</v>
      </c>
      <c r="D39" s="3">
        <v>57351.26</v>
      </c>
      <c r="E39" s="2" t="s">
        <v>10</v>
      </c>
      <c r="F39" s="2" t="s">
        <v>15</v>
      </c>
      <c r="G39" s="2" t="s">
        <v>12</v>
      </c>
      <c r="H39" s="2" t="s">
        <v>13</v>
      </c>
      <c r="I39" s="2" t="s">
        <v>127</v>
      </c>
    </row>
    <row r="40" spans="1:9" x14ac:dyDescent="0.3">
      <c r="A40" s="2" t="s">
        <v>128</v>
      </c>
      <c r="B40" s="2" t="s">
        <v>129</v>
      </c>
      <c r="C40" s="2" t="s">
        <v>14</v>
      </c>
      <c r="D40" s="3">
        <v>743093.86</v>
      </c>
      <c r="E40" s="2" t="s">
        <v>10</v>
      </c>
      <c r="F40" s="2" t="s">
        <v>15</v>
      </c>
      <c r="G40" s="2" t="s">
        <v>12</v>
      </c>
      <c r="H40" s="2" t="s">
        <v>13</v>
      </c>
      <c r="I40" s="2" t="s">
        <v>130</v>
      </c>
    </row>
    <row r="41" spans="1:9" x14ac:dyDescent="0.3">
      <c r="A41" s="2" t="s">
        <v>131</v>
      </c>
      <c r="B41" s="2" t="s">
        <v>132</v>
      </c>
      <c r="C41" s="2" t="s">
        <v>16</v>
      </c>
      <c r="D41" s="3">
        <v>2395975.7400000002</v>
      </c>
      <c r="E41" s="2" t="s">
        <v>10</v>
      </c>
      <c r="F41" s="2" t="s">
        <v>17</v>
      </c>
      <c r="G41" s="2" t="s">
        <v>12</v>
      </c>
      <c r="H41" s="2" t="s">
        <v>13</v>
      </c>
      <c r="I41" s="2" t="s">
        <v>133</v>
      </c>
    </row>
    <row r="42" spans="1:9" x14ac:dyDescent="0.3">
      <c r="A42" s="2" t="s">
        <v>134</v>
      </c>
      <c r="B42" s="2" t="s">
        <v>135</v>
      </c>
      <c r="C42" s="2" t="s">
        <v>14</v>
      </c>
      <c r="D42" s="3">
        <v>2352145.7999999998</v>
      </c>
      <c r="E42" s="2" t="s">
        <v>10</v>
      </c>
      <c r="F42" s="2" t="s">
        <v>15</v>
      </c>
      <c r="G42" s="2" t="s">
        <v>12</v>
      </c>
      <c r="H42" s="2" t="s">
        <v>13</v>
      </c>
      <c r="I42" s="2" t="s">
        <v>136</v>
      </c>
    </row>
    <row r="43" spans="1:9" x14ac:dyDescent="0.3">
      <c r="A43" s="2" t="s">
        <v>137</v>
      </c>
      <c r="B43" s="2" t="s">
        <v>138</v>
      </c>
      <c r="C43" s="2" t="s">
        <v>9</v>
      </c>
      <c r="D43" s="3">
        <v>440198.3</v>
      </c>
      <c r="E43" s="2" t="s">
        <v>10</v>
      </c>
      <c r="F43" s="2" t="s">
        <v>11</v>
      </c>
      <c r="G43" s="2" t="s">
        <v>12</v>
      </c>
      <c r="H43" s="2" t="s">
        <v>13</v>
      </c>
      <c r="I43" s="2" t="s">
        <v>139</v>
      </c>
    </row>
    <row r="44" spans="1:9" x14ac:dyDescent="0.3">
      <c r="A44" s="2" t="s">
        <v>140</v>
      </c>
      <c r="B44" s="2" t="s">
        <v>141</v>
      </c>
      <c r="C44" s="2" t="s">
        <v>9</v>
      </c>
      <c r="D44" s="3">
        <v>213749.52</v>
      </c>
      <c r="E44" s="2" t="s">
        <v>10</v>
      </c>
      <c r="F44" s="2" t="s">
        <v>11</v>
      </c>
      <c r="G44" s="2" t="s">
        <v>12</v>
      </c>
      <c r="H44" s="2" t="s">
        <v>13</v>
      </c>
      <c r="I44" s="2" t="s">
        <v>142</v>
      </c>
    </row>
    <row r="45" spans="1:9" x14ac:dyDescent="0.3">
      <c r="A45" s="2" t="s">
        <v>143</v>
      </c>
      <c r="B45" s="2" t="s">
        <v>144</v>
      </c>
      <c r="C45" s="2" t="s">
        <v>16</v>
      </c>
      <c r="D45" s="3">
        <v>3865019.36</v>
      </c>
      <c r="E45" s="2" t="s">
        <v>10</v>
      </c>
      <c r="F45" s="2" t="s">
        <v>17</v>
      </c>
      <c r="G45" s="2" t="s">
        <v>12</v>
      </c>
      <c r="H45" s="2" t="s">
        <v>18</v>
      </c>
      <c r="I45" s="2" t="s">
        <v>145</v>
      </c>
    </row>
    <row r="46" spans="1:9" x14ac:dyDescent="0.3">
      <c r="A46" s="2" t="s">
        <v>146</v>
      </c>
      <c r="B46" s="2" t="s">
        <v>147</v>
      </c>
      <c r="C46" s="2" t="s">
        <v>16</v>
      </c>
      <c r="D46" s="3">
        <v>1041550.4</v>
      </c>
      <c r="E46" s="2" t="s">
        <v>10</v>
      </c>
      <c r="F46" s="2" t="s">
        <v>17</v>
      </c>
      <c r="G46" s="2" t="s">
        <v>12</v>
      </c>
      <c r="H46" s="2" t="s">
        <v>13</v>
      </c>
      <c r="I46" s="2" t="s">
        <v>148</v>
      </c>
    </row>
    <row r="47" spans="1:9" x14ac:dyDescent="0.3">
      <c r="A47" s="2" t="s">
        <v>149</v>
      </c>
      <c r="B47" s="2" t="s">
        <v>150</v>
      </c>
      <c r="C47" s="2" t="s">
        <v>14</v>
      </c>
      <c r="D47" s="3">
        <v>1114258.49</v>
      </c>
      <c r="E47" s="2" t="s">
        <v>10</v>
      </c>
      <c r="F47" s="2" t="s">
        <v>15</v>
      </c>
      <c r="G47" s="2" t="s">
        <v>12</v>
      </c>
      <c r="H47" s="2" t="s">
        <v>13</v>
      </c>
      <c r="I47" s="2" t="s">
        <v>151</v>
      </c>
    </row>
    <row r="48" spans="1:9" x14ac:dyDescent="0.3">
      <c r="A48" s="2" t="s">
        <v>152</v>
      </c>
      <c r="B48" s="2" t="s">
        <v>153</v>
      </c>
      <c r="C48" s="2" t="s">
        <v>14</v>
      </c>
      <c r="D48" s="3">
        <v>785975.33</v>
      </c>
      <c r="E48" s="2" t="s">
        <v>10</v>
      </c>
      <c r="F48" s="2" t="s">
        <v>15</v>
      </c>
      <c r="G48" s="2" t="s">
        <v>12</v>
      </c>
      <c r="H48" s="2" t="s">
        <v>13</v>
      </c>
      <c r="I48" s="2" t="s">
        <v>154</v>
      </c>
    </row>
    <row r="49" spans="1:9" x14ac:dyDescent="0.3">
      <c r="A49" s="2" t="s">
        <v>155</v>
      </c>
      <c r="B49" s="2" t="s">
        <v>156</v>
      </c>
      <c r="C49" s="2" t="s">
        <v>14</v>
      </c>
      <c r="D49" s="3">
        <v>283502.11</v>
      </c>
      <c r="E49" s="2" t="s">
        <v>10</v>
      </c>
      <c r="F49" s="2" t="s">
        <v>15</v>
      </c>
      <c r="G49" s="2" t="s">
        <v>12</v>
      </c>
      <c r="H49" s="2" t="s">
        <v>13</v>
      </c>
      <c r="I49" s="2" t="s">
        <v>157</v>
      </c>
    </row>
    <row r="50" spans="1:9" x14ac:dyDescent="0.3">
      <c r="A50" s="2" t="s">
        <v>158</v>
      </c>
      <c r="B50" s="2" t="s">
        <v>159</v>
      </c>
      <c r="C50" s="2" t="s">
        <v>16</v>
      </c>
      <c r="D50" s="3">
        <v>291865.86</v>
      </c>
      <c r="E50" s="2" t="s">
        <v>10</v>
      </c>
      <c r="F50" s="2" t="s">
        <v>17</v>
      </c>
      <c r="G50" s="2" t="s">
        <v>12</v>
      </c>
      <c r="H50" s="2" t="s">
        <v>13</v>
      </c>
      <c r="I50" s="2" t="s">
        <v>160</v>
      </c>
    </row>
    <row r="51" spans="1:9" x14ac:dyDescent="0.3">
      <c r="A51" s="2" t="s">
        <v>161</v>
      </c>
      <c r="B51" s="2" t="s">
        <v>162</v>
      </c>
      <c r="C51" s="2" t="s">
        <v>16</v>
      </c>
      <c r="D51" s="3">
        <v>335512.46000000002</v>
      </c>
      <c r="E51" s="2" t="s">
        <v>10</v>
      </c>
      <c r="F51" s="2" t="s">
        <v>17</v>
      </c>
      <c r="G51" s="2" t="s">
        <v>12</v>
      </c>
      <c r="H51" s="2" t="s">
        <v>13</v>
      </c>
      <c r="I51" s="2" t="s">
        <v>163</v>
      </c>
    </row>
    <row r="52" spans="1:9" x14ac:dyDescent="0.3">
      <c r="A52" s="2" t="s">
        <v>164</v>
      </c>
      <c r="B52" s="2" t="s">
        <v>165</v>
      </c>
      <c r="C52" s="2" t="s">
        <v>16</v>
      </c>
      <c r="D52" s="3">
        <v>1735085.02</v>
      </c>
      <c r="E52" s="2" t="s">
        <v>10</v>
      </c>
      <c r="F52" s="2" t="s">
        <v>17</v>
      </c>
      <c r="G52" s="2" t="s">
        <v>12</v>
      </c>
      <c r="H52" s="2" t="s">
        <v>13</v>
      </c>
      <c r="I52" s="2" t="s">
        <v>166</v>
      </c>
    </row>
    <row r="53" spans="1:9" x14ac:dyDescent="0.3">
      <c r="A53" s="2" t="s">
        <v>167</v>
      </c>
      <c r="B53" s="2" t="s">
        <v>168</v>
      </c>
      <c r="C53" s="2" t="s">
        <v>16</v>
      </c>
      <c r="D53" s="3">
        <v>1870467.32</v>
      </c>
      <c r="E53" s="2" t="s">
        <v>10</v>
      </c>
      <c r="F53" s="2" t="s">
        <v>17</v>
      </c>
      <c r="G53" s="2" t="s">
        <v>12</v>
      </c>
      <c r="H53" s="2" t="s">
        <v>13</v>
      </c>
      <c r="I53" s="2" t="s">
        <v>169</v>
      </c>
    </row>
    <row r="54" spans="1:9" x14ac:dyDescent="0.3">
      <c r="A54" s="2" t="s">
        <v>170</v>
      </c>
      <c r="B54" s="2" t="s">
        <v>171</v>
      </c>
      <c r="C54" s="2" t="s">
        <v>16</v>
      </c>
      <c r="D54" s="3">
        <v>1915895.14</v>
      </c>
      <c r="E54" s="2" t="s">
        <v>10</v>
      </c>
      <c r="F54" s="2" t="s">
        <v>17</v>
      </c>
      <c r="G54" s="2" t="s">
        <v>12</v>
      </c>
      <c r="H54" s="2" t="s">
        <v>13</v>
      </c>
      <c r="I54" s="2" t="s">
        <v>172</v>
      </c>
    </row>
    <row r="55" spans="1:9" x14ac:dyDescent="0.3">
      <c r="A55" s="2" t="s">
        <v>173</v>
      </c>
      <c r="B55" s="2" t="s">
        <v>174</v>
      </c>
      <c r="C55" s="2" t="s">
        <v>16</v>
      </c>
      <c r="D55" s="3">
        <v>1770473.88</v>
      </c>
      <c r="E55" s="2" t="s">
        <v>10</v>
      </c>
      <c r="F55" s="2" t="s">
        <v>17</v>
      </c>
      <c r="G55" s="2" t="s">
        <v>12</v>
      </c>
      <c r="H55" s="2" t="s">
        <v>13</v>
      </c>
      <c r="I55" s="2" t="s">
        <v>175</v>
      </c>
    </row>
    <row r="56" spans="1:9" x14ac:dyDescent="0.3">
      <c r="A56" s="2" t="s">
        <v>176</v>
      </c>
      <c r="B56" s="2" t="s">
        <v>177</v>
      </c>
      <c r="C56" s="2" t="s">
        <v>16</v>
      </c>
      <c r="D56" s="3">
        <v>2585748.94</v>
      </c>
      <c r="E56" s="2" t="s">
        <v>10</v>
      </c>
      <c r="F56" s="2" t="s">
        <v>17</v>
      </c>
      <c r="G56" s="2" t="s">
        <v>12</v>
      </c>
      <c r="H56" s="2" t="s">
        <v>13</v>
      </c>
      <c r="I56" s="2" t="s">
        <v>178</v>
      </c>
    </row>
    <row r="57" spans="1:9" x14ac:dyDescent="0.3">
      <c r="A57" s="2" t="s">
        <v>179</v>
      </c>
      <c r="B57" s="2" t="s">
        <v>180</v>
      </c>
      <c r="C57" s="2" t="s">
        <v>16</v>
      </c>
      <c r="D57" s="3">
        <v>70158</v>
      </c>
      <c r="E57" s="2" t="s">
        <v>10</v>
      </c>
      <c r="F57" s="2" t="s">
        <v>17</v>
      </c>
      <c r="G57" s="2" t="s">
        <v>12</v>
      </c>
      <c r="H57" s="2" t="s">
        <v>13</v>
      </c>
      <c r="I57" s="2" t="s">
        <v>181</v>
      </c>
    </row>
    <row r="58" spans="1:9" x14ac:dyDescent="0.3">
      <c r="A58" s="2" t="s">
        <v>182</v>
      </c>
      <c r="B58" s="2" t="s">
        <v>183</v>
      </c>
      <c r="C58" s="2" t="s">
        <v>19</v>
      </c>
      <c r="D58" s="3">
        <v>184077</v>
      </c>
      <c r="E58" s="2" t="s">
        <v>10</v>
      </c>
      <c r="F58" s="2" t="s">
        <v>20</v>
      </c>
      <c r="G58" s="2" t="s">
        <v>12</v>
      </c>
      <c r="H58" s="2" t="s">
        <v>18</v>
      </c>
      <c r="I58" s="2" t="s">
        <v>184</v>
      </c>
    </row>
    <row r="59" spans="1:9" x14ac:dyDescent="0.3">
      <c r="A59" s="2" t="s">
        <v>185</v>
      </c>
      <c r="B59" s="2" t="s">
        <v>186</v>
      </c>
      <c r="C59" s="2" t="s">
        <v>19</v>
      </c>
      <c r="D59" s="3">
        <v>650520</v>
      </c>
      <c r="E59" s="2" t="s">
        <v>10</v>
      </c>
      <c r="F59" s="2" t="s">
        <v>20</v>
      </c>
      <c r="G59" s="2" t="s">
        <v>12</v>
      </c>
      <c r="H59" s="2" t="s">
        <v>18</v>
      </c>
      <c r="I59" s="2" t="s">
        <v>187</v>
      </c>
    </row>
    <row r="60" spans="1:9" x14ac:dyDescent="0.3">
      <c r="A60" s="2" t="s">
        <v>188</v>
      </c>
      <c r="B60" s="2" t="s">
        <v>189</v>
      </c>
      <c r="C60" s="2" t="s">
        <v>19</v>
      </c>
      <c r="D60" s="3">
        <v>327762</v>
      </c>
      <c r="E60" s="2" t="s">
        <v>10</v>
      </c>
      <c r="F60" s="2" t="s">
        <v>20</v>
      </c>
      <c r="G60" s="2" t="s">
        <v>12</v>
      </c>
      <c r="H60" s="2" t="s">
        <v>18</v>
      </c>
      <c r="I60" s="2" t="s">
        <v>190</v>
      </c>
    </row>
    <row r="61" spans="1:9" x14ac:dyDescent="0.3">
      <c r="A61" s="2" t="s">
        <v>191</v>
      </c>
      <c r="B61" s="2" t="s">
        <v>192</v>
      </c>
      <c r="C61" s="2" t="s">
        <v>19</v>
      </c>
      <c r="D61" s="3">
        <v>66529.25</v>
      </c>
      <c r="E61" s="2" t="s">
        <v>10</v>
      </c>
      <c r="F61" s="2" t="s">
        <v>20</v>
      </c>
      <c r="G61" s="2" t="s">
        <v>12</v>
      </c>
      <c r="H61" s="2" t="s">
        <v>18</v>
      </c>
      <c r="I61" s="2" t="s">
        <v>193</v>
      </c>
    </row>
    <row r="62" spans="1:9" x14ac:dyDescent="0.3">
      <c r="A62" s="2" t="s">
        <v>194</v>
      </c>
      <c r="B62" s="2" t="s">
        <v>195</v>
      </c>
      <c r="C62" s="2" t="s">
        <v>16</v>
      </c>
      <c r="D62" s="3">
        <v>2038532.48</v>
      </c>
      <c r="E62" s="2" t="s">
        <v>10</v>
      </c>
      <c r="F62" s="2" t="s">
        <v>17</v>
      </c>
      <c r="G62" s="2" t="s">
        <v>12</v>
      </c>
      <c r="H62" s="2" t="s">
        <v>13</v>
      </c>
      <c r="I62" s="2" t="s">
        <v>196</v>
      </c>
    </row>
    <row r="63" spans="1:9" x14ac:dyDescent="0.3">
      <c r="A63" s="2" t="s">
        <v>197</v>
      </c>
      <c r="B63" s="2" t="s">
        <v>198</v>
      </c>
      <c r="C63" s="2" t="s">
        <v>16</v>
      </c>
      <c r="D63" s="3">
        <v>1402614.05</v>
      </c>
      <c r="E63" s="2" t="s">
        <v>10</v>
      </c>
      <c r="F63" s="2" t="s">
        <v>17</v>
      </c>
      <c r="G63" s="2" t="s">
        <v>12</v>
      </c>
      <c r="H63" s="2" t="s">
        <v>13</v>
      </c>
      <c r="I63" s="2" t="s">
        <v>199</v>
      </c>
    </row>
    <row r="64" spans="1:9" x14ac:dyDescent="0.3">
      <c r="A64" s="2" t="s">
        <v>200</v>
      </c>
      <c r="B64" s="2" t="s">
        <v>201</v>
      </c>
      <c r="C64" s="2" t="s">
        <v>16</v>
      </c>
      <c r="D64" s="3">
        <v>66839.28</v>
      </c>
      <c r="E64" s="2" t="s">
        <v>10</v>
      </c>
      <c r="F64" s="2" t="s">
        <v>17</v>
      </c>
      <c r="G64" s="2" t="s">
        <v>12</v>
      </c>
      <c r="H64" s="2" t="s">
        <v>13</v>
      </c>
      <c r="I64" s="2" t="s">
        <v>202</v>
      </c>
    </row>
    <row r="65" spans="1:10" x14ac:dyDescent="0.3">
      <c r="A65" s="2" t="s">
        <v>203</v>
      </c>
      <c r="B65" s="2" t="s">
        <v>204</v>
      </c>
      <c r="C65" s="2" t="s">
        <v>16</v>
      </c>
      <c r="D65" s="3">
        <v>258808.98</v>
      </c>
      <c r="E65" s="2" t="s">
        <v>10</v>
      </c>
      <c r="F65" s="2" t="s">
        <v>17</v>
      </c>
      <c r="G65" s="2" t="s">
        <v>12</v>
      </c>
      <c r="H65" s="2" t="s">
        <v>13</v>
      </c>
      <c r="I65" s="2" t="s">
        <v>205</v>
      </c>
    </row>
    <row r="66" spans="1:10" x14ac:dyDescent="0.3">
      <c r="A66" s="2" t="s">
        <v>206</v>
      </c>
      <c r="B66" s="2" t="s">
        <v>207</v>
      </c>
      <c r="C66" s="2" t="s">
        <v>16</v>
      </c>
      <c r="D66" s="3">
        <v>1942260.82</v>
      </c>
      <c r="E66" s="2" t="s">
        <v>10</v>
      </c>
      <c r="F66" s="2" t="s">
        <v>17</v>
      </c>
      <c r="G66" s="2" t="s">
        <v>12</v>
      </c>
      <c r="H66" s="2" t="s">
        <v>13</v>
      </c>
      <c r="I66" s="2" t="s">
        <v>208</v>
      </c>
    </row>
    <row r="67" spans="1:10" x14ac:dyDescent="0.3">
      <c r="A67" s="2" t="s">
        <v>209</v>
      </c>
      <c r="B67" s="2" t="s">
        <v>210</v>
      </c>
      <c r="C67" s="2" t="s">
        <v>16</v>
      </c>
      <c r="D67" s="3">
        <v>476520</v>
      </c>
      <c r="E67" s="2" t="s">
        <v>10</v>
      </c>
      <c r="F67" s="2" t="s">
        <v>17</v>
      </c>
      <c r="G67" s="2" t="s">
        <v>12</v>
      </c>
      <c r="H67" s="2" t="s">
        <v>13</v>
      </c>
      <c r="I67" s="2" t="s">
        <v>211</v>
      </c>
    </row>
    <row r="68" spans="1:10" x14ac:dyDescent="0.3">
      <c r="A68" s="2" t="s">
        <v>212</v>
      </c>
      <c r="B68" s="2" t="s">
        <v>213</v>
      </c>
      <c r="C68" s="2" t="s">
        <v>16</v>
      </c>
      <c r="D68" s="3">
        <v>1860873.7</v>
      </c>
      <c r="E68" s="2" t="s">
        <v>10</v>
      </c>
      <c r="F68" s="2" t="s">
        <v>17</v>
      </c>
      <c r="G68" s="2" t="s">
        <v>12</v>
      </c>
      <c r="H68" s="2" t="s">
        <v>13</v>
      </c>
      <c r="I68" s="2" t="s">
        <v>214</v>
      </c>
    </row>
    <row r="69" spans="1:10" x14ac:dyDescent="0.3">
      <c r="A69" s="2" t="s">
        <v>215</v>
      </c>
      <c r="B69" s="2" t="s">
        <v>216</v>
      </c>
      <c r="C69" s="2" t="s">
        <v>14</v>
      </c>
      <c r="D69" s="3">
        <v>770774.17</v>
      </c>
      <c r="E69" s="2" t="s">
        <v>10</v>
      </c>
      <c r="F69" s="2" t="s">
        <v>15</v>
      </c>
      <c r="G69" s="2" t="s">
        <v>12</v>
      </c>
      <c r="H69" s="2" t="s">
        <v>13</v>
      </c>
      <c r="I69" s="2" t="s">
        <v>217</v>
      </c>
    </row>
    <row r="70" spans="1:10" x14ac:dyDescent="0.3">
      <c r="D70" s="4">
        <f>SUM(D2:D69)</f>
        <v>62829900.010000005</v>
      </c>
    </row>
    <row r="71" spans="1:10" x14ac:dyDescent="0.3">
      <c r="D71" s="6">
        <f>D70-D73-D74-D75-D76</f>
        <v>1.1175870895385742E-8</v>
      </c>
    </row>
    <row r="73" spans="1:10" x14ac:dyDescent="0.3">
      <c r="D73" s="4">
        <f>D8+D9+D10+D11+D12+D13+D14+D15+D16+D17+D18+D19+D22+D23+D24+D25+D26+D27+D29+D33+D34+D35+D36+D41+D45+D46+D50+D51+D52+D53+D54+D55+D56+D57+D62+D63+D64+D65+D66+D67+D68</f>
        <v>47402083.839999996</v>
      </c>
      <c r="F73" t="s">
        <v>22</v>
      </c>
    </row>
    <row r="74" spans="1:10" x14ac:dyDescent="0.3">
      <c r="D74" s="4">
        <f>D20+D28+D30+D31+D37+D38+D39+D40+D42+D47+D48+D49+D69</f>
        <v>10164142.989999998</v>
      </c>
      <c r="F74" t="s">
        <v>21</v>
      </c>
    </row>
    <row r="75" spans="1:10" x14ac:dyDescent="0.3">
      <c r="D75" s="4">
        <f>D2+D6+D7+D21+D32+D43+D44</f>
        <v>2585249.63</v>
      </c>
      <c r="F75" t="s">
        <v>23</v>
      </c>
    </row>
    <row r="76" spans="1:10" x14ac:dyDescent="0.3">
      <c r="D76" s="4">
        <f>D3+D4+D5+D58+D59+D60+D61</f>
        <v>2678423.5499999998</v>
      </c>
      <c r="F76" t="s">
        <v>24</v>
      </c>
    </row>
    <row r="79" spans="1:10" x14ac:dyDescent="0.3">
      <c r="A79" s="1" t="s">
        <v>0</v>
      </c>
      <c r="B79" s="1" t="s">
        <v>1</v>
      </c>
      <c r="C79" s="1" t="s">
        <v>218</v>
      </c>
      <c r="D79" s="1" t="s">
        <v>3</v>
      </c>
      <c r="E79" s="1" t="s">
        <v>4</v>
      </c>
      <c r="F79" s="1" t="s">
        <v>2</v>
      </c>
      <c r="G79" s="1" t="s">
        <v>219</v>
      </c>
      <c r="H79" s="1" t="s">
        <v>6</v>
      </c>
      <c r="I79" s="1" t="s">
        <v>7</v>
      </c>
      <c r="J79" s="1" t="s">
        <v>8</v>
      </c>
    </row>
    <row r="80" spans="1:10" x14ac:dyDescent="0.3">
      <c r="A80" s="2" t="s">
        <v>220</v>
      </c>
      <c r="B80" s="2" t="s">
        <v>221</v>
      </c>
      <c r="C80" s="2" t="s">
        <v>222</v>
      </c>
      <c r="D80" s="3">
        <v>3028308.84</v>
      </c>
      <c r="E80" s="2" t="s">
        <v>10</v>
      </c>
      <c r="F80" s="2" t="s">
        <v>16</v>
      </c>
      <c r="G80" s="2" t="s">
        <v>223</v>
      </c>
      <c r="H80" s="2" t="s">
        <v>12</v>
      </c>
      <c r="I80" s="2" t="s">
        <v>18</v>
      </c>
      <c r="J80" s="2" t="s">
        <v>224</v>
      </c>
    </row>
    <row r="81" spans="1:10" x14ac:dyDescent="0.3">
      <c r="A81" s="2" t="s">
        <v>225</v>
      </c>
      <c r="B81" s="2" t="s">
        <v>226</v>
      </c>
      <c r="C81" s="2" t="s">
        <v>222</v>
      </c>
      <c r="D81" s="3">
        <v>12718215.890000001</v>
      </c>
      <c r="E81" s="2" t="s">
        <v>10</v>
      </c>
      <c r="F81" s="2" t="s">
        <v>16</v>
      </c>
      <c r="G81" s="2" t="s">
        <v>227</v>
      </c>
      <c r="H81" s="2" t="s">
        <v>12</v>
      </c>
      <c r="I81" s="2" t="s">
        <v>18</v>
      </c>
      <c r="J81" s="2" t="s">
        <v>224</v>
      </c>
    </row>
    <row r="82" spans="1:10" x14ac:dyDescent="0.3">
      <c r="A82" s="2" t="s">
        <v>228</v>
      </c>
      <c r="B82" s="2" t="s">
        <v>229</v>
      </c>
      <c r="C82" s="2" t="s">
        <v>222</v>
      </c>
      <c r="D82" s="3">
        <v>4414668.18</v>
      </c>
      <c r="E82" s="2" t="s">
        <v>10</v>
      </c>
      <c r="F82" s="2" t="s">
        <v>16</v>
      </c>
      <c r="G82" s="2" t="s">
        <v>227</v>
      </c>
      <c r="H82" s="2" t="s">
        <v>12</v>
      </c>
      <c r="I82" s="2" t="s">
        <v>18</v>
      </c>
      <c r="J82" s="2"/>
    </row>
    <row r="83" spans="1:10" x14ac:dyDescent="0.3">
      <c r="A83" s="2" t="s">
        <v>230</v>
      </c>
      <c r="B83" s="2" t="s">
        <v>231</v>
      </c>
      <c r="C83" s="2" t="s">
        <v>222</v>
      </c>
      <c r="D83" s="3">
        <v>2132545.9700000002</v>
      </c>
      <c r="E83" s="2" t="s">
        <v>10</v>
      </c>
      <c r="F83" s="2" t="s">
        <v>16</v>
      </c>
      <c r="G83" s="2" t="s">
        <v>223</v>
      </c>
      <c r="H83" s="2" t="s">
        <v>12</v>
      </c>
      <c r="I83" s="2" t="s">
        <v>18</v>
      </c>
      <c r="J83" s="2"/>
    </row>
    <row r="84" spans="1:10" x14ac:dyDescent="0.3">
      <c r="A84" s="2" t="s">
        <v>232</v>
      </c>
      <c r="B84" s="2" t="s">
        <v>233</v>
      </c>
      <c r="C84" s="2" t="s">
        <v>222</v>
      </c>
      <c r="D84" s="3">
        <v>62119.15</v>
      </c>
      <c r="E84" s="2" t="s">
        <v>10</v>
      </c>
      <c r="F84" s="2" t="s">
        <v>14</v>
      </c>
      <c r="G84" s="2" t="s">
        <v>234</v>
      </c>
      <c r="H84" s="2" t="s">
        <v>12</v>
      </c>
      <c r="I84" s="2" t="s">
        <v>18</v>
      </c>
      <c r="J84" s="2" t="s">
        <v>235</v>
      </c>
    </row>
    <row r="85" spans="1:10" x14ac:dyDescent="0.3">
      <c r="D85" s="4">
        <f>SUM(D80:D84)</f>
        <v>22355858.029999997</v>
      </c>
    </row>
    <row r="88" spans="1:10" x14ac:dyDescent="0.3">
      <c r="D88" s="4">
        <f>D80+D81+D82+D83</f>
        <v>22293738.879999999</v>
      </c>
      <c r="F88" t="s">
        <v>22</v>
      </c>
    </row>
    <row r="89" spans="1:10" x14ac:dyDescent="0.3">
      <c r="D89" s="4">
        <f>D84</f>
        <v>62119.15</v>
      </c>
      <c r="F89" t="s">
        <v>21</v>
      </c>
    </row>
  </sheetData>
  <autoFilter ref="A1:I70" xr:uid="{B598BC9B-69C3-4954-AE80-BFC7817F1D6D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2025-11-19T07:40:57Z</dcterms:modified>
</cp:coreProperties>
</file>
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Октябрь_25\Данные\Строительство\"/>
    </mc:Choice>
  </mc:AlternateContent>
  <xr:revisionPtr revIDLastSave="0" documentId="13_ncr:1_{F322C60D-D0B5-46FD-9C81-525AB5E76B79}" xr6:coauthVersionLast="45" xr6:coauthVersionMax="45" xr10:uidLastSave="{00000000-0000-0000-0000-000000000000}"/>
  <bookViews>
    <workbookView xWindow="-108" yWindow="-108" windowWidth="23256" windowHeight="12600" activeTab="4" xr2:uid="{00000000-000D-0000-FFFF-FFFF00000000}"/>
  </bookViews>
  <sheets>
    <sheet name="Ретал ГПУ" sheetId="5" r:id="rId1"/>
    <sheet name="Нежин-4" sheetId="6" r:id="rId2"/>
    <sheet name="МХП Катеринополь" sheetId="4" r:id="rId3"/>
    <sheet name="Глобино 2" sheetId="3" r:id="rId4"/>
    <sheet name="Астарта.Тищенки" sheetId="7" r:id="rId5"/>
  </sheets>
  <externalReferences>
    <externalReference r:id="rId6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7" i="3" l="1"/>
  <c r="B39" i="3"/>
  <c r="B12" i="3"/>
  <c r="B23" i="3"/>
  <c r="B22" i="3"/>
  <c r="B28" i="7"/>
  <c r="E35" i="7" l="1"/>
  <c r="B33" i="4"/>
  <c r="E33" i="4" s="1"/>
  <c r="E33" i="5"/>
  <c r="E33" i="6"/>
  <c r="E38" i="4"/>
  <c r="E9" i="4"/>
  <c r="B35" i="4"/>
  <c r="B34" i="4"/>
  <c r="B28" i="4"/>
  <c r="B23" i="4"/>
  <c r="B36" i="4"/>
  <c r="E34" i="4"/>
  <c r="B24" i="6" l="1"/>
  <c r="E34" i="6"/>
  <c r="E34" i="5"/>
  <c r="E9" i="5"/>
  <c r="E28" i="7" l="1"/>
  <c r="B23" i="7"/>
  <c r="E32" i="7"/>
  <c r="B29" i="7" l="1"/>
  <c r="E39" i="7" l="1"/>
  <c r="B34" i="7"/>
  <c r="E34" i="7" s="1"/>
  <c r="E31" i="7"/>
  <c r="E30" i="7"/>
  <c r="E26" i="7"/>
  <c r="E25" i="7"/>
  <c r="E24" i="7"/>
  <c r="E21" i="7"/>
  <c r="E20" i="7"/>
  <c r="B19" i="7"/>
  <c r="E9" i="7"/>
  <c r="B9" i="7"/>
  <c r="B3" i="7"/>
  <c r="D2" i="7"/>
  <c r="B4" i="3"/>
  <c r="B15" i="7" l="1"/>
  <c r="E17" i="7" s="1"/>
  <c r="E36" i="7"/>
  <c r="B39" i="7" s="1"/>
  <c r="B40" i="7" l="1"/>
  <c r="C40" i="7" s="1"/>
  <c r="B23" i="5" l="1"/>
  <c r="B23" i="6"/>
  <c r="E29" i="3" l="1"/>
  <c r="E30" i="3" l="1"/>
  <c r="E38" i="6" l="1"/>
  <c r="B33" i="6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5" i="6" l="1"/>
  <c r="B15" i="6"/>
  <c r="E17" i="6" s="1"/>
  <c r="D3" i="3"/>
  <c r="D2" i="4"/>
  <c r="D2" i="5"/>
  <c r="B38" i="6" l="1"/>
  <c r="B39" i="6" s="1"/>
  <c r="C39" i="6" s="1"/>
  <c r="B36" i="5"/>
  <c r="B34" i="5"/>
  <c r="B4" i="5" l="1"/>
  <c r="E38" i="5" l="1"/>
  <c r="E42" i="3"/>
  <c r="B33" i="5"/>
  <c r="E30" i="5"/>
  <c r="E29" i="5"/>
  <c r="B28" i="5"/>
  <c r="E26" i="5"/>
  <c r="E25" i="5"/>
  <c r="E24" i="5"/>
  <c r="E21" i="5"/>
  <c r="E20" i="5"/>
  <c r="B19" i="5"/>
  <c r="B9" i="5"/>
  <c r="B3" i="5"/>
  <c r="E35" i="5" l="1"/>
  <c r="B15" i="5"/>
  <c r="B38" i="5" l="1"/>
  <c r="E17" i="5"/>
  <c r="E21" i="4"/>
  <c r="B19" i="4"/>
  <c r="B39" i="5" l="1"/>
  <c r="C39" i="5" s="1"/>
  <c r="E30" i="4"/>
  <c r="E29" i="4"/>
  <c r="E25" i="4"/>
  <c r="E24" i="4"/>
  <c r="E35" i="4" s="1"/>
  <c r="E20" i="4"/>
  <c r="B9" i="4"/>
  <c r="B3" i="4"/>
  <c r="B11" i="3"/>
  <c r="E33" i="3"/>
  <c r="B15" i="4" l="1"/>
  <c r="E17" i="4" s="1"/>
  <c r="E32" i="3"/>
  <c r="E27" i="3"/>
  <c r="E26" i="3"/>
  <c r="B31" i="3"/>
  <c r="B36" i="3"/>
  <c r="E36" i="3" s="1"/>
  <c r="E11" i="3"/>
  <c r="B38" i="4" l="1"/>
  <c r="E22" i="3"/>
  <c r="B21" i="3"/>
  <c r="B17" i="3"/>
  <c r="E23" i="3"/>
  <c r="E19" i="3" l="1"/>
  <c r="E26" i="4"/>
  <c r="B39" i="4" s="1"/>
  <c r="C39" i="4" s="1"/>
  <c r="E28" i="3"/>
  <c r="E38" i="3" s="1"/>
  <c r="B42" i="3" s="1"/>
  <c r="B43" i="3" s="1"/>
  <c r="C43" i="3" s="1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i.steblianko</author>
  </authors>
  <commentList>
    <comment ref="B24" authorId="0" shapeId="0" xr:uid="{9023655E-EEC5-4C8A-B1B8-1ED30B8139E8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с учетом СТИЛ</t>
        </r>
      </text>
    </comment>
  </commentList>
</comments>
</file>

<file path=xl/sharedStrings.xml><?xml version="1.0" encoding="utf-8"?>
<sst xmlns="http://schemas.openxmlformats.org/spreadsheetml/2006/main" count="187" uniqueCount="47">
  <si>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</si>
  <si>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</si>
  <si>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</si>
  <si>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</si>
  <si>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</si>
  <si>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</si>
  <si>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</si>
  <si>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</si>
  <si>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</si>
  <si>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</si>
  <si>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</si>
  <si>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</si>
  <si>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</si>
  <si>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</si>
  <si>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</si>
  <si>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</si>
  <si>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</si>
  <si>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</si>
  <si>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</si>
  <si>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</si>
  <si>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</si>
  <si>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</si>
  <si>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</si>
  <si>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</si>
  <si>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</si>
  <si>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</si>
  <si>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</si>
  <si>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</si>
  <si>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</si>
  <si>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</si>
  <si>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</si>
  <si>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</si>
  <si>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</si>
  <si>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</si>
  <si>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</si>
  <si>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Склады Нежин-4, грн</t>
  </si>
  <si>
    <t>Вложено денег компании в проект, грн</t>
  </si>
  <si>
    <t>Получение кредита</t>
  </si>
  <si>
    <t>Возврат кредита, грн</t>
  </si>
  <si>
    <t>Склады, грн</t>
  </si>
  <si>
    <t>Возврат ФП, грн</t>
  </si>
  <si>
    <t>01/09/2024 - 31/10/2025</t>
  </si>
  <si>
    <t>Задолженность  Заказчика  на 31-10-2025</t>
  </si>
  <si>
    <t>Задолженность  Заказчика  на 30-10-2025</t>
  </si>
  <si>
    <t>47 501,63</t>
  </si>
  <si>
    <t>Возврат кредитной линии</t>
  </si>
  <si>
    <t>Возврат фин.помощи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</si>
</sst>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3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8">
    <xf numFmtId="0" fontId="0" fillId="0" borderId="0"/>
    <xf numFmtId="0" fontId="5" fillId="0" borderId="0" applyNumberFormat="0" applyFont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8" fontId="7" fillId="0" borderId="0"/>
    <xf numFmtId="49" fontId="8" fillId="0" borderId="0">
      <alignment horizontal="left" vertical="center" wrapText="1"/>
    </xf>
    <xf numFmtId="0" fontId="9" fillId="0" borderId="0">
      <alignment horizontal="left" vertical="center"/>
    </xf>
    <xf numFmtId="0" fontId="10" fillId="0" borderId="1">
      <alignment horizontal="left" vertical="center" wrapText="1"/>
    </xf>
    <xf numFmtId="0" fontId="9" fillId="0" borderId="1">
      <alignment horizontal="right" vertical="center"/>
    </xf>
    <xf numFmtId="0" fontId="10" fillId="0" borderId="2">
      <alignment horizontal="left" vertical="center" wrapText="1"/>
    </xf>
    <xf numFmtId="0" fontId="10" fillId="0" borderId="3">
      <alignment horizontal="center" vertical="center" wrapText="1"/>
    </xf>
    <xf numFmtId="0" fontId="10" fillId="0" borderId="3">
      <alignment horizontal="right" vertical="center" wrapText="1"/>
    </xf>
    <xf numFmtId="49" fontId="10" fillId="0" borderId="4">
      <alignment horizontal="right" vertical="top" wrapText="1"/>
    </xf>
    <xf numFmtId="0" fontId="11" fillId="0" borderId="3">
      <alignment horizontal="center" vertical="center" wrapText="1"/>
    </xf>
    <xf numFmtId="49" fontId="11" fillId="0" borderId="3">
      <alignment horizontal="left" vertical="center" wrapText="1"/>
    </xf>
    <xf numFmtId="49" fontId="11" fillId="0" borderId="2">
      <alignment horizontal="left" vertical="center" wrapText="1"/>
    </xf>
    <xf numFmtId="0" fontId="11" fillId="0" borderId="3">
      <alignment horizontal="right" vertical="center" wrapText="1"/>
    </xf>
    <xf numFmtId="49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1" fillId="0" borderId="3">
      <alignment horizontal="center" vertical="center" wrapText="1"/>
    </xf>
    <xf numFmtId="0" fontId="9" fillId="0" borderId="1">
      <alignment horizontal="right" vertical="center" wrapText="1"/>
    </xf>
    <xf numFmtId="0" fontId="10" fillId="0" borderId="5">
      <alignment horizontal="left" vertical="center" wrapText="1"/>
    </xf>
    <xf numFmtId="49" fontId="11" fillId="0" borderId="6">
      <alignment horizontal="center" vertical="top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1" fillId="0" borderId="2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1" fillId="0" borderId="3">
      <alignment horizontal="right" vertical="center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2" fillId="0" borderId="10">
      <alignment horizontal="center" vertical="center" wrapText="1"/>
    </xf>
    <xf numFmtId="0" fontId="9" fillId="0" borderId="11">
      <alignment horizontal="center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0" fontId="10" fillId="0" borderId="7">
      <alignment horizontal="left" vertical="center" wrapText="1"/>
    </xf>
    <xf numFmtId="0" fontId="10" fillId="0" borderId="12">
      <alignment horizontal="left" vertical="center" wrapText="1"/>
    </xf>
    <xf numFmtId="0" fontId="10" fillId="0" borderId="13">
      <alignment horizontal="left" vertical="center" wrapText="1"/>
    </xf>
    <xf numFmtId="49" fontId="11" fillId="0" borderId="14">
      <alignment horizontal="left" vertical="center" wrapText="1"/>
    </xf>
    <xf numFmtId="0" fontId="10" fillId="0" borderId="15">
      <alignment horizontal="left" vertical="center" wrapText="1"/>
    </xf>
    <xf numFmtId="0" fontId="10" fillId="0" borderId="16">
      <alignment horizontal="left" vertical="center" wrapText="1"/>
    </xf>
    <xf numFmtId="49" fontId="11" fillId="0" borderId="12">
      <alignment horizontal="right" vertical="center" wrapText="1"/>
    </xf>
    <xf numFmtId="0" fontId="11" fillId="0" borderId="12">
      <alignment horizontal="left" vertical="center" wrapText="1"/>
    </xf>
    <xf numFmtId="49" fontId="10" fillId="0" borderId="17">
      <alignment horizontal="center" vertical="center" wrapText="1"/>
    </xf>
    <xf numFmtId="0" fontId="9" fillId="0" borderId="18">
      <alignment horizontal="center" vertical="center" wrapText="1"/>
    </xf>
    <xf numFmtId="0" fontId="11" fillId="0" borderId="19">
      <alignment horizontal="left" vertical="center" wrapText="1"/>
    </xf>
    <xf numFmtId="49" fontId="11" fillId="0" borderId="19">
      <alignment horizontal="left" wrapText="1"/>
    </xf>
    <xf numFmtId="0" fontId="10" fillId="0" borderId="20">
      <alignment horizontal="left" vertical="center" wrapText="1"/>
    </xf>
    <xf numFmtId="0" fontId="10" fillId="0" borderId="21">
      <alignment horizontal="left" vertical="center" wrapText="1"/>
    </xf>
    <xf numFmtId="49" fontId="11" fillId="0" borderId="22">
      <alignment horizontal="right" vertical="center" wrapText="1"/>
    </xf>
    <xf numFmtId="0" fontId="11" fillId="0" borderId="23">
      <alignment horizontal="left" vertical="center" wrapText="1"/>
    </xf>
    <xf numFmtId="0" fontId="10" fillId="0" borderId="19">
      <alignment horizontal="left" vertical="center" wrapText="1"/>
    </xf>
    <xf numFmtId="49" fontId="11" fillId="0" borderId="7">
      <alignment horizontal="right" vertical="center" wrapText="1"/>
    </xf>
    <xf numFmtId="0" fontId="11" fillId="0" borderId="11">
      <alignment horizontal="left" vertical="center" wrapText="1"/>
    </xf>
    <xf numFmtId="49" fontId="11" fillId="0" borderId="11">
      <alignment horizontal="left" vertical="center" wrapText="1"/>
    </xf>
    <xf numFmtId="49" fontId="11" fillId="0" borderId="2">
      <alignment horizontal="center" vertical="center" wrapText="1"/>
    </xf>
    <xf numFmtId="0" fontId="11" fillId="0" borderId="24">
      <alignment horizontal="left" vertical="center" wrapText="1"/>
    </xf>
    <xf numFmtId="0" fontId="11" fillId="0" borderId="25">
      <alignment horizontal="left" vertical="center" wrapText="1"/>
    </xf>
    <xf numFmtId="0" fontId="11" fillId="0" borderId="10">
      <alignment horizontal="right" vertical="center" wrapText="1"/>
    </xf>
    <xf numFmtId="0" fontId="11" fillId="0" borderId="26">
      <alignment horizontal="left" vertical="center" wrapText="1"/>
    </xf>
    <xf numFmtId="49" fontId="10" fillId="0" borderId="27">
      <alignment horizontal="left" vertical="center" wrapText="1"/>
    </xf>
    <xf numFmtId="0" fontId="10" fillId="0" borderId="28">
      <alignment horizontal="left" vertical="center" wrapText="1"/>
    </xf>
    <xf numFmtId="49" fontId="10" fillId="0" borderId="29">
      <alignment horizontal="right" vertical="center" wrapText="1"/>
    </xf>
    <xf numFmtId="49" fontId="10" fillId="0" borderId="4">
      <alignment horizontal="left" vertical="center" wrapText="1"/>
    </xf>
    <xf numFmtId="49" fontId="10" fillId="0" borderId="7">
      <alignment horizontal="right" vertical="center" wrapText="1"/>
    </xf>
    <xf numFmtId="0" fontId="11" fillId="0" borderId="8">
      <alignment horizontal="left" vertical="center" wrapText="1"/>
    </xf>
    <xf numFmtId="0" fontId="10" fillId="0" borderId="24">
      <alignment horizontal="center" vertical="center" wrapText="1"/>
    </xf>
    <xf numFmtId="0" fontId="11" fillId="0" borderId="9">
      <alignment horizontal="left" vertical="center" wrapText="1"/>
    </xf>
    <xf numFmtId="0" fontId="11" fillId="0" borderId="8">
      <alignment horizontal="left" vertical="center" wrapText="1"/>
    </xf>
    <xf numFmtId="0" fontId="11" fillId="0" borderId="9">
      <alignment horizontal="left" vertical="center" wrapText="1"/>
    </xf>
    <xf numFmtId="49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0" fillId="0" borderId="24">
      <alignment horizontal="left" vertical="center" wrapText="1"/>
    </xf>
    <xf numFmtId="49" fontId="10" fillId="0" borderId="0">
      <alignment horizontal="left" vertical="center"/>
    </xf>
    <xf numFmtId="0" fontId="10" fillId="0" borderId="0">
      <alignment horizontal="left" vertical="center"/>
    </xf>
    <xf numFmtId="0" fontId="10" fillId="0" borderId="25">
      <alignment horizontal="center" vertical="center" wrapText="1"/>
    </xf>
    <xf numFmtId="0" fontId="10" fillId="0" borderId="27">
      <alignment horizontal="left" vertical="center" wrapText="1"/>
    </xf>
    <xf numFmtId="49" fontId="11" fillId="0" borderId="6">
      <alignment horizontal="center" vertical="center" wrapText="1"/>
    </xf>
    <xf numFmtId="0" fontId="10" fillId="0" borderId="30">
      <alignment horizontal="center" vertical="center" wrapText="1"/>
    </xf>
    <xf numFmtId="0" fontId="9" fillId="0" borderId="3">
      <alignment horizontal="center" vertical="center" wrapText="1"/>
    </xf>
    <xf numFmtId="0" fontId="10" fillId="0" borderId="0">
      <alignment horizontal="left" vertical="center" wrapText="1"/>
    </xf>
    <xf numFmtId="0" fontId="13" fillId="0" borderId="0">
      <alignment horizontal="left" vertical="center"/>
    </xf>
    <xf numFmtId="0" fontId="10" fillId="0" borderId="31">
      <alignment horizontal="left" vertical="center" wrapText="1"/>
    </xf>
    <xf numFmtId="0" fontId="9" fillId="0" borderId="11">
      <alignment horizontal="left" vertical="center" wrapText="1"/>
    </xf>
    <xf numFmtId="0" fontId="10" fillId="0" borderId="32">
      <alignment horizontal="left" vertical="center" wrapText="1"/>
    </xf>
    <xf numFmtId="0" fontId="9" fillId="0" borderId="27">
      <alignment horizontal="left" vertical="center" wrapText="1"/>
    </xf>
    <xf numFmtId="0" fontId="10" fillId="0" borderId="4">
      <alignment horizontal="left" vertical="center" wrapText="1"/>
    </xf>
    <xf numFmtId="0" fontId="9" fillId="0" borderId="27">
      <alignment horizontal="center" vertical="center" wrapText="1"/>
    </xf>
    <xf numFmtId="49" fontId="10" fillId="0" borderId="3">
      <alignment horizontal="center" vertical="center" wrapText="1"/>
    </xf>
    <xf numFmtId="0" fontId="9" fillId="0" borderId="27">
      <alignment horizontal="center" vertical="center" wrapText="1"/>
    </xf>
    <xf numFmtId="49" fontId="10" fillId="0" borderId="7">
      <alignment horizontal="center" vertical="center" wrapText="1"/>
    </xf>
    <xf numFmtId="0" fontId="9" fillId="0" borderId="33">
      <alignment horizontal="left" vertical="center" wrapText="1"/>
    </xf>
    <xf numFmtId="49" fontId="10" fillId="0" borderId="2">
      <alignment horizontal="center" vertical="center" wrapText="1"/>
    </xf>
    <xf numFmtId="0" fontId="9" fillId="0" borderId="33">
      <alignment horizontal="center" vertical="center" wrapText="1"/>
    </xf>
    <xf numFmtId="0" fontId="10" fillId="0" borderId="4">
      <alignment horizontal="center" vertical="center" wrapText="1"/>
    </xf>
    <xf numFmtId="0" fontId="9" fillId="0" borderId="33">
      <alignment horizontal="center" vertical="center" wrapText="1"/>
    </xf>
    <xf numFmtId="0" fontId="11" fillId="0" borderId="3">
      <alignment horizontal="center" vertical="center" wrapText="1"/>
    </xf>
    <xf numFmtId="0" fontId="13" fillId="0" borderId="34">
      <alignment horizontal="left" vertical="center" wrapText="1"/>
    </xf>
    <xf numFmtId="49" fontId="11" fillId="0" borderId="3">
      <alignment horizontal="left" vertical="center" wrapText="1"/>
    </xf>
    <xf numFmtId="0" fontId="13" fillId="0" borderId="34">
      <alignment horizontal="center" vertical="center" wrapText="1"/>
    </xf>
    <xf numFmtId="0" fontId="11" fillId="0" borderId="8">
      <alignment horizontal="center" vertical="center" wrapText="1"/>
    </xf>
    <xf numFmtId="0" fontId="13" fillId="0" borderId="34">
      <alignment horizontal="center" vertical="center" wrapText="1"/>
    </xf>
    <xf numFmtId="49" fontId="14" fillId="0" borderId="0">
      <alignment horizontal="center" vertical="center" wrapText="1"/>
    </xf>
    <xf numFmtId="0" fontId="13" fillId="0" borderId="0">
      <alignment horizontal="right" vertical="center"/>
    </xf>
    <xf numFmtId="0" fontId="11" fillId="0" borderId="8">
      <alignment horizontal="right" vertical="center" wrapText="1"/>
    </xf>
    <xf numFmtId="0" fontId="9" fillId="0" borderId="35">
      <alignment horizontal="left" vertical="center" wrapText="1"/>
    </xf>
    <xf numFmtId="0" fontId="11" fillId="0" borderId="9">
      <alignment horizontal="right" vertical="center" wrapText="1"/>
    </xf>
    <xf numFmtId="0" fontId="9" fillId="0" borderId="35">
      <alignment horizontal="center" vertical="center" wrapText="1"/>
    </xf>
    <xf numFmtId="0" fontId="11" fillId="0" borderId="7">
      <alignment horizontal="right" vertical="center" wrapText="1"/>
    </xf>
    <xf numFmtId="0" fontId="9" fillId="0" borderId="35">
      <alignment horizontal="center" vertical="center" wrapText="1"/>
    </xf>
    <xf numFmtId="0" fontId="11" fillId="0" borderId="2">
      <alignment horizontal="left" vertical="center" wrapText="1"/>
    </xf>
    <xf numFmtId="0" fontId="9" fillId="0" borderId="4">
      <alignment horizontal="left" vertical="center" wrapText="1"/>
    </xf>
    <xf numFmtId="0" fontId="11" fillId="0" borderId="3">
      <alignment horizontal="right" vertical="center" wrapText="1"/>
    </xf>
    <xf numFmtId="0" fontId="9" fillId="0" borderId="4">
      <alignment horizontal="center" vertical="center" wrapText="1"/>
    </xf>
    <xf numFmtId="0" fontId="11" fillId="0" borderId="3">
      <alignment horizontal="left" vertical="center" wrapText="1"/>
    </xf>
    <xf numFmtId="0" fontId="9" fillId="0" borderId="4">
      <alignment horizontal="center" vertical="center" wrapText="1"/>
    </xf>
    <xf numFmtId="0" fontId="11" fillId="0" borderId="3">
      <alignment horizontal="center" vertical="center" wrapText="1"/>
    </xf>
    <xf numFmtId="0" fontId="9" fillId="0" borderId="24">
      <alignment horizontal="left" vertical="center" wrapText="1"/>
    </xf>
    <xf numFmtId="49" fontId="11" fillId="0" borderId="3">
      <alignment horizontal="left" vertical="center" wrapText="1"/>
    </xf>
    <xf numFmtId="0" fontId="11" fillId="0" borderId="8">
      <alignment horizontal="center" vertical="center" wrapText="1"/>
    </xf>
    <xf numFmtId="0" fontId="11" fillId="0" borderId="8">
      <alignment horizontal="right" vertical="center" wrapText="1"/>
    </xf>
    <xf numFmtId="0" fontId="9" fillId="0" borderId="0">
      <alignment horizontal="left" vertical="center"/>
    </xf>
    <xf numFmtId="49" fontId="10" fillId="0" borderId="0">
      <alignment horizontal="left" vertical="center" wrapText="1"/>
    </xf>
    <xf numFmtId="0" fontId="9" fillId="0" borderId="0">
      <alignment horizontal="left" vertical="center" wrapText="1"/>
    </xf>
    <xf numFmtId="0" fontId="11" fillId="0" borderId="9">
      <alignment horizontal="right" vertical="center" wrapText="1"/>
    </xf>
    <xf numFmtId="0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11">
      <alignment horizontal="left" vertical="center" wrapText="1"/>
    </xf>
    <xf numFmtId="49" fontId="10" fillId="0" borderId="3">
      <alignment horizontal="right" vertical="center" wrapText="1"/>
    </xf>
    <xf numFmtId="49" fontId="15" fillId="0" borderId="11">
      <alignment horizontal="center" wrapText="1"/>
    </xf>
    <xf numFmtId="49" fontId="8" fillId="0" borderId="0">
      <alignment horizontal="center" vertical="center" wrapText="1"/>
    </xf>
    <xf numFmtId="0" fontId="13" fillId="0" borderId="0">
      <alignment horizontal="left" vertical="center"/>
    </xf>
    <xf numFmtId="49" fontId="15" fillId="0" borderId="10">
      <alignment horizontal="center" wrapText="1"/>
    </xf>
    <xf numFmtId="49" fontId="10" fillId="0" borderId="2">
      <alignment horizontal="left" vertical="center" wrapText="1"/>
    </xf>
    <xf numFmtId="0" fontId="10" fillId="0" borderId="3">
      <alignment horizontal="left" vertical="center" wrapText="1"/>
    </xf>
    <xf numFmtId="49" fontId="10" fillId="0" borderId="4">
      <alignment horizontal="center" vertical="top" wrapText="1"/>
    </xf>
    <xf numFmtId="49" fontId="10" fillId="0" borderId="6">
      <alignment horizontal="center" vertical="top" wrapText="1"/>
    </xf>
    <xf numFmtId="0" fontId="10" fillId="0" borderId="36">
      <alignment horizontal="left" vertical="center" wrapText="1"/>
    </xf>
    <xf numFmtId="0" fontId="10" fillId="0" borderId="4">
      <alignment horizontal="left" vertical="center" wrapText="1"/>
    </xf>
    <xf numFmtId="0" fontId="10" fillId="0" borderId="4">
      <alignment horizontal="right" vertical="top" wrapText="1"/>
    </xf>
    <xf numFmtId="0" fontId="10" fillId="0" borderId="6">
      <alignment horizontal="left" vertical="center" wrapText="1"/>
    </xf>
    <xf numFmtId="0" fontId="10" fillId="0" borderId="37">
      <alignment horizontal="left" vertical="center" wrapText="1"/>
    </xf>
    <xf numFmtId="0" fontId="8" fillId="0" borderId="0">
      <alignment horizontal="center" vertical="center" wrapText="1"/>
    </xf>
    <xf numFmtId="0" fontId="9" fillId="0" borderId="0">
      <alignment horizontal="left" vertical="center" wrapText="1"/>
    </xf>
    <xf numFmtId="49" fontId="10" fillId="0" borderId="11">
      <alignment horizontal="center" vertical="center" wrapText="1"/>
    </xf>
    <xf numFmtId="49" fontId="10" fillId="0" borderId="11">
      <alignment horizontal="right" vertical="center" wrapText="1"/>
    </xf>
    <xf numFmtId="49" fontId="10" fillId="0" borderId="26">
      <alignment horizontal="left" vertical="center" wrapText="1"/>
    </xf>
    <xf numFmtId="0" fontId="10" fillId="0" borderId="11">
      <alignment horizontal="left" vertical="center" wrapText="1"/>
    </xf>
    <xf numFmtId="49" fontId="10" fillId="0" borderId="27">
      <alignment horizontal="center" vertical="top" wrapText="1"/>
    </xf>
    <xf numFmtId="49" fontId="10" fillId="0" borderId="29">
      <alignment horizontal="center" vertical="top" wrapText="1"/>
    </xf>
    <xf numFmtId="0" fontId="10" fillId="0" borderId="27">
      <alignment horizontal="right" vertical="top" wrapText="1"/>
    </xf>
    <xf numFmtId="0" fontId="10" fillId="0" borderId="29">
      <alignment horizontal="left" vertical="center" wrapText="1"/>
    </xf>
    <xf numFmtId="0" fontId="10" fillId="0" borderId="4">
      <alignment horizontal="center" vertical="center" wrapText="1"/>
    </xf>
    <xf numFmtId="0" fontId="10" fillId="0" borderId="4">
      <alignment horizontal="right" vertical="center" wrapText="1"/>
    </xf>
    <xf numFmtId="0" fontId="10" fillId="0" borderId="0">
      <alignment horizontal="center" vertical="center" wrapText="1"/>
    </xf>
    <xf numFmtId="0" fontId="13" fillId="0" borderId="0">
      <alignment horizontal="center" vertical="center" wrapText="1"/>
    </xf>
    <xf numFmtId="0" fontId="10" fillId="0" borderId="6">
      <alignment horizontal="right" vertical="center" wrapText="1"/>
    </xf>
    <xf numFmtId="49" fontId="10" fillId="0" borderId="37">
      <alignment horizontal="left" vertical="center" wrapText="1"/>
    </xf>
    <xf numFmtId="49" fontId="10" fillId="0" borderId="4">
      <alignment horizontal="center" vertical="center" wrapText="1"/>
    </xf>
    <xf numFmtId="49" fontId="10" fillId="0" borderId="4">
      <alignment horizontal="right" vertical="center" wrapText="1"/>
    </xf>
    <xf numFmtId="0" fontId="10" fillId="0" borderId="27">
      <alignment horizontal="center" vertical="center" wrapText="1"/>
    </xf>
    <xf numFmtId="0" fontId="10" fillId="0" borderId="27">
      <alignment horizontal="right" vertical="center" wrapText="1"/>
    </xf>
    <xf numFmtId="0" fontId="10" fillId="0" borderId="29">
      <alignment horizontal="right" vertical="center" wrapText="1"/>
    </xf>
    <xf numFmtId="49" fontId="10" fillId="0" borderId="36">
      <alignment horizontal="left" vertical="center" wrapText="1"/>
    </xf>
    <xf numFmtId="49" fontId="10" fillId="0" borderId="27">
      <alignment horizontal="center" vertical="center" wrapText="1"/>
    </xf>
    <xf numFmtId="49" fontId="10" fillId="0" borderId="27">
      <alignment horizontal="right" vertical="center" wrapText="1"/>
    </xf>
    <xf numFmtId="0" fontId="11" fillId="0" borderId="0">
      <alignment horizontal="right" vertical="center" wrapText="1"/>
    </xf>
    <xf numFmtId="0" fontId="11" fillId="0" borderId="24">
      <alignment horizontal="center" vertical="center" wrapText="1"/>
    </xf>
    <xf numFmtId="0" fontId="11" fillId="0" borderId="24">
      <alignment horizontal="right" vertical="center" wrapText="1"/>
    </xf>
    <xf numFmtId="0" fontId="11" fillId="0" borderId="25">
      <alignment horizontal="right" vertical="center" wrapText="1"/>
    </xf>
    <xf numFmtId="49" fontId="12" fillId="0" borderId="10">
      <alignment horizontal="center" wrapText="1"/>
    </xf>
    <xf numFmtId="49" fontId="11" fillId="0" borderId="2">
      <alignment horizontal="left" vertical="center" wrapText="1"/>
    </xf>
    <xf numFmtId="49" fontId="11" fillId="0" borderId="3">
      <alignment horizontal="right" vertical="center" wrapText="1"/>
    </xf>
    <xf numFmtId="0" fontId="10" fillId="0" borderId="5">
      <alignment horizontal="left" vertical="center" wrapText="1"/>
    </xf>
    <xf numFmtId="0" fontId="10" fillId="0" borderId="1">
      <alignment horizontal="left" vertical="center" wrapText="1"/>
    </xf>
    <xf numFmtId="0" fontId="10" fillId="0" borderId="32">
      <alignment horizontal="left" vertical="center" wrapText="1"/>
    </xf>
    <xf numFmtId="49" fontId="11" fillId="0" borderId="6">
      <alignment horizontal="center" vertical="top" wrapText="1"/>
    </xf>
    <xf numFmtId="49" fontId="10" fillId="0" borderId="0">
      <alignment horizontal="right" vertical="center"/>
    </xf>
    <xf numFmtId="0" fontId="9" fillId="0" borderId="1">
      <alignment horizontal="left" vertical="center"/>
    </xf>
    <xf numFmtId="0" fontId="10" fillId="0" borderId="31">
      <alignment horizontal="left" vertical="center" wrapText="1"/>
    </xf>
    <xf numFmtId="0" fontId="16" fillId="0" borderId="3">
      <alignment horizontal="center" vertical="center" wrapText="1"/>
    </xf>
    <xf numFmtId="49" fontId="16" fillId="0" borderId="3">
      <alignment horizontal="left" vertical="center" wrapText="1"/>
    </xf>
    <xf numFmtId="0" fontId="16" fillId="0" borderId="8">
      <alignment horizontal="center" vertical="center" wrapText="1"/>
    </xf>
    <xf numFmtId="0" fontId="16" fillId="0" borderId="8">
      <alignment horizontal="right" vertical="center" wrapText="1"/>
    </xf>
    <xf numFmtId="0" fontId="16" fillId="0" borderId="9">
      <alignment horizontal="right" vertical="center" wrapText="1"/>
    </xf>
    <xf numFmtId="0" fontId="16" fillId="0" borderId="7">
      <alignment horizontal="right" vertical="center" wrapText="1"/>
    </xf>
    <xf numFmtId="0" fontId="16" fillId="0" borderId="2">
      <alignment horizontal="left" vertical="center" wrapText="1"/>
    </xf>
    <xf numFmtId="0" fontId="16" fillId="0" borderId="3">
      <alignment horizontal="right" vertical="center" wrapText="1"/>
    </xf>
    <xf numFmtId="0" fontId="16" fillId="0" borderId="3">
      <alignment horizontal="left" vertical="center" wrapText="1"/>
    </xf>
    <xf numFmtId="0" fontId="17" fillId="0" borderId="0"/>
    <xf numFmtId="0" fontId="6" fillId="0" borderId="0" applyNumberFormat="0" applyFill="0" applyBorder="0" applyProtection="0">
      <alignment vertical="top" wrapText="1"/>
    </xf>
    <xf numFmtId="0" fontId="18" fillId="0" borderId="0">
      <alignment vertical="top"/>
    </xf>
    <xf numFmtId="0" fontId="19" fillId="0" borderId="0"/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9" fillId="0" borderId="0"/>
    <xf numFmtId="0" fontId="19" fillId="0" borderId="0"/>
    <xf numFmtId="0" fontId="25" fillId="0" borderId="0">
      <alignment horizontal="left"/>
    </xf>
    <xf numFmtId="0" fontId="6" fillId="0" borderId="0" applyNumberFormat="0" applyFill="0" applyBorder="0" applyProtection="0">
      <alignment vertical="top" wrapText="1"/>
    </xf>
    <xf numFmtId="0" fontId="25" fillId="0" borderId="0">
      <alignment horizontal="left"/>
    </xf>
    <xf numFmtId="0" fontId="17" fillId="0" borderId="0"/>
    <xf numFmtId="0" fontId="25" fillId="0" borderId="0">
      <alignment horizontal="left"/>
    </xf>
    <xf numFmtId="0" fontId="31" fillId="0" borderId="0"/>
    <xf numFmtId="0" fontId="25" fillId="0" borderId="0">
      <alignment horizontal="left"/>
    </xf>
    <xf numFmtId="0" fontId="32" fillId="0" borderId="0"/>
    <xf numFmtId="0" fontId="25" fillId="0" borderId="0">
      <alignment horizontal="left"/>
    </xf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5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6" fillId="0" borderId="0"/>
    <xf numFmtId="0" fontId="18" fillId="0" borderId="0">
      <alignment vertical="top"/>
    </xf>
    <xf numFmtId="0" fontId="2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33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5" fillId="0" borderId="0">
      <alignment horizontal="left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9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" fillId="0" borderId="0"/>
  </cellStyleXfs>
  <cellXfs count="86">
    <xf numFmtId="0" fontId="0" fillId="0" borderId="0" xfId="0"/>
    <xf numFmtId="0" fontId="4" fillId="0" borderId="0" xfId="0" applyFont="1"/>
    <xf numFmtId="165" fontId="36" fillId="0" borderId="0" xfId="0" applyNumberFormat="1" applyFont="1"/>
    <xf numFmtId="0" fontId="36" fillId="0" borderId="0" xfId="0" applyFont="1"/>
    <xf numFmtId="165" fontId="36" fillId="0" borderId="0" xfId="0" applyNumberFormat="1" applyFont="1" applyAlignment="1">
      <alignment horizontal="center"/>
    </xf>
    <xf numFmtId="0" fontId="36" fillId="0" borderId="41" xfId="0" applyFont="1" applyBorder="1"/>
    <xf numFmtId="0" fontId="4" fillId="0" borderId="41" xfId="0" applyFont="1" applyBorder="1"/>
    <xf numFmtId="166" fontId="36" fillId="0" borderId="0" xfId="0" applyNumberFormat="1" applyFont="1"/>
    <xf numFmtId="0" fontId="39" fillId="4" borderId="47" xfId="0" applyFont="1" applyFill="1" applyBorder="1" applyAlignment="1">
      <alignment horizontal="centerContinuous"/>
    </xf>
    <xf numFmtId="0" fontId="39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6" fillId="0" borderId="42" xfId="0" applyFont="1" applyBorder="1"/>
    <xf numFmtId="0" fontId="36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6" fillId="0" borderId="38" xfId="0" applyFont="1" applyBorder="1"/>
    <xf numFmtId="4" fontId="5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6" fillId="0" borderId="47" xfId="0" applyFont="1" applyBorder="1"/>
    <xf numFmtId="0" fontId="36" fillId="0" borderId="40" xfId="0" applyFont="1" applyBorder="1"/>
    <xf numFmtId="0" fontId="37" fillId="3" borderId="47" xfId="0" applyFont="1" applyFill="1" applyBorder="1"/>
    <xf numFmtId="0" fontId="36" fillId="3" borderId="50" xfId="0" applyFont="1" applyFill="1" applyBorder="1"/>
    <xf numFmtId="165" fontId="36" fillId="3" borderId="50" xfId="0" applyNumberFormat="1" applyFont="1" applyFill="1" applyBorder="1"/>
    <xf numFmtId="165" fontId="36" fillId="3" borderId="50" xfId="0" applyNumberFormat="1" applyFont="1" applyFill="1" applyBorder="1" applyAlignment="1">
      <alignment horizontal="center"/>
    </xf>
    <xf numFmtId="165" fontId="38" fillId="3" borderId="40" xfId="0" applyNumberFormat="1" applyFont="1" applyFill="1" applyBorder="1"/>
    <xf numFmtId="0" fontId="37" fillId="0" borderId="38" xfId="0" applyFont="1" applyBorder="1"/>
    <xf numFmtId="4" fontId="37" fillId="0" borderId="39" xfId="0" applyNumberFormat="1" applyFont="1" applyBorder="1"/>
    <xf numFmtId="0" fontId="36" fillId="0" borderId="45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5" fillId="2" borderId="46" xfId="0" applyNumberFormat="1" applyFont="1" applyFill="1" applyBorder="1" applyAlignment="1">
      <alignment horizontal="right" vertical="top" wrapText="1"/>
    </xf>
    <xf numFmtId="4" fontId="25" fillId="2" borderId="42" xfId="0" applyNumberFormat="1" applyFont="1" applyFill="1" applyBorder="1" applyAlignment="1">
      <alignment horizontal="right" vertical="top" wrapText="1"/>
    </xf>
    <xf numFmtId="4" fontId="25" fillId="2" borderId="44" xfId="0" applyNumberFormat="1" applyFont="1" applyFill="1" applyBorder="1" applyAlignment="1">
      <alignment horizontal="right" vertical="top" wrapText="1"/>
    </xf>
    <xf numFmtId="0" fontId="36" fillId="0" borderId="43" xfId="0" applyFont="1" applyBorder="1"/>
    <xf numFmtId="0" fontId="36" fillId="0" borderId="48" xfId="0" applyFont="1" applyBorder="1" applyAlignment="1">
      <alignment horizontal="right"/>
    </xf>
    <xf numFmtId="4" fontId="25" fillId="2" borderId="49" xfId="0" applyNumberFormat="1" applyFont="1" applyFill="1" applyBorder="1" applyAlignment="1">
      <alignment horizontal="right" vertical="top" wrapText="1"/>
    </xf>
    <xf numFmtId="165" fontId="36" fillId="0" borderId="51" xfId="0" applyNumberFormat="1" applyFont="1" applyBorder="1" applyAlignment="1">
      <alignment horizontal="center"/>
    </xf>
    <xf numFmtId="165" fontId="36" fillId="0" borderId="52" xfId="0" applyNumberFormat="1" applyFont="1" applyBorder="1"/>
    <xf numFmtId="165" fontId="36" fillId="0" borderId="53" xfId="0" applyNumberFormat="1" applyFont="1" applyBorder="1" applyAlignment="1">
      <alignment horizontal="center"/>
    </xf>
    <xf numFmtId="165" fontId="36" fillId="0" borderId="54" xfId="0" applyNumberFormat="1" applyFont="1" applyBorder="1"/>
    <xf numFmtId="165" fontId="36" fillId="0" borderId="55" xfId="0" applyNumberFormat="1" applyFont="1" applyBorder="1" applyAlignment="1">
      <alignment horizontal="center"/>
    </xf>
    <xf numFmtId="165" fontId="36" fillId="0" borderId="56" xfId="0" applyNumberFormat="1" applyFont="1" applyBorder="1"/>
    <xf numFmtId="165" fontId="37" fillId="0" borderId="55" xfId="0" applyNumberFormat="1" applyFont="1" applyBorder="1" applyAlignment="1">
      <alignment horizontal="left"/>
    </xf>
    <xf numFmtId="165" fontId="36" fillId="0" borderId="57" xfId="0" applyNumberFormat="1" applyFont="1" applyBorder="1" applyAlignment="1">
      <alignment horizontal="center"/>
    </xf>
    <xf numFmtId="165" fontId="36" fillId="0" borderId="58" xfId="0" applyNumberFormat="1" applyFont="1" applyBorder="1"/>
    <xf numFmtId="165" fontId="38" fillId="3" borderId="56" xfId="0" applyNumberFormat="1" applyFont="1" applyFill="1" applyBorder="1"/>
    <xf numFmtId="165" fontId="36" fillId="0" borderId="54" xfId="0" applyNumberFormat="1" applyFont="1" applyBorder="1" applyAlignment="1">
      <alignment horizontal="right"/>
    </xf>
    <xf numFmtId="0" fontId="37" fillId="5" borderId="38" xfId="0" applyFont="1" applyFill="1" applyBorder="1"/>
    <xf numFmtId="4" fontId="37" fillId="5" borderId="39" xfId="0" applyNumberFormat="1" applyFont="1" applyFill="1" applyBorder="1"/>
    <xf numFmtId="0" fontId="36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6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6" fillId="0" borderId="0" xfId="0" applyNumberFormat="1" applyFont="1"/>
    <xf numFmtId="0" fontId="36" fillId="0" borderId="59" xfId="0" applyFont="1" applyBorder="1" applyAlignment="1">
      <alignment horizontal="right"/>
    </xf>
    <xf numFmtId="4" fontId="25" fillId="2" borderId="60" xfId="0" applyNumberFormat="1" applyFont="1" applyFill="1" applyBorder="1" applyAlignment="1">
      <alignment horizontal="right" vertical="top" wrapText="1"/>
    </xf>
    <xf numFmtId="165" fontId="38" fillId="6" borderId="56" xfId="0" applyNumberFormat="1" applyFont="1" applyFill="1" applyBorder="1"/>
    <xf numFmtId="0" fontId="36" fillId="5" borderId="59" xfId="0" applyFont="1" applyFill="1" applyBorder="1"/>
    <xf numFmtId="4" fontId="0" fillId="5" borderId="60" xfId="0" applyNumberFormat="1" applyFont="1" applyFill="1" applyBorder="1" applyAlignment="1">
      <alignment horizontal="right" vertical="top"/>
    </xf>
    <xf numFmtId="0" fontId="36" fillId="0" borderId="61" xfId="0" applyFont="1" applyBorder="1" applyAlignment="1">
      <alignment horizontal="right"/>
    </xf>
    <xf numFmtId="0" fontId="36" fillId="0" borderId="62" xfId="0" applyFont="1" applyBorder="1" applyAlignment="1">
      <alignment horizontal="right"/>
    </xf>
    <xf numFmtId="0" fontId="36" fillId="0" borderId="63" xfId="0" applyFont="1" applyBorder="1" applyAlignment="1">
      <alignment horizontal="right"/>
    </xf>
    <xf numFmtId="4" fontId="25" fillId="2" borderId="64" xfId="0" applyNumberFormat="1" applyFont="1" applyFill="1" applyBorder="1" applyAlignment="1">
      <alignment horizontal="right" vertical="top" wrapText="1"/>
    </xf>
    <xf numFmtId="4" fontId="25" fillId="2" borderId="65" xfId="0" applyNumberFormat="1" applyFont="1" applyFill="1" applyBorder="1" applyAlignment="1">
      <alignment horizontal="right" vertical="top" wrapText="1"/>
    </xf>
    <xf numFmtId="4" fontId="25" fillId="2" borderId="66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6" fillId="0" borderId="55" xfId="0" applyNumberFormat="1" applyFont="1" applyBorder="1" applyAlignment="1">
      <alignment horizontal="left"/>
    </xf>
    <xf numFmtId="0" fontId="36" fillId="3" borderId="47" xfId="0" applyFont="1" applyFill="1" applyBorder="1"/>
    <xf numFmtId="166" fontId="36" fillId="3" borderId="50" xfId="0" applyNumberFormat="1" applyFont="1" applyFill="1" applyBorder="1"/>
    <xf numFmtId="165" fontId="36" fillId="3" borderId="40" xfId="0" applyNumberFormat="1" applyFont="1" applyFill="1" applyBorder="1"/>
    <xf numFmtId="0" fontId="36" fillId="4" borderId="47" xfId="0" applyFont="1" applyFill="1" applyBorder="1"/>
    <xf numFmtId="165" fontId="36" fillId="4" borderId="50" xfId="0" applyNumberFormat="1" applyFont="1" applyFill="1" applyBorder="1" applyAlignment="1">
      <alignment horizontal="center"/>
    </xf>
    <xf numFmtId="165" fontId="36" fillId="4" borderId="40" xfId="0" applyNumberFormat="1" applyFont="1" applyFill="1" applyBorder="1"/>
    <xf numFmtId="166" fontId="40" fillId="4" borderId="50" xfId="0" applyNumberFormat="1" applyFont="1" applyFill="1" applyBorder="1"/>
    <xf numFmtId="172" fontId="38" fillId="4" borderId="50" xfId="0" applyNumberFormat="1" applyFont="1" applyFill="1" applyBorder="1" applyAlignment="1">
      <alignment horizontal="center" vertical="center"/>
    </xf>
    <xf numFmtId="4" fontId="0" fillId="0" borderId="67" xfId="0" applyNumberFormat="1" applyFont="1" applyBorder="1" applyAlignment="1">
      <alignment horizontal="right" vertical="top"/>
    </xf>
    <xf numFmtId="4" fontId="25" fillId="0" borderId="46" xfId="0" applyNumberFormat="1" applyFont="1" applyFill="1" applyBorder="1" applyAlignment="1">
      <alignment horizontal="right" vertical="top" wrapText="1"/>
    </xf>
    <xf numFmtId="4" fontId="25" fillId="0" borderId="42" xfId="0" applyNumberFormat="1" applyFont="1" applyFill="1" applyBorder="1" applyAlignment="1">
      <alignment horizontal="right" vertical="top" wrapText="1"/>
    </xf>
    <xf numFmtId="4" fontId="25" fillId="0" borderId="49" xfId="0" applyNumberFormat="1" applyFont="1" applyFill="1" applyBorder="1" applyAlignment="1">
      <alignment horizontal="right" vertical="top" wrapText="1"/>
    </xf>
    <xf numFmtId="4" fontId="25" fillId="0" borderId="44" xfId="0" applyNumberFormat="1" applyFont="1" applyFill="1" applyBorder="1" applyAlignment="1">
      <alignment horizontal="right" vertical="top" wrapText="1"/>
    </xf>
    <xf numFmtId="3" fontId="37" fillId="0" borderId="39" xfId="0" applyNumberFormat="1" applyFont="1" applyBorder="1"/>
    <xf numFmtId="0" fontId="36" fillId="3" borderId="43" xfId="0" applyFont="1" applyFill="1" applyBorder="1" applyAlignment="1">
      <alignment horizontal="right"/>
    </xf>
    <xf numFmtId="4" fontId="25" fillId="3" borderId="44" xfId="0" applyNumberFormat="1" applyFont="1" applyFill="1" applyBorder="1" applyAlignment="1">
      <alignment horizontal="right" vertical="top" wrapText="1"/>
    </xf>
    <xf numFmtId="0" fontId="36" fillId="0" borderId="43" xfId="0" applyFont="1" applyFill="1" applyBorder="1"/>
    <xf numFmtId="4" fontId="0" fillId="0" borderId="44" xfId="0" applyNumberFormat="1" applyFont="1" applyFill="1" applyBorder="1" applyAlignment="1">
      <alignment horizontal="right" vertical="top"/>
    </xf>
    <xf numFmtId="0" fontId="36" fillId="0" borderId="43" xfId="0" applyFont="1" applyFill="1" applyBorder="1" applyAlignment="1">
      <alignment horizontal="right"/>
    </xf>
  </cellXfs>
  <cellStyles count="42598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32 2" xfId="42597" xr:uid="{26CE24BA-7772-45E7-AE9A-831F54F96B23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workbookViewId="0">
      <selection activeCell="A13" sqref="A13:B1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41</v>
      </c>
      <c r="B2" s="18"/>
      <c r="C2" s="2"/>
      <c r="D2" s="17" t="str">
        <f>A2</f>
        <v>01/09/2024 - 31/10/2025</v>
      </c>
      <c r="E2" s="18"/>
      <c r="G2" s="1"/>
      <c r="H2" s="1"/>
    </row>
    <row r="3" spans="1:8" s="3" customFormat="1">
      <c r="A3" s="57" t="s">
        <v>13</v>
      </c>
      <c r="B3" s="58">
        <f>SUM(B4:B7)</f>
        <v>19937962.390000001</v>
      </c>
      <c r="C3" s="2"/>
      <c r="D3" s="49" t="s">
        <v>13</v>
      </c>
      <c r="E3" s="50">
        <v>19949162.640000001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11222222.010000002</v>
      </c>
      <c r="C9" s="2"/>
      <c r="D9" s="51" t="s">
        <v>14</v>
      </c>
      <c r="E9" s="52">
        <f>E3-E15</f>
        <v>13140480.201548252</v>
      </c>
      <c r="G9" s="1"/>
      <c r="H9" s="1"/>
    </row>
    <row r="10" spans="1:8" s="3" customFormat="1" outlineLevel="1">
      <c r="A10" s="5" t="s">
        <v>4</v>
      </c>
      <c r="B10" s="10">
        <v>10991385.800000001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230836.21</v>
      </c>
      <c r="C12" s="2"/>
      <c r="D12" s="5"/>
      <c r="E12" s="10"/>
      <c r="G12" s="1"/>
      <c r="H12" s="1"/>
    </row>
    <row r="13" spans="1:8" s="3" customFormat="1" outlineLevel="1">
      <c r="A13" s="5" t="s">
        <v>45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3" t="s">
        <v>46</v>
      </c>
      <c r="B14" s="84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8715740.379999999</v>
      </c>
      <c r="C15" s="2"/>
      <c r="D15" s="14"/>
      <c r="E15" s="15">
        <v>6808682.4384517474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-1907057.9415482515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42</v>
      </c>
      <c r="B19" s="48">
        <f>B20-B21</f>
        <v>32981.870000000003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32981.870000000003</v>
      </c>
      <c r="C20" s="2"/>
      <c r="D20" s="38"/>
      <c r="E20" s="39">
        <f>B20</f>
        <v>32981.870000000003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34"/>
      <c r="B22" s="65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SUM(B24:B27)</f>
        <v>1957941.43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1954938.49</v>
      </c>
      <c r="C24" s="2"/>
      <c r="D24" s="38"/>
      <c r="E24" s="39">
        <f>-B24</f>
        <v>-1954938.49</v>
      </c>
      <c r="G24" s="1"/>
      <c r="H24" s="1"/>
    </row>
    <row r="25" spans="1:8" s="3" customFormat="1" ht="12.6" customHeight="1">
      <c r="A25" s="27" t="s">
        <v>17</v>
      </c>
      <c r="B25" s="31">
        <v>3002.94</v>
      </c>
      <c r="C25" s="2"/>
      <c r="D25" s="38"/>
      <c r="E25" s="39">
        <f>B25</f>
        <v>3002.94</v>
      </c>
      <c r="G25" s="1"/>
      <c r="H25" s="1"/>
    </row>
    <row r="26" spans="1:8" s="3" customFormat="1">
      <c r="A26" s="27" t="s">
        <v>18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124938.948</v>
      </c>
      <c r="D33" s="38"/>
      <c r="E33" s="39">
        <f>B33</f>
        <v>124938.948</v>
      </c>
    </row>
    <row r="34" spans="1:6">
      <c r="A34" s="59" t="s">
        <v>29</v>
      </c>
      <c r="B34" s="63">
        <f>98014.99</f>
        <v>98014.99</v>
      </c>
      <c r="D34" s="66" t="s">
        <v>30</v>
      </c>
      <c r="E34" s="39">
        <f>-300478.99+B12</f>
        <v>-69642.78</v>
      </c>
    </row>
    <row r="35" spans="1:6">
      <c r="A35" s="60" t="s">
        <v>23</v>
      </c>
      <c r="B35" s="62">
        <v>0</v>
      </c>
      <c r="D35" s="42" t="s">
        <v>25</v>
      </c>
      <c r="E35" s="45">
        <f>SUM(E20:E34)</f>
        <v>-1863657.5119999999</v>
      </c>
      <c r="F35" s="7"/>
    </row>
    <row r="36" spans="1:6" ht="13.8" thickBot="1">
      <c r="A36" s="61" t="s">
        <v>28</v>
      </c>
      <c r="B36" s="64">
        <f>6100.8</f>
        <v>6100.8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6852082.8679999989</v>
      </c>
      <c r="C38" s="21"/>
      <c r="D38" s="22"/>
      <c r="E38" s="69">
        <f>E15</f>
        <v>6808682.4384517474</v>
      </c>
      <c r="F38" s="7"/>
    </row>
    <row r="39" spans="1:6" ht="18.600000000000001" thickBot="1">
      <c r="A39" s="70" t="s">
        <v>32</v>
      </c>
      <c r="B39" s="73">
        <f>B38-E38</f>
        <v>43400.429548251443</v>
      </c>
      <c r="C39" s="74">
        <f>B39/E3</f>
        <v>2.1755514420053594E-3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workbookViewId="0">
      <selection activeCell="A13" sqref="A13:B1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41</v>
      </c>
      <c r="B2" s="18"/>
      <c r="C2" s="2"/>
      <c r="D2" s="17" t="str">
        <f>A2</f>
        <v>01/09/2024 - 31/10/2025</v>
      </c>
      <c r="E2" s="18"/>
      <c r="G2" s="1"/>
      <c r="H2" s="1"/>
    </row>
    <row r="3" spans="1:8" s="3" customFormat="1">
      <c r="A3" s="57" t="s">
        <v>13</v>
      </c>
      <c r="B3" s="58">
        <f>SUM(B4:B7)</f>
        <v>9158084.0800000001</v>
      </c>
      <c r="C3" s="2"/>
      <c r="D3" s="49" t="s">
        <v>13</v>
      </c>
      <c r="E3" s="50">
        <v>9340980.5399999991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9155804.0800000001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3993481.0000000005</v>
      </c>
      <c r="C9" s="2"/>
      <c r="D9" s="51" t="s">
        <v>14</v>
      </c>
      <c r="E9" s="52">
        <f>E3-E15</f>
        <v>5596998.3560954155</v>
      </c>
      <c r="H9" s="1"/>
    </row>
    <row r="10" spans="1:8" s="3" customFormat="1" outlineLevel="1">
      <c r="A10" s="5" t="s">
        <v>4</v>
      </c>
      <c r="B10" s="10">
        <v>3691204.66</v>
      </c>
      <c r="C10" s="2"/>
      <c r="D10" s="5"/>
      <c r="E10" s="10"/>
      <c r="H10" s="1"/>
    </row>
    <row r="11" spans="1:8" s="3" customFormat="1" outlineLevel="1">
      <c r="A11" s="5" t="s">
        <v>5</v>
      </c>
      <c r="B11" s="10">
        <v>163950.45000000001</v>
      </c>
      <c r="C11" s="2"/>
      <c r="D11" s="5"/>
      <c r="E11" s="10"/>
      <c r="H11" s="1"/>
    </row>
    <row r="12" spans="1:8" s="3" customFormat="1" outlineLevel="1">
      <c r="A12" s="5" t="s">
        <v>6</v>
      </c>
      <c r="B12" s="10">
        <v>138325.89000000001</v>
      </c>
      <c r="C12" s="2"/>
      <c r="D12" s="5"/>
      <c r="E12" s="10"/>
      <c r="H12" s="1"/>
    </row>
    <row r="13" spans="1:8" s="3" customFormat="1" outlineLevel="1">
      <c r="A13" s="5" t="s">
        <v>45</v>
      </c>
      <c r="B13" s="10"/>
      <c r="C13" s="2"/>
      <c r="D13" s="5"/>
      <c r="E13" s="10"/>
      <c r="H13" s="1"/>
    </row>
    <row r="14" spans="1:8" s="3" customFormat="1" ht="13.8" outlineLevel="1" thickBot="1">
      <c r="A14" s="83" t="s">
        <v>46</v>
      </c>
      <c r="B14" s="84"/>
      <c r="C14" s="2"/>
      <c r="D14" s="12"/>
      <c r="E14" s="13"/>
      <c r="H14" s="1"/>
    </row>
    <row r="15" spans="1:8" s="3" customFormat="1" ht="13.8" thickBot="1">
      <c r="A15" s="14" t="s">
        <v>7</v>
      </c>
      <c r="B15" s="15">
        <f>B3-B9</f>
        <v>5164603.08</v>
      </c>
      <c r="C15" s="2"/>
      <c r="D15" s="14"/>
      <c r="E15" s="15">
        <v>3743982.1839045836</v>
      </c>
      <c r="H15" s="1"/>
    </row>
    <row r="16" spans="1:8" s="3" customFormat="1" ht="13.8" thickBot="1">
      <c r="C16" s="2"/>
      <c r="D16" s="4"/>
      <c r="E16" s="2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-1420620.8960954165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43</v>
      </c>
      <c r="B19" s="48">
        <f>B20-B21</f>
        <v>174135.21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174135.21</v>
      </c>
      <c r="C20" s="2"/>
      <c r="D20" s="38"/>
      <c r="E20" s="39">
        <f>B20</f>
        <v>174135.21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H21" s="1"/>
    </row>
    <row r="22" spans="1:8" s="3" customFormat="1" ht="13.8" thickBot="1">
      <c r="A22" s="34"/>
      <c r="B22" s="65"/>
      <c r="C22" s="2"/>
      <c r="D22" s="40"/>
      <c r="E22" s="41"/>
      <c r="H22" s="1"/>
    </row>
    <row r="23" spans="1:8" s="3" customFormat="1" ht="13.8" thickBot="1">
      <c r="A23" s="47" t="s">
        <v>34</v>
      </c>
      <c r="B23" s="48">
        <f>SUM(B24:B27)</f>
        <v>683688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f>288874.31+45905.28+335200.4</f>
        <v>669979.99</v>
      </c>
      <c r="C24" s="2"/>
      <c r="D24" s="38"/>
      <c r="E24" s="39">
        <f>-B24</f>
        <v>-669979.99</v>
      </c>
      <c r="G24" s="1"/>
      <c r="H24" s="1"/>
    </row>
    <row r="25" spans="1:8" s="3" customFormat="1" ht="12.6" customHeight="1">
      <c r="A25" s="27" t="s">
        <v>17</v>
      </c>
      <c r="B25" s="31">
        <v>13708.01</v>
      </c>
      <c r="C25" s="2"/>
      <c r="D25" s="38"/>
      <c r="E25" s="39">
        <f>B25</f>
        <v>13708.01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727454.16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727454.16</v>
      </c>
      <c r="C30" s="2"/>
      <c r="D30" s="38"/>
      <c r="E30" s="39">
        <f>-B30</f>
        <v>-727454.16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847.87199999999996</v>
      </c>
      <c r="D33" s="38"/>
      <c r="E33" s="39">
        <f>B33</f>
        <v>847.87199999999996</v>
      </c>
    </row>
    <row r="34" spans="1:6">
      <c r="A34" s="59" t="s">
        <v>35</v>
      </c>
      <c r="B34" s="63">
        <v>706.56</v>
      </c>
      <c r="D34" s="66" t="s">
        <v>30</v>
      </c>
      <c r="E34" s="39">
        <f>-313470.98+B12</f>
        <v>-175145.08999999997</v>
      </c>
    </row>
    <row r="35" spans="1:6">
      <c r="A35" s="60" t="s">
        <v>23</v>
      </c>
      <c r="B35" s="62"/>
      <c r="D35" s="42" t="s">
        <v>25</v>
      </c>
      <c r="E35" s="45">
        <f>SUM(E20:E34)</f>
        <v>-1383888.148</v>
      </c>
      <c r="F35" s="7"/>
    </row>
    <row r="36" spans="1:6" ht="13.8" thickBot="1">
      <c r="A36" s="61" t="s">
        <v>28</v>
      </c>
      <c r="B36" s="64" t="s">
        <v>44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3780714.932</v>
      </c>
      <c r="C38" s="21"/>
      <c r="D38" s="22"/>
      <c r="E38" s="69">
        <f>E15</f>
        <v>3743982.1839045836</v>
      </c>
      <c r="F38" s="7"/>
    </row>
    <row r="39" spans="1:6" ht="18.600000000000001" thickBot="1">
      <c r="A39" s="70" t="s">
        <v>32</v>
      </c>
      <c r="B39" s="73">
        <f>B38-E38</f>
        <v>36732.748095416464</v>
      </c>
      <c r="C39" s="74">
        <f>B39/E3</f>
        <v>3.9324295707628644E-3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39"/>
  <sheetViews>
    <sheetView workbookViewId="0">
      <selection activeCell="A13" sqref="A13:B1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41</v>
      </c>
      <c r="B2" s="18"/>
      <c r="C2" s="2"/>
      <c r="D2" s="17" t="str">
        <f>A2</f>
        <v>01/09/2024 - 31/10/2025</v>
      </c>
      <c r="E2" s="18"/>
      <c r="G2" s="1"/>
      <c r="H2" s="1"/>
    </row>
    <row r="3" spans="1:8" s="3" customFormat="1">
      <c r="A3" s="49" t="s">
        <v>13</v>
      </c>
      <c r="B3" s="50">
        <f>SUM(B4:B7)</f>
        <v>42829175.140000001</v>
      </c>
      <c r="C3" s="2"/>
      <c r="D3" s="49" t="s">
        <v>13</v>
      </c>
      <c r="E3" s="50">
        <v>41902847.730000004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42601962.280000001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200072.86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31299993.629999999</v>
      </c>
      <c r="C9" s="2"/>
      <c r="D9" s="51" t="s">
        <v>14</v>
      </c>
      <c r="E9" s="52">
        <f>E3-E15</f>
        <v>30871326.177027807</v>
      </c>
      <c r="G9" s="1"/>
      <c r="H9" s="1"/>
    </row>
    <row r="10" spans="1:8" s="3" customFormat="1" outlineLevel="1">
      <c r="A10" s="5" t="s">
        <v>4</v>
      </c>
      <c r="B10" s="10">
        <v>30538762.43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149059.66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612171.54</v>
      </c>
      <c r="C12" s="2"/>
      <c r="D12" s="5"/>
      <c r="E12" s="10"/>
      <c r="G12" s="1"/>
      <c r="H12" s="1"/>
    </row>
    <row r="13" spans="1:8" s="3" customFormat="1" outlineLevel="1">
      <c r="A13" s="5" t="s">
        <v>45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3" t="s">
        <v>46</v>
      </c>
      <c r="B14" s="84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11529181.510000002</v>
      </c>
      <c r="C15" s="2"/>
      <c r="D15" s="14"/>
      <c r="E15" s="15">
        <v>11031521.552972199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-497659.95702780224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42</v>
      </c>
      <c r="B19" s="48">
        <f>B20-B21</f>
        <v>-961628.74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60562.78</v>
      </c>
      <c r="C20" s="2"/>
      <c r="D20" s="38"/>
      <c r="E20" s="39">
        <f>B20</f>
        <v>60562.78</v>
      </c>
      <c r="G20" s="1"/>
      <c r="H20" s="1"/>
    </row>
    <row r="21" spans="1:8" s="3" customFormat="1">
      <c r="A21" s="27" t="s">
        <v>27</v>
      </c>
      <c r="B21" s="10">
        <v>1022191.52</v>
      </c>
      <c r="C21" s="2"/>
      <c r="D21" s="38"/>
      <c r="E21" s="39">
        <f>-B21</f>
        <v>-1022191.52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SUM(B24:B27)</f>
        <v>1827542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0">
        <v>1508077</v>
      </c>
      <c r="C24" s="2"/>
      <c r="D24" s="38"/>
      <c r="E24" s="39">
        <f>-B24</f>
        <v>-1508077</v>
      </c>
      <c r="G24" s="1"/>
      <c r="H24" s="1"/>
    </row>
    <row r="25" spans="1:8" s="3" customFormat="1" ht="12.6" customHeight="1">
      <c r="A25" s="27" t="s">
        <v>17</v>
      </c>
      <c r="B25" s="31">
        <v>319465</v>
      </c>
      <c r="C25" s="2"/>
      <c r="D25" s="38"/>
      <c r="E25" s="39">
        <f>B25</f>
        <v>319465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265376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51500</v>
      </c>
      <c r="C29" s="2"/>
      <c r="D29" s="38"/>
      <c r="E29" s="39">
        <f>-B29</f>
        <v>-51500</v>
      </c>
      <c r="G29" s="1"/>
      <c r="H29" s="1"/>
    </row>
    <row r="30" spans="1:8" s="3" customFormat="1">
      <c r="A30" s="27" t="s">
        <v>21</v>
      </c>
      <c r="B30" s="31">
        <v>213876</v>
      </c>
      <c r="C30" s="2"/>
      <c r="D30" s="38"/>
      <c r="E30" s="39">
        <f>-B30</f>
        <v>-213876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2119290.108</v>
      </c>
      <c r="D33" s="38"/>
      <c r="E33" s="39">
        <f>B33</f>
        <v>2119290.108</v>
      </c>
    </row>
    <row r="34" spans="1:6">
      <c r="A34" s="54" t="s">
        <v>26</v>
      </c>
      <c r="B34" s="55">
        <f>831321.65</f>
        <v>831321.65</v>
      </c>
      <c r="D34" s="66" t="s">
        <v>30</v>
      </c>
      <c r="E34" s="39">
        <f>-764792.58+B12</f>
        <v>-152621.03999999992</v>
      </c>
    </row>
    <row r="35" spans="1:6">
      <c r="A35" s="27" t="s">
        <v>23</v>
      </c>
      <c r="B35" s="31">
        <f>858440.85</f>
        <v>858440.85</v>
      </c>
      <c r="D35" s="42" t="s">
        <v>25</v>
      </c>
      <c r="E35" s="45">
        <f>SUM(E20:E34)</f>
        <v>-448947.67200000014</v>
      </c>
      <c r="F35" s="7"/>
    </row>
    <row r="36" spans="1:6" ht="13.8" thickBot="1">
      <c r="A36" s="34" t="s">
        <v>28</v>
      </c>
      <c r="B36" s="35">
        <f>76312.59</f>
        <v>76312.59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11080233.838000001</v>
      </c>
      <c r="C38" s="21"/>
      <c r="D38" s="22"/>
      <c r="E38" s="69">
        <f>E15</f>
        <v>11031521.552972199</v>
      </c>
      <c r="F38" s="7"/>
    </row>
    <row r="39" spans="1:6" ht="18.600000000000001" thickBot="1">
      <c r="A39" s="70" t="s">
        <v>32</v>
      </c>
      <c r="B39" s="73">
        <f>B38-E38</f>
        <v>48712.285027801991</v>
      </c>
      <c r="C39" s="74">
        <f>B39/E3</f>
        <v>1.1625053586257056E-3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workbookViewId="0">
      <selection activeCell="A47" sqref="A4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41</v>
      </c>
      <c r="B3" s="18"/>
      <c r="C3" s="2"/>
      <c r="D3" s="17" t="str">
        <f>A3</f>
        <v>01/09/2024 - 31/10/2025</v>
      </c>
      <c r="E3" s="18"/>
      <c r="G3" s="1"/>
      <c r="H3" s="1"/>
    </row>
    <row r="4" spans="1:8" s="3" customFormat="1">
      <c r="A4" s="49" t="s">
        <v>13</v>
      </c>
      <c r="B4" s="50">
        <f>SUM(B5:B10)</f>
        <v>509370121.81</v>
      </c>
      <c r="C4" s="2"/>
      <c r="D4" s="49" t="s">
        <v>13</v>
      </c>
      <c r="E4" s="50">
        <v>477686132.00999999</v>
      </c>
      <c r="G4" s="1"/>
      <c r="H4" s="1"/>
    </row>
    <row r="5" spans="1:8" s="3" customFormat="1" outlineLevel="1">
      <c r="A5" s="5" t="s">
        <v>1</v>
      </c>
      <c r="B5" s="10">
        <v>489809.31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455937592.45999998</v>
      </c>
      <c r="C6" s="2"/>
      <c r="D6" s="5"/>
      <c r="E6" s="10"/>
      <c r="G6" s="1"/>
      <c r="H6" s="1"/>
    </row>
    <row r="7" spans="1:8" s="3" customFormat="1" outlineLevel="1">
      <c r="A7" s="5" t="s">
        <v>3</v>
      </c>
      <c r="B7" s="10">
        <v>180525.85</v>
      </c>
      <c r="C7" s="2"/>
      <c r="D7" s="5"/>
      <c r="E7" s="10"/>
      <c r="G7" s="1"/>
      <c r="H7" s="1"/>
    </row>
    <row r="8" spans="1:8" s="3" customFormat="1" outlineLevel="1">
      <c r="A8" s="5" t="s">
        <v>37</v>
      </c>
      <c r="B8" s="10">
        <v>23551290.59</v>
      </c>
      <c r="C8" s="2"/>
      <c r="D8" s="5"/>
      <c r="E8" s="10"/>
      <c r="G8" s="1"/>
      <c r="H8" s="1"/>
    </row>
    <row r="9" spans="1:8" s="3" customFormat="1" outlineLevel="1">
      <c r="A9" s="5" t="s">
        <v>33</v>
      </c>
      <c r="B9" s="10">
        <v>29210903.600000001</v>
      </c>
      <c r="C9" s="2"/>
      <c r="D9" s="5"/>
      <c r="E9" s="11"/>
      <c r="G9" s="1"/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14</v>
      </c>
      <c r="B11" s="52">
        <f>SUM(B12:B16)</f>
        <v>448819146.05000007</v>
      </c>
      <c r="C11" s="2"/>
      <c r="D11" s="51" t="s">
        <v>14</v>
      </c>
      <c r="E11" s="52">
        <f>E4-E17</f>
        <v>357232668.52821952</v>
      </c>
      <c r="G11" s="1"/>
      <c r="H11" s="1"/>
    </row>
    <row r="12" spans="1:8" s="3" customFormat="1" outlineLevel="1">
      <c r="A12" s="5" t="s">
        <v>4</v>
      </c>
      <c r="B12" s="10">
        <f>391592921.71</f>
        <v>391592921.70999998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10">
        <v>785510.48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3630096.72</v>
      </c>
      <c r="C14" s="2"/>
      <c r="D14" s="5"/>
      <c r="E14" s="10"/>
      <c r="G14" s="1"/>
      <c r="H14" s="1"/>
    </row>
    <row r="15" spans="1:8" s="3" customFormat="1" outlineLevel="1">
      <c r="A15" s="5" t="s">
        <v>45</v>
      </c>
      <c r="B15" s="10">
        <v>23599713.539999999</v>
      </c>
      <c r="C15" s="2"/>
      <c r="D15" s="5"/>
      <c r="E15" s="10"/>
      <c r="G15" s="1"/>
      <c r="H15" s="1"/>
    </row>
    <row r="16" spans="1:8" s="3" customFormat="1" ht="13.8" outlineLevel="1" thickBot="1">
      <c r="A16" s="83" t="s">
        <v>46</v>
      </c>
      <c r="B16" s="84">
        <v>29210903.600000001</v>
      </c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60550975.759999931</v>
      </c>
      <c r="C17" s="2"/>
      <c r="D17" s="14"/>
      <c r="E17" s="15">
        <v>120453463.48178048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59902487.721780553</v>
      </c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42</v>
      </c>
      <c r="B21" s="48">
        <f>B22+B23</f>
        <v>21748539.550000001</v>
      </c>
      <c r="C21" s="2"/>
      <c r="D21" s="36"/>
      <c r="E21" s="37"/>
      <c r="G21" s="1"/>
      <c r="H21" s="1"/>
    </row>
    <row r="22" spans="1:8" s="3" customFormat="1">
      <c r="A22" s="26" t="s">
        <v>10</v>
      </c>
      <c r="B22" s="16">
        <f>(17838113.92+3715623.16)+194802.47-B23</f>
        <v>8237289.9229000006</v>
      </c>
      <c r="C22" s="2"/>
      <c r="D22" s="38"/>
      <c r="E22" s="39">
        <f>B22</f>
        <v>8237289.9229000006</v>
      </c>
      <c r="G22" s="1"/>
      <c r="H22" s="1"/>
    </row>
    <row r="23" spans="1:8" s="3" customFormat="1">
      <c r="A23" s="27" t="s">
        <v>15</v>
      </c>
      <c r="B23" s="10">
        <f>(E4-27311144.44)*3%</f>
        <v>13511249.6271</v>
      </c>
      <c r="C23" s="2"/>
      <c r="D23" s="38"/>
      <c r="E23" s="39">
        <f>B23</f>
        <v>13511249.6271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34</v>
      </c>
      <c r="B25" s="48">
        <f>SUM(B26:B30)</f>
        <v>80606877.659999996</v>
      </c>
      <c r="C25" s="2"/>
      <c r="D25" s="40"/>
      <c r="E25" s="41"/>
      <c r="G25" s="1"/>
      <c r="H25" s="1"/>
    </row>
    <row r="26" spans="1:8" s="3" customFormat="1">
      <c r="A26" s="26" t="s">
        <v>16</v>
      </c>
      <c r="B26" s="76">
        <v>33845496.880000003</v>
      </c>
      <c r="C26" s="2"/>
      <c r="D26" s="38"/>
      <c r="E26" s="39">
        <f>-B26</f>
        <v>-33845496.880000003</v>
      </c>
      <c r="G26" s="1"/>
      <c r="H26" s="1"/>
    </row>
    <row r="27" spans="1:8" s="3" customFormat="1" ht="12.6" customHeight="1">
      <c r="A27" s="27" t="s">
        <v>17</v>
      </c>
      <c r="B27" s="77">
        <v>46491709.399999999</v>
      </c>
      <c r="C27" s="2"/>
      <c r="D27" s="38"/>
      <c r="E27" s="39">
        <f>B27</f>
        <v>46491709.399999999</v>
      </c>
      <c r="G27" s="1"/>
      <c r="H27" s="1"/>
    </row>
    <row r="28" spans="1:8" s="3" customFormat="1">
      <c r="A28" s="27" t="s">
        <v>18</v>
      </c>
      <c r="B28" s="77">
        <v>269671.38</v>
      </c>
      <c r="C28" s="2"/>
      <c r="D28" s="38"/>
      <c r="E28" s="46">
        <f>-B28</f>
        <v>-269671.38</v>
      </c>
      <c r="G28" s="1"/>
      <c r="H28" s="1"/>
    </row>
    <row r="29" spans="1:8" s="3" customFormat="1">
      <c r="A29" s="85" t="s">
        <v>38</v>
      </c>
      <c r="B29" s="79">
        <v>0</v>
      </c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85" t="s">
        <v>40</v>
      </c>
      <c r="B30" s="79">
        <v>0</v>
      </c>
      <c r="C30" s="2"/>
      <c r="D30" s="40"/>
      <c r="E30" s="46">
        <f>-B30</f>
        <v>0</v>
      </c>
      <c r="G30" s="1"/>
      <c r="H30" s="1"/>
    </row>
    <row r="31" spans="1:8" s="3" customFormat="1" ht="13.8" thickBot="1">
      <c r="A31" s="24" t="s">
        <v>11</v>
      </c>
      <c r="B31" s="25">
        <f>B32+B33</f>
        <v>776469</v>
      </c>
      <c r="C31" s="2"/>
      <c r="D31" s="40"/>
      <c r="E31" s="41"/>
      <c r="G31" s="1"/>
      <c r="H31" s="1"/>
    </row>
    <row r="32" spans="1:8" s="3" customFormat="1">
      <c r="A32" s="26" t="s">
        <v>20</v>
      </c>
      <c r="B32" s="76">
        <v>438423</v>
      </c>
      <c r="C32" s="2"/>
      <c r="D32" s="38"/>
      <c r="E32" s="39">
        <f>-B32</f>
        <v>-438423</v>
      </c>
      <c r="G32" s="1"/>
      <c r="H32" s="1"/>
    </row>
    <row r="33" spans="1:8" s="3" customFormat="1">
      <c r="A33" s="27" t="s">
        <v>21</v>
      </c>
      <c r="B33" s="77">
        <v>338046</v>
      </c>
      <c r="C33" s="2"/>
      <c r="D33" s="38"/>
      <c r="E33" s="39">
        <f>-B33</f>
        <v>-338046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12</v>
      </c>
      <c r="B36" s="48">
        <f>SUM(B37:B40)*1.2</f>
        <v>28516146.707999993</v>
      </c>
      <c r="D36" s="38"/>
      <c r="E36" s="39">
        <f>--B36</f>
        <v>28516146.707999993</v>
      </c>
    </row>
    <row r="37" spans="1:8">
      <c r="A37" s="26" t="s">
        <v>22</v>
      </c>
      <c r="B37" s="30">
        <v>13539908.460000001</v>
      </c>
      <c r="D37" s="66" t="s">
        <v>30</v>
      </c>
      <c r="E37" s="39">
        <f>-4995925.43+B14</f>
        <v>-1365828.7099999995</v>
      </c>
    </row>
    <row r="38" spans="1:8">
      <c r="A38" s="27" t="s">
        <v>23</v>
      </c>
      <c r="B38" s="31">
        <v>4447903.6500000004</v>
      </c>
      <c r="D38" s="42" t="s">
        <v>25</v>
      </c>
      <c r="E38" s="45">
        <f>SUM(E22:E37)</f>
        <v>60498929.687999986</v>
      </c>
      <c r="F38" s="7"/>
    </row>
    <row r="39" spans="1:8">
      <c r="A39" s="28" t="s">
        <v>28</v>
      </c>
      <c r="B39" s="32">
        <f>550454.65</f>
        <v>550454.65</v>
      </c>
      <c r="D39" s="42"/>
      <c r="E39" s="56"/>
      <c r="F39" s="7"/>
    </row>
    <row r="40" spans="1:8" ht="13.8" thickBot="1">
      <c r="A40" s="34" t="s">
        <v>24</v>
      </c>
      <c r="B40" s="78">
        <v>5225188.83</v>
      </c>
      <c r="D40" s="43"/>
      <c r="E40" s="44"/>
    </row>
    <row r="41" spans="1:8" ht="13.8" thickBot="1"/>
    <row r="42" spans="1:8" ht="13.8" thickBot="1">
      <c r="A42" s="67" t="s">
        <v>31</v>
      </c>
      <c r="B42" s="68">
        <f>B17+E38</f>
        <v>121049905.44799992</v>
      </c>
      <c r="C42" s="21"/>
      <c r="D42" s="22"/>
      <c r="E42" s="69">
        <f>E17</f>
        <v>120453463.48178048</v>
      </c>
      <c r="F42" s="7"/>
    </row>
    <row r="43" spans="1:8" ht="18.600000000000001" thickBot="1">
      <c r="A43" s="70" t="s">
        <v>36</v>
      </c>
      <c r="B43" s="73">
        <f>B42-E42</f>
        <v>596441.9662194401</v>
      </c>
      <c r="C43" s="74">
        <f>B43/E4</f>
        <v>1.2486064096308201E-3</v>
      </c>
      <c r="D43" s="71"/>
      <c r="E43" s="72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6127-6DC0-4592-B3F5-0578EBBDA625}">
  <sheetPr>
    <tabColor rgb="FFFF0000"/>
  </sheetPr>
  <dimension ref="A1:H40"/>
  <sheetViews>
    <sheetView tabSelected="1" workbookViewId="0">
      <selection activeCell="D10" sqref="D1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41</v>
      </c>
      <c r="B2" s="18"/>
      <c r="C2" s="2"/>
      <c r="D2" s="17" t="str">
        <f>A2</f>
        <v>01/09/2024 - 31/10/2025</v>
      </c>
      <c r="E2" s="18"/>
      <c r="G2" s="1"/>
      <c r="H2" s="1"/>
    </row>
    <row r="3" spans="1:8" s="3" customFormat="1">
      <c r="A3" s="49" t="s">
        <v>13</v>
      </c>
      <c r="B3" s="50">
        <f>SUM(B4:B7)</f>
        <v>21354558.02</v>
      </c>
      <c r="C3" s="2"/>
      <c r="D3" s="49" t="s">
        <v>13</v>
      </c>
      <c r="E3" s="50">
        <v>20376409.439999998</v>
      </c>
      <c r="F3" s="53"/>
      <c r="G3" s="1"/>
      <c r="H3" s="1"/>
    </row>
    <row r="4" spans="1:8" s="3" customFormat="1" outlineLevel="1">
      <c r="A4" s="5" t="s">
        <v>1</v>
      </c>
      <c r="B4" s="10">
        <v>38144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18081125.82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3235288.2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27055909.059999999</v>
      </c>
      <c r="C9" s="2"/>
      <c r="D9" s="51" t="s">
        <v>14</v>
      </c>
      <c r="E9" s="52">
        <f>E3-E15</f>
        <v>18247209.190571953</v>
      </c>
      <c r="G9" s="1"/>
      <c r="H9" s="1"/>
    </row>
    <row r="10" spans="1:8" s="3" customFormat="1" outlineLevel="1">
      <c r="A10" s="5" t="s">
        <v>4</v>
      </c>
      <c r="B10" s="10">
        <v>26264214.359999999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441233.13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350461.57</v>
      </c>
      <c r="C12" s="2"/>
      <c r="D12" s="5"/>
      <c r="E12" s="10"/>
      <c r="G12" s="1"/>
      <c r="H12" s="1"/>
    </row>
    <row r="13" spans="1:8" s="3" customFormat="1" outlineLevel="1">
      <c r="A13" s="5" t="s">
        <v>45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3" t="s">
        <v>46</v>
      </c>
      <c r="B14" s="84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-5701351.0399999991</v>
      </c>
      <c r="C15" s="2"/>
      <c r="D15" s="14"/>
      <c r="E15" s="15">
        <v>2129200.2494280464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7830551.289428046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42</v>
      </c>
      <c r="B19" s="48">
        <f>B20-B21</f>
        <v>2295283.62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2295283.62</v>
      </c>
      <c r="C20" s="2"/>
      <c r="D20" s="38"/>
      <c r="E20" s="39">
        <f>B20</f>
        <v>2295283.62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SUM(B24:B28)</f>
        <v>14005838.245999999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0">
        <v>7614100.4400000004</v>
      </c>
      <c r="C24" s="2"/>
      <c r="D24" s="38"/>
      <c r="E24" s="39">
        <f>-B24</f>
        <v>-7614100.4400000004</v>
      </c>
      <c r="G24" s="1"/>
      <c r="H24" s="1"/>
    </row>
    <row r="25" spans="1:8" s="3" customFormat="1" ht="12.6" customHeight="1">
      <c r="A25" s="27" t="s">
        <v>17</v>
      </c>
      <c r="B25" s="31">
        <v>2706445.9</v>
      </c>
      <c r="C25" s="2"/>
      <c r="D25" s="38"/>
      <c r="E25" s="39">
        <f>B25</f>
        <v>2706445.9</v>
      </c>
      <c r="G25" s="1"/>
      <c r="H25" s="1"/>
    </row>
    <row r="26" spans="1:8" s="3" customFormat="1">
      <c r="A26" s="27" t="s">
        <v>18</v>
      </c>
      <c r="B26" s="31">
        <v>450003.70599999995</v>
      </c>
      <c r="C26" s="2"/>
      <c r="D26" s="38"/>
      <c r="E26" s="46">
        <f>-B26</f>
        <v>-450003.70599999995</v>
      </c>
      <c r="G26" s="1"/>
      <c r="H26" s="1"/>
    </row>
    <row r="27" spans="1:8" s="3" customFormat="1">
      <c r="A27" s="28" t="s">
        <v>38</v>
      </c>
      <c r="B27" s="32"/>
      <c r="C27" s="2"/>
      <c r="D27" s="40"/>
      <c r="E27" s="46"/>
      <c r="G27" s="1"/>
      <c r="H27" s="1"/>
    </row>
    <row r="28" spans="1:8" s="3" customFormat="1" ht="13.8" thickBot="1">
      <c r="A28" s="81" t="s">
        <v>40</v>
      </c>
      <c r="B28" s="82">
        <f>B7</f>
        <v>3235288.2</v>
      </c>
      <c r="C28" s="2"/>
      <c r="D28" s="40"/>
      <c r="E28" s="46">
        <f>-B28</f>
        <v>-3235288.2</v>
      </c>
      <c r="G28" s="1"/>
      <c r="H28" s="1"/>
    </row>
    <row r="29" spans="1:8" s="3" customFormat="1" ht="13.8" thickBot="1">
      <c r="A29" s="24" t="s">
        <v>11</v>
      </c>
      <c r="B29" s="80">
        <f>B30+B31+B32</f>
        <v>726874</v>
      </c>
      <c r="C29" s="2"/>
      <c r="D29" s="40"/>
      <c r="E29" s="41"/>
      <c r="G29" s="1"/>
      <c r="H29" s="1"/>
    </row>
    <row r="30" spans="1:8" s="3" customFormat="1">
      <c r="A30" s="26" t="s">
        <v>20</v>
      </c>
      <c r="B30" s="30">
        <v>235215</v>
      </c>
      <c r="C30" s="2"/>
      <c r="D30" s="38"/>
      <c r="E30" s="39">
        <f>-B30</f>
        <v>-235215</v>
      </c>
      <c r="G30" s="1"/>
      <c r="H30" s="1"/>
    </row>
    <row r="31" spans="1:8" s="3" customFormat="1">
      <c r="A31" s="27" t="s">
        <v>21</v>
      </c>
      <c r="B31" s="31">
        <v>491659</v>
      </c>
      <c r="C31" s="2"/>
      <c r="D31" s="38"/>
      <c r="E31" s="39">
        <f>-B31</f>
        <v>-491659</v>
      </c>
      <c r="G31" s="1"/>
      <c r="H31" s="1"/>
    </row>
    <row r="32" spans="1:8" s="3" customFormat="1">
      <c r="A32" s="27"/>
      <c r="B32" s="31"/>
      <c r="C32" s="2"/>
      <c r="D32" s="40"/>
      <c r="E32" s="39">
        <f>-B32</f>
        <v>0</v>
      </c>
      <c r="G32" s="1"/>
      <c r="H32" s="1"/>
    </row>
    <row r="33" spans="1:6" ht="13.8" thickBot="1">
      <c r="A33" s="33"/>
      <c r="B33" s="32"/>
      <c r="D33" s="40"/>
      <c r="E33" s="41"/>
    </row>
    <row r="34" spans="1:6" ht="13.8" thickBot="1">
      <c r="A34" s="47" t="s">
        <v>12</v>
      </c>
      <c r="B34" s="48">
        <f>SUM(B35:B37)*1.2</f>
        <v>15506190.143999998</v>
      </c>
      <c r="D34" s="38"/>
      <c r="E34" s="39">
        <f>--B34</f>
        <v>15506190.143999998</v>
      </c>
    </row>
    <row r="35" spans="1:6">
      <c r="A35" s="54" t="s">
        <v>39</v>
      </c>
      <c r="B35" s="55">
        <v>10206760.359999999</v>
      </c>
      <c r="D35" s="66" t="s">
        <v>30</v>
      </c>
      <c r="E35" s="39">
        <f>-530069.48+B12</f>
        <v>-179607.90999999997</v>
      </c>
    </row>
    <row r="36" spans="1:6">
      <c r="A36" s="27" t="s">
        <v>23</v>
      </c>
      <c r="B36" s="31">
        <v>2374649.36</v>
      </c>
      <c r="D36" s="42" t="s">
        <v>25</v>
      </c>
      <c r="E36" s="45">
        <f>SUM(E20:E35)</f>
        <v>8302045.4079999961</v>
      </c>
      <c r="F36" s="7"/>
    </row>
    <row r="37" spans="1:6" ht="13.8" thickBot="1">
      <c r="A37" s="34" t="s">
        <v>28</v>
      </c>
      <c r="B37" s="35">
        <v>340415.4</v>
      </c>
      <c r="D37" s="43"/>
      <c r="E37" s="44"/>
    </row>
    <row r="38" spans="1:6" ht="13.8" thickBot="1"/>
    <row r="39" spans="1:6" ht="13.8" thickBot="1">
      <c r="A39" s="67" t="s">
        <v>31</v>
      </c>
      <c r="B39" s="68">
        <f>B15+E36</f>
        <v>2600694.367999997</v>
      </c>
      <c r="C39" s="21"/>
      <c r="D39" s="22"/>
      <c r="E39" s="69">
        <f>E15</f>
        <v>2129200.2494280464</v>
      </c>
      <c r="F39" s="7"/>
    </row>
    <row r="40" spans="1:6" ht="18.600000000000001" thickBot="1">
      <c r="A40" s="70" t="s">
        <v>32</v>
      </c>
      <c r="B40" s="73">
        <f>B39-E39</f>
        <v>471494.11857195059</v>
      </c>
      <c r="C40" s="74">
        <f>B40/E3</f>
        <v>2.3139214980946645E-2</v>
      </c>
      <c r="D40" s="71"/>
      <c r="E40" s="7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Ретал ГПУ</vt:lpstr>
      <vt:lpstr>Нежин-4</vt:lpstr>
      <vt:lpstr>МХП Катеринополь</vt:lpstr>
      <vt:lpstr>Глобино 2</vt:lpstr>
      <vt:lpstr>Астарта.Тищенки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2025-11-24T16:18:45Z</dcterms:modified>
</cp:coreProperties>
</file>
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Октябрь_25\Данные\Строительство\Материалы+МШП\"/>
    </mc:Choice>
  </mc:AlternateContent>
  <xr:revisionPtr revIDLastSave="0" documentId="13_ncr:1_{9EEA9E60-82A7-4843-BF74-A2FDD1CBF8CE}" xr6:coauthVersionLast="45" xr6:coauthVersionMax="45" xr10:uidLastSave="{00000000-0000-0000-0000-000000000000}"/>
  <bookViews>
    <workbookView xWindow="-108" yWindow="-108" windowWidth="23256" windowHeight="12600" tabRatio="793" activeTab="7" xr2:uid="{00000000-000D-0000-FFFF-FFFF00000000}"/>
  </bookViews>
  <sheets>
    <sheet name="МШП" sheetId="5" r:id="rId1"/>
    <sheet name="Тищенки" sheetId="1" r:id="rId2"/>
    <sheet name="Катеринополь" sheetId="2" r:id="rId3"/>
    <sheet name="Нежин" sheetId="3" r:id="rId4"/>
    <sheet name="Глобино" sheetId="4" r:id="rId5"/>
    <sheet name="Материалы" sheetId="6" r:id="rId6"/>
    <sheet name="Глобино-2(ЦКС)-сч205.1" sheetId="7" r:id="rId7"/>
    <sheet name="Глобино_Цех" sheetId="10" r:id="rId8"/>
    <sheet name="Глобино_общ" sheetId="11" r:id="rId9"/>
    <sheet name="Тищенки_м" sheetId="8" r:id="rId10"/>
    <sheet name="Катериноп" sheetId="9" r:id="rId11"/>
  </sheets>
  <definedNames>
    <definedName name="_xlnm._FilterDatabase" localSheetId="4" hidden="1">Глобино!$A$1:$L$477</definedName>
    <definedName name="_xlnm._FilterDatabase" localSheetId="8" hidden="1">Глобино_общ!$A$1:$L$1819</definedName>
    <definedName name="_xlnm._FilterDatabase" localSheetId="7" hidden="1">Глобино_Цех!$A$1:$L$57</definedName>
    <definedName name="_xlnm._FilterDatabase" localSheetId="6" hidden="1">'Глобино-2(ЦКС)-сч205.1'!$A$1:$L$147</definedName>
    <definedName name="_xlnm._FilterDatabase" localSheetId="10" hidden="1">Катериноп!$A$1:$L$43</definedName>
    <definedName name="_xlnm._FilterDatabase" localSheetId="2" hidden="1">Катеринополь!$A$1:$L$66</definedName>
    <definedName name="_xlnm._FilterDatabase" localSheetId="3" hidden="1">Нежин!$A$1:$L$83</definedName>
    <definedName name="_xlnm._FilterDatabase" localSheetId="1" hidden="1">Тищенки!$A$1:$L$152</definedName>
    <definedName name="_xlnm._FilterDatabase" localSheetId="9" hidden="1">Тищенки_м!$A$1:$L$228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33" i="8" l="1"/>
  <c r="J1821" i="11"/>
  <c r="J1822" i="11" s="1"/>
  <c r="J1824" i="11" s="1"/>
  <c r="J60" i="10"/>
  <c r="J59" i="10"/>
  <c r="J46" i="9"/>
  <c r="J45" i="9"/>
  <c r="J231" i="8" l="1"/>
  <c r="J230" i="8"/>
  <c r="J150" i="7"/>
  <c r="J149" i="7"/>
  <c r="J480" i="4"/>
  <c r="J479" i="4"/>
  <c r="J86" i="3"/>
  <c r="J85" i="3"/>
  <c r="J69" i="2"/>
  <c r="J68" i="2"/>
  <c r="J155" i="1"/>
  <c r="J154" i="1"/>
</calcChain>
</file>

<file path=xl/sharedStrings.xml><?xml version="1.0" encoding="utf-8"?>
<sst xmlns="http://schemas.openxmlformats.org/spreadsheetml/2006/main" count="24459" uniqueCount="2850">
  <si>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</si>
  <si>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</si>
  <si>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</si>
  <si>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</si>
  <si>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</si>
  <si>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</si>
  <si>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</si>
  <si>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</si>
  <si>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</si>
  <si>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01.10.2025</t>
  </si>
  <si>
    <t>Надходження товарів і послуг ІБ00-005853 від 01.10.2025 11:00:00
Оприходованы ТМЦ</t>
  </si>
  <si>
    <t>Обл. НДС
Костюм утеплений р.128-132/182-188
Надходження товарів і послуг ІБ00-005853 від 01.10.2025 11:00:00
Астарта_Тищенки</t>
  </si>
  <si>
    <t>БРАВО-СП ТОВ
РАХУНКИ_Астарта. Тищенки
Рахунок на оплату постачальника ІБ00-004764 від 01.10.2025 18:12:54</t>
  </si>
  <si>
    <t>221</t>
  </si>
  <si>
    <t>631</t>
  </si>
  <si>
    <t xml:space="preserve"> </t>
  </si>
  <si>
    <t>Обл. НДС
Костюм утеплений р.96-100/182-188
Надходження товарів і послуг ІБ00-005853 від 01.10.2025 11:00:00
Астарта_Тищенки</t>
  </si>
  <si>
    <t>Обл. НДС
Взуття чоловіче SEVEN SAFETY 2107 S1  р.43
Надходження товарів і послуг ІБ00-005853 від 01.10.2025 11:00:00
Астарта_Тищенки</t>
  </si>
  <si>
    <t>Обл. НДС
Взуття чоловіче SEVEN SAFETY 111/02" S1  р.45
Надходження товарів і послуг ІБ00-005853 від 01.10.2025 11:00:00
Астарта_Тищенки</t>
  </si>
  <si>
    <t>Надходження товарів і послуг ІБ00-005854 від 01.10.2025 11:00:00
Оприходованы ТМЦ</t>
  </si>
  <si>
    <t>Обл. НДС
Молоток  1000 гр.
Надходження товарів і послуг ІБ00-005854 від 01.10.2025 11:00:00
Астарта_Тищенки</t>
  </si>
  <si>
    <t>УКРСЕРВІС КОМПАНІЯ ТОВ
№23/09/25_Рахунки_Астарта. Тищенки
Рахунок на оплату постачальника ІБ00-004744 від 26.09.2025 18:21:37</t>
  </si>
  <si>
    <t>Надходження товарів і послуг ІБ00-005855 від 01.10.2025 11:00:00
Оприходованы ТМЦ</t>
  </si>
  <si>
    <t>Обл. НДС
Рукавиці зварювальника "Крага" 
Надходження товарів і послуг ІБ00-005855 від 01.10.2025 11:00:00
Астарта_Тищенки</t>
  </si>
  <si>
    <t>УКРСЕРВІС КОМПАНІЯ ТОВ
№23/09/25_Рахунки_Астарта. Тищенки
Рахунок на оплату постачальника ІБ00-004761 від 26.09.2025 18:21:38</t>
  </si>
  <si>
    <t>Обл. НДС
(я-94)BOSCH витратні Круг відрізний 230*2,5*22 увігнутий
Надходження товарів і послуг ІБ00-005855 від 01.10.2025 11:00:00
Астарта_Тищенки</t>
  </si>
  <si>
    <t>Обл. НДС
Гніздо байонетне ВЕВ 35-50 400А
Надходження товарів і послуг ІБ00-005855 від 01.10.2025 11:00:00
Астарта_Тищенки</t>
  </si>
  <si>
    <t>Обл. НДС
Штекер байонетний  400 А
Надходження товарів і послуг ІБ00-005855 від 01.10.2025 11:00:00
Астарта_Тищенки</t>
  </si>
  <si>
    <t>Обл. НДС
Електроди "Моноліт РЦ" 3 мм 2,5кг
Надходження товарів і послуг ІБ00-005855 від 01.10.2025 11:00:00
Астарта_Тищенки</t>
  </si>
  <si>
    <t>Обл. НДС
Електроди "Моноліт РЦ" 4 мм уп. 5,0 кг
Надходження товарів і послуг ІБ00-005855 від 01.10.2025 11:00:00
Астарта_Тищенки</t>
  </si>
  <si>
    <t>Обл. НДС
Круг відрізний  125*1,6*22
Надходження товарів і послуг ІБ00-005855 від 01.10.2025 11:00:00
Астарта_Тищенки</t>
  </si>
  <si>
    <t>Обл. НДС
Рукавиці трикотажні з ПВХ помаранч 10клас розм 10
Надходження товарів і послуг ІБ00-005855 від 01.10.2025 11:00:00
Астарта_Тищенки</t>
  </si>
  <si>
    <t>Обл. НДС
Касета-розетка 3гн, з/к з кришками Омега ІР44  16А
Надходження товарів і послуг ІБ00-005855 від 01.10.2025 11:00:00
Астарта_Тищенки</t>
  </si>
  <si>
    <t>Обл. НДС
Вилка пряма 16 А
Надходження товарів і послуг ІБ00-005855 від 01.10.2025 11:00:00
Астарта_Тищенки</t>
  </si>
  <si>
    <t>Обл. НДС
Затискач маси прищіпка МК-400 А
Надходження товарів і послуг ІБ00-005855 від 01.10.2025 11:00:00
Астарта_Тищенки</t>
  </si>
  <si>
    <t>Обл. НДС
Маска зварювальника
Надходження товарів і послуг ІБ00-005855 від 01.10.2025 11:00:00
Астарта_Тищенки</t>
  </si>
  <si>
    <t>Надходження товарів і послуг ІБ00-005859 від 01.10.2025 11:00:00
Оприходованы ТМЦ</t>
  </si>
  <si>
    <t>Обл. НДС
Валик
Надходження товарів і послуг ІБ00-005859 від 01.10.2025 11:00:00
Астарта_Тищенки</t>
  </si>
  <si>
    <t>Лук'ян Михайло Федорович ФОП
10/07/25 від 10.07.2025 (РАХУНКИ)_Астарта_Тищенки
Рахунок на оплату постачальника ІБ00-004734 від 26.09.2025 18:21:36</t>
  </si>
  <si>
    <t>Обл. НДС
Ручка для валика
Надходження товарів і послуг ІБ00-005859 від 01.10.2025 11:00:00
Астарта_Тищенки</t>
  </si>
  <si>
    <t>Обл. НДС
Ванночка для валика
Надходження товарів і послуг ІБ00-005859 від 01.10.2025 11:00:00
Астарта_Тищенки</t>
  </si>
  <si>
    <t>Обл. НДС
Ізострічка 19 мм*20 м*0,13 мм, чорна
Надходження товарів і послуг ІБ00-005859 від 01.10.2025 11:00:00
Астарта_Тищенки</t>
  </si>
  <si>
    <t>Обл. НДС
Ножівка по дереву 500 мм
Надходження товарів і послуг ІБ00-005859 від 01.10.2025 11:00:00
Астарта_Тищенки</t>
  </si>
  <si>
    <t>Обл. НДС
Напилок триграний 250мм
Надходження товарів і послуг ІБ00-005859 від 01.10.2025 11:00:00
Астарта_Тищенки</t>
  </si>
  <si>
    <t>Обл. НДС
Провід ПВС 2*2,5 бухта 100м
Надходження товарів і послуг ІБ00-005859 від 01.10.2025 11:00:00
Астарта_Тищенки</t>
  </si>
  <si>
    <t>Обл. НДС
Тримач електродів DE-2300  300А
Надходження товарів і послуг ІБ00-005859 від 01.10.2025 11:00:00
Астарта_Тищенки</t>
  </si>
  <si>
    <t>Обл. НДС
Круг алмаз. відрізний по металу 230*2,5*22,23
Надходження товарів і послуг ІБ00-005859 від 01.10.2025 11:00:00
Астарта_Тищенки</t>
  </si>
  <si>
    <t>02.10.2025</t>
  </si>
  <si>
    <t>Авансовий звіт ІБ00-000278 від 02.10.2025 18:25:46
Оприходованы ТМЦ</t>
  </si>
  <si>
    <t>Обл. НДС
Витратний матеріал
Авансовий звіт ІБ00-000278 від 02.10.2025 18:25:46
Астарта_Тищенки</t>
  </si>
  <si>
    <t>Огоновський Дмитро Анатолійович</t>
  </si>
  <si>
    <t>3721</t>
  </si>
  <si>
    <t>Обл. НДС
Мастило WD 200мл
Авансовий звіт ІБ00-000278 від 02.10.2025 18:25:46
Астарта_Тищенки</t>
  </si>
  <si>
    <t>Обл. НДС
Замок (хрестовина)
Авансовий звіт ІБ00-000278 від 02.10.2025 18:25:46
Астарта_Тищенки</t>
  </si>
  <si>
    <t>03.10.2025</t>
  </si>
  <si>
    <t>Надходження товарів і послуг ІБ00-006121 від 03.10.2025 11:00:00
Оприходованы ТМЦ</t>
  </si>
  <si>
    <t>Обл. НДС
Подушка ватна 60х60
Надходження товарів і послуг ІБ00-006121 від 03.10.2025 11:00:00
Астарта_Тищенки</t>
  </si>
  <si>
    <t>УКРСЕРВІС КОМПАНІЯ ТОВ
№23/09/25_Рахунки_Астарта. Тищенки
Рахунок на оплату постачальника ІБ00-004760 від 29.09.2025 23:00:09</t>
  </si>
  <si>
    <t>Обл. НДС
Ковдра н/в (50%)
Надходження товарів і послуг ІБ00-006121 від 03.10.2025 11:00:00
Астарта_Тищенки</t>
  </si>
  <si>
    <t>Обл. НДС
Матрац 190*70
Надходження товарів і послуг ІБ00-006121 від 03.10.2025 11:00:00
Астарта_Тищенки</t>
  </si>
  <si>
    <t>10.10.2025</t>
  </si>
  <si>
    <t>Надходження товарів і послуг ІБ00-006043 від 10.10.2025 11:00:00
Оприходованы ТМЦ (Зачет аванса поставщику)</t>
  </si>
  <si>
    <t>Обл. НДС
(я-94)BOSCH витратні Круг відрізний 230*2,5*22 увігнутий
Надходження товарів і послуг ІБ00-006043 від 10.10.2025 11:00:00
Астарта_Тищенки</t>
  </si>
  <si>
    <t>УКРСЕРВІС КОМПАНІЯ ТОВ
№23/09/25_Рахунки_Астарта. Тищенки
Рахунок на оплату постачальника ІБ00-004762 від 06.10.2025 17:37:54</t>
  </si>
  <si>
    <t>Обл. НДС
Шуруп г/к по дереву 4,2*76 мм
Надходження товарів і послуг ІБ00-006043 від 10.10.2025 11:00:00
Астарта_Тищенки</t>
  </si>
  <si>
    <t>Обл. НДС
Електроди "Моноліт РЦ" 4 мм уп. 5,0 кг
Надходження товарів і послуг ІБ00-006043 від 10.10.2025 11:00:00
Астарта_Тищенки</t>
  </si>
  <si>
    <t>Обл. НДС
Електроди "Моноліт РЦ" 3 мм 2,5кг
Надходження товарів і послуг ІБ00-006043 від 10.10.2025 11:00:00
Астарта_Тищенки</t>
  </si>
  <si>
    <t>Обл. НДС
Шуруп г/к по дереву 3,5*55 мм
Надходження товарів і послуг ІБ00-006043 від 10.10.2025 11:00:00
Астарта_Тищенки</t>
  </si>
  <si>
    <t>Обл. НДС
Круг відрізний 125*1,6*22
Надходження товарів і послуг ІБ00-006043 від 10.10.2025 11:00:00
Астарта_Тищенки</t>
  </si>
  <si>
    <t>Обл. НДС
Бита Рh2 51мм 
Надходження товарів і послуг ІБ00-006043 від 10.10.2025 11:00:00
Астарта_Тищенки</t>
  </si>
  <si>
    <t>Обл. НДС
Бита Рh2 50мм 
Надходження товарів і послуг ІБ00-006043 від 10.10.2025 11:00:00
Астарта_Тищенки</t>
  </si>
  <si>
    <t>Обл. НДС
Відро будівельне 12 л
Надходження товарів і послуг ІБ00-006043 від 10.10.2025 11:00:00
Астарта_Тищенки</t>
  </si>
  <si>
    <t>Обл. НДС
Ножівка по пінобетону 700мм
Надходження товарів і послуг ІБ00-006043 від 10.10.2025 11:00:00
Астарта_Тищенки</t>
  </si>
  <si>
    <t>Обл. НДС
Чоботи гумові Vorel робочі з ПВХ, р.43
Надходження товарів і послуг ІБ00-006043 від 10.10.2025 11:00:00
Астарта_Тищенки</t>
  </si>
  <si>
    <t>Обл. НДС
Чоботи гумові Vorel робочі з ПВХ, р.44
Надходження товарів і послуг ІБ00-006043 від 10.10.2025 11:00:00
Астарта_Тищенки</t>
  </si>
  <si>
    <t>Обл. НДС
Вставка зі штуч.хутра в чол.чоботи р.43-44
Надходження товарів і послуг ІБ00-006043 від 10.10.2025 11:00:00
Астарта_Тищенки</t>
  </si>
  <si>
    <t>Обл. НДС
Рівень 100 см
Надходження товарів і послуг ІБ00-006043 від 10.10.2025 11:00:00
Астарта_Тищенки</t>
  </si>
  <si>
    <t>Обл. НДС
Бур +8*200/260 плюс-1 бетон цегла
Надходження товарів і послуг ІБ00-006043 від 10.10.2025 11:00:00
Астарта_Тищенки</t>
  </si>
  <si>
    <t>Обл. НДС
Бур +10*200/260 плюс-1 бетон цегла
Надходження товарів і послуг ІБ00-006043 від 10.10.2025 11:00:00
Астарта_Тищенки</t>
  </si>
  <si>
    <t>Обл. НДС
Бур +12*200/260 5Х
Надходження товарів і послуг ІБ00-006043 від 10.10.2025 11:00:00
Астарта_Тищенки</t>
  </si>
  <si>
    <t>Обл. НДС
Диск пильний 190*30*z=48 Eco for Wood (дерево,ДСП,МДФ,ламінат)
Надходження товарів і послуг ІБ00-006043 від 10.10.2025 11:00:00
Астарта_Тищенки</t>
  </si>
  <si>
    <t>Обл. НДС
Макловиця 50*150 мм
Надходження товарів і послуг ІБ00-006043 від 10.10.2025 11:00:00
Астарта_Тищенки</t>
  </si>
  <si>
    <t>Надходження товарів і послуг ІБ00-006043 від 10.10.2025 11:00:00
Оприходованы ТМЦ</t>
  </si>
  <si>
    <t>Обл. НДС
Кабель КГ 1*35 зварювальний 300А 
Надходження товарів і послуг ІБ00-006043 від 10.10.2025 11:00:00
Астарта_Тищенки</t>
  </si>
  <si>
    <t>Обл. НДС
Касета-розетка 3гн., з/к з кришками ОМЕГА ІР44 16А
Надходження товарів і послуг ІБ00-006043 від 10.10.2025 11:00:00
Астарта_Тищенки</t>
  </si>
  <si>
    <t>Обл. НДС
Вилка з з\к пряма Омега ІР44
Надходження товарів і послуг ІБ00-006043 від 10.10.2025 11:00:00
Астарта_Тищенки</t>
  </si>
  <si>
    <t>Обл. НДС
Мішалка унів.до дриль-міксеру 120*600 МД1-11Э
Надходження товарів і послуг ІБ00-006043 від 10.10.2025 11:00:00
Астарта_Тищенки</t>
  </si>
  <si>
    <t>Надходження товарів і послуг ІБ00-006050 від 10.10.2025 11:00:00
Оприходованы ТМЦ</t>
  </si>
  <si>
    <t>Обл. НДС
Штатив алюмінієвий SJJ4 Nivel System
Надходження товарів і послуг ІБ00-006050 від 10.10.2025 11:00:00
Астарта_Тищенки</t>
  </si>
  <si>
    <t>ГЕОСЕРВІС УКРАЇНА ТОВ
РАХУНКИ_Астарта. Тищенки
Рахунок на оплату постачальника ІБ00-004820 від 02.10.2025 18:26:00</t>
  </si>
  <si>
    <t>Обл. НДС
Рейка телескопічна 5м алюмін TS50 Nivel System
Надходження товарів і послуг ІБ00-006050 від 10.10.2025 11:00:00
Астарта_Тищенки</t>
  </si>
  <si>
    <t>Надходження товарів і послуг ІБ00-006268 від 10.10.2025 11:00:00
Оприходованы ТМЦ (Зачет аванса поставщику)</t>
  </si>
  <si>
    <t>Обл. НДС
Шпатель 300 мм 
Надходження товарів і послуг ІБ00-006268 від 10.10.2025 11:00:00
Астарта_Тищенки</t>
  </si>
  <si>
    <t>Лук'ян Михайло Федорович ФОП
10/07/25 від 10.07.2025 (РАХУНКИ)_Астарта_Тищенки
Рахунок на оплату постачальника ІБ00-004729 від 06.10.2025 17:37:52</t>
  </si>
  <si>
    <t>11.10.2025</t>
  </si>
  <si>
    <t>Передача устаткування в монтаж ІБ00-000001 від 11.10.2025 16:28:03
Передача оборудования в монтаж</t>
  </si>
  <si>
    <t>Обл. НДС
Оптичний нівелір Bosch GOL26D з рейкою5м Алюм+штатив
Інші виробничі витрати</t>
  </si>
  <si>
    <t>1522</t>
  </si>
  <si>
    <t>13.10.2025</t>
  </si>
  <si>
    <t>Надходження товарів і послуг ІБ00-006032 від 13.10.2025 11:00:00
Оприходованы ТМЦ</t>
  </si>
  <si>
    <t>Обл. НДС
Шнур бентонітовий ГІДРОСТОП круглий д=22
Надходження товарів і послуг ІБ00-006032 від 13.10.2025 11:00:00
Астарта_Тищенки</t>
  </si>
  <si>
    <t>ПРОТЕКС УКРАЇНА
Договір 9  від 11.12.2023_Астарта. Тищенки
Рахунок на оплату постачальника ІБ00-004879 від 13.10.2025 17:35:10</t>
  </si>
  <si>
    <t>15.10.2025</t>
  </si>
  <si>
    <t>Передача малоцінних активів в експлуатацію ІБ00-000525 від 15.10.2025 11:49:36
Списание стоимости малоценных активов</t>
  </si>
  <si>
    <t>Обл. НДС
Виробничий (Астарта_Тищенки)
Астарта_Тищенки
&lt;...&gt;</t>
  </si>
  <si>
    <t>231</t>
  </si>
  <si>
    <t>Обл. НДС
Рулетка 5м*25мм Black edition
Надходження товарів і послуг ІБ00-005140 від 10.09.2025 11:00:00
Астарта_Тищенки</t>
  </si>
  <si>
    <t>Обл. НДС
Сверло 16*152 мм по дереву плоскофрезерне
Надходження товарів і послуг ІБ00-005140 від 10.09.2025 11:00:00
Астарта_Тищенки</t>
  </si>
  <si>
    <t>Обл. НДС
Строп СТП 3.0/3000 (5911)
Надходження товарів і послуг ІБ00-005485 від 01.09.2025 11:00:00
Астарта_Тищенки</t>
  </si>
  <si>
    <t>Обл. НДС
Шнур відбивочний 
Надходження товарів і послуг ІБ00-005140 від 10.09.2025 11:00:00
Астарта_Тищенки</t>
  </si>
  <si>
    <t>Обл. НДС
Чоботи гумові чол.42 р
Надходження товарів і послуг ІБ00-004287 від 01.08.2025 11:00:00
Астарта_Тищенки</t>
  </si>
  <si>
    <t>Обл. НДС
Чоботи гумові чол.43 р
Надходження товарів і послуг ІБ00-004287 від 01.08.2025 11:00:00
Астарта_Тищенки</t>
  </si>
  <si>
    <t>Обл. НДС
Чоботи гумові чол.44 р
Надходження товарів і послуг ІБ00-004287 від 01.08.2025 11:00:00
Астарта_Тищенки</t>
  </si>
  <si>
    <t>Обл. НДС
Чоботи гумові чол.45 р
Надходження товарів і послуг ІБ00-004287 від 01.08.2025 11:00:00
Астарта_Тищенки</t>
  </si>
  <si>
    <t>Передача малоцінних активів в експлуатацію ІБ00-000523 від 15.10.2025 19:00:02
Списание стоимости малоценных активов</t>
  </si>
  <si>
    <t>Передача малоцінних активів в експлуатацію ІБ00-000524 від 15.10.2025 19:00:05
Списание стоимости малоценных активов</t>
  </si>
  <si>
    <t>Обл. НДС
Штекер BSB/ABI-CM 35-50
Надходження товарів і послуг ІБ00-005485 від 01.09.2025 11:00:00
Астарта_Тищенки</t>
  </si>
  <si>
    <t>Обл. НДС
Лопата "американка"
Надходження товарів і послуг ІБ00-005005 від 05.09.2025 11:00:00
Астарта_Тищенки</t>
  </si>
  <si>
    <t>Обл. НДС
Лопата совкова 
Надходження товарів і послуг ІБ00-005004 від 05.09.2025 11:00:00
Астарта_Тищенки</t>
  </si>
  <si>
    <t>Передача малоцінних активів в експлуатацію ІБ00-000530 від 15.10.2025 19:00:17
Списание стоимости малоценных активов</t>
  </si>
  <si>
    <t>Обл. НДС
Чаша алмазна шліфувальна 125мм 22-24%
Надходження товарів і послуг ІБ00-005004 від 05.09.2025 11:00:00
Астарта_Тищенки</t>
  </si>
  <si>
    <t>Обл. НДС
Цвяхи будівельні 4,0*100 
Надходження товарів і послуг ІБ00-004997 від 02.09.2025 11:00:00
Астарта_Тищенки</t>
  </si>
  <si>
    <t>Обл. НДС
Тримач електродів DE-2500  500А
Надходження товарів і послуг ІБ00-005485 від 01.09.2025 11:00:00
Астарта_Тищенки</t>
  </si>
  <si>
    <t>Обл. НДС
Сверло SDS-PLUS 16*250*310 мм
Надходження товарів і послуг ІБ00-005005 від 05.09.2025 11:00:00
Астарта_Тищенки</t>
  </si>
  <si>
    <t>Обл. НДС
Рулетка 10 м*25 мм
Надходження товарів і послуг ІБ00-005140 від 10.09.2025 11:00:00
Астарта_Тищенки</t>
  </si>
  <si>
    <t>Обл. НДС
Рукав кисневий 9,0-2,0
Надходження товарів і послуг ІБ00-005550 від 24.09.2025 11:00:00
Астарта_Тищенки</t>
  </si>
  <si>
    <t>Обл. НДС
Провід ПВС 4*6,0 м
Надходження товарів і послуг ІБ00-004292 від 01.08.2025 11:00:00
Астарта_Тищенки</t>
  </si>
  <si>
    <t>Обл. НДС
Плоскогубці 180мм 
Надходження товарів і послуг ІБ00-004292 від 01.08.2025 11:00:00
Астарта_Тищенки</t>
  </si>
  <si>
    <t>Обл. НДС
Рівень 100 см
Надходження товарів і послуг ІБ00-005485 від 01.09.2025 11:00:00
Астарта_Тищенки</t>
  </si>
  <si>
    <t>Обл. НДС
Провід ПВС 3*2,5 бухта 100м 
Надходження товарів і послуг ІБ00-004292 від 01.08.2025 11:00:00
Астарта_Тищенки</t>
  </si>
  <si>
    <t>Обл. НДС
Пістолет для монтажної піни FG-3102 Сталь
Надходження товарів і послуг ІБ00-004997 від 02.09.2025 11:00:00
Астарта_Тищенки</t>
  </si>
  <si>
    <t>Обл. НДС
Піна монтажна  860 мл 
Надходження товарів і послуг ІБ00-004997 від 02.09.2025 11:00:00
Астарта_Тищенки</t>
  </si>
  <si>
    <t>Обл. НДС
Піна монтажна  750 мл 
Надходження товарів і послуг ІБ00-005484 від 01.09.2025 11:00:00
Астарта_Тищенки</t>
  </si>
  <si>
    <t>Обл. НДС
Молоток  1000 гр.
Надходження товарів і послуг ІБ00-005485 від 01.09.2025 11:00:00
Астарта_Тищенки</t>
  </si>
  <si>
    <t>Обл. НДС
Кельма штукатурна 200*140 трапеція нерж. сталь
Надходження товарів і послуг ІБ00-005140 від 10.09.2025 11:00:00
Астарта_Тищенки</t>
  </si>
  <si>
    <t>20.10.2025</t>
  </si>
  <si>
    <t>Надходження товарів і послуг ІБ00-006120 від 20.10.2025 11:00:00
Оприходованы ТМЦ</t>
  </si>
  <si>
    <t>Обл. НДС
(я-94)BOSCH витратні Круг відрізний 230*2,5*22 увігнутий
Надходження товарів і послуг ІБ00-006120 від 20.10.2025 11:00:00
Астарта_Тищенки</t>
  </si>
  <si>
    <t>УКРСЕРВІС КОМПАНІЯ ТОВ
№23/09/25_Рахунки_Астарта. Тищенки
Рахунок на оплату постачальника ІБ00-005097 від 17.10.2025 20:00:44</t>
  </si>
  <si>
    <t>Обл. НДС
Шнур поліамідний 10мм/разрив 2300кг
Надходження товарів і послуг ІБ00-006120 від 20.10.2025 11:00:00
Астарта_Тищенки</t>
  </si>
  <si>
    <t>Надходження товарів і послуг ІБ00-006234 від 20.10.2025 11:00:00
Оприходованы ТМЦ</t>
  </si>
  <si>
    <t>Обл. НДС
Скоба оббивочна VX-10   1 тис. шт
Надходження товарів і послуг ІБ00-006234 від 20.10.2025 11:00:00
Астарта_Тищенки</t>
  </si>
  <si>
    <t>УКРСЕРВІС КОМПАНІЯ ТОВ
№23/09/25_Рахунки_Астарта. Тищенки
Рахунок на оплату постачальника ІБ00-005197 від 17.10.2025 20:00:48</t>
  </si>
  <si>
    <t>Обл. НДС
Крейда біла 100шт-1кг
Надходження товарів і послуг ІБ00-006234 від 20.10.2025 11:00:00
Астарта_Тищенки</t>
  </si>
  <si>
    <t>Обл. НДС
Касета-розетка 3гн, з/к з кришками Омега ІР44  16А
Надходження товарів і послуг ІБ00-006234 від 20.10.2025 11:00:00
Астарта_Тищенки</t>
  </si>
  <si>
    <t>Обл. НДС
Вилка пряма з з/к,ІР44
Надходження товарів і послуг ІБ00-006234 від 20.10.2025 11:00:00
Астарта_Тищенки</t>
  </si>
  <si>
    <t>Обл. НДС
Маска зварювальника
Надходження товарів і послуг ІБ00-006234 від 20.10.2025 11:00:00
Астарта_Тищенки</t>
  </si>
  <si>
    <t>Обл. НДС
Рукавички зварювальника краги червоні (10)
Надходження товарів і послуг ІБ00-006234 від 20.10.2025 11:00:00
Астарта_Тищенки</t>
  </si>
  <si>
    <t>Обл. НДС
Круг відрізний  125*1,6*22
Надходження товарів і послуг ІБ00-006234 від 20.10.2025 11:00:00
Астарта_Тищенки</t>
  </si>
  <si>
    <t>Обл. НДС
Рулетка 10 м*25 мм
Надходження товарів і послуг ІБ00-006234 від 20.10.2025 11:00:00
Астарта_Тищенки</t>
  </si>
  <si>
    <t>Обл. НДС
Рулетка  5 м*19 мм 
Надходження товарів і послуг ІБ00-006234 від 20.10.2025 11:00:00
Астарта_Тищенки</t>
  </si>
  <si>
    <t>Надходження товарів і послуг ІБ00-006235 від 20.10.2025 11:00:00
Оприходованы ТМЦ</t>
  </si>
  <si>
    <t>Обл. НДС
Провід ПВС 2*2,5 бухта 100м
Надходження товарів і послуг ІБ00-006235 від 20.10.2025 11:00:00
Астарта_Тищенки</t>
  </si>
  <si>
    <t>УКРСЕРВІС КОМПАНІЯ ТОВ
№23/09/25_Рахунки_Астарта. Тищенки
Рахунок на оплату постачальника ІБ00-005098 від 16.10.2025 18:17:32</t>
  </si>
  <si>
    <t>Обл. НДС
Провід ПВС 2*1,5 бухта 100м
Надходження товарів і послуг ІБ00-006235 від 20.10.2025 11:00:00
Астарта_Тищенки</t>
  </si>
  <si>
    <t>Обл. НДС
Електроди "Моноліт РЦ" 4 мм уп. 5,0 кг
Надходження товарів і послуг ІБ00-006235 від 20.10.2025 11:00:00
Астарта_Тищенки</t>
  </si>
  <si>
    <t>Обл. НДС
Електроди "Моноліт РЦ" 3 мм 2,5кг
Надходження товарів і послуг ІБ00-006235 від 20.10.2025 11:00:00
Астарта_Тищенки</t>
  </si>
  <si>
    <t>Обл. НДС
Провід ПВС 3*2,5 бухта 100м 
Надходження товарів і послуг ІБ00-006235 від 20.10.2025 11:00:00
Астарта_Тищенки</t>
  </si>
  <si>
    <t>Обл. НДС
Кабель звар. КГ 1*25 250А
Надходження товарів і послуг ІБ00-006235 від 20.10.2025 11:00:00
Астарта_Тищенки</t>
  </si>
  <si>
    <t>Надходження товарів і послуг ІБ00-006236 від 20.10.2025 11:00:00
Оприходованы ТМЦ</t>
  </si>
  <si>
    <t>Обл. НДС
(я-94)BOSCH витратні Круг відрізний 230*2,5*22 увігнутий
Надходження товарів і послуг ІБ00-006236 від 20.10.2025 11:00:00
Астарта_Тищенки</t>
  </si>
  <si>
    <t>Обл. НДС
Кутник будівельний 600*400мм
Надходження товарів і послуг ІБ00-006236 від 20.10.2025 11:00:00
Астарта_Тищенки</t>
  </si>
  <si>
    <t>Обл. НДС
Прожектор світлодіодний 100W Магнум 5000К ІР65
Надходження товарів і послуг ІБ00-006236 від 20.10.2025 11:00:00
Астарта_Тищенки</t>
  </si>
  <si>
    <t>Обл. НДС
Окуляри захисні
Надходження товарів і послуг ІБ00-006236 від 20.10.2025 11:00:00
Астарта_Тищенки</t>
  </si>
  <si>
    <t>Обл. НДС
Рукавички трикотажні помаранчеві з ПВХ крапкою 78412 / 8412
Надходження товарів і послуг ІБ00-006236 від 20.10.2025 11:00:00
Астарта_Тищенки</t>
  </si>
  <si>
    <t>Обл. НДС
Круг відрізний по металу 230*2,5*22,23 
Надходження товарів і послуг ІБ00-006236 від 20.10.2025 11:00:00
Астарта_Тищенки</t>
  </si>
  <si>
    <t>Обл. НДС
Строп СТП-3,0/4000
Надходження товарів і послуг ІБ00-006236 від 20.10.2025 11:00:00
Астарта_Тищенки</t>
  </si>
  <si>
    <t>22.10.2025</t>
  </si>
  <si>
    <t>Надходження товарів і послуг ІБ00-006636 від 22.10.2025 11:00:00
Оприходованы ТМЦ (Зачет аванса поставщику)</t>
  </si>
  <si>
    <t>Обл. НДС
Пояс запобіжний безлямковий 5ПБ-М (ПБ1-М із стропом з метал.тросу К20)
Надходження товарів і послуг ІБ00-006636 від 22.10.2025 11:00:00
Астарта_Тищенки</t>
  </si>
  <si>
    <t>ЛОАД-ТЕХ ТОВ
№ 26/03/25 від 26.03.2025 р._Астарта_Тищенки
Рахунок на оплату постачальника ІБ00-005002 від 20.10.2025 18:22:36</t>
  </si>
  <si>
    <t>Обл. НДС
Карабін овал.з гвинт.муфтою Oval-S
Надходження товарів і послуг ІБ00-006636 від 22.10.2025 11:00:00
Астарта_Тищенки</t>
  </si>
  <si>
    <t>28.10.2025</t>
  </si>
  <si>
    <t>Надходження товарів і послуг ІБ00-006579 від 28.10.2025 11:00:00
Оприходованы ТМЦ</t>
  </si>
  <si>
    <t>Обл. НДС
Головка ударна 1/2"  20мм
Надходження товарів і послуг ІБ00-006579 від 28.10.2025 11:00:00
Астарта_Тищенки</t>
  </si>
  <si>
    <t>Лук'ян Михайло Федорович ФОП
10/07/25 від 10.07.2025 (РАХУНКИ)_Астарта_Тищенки
Рахунок на оплату постачальника ІБ00-005315 від 27.10.2025 17:24:08</t>
  </si>
  <si>
    <t>Надходження товарів і послуг ІБ00-006583 від 28.10.2025 11:00:00
Оприходованы ТМЦ</t>
  </si>
  <si>
    <t>Обл. НДС
Головка ударна 1/2"  16мм
Надходження товарів і послуг ІБ00-006583 від 28.10.2025 11:00:00
Астарта_Тищенки</t>
  </si>
  <si>
    <t>УКРСЕРВІС КОМПАНІЯ ТОВ
№23/09/25_Рахунки_Астарта. Тищенки
Рахунок на оплату постачальника ІБ00-005312 від 27.10.2025 17:24:06</t>
  </si>
  <si>
    <t>Обл. НДС
Рукавички скло/камінь черв з рифл гум надол  р.10
Надходження товарів і послуг ІБ00-006583 від 28.10.2025 11:00:00
Астарта_Тищенки</t>
  </si>
  <si>
    <t>Обл. НДС
Рукавички краги на підкладці
Надходження товарів і послуг ІБ00-006583 від 28.10.2025 11:00:00
Астарта_Тищенки</t>
  </si>
  <si>
    <t>Обл. НДС
Чоботи гумові чол.44 р
Надходження товарів і послуг ІБ00-006583 від 28.10.2025 11:00:00
Астарта_Тищенки</t>
  </si>
  <si>
    <t>Обл. НДС
Чоботи гумові чол.45 р
Надходження товарів і послуг ІБ00-006583 від 28.10.2025 11:00:00
Астарта_Тищенки</t>
  </si>
  <si>
    <t>Обл. НДС
Вставка зі штуч.хутра в чол.чоботи р.43-44
Надходження товарів і послуг ІБ00-006583 від 28.10.2025 11:00:00
Астарта_Тищенки</t>
  </si>
  <si>
    <t>Обл. НДС
Вставка зі штуч.хутра в чол.чоботи р.45-46
Надходження товарів і послуг ІБ00-006583 від 28.10.2025 11:00:00
Астарта_Тищенки</t>
  </si>
  <si>
    <t>Обл. НДС
Рулетка 10 м*25 мм
Надходження товарів і послуг ІБ00-006583 від 28.10.2025 11:00:00
Астарта_Тищенки</t>
  </si>
  <si>
    <t>Обл. НДС
Рівень 100 см
Надходження товарів і послуг ІБ00-006583 від 28.10.2025 11:00:00
Астарта_Тищенки</t>
  </si>
  <si>
    <t>30.10.2025</t>
  </si>
  <si>
    <t>Надходження товарів і послуг ІБ00-006580 від 30.10.2025 11:00:00
Оприходованы ТМЦ</t>
  </si>
  <si>
    <t>Обл. НДС
Матрац 190*70 з регенерованого волокна
Надходження товарів і послуг ІБ00-006580 від 30.10.2025 11:00:00
Астарта_Тищенки</t>
  </si>
  <si>
    <t>УКРСЕРВІС КОМПАНІЯ ТОВ
№23/09/25_Рахунки_Астарта. Тищенки
Рахунок на оплату постачальника ІБ00-005311 від 27.10.2025 17:24:05</t>
  </si>
  <si>
    <t>Обл. НДС
Подушка ватна 60х60
Надходження товарів і послуг ІБ00-006580 від 30.10.2025 11:00:00
Астарта_Тищенки</t>
  </si>
  <si>
    <t>Обл. НДС
Ковдра 1,5 вовна
Надходження товарів і послуг ІБ00-006580 від 30.10.2025 11:00:00
Астарта_Тищенки</t>
  </si>
  <si>
    <t>Обороти за період та сальдо на кінець</t>
  </si>
  <si>
    <t>Надходження товарів і послуг ІБ00-006257 від 01.10.2025 11:00:00
Оприходованы ТМЦ (Зачет аванса поставщику)</t>
  </si>
  <si>
    <t>Обл. НДС
Різак пропан 142П 6/9 500мм товщ різа 100мм
Надходження товарів і послуг ІБ00-006257 від 01.10.2025 11:00:00
Катеринопіль МХП</t>
  </si>
  <si>
    <t>УКРСЕРВІС КОМПАНІЯ ТОВ
Рахунки_МХП Катеринополь
Рахунок на оплату постачальника ІБ00-004624 від 15.09.2025 18:01:21</t>
  </si>
  <si>
    <t>Обл. НДС
Рукав пропан (ацетилен) 9*3
Надходження товарів і послуг ІБ00-006257 від 01.10.2025 11:00:00
Катеринопіль МХП</t>
  </si>
  <si>
    <t>Обл. НДС
Рукав кисневий 9*3 20 атм
Надходження товарів і послуг ІБ00-006257 від 01.10.2025 11:00:00
Катеринопіль МХП</t>
  </si>
  <si>
    <t>Обл. НДС
Редуктор БПО-5ДМ 9мм пропан з манометром
Надходження товарів і послуг ІБ00-006257 від 01.10.2025 11:00:00
Катеринопіль МХП</t>
  </si>
  <si>
    <t>Обл. НДС
Редуктор БКО-50ДМ 6/9мм кисень
Надходження товарів і послуг ІБ00-006257 від 01.10.2025 11:00:00
Катеринопіль МХП</t>
  </si>
  <si>
    <t>Надходження товарів і послуг ІБ00-006258 від 01.10.2025 11:00:00
Оприходованы ТМЦ (Зачет аванса поставщику)</t>
  </si>
  <si>
    <t>Обл. НДС
Окуляри пластик прозорі
Надходження товарів і послуг ІБ00-006258 від 01.10.2025 11:00:00
Катеринопіль МХП</t>
  </si>
  <si>
    <t>УКРСЕРВІС КОМПАНІЯ ТОВ
Рахунки_МХП Катеринополь
Рахунок на оплату постачальника ІБ00-004623 від 25.09.2025 19:06:27</t>
  </si>
  <si>
    <t>Надходження товарів і послуг ІБ00-006259 від 01.10.2025 11:00:00
Оприходованы ТМЦ (Зачет аванса поставщику)</t>
  </si>
  <si>
    <t>Обл. НДС
Електроди "Моноліт РЦ" 4 мм уп. 5,0 кг
Надходження товарів і послуг ІБ00-006259 від 01.10.2025 11:00:00
Катеринопіль МХП</t>
  </si>
  <si>
    <t>Лук'ян Михайло Федорович ФОП
 05/02/25 від 05.02.2025_РАХУНКИ_МХП Катеринополь
Рахунок на оплату постачальника ІБ00-004619 від 17.09.2025 18:46:13</t>
  </si>
  <si>
    <t>Обл. НДС
Рукавички трикотажні чорні ТМ Vulkan LUX, р.10
Надходження товарів і послуг ІБ00-006259 від 01.10.2025 11:00:00
Катеринопіль МХП</t>
  </si>
  <si>
    <t>Надходження товарів і послуг ІБ00-006260 від 01.10.2025 11:00:00
Оприходованы ТМЦ (Зачет аванса поставщику)</t>
  </si>
  <si>
    <t>Обл. НДС
Скло зварювальника прозоре
Надходження товарів і послуг ІБ00-006260 від 01.10.2025 11:00:00
Катеринопіль МХП</t>
  </si>
  <si>
    <t>Лук'ян Михайло Федорович ФОП
 05/02/25 від 05.02.2025_РАХУНКИ_МХП Катеринополь
Рахунок на оплату постачальника ІБ00-004620 від 12.09.2025 23:00:41</t>
  </si>
  <si>
    <t>Надходження товарів і послуг ІБ00-006261 від 01.10.2025 11:00:00
Оприходованы ТМЦ (Зачет аванса поставщику)</t>
  </si>
  <si>
    <t>Обл. НДС
Аптечка медична універсальна Першої допомоги
Надходження товарів і послуг ІБ00-006261 від 01.10.2025 11:00:00
Катеринопіль МХП</t>
  </si>
  <si>
    <t>Обл. НДС
Стрічка сигнальна червоно-біла 75х200 м
Надходження товарів і послуг ІБ00-006261 від 01.10.2025 11:00:00
Катеринопіль МХП</t>
  </si>
  <si>
    <t>Обл. НДС
Рукавички краги на підкладці
Надходження товарів і послуг ІБ00-006261 від 01.10.2025 11:00:00
Катеринопіль МХП</t>
  </si>
  <si>
    <t>Надходження товарів і послуг ІБ00-006262 від 01.10.2025 11:00:00
Оприходованы ТМЦ (Зачет аванса поставщику)</t>
  </si>
  <si>
    <t>Обл. НДС
Головка ударна 1/2"  30мм
Надходження товарів і послуг ІБ00-006262 від 01.10.2025 11:00:00
Катеринопіль МХП</t>
  </si>
  <si>
    <t>Лук'ян Михайло Федорович ФОП
 05/02/25 від 05.02.2025_РАХУНКИ_МХП Катеринополь
Рахунок на оплату постачальника ІБ00-004098 від 19.08.2025 21:49:29</t>
  </si>
  <si>
    <t>Обл. НДС
Головка торцева ударна довга 1/2" 24 мм
Надходження товарів і послуг ІБ00-006262 від 01.10.2025 11:00:00
Катеринопіль МХП</t>
  </si>
  <si>
    <t>Обл. НДС
Головка ударна 1/2"  36мм
Надходження товарів і послуг ІБ00-006262 від 01.10.2025 11:00:00
Катеринопіль МХП</t>
  </si>
  <si>
    <t>Передача малоцінних активів в експлуатацію ІБ00-000481 від 01.10.2025 19:00:10
Списание стоимости малоценных активов</t>
  </si>
  <si>
    <t>Обл. НДС
Виробничий (Катеринопіль МХП)
Катеринопіль МХП
Амортизація ОЗ загальновиробничого призначення</t>
  </si>
  <si>
    <t>Обл. НДС
(я-94)BOSCH витратні Круг відрізний 230*2,5*22 увігнутий
Надходження товарів і послуг ІБ00-004890 від 22.08.2025 11:00:00
Катеринопіль МХП</t>
  </si>
  <si>
    <t>Обл. НДС
Електрод Монолит РЦ 3 мм 2,5 кг (пач)
Надходження товарів і послуг ІБ00-004894 від 04.08.2025 11:00:00
Катеринопіль МХП</t>
  </si>
  <si>
    <t>Обл. НДС
Виробничий (Ніжин-4)
Ніжин-4
Амортизація ОЗ загальновиробничого призначення</t>
  </si>
  <si>
    <t>Обл. НДС
Електроди ЦЛ11 Плазма д2мм уп. 1кг
Надходження товарів і послуг ІБ00-004894 від 04.08.2025 11:00:00
Катеринопіль МХП</t>
  </si>
  <si>
    <t>Обл. НДС
Жилет сигнальний 
Надходження товарів і послуг ІБ00-004847 від 01.08.2025 11:00:00
Катеринопіль МХП</t>
  </si>
  <si>
    <t>Обл. НДС
Кабель КГ 1х70
Надходження товарів і послуг ІБ00-004905 від 06.08.2025 11:00:00
Катеринопіль МХП</t>
  </si>
  <si>
    <t>Обл. НДС
Каска будівельна помаранчева (Україна)
Надходження товарів і послуг ІБ00-004891 від 07.08.2025 11:00:00
Катеринопіль МХП</t>
  </si>
  <si>
    <t>Обл. НДС
Круг відрізний 125*1,6*22
Надходження товарів і послуг ІБ00-004890 від 22.08.2025 11:00:00
Катеринопіль МХП</t>
  </si>
  <si>
    <t>Обл. НДС
Рукавички зварювальника краги червоні (10)
Надходження товарів і послуг ІБ00-004890 від 22.08.2025 11:00:00
Катеринопіль МХП</t>
  </si>
  <si>
    <t>Надходження товарів і послуг ІБ00-006254 від 02.10.2025 11:00:00
Оприходованы ТМЦ</t>
  </si>
  <si>
    <t>Обл. НДС
Скло зварювальника прозоре
Надходження товарів і послуг ІБ00-006254 від 02.10.2025 11:00:00
Катеринопіль МХП</t>
  </si>
  <si>
    <t>УКРСЕРВІС КОМПАНІЯ ТОВ
Рахунки_МХП Катеринополь
Рахунок на оплату постачальника ІБ00-005241 від 02.10.2025 18:26:25</t>
  </si>
  <si>
    <t>07.10.2025</t>
  </si>
  <si>
    <t>Надходження товарів і послуг ІБ00-006256 від 07.10.2025 11:00:00
Оприходованы ТМЦ</t>
  </si>
  <si>
    <t>Обл. НДС
Електроди "Моноліт РЦ" 3 мм 2,5кг
Надходження товарів і послуг ІБ00-006256 від 07.10.2025 11:00:00
Катеринопіль МХП</t>
  </si>
  <si>
    <t>УКРСЕРВІС КОМПАНІЯ ТОВ
Рахунки_МХП Катеринополь
Рахунок на оплату постачальника ІБ00-005242 від 03.10.2025 18:12:35</t>
  </si>
  <si>
    <t>Обл. НДС
Електроди "Моноліт РЦ" 4 мм уп. 5,0 кг
Надходження товарів і послуг ІБ00-006256 від 07.10.2025 11:00:00
Катеринопіль МХП</t>
  </si>
  <si>
    <t>Надходження товарів і послуг ІБ00-006255 від 10.10.2025 11:00:00
Оприходованы ТМЦ</t>
  </si>
  <si>
    <t>Обл. НДС
Електроди "Моноліт РЦ" 3 мм 2,5кг
Надходження товарів і послуг ІБ00-006255 від 10.10.2025 11:00:00
Катеринопіль МХП</t>
  </si>
  <si>
    <t>Обл. НДС
Електроди "Моноліт РЦ" 4 мм уп. 5,0 кг
Надходження товарів і послуг ІБ00-006255 від 10.10.2025 11:00:00
Катеринопіль МХП</t>
  </si>
  <si>
    <t>Обл. НДС
(я-94)BOSCH витратні Круг відрізний 230*2,5*22 увігнутий
Надходження товарів і послуг ІБ00-006255 від 10.10.2025 11:00:00
Катеринопіль МХП</t>
  </si>
  <si>
    <t>Обл. НДС
Круг відрізний  125*1,6*22
Надходження товарів і послуг ІБ00-006255 від 10.10.2025 11:00:00
Катеринопіль МХП</t>
  </si>
  <si>
    <t>Обл. НДС
Круг зачисний по металу 125х6,0х22 
Надходження товарів і послуг ІБ00-006255 від 10.10.2025 11:00:00
Катеринопіль МХП</t>
  </si>
  <si>
    <t>Обл. НДС
Рукавички краги на підкладці
Надходження товарів і послуг ІБ00-006255 від 10.10.2025 11:00:00
Катеринопіль МХП</t>
  </si>
  <si>
    <t>Обл. НДС
Пензель 50мм
Надходження товарів і послуг ІБ00-006255 від 10.10.2025 11:00:00
Катеринопіль МХП</t>
  </si>
  <si>
    <t>Обл. НДС
Круг пелюстковий тарілчастий 125*22 р-40 конич. серії Profi (UA)
Надходження товарів і послуг ІБ00-006255 від 10.10.2025 11:00:00
Катеринопіль МХП</t>
  </si>
  <si>
    <t>Обл. НДС
Круг відрізний по металу 230*6*22,23 
Надходження товарів і послуг ІБ00-006255 від 10.10.2025 11:00:00
Катеринопіль МХП</t>
  </si>
  <si>
    <t>Передача малоцінних активів в експлуатацію ІБ00-000522 від 10.10.2025 18:22:57
Списание стоимости малоценных активов</t>
  </si>
  <si>
    <t>Обл. НДС
Взуття чоловіче SEVEN SAFETY 111/02" S1  р.43
Надходження товарів і послуг ІБ00-005552 від 17.09.2025 11:00:00
Катеринопіль МХП</t>
  </si>
  <si>
    <t>Обл. НДС
Головка торцева ударна 1/2" 27 мм L=78мм
Надходження товарів і послуг ІБ00-005424 від 05.09.2025 11:00:00
Катеринопіль МХП</t>
  </si>
  <si>
    <t>Обл. НДС
Електроди "Моноліт РЦ" 3 мм 2,5кг
Надходження товарів і послуг ІБ00-005383 від 01.09.2025 11:00:00
Катеринопіль МХП</t>
  </si>
  <si>
    <t>Обл. НДС
Кутник столярний 350мм
Надходження товарів і послуг ІБ00-004894 від 04.08.2025 11:00:00
Катеринопіль МХП</t>
  </si>
  <si>
    <t>Обл. НДС
Круг пелюстковий тарілчастий 125*22 р-80 конич. серії Profi (UA)
Надходження товарів і послуг ІБ00-004894 від 04.08.2025 11:00:00
Катеринопіль МХП</t>
  </si>
  <si>
    <t>Обл. НДС
Коронка по металу 52 мм т/с
Надходження товарів і послуг ІБ00-005424 від 05.09.2025 11:00:00
Катеринопіль МХП</t>
  </si>
  <si>
    <t>23.10.2025</t>
  </si>
  <si>
    <t>Передача малоцінних активів в експлуатацію ІБ00-000531 від 23.10.2025 16:04:45
Списание стоимости малоценных активов</t>
  </si>
  <si>
    <t>Обл. НДС
Рукавиці трикотажні з ПВХ чорні 7клас розм 10
Надходження товарів і послуг ІБ00-005383 від 01.09.2025 11:00:00
Катеринопіль МХП</t>
  </si>
  <si>
    <t>Обл. НДС
Наколінники захисні
Надходження товарів і послуг ІБ00-004894 від 04.08.2025 11:00:00
Катеринопіль МХП</t>
  </si>
  <si>
    <t>Обл. НДС
Окуляри захисні
Надходження товарів і послуг ІБ00-005551 від 23.09.2025 11:00:00
Катеринопіль МХП</t>
  </si>
  <si>
    <t>Обл. НДС
Перехідник ударний 3/4"х1/2"  55мм
Надходження товарів і послуг ІБ00-005551 від 23.09.2025 11:00:00
Катеринопіль МХП</t>
  </si>
  <si>
    <t>Обл. НДС
Муфта R7-R8 d-06
Надходження товарів і послуг ІБ00-001932 від 30.04.2025 11:00:00
Катеринопіль МХП</t>
  </si>
  <si>
    <t>Обл. НДС
Коронка по металу 100 мм т/с
Надходження товарів і послуг ІБ00-005424 від 05.09.2025 11:00:00
Катеринопіль МХП</t>
  </si>
  <si>
    <t>Обл. НДС
Коронка по металу 32 мм т/с
Надходження товарів і послуг ІБ00-005424 від 05.09.2025 11:00:00
Катеринопіль МХП</t>
  </si>
  <si>
    <t>Обл. НДС
Коронка по металу 80 мм т/с
Надходження товарів і послуг ІБ00-005424 від 05.09.2025 11:00:00
Катеринопіль МХП</t>
  </si>
  <si>
    <t>Передача малоцінних активів в експлуатацію ІБ00-000534 від 30.10.2025 18:47:09
Списание стоимости малоценных активов</t>
  </si>
  <si>
    <t>Передача малоцінних активів в експлуатацію ІБ00-000479 від 01.10.2025 10:09:39
Списание стоимости малоценных активов</t>
  </si>
  <si>
    <t>Обл. НДС
Шнур поліамідний 10мм/разрив 2300кг
Надходження товарів і послуг ІБ00-003460 від 27.06.2025 11:00:00
Ніжин-4</t>
  </si>
  <si>
    <t>Обл. НДС
Шнур поліамідний 16мм/разрив 6000кг
Надходження товарів і послуг ІБ00-002795 від 05.06.2025 11:00:00
Ніжин-4</t>
  </si>
  <si>
    <t>Обл. НДС
Шпатель 200 мм 
Надходження товарів і послуг ІБ00-003460 від 27.06.2025 11:00:00
Ніжин-4</t>
  </si>
  <si>
    <t>Обл. НДС
Щітка конічна 115мм для кутов.шліфмашин дротяний трос
Надходження товарів і послуг ІБ00-004192 від 01.08.2025 11:00:00
Ніжин-4</t>
  </si>
  <si>
    <t>Обл. НДС
Щітка по металу
Надходження товарів і послуг ІБ00-004192 від 01.08.2025 11:00:00
Ніжин-4</t>
  </si>
  <si>
    <t>Обл. НДС
Фільтр повітряний GX140, GX160, GX200
Надходження товарів і послуг ІБ00-002793 від 02.06.2025 11:00:00
Ніжин-4</t>
  </si>
  <si>
    <t>Обл. НДС
Строп СТП 3,0/4000 (5911)
Надходження товарів і послуг ІБ00-004708 від 01.08.2025 23:25:28
Ніжин-4</t>
  </si>
  <si>
    <t>Обл. НДС
Трубочка до мундштуків АлкоФор в інд уп. 200шт
Надходження товарів і послуг ІБ00-002936 від 13.06.2025 11:00:00
Ніжин-4</t>
  </si>
  <si>
    <t>Обл. НДС
Свердло 16,0мм HSS-TiN (посадка 10мм)
Надходження товарів і послуг ІБ00-003879 від 09.07.2025 11:00:00
Ніжин-4</t>
  </si>
  <si>
    <t>Обл. НДС
Свердло по металу HSS 17мм
Надходження товарів і послуг ІБ00-004712 від 01.08.2025 11:00:00
Ніжин-4</t>
  </si>
  <si>
    <t>Обл. НДС
Свердло по металу HSS 18мм
Надходження товарів і послуг ІБ00-004711 від 01.08.2025 11:00:00
Ніжин-4</t>
  </si>
  <si>
    <t>Обл. НДС
Свердло ступневе 4-20 мм 9 ступенів
Надходження товарів і послуг ІБ00-002795 від 05.06.2025 11:00:00
Ніжин-4</t>
  </si>
  <si>
    <t>Обл. НДС
Сверло SDS+22*950/1000мм 
Надходження товарів і послуг ІБ00-002795 від 05.06.2025 11:00:00
Ніжин-4</t>
  </si>
  <si>
    <t>Обл. НДС
Рукавички краги на підкладці
Надходження товарів і послуг ІБ00-002426 від 21.05.2025 11:00:00
Ніжин-4</t>
  </si>
  <si>
    <t>Обл. НДС
Чоловічі гумові чоботи ПВХ, традиційні ХАКІ, 45
Надходження товарів і послуг ІБ00-002425 від 21.05.2025 11:00:00
Ніжин-4</t>
  </si>
  <si>
    <t>Обл. НДС
Черевики зварювальника"Профі" ПУ р.41
Надходження товарів і послуг ІБ00-004192 від 01.08.2025 11:00:00
Ніжин-4</t>
  </si>
  <si>
    <t>Надходження товарів і послуг ІБ00-006130 від 01.10.2025 11:00:00
Оприходованы ТМЦ</t>
  </si>
  <si>
    <t>Обл. НДС
Полотно шабельне S123XF метал
Надходження товарів і послуг ІБ00-006130 від 01.10.2025 11:00:00
Ніжин-4</t>
  </si>
  <si>
    <t>Лук'ян Михайло Федорович ФОП
1906-24 от 19.06.2024 (РАХУНКИ)_Ніжин-4
Рахунок на оплату постачальника ІБ00-004730 від 10.09.2025 23:10:26</t>
  </si>
  <si>
    <t>Надходження товарів і послуг ІБ00-006131 від 01.10.2025 11:00:00
Оприходованы ТМЦ</t>
  </si>
  <si>
    <t>Обл. НДС
(я-94)BOSCH витратні Круг відрізний 230*2,5*22 увігнутий
Надходження товарів і послуг ІБ00-006131 від 01.10.2025 11:00:00
Ніжин-4</t>
  </si>
  <si>
    <t>Лук'ян Михайло Федорович ФОП
1906-24 от 19.06.2024 (РАХУНКИ)_Ніжин-4
Рахунок на оплату постачальника ІБ00-004731 від 08.09.2025 17:48:03</t>
  </si>
  <si>
    <t>Обл. НДС
Рукавиці трикотажні з ПВХ чорні 7клас розм 10
Надходження товарів і послуг ІБ00-006131 від 01.10.2025 11:00:00
Ніжин-4</t>
  </si>
  <si>
    <t>Обл. НДС
Круг відрізний  125*1,6*22
Надходження товарів і послуг ІБ00-006131 від 01.10.2025 11:00:00
Ніжин-4</t>
  </si>
  <si>
    <t>Надходження товарів і послуг ІБ00-006493 від 01.10.2025 11:00:00
Оприходованы ТМЦ (Зачет аванса поставщику)</t>
  </si>
  <si>
    <t>Обл. НДС
Круг відрізний  125*1,6*22,23
Надходження товарів і послуг ІБ00-006493 від 01.10.2025 11:00:00
Ніжин-4</t>
  </si>
  <si>
    <t>ІСКРА"БУДМАРКЕТ" ТОВ
Рахунки Ніжин-4
Рахунок на оплату постачальника ІБ00-004344 від 09.09.2025 21:12:55</t>
  </si>
  <si>
    <t>Обл. НДС
Круг відрізний  230*2,0*22,23
Надходження товарів і послуг ІБ00-006493 від 01.10.2025 11:00:00
Ніжин-4</t>
  </si>
  <si>
    <t>Обл. НДС
Полотно для шабельної пилки 3-8мм до 175мм
Надходження товарів і послуг ІБ00-006493 від 01.10.2025 11:00:00
Ніжин-4</t>
  </si>
  <si>
    <t>Обл. НДС
Кутомір-малка з рівнем  250 мм
Надходження товарів і послуг ІБ00-006493 від 01.10.2025 11:00:00
Ніжин-4</t>
  </si>
  <si>
    <t>Обл. НДС
Свердло метал кобальт 6мм
Надходження товарів і послуг ІБ00-006493 від 01.10.2025 11:00:00
Ніжин-4</t>
  </si>
  <si>
    <t>Обл. НДС
Рукавиці, пар. 
Надходження товарів і послуг ІБ00-006493 від 01.10.2025 11:00:00
Ніжин-4</t>
  </si>
  <si>
    <t>Обл. НДС
Рукавиці сині "зірка" , шт
Надходження товарів і послуг ІБ00-006493 від 01.10.2025 11:00:00
Ніжин-4</t>
  </si>
  <si>
    <t>Обл. НДС
Рукавиці трикотажні "зірка" , пар
Надходження товарів і послуг ІБ00-006493 від 01.10.2025 11:00:00
Ніжин-4</t>
  </si>
  <si>
    <t>Обл. НДС
Рукавиці трикотажні 
Надходження товарів і послуг ІБ00-006493 від 01.10.2025 11:00:00
Ніжин-4</t>
  </si>
  <si>
    <t>Обл. НДС
Ключ комбінований 10 мм
Надходження товарів і послуг ІБ00-006493 від 01.10.2025 11:00:00
Ніжин-4</t>
  </si>
  <si>
    <t>Обл. НДС
Біта РН 2*90 мм 
Надходження товарів і послуг ІБ00-006493 від 01.10.2025 11:00:00
Ніжин-4</t>
  </si>
  <si>
    <t>Передача малоцінних активів в експлуатацію ІБ00-000480 від 01.10.2025 19:00:06
Списание стоимости малоценных активов</t>
  </si>
  <si>
    <t>Обл. НДС
Провід ПВС 3*2,5 бухта 100м 
Надходження товарів і послуг ІБ00-002426 від 21.05.2025 11:00:00
Ніжин-4</t>
  </si>
  <si>
    <t>Обл. НДС
Провід ПВС 3*2,5 бухта 100м 
Надходження товарів і послуг ІБ00-003460 від 27.06.2025 11:00:00
Ніжин-4</t>
  </si>
  <si>
    <t>Обл. НДС
Прожектор світлодіодний 50W Магнум 6500К ІР65
Надходження товарів і послуг ІБ00-002925 від 13.06.2025 11:00:00
Ніжин-4</t>
  </si>
  <si>
    <t>Обл. НДС
Распіратор
Надходження товарів і послуг ІБ00-002918 від 13.06.2025 11:00:00
Ніжин-4</t>
  </si>
  <si>
    <t>Обл. НДС
Распіратор FFP2  з клапаном
Надходження товарів і послуг ІБ00-004192 від 01.08.2025 11:00:00
Ніжин-4</t>
  </si>
  <si>
    <t>Обл. НДС
Рівень 1,0 м
Надходження товарів і послуг ІБ00-004709 від 01.08.2025 11:00:00
Ніжин-4</t>
  </si>
  <si>
    <t>Обл. НДС
Рівень 100 см
Надходження товарів і послуг ІБ00-002526 від 27.05.2025 11:00:00
Ніжин-4</t>
  </si>
  <si>
    <t>Обл. НДС
Рівень 2000мм Spirit магнітний
Надходження товарів і послуг ІБ00-002526 від 27.05.2025 11:00:00
Ніжин-4</t>
  </si>
  <si>
    <t>Обл. НДС
Рівень 2000мм Spirit магнітний
Надходження товарів і послуг ІБ00-003878 від 14.07.2025 11:00:00
Ніжин-4</t>
  </si>
  <si>
    <t>Обл. НДС
Розчинник УС Нефрас 0,94 л/ 0,70 кг
Надходження товарів і послуг ІБ00-002795 від 05.06.2025 11:00:00
Ніжин-4</t>
  </si>
  <si>
    <t>Обл. НДС
Розчинник УС Нефрас 0,94 л/ 0,70 кг
Надходження товарів і послуг ІБ00-003416 від 23.06.2025 11:00:00
Ніжин-4</t>
  </si>
  <si>
    <t>Обл. НДС
Рукав до мотопомпи 50мм д/зливу води
Надходження товарів і послуг ІБ00-003560 від 02.07.2025 11:00:00
Ніжин-4</t>
  </si>
  <si>
    <t>Обл. НДС
Рукавиці трикотажні з ПВХ чорні 7клас розм 10
Надходження товарів і послуг ІБ00-002426 від 21.05.2025 11:00:00
Ніжин-4</t>
  </si>
  <si>
    <t>Обл. НДС
Рукавички скло/камінь черв з рифл гум надол  р.10
Надходження товарів і послуг ІБ00-002425 від 21.05.2025 11:00:00
Ніжин-4</t>
  </si>
  <si>
    <t>Обл. НДС
Рукавички трикотажні COMPASS 526, 10 кл. з ПВХ-малюнком, помаранчеві, р.10
Надходження товарів і послуг ІБ00-003878 від 14.07.2025 11:00:00
Ніжин-4</t>
  </si>
  <si>
    <t>Обл. НДС
Рулетка 10 м*25 мм
Надходження товарів і послуг ІБ00-002426 від 21.05.2025 11:00:00
Ніжин-4</t>
  </si>
  <si>
    <t>Обл. НДС
Рулетка 10 м*25 мм
Надходження товарів і послуг ІБ00-003878 від 14.07.2025 11:00:00
Ніжин-4</t>
  </si>
  <si>
    <t>Обл. НДС
Рулетка 5 м х 25 мм з фіксатором MAGNETOK Topex 27C345
Надходження товарів і послуг ІБ00-002426 від 21.05.2025 11:00:00
Ніжин-4</t>
  </si>
  <si>
    <t>Обл. НДС
Рулетка 50 м*13 мм
Надходження товарів і послуг ІБ00-002426 від 21.05.2025 11:00:00
Ніжин-4</t>
  </si>
  <si>
    <t>Обл. НДС
Ручка для валика
Надходження товарів і послуг ІБ00-002795 від 05.06.2025 11:00:00
Ніжин-4</t>
  </si>
  <si>
    <t>Обл. НДС
Саморіз  гіпсокарт.дерево 3,5*55 (шт)
Надходження товарів і послуг ІБ00-002526 від 27.05.2025 11:00:00
Ніжин-4</t>
  </si>
  <si>
    <t>Обл. НДС
Черевики "Профі" ПУ р.42
Надходження товарів і послуг ІБ00-004192 від 01.08.2025 11:00:00
Ніжин-4</t>
  </si>
  <si>
    <t>31.10.2025</t>
  </si>
  <si>
    <t>Передача малоцінних активів в експлуатацію ІБ00-000551 від 31.10.2025 20:00:00
Списание стоимости малоценных активов</t>
  </si>
  <si>
    <t>Обл. НДС
Помпа для води
Надходження товарів і послуг ІБ00-002797 від 05.06.2025 17:16:43
Ніжин-4</t>
  </si>
  <si>
    <t>Обл. НДС
Провід ПВС 3*2,5 (м)
Надходження товарів і послуг ІБ00-002426 від 21.05.2025 11:00:00
Ніжин-4</t>
  </si>
  <si>
    <t>Обл. НДС
Затискач маси прищіпка МК-600 А
Надходження товарів і послуг ІБ00-005483 від 01.09.2025 11:00:00
Ніжин-4</t>
  </si>
  <si>
    <t>Обл. НДС
Чоботи гумові чол.41 р
Надходження товарів і послуг ІБ00-003460 від 27.06.2025 11:00:00
Ніжин-4</t>
  </si>
  <si>
    <t>Обл. НДС
Чоботи гумові чол.42 р
Надходження товарів і послуг ІБ00-003460 від 27.06.2025 11:00:00
Ніжин-4</t>
  </si>
  <si>
    <t>Передача малоцінних активів в експлуатацію ІБ00-000552 від 31.10.2025 23:00:00
Списание стоимости малоценных активов</t>
  </si>
  <si>
    <t>Обл. НДС
Круг відрізний для сталі 125х1,0х22,2мм
Надходження товарів і послуг ІБ00-005483 від 01.09.2025 11:00:00
Ніжин-4</t>
  </si>
  <si>
    <t>Обл. НДС
Кувалда 5,4 кг з ручкою
Надходження товарів і послуг ІБ00-002426 від 21.05.2025 11:00:00
Ніжин-4</t>
  </si>
  <si>
    <t>Обл. НДС
Кутник столярний 200*400 мм
Надходження товарів і послуг ІБ00-002918 від 13.06.2025 11:00:00
Ніжин-4</t>
  </si>
  <si>
    <t>Обл. НДС
Маска зварювальника
Надходження товарів і послуг ІБ00-005483 від 01.09.2025 11:00:00
Ніжин-4</t>
  </si>
  <si>
    <t>Обл. НДС
Електрод  4 мм 5 кг
Надходження товарів і послуг ІБ00-005483 від 01.09.2025 11:00:00
Ніжин-4</t>
  </si>
  <si>
    <t>Передача малоцінних активів в експлуатацію ІБ00-000553 від 31.10.2025 23:00:00
Списание стоимости малоценных активов</t>
  </si>
  <si>
    <t>Обл. НДС
Тримач електродів DE-2500  500А
Надходження товарів і послуг ІБ00-005483 від 01.09.2025 11:00:00
Ніжин-4</t>
  </si>
  <si>
    <t>Надходження товарів і послуг ІБ00-005694 від 01.10.2025 11:00:00
Оприходованы ТМЦ</t>
  </si>
  <si>
    <t>Обл. НДС
Паста полірув 1,15кг рожева
Надходження товарів і послуг ІБ00-005694 від 01.10.2025 11:00:00
Цех екстракції (Глобине)</t>
  </si>
  <si>
    <t>Адаменко Юрій Андрійович ФОП
РАХУНКИ_Глобине-2
Рахунок на оплату постачальника ІБ00-004682 від 29.09.2025 23:00:02</t>
  </si>
  <si>
    <t>Обл. НДС
Круг полірувальний д=125мм фетровий самозачеп
Надходження товарів і послуг ІБ00-005694 від 01.10.2025 11:00:00
Цех екстракції (Глобине)</t>
  </si>
  <si>
    <t>Обл. НДС
Диск платформа для шліф.кругів 125 мм
Надходження товарів і послуг ІБ00-005694 від 01.10.2025 11:00:00
Цех екстракції (Глобине)</t>
  </si>
  <si>
    <t>Надходження товарів і послуг ІБ00-005770 від 01.10.2025 11:00:00
Оприходованы ТМЦ</t>
  </si>
  <si>
    <t>Обл. НДС
Фанера ФОФ лам. 1250*2500*21 мм гл/гл
Надходження товарів і послуг ІБ00-005770 від 01.10.2025 11:00:00
АПК (Глобине)</t>
  </si>
  <si>
    <t>Будівельна Гільдія Черкаси ТОВ
Дог7/11/24від07.11.24_Глобино-2
Рахунок на оплату постачальника ІБ00-004723 від 23.09.2025 18:01:09</t>
  </si>
  <si>
    <t>Надходження товарів і послуг ІБ00-006063 від 01.10.2025 11:00:00
Оприходованы ТМЦ</t>
  </si>
  <si>
    <t>Обл. НДС
Рейка маячна оц 10/3м 0,25
Надходження товарів і послуг ІБ00-006063 від 01.10.2025 11:00:00
Глобине-2</t>
  </si>
  <si>
    <t>СКАЙ-ЕНЕРДЖИ
Рахунки_Глобине-2
Рахунок на оплату постачальника ІБ00-005075 від 01.10.2025 19:01:24</t>
  </si>
  <si>
    <t>Обл. НДС
Кріплення д/штукатурних маяків 
Надходження товарів і послуг ІБ00-006063 від 01.10.2025 11:00:00
Глобине-2</t>
  </si>
  <si>
    <t>Надходження товарів і послуг ІБ00-006064 від 01.10.2025 11:00:00
Оприходованы ТМЦ (Зачет аванса поставщику)</t>
  </si>
  <si>
    <t>Обл. НДС
Покривало протипожежне
Надходження товарів і послуг ІБ00-006064 від 01.10.2025 11:00:00
Цех екстракції (Глобине)</t>
  </si>
  <si>
    <t>Адаменко Юрій Андрійович ФОП
РАХУНКИ_Глобине-2
Рахунок на оплату постачальника ІБ00-004176 від 04.09.2025 18:15:10</t>
  </si>
  <si>
    <t>Надходження товарів і послуг ІБ00-006065 від 01.10.2025 11:00:00
Оприходованы ТМЦ (Зачет аванса поставщику)</t>
  </si>
  <si>
    <t>Обл. НДС
Матрац 190*70
Надходження товарів і послуг ІБ00-006065 від 01.10.2025 11:00:00
Глобине-2</t>
  </si>
  <si>
    <t>Дяденко Владислав Миколайович ФОП
Рахунки_Глобино-2
Рахунок на оплату постачальника ІБ00-003913 від 01.08.2025 22:38:04</t>
  </si>
  <si>
    <t>Обл. НДС
Подушка
Надходження товарів і послуг ІБ00-006065 від 01.10.2025 11:00:00
Глобине-2</t>
  </si>
  <si>
    <t>Обл. НДС
Ковдра 1,5 вовна
Надходження товарів і послуг ІБ00-006065 від 01.10.2025 11:00:00
Глобине-2</t>
  </si>
  <si>
    <t>Надходження товарів і послуг ІБ00-006270 від 01.10.2025 11:00:00
Оприходованы ТМЦ</t>
  </si>
  <si>
    <t>Обл. НДС
Брус 150*150*6000
Надходження товарів і послуг ІБ00-006270 від 01.10.2025 11:00:00
Глобине-2</t>
  </si>
  <si>
    <t>Мошинець Ю.П. ФОП
Рахунки_Глобине-2
Рахунок на оплату постачальника ІБ00-000927 від 12.03.2025 18:45:40</t>
  </si>
  <si>
    <t>Надходження товарів і послуг ІБ00-006270 від 01.10.2025 11:00:00
Оприходованы ТМЦ (Зачет аванса поставщику)</t>
  </si>
  <si>
    <t>Обл. НДС
Плита OSB 22 мм
Надходження товарів і послуг ІБ00-006270 від 01.10.2025 11:00:00
Глобине-2</t>
  </si>
  <si>
    <t>Надходження товарів і послуг ІБ00-006271 від 01.10.2025 11:00:00
Оприходованы ТМЦ</t>
  </si>
  <si>
    <t>Обл. НДС
Брус 150*150*6000
Надходження товарів і послуг ІБ00-006271 від 01.10.2025 11:00:00
Глобине-2</t>
  </si>
  <si>
    <t>Мошинець Ю.П. ФОП
Рахунки_Глобине-2
Рахунок на оплату постачальника ІБ00-003411 від 01.07.2025 23:00:43</t>
  </si>
  <si>
    <t>Надходження товарів і послуг ІБ00-006271 від 01.10.2025 11:00:00
Оприходованы ТМЦ (Зачет аванса поставщику)</t>
  </si>
  <si>
    <t>Надходження товарів і послуг ІБ00-006369 від 01.10.2025 11:00:00
Оприходованы ТМЦ (Зачет аванса поставщику)</t>
  </si>
  <si>
    <t>Обл. НДС
Насос паливний перекачуючий AURORA 52264/FTP-AU000.
Надходження товарів і послуг ІБ00-006369 від 01.10.2025 11:00:00
Глобине-2</t>
  </si>
  <si>
    <t>Дяденко Владислав Миколайович ФОП
Рахунки_Глобино-2
Рахунок на оплату постачальника ІБ00-003911 від 01.08.2025 22:38:02</t>
  </si>
  <si>
    <t>Надходження товарів і послуг ІБ00-006370 від 01.10.2025 11:00:00
Оприходованы ТМЦ (Зачет аванса поставщику)</t>
  </si>
  <si>
    <t>Обл. НДС
Кошма пожежна 2м*3 м (брезент вогнетривкий) двошар
Надходження товарів і послуг ІБ00-006370 від 01.10.2025 11:00:00
Глобине-2</t>
  </si>
  <si>
    <t>Лук'ян Михайло Федорович ФОП
22/08-24-1 от 22.08.2024 (РАХУНКИ)_Глобине-2
Рахунок на оплату постачальника ІБ00-004404 від 22.08.2025 18:06:27</t>
  </si>
  <si>
    <t>Надходження товарів і послуг ІБ00-006370 від 01.10.2025 11:00:00
Оприходованы ТМЦ</t>
  </si>
  <si>
    <t>Обл. НДС
Кошма пожежна 6*6м (брезент вогнетривкий) двошар
Надходження товарів і послуг ІБ00-006370 від 01.10.2025 11:00:00
Глобине-2</t>
  </si>
  <si>
    <t>Надходження товарів і послуг ІБ00-006371 від 01.10.2025 11:00:00
Оприходованы ТМЦ (Зачет аванса поставщику)</t>
  </si>
  <si>
    <t>Обл. НДС
Круг зачисний по металу 125
Надходження товарів і послуг ІБ00-006371 від 01.10.2025 11:00:00
Глобине-2</t>
  </si>
  <si>
    <t>Адаменко Юрій Андрійович ФОП
РАХУНКИ_Глобине-2
Рахунок на оплату постачальника ІБ00-004174 від 04.09.2025 18:15:09</t>
  </si>
  <si>
    <t>Обл. НДС
Диск пелюстковий 125х22,2 зерн. 40
Надходження товарів і послуг ІБ00-006371 від 01.10.2025 11:00:00
Глобине-2</t>
  </si>
  <si>
    <t>Надходження товарів і послуг ІБ00-006378 від 01.10.2025 11:00:00
Оприходованы ТМЦ (Зачет аванса поставщику)</t>
  </si>
  <si>
    <t>Обл. НДС
Відро 10 л
Надходження товарів і послуг ІБ00-006378 від 01.10.2025 11:00:00
Цех екстракції (Глобине)</t>
  </si>
  <si>
    <t>Лозовий Микола Миколайович ФОП
РАХУНКИ_Глобино-2
Рахунок на оплату постачальника ІБ00-003912 від 01.08.2025 22:38:03</t>
  </si>
  <si>
    <t>Надходження товарів і послуг ІБ00-005805 від 02.10.2025 11:00:00
Оприходованы ТМЦ</t>
  </si>
  <si>
    <t>Обл. НДС
Саморіз гіпсокарт.дерево 3,5*55
Надходження товарів і послуг ІБ00-005805 від 02.10.2025 11:00:00
Глобине-2</t>
  </si>
  <si>
    <t>СКАЙ-ЕНЕРДЖИ
Рахунки_Глобине-2
Рахунок на оплату постачальника ІБ00-004774 від 29.09.2025 23:00:10</t>
  </si>
  <si>
    <t>Обл. НДС
Окуляри захисні
Надходження товарів і послуг ІБ00-005805 від 02.10.2025 11:00:00
Глобине-2</t>
  </si>
  <si>
    <t>Обл. НДС
Електроди "Моноліт РЦ" 2 мм 1кг
Надходження товарів і послуг ІБ00-005805 від 02.10.2025 11:00:00
Глобине-2</t>
  </si>
  <si>
    <t>Обл. НДС
Розчинник Уайт-спіріт 10 л 
Надходження товарів і послуг ІБ00-005805 від 02.10.2025 11:00:00
Глобине-2</t>
  </si>
  <si>
    <t>Надходження товарів і послуг ІБ00-005808 від 02.10.2025 11:00:00
Оприходованы ТМЦ</t>
  </si>
  <si>
    <t>Обл. НДС
Електрод  УОНІ13/55 д. 3 (2,5 кг)
Надходження товарів і послуг ІБ00-005808 від 02.10.2025 11:00:00
СПК (Глобине)</t>
  </si>
  <si>
    <t>СКАЙ-ЕНЕРДЖИ
Рахунки_Глобине-2
Рахунок на оплату постачальника ІБ00-004776 від 29.09.2025 23:00:12</t>
  </si>
  <si>
    <t>Обл. НДС
Електроди УОНИ-13/55 Плазма MONOLITH, 4 мм 5 кг
Надходження товарів і послуг ІБ00-005808 від 02.10.2025 11:00:00
СПК (Глобине)</t>
  </si>
  <si>
    <t>Переміщення товарів ІБ00-001050 від 02.10.2025 11:10:00
Перемещение ТМЦ</t>
  </si>
  <si>
    <t>Обл. НДС
Саморіз гіпсокарт.дерево 3,5*55
Переміщення товарів ІБ00-001050 від 02.10.2025 11:10:00
Пожежений резервуар (Глобине)</t>
  </si>
  <si>
    <t>Переміщення товарів ІБ00-001051 від 02.10.2025 11:10:00
Перемещение ТМЦ</t>
  </si>
  <si>
    <t>Обл. НДС
Окуляри захисні
Переміщення товарів ІБ00-001051 від 02.10.2025 11:10:00
Цех екстракції (Глобине)</t>
  </si>
  <si>
    <t>Обл. НДС
Окуляри захисні
Надходження товарів і послуг ІБ00-005406 від 15.09.2025 11:00:00
Глобине-2</t>
  </si>
  <si>
    <t>Обл. НДС
Електроди "Моноліт РЦ" 2 мм 1кг
Переміщення товарів ІБ00-001051 від 02.10.2025 11:10:00
Цех екстракції (Глобине)</t>
  </si>
  <si>
    <t>Обл. НДС
Розчинник Уайт-спіріт 10 л 
Переміщення товарів ІБ00-001051 від 02.10.2025 11:10:00
Цех екстракції (Глобине)</t>
  </si>
  <si>
    <t>Переміщення товарів ІБ00-001052 від 02.10.2025 11:10:00
Перемещение ТМЦ</t>
  </si>
  <si>
    <t>Обл. НДС
Розчинник Уайт-спіріт 10 л 
Переміщення товарів ІБ00-001052 від 02.10.2025 11:10:00
АПК (Глобине)</t>
  </si>
  <si>
    <t>Переміщення товарів ІБ00-001009 від 02.10.2025 15:51:31
Перемещение ТМЦ</t>
  </si>
  <si>
    <t>Обл. НДС
Замок навісний
Переміщення товарів ІБ00-001009 від 02.10.2025 15:51:31
Котельна (Глобине)</t>
  </si>
  <si>
    <t>Обл. НДС
Замок навісний
Надходження товарів і послуг ІБ00-005612 від 23.09.2025 11:00:00
Глобине-2</t>
  </si>
  <si>
    <t>Обл. НДС
Спрей  400 мл
Переміщення товарів ІБ00-001009 від 02.10.2025 15:51:31
Котельна (Глобине)</t>
  </si>
  <si>
    <t>Обл. НДС
Спрей  400 мл
Надходження товарів і послуг ІБ00-005612 від 23.09.2025 11:00:00
Глобине-2</t>
  </si>
  <si>
    <t>Обл. НДС
Мастило для бурів
Переміщення товарів ІБ00-001009 від 02.10.2025 15:51:31
Котельна (Глобине)</t>
  </si>
  <si>
    <t>Обл. НДС
Мастило для бурів
Надходження товарів і послуг ІБ00-005612 від 23.09.2025 11:00:00
Глобине-2</t>
  </si>
  <si>
    <t>Надходження товарів і послуг ІБ00-005985 від 02.10.2025 17:00:00
Оприходованы ТМЦ</t>
  </si>
  <si>
    <t>Обл. НДС
Круг шліф. по металу 125*6,0*22,23
Надходження товарів і послуг ІБ00-005985 від 02.10.2025 17:00:00
СПК (Глобине)</t>
  </si>
  <si>
    <t>СКАЙ-ЕНЕРДЖИ
Рахунки_Глобине-2
Рахунок на оплату постачальника ІБ00-004775 від 29.09.2025 23:00:11</t>
  </si>
  <si>
    <t>Обл. НДС
Круг відр. по металу "ЗАК"230*2,0*22 14А 41
Надходження товарів і послуг ІБ00-005985 від 02.10.2025 17:00:00
СПК (Глобине)</t>
  </si>
  <si>
    <t>Обл. НДС
Біта РН 2*25 мм
Надходження товарів і послуг ІБ00-005985 від 02.10.2025 17:00:00
СПК (Глобине)</t>
  </si>
  <si>
    <t>Обл. НДС
Електроди "Моноліт РЦ" 4 мм 5кг
Надходження товарів і послуг ІБ00-005985 від 02.10.2025 17:00:00
СПК (Глобине)</t>
  </si>
  <si>
    <t>08.10.2025</t>
  </si>
  <si>
    <t>Надходження товарів і послуг ІБ00-005807 від 08.10.2025 11:00:00
Оприходованы ТМЦ (Зачет аванса поставщику)</t>
  </si>
  <si>
    <t>Обл. НДС
Повітропровід неізольований 18"/10м
Надходження товарів і послуг ІБ00-005807 від 08.10.2025 11:00:00
Глобине-2</t>
  </si>
  <si>
    <t>ІЗОЛБУДПОСТАЧ" ТОВ
Рахунки_Глобино-2
Рахунок на оплату постачальника ІБ00-004701 від 06.10.2025 17:37:48</t>
  </si>
  <si>
    <t>Обл. НДС
Хомут з гайкою 450мм М8/М10
Надходження товарів і послуг ІБ00-005807 від 08.10.2025 11:00:00
Глобине-2</t>
  </si>
  <si>
    <t>09.10.2025</t>
  </si>
  <si>
    <t>Надходження товарів і послуг ІБ00-005986 від 09.10.2025 08:00:00
Оприходованы ТМЦ</t>
  </si>
  <si>
    <t>Обл. НДС
Пласка панель 595*595 42вт
Надходження товарів і послуг ІБ00-005986 від 09.10.2025 08:00:00
Глобине-2</t>
  </si>
  <si>
    <t>СКАЙ-ЕНЕРДЖИ
Рахунки_Глобине-2
Рахунок на оплату постачальника ІБ00-004952 від 08.10.2025 18:17:44</t>
  </si>
  <si>
    <t>Обл. НДС
Рукавиці "Будмонстр" червоні арт4040 з пвх малюнком Зірка
Надходження товарів і послуг ІБ00-005986 від 09.10.2025 08:00:00
Глобине-2</t>
  </si>
  <si>
    <t>Обл. НДС
Кабель КГ 1х25,0 (м)
Надходження товарів і послуг ІБ00-005986 від 09.10.2025 08:00:00
Глобине-2</t>
  </si>
  <si>
    <t>Обл. НДС
Автоматичний вимикач  1Р 6ka
Надходження товарів і послуг ІБ00-005986 від 09.10.2025 08:00:00
Глобине-2</t>
  </si>
  <si>
    <t>Надходження товарів і послуг ІБ00-005951 від 09.10.2025 08:00:24
Оприходованы ТМЦ</t>
  </si>
  <si>
    <t>Обл. НДС
Паста травильна 1кг
Надходження товарів і послуг ІБ00-005951 від 09.10.2025 08:00:24
Глобине-2</t>
  </si>
  <si>
    <t>Дяденко Владислав Миколайович ФОП
Рахунки_Глобино-2
Рахунок на оплату постачальника ІБ00-004923 від 06.10.2025 17:38:07</t>
  </si>
  <si>
    <t>Обл. НДС
Піна-клей швидка фіксація 860мл
Надходження товарів і послуг ІБ00-005951 від 09.10.2025 08:00:24
Глобине-2</t>
  </si>
  <si>
    <t>Обл. НДС
Фіксатор Стілець 50(500шт)
Надходження товарів і послуг ІБ00-005951 від 09.10.2025 08:00:24
Глобине-2</t>
  </si>
  <si>
    <t>Надходження товарів і послуг ІБ00-006231 від 09.10.2025 11:00:00
Оприходованы ТМЦ</t>
  </si>
  <si>
    <t>Обл. НДС
(я-94)BOSCH витратні Круг відрізний 230*2,5*22 увігнутий
Надходження товарів і послуг ІБ00-006231 від 09.10.2025 11:00:00
Глобине-2</t>
  </si>
  <si>
    <t>СКАЙ-ЕНЕРДЖИ
Рахунки_Глобине-2
Рахунок на оплату постачальника ІБ00-004946 від 06.10.2025 17:38:10</t>
  </si>
  <si>
    <t>Обл. НДС
Круг відрізний  125*1,6*22
Надходження товарів і послуг ІБ00-006231 від 09.10.2025 11:00:00
Глобине-2</t>
  </si>
  <si>
    <t>Обл. НДС
Валик поролоновий 6х35х100
Надходження товарів і послуг ІБ00-006231 від 09.10.2025 11:00:00
Глобине-2</t>
  </si>
  <si>
    <t>Обл. НДС
Валик Синтекс під ручку d8 мм, 18*48/250 мм  
Надходження товарів і послуг ІБ00-006231 від 09.10.2025 11:00:00
Глобине-2</t>
  </si>
  <si>
    <t>Обл. НДС
Ручка для валика 10 см
Надходження товарів і послуг ІБ00-006231 від 09.10.2025 11:00:00
Глобине-2</t>
  </si>
  <si>
    <t>Обл. НДС
Ручка для валика 25 см
Надходження товарів і послуг ІБ00-006231 від 09.10.2025 11:00:00
Глобине-2</t>
  </si>
  <si>
    <t>Обл. НДС
Пензель малярний 2"
Надходження товарів і послуг ІБ00-006231 від 09.10.2025 11:00:00
Глобине-2</t>
  </si>
  <si>
    <t>Обл. НДС
Пензель флейцевий
Надходження товарів і послуг ІБ00-006231 від 09.10.2025 11:00:00
Глобине-2</t>
  </si>
  <si>
    <t>Обл. НДС
Рукавички трикотажні 
Надходження товарів і послуг ІБ00-006231 від 09.10.2025 11:00:00
Глобине-2</t>
  </si>
  <si>
    <t>Обл. НДС
Рулетка 10 м*25 мм
Надходження товарів і послуг ІБ00-006231 від 09.10.2025 11:00:00
Глобине-2</t>
  </si>
  <si>
    <t>Обл. НДС
Рулетка  5 м*19 мм 
Надходження товарів і послуг ІБ00-006231 від 09.10.2025 11:00:00
Глобине-2</t>
  </si>
  <si>
    <t>Надходження товарів і послуг ІБ00-006470 від 09.10.2025 11:00:00
Оприходованы ТМЦ</t>
  </si>
  <si>
    <t>Обл. НДС
Саморіз  4,2*75
Надходження товарів і послуг ІБ00-006470 від 09.10.2025 11:00:00
Глобине-2</t>
  </si>
  <si>
    <t>Переміщення товарів ІБ00-001165 від 09.10.2025 11:10:00
Перемещение ТМЦ</t>
  </si>
  <si>
    <t>Обл. НДС
(я-94)BOSCH витратні Круг відрізний 230*2,5*22 увігнутий
Переміщення товарів ІБ00-001165 від 09.10.2025 11:10:00
Котельна (Глобине)</t>
  </si>
  <si>
    <t>Обл. НДС
Круг відрізний  125*1,6*22
Переміщення товарів ІБ00-001165 від 09.10.2025 11:10:00
Котельна (Глобине)</t>
  </si>
  <si>
    <t>Обл. НДС
Валик поролоновий 6х35х100
Переміщення товарів ІБ00-001165 від 09.10.2025 11:10:00
Котельна (Глобине)</t>
  </si>
  <si>
    <t>Обл. НДС
Валик Синтекс під ручку d8 мм, 18*48/250 мм  
Переміщення товарів ІБ00-001165 від 09.10.2025 11:10:00
Котельна (Глобине)</t>
  </si>
  <si>
    <t>Обл. НДС
Ручка для валика 10 см
Переміщення товарів ІБ00-001165 від 09.10.2025 11:10:00
Котельна (Глобине)</t>
  </si>
  <si>
    <t>Обл. НДС
Ручка для валика 25 см
Переміщення товарів ІБ00-001165 від 09.10.2025 11:10:00
Котельна (Глобине)</t>
  </si>
  <si>
    <t>Обл. НДС
Рукавички трикотажні 
Переміщення товарів ІБ00-001165 від 09.10.2025 11:10:00
Котельна (Глобине)</t>
  </si>
  <si>
    <t>Переміщення товарів ІБ00-001166 від 09.10.2025 11:10:00
Перемещение ТМЦ</t>
  </si>
  <si>
    <t>Обл. НДС
(я-94)BOSCH витратні Круг відрізний 230*2,5*22 увігнутий
Переміщення товарів ІБ00-001166 від 09.10.2025 11:10:00
Цех екстракції (Глобине)</t>
  </si>
  <si>
    <t>Обл. НДС
Круг відрізний  125*1,6*22
Переміщення товарів ІБ00-001166 від 09.10.2025 11:10:00
Цех екстракції (Глобине)</t>
  </si>
  <si>
    <t>Обл. НДС
Валик Синтекс під ручку d8 мм, 18*48/250 мм  
Переміщення товарів ІБ00-001166 від 09.10.2025 11:10:00
Цех екстракції (Глобине)</t>
  </si>
  <si>
    <t>Обл. НДС
Ручка для валика 10 см
Переміщення товарів ІБ00-001166 від 09.10.2025 11:10:00
Цех екстракції (Глобине)</t>
  </si>
  <si>
    <t>Переміщення товарів ІБ00-001167 від 09.10.2025 11:10:00
Перемещение ТМЦ</t>
  </si>
  <si>
    <t>Обл. НДС
(я-94)BOSCH витратні Круг відрізний 230*2,5*22 увігнутий
Переміщення товарів ІБ00-001167 від 09.10.2025 11:10:00
Насосна Градирня (Глобине)</t>
  </si>
  <si>
    <t>Обл. НДС
Круг відрізний  125*1,6*22
Переміщення товарів ІБ00-001167 від 09.10.2025 11:10:00
Насосна Градирня (Глобине)</t>
  </si>
  <si>
    <t>Обл. НДС
Пензель малярний 2"
Переміщення товарів ІБ00-001167 від 09.10.2025 11:10:00
Насосна Градирня (Глобине)</t>
  </si>
  <si>
    <t>Обл. НДС
Рукавички трикотажні 
Переміщення товарів ІБ00-001167 від 09.10.2025 11:10:00
Насосна Градирня (Глобине)</t>
  </si>
  <si>
    <t>Переміщення товарів ІБ00-001168 від 09.10.2025 11:10:00
Перемещение ТМЦ</t>
  </si>
  <si>
    <t>Обл. НДС
(я-94)BOSCH витратні Круг відрізний 230*2,5*22 увігнутий
Переміщення товарів ІБ00-001168 від 09.10.2025 11:10:00
Пожежений резервуар (Глобине)</t>
  </si>
  <si>
    <t>Обл. НДС
Круг відрізний  125*1,6*22
Переміщення товарів ІБ00-001168 від 09.10.2025 11:10:00
Пожежений резервуар (Глобине)</t>
  </si>
  <si>
    <t>Обл. НДС
Рукавички трикотажні 
Переміщення товарів ІБ00-001168 від 09.10.2025 11:10:00
Пожежений резервуар (Глобине)</t>
  </si>
  <si>
    <t>Переміщення товарів ІБ00-001169 від 09.10.2025 11:10:00
Перемещение ТМЦ</t>
  </si>
  <si>
    <t>Обл. НДС
Ручка для валика 25 см
Переміщення товарів ІБ00-001169 від 09.10.2025 11:10:00
Транспортна галерея Естакада 3.3 (Глобине)</t>
  </si>
  <si>
    <t>Обл. НДС
Пензель флейцевий
Переміщення товарів ІБ00-001169 від 09.10.2025 11:10:00
Транспортна галерея Естакада 3.3 (Глобине)</t>
  </si>
  <si>
    <t>Обл. НДС
Рукавички трикотажні 
Переміщення товарів ІБ00-001169 від 09.10.2025 11:10:00
Транспортна галерея Естакада 3.3 (Глобине)</t>
  </si>
  <si>
    <t>Переміщення товарів ІБ00-001090 від 09.10.2025 12:00:00
Перемещение ТМЦ</t>
  </si>
  <si>
    <t>Обл. НДС
Рукавиці "Будмонстр" червоні арт4040 з пвх малюнком Зірка
Переміщення товарів ІБ00-001090 від 09.10.2025 12:00:00
СПК (Глобине)</t>
  </si>
  <si>
    <t>Обл. НДС
Кабель КГ 1х25,0 (м)
Переміщення товарів ІБ00-001090 від 09.10.2025 12:00:00
СПК (Глобине)</t>
  </si>
  <si>
    <t>Переміщення товарів ІБ00-001084 від 09.10.2025 13:00:00
Перемещение ТМЦ</t>
  </si>
  <si>
    <t>Обл. НДС
Піна-клей швидка фіксація 860мл
Переміщення товарів ІБ00-001084 від 09.10.2025 13:00:00
АПК (Глобине)</t>
  </si>
  <si>
    <t>Переміщення товарів ІБ00-001085 від 09.10.2025 13:00:00
Перемещение ТМЦ</t>
  </si>
  <si>
    <t>Обл. НДС
Паста травильна 1кг
Переміщення товарів ІБ00-001085 від 09.10.2025 13:00:00
АПК (Глобине)</t>
  </si>
  <si>
    <t>Переміщення товарів ІБ00-001083 від 09.10.2025 13:47:00
Перемещение ТМЦ</t>
  </si>
  <si>
    <t>Обл. НДС
Паста травильна 1кг
Переміщення товарів ІБ00-001083 від 09.10.2025 13:47:00
Цех екстракції (Глобине)</t>
  </si>
  <si>
    <t>Обл. НДС
Фіксатор Стілець 50(500шт)
Переміщення товарів ІБ00-001083 від 09.10.2025 13:47:00
Цех екстракції (Глобине)</t>
  </si>
  <si>
    <t>Переміщення товарів ІБ00-001105 від 09.10.2025 18:00:00
Перемещение ТМЦ</t>
  </si>
  <si>
    <t>Обл. НДС
Кабель КГ 1х25,0 (м)
Переміщення товарів ІБ00-001105 від 09.10.2025 18:00:00
Цех екстракції (Глобине)</t>
  </si>
  <si>
    <t>Надходження товарів і послуг ІБ00-005939 від 09.10.2025 19:00:19
Оприходованы ТМЦ</t>
  </si>
  <si>
    <t>Обл. НДС
Біта РН 2*25 мм
Надходження товарів і послуг ІБ00-005939 від 09.10.2025 19:00:19
Глобине-2</t>
  </si>
  <si>
    <t>СКАЙ-ЕНЕРДЖИ
Рахунки_Глобине-2
Рахунок на оплату постачальника ІБ00-004914 від 07.10.2025 20:16:59</t>
  </si>
  <si>
    <t>Передача малоцінних активів в експлуатацію ІБ00-000503 від 10.10.2025 11:57:20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</si>
  <si>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</si>
  <si>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Обл. НДС
Електроди "Моноліт РЦ" 3мм 2,5кг  кг
Переміщення товарів ІБ00-000922 від 15.09.2025 11:10:00
Цех екстракції (Глобине)</t>
  </si>
  <si>
    <t>Обл. НДС
Електроди "Моноліт РЦ" 3мм 2,5кг  кг
Переміщення товарів ІБ00-000926 від 15.09.2025 11:10:00
Цех екстракції (Глобине)</t>
  </si>
  <si>
    <t>Обл. НДС
Бур  40*720/800
Переміщення товарів ІБ00-001007 від 23.09.2025 11:10:00
Цех екстракції (Глобине)</t>
  </si>
  <si>
    <t>Обл. НДС
Картридж газовий бутан 220гр
Надходження товарів і послуг ІБ00-005596 від 27.09.2025 11:00:00
Цех екстракції (Глобине)</t>
  </si>
  <si>
    <t>Передача малоцінних активів в експлуатацію ІБ00-000504 від 10.10.2025 15:32:14
Списание стоимости малоценных активов</t>
  </si>
  <si>
    <t>Обл. НДС
Електроди "Моноліт РЦ" 3 мм 2,5кг
Надходження товарів і послуг ІБ00-004070 від 08.07.2025 11:00:00
Котельна (Глобине)</t>
  </si>
  <si>
    <t>Передача малоцінних активів в експлуатацію ІБ00-000502 від 10.10.2025 18:22:32
Списание стоимости малоценных активов</t>
  </si>
  <si>
    <t>Обл. НДС
Бур SDS Plus  06*110*160 мм
Переміщення товарів ІБ00-000994 від 24.09.2025 11:10:00
АПК (Глобине)</t>
  </si>
  <si>
    <t>Обл. НДС
Мило рідке 5 л в ассортименте
Переміщення товарів ІБ00-000917 від 17.09.2025 11:10:00
АПК (Глобине)</t>
  </si>
  <si>
    <t>Обл. НДС
Очисник для піни  500 мл
Переміщення товарів ІБ00-000994 від 24.09.2025 11:10:00
АПК (Глобине)</t>
  </si>
  <si>
    <t>Обл. НДС
Круг абразів. відрізний по металу 125*1,2*22,2
Переміщення товарів ІБ00-000924 від 15.09.2025 11:10:00
АПК (Глобине)</t>
  </si>
  <si>
    <t>Надходження товарів і послуг ІБ00-005950 від 10.10.2025 18:22:52
Оприходованы ТМЦ</t>
  </si>
  <si>
    <t>Обл. НДС
Автоматичний вимикач  1Р 40А 
Надходження товарів і послуг ІБ00-005950 від 10.10.2025 18:22:52
СПК (Глобине)</t>
  </si>
  <si>
    <t>Дяденко Владислав Миколайович ФОП
Рахунки_Глобино-2
Рахунок на оплату постачальника ІБ00-004920 від 09.10.2025 19:00:21</t>
  </si>
  <si>
    <t>Надходження товарів і послуг ІБ00-005999 від 10.10.2025 18:22:59
Оприходованы ТМЦ</t>
  </si>
  <si>
    <t>Обл. НДС
Тримач електродів DE-2400  400А
Надходження товарів і послуг ІБ00-005999 від 10.10.2025 18:22:59
Глобине-2</t>
  </si>
  <si>
    <t>УКРСЕРВІС КОМПАНІЯ ТОВ
№15/07/25 від 15.07.2025_Глобино-2
Рахунок на оплату постачальника ІБ00-004956 від 06.10.2025 17:38:11</t>
  </si>
  <si>
    <t>Обл. НДС
Затискач маси прищіпка МК-400 А
Надходження товарів і послуг ІБ00-005999 від 10.10.2025 18:22:59
Глобине-2</t>
  </si>
  <si>
    <t>Обл. НДС
Гніздо байонетне ВЕВ 35-50 400А
Надходження товарів і послуг ІБ00-005999 від 10.10.2025 18:22:59
Глобине-2</t>
  </si>
  <si>
    <t>Обл. НДС
Світильник LED 50W  6500 
Надходження товарів і послуг ІБ00-005999 від 10.10.2025 18:22:59
Глобине-2</t>
  </si>
  <si>
    <t>Обл. НДС
Рукавички краги сині з підкладкою
Надходження товарів і послуг ІБ00-005999 від 10.10.2025 18:22:59
Глобине-2</t>
  </si>
  <si>
    <t>Обл. НДС
Штекер байонетний  400 А
Надходження товарів і послуг ІБ00-005999 від 10.10.2025 18:22:59
Глобине-2</t>
  </si>
  <si>
    <t>Переміщення товарів ІБ00-001115 від 10.10.2025 19:00:00
Перемещение ТМЦ</t>
  </si>
  <si>
    <t>Обл. НДС
Тримач електродів DE-2400  400А
Переміщення товарів ІБ00-001115 від 10.10.2025 19:00:00
СПК (Глобине)</t>
  </si>
  <si>
    <t>Обл. НДС
Штекер байонетний  400 А
Переміщення товарів ІБ00-001115 від 10.10.2025 19:00:00
СПК (Глобине)</t>
  </si>
  <si>
    <t>Обл. НДС
Затискач маси прищіпка МК-400 А
Переміщення товарів ІБ00-001115 від 10.10.2025 19:00:00
СПК (Глобине)</t>
  </si>
  <si>
    <t>Переміщення товарів ІБ00-001117 від 10.10.2025 19:00:00
Перемещение ТМЦ</t>
  </si>
  <si>
    <t>Обл. НДС
Затискач маси прищіпка МК-400 А
Переміщення товарів ІБ00-001117 від 10.10.2025 19:00:00
Пожежений резервуар (Глобине)</t>
  </si>
  <si>
    <t>Обл. НДС
Рукавички краги сині з підкладкою
Переміщення товарів ІБ00-001117 від 10.10.2025 19:00:00
Пожежений резервуар (Глобине)</t>
  </si>
  <si>
    <t>Переміщення товарів ІБ00-001118 від 10.10.2025 19:00:00
Перемещение ТМЦ</t>
  </si>
  <si>
    <t>Обл. НДС
Рукавички краги сині з підкладкою
Переміщення товарів ІБ00-001118 від 10.10.2025 19:00:00
Цех екстракції (Глобине)</t>
  </si>
  <si>
    <t>Обл. НДС
Штекер байонетний  400 А
Переміщення товарів ІБ00-001118 від 10.10.2025 19:00:00
Цех екстракції (Глобине)</t>
  </si>
  <si>
    <t>Переміщення товарів ІБ00-001119 від 10.10.2025 19:00:00
Перемещение ТМЦ</t>
  </si>
  <si>
    <t>Обл. НДС
Рукавички краги сині з підкладкою
Переміщення товарів ІБ00-001119 від 10.10.2025 19:00:00
Насосна Градирня (Глобине)</t>
  </si>
  <si>
    <t>Переміщення товарів ІБ00-001116 від 10.10.2025 19:00:01
Перемещение ТМЦ</t>
  </si>
  <si>
    <t>Обл. НДС
Тримач електродів DE-2400  400А
Переміщення товарів ІБ00-001116 від 10.10.2025 19:00:01
Транспортна галерея Естакада 3.5 (Глобине)</t>
  </si>
  <si>
    <t>Обл. НДС
Затискач маси прищіпка МК-400 А
Переміщення товарів ІБ00-001116 від 10.10.2025 19:00:01
Транспортна галерея Естакада 3.5 (Глобине)</t>
  </si>
  <si>
    <t>Обл. НДС
Гніздо байонетне ВЕВ 35-50 400А
Переміщення товарів ІБ00-001116 від 10.10.2025 19:00:01
Транспортна галерея Естакада 3.5 (Глобине)</t>
  </si>
  <si>
    <t>Обл. НДС
Рукавички краги сині з підкладкою
Переміщення товарів ІБ00-001116 від 10.10.2025 19:00:01
Транспортна галерея Естакада 3.5 (Глобине)</t>
  </si>
  <si>
    <t>Надходження товарів і послуг ІБ00-005941 від 13.10.2025 17:35:36
Оприходованы ТМЦ (Зачет аванса поставщику)</t>
  </si>
  <si>
    <t>Обл. НДС
Набір викруток 
Надходження товарів і послуг ІБ00-005941 від 13.10.2025 17:35:36
Глобине-2</t>
  </si>
  <si>
    <t>Епіцентр К ТОВ
б\н Глобине-2 РАХУНКИ
Рахунок на оплату постачальника ІБ00-004737 від 24.09.2025 18:21:45</t>
  </si>
  <si>
    <t>Обл. НДС
Світильник 
Надходження товарів і послуг ІБ00-005941 від 13.10.2025 17:35:36
Глобине-2</t>
  </si>
  <si>
    <t>14.10.2025</t>
  </si>
  <si>
    <t>Надходження товарів і послуг ІБ00-005990 від 14.10.2025 08:16:59
Оприходованы ТМЦ</t>
  </si>
  <si>
    <t>Обл. НДС
Стрічка самоклейка малярна 48*40
Надходження товарів і послуг ІБ00-005990 від 14.10.2025 08:16:59
Глобине-2</t>
  </si>
  <si>
    <t>СКАЙ-ЕНЕРДЖИ
Рахунки_Глобине-2
Рахунок на оплату постачальника ІБ00-004951 від 13.10.2025 17:35:40</t>
  </si>
  <si>
    <t>Обл. НДС
Коректор-ручка 
Надходження товарів і послуг ІБ00-005990 від 14.10.2025 08:16:59
Глобине-2</t>
  </si>
  <si>
    <t>Обл. НДС
Щітка ручна
Надходження товарів і послуг ІБ00-005990 від 14.10.2025 08:16:59
Глобине-2</t>
  </si>
  <si>
    <t>Обл. НДС
Саморіз для г/к 3,5*55 по дереву (100 шт)
Надходження товарів і послуг ІБ00-005990 від 14.10.2025 08:16:59
Глобине-2</t>
  </si>
  <si>
    <t>Обл. НДС
Саморіз для г/к 4,2*76 по дереву (100 шт)
Надходження товарів і послуг ІБ00-005990 від 14.10.2025 08:16:59
Глобине-2</t>
  </si>
  <si>
    <t>Обл. НДС
Пензель флейцевий
Надходження товарів і послуг ІБ00-005990 від 14.10.2025 08:16:59
Глобине-2</t>
  </si>
  <si>
    <t>Обл. НДС
Пензель флейцевий 2"
Надходження товарів і послуг ІБ00-005990 від 14.10.2025 08:16:59
Глобине-2</t>
  </si>
  <si>
    <t>Обл. НДС
Рулетка  5 м*19 мм 
Надходження товарів і послуг ІБ00-005990 від 14.10.2025 08:16:59
Глобине-2</t>
  </si>
  <si>
    <t>Обл. НДС
Рулетка 10 м*25 мм
Надходження товарів і послуг ІБ00-005990 від 14.10.2025 08:16:59
Глобине-2</t>
  </si>
  <si>
    <t>Обл. НДС
Маркер перманентний
Надходження товарів і послуг ІБ00-005990 від 14.10.2025 08:16:59
Глобине-2</t>
  </si>
  <si>
    <t>Обл. НДС
Макловиця 
Надходження товарів і послуг ІБ00-005990 від 14.10.2025 08:16:59
Глобине-2</t>
  </si>
  <si>
    <t>Переміщення товарів ІБ00-001093 від 14.10.2025 10:00:00
Перемещение ТМЦ</t>
  </si>
  <si>
    <t>Обл. НДС
Коректор-ручка 
Переміщення товарів ІБ00-001093 від 14.10.2025 10:00:00
СПК (Глобине)</t>
  </si>
  <si>
    <t>Обл. НДС
Рулетка  5 м*19 мм 
Переміщення товарів ІБ00-001093 від 14.10.2025 10:00:00
СПК (Глобине)</t>
  </si>
  <si>
    <t>Обл. НДС
Рулетка  5 м*19 мм 
Надходження товарів і послуг ІБ00-005406 від 15.09.2025 11:00:00
Глобине-2</t>
  </si>
  <si>
    <t>Обл. НДС
Рулетка 10 м*25 мм
Переміщення товарів ІБ00-001093 від 14.10.2025 10:00:00
СПК (Глобине)</t>
  </si>
  <si>
    <t>Обл. НДС
Рулетка 10 м*25 мм
Надходження товарів і послуг ІБ00-005406 від 15.09.2025 11:00:00
Глобине-2</t>
  </si>
  <si>
    <t>Обл. НДС
Маркер перманентний
Переміщення товарів ІБ00-001093 від 14.10.2025 10:00:00
СПК (Глобине)</t>
  </si>
  <si>
    <t>Переміщення товарів ІБ00-001094 від 14.10.2025 17:00:00
Перемещение ТМЦ</t>
  </si>
  <si>
    <t>Обл. НДС
Пензель флейцевий
Переміщення товарів ІБ00-001094 від 14.10.2025 17:00:00
Транспортна галерея Естакада 3.5 (Глобине)</t>
  </si>
  <si>
    <t>Обл. НДС
Макловиця 
Переміщення товарів ІБ00-001094 від 14.10.2025 17:00:00
Транспортна галерея Естакада 3.5 (Глобине)</t>
  </si>
  <si>
    <t>Обл. НДС
Щітка ручна
Переміщення товарів ІБ00-001094 від 14.10.2025 17:00:00
Транспортна галерея Естакада 3.5 (Глобине)</t>
  </si>
  <si>
    <t>Обл. НДС
Саморіз для г/к 3,5*55 по дереву (100 шт)
Переміщення товарів ІБ00-001094 від 14.10.2025 17:00:00
Транспортна галерея Естакада 3.5 (Глобине)</t>
  </si>
  <si>
    <t>Переміщення товарів ІБ00-001103 від 14.10.2025 18:00:00
Перемещение ТМЦ</t>
  </si>
  <si>
    <t>Обл. НДС
Саморіз для г/к 4,2*76 по дереву (100 шт)
Переміщення товарів ІБ00-001103 від 14.10.2025 18:00:00
Насосна Градирня (Глобине)</t>
  </si>
  <si>
    <t>Переміщення товарів ІБ00-001104 від 14.10.2025 18:00:00
Перемещение ТМЦ</t>
  </si>
  <si>
    <t>Обл. НДС
Саморіз для г/к 3,5*55 по дереву (100 шт)
Переміщення товарів ІБ00-001104 від 14.10.2025 18:00:00
Пожежений резервуар (Глобине)</t>
  </si>
  <si>
    <t>Обл. НДС
Саморіз для г/к 4,2*76 по дереву (100 шт)
Переміщення товарів ІБ00-001104 від 14.10.2025 18:00:00
Пожежений резервуар (Глобине)</t>
  </si>
  <si>
    <t>Переміщення товарів ІБ00-001095 від 14.10.2025 18:16:59
Перемещение ТМЦ</t>
  </si>
  <si>
    <t>Обл. НДС
Пензель флейцевий 2"
Переміщення товарів ІБ00-001095 від 14.10.2025 18:16:59
Котельна (Глобине)</t>
  </si>
  <si>
    <t>Обл. НДС
Стрічка самоклейка малярна 48*40
Переміщення товарів ІБ00-001095 від 14.10.2025 18:16:59
Котельна (Глобине)</t>
  </si>
  <si>
    <t>Обл. НДС
Щітка ручна
Переміщення товарів ІБ00-001095 від 14.10.2025 18:16:59
Котельна (Глобине)</t>
  </si>
  <si>
    <t>Обл. НДС
Саморіз для г/к 3,5*55 по дереву (100 шт)
Переміщення товарів ІБ00-001095 від 14.10.2025 18:16:59
Котельна (Глобине)</t>
  </si>
  <si>
    <t>Надходження товарів і послуг ІБ00-005993 від 14.10.2025 18:17:00
Оприходованы ТМЦ</t>
  </si>
  <si>
    <t>Обл. НДС
Костюм зварювальника куртка+штани брезент.
Надходження товарів і послуг ІБ00-005993 від 14.10.2025 18:17:00
СПК (Глобине)</t>
  </si>
  <si>
    <t>Надходження товарів і послуг ІБ00-005988 від 15.10.2025 08:00:00
Оприходованы ТМЦ</t>
  </si>
  <si>
    <t>Обл. НДС
Стрічка поліпропіленова з липким шаром 48х200, 38мкм
Надходження товарів і послуг ІБ00-005988 від 15.10.2025 08:00:00
Глобине-2</t>
  </si>
  <si>
    <t>Обл. НДС
Маркер перманентний
Надходження товарів і послуг ІБ00-005988 від 15.10.2025 08:00:00
Глобине-2</t>
  </si>
  <si>
    <t>Переміщення товарів ІБ00-001091 від 15.10.2025 10:00:00
Перемещение ТМЦ</t>
  </si>
  <si>
    <t>Обл. НДС
Стрічка поліпропіленова з липким шаром 48х200, 38мкм
Переміщення товарів ІБ00-001091 від 15.10.2025 10:00:00
Транспортна галерея Естакада 3.5 (Глобине)</t>
  </si>
  <si>
    <t>Переміщення товарів ІБ00-001092 від 15.10.2025 10:00:00
Перемещение ТМЦ</t>
  </si>
  <si>
    <t>Обл. НДС
Маркер перманентний
Переміщення товарів ІБ00-001092 від 15.10.2025 10:00:00
СПК (Глобине)</t>
  </si>
  <si>
    <t>Надходження товарів і послуг ІБ00-006229 від 15.10.2025 11:00:00
Оприходованы ТМЦ</t>
  </si>
  <si>
    <t>Обл. НДС
Пояс лямковий комбінований ПЛК1
Надходження товарів і послуг ІБ00-006229 від 15.10.2025 11:00:00
СПК (Глобине)</t>
  </si>
  <si>
    <t>Дяденко Владислав Миколайович ФОП
Рахунки_Глобино-2
Рахунок на оплату постачальника ІБ00-004922 від 09.10.2025 19:00:22</t>
  </si>
  <si>
    <t>Обл. НДС
Пояс лямковий комбінований ПЛК2-М
Надходження товарів і послуг ІБ00-006229 від 15.10.2025 11:00:00
СПК (Глобине)</t>
  </si>
  <si>
    <t>Обл. НДС
Пояс лямковий комбінований ПЛК1-М
Надходження товарів і послуг ІБ00-006229 від 15.10.2025 11:00:00
СПК (Глобине)</t>
  </si>
  <si>
    <t>Обл. НДС
Пояс запобіжний безлямковий 2ПБ-М (ПБ1-М із стропом-стрічковим К20)
Надходження товарів і послуг ІБ00-006229 від 15.10.2025 11:00:00
СПК (Глобине)</t>
  </si>
  <si>
    <t>Обл. НДС
Строп ланцюговий 1СЛ 1
Надходження товарів і послуг ІБ00-006229 від 15.10.2025 11:00:00
СПК (Глобине)</t>
  </si>
  <si>
    <t>Надходження товарів і послуг ІБ00-006232 від 15.10.2025 11:00:00
Оприходованы ТМЦ</t>
  </si>
  <si>
    <t>Обл. НДС
Молоток  1000 гр.
Надходження товарів і послуг ІБ00-006232 від 15.10.2025 11:00:00
Пожежений резервуар (Глобине)</t>
  </si>
  <si>
    <t>Надходження товарів і послуг ІБ00-005980 від 15.10.2025 18:43:57
Оприходованы ТМЦ (Зачет аванса поставщику)</t>
  </si>
  <si>
    <t>Обл. НДС
Черевики   р 46
Надходження товарів і послуг ІБ00-005980 від 15.10.2025 18:43:57
Глобине-2</t>
  </si>
  <si>
    <t>Гордій Каріна Ярославівна ФОП
РАХУНКИ_Глобине 2
Рахунок на оплату постачальника ІБ00-004865 від 13.10.2025 17:35:06</t>
  </si>
  <si>
    <t>Обл. НДС
Кросівки
Надходження товарів і послуг ІБ00-005980 від 15.10.2025 18:43:57
Глобине-2</t>
  </si>
  <si>
    <t>Надходження товарів і послуг ІБ00-005987 від 15.10.2025 18:44:00
Оприходованы ТМЦ</t>
  </si>
  <si>
    <t>Обл. НДС
Чохол 90\3200 (стрічковий)
Надходження товарів і послуг ІБ00-005987 від 15.10.2025 18:44:00
Глобине-2</t>
  </si>
  <si>
    <t>Обл. НДС
Строп СТП 3,0/4000 (5911)
Надходження товарів і послуг ІБ00-005987 від 15.10.2025 18:44:00
Глобине-2</t>
  </si>
  <si>
    <t>Надходження товарів і послуг ІБ00-005991 від 15.10.2025 18:44:01
Оприходованы ТМЦ</t>
  </si>
  <si>
    <t>Обл. НДС
Електроди "Моноліт РЦ" 4 мм 5кг
Надходження товарів і послуг ІБ00-005991 від 15.10.2025 18:44:01
Глобине-2</t>
  </si>
  <si>
    <t>УКРСЕРВІС КОМПАНІЯ ТОВ
№15/07/25 від 15.07.2025_Глобино-2
Рахунок на оплату постачальника ІБ00-004954 від 13.10.2025 17:35:42</t>
  </si>
  <si>
    <t>Обл. НДС
Електроди "Моноліт РЦ" 3 мм 2,5кг
Надходження товарів і послуг ІБ00-005991 від 15.10.2025 18:44:01
Глобине-2</t>
  </si>
  <si>
    <t>Надходження товарів і послуг ІБ00-005992 від 15.10.2025 18:44:02
Оприходованы ТМЦ</t>
  </si>
  <si>
    <t>Обл. НДС
Електроди "Моноліт РЦ" 4 мм 5кг
Надходження товарів і послуг ІБ00-005992 від 15.10.2025 18:44:02
Глобине-2</t>
  </si>
  <si>
    <t>УКРСЕРВІС КОМПАНІЯ ТОВ
№15/07/25 від 15.07.2025_Глобино-2
Рахунок на оплату постачальника ІБ00-004953 від 13.10.2025 17:35:41</t>
  </si>
  <si>
    <t>Обл. НДС
Електроди "Моноліт РЦ" 3 мм 2,5кг
Надходження товарів і послуг ІБ00-005992 від 15.10.2025 18:44:02
Глобине-2</t>
  </si>
  <si>
    <t>Надходження товарів і послуг ІБ00-005998 від 15.10.2025 18:44:03
Оприходованы ТМЦ</t>
  </si>
  <si>
    <t>Обл. НДС
Бита Рh2 51мм 
Надходження товарів і послуг ІБ00-005998 від 15.10.2025 18:44:03
Глобине-2</t>
  </si>
  <si>
    <t>УКРСЕРВІС КОМПАНІЯ ТОВ
№15/07/25 від 15.07.2025_Глобино-2
Рахунок на оплату постачальника ІБ00-004955 від 13.10.2025 17:35:43</t>
  </si>
  <si>
    <t>Обл. НДС
Електроди "Моноліт РЦ" 4 мм 5кг
Надходження товарів і послуг ІБ00-005998 від 15.10.2025 18:44:03
Глобине-2</t>
  </si>
  <si>
    <t>Обл. НДС
Електроди "Моноліт РЦ" 3 мм 2,5кг
Надходження товарів і послуг ІБ00-005998 від 15.10.2025 18:44:03
Глобине-2</t>
  </si>
  <si>
    <t>Обл. НДС
Кутник покрів 600*400 мм
Надходження товарів і послуг ІБ00-005998 від 15.10.2025 18:44:03
Глобине-2</t>
  </si>
  <si>
    <t>Обл. НДС
Кутник столярний 300 мм алюм.
Надходження товарів і послуг ІБ00-005998 від 15.10.2025 18:44:03
Глобине-2</t>
  </si>
  <si>
    <t>Обл. НДС
Жилка будівельна Ф8мм 100метр,
Надходження товарів і послуг ІБ00-005998 від 15.10.2025 18:44:03
Глобине-2</t>
  </si>
  <si>
    <t>Обл. НДС
Скрайбер (чертилка) для скла, кераміки, металу
Надходження товарів і послуг ІБ00-005998 від 15.10.2025 18:44:03
Глобине-2</t>
  </si>
  <si>
    <t>Переміщення товарів ІБ00-001096 від 15.10.2025 18:44:04
Перемещение ТМЦ</t>
  </si>
  <si>
    <t>Обл. НДС
Кутник покрів 600*400 мм
Переміщення товарів ІБ00-001096 від 15.10.2025 18:44:04
СПК (Глобине)</t>
  </si>
  <si>
    <t>Обл. НДС
Кутник столярний 300 мм алюм.
Переміщення товарів ІБ00-001096 від 15.10.2025 18:44:04
СПК (Глобине)</t>
  </si>
  <si>
    <t>Обл. НДС
Жилка будівельна Ф8мм 100метр,
Переміщення товарів ІБ00-001096 від 15.10.2025 18:44:04
СПК (Глобине)</t>
  </si>
  <si>
    <t>Обл. НДС
Скрайбер (чертилка) для скла, кераміки, металу
Переміщення товарів ІБ00-001096 від 15.10.2025 18:44:04
СПК (Глобине)</t>
  </si>
  <si>
    <t>Переміщення товарів ІБ00-001097 від 15.10.2025 18:44:05
Перемещение ТМЦ</t>
  </si>
  <si>
    <t>Обл. НДС
Електроди "Моноліт РЦ" 4 мм 5кг
Переміщення товарів ІБ00-001097 від 15.10.2025 18:44:05
Насосна Градирня (Глобине)</t>
  </si>
  <si>
    <t>Обл. НДС
Електроди "Моноліт РЦ" 3 мм 2,5кг
Переміщення товарів ІБ00-001097 від 15.10.2025 18:44:05
Насосна Градирня (Глобине)</t>
  </si>
  <si>
    <t>Обл. НДС
Бита Рh2 51мм 
Переміщення товарів ІБ00-001097 від 15.10.2025 18:44:05
Насосна Градирня (Глобине)</t>
  </si>
  <si>
    <t>Переміщення товарів ІБ00-001106 від 15.10.2025 18:44:06
Перемещение ТМЦ</t>
  </si>
  <si>
    <t>Обл. НДС
Бита Рh2 51мм 
Переміщення товарів ІБ00-001106 від 15.10.2025 18:44:06
Котельна (Глобине)</t>
  </si>
  <si>
    <t>Переміщення товарів ІБ00-001107 від 15.10.2025 19:00:00
Перемещение ТМЦ</t>
  </si>
  <si>
    <t>Обл. НДС
Бита Рh2 51мм 
Переміщення товарів ІБ00-001107 від 15.10.2025 19:00:00
Цех екстракції (Глобине)</t>
  </si>
  <si>
    <t>Переміщення товарів ІБ00-001108 від 15.10.2025 19:00:00
Перемещение ТМЦ</t>
  </si>
  <si>
    <t>Обл. НДС
Бита Рh2 51мм 
Переміщення товарів ІБ00-001108 від 15.10.2025 19:00:00
Пожежений резервуар (Глобине)</t>
  </si>
  <si>
    <t>Переміщення товарів ІБ00-001109 від 15.10.2025 19:00:00
Перемещение ТМЦ</t>
  </si>
  <si>
    <t>Обл. НДС
Електроди "Моноліт РЦ" 4 мм 5кг
Переміщення товарів ІБ00-001109 від 15.10.2025 19:00:00
Транспортна галерея Естакада 3.5 (Глобине)</t>
  </si>
  <si>
    <t>Обл. НДС
Електроди "Моноліт РЦ" 3 мм 2,5кг
Переміщення товарів ІБ00-001109 від 15.10.2025 19:00:00
Транспортна галерея Естакада 3.5 (Глобине)</t>
  </si>
  <si>
    <t>Переміщення товарів ІБ00-001110 від 15.10.2025 19:00:00
Перемещение ТМЦ</t>
  </si>
  <si>
    <t>Обл. НДС
Електроди "Моноліт РЦ" 4 мм 5кг
Переміщення товарів ІБ00-001110 від 15.10.2025 19:00:00
Насосна Градирня (Глобине)</t>
  </si>
  <si>
    <t>Переміщення товарів ІБ00-001111 від 15.10.2025 19:00:00
Перемещение ТМЦ</t>
  </si>
  <si>
    <t>Обл. НДС
Електроди "Моноліт РЦ" 3 мм 2,5кг
Переміщення товарів ІБ00-001111 від 15.10.2025 19:00:00
Резервуарний парк соєвої меляси (Глобине)</t>
  </si>
  <si>
    <t>Переміщення товарів ІБ00-001112 від 15.10.2025 19:00:00
Перемещение ТМЦ</t>
  </si>
  <si>
    <t>Обл. НДС
Електроди "Моноліт РЦ" 4 мм 5кг
Переміщення товарів ІБ00-001112 від 15.10.2025 19:00:00
Транспортна галерея Естакада 3.5 (Глобине)</t>
  </si>
  <si>
    <t>Обл. НДС
Електроди "Моноліт РЦ" 3 мм 2,5кг
Переміщення товарів ІБ00-001112 від 15.10.2025 19:00:00
Транспортна галерея Естакада 3.5 (Глобине)</t>
  </si>
  <si>
    <t>Переміщення товарів ІБ00-001113 від 15.10.2025 19:00:00
Перемещение ТМЦ</t>
  </si>
  <si>
    <t>Обл. НДС
Електроди "Моноліт РЦ" 4 мм 5кг
Переміщення товарів ІБ00-001113 від 15.10.2025 19:00:00
Насосна Градирня (Глобине)</t>
  </si>
  <si>
    <t>Переміщення товарів ІБ00-001114 від 15.10.2025 19:00:06
Перемещение ТМЦ</t>
  </si>
  <si>
    <t>Обл. НДС
Електроди "Моноліт РЦ" 3 мм 2,5кг
Переміщення товарів ІБ00-001114 від 15.10.2025 19:00:06
Пожежений резервуар (Глобине)</t>
  </si>
  <si>
    <t>16.10.2025</t>
  </si>
  <si>
    <t>Передача малоцінних активів в експлуатацію ІБ00-000507 від 16.10.2025 11:11:22
Списание стоимости малоценных активов</t>
  </si>
  <si>
    <t>Обл. НДС
Розетка 2-на зовн. білий  
Надходження товарів і послуг ІБ00-005600 від 24.09.2025 11:00:00
Глобине-2</t>
  </si>
  <si>
    <t>Передача малоцінних активів в експлуатацію ІБ00-000509 від 16.10.2025 11:45:59
Списание стоимости малоценных активов</t>
  </si>
  <si>
    <t>Обл. НДС
Круг абразів. відрізний по металу 125*1,2*22,2
Переміщення товарів ІБ00-000922 від 15.09.2025 11:10:00
Цех екстракції (Глобине)</t>
  </si>
  <si>
    <t>Обл. НДС
Круг відрізний по металу 230*2,0*22,23
Переміщення товарів ІБ00-000922 від 15.09.2025 11:10:00
Цех екстракції (Глобине)</t>
  </si>
  <si>
    <t>Обл. НДС
Круг пелюстков торцевий 125*22,2 мм зерно 80
Переміщення товарів ІБ00-000922 від 15.09.2025 11:10:00
Цех екстракції (Глобине)</t>
  </si>
  <si>
    <t>Обл. НДС
Очисник для піни  500 мл
Переміщення товарів ІБ00-000996 від 24.09.2025 11:10:00
Цех екстракції (Глобине)</t>
  </si>
  <si>
    <t>Обл. НДС
Пальник газовий 1,45кВ 1300град метал з керам соплом 20мм
Надходження товарів і послуг ІБ00-005596 від 27.09.2025 11:00:00
Цех екстракції (Глобине)</t>
  </si>
  <si>
    <t>Обл. НДС
Паста травильна 1кг
Надходження товарів і послуг ІБ00-005596 від 27.09.2025 11:00:00
Цех екстракції (Глобине)</t>
  </si>
  <si>
    <t>Обл. НДС
Пістолет для герметика
Переміщення товарів ІБ00-001007 від 23.09.2025 11:10:00
Цех екстракції (Глобине)</t>
  </si>
  <si>
    <t>Обл. НДС
Пістолет для герметика 235 мл
Надходження товарів і послуг ІБ00-005597 від 26.09.2025 11:00:00
Цех екстракції (Глобине)</t>
  </si>
  <si>
    <t>Обл. НДС
Рукавиці подв.облив з латекс. покриттям
Переміщення товарів ІБ00-001007 від 23.09.2025 11:10:00
Цех екстракції (Глобине)</t>
  </si>
  <si>
    <t>Обл. НДС
Рукавиці трикотажні  ХБ/ПЕ з ПВХ візерунком
Переміщення товарів ІБ00-001007 від 23.09.2025 11:10:00
Цех екстракції (Глобине)</t>
  </si>
  <si>
    <t>Передача малоцінних активів в експлуатацію ІБ00-000510 від 16.10.2025 11:49:17
Списание стоимости малоценных активов</t>
  </si>
  <si>
    <t>Обл. НДС
Електроди "Моноліт РЦ" 4 мм 5кг
Надходження товарів і послуг ІБ00-004993 від 01.09.2025 11:00:00
Глобине-2</t>
  </si>
  <si>
    <t>Обл. НДС
Круг шліф. по металу 125*6,0*22,23
Надходження товарів і послуг ІБ00-005406 від 15.09.2025 11:00:00
Глобине-2</t>
  </si>
  <si>
    <t>Обл. НДС
Ніж  25мм
Надходження товарів і послуг ІБ00-004734 від 22.08.2025 11:00:00
Глобине-2</t>
  </si>
  <si>
    <t>Обл. НДС
Ножівка 
Надходження товарів і послуг ІБ00-005108 від 01.09.2025 11:00:00
Глобине-2</t>
  </si>
  <si>
    <t>Обл. НДС
Окуляри захисні (БР)
Надходження товарів і послуг ІБ00-005251 від 11.09.2025 11:00:00
Глобине-2</t>
  </si>
  <si>
    <t>Обл. НДС
Бокорізи 180 мм 
Надходження товарів і послуг ІБ00-005406 від 15.09.2025 11:00:00
Глобине-2</t>
  </si>
  <si>
    <t>Обл. НДС
Бур SDS Plus 12*150*210 мм
Надходження товарів і послуг ІБ00-005600 від 24.09.2025 11:00:00
Глобине-2</t>
  </si>
  <si>
    <t>Обл. НДС
Взуття чоловіче SEVEN SAFETY р.44
Надходження товарів і послуг ІБ00-005695 від 29.09.2025 11:00:00
Глобине-2</t>
  </si>
  <si>
    <t>Обл. НДС
Вилка з\з 16А
Надходження товарів і послуг ІБ00-005600 від 24.09.2025 11:00:00
Глобине-2</t>
  </si>
  <si>
    <t>Обл. НДС
Віник сорго
Надходження товарів і послуг ІБ00-005612 від 23.09.2025 11:00:00
Глобине-2</t>
  </si>
  <si>
    <t>Обл. НДС
Жилет сигнальний пом. кольору
Надходження товарів і послуг ІБ00-005235 від 08.09.2025 11:00:00
Глобине-2</t>
  </si>
  <si>
    <t>Передача малоцінних активів в експлуатацію ІБ00-000512 від 16.10.2025 14:48:26
Списание стоимости малоценных активов</t>
  </si>
  <si>
    <t>Обл. НДС
Щітка торцева з плет.провол.  85мм, М14
Переміщення товарів ІБ00-000928 від 15.09.2025 11:10:00
АПК (Глобине)</t>
  </si>
  <si>
    <t>Обл. НДС
Свердло SDS plus 8*50*110мм
Переміщення товарів ІБ00-000994 від 24.09.2025 11:10:00
АПК (Глобине)</t>
  </si>
  <si>
    <t>Обл. НДС
Круг відрізний 230*2.5*22 увігнутий
Надходження товарів і послуг ІБ00-004343 від 01.08.2025 11:00:00
АПК (Глобине)</t>
  </si>
  <si>
    <t>Надходження товарів і послуг ІБ00-006101 від 20.10.2025 11:00:00
Оприходованы ТМЦ (Зачет аванса поставщику)</t>
  </si>
  <si>
    <t>Обл. НДС
Пістолет для герметика
Надходження товарів і послуг ІБ00-006101 від 20.10.2025 11:00:00
Глобине-2</t>
  </si>
  <si>
    <t>Дяденко Владислав Миколайович ФОП
Рахунки_Глобино-2
Рахунок на оплату постачальника ІБ00-004921 від 14.10.2025 18:16:52</t>
  </si>
  <si>
    <t>Обл. НДС
Пістолет для піни монтажної
Надходження товарів і послуг ІБ00-006101 від 20.10.2025 11:00:00
Глобине-2</t>
  </si>
  <si>
    <t>Обл. НДС
Рівень 100 см
Надходження товарів і послуг ІБ00-006101 від 20.10.2025 11:00:00
Глобине-2</t>
  </si>
  <si>
    <t>Обл. НДС
Бур по бетону 6*160  SDS Plus 
Надходження товарів і послуг ІБ00-006101 від 20.10.2025 11:00:00
Глобине-2</t>
  </si>
  <si>
    <t>Обл. НДС
Гвинт самонарізний з шестигранним поглибленням під ключ 7,5*112/80 ЦЖ
Надходження товарів і послуг ІБ00-006101 від 20.10.2025 11:00:00
Глобине-2</t>
  </si>
  <si>
    <t>Обл. НДС
Фіксатор настил 25-30 
Надходження товарів і послуг ІБ00-006101 від 20.10.2025 11:00:00
Глобине-2</t>
  </si>
  <si>
    <t>Обл. НДС
Строп СТП-1,0/1500
Надходження товарів і послуг ІБ00-006101 від 20.10.2025 11:00:00
Глобине-2</t>
  </si>
  <si>
    <t>Надходження товарів і послуг ІБ00-006101 від 20.10.2025 11:00:00
Оприходованы ТМЦ</t>
  </si>
  <si>
    <t>Обл. НДС
Строп 1СТ 1,0/1000
Надходження товарів і послуг ІБ00-006101 від 20.10.2025 11:00:00
Глобине-2</t>
  </si>
  <si>
    <t>Обл. НДС
Строп СТП-5,0/4000
Надходження товарів і послуг ІБ00-006101 від 20.10.2025 11:00:00
Глобине-2</t>
  </si>
  <si>
    <t>Обл. НДС
Чохол 150\3000 (стрічковий)
Надходження товарів і послуг ІБ00-006101 від 20.10.2025 11:00:00
Глобине-2</t>
  </si>
  <si>
    <t>Надходження товарів і послуг ІБ00-006598 від 20.10.2025 11:00:00
Оприходованы ТМЦ (Зачет аванса поставщику)</t>
  </si>
  <si>
    <t>Обл. НДС
Вимикач 
Надходження товарів і послуг ІБ00-006598 від 20.10.2025 11:00:00
Глобине-2</t>
  </si>
  <si>
    <t>ЕПОС ТОВ
Рахунки_Глобино-2
Рахунок на оплату постачальника ІБ00-004917 від 17.10.2025 19:11:40</t>
  </si>
  <si>
    <t>Переміщення товарів ІБ00-001140 від 20.10.2025 11:10:00
Перемещение ТМЦ</t>
  </si>
  <si>
    <t>Обл. НДС
Пістолет для герметика
Переміщення товарів ІБ00-001140 від 20.10.2025 11:10:00
Цех екстракції (Глобине)</t>
  </si>
  <si>
    <t>Обл. НДС
Пістолет для піни монтажної
Переміщення товарів ІБ00-001140 від 20.10.2025 11:10:00
Цех екстракції (Глобине)</t>
  </si>
  <si>
    <t>Обл. НДС
Фіксатор настил 25-30 
Переміщення товарів ІБ00-001140 від 20.10.2025 11:10:00
Цех екстракції (Глобине)</t>
  </si>
  <si>
    <t>Обл. НДС
Строп СТП-1,0/1500
Переміщення товарів ІБ00-001140 від 20.10.2025 11:10:00
Цех екстракції (Глобине)</t>
  </si>
  <si>
    <t>Обл. НДС
Строп 1СТ 1,0/1000
Переміщення товарів ІБ00-001140 від 20.10.2025 11:10:00
Цех екстракції (Глобине)</t>
  </si>
  <si>
    <t>Переміщення товарів ІБ00-001141 від 20.10.2025 11:10:00
Перемещение ТМЦ</t>
  </si>
  <si>
    <t>Обл. НДС
Рівень 100 см
Переміщення товарів ІБ00-001141 від 20.10.2025 11:10:00
СПК (Глобине)</t>
  </si>
  <si>
    <t>Обл. НДС
Строп СТП-5,0/4000
Переміщення товарів ІБ00-001141 від 20.10.2025 11:10:00
СПК (Глобине)</t>
  </si>
  <si>
    <t>Обл. НДС
Чохол 150\3000 (стрічковий)
Переміщення товарів ІБ00-001141 від 20.10.2025 11:10:00
СПК (Глобине)</t>
  </si>
  <si>
    <t>Переміщення товарів ІБ00-001142 від 20.10.2025 11:10:00
Перемещение ТМЦ</t>
  </si>
  <si>
    <t>Обл. НДС
Бур по бетону 6*160  SDS Plus 
Переміщення товарів ІБ00-001142 від 20.10.2025 11:10:00
Котельна (Глобине)</t>
  </si>
  <si>
    <t>Обл. НДС
Гвинт самонарізний з шестигранним поглибленням під ключ 7,5*112/80 ЦЖ
Переміщення товарів ІБ00-001142 від 20.10.2025 11:10:00
Котельна (Глобине)</t>
  </si>
  <si>
    <t>21.10.2025</t>
  </si>
  <si>
    <t>Надходження товарів і послуг ІБ00-006442 від 21.10.2025 11:00:00
Оприходованы ТМЦ</t>
  </si>
  <si>
    <t>Обл. НДС
Шнур відбивочний буд.(пластм.корпус) - 30м
Надходження товарів і послуг ІБ00-006442 від 21.10.2025 11:00:00
Глобине-2</t>
  </si>
  <si>
    <t>УКРСЕРВІС КОМПАНІЯ ТОВ
№15/07/25 від 15.07.2025_Глобино-2
Рахунок на оплату постачальника ІБ00-005354 від 21.10.2025 11:00:00</t>
  </si>
  <si>
    <t>Обл. НДС
Ізоляційна стрічка 0,13*0,19мм, 20 м
Надходження товарів і послуг ІБ00-006442 від 21.10.2025 11:00:00
Глобине-2</t>
  </si>
  <si>
    <t>Обл. НДС
Касета-розетка 3гн, з/к з кришками Омега ІР44  16А
Надходження товарів і послуг ІБ00-006442 від 21.10.2025 11:00:00
Глобине-2</t>
  </si>
  <si>
    <t>Обл. НДС
Вилка з\з 16А, каучук, пряма
Надходження товарів і послуг ІБ00-006442 від 21.10.2025 11:00:00
Глобине-2</t>
  </si>
  <si>
    <t>Обл. НДС
Мішок 105х55*62
Надходження товарів і послуг ІБ00-006442 від 21.10.2025 11:00:00
Глобине-2</t>
  </si>
  <si>
    <t>Обл. НДС
Рукавиці скло/камінь з гумовим надолон, пар
Надходження товарів і послуг ІБ00-006442 від 21.10.2025 11:00:00
Глобине-2</t>
  </si>
  <si>
    <t>Обл. НДС
Ніж висувний 18 мм
Надходження товарів і послуг ІБ00-006442 від 21.10.2025 11:00:00
Глобине-2</t>
  </si>
  <si>
    <t>Обл. НДС
Круг відрізний 125*1,6*22
Надходження товарів і послуг ІБ00-006442 від 21.10.2025 11:00:00
Глобине-2</t>
  </si>
  <si>
    <t>Обл. НДС
Відро будівельне 16 л
Надходження товарів і послуг ІБ00-006442 від 21.10.2025 11:00:00
Глобине-2</t>
  </si>
  <si>
    <t>Надходження товарів і послуг ІБ00-006233 від 22.10.2025 11:00:00
Оприходованы ТМЦ (Зачет аванса поставщику)</t>
  </si>
  <si>
    <t>Обл. НДС
Валик поролоновий 6х35х100
Надходження товарів і послуг ІБ00-006233 від 22.10.2025 11:00:00
Глобине-2</t>
  </si>
  <si>
    <t>Надходження товарів і послуг ІБ00-006476 від 22.10.2025 11:00:00
Оприходованы ТМЦ</t>
  </si>
  <si>
    <t>Обл. НДС
Сверло SDS-MAX М4 30*400/520
Надходження товарів і послуг ІБ00-006476 від 22.10.2025 11:00:00
Глобине-2</t>
  </si>
  <si>
    <t>СКАЙ-ЕНЕРДЖИ
Рахунки_Глобине-2
Рахунок на оплату постачальника ІБ00-004658 від 19.09.2025 19:00:20</t>
  </si>
  <si>
    <t>Переміщення товарів ІБ00-001170 від 22.10.2025 11:10:00
Перемещение ТМЦ</t>
  </si>
  <si>
    <t>Обл. НДС
Валик поролоновий 6х35х100
Переміщення товарів ІБ00-001170 від 22.10.2025 11:10:00
Котельна (Глобине)</t>
  </si>
  <si>
    <t>Переміщення товарів ІБ00-001171 від 22.10.2025 11:10:00
Перемещение ТМЦ</t>
  </si>
  <si>
    <t>Обл. НДС
Валик поролоновий 6х35х100
Переміщення товарів ІБ00-001171 від 22.10.2025 11:10:00
Цех екстракції (Глобине)</t>
  </si>
  <si>
    <t>Надходження товарів і послуг ІБ00-006228 від 23.10.2025 11:00:00
Оприходованы ТМЦ</t>
  </si>
  <si>
    <t>Обл. НДС
Строп СТП-2,0/3000
Надходження товарів і послуг ІБ00-006228 від 23.10.2025 11:00:00
Глобине-2</t>
  </si>
  <si>
    <t>Дяденко Владислав Миколайович ФОП
Рахунки_Глобино-2
Рахунок на оплату постачальника ІБ00-005196 від 21.10.2025 11:00:00</t>
  </si>
  <si>
    <t>Обл. НДС
Строп СТП-3,0/3000
Надходження товарів і послуг ІБ00-006228 від 23.10.2025 11:00:00
Глобине-2</t>
  </si>
  <si>
    <t>Обл. НДС
Строп СТП-5,0/3500
Надходження товарів і послуг ІБ00-006228 від 23.10.2025 11:00:00
Глобине-2</t>
  </si>
  <si>
    <t>Обл. НДС
Фарборозпилювач НР д=1,5 в/б метал., 1000 мл
Надходження товарів і послуг ІБ00-006228 від 23.10.2025 11:00:00
Глобине-2</t>
  </si>
  <si>
    <t>Обл. НДС
Шнур поліпропіленовий плетений 16мм 
Надходження товарів і послуг ІБ00-006228 від 23.10.2025 11:00:00
Глобине-2</t>
  </si>
  <si>
    <t>Обл. НДС
Розчинник на основі Уфйт-спірит 4,5 л/3,16 кг
Надходження товарів і послуг ІБ00-006228 від 23.10.2025 11:00:00
Глобине-2</t>
  </si>
  <si>
    <t>Переміщення товарів ІБ00-001163 від 23.10.2025 11:10:00
Перемещение ТМЦ</t>
  </si>
  <si>
    <t>Обл. НДС
Строп СТП-2,0/3000
Переміщення товарів ІБ00-001163 від 23.10.2025 11:10:00
Цех екстракції (Глобине)</t>
  </si>
  <si>
    <t>Обл. НДС
Строп СТП-3,0/3000
Переміщення товарів ІБ00-001163 від 23.10.2025 11:10:00
Цех екстракції (Глобине)</t>
  </si>
  <si>
    <t>Обл. НДС
Строп СТП-5,0/3500
Переміщення товарів ІБ00-001163 від 23.10.2025 11:10:00
Цех екстракції (Глобине)</t>
  </si>
  <si>
    <t>Переміщення товарів ІБ00-001164 від 23.10.2025 11:10:00
Перемещение ТМЦ</t>
  </si>
  <si>
    <t>Обл. НДС
Шнур поліпропіленовий плетений 16мм 
Переміщення товарів ІБ00-001164 від 23.10.2025 11:10:00
СПК (Глобине)</t>
  </si>
  <si>
    <t>Обл. НДС
Розчинник на основі Уфйт-спірит 4,5 л/3,16 кг
Переміщення товарів ІБ00-001164 від 23.10.2025 11:10:00
СПК (Глобине)</t>
  </si>
  <si>
    <t>27.10.2025</t>
  </si>
  <si>
    <t>Надходження товарів і послуг ІБ00-006385 від 27.10.2025 11:00:00
Оприходованы ТМЦ</t>
  </si>
  <si>
    <t>Обл. НДС
Електроди "Моноліт РЦ" 4 мм 1кг ОЗЛ-6
Надходження товарів і послуг ІБ00-006385 від 27.10.2025 11:00:00
Глобине-2</t>
  </si>
  <si>
    <t>Надходження товарів і послуг ІБ00-006386 від 27.10.2025 11:00:00
Оприходованы ТМЦ</t>
  </si>
  <si>
    <t>Обл. НДС
Електроди "Моноліт РЦ" 3 мм 1кг ОЗЛ-6
Надходження товарів і послуг ІБ00-006386 від 27.10.2025 11:00:00
Глобине-2</t>
  </si>
  <si>
    <t>УКРСЕРВІС КОМПАНІЯ ТОВ
№15/07/25 від 15.07.2025_Глобино-2
Рахунок на оплату постачальника ІБ00-005355 від 21.10.2025 18:45:03</t>
  </si>
  <si>
    <t>Переміщення товарів ІБ00-001221 від 31.10.2025 08:00:00
Перемещение ТМЦ</t>
  </si>
  <si>
    <t>Обл. НДС
Фанера ФОФ лам. 1250*2500*21 мм гл/гл
Переміщення товарів ІБ00-001221 від 31.10.2025 08:00:00
Цех екстракції (Глобине)</t>
  </si>
  <si>
    <t>Обл. НДС
Фанера ФОФ лам. 1250*2500*21 мм гл/гл
Надходження товарів і послуг ІБ00-005768 від 23.09.2025 11:00:00
АПК (Глобине)</t>
  </si>
  <si>
    <t>Переміщення товарів ІБ00-001214 від 31.10.2025 08:29:36
Перемещение ТМЦ</t>
  </si>
  <si>
    <t>Обл. НДС
Плівка п/е 150 мк 2с 50м 150кв м
Переміщення товарів ІБ00-001214 від 31.10.2025 08:29:36
Цех екстракції (Глобине)</t>
  </si>
  <si>
    <t>Обл. НДС
Плівка п/е 150 мк 2с 50м 150кв м
Надходження товарів і послуг ІБ00-005108 від 01.09.2025 11:00:00
Глобине-2</t>
  </si>
  <si>
    <t>205</t>
  </si>
  <si>
    <t>Передача малоцінних активів в експлуатацію ІБ00-000539 від 31.10.2025 10:00:00
Списание стоимости малоценных активов</t>
  </si>
  <si>
    <t>Обл. НДС
Сверло SDS-PLUS 10*100*160 мм
Надходження товарів і послуг ІБ00-005600 від 24.09.2025 11:00:00
Глобине-2</t>
  </si>
  <si>
    <t>Обл. НДС
Сверло по бетону SDS-PLUS-1 14*150*210 мм
Надходження товарів і послуг ІБ00-005600 від 24.09.2025 11:00:00
Глобине-2</t>
  </si>
  <si>
    <t>Обл. НДС
Стрічка поліпропіленова з липким шаром 48*100
Надходження товарів і послуг ІБ00-005806 від 30.09.2025 11:00:00
Глобине-2</t>
  </si>
  <si>
    <t>Обл. НДС
Шуруп КМН 4,5*80
Надходження товарів і послуг ІБ00-004994 від 01.09.2025 11:00:00
Глобине-2</t>
  </si>
  <si>
    <t>Обл. НДС
Щітка торцева з плет.провол.  85мм, М14
Надходження товарів і послуг ІБ00-005407 від 15.09.2025 11:00:00
Глобине-2</t>
  </si>
  <si>
    <t>Обл. НДС
Щітка чашкова 75мм для УШМ, М14
Надходження товарів і послуг ІБ00-004734 від 22.08.2025 11:00:00
Глобине-2</t>
  </si>
  <si>
    <t>Надходження товарів і послуг ІБ00-006423 від 31.10.2025 11:00:00
Оприходованы ТМЦ</t>
  </si>
  <si>
    <t>Обл. НДС
Лом цвяхотяг слюсарний 700мм
Надходження товарів і послуг ІБ00-006423 від 31.10.2025 11:00:00
Цех екстракції (Глобине)</t>
  </si>
  <si>
    <t>УКРСЕРВІС КОМПАНІЯ ТОВ
№15/07/25 від 15.07.2025_Глобино-2
Рахунок на оплату постачальника ІБ00-005361 від 27.10.2025 17:24:19</t>
  </si>
  <si>
    <t>Обл. НДС
Ключ гайковий комбінований 19 мм
Надходження товарів і послуг ІБ00-006423 від 31.10.2025 11:00:00
Цех екстракції (Глобине)</t>
  </si>
  <si>
    <t>Обл. НДС
Ключ гайковий комбінований 17 мм
Надходження товарів і послуг ІБ00-006423 від 31.10.2025 11:00:00
Цех екстракції (Глобине)</t>
  </si>
  <si>
    <t>Обл. НДС
Ключ гайковий комбінований 24 мм
Надходження товарів і послуг ІБ00-006423 від 31.10.2025 11:00:00
Цех екстракції (Глобине)</t>
  </si>
  <si>
    <t>Обл. НДС
Ключ комбінований 30 мм
Надходження товарів і послуг ІБ00-006423 від 31.10.2025 11:00:00
Цех екстракції (Глобине)</t>
  </si>
  <si>
    <t>Надходження товарів і послуг ІБ00-006424 від 31.10.2025 11:00:00
Оприходованы ТМЦ</t>
  </si>
  <si>
    <t>Обл. НДС
Круг відрізний  125*1,0*22, нерж
Надходження товарів і послуг ІБ00-006424 від 31.10.2025 11:00:00
СПК (Глобине)</t>
  </si>
  <si>
    <t>СКАЙ-ЕНЕРДЖИ
Рахунки_Глобине-2
Рахунок на оплату постачальника ІБ00-005362 від 27.10.2025 17:24:20</t>
  </si>
  <si>
    <t>Обл. НДС
Круг зачисний по металу 125*6,0*22,23 AKSOR
Надходження товарів і послуг ІБ00-006424 від 31.10.2025 11:00:00
СПК (Глобине)</t>
  </si>
  <si>
    <t>Обл. НДС
Електрод  УОНІ13/55, 5 мм  5 кг (кг)
Надходження товарів і послуг ІБ00-006424 від 31.10.2025 11:00:00
СПК (Глобине)</t>
  </si>
  <si>
    <t>Передача малоцінних активів в експлуатацію ІБ00-000537 від 31.10.2025 19:29:32
Списание стоимости малоценных активов</t>
  </si>
  <si>
    <t>Обл. НДС
Рукавиці трикотажні  ХБ/ПЕ з ПВХ візерунком
Переміщення товарів ІБ00-001005 від 23.09.2025 11:10:00
АПК (Глобине)</t>
  </si>
  <si>
    <t>Передача малоцінних активів в експлуатацію ІБ00-000538 від 31.10.2025 19:29:33
Списание стоимости малоценных активов</t>
  </si>
  <si>
    <t>Обл. НДС
Крейда біла 100шт-1кг
Надходження товарів і послуг ІБ00-005407 від 15.09.2025 11:00:00
Глобине-2</t>
  </si>
  <si>
    <t>Передача малоцінних активів в експлуатацію ІБ00-000540 від 31.10.2025 19:29:40
Списание стоимости малоценных активов</t>
  </si>
  <si>
    <t>Обл. НДС
Диск пильний 185*20 мм 24 зубів по дереву
Переміщення товарів ІБ00-000999 від 24.09.2025 11:10:00
Резервуарний парк соєвої меляси (Глобине)</t>
  </si>
  <si>
    <t>Обл. НДС
Рукавиці подв.облив з латекс. покриттям
Переміщення товарів ІБ00-001004 від 23.09.2025 11:10:00
Резервуарний парк соєвої меляси (Глобине)</t>
  </si>
  <si>
    <t>Обл. НДС
Рукавиці трикотажні  ХБ/ПЕ з ПВХ візерунком
Переміщення товарів ІБ00-001004 від 23.09.2025 11:10:00
Резервуарний парк соєвої меляси (Глобине)</t>
  </si>
  <si>
    <t>Передача малоцінних активів в експлуатацію ІБ00-000541 від 31.10.2025 19:29:41
Списание стоимости малоценных активов</t>
  </si>
  <si>
    <t>Обл. НДС
Взуття чоловіче SEVEN SAFETY р.45
Надходження товарів і послуг ІБ00-005695 від 29.09.2025 11:00:00
Глобине-2</t>
  </si>
  <si>
    <t>Обл. НДС
Жилет сигнальний пом. кольору
Надходження товарів і послуг ІБ00-005251 від 11.09.2025 11:00:00
Глобине-2</t>
  </si>
  <si>
    <t>Обл. НДС
Колодка 3 гнізда з з/к
Надходження товарів і послуг ІБ00-005600 від 24.09.2025 11:00:00
Глобине-2</t>
  </si>
  <si>
    <t>Передача малоцінних активів в експлуатацію ІБ00-000542 від 31.10.2025 19:29:50
Списание стоимости малоценных активов</t>
  </si>
  <si>
    <t>Обл. НДС
Електрод Монолит РЦ 4 мм 5 кг (кг)
Переміщення товарів ІБ00-001053 від 30.09.2025 11:10:00
СПК (Глобине)</t>
  </si>
  <si>
    <t>Обл. НДС
Круг відрізний  230*2,0*22,23
Переміщення товарів ІБ00-001053 від 30.09.2025 11:10:00
СПК (Глобине)</t>
  </si>
  <si>
    <t>Обл. НДС
Круг відрізний по металу 125*1,2*22,23
Переміщення товарів ІБ00-001053 від 30.09.2025 11:10:00
СПК (Глобине)</t>
  </si>
  <si>
    <t>Обл. НДС
Круг відрізний по металу 230*2,0*22,23
Переміщення товарів ІБ00-000923 від 15.09.2025 11:10:00
СПК (Глобине)</t>
  </si>
  <si>
    <t>Обл. НДС
Круг шліфувальний арм.по металу 125х6х22,23 
Переміщення товарів ІБ00-001053 від 30.09.2025 11:10:00
СПК (Глобине)</t>
  </si>
  <si>
    <t>Передача малоцінних активів в експлуатацію ІБ00-000543 від 31.10.2025 20:00:00
Списание стоимости малоценных активов</t>
  </si>
  <si>
    <t>Передача малоцінних активів в експлуатацію ІБ00-000544 від 31.10.2025 20:00:03
Списание стоимости малоценных активов</t>
  </si>
  <si>
    <t>Обл. НДС
Рукавички трикотажні 
Надходження товарів і послуг ІБ00-004070 від 08.07.2025 11:00:00
Котельна (Глобине)</t>
  </si>
  <si>
    <t>Обл. НДС
Рукавички трикотажні 
Надходження товарів і послуг ІБ00-004365 від 06.08.2025 11:00:00
Котельна (Глобине)</t>
  </si>
  <si>
    <t>Обл. НДС
Щітка вулична
Надходження товарів і послуг ІБ00-004365 від 06.08.2025 11:00:00
Котельна (Глобине)</t>
  </si>
  <si>
    <t>Передача малоцінних активів в експлуатацію ІБ00-000545 від 31.10.2025 21:00:00
Списание стоимости малоценных активов</t>
  </si>
  <si>
    <t>Обл. НДС
Круг відрізний по металу 125*1,2*22,23
Переміщення товарів ІБ00-001054 від 30.09.2025 11:10:00
Цех екстракції (Глобине)</t>
  </si>
  <si>
    <t>Обл. НДС
Щітка торцева з плет.провол.  85мм, М14
Переміщення товарів ІБ00-000927 від 15.09.2025 11:10:00
Цех екстракції (Глобине)</t>
  </si>
  <si>
    <t>Передача малоцінних активів в експлуатацію ІБ00-000546 від 31.10.2025 21:00:00
Списание стоимости малоценных активов</t>
  </si>
  <si>
    <t>Передача малоцінних активів в експлуатацію ІБ00-000547 від 31.10.2025 21:00:00
Списание стоимости малоценных активов</t>
  </si>
  <si>
    <t>Передача малоцінних активів в експлуатацію ІБ00-000548 від 31.10.2025 21:00:00
Списание стоимости малоценных активов</t>
  </si>
  <si>
    <t>Обл. НДС
Електрод Монолит РЦ 4 мм 5 кг (кг)
Переміщення товарів ІБ00-001054 від 30.09.2025 11:10:00
Цех екстракції (Глобине)</t>
  </si>
  <si>
    <t>Передача малоцінних активів в експлуатацію ІБ00-000549 від 31.10.2025 21:00:00
Списание стоимости малоценных активов</t>
  </si>
  <si>
    <t>Передача малоцінних активів в експлуатацію ІБ00-000550 від 31.10.2025 21:00:00
Списание стоимости малоценных активов</t>
  </si>
  <si>
    <t>Обл. НДС
Круг абразів. відрізний по металу 125*1,2*22,2
Переміщення товарів ІБ00-000923 від 15.09.2025 11:10:00
СПК (Глобине)</t>
  </si>
  <si>
    <t>Обл. НДС
Провід ПВС 2*1,5 (м)
Переміщення товарів ІБ00-000998 від 24.09.2025 11:10:00
СПК (Глобине)</t>
  </si>
  <si>
    <t>Вимога-накладна ІБ00-000930 від 10.10.2025 13:35:49
Списаны ТМЦ</t>
  </si>
  <si>
    <t>Обл. НДС
Виробничий (Глобине-2)
Глобине-2
Прямі материальні виробничі витрати крім зворотніх відходів</t>
  </si>
  <si>
    <t>Обл. НДС
Лист г/к 30*1500*6000 мм необр кромка
Надходження товарів і послуг ІБ00-000178 від 16.01.2025 17:55:14
Цех екстракції (Глобине)</t>
  </si>
  <si>
    <t>2051</t>
  </si>
  <si>
    <t>Обл. НДС
Балка ІРЕ 160 міра L=12 S275JR
Надходження товарів і послуг ІБ00-003271 від 23.06.2025 11:00:00
Цех екстракції (Глобине)</t>
  </si>
  <si>
    <t>Обл. НДС
Балка ІРЕ 200 міра L=12 S235JR
Надходження товарів і послуг ІБ00-003269 від 23.06.2025 11:00:00
Цех екстракції (Глобине)</t>
  </si>
  <si>
    <t>Обл. НДС
Балка ІРЕ 200 міра L=12 S275JR
Надходження товарів і послуг ІБ00-003274 від 27.06.2025 11:00:00
Цех екстракції (Глобине)</t>
  </si>
  <si>
    <t>Обл. НДС
Труба профільна 120*120*4 L=12000 мм ст1-3 сп/пс
Надходження товарів і послуг ІБ00-003554 від 04.07.2025 11:00:00
Цех екстракції (Глобине)</t>
  </si>
  <si>
    <t>Обл. НДС
Труба 160*160*5  ст 1-3 пс , L=12 м
Надходження товарів і послуг ІБ00-003364 від 01.07.2025 11:00:00
Цех екстракції (Глобине)</t>
  </si>
  <si>
    <t>Обл. НДС
Лист г/к  4,0*1500*6000 мм; ст.3 сп/пс 5 кат.необ.кр.
Надходження товарів і послуг ІБ00-003277 від 20.06.2025 11:00:00
Цех екстракції (Глобине)</t>
  </si>
  <si>
    <t>Обл. НДС
Лист г/к  8*1500*6000 мм; ст.3 сп/пс 5 кат.необр.кромка
Надходження товарів і послуг ІБ00-003277 від 20.06.2025 11:00:00
Цех екстракції (Глобине)</t>
  </si>
  <si>
    <t>Обл. НДС
Лист г/к 10,0 мм 1500*6000, S235 JR
Надходження товарів і послуг ІБ00-003276 від 20.06.2025 11:00:00
Цех екстракції (Глобине)</t>
  </si>
  <si>
    <t>Обл. НДС
Лист г/к 16*1500*6000 мм; ст.3 сп/пс 5 кат.необр.кромка
Надходження товарів і послуг ІБ00-000723 від 19.02.2025 18:22:50
Цех екстракції (Глобине)</t>
  </si>
  <si>
    <t>Обл. НДС
Труба 100х100х5 мм; ст. 3пс5; 12 м
Надходження товарів і послуг ІБ00-000719 від 19.02.2025 18:22:47
Цех екстракції (Глобине)</t>
  </si>
  <si>
    <t>Обл. НДС
Лист г/к  6*1500*6000 1-3 сп/пс
Надходження товарів і послуг ІБ00-000721 від 18.02.2025 20:00:47
Цех екстракції (Глобине)</t>
  </si>
  <si>
    <t>Обл. НДС
Лист г/к  6*1500*6000 мм; ст.3 сп/пс 5 кат.необр.кромка S235JR
Надходження товарів і послуг ІБ00-004221 від 31.07.2025 11:00:00
Цех екстракції (Глобине)</t>
  </si>
  <si>
    <t>Обл. НДС
Лист г/к 14,0 мм 1500х6000, S235 JR
Надходження товарів і послуг ІБ00-003279 від 20.06.2025 11:00:00
Цех екстракції (Глобине)</t>
  </si>
  <si>
    <t>Обл. НДС
Лист г/к  14*1500*6000 мм; ст.3 сп/пс 5 кат.необр.кромка S235JR
Надходження товарів і послуг ІБ00-004221 від 31.07.2025 11:00:00
Цех екстракції (Глобине)</t>
  </si>
  <si>
    <t>Обл. НДС
Лист г/к 20,0 мм 2000*6000, S235 JR
Надходження товарів і послуг ІБ00-003561 від 08.07.2025 11:00:00
Цех екстракції (Глобине)</t>
  </si>
  <si>
    <t>Вимога-накладна ІБ00-000932 від 10.10.2025 14:38:36
Списаны ТМЦ</t>
  </si>
  <si>
    <t>Обл. НДС
Балка 36 ІРЕ360 12м S275JR
Надходження товарів і послуг ІБ00-001029 від 07.03.2025 20:00:07
Цех екстракції (Глобине)</t>
  </si>
  <si>
    <t>Обл. НДС
Кутник 75*75 мм  6,0 мм, S275 JR 12 м
Надходження товарів і послуг ІБ00-003682 від 11.07.2025 11:00:00
Цех екстракції (Глобине)</t>
  </si>
  <si>
    <t>Обл. НДС
Кутик 75*75*6мм ст.3ПС МІРА 12 м
Надходження товарів і послуг ІБ00-003277 від 20.06.2025 11:00:00
Цех екстракції (Глобине)</t>
  </si>
  <si>
    <t>Обл. НДС
Швелер № 16П міра 12,00 м
Надходження товарів і послуг ІБ00-003684 від 11.07.2025 11:00:00
Цех екстракції (Глобине)</t>
  </si>
  <si>
    <t>Обл. НДС
Швелер 20П міра L=12000.00мм 1-3 сп/пс 5 категорія
Надходження товарів і послуг ІБ00-003270 від 23.06.2025 11:00:00
Цех екстракції (Глобине)</t>
  </si>
  <si>
    <t>Обл. НДС
Швелер 20П L= 12м
Надходження товарів і послуг ІБ00-000717 від 19.02.2025 18:22:46
Цех екстракції (Глобине)</t>
  </si>
  <si>
    <t>Обл. НДС
Швелер 20П міра L=12000.00мм 1-3 сп/пс 5 категорія
Надходження товарів і послуг ІБ00-004221 від 31.07.2025 11:00:00
Цех екстракції (Глобине)</t>
  </si>
  <si>
    <t>Обл. НДС
Лист г/к 10,0 мм 1500*6000, S235 JR
Надходження товарів і послуг ІБ00-003555 від 04.07.2025 11:00:00
Цех екстракції (Глобине)</t>
  </si>
  <si>
    <t>Обл. НДС
Лист г/к 10*1500*6000 1-3 сп/пс
Надходження товарів і послуг ІБ00-000713 від 20.02.2025 18:11:45
Цех екстракції (Глобине)</t>
  </si>
  <si>
    <t>Обл. НДС
Лист г/к 18*2000*6000, S235 JR
Надходження товарів і послуг ІБ00-003561 від 08.07.2025 11:00:00
Цех екстракції (Глобине)</t>
  </si>
  <si>
    <t>Вимога-накладна ІБ00-000931 від 10.10.2025 18:22:41
Списаны ТМЦ</t>
  </si>
  <si>
    <t>Обл. НДС
Лист г/к 30*2000*6000, 1-3пс/сп 5 кат.
Надходження товарів і послуг ІБ00-001035 від 07.03.2025 20:00:10
Цех екстракції (Глобине)</t>
  </si>
  <si>
    <t>Обл. НДС
Кутник 75*75 мм  6,0 мм, S275 JR 12 м
Надходження товарів і послуг ІБ00-003684 від 11.07.2025 11:00:00
Цех екстракції (Глобине)</t>
  </si>
  <si>
    <t>Обл. НДС
Швелер 16П міра  12,00 м
Надходження товарів і послуг ІБ00-003365 від 02.07.2025 11:00:00
Цех екстракції (Глобине)</t>
  </si>
  <si>
    <t>Вимога-накладна ІБ00-000934 від 10.10.2025 18:22:42
Списаны ТМЦ</t>
  </si>
  <si>
    <t>Обл. НДС
Труба профільна 80*80*4 L=12  ст 1-3 сп/пс
Надходження товарів і послуг ІБ00-003557 від 04.07.2025 11:00:00
Цех екстракції (Глобине)</t>
  </si>
  <si>
    <t>Обл. НДС
Лист г/к  10*1500*6000 мм; ст.3 сп/пс 5 кат.необр.кромка S235JR
Надходження товарів і послуг ІБ00-004221 від 31.07.2025 11:00:00
Цех екстракції (Глобине)</t>
  </si>
  <si>
    <t>Обл. НДС
Лист г/к 12,0 мм 1500*6000, S235 JR
Надходження товарів і послуг ІБ00-003276 від 20.06.2025 11:00:00
Цех екстракції (Глобине)</t>
  </si>
  <si>
    <t>Вимога-накладна ІБ00-000950 від 16.10.2025 14:02:51
Списаны ТМЦ</t>
  </si>
  <si>
    <t>Обл. НДС
Балка ІРЕ 200 міра L=12 S235JR
Надходження товарів і послуг ІБ00-003561 від 08.07.2025 11:00:00
Цех екстракції (Глобине)</t>
  </si>
  <si>
    <t>Обл. НДС
Лист г/к 10,0 мм 1500*6000, S235 JR
Надходження товарів і послуг ІБ00-003561 від 08.07.2025 11:00:00
Цех екстракції (Глобине)</t>
  </si>
  <si>
    <t>Вимога-накладна ІБ00-000951 від 16.10.2025 14:10:05
Списаны ТМЦ</t>
  </si>
  <si>
    <t>Обл. НДС
Балка 20 ст3 пс 5 L=12,04 м
Надходження товарів і послуг ІБ00-000920 від 01.03.2025 18:15:08
Цех екстракції (Глобине)</t>
  </si>
  <si>
    <t>Вимога-накладна ІБ00-001021 від 31.10.2025 21:00:00
Списаны ТМЦ</t>
  </si>
  <si>
    <t>Обл. НДС
Балка 30 NPI 12.05 S235/S275
Надходження товарів і послуг ІБ00-003829 від 18.07.2025 11:00:00
Цех екстракції (Глобине)</t>
  </si>
  <si>
    <t>Обл. НДС
Балка IPN 360 S275
Надходження товарів і послуг ІБ00-004707 від 27.08.2025 11:00:00
Цех екстракції (Глобине)</t>
  </si>
  <si>
    <t>Обл. НДС
Труба профільна 100*100*5 мм, 12 м
Надходження товарів і послуг ІБ00-003777 від 14.07.2025 17:24:46
Цех екстракції (Глобине)</t>
  </si>
  <si>
    <t>Обл. НДС
Кутик 100х100х7 мм С275 12 м S275JR
Надходження товарів і послуг ІБ00-003277 від 20.06.2025 11:00:00
Цех екстракції (Глобине)</t>
  </si>
  <si>
    <t>Обл. НДС
Швелер г/к № 10П ст3пс 5 МІРА 12 м
Надходження товарів і послуг ІБ00-004218 від 31.07.2025 11:00:00
Цех екстракції (Глобине)</t>
  </si>
  <si>
    <t>Обл. НДС
Лист г/к 8,0 мм 1500х6000, S235 JR 
Надходження товарів і послуг ІБ00-006404 від 23.12.2024 17:16:10
Цех екстракції (Глобине)</t>
  </si>
  <si>
    <t>Обл. НДС
Лист г/к  10*1280*12000 необр кромка
Надходження товарів і послуг ІБ00-005545 від 07.11.2024 17:17:36
Цех екстракції (Глобине)</t>
  </si>
  <si>
    <t>Обл. НДС
Лист г/к 16*1500*6000, S235 JR
Надходження товарів і послуг ІБ00-003274 від 27.06.2025 11:00:00
Цех екстракції (Глобине)</t>
  </si>
  <si>
    <t>Вимога-накладна ІБ00-001022 від 31.10.2025 21:00:00
Списаны ТМЦ</t>
  </si>
  <si>
    <t>Обл. НДС
Труба профільна 40*40*3,0  L=6000 мм ст1-3 сп/пс
Надходження товарів і послуг ІБ00-000532 від 13.02.2025 18:04:54
Цех екстракції (Глобине)</t>
  </si>
  <si>
    <t>Обл. НДС
Труба  40*20*2 мм  ст 1-3 пс, L=6 м
Надходження товарів і послуг ІБ00-003554 від 04.07.2025 11:00:00
Цех екстракції (Глобине)</t>
  </si>
  <si>
    <t>Обл. НДС
Швелер 16П  S275JR,12 м
Надходження товарів і послуг ІБ00-000983 від 12.03.2025 10:00:00
Цех екстракції (Глобине)</t>
  </si>
  <si>
    <t>Обл. НДС
Швелер 24П міра 12,00 м 
Надходження товарів і послуг ІБ00-003280 від 20.06.2025 11:00:00
Цех екстракції (Глобине)</t>
  </si>
  <si>
    <t>Обл. НДС
Швелер 24П ст.3сп/пс 5, 12 м
Надходження товарів і послуг ІБ00-004221 від 31.07.2025 11:00:00
Цех екстракції (Глобине)</t>
  </si>
  <si>
    <t>Обл. НДС
Лист г/к 8,0 мм 1500х6000, S235 JR 
Надходження товарів і послуг ІБ00-006503 від 30.12.2024 12:00:00
Цех екстракції (Глобине)</t>
  </si>
  <si>
    <t>Вимога-накладна ІБ00-001023 від 31.10.2025 21:00:00
Списаны ТМЦ</t>
  </si>
  <si>
    <t>Обл. НДС
Швелер 16У ст.1-3сп/пс 5, L= 12 м
Надходження товарів і послуг ІБ00-004219 від 31.07.2025 11:00:00
Цех екстракції (Глобине)</t>
  </si>
  <si>
    <t>Обл. НДС
Лист г/к 12,0 мм 1500*6000, S235 JR
Надходження товарів і послуг ІБ00-003431 від 04.07.2025 11:00:00
Цех екстракції (Глобине)</t>
  </si>
  <si>
    <t>Обл. НДС
Лист г/к 16*1500*6000, S355 J2
Надходження товарів і послуг ІБ00-001030 від 07.03.2025 20:00:08
Цех екстракції (Глобине)</t>
  </si>
  <si>
    <t>Надходження товарів і послуг ІБ00-005844 від 01.10.2025 11:00:00
Оприходованы ТМЦ</t>
  </si>
  <si>
    <t>Обл. НДС
Бетон С  8/10 В10
Надходження товарів і послуг ІБ00-005844 від 01.10.2025 11:00:00
Астарта_Тищенки</t>
  </si>
  <si>
    <t>ДОБРОБУД-БЕТОН ТОВ
Рахунки_Астарта_Тищенки
Надходження товарів і послуг ІБ00-005844 від 01.10.2025 11:00:00</t>
  </si>
  <si>
    <t>Надходження товарів і послуг ІБ00-005845 від 01.10.2025 11:00:00
Оприходованы ТМЦ</t>
  </si>
  <si>
    <t>Обл. НДС
Бетон С 16/20 В20
Надходження товарів і послуг ІБ00-005845 від 01.10.2025 11:00:00
Астарта_Тищенки</t>
  </si>
  <si>
    <t>ДОБРОБУД-БЕТОН ТОВ
Рахунки_Астарта_Тищенки
Надходження товарів і послуг ІБ00-005845 від 01.10.2025 11:00:00</t>
  </si>
  <si>
    <t>Надходження товарів і послуг ІБ00-005846 від 01.10.2025 11:00:00
Оприходованы ТМЦ</t>
  </si>
  <si>
    <t>Обл. НДС
Бетон С 16/20 В20
Надходження товарів і послуг ІБ00-005846 від 01.10.2025 11:00:00
Астарта_Тищенки</t>
  </si>
  <si>
    <t>ДОБРОБУД-БЕТОН ТОВ
Рахунки_Астарта_Тищенки
Надходження товарів і послуг ІБ00-005846 від 01.10.2025 11:00:00</t>
  </si>
  <si>
    <t>Надходження товарів і послуг ІБ00-005851 від 01.10.2025 11:00:00
Оприходованы ТМЦ</t>
  </si>
  <si>
    <t>Обл. НДС
Плівка п/е рукав 1500*150
Надходження товарів і послуг ІБ00-005851 від 01.10.2025 11:00:00
Астарта_Тищенки</t>
  </si>
  <si>
    <t>ПРОТЕКС УКРАЇНА
Договір 9  від 11.12.2023_Астарта. Тищенки
Рахунок на оплату постачальника ІБ00-004833 від 01.10.2025 19:00:16</t>
  </si>
  <si>
    <t>Надходження товарів і послуг ІБ00-005852 від 01.10.2025 11:00:00
Оприходованы ТМЦ (Зачет аванса поставщику)</t>
  </si>
  <si>
    <t>Обл. НДС
Балка 2БДР12-8А3ВТ
Надходження товарів і послуг ІБ00-005852 від 01.10.2025 11:00:00
Астарта_Тищенки</t>
  </si>
  <si>
    <t>БМЗ БЕТОН ПП
Договір №ПП/М-183 від 10.07.2025_Астарта. Тищенки
Списання з банківського рахунку 00013344 від 19.08.2025 17:04:49</t>
  </si>
  <si>
    <t>БМЗ БЕТОН ПП
Договір №ПП/М-183 від 10.07.2025_Астарта. Тищенки
Списання з банківського рахунку 00013343 від 19.08.2025 16:59:07</t>
  </si>
  <si>
    <t>БМЗ БЕТОН ПП
Договір №ПП/М-183 від 10.07.2025_Астарта. Тищенки
Списання з банківського рахунку 00012434 від 31.07.2025 17:07:26</t>
  </si>
  <si>
    <t>Обл. НДС
Цвяхи 50*2,5
Надходження товарів і послуг ІБ00-005854 від 01.10.2025 11:00:00
Астарта_Тищенки</t>
  </si>
  <si>
    <t>Обл. НДС
Цвяхи будівельні 100*4,0 (фас 10кг)
Надходження товарів і послуг ІБ00-005854 від 01.10.2025 11:00:00
Астарта_Тищенки</t>
  </si>
  <si>
    <t>Надходження товарів і послуг ІБ00-006014 від 01.10.2025 11:00:00
Оприходованы ТМЦ</t>
  </si>
  <si>
    <t>Обл. НДС
Балка Б-1
Надходження товарів і послуг ІБ00-006014 від 01.10.2025 11:00:00
Астарта_Тищенки</t>
  </si>
  <si>
    <t>БМЗ БЕТОН ПП
Договір №ПП/М-183 від 10.07.2025_Астарта. Тищенки
Надходження товарів і послуг ІБ00-006014 від 01.10.2025 11:00:00</t>
  </si>
  <si>
    <t>Надходження товарів і послуг ІБ00-006014 від 01.10.2025 11:00:00
Оприходованы ТМЦ (Зачет аванса поставщику)</t>
  </si>
  <si>
    <t>БМЗ БЕТОН ПП
Договір №ПП/М-183 від 10.07.2025_Астарта. Тищенки
Списання з банківського рахунку 00015575 від 25.09.2025 15:59:06</t>
  </si>
  <si>
    <t>Надходження товарів і послуг ІБ00-006194 від 01.10.2025 11:00:00
Оприходованы ТМЦ</t>
  </si>
  <si>
    <t>Обл. НДС
Балка 2БДР12-8А3ВТ
Надходження товарів і послуг ІБ00-006194 від 01.10.2025 11:00:00
Астарта_Тищенки</t>
  </si>
  <si>
    <t>БМЗ БЕТОН ПП
Договір №ПП/М-183 від 10.07.2025_Астарта. Тищенки
Надходження товарів і послуг ІБ00-006194 від 01.10.2025 11:00:00</t>
  </si>
  <si>
    <t>Надходження товарів і послуг ІБ00-006269 від 01.10.2025 11:00:00
Оприходованы ТМЦ (Зачет аванса поставщику)</t>
  </si>
  <si>
    <t>Обл. НДС
Розчинник для емалей, лаків і фарб, 10л
Надходження товарів і послуг ІБ00-006269 від 01.10.2025 11:00:00
Астарта_Тищенки</t>
  </si>
  <si>
    <t>Лук'ян Михайло Федорович ФОП
10/07/25 від 10.07.2025 (РАХУНКИ)_Астарта_Тищенки
Рахунок на оплату постачальника ІБ00-004535 від 05.09.2025 21:00:19</t>
  </si>
  <si>
    <t>Надходження товарів і послуг ІБ00-006554 від 01.10.2025 11:00:00
Оприходованы ТМЦ</t>
  </si>
  <si>
    <t>Обл. НДС
Труба гофрована багатошар ПП SN8 600/600мм
Надходження товарів і послуг ІБ00-006554 від 01.10.2025 11:00:00
Астарта_Тищенки</t>
  </si>
  <si>
    <t>АГРОДАР і КО. ТОВ
Дог№180925 від 18.09.25, Спец№ 38_Астарта. Тищенки
Рахунок на оплату постачальника ІБ00-004596 від 18.09.2025 20:53:08</t>
  </si>
  <si>
    <t>Надходження товарів і послуг ІБ00-006554 від 01.10.2025 11:00:00
Оприходованы ТМЦ (Зачет аванса поставщику)</t>
  </si>
  <si>
    <t>Надходження товарів і послуг ІБ00-006569 від 01.10.2025 11:00:00
Оприходованы ТМЦ</t>
  </si>
  <si>
    <t>Обл. НДС
Фундамент Ф18.9-1
Надходження товарів і послуг ІБ00-006569 від 01.10.2025 11:00:00
Астарта_Тищенки</t>
  </si>
  <si>
    <t>БМЗ БЕТОН ПП
Договір №ПП/М-183 від 10.07.2025_Астарта. Тищенки
Надходження товарів і послуг ІБ00-006569 від 01.10.2025 11:00:00</t>
  </si>
  <si>
    <t>Обл. НДС
Колона 1К3.42
Надходження товарів і послуг ІБ00-006569 від 01.10.2025 11:00:00
Астарта_Тищенки</t>
  </si>
  <si>
    <t>Надходження товарів і послуг ІБ00-006570 від 01.10.2025 11:00:00
Оприходованы ТМЦ</t>
  </si>
  <si>
    <t>Обл. НДС
Колона 1К3.42
Надходження товарів і послуг ІБ00-006570 від 01.10.2025 11:00:00
Астарта_Тищенки</t>
  </si>
  <si>
    <t>БМЗ БЕТОН ПП
Договір №ПП/М-183 від 10.07.2025_Астарта. Тищенки
Надходження товарів і послуг ІБ00-006570 від 01.10.2025 11:00:00</t>
  </si>
  <si>
    <t>Обл. НДС
Балка 2БДР12-8А3ВТ
Надходження товарів і послуг ІБ00-006570 від 01.10.2025 11:00:00
Астарта_Тищенки</t>
  </si>
  <si>
    <t>Надходження товарів і послуг ІБ00-006571 від 01.10.2025 11:00:00
Оприходованы ТМЦ</t>
  </si>
  <si>
    <t>Обл. НДС
Колона 2К3.28-1 L=5600
Надходження товарів і послуг ІБ00-006571 від 01.10.2025 11:00:00
Астарта_Тищенки</t>
  </si>
  <si>
    <t>БМЗ БЕТОН ПП
Договір №ПП/М-183 від 10.07.2025_Астарта. Тищенки
Надходження товарів і послуг ІБ00-006571 від 01.10.2025 11:00:00</t>
  </si>
  <si>
    <t>Надходження товарів і послуг ІБ00-006573 від 01.10.2025 11:00:00
Оприходованы ТМЦ</t>
  </si>
  <si>
    <t>Обл. НДС
Колона 1К3.42
Надходження товарів і послуг ІБ00-006573 від 01.10.2025 11:00:00
Астарта_Тищенки</t>
  </si>
  <si>
    <t>БМЗ БЕТОН ПП
Договір №ПП/М-183 від 10.07.2025_Астарта. Тищенки
Надходження товарів і послуг ІБ00-006573 від 01.10.2025 11:00:00</t>
  </si>
  <si>
    <t>Обл. НДС
Балка 2БДР12-8А3ВТ
Надходження товарів і послуг ІБ00-006573 від 01.10.2025 11:00:00
Астарта_Тищенки</t>
  </si>
  <si>
    <t>Надходження товарів і послуг ІБ00-006574 від 01.10.2025 11:00:00
Оприходованы ТМЦ</t>
  </si>
  <si>
    <t>Обл. НДС
Фундамент Ф18.9-1
Надходження товарів і послуг ІБ00-006574 від 01.10.2025 11:00:00
Астарта_Тищенки</t>
  </si>
  <si>
    <t>БМЗ БЕТОН ПП
Договір №ПП/М-183 від 10.07.2025_Астарта. Тищенки
Надходження товарів і послуг ІБ00-006574 від 01.10.2025 11:00:00</t>
  </si>
  <si>
    <t>Обл. НДС
Колона 1К3.42
Надходження товарів і послуг ІБ00-006574 від 01.10.2025 11:00:00
Астарта_Тищенки</t>
  </si>
  <si>
    <t>Надходження товарів і послуг ІБ00-005847 від 02.10.2025 11:00:00
Оприходованы ТМЦ</t>
  </si>
  <si>
    <t>Обл. НДС
Бетон С 16/20 В20
Надходження товарів і послуг ІБ00-005847 від 02.10.2025 11:00:00
Астарта_Тищенки</t>
  </si>
  <si>
    <t>ДОБРОБУД-БЕТОН ТОВ
Рахунки_Астарта_Тищенки
Надходження товарів і послуг ІБ00-005847 від 02.10.2025 11:00:00</t>
  </si>
  <si>
    <t>Надходження товарів і послуг ІБ00-005848 від 02.10.2025 11:00:00
Оприходованы ТМЦ</t>
  </si>
  <si>
    <t>Обл. НДС
Бетон С  8/10 В10
Надходження товарів і послуг ІБ00-005848 від 02.10.2025 11:00:00
Астарта_Тищенки</t>
  </si>
  <si>
    <t>ДОБРОБУД-БЕТОН ТОВ
Рахунки_Астарта_Тищенки
Надходження товарів і послуг ІБ00-005848 від 02.10.2025 11:00:00</t>
  </si>
  <si>
    <t>Обл. НДС
Бур по бетону22*460 SDS Plus
Авансовий звіт ІБ00-000278 від 02.10.2025 18:25:46
Астарта_Тищенки</t>
  </si>
  <si>
    <t>Обл. НДС
Гайка шестигранна кл.міц.DIN 934 оцинк М6
Авансовий звіт ІБ00-000278 від 02.10.2025 18:25:46
Астарта_Тищенки</t>
  </si>
  <si>
    <t>Обл. НДС
Шайба пласка, DIN 9021 оцинкована М20
Авансовий звіт ІБ00-000278 від 02.10.2025 18:25:46
Астарта_Тищенки</t>
  </si>
  <si>
    <t>Обл. НДС
Шпилька різьбова 10х1000 (DIN975, оц, 4,8)
Авансовий звіт ІБ00-000278 від 02.10.2025 18:25:46
Астарта_Тищенки</t>
  </si>
  <si>
    <t>Обл. НДС
Гозптовари
Авансовий звіт ІБ00-000278 від 02.10.2025 18:25:46
Астарта_Тищенки</t>
  </si>
  <si>
    <t>Обл. НДС
Кришка КОМПАКТ Перлина
Авансовий звіт ІБ00-000278 від 02.10.2025 18:25:46
Астарта_Тищенки</t>
  </si>
  <si>
    <t>Обл. НДС
Пінополістирол 1200*600*20 Техноплекс (1уп-20шт)
Авансовий звіт ІБ00-000278 від 02.10.2025 18:25:46
Астарта_Тищенки</t>
  </si>
  <si>
    <t>Надходження товарів і послуг ІБ00-006545 від 03.10.2025 11:00:00
Оприходованы ТМЦ (Зачет аванса поставщику)</t>
  </si>
  <si>
    <t>Обл. НДС
Дошка 50*100*4000-4500
Надходження товарів і послуг ІБ00-006545 від 03.10.2025 11:00:00
Астарта_Тищенки</t>
  </si>
  <si>
    <t>Укрлісцентр" ПП
РАХУНКИ_ Астарта. Тищенки
Рахунок на оплату постачальника ІБ00-004665 від 01.10.2025 18:12:30</t>
  </si>
  <si>
    <t>Надходження товарів і послуг ІБ00-006549 від 03.10.2025 11:00:00
Оприходованы ТМЦ (Зачет аванса поставщику)</t>
  </si>
  <si>
    <t>Обл. НДС
Дошка 50*100*4000-4500
Надходження товарів і послуг ІБ00-006549 від 03.10.2025 11:00:00
Астарта_Тищенки</t>
  </si>
  <si>
    <t>Укрлісцентр" ПП
РАХУНКИ_ Астарта. Тищенки
Рахунок на оплату постачальника ІБ00-004666 від 01.10.2025 18:12:31</t>
  </si>
  <si>
    <t>06.10.2025</t>
  </si>
  <si>
    <t>Надходження товарів і послуг ІБ00-006012 від 06.10.2025 11:00:00
Оприходованы ТМЦ</t>
  </si>
  <si>
    <t>Обл. НДС
Балка Б-1
Надходження товарів і послуг ІБ00-006012 від 06.10.2025 11:00:00
Астарта_Тищенки</t>
  </si>
  <si>
    <t>БМЗ БЕТОН ПП
Договір №ПП/М-183 від 10.07.2025_Астарта. Тищенки
Надходження товарів і послуг ІБ00-006012 від 06.10.2025 11:00:00</t>
  </si>
  <si>
    <t>Надходження товарів і послуг ІБ00-006029 від 06.10.2025 11:00:00
Оприходованы ТМЦ (Зачет аванса поставщику)</t>
  </si>
  <si>
    <t>Обл. НДС
Бетон С 16/20 В20
Надходження товарів і послуг ІБ00-006029 від 06.10.2025 11:00:00
Астарта_Тищенки</t>
  </si>
  <si>
    <t>ДОБРОБУД-БЕТОН ТОВ
Рахунки_Астарта_Тищенки
Надходження товарів і послуг ІБ00-004650 від 20.08.2025 11:00:00</t>
  </si>
  <si>
    <t>ДОБРОБУД-БЕТОН ТОВ
Рахунки_Астарта_Тищенки
Надходження товарів і послуг ІБ00-004649 від 20.08.2025 11:00:00</t>
  </si>
  <si>
    <t>Надходження товарів і послуг ІБ00-006030 від 06.10.2025 11:00:00
Оприходованы ТМЦ (Зачет аванса поставщику)</t>
  </si>
  <si>
    <t>Обл. НДС
Бетон С  8/10 В10
Надходження товарів і послуг ІБ00-006030 від 06.10.2025 11:00:00
Астарта_Тищенки</t>
  </si>
  <si>
    <t>Надходження товарів і послуг ІБ00-006031 від 06.10.2025 11:00:00
Оприходованы ТМЦ (Зачет аванса поставщику)</t>
  </si>
  <si>
    <t>Обл. НДС
Бетон С 16/20 В20
Надходження товарів і послуг ІБ00-006031 від 06.10.2025 11:00:00
Астарта_Тищенки</t>
  </si>
  <si>
    <t>ДОБРОБУД-БЕТОН ТОВ
Рахунки_Астарта_Тищенки
Надходження товарів і послуг ІБ00-004651 від 20.08.2025 11:00:00</t>
  </si>
  <si>
    <t>Надходження товарів і послуг ІБ00-006575 від 06.10.2025 11:00:00
Оприходованы ТМЦ</t>
  </si>
  <si>
    <t>Обл. НДС
Балка 2БДР12-8А3ВТ
Надходження товарів і послуг ІБ00-006575 від 06.10.2025 11:00:00
Астарта_Тищенки</t>
  </si>
  <si>
    <t>БМЗ БЕТОН ПП
Договір №ПП/М-183 від 10.07.2025_Астарта. Тищенки
Надходження товарів і послуг ІБ00-006575 від 06.10.2025 11:00:00</t>
  </si>
  <si>
    <t>Надходження товарів і послуг ІБ00-005849 від 08.10.2025 11:00:00
Оприходованы ТМЦ (Зачет аванса поставщику)</t>
  </si>
  <si>
    <t>Обл. НДС
Бетон С 16/20 В20
Надходження товарів і послуг ІБ00-005849 від 08.10.2025 11:00:00
Астарта_Тищенки</t>
  </si>
  <si>
    <t>ДОБРОБУД-БЕТОН ТОВ
Рахунки_Астарта_Тищенки
Надходження товарів і послуг ІБ00-004653 від 20.08.2025 11:00:00</t>
  </si>
  <si>
    <t>Надходження товарів і послуг ІБ00-006548 від 08.10.2025 11:00:00
Оприходованы ТМЦ</t>
  </si>
  <si>
    <t>Обл. НДС
Плита OSB 22 мм
Надходження товарів і послуг ІБ00-006548 від 08.10.2025 11:00:00
Астарта_Тищенки</t>
  </si>
  <si>
    <t>Укрлісцентр" ПП
РАХУНКИ_ Астарта. Тищенки
Рахунок на оплату постачальника ІБ00-004780 від 07.10.2025 20:16:43</t>
  </si>
  <si>
    <t>Надходження товарів і послуг ІБ00-005965 від 08.10.2025 18:17:45
Оприходованы ТМЦ (Зачет аванса поставщику)</t>
  </si>
  <si>
    <t>Обл. НДС
Грунтівка ХС-10 червоно-коричн, 25 кг
Надходження товарів і послуг ІБ00-005965 від 08.10.2025 18:17:45
Астарта_Тищенки</t>
  </si>
  <si>
    <t>ДНІПРО-СПЕЦЕМАЛЬ НВП ТОВ
Рахунки_Астарта. Тищенки
Рахунок на оплату постачальника ІБ00-004669 від 30.09.2025 23:59:59</t>
  </si>
  <si>
    <t>Обл. НДС
Емаль ХВ-124 сіра,  кг
Надходження товарів і послуг ІБ00-005965 від 08.10.2025 18:17:45
Астарта_Тищенки</t>
  </si>
  <si>
    <t>Надходження товарів і послуг ІБ00-005965 від 08.10.2025 18:17:45
Оприходованы ТМЦ</t>
  </si>
  <si>
    <t>Обл. НДС
Розчинник складний органічний "SOLVENT INDUSTRIAL"
Надходження товарів і послуг ІБ00-005965 від 08.10.2025 18:17:45
Астарта_Тищенки</t>
  </si>
  <si>
    <t>Надходження товарів і послуг ІБ00-005850 від 09.10.2025 11:00:00
Оприходованы ТМЦ (Зачет аванса поставщику)</t>
  </si>
  <si>
    <t>Обл. НДС
Бетон С 16/20 В20
Надходження товарів і послуг ІБ00-005850 від 09.10.2025 11:00:00
Астарта_Тищенки</t>
  </si>
  <si>
    <t>ДОБРОБУД-БЕТОН ТОВ
Рахунки_Астарта_Тищенки
Надходження товарів і послуг ІБ00-004654 від 20.08.2025 11:00:00</t>
  </si>
  <si>
    <t>Надходження товарів і послуг ІБ00-006551 від 09.10.2025 11:00:00
Оприходованы ТМЦ</t>
  </si>
  <si>
    <t>Обл. НДС
Прокат арматурний №14 мм  А500С, 12 м
Надходження товарів і послуг ІБ00-006551 від 09.10.2025 11:00:00
Астарта_Тищенки</t>
  </si>
  <si>
    <t>ВІКАНТ фірма ТОВ
10/04-1 від 10.04.2022_Астарта_Тищенки
Рахунок на оплату постачальника ІБ00-005409 від 01.10.2025 23:00:34</t>
  </si>
  <si>
    <t>Обл. НДС
Прокат арматурний №12 мм  А500С  12м
Надходження товарів і послуг ІБ00-006551 від 09.10.2025 11:00:00
Астарта_Тищенки</t>
  </si>
  <si>
    <t>Обл. НДС
Прокат сталевий круглий (кл. А240С) ф8мм, ст.3пс, міра 6м
Надходження товарів і послуг ІБ00-006551 від 09.10.2025 11:00:00
Астарта_Тищенки</t>
  </si>
  <si>
    <t>Обл. НДС
Кутик 50х50х5мм ст 3пс МІРА
Надходження товарів і послуг ІБ00-006551 від 09.10.2025 11:00:00
Астарта_Тищенки</t>
  </si>
  <si>
    <t>Обл. НДС
Лист г/к 10,0 мм 1500*6000, S235 JR
Надходження товарів і послуг ІБ00-006551 від 09.10.2025 11:00:00
Астарта_Тищенки</t>
  </si>
  <si>
    <t>Обл. НДС
Лист г/к  8*1500*6000 S235JR
Надходження товарів і послуг ІБ00-006551 від 09.10.2025 11:00:00
Астарта_Тищенки</t>
  </si>
  <si>
    <t>Обл. НДС
Смуга 40*4 мм ст.3ПС  6 м
Надходження товарів і послуг ІБ00-006551 від 09.10.2025 11:00:00
Астарта_Тищенки</t>
  </si>
  <si>
    <t>Обл. НДС
Дріт 1,2 мм термооброблений
Надходження товарів і послуг ІБ00-006551 від 09.10.2025 11:00:00
Астарта_Тищенки</t>
  </si>
  <si>
    <t>Надходження товарів і послуг ІБ00-006552 від 09.10.2025 11:00:00
Оприходованы ТМЦ</t>
  </si>
  <si>
    <t>Обл. НДС
Прокат арматурний №14 мм  А500С, 12 м
Надходження товарів і послуг ІБ00-006552 від 09.10.2025 11:00:00
Астарта_Тищенки</t>
  </si>
  <si>
    <t>ВІКАНТ фірма ТОВ
10/04-1 від 10.04.2022_Астарта_Тищенки
Рахунок на оплату постачальника ІБ00-005410 від 01.10.2025 23:00:35</t>
  </si>
  <si>
    <t>Обл. НДС
Прокат арматурний №12 мм  А500С  12м
Надходження товарів і послуг ІБ00-006552 від 09.10.2025 11:00:00
Астарта_Тищенки</t>
  </si>
  <si>
    <t>Обл. НДС
Прокат сталевий круглий (кл. А240С) ф8мм, ст.3пс, міра 6м
Надходження товарів і послуг ІБ00-006552 від 09.10.2025 11:00:00
Астарта_Тищенки</t>
  </si>
  <si>
    <t>Обл. НДС
Кутик 50х50х5мм ст, S275JR. 6 м
Надходження товарів і послуг ІБ00-006552 від 09.10.2025 11:00:00
Астарта_Тищенки</t>
  </si>
  <si>
    <t>Обл. НДС
Кутик 25*25*3мм ст.S235JR MIPA 6м
Надходження товарів і послуг ІБ00-006552 від 09.10.2025 11:00:00
Астарта_Тищенки</t>
  </si>
  <si>
    <t>Обл. НДС
Лист г/к 10 мм, 1500*6000, S235 JR
Надходження товарів і послуг ІБ00-006552 від 09.10.2025 11:00:00
Астарта_Тищенки</t>
  </si>
  <si>
    <t>Обл. НДС
Лист г/к  8*1500*6000 S235JR
Надходження товарів і послуг ІБ00-006552 від 09.10.2025 11:00:00
Астарта_Тищенки</t>
  </si>
  <si>
    <t>Обл. НДС
Лист г/к  3*1500*6000 мм
Надходження товарів і послуг ІБ00-006552 від 09.10.2025 11:00:00
Астарта_Тищенки</t>
  </si>
  <si>
    <t>Обл. НДС
Дріт 1,2 мм термооброблений
Надходження товарів і послуг ІБ00-006552 від 09.10.2025 11:00:00
Астарта_Тищенки</t>
  </si>
  <si>
    <t>Надходження товарів і послуг ІБ00-006024 від 10.10.2025 11:00:00
Оприходованы ТМЦ (Зачет аванса поставщику)</t>
  </si>
  <si>
    <t>Обл. НДС
Бетон С 16/20 В20
Надходження товарів і послуг ІБ00-006024 від 10.10.2025 11:00:00
Астарта_Тищенки</t>
  </si>
  <si>
    <t>ДОБРОБУД-БЕТОН ТОВ
Рахунки_Астарта_Тищенки
Надходження товарів і послуг ІБ00-004652 від 20.08.2025 18:15:51</t>
  </si>
  <si>
    <t>Надходження товарів і послуг ІБ00-006026 від 10.10.2025 11:00:00
Оприходованы ТМЦ (Зачет аванса поставщику)</t>
  </si>
  <si>
    <t>Обл. НДС
Бетон С 16/20 В20
Надходження товарів і послуг ІБ00-006026 від 10.10.2025 11:00:00
Астарта_Тищенки</t>
  </si>
  <si>
    <t>ДОБРОБУД-БЕТОН ТОВ
Рахунки_Астарта_Тищенки
Рахунок на оплату постачальника ІБ00-004671 від 01.10.2025 18:12:32</t>
  </si>
  <si>
    <t>ДОБРОБУД-БЕТОН ТОВ
Рахунки_Астарта_Тищенки
Надходження товарів і послуг ІБ00-004655 від 21.08.2025 11:00:00</t>
  </si>
  <si>
    <t>Надходження товарів і послуг ІБ00-006028 від 10.10.2025 11:00:00
Оприходованы ТМЦ (Зачет аванса поставщику)</t>
  </si>
  <si>
    <t>Обл. НДС
Бетон С 16/20 В20
Надходження товарів і послуг ІБ00-006028 від 10.10.2025 11:00:00
Астарта_Тищенки</t>
  </si>
  <si>
    <t>Надходження товарів і послуг ІБ00-006015 від 13.10.2025 11:00:00
Оприходованы ТМЦ (Зачет аванса поставщику)</t>
  </si>
  <si>
    <t>Обл. НДС
Бетон С 18/22,5  F100 W8 S4
Надходження товарів і послуг ІБ00-006015 від 13.10.2025 11:00:00
Астарта_Тищенки</t>
  </si>
  <si>
    <t>Надходження товарів і послуг ІБ00-006016 від 13.10.2025 11:00:00
Оприходованы ТМЦ (Зачет аванса поставщику)</t>
  </si>
  <si>
    <t>Обл. НДС
Бетон С 18/22,5  F100 W8 S4
Надходження товарів і послуг ІБ00-006016 від 13.10.2025 11:00:00
Астарта_Тищенки</t>
  </si>
  <si>
    <t>Надходження товарів і послуг ІБ00-006017 від 13.10.2025 11:00:00
Оприходованы ТМЦ (Зачет аванса поставщику)</t>
  </si>
  <si>
    <t>Обл. НДС
Бетон С 18/22,5  F100 W8 S4
Надходження товарів і послуг ІБ00-006017 від 13.10.2025 11:00:00
Астарта_Тищенки</t>
  </si>
  <si>
    <t>Надходження товарів і послуг ІБ00-006018 від 13.10.2025 11:00:00
Оприходованы ТМЦ</t>
  </si>
  <si>
    <t>Обл. НДС
Бетон С 18/22,5  F100 W8 S4
Надходження товарів і послуг ІБ00-006018 від 13.10.2025 11:00:00
Астарта_Тищенки</t>
  </si>
  <si>
    <t>ДОБРОБУД-БЕТОН ТОВ
Рахунки_Астарта_Тищенки
Надходження товарів і послуг ІБ00-006018 від 13.10.2025 11:00:00</t>
  </si>
  <si>
    <t>Надходження товарів і послуг ІБ00-006018 від 13.10.2025 11:00:00
Оприходованы ТМЦ (Зачет аванса поставщику)</t>
  </si>
  <si>
    <t>Надходження товарів і послуг ІБ00-006019 від 13.10.2025 11:00:00
Оприходованы ТМЦ</t>
  </si>
  <si>
    <t>Обл. НДС
Бетон С 18/22,5  F100 W8 S4
Надходження товарів і послуг ІБ00-006019 від 13.10.2025 11:00:00
Астарта_Тищенки</t>
  </si>
  <si>
    <t>ДОБРОБУД-БЕТОН ТОВ
Рахунки_Астарта_Тищенки
Надходження товарів і послуг ІБ00-006019 від 13.10.2025 11:00:00</t>
  </si>
  <si>
    <t>Надходження товарів і послуг ІБ00-006020 від 13.10.2025 11:00:00
Оприходованы ТМЦ</t>
  </si>
  <si>
    <t>Обл. НДС
Бетон С 18/22,5  F100 W8 S4
Надходження товарів і послуг ІБ00-006020 від 13.10.2025 11:00:00
Астарта_Тищенки</t>
  </si>
  <si>
    <t>ДОБРОБУД-БЕТОН ТОВ
Рахунки_Астарта_Тищенки
Надходження товарів і послуг ІБ00-006020 від 13.10.2025 11:00:00</t>
  </si>
  <si>
    <t>Надходження товарів і послуг ІБ00-006021 від 13.10.2025 11:00:00
Оприходованы ТМЦ</t>
  </si>
  <si>
    <t>Обл. НДС
Бетон С 18/22,5  F100 W8 S4
Надходження товарів і послуг ІБ00-006021 від 13.10.2025 11:00:00
Астарта_Тищенки</t>
  </si>
  <si>
    <t>ДОБРОБУД-БЕТОН ТОВ
Рахунки_Астарта_Тищенки
Надходження товарів і послуг ІБ00-006021 від 13.10.2025 11:00:00</t>
  </si>
  <si>
    <t>Надходження товарів і послуг ІБ00-006022 від 13.10.2025 11:00:00
Оприходованы ТМЦ</t>
  </si>
  <si>
    <t>Обл. НДС
Бетон С 16/20 В20
Надходження товарів і послуг ІБ00-006022 від 13.10.2025 11:00:00
Астарта_Тищенки</t>
  </si>
  <si>
    <t>ДОБРОБУД-БЕТОН ТОВ
Рахунки_Астарта_Тищенки
Надходження товарів і послуг ІБ00-006022 від 13.10.2025 11:00:00</t>
  </si>
  <si>
    <t>Надходження товарів і послуг ІБ00-006023 від 13.10.2025 11:00:00
Оприходованы ТМЦ</t>
  </si>
  <si>
    <t>Обл. НДС
Бетон С 18/22,5  F100 W8 S4
Надходження товарів і послуг ІБ00-006023 від 13.10.2025 11:00:00
Астарта_Тищенки</t>
  </si>
  <si>
    <t>ДОБРОБУД-БЕТОН ТОВ
Рахунки_Астарта_Тищенки
Надходження товарів і послуг ІБ00-006023 від 13.10.2025 11:00:00</t>
  </si>
  <si>
    <t>Надходження товарів і послуг ІБ00-006025 від 13.10.2025 11:00:00
Оприходованы ТМЦ</t>
  </si>
  <si>
    <t>Обл. НДС
Бетон С 20/25  F150 W8
Надходження товарів і послуг ІБ00-006025 від 13.10.2025 11:00:00
Астарта_Тищенки</t>
  </si>
  <si>
    <t>ДОБРОБУД-БЕТОН ТОВ
Рахунки_Астарта_Тищенки
Надходження товарів і послуг ІБ00-006025 від 13.10.2025 11:00:00</t>
  </si>
  <si>
    <t>Надходження товарів і послуг ІБ00-006034 від 13.10.2025 11:00:00
Оприходованы ТМЦ</t>
  </si>
  <si>
    <t>Обл. НДС
Арматура композитна 10мм  100м
Надходження товарів і послуг ІБ00-006034 від 13.10.2025 11:00:00
Астарта_Тищенки</t>
  </si>
  <si>
    <t>Поліекс Україна ТОВ
РАХУНКИ_Астарта. Тищенки
Рахунок на оплату постачальника ІБ00-004821 від 29.09.2025 23:00:13</t>
  </si>
  <si>
    <t>Надходження товарів і послуг ІБ00-006034 від 13.10.2025 11:00:00
Оприходованы ТМЦ (Зачет аванса поставщику)</t>
  </si>
  <si>
    <t>Надходження товарів і послуг ІБ00-006578 від 13.10.2025 11:00:00
Оприходованы ТМЦ (Зачет аванса поставщику)</t>
  </si>
  <si>
    <t>Обл. НДС
Балон пропановий /50 л/
Надходження товарів і послуг ІБ00-006578 від 13.10.2025 11:00:00
Астарта_Тищенки</t>
  </si>
  <si>
    <t>ВІКЛ КО ЛТД ТОВ
Рахунки_Астарта. Тищенки
Рахунок на оплату постачальника ІБ00-004809 від 02.10.2025 18:25:58</t>
  </si>
  <si>
    <t>Надходження товарів і послуг ІБ00-006013 від 15.10.2025 11:00:00
Оприходованы ТМЦ</t>
  </si>
  <si>
    <t>Обл. НДС
Бетон С 18/22,5  F100 W8 S4
Надходження товарів і послуг ІБ00-006013 від 15.10.2025 11:00:00
Астарта_Тищенки</t>
  </si>
  <si>
    <t>ДОБРОБУД-БЕТОН ТОВ
Рахунки_Астарта_Тищенки
Надходження товарів і послуг ІБ00-006013 від 15.10.2025 11:00:00</t>
  </si>
  <si>
    <t>Надходження товарів і послуг ІБ00-006379 від 15.10.2025 11:00:00
Оприходованы ТМЦ</t>
  </si>
  <si>
    <t>Обл. НДС
Напіврама РПС-21
Надходження товарів і послуг ІБ00-006379 від 15.10.2025 11:00:00
Астарта_Тищенки</t>
  </si>
  <si>
    <t>ЯЦЕНКО НАТАЛІЯ МИКОЛАІЇВНА ФОП
Рахунки_Астарта. Тищенки
Рахунок на оплату постачальника ІБ00-005012 від 15.10.2025 19:00:11</t>
  </si>
  <si>
    <t>Вимога-накладна ІБ00-000981 від 15.10.2025 11:08:59
Списаны ТМЦ</t>
  </si>
  <si>
    <t>Обл. НДС
Виробничий (Астарта_Тищенки)
Астарта_Тищенки
Прямі материальні виробничі витрати крім зворотніх відходів</t>
  </si>
  <si>
    <t>Обл. НДС
Балка 2БДР12-8А3ВТ
Надходження товарів і послуг ІБ00-005414 від 20.09.2025 11:00:00
Астарта_Тищенки</t>
  </si>
  <si>
    <t>Обл. НДС
швелер № 18П; ст. 3пс5; 12 м
Надходження товарів і послуг ІБ00-005097 від 10.09.2025 11:00:00
Астарта_Тищенки</t>
  </si>
  <si>
    <t>Списання товарів ІБ00-000596 від 15.10.2025 11:09:40
Списаны ТМЦ</t>
  </si>
  <si>
    <t>Обл. НДС
Дошка 50*100 4,5 м
Надходження товарів і послуг ІБ00-005384 від 01.09.2025 11:00:00
Астарта_Тищенки</t>
  </si>
  <si>
    <t>Вимога-накладна ІБ00-000980 від 15.10.2025 18:44:07
Списаны ТМЦ</t>
  </si>
  <si>
    <t>Обл. НДС
Бетон С 16/20 В20
Надходження товарів і послуг ІБ00-005412 від 22.09.2025 11:00:00
Астарта_Тищенки</t>
  </si>
  <si>
    <t>Обл. НДС
Балка Б-1
Надходження товарів і послуг ІБ00-005415 від 20.09.2025 11:00:00
Астарта_Тищенки</t>
  </si>
  <si>
    <t>Вимога-накладна ІБ00-000982 від 15.10.2025 19:00:08
Списаны ТМЦ</t>
  </si>
  <si>
    <t>Обл. НДС
Круг  8 мм  кл. А240С ; 6 м
Надходження товарів і послуг ІБ00-004634 від 14.08.2025 11:00:00
Астарта_Тищенки</t>
  </si>
  <si>
    <t>Обл. НДС
Арматура №12  А500С
Надходження товарів і послуг ІБ00-005343 від 18.09.2025 11:00:00
Астарта_Тищенки</t>
  </si>
  <si>
    <t>Списання товарів ІБ00-000597 від 15.10.2025 19:00:09
Списаны ТМЦ</t>
  </si>
  <si>
    <t>Обл. НДС
Цвяхи будівельні 80*3,0  3,2  1кг
Надходження товарів і послуг ІБ00-004287 від 01.08.2025 11:00:00
Астарта_Тищенки</t>
  </si>
  <si>
    <t>Вимога-накладна ІБ00-000986 від 15.10.2025 19:00:15
Списаны ТМЦ</t>
  </si>
  <si>
    <t>Обл. НДС
Прокат сталевий круглий (кл. А240С) ф6,5мм, ст.3пс, міра 6м
Надходження товарів і послуг ІБ00-004587 від 07.08.2025 11:00:00
Астарта_Тищенки</t>
  </si>
  <si>
    <t>Обл. НДС
Арматура 12 міра (12-3760  А400С/А500С)
Надходження товарів і послуг ІБ00-005080 від 03.09.2025 11:00:00
Астарта_Тищенки</t>
  </si>
  <si>
    <t>Обл. НДС
Кутник 140х140х10 мм; 6,05м; S235JR
Надходження товарів і послуг ІБ00-004634 від 14.08.2025 11:00:00
Астарта_Тищенки</t>
  </si>
  <si>
    <t>Обл. НДС
Кутик 75х75х8мм 12,05 S235JR
Надходження товарів і послуг ІБ00-004636 від 14.08.2025 11:00:00
Астарта_Тищенки</t>
  </si>
  <si>
    <t>Обл. НДС
Лист г/к  8*1500*6000 S235JR
Надходження товарів і послуг ІБ00-005517 від 10.09.2025 11:00:00
Астарта_Тищенки</t>
  </si>
  <si>
    <t>Обл. НДС
Лист г/к  8*1500*3000 мм 
Надходження товарів і послуг ІБ00-005346 від 18.09.2025 11:00:00
Астарта_Тищенки</t>
  </si>
  <si>
    <t>Обл. НДС
Болт М20*260  DIN 931 оц. 8,8
Надходження товарів і послуг ІБ00-005506 від 11.09.2025 11:00:00
Астарта_Тищенки</t>
  </si>
  <si>
    <t>Обл. НДС
Гайка М20  ISO4032 8 гранна цб
Надходження товарів і послуг ІБ00-005506 від 11.09.2025 11:00:00
Астарта_Тищенки</t>
  </si>
  <si>
    <t>Обл. НДС
Шайба М20  DIN 125-1 до кл м 4,6-8,8
Надходження товарів і послуг ІБ00-005506 від 11.09.2025 11:00:00
Астарта_Тищенки</t>
  </si>
  <si>
    <t>Обл. НДС
швелер № 18П; ст. 3пс5; 12 м
Надходження товарів і послуг ІБ00-005416 від 18.09.2025 11:00:00
Астарта_Тищенки</t>
  </si>
  <si>
    <t>Списання товарів ІБ00-000599 від 15.10.2025 19:00:16
Списаны ТМЦ</t>
  </si>
  <si>
    <t>Обл. НДС
Пиломатеріал обрізний
Надходження товарів і послуг ІБ00-005372 від 01.09.2025 11:00:00
Астарта_Тищенки</t>
  </si>
  <si>
    <t>Надходження товарів і послуг ІБ00-006546 від 16.10.2025 11:00:00
Оприходованы ТМЦ</t>
  </si>
  <si>
    <t>Обл. НДС
Плита OSB 22 мм
Надходження товарів і послуг ІБ00-006546 від 16.10.2025 11:00:00
Астарта_Тищенки</t>
  </si>
  <si>
    <t>Укрлісцентр" ПП
РАХУНКИ_ Астарта. Тищенки
Рахунок на оплату постачальника ІБ00-004904 від 07.10.2025 20:16:57</t>
  </si>
  <si>
    <t>Надходження товарів і послуг ІБ00-006547 від 16.10.2025 11:00:00
Оприходованы ТМЦ</t>
  </si>
  <si>
    <t>Обл. НДС
Плита OSB 22 мм
Надходження товарів і послуг ІБ00-006547 від 16.10.2025 11:00:00
Астарта_Тищенки</t>
  </si>
  <si>
    <t>Укрлісцентр" ПП
РАХУНКИ_ Астарта. Тищенки
Рахунок на оплату постачальника ІБ00-004905 від 07.10.2025 20:16:58</t>
  </si>
  <si>
    <t>17.10.2025</t>
  </si>
  <si>
    <t>Надходження товарів і послуг ІБ00-006041 від 17.10.2025 11:00:00
Оприходованы ТМЦ (Зачет аванса поставщику)</t>
  </si>
  <si>
    <t>Обл. НДС
Пенекрит 22,7кг/мішок
Надходження товарів і послуг ІБ00-006041 від 17.10.2025 11:00:00
Астарта_Тищенки</t>
  </si>
  <si>
    <t>ПЕНЕТРОН УКРАЇНА ТОВ
РАХУНКИ_Астарта. Тищенки
Рахунок на оплату постачальника ІБ00-004898 від 13.10.2025 17:35:28</t>
  </si>
  <si>
    <t>Надходження товарів і послуг ІБ00-006045 від 17.10.2025 11:00:00
Оприходованы ТМЦ</t>
  </si>
  <si>
    <t>Обл. НДС
Болт М16*35 DIN 933 8,8цб
Надходження товарів і послуг ІБ00-006045 від 17.10.2025 11:00:00
Астарта_Тищенки</t>
  </si>
  <si>
    <t>ЄВРОБОЛТ УКРАЇНА ТОВ
Рахунки_Астарта_Тищенки
Рахунок на оплату постачальника ІБ00-005026 від 17.10.2025 20:00:20</t>
  </si>
  <si>
    <t>Обл. НДС
Болт М16*50  DIN 933
Надходження товарів і послуг ІБ00-006045 від 17.10.2025 11:00:00
Астарта_Тищенки</t>
  </si>
  <si>
    <t>Обл. НДС
Болт М16*55  DIN 933 цб
Надходження товарів і послуг ІБ00-006045 від 17.10.2025 11:00:00
Астарта_Тищенки</t>
  </si>
  <si>
    <t>Обл. НДС
Болт М16*60  DIN 933 оц. 8.8цб
Надходження товарів і послуг ІБ00-006045 від 17.10.2025 11:00:00
Астарта_Тищенки</t>
  </si>
  <si>
    <t>Обл. НДС
Болт М16*70  DIN 933 8,8 цб пр
Надходження товарів і послуг ІБ00-006045 від 17.10.2025 11:00:00
Астарта_Тищенки</t>
  </si>
  <si>
    <t>Обл. НДС
Болт М20*65  DIN 933 
Надходження товарів і послуг ІБ00-006045 від 17.10.2025 11:00:00
Астарта_Тищенки</t>
  </si>
  <si>
    <t>Обл. НДС
Болт М20*80  DIN 933
Надходження товарів і послуг ІБ00-006045 від 17.10.2025 11:00:00
Астарта_Тищенки</t>
  </si>
  <si>
    <t>Обл. НДС
Болт М20*85  DIN 931
Надходження товарів і послуг ІБ00-006045 від 17.10.2025 11:00:00
Астарта_Тищенки</t>
  </si>
  <si>
    <t>Обл. НДС
Гайка М16 DIN 934 ЦБ
Надходження товарів і послуг ІБ00-006045 від 17.10.2025 11:00:00
Астарта_Тищенки</t>
  </si>
  <si>
    <t>Обл. НДС
Гайка М20  DIN 934
Надходження товарів і послуг ІБ00-006045 від 17.10.2025 11:00:00
Астарта_Тищенки</t>
  </si>
  <si>
    <t>Обл. НДС
Шайба плоська DIN 125 М16 140 HV ЦБ
Надходження товарів і послуг ІБ00-006045 від 17.10.2025 11:00:00
Астарта_Тищенки</t>
  </si>
  <si>
    <t>Обл. НДС
Шайба плоська DIN 125 М20 140 HV ЦБ
Надходження товарів і послуг ІБ00-006045 від 17.10.2025 11:00:00
Астарта_Тищенки</t>
  </si>
  <si>
    <t>Надходження товарів і послуг ІБ00-006046 від 17.10.2025 11:00:00
Оприходованы ТМЦ</t>
  </si>
  <si>
    <t>Обл. НДС
Болт М16*35 DIN 933 8,8цб
Надходження товарів і послуг ІБ00-006046 від 17.10.2025 11:00:00
Астарта_Тищенки</t>
  </si>
  <si>
    <t>ЄВРОБОЛТ УКРАЇНА ТОВ
Рахунки_Астарта_Тищенки
Рахунок на оплату постачальника ІБ00-005028 від 17.10.2025 20:00:22</t>
  </si>
  <si>
    <t>Обл. НДС
Болт М16*50  DIN 933
Надходження товарів і послуг ІБ00-006046 від 17.10.2025 11:00:00
Астарта_Тищенки</t>
  </si>
  <si>
    <t>Обл. НДС
Болт М16*55  DIN 933 цб
Надходження товарів і послуг ІБ00-006046 від 17.10.2025 11:00:00
Астарта_Тищенки</t>
  </si>
  <si>
    <t>Обл. НДС
Болт М16*60  DIN 933 оц. 8.8цб
Надходження товарів і послуг ІБ00-006046 від 17.10.2025 11:00:00
Астарта_Тищенки</t>
  </si>
  <si>
    <t>Обл. НДС
Болт М16*70  DIN 933 8,8 цб пр
Надходження товарів і послуг ІБ00-006046 від 17.10.2025 11:00:00
Астарта_Тищенки</t>
  </si>
  <si>
    <t>Обл. НДС
Болт М20*65  DIN 933 
Надходження товарів і послуг ІБ00-006046 від 17.10.2025 11:00:00
Астарта_Тищенки</t>
  </si>
  <si>
    <t>Обл. НДС
Болт М20*80 8,8 цб пр
Надходження товарів і послуг ІБ00-006046 від 17.10.2025 11:00:00
Астарта_Тищенки</t>
  </si>
  <si>
    <t>Обл. НДС
Болт М20*85  DIN 931
Надходження товарів і послуг ІБ00-006046 від 17.10.2025 11:00:00
Астарта_Тищенки</t>
  </si>
  <si>
    <t>Обл. НДС
Гайка М16  DIN 934 
Надходження товарів і послуг ІБ00-006046 від 17.10.2025 11:00:00
Астарта_Тищенки</t>
  </si>
  <si>
    <t>Обл. НДС
Гайка М20  DIN 934
Надходження товарів і послуг ІБ00-006046 від 17.10.2025 11:00:00
Астарта_Тищенки</t>
  </si>
  <si>
    <t>Обл. НДС
Шайба плоська DIN 125 М16 140 HV ЦБ
Надходження товарів і послуг ІБ00-006046 від 17.10.2025 11:00:00
Астарта_Тищенки</t>
  </si>
  <si>
    <t>Обл. НДС
Шайба плоська DIN 125 М20 140 HV ЦБ
Надходження товарів і послуг ІБ00-006046 від 17.10.2025 11:00:00
Астарта_Тищенки</t>
  </si>
  <si>
    <t>Надходження товарів і послуг ІБ00-006238 від 17.10.2025 11:00:00
Оприходованы ТМЦ</t>
  </si>
  <si>
    <t>Обл. НДС
Болт М20*260  DIN 931 оц. 8,8
Надходження товарів і послуг ІБ00-006238 від 17.10.2025 11:00:00
Астарта_Тищенки</t>
  </si>
  <si>
    <t>ЄВРОБОЛТ УКРАЇНА ТОВ
Рахунки_Астарта_Тищенки
Рахунок на оплату постачальника ІБ00-005099 від 17.10.2025 20:00:45</t>
  </si>
  <si>
    <t>Обл. НДС
Гайка М20 DIN 934 ЦБ
Надходження товарів і послуг ІБ00-006238 від 17.10.2025 11:00:00
Астарта_Тищенки</t>
  </si>
  <si>
    <t>Обл. НДС
Шайба плоська DIN 125 М20 140 HV ЦБ
Надходження товарів і послуг ІБ00-006238 від 17.10.2025 11:00:00
Астарта_Тищенки</t>
  </si>
  <si>
    <t>Надходження товарів і послуг ІБ00-006272 від 17.10.2025 11:00:00
Оприходованы ТМЦ</t>
  </si>
  <si>
    <t>Обл. НДС
Клей для газобетону МР2 (25 кг)
Надходження товарів і послуг ІБ00-006272 від 17.10.2025 11:00:00
Астарта_Тищенки</t>
  </si>
  <si>
    <t>СТАНДАРТ-БУД ТОВ
РАХУНКИ_Астарта. Тищенки
Рахунок на оплату постачальника ІБ00-004906 від 15.10.2025 18:43:49</t>
  </si>
  <si>
    <t>Надходження товарів і послуг ІБ00-006272 від 17.10.2025 11:00:00
Оприходованы ТМЦ (Зачет аванса поставщику)</t>
  </si>
  <si>
    <t>Надходження товарів і послуг ІБ00-006273 від 17.10.2025 11:00:00
Оприходованы ТМЦ (Зачет аванса поставщику)</t>
  </si>
  <si>
    <t>Обл. НДС
Цемент ПЦ ІІ/А-Ш 500 25кг 1пал/64шт
Надходження товарів і послуг ІБ00-006273 від 17.10.2025 11:00:00
Астарта_Тищенки</t>
  </si>
  <si>
    <t>СТАНДАРТ-БУД ТОВ
РАХУНКИ_Астарта. Тищенки
Рахунок на оплату постачальника ІБ00-004897 від 15.10.2025 18:43:47</t>
  </si>
  <si>
    <t>Надходження товарів і послуг ІБ00-006276 від 17.10.2025 11:00:00
Оприходованы ТМЦ</t>
  </si>
  <si>
    <t>Обл. НДС
Бетон С 16/20 В20
Надходження товарів і послуг ІБ00-006276 від 17.10.2025 11:00:00
Астарта_Тищенки</t>
  </si>
  <si>
    <t>ДОБРОБУД-БЕТОН ТОВ
Рахунки_Астарта_Тищенки
Надходження товарів і послуг ІБ00-006276 від 17.10.2025 11:00:00</t>
  </si>
  <si>
    <t>18.10.2025</t>
  </si>
  <si>
    <t>Надходження товарів і послуг ІБ00-006277 від 18.10.2025 11:00:00
Оприходованы ТМЦ</t>
  </si>
  <si>
    <t>Обл. НДС
Бетон С 20/25  F150 W8
Надходження товарів і послуг ІБ00-006277 від 18.10.2025 11:00:00
Астарта_Тищенки</t>
  </si>
  <si>
    <t>ДОБРОБУД-БЕТОН ТОВ
Рахунки_Астарта_Тищенки
Надходження товарів і послуг ІБ00-006277 від 18.10.2025 11:00:00</t>
  </si>
  <si>
    <t>Надходження товарів і послуг ІБ00-006280 від 20.10.2025 11:00:00
Оприходованы ТМЦ (Зачет аванса поставщику)</t>
  </si>
  <si>
    <t>Обл. НДС
Плита перекриття 1П3-2А3ВТ
Надходження товарів і послуг ІБ00-006280 від 20.10.2025 11:00:00
Астарта_Тищенки</t>
  </si>
  <si>
    <t>БЗЗК ПрАТ
Рахунки_Астарта. Тищенки
Рахунок на оплату постачальника ІБ00-004670 від 26.09.2025 18:21:17</t>
  </si>
  <si>
    <t>Надходження дод. витрат ІБ00-000624 від 20.10.2025 11:10:00
Доп. расходы при поступлении товаров (Зачет аванса поставщику)</t>
  </si>
  <si>
    <t>Надходження товарів і послуг ІБ00-006281 від 21.10.2025 11:00:00
Оприходованы ТМЦ (Зачет аванса поставщику)</t>
  </si>
  <si>
    <t>Обл. НДС
Плита перекриття 1П3-2А3ВТ
Надходження товарів і послуг ІБ00-006281 від 21.10.2025 11:00:00
Астарта_Тищенки</t>
  </si>
  <si>
    <t>Надходження дод. витрат ІБ00-000625 від 21.10.2025 11:10:00
Доп. расходы при поступлении товаров (Зачет аванса поставщику)</t>
  </si>
  <si>
    <t>Надходження товарів і послуг ІБ00-006374 від 22.10.2025 11:00:00
Оприходованы ТМЦ (Зачет аванса поставщику)</t>
  </si>
  <si>
    <t>Обл. НДС
Шпонка гідроізоляційна ВР 200  20м п
Надходження товарів і послуг ІБ00-006374 від 22.10.2025 11:00:00
Астарта_Тищенки</t>
  </si>
  <si>
    <t>ПРОТЕКС УКРАЇНА
Договір 9  від 11.12.2023_Астарта. Тищенки
Рахунок на оплату постачальника ІБ00-005004 від 20.10.2025 18:22:37</t>
  </si>
  <si>
    <t>Надходження товарів і послуг ІБ00-006274 від 23.10.2025 11:00:00
Оприходованы ТМЦ</t>
  </si>
  <si>
    <t>Обл. НДС
Бетон С 25/30 F100 W6 S3
Надходження товарів і послуг ІБ00-006274 від 23.10.2025 11:00:00
Астарта_Тищенки</t>
  </si>
  <si>
    <t>ДОБРОБУД-БЕТОН ТОВ
Рахунки_Астарта_Тищенки
Надходження товарів і послуг ІБ00-006274 від 23.10.2025 11:00:00</t>
  </si>
  <si>
    <t>Надходження товарів і послуг ІБ00-006637 від 23.10.2025 11:00:00
Оприходованы ТМЦ</t>
  </si>
  <si>
    <t>Обл. НДС
Стрічка ущільнююча 3мм/30м/70мм рулон
Надходження товарів і послуг ІБ00-006637 від 23.10.2025 11:00:00
Астарта_Тищенки</t>
  </si>
  <si>
    <t>Мережа магазинів будматеріалів М2 ТОВ
Рахунки_Астарта. Тищенки
Рахунок на оплату постачальника ІБ00-005107 від 22.10.2025 18:15:34</t>
  </si>
  <si>
    <t>Надходження товарів і послуг ІБ00-006638 від 23.10.2025 11:00:00
Оприходованы ТМЦ</t>
  </si>
  <si>
    <t>Обл. НДС
Стрічка ущільнююча 3мм/30м/70мм рулон
Надходження товарів і послуг ІБ00-006638 від 23.10.2025 11:00:00
Астарта_Тищенки</t>
  </si>
  <si>
    <t>Мережа магазинів будматеріалів М2 ТОВ
Рахунки_Астарта. Тищенки
Рахунок на оплату постачальника ІБ00-005108 від 22.10.2025 18:15:35</t>
  </si>
  <si>
    <t>24.10.2025</t>
  </si>
  <si>
    <t>Переміщення товарів ІБ00-001153 від 24.10.2025 08:34:10
Перемещение ТМЦ</t>
  </si>
  <si>
    <t>Обл. НДС
Металопрофіль ТП 60 оцинкований 0,7 мм (7,220м. )
Переміщення товарів ІБ00-001153 від 24.10.2025 08:34:10
Астарта_Тищенки</t>
  </si>
  <si>
    <t>Обл. НДС
Металопрофіль ТП 60 оцинкований 0,7 мм (7,220м. )
Надходження товарів і послуг ІБ00-002267 від 14.05.2025 11:00:00
Катеринопіль МХП</t>
  </si>
  <si>
    <t>Реалізація товарів і послуг ІБ00-000064 від 24.10.2025 10:00:00
Списаны ТМЦ</t>
  </si>
  <si>
    <t>&lt;...&gt;
&lt;...&gt;
Себестоимость реализованных покупных запасов</t>
  </si>
  <si>
    <t>902</t>
  </si>
  <si>
    <t>Надходження товарів і послуг ІБ00-006208 від 24.10.2025 11:00:00
Оприходованы ТМЦ</t>
  </si>
  <si>
    <t>Обл. НДС
Кутик 100*100*8мм 12,05-S235/S275
Надходження товарів і послуг ІБ00-006208 від 24.10.2025 11:00:00
Астарта_Тищенки</t>
  </si>
  <si>
    <t>МЕТАЛ ХОЛДІНГ ТРЕЙД ТОВ
Дог №01/453/25 від 01.07.2025 р._Астарта. Тищенки
Рахунок на оплату постачальника ІБ00-005174 від 20.10.2025 18:23:10</t>
  </si>
  <si>
    <t>Обл. НДС
Кутyик 50*50*5мм 6.05 S235/S275 
Надходження товарів і послуг ІБ00-006208 від 24.10.2025 11:00:00
Астарта_Тищенки</t>
  </si>
  <si>
    <t>Обл. НДС
Труба профільна 140*140*4 12,05 08кп/1-3пс
Надходження товарів і послуг ІБ00-006208 від 24.10.2025 11:00:00
Астарта_Тищенки</t>
  </si>
  <si>
    <t>Обл. НДС
Труба профільна 120*120*4 L=12000 мм ст1-3 сп/пс
Надходження товарів і послуг ІБ00-006208 від 24.10.2025 11:00:00
Астарта_Тищенки</t>
  </si>
  <si>
    <t>Обл. НДС
Труба профільна 100*100*4 L=12000 мм ст1-3 сп/пс
Надходження товарів і послуг ІБ00-006208 від 24.10.2025 11:00:00
Астарта_Тищенки</t>
  </si>
  <si>
    <t>Обл. НДС
Труба профільна 80*80*4 L=12  ст 1-3 сп/пс
Надходження товарів і послуг ІБ00-006208 від 24.10.2025 11:00:00
Астарта_Тищенки</t>
  </si>
  <si>
    <t>Обл. НДС
Швелер 18П  (180 12,05 8240 3пс5)
Надходження товарів і послуг ІБ00-006208 від 24.10.2025 11:00:00
Астарта_Тищенки</t>
  </si>
  <si>
    <t>Обл. НДС
Арматура  8 мiра (12- 3760 А500С/А400С)
Надходження товарів і послуг ІБ00-006208 від 24.10.2025 11:00:00
Астарта_Тищенки</t>
  </si>
  <si>
    <t>Обл. НДС
Круг 6 мм 3 ПС, 6 м
Надходження товарів і послуг ІБ00-006208 від 24.10.2025 11:00:00
Астарта_Тищенки</t>
  </si>
  <si>
    <t>Надходження товарів і послуг ІБ00-006237 від 24.10.2025 11:00:00
Оприходованы ТМЦ (Зачет аванса поставщику)</t>
  </si>
  <si>
    <t>Обл. НДС
Фарба вапняна А 10л
Надходження товарів і послуг ІБ00-006237 від 24.10.2025 11:00:00
Астарта_Тищенки</t>
  </si>
  <si>
    <t>Альба ТОВ
Рахунки_Астарта. Тищенки
Рахунок на оплату постачальника ІБ00-005111 від 20.10.2025 18:22:49</t>
  </si>
  <si>
    <t>Надходження товарів і послуг ІБ00-006275 від 24.10.2025 11:00:00
Оприходованы ТМЦ</t>
  </si>
  <si>
    <t>Обл. НДС
Бетон С  8/10 В10
Надходження товарів і послуг ІБ00-006275 від 24.10.2025 11:00:00
Астарта_Тищенки</t>
  </si>
  <si>
    <t>ДОБРОБУД-БЕТОН ТОВ
Рахунки_Астарта_Тищенки
Надходження товарів і послуг ІБ00-006275 від 24.10.2025 11:00:00</t>
  </si>
  <si>
    <t>Надходження товарів і послуг ІБ00-006553 від 24.10.2025 11:00:00
Оприходованы ТМЦ (Зачет аванса поставщику)</t>
  </si>
  <si>
    <t>Обл. НДС
Металопрофіль ТП-60  0,5мм поліестер срібл 9006 3,770м
Надходження товарів і послуг ІБ00-006553 від 24.10.2025 11:00:00
Астарта_Тищенки</t>
  </si>
  <si>
    <t>ТПК-ЦЕНТР ТОВ
Договір13/20/П/011від 21.07.2020_ Астарта. Тищенки
Рахунок на оплату постачальника ІБ00-004950 від 16.10.2025 18:16:40</t>
  </si>
  <si>
    <t>Обл. НДС
Металопрофіль ТП-60  0,5мм поліестер срібл 9006 6,470м
Надходження товарів і послуг ІБ00-006553 від 24.10.2025 11:00:00
Астарта_Тищенки</t>
  </si>
  <si>
    <t>Надходження товарів і послуг ІБ00-006553 від 24.10.2025 11:00:00
Оприходованы ТМЦ</t>
  </si>
  <si>
    <t>Обл. НДС
Металопрофіль ТП-60  0,5мм поліестер срібл 9006 6,560м
Надходження товарів і послуг ІБ00-006553 від 24.10.2025 11:00:00
Астарта_Тищенки</t>
  </si>
  <si>
    <t>Обл. НДС
Металопрофіль ТП-60  0,5мм поліестер срібл 9006 6,20м
Надходження товарів і послуг ІБ00-006553 від 24.10.2025 11:00:00
Астарта_Тищенки</t>
  </si>
  <si>
    <t>Обл. НДС
Металопрофіль ТП-60  0,5мм поліестер срібл 9006 6,85м
Надходження товарів і послуг ІБ00-006553 від 24.10.2025 11:00:00
Астарта_Тищенки</t>
  </si>
  <si>
    <t>Обл. НДС
Металопрофіль ТП-60  0,5мм поліестер срібл 9006 5,45м
Надходження товарів і послуг ІБ00-006553 від 24.10.2025 11:00:00
Астарта_Тищенки</t>
  </si>
  <si>
    <t>Обл. НДС
Металопрофіль ТП-60  0,5мм поліестер срібл 9006 4,95м
Надходження товарів і послуг ІБ00-006553 від 24.10.2025 11:00:00
Астарта_Тищенки</t>
  </si>
  <si>
    <t>Обл. НДС
Металопрофіль ТП-60  0,5мм поліестер срібл 9006 7,5м
Надходження товарів і послуг ІБ00-006553 від 24.10.2025 11:00:00
Астарта_Тищенки</t>
  </si>
  <si>
    <t>Обл. НДС
Саморіз  4,8*19 RAL 9006
Надходження товарів і послуг ІБ00-006553 від 24.10.2025 11:00:00
Астарта_Тищенки</t>
  </si>
  <si>
    <t>Надходження дод. витрат ІБ00-000650 від 24.10.2025 11:10:00
Доп. расходы при поступлении товаров</t>
  </si>
  <si>
    <t>Надходження дод. витрат ІБ00-000626 від 27.10.2025 11:00:00
Доп. расходы при поступлении товаров</t>
  </si>
  <si>
    <t>Обл. НДС
Арматура 12 міра (12-3760  А400С/А500С)
Надходження товарів і послуг ІБ00-006282 від 27.10.2025 11:00:00
Астарта_Тищенки</t>
  </si>
  <si>
    <t>Обл. НДС
Арматура 10 міра (12-3760  А500С/А400С)
Надходження товарів і послуг ІБ00-006282 від 27.10.2025 11:00:00
Астарта_Тищенки</t>
  </si>
  <si>
    <t>Обл. НДС
Арматура 16 міра (12-3760  А500С/А400С)
Надходження товарів і послуг ІБ00-006282 від 27.10.2025 11:00:00
Астарта_Тищенки</t>
  </si>
  <si>
    <t>Надходження товарів і послуг ІБ00-006209 від 27.10.2025 11:00:00
Оприходованы ТМЦ (Зачет аванса поставщику)</t>
  </si>
  <si>
    <t>Обл. НДС
Плита перекриття 1П3-2А3ВТ
Надходження товарів і послуг ІБ00-006209 від 27.10.2025 11:00:00
Астарта_Тищенки</t>
  </si>
  <si>
    <t>Надходження товарів і послуг ІБ00-006282 від 27.10.2025 11:00:00
Оприходованы ТМЦ</t>
  </si>
  <si>
    <t>Надходження товарів і послуг ІБ00-006557 від 27.10.2025 11:00:00
Оприходованы ТМЦ</t>
  </si>
  <si>
    <t>Обл. НДС
Бетон С 16/20 В20
Надходження товарів і послуг ІБ00-006557 від 27.10.2025 11:00:00
Астарта_Тищенки</t>
  </si>
  <si>
    <t>ДОБРОБУД-БЕТОН ТОВ
Рахунки_Астарта_Тищенки
Надходження товарів і послуг ІБ00-006557 від 27.10.2025 11:00:00</t>
  </si>
  <si>
    <t>Надходження товарів і послуг ІБ00-006560 від 27.10.2025 11:00:00
Оприходованы ТМЦ</t>
  </si>
  <si>
    <t>Обл. НДС
Бетон С 16/20 В20
Надходження товарів і послуг ІБ00-006560 від 27.10.2025 11:00:00
Астарта_Тищенки</t>
  </si>
  <si>
    <t>ДОБРОБУД-БЕТОН ТОВ
Рахунки_Астарта_Тищенки
Надходження товарів і послуг ІБ00-006560 від 27.10.2025 11:00:00</t>
  </si>
  <si>
    <t>Надходження товарів і послуг ІБ00-006561 від 27.10.2025 11:00:00
Оприходованы ТМЦ</t>
  </si>
  <si>
    <t>Обл. НДС
Бетон С 16/20 В20
Надходження товарів і послуг ІБ00-006561 від 27.10.2025 11:00:00
Астарта_Тищенки</t>
  </si>
  <si>
    <t>ДОБРОБУД-БЕТОН ТОВ
Рахунки_Астарта_Тищенки
Надходження товарів і послуг ІБ00-006561 від 27.10.2025 11:00:00</t>
  </si>
  <si>
    <t>Надходження дод. витрат ІБ00-000621 від 27.10.2025 11:10:00
Доп. расходы при поступлении товаров (Зачет аванса поставщику)</t>
  </si>
  <si>
    <t>Надходження товарів і послуг ІБ00-006558 від 31.10.2025 11:00:00
Оприходованы ТМЦ</t>
  </si>
  <si>
    <t>Обл. НДС
Бетон С 18/22,5  F100 W8 S4
Надходження товарів і послуг ІБ00-006558 від 31.10.2025 11:00:00
Астарта_Тищенки</t>
  </si>
  <si>
    <t>ДОБРОБУД-БЕТОН ТОВ
Рахунки_Астарта_Тищенки
Надходження товарів і послуг ІБ00-006558 від 31.10.2025 11:00:00</t>
  </si>
  <si>
    <t>Надходження товарів і послуг ІБ00-006559 від 31.10.2025 11:00:00
Оприходованы ТМЦ</t>
  </si>
  <si>
    <t>Обл. НДС
Бетон С 18/22,5  F100 W8 S4
Надходження товарів і послуг ІБ00-006559 від 31.10.2025 11:00:00
Астарта_Тищенки</t>
  </si>
  <si>
    <t>ДОБРОБУД-БЕТОН ТОВ
Рахунки_Астарта_Тищенки
Надходження товарів і послуг ІБ00-006559 від 31.10.2025 11:00:00</t>
  </si>
  <si>
    <t>Вимога-накладна ІБ00-000977 від 10.10.2025 18:22:56
Списаны ТМЦ</t>
  </si>
  <si>
    <t>Обл. НДС
Виробничий (Катеринопіль МХП)
Катеринопіль МХП
Прямі материальні виробничі витрати крім зворотніх відходів</t>
  </si>
  <si>
    <t>Обл. НДС
Лист ПВЛс 506х1250х2500
Надходження товарів і послуг ІБ00-002950 від 10.06.2025 11:00:00
Катеринопіль МХП</t>
  </si>
  <si>
    <t>Обл. НДС
Болт М12*40  DIN 933
Надходження товарів і послуг ІБ00-002329 від 20.05.2025 11:00:00
Катеринопіль МХП</t>
  </si>
  <si>
    <t>Обл. НДС
Болт М12*40  DIN 933 з шест.голівкою цб
Надходження товарів і послуг ІБ00-004584 від 01.08.2025 11:00:00
Катеринопіль МХП</t>
  </si>
  <si>
    <t>Обл. НДС
Болт М12*40 DIN 933 8,8 цб пр
Надходження товарів і послуг ІБ00-002523 від 20.05.2025 11:00:00
Катеринопіль МХП</t>
  </si>
  <si>
    <t>Обл. НДС
Болт М12*45  DIN 933
Надходження товарів і послуг ІБ00-001607 від 02.04.2025 18:11:21
Катеринопіль МХП</t>
  </si>
  <si>
    <t>Обл. НДС
Болт М12*45  DIN 933
Надходження товарів і послуг ІБ00-002523 від 20.05.2025 11:00:00
Катеринопіль МХП</t>
  </si>
  <si>
    <t>Обл. НДС
Болт М12*80 DIN933 8.8цб
Надходження товарів і послуг ІБ00-004584 від 01.08.2025 11:00:00
Катеринопіль МХП</t>
  </si>
  <si>
    <t>Обл. НДС
Болт М10*75  DIN 933 8,8 цб пр
Надходження товарів і послуг ІБ00-004584 від 01.08.2025 11:00:00
Катеринопіль МХП</t>
  </si>
  <si>
    <t>Обл. НДС
Гайка М12  DIN 934  цб
Надходження товарів і послуг ІБ00-002329 від 20.05.2025 11:00:00
Катеринопіль МХП</t>
  </si>
  <si>
    <t>Обл. НДС
Гайка М12  DIN 934  цб
Надходження товарів і послуг ІБ00-002423 від 22.05.2025 11:00:00
Катеринопіль МХП</t>
  </si>
  <si>
    <t>Обл. НДС
Гайка М12 8 цб  ISO4032
Надходження товарів і послуг ІБ00-001607 від 02.04.2025 18:11:21
Катеринопіль МХП</t>
  </si>
  <si>
    <t>Обл. НДС
Гайка М12 8 цб  ISO4032
Надходження товарів і послуг ІБ00-004584 від 01.08.2025 11:00:00
Катеринопіль МХП</t>
  </si>
  <si>
    <t>Обл. НДС
Гайка DIN934 M 12
Надходження товарів і послуг ІБ00-003703 від 01.07.2025 11:00:00
Катеринопіль МХП</t>
  </si>
  <si>
    <t>Обл. НДС
Гайка М10 8 цб  ISO4032
Надходження товарів і послуг ІБ00-004584 від 01.08.2025 11:00:00
Катеринопіль МХП</t>
  </si>
  <si>
    <t>Обл. НДС
Шайба 12  DIN125-1 цб
Надходження товарів і послуг ІБ00-001607 від 02.04.2025 18:11:21
Катеринопіль МХП</t>
  </si>
  <si>
    <t>Обл. НДС
Шайба М14  DIN 125-1 до кл м 4,6-8,8
Надходження товарів і послуг ІБ00-002523 від 20.05.2025 11:00:00
Катеринопіль МХП</t>
  </si>
  <si>
    <t>Обл. НДС
Шайба М16  DIN 125-1 до кл м 4,6-8,8
Надходження товарів і послуг ІБ00-004584 від 01.08.2025 11:00:00
Катеринопіль МХП</t>
  </si>
  <si>
    <t>Обл. НДС
Шайба М10  DIN 125-1 до кл м 4,6-8,8
Надходження товарів і послуг ІБ00-003874 від 04.07.2025 11:00:00
Катеринопіль МХП</t>
  </si>
  <si>
    <t>Обл. НДС
Шайба М10  DIN 125-1 до кл м 4,6-8,8
Надходження товарів і послуг ІБ00-004584 від 01.08.2025 11:00:00
Катеринопіль МХП</t>
  </si>
  <si>
    <t>Списання товарів ІБ00-000603 від 23.10.2025 15:52:05
Списаны ТМЦ</t>
  </si>
  <si>
    <t>Обл. НДС
Змішувач  д/хіманкера
Надходження товарів і послуг ІБ00-003874 від 04.07.2025 11:00:00
Катеринопіль МХП</t>
  </si>
  <si>
    <t>Вимога-накладна ІБ00-000991 від 23.10.2025 18:15:01
Списаны ТМЦ</t>
  </si>
  <si>
    <t>Обл. НДС
Болт М10*35  DIN 933 8,8 цб пр
Надходження товарів і послуг ІБ00-004584 від 01.08.2025 11:00:00
Катеринопіль МХП</t>
  </si>
  <si>
    <t>Надходження товарів і послуг ІБ00-006250 від 27.10.2025 11:00:00
Оприходованы ТМЦ</t>
  </si>
  <si>
    <t>Обл. НДС
Емаль ПФ-115 RAL 7012 (50кг) сірий
Надходження товарів і послуг ІБ00-006250 від 27.10.2025 11:00:00
Катеринопіль МХП</t>
  </si>
  <si>
    <t>Синтез ЛКМ
Рахунки_МХП Катеринополь
Рахунок на оплату постачальника ІБ00-005239 від 27.10.2025 17:24:00</t>
  </si>
  <si>
    <t>Вимога-накладна ІБ00-000997 від 30.10.2025 18:47:08
Списаны ТМЦ</t>
  </si>
  <si>
    <t>Переміщення товарів ІБ00-001036 від 01.10.2025 18:12:43
Перемещение ТМЦ</t>
  </si>
  <si>
    <t>Обл. НДС
Труба  57*3  1-3пс 12м
Переміщення товарів ІБ00-001036 від 01.10.2025 18:12:43
Цех_Глобино</t>
  </si>
  <si>
    <t>Обл. НДС
Труба  57*3  1-3пс 12м
Надходження товарів і послуг 00000000753 від 04.04.2023 14:48:02
Вулиця</t>
  </si>
  <si>
    <t>Переміщення товарів ІБ00-001098 від 01.10.2025 19:01:06
Перемещение ТМЦ</t>
  </si>
  <si>
    <t>Обл. НДС
Брус 50*50 мм 4,5 м
Переміщення товарів ІБ00-001098 від 01.10.2025 19:01:06
Цех_Глобино</t>
  </si>
  <si>
    <t>Обл. НДС
Брус 50*50 мм 4,5 м
Надходження товарів і послуг ІБ00-005632 від 01.09.2025 20:00:35
Цех МД IRS</t>
  </si>
  <si>
    <t>Вимога-накладна ІБ00-001002 від 10.10.2025 20:00:06
Списаны ТМЦ</t>
  </si>
  <si>
    <t>Обл. НДС
Виробничий (Глобине-2)
Цех Глобино
Прямі материальні виробничі витрати крім зворотніх відходів</t>
  </si>
  <si>
    <t>Обл. НДС
Лист г/к 10,0 мм 1500*6000, S235 JR
Надходження товарів і послуг ІБ00-004239 від 05.08.2025 18:00:42
Цех_Глобино</t>
  </si>
  <si>
    <t>Обл. НДС
Труба 80х80х4 
Надходження товарів і послуг ІБ00-003700 від 15.07.2025 18:50:10
Цех_Глобино</t>
  </si>
  <si>
    <t>Обл. НДС
Труба 80х80х4 
Надходження товарів і послуг ІБ00-004725 від 28.08.2025 18:11:49
Цех_Глобино</t>
  </si>
  <si>
    <t>Обл. НДС
Труба 60х60х4,0мм МІРА 6м
Надходження товарів і послуг ІБ00-004264 від 06.08.2025 18:30:59
Цех_Глобино</t>
  </si>
  <si>
    <t>Обл. НДС
Лист г/к 20*1500*6000, S355J2
Надходження товарів і послуг ІБ00-000636 від 24.02.2025 23:35:07
Цех_Глобино</t>
  </si>
  <si>
    <t>Обл. НДС
Лист г/к 30,0 мм 1500*6000, S235 JR
Надходження товарів і послуг ІБ00-001808 від 22.04.2025 11:00:00
Цех_Глобино</t>
  </si>
  <si>
    <t>Обл. НДС
Лист г/к 20*1500*6000, S235 JR
Надходження товарів і послуг ІБ00-004239 від 05.08.2025 18:00:42
Цех_Глобино</t>
  </si>
  <si>
    <t>Обл. НДС
Кутник 100*100 7мм 12м
Надходження товарів і послуг ІБ00-003663 від 11.07.2025 17:57:30
Цех_Глобино</t>
  </si>
  <si>
    <t>Обл. НДС
Балка 24 ІРЕ240 S275JR 12м
Надходження товарів і послуг ІБ00-004251 від 06.08.2025 18:30:53
Цех_Глобино</t>
  </si>
  <si>
    <t>Обл. НДС
труба 100*100*4,0мм 12м
Надходження товарів і послуг ІБ00-004779 від 06.08.2025 18:31:56
Цех_Глобино</t>
  </si>
  <si>
    <t>Обл. НДС
Лист 12  (г,к)(1,5х6)imp((1,5*6,0)S235JR)
Надходження товарів і послуг ІБ00-004241 від 05.08.2025 18:00:48
Цех_Глобино</t>
  </si>
  <si>
    <t>Обл. НДС
Труба 140*140*5 мм (12,5-8940:2019 08пк/1-3пс)
Надходження товарів і послуг ІБ00-004858 від 28.08.2025 18:12:31
Цех_Глобино</t>
  </si>
  <si>
    <t>Обл. НДС
Труба 140*140*5 мм (12,5-8940:2019 08пк/1-3пс)
Надходження товарів і послуг ІБ00-005292 від 19.09.2025 18:18:35
Цех_Глобино</t>
  </si>
  <si>
    <t>Обл. НДС
Лист г/к 4,0 мм 1500*6000, S235 JR
Надходження товарів і послуг ІБ00-003663 від 11.07.2025 17:57:30
Цех_Глобино</t>
  </si>
  <si>
    <t>Обл. НДС
Труба 100*100*5
Надходження товарів і послуг ІБ00-004251 від 06.08.2025 18:30:53
Цех_Глобино</t>
  </si>
  <si>
    <t>Обл. НДС
Швелер 16У (160 12,05- 8240 3пс)
Надходження товарів і послуг ІБ00-004268 від 06.08.2025 18:31:12
Цех_Глобино</t>
  </si>
  <si>
    <t>Обл. НДС
Швелер 16У (160 12,05- 8240 3пс)
Надходження товарів і послуг ІБ00-004269 від 06.08.2025 18:31:15
Цех_Глобино</t>
  </si>
  <si>
    <t>Обл. НДС
Кутник 63х63х5  L=6000
Надходження товарів і послуг ІБ00-004728 від 27.08.2025 18:27:06
Цех_Глобино</t>
  </si>
  <si>
    <t>Надходження товарів і послуг ІБ00-005964 від 16.10.2025 18:17:04
Оприходованы ТМЦ</t>
  </si>
  <si>
    <t>Обл. НДС
Труба ст.20 г/деф 70х50х4
Надходження товарів і послуг ІБ00-005964 від 16.10.2025 18:17:04
Цех_Глобино</t>
  </si>
  <si>
    <t>МЕТАЛ ХОЛДІНГ ТРЕЙД ТОВ
Дог 01/219/25 від 01.04.2025_Глобине-2
Рахунок на оплату постачальника ІБ00-004519 від 22.09.2025 20:26:10</t>
  </si>
  <si>
    <t>Вимога-накладна ІБ00-000994 від 18.10.2025 00:00:00
Списаны ТМЦ</t>
  </si>
  <si>
    <t>Вимога-накладна ІБ00-001001 від 18.10.2025 00:00:00
Списаны ТМЦ</t>
  </si>
  <si>
    <t>Списання товарів ІБ00-000602 від 20.10.2025 00:00:00
Списаны ТМЦ</t>
  </si>
  <si>
    <t>Обл. НДС
Виробничий (Катеринопіль МХП)
Цех МХП
Прямі материальні виробничі витрати крім зворотніх відходів</t>
  </si>
  <si>
    <t>Надходження товарів і послуг ІБ00-006126 від 24.10.2025 17:27:54
Оприходованы ТМЦ</t>
  </si>
  <si>
    <t>Обл. НДС
Швелер гнутий 160*80*5
Надходження товарів і послуг ІБ00-006126 від 24.10.2025 17:27:54
Цех_Глобино</t>
  </si>
  <si>
    <t>МЕТАЛ ХОЛДІНГ ТРЕЙД ТОВ
Дог 01/219/25 від 01.04.2025_Глобине-2
Рахунок на оплату постачальника ІБ00-004705 від 22.09.2025 20:26:29</t>
  </si>
  <si>
    <t>Надходження товарів і послуг ІБ00-006126 від 24.10.2025 17:27:54
Оприходованы ТМЦ (Зачет аванса поставщику)</t>
  </si>
  <si>
    <t>Надходження дод. витрат ІБ00-000604 від 24.10.2025 17:27:55
Доп. расходы при поступлении товаров</t>
  </si>
  <si>
    <t>Вимога-накладна ІБ00-000902 від 27.10.2025 00:00:00
Списаны ТМЦ</t>
  </si>
  <si>
    <t>Обл. НДС
Швелер 16У (160 12,05- 8240 3пс)
Надходження товарів і послуг ІБ00-004267 від 06.08.2025 18:31:09
Цех_Глобино</t>
  </si>
  <si>
    <t>Обл. НДС
Труба 219*5
Надходження товарів і послуг ІБ00-004251 від 06.08.2025 18:30:53
Цех_Глобино</t>
  </si>
  <si>
    <t>Обл. НДС
Труба 219*6 ст1-3 сп/пс L=6,05
Надходження товарів і послуг ІБ00-004251 від 06.08.2025 18:30:53
Цех_Глобино</t>
  </si>
  <si>
    <t>Обл. НДС
Труба 40*40*3 мм ст.1-3пс, 6 м
Надходження товарів і послуг ІБ00-006577 від 30.12.2024 21:00:07
Цех_Глобино</t>
  </si>
  <si>
    <t>Обл. НДС
Труба 40*40*3 мм ст.1-3пс, 6 м
Надходження товарів і послуг ІБ00-004264 від 06.08.2025 18:30:59
Цех_Глобино</t>
  </si>
  <si>
    <t>Обл. НДС
Труба 40х20х2
Надходження товарів і послуг ІБ00-004270 від 05.08.2025 18:00:56
Цех_Глобино</t>
  </si>
  <si>
    <t>Вимога-накладна ІБ00-000998 від 27.10.2025 17:24:13
Списаны ТМЦ</t>
  </si>
  <si>
    <t>Обл. НДС
Кутник 75*75 мм  6,0 мм, S275 JR 12 м
Надходження товарів і послуг ІБ00-004728 від 27.08.2025 18:27:06
Цех_Глобино</t>
  </si>
  <si>
    <t>Обл. НДС
Кутник 75х75 5мм 6м
Надходження товарів і послуг ІБ00-003663 від 11.07.2025 17:57:30
Цех_Глобино</t>
  </si>
  <si>
    <t>Обл. НДС
Круг 18 мм
Надходження товарів і послуг ІБ00-004727 від 28.08.2025 18:11:55
Цех_Глобино</t>
  </si>
  <si>
    <t>Обл. НДС
Круг 18 мм
Надходження товарів і послуг ІБ00-005477 від 25.09.2025 19:06:02
Цех_Глобино</t>
  </si>
  <si>
    <t>Обл. НДС
Лист 4 (г.к)  (1,5х6) ((1,5*6,0) 14637 3сп5)
Надходження товарів і послуг ІБ00-004239 від 05.08.2025 18:00:42
Цех_Глобино</t>
  </si>
  <si>
    <t>Надходження товарів і послуг ІБ00-005691 від 01.10.2025 11:00:00
Оприходованы ТМЦ</t>
  </si>
  <si>
    <t>Обл. НДС
Бетон С 20/25  F75 W6 Р4
Надходження товарів і послуг ІБ00-005691 від 01.10.2025 11:00:00
Глобине-2</t>
  </si>
  <si>
    <t>Кременчуцький річковий порт ПРАТ
Договір 112/Б від 15.10.2024_Глобине-2
Надходження товарів і послуг ІБ00-005691 від 01.10.2025 11:00:00</t>
  </si>
  <si>
    <t>Надходження товарів і послуг ІБ00-006008 від 01.10.2025 11:00:00
Оприходованы ТМЦ (Зачет аванса поставщику)</t>
  </si>
  <si>
    <t>Обл. НДС
Газоблок ХСМ 375*200*600 D500
Надходження товарів і послуг ІБ00-006008 від 01.10.2025 11:00:00
АПК (Глобине)</t>
  </si>
  <si>
    <t>СТАНДАРТ-БУД ТОВ
РАХУНКИ_Глобино-2
Рахунок на оплату постачальника ІБ00-004283 від 09.09.2025 21:12:46</t>
  </si>
  <si>
    <t>Обл. НДС
Клей для газобетону МР2 (25 кг)
Надходження товарів і послуг ІБ00-006008 від 01.10.2025 11:00:00
АПК (Глобине)</t>
  </si>
  <si>
    <t>Надходження товарів і послуг ІБ00-006009 від 01.10.2025 11:00:00
Оприходованы ТМЦ (Зачет аванса поставщику)</t>
  </si>
  <si>
    <t>Обл. НДС
Газоблок ХСМ 375*200*600 D500
Надходження товарів і послуг ІБ00-006009 від 01.10.2025 11:00:00
АПК (Глобине)</t>
  </si>
  <si>
    <t>Обл. НДС
Клей для газобетону МР2 (25 кг)
Надходження товарів і послуг ІБ00-006009 від 01.10.2025 11:00:00
АПК (Глобине)</t>
  </si>
  <si>
    <t>Надходження товарів і послуг ІБ00-006010 від 01.10.2025 11:00:00
Оприходованы ТМЦ</t>
  </si>
  <si>
    <t>Обл. НДС
Цемент ПЦ ІІ/А-3 500 , 25 кг
Надходження товарів і послуг ІБ00-006010 від 01.10.2025 11:00:00
Котельна (Глобине)</t>
  </si>
  <si>
    <t>СТАНДАРТ-БУД ТОВ
РАХУНКИ_Глобино-2
Рахунок на оплату постачальника ІБ00-004196 від 02.09.2025 18:00:24</t>
  </si>
  <si>
    <t>Надходження товарів і послуг ІБ00-006010 від 01.10.2025 11:00:00
Оприходованы ТМЦ (Зачет аванса поставщику)</t>
  </si>
  <si>
    <t>Надходження товарів і послуг ІБ00-006011 від 01.10.2025 11:00:00
Оприходованы ТМЦ (Зачет аванса поставщику)</t>
  </si>
  <si>
    <t>Обл. НДС
Цемент ПЦ ІІ/А-3 500 , 25 кг
Надходження товарів і послуг ІБ00-006011 від 01.10.2025 11:00:00
АПК (Глобине)</t>
  </si>
  <si>
    <t>СТАНДАРТ-БУД ТОВ
РАХУНКИ_Глобино-2
Рахунок на оплату постачальника ІБ00-004343 від 11.09.2025 18:34:46</t>
  </si>
  <si>
    <t>Надходження товарів і послуг ІБ00-006066 від 01.10.2025 11:00:00
Оприходованы ТМЦ (Зачет аванса поставщику)</t>
  </si>
  <si>
    <t>Обл. НДС
Євроруберойд  ХПП - 2,0 ,15 м
Надходження товарів і послуг ІБ00-006066 від 01.10.2025 11:00:00
АПК (Глобине)</t>
  </si>
  <si>
    <t>Лозовий Микола Миколайович ФОП
РАХУНКИ_Глобино-2
Рахунок на оплату постачальника ІБ00-004527 від 22.08.2025 18:06:28</t>
  </si>
  <si>
    <t>Надходження товарів і послуг ІБ00-006071 від 01.10.2025 11:00:00
Оприходованы ТМЦ (Зачет аванса поставщику)</t>
  </si>
  <si>
    <t>Обл. НДС
Полімерцементне покриття CF 56/25 кг  Corundum 
Надходження товарів і послуг ІБ00-006071 від 01.10.2025 11:00:00
Глобине-2</t>
  </si>
  <si>
    <t>ПОЛО-ІНВЕСТБУД ТОВ
РАХУНКИ_Глобино-2
Рахунок на оплату постачальника ІБ00-004310 від 08.09.2025 17:47:57</t>
  </si>
  <si>
    <t>Надходження товарів і послуг ІБ00-006071 від 01.10.2025 11:00:00
Оприходованы ТМЦ</t>
  </si>
  <si>
    <t>Обл. НДС
Грунтовка бетоконтакт СТ-19 15кг
Надходження товарів і послуг ІБ00-006071 від 01.10.2025 11:00:00
Глобине-2</t>
  </si>
  <si>
    <t>Надходження товарів і послуг ІБ00-006074 від 01.10.2025 11:00:00
Оприходованы ТМЦ (Зачет аванса поставщику)</t>
  </si>
  <si>
    <t>Обл. НДС
Анкер хімічний 300 мл R-KEM-II 
Надходження товарів і послуг ІБ00-006074 від 01.10.2025 11:00:00
Глобине-2</t>
  </si>
  <si>
    <t>Будівельна Гільдія Черкаси ТОВ
Дог7/11/24від07.11.24_Глобино-2
Рахунок на оплату постачальника ІБ00-004405 від 16.09.2025 18:37:33</t>
  </si>
  <si>
    <t>Обл. НДС
Сітка штукатурна лугостійка 5 х5 мм (1*50 м) 160 г/кв.м
Надходження товарів і послуг ІБ00-006074 від 01.10.2025 11:00:00
Глобине-2</t>
  </si>
  <si>
    <t>Обл. НДС
Клей-піна монтажна , 750 мл
Надходження товарів і послуг ІБ00-006074 від 01.10.2025 11:00:00
Глобине-2</t>
  </si>
  <si>
    <t>Обл. НДС
Армопояс ф3 150*150мм р2,0*1,0м
Надходження товарів і послуг ІБ00-006074 від 01.10.2025 11:00:00
Глобине-2</t>
  </si>
  <si>
    <t>Надходження товарів і послуг ІБ00-006075 від 01.10.2025 11:00:00
Оприходованы ТМЦ (Зачет аванса поставщику)</t>
  </si>
  <si>
    <t>Обл. НДС
Пінополістирол 30*550*1185мм Стіна
Надходження товарів і послуг ІБ00-006075 від 01.10.2025 11:00:00
АПК (Глобине)</t>
  </si>
  <si>
    <t>Будівельна Гільдія Черкаси ТОВ
Дог7/11/24від07.11.24_Глобино-2
Рахунок на оплату постачальника ІБ00-004407 від 16.09.2025 18:37:35</t>
  </si>
  <si>
    <t>Надходження товарів і послуг ІБ00-006077 від 01.10.2025 11:00:00
Оприходованы ТМЦ</t>
  </si>
  <si>
    <t>Обл. НДС
Цемент ПЦ ІІ/А-Ш 500 , 25 кг
Надходження товарів і послуг ІБ00-006077 від 01.10.2025 11:00:00
АПК (Глобине)</t>
  </si>
  <si>
    <t>Будівельна Гільдія Черкаси ТОВ
Дог7/11/24від07.11.24_Глобино-2
Рахунок на оплату постачальника ІБ00-004406 від 16.09.2025 18:37:34</t>
  </si>
  <si>
    <t>Надходження товарів і послуг ІБ00-006077 від 01.10.2025 11:00:00
Оприходованы ТМЦ (Зачет аванса поставщику)</t>
  </si>
  <si>
    <t>Надходження товарів і послуг ІБ00-006160 від 01.10.2025 11:00:00
Оприходованы ТМЦ</t>
  </si>
  <si>
    <t>Обл. НДС
ЛС 14-1
Надходження товарів і послуг ІБ00-006160 від 01.10.2025 11:00:00
АПК (Глобине)</t>
  </si>
  <si>
    <t>Дорожні та Енергетичні конструкції ЗЗВ
Рахунки_Глобино-2
Рахунок на оплату постачальника ІБ00-004415 від 08.09.2025 17:47:59</t>
  </si>
  <si>
    <t>Надходження товарів і послуг ІБ00-006160 від 01.10.2025 11:00:00
Оприходованы ТМЦ (Зачет аванса поставщику)</t>
  </si>
  <si>
    <t>Надходження товарів і послуг ІБ00-006199 від 01.10.2025 11:00:00
Оприходованы ТМЦ (Зачет аванса поставщику)</t>
  </si>
  <si>
    <t>Обл. НДС
Блок  газобетон.200*300*600 D500 
Надходження товарів і послуг ІБ00-006199 від 01.10.2025 11:00:00
Цех екстракції (Глобине)</t>
  </si>
  <si>
    <t>Обл. НДС
Клей для газобетону ХСМ МР2 (25 кг)
Надходження товарів і послуг ІБ00-006199 від 01.10.2025 11:00:00
Цех екстракції (Глобине)</t>
  </si>
  <si>
    <t>Надходження товарів і послуг ІБ00-006200 від 01.10.2025 11:00:00
Оприходованы ТМЦ (Зачет аванса поставщику)</t>
  </si>
  <si>
    <t>Обл. НДС
Газоблок ХСМ 375*200*600 D500
Надходження товарів і послуг ІБ00-006200 від 01.10.2025 11:00:00
АПК (Глобине)</t>
  </si>
  <si>
    <t>Надходження товарів і послуг ІБ00-006201 від 01.10.2025 11:00:00
Оприходованы ТМЦ</t>
  </si>
  <si>
    <t>Обл. НДС
Газоблок ХСМ 375*200*600 D500
Надходження товарів і послуг ІБ00-006201 від 01.10.2025 11:00:00
Глобине-2</t>
  </si>
  <si>
    <t>Обл. НДС
Блок  газобетон.200*300*600 D500 
Надходження товарів і послуг ІБ00-006201 від 01.10.2025 11:00:00
Глобине-2</t>
  </si>
  <si>
    <t>Надходження товарів і послуг ІБ00-006204 від 01.10.2025 11:00:00
Оприходованы ТМЦ</t>
  </si>
  <si>
    <t>Обл. НДС
Дріт 1,2 мм Н-О-Ч
Надходження товарів і послуг ІБ00-006204 від 01.10.2025 11:00:00
СПК (Глобине)</t>
  </si>
  <si>
    <t>МЕТІНВЕСТ-СМЦ ТОВ
№1778403/01/2023-С от 11.01.2023 РАХУНКИ_Глобино-2
Рахунок на оплату постачальника ІБ00-005170 від 01.10.2025 23:00:16</t>
  </si>
  <si>
    <t>Обл. НДС
Труба 100*100*4  ст1-3 пс L=12000
Надходження товарів і послуг ІБ00-006204 від 01.10.2025 11:00:00
СПК (Глобине)</t>
  </si>
  <si>
    <t>Надходження товарів і послуг ІБ00-006205 від 01.10.2025 11:00:00
Оприходованы ТМЦ</t>
  </si>
  <si>
    <t>Обл. НДС
Швелер 12П ст.1-3сп/пс 5 кат L= 12000
Надходження товарів і послуг ІБ00-006205 від 01.10.2025 11:00:00
СПК (Глобине)</t>
  </si>
  <si>
    <t>Обл. НДС
Балка ІРЕ 200 міра L=12 S235JR
Надходження товарів і послуг ІБ00-006205 від 01.10.2025 11:00:00
СПК (Глобине)</t>
  </si>
  <si>
    <t>Обл. НДС
Швелер 20П міра L=12000.00мм 1-3 сп/пс 5 категорія
Надходження товарів і послуг ІБ00-006205 від 01.10.2025 11:00:00
СПК (Глобине)</t>
  </si>
  <si>
    <t>Обл. НДС
Швелер 24П ст.3сп/пс 5, 12 м
Надходження товарів і послуг ІБ00-006205 від 01.10.2025 11:00:00
СПК (Глобине)</t>
  </si>
  <si>
    <t>Надходження товарів і послуг ІБ00-006206 від 01.10.2025 11:00:00
Оприходованы ТМЦ</t>
  </si>
  <si>
    <t>Обл. НДС
Труба профільна 100*100*4 L=12000 мм ст1-3 сп/пс
Надходження товарів і послуг ІБ00-006206 від 01.10.2025 11:00:00
СПК (Глобине)</t>
  </si>
  <si>
    <t>Надходження товарів і послуг ІБ00-006207 від 01.10.2025 11:00:00
Оприходованы ТМЦ</t>
  </si>
  <si>
    <t>Обл. НДС
Труба профільна 120*120*4 L=12000 мм ст1-3 сп/пс
Надходження товарів і послуг ІБ00-006207 від 01.10.2025 11:00:00
СПК (Глобине)</t>
  </si>
  <si>
    <t>Обл. НДС
Балка ІРЕ 360 міра L=12 S275JR
Надходження товарів і послуг ІБ00-006207 від 01.10.2025 11:00:00
СПК (Глобине)</t>
  </si>
  <si>
    <t>Надходження товарів і послуг ІБ00-006212 від 01.10.2025 11:00:00
Оприходованы ТМЦ</t>
  </si>
  <si>
    <t>Обл. НДС
Арматура №12  А500С L=12000 мм
Надходження товарів і послуг ІБ00-006212 від 01.10.2025 11:00:00
Глобине-2</t>
  </si>
  <si>
    <t>Обл. НДС
Арматура №10  А240С L=6000 мм
Надходження товарів і послуг ІБ00-006212 від 01.10.2025 11:00:00
Глобине-2</t>
  </si>
  <si>
    <t>Обл. НДС
Арматура № 8  А500С, L=12000 мм
Надходження товарів і послуг ІБ00-006212 від 01.10.2025 11:00:00
Глобине-2</t>
  </si>
  <si>
    <t>Обл. НДС
Арматура №12  А240С L=6000 мм
Надходження товарів і послуг ІБ00-006212 від 01.10.2025 11:00:00
Глобине-2</t>
  </si>
  <si>
    <t>Обл. НДС
Кутик 50*50*5мм ст. S275 JR 6м
Надходження товарів і послуг ІБ00-006212 від 01.10.2025 11:00:00
Глобине-2</t>
  </si>
  <si>
    <t>Обл. НДС
кутики 75х75х5 мм; ст. 3сп5; 12 м
Надходження товарів і послуг ІБ00-006212 від 01.10.2025 11:00:00
Глобине-2</t>
  </si>
  <si>
    <t>Надходження товарів і послуг ІБ00-006213 від 01.10.2025 11:00:00
Оприходованы ТМЦ</t>
  </si>
  <si>
    <t>Обл. НДС
Труба профільна 120*120*4 L=12000 мм ст1-3 сп/пс
Надходження товарів і послуг ІБ00-006213 від 01.10.2025 11:00:00
СПК (Глобине)</t>
  </si>
  <si>
    <t>Надходження товарів і послуг ІБ00-006214 від 01.10.2025 11:00:00
Оприходованы ТМЦ</t>
  </si>
  <si>
    <t>Обл. НДС
Труба профільна 100*100*5 мм, 12 м
Надходження товарів і послуг ІБ00-006214 від 01.10.2025 11:00:00
СПК (Глобине)</t>
  </si>
  <si>
    <t>Обл. НДС
Труба профільна 40*40*3,0  L=6000 мм ст1-3 сп/пс
Надходження товарів і послуг ІБ00-006214 від 01.10.2025 11:00:00
СПК (Глобине)</t>
  </si>
  <si>
    <t>Надходження товарів і послуг ІБ00-006217 від 01.10.2025 11:00:00
Оприходованы ТМЦ</t>
  </si>
  <si>
    <t>Обл. НДС
Труба профільна 100*100*4 L=12000 мм ст1-3 сп/пс
Надходження товарів і послуг ІБ00-006217 від 01.10.2025 11:00:00
СПК (Глобине)</t>
  </si>
  <si>
    <t>Обл. НДС
Труба  40*20*2 мм  ст 1-3 пс, L=6 м
Надходження товарів і послуг ІБ00-006217 від 01.10.2025 11:00:00
СПК (Глобине)</t>
  </si>
  <si>
    <t>Надходження товарів і послуг ІБ00-006218 від 01.10.2025 11:00:00
Оприходованы ТМЦ</t>
  </si>
  <si>
    <t>Обл. НДС
Балка ІРЕ 200 міра L=12 S235JR
Надходження товарів і послуг ІБ00-006218 від 01.10.2025 11:00:00
СПК (Глобине)</t>
  </si>
  <si>
    <t>Обл. НДС
Балка ІРЕ 300 міра L=12 S275JR
Надходження товарів і послуг ІБ00-006218 від 01.10.2025 11:00:00
СПК (Глобине)</t>
  </si>
  <si>
    <t>Обл. НДС
Швелер № 16П міра 12,00 м
Надходження товарів і послуг ІБ00-006218 від 01.10.2025 11:00:00
СПК (Глобине)</t>
  </si>
  <si>
    <t>Надходження товарів і послуг ІБ00-006219 від 01.10.2025 11:00:00
Оприходованы ТМЦ</t>
  </si>
  <si>
    <t>Обл. НДС
Труба профільна 120*120*4 L=12000 мм ст1-3 сп/пс
Надходження товарів і послуг ІБ00-006219 від 01.10.2025 11:00:00
СПК (Глобине)</t>
  </si>
  <si>
    <t>Надходження товарів і послуг ІБ00-006249 від 01.10.2025 11:00:00
Оприходованы ТМЦ</t>
  </si>
  <si>
    <t>Обл. НДС
Труба 159*4,5 мм, 12 м
Надходження товарів і послуг ІБ00-006249 від 01.10.2025 11:00:00
Резервуарний парк соєвої меляси (Глобине)</t>
  </si>
  <si>
    <t>Обл. НДС
Цемент ПЦ ІІ/А-Ш 500 , 25 кг
Надходження товарів і послуг ІБ00-006378 від 01.10.2025 11:00:00
Цех екстракції (Глобине)</t>
  </si>
  <si>
    <t>Переміщення товарів ІБ00-001124 від 01.10.2025 11:10:00
Перемещение ТМЦ</t>
  </si>
  <si>
    <t>Обл. НДС
Полімерцементне покриття CF 56/25 кг  Corundum 
Переміщення товарів ІБ00-001124 від 01.10.2025 11:10:00
АПК (Глобине)</t>
  </si>
  <si>
    <t>Переміщення товарів ІБ00-001125 від 01.10.2025 11:10:00
Перемещение ТМЦ</t>
  </si>
  <si>
    <t>Обл. НДС
Грунтовка бетоконтакт СТ-19 15кг
Переміщення товарів ІБ00-001125 від 01.10.2025 11:10:00
Котельна (Глобине)</t>
  </si>
  <si>
    <t>Переміщення товарів ІБ00-001126 від 01.10.2025 11:10:00
Перемещение ТМЦ</t>
  </si>
  <si>
    <t>Обл. НДС
Анкер хімічний 300 мл R-KEM-II 
Переміщення товарів ІБ00-001126 від 01.10.2025 11:10:00
Котельна (Глобине)</t>
  </si>
  <si>
    <t>Обл. НДС
Сітка штукатурна лугостійка 5 х5 мм (1*50 м) 160 г/кв.м
Переміщення товарів ІБ00-001126 від 01.10.2025 11:10:00
Котельна (Глобине)</t>
  </si>
  <si>
    <t>Переміщення товарів ІБ00-001127 від 01.10.2025 11:10:00
Перемещение ТМЦ</t>
  </si>
  <si>
    <t>Обл. НДС
Клей-піна монтажна , 750 мл
Переміщення товарів ІБ00-001127 від 01.10.2025 11:10:00
АПК (Глобине)</t>
  </si>
  <si>
    <t>Обл. НДС
Армопояс ф3 150*150мм р2,0*1,0м
Переміщення товарів ІБ00-001127 від 01.10.2025 11:10:00
АПК (Глобине)</t>
  </si>
  <si>
    <t>Переміщення товарів ІБ00-001154 від 01.10.2025 11:10:00
Перемещение ТМЦ</t>
  </si>
  <si>
    <t>Обл. НДС
Газоблок ХСМ 375*200*600 D500
Переміщення товарів ІБ00-001154 від 01.10.2025 11:10:00
АПК (Глобине)</t>
  </si>
  <si>
    <t>Переміщення товарів ІБ00-001155 від 01.10.2025 11:10:00
Перемещение ТМЦ</t>
  </si>
  <si>
    <t>Обл. НДС
Блок  газобетон.200*300*600 D500 
Переміщення товарів ІБ00-001155 від 01.10.2025 11:10:00
Цех екстракції (Глобине)</t>
  </si>
  <si>
    <t>Переміщення товарів ІБ00-001157 від 01.10.2025 11:10:00
Перемещение ТМЦ</t>
  </si>
  <si>
    <t>Обл. НДС
Арматура №12  А500С L=12000 мм
Переміщення товарів ІБ00-001157 від 01.10.2025 11:10:00
Цех екстракції (Глобине)</t>
  </si>
  <si>
    <t>Обл. НДС
Арматура №10  А240С L=6000 мм
Переміщення товарів ІБ00-001157 від 01.10.2025 11:10:00
Цех екстракції (Глобине)</t>
  </si>
  <si>
    <t>Переміщення товарів ІБ00-001158 від 01.10.2025 11:10:00
Перемещение ТМЦ</t>
  </si>
  <si>
    <t>Обл. НДС
Арматура № 8  А500С, L=12000 мм
Переміщення товарів ІБ00-001158 від 01.10.2025 11:10:00
АПК (Глобине)</t>
  </si>
  <si>
    <t>Переміщення товарів ІБ00-001159 від 01.10.2025 11:10:00
Перемещение ТМЦ</t>
  </si>
  <si>
    <t>Обл. НДС
Арматура №12  А500С L=12000 мм
Переміщення товарів ІБ00-001159 від 01.10.2025 11:10:00
ГРП (Глобине)</t>
  </si>
  <si>
    <t>Обл. НДС
Арматура №12  А240С L=6000 мм
Переміщення товарів ІБ00-001159 від 01.10.2025 11:10:00
ГРП (Глобине)</t>
  </si>
  <si>
    <t>Переміщення товарів ІБ00-001160 від 01.10.2025 11:10:00
Перемещение ТМЦ</t>
  </si>
  <si>
    <t>Обл. НДС
Кутик 50*50*5мм ст. S275 JR 6м
Переміщення товарів ІБ00-001160 від 01.10.2025 11:10:00
СПК (Глобине)</t>
  </si>
  <si>
    <t>Обл. НДС
кутики 75х75х5 мм; ст. 3сп5; 12 м
Переміщення товарів ІБ00-001160 від 01.10.2025 11:10:00
СПК (Глобине)</t>
  </si>
  <si>
    <t>Обл. НДС
Арматура №12  А500С L=12000 мм
Переміщення товарів ІБ00-001160 від 01.10.2025 11:10:00
СПК (Глобине)</t>
  </si>
  <si>
    <t>Надходження дод. витрат ІБ00-000570 від 01.10.2025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</si>
  <si>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ІБ00-000570 від 01.10.2025 11:10:00</t>
  </si>
  <si>
    <t>Надходження дод. витрат ІБ00-000619 від 01.10.2025 11:10:00
Доп. расходы при поступлении товаров</t>
  </si>
  <si>
    <t>Надходження дод. витрат ІБ00-000622 від 01.10.2025 11:10:00
Доп. расходы при поступлении товаров</t>
  </si>
  <si>
    <t>Надходження дод. витрат ІБ00-000623 від 01.10.2025 11:10:00
Доп. расходы при поступлении товаров</t>
  </si>
  <si>
    <t>Переміщення товарів ІБ00-001024 від 01.10.2025 11:20:00
Перемещение ТМЦ</t>
  </si>
  <si>
    <t>Обл. НДС
Бетон С 20/25  F75 W6 Р4
Переміщення товарів ІБ00-001024 від 01.10.2025 11:20:00
Очисні споруди (Глобине)</t>
  </si>
  <si>
    <t>Переміщення товарів ІБ00-001025 від 01.10.2025 11:20:00
Перемещение ТМЦ</t>
  </si>
  <si>
    <t>Обл. НДС
Бетон С 20/25  F75 W6 Р4
Переміщення товарів ІБ00-001025 від 01.10.2025 11:20:00
Пункт фасування та зберігання в бігбегах (Глобине)</t>
  </si>
  <si>
    <t>Переміщення товарів ІБ00-001026 від 01.10.2025 11:20:00
Перемещение ТМЦ</t>
  </si>
  <si>
    <t>Обл. НДС
Бетон С 20/25  F75 W6 Р4
Переміщення товарів ІБ00-001026 від 01.10.2025 11:20:00
Цех екстракції (Глобине)</t>
  </si>
  <si>
    <t>Переміщення товарів ІБ00-001012 від 01.10.2025 18:12:33
Перемещение ТМЦ</t>
  </si>
  <si>
    <t>Обл. НДС
Клапан регулюючий з/пневмо приводом односідельний DN150 PN40 корпус чавун
Переміщення товарів ІБ00-001012 від 01.10.2025 18:12:33
Глобине-2</t>
  </si>
  <si>
    <t>Обл. НДС
Клапан регулюючий з/пневмо приводом односідельний DN150 PN40 корпус чавун
Надходження товарів і послуг ІБ00-005398 від 17.09.2025 11:00:00
Резервуарний парк соєвої меляси (Глобине)</t>
  </si>
  <si>
    <t>Обл. НДС
Клапан прохідний односідельний DN80 PN40 корпус чавун
Переміщення товарів ІБ00-001012 від 01.10.2025 18:12:33
Глобине-2</t>
  </si>
  <si>
    <t>Обл. НДС
Клапан прохідний односідельний DN80 PN40 корпус чавун
Надходження товарів і послуг ІБ00-005398 від 17.09.2025 11:00:00
Резервуарний парк соєвої меляси (Глобине)</t>
  </si>
  <si>
    <t>Переміщення товарів ІБ00-001014 від 01.10.2025 18:12:34
Перемещение ТМЦ</t>
  </si>
  <si>
    <t>Обл. НДС
Кран кульов фланц 2525 16  чугун DN200 PN16 куля н/ж ущільн PTFE
Переміщення товарів ІБ00-001014 від 01.10.2025 18:12:34
Глобине-2</t>
  </si>
  <si>
    <t>Обл. НДС
Кран кульов фланц 2525 16  чугун DN200 PN16 куля н/ж ущільн PTFE
Надходження товарів і послуг ІБ00-005100 від 08.09.2025 11:00:00
Резервуар для зберігання розчинника(Глобине)</t>
  </si>
  <si>
    <t>Переміщення товарів ІБ00-001017 від 01.10.2025 18:12:35
Перемещение ТМЦ</t>
  </si>
  <si>
    <t>Обл. НДС
Кран кульовий фланцевий KPN DN300 PN16 повнопрохідний (корпус ковкий чавуну EN-GJS-400 
Переміщення товарів ІБ00-001017 від 01.10.2025 18:12:35
Глобине-2</t>
  </si>
  <si>
    <t>Обл. НДС
Кран кульовий фланцевий KPN DN300 PN16 повнопрохідний (корпус ковкий чавуну EN-GJS-400 
Надходження товарів і послуг ІБ00-005107 від 08.09.2025 11:00:00
Резервуарний парк соєвої меляси (Глобине)</t>
  </si>
  <si>
    <t>Переміщення товарів ІБ00-001018 від 01.10.2025 18:12:36
Перемещение ТМЦ</t>
  </si>
  <si>
    <t>Обл. НДС
Кран кульовий фланцевий KPN DN300 PN16, повнопрох (ковкий чавуну EN-GJS-400 В комп-і з пневмоприводо
Переміщення товарів ІБ00-001018 від 01.10.2025 18:12:36
Глобине-2</t>
  </si>
  <si>
    <t>Обл. НДС
Кран кульовий фланцевий KPN DN300 PN16, повнопрох (ковкий чавуну EN-GJS-400 В комп-і з пневмоприводо
Надходження товарів і послуг ІБ00-005198 від 11.09.2025 11:00:00
Резервуарний парк соєвої меляси (Глобине)</t>
  </si>
  <si>
    <t>Переміщення товарів ІБ00-001019 від 01.10.2025 18:12:37
Перемещение ТМЦ</t>
  </si>
  <si>
    <t>Обл. НДС
Фільтр фланц DN600 PN10 сталь 20 фільтр ел-т сітка н/ж 5*5мм
Переміщення товарів ІБ00-001019 від 01.10.2025 18:12:37
Глобине-2</t>
  </si>
  <si>
    <t>Обл. НДС
Фільтр фланц DN600 PN10 сталь 20 фільтр ел-т сітка н/ж 5*5мм
Надходження товарів і послуг ІБ00-005397 від 17.09.2025 11:00:00
Насосна Градирня (Глобине)</t>
  </si>
  <si>
    <t>Переміщення товарів ІБ00-001020 від 01.10.2025 18:12:38
Перемещение ТМЦ</t>
  </si>
  <si>
    <t>Обл. НДС
Засувка Батерфляй 2109 20 DN300 PN16 чавун EN-GJL-200 EPDM н/ж AISI316
Переміщення товарів ІБ00-001020 від 01.10.2025 18:12:38
Глобине-2</t>
  </si>
  <si>
    <t>Обл. НДС
Засувка Батерфляй 2109 20 DN300 PN16 чавун EN-GJL-200 EPDM н/ж AISI316
Надходження товарів і послуг ІБ00-005399 від 17.09.2025 11:00:00
Насосна Градирня (Глобине)</t>
  </si>
  <si>
    <t>Надходження товарів і послуг ІБ00-005928 від 01.10.2025 19:00:38
Оприходованы ТМЦ (Зачет аванса поставщику)</t>
  </si>
  <si>
    <t>Обл. НДС
Лист н/ж 304 10,0 (1,5*6,0)
Надходження товарів і послуг ІБ00-005928 від 01.10.2025 19:00:38
Цех екстракції (Глобине)</t>
  </si>
  <si>
    <t>МЕТАЛ ХОЛДІНГ ТРЕЙД ТОВ
Дог 01/219/25 від 01.04.2025_Глобине-2
Рахунок на оплату постачальника ІБ00-004424 від 05.09.2025 21:00:13</t>
  </si>
  <si>
    <t>Надходження дод. витрат ІБ00-000582 від 01.10.2025 19:00:39
Доп. расходы при поступлении товаров</t>
  </si>
  <si>
    <t>Надходження дод. витрат ІБ00-000582 від 01.10.2025 19:00:39
Доп. расходы при поступлении товаров (Зачет аванса поставщику)</t>
  </si>
  <si>
    <t>Надходження товарів і послуг ІБ00-006584 від 01.10.2025 23:00:36
Оприходованы ТМЦ (Зачет аванса поставщику)</t>
  </si>
  <si>
    <t>Обл. НДС
Пропитка акрилова для бетону
Надходження товарів і послуг ІБ00-006584 від 01.10.2025 23:00:36
АПК (Глобине)</t>
  </si>
  <si>
    <t>ГРІН ПАРТС ТОВ
Рахунки_Глобино-2
Рахунок на оплату постачальника ІБ00-004411 від 17.09.2025 18:45:51</t>
  </si>
  <si>
    <t>Надходження товарів і послуг ІБ00-005693 від 02.10.2025 11:00:00
Оприходованы ТМЦ</t>
  </si>
  <si>
    <t>Обл. НДС
Піна-клей швидка фіксація 860мл
Надходження товарів і послуг ІБ00-005693 від 02.10.2025 11:00:00
СПК (Глобине)</t>
  </si>
  <si>
    <t>Лозовий Микола Миколайович ФОП
РАХУНКИ_Глобино-2
Рахунок на оплату постачальника ІБ00-004681 від 02.10.2025 18:25:48</t>
  </si>
  <si>
    <t>Надходження товарів і послуг ІБ00-006072 від 02.10.2025 11:00:00
Оприходованы ТМЦ</t>
  </si>
  <si>
    <t>Обл. НДС
Армопояс ф3 150*150мм р2,0*1,0м
Надходження товарів і послуг ІБ00-006072 від 02.10.2025 11:00:00
АПК (Глобине)</t>
  </si>
  <si>
    <t>Надходження товарів і послуг ІБ00-006072 від 02.10.2025 11:00:00
Оприходованы ТМЦ (Зачет аванса поставщику)</t>
  </si>
  <si>
    <t>Надходження товарів і послуг ІБ00-006190 від 02.10.2025 11:00:00
Оприходованы ТМЦ</t>
  </si>
  <si>
    <t>Обл. НДС
Стрічка ППЕ НХ 5мм*30мм*20м
Надходження товарів і послуг ІБ00-006190 від 02.10.2025 11:00:00
АПК (Глобине)</t>
  </si>
  <si>
    <t>Будівельна Гільдія Черкаси ТОВ
Дог7/11/24від07.11.24_Глобино-2
Рахунок на оплату постачальника ІБ00-004353 від 12.09.2025 23:00:14</t>
  </si>
  <si>
    <t>Реалізація товарів і послуг ІБ00-000058 від 02.10.2025 12:35:30
Списаны ТМЦ</t>
  </si>
  <si>
    <t>Обл. НДС
Труба б/ш г/к ASTM A 106 Gr B 60,33*3,91мм
Надходження товарів і послуг ІБ00-005382 від 17.09.2025 11:00:00
Цех екстракції (Глобине)</t>
  </si>
  <si>
    <t>Обл. НДС
Труба б/ш г/к ASTM A 106 Gr B 168,28*7,00мм
Надходження товарів і послуг ІБ00-005382 від 17.09.2025 11:00:00
Цех екстракції (Глобине)</t>
  </si>
  <si>
    <t>Обл. НДС
Труба б/ш г/к ASTM A 106 Gr B 219,08*8,18мм
Надходження товарів і послуг ІБ00-005382 від 17.09.2025 11:00:00
Цех екстракції (Глобине)</t>
  </si>
  <si>
    <t>Обл. НДС
Труба б/ш г/к ASTM A 106 Gr B 355,85*10,00мм
Надходження товарів і послуг ІБ00-005382 від 17.09.2025 11:00:00
Цех екстракції (Глобине)</t>
  </si>
  <si>
    <t>Обл. НДС
Труба б/ш г/к ASTM A 106 Gr B 457,2*10,00мм
Надходження товарів і послуг ІБ00-005382 від 17.09.2025 11:00:00
Цех екстракції (Глобине)</t>
  </si>
  <si>
    <t>Авансовий звіт ІБ00-000277 від 02.10.2025 18:25:45
Оприходованы ТМЦ</t>
  </si>
  <si>
    <t>Обл. НДС
Саморіз оцинк, 4,8*35
Авансовий звіт ІБ00-000277 від 02.10.2025 18:25:45
Глобине-2</t>
  </si>
  <si>
    <t>Штиченко Олександр Володимирович</t>
  </si>
  <si>
    <t>Обл. НДС
Інструменти ручні 25.73.20 
Авансовий звіт ІБ00-000277 від 02.10.2025 18:25:45
Глобине-2</t>
  </si>
  <si>
    <t>Обл. НДС
вироби кріпильні та гвинтонарізні
Авансовий звіт ІБ00-000277 від 02.10.2025 18:25:45
Глобине-2</t>
  </si>
  <si>
    <t>Обл. НДС
Термодюбель 10х70 цв.пл. (100шт)
Авансовий звіт ІБ00-000277 від 02.10.2025 18:25:45
Глобине-2</t>
  </si>
  <si>
    <t>Надходження товарів і послуг ІБ00-005727 від 03.10.2025 11:00:00
Оприходованы ТМЦ</t>
  </si>
  <si>
    <t>Обл. НДС
Бетон С20/25 W6 F75 P5 (щеб 5*10)
Надходження товарів і послуг ІБ00-005727 від 03.10.2025 11:00:00
Очисні споруди (Глобине)</t>
  </si>
  <si>
    <t>Кременчуцький річковий порт ПРАТ
Договір 112/Б від 15.10.2024_Глобине-2
Надходження товарів і послуг ІБ00-005727 від 03.10.2025 11:00:00</t>
  </si>
  <si>
    <t>Надходження товарів і послуг ІБ00-005796 від 03.10.2025 11:00:00
Оприходованы ТМЦ</t>
  </si>
  <si>
    <t>Обл. НДС
Пісок з відсіву дроблення щебеню фр. 0-5мм.
Надходження товарів і послуг ІБ00-005796 від 03.10.2025 11:00:00
Глобине-2</t>
  </si>
  <si>
    <t>Венкрас Авто ПП
Договір 05/09/2024 від 05.09.2024_Глобине-2
Рахунок на оплату постачальника ІБ00-004796 від 03.10.2025 18:12:25</t>
  </si>
  <si>
    <t>Надходження товарів і послуг ІБ00-005804 від 03.10.2025 11:00:00
Оприходованы ТМЦ</t>
  </si>
  <si>
    <t>Обл. НДС
Профілі сталеві листові Н-57 оцинк
Надходження товарів і послуг ІБ00-005804 від 03.10.2025 11:00:00
Котельна (Глобине)</t>
  </si>
  <si>
    <t>АЛМЕТ ТОВ
№28 от 22.09.2022.( рахунки)_Глобине-2
Рахунок на оплату постачальника ІБ00-004355 від 05.09.2025 21:00:12</t>
  </si>
  <si>
    <t>Надходження товарів і послуг ІБ00-005804 від 03.10.2025 11:00:00
Оприходованы ТМЦ (Зачет аванса поставщику)</t>
  </si>
  <si>
    <t>Надходження дод. витрат ІБ00-000640 від 03.10.2025 11:05:00
Доп. расходы при поступлении товаров</t>
  </si>
  <si>
    <t>Переміщення товарів ІБ00-001048 від 03.10.2025 11:10:00
Перемещение ТМЦ</t>
  </si>
  <si>
    <t>Обл. НДС
Пісок з відсіву дроблення щебеню фр. 0-5мм.
Переміщення товарів ІБ00-001048 від 03.10.2025 11:10:00
Пожежений резервуар (Глобине)</t>
  </si>
  <si>
    <t>Переміщення товарів ІБ00-001049 від 03.10.2025 11:10:00
Перемещение ТМЦ</t>
  </si>
  <si>
    <t>Обл. НДС
Пісок з відсіву дроблення щебеню фр. 0-5мм.
Переміщення товарів ІБ00-001049 від 03.10.2025 11:10:00
Насосна Градирня (Глобине)</t>
  </si>
  <si>
    <t>Надходження дод. витрат ІБ00-000572 від 03.10.2025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</si>
  <si>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ІБ00-000572 від 03.10.2025 11:10:00</t>
  </si>
  <si>
    <t>Реалізація товарів і послуг ІБ00-000059 від 03.10.2025 14:24:06
Списаны ТМЦ</t>
  </si>
  <si>
    <t>04.10.2025</t>
  </si>
  <si>
    <t>Надходження товарів і послуг ІБ00-005728 від 04.10.2025 11:00:00
Оприходованы ТМЦ</t>
  </si>
  <si>
    <t>Обл. НДС
Бетон С20/25 W6 F75 P4 (щеб 5*10)
Надходження товарів і послуг ІБ00-005728 від 04.10.2025 11:00:00
Глобине-2</t>
  </si>
  <si>
    <t>Кременчуцький річковий порт ПРАТ
Договір 112/Б від 15.10.2024_Глобине-2
Надходження товарів і послуг ІБ00-005728 від 04.10.2025 11:00:00</t>
  </si>
  <si>
    <t>Обл. НДС
Бетон С20/25 W6 F75 P5 (щеб 5*10)
Надходження товарів і послуг ІБ00-005728 від 04.10.2025 11:00:00
Глобине-2</t>
  </si>
  <si>
    <t>Надходження дод. витрат ІБ00-000571 від 04.10.2025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</si>
  <si>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ІБ00-000571 від 04.10.2025 11:10:00</t>
  </si>
  <si>
    <t>Переміщення товарів ІБ00-001040 від 04.10.2025 11:20:00
Перемещение ТМЦ</t>
  </si>
  <si>
    <t>Обл. НДС
Бетон С20/25 W6 F75 P5 (щеб 5*10)
Переміщення товарів ІБ00-001040 від 04.10.2025 11:20:00
Очисні споруди (Глобине)</t>
  </si>
  <si>
    <t>Переміщення товарів ІБ00-001041 від 04.10.2025 11:20:00
Перемещение ТМЦ</t>
  </si>
  <si>
    <t>Обл. НДС
Бетон С20/25 W6 F75 P4 (щеб 5*10)
Переміщення товарів ІБ00-001041 від 04.10.2025 11:20:00
СПК (Глобине)</t>
  </si>
  <si>
    <t>Надходження товарів і послуг ІБ00-005757 від 06.10.2025 11:00:00
Оприходованы ТМЦ</t>
  </si>
  <si>
    <t>Обл. НДС
Бетон С20/25 W6 F75 P4
Надходження товарів і послуг ІБ00-005757 від 06.10.2025 11:00:00
Глобине-2</t>
  </si>
  <si>
    <t>Кременчуцький річковий порт ПРАТ
Договір 112/Б від 15.10.2024_Глобине-2
Надходження товарів і послуг ІБ00-005757 від 06.10.2025 11:00:00</t>
  </si>
  <si>
    <t>Обл. НДС
Бетон С20/25 W6 F75 P5 (щеб 5*10)
Надходження товарів і послуг ІБ00-005757 від 06.10.2025 11:00:00
Глобине-2</t>
  </si>
  <si>
    <t>Надходження товарів і послуг ІБ00-006003 від 06.10.2025 11:00:00
Оприходованы ТМЦ</t>
  </si>
  <si>
    <t>Обл. НДС
Труба б/ш г/к ASTM A 106 Gr B 88,9*5,49мм
Надходження товарів і послуг ІБ00-006003 від 06.10.2025 11:00:00
Цех екстракції (Глобине)</t>
  </si>
  <si>
    <t>СПЕШАЛ ЕЛЛОЙЗ ТРЕЙДІНГ УКРАЇНА ТОВ
Дог.7/07  07.07.2025_Глобино-2
Рахунок на оплату постачальника ІБ00-002976 від 07.07.2025 18:00:16</t>
  </si>
  <si>
    <t>Обл. НДС
Труба б/ш г/к ASTM A 106 Gr B 457,2*10,00мм
Надходження товарів і послуг ІБ00-006003 від 06.10.2025 11:00:00
Цех екстракції (Глобине)</t>
  </si>
  <si>
    <t>Обл. НДС
Труба б/ш г/к ASTM A 106 Gr B 508,0*10,0мм
Надходження товарів і послуг ІБ00-006003 від 06.10.2025 11:00:00
Цех екстракції (Глобине)</t>
  </si>
  <si>
    <t>Обл. НДС
Труба б/ш г/к ASTM A 106 Gr B 609.60*10,00мм
Надходження товарів і послуг ІБ00-006003 від 06.10.2025 11:00:00
Цех екстракції (Глобине)</t>
  </si>
  <si>
    <t>Надходження дод. витрат ІБ00-000573 від 06.10.2025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</si>
  <si>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ІБ00-000573 від 06.10.2025 11:10:00</t>
  </si>
  <si>
    <t>Переміщення товарів ІБ00-001042 від 06.10.2025 11:20:00
Перемещение ТМЦ</t>
  </si>
  <si>
    <t>Обл. НДС
Бетон С20/25 W6 F75 P5 (щеб 5*10)
Переміщення товарів ІБ00-001042 від 06.10.2025 11:20:00
Очисні споруди (Глобине)</t>
  </si>
  <si>
    <t>Переміщення товарів ІБ00-001043 від 06.10.2025 11:20:00
Перемещение ТМЦ</t>
  </si>
  <si>
    <t>Обл. НДС
Бетон С20/25 W6 F75 P4
Переміщення товарів ІБ00-001043 від 06.10.2025 11:20:00
Цех екстракції (Глобине)</t>
  </si>
  <si>
    <t>Переміщення товарів ІБ00-001044 від 06.10.2025 11:20:00
Перемещение ТМЦ</t>
  </si>
  <si>
    <t>Обл. НДС
Бетон С20/25 W6 F75 P4
Переміщення товарів ІБ00-001044 від 06.10.2025 11:20:00
СПК (Глобине)</t>
  </si>
  <si>
    <t>Надходження товарів і послуг ІБ00-005795 від 07.10.2025 11:00:00
Оприходованы ТМЦ</t>
  </si>
  <si>
    <t>Обл. НДС
Бетон С20/25 W6 F75 P5 (щеб 5*10)
Надходження товарів і послуг ІБ00-005795 від 07.10.2025 11:00:00
Очисні споруди (Глобине)</t>
  </si>
  <si>
    <t>Кременчуцький річковий порт ПРАТ
Договір 112/Б від 15.10.2024_Глобине-2
Надходження товарів і послуг ІБ00-005795 від 07.10.2025 11:00:00</t>
  </si>
  <si>
    <t>Надходження товарів і послуг ІБ00-005810 від 07.10.2025 11:00:00
Оприходованы ТМЦ</t>
  </si>
  <si>
    <t>Обл. НДС
Швелер 24П 240 12,05 8240 3пс5
Надходження товарів і послуг ІБ00-005810 від 07.10.2025 11:00:00
АПК (Глобине)</t>
  </si>
  <si>
    <t>МЕТАЛ ХОЛДІНГ ТРЕЙД ТОВ
Дог 01/219/25 від 01.04.2025_Глобине-2
Рахунок на оплату постачальника ІБ00-004822 від 06.10.2025 17:38:02</t>
  </si>
  <si>
    <t>Обл. НДС
Швелер 24П 240 5,4-11,6 8240 3пс5
Надходження товарів і послуг ІБ00-005810 від 07.10.2025 11:00:00
АПК (Глобине)</t>
  </si>
  <si>
    <t>Надходження товарів і послуг ІБ00-005811 від 07.10.2025 11:00:00
Оприходованы ТМЦ</t>
  </si>
  <si>
    <t>Обл. НДС
Арматура 12 міра (12-3760  А500С/А400С)
Надходження товарів і послуг ІБ00-005811 від 07.10.2025 11:00:00
Пункт фасування та зберігання в бігбегах (Глобине)</t>
  </si>
  <si>
    <t>МЕТАЛ ХОЛДІНГ ТРЕЙД ТОВ
Дог 01/219/25 від 01.04.2025_Глобине-2
Рахунок на оплату постачальника ІБ00-004823 від 07.10.2025 20:16:50</t>
  </si>
  <si>
    <t>Надходження товарів і послуг ІБ00-005812 від 07.10.2025 11:00:00
Оприходованы ТМЦ</t>
  </si>
  <si>
    <t>Обл. НДС
Арматура №18  А-400С/500С 12 м
Надходження товарів і послуг ІБ00-005812 від 07.10.2025 11:00:00
СПК (Глобине)</t>
  </si>
  <si>
    <t>МЕТАЛ ХОЛДІНГ ТРЕЙД ТОВ
Дог 01/219/25 від 01.04.2025_Глобине-2
Рахунок на оплату постачальника ІБ00-004824 від 02.10.2025 18:26:01</t>
  </si>
  <si>
    <t>Надходження дод. витрат ІБ00-000575 від 07.10.2025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</si>
  <si>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ІБ00-000575 від 07.10.2025 11:10:00</t>
  </si>
  <si>
    <t>Надходження дод. витрат ІБ00-000577 від 07.10.2025 11:10:00
Доп. расходы при поступлении товаров</t>
  </si>
  <si>
    <t>Надходження товарів і послуг ІБ00-005996 від 07.10.2025 20:17:00
Оприходованы ТМЦ</t>
  </si>
  <si>
    <t>Обл. НДС
Сходинки SOZ/34*38/25*3/оц/800*205
Надходження товарів і послуг ІБ00-005996 від 07.10.2025 20:17:00
Цех екстракції (Глобине)</t>
  </si>
  <si>
    <t>Червоноградський завод металоконструкцій
Договір поставки № 44 від 11.06.2020 р._Глобино-2
Рахунок на оплату постачальника ІБ00-004270 від 11.09.2025 18:34:20</t>
  </si>
  <si>
    <t>Надходження товарів і послуг ІБ00-005996 від 07.10.2025 20:17:00
Оприходованы ТМЦ (Зачет аванса поставщику)</t>
  </si>
  <si>
    <t>Обл. НДС
Кріплення для сходинок
Надходження товарів і послуг ІБ00-005996 від 07.10.2025 20:17:00
Цех екстракції (Глобине)</t>
  </si>
  <si>
    <t>Надходження товарів і послуг ІБ00-005997 від 07.10.2025 20:17:01
Оприходованы ТМЦ</t>
  </si>
  <si>
    <t>Обл. НДС
Решітковий настил KOZ/34x38/30x3 оц. /  770X1000        
Надходження товарів і послуг ІБ00-005997 від 07.10.2025 20:17:01
Котельна (Глобине)</t>
  </si>
  <si>
    <t>Червоноградський завод металоконструкцій
Договір поставки № 44 від 11.06.2020 р._Глобино-2
Рахунок на оплату постачальника ІБ00-004423 від 11.09.2025 18:34:53</t>
  </si>
  <si>
    <t>Надходження товарів і послуг ІБ00-005997 від 07.10.2025 20:17:01
Оприходованы ТМЦ (Зачет аванса поставщику)</t>
  </si>
  <si>
    <t>Надходження товарів і послуг ІБ00-006000 від 07.10.2025 20:17:02
Оприходованы ТМЦ</t>
  </si>
  <si>
    <t>Обл. НДС
Решітковий настил KOZ/34x38/30x3 оц. /  900X1000    
Надходження товарів і послуг ІБ00-006000 від 07.10.2025 20:17:02
Цех екстракції (Глобине)</t>
  </si>
  <si>
    <t>Червоноградський завод металоконструкцій
Договір поставки № 44 від 11.06.2020 р._Глобино-2
Рахунок на оплату постачальника ІБ00-003697 від 24.07.2025 23:41:07</t>
  </si>
  <si>
    <t>Обл. НДС
Решітковий настил KOZ/34x38/30x3 оц. /1100X1000
Надходження товарів і послуг ІБ00-006000 від 07.10.2025 20:17:02
Цех екстракції (Глобине)</t>
  </si>
  <si>
    <t>Обл. НДС
Решітковий настил KOZ/34x38/30x3 оц. /1180X1000
Надходження товарів і послуг ІБ00-006000 від 07.10.2025 20:17:02
Цех екстракції (Глобине)</t>
  </si>
  <si>
    <t>Обл. НДС
Решітковий настил KOZ/34x38/30x3 оц. /1185X1340
Надходження товарів і послуг ІБ00-006000 від 07.10.2025 20:17:02
Цех екстракції (Глобине)</t>
  </si>
  <si>
    <t>Обл. НДС
Решітковий настил KOZ/34x38/30x3 оц. /1500*1000
Надходження товарів і послуг ІБ00-006000 від 07.10.2025 20:17:02
Цех екстракції (Глобине)</t>
  </si>
  <si>
    <t>Обл. НДС
Решітковий настил KOZ/34x38/30x3 оц. /  930X1000        
Надходження товарів і послуг ІБ00-006000 від 07.10.2025 20:17:02
Цех екстракції (Глобине)</t>
  </si>
  <si>
    <t>Обл. НДС
Решітковий настил KOZ/34x38/30x3 оц. /  2200X1000       
Надходження товарів і послуг ІБ00-006000 від 07.10.2025 20:17:02
Цех екстракції (Глобине)</t>
  </si>
  <si>
    <t>Обл. НДС
Решітковий настил KOZ/34x38/30x3 оц. /  2230X1000
Надходження товарів і послуг ІБ00-006000 від 07.10.2025 20:17:02
Цех екстракції (Глобине)</t>
  </si>
  <si>
    <t>Обл. НДС
Решітковий настил KOZ/34x38/30x3 оц. /  1749X1000       
Надходження товарів і послуг ІБ00-006000 від 07.10.2025 20:17:02
Цех екстракції (Глобине)</t>
  </si>
  <si>
    <t>Обл. НДС
Решітковий настил KOZ/34x38/30x3 оц. /  1931X1000
Надходження товарів і послуг ІБ00-006000 від 07.10.2025 20:17:02
Цех екстракції (Глобине)</t>
  </si>
  <si>
    <t>Обл. НДС
Решітковий настил KOZ/34x38/30x3 оц. /  1542X1000       
Надходження товарів і послуг ІБ00-006000 від 07.10.2025 20:17:02
Цех екстракції (Глобине)</t>
  </si>
  <si>
    <t>Обл. НДС
Решітковий настил KOZ/34x38/30x3 оц. /  1900X1290       
Надходження товарів і послуг ІБ00-006000 від 07.10.2025 20:17:02
Цех екстракції (Глобине)</t>
  </si>
  <si>
    <t>Обл. НДС
Решітковий настил KOZ/34x38/30x3 оц. /  1700X1000       
Надходження товарів і послуг ІБ00-006000 від 07.10.2025 20:17:02
Цех екстракції (Глобине)</t>
  </si>
  <si>
    <t>Обл. НДС
Решітковий настил KOZ/34x38/30x3 оц. /  1392X1000       
Надходження товарів і послуг ІБ00-006000 від 07.10.2025 20:17:02
Цех екстракції (Глобине)</t>
  </si>
  <si>
    <t>Обл. НДС
Решітковий настил KOZ/34x38/30x3 оц. /  1392X1385   
Надходження товарів і послуг ІБ00-006000 від 07.10.2025 20:17:02
Цех екстракції (Глобине)</t>
  </si>
  <si>
    <t>Обл. НДС
Решітковий настил KOZ/34x38/30x3 оц. /  1000X1000       
Надходження товарів і послуг ІБ00-006000 від 07.10.2025 20:17:02
Цех екстракції (Глобине)</t>
  </si>
  <si>
    <t>Обл. НДС
Решітковий настил KOZ/34x38/30x3 оц. /  1000X1385   
Надходження товарів і послуг ІБ00-006000 від 07.10.2025 20:17:02
Цех екстракції (Глобине)</t>
  </si>
  <si>
    <t>Обл. НДС
Решітковий настил KOZ/34x38/30x3 оц. /  1799X1000       
Надходження товарів і послуг ІБ00-006000 від 07.10.2025 20:17:02
Цех екстракції (Глобине)</t>
  </si>
  <si>
    <t>Обл. НДС
Решітковий настил KOZ/34x38/30x3 оц. /  1979X1000
Надходження товарів і послуг ІБ00-006000 від 07.10.2025 20:17:02
Цех екстракції (Глобине)</t>
  </si>
  <si>
    <t>Обл. НДС
Решітковий настил KOZ/34x38/30x3 оц. /  1800X1000       
Надходження товарів і послуг ІБ00-006000 від 07.10.2025 20:17:02
Цех екстракції (Глобине)</t>
  </si>
  <si>
    <t>Обл. НДС
Решітковий настил KOZ/34x38/30x3 оц. /  1750X1000       
Надходження товарів і послуг ІБ00-006000 від 07.10.2025 20:17:02
Цех екстракції (Глобине)</t>
  </si>
  <si>
    <t>Обл. НДС
Решітковий настил KOZ/34x38/30x3 оц. /  1900X1000       
Надходження товарів і послуг ІБ00-006000 від 07.10.2025 20:17:02
Цех екстракції (Глобине)</t>
  </si>
  <si>
    <t>Обл. НДС
Решітковий настил KOZ/34x38/30x3 оц. /  2100X1435   
Надходження товарів і послуг ІБ00-006000 від 07.10.2025 20:17:02
Цех екстракції (Глобине)</t>
  </si>
  <si>
    <t>Обл. НДС
Решітковий настил KOZ/34x38/30x3 оц. /  1900X1435       
Надходження товарів і послуг ІБ00-006000 від 07.10.2025 20:17:02
Цех екстракції (Глобине)</t>
  </si>
  <si>
    <t>Обл. НДС
Решітковий настил KOZ/34x38/30x3 оц. /  1085X1000       
Надходження товарів і послуг ІБ00-006000 від 07.10.2025 20:17:02
Цех екстракції (Глобине)</t>
  </si>
  <si>
    <t>Обл. НДС
Решітковий настил KOZ/34x38/30x3 оц. /  985X1400        
Надходження товарів і послуг ІБ00-006000 від 07.10.2025 20:17:02
Цех екстракції (Глобине)</t>
  </si>
  <si>
    <t>Обл. НДС
Решітковий настил KOZ/34x38/30x3 оц. /2079*1290
Надходження товарів і послуг ІБ00-006000 від 07.10.2025 20:17:02
Цех екстракції (Глобине)</t>
  </si>
  <si>
    <t>Обл. НДС
Решітковий настил KOZ/34x38/30x3 оц. /  733X1000        
Надходження товарів і послуг ІБ00-006000 від 07.10.2025 20:17:02
Цех екстракції (Глобине)</t>
  </si>
  <si>
    <t>Обл. НДС
Решітковий настил KOZ/34x38/30x3 оц. /  1040X1000       
Надходження товарів і послуг ІБ00-006000 від 07.10.2025 20:17:02
Цех екстракції (Глобине)</t>
  </si>
  <si>
    <t>Обл. НДС
Решітковий настил KOZ/34x38/30x3 оц. /  2445X1000
Надходження товарів і послуг ІБ00-006000 від 07.10.2025 20:17:02
Цех екстракції (Глобине)</t>
  </si>
  <si>
    <t>Обл. НДС
Решітковий настил KOZ/34x38/30x3 оц. /  997X1000
Надходження товарів і послуг ІБ00-006000 від 07.10.2025 20:17:02
Цех екстракції (Глобине)</t>
  </si>
  <si>
    <t>Обл. НДС
Решітковий настил KOZ/34x38/30x3 оц. /  1000X1435
Надходження товарів і послуг ІБ00-006000 від 07.10.2025 20:17:02
Цех екстракції (Глобине)</t>
  </si>
  <si>
    <t>Обл. НДС
Решітковий настил KOZ/34x38/30x3 оц. /  2428X1000       
Надходження товарів і послуг ІБ00-006000 від 07.10.2025 20:17:02
Цех екстракції (Глобине)</t>
  </si>
  <si>
    <t>Обл. НДС
Решітковий настил KOZ/34x38/30x3 оц. /  1600X1000       
Надходження товарів і послуг ІБ00-006000 від 07.10.2025 20:17:02
Цех екстракції (Глобине)</t>
  </si>
  <si>
    <t>Обл. НДС
Решітковий настил KOZ/34x38/30x3 оц. /  2354X1000       
Надходження товарів і послуг ІБ00-006000 від 07.10.2025 20:17:02
Цех екстракції (Глобине)</t>
  </si>
  <si>
    <t>Обл. НДС
Решітковий настил KOZ/34x38/30x3 оц. /  2055X1000       
Надходження товарів і послуг ІБ00-006000 від 07.10.2025 20:17:02
Цех екстракції (Глобине)</t>
  </si>
  <si>
    <t>Обл. НДС
Решітковий настил KOZ/34x38/30x3 оц. /  2100X1000       
Надходження товарів і послуг ІБ00-006000 від 07.10.2025 20:17:02
Цех екстракції (Глобине)</t>
  </si>
  <si>
    <t>Обл. НДС
Решітковий настил KOZ/34x38/30x3 оц. /  2045X1000       
Надходження товарів і послуг ІБ00-006000 від 07.10.2025 20:17:02
Цех екстракції (Глобине)</t>
  </si>
  <si>
    <t>Обл. НДС
Решітковий настил KOZ/34x38/30x3 оц. /  2045X865    
Надходження товарів і послуг ІБ00-006000 від 07.10.2025 20:17:02
Цех екстракції (Глобине)</t>
  </si>
  <si>
    <t>Обл. НДС
Решітковий настил KOZ/34x38/30x3 оц. /  1545X1000       
Надходження товарів і послуг ІБ00-006000 від 07.10.2025 20:17:02
Цех екстракції (Глобине)</t>
  </si>
  <si>
    <t>Обл. НДС
Решітковий настил KOZ/34x38/30x3 оц. /  2080X1000
Надходження товарів і послуг ІБ00-006000 від 07.10.2025 20:17:02
Цех екстракції (Глобине)</t>
  </si>
  <si>
    <t>Обл. НДС
Решітковий настил KOZ/34x38/30x3 оц. /  2040X1000
Надходження товарів і послуг ІБ00-006000 від 07.10.2025 20:17:02
Цех екстракції (Глобине)</t>
  </si>
  <si>
    <t>Обл. НДС
Решітковий настил KOZ/34x38/30x3 оц. /  1770X1000
Надходження товарів і послуг ІБ00-006000 від 07.10.2025 20:17:02
Цех екстракції (Глобине)</t>
  </si>
  <si>
    <t>Обл. НДС
Решітковий настил KOZ/34x38/30x3 оц. /  1100X1135   
Надходження товарів і послуг ІБ00-006000 від 07.10.2025 20:17:02
Цех екстракції (Глобине)</t>
  </si>
  <si>
    <t>Обл. НДС
Решітковий настил KOZ/34x38/30x3 оц. /  1100X1300       
Надходження товарів і послуг ІБ00-006000 від 07.10.2025 20:17:02
Цех екстракції (Глобине)</t>
  </si>
  <si>
    <t>Обл. НДС
Решітковий настил KOZ/34x38/30x3 оц. /  897X1000    
Надходження товарів і послуг ІБ00-006000 від 07.10.2025 20:17:02
Цех екстракції (Глобине)</t>
  </si>
  <si>
    <t>Обл. НДС
Решітковий настил KOZ/34x38/30x3 оц. /  800X1000
Надходження товарів і послуг ІБ00-006000 від 07.10.2025 20:17:02
Цех екстракції (Глобине)</t>
  </si>
  <si>
    <t>Обл. НДС
Решітковий настил KOZ/34x38/30x3 оц. /  1997X1435   
Надходження товарів і послуг ІБ00-006000 від 07.10.2025 20:17:02
Цех екстракції (Глобине)</t>
  </si>
  <si>
    <t>Обл. НДС
Решітковий настил KOZ/34x38/30x3 оц. /  945X1332    
Надходження товарів і послуг ІБ00-006000 від 07.10.2025 20:17:02
Цех екстракції (Глобине)</t>
  </si>
  <si>
    <t>Обл. НДС
Решітковий настил KOZ/34x38/30x3 оц. /  866X1332
Надходження товарів і послуг ІБ00-006000 від 07.10.2025 20:17:02
Цех екстракції (Глобине)</t>
  </si>
  <si>
    <t>Обл. НДС
Решітковий настил KOZ/34x38/30x3 оц. /  2426X1000       
Надходження товарів і послуг ІБ00-006000 від 07.10.2025 20:17:02
Цех екстракції (Глобине)</t>
  </si>
  <si>
    <t>Обл. НДС
Решітковий настил KOZ/34x38/30x3 оц. /  2425X1212       
Надходження товарів і послуг ІБ00-006000 від 07.10.2025 20:17:02
Цех екстракції (Глобине)</t>
  </si>
  <si>
    <t>Обл. НДС
Решітковий настил KOZ/34x38/30x3 оц. /  2103X1000       
Надходження товарів і послуг ІБ00-006000 від 07.10.2025 20:17:02
Цех екстракції (Глобине)</t>
  </si>
  <si>
    <t>Обл. НДС
Решітковий настил KOZ/34x38/30x3 оц. /  741X1000
Надходження товарів і послуг ІБ00-006000 від 07.10.2025 20:17:02
Цех екстракції (Глобине)</t>
  </si>
  <si>
    <t>Обл. НДС
Решітковий настил KOZ/34x38/30x3 оц. /  1052X1000       
Надходження товарів і послуг ІБ00-006000 від 07.10.2025 20:17:02
Цех екстракції (Глобине)</t>
  </si>
  <si>
    <t>Обл. НДС
Решітковий настил KOZ/34x38/30x3 оц. /  2295X1000       
Надходження товарів і послуг ІБ00-006000 від 07.10.2025 20:17:02
Цех екстракції (Глобине)</t>
  </si>
  <si>
    <t>Обл. НДС
Решітковий настил KOZ/34x38/30x3 оц. /  1799X999
Надходження товарів і послуг ІБ00-006000 від 07.10.2025 20:17:02
Цех екстракції (Глобине)</t>
  </si>
  <si>
    <t>Обл. НДС
Решітковий настил KOZ/34x38/30x3 оц. /  2082X1290
Надходження товарів і послуг ІБ00-006000 від 07.10.2025 20:17:02
Цех екстракції (Глобине)</t>
  </si>
  <si>
    <t>Обл. НДС
Решітковий настил KOZ/34x38/30x3 оц. /  1785X1000       
Надходження товарів і послуг ІБ00-006000 від 07.10.2025 20:17:02
Цех екстракції (Глобине)</t>
  </si>
  <si>
    <t>Обл. НДС
Решітковий настил KOZ/34x38/30x3 оц. /  1541X1000       
Надходження товарів і послуг ІБ00-006000 від 07.10.2025 20:17:02
Цех екстракції (Глобине)</t>
  </si>
  <si>
    <t>Обл. НДС
Решітковий настил KOZ/34x38/30x3 оц. /  2300X1000       
Надходження товарів і послуг ІБ00-006000 від 07.10.2025 20:17:02
Цех екстракції (Глобине)</t>
  </si>
  <si>
    <t>Обл. НДС
Решітковий настил KOZ/34x38/30x3 оц. /  1555X1000       
Надходження товарів і послуг ІБ00-006000 від 07.10.2025 20:17:02
Цех екстракції (Глобине)</t>
  </si>
  <si>
    <t>Обл. НДС
Решітковий настил KOZ/34x38/30x3 оц. /  1869X1000       
Надходження товарів і послуг ІБ00-006000 від 07.10.2025 20:17:02
Цех екстракції (Глобине)</t>
  </si>
  <si>
    <t>Обл. НДС
Решітковий настил KOZ/34x38/30x3 оц. /  1000X870    
Надходження товарів і послуг ІБ00-006000 від 07.10.2025 20:17:02
Цех екстракції (Глобине)</t>
  </si>
  <si>
    <t>Обл. НДС
Решітковий настил KOZ/34x38/30x3 оц. /  2069X1000   
Надходження товарів і послуг ІБ00-006000 від 07.10.2025 20:17:02
Цех екстракції (Глобине)</t>
  </si>
  <si>
    <t>Обл. НДС
Кріплення стандартні
Надходження товарів і послуг ІБ00-006000 від 07.10.2025 20:17:02
Цех екстракції (Глобине)</t>
  </si>
  <si>
    <t>Надходження товарів і послуг ІБ00-005794 від 08.10.2025 11:00:00
Оприходованы ТМЦ</t>
  </si>
  <si>
    <t>Обл. НДС
Бетон С20/25 W6 F75 P5 (щеб 5*10)
Надходження товарів і послуг ІБ00-005794 від 08.10.2025 11:00:00
Глобине-2</t>
  </si>
  <si>
    <t>Кременчуцький річковий порт ПРАТ
Договір 112/Б від 15.10.2024_Глобине-2
Надходження товарів і послуг ІБ00-005794 від 08.10.2025 11:00:00</t>
  </si>
  <si>
    <t>Надходження товарів і послуг ІБ00-006068 від 08.10.2025 11:00:00
Оприходованы ТМЦ (Зачет аванса поставщику)</t>
  </si>
  <si>
    <t>Обл. НДС
Грунт-емаль ПФ-012 Р RAL7024
Надходження товарів і послуг ІБ00-006068 від 08.10.2025 11:00:00
Глобине-2</t>
  </si>
  <si>
    <t>Синтез ЛКМ
РАХУНКИ_Глобино-2
Рахунок на оплату постачальника ІБ00-004677 від 25.09.2025 19:06:29</t>
  </si>
  <si>
    <t>Надходження товарів і послуг ІБ00-006068 від 08.10.2025 11:00:00
Оприходованы ТМЦ</t>
  </si>
  <si>
    <t>Обл. НДС
Розчинник "White Spirit" (л)
Надходження товарів і послуг ІБ00-006068 від 08.10.2025 11:00:00
Глобине-2</t>
  </si>
  <si>
    <t>Переміщення товарів ІБ00-001120 від 08.10.2025 11:10:00
Перемещение ТМЦ</t>
  </si>
  <si>
    <t>Обл. НДС
Грунт-емаль ПФ-012 Р RAL7024
Переміщення товарів ІБ00-001120 від 08.10.2025 11:10:00
СПК (Глобине)</t>
  </si>
  <si>
    <t>Обл. НДС
Розчинник "White Spirit" (л)
Переміщення товарів ІБ00-001120 від 08.10.2025 11:10:00
СПК (Глобине)</t>
  </si>
  <si>
    <t>Переміщення товарів ІБ00-001121 від 08.10.2025 11:10:00
Перемещение ТМЦ</t>
  </si>
  <si>
    <t>Обл. НДС
Грунт-емаль ПФ-012 Р RAL7024
Переміщення товарів ІБ00-001121 від 08.10.2025 11:10:00
Пожежений резервуар (Глобине)</t>
  </si>
  <si>
    <t>Обл. НДС
Розчинник "White Spirit" (л)
Переміщення товарів ІБ00-001121 від 08.10.2025 11:10:00
Пожежений резервуар (Глобине)</t>
  </si>
  <si>
    <t>Переміщення товарів ІБ00-001122 від 08.10.2025 11:10:00
Перемещение ТМЦ</t>
  </si>
  <si>
    <t>Обл. НДС
Грунт-емаль ПФ-012 Р RAL7024
Переміщення товарів ІБ00-001122 від 08.10.2025 11:10:00
ГРП (Глобине)</t>
  </si>
  <si>
    <t>Обл. НДС
Розчинник "White Spirit" (л)
Переміщення товарів ІБ00-001122 від 08.10.2025 11:10:00
ГРП (Глобине)</t>
  </si>
  <si>
    <t>Переміщення товарів ІБ00-001123 від 08.10.2025 11:10:00
Перемещение ТМЦ</t>
  </si>
  <si>
    <t>Обл. НДС
Грунт-емаль ПФ-012 Р RAL7024
Переміщення товарів ІБ00-001123 від 08.10.2025 11:10:00
Транспортна галерея Естакада 3.3 (Глобине)</t>
  </si>
  <si>
    <t>Обл. НДС
Розчинник "White Spirit" (л)
Переміщення товарів ІБ00-001123 від 08.10.2025 11:10:00
Транспортна галерея Естакада 3.3 (Глобине)</t>
  </si>
  <si>
    <t>Надходження дод. витрат ІБ00-000574 від 08.10.2025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</si>
  <si>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ІБ00-000574 від 08.10.2025 11:10:00</t>
  </si>
  <si>
    <t>Переміщення товарів ІБ00-001046 від 08.10.2025 11:20:00
Перемещение ТМЦ</t>
  </si>
  <si>
    <t>Обл. НДС
Бетон С20/25 W6 F75 P5 (щеб 5*10)
Переміщення товарів ІБ00-001046 від 08.10.2025 11:20:00
Очисні споруди (Глобине)</t>
  </si>
  <si>
    <t>Переміщення товарів ІБ00-001047 від 08.10.2025 11:20:00
Перемещение ТМЦ</t>
  </si>
  <si>
    <t>Обл. НДС
Бетон С20/25 W6 F75 P5 (щеб 5*10)
Переміщення товарів ІБ00-001047 від 08.10.2025 11:20:00
Цех екстракції (Глобине)</t>
  </si>
  <si>
    <t>Надходження товарів і послуг ІБ00-005933 від 09.10.2025 08:00:00
Оприходованы ТМЦ</t>
  </si>
  <si>
    <t>Обл. НДС
Грунт-емаль ПФ-012 Р сірий (кг)
Надходження товарів і послуг ІБ00-005933 від 09.10.2025 08:00:00
Глобине-2</t>
  </si>
  <si>
    <t>Синтез ЛКМ
РАХУНКИ_Глобино-2
Рахунок на оплату постачальника ІБ00-004777 від 01.10.2025 18:12:55</t>
  </si>
  <si>
    <t>Обл. НДС
Розчинник "White Spirit" (л)
Надходження товарів і послуг ІБ00-005933 від 09.10.2025 08:00:00
Глобине-2</t>
  </si>
  <si>
    <t>Обл. НДС
Розчинник на основі Уфйт-спірит 4,5 л/3,16 кг
Надходження товарів і послуг ІБ00-005951 від 09.10.2025 08:00:24
Глобине-2</t>
  </si>
  <si>
    <t>Надходження товарів і послуг ІБ00-005833 від 09.10.2025 11:00:00
Оприходованы ТМЦ</t>
  </si>
  <si>
    <t>Обл. НДС
Бетон С20/25 W6 F75 P5 (щеб 5*10)
Надходження товарів і послуг ІБ00-005833 від 09.10.2025 11:00:00
Глобине-2</t>
  </si>
  <si>
    <t>Кременчуцький річковий порт ПРАТ
Договір 112/Б від 15.10.2024_Глобине-2
Надходження товарів і послуг ІБ00-005833 від 09.10.2025 11:00:00</t>
  </si>
  <si>
    <t>Обл. НДС
Бетон С 20/25  F75 W6 Р4
Надходження товарів і послуг ІБ00-005833 від 09.10.2025 11:00:00
Глобине-2</t>
  </si>
  <si>
    <t>Надходження товарів і послуг ІБ00-005882 від 09.10.2025 11:00:00
Оприходованы ТМЦ</t>
  </si>
  <si>
    <t>Обл. НДС
Кран кульовий 2525 14 фланцевий ДУ (150),  корпус-чугун, шар-н/ж сталь
Надходження товарів і послуг ІБ00-005882 від 09.10.2025 11:00:00
Резервуар для зберігання розчинника(Глобине)</t>
  </si>
  <si>
    <t>ІТО ТОВ
Договір 29052025 від 29.05.2025_Глобине 2
Рахунок на оплату постачальника ІБ00-003130 від 08.07.2025 18:00:15</t>
  </si>
  <si>
    <t>Надходження товарів і послуг ІБ00-005883 від 09.10.2025 11:00:00
Оприходованы ТМЦ</t>
  </si>
  <si>
    <t>Обл. НДС
Клапан Батерфляй з редуктором 2109 28 DN500 PN10 чавун EN-GJL-200 н/ж EPDM
Надходження товарів і послуг ІБ00-005883 від 09.10.2025 11:00:00
Насосна Градирня (Глобине)</t>
  </si>
  <si>
    <t>ІТО ТОВ
Договір 29052025 від 29.05.2025_Глобине 2
Рахунок на оплату постачальника ІБ00-002739 від 13.06.2025 18:33:42</t>
  </si>
  <si>
    <t>Надходження товарів і послуг ІБ00-005884 від 09.10.2025 11:00:00
Оприходованы ТМЦ</t>
  </si>
  <si>
    <t>Обл. НДС
Клапан батерфляй з редуктором 2109 24 DN400 PN10 корпус ковкий чавуну EN-GJL-200 
Надходження товарів і послуг ІБ00-005884 від 09.10.2025 11:00:00
Насосна Градирня (Глобине)</t>
  </si>
  <si>
    <t>ІТО ТОВ
Договір 29052025 від 29.05.2025_Глобине 2
Рахунок на оплату постачальника ІБ00-004314 від 04.09.2025 18:15:21</t>
  </si>
  <si>
    <t>Надходження товарів і послуг ІБ00-005886 від 09.10.2025 11:00:00
Оприходованы ТМЦ</t>
  </si>
  <si>
    <t>Обл. НДС
Клапан запобіжний відкритий ART494AP DN65/65 PN16 фланцевий корпус чавун
Надходження товарів і послуг ІБ00-005886 від 09.10.2025 11:00:00
Резервуарний парк соєвої меляси (Глобине)</t>
  </si>
  <si>
    <t>ІТО ТОВ
Договір 29052025 від 29.05.2025_Глобине 2
Рахунок на оплату постачальника ІБ00-003131 від 08.07.2025 18:00:16</t>
  </si>
  <si>
    <t>Обл. НДС
Кран кульовий 2525 14 фланцевий ДУ (150),  корпус-чугун, шар-н/ж сталь
Надходження товарів і послуг ІБ00-005886 від 09.10.2025 11:00:00
Резервуарний парк соєвої меляси (Глобине)</t>
  </si>
  <si>
    <t>Обл. НДС
Кран кульовий фланцевий Genebre 2525 14 DN150 PN16 повнопрохідний  корпус-чугун, в комплекті з пнев
Надходження товарів і послуг ІБ00-005886 від 09.10.2025 11:00:00
Резервуарний парк соєвої меляси (Глобине)</t>
  </si>
  <si>
    <t>Надходження товарів і послуг ІБ00-006230 від 09.10.2025 11:00:00
Оприходованы ТМЦ</t>
  </si>
  <si>
    <t>Обл. НДС
Грунт-емаль ПФ-012 Р RAL7024
Надходження товарів і послуг ІБ00-006230 від 09.10.2025 11:00:00
Резервуарний парк соєвої меляси (Глобине)</t>
  </si>
  <si>
    <t>Синтез ЛКМ
РАХУНКИ_Глобино-2
Рахунок на оплату постачальника ІБ00-004876 від 09.10.2025 19:00:15</t>
  </si>
  <si>
    <t>Надходження товарів і послуг ІБ00-006377 від 09.10.2025 11:00:00
Оприходованы ТМЦ</t>
  </si>
  <si>
    <t>Обл. НДС
Насос фекальний DELTA WQD 1,1кВт
Надходження товарів і послуг ІБ00-006377 від 09.10.2025 11:00:00
Транспортна галерея (Глобине)</t>
  </si>
  <si>
    <t>Доган Катерина Миколаївна ФОП
Рхунки_Глобино-2
Рахунок на оплату постачальника ІБ00-004742 від 02.10.2025 18:25:54</t>
  </si>
  <si>
    <t>Надходження товарів і послуг ІБ00-006606 від 09.10.2025 11:00:00
Оприходованы ТМЦ</t>
  </si>
  <si>
    <t>Обл. НДС
Профілі сталеві листові Н-57 оцинк
Надходження товарів і послуг ІБ00-006606 від 09.10.2025 11:00:00
Котельна (Глобине)</t>
  </si>
  <si>
    <t>Надходження дод. витрат ІБ00-000578 від 09.10.2025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</si>
  <si>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ІБ00-000578 від 09.10.2025 11:10:00</t>
  </si>
  <si>
    <t>Переміщення товарів ІБ00-001057 від 09.10.2025 11:20:00
Перемещение ТМЦ</t>
  </si>
  <si>
    <t>Обл. НДС
Бетон С20/25 W6 F75 P5 (щеб 5*10)
Переміщення товарів ІБ00-001057 від 09.10.2025 11:20:00
Цех екстракції (Глобине)</t>
  </si>
  <si>
    <t>Обл. НДС
Бетон С 20/25  F75 W6 Р4
Переміщення товарів ІБ00-001057 від 09.10.2025 11:20:00
Цех екстракції (Глобине)</t>
  </si>
  <si>
    <t>Переміщення товарів ІБ00-001058 від 09.10.2025 11:20:00
Перемещение ТМЦ</t>
  </si>
  <si>
    <t>Обл. НДС
Бетон С20/25 W6 F75 P5 (щеб 5*10)
Переміщення товарів ІБ00-001058 від 09.10.2025 11:20:00
Очисні споруди (Глобине)</t>
  </si>
  <si>
    <t>Переміщення товарів ІБ00-001076 від 09.10.2025 12:00:00
Перемещение ТМЦ</t>
  </si>
  <si>
    <t>Обл. НДС
Грунт-емаль ПФ-012 Р сірий (кг)
Переміщення товарів ІБ00-001076 від 09.10.2025 12:00:00
Пожежений резервуар (Глобине)</t>
  </si>
  <si>
    <t>Переміщення товарів ІБ00-001077 від 09.10.2025 12:00:00
Перемещение ТМЦ</t>
  </si>
  <si>
    <t>Обл. НДС
Грунт-емаль ПФ-012 Р сірий (кг)
Переміщення товарів ІБ00-001077 від 09.10.2025 12:00:00
Транспортна галерея Естакада 3.3 (Глобине)</t>
  </si>
  <si>
    <t>Обл. НДС
Розчинник "White Spirit" (л)
Переміщення товарів ІБ00-001077 від 09.10.2025 12:00:00
Транспортна галерея Естакада 3.3 (Глобине)</t>
  </si>
  <si>
    <t>Переміщення товарів ІБ00-001086 від 09.10.2025 13:00:00
Перемещение ТМЦ</t>
  </si>
  <si>
    <t>Обл. НДС
Розчинник на основі Уфйт-спірит 4,5 л/3,16 кг
Переміщення товарів ІБ00-001086 від 09.10.2025 13:00:00
Резервуарний парк соєвої меляси (Глобине)</t>
  </si>
  <si>
    <t>Переміщення товарів ІБ00-001080 від 09.10.2025 19:11:38
Перемещение ТМЦ</t>
  </si>
  <si>
    <t>Обл. НДС
Засувка Батерфляй в к-кте з редуктором ABO SERIES900 DN600 PN16 чавун 
Переміщення товарів ІБ00-001080 від 09.10.2025 19:11:38
Глобине-2</t>
  </si>
  <si>
    <t>Обл. НДС
Засувка Батерфляй в к-кте з редуктором ABO SERIES900 DN600 PN16 чавун 
Надходження товарів і послуг ІБ00-005454 від 24.09.2025 11:00:00
Насосна Градирня (Глобине)</t>
  </si>
  <si>
    <t>Обл. НДС
Клапан Батерфляй з редуктором 2109 28 DN500 PN10 чавун EN-GJL-200 н/ж EPDM
Переміщення товарів ІБ00-001080 від 09.10.2025 19:11:38
Глобине-2</t>
  </si>
  <si>
    <t>Переміщення товарів ІБ00-001062 від 10.10.2025 08:00:00
Перемещение ТМЦ</t>
  </si>
  <si>
    <t>Обл. НДС
Розчинник "White Spirit"
Переміщення товарів ІБ00-001062 від 10.10.2025 08:00:00
Котельна (Глобине)</t>
  </si>
  <si>
    <t>Обл. НДС
Розчинник "White Spirit"
Надходження товарів і послуг ІБ00-002704 від 27.05.2025 11:00:00
СПК (Глобине)</t>
  </si>
  <si>
    <t>Обл. НДС
Грунт-емаль 3 в 1 антикороз RAL7024 25 кг
Переміщення товарів ІБ00-001062 від 10.10.2025 08:00:00
Котельна (Глобине)</t>
  </si>
  <si>
    <t>Обл. НДС
Грунт-емаль 3 в 1 антикороз RAL7024 25 кг
Надходження товарів і послуг ІБ00-003609 від 07.07.2025 11:00:00
СПК (Глобине)</t>
  </si>
  <si>
    <t>Надходження товарів і послуг ІБ00-006443 від 10.10.2025 11:00:00
Оприходованы ТМЦ</t>
  </si>
  <si>
    <t>Обл. НДС
Грунт-емаль ПФ-012 Р RAL7024
Надходження товарів і послуг ІБ00-006443 від 10.10.2025 11:00:00
Резервуарний парк соєвої меляси (Глобине)</t>
  </si>
  <si>
    <t>Синтез ЛКМ
РАХУНКИ_Глобино-2
Рахунок на оплату постачальника ІБ00-004877 від 10.10.2025 18:22:26</t>
  </si>
  <si>
    <t>Списання товарів ІБ00-000583 від 10.10.2025 11:40:17
Списаны ТМЦ</t>
  </si>
  <si>
    <t>Обл. НДС
Прожектор LED200W 6000К 16000Lm
Надходження товарів і послуг ІБ00-001660 від 07.04.2025 11:00:00
Генплан митний склад (Глобине)</t>
  </si>
  <si>
    <t>Обл. НДС
Розчинник "White Spirit" (л)
Надходження товарів і послуг ІБ00-001429 від 28.03.2025 20:00:27
Генплан митний склад (Глобине)</t>
  </si>
  <si>
    <t>Вимога-накладна ІБ00-000935 від 10.10.2025 15:17:20
Списаны ТМЦ</t>
  </si>
  <si>
    <t>Обл. НДС
Піна монтажна  860 мл 
Переміщення товарів ІБ00-000876 від 11.09.2025 11:10:00
СПК (Глобине)</t>
  </si>
  <si>
    <t>Вимога-накладна ІБ00-000936 від 10.10.2025 15:22:12
Списаны ТМЦ</t>
  </si>
  <si>
    <t>Обл. НДС
Труба 100*100*4  ст1-3 пс L=12000
Надходження товарів і послуг ІБ00-003916 від 21.07.2025 11:00:00
Котельна (Глобине)</t>
  </si>
  <si>
    <t>Вимога-накладна ІБ00-000927 від 10.10.2025 18:22:31
Списаны ТМЦ</t>
  </si>
  <si>
    <t>Обл. НДС
Арматура №10  А500С L=12000 мм
Переміщення товарів ІБ00-000861 від 29.08.2025 11:10:00
АПК (Глобине)</t>
  </si>
  <si>
    <t>Обл. НДС
Арматура №20  А500С L=12000 мм
Переміщення товарів ІБ00-000861 від 29.08.2025 11:10:00
АПК (Глобине)</t>
  </si>
  <si>
    <t>Вимога-накладна ІБ00-000928 від 10.10.2025 18:22:34
Списаны ТМЦ</t>
  </si>
  <si>
    <t>Обл. НДС
Плівка п/е рукав 1500*200
Надходження товарів і послуг ІБ00-002242 від 13.05.2025 11:00:00
Пожежений резервуар (Глобине)</t>
  </si>
  <si>
    <t>Вимога-накладна ІБ00-000929 від 10.10.2025 18:22:35
Списаны ТМЦ</t>
  </si>
  <si>
    <t>Обл. НДС
Решітковий настил KOZ 34*38/30*3/оц/ 1045*1000
Надходження товарів і послуг ІБ00-005258 від 18.09.2025 11:00:00
Цех екстракції (Глобине)</t>
  </si>
  <si>
    <t>Обл. НДС
Решітковий настил KOZ 34*38/30*3/оц/ 1045*586
Надходження товарів і послуг ІБ00-005258 від 18.09.2025 11:00:00
Цех екстракції (Глобине)</t>
  </si>
  <si>
    <t>Обл. НДС
Решітковий настил KOZ 34*38/30*3/оц/ 1200*1250
Надходження товарів і послуг ІБ00-005258 від 18.09.2025 11:00:00
Цех екстракції (Глобине)</t>
  </si>
  <si>
    <t>Обл. НДС
Решітковий настил KOZ 34*38/30*3/оц/ 1200*999
Надходження товарів і послуг ІБ00-005258 від 18.09.2025 11:00:00
Цех екстракції (Глобине)</t>
  </si>
  <si>
    <t>Обл. НДС
Решітковий настил KOZ 34*38/30*3/оц/ 1500*1000
Надходження товарів і послуг ІБ00-005258 від 18.09.2025 11:00:00
Цех екстракції (Глобине)</t>
  </si>
  <si>
    <t>Обл. НДС
Решітковий настил KOZ 34*38/30*3/оц/ 1500*1090
Надходження товарів і послуг ІБ00-005258 від 18.09.2025 11:00:00
Цех екстракції (Глобине)</t>
  </si>
  <si>
    <t>Обл. НДС
Решітковий настил KOZ 34*38/30*3/оц/ 1750*1000
Надходження товарів і послуг ІБ00-005258 від 18.09.2025 11:00:00
Цех екстракції (Глобине)</t>
  </si>
  <si>
    <t>Обл. НДС
Решітковий настил KOZ 34*38/30*3/оц/ 1800*1000
Надходження товарів і послуг ІБ00-005258 від 18.09.2025 11:00:00
Цех екстракції (Глобине)</t>
  </si>
  <si>
    <t>Обл. НДС
Решітковий настил KOZ 34*38/30*3/оц/ 1964*1000
Надходження товарів і послуг ІБ00-005258 від 18.09.2025 11:00:00
Цех екстракції (Глобине)</t>
  </si>
  <si>
    <t>Обл. НДС
Решітковий настил KOZ 34*38/30*3/оц/ 2500*1000
Надходження товарів і послуг ІБ00-005258 від 18.09.2025 11:00:00
Цех екстракції (Глобине)</t>
  </si>
  <si>
    <t>Обл. НДС
Решітковий настил KOZ 34*38/30*3/оц/ 900*1000
Надходження товарів і послуг ІБ00-005258 від 18.09.2025 11:00:00
Цех екстракції (Глобине)</t>
  </si>
  <si>
    <t>Обл. НДС
Решітковий настил KOZ 34*38/30*3/оц/ 900*1029
Надходження товарів і послуг ІБ00-005258 від 18.09.2025 11:00:00
Цех екстракції (Глобине)</t>
  </si>
  <si>
    <t>Обл. НДС
Решітковий настил KOZ 34*38/30*3/оц/1000*1000
Надходження товарів і послуг ІБ00-005258 від 18.09.2025 11:00:00
Цех екстракції (Глобине)</t>
  </si>
  <si>
    <t>Обл. НДС
Решітковий настил KOZ 34*38/30*3/оц/1040*1000
Надходження товарів і послуг ІБ00-005258 від 18.09.2025 11:00:00
Цех екстракції (Глобине)</t>
  </si>
  <si>
    <t>Обл. НДС
Решітковий настил KOZ 34*38/30*3/оц/1040*1191
Надходження товарів і послуг ІБ00-005258 від 18.09.2025 11:00:00
Цех екстракції (Глобине)</t>
  </si>
  <si>
    <t>Обл. НДС
Решітковий настил KOZ 34*38/30*3/оц/1185*1000
Надходження товарів і послуг ІБ00-005258 від 18.09.2025 11:00:00
Цех екстракції (Глобине)</t>
  </si>
  <si>
    <t>Обл. НДС
Решітковий настил KOZ 34*38/30*3/оц/1185*825
Надходження товарів і послуг ІБ00-005258 від 18.09.2025 11:00:00
Цех екстракції (Глобине)</t>
  </si>
  <si>
    <t>Обл. НДС
Решітковий настил KOZ 34*38/30*3/оц/1200*1000
Надходження товарів і послуг ІБ00-005258 від 18.09.2025 11:00:00
Цех екстракції (Глобине)</t>
  </si>
  <si>
    <t>Обл. НДС
Решітковий настил KOZ 34*38/30*3/оц/1360*1000
Надходження товарів і послуг ІБ00-005258 від 18.09.2025 11:00:00
Цех екстракції (Глобине)</t>
  </si>
  <si>
    <t>Обл. НДС
Решітковий настил KOZ 34*38/30*3/оц/1385*1282
Надходження товарів і послуг ІБ00-005258 від 18.09.2025 11:00:00
Цех екстракції (Глобине)</t>
  </si>
  <si>
    <t>Обл. НДС
Решітковий настил KOZ 34*38/30*3/оц/1450*1000
Надходження товарів і послуг ІБ00-005258 від 18.09.2025 11:00:00
Цех екстракції (Глобине)</t>
  </si>
  <si>
    <t>Обл. НДС
Решітковий настил KOZ 34*38/30*3/оц/1550*1163
Надходження товарів і послуг ІБ00-005258 від 18.09.2025 11:00:00
Цех екстракції (Глобине)</t>
  </si>
  <si>
    <t>Обл. НДС
Решітковий настил KOZ 34*38/30*3/оц/1700*1000
Надходження товарів і послуг ІБ00-005258 від 18.09.2025 11:00:00
Цех екстракції (Глобине)</t>
  </si>
  <si>
    <t>Обл. НДС
Решітковий настил KOZ 34*38/30*3/оц/1700*1200
Надходження товарів і послуг ІБ00-005258 від 18.09.2025 11:00:00
Цех екстракції (Глобине)</t>
  </si>
  <si>
    <t>Обл. НДС
Решітковий настил KOZ 34*38/30*3/оц/1700*893
Надходження товарів і послуг ІБ00-005258 від 18.09.2025 11:00:00
Цех екстракції (Глобине)</t>
  </si>
  <si>
    <t>Обл. НДС
Решітковий настил KOZ 34*38/30*3/оц/1715*1000
Надходження товарів і послуг ІБ00-005258 від 18.09.2025 11:00:00
Цех екстракції (Глобине)</t>
  </si>
  <si>
    <t>Обл. НДС
Решітковий настил KOZ 34*38/30*3/оц/1715*1078
Надходження товарів і послуг ІБ00-005258 від 18.09.2025 11:00:00
Цех екстракції (Глобине)</t>
  </si>
  <si>
    <t>Обл. НДС
Решітковий настил KOZ 34*38/30*3/оц/1715*918
Надходження товарів і послуг ІБ00-005258 від 18.09.2025 11:00:00
Цех екстракції (Глобине)</t>
  </si>
  <si>
    <t>Обл. НДС
Решітковий настил KOZ 34*38/30*3/оц/1755*1156
Надходження товарів і послуг ІБ00-005258 від 18.09.2025 11:00:00
Цех екстракції (Глобине)</t>
  </si>
  <si>
    <t>Обл. НДС
Решітковий настил KOZ 34*38/30*3/оц/1850*1000
Надходження товарів і послуг ІБ00-005258 від 18.09.2025 11:00:00
Цех екстракції (Глобине)</t>
  </si>
  <si>
    <t>Обл. НДС
Решітковий настил KOZ 34*38/30*3/оц/1850*1231
Надходження товарів і послуг ІБ00-005258 від 18.09.2025 11:00:00
Цех екстракції (Глобине)</t>
  </si>
  <si>
    <t>Обл. НДС
Решітковий настил KOZ 34*38/30*3/оц/1850*374
Надходження товарів і послуг ІБ00-005258 від 18.09.2025 11:00:00
Цех екстракції (Глобине)</t>
  </si>
  <si>
    <t>Обл. НДС
Решітковий настил KOZ 34*38/30*3/оц/1850*383
Надходження товарів і послуг ІБ00-005258 від 18.09.2025 11:00:00
Цех екстракції (Глобине)</t>
  </si>
  <si>
    <t>Обл. НДС
Решітковий настил KOZ 34*38/30*3/оц/1850*453
Надходження товарів і послуг ІБ00-005258 від 18.09.2025 11:00:00
Цех екстракції (Глобине)</t>
  </si>
  <si>
    <t>Обл. НДС
Решітковий настил KOZ 34*38/30*3/оц/1900*1000
Надходження товарів і послуг ІБ00-005258 від 18.09.2025 11:00:00
Цех екстракції (Глобине)</t>
  </si>
  <si>
    <t>Обл. НДС
Решітковий настил KOZ 34*38/30*3/оц/2000*1000
Надходження товарів і послуг ІБ00-005258 від 18.09.2025 11:00:00
Цех екстракції (Глобине)</t>
  </si>
  <si>
    <t>Обл. НДС
Решітковий настил KOZ 34*38/30*3/оц/2055*1000
Надходження товарів і послуг ІБ00-005258 від 18.09.2025 11:00:00
Цех екстракції (Глобине)</t>
  </si>
  <si>
    <t>Обл. НДС
Решітковий настил KOZ 34*38/30*3/оц/2100*1000
Надходження товарів і послуг ІБ00-005258 від 18.09.2025 11:00:00
Цех екстракції (Глобине)</t>
  </si>
  <si>
    <t>Обл. НДС
Решітковий настил KOZ 34*38/30*3/оц/2100*1265
Надходження товарів і послуг ІБ00-005258 від 18.09.2025 11:00:00
Цех екстракції (Глобине)</t>
  </si>
  <si>
    <t>Обл. НДС
Решітковий настил KOZ 34*38/30*3/оц/2100*1335
Надходження товарів і послуг ІБ00-005258 від 18.09.2025 11:00:00
Цех екстракції (Глобине)</t>
  </si>
  <si>
    <t>Обл. НДС
Решітковий настил KOZ 34*38/30*3/оц/2100*700
Надходження товарів і послуг ІБ00-005258 від 18.09.2025 11:00:00
Цех екстракції (Глобине)</t>
  </si>
  <si>
    <t>Обл. НДС
Решітковий настил KOZ 34*38/30*3/оц/2200*1000
Надходження товарів і послуг ІБ00-005258 від 18.09.2025 11:00:00
Цех екстракції (Глобине)</t>
  </si>
  <si>
    <t>Обл. НДС
Решітковий настил KOZ 34*38/30*3/оц/2200*685
Надходження товарів і послуг ІБ00-005258 від 18.09.2025 11:00:00
Цех екстракції (Глобине)</t>
  </si>
  <si>
    <t>Обл. НДС
Решітковий настил KOZ 34*38/30*3/оц/2250*1000
Надходження товарів і послуг ІБ00-005258 від 18.09.2025 11:00:00
Цех екстракції (Глобине)</t>
  </si>
  <si>
    <t>Обл. НДС
Решітковий настил KOZ 34*38/30*3/оц/2253*1000
Надходження товарів і послуг ІБ00-005258 від 18.09.2025 11:00:00
Цех екстракції (Глобине)</t>
  </si>
  <si>
    <t>Обл. НДС
Решітковий настил KOZ 34*38/30*3/оц/2297*1000
Надходження товарів і послуг ІБ00-005258 від 18.09.2025 11:00:00
Цех екстракції (Глобине)</t>
  </si>
  <si>
    <t>Обл. НДС
Решітковий настил KOZ 34*38/30*3/оц/2297*1385
Надходження товарів і послуг ІБ00-005258 від 18.09.2025 11:00:00
Цех екстракції (Глобине)</t>
  </si>
  <si>
    <t>Обл. НДС
Решітковий настил KOZ 34*38/30*3/оц/2300*1000
Надходження товарів і послуг ІБ00-005258 від 18.09.2025 11:00:00
Цех екстракції (Глобине)</t>
  </si>
  <si>
    <t>Обл. НДС
Решітковий настил KOZ 34*38/30*3/оц/2300*1335
Надходження товарів і послуг ІБ00-005258 від 18.09.2025 11:00:00
Цех екстракції (Глобине)</t>
  </si>
  <si>
    <t>Обл. НДС
Решітковий настил KOZ 34*38/30*3/оц/2300*1450
Надходження товарів і послуг ІБ00-005258 від 18.09.2025 11:00:00
Цех екстракції (Глобине)</t>
  </si>
  <si>
    <t>Обл. НДС
Решітковий настил KOZ 34*38/30*3/оц/2300*700
Надходження товарів і послуг ІБ00-005258 від 18.09.2025 11:00:00
Цех екстракції (Глобине)</t>
  </si>
  <si>
    <t>Обл. НДС
Решітковий настил KOZ 34*38/30*3/оц/2650*1000
Надходження товарів і послуг ІБ00-005258 від 18.09.2025 11:00:00
Цех екстракції (Глобине)</t>
  </si>
  <si>
    <t>Обл. НДС
Решітковий настил KOZ 34*38/30*3/оц/500*1000
Надходження товарів і послуг ІБ00-005258 від 18.09.2025 11:00:00
Цех екстракції (Глобине)</t>
  </si>
  <si>
    <t>Обл. НДС
Решітковий настил KOZ 34*38/30*3/оц/733*1000
Надходження товарів і послуг ІБ00-005258 від 18.09.2025 11:00:00
Цех екстракції (Глобине)</t>
  </si>
  <si>
    <t>Обл. НДС
Решітковий настил KOZ 34*38/30*3/оц/897*1071
Надходження товарів і послуг ІБ00-005258 від 18.09.2025 11:00:00
Цех екстракції (Глобине)</t>
  </si>
  <si>
    <t>Обл. НДС
Решітковий настил KOZ 34*38/30*3/оц/900*475
Надходження товарів і послуг ІБ00-005258 від 18.09.2025 11:00:00
Цех екстракції (Глобине)</t>
  </si>
  <si>
    <t>Обл. НДС
Решітковий настил KOZ 34*38/30*3/оц/900*835
Надходження товарів і послуг ІБ00-005258 від 18.09.2025 11:00:00
Цех екстракції (Глобине)</t>
  </si>
  <si>
    <t>Обл. НДС
Решітковий настил KOZ 34*38/30*3/оц/969*1066
Надходження товарів і послуг ІБ00-005258 від 18.09.2025 11:00:00
Цех екстракції (Глобине)</t>
  </si>
  <si>
    <t>Обл. НДС
Решітковий настил KOZ 34*38/30*3/оц/969*1074
Надходження товарів і послуг ІБ00-005258 від 18.09.2025 11:00:00
Цех екстракції (Глобине)</t>
  </si>
  <si>
    <t>Обл. НДС
Решітковий настил KOZ 34*38/40*3/оц/ 1462*1000
Надходження товарів і послуг ІБ00-005258 від 18.09.2025 11:00:00
Цех екстракції (Глобине)</t>
  </si>
  <si>
    <t>Обл. НДС
Решітковий настил KOZ 34*38/40*3/оц/ 1500*1265
Надходження товарів і послуг ІБ00-005258 від 18.09.2025 11:00:00
Цех екстракції (Глобине)</t>
  </si>
  <si>
    <t>Обл. НДС
Решітковий настил KOZ 34*38/40*3/оц/ 1500*1450
Надходження товарів і послуг ІБ00-005258 від 18.09.2025 11:00:00
Цех екстракції (Глобине)</t>
  </si>
  <si>
    <t>Обл. НДС
Решітковий настил KOZ 34*38/40*3/оц/ 1500*700
Надходження товарів і послуг ІБ00-005258 від 18.09.2025 11:00:00
Цех екстракції (Глобине)</t>
  </si>
  <si>
    <t>Обл. НДС
Решітковий настил KOZ 34*38/40*3/оц/ 1500*885
Надходження товарів і послуг ІБ00-005258 від 18.09.2025 11:00:00
Цех екстракції (Глобине)</t>
  </si>
  <si>
    <t>Обл. НДС
Решітковий настил KOZ 34*38/40*3/оц/ 1999*1000
Надходження товарів і послуг ІБ00-005258 від 18.09.2025 11:00:00
Цех екстракції (Глобине)</t>
  </si>
  <si>
    <t>Обл. НДС
Решітковий настил KOZ 34*38/40*3/оц/ 2300*1265
Надходження товарів і послуг ІБ00-005258 від 18.09.2025 11:00:00
Цех екстракції (Глобине)</t>
  </si>
  <si>
    <t>Обл. НДС
Решітковий настил KOZ 34*38/40*3/оц/ 2800*1162
Надходження товарів і послуг ІБ00-005258 від 18.09.2025 11:00:00
Цех екстракції (Глобине)</t>
  </si>
  <si>
    <t>Обл. НДС
Решітковий настил KOZ 34*38/40*3/оц/ 903*1027
Надходження товарів і послуг ІБ00-005258 від 18.09.2025 11:00:00
Цех екстракції (Глобине)</t>
  </si>
  <si>
    <t>Обл. НДС
Решітковий настил KOZ 34*38/40*3/оц/2200*1265
Надходження товарів і послуг ІБ00-005258 від 18.09.2025 11:00:00
Цех екстракції (Глобине)</t>
  </si>
  <si>
    <t>Обл. НДС
Решітковий настил KOZ 34*38/40*3/оц/2300*885
Надходження товарів і послуг ІБ00-005258 від 18.09.2025 11:00:00
Цех екстракції (Глобине)</t>
  </si>
  <si>
    <t>Обл. НДС
Решітковий настил KOZ/34x38/30x3 оц. /  1000X1626       
Надходження товарів і послуг ІБ00-005258 від 18.09.2025 11:00:00
Цех екстракції (Глобине)</t>
  </si>
  <si>
    <t>Обл. НДС
Решітковий настил KOZ/34x38/30x3 оц. /  1000X1631       
Надходження товарів і послуг ІБ00-005258 від 18.09.2025 11:00:00
Цех екстракції (Глобине)</t>
  </si>
  <si>
    <t>Обл. НДС
Решітковий настил KOZ/34x38/30x3 оц. /  1005X1631       
Надходження товарів і послуг ІБ00-005258 від 18.09.2025 11:00:00
Цех екстракції (Глобине)</t>
  </si>
  <si>
    <t>Обл. НДС
Решітковий настил KOZ/34x38/30x3 оц. /  1069X1627       
Надходження товарів і послуг ІБ00-005258 від 18.09.2025 11:00:00
Цех екстракції (Глобине)</t>
  </si>
  <si>
    <t>Обл. НДС
Решітковий настил KOZ/34x38/30x3 оц. /  1069X1631       
Надходження товарів і послуг ІБ00-005258 від 18.09.2025 11:00:00
Цех екстракції (Глобине)</t>
  </si>
  <si>
    <t>Обл. НДС
Решітковий настил KOZ/34x38/30x3 оц. /  1069X1634       
Надходження товарів і послуг ІБ00-005258 від 18.09.2025 11:00:00
Цех екстракції (Глобине)</t>
  </si>
  <si>
    <t>Обл. НДС
Решітковий настил KOZ/34x38/30x3 оц. /  1167X1971       
Надходження товарів і послуг ІБ00-005258 від 18.09.2025 11:00:00
Цех екстракції (Глобине)</t>
  </si>
  <si>
    <t>Обл. НДС
Решітковий настил KOZ/34x38/30x3 оц. /  1200X1200   
Надходження товарів і послуг ІБ00-005258 від 18.09.2025 11:00:00
Цех екстракції (Глобине)</t>
  </si>
  <si>
    <t>Обл. НДС
Решітковий настил KOZ/34x38/30x3 оц. /  1215X1000       
Надходження товарів і послуг ІБ00-005258 від 18.09.2025 11:00:00
Цех екстракції (Глобине)</t>
  </si>
  <si>
    <t>Обл. НДС
Решітковий настил KOZ/34x38/30x3 оц. /  1215X513        
Надходження товарів і послуг ІБ00-005258 від 18.09.2025 11:00:00
Цех екстракції (Глобине)</t>
  </si>
  <si>
    <t>Обл. НДС
Решітковий настил KOZ/34x38/30x3 оц. /  1215X832        
Надходження товарів і послуг ІБ00-005258 від 18.09.2025 11:00:00
Цех екстракції (Глобине)</t>
  </si>
  <si>
    <t>Обл. НДС
Решітковий настил KOZ/34x38/30x3 оц. /  1249X1000       
Надходження товарів і послуг ІБ00-005258 від 18.09.2025 11:00:00
Цех екстракції (Глобине)</t>
  </si>
  <si>
    <t>Обл. НДС
Решітковий настил KOZ/34x38/30x3 оц. /  1285X1000       
Надходження товарів і послуг ІБ00-005258 від 18.09.2025 11:00:00
Цех екстракції (Глобине)</t>
  </si>
  <si>
    <t>Обл. НДС
Решітковий настил KOZ/34x38/30x3 оц. /  1285X950        
Надходження товарів і послуг ІБ00-005258 від 18.09.2025 11:00:00
Цех екстракції (Глобине)</t>
  </si>
  <si>
    <t>Обл. НДС
Решітковий настил KOZ/34x38/30x3 оц. /  1295X1400
Надходження товарів і послуг ІБ00-005258 від 18.09.2025 11:00:00
Цех екстракції (Глобине)</t>
  </si>
  <si>
    <t>Обл. НДС
Решітковий настил KOZ/34x38/30x3 оц. /  1364X1000       
Надходження товарів і послуг ІБ00-005258 від 18.09.2025 11:00:00
Цех екстракції (Глобине)</t>
  </si>
  <si>
    <t>Обл. НДС
Решітковий настил KOZ/34x38/30x3 оц. /  1395X1200       
Надходження товарів і послуг ІБ00-005258 від 18.09.2025 11:00:00
Цех екстракції (Глобине)</t>
  </si>
  <si>
    <t>Обл. НДС
Решітковий настил KOZ/34x38/30x3 оц. /  1442X1000       
Надходження товарів і послуг ІБ00-005258 від 18.09.2025 11:00:00
Цех екстракції (Глобине)</t>
  </si>
  <si>
    <t>Обл. НДС
Решітковий настил KOZ/34x38/30x3 оц. /  1443X1000   
Надходження товарів і послуг ІБ00-005258 від 18.09.2025 11:00:00
Цех екстракції (Глобине)</t>
  </si>
  <si>
    <t>Обл. НДС
Решітковий настил KOZ/34x38/30x3 оц. /  1443X1283   
Надходження товарів і послуг ІБ00-005258 від 18.09.2025 11:00:00
Цех екстракції (Глобине)</t>
  </si>
  <si>
    <t>Обл. НДС
Решітковий настил KOZ/34x38/30x3 оц. /  1443X378    
Надходження товарів і послуг ІБ00-005258 від 18.09.2025 11:00:00
Цех екстракції (Глобине)</t>
  </si>
  <si>
    <t>Обл. НДС
Решітковий настил KOZ/34x38/30x3 оц. /  1443X631        
Надходження товарів і послуг ІБ00-005258 від 18.09.2025 11:00:00
Цех екстракції (Глобине)</t>
  </si>
  <si>
    <t>Обл. НДС
Решітковий настил KOZ/34x38/30x3 оц. /  1443X703    
Надходження товарів і послуг ІБ00-005258 від 18.09.2025 11:00:00
Цех екстракції (Глобине)</t>
  </si>
  <si>
    <t>Обл. НДС
Решітковий настил KOZ/34x38/30x3 оц. /  1443X785    
Надходження товарів і послуг ІБ00-005258 від 18.09.2025 11:00:00
Цех екстракції (Глобине)</t>
  </si>
  <si>
    <t>Обл. НДС
Решітковий настил KOZ/34x38/30x3 оц. /  1445X1000       
Надходження товарів і послуг ІБ00-005258 від 18.09.2025 11:00:00
Цех екстракції (Глобине)</t>
  </si>
  <si>
    <t>Обл. НДС
Решітковий настил KOZ/34x38/30x3 оц. /  1457X1007       
Надходження товарів і послуг ІБ00-005258 від 18.09.2025 11:00:00
Цех екстракції (Глобине)</t>
  </si>
  <si>
    <t>Обл. НДС
Решітковий настил KOZ/34x38/30x3 оц. /  1457X1401       
Надходження товарів і послуг ІБ00-005258 від 18.09.2025 11:00:00
Цех екстракції (Глобине)</t>
  </si>
  <si>
    <t>Обл. НДС
Решітковий настил KOZ/34x38/30x3 оц. /  1459X1191       
Надходження товарів і послуг ІБ00-005258 від 18.09.2025 11:00:00
Цех екстракції (Глобине)</t>
  </si>
  <si>
    <t>Обл. НДС
Решітковий настил KOZ/34x38/30x3 оц. /  1525X1000       
Надходження товарів і послуг ІБ00-005258 від 18.09.2025 11:00:00
Цех екстракції (Глобине)</t>
  </si>
  <si>
    <t>Обл. НДС
Решітковий настил KOZ/34x38/30x3 оц. /  1525X695        
Надходження товарів і послуг ІБ00-005258 від 18.09.2025 11:00:00
Цех екстракції (Глобине)</t>
  </si>
  <si>
    <t>Обл. НДС
Решітковий настил KOZ/34x38/30x3 оц. /  1605X1000       
Надходження товарів і послуг ІБ00-005258 від 18.09.2025 11:00:00
Цех екстракції (Глобине)</t>
  </si>
  <si>
    <t>Обл. НДС
Решітковий настил KOZ/34x38/30x3 оц. /  1636X1000       
Надходження товарів і послуг ІБ00-005258 від 18.09.2025 11:00:00
Цех екстракції (Глобине)</t>
  </si>
  <si>
    <t>Обл. НДС
Решітковий настил KOZ/34x38/30x3 оц. /  1661X534        
Надходження товарів і послуг ІБ00-005258 від 18.09.2025 11:00:00
Цех екстракції (Глобине)</t>
  </si>
  <si>
    <t>Обл. НДС
Решітковий настил KOZ/34x38/30x3 оц. /  1675X1000       
Надходження товарів і послуг ІБ00-005258 від 18.09.2025 11:00:00
Цех екстракції (Глобине)</t>
  </si>
  <si>
    <t>Обл. НДС
Решітковий настил KOZ/34x38/30x3 оц. /  1675X1365       
Надходження товарів і послуг ІБ00-005258 від 18.09.2025 11:00:00
Цех екстракції (Глобине)</t>
  </si>
  <si>
    <t>Обл. НДС
Решітковий настил KOZ/34x38/30x3 оц. /  1691X694        
Надходження товарів і послуг ІБ00-005258 від 18.09.2025 11:00:00
Цех екстракції (Глобине)</t>
  </si>
  <si>
    <t>Обл. НДС
Решітковий настил KOZ/34x38/30x3 оц. /  1691X723        
Надходження товарів і послуг ІБ00-005258 від 18.09.2025 11:00:00
Цех екстракції (Глобине)</t>
  </si>
  <si>
    <t>Обл. НДС
Решітковий настил KOZ/34x38/30x3 оц. /  1800X1000       
Надходження товарів і послуг ІБ00-005258 від 18.09.2025 11:00:00
Цех екстракції (Глобине)</t>
  </si>
  <si>
    <t>Обл. НДС
Решітковий настил KOZ/34x38/30x3 оц. /  1800X1365       
Надходження товарів і послуг ІБ00-005258 від 18.09.2025 11:00:00
Цех екстракції (Глобине)</t>
  </si>
  <si>
    <t>Обл. НДС
Решітковий настил KOZ/34x38/30x3 оц. /  1869X1000       
Надходження товарів і послуг ІБ00-005258 від 18.09.2025 11:00:00
Цех екстракції (Глобине)</t>
  </si>
  <si>
    <t>Обл. НДС
Решітковий настил KOZ/34x38/30x3 оц. /  1876X1000       
Надходження товарів і послуг ІБ00-005258 від 18.09.2025 11:00:00
Цех екстракції (Глобине)</t>
  </si>
  <si>
    <t>Обл. НДС
Решітковий настил KOZ/34x38/30x3 оц. /  1884X1000       
Надходження товарів і послуг ІБ00-005258 від 18.09.2025 11:00:00
Цех екстракції (Глобине)</t>
  </si>
  <si>
    <t>Обл. НДС
Решітковий настил KOZ/34x38/30x3 оц. /  1900X537        
Надходження товарів і послуг ІБ00-005258 від 18.09.2025 11:00:00
Цех екстракції (Глобине)</t>
  </si>
  <si>
    <t>Обл. НДС
Решітковий настил KOZ/34x38/30x3 оц. /  2000X1365       
Надходження товарів і послуг ІБ00-005258 від 18.09.2025 11:00:00
Цех екстракції (Глобине)</t>
  </si>
  <si>
    <t>Обл. НДС
Решітковий настил KOZ/34x38/30x3 оц. /  2007X1000       
Надходження товарів і послуг ІБ00-005258 від 18.09.2025 11:00:00
Цех екстракції (Глобине)</t>
  </si>
  <si>
    <t>Обл. НДС
Решітковий настил KOZ/34x38/30x3 оц. /  2007X1365       
Надходження товарів і послуг ІБ00-005258 від 18.09.2025 11:00:00
Цех екстракції (Глобине)</t>
  </si>
  <si>
    <t>Обл. НДС
Решітковий настил KOZ/34x38/30x3 оц. /  2062X1000       
Надходження товарів і послуг ІБ00-005258 від 18.09.2025 11:00:00
Цех екстракції (Глобине)</t>
  </si>
  <si>
    <t>Обл. НДС
Решітковий настил KOZ/34x38/30x3 оц. /  2063X1000       
Надходження товарів і послуг ІБ00-005258 від 18.09.2025 11:00:00
Цех екстракції (Глобине)</t>
  </si>
  <si>
    <t>Обл. НДС
Решітковий настил KOZ/34x38/30x3 оц. /  2064X1000       
Надходження товарів і послуг ІБ00-005258 від 18.09.2025 11:00:00
Цех екстракції (Глобине)</t>
  </si>
  <si>
    <t>Обл. НДС
Решітковий настил KOZ/34x38/30x3 оц. /  2066X1000       
Надходження товарів і послуг ІБ00-005258 від 18.09.2025 11:00:00
Цех екстракції (Глобине)</t>
  </si>
  <si>
    <t>Обл. НДС
Решітковий настил KOZ/34x38/30x3 оц. /  2069X1365       
Надходження товарів і послуг ІБ00-005258 від 18.09.2025 11:00:00
Цех екстракції (Глобине)</t>
  </si>
  <si>
    <t>Обл. НДС
Решітковий настил KOZ/34x38/30x3 оц. /  2072X1000       
Надходження товарів і послуг ІБ00-005258 від 18.09.2025 11:00:00
Цех екстракції (Глобине)</t>
  </si>
  <si>
    <t>Обл. НДС
Решітковий настил KOZ/34x38/30x3 оц. /  2076X1297       
Надходження товарів і послуг ІБ00-005258 від 18.09.2025 11:00:00
Цех екстракції (Глобине)</t>
  </si>
  <si>
    <t>Обл. НДС
Решітковий настил KOZ/34x38/30x3 оц. /  2078X1000       
Надходження товарів і послуг ІБ00-005258 від 18.09.2025 11:00:00
Цех екстракції (Глобине)</t>
  </si>
  <si>
    <t>Обл. НДС
Решітковий настил KOZ/34x38/30x3 оц. /  2104X1000       
Надходження товарів і послуг ІБ00-005258 від 18.09.2025 11:00:00
Цех екстракції (Глобине)</t>
  </si>
  <si>
    <t>Обл. НДС
Решітковий настил KOZ/34x38/30x3 оц. /  2105X1000       
Надходження товарів і послуг ІБ00-005258 від 18.09.2025 11:00:00
Цех екстракції (Глобине)</t>
  </si>
  <si>
    <t>Обл. НДС
Решітковий настил KOZ/34x38/30x3 оц. /  2105X1365       
Надходження товарів і послуг ІБ00-005258 від 18.09.2025 11:00:00
Цех екстракції (Глобине)</t>
  </si>
  <si>
    <t>Обл. НДС
Решітковий настил KOZ/34x38/30x3 оц. /  2105X1566       
Надходження товарів і послуг ІБ00-005258 від 18.09.2025 11:00:00
Цех екстракції (Глобине)</t>
  </si>
  <si>
    <t>Обл. НДС
Решітковий настил KOZ/34x38/30x3 оц. /  2110X1000       
Надходження товарів і послуг ІБ00-005258 від 18.09.2025 11:00:00
Цех екстракції (Глобине)</t>
  </si>
  <si>
    <t>Обл. НДС
Решітковий настил KOZ/34x38/30x3 оц. /  2114X1572       
Надходження товарів і послуг ІБ00-005258 від 18.09.2025 11:00:00
Цех екстракції (Глобине)</t>
  </si>
  <si>
    <t>Обл. НДС
Решітковий настил KOZ/34x38/30x3 оц. /  2131X1000       
Надходження товарів і послуг ІБ00-005258 від 18.09.2025 11:00:00
Цех екстракції (Глобине)</t>
  </si>
  <si>
    <t>Обл. НДС
Решітковий настил KOZ/34x38/30x3 оц. /  2131X1365       
Надходження товарів і послуг ІБ00-005258 від 18.09.2025 11:00:00
Цех екстракції (Глобине)</t>
  </si>
  <si>
    <t>Обл. НДС
Решітковий настил KOZ/34x38/30x3 оц. /  2135X1554       
Надходження товарів і послуг ІБ00-005258 від 18.09.2025 11:00:00
Цех екстракції (Глобине)</t>
  </si>
  <si>
    <t>Обл. НДС
Решітковий настил KOZ/34x38/30x3 оц. /  2137X1673       
Надходження товарів і послуг ІБ00-005258 від 18.09.2025 11:00:00
Цех екстракції (Глобине)</t>
  </si>
  <si>
    <t>Обл. НДС
Решітковий настил KOZ/34x38/30x3 оц. /  2140X1554       
Надходження товарів і послуг ІБ00-005258 від 18.09.2025 11:00:00
Цех екстракції (Глобине)</t>
  </si>
  <si>
    <t>Обл. НДС
Решітковий настил KOZ/34x38/30x3 оц. /  2140X1673       
Надходження товарів і послуг ІБ00-005258 від 18.09.2025 11:00:00
Цех екстракції (Глобине)</t>
  </si>
  <si>
    <t>Обл. НДС
Решітковий настил KOZ/34x38/30x3 оц. /  2194X1000       
Надходження товарів і послуг ІБ00-005258 від 18.09.2025 11:00:00
Цех екстракції (Глобине)</t>
  </si>
  <si>
    <t>Обл. НДС
Решітковий настил KOZ/34x38/30x3 оц. /  2199X1000       
Надходження товарів і послуг ІБ00-005258 від 18.09.2025 11:00:00
Цех екстракції (Глобине)</t>
  </si>
  <si>
    <t>Обл. НДС
Решітковий настил KOZ/34x38/30x3 оц. /  2200X700        
Надходження товарів і послуг ІБ00-005258 від 18.09.2025 11:00:00
Цех екстракції (Глобине)</t>
  </si>
  <si>
    <t>Обл. НДС
Решітковий настил KOZ/34x38/30x3 оц. /  2204X1000       
Надходження товарів і послуг ІБ00-005258 від 18.09.2025 11:00:00
Цех екстракції (Глобине)</t>
  </si>
  <si>
    <t>Обл. НДС
Решітковий настил KOZ/34x38/30x3 оц. /  2209X1000       
Надходження товарів і послуг ІБ00-005258 від 18.09.2025 11:00:00
Цех екстракції (Глобине)</t>
  </si>
  <si>
    <t>Обл. НДС
Решітковий настил KOZ/34x38/30x3 оц. /  2281X1000       
Надходження товарів і послуг ІБ00-005258 від 18.09.2025 11:00:00
Цех екстракції (Глобине)</t>
  </si>
  <si>
    <t>Обл. НДС
Решітковий настил KOZ/34x38/30x3 оц. /  2281X483        
Надходження товарів і послуг ІБ00-005258 від 18.09.2025 11:00:00
Цех екстракції (Глобине)</t>
  </si>
  <si>
    <t>Обл. НДС
Решітковий настил KOZ/34x38/30x3 оц. /  2281X925        
Надходження товарів і послуг ІБ00-005258 від 18.09.2025 11:00:00
Цех екстракції (Глобине)</t>
  </si>
  <si>
    <t>Обл. НДС
Решітковий настил KOZ/34x38/30x3 оц. /  2298X1000       
Надходження товарів і послуг ІБ00-005258 від 18.09.2025 11:00:00
Цех екстракції (Глобине)</t>
  </si>
  <si>
    <t>Обл. НДС
Решітковий настил KOZ/34x38/30x3 оц. /  2298X809        
Надходження товарів і послуг ІБ00-005258 від 18.09.2025 11:00:00
Цех екстракції (Глобине)</t>
  </si>
  <si>
    <t>Обл. НДС
Решітковий настил KOZ/34x38/30x3 оц. /  2307X1050       
Надходження товарів і послуг ІБ00-005258 від 18.09.2025 11:00:00
Цех екстракції (Глобине)</t>
  </si>
  <si>
    <t>Обл. НДС
Решітковий настил KOZ/34x38/30x3 оц. /  2309X1000       
Надходження товарів і послуг ІБ00-005258 від 18.09.2025 11:00:00
Цех екстракції (Глобине)</t>
  </si>
  <si>
    <t>Обл. НДС
Решітковий настил KOZ/34x38/30x3 оц. /  2392X1000       
Надходження товарів і послуг ІБ00-005258 від 18.09.2025 11:00:00
Цех екстракції (Глобине)</t>
  </si>
  <si>
    <t>Обл. НДС
Решітковий настил KOZ/34x38/30x3 оц. /  2393X1000   
Надходження товарів і послуг ІБ00-005258 від 18.09.2025 11:00:00
Цех екстракції (Глобине)</t>
  </si>
  <si>
    <t>Обл. НДС
Решітковий настил KOZ/34x38/30x3 оц. /  2393X809        
Надходження товарів і послуг ІБ00-005258 від 18.09.2025 11:00:00
Цех екстракції (Глобине)</t>
  </si>
  <si>
    <t>Обл. НДС
Решітковий настил KOZ/34x38/30x3 оц. /  2491X1000       
Надходження товарів і послуг ІБ00-005258 від 18.09.2025 11:00:00
Цех екстракції (Глобине)</t>
  </si>
  <si>
    <t>Обл. НДС
Решітковий настил KOZ/34x38/30x3 оц. /  2595X1000
Надходження товарів і послуг ІБ00-005258 від 18.09.2025 11:00:00
Цех екстракції (Глобине)</t>
  </si>
  <si>
    <t>Обл. НДС
Решітковий настил KOZ/34x38/30x3 оц. /  2604X1000       
Надходження товарів і послуг ІБ00-005258 від 18.09.2025 11:00:00
Цех екстракції (Глобине)</t>
  </si>
  <si>
    <t>Обл. НДС
Решітковий настил KOZ/34x38/30x3 оц. /  2605X1001       
Надходження товарів і послуг ІБ00-005258 від 18.09.2025 11:00:00
Цех екстракції (Глобине)</t>
  </si>
  <si>
    <t>Обл. НДС
Решітковий настил KOZ/34x38/30x3 оц. /  2612X1000       
Надходження товарів і послуг ІБ00-005258 від 18.09.2025 11:00:00
Цех екстракції (Глобине)</t>
  </si>
  <si>
    <t>Обл. НДС
Решітковий настил KOZ/34x38/30x3 оц. /  2638X1000       
Надходження товарів і послуг ІБ00-005258 від 18.09.2025 11:00:00
Цех екстракції (Глобине)</t>
  </si>
  <si>
    <t>Обл. НДС
Решітковий настил KOZ/34x38/30x3 оц. /  2643X1000       
Надходження товарів і послуг ІБ00-005258 від 18.09.2025 11:00:00
Цех екстракції (Глобине)</t>
  </si>
  <si>
    <t>Обл. НДС
Решітковий настил KOZ/34x38/30x3 оц. /  2645X1000       
Надходження товарів і послуг ІБ00-005258 від 18.09.2025 11:00:00
Цех екстракції (Глобине)</t>
  </si>
  <si>
    <t>Обл. НДС
Решітковий настил KOZ/34x38/30x3 оц. /  2648X1000       
Надходження товарів і послуг ІБ00-005258 від 18.09.2025 11:00:00
Цех екстракції (Глобине)</t>
  </si>
  <si>
    <t>Обл. НДС
Решітковий настил KOZ/34x38/30x3 оц. /  2649X1000       
Надходження товарів і послуг ІБ00-005258 від 18.09.2025 11:00:00
Цех екстракції (Глобине)</t>
  </si>
  <si>
    <t>Обл. НДС
Решітковий настил KOZ/34x38/30x3 оц. /  2656X1000       
Надходження товарів і послуг ІБ00-005258 від 18.09.2025 11:00:00
Цех екстракції (Глобине)</t>
  </si>
  <si>
    <t>Обл. НДС
Решітковий настил KOZ/34x38/30x3 оц. /  2658X1000       
Надходження товарів і послуг ІБ00-005258 від 18.09.2025 11:00:00
Цех екстракції (Глобине)</t>
  </si>
  <si>
    <t>Обл. НДС
Решітковий настил KOZ/34x38/30x3 оц. /  2800X1157       
Надходження товарів і послуг ІБ00-005258 від 18.09.2025 11:00:00
Цех екстракції (Глобине)</t>
  </si>
  <si>
    <t>Обл. НДС
Решітковий настил KOZ/34x38/30x3 оц. /  541X212     
Надходження товарів і послуг ІБ00-005258 від 18.09.2025 11:00:00
Цех екстракції (Глобине)</t>
  </si>
  <si>
    <t>Обл. НДС
Решітковий настил KOZ/34x38/30x3 оц. /  541X312     
Надходження товарів і послуг ІБ00-005258 від 18.09.2025 11:00:00
Цех екстракції (Глобине)</t>
  </si>
  <si>
    <t>Обл. НДС
Решітковий настил KOZ/34x38/30x3 оц. /  541X395     
Надходження товарів і послуг ІБ00-005258 від 18.09.2025 11:00:00
Цех екстракції (Глобине)</t>
  </si>
  <si>
    <t>Обл. НДС
Решітковий настил KOZ/34x38/30x3 оц. /  541X688     
Надходження товарів і послуг ІБ00-005258 від 18.09.2025 11:00:00
Цех екстракції (Глобине)</t>
  </si>
  <si>
    <t>Обл. НДС
Решітковий настил KOZ/34x38/30x3 оц. /  700X1010        
Надходження товарів і послуг ІБ00-005258 від 18.09.2025 11:00:00
Цех екстракції (Глобине)</t>
  </si>
  <si>
    <t>Обл. НДС
Решітковий настил KOZ/34x38/30x3 оц. /  700X1191        
Надходження товарів і послуг ІБ00-005258 від 18.09.2025 11:00:00
Цех екстракції (Глобине)</t>
  </si>
  <si>
    <t>Обл. НДС
Решітковий настил KOZ/34x38/30x3 оц. /  700X1385        
Надходження товарів і послуг ІБ00-005258 від 18.09.2025 11:00:00
Цех екстракції (Глобине)</t>
  </si>
  <si>
    <t>Обл. НДС
Решітковий настил KOZ/34x38/30x3 оц. /  905X1000    
Надходження товарів і послуг ІБ00-005258 від 18.09.2025 11:00:00
Цех екстракції (Глобине)</t>
  </si>
  <si>
    <t>Обл. НДС
Решітковий настил KOZ/34x38/30x3 оц. /  905X1191        
Надходження товарів і послуг ІБ00-005258 від 18.09.2025 11:00:00
Цех екстракції (Глобине)</t>
  </si>
  <si>
    <t>Обл. НДС
Решітковий настил S6 KOZ 34*38/30*3/оц/900*1022
Надходження товарів і послуг ІБ00-005258 від 18.09.2025 11:00:00
Цех екстракції (Глобине)</t>
  </si>
  <si>
    <t>Обл. НДС
Кріплення стандартні
Надходження товарів і послуг ІБ00-005258 від 18.09.2025 11:00:00
Цех екстракції (Глобине)</t>
  </si>
  <si>
    <t>Обл. НДС
Сходинки SOZ/34*38/25*3/оц/800*205
Надходження товарів і послуг ІБ00-003213 від 24.06.2025 11:00:00
Цех екстракції (Глобине)</t>
  </si>
  <si>
    <t>Обл. НДС
Кріплення для сходинок
Надходження товарів і послуг ІБ00-003213 від 24.06.2025 11:00:00
Цех екстракції (Глобине)</t>
  </si>
  <si>
    <t>Обл. НДС
Кутник 100*100 7мм 12м
Переміщення товарів ІБ00-000864 від 29.08.2025 11:10:00
Цех екстракції (Глобине)</t>
  </si>
  <si>
    <t>Вимога-накладна ІБ00-000941 від 10.10.2025 18:22:44
Списаны ТМЦ</t>
  </si>
  <si>
    <t>Обл. НДС
Труба 110/3000 2,7мм тришарова
Надходження товарів і послуг ІБ00-000456 від 06.02.2025 18:36:09
СПК (Глобине)</t>
  </si>
  <si>
    <t>Надходження товарів і послуг ІБ00-005934 від 10.10.2025 18:22:49
Оприходованы ТМЦ</t>
  </si>
  <si>
    <t>Обл. НДС
Розчинник Ksilol
Надходження товарів і послуг ІБ00-005934 від 10.10.2025 18:22:49
Насосна Градирня (Глобине)</t>
  </si>
  <si>
    <t>Синтез ЛКМ
РАХУНКИ_Глобино-2
Рахунок на оплату постачальника ІБ00-004913 від 01.10.2025 19:00:42</t>
  </si>
  <si>
    <t>Вимога-накладна ІБ00-000856 від 10.10.2025 20:00:00
Списаны ТМЦ</t>
  </si>
  <si>
    <t>Обл. НДС
Клапан батерфляй з редуктором 2109 24 DN400 PN10 корпус ковкий чавуну EN-GJL-200 
Надходження товарів і послуг ІБ00-005399 від 17.09.2025 11:00:00
Насосна Градирня (Глобине)</t>
  </si>
  <si>
    <t>Надходження товарів і послуг ІБ00-005925 від 11.10.2025 12:00:00
Оприходованы ТМЦ</t>
  </si>
  <si>
    <t>Обл. НДС
Бетон С20/25 W6 F75 P5 (щеб 5*10)
Надходження товарів і послуг ІБ00-005925 від 11.10.2025 12:00:00
Глобине-2</t>
  </si>
  <si>
    <t>Кременчуцький річковий порт ПРАТ
Договір 112/Б від 15.10.2024_Глобине-2
Надходження товарів і послуг ІБ00-005925 від 11.10.2025 12:00:00</t>
  </si>
  <si>
    <t>Обл. НДС
Бетон С 20/25  F75 W6 Р4
Надходження товарів і послуг ІБ00-005925 від 11.10.2025 12:00:00
Глобине-2</t>
  </si>
  <si>
    <t>Надходження дод. витрат ІБ00-000580 від 11.10.2025 12:00:01
Доп. расходы при поступлении товаров</t>
  </si>
  <si>
    <t>Кременчуцький річковий порт ПРАТ
Договір 112/Б від 15.10.2024_Глобине-2
Надходження дод. витрат ІБ00-000580 від 11.10.2025 12:00:01</t>
  </si>
  <si>
    <t>Переміщення товарів ІБ00-001069 від 11.10.2025 16:28:00
Перемещение ТМЦ</t>
  </si>
  <si>
    <t>Обл. НДС
Бетон С20/25 W6 F75 P5 (щеб 5*10)
Переміщення товарів ІБ00-001069 від 11.10.2025 16:28:00
Цех екстракції (Глобине)</t>
  </si>
  <si>
    <t>Обл. НДС
Бетон С 20/25  F75 W6 Р4
Переміщення товарів ІБ00-001069 від 11.10.2025 16:28:00
Цех екстракції (Глобине)</t>
  </si>
  <si>
    <t>Переміщення товарів ІБ00-001070 від 11.10.2025 16:28:01
Перемещение ТМЦ</t>
  </si>
  <si>
    <t>Обл. НДС
Бетон С20/25 W6 F75 P5 (щеб 5*10)
Переміщення товарів ІБ00-001070 від 11.10.2025 16:28:01
Очисні споруди (Глобине)</t>
  </si>
  <si>
    <t>Переміщення товарів ІБ00-001071 від 11.10.2025 16:28:02
Перемещение ТМЦ</t>
  </si>
  <si>
    <t>Обл. НДС
Бетон С 20/25  F75 W6 Р4
Переміщення товарів ІБ00-001071 від 11.10.2025 16:28:02
АПК (Глобине)</t>
  </si>
  <si>
    <t>Надходження товарів і послуг ІБ00-006594 від 13.10.2025 11:00:00
Оприходованы ТМЦ (Зачет аванса поставщику)</t>
  </si>
  <si>
    <t>Обл. НДС
Комплект воріт розгорнутих на отвір prof-vrs
Надходження товарів і послуг ІБ00-006594 від 13.10.2025 11:00:00
Котельна (Глобине)</t>
  </si>
  <si>
    <t>ВОРОТА ЦЕНТР ТОВ
Договір № ВЦ-00182 від 03.04.2025_Глобине-2
Рахунок на оплату постачальника ІБ00-002635 від 12.06.2025 23:26:16</t>
  </si>
  <si>
    <t>Обл. НДС
Комплект дверного блоку
Надходження товарів і послуг ІБ00-006594 від 13.10.2025 11:00:00
Котельна (Глобине)</t>
  </si>
  <si>
    <t>Обл. НДС
Комплект дверного блоку 900*2100 антіпаника
Надходження товарів і послуг ІБ00-006594 від 13.10.2025 11:00:00
Котельна (Глобине)</t>
  </si>
  <si>
    <t>Обл. НДС
Комплект дверного блоку 900*2200 антіпаника
Надходження товарів і послуг ІБ00-006594 від 13.10.2025 11:00:00
Котельна (Глобине)</t>
  </si>
  <si>
    <t>Надходження товарів і послуг ІБ00-005927 від 13.10.2025 11:35:25
Оприходованы ТМЦ</t>
  </si>
  <si>
    <t>Обл. НДС
Бетон С20/25 W6 F75 P5 (щеб 5*10)
Надходження товарів і послуг ІБ00-005927 від 13.10.2025 11:35:25
Глобине-2</t>
  </si>
  <si>
    <t>Кременчуцький річковий порт ПРАТ
Договір 112/Б від 15.10.2024_Глобине-2
Надходження товарів і послуг ІБ00-005927 від 13.10.2025 11:35:25</t>
  </si>
  <si>
    <t>Обл. НДС
Бетон С 20/25  F75 W6 Р4
Надходження товарів і послуг ІБ00-005927 від 13.10.2025 11:35:25
Глобине-2</t>
  </si>
  <si>
    <t>Переміщення товарів ІБ00-001072 від 13.10.2025 16:48:00
Перемещение ТМЦ</t>
  </si>
  <si>
    <t>Обл. НДС
Бетон С20/25 W6 F75 P5 (щеб 5*10)
Переміщення товарів ІБ00-001072 від 13.10.2025 16:48:00
Очисні споруди (Глобине)</t>
  </si>
  <si>
    <t>Надходження дод. витрат ІБ00-000581 від 13.10.2025 17:35:25
Доп. расходы при поступлении товаров</t>
  </si>
  <si>
    <t>Кременчуцький річковий порт ПРАТ
Договір 112/Б від 15.10.2024_Глобине-2
Надходження дод. витрат ІБ00-000581 від 13.10.2025 17:35:25</t>
  </si>
  <si>
    <t>Переміщення товарів ІБ00-001073 від 13.10.2025 17:35:26
Перемещение ТМЦ</t>
  </si>
  <si>
    <t>Обл. НДС
Бетон С 20/25  F75 W6 Р4
Переміщення товарів ІБ00-001073 від 13.10.2025 17:35:26
АПК (Глобине)</t>
  </si>
  <si>
    <t>Переміщення товарів ІБ00-001074 від 13.10.2025 17:35:27
Перемещение ТМЦ</t>
  </si>
  <si>
    <t>Обл. НДС
Бетон С20/25 W6 F75 P5 (щеб 5*10)
Переміщення товарів ІБ00-001074 від 13.10.2025 17:35:27
АПК (Глобине)</t>
  </si>
  <si>
    <t>Надходження товарів і послуг ІБ00-006060 від 14.10.2025 11:00:00
Оприходованы ТМЦ (Зачет аванса поставщику)</t>
  </si>
  <si>
    <t>Обл. НДС
Решітковий настил KOZ/34x38/30x3 оц. /  1460X1000       
Надходження товарів і послуг ІБ00-006060 від 14.10.2025 11:00:00
Цех екстракції (Глобине)</t>
  </si>
  <si>
    <t>Червоноградський завод металоконструкцій
Договір поставки № 44 від 11.06.2020 р._Глобино-2
Рахунок на оплату постачальника ІБ00-003698 від 31.07.2025 10:00:00</t>
  </si>
  <si>
    <t>Обл. НДС
Решітковий настил KOZ/34x38/30x3 оц. /  1460X1300       
Надходження товарів і послуг ІБ00-006060 від 14.10.2025 11:00:00
Цех екстракції (Глобине)</t>
  </si>
  <si>
    <t>Обл. НДС
Решітковий настил KOZ/34x38/30x3 оц. /  1350X1000       
Надходження товарів і послуг ІБ00-006060 від 14.10.2025 11:00:00
Цех екстракції (Глобине)</t>
  </si>
  <si>
    <t>Обл. НДС
Решітковий настил KOZ/34x38/30x3 оц. /  1349X980        
Надходження товарів і послуг ІБ00-006060 від 14.10.2025 11:00:00
Цех екстракції (Глобине)</t>
  </si>
  <si>
    <t>Обл. НДС
Решітковий настил KOZ/34x38/30x3 оц. /  1961X1001       
Надходження товарів і послуг ІБ00-006060 від 14.10.2025 11:00:00
Цех екстракції (Глобине)</t>
  </si>
  <si>
    <t>Обл. НДС
Решітковий настил KOZ/34x38/30x3 оц. /  1961X972        
Надходження товарів і послуг ІБ00-006060 від 14.10.2025 11:00:00
Цех екстракції (Глобине)</t>
  </si>
  <si>
    <t>Обл. НДС
Решітковий настил KOZ/34x38/30x3 оц. /  1506X410        
Надходження товарів і послуг ІБ00-006060 від 14.10.2025 11:00:00
Цех екстракції (Глобине)</t>
  </si>
  <si>
    <t>Обл. НДС
Решітковий настил KOZ/34x38/30x3 оц. /  1435X339        
Надходження товарів і послуг ІБ00-006060 від 14.10.2025 11:00:00
Цех екстракції (Глобине)</t>
  </si>
  <si>
    <t>Обл. НДС
Решітковий настил KOZ/34x38/30x3 оц. /  1810X1000
Надходження товарів і послуг ІБ00-006060 від 14.10.2025 11:00:00
Цех екстракції (Глобине)</t>
  </si>
  <si>
    <t>Обл. НДС
Решітковий настил KOZ/34x38/30x3 оц. /  1810X980
Надходження товарів і послуг ІБ00-006060 від 14.10.2025 11:00:00
Цех екстракції (Глобине)</t>
  </si>
  <si>
    <t>Обл. НДС
Решітковий настил KOZ/34x38/30x3 оц. /  1359X999        
Надходження товарів і послуг ІБ00-006060 від 14.10.2025 11:00:00
Цех екстракції (Глобине)</t>
  </si>
  <si>
    <t>Обл. НДС
Решітковий настил KOZ 34*38/30*3/оц/1360*1300
Надходження товарів і послуг ІБ00-006060 від 14.10.2025 11:00:00
Цех екстракції (Глобине)</t>
  </si>
  <si>
    <t>Обл. НДС
Решітковий настил KOZ/34x38/30x3 оц. /  2247X1000       
Надходження товарів і послуг ІБ00-006060 від 14.10.2025 11:00:00
Цех екстракції (Глобине)</t>
  </si>
  <si>
    <t>Обл. НДС
Решітковий настил KOZ/34x38/30x3 оц. /  2247X1300       
Надходження товарів і послуг ІБ00-006060 від 14.10.2025 11:00:00
Цех екстракції (Глобине)</t>
  </si>
  <si>
    <t>Обл. НДС
Решітковий настил KOZ 34*38/30*3/оц/ 1953*1000
Надходження товарів і послуг ІБ00-006060 від 14.10.2025 11:00:00
Цех екстракції (Глобине)</t>
  </si>
  <si>
    <t>Обл. НДС
Решітковий настил KOZ/34x38/30x3 оц. /1205*640      
Надходження товарів і послуг ІБ00-006060 від 14.10.2025 11:00:00
Цех екстракції (Глобине)</t>
  </si>
  <si>
    <t>Обл. НДС
Решітковий настил KOZ/34x38/30x3 оц. /1206*660      
Надходження товарів і послуг ІБ00-006060 від 14.10.2025 11:00:00
Цех екстракції (Глобине)</t>
  </si>
  <si>
    <t>Обл. НДС
Решітковий настил KOZ/34x38/30x3 оц. /871*1300
Надходження товарів і послуг ІБ00-006060 від 14.10.2025 11:00:00
Цех екстракції (Глобине)</t>
  </si>
  <si>
    <t>Обл. НДС
Решітковий настил KOZ/34x38/30x3 оц. /2246*465
Надходження товарів і послуг ІБ00-006060 від 14.10.2025 11:00:00
Цех екстракції (Глобине)</t>
  </si>
  <si>
    <t>Обл. НДС
Решітковий настил KOZ 34*38/30*3/оц/1100*1000
Надходження товарів і послуг ІБ00-006060 від 14.10.2025 11:00:00
Цех екстракції (Глобине)</t>
  </si>
  <si>
    <t>Обл. НДС
Решітковий настил KOZ 34*38/30*3/оц/ 1800*1500
Надходження товарів і послуг ІБ00-006060 від 14.10.2025 11:00:00
Цех екстракції (Глобине)</t>
  </si>
  <si>
    <t>Обл. НДС
Решітковий настил KOZ 34*38/30*3/оц/1900*1500
Надходження товарів і послуг ІБ00-006060 від 14.10.2025 11:00:00
Цех екстракції (Глобине)</t>
  </si>
  <si>
    <t>Обл. НДС
Решітковий настил KOZ/34x38/30x3 оц. /  1150X1500       
Надходження товарів і послуг ІБ00-006060 від 14.10.2025 11:00:00
Цех екстракції (Глобине)</t>
  </si>
  <si>
    <t>Обл. НДС
Решітковий настил KOZ 34*38/30*3/оц/1265*1000
Надходження товарів і послуг ІБ00-006060 від 14.10.2025 11:00:00
Цех екстракції (Глобине)</t>
  </si>
  <si>
    <t>Обл. НДС
Решітковий настил KOZ 34*38/30*3/оц/1265*800
Надходження товарів і послуг ІБ00-006060 від 14.10.2025 11:00:00
Цех екстракції (Глобине)</t>
  </si>
  <si>
    <t>Обл. НДС
Решітковий настил KOZ 34*38/30*3/оц/ 1882*1000
Надходження товарів і послуг ІБ00-006060 від 14.10.2025 11:00:00
Цех екстракції (Глобине)</t>
  </si>
  <si>
    <t>Обл. НДС
Решітковий настил KOZ 34*38/30*3/оц/ 1882*800
Надходження товарів і послуг ІБ00-006060 від 14.10.2025 11:00:00
Цех екстракції (Глобине)</t>
  </si>
  <si>
    <t>Обл. НДС
Решітковий настил KOZ 34*38/30*2/оц/1068*1000
Надходження товарів і послуг ІБ00-006060 від 14.10.2025 11:00:00
Цех екстракції (Глобине)</t>
  </si>
  <si>
    <t>Обл. НДС
Решітковий настил KOZ 34*38/30*2/оц/1068*800
Надходження товарів і послуг ІБ00-006060 від 14.10.2025 11:00:00
Цех екстракції (Глобине)</t>
  </si>
  <si>
    <t>Обл. НДС
Решітковий настил KOZ 34*38/30*3/оц/900*465
Надходження товарів і послуг ІБ00-006060 від 14.10.2025 11:00:00
Цех екстракції (Глобине)</t>
  </si>
  <si>
    <t>Обл. НДС
Решітковий настил KOZ 34*38/30*3/оц/ 900*1000
Надходження товарів і послуг ІБ00-006060 від 14.10.2025 11:00:00
Цех екстракції (Глобине)</t>
  </si>
  <si>
    <t>Обл. НДС
Решітковий настил KOZ 34*38/30*3/оц/ 1800*465
Надходження товарів і послуг ІБ00-006060 від 14.10.2025 11:00:00
Цех екстракції (Глобине)</t>
  </si>
  <si>
    <t>Обл. НДС
Решітковий настил KOZ 34*38/30*3/оц/ 1800*1000
Надходження товарів і послуг ІБ00-006060 від 14.10.2025 11:00:00
Цех екстракції (Глобине)</t>
  </si>
  <si>
    <t>Обл. НДС
Решітковий настил KOZ 34*38/30*3/оц/ 1750*465
Надходження товарів і послуг ІБ00-006060 від 14.10.2025 11:00:00
Цех екстракції (Глобине)</t>
  </si>
  <si>
    <t>Обл. НДС
Решітковий настил KOZ 34*38/30*3/оц/ 1750*1000
Надходження товарів і послуг ІБ00-006060 від 14.10.2025 11:00:00
Цех екстракції (Глобине)</t>
  </si>
  <si>
    <t>Обл. НДС
Решітковий настил KOZ 34*38/30*3/оц/1700*1000
Надходження товарів і послуг ІБ00-006060 від 14.10.2025 11:00:00
Цех екстракції (Глобине)</t>
  </si>
  <si>
    <t>Обл. НДС
Решітковий настил KOZ 34*38/30*3/оц/ 1800*1305
Надходження товарів і послуг ІБ00-006060 від 14.10.2025 11:00:00
Цех екстракції (Глобине)</t>
  </si>
  <si>
    <t>Обл. НДС
Решітковий настил KOZ 34*38/30*3/оц/1600*1000
Надходження товарів і послуг ІБ00-006060 від 14.10.2025 11:00:00
Цех екстракції (Глобине)</t>
  </si>
  <si>
    <t>Обл. НДС
Решітковий настил KOZ/34x38/30x3 оц. /  1593X1000       
Надходження товарів і послуг ІБ00-006060 від 14.10.2025 11:00:00
Цех екстракції (Глобине)</t>
  </si>
  <si>
    <t>Обл. НДС
Решітковий настил KOZ 34*38/30*3/оц/1786*1000
Надходження товарів і послуг ІБ00-006060 від 14.10.2025 11:00:00
Цех екстракції (Глобине)</t>
  </si>
  <si>
    <t>Обл. НДС
Решітковий настил KOZ/34x38/30x3 оц. /  2359X1000       
Надходження товарів і послуг ІБ00-006060 від 14.10.2025 11:00:00
Цех екстракції (Глобине)</t>
  </si>
  <si>
    <t>Обл. НДС
Решітковий настил KOZ/34x38/30x3 оц. /  2260X1000       
Надходження товарів і послуг ІБ00-006060 від 14.10.2025 11:00:00
Цех екстракції (Глобине)</t>
  </si>
  <si>
    <t>Обл. НДС
Решітковий настил KOZ 34*38/30*3/оц/ 1900*1305
Надходження товарів і послуг ІБ00-006060 від 14.10.2025 11:00:00
Цех екстракції (Глобине)</t>
  </si>
  <si>
    <t>Обл. НДС
Решітковий настил KOZ 34*38/30*3/оц/1900*1000
Надходження товарів і послуг ІБ00-006060 від 14.10.2025 11:00:00
Цех екстракції (Глобине)</t>
  </si>
  <si>
    <t>Обл. НДС
Решітковий настил KOZ 34*38/30*3/оц/ 1431*1305
Надходження товарів і послуг ІБ00-006060 від 14.10.2025 11:00:00
Цех екстракції (Глобине)</t>
  </si>
  <si>
    <t>Обл. НДС
Решітковий настил KOZ 34*38/30*3/оц/ 1431*1000
Надходження товарів і послуг ІБ00-006060 від 14.10.2025 11:00:00
Цех екстракції (Глобине)</t>
  </si>
  <si>
    <t>Обл. НДС
Решітковий настил KOZ/34x38/30x3 оц. /  1069X1300       
Надходження товарів і послуг ІБ00-006060 від 14.10.2025 11:00:00
Цех екстракції (Глобине)</t>
  </si>
  <si>
    <t>Обл. НДС
Решітковий настил KOZ/34x38/30x3 оц. /  1069X1631       
Надходження товарів і послуг ІБ00-006060 від 14.10.2025 11:00:00
Цех екстракції (Глобине)</t>
  </si>
  <si>
    <t>Обл. НДС
Решітковий настил KOZ 34*38/30*3/оц/1300*1000
Надходження товарів і послуг ІБ00-006060 від 14.10.2025 11:00:00
Цех екстракції (Глобине)</t>
  </si>
  <si>
    <t>Обл. НДС
Решітковий настил KOZ 34*38/30*3/оц/1000*1621
Надходження товарів і послуг ІБ00-006060 від 14.10.2025 11:00:00
Цех екстракції (Глобине)</t>
  </si>
  <si>
    <t>Обл. НДС
Решітковий настил KOZ 34*38/30*3/оц/2000*1300
Надходження товарів і послуг ІБ00-006060 від 14.10.2025 11:00:00
Цех екстракції (Глобине)</t>
  </si>
  <si>
    <t>Обл. НДС
Решітковий настил KOZ 34*38/30*3/оц/2000*1000
Надходження товарів і послуг ІБ00-006060 від 14.10.2025 11:00:00
Цех екстракції (Глобине)</t>
  </si>
  <si>
    <t>Обл. НДС
Решітковий настил KOZ 34*38/30*3/оц/2200*1300
Надходження товарів і послуг ІБ00-006060 від 14.10.2025 11:00:00
Цех екстракції (Глобине)</t>
  </si>
  <si>
    <t>Обл. НДС
Решітковий настил KOZ 34*38/30*3/оц/2200*1000
Надходження товарів і послуг ІБ00-006060 від 14.10.2025 11:00:00
Цех екстракції (Глобине)</t>
  </si>
  <si>
    <t>Обл. НДС
Решітковий настил KOZ/34x38/30x3 оц. /  2393X1000   
Надходження товарів і послуг ІБ00-006060 від 14.10.2025 11:00:00
Цех екстракції (Глобине)</t>
  </si>
  <si>
    <t>Обл. НДС
Решітковий настил KOZ/34x38/30x3 оц. /  1459X1191       
Надходження товарів і послуг ІБ00-006060 від 14.10.2025 11:00:00
Цех екстракції (Глобине)</t>
  </si>
  <si>
    <t>Обл. НДС
Решітковий настил KOZ 34*38/30*3/оц/1360*1000
Надходження товарів і послуг ІБ00-006060 від 14.10.2025 11:00:00
Цех екстракції (Глобине)</t>
  </si>
  <si>
    <t>Обл. НДС
Решітковий настил KOZ/34x38/30x3 оц. /  1445X1000       
Надходження товарів і послуг ІБ00-006060 від 14.10.2025 11:00:00
Цех екстракції (Глобине)</t>
  </si>
  <si>
    <t>Обл. НДС
Решітковий настил KOZ/34x38/30x3 оц. /  1249X1000       
Надходження товарів і послуг ІБ00-006060 від 14.10.2025 11:00:00
Цех екстракції (Глобине)</t>
  </si>
  <si>
    <t>Обл. НДС
Решітковий настил KOZ/34x38/30x3 оц. /  2392X1000       
Надходження товарів і послуг ІБ00-006060 від 14.10.2025 11:00:00
Цех екстракції (Глобине)</t>
  </si>
  <si>
    <t>Обл. НДС
Решітковий настил KOZ/34x38/30x3 оц. /  2392X1385       
Надходження товарів і послуг ІБ00-006060 від 14.10.2025 11:00:00
Цех екстракції (Глобине)</t>
  </si>
  <si>
    <t>Обл. НДС
Решітковий настил KOZ/34x38/30x3 оц. /  2063X1000       
Надходження товарів і послуг ІБ00-006060 від 14.10.2025 11:00:00
Цех екстракції (Глобине)</t>
  </si>
  <si>
    <t>Обл. НДС
Решітковий настил KOZ/34x38/30x3 оц. /  2649X1000       
Надходження товарів і послуг ІБ00-006060 від 14.10.2025 11:00:00
Цех екстракції (Глобине)</t>
  </si>
  <si>
    <t>Обл. НДС
Решітковий настил KOZ/34x38/30x3 оц. /  2646X1000       
Надходження товарів і послуг ІБ00-006060 від 14.10.2025 11:00:00
Цех екстракції (Глобине)</t>
  </si>
  <si>
    <t>Обл. НДС
Решітковий настил KOZ/34x38/30x3 оц. /  2140X1554       
Надходження товарів і послуг ІБ00-006060 від 14.10.2025 11:00:00
Цех екстракції (Глобине)</t>
  </si>
  <si>
    <t>Обл. НДС
Решітковий настил KOZ/34x38/30x3 оц. /  2140X1673       
Надходження товарів і послуг ІБ00-006060 від 14.10.2025 11:00:00
Цех екстракції (Глобине)</t>
  </si>
  <si>
    <t>Обл. НДС
Решітковий настил KOZ/34x38/30x3 оц. /  2645X1000       
Надходження товарів і послуг ІБ00-006060 від 14.10.2025 11:00:00
Цех екстракції (Глобине)</t>
  </si>
  <si>
    <t>Обл. НДС
Решітковий настил KOZ/34x38/30x3 оц. /  2656X1000       
Надходження товарів і послуг ІБ00-006060 від 14.10.2025 11:00:00
Цех екстракції (Глобине)</t>
  </si>
  <si>
    <t>Обл. НДС
Решітковий настил KOZ/34x38/30x3 оц. /  2062X1000       
Надходження товарів і послуг ІБ00-006060 від 14.10.2025 11:00:00
Цех екстракції (Глобине)</t>
  </si>
  <si>
    <t>Обл. НДС
Решітковий настил KOZ/34x38/30x3 оц. /  2064X1000       
Надходження товарів і послуг ІБ00-006060 від 14.10.2025 11:00:00
Цех екстракції (Глобине)</t>
  </si>
  <si>
    <t>Обл. НДС
Решітковий настил KOZ/34x38/30x3 оц. /  2600X1000
Надходження товарів і послуг ІБ00-006060 від 14.10.2025 11:00:00
Цех екстракції (Глобине)</t>
  </si>
  <si>
    <t>Обл. НДС
Решітковий настил KOZ/34x38/30x3 оц. /2593X1000
Надходження товарів і послуг ІБ00-006060 від 14.10.2025 11:00:00
Цех екстракції (Глобине)</t>
  </si>
  <si>
    <t>Обл. НДС
Решітковий настил KOZ/34x38/30x3 оц. /  1876X1000       
Надходження товарів і послуг ІБ00-006060 від 14.10.2025 11:00:00
Цех екстракції (Глобине)</t>
  </si>
  <si>
    <t>Обл. НДС
Решітковий настил KOZ/34x38/30x3 оц. /1599X1061 
Надходження товарів і послуг ІБ00-006060 від 14.10.2025 11:00:00
Цех екстракції (Глобине)</t>
  </si>
  <si>
    <t>Обл. НДС
Решітковий настил KOZ/34x38/30x3 оц. /1599X1000
Надходження товарів і послуг ІБ00-006060 від 14.10.2025 11:00:00
Цех екстракції (Глобине)</t>
  </si>
  <si>
    <t>Обл. НДС
Решітковий настил KOZ/34x38/30x3 оц. /1599X475
Надходження товарів і послуг ІБ00-006060 від 14.10.2025 11:00:00
Цех екстракції (Глобине)</t>
  </si>
  <si>
    <t>Обл. НДС
Решітковий настил KOZ/34x38/30x3 оц. /1000X1681
Надходження товарів і послуг ІБ00-006060 від 14.10.2025 11:00:00
Цех екстракції (Глобине)</t>
  </si>
  <si>
    <t>Обл. НДС
Решітковий настил KOZ 34*38/30*3/оц/1000*475
Надходження товарів і послуг ІБ00-006060 від 14.10.2025 11:00:00
Цех екстракції (Глобине)</t>
  </si>
  <si>
    <t>Надходження товарів і послуг ІБ00-006060 від 14.10.2025 11:00:00
Оприходованы ТМЦ</t>
  </si>
  <si>
    <t>Обл. НДС
Решітковий настил KOZ/34x38/30x3 оц. /  2069X1000   
Надходження товарів і послуг ІБ00-006060 від 14.10.2025 11:00:00
Цех екстракції (Глобине)</t>
  </si>
  <si>
    <t>Обл. НДС
Решітковий настил KOZ/34x38/30x3 оц. /  2070X475    
Надходження товарів і послуг ІБ00-006060 від 14.10.2025 11:00:00
Цех екстракції (Глобине)</t>
  </si>
  <si>
    <t>Обл. НДС
Решітковий настил KOZ/34x38/30x3 оц. /1000*1596
Надходження товарів і послуг ІБ00-006060 від 14.10.2025 11:00:00
Цех екстракції (Глобине)</t>
  </si>
  <si>
    <t>Обл. НДС
Решітковий настил KOZ/34x38/30x3 оц. /1070*1596
Надходження товарів і послуг ІБ00-006060 від 14.10.2025 11:00:00
Цех екстракції (Глобине)</t>
  </si>
  <si>
    <t>Обл. НДС
Решітковий настил KOZ/34x38/30x3 оц. /  2114X1572       
Надходження товарів і послуг ІБ00-006060 від 14.10.2025 11:00:00
Цех екстракції (Глобине)</t>
  </si>
  <si>
    <t>Обл. НДС
Решітковий настил KOZ/34x38/30x3 оц. /  2604X1000       
Надходження товарів і послуг ІБ00-006060 від 14.10.2025 11:00:00
Цех екстракції (Глобине)</t>
  </si>
  <si>
    <t>Обл. НДС
Решітковий настил KOZ 34*38/30*3/оц/2650*1000
Надходження товарів і послуг ІБ00-006060 від 14.10.2025 11:00:00
Цех екстракції (Глобине)</t>
  </si>
  <si>
    <t>Обл. НДС
Решітковий настил KOZ/34x38/30x3 оц. /  2065X1245       
Надходження товарів і послуг ІБ00-006060 від 14.10.2025 11:00:00
Цех екстракції (Глобине)</t>
  </si>
  <si>
    <t>Обл. НДС
Решітковий настил KOZ 34*38/30*3/оц/1545*1210
Надходження товарів і послуг ІБ00-006060 від 14.10.2025 11:00:00
Цех екстракції (Глобине)</t>
  </si>
  <si>
    <t>Обл. НДС
Решітковий настил KOZ 34*38/30*3/оц/ 2506*1210
Надходження товарів і послуг ІБ00-006060 від 14.10.2025 11:00:00
Цех екстракції (Глобине)</t>
  </si>
  <si>
    <t>Обл. НДС
Решітковий настил KOZ/34x38/30x3 оц. /  1892X1000
Надходження товарів і послуг ІБ00-006060 від 14.10.2025 11:00:00
Цех екстракції (Глобине)</t>
  </si>
  <si>
    <t>Обл. НДС
Решітковий настил KOZ/34x38/30x3 оц. /  1892X1175
Надходження товарів і послуг ІБ00-006060 від 14.10.2025 11:00:00
Цех екстракції (Глобине)</t>
  </si>
  <si>
    <t>Обл. НДС
Решітковий настил KOZ 34*38/30*3/оц/ 1999*1000
Надходження товарів і послуг ІБ00-006060 від 14.10.2025 11:00:00
Цех екстракції (Глобине)</t>
  </si>
  <si>
    <t>Обл. НДС
Решітковий настил KOZ 34*38/30*3/оц/ 1999*475
Надходження товарів і послуг ІБ00-006060 від 14.10.2025 11:00:00
Цех екстракції (Глобине)</t>
  </si>
  <si>
    <t>Обл. НДС
Решітковий настил KOZ/34x38/30x3 оц. /  1525X1000       
Надходження товарів і послуг ІБ00-006060 від 14.10.2025 11:00:00
Цех екстракції (Глобине)</t>
  </si>
  <si>
    <t>Обл. НДС
Решітковий настил KOZ/34x38/30x3 оц. /1524X475
Надходження товарів і послуг ІБ00-006060 від 14.10.2025 11:00:00
Цех екстракції (Глобине)</t>
  </si>
  <si>
    <t>Обл. НДС
Решітковий настил KOZ/34x38/30x3 оц. /1807X1000
Надходження товарів і послуг ІБ00-006060 від 14.10.2025 11:00:00
Цех екстракції (Глобине)</t>
  </si>
  <si>
    <t>Обл. НДС
Решітковий настил KOZ/34x38/30x3 оц. /1806X475
Надходження товарів і послуг ІБ00-006060 від 14.10.2025 11:00:00
Цех екстракції (Глобине)</t>
  </si>
  <si>
    <t>Обл. НДС
Решітковий настил KOZ 34*38/30*3/оц/1075*1000
Надходження товарів і послуг ІБ00-006060 від 14.10.2025 11:00:00
Цех екстракції (Глобине)</t>
  </si>
  <si>
    <t>Обл. НДС
Решітковий настил KOZ 34*38/30*3/оц/1075*664
Надходження товарів і послуг ІБ00-006060 від 14.10.2025 11:00:00
Цех екстракції (Глобине)</t>
  </si>
  <si>
    <t>Обл. НДС
Решітковий настил KOZ 34*38/30*3/оц/1705*1000
Надходження товарів і послуг ІБ00-006060 від 14.10.2025 11:00:00
Цех екстракції (Глобине)</t>
  </si>
  <si>
    <t>Обл. НДС
Решітковий настил KOZ 34*38/30*3/оц/1705*475
Надходження товарів і послуг ІБ00-006060 від 14.10.2025 11:00:00
Цех екстракції (Глобине)</t>
  </si>
  <si>
    <t>Обл. НДС
Решітковий настил KOZ 34*38/30*3/оц/ 1335*1285
Надходження товарів і послуг ІБ00-006060 від 14.10.2025 11:00:00
Цех екстракції (Глобине)</t>
  </si>
  <si>
    <t>Обл. НДС
Решітковий настил KOZ/34x38/30x3 оц. /  1635X1000
Надходження товарів і послуг ІБ00-006060 від 14.10.2025 11:00:00
Цех екстракції (Глобине)</t>
  </si>
  <si>
    <t>Обл. НДС
Решітковий настил KOZ/34x38/30x3 оц. /  1635X1340
Надходження товарів і послуг ІБ00-006060 від 14.10.2025 11:00:00
Цех екстракції (Глобине)</t>
  </si>
  <si>
    <t>Обл. НДС
Решітковий настил KOZ 34*38/30*3/оц/1050*450
Надходження товарів і послуг ІБ00-006060 від 14.10.2025 11:00:00
Цех екстракції (Глобине)</t>
  </si>
  <si>
    <t>Обл. НДС
Решітковий настил KOZ 34*38/30*3/оц/1050*780
Надходження товарів і послуг ІБ00-006060 від 14.10.2025 11:00:00
Цех екстракції (Глобине)</t>
  </si>
  <si>
    <t>Обл. НДС
Решітковий настил KOZ 34*38/30*3/оц/1050*770
Надходження товарів і послуг ІБ00-006060 від 14.10.2025 11:00:00
Цех екстракції (Глобине)</t>
  </si>
  <si>
    <t>Обл. НДС
Решітковий настил KOZ 34*38/30*3/оц/ 2150*1000
Надходження товарів і послуг ІБ00-006060 від 14.10.2025 11:00:00
Цех екстракції (Глобине)</t>
  </si>
  <si>
    <t>Обл. НДС
Решітковий настил KOZ/34x38/30x3 оц. /  2500X1340       
Надходження товарів і послуг ІБ00-006060 від 14.10.2025 11:00:00
Цех екстракції (Глобине)</t>
  </si>
  <si>
    <t>Обл. НДС
Решітковий настил KOZ/34x38/30x3 оц. /  1100X940    
Надходження товарів і послуг ІБ00-006060 від 14.10.2025 11:00:00
Цех екстракції (Глобине)</t>
  </si>
  <si>
    <t>Обл. НДС
Решітковий настил KOZ/34x38/30x3 оц. /  2400X1350
Надходження товарів і послуг ІБ00-006060 від 14.10.2025 11:00:00
Цех екстракції (Глобине)</t>
  </si>
  <si>
    <t>Обл. НДС
Решітковий настил KOZ/34x38/30x3 оц. /  2400X1000
Надходження товарів і послуг ІБ00-006060 від 14.10.2025 11:00:00
Цех екстракції (Глобине)</t>
  </si>
  <si>
    <t>Обл. НДС
Решітковий настил KOZ 34*38/30*3/оц/1685*1000
Надходження товарів і послуг ІБ00-006060 від 14.10.2025 11:00:00
Цех екстракції (Глобине)</t>
  </si>
  <si>
    <t>Обл. НДС
Решітковий настил KOZ 34*38/30*3/оц/1685*1360
Надходження товарів і послуг ІБ00-006060 від 14.10.2025 11:00:00
Цех екстракції (Глобине)</t>
  </si>
  <si>
    <t>Обл. НДС
Решітковий настил KOZ 34*38/30*3/оц/800*1027
Надходження товарів і послуг ІБ00-006060 від 14.10.2025 11:00:00
Цех екстракції (Глобине)</t>
  </si>
  <si>
    <t>Обл. НДС
Решітковий настил KOZ 34*38/30*3/оц/2000*1085
Надходження товарів і послуг ІБ00-006060 від 14.10.2025 11:00:00
Цех екстракції (Глобине)</t>
  </si>
  <si>
    <t>Обл. НДС
Решітковий настил KOZ 34*38/30*3/оц/ 2800*1242
Надходження товарів і послуг ІБ00-006060 від 14.10.2025 11:00:00
Цех екстракції (Глобине)</t>
  </si>
  <si>
    <t>Обл. НДС
Решітковий настил KOZ 34*38/30*3/оц/1150*1045
Надходження товарів і послуг ІБ00-006060 від 14.10.2025 11:00:00
Цех екстракції (Глобине)</t>
  </si>
  <si>
    <t>Обл. НДС
Решітковий настил KOZ 34*38/30*3/оц/1115*1000
Надходження товарів і послуг ІБ00-006060 від 14.10.2025 11:00:00
Цех екстракції (Глобине)</t>
  </si>
  <si>
    <t>Обл. НДС
Решітковий настил KOZ 34*38/30*3/оц/ 800*1000
Надходження товарів і послуг ІБ00-006060 від 14.10.2025 11:00:00
Цех екстракції (Глобине)</t>
  </si>
  <si>
    <t>Обл. НДС
Решітковий настил KOZ 34*38/30*3/оц/ 1750*1045
Надходження товарів і послуг ІБ00-006060 від 14.10.2025 11:00:00
Цех екстракції (Глобине)</t>
  </si>
  <si>
    <t>Обл. НДС
Решітковий настил KOZ 34*38/30*3/оц/ 1900*1045
Надходження товарів і послуг ІБ00-006060 від 14.10.2025 11:00:00
Цех екстракції (Глобине)</t>
  </si>
  <si>
    <t>Обл. НДС
Решітковий настил KOZ/34x38/30x3 оц. /  1200X1000       
Надходження товарів і послуг ІБ00-006060 від 14.10.2025 11:00:00
Цех екстракції (Глобине)</t>
  </si>
  <si>
    <t>Обл. НДС
Решітковий настил KOZ 34*38/30*3/оц/ 1200*1045
Надходження товарів і послуг ІБ00-006060 від 14.10.2025 11:00:00
Цех екстракції (Глобине)</t>
  </si>
  <si>
    <t>Обл. НДС
Решітковий настил KOZ/34x38/30x3 оц. /  2000*1215   
Надходження товарів і послуг ІБ00-006060 від 14.10.2025 11:00:00
Цех екстракції (Глобине)</t>
  </si>
  <si>
    <t>Обл. НДС
Решітковий настил KOZ 34*38/30*3/оц/1000*1000
Надходження товарів і послуг ІБ00-006060 від 14.10.2025 11:00:00
Цех екстракції (Глобине)</t>
  </si>
  <si>
    <t>Обл. НДС
Кріплення стандартні
Надходження товарів і послуг ІБ00-006060 від 14.10.2025 11:00:00
Цех екстракції (Глобине)</t>
  </si>
  <si>
    <t>Обл. НДС
Кріплення гакове до швелера 16
Надходження товарів і послуг ІБ00-006060 від 14.10.2025 11:00:00
Цех екстракції (Глобине)</t>
  </si>
  <si>
    <t>Обл. НДС
Решітковий настил KOZ 34*38/30*3/оц/ 1800*566
Надходження товарів і послуг ІБ00-006060 від 14.10.2025 11:00:00
Цех екстракції (Глобине)</t>
  </si>
  <si>
    <t>Обл. НДС
Решітковий настил KOZ 34*38/30*3/оц/ 1759*744
Надходження товарів і послуг ІБ00-006060 від 14.10.2025 11:00:00
Цех екстракції (Глобине)</t>
  </si>
  <si>
    <t>Обл. НДС
Решітковий настил KOZ 34*38/30*3/оц/ 1759*778
Надходження товарів і послуг ІБ00-006060 від 14.10.2025 11:00:00
Цех екстракції (Глобине)</t>
  </si>
  <si>
    <t>Обл. НДС
Решітковий настил KOZ 34*38/30*3/оц/2000*468
Надходження товарів і послуг ІБ00-006060 від 14.10.2025 11:00:00
Цех екстракції (Глобине)</t>
  </si>
  <si>
    <t>Обл. НДС
Решітковий настил KOZ 34*38/30*3/оц/2032*1000
Надходження товарів і послуг ІБ00-006060 від 14.10.2025 11:00:00
Цех екстракції (Глобине)</t>
  </si>
  <si>
    <t>Обл. НДС
Решітковий настил KOZ 34*38/30*3/оц/ 1800*600
Надходження товарів і послуг ІБ00-006060 від 14.10.2025 11:00:00
Цех екстракції (Глобине)</t>
  </si>
  <si>
    <t>Обл. НДС
Решітковий настил KOZ 34*38/30*3/оц/ 1747*1000
Надходження товарів і послуг ІБ00-006060 від 14.10.2025 11:00:00
Цех екстракції (Глобине)</t>
  </si>
  <si>
    <t>Обл. НДС
Решітковий настил KOZ 34*38/30*3/оц/950*1000
Надходження товарів і послуг ІБ00-006060 від 14.10.2025 11:00:00
Цех екстракції (Глобине)</t>
  </si>
  <si>
    <t>Обл. НДС
Решітковий настил KOZ 34*38/30*3/оц/ 1800*858
Надходження товарів і послуг ІБ00-006060 від 14.10.2025 11:00:00
Цех екстракції (Глобине)</t>
  </si>
  <si>
    <t>Обл. НДС
Решітковий настил KOZ 34*38/30*3/оц/1400*1000
Надходження товарів і послуг ІБ00-006060 від 14.10.2025 11:00:00
Цех екстракції (Глобине)</t>
  </si>
  <si>
    <t>Обл. НДС
Решітковий настил KOZ 34*38/30*3/оц/1880х1000
Надходження товарів і послуг ІБ00-006060 від 14.10.2025 11:00:00
Цех екстракції (Глобине)</t>
  </si>
  <si>
    <t>Обл. НДС
Решітковий настил KOZ 34*38/30*3/оц/2100*1000
Надходження товарів і послуг ІБ00-006060 від 14.10.2025 11:00:00
Цех екстракції (Глобине)</t>
  </si>
  <si>
    <t>Обл. НДС
Решітковий настил KOZ 34*38/30*3/оц/ 2148*1000
Надходження товарів і послуг ІБ00-006060 від 14.10.2025 11:00:00
Цех екстракції (Глобине)</t>
  </si>
  <si>
    <t>Обл. НДС
Решітковий настил KOZ/34x38/30x3 оц. /  1480X609        
Надходження товарів і послуг ІБ00-006060 від 14.10.2025 11:00:00
Цех екстракції (Глобине)</t>
  </si>
  <si>
    <t>Обл. НДС
Решітковий настил KOZ 34*38/30*3/оц/ 1480*1000
Надходження товарів і послуг ІБ00-006060 від 14.10.2025 11:00:00
Цех екстракції (Глобине)</t>
  </si>
  <si>
    <t>Обл. НДС
Решітковий настил KOZ 34*38/30*3/оц/ 2003*1000
Надходження товарів і послуг ІБ00-006060 від 14.10.2025 11:00:00
Цех екстракції (Глобине)</t>
  </si>
  <si>
    <t>Обл. НДС
Решітковий настил KOZ 34*38/30*3/оц/ 1138*1000
Надходження товарів і послуг ІБ00-006060 від 14.10.2025 11:00:00
Цех екстракції (Глобине)</t>
  </si>
  <si>
    <t>Обл. НДС
Решітковий настил KOZ 34*38/30*3/оц/ 2097*1000
Надходження товарів і послуг ІБ00-006060 від 14.10.2025 11:00:00
Цех екстракції (Глобине)</t>
  </si>
  <si>
    <t>Обл. НДС
Решітковий настил KOZ 34*38/30*3/оц/1003*1015
Надходження товарів і послуг ІБ00-006060 від 14.10.2025 11:00:00
Цех екстракції (Глобине)</t>
  </si>
  <si>
    <t>Обл. НДС
Решітковий настил KOZ 34*38/30*3/оц/2197*1000
Надходження товарів і послуг ІБ00-006060 від 14.10.2025 11:00:00
Цех екстракції (Глобине)</t>
  </si>
  <si>
    <t>Надходження товарів і послуг ІБ00-005938 від 14.10.2025 18:16:49
Оприходованы ТМЦ</t>
  </si>
  <si>
    <t>Обл. НДС
Бетон С20/25 W6 F75 P5 (щеб 5*10)
Надходження товарів і послуг ІБ00-005938 від 14.10.2025 18:16:49
Очисні споруди (Глобине)</t>
  </si>
  <si>
    <t>Кременчуцький річковий порт ПРАТ
Договір 112/Б від 15.10.2024_Глобине-2
Надходження товарів і послуг ІБ00-005938 від 14.10.2025 18:16:49</t>
  </si>
  <si>
    <t>Надходження дод. витрат ІБ00-000583 від 14.10.2025 18:16:50
Доп. расходы при поступлении товаров</t>
  </si>
  <si>
    <t>Кременчуцький річковий порт ПРАТ
Договір 112/Б від 15.10.2024_Глобине-2
Надходження дод. витрат ІБ00-000583 від 14.10.2025 18:16:50</t>
  </si>
  <si>
    <t>Надходження товарів і послуг ІБ00-005948 від 14.10.2025 18:16:55
Оприходованы ТМЦ (Зачет аванса поставщику)</t>
  </si>
  <si>
    <t>Обл. НДС
Плитка зовнішня  STREET LINE 600*600*8 світло-сірий
Надходження товарів і послуг ІБ00-005948 від 14.10.2025 18:16:55
Котельна (Глобине)</t>
  </si>
  <si>
    <t>Агромат ПТК ТОВ 
РАХУНКИ_Глобине-2
Рахунок на оплату постачальника ІБ00-004797 від 06.10.2025 17:37:58</t>
  </si>
  <si>
    <t>Обл. НДС
КЛЕЙ Д/ГРЕСУ ATIS A-7 GRES XL C2TE КЛЕЙ ЕЛАСТИЧНИЙ
Надходження товарів і послуг ІБ00-005948 від 14.10.2025 18:16:55
Котельна (Глобине)</t>
  </si>
  <si>
    <t>Надходження товарів і послуг ІБ00-005949 від 14.10.2025 18:16:56
Оприходованы ТМЦ</t>
  </si>
  <si>
    <t>Обл. НДС
КЛЕЙ Д/ГРЕСУ ATIS A-7 GRES XL C2TE КЛЕЙ ЕЛАСТИЧНИЙ
Надходження товарів і послуг ІБ00-005949 від 14.10.2025 18:16:56
Котельна (Глобине)</t>
  </si>
  <si>
    <t>Надходження товарів і послуг ІБ00-005949 від 14.10.2025 18:16:56
Оприходованы ТМЦ (Зачет аванса поставщику)</t>
  </si>
  <si>
    <t>Надходження дод. витрат ІБ00-000629 від 15.10.2025 11:00:00
Доп. расходы при поступлении товаров (Зачет аванса поставщику)</t>
  </si>
  <si>
    <t>Обл. НДС
Плита пустотна ПБ 90-15-8т
Надходження товарів і послуг ІБ00-006079 від 15.10.2025 11:00:00
АПК (Глобине)</t>
  </si>
  <si>
    <t>Завод Залізобетонних Виробів №1 ПП
Договір 23/06-25-1 від 23.06.202_Глобине 2
Рахунок на оплату постачальника ІБ00-003128 від 01.07.2025 21:33:12</t>
  </si>
  <si>
    <t>Обл. НДС
Плита пустотна ПБ 90-12-8т
Надходження товарів і послуг ІБ00-006079 від 15.10.2025 11:00:00
АПК (Глобине)</t>
  </si>
  <si>
    <t>Надходження товарів і послуг ІБ00-006079 від 15.10.2025 11:00:00
Оприходованы ТМЦ (Зачет аванса поставщику)</t>
  </si>
  <si>
    <t>Надходження товарів і послуг ІБ00-006566 від 15.10.2025 11:00:00
Оприходованы ТМЦ (Зачет аванса поставщику)</t>
  </si>
  <si>
    <t>Обл. НДС
Фланець пл. Ру-16 Ду 300
Надходження товарів і послуг ІБ00-006566 від 15.10.2025 11:00:00
Насосна Градирня (Глобине)</t>
  </si>
  <si>
    <t>АРМАШОП.УА
№ 14/11-1 від 14.10.2022_Рахунки_Глобине-2
Рахунок на оплату постачальника ІБ00-004767 від 25.09.2025 19:06:44</t>
  </si>
  <si>
    <t>Обл. НДС
Фланець пл. Ру-16 Ду 350
Надходження товарів і послуг ІБ00-006566 від 15.10.2025 11:00:00
Насосна Градирня (Глобине)</t>
  </si>
  <si>
    <t>Надходження товарів і послуг ІБ00-005937 від 15.10.2025 12:43:50
Оприходованы ТМЦ</t>
  </si>
  <si>
    <t>Обл. НДС
Бетон С20/25 W6 F75 P5 (щеб 5*10)
Надходження товарів і послуг ІБ00-005937 від 15.10.2025 12:43:50
Глобине-2</t>
  </si>
  <si>
    <t>Кременчуцький річковий порт ПРАТ
Договір 112/Б від 15.10.2024_Глобине-2
Надходження товарів і послуг ІБ00-005937 від 15.10.2025 12:43:50</t>
  </si>
  <si>
    <t>Обл. НДС
Бетон С 20/25  F75 W6 Р4
Надходження товарів і послуг ІБ00-005937 від 15.10.2025 12:43:50
Глобине-2</t>
  </si>
  <si>
    <t>Надходження дод. витрат ІБ00-000584 від 15.10.2025 13:30:50
Доп. расходы при поступлении товаров</t>
  </si>
  <si>
    <t>Кременчуцький річковий порт ПРАТ
Договір 112/Б від 15.10.2024_Глобине-2
Надходження дод. витрат ІБ00-000584 від 15.10.2025 13:30:50</t>
  </si>
  <si>
    <t>Переміщення товарів ІБ00-001078 від 15.10.2025 13:37:00
Перемещение ТМЦ</t>
  </si>
  <si>
    <t>Обл. НДС
Бетон С20/25 W6 F75 P5 (щеб 5*10)
Переміщення товарів ІБ00-001078 від 15.10.2025 13:37:00
Цех екстракції (Глобине)</t>
  </si>
  <si>
    <t>Обл. НДС
Бетон С 20/25  F75 W6 Р4
Переміщення товарів ІБ00-001078 від 15.10.2025 13:37:00
Цех екстракції (Глобине)</t>
  </si>
  <si>
    <t>Переміщення товарів ІБ00-001079 від 15.10.2025 13:38:00
Перемещение ТМЦ</t>
  </si>
  <si>
    <t>Обл. НДС
Бетон С20/25 W6 F75 P5 (щеб 5*10)
Переміщення товарів ІБ00-001079 від 15.10.2025 13:38:00
Очисні споруди (Глобине)</t>
  </si>
  <si>
    <t>Переміщення товарів ІБ00-001064 від 16.10.2025 08:00:00
Перемещение ТМЦ</t>
  </si>
  <si>
    <t>Обл. НДС
Плівка п/е рукав 1500*100
Переміщення товарів ІБ00-001064 від 16.10.2025 08:00:00
Цех екстракції (Глобине)</t>
  </si>
  <si>
    <t>Обл. НДС
Плівка п/е рукав 1500*100
Надходження товарів і послуг ІБ00-005009 від 01.09.2025 11:00:00
Глобине-2</t>
  </si>
  <si>
    <t>Переміщення товарів ІБ00-001065 від 16.10.2025 08:00:00
Перемещение ТМЦ</t>
  </si>
  <si>
    <t>Обл. НДС
Плита пінополістирольна екструзійна 1180х580х100мм уп4шт/1шт-0,06844 куб м
Переміщення товарів ІБ00-001065 від 16.10.2025 08:00:00
Цех екстракції (Глобине)</t>
  </si>
  <si>
    <t>Обл. НДС
Плита пінополістирольна екструзійна 1180х580х100мм уп4шт/1шт-0,06844 куб м
Надходження товарів і послуг ІБ00-000575 від 20.02.2024 18:03:01
Транспортна галерея (Глобине)</t>
  </si>
  <si>
    <t>Переміщення товарів ІБ00-001066 від 16.10.2025 08:00:00
Перемещение ТМЦ</t>
  </si>
  <si>
    <t>Обл. НДС
Бетон С20/25 W6 F75 P4
Переміщення товарів ІБ00-001066 від 16.10.2025 08:00:00
СПК (Глобине)</t>
  </si>
  <si>
    <t>Обл. НДС
Бетон С20/25 W6 F75 P4
Переміщення товарів ІБ00-000918 від 19.09.2025 11:20:00
ГРП (Глобине)</t>
  </si>
  <si>
    <t>Переміщення товарів ІБ00-001067 від 16.10.2025 08:00:00
Перемещение ТМЦ</t>
  </si>
  <si>
    <t>Обл. НДС
Арматура №10  А500С L=12000 мм
Переміщення товарів ІБ00-001067 від 16.10.2025 08:00:00
СПК (Глобине)</t>
  </si>
  <si>
    <t>Переміщення товарів ІБ00-001068 від 16.10.2025 08:00:00
Перемещение ТМЦ</t>
  </si>
  <si>
    <t>Обл. НДС
Кутик 50х50х5мм ст 3пс МІРА
Переміщення товарів ІБ00-001068 від 16.10.2025 08:00:00
СПК (Глобине)</t>
  </si>
  <si>
    <t>Обл. НДС
Кутик 50х50х5мм ст 3пс МІРА
Надходження товарів і послуг ІБ00-000546 від 14.02.2025 10:00:00
Резервуар для зберігання розчинника(Глобине)</t>
  </si>
  <si>
    <t>Надходження товарів і послуг ІБ00-005979 від 16.10.2025 08:17:09
Оприходованы ТМЦ</t>
  </si>
  <si>
    <t>Обл. НДС
Бетон С20/25 W6 F75 P5 (щеб 5*10)
Надходження товарів і послуг ІБ00-005979 від 16.10.2025 08:17:09
Глобине-2</t>
  </si>
  <si>
    <t>Кременчуцький річковий порт ПРАТ
Договір 112/Б від 15.10.2024_Глобине-2
Надходження товарів і послуг ІБ00-005979 від 16.10.2025 08:17:09</t>
  </si>
  <si>
    <t>Надходження дод. витрат ІБ00-000589 від 16.10.2025 08:20:10
Доп. расходы при поступлении товаров</t>
  </si>
  <si>
    <t>Кременчуцький річковий порт ПРАТ
Договір 112/Б від 15.10.2024_Глобине-2
Надходження дод. витрат ІБ00-000589 від 16.10.2025 08:20:10</t>
  </si>
  <si>
    <t>Переміщення товарів ІБ00-001088 від 16.10.2025 10:00:00
Перемещение ТМЦ</t>
  </si>
  <si>
    <t>Обл. НДС
Бетон С20/25 W6 F75 P5 (щеб 5*10)
Переміщення товарів ІБ00-001088 від 16.10.2025 10:00:00
Очисні споруди (Глобине)</t>
  </si>
  <si>
    <t>Переміщення товарів ІБ00-001089 від 16.10.2025 10:00:00
Перемещение ТМЦ</t>
  </si>
  <si>
    <t>Обл. НДС
Бетон С20/25 W6 F75 P5 (щеб 5*10)
Переміщення товарів ІБ00-001089 від 16.10.2025 10:00:00
Цех екстракції (Глобине)</t>
  </si>
  <si>
    <t>Надходження товарів і послуг ІБ00-006067 від 16.10.2025 11:00:00
Оприходованы ТМЦ</t>
  </si>
  <si>
    <t>Обл. НДС
Плита пустотна ПБ 90-15-8т
Надходження товарів і послуг ІБ00-006067 від 16.10.2025 11:00:00
АПК (Глобине)</t>
  </si>
  <si>
    <t>Надходження товарів і послуг ІБ00-006067 від 16.10.2025 11:00:00
Оприходованы ТМЦ (Зачет аванса поставщику)</t>
  </si>
  <si>
    <t>Обл. НДС
Плита пустотна ПБ 90-12-8т
Надходження товарів і послуг ІБ00-006067 від 16.10.2025 11:00:00
АПК (Глобине)</t>
  </si>
  <si>
    <t>Обл. НДС
Плита пустотна ПК 24-12-8т
Надходження товарів і послуг ІБ00-006067 від 16.10.2025 11:00:00
АПК (Глобине)</t>
  </si>
  <si>
    <t>Обл. НДС
Плита пустотна ПК 24-10-8т
Надходження товарів і послуг ІБ00-006067 від 16.10.2025 11:00:00
АПК (Глобине)</t>
  </si>
  <si>
    <t>Обл. НДС
Плита пустотна ПК 67-12-8т
Надходження товарів і послуг ІБ00-006067 від 16.10.2025 11:00:00
АПК (Глобине)</t>
  </si>
  <si>
    <t>Надходження товарів і послуг ІБ00-006146 від 16.10.2025 11:00:00
Оприходованы ТМЦ</t>
  </si>
  <si>
    <t>Обл. НДС
Покриття полімерне CF56 Quartz 25кг
Надходження товарів і послуг ІБ00-006146 від 16.10.2025 11:00:00
Пункт фасування та зберігання в бігбегах (Глобине)</t>
  </si>
  <si>
    <t>Будівельна Гільдія Черкаси ТОВ
Дог7/11/24від07.11.24_Глобино-2
Рахунок на оплату постачальника ІБ00-005146 від 16.10.2025 18:17:33</t>
  </si>
  <si>
    <t>Надходження товарів і послуг ІБ00-006147 від 16.10.2025 11:00:00
Оприходованы ТМЦ</t>
  </si>
  <si>
    <t>Обл. НДС
Покриття полімерне CF56 Quartz 25кг
Надходження товарів і послуг ІБ00-006147 від 16.10.2025 11:00:00
Пункт фасування та зберігання в бігбегах (Глобине)</t>
  </si>
  <si>
    <t>Будівельна Гільдія Черкаси ТОВ
Дог7/11/24від07.11.24_Глобино-2
Рахунок на оплату постачальника ІБ00-005147 від 16.10.2025 18:17:34</t>
  </si>
  <si>
    <t>Надходження товарів і послуг ІБ00-006148 від 16.10.2025 11:00:00
Оприходованы ТМЦ</t>
  </si>
  <si>
    <t>Обл. НДС
Грунтовка глибокопроникаюча СТ17/10л
Надходження товарів і послуг ІБ00-006148 від 16.10.2025 11:00:00
АПК (Глобине)</t>
  </si>
  <si>
    <t>Будівельна Гільдія Черкаси ТОВ
Дог7/11/24від07.11.24_Глобино-2
Рахунок на оплату постачальника ІБ00-005148 від 16.10.2025 18:17:35</t>
  </si>
  <si>
    <t>Обл. НДС
Стрічка серпянка з клеюч основ 50мм*90м
Надходження товарів і послуг ІБ00-006148 від 16.10.2025 11:00:00
АПК (Глобине)</t>
  </si>
  <si>
    <t>Обл. НДС
Шпаклівка д/швів Уніфлот Кнакф 25кг
Надходження товарів і послуг ІБ00-006148 від 16.10.2025 11:00:00
АПК (Глобине)</t>
  </si>
  <si>
    <t>Обл. НДС
Шпаклівка НР Фініш, 25 кг
Надходження товарів і послуг ІБ00-006148 від 16.10.2025 11:00:00
АПК (Глобине)</t>
  </si>
  <si>
    <t>Обл. НДС
Сітка штукатурна  5 х5 мм (1*50 м) 160 г/кв.м
Надходження товарів і послуг ІБ00-006148 від 16.10.2025 11:00:00
АПК (Глобине)</t>
  </si>
  <si>
    <t>Надходження товарів і послуг ІБ00-006172 від 16.10.2025 11:00:00
Оприходованы ТМЦ</t>
  </si>
  <si>
    <t>Обл. НДС
Труба кан.ПП гофров.IPlast-cor SN 8  110/6000 мм
Надходження товарів і послуг ІБ00-006172 від 16.10.2025 11:00:00
Глобине-2</t>
  </si>
  <si>
    <t>Інсталпласт
Рахунки_Глобино-2
Рахунок на оплату постачальника ІБ00-004944 від 13.10.2025 17:35:39</t>
  </si>
  <si>
    <t>Обл. НДС
Труба 110/3,2/2000 зн
Надходження товарів і послуг ІБ00-006172 від 16.10.2025 11:00:00
Глобине-2</t>
  </si>
  <si>
    <t>Обл. НДС
Труба 110/3,2/500 зн
Надходження товарів і послуг ІБ00-006172 від 16.10.2025 11:00:00
Глобине-2</t>
  </si>
  <si>
    <t>Обл. НДС
Муфта ПП гофра IPLast-cor SN 8 110
Надходження товарів і послуг ІБ00-006172 від 16.10.2025 11:00:00
Глобине-2</t>
  </si>
  <si>
    <t>Вимога-накладна ІБ00-000948 від 16.10.2025 11:00:57
Списаны ТМЦ</t>
  </si>
  <si>
    <t>Обл. НДС
Щебінь 20-40
Надходження товарів і послуг ІБ00-005488 від 24.09.2025 11:00:00
Цех екстракції (Глобине)</t>
  </si>
  <si>
    <t>Обл. НДС
Бетон С20/25 W6 F75 P4
Переміщення товарів ІБ00-000920 від 19.09.2025 11:20:00
Цех екстракції (Глобине)</t>
  </si>
  <si>
    <t>Обл. НДС
Бетон С 20/25  F75 W6 Р4
Переміщення товарів ІБ00-001001 від 27.09.2025 11:20:00
Цех екстракції (Глобине)</t>
  </si>
  <si>
    <t>Переміщення товарів ІБ00-001151 від 16.10.2025 11:10:00
Перемещение ТМЦ</t>
  </si>
  <si>
    <t>Обл. НДС
Труба кан.ПП гофров.IPlast-cor SN 8  110/6000 мм
Переміщення товарів ІБ00-001151 від 16.10.2025 11:10:00
Транспортна галерея (Глобине)</t>
  </si>
  <si>
    <t>Обл. НДС
Муфта ПП гофра IPLast-cor SN 8 110
Переміщення товарів ІБ00-001151 від 16.10.2025 11:10:00
Транспортна галерея (Глобине)</t>
  </si>
  <si>
    <t>Переміщення товарів ІБ00-001152 від 16.10.2025 11:10:00
Перемещение ТМЦ</t>
  </si>
  <si>
    <t>Обл. НДС
Труба 110/3,2/2000 зн
Переміщення товарів ІБ00-001152 від 16.10.2025 11:10:00
СПК (Глобине)</t>
  </si>
  <si>
    <t>Обл. НДС
Труба 110/3,2/500 зн
Переміщення товарів ІБ00-001152 від 16.10.2025 11:10:00
СПК (Глобине)</t>
  </si>
  <si>
    <t>Надходження дод. витрат ІБ00-000592 від 16.10.2025 11:10:00
Доп. расходы при поступлении товаров</t>
  </si>
  <si>
    <t>Вимога-накладна ІБ00-000949 від 16.10.2025 11:18:34
Списаны ТМЦ</t>
  </si>
  <si>
    <t>Обл. НДС
Болт М20*65  DIN 933 8,8 цб пр
Надходження товарів і послуг ІБ00-005311 від 18.09.2025 11:00:00
Цех екстракції (Глобине)</t>
  </si>
  <si>
    <t>Обл. НДС
Гайка М20 DIN 934 ЦБ
Надходження товарів і послуг ІБ00-005311 від 18.09.2025 11:00:00
Цех екстракції (Глобине)</t>
  </si>
  <si>
    <t>Обл. НДС
Шайба плоська DIN 125 М20 140 HV ЦБ
Надходження товарів і послуг ІБ00-005311 від 18.09.2025 11:00:00
Цех екстракції (Глобине)</t>
  </si>
  <si>
    <t>Обл. НДС
Болт М20*150 10,9Гц збільш гол
Надходження товарів і послуг ІБ00-005400 від 22.09.2025 11:00:00
Цех екстракції (Глобине)</t>
  </si>
  <si>
    <t>Обл. НДС
Гайка М20 HV EN 14399-5 10,9ГЦ констр високоміц
Надходження товарів і послуг ІБ00-005400 від 22.09.2025 11:00:00
Цех екстракції (Глобине)</t>
  </si>
  <si>
    <t>Обл. НДС
Гайка М20  DIN 934
Надходження товарів і послуг ІБ00-005312 від 18.09.2025 11:00:00
Цех екстракції (Глобине)</t>
  </si>
  <si>
    <t>Обл. НДС
Шайба М20 EN 14399-6 ГЦ констукц
Надходження товарів і послуг ІБ00-005400 від 22.09.2025 11:00:00
Цех екстракції (Глобине)</t>
  </si>
  <si>
    <t>Обл. НДС
Болт М20*90  DIN 931
Надходження товарів і послуг ІБ00-005312 від 18.09.2025 11:00:00
Цех екстракції (Глобине)</t>
  </si>
  <si>
    <t>Обл. НДС
Болт М24*110  DIN 933
Надходження товарів і послуг ІБ00-005312 від 18.09.2025 11:00:00
Цех екстракції (Глобине)</t>
  </si>
  <si>
    <t>Обл. НДС
Шайба плоська DIN 125 М24 140 HV ЦБ
Надходження товарів і послуг ІБ00-005312 від 18.09.2025 11:00:00
Цех екстракції (Глобине)</t>
  </si>
  <si>
    <t>Обл. НДС
Гайка М24  DIN 934 ЦБ
Надходження товарів і послуг ІБ00-005312 від 18.09.2025 11:00:00
Цех екстракції (Глобине)</t>
  </si>
  <si>
    <t>Обл. НДС
Решітковий настил KOZ 34*38/30*3/оц/ 1000*998
Надходження товарів і послуг ІБ00-005696 від 30.09.2025 11:00:00
Цех екстракції (Глобине)</t>
  </si>
  <si>
    <t>Обл. НДС
Решітковий настил KOZ 34*38/30*3/оц/ 1052*840
Надходження товарів і послуг ІБ00-005696 від 30.09.2025 11:00:00
Цех екстракції (Глобине)</t>
  </si>
  <si>
    <t>Обл. НДС
Решітковий настил KOZ 34*38/30*3/оц/ 1100*993
Надходження товарів і послуг ІБ00-005696 від 30.09.2025 11:00:00
Цех екстракції (Глобине)</t>
  </si>
  <si>
    <t>Обл. НДС
Решітковий настил KOZ 34*38/30*3/оц/ 1500*1000
Надходження товарів і послуг ІБ00-005696 від 30.09.2025 11:00:00
Цех екстракції (Глобине)</t>
  </si>
  <si>
    <t>Обл. НДС
Решітковий настил KOZ 34*38/30*3/оц/ 1500*1000
Надходження товарів і послуг ІБ00-005710 від 30.09.2025 11:00:00
Цех екстракції (Глобине)</t>
  </si>
  <si>
    <t>Обл. НДС
Решітковий настил KOZ 34*38/30*3/оц/ 1500*1050
Надходження товарів і послуг ІБ00-005696 від 30.09.2025 11:00:00
Цех екстракції (Глобине)</t>
  </si>
  <si>
    <t>Обл. НДС
Решітковий настил KOZ 34*38/30*3/оц/ 1607*1000
Надходження товарів і послуг ІБ00-005696 від 30.09.2025 11:00:00
Цех екстракції (Глобине)</t>
  </si>
  <si>
    <t>Обл. НДС
Решітковий настил KOZ 34*38/30*3/оц/ 1750*1000
Надходження товарів і послуг ІБ00-005696 від 30.09.2025 11:00:00
Цех екстракції (Глобине)</t>
  </si>
  <si>
    <t>Обл. НДС
Решітковий настил KOZ 34*38/30*3/оц/ 1750*1210
Надходження товарів і послуг ІБ00-005696 від 30.09.2025 11:00:00
Цех екстракції (Глобине)</t>
  </si>
  <si>
    <t>Обл. НДС
Решітковий настил KOZ 34*38/30*3/оц/ 1750*650
Надходження товарів і послуг ІБ00-005696 від 30.09.2025 11:00:00
Цех екстракції (Глобине)</t>
  </si>
  <si>
    <t>Обл. НДС
Решітковий настил KOZ 34*38/30*3/оц/ 1765*615
Надходження товарів і послуг ІБ00-005696 від 30.09.2025 11:00:00
Цех екстракції (Глобине)</t>
  </si>
  <si>
    <t>Обл. НДС
Решітковий настил KOZ 34*38/30*3/оц/ 1800*435
Надходження товарів і послуг ІБ00-005696 від 30.09.2025 11:00:00
Цех екстракції (Глобине)</t>
  </si>
  <si>
    <t>Обл. НДС
Решітковий настил KOZ 34*38/30*3/оц/ 1800*553
Надходження товарів і послуг ІБ00-005696 від 30.09.2025 11:00:00
Цех екстракції (Глобине)</t>
  </si>
  <si>
    <t>Обл. НДС
Решітковий настил KOZ 34*38/30*3/оц/ 1800*554
Надходження товарів і послуг ІБ00-005696 від 30.09.2025 11:00:00
Цех екстракції (Глобине)</t>
  </si>
  <si>
    <t>Обл. НДС
Решітковий настил KOZ 34*38/30*3/оц/ 1800*925
Надходження товарів і послуг ІБ00-005696 від 30.09.2025 11:00:00
Цех екстракції (Глобине)</t>
  </si>
  <si>
    <t>Обл. НДС
Решітковий настил KOZ 34*38/30*3/оц/ 1800*955
Надходження товарів і послуг ІБ00-005696 від 30.09.2025 11:00:00
Цех екстракції (Глобине)</t>
  </si>
  <si>
    <t>Обл. НДС
Решітковий настил KOZ 34*38/30*3/оц/ 1813*1165
Надходження товарів і послуг ІБ00-005696 від 30.09.2025 11:00:00
Цех екстракції (Глобине)</t>
  </si>
  <si>
    <t>Обл. НДС
Решітковий настил KOZ 34*38/30*3/оц/ 1824*1000
Надходження товарів і послуг ІБ00-005710 від 30.09.2025 11:00:00
Цех екстракції (Глобине)</t>
  </si>
  <si>
    <t>Обл. НДС
Решітковий настил KOZ 34*38/30*3/оц/ 1878*1000
Надходження товарів і послуг ІБ00-005710 від 30.09.2025 11:00:00
Цех екстракції (Глобине)</t>
  </si>
  <si>
    <t>Обл. НДС
Решітковий настил KOZ 34*38/30*3/оц/ 1999*1365
Надходження товарів і послуг ІБ00-005710 від 30.09.2025 11:00:00
Цех екстракції (Глобине)</t>
  </si>
  <si>
    <t>Обл. НДС
Решітковий настил KOZ 34*38/30*3/оц/ 2000*1065
Надходження товарів і послуг ІБ00-005710 від 30.09.2025 11:00:00
Цех екстракції (Глобине)</t>
  </si>
  <si>
    <t>Обл. НДС
Решітковий настил KOZ 34*38/30*3/оц/ 2000*1172
Надходження товарів і послуг ІБ00-005696 від 30.09.2025 11:00:00
Цех екстракції (Глобине)</t>
  </si>
  <si>
    <t>Обл. НДС
Решітковий настил KOZ 34*38/30*3/оц/ 2000*1335
Надходження товарів і послуг ІБ00-005710 від 30.09.2025 11:00:00
Цех екстракції (Глобине)</t>
  </si>
  <si>
    <t>Обл. НДС
Решітковий настил KOZ 34*38/30*3/оц/ 2082*1000
Надходження товарів і послуг ІБ00-005696 від 30.09.2025 11:00:00
Цех екстракції (Глобине)</t>
  </si>
  <si>
    <t>Обл. НДС
Решітковий настил KOZ 34*38/30*3/оц/ 2159*1000
Надходження товарів і послуг ІБ00-005696 від 30.09.2025 11:00:00
Цех екстракції (Глобине)</t>
  </si>
  <si>
    <t>Обл. НДС
Решітковий настил KOZ 34*38/30*3/оц/ 2200*1165
Надходження товарів і послуг ІБ00-005696 від 30.09.2025 11:00:00
Цех екстракції (Глобине)</t>
  </si>
  <si>
    <t>Обл. НДС
Решітковий настил KOZ 34*38/30*3/оц/ 2200*1290
Надходження товарів і послуг ІБ00-005696 від 30.09.2025 11:00:00
Цех екстракції (Глобине)</t>
  </si>
  <si>
    <t>Обл. НДС
Решітковий настил KOZ 34*38/30*3/оц/ 2200*1365
Надходження товарів і послуг ІБ00-005696 від 30.09.2025 11:00:00
Цех екстракції (Глобине)</t>
  </si>
  <si>
    <t>Обл. НДС
Решітковий настил KOZ 34*38/30*3/оц/ 2200*1365
Надходження товарів і послуг ІБ00-005710 від 30.09.2025 11:00:00
Цех екстракції (Глобине)</t>
  </si>
  <si>
    <t>Обл. НДС
Решітковий настил KOZ 34*38/30*3/оц/ 2211*1000
Надходження товарів і послуг ІБ00-005696 від 30.09.2025 11:00:00
Цех екстракції (Глобине)</t>
  </si>
  <si>
    <t>Обл. НДС
Решітковий настил KOZ 34*38/30*3/оц/ 2294*1210
Надходження товарів і послуг ІБ00-005696 від 30.09.2025 11:00:00
Цех екстракції (Глобине)</t>
  </si>
  <si>
    <t>Обл. НДС
Решітковий настил KOZ 34*38/30*3/оц/ 2800*1157
Надходження товарів і послуг ІБ00-005710 від 30.09.2025 11:00:00
Цех екстракції (Глобине)</t>
  </si>
  <si>
    <t>Обл. НДС
Решітковий настил KOZ 34*38/30*3/оц/ 900*1000
Надходження товарів і послуг ІБ00-005710 від 30.09.2025 11:00:00
Цех екстракції (Глобине)</t>
  </si>
  <si>
    <t>Обл. НДС
Решітковий настил KOZ 34*38/30*3/оц/ 900*1029
Надходження товарів і послуг ІБ00-005710 від 30.09.2025 11:00:00
Цех екстракції (Глобине)</t>
  </si>
  <si>
    <t>Обл. НДС
Решітковий настил KOZ 34*38/30*3/оц/ 901*1165
Надходження товарів і послуг ІБ00-005696 від 30.09.2025 11:00:00
Цех екстракції (Глобине)</t>
  </si>
  <si>
    <t>Обл. НДС
Решітковий настил KOZ 34*38/30*3/оц/ 921*1125
Надходження товарів і послуг ІБ00-005696 від 30.09.2025 11:00:00
Цех екстракції (Глобине)</t>
  </si>
  <si>
    <t>Обл. НДС
Решітковий настил KOZ 34*38/30*3/оц/1000*1000
Надходження товарів і послуг ІБ00-005696 від 30.09.2025 11:00:00
Цех екстракції (Глобине)</t>
  </si>
  <si>
    <t>Обл. НДС
Решітковий настил KOZ 34*38/30*3/оц/1000*1000
Надходження товарів і послуг ІБ00-005710 від 30.09.2025 11:00:00
Цех екстракції (Глобине)</t>
  </si>
  <si>
    <t>Обл. НДС
Решітковий настил KOZ 34*38/30*3/оц/1000*1633
Надходження товарів і послуг ІБ00-005710 від 30.09.2025 11:00:00
Цех екстракції (Глобине)</t>
  </si>
  <si>
    <t>Обл. НДС
Решітковий настил KOZ 34*38/30*3/оц/1000*1634
Надходження товарів і послуг ІБ00-005696 від 30.09.2025 11:00:00
Цех екстракції (Глобине)</t>
  </si>
  <si>
    <t>Обл. НДС
Решітковий настил KOZ 34*38/30*3/оц/1000*835
Надходження товарів і послуг ІБ00-005696 від 30.09.2025 11:00:00
Цех екстракції (Глобине)</t>
  </si>
  <si>
    <t>Обл. НДС
Решітковий настил KOZ 34*38/30*3/оц/1000*868
Надходження товарів і послуг ІБ00-005696 від 30.09.2025 11:00:00
Цех екстракції (Глобине)</t>
  </si>
  <si>
    <t>Обл. НДС
Решітковий настил KOZ 34*38/30*3/оц/1029*1000
Надходження товарів і послуг ІБ00-005696 від 30.09.2025 11:00:00
Цех екстракції (Глобине)</t>
  </si>
  <si>
    <t>Обл. НДС
Решітковий настил KOZ 34*38/30*3/оц/1040*1000
Надходження товарів і послуг ІБ00-005696 від 30.09.2025 11:00:00
Цех екстракції (Глобине)</t>
  </si>
  <si>
    <t>Обл. НДС
Решітковий настил KOZ 34*38/30*3/оц/1040*1000
Надходження товарів і послуг ІБ00-005710 від 30.09.2025 11:00:00
Цех екстракції (Глобине)</t>
  </si>
  <si>
    <t>Обл. НДС
Решітковий настил KOZ 34*38/30*3/оц/1040*809
Надходження товарів і послуг ІБ00-005710 від 30.09.2025 11:00:00
Цех екстракції (Глобине)</t>
  </si>
  <si>
    <t>Обл. НДС
Решітковий настил KOZ 34*38/30*3/оц/1079*1634
Надходження товарів і послуг ІБ00-005696 від 30.09.2025 11:00:00
Цех екстракції (Глобине)</t>
  </si>
  <si>
    <t>Обл. НДС
Решітковий настил KOZ 34*38/30*3/оц/1080*1067
Надходження товарів і послуг ІБ00-005696 від 30.09.2025 11:00:00
Цех екстракції (Глобине)</t>
  </si>
  <si>
    <t>Обл. НДС
Решітковий настил KOZ 34*38/30*3/оц/1100*1007
Надходження товарів і послуг ІБ00-005696 від 30.09.2025 11:00:00
Цех екстракції (Глобине)</t>
  </si>
  <si>
    <t>Обл. НДС
Решітковий настил KOZ 34*38/30*3/оц/1136*1432
Надходження товарів і послуг ІБ00-005696 від 30.09.2025 11:00:00
Цех екстракції (Глобине)</t>
  </si>
  <si>
    <t>Обл. НДС
Решітковий настил KOZ 34*38/30*3/оц/1160*1000
Надходження товарів і послуг ІБ00-005696 від 30.09.2025 11:00:00
Цех екстракції (Глобине)</t>
  </si>
  <si>
    <t>Обл. НДС
Решітковий настил KOZ 34*38/30*3/оц/1224*1000
Надходження товарів і послуг ІБ00-005696 від 30.09.2025 11:00:00
Цех екстракції (Глобине)</t>
  </si>
  <si>
    <t>Обл. НДС
Решітковий настил KOZ 34*38/30*3/оц/1290*1315
Надходження товарів і послуг ІБ00-005696 від 30.09.2025 11:00:00
Цех екстракції (Глобине)</t>
  </si>
  <si>
    <t>Обл. НДС
Решітковий настил KOZ 34*38/30*3/оц/1360*1000
Надходження товарів і послуг ІБ00-005696 від 30.09.2025 11:00:00
Цех екстракції (Глобине)</t>
  </si>
  <si>
    <t>Обл. НДС
Решітковий настил KOZ 34*38/30*3/оц/1360*1000
Надходження товарів і послуг ІБ00-005710 від 30.09.2025 11:00:00
Цех екстракції (Глобине)</t>
  </si>
  <si>
    <t>Обл. НДС
Решітковий настил KOZ 34*38/30*3/оц/1370*636
Надходження товарів і послуг ІБ00-005696 від 30.09.2025 11:00:00
Цех екстракції (Глобине)</t>
  </si>
  <si>
    <t>Обл. НДС
Решітковий настил KOZ 34*38/30*3/оц/1382*1028
Надходження товарів і послуг ІБ00-005696 від 30.09.2025 11:00:00
Цех екстракції (Глобине)</t>
  </si>
  <si>
    <t>Обл. НДС
Решітковий настил KOZ 34*38/30*3/оц/1385*1000
Надходження товарів і послуг ІБ00-005710 від 30.09.2025 11:00:00
Цех екстракції (Глобине)</t>
  </si>
  <si>
    <t>Обл. НДС
Решітковий настил KOZ 34*38/30*3/оц/1392*1000
Надходження товарів і послуг ІБ00-005696 від 30.09.2025 11:00:00
Цех екстракції (Глобине)</t>
  </si>
  <si>
    <t>Обл. НДС
Решітковий настил KOZ 34*38/30*3/оц/1400*1000
Надходження товарів і послуг ІБ00-005710 від 30.09.2025 11:00:00
Цех екстракції (Глобине)</t>
  </si>
  <si>
    <t>Обл. НДС
Решітковий настил KOZ 34*38/30*3/оц/1421*1000
Надходження товарів і послуг ІБ00-005696 від 30.09.2025 11:00:00
Цех екстракції (Глобине)</t>
  </si>
  <si>
    <t>Обл. НДС
Решітковий настил KOZ 34*38/30*3/оц/1421*1290
Надходження товарів і послуг ІБ00-005696 від 30.09.2025 11:00:00
Цех екстракції (Глобине)</t>
  </si>
  <si>
    <t>Обл. НДС
Решітковий настил KOZ 34*38/30*3/оц/1444*1000
Надходження товарів і послуг ІБ00-005696 від 30.09.2025 11:00:00
Цех екстракції (Глобине)</t>
  </si>
  <si>
    <t>Обл. НДС
Решітковий настил KOZ 34*38/30*3/оц/1469*1205
Надходження товарів і послуг ІБ00-005696 від 30.09.2025 11:00:00
Цех екстракції (Глобине)</t>
  </si>
  <si>
    <t>Обл. НДС
Решітковий настил KOZ 34*38/30*3/оц/1499*1191
Надходження товарів і послуг ІБ00-005710 від 30.09.2025 11:00:00
Цех екстракції (Глобине)</t>
  </si>
  <si>
    <t>Обл. НДС
Решітковий настил KOZ 34*38/30*3/оц/1500*1000
Надходження товарів і послуг ІБ00-005710 від 30.09.2025 11:00:00
Цех екстракції (Глобине)</t>
  </si>
  <si>
    <t>Обл. НДС
Решітковий настил KOZ 34*38/30*3/оц/1500*1165
Надходження товарів і послуг ІБ00-005696 від 30.09.2025 11:00:00
Цех екстракції (Глобине)</t>
  </si>
  <si>
    <t>Обл. НДС
Решітковий настил KOZ 34*38/30*3/оц/1541*450
Надходження товарів і послуг ІБ00-005696 від 30.09.2025 11:00:00
Цех екстракції (Глобине)</t>
  </si>
  <si>
    <t>Обл. НДС
Решітковий настил KOZ 34*38/30*3/оц/1545*1000
Надходження товарів і послуг ІБ00-005696 від 30.09.2025 11:00:00
Цех екстракції (Глобине)</t>
  </si>
  <si>
    <t>Обл. НДС
Решітковий настил KOZ 34*38/30*3/оц/1545*1047
Надходження товарів і послуг ІБ00-005696 від 30.09.2025 11:00:00
Цех екстракції (Глобине)</t>
  </si>
  <si>
    <t>Обл. НДС
Решітковий настил KOZ 34*38/30*3/оц/1550*712
Надходження товарів і послуг ІБ00-005696 від 30.09.2025 11:00:00
Цех екстракції (Глобине)</t>
  </si>
  <si>
    <t>Обл. НДС
Решітковий настил KOZ 34*38/30*3/оц/1555*1000
Надходження товарів і послуг ІБ00-005696 від 30.09.2025 11:00:00
Цех екстракції (Глобине)</t>
  </si>
  <si>
    <t>Обл. НДС
Решітковий настил KOZ 34*38/30*3/оц/1555*1165
Надходження товарів і послуг ІБ00-005696 від 30.09.2025 11:00:00
Цех екстракції (Глобине)</t>
  </si>
  <si>
    <t>Обл. НДС
Решітковий настил KOZ 34*38/30*3/оц/1600*1000
Надходження товарів і послуг ІБ00-005696 від 30.09.2025 11:00:00
Цех екстракції (Глобине)</t>
  </si>
  <si>
    <t>Обл. НДС
Решітковий настил KOZ 34*38/30*3/оц/1600*1435
Надходження товарів і послуг ІБ00-005696 від 30.09.2025 11:00:00
Цех екстракції (Глобине)</t>
  </si>
  <si>
    <t>Обл. НДС
Решітковий настил KOZ 34*38/30*3/оц/1600*560
Надходження товарів і послуг ІБ00-005696 від 30.09.2025 11:00:00
Цех екстракції (Глобине)</t>
  </si>
  <si>
    <t>Обл. НДС
Решітковий настил KOZ 34*38/30*3/оц/1634*1000
Надходження товарів і послуг ІБ00-005696 від 30.09.2025 11:00:00
Цех екстракції (Глобине)</t>
  </si>
  <si>
    <t>Обл. НДС
Решітковий настил KOZ 34*38/30*3/оц/1635*615
Надходження товарів і послуг ІБ00-005696 від 30.09.2025 11:00:00
Цех екстракції (Глобине)</t>
  </si>
  <si>
    <t>Обл. НДС
Решітковий настил KOZ 34*38/30*3/оц/1700*1000
Надходження товарів і послуг ІБ00-005696 від 30.09.2025 11:00:00
Цех екстракції (Глобине)</t>
  </si>
  <si>
    <t>Обл. НДС
Решітковий настил KOZ 34*38/30*3/оц/1700*1000
Надходження товарів і послуг ІБ00-005710 від 30.09.2025 11:00:00
Цех екстракції (Глобине)</t>
  </si>
  <si>
    <t>Обл. НДС
Решітковий настил KOZ 34*38/30*3/оц/1700*1191
Надходження товарів і послуг ІБ00-005710 від 30.09.2025 11:00:00
Цех екстракції (Глобине)</t>
  </si>
  <si>
    <t>Обл. НДС
Решітковий настил KOZ 34*38/30*3/оц/1700*865
Надходження товарів і послуг ІБ00-005696 від 30.09.2025 11:00:00
Цех екстракції (Глобине)</t>
  </si>
  <si>
    <t>Обл. НДС
Решітковий настил KOZ 34*38/30*3/оц/1736*1000
Надходження товарів і послуг ІБ00-005696 від 30.09.2025 11:00:00
Цех екстракції (Глобине)</t>
  </si>
  <si>
    <t>Обл. НДС
Решітковий настил KOZ 34*38/30*3/оц/1749*650
Надходження товарів і послуг ІБ00-005696 від 30.09.2025 11:00:00
Цех екстракції (Глобине)</t>
  </si>
  <si>
    <t>Обл. НДС
Решітковий настил KOZ 34*38/30*3/оц/1799*1153
Надходження товарів і послуг ІБ00-005696 від 30.09.2025 11:00:00
Цех екстракції (Глобине)</t>
  </si>
  <si>
    <t>Обл. НДС
Решітковий настил KOZ 34*38/30*3/оц/1799*406
Надходження товарів і послуг ІБ00-005696 від 30.09.2025 11:00:00
Цех екстракції (Глобине)</t>
  </si>
  <si>
    <t>Обл. НДС
Решітковий настил KOZ 34*38/30*3/оц/1897*1000
Надходження товарів і послуг ІБ00-005696 від 30.09.2025 11:00:00
Цех екстракції (Глобине)</t>
  </si>
  <si>
    <t>Обл. НДС
Решітковий настил KOZ 34*38/30*3/оц/1900*1000
Надходження товарів і послуг ІБ00-005696 від 30.09.2025 11:00:00
Цех екстракції (Глобине)</t>
  </si>
  <si>
    <t>Обл. НДС
Решітковий настил KOZ 34*38/30*3/оц/1900*1000
Надходження товарів і послуг ІБ00-005710 від 30.09.2025 11:00:00
Цех екстракції (Глобине)</t>
  </si>
  <si>
    <t>Обл. НДС
Решітковий настил KOZ 34*38/30*3/оц/1900*865
Надходження товарів і послуг ІБ00-005696 від 30.09.2025 11:00:00
Цех екстракції (Глобине)</t>
  </si>
  <si>
    <t>Обл. НДС
Решітковий настил KOZ 34*38/30*3/оц/1931*1000
Надходження товарів і послуг ІБ00-005696 від 30.09.2025 11:00:00
Цех екстракції (Глобине)</t>
  </si>
  <si>
    <t>Обл. НДС
Решітковий настил KOZ 34*38/30*3/оц/1933*1000
Надходження товарів і послуг ІБ00-005696 від 30.09.2025 11:00:00
Цех екстракції (Глобине)</t>
  </si>
  <si>
    <t>Обл. НДС
Решітковий настил KOZ 34*38/30*3/оц/1947*1000
Надходження товарів і послуг ІБ00-005696 від 30.09.2025 11:00:00
Цех екстракції (Глобине)</t>
  </si>
  <si>
    <t>Обл. НДС
Решітковий настил KOZ 34*38/30*3/оц/1955*1000
Надходження товарів і послуг ІБ00-005696 від 30.09.2025 11:00:00
Цех екстракції (Глобине)</t>
  </si>
  <si>
    <t>Обл. НДС
Решітковий настил KOZ 34*38/30*3/оц/1955*865
Надходження товарів і послуг ІБ00-005696 від 30.09.2025 11:00:00
Цех екстракції (Глобине)</t>
  </si>
  <si>
    <t>Обл. НДС
Решітковий настил KOZ 34*38/30*3/оц/1979*1000
Надходження товарів і послуг ІБ00-005696 від 30.09.2025 11:00:00
Цех екстракції (Глобине)</t>
  </si>
  <si>
    <t>Обл. НДС
Решітковий настил KOZ 34*38/30*3/оц/1993*1000
Надходження товарів і послуг ІБ00-005696 від 30.09.2025 11:00:00
Цех екстракції (Глобине)</t>
  </si>
  <si>
    <t>Обл. НДС
Решітковий настил KOZ 34*38/30*3/оц/2000*1000
Надходження товарів і послуг ІБ00-005696 від 30.09.2025 11:00:00
Цех екстракції (Глобине)</t>
  </si>
  <si>
    <t>Обл. НДС
Решітковий настил KOZ 34*38/30*3/оц/2000*1000
Надходження товарів і послуг ІБ00-005710 від 30.09.2025 11:00:00
Цех екстракції (Глобине)</t>
  </si>
  <si>
    <t>Обл. НДС
Решітковий настил KOZ 34*38/30*3/оц/2000*1212
Надходження товарів і послуг ІБ00-005696 від 30.09.2025 11:00:00
Цех екстракції (Глобине)</t>
  </si>
  <si>
    <t>Обл. НДС
Решітковий настил KOZ 34*38/30*3/оц/2000*1250
Надходження товарів і послуг ІБ00-005696 від 30.09.2025 11:00:00
Цех екстракції (Глобине)</t>
  </si>
  <si>
    <t>Обл. НДС
Решітковий настил KOZ 34*38/30*3/оц/2000*1365
Надходження товарів і послуг ІБ00-005696 від 30.09.2025 11:00:00
Цех екстракції (Глобине)</t>
  </si>
  <si>
    <t>Обл. НДС
Решітковий настил KOZ 34*38/30*3/оц/2000*1365
Надходження товарів і послуг ІБ00-005710 від 30.09.2025 11:00:00
Цех екстракції (Глобине)</t>
  </si>
  <si>
    <t>Обл. НДС
Решітковий настил KOZ 34*38/30*3/оц/2000*1435
Надходження товарів і послуг ІБ00-005696 від 30.09.2025 11:00:00
Цех екстракції (Глобине)</t>
  </si>
  <si>
    <t>Обл. НДС
Решітковий настил KOZ 34*38/30*3/оц/2000*700
Надходження товарів і послуг ІБ00-005710 від 30.09.2025 11:00:00
Цех екстракції (Глобине)</t>
  </si>
  <si>
    <t>Обл. НДС
Решітковий настил KOZ 34*38/30*3/оц/2000*750
Надходження товарів і послуг ІБ00-005696 від 30.09.2025 11:00:00
Цех екстракції (Глобине)</t>
  </si>
  <si>
    <t>Обл. НДС
Решітковий настил KOZ 34*38/30*3/оц/2000*865
Надходження товарів і послуг ІБ00-005696 від 30.09.2025 11:00:00
Цех екстракції (Глобине)</t>
  </si>
  <si>
    <t>Обл. НДС
Решітковий настил KOZ 34*38/30*3/оц/2000*970
Надходження товарів і послуг ІБ00-005696 від 30.09.2025 11:00:00
Цех екстракції (Глобине)</t>
  </si>
  <si>
    <t>Обл. НДС
Решітковий настил KOZ 34*38/30*3/оц/2003*1000
Надходження товарів і послуг ІБ00-005696 від 30.09.2025 11:00:00
Цех екстракції (Глобине)</t>
  </si>
  <si>
    <t>Обл. НДС
Решітковий настил KOZ 34*38/30*3/оц/2023*1000
Надходження товарів і послуг ІБ00-005696 від 30.09.2025 11:00:00
Цех екстракції (Глобине)</t>
  </si>
  <si>
    <t>Обл. НДС
Решітковий настил KOZ 34*38/30*3/оц/2055*1000
Надходження товарів і послуг ІБ00-005696 від 30.09.2025 11:00:00
Цех екстракції (Глобине)</t>
  </si>
  <si>
    <t>Обл. НДС
Решітковий настил KOZ 34*38/30*3/оц/2117*1558
Надходження товарів і послуг ІБ00-005696 від 30.09.2025 11:00:00
Цех екстракції (Глобине)</t>
  </si>
  <si>
    <t>Обл. НДС
Решітковий настил KOZ 34*38/30*3/оц/2141*1673
Надходження товарів і послуг ІБ00-005710 від 30.09.2025 11:00:00
Цех екстракції (Глобине)</t>
  </si>
  <si>
    <t>Обл. НДС
Решітковий настил KOZ 34*38/30*3/оц/2142*1540
Надходження товарів і послуг ІБ00-005696 від 30.09.2025 11:00:00
Цех екстракції (Глобине)</t>
  </si>
  <si>
    <t>Обл. НДС
Решітковий настил KOZ 34*38/30*3/оц/2142*1554
Надходження товарів і послуг ІБ00-005696 від 30.09.2025 11:00:00
Цех екстракції (Глобине)</t>
  </si>
  <si>
    <t>Обл. НДС
Решітковий настил KOZ 34*38/30*3/оц/2142*1673
Надходження товарів і послуг ІБ00-005696 від 30.09.2025 11:00:00
Цех екстракції (Глобине)</t>
  </si>
  <si>
    <t>Обл. НДС
Решітковий настил KOZ 34*38/30*3/оц/2147*780
Надходження товарів і послуг ІБ00-005696 від 30.09.2025 11:00:00
Цех екстракції (Глобине)</t>
  </si>
  <si>
    <t>Обл. НДС
Решітковий настил KOZ 34*38/30*3/оц/2200*1000
Надходження товарів і послуг ІБ00-005696 від 30.09.2025 11:00:00
Цех екстракції (Глобине)</t>
  </si>
  <si>
    <t>Обл. НДС
Решітковий настил KOZ 34*38/30*3/оц/2200*1000
Надходження товарів і послуг ІБ00-005710 від 30.09.2025 11:00:00
Цех екстракції (Глобине)</t>
  </si>
  <si>
    <t>Обл. НДС
Решітковий настил KOZ 34*38/30*3/оц/2200*1127
Надходження товарів і послуг ІБ00-005696 від 30.09.2025 11:00:00
Цех екстракції (Глобине)</t>
  </si>
  <si>
    <t>Обл. НДС
Решітковий настил KOZ 34*38/30*3/оц/2200*1435
Надходження товарів і послуг ІБ00-005696 від 30.09.2025 11:00:00
Цех екстракції (Глобине)</t>
  </si>
  <si>
    <t>Обл. НДС
Решітковий настил KOZ 34*38/30*3/оц/2200*865
Надходження товарів і послуг ІБ00-005696 від 30.09.2025 11:00:00
Цех екстракції (Глобине)</t>
  </si>
  <si>
    <t>Обл. НДС
Решітковий настил KOZ 34*38/30*3/оц/2201*1110
Надходження товарів і послуг ІБ00-005710 від 30.09.2025 11:00:00
Цех екстракції (Глобине)</t>
  </si>
  <si>
    <t>Обл. НДС
Решітковий настил KOZ 34*38/30*3/оц/2273*1000
Надходження товарів і послуг ІБ00-005696 від 30.09.2025 11:00:00
Цех екстракції (Глобине)</t>
  </si>
  <si>
    <t>Обл. НДС
Решітковий настил KOZ 34*38/30*3/оц/2295*1000
Надходження товарів і послуг ІБ00-005696 від 30.09.2025 11:00:00
Цех екстракції (Глобине)</t>
  </si>
  <si>
    <t>Обл. НДС
Решітковий настил KOZ 34*38/30*3/оц/2300*1000
Надходження товарів і послуг ІБ00-005696 від 30.09.2025 11:00:00
Цех екстракції (Глобине)</t>
  </si>
  <si>
    <t>Обл. НДС
Решітковий настил KOZ 34*38/30*3/оц/2300*1000
Надходження товарів і послуг ІБ00-005710 від 30.09.2025 11:00:00
Цех екстракції (Глобине)</t>
  </si>
  <si>
    <t>Обл. НДС
Решітковий настил KOZ 34*38/30*3/оц/2300*1030
Надходження товарів і послуг ІБ00-005696 від 30.09.2025 11:00:00
Цех екстракції (Глобине)</t>
  </si>
  <si>
    <t>Обл. НДС
Решітковий настил KOZ 34*38/30*3/оц/2300*1090
Надходження товарів і послуг ІБ00-005710 від 30.09.2025 11:00:00
Цех екстракції (Глобине)</t>
  </si>
  <si>
    <t>Обл. НДС
Решітковий настил KOZ 34*38/30*3/оц/2300*700
Надходження товарів і послуг ІБ00-005710 від 30.09.2025 11:00:00
Цех екстракції (Глобине)</t>
  </si>
  <si>
    <t>Обл. НДС
Решітковий настил KOZ 34*38/30*3/оц/2366*1435
Надходження товарів і послуг ІБ00-005696 від 30.09.2025 11:00:00
Цех екстракції (Глобине)</t>
  </si>
  <si>
    <t>Обл. НДС
Решітковий настил KOZ 34*38/30*3/оц/2431*1000
Надходження товарів і послуг ІБ00-005696 від 30.09.2025 11:00:00
Цех екстракції (Глобине)</t>
  </si>
  <si>
    <t>Обл. НДС
Решітковий настил KOZ 34*38/30*3/оц/2431*440
Надходження товарів і послуг ІБ00-005696 від 30.09.2025 11:00:00
Цех екстракції (Глобине)</t>
  </si>
  <si>
    <t>Обл. НДС
Решітковий настил KOZ 34*38/30*3/оц/2431*475
Надходження товарів і послуг ІБ00-005696 від 30.09.2025 11:00:00
Цех екстракції (Глобине)</t>
  </si>
  <si>
    <t>Обл. НДС
Решітковий настил KOZ 34*38/30*3/оц/2431*975
Надходження товарів і послуг ІБ00-005696 від 30.09.2025 11:00:00
Цех екстракції (Глобине)</t>
  </si>
  <si>
    <t>Обл. НДС
Решітковий настил KOZ 34*38/30*3/оц/2445*1000
Надходження товарів і послуг ІБ00-005696 від 30.09.2025 11:00:00
Цех екстракції (Глобине)</t>
  </si>
  <si>
    <t>Обл. НДС
Решітковий настил KOZ 34*38/30*3/оц/2445*865
Надходження товарів і послуг ІБ00-005696 від 30.09.2025 11:00:00
Цех екстракції (Глобине)</t>
  </si>
  <si>
    <t>Обл. НДС
Решітковий настил KOZ 34*38/30*3/оц/2571*950
Надходження товарів і послуг ІБ00-005696 від 30.09.2025 11:00:00
Цех екстракції (Глобине)</t>
  </si>
  <si>
    <t>Обл. НДС
Решітковий настил KOZ 34*38/30*3/оц/2603*969
Надходження товарів і послуг ІБ00-005696 від 30.09.2025 11:00:00
Цех екстракції (Глобине)</t>
  </si>
  <si>
    <t>Обл. НДС
Решітковий настил KOZ 34*38/30*3/оц/2647*1000
Надходження товарів і послуг ІБ00-005710 від 30.09.2025 11:00:00
Цех екстракції (Глобине)</t>
  </si>
  <si>
    <t>Обл. НДС
Решітковий настил KOZ 34*38/30*3/оц/2648*1000
Надходження товарів і послуг ІБ00-005710 від 30.09.2025 11:00:00
Цех екстракції (Глобине)</t>
  </si>
  <si>
    <t>Обл. НДС
Решітковий настил KOZ 34*38/30*3/оц/692*1385
Надходження товарів і послуг ІБ00-005710 від 30.09.2025 11:00:00
Цех екстракції (Глобине)</t>
  </si>
  <si>
    <t>Обл. НДС
Решітковий настил KOZ 34*38/30*3/оц/733*1000
Надходження товарів і послуг ІБ00-005710 від 30.09.2025 11:00:00
Цех екстракції (Глобине)</t>
  </si>
  <si>
    <t>Обл. НДС
Решітковий настил KOZ 34*38/30*3/оц/733*809
Надходження товарів і послуг ІБ00-005710 від 30.09.2025 11:00:00
Цех екстракції (Глобине)</t>
  </si>
  <si>
    <t>Обл. НДС
Решітковий настил KOZ 34*38/30*3/оц/792*1022
Надходження товарів і послуг ІБ00-005696 від 30.09.2025 11:00:00
Цех екстракції (Глобине)</t>
  </si>
  <si>
    <t>Обл. НДС
Решітковий настил KOZ 34*38/30*3/оц/900*1044
Надходження товарів і послуг ІБ00-005696 від 30.09.2025 11:00:00
Цех екстракції (Глобине)</t>
  </si>
  <si>
    <t>Обл. НДС
Решітковий настил KOZ 34*38/30*3/оц/900*1135
Надходження товарів і послуг ІБ00-005696 від 30.09.2025 11:00:00
Цех екстракції (Глобине)</t>
  </si>
  <si>
    <t>Обл. НДС
Решітковий настил KOZ 34*38/30*3/оц/900*536
Надходження товарів і послуг ІБ00-005696 від 30.09.2025 11:00:00
Цех екстракції (Глобине)</t>
  </si>
  <si>
    <t>Обл. НДС
Решітковий настил KOZ 34*38/30*3/оц/900*892
Надходження товарів і послуг ІБ00-005696 від 30.09.2025 11:00:00
Цех екстракції (Глобине)</t>
  </si>
  <si>
    <t>Обл. НДС
Решітковий настил KOZ 34*38/30*3/оц/955*865
Надходження товарів і послуг ІБ00-005696 від 30.09.2025 11:00:00
Цех екстракції (Глобине)</t>
  </si>
  <si>
    <t>Обл. НДС
Решітковий настил KOZ 34*38/40*3/оц/ 1480*1000
Надходження товарів і послуг ІБ00-005696 від 30.09.2025 11:00:00
Цех екстракції (Глобине)</t>
  </si>
  <si>
    <t>Обл. НДС
Решітковий настил KOZ 34*38/40*3/оц/ 1480*1212
Надходження товарів і послуг ІБ00-005696 від 30.09.2025 11:00:00
Цех екстракції (Глобине)</t>
  </si>
  <si>
    <t>Обл. НДС
Решітковий настил KOZ 34*38/40*3/оц/ 1500*1335
Надходження товарів і послуг ІБ00-005710 від 30.09.2025 11:00:00
Цех екстракції (Глобине)</t>
  </si>
  <si>
    <t>Обл. НДС
Решітковий настил KOZ 34*38/40*3/оц/ 1666*420
Надходження товарів і послуг ІБ00-005696 від 30.09.2025 11:00:00
Цех екстракції (Глобине)</t>
  </si>
  <si>
    <t>Обл. НДС
Решітковий настил KOZ 34*38/40*3/оц/ 1666*630
Надходження товарів і послуг ІБ00-005696 від 30.09.2025 11:00:00
Цех екстракції (Глобине)</t>
  </si>
  <si>
    <t>Обл. НДС
Решітковий настил KOZ 34*38/40*3/оц/ 1757*1343
Надходження товарів і послуг ІБ00-005696 від 30.09.2025 11:00:00
Цех екстракції (Глобине)</t>
  </si>
  <si>
    <t>Обл. НДС
Решітковий настил KOZ 34*38/40*3/оц/ 1822*1000
Надходження товарів і послуг ІБ00-005696 від 30.09.2025 11:00:00
Цех екстракції (Глобине)</t>
  </si>
  <si>
    <t>Обл. НДС
Решітковий настил KOZ 34*38/40*3/оц/ 2000*1290
Надходження товарів і послуг ІБ00-005696 від 30.09.2025 11:00:00
Цех екстракції (Глобине)</t>
  </si>
  <si>
    <t>Обл. НДС
Решітковий настил KOZ 34*38/40*3/оц/ 2000*1435
Надходження товарів і послуг ІБ00-005696 від 30.09.2025 11:00:00
Цех екстракції (Глобине)</t>
  </si>
  <si>
    <t>Обл. НДС
Решітковий настил KOZ 34*38/40*3/оц/ 2100*840
Надходження товарів і послуг ІБ00-005696 від 30.09.2025 11:00:00
Цех екстракції (Глобине)</t>
  </si>
  <si>
    <t>Обл. НДС
Решітковий настил KOZ 34*38/40*3/оц/ 741*1003
Надходження товарів і послуг ІБ00-005696 від 30.09.2025 11:00:00
Цех екстракції (Глобине)</t>
  </si>
  <si>
    <t>Обл. НДС
Решітковий настил KOZ 34*38/40*3/оц/ 741*785
Надходження товарів і послуг ІБ00-005696 від 30.09.2025 11:00:00
Цех екстракції (Глобине)</t>
  </si>
  <si>
    <t>Обл. НДС
Решітковий настил KOZ 34*38/40*3/оц/1092*1098
Надходження товарів і послуг ІБ00-005696 від 30.09.2025 11:00:00
Цех екстракції (Глобине)</t>
  </si>
  <si>
    <t>Обл. НДС
Решітковий настил KOZ 34*38/40*3/оц/1478*1480
Надходження товарів і послуг ІБ00-005710 від 30.09.2025 11:00:00
Цех екстракції (Глобине)</t>
  </si>
  <si>
    <t>Обл. НДС
Решітковий настил KOZ 34*38/40*3/оц/1770*1000
Надходження товарів і послуг ІБ00-005696 від 30.09.2025 11:00:00
Цех екстракції (Глобине)</t>
  </si>
  <si>
    <t>Обл. НДС
Решітковий настил KOZ 34*38/40*3/оц/1770*615
Надходження товарів і послуг ІБ00-005696 від 30.09.2025 11:00:00
Цех екстракції (Глобине)</t>
  </si>
  <si>
    <t>Обл. НДС
Решітковий настил KOZ 34*38/40*3/оц/1788*1000
Надходження товарів і послуг ІБ00-005696 від 30.09.2025 11:00:00
Цех екстракції (Глобине)</t>
  </si>
  <si>
    <t>Обл. НДС
Решітковий настил KOZ 34*38/40*3/оц/1800*1135
Надходження товарів і послуг ІБ00-005696 від 30.09.2025 11:00:00
Цех екстракції (Глобине)</t>
  </si>
  <si>
    <t>Обл. НДС
Решітковий настил KOZ 34*38/40*3/оц/2397*1000
Надходження товарів і послуг ІБ00-005696 від 30.09.2025 11:00:00
Цех екстракції (Глобине)</t>
  </si>
  <si>
    <t>Обл. НДС
Решітковий настил KOZ 34*38/40*3/оц/2489*916
Надходження товарів і послуг ІБ00-005696 від 30.09.2025 11:00:00
Цех екстракції (Глобине)</t>
  </si>
  <si>
    <t>Обл. НДС
Решітковий настил KOZ 34*38/40*3/оц/3287*981
Надходження товарів і послуг ІБ00-005696 від 30.09.2025 11:00:00
Цех екстракції (Глобине)</t>
  </si>
  <si>
    <t>Обл. НДС
Решітковий настил KOZ 34*38/40*3/оц/651*1398
Надходження товарів і послуг ІБ00-005696 від 30.09.2025 11:00:00
Цех екстракції (Глобине)</t>
  </si>
  <si>
    <t>Обл. НДС
Решітковий настил KOZ/34x38/30x2 оц. /  1479X1479   
Надходження товарів і послуг ІБ00-005710 від 30.09.2025 11:00:00
Цех екстракції (Глобине)</t>
  </si>
  <si>
    <t>Обл. НДС
Решітковий настил KOZ/34x38/30x3 оц. /  1069X999    
Надходження товарів і послуг ІБ00-005696 від 30.09.2025 11:00:00
Цех екстракції (Глобине)</t>
  </si>
  <si>
    <t>Обл. НДС
Решітковий настил KOZ/34x38/30x3 оц. /  1135X711    
Надходження товарів і послуг ІБ00-005696 від 30.09.2025 11:00:00
Цех екстракції (Глобине)</t>
  </si>
  <si>
    <t>Обл. НДС
Решітковий настил KOZ/34x38/30x3 оц. /  1249X1000       
Надходження товарів і послуг ІБ00-005696 від 30.09.2025 11:00:00
Цех екстракції (Глобине)</t>
  </si>
  <si>
    <t>Обл. НДС
Решітковий настил KOZ/34x38/30x3 оц. /  1442X1000       
Надходження товарів і послуг ІБ00-005696 від 30.09.2025 11:00:00
Цех екстракції (Глобине)</t>
  </si>
  <si>
    <t>Обл. НДС
Решітковий настил KOZ/34x38/30x3 оц. /  1445X1000       
Надходження товарів і послуг ІБ00-005696 від 30.09.2025 11:00:00
Цех екстракції (Глобине)</t>
  </si>
  <si>
    <t>Обл. НДС
Решітковий настил KOZ/34x38/30x3 оц. /  1445X1000       
Надходження товарів і послуг ІБ00-005710 від 30.09.2025 11:00:00
Цех екстракції (Глобине)</t>
  </si>
  <si>
    <t>Обл. НДС
Решітковий настил KOZ/34x38/30x3 оц. /  1459X1191       
Надходження товарів і послуг ІБ00-005710 від 30.09.2025 11:00:00
Цех екстракції (Глобине)</t>
  </si>
  <si>
    <t>Обл. НДС
Решітковий настил KOZ/34x38/30x3 оц. /  1542X1000       
Надходження товарів і послуг ІБ00-005696 від 30.09.2025 11:00:00
Цех екстракції (Глобине)</t>
  </si>
  <si>
    <t>Обл. НДС
Решітковий настил KOZ/34x38/30x3 оц. /  1745X1000       
Надходження товарів і послуг ІБ00-005696 від 30.09.2025 11:00:00
Цех екстракції (Глобине)</t>
  </si>
  <si>
    <t>Обл. НДС
Решітковий настил KOZ/34x38/30x3 оц. /  1785X1000
Надходження товарів і послуг ІБ00-005696 від 30.09.2025 11:00:00
Цех екстракції (Глобине)</t>
  </si>
  <si>
    <t>Обл. НДС
Решітковий настил KOZ/34x38/30x3 оц. /  1785X615
Надходження товарів і послуг ІБ00-005696 від 30.09.2025 11:00:00
Цех екстракції (Глобине)</t>
  </si>
  <si>
    <t>Обл. НДС
Решітковий настил KOZ/34x38/30x3 оц. /  1800X1290       
Надходження товарів і послуг ІБ00-005696 від 30.09.2025 11:00:00
Цех екстракції (Глобине)</t>
  </si>
  <si>
    <t>Обл. НДС
Решітковий настил KOZ/34x38/30x3 оц. /  1855X1000       
Надходження товарів і послуг ІБ00-005696 від 30.09.2025 11:00:00
Цех екстракції (Глобине)</t>
  </si>
  <si>
    <t>Обл. НДС
Решітковий настил KOZ/34x38/30x3 оц. /  1869X1000       
Надходження товарів і послуг ІБ00-005710 від 30.09.2025 11:00:00
Цех екстракції (Глобине)</t>
  </si>
  <si>
    <t>Обл. НДС
Решітковий настил KOZ/34x38/30x3 оц. /  1869X870        
Надходження товарів і послуг ІБ00-005696 від 30.09.2025 11:00:00
Цех екстракції (Глобине)</t>
  </si>
  <si>
    <t>Обл. НДС
Решітковий настил KOZ/34x38/30x3 оц. /  1941X1000
Надходження товарів і послуг ІБ00-005710 від 30.09.2025 11:00:00
Цех екстракції (Глобине)</t>
  </si>
  <si>
    <t>Обл. НДС
Решітковий настил KOZ/34x38/30x3 оц. /  1997X1000       
Надходження товарів і послуг ІБ00-005696 від 30.09.2025 11:00:00
Цех екстракції (Глобине)</t>
  </si>
  <si>
    <t>Обл. НДС
Решітковий настил KOZ/34x38/30x3 оц. /  2045X1000       
Надходження товарів і послуг ІБ00-005696 від 30.09.2025 11:00:00
Цех екстракції (Глобине)</t>
  </si>
  <si>
    <t>Обл. НДС
Решітковий настил KOZ/34x38/30x3 оц. /  2062X1000       
Надходження товарів і послуг ІБ00-005710 від 30.09.2025 11:00:00
Цех екстракції (Глобине)</t>
  </si>
  <si>
    <t>Обл. НДС
Решітковий настил KOZ/34x38/30x3 оц. /  2063X1000       
Надходження товарів і послуг ІБ00-005696 від 30.09.2025 11:00:00
Цех екстракції (Глобине)</t>
  </si>
  <si>
    <t>Обл. НДС
Решітковий настил KOZ/34x38/30x3 оц. /  2063X1245       
Надходження товарів і послуг ІБ00-005696 від 30.09.2025 11:00:00
Цех екстракції (Глобине)</t>
  </si>
  <si>
    <t>Обл. НДС
Решітковий настил KOZ/34x38/30x3 оц. /  2064X1000       
Надходження товарів і послуг ІБ00-005696 від 30.09.2025 11:00:00
Цех екстракції (Глобине)</t>
  </si>
  <si>
    <t>Обл. НДС
Решітковий настил KOZ/34x38/30x3 оц. /  2069X1000   
Надходження товарів і послуг ІБ00-005696 від 30.09.2025 11:00:00
Цех екстракції (Глобине)</t>
  </si>
  <si>
    <t>Обл. НДС
Решітковий настил KOZ/34x38/30x3 оц. /  2069X1365       
Надходження товарів і послуг ІБ00-005710 від 30.09.2025 11:00:00
Цех екстракції (Глобине)</t>
  </si>
  <si>
    <t>Обл. НДС
Решітковий настил KOZ/34x38/30x3 оц. /  2116X1572       
Надходження товарів і послуг ІБ00-005696 від 30.09.2025 11:00:00
Цех екстракції (Глобине)</t>
  </si>
  <si>
    <t>Обл. НДС
Решітковий настил KOZ/34x38/30x3 оц. /  2194X1000       
Надходження товарів і послуг ІБ00-005710 від 30.09.2025 11:00:00
Цех екстракції (Глобине)</t>
  </si>
  <si>
    <t>Обл. НДС
Решітковий настил KOZ/34x38/30x3 оц. /  2194X1108       
Надходження товарів і послуг ІБ00-005710 від 30.09.2025 11:00:00
Цех екстракції (Глобине)</t>
  </si>
  <si>
    <t>Обл. НДС
Решітковий настил KOZ/34x38/30x3 оц. /  2199X1000       
Надходження товарів і послуг ІБ00-005710 від 30.09.2025 11:00:00
Цех екстракції (Глобине)</t>
  </si>
  <si>
    <t>Обл. НДС
Решітковий настил KOZ/34x38/30x3 оц. /  2199X1090       
Надходження товарів і послуг ІБ00-005710 від 30.09.2025 11:00:00
Цех екстракції (Глобине)</t>
  </si>
  <si>
    <t>Обл. НДС
Решітковий настил KOZ/34x38/30x3 оц. /  2199X700
Надходження товарів і послуг ІБ00-005710 від 30.09.2025 11:00:00
Цех екстракції (Глобине)</t>
  </si>
  <si>
    <t>Обл. НДС
Решітковий настил KOZ/34x38/30x3 оц. /  2199X940    
Надходження товарів і послуг ІБ00-005710 від 30.09.2025 11:00:00
Цех екстракції (Глобине)</t>
  </si>
  <si>
    <t>Обл. НДС
Решітковий настил KOZ/34x38/30x3 оц. /  2309X1000       
Надходження товарів і послуг ІБ00-005696 від 30.09.2025 11:00:00
Цех екстракції (Глобине)</t>
  </si>
  <si>
    <t>Обл. НДС
Решітковий настил KOZ/34x38/30x3 оц. /  2392X1000       
Надходження товарів і послуг ІБ00-005710 від 30.09.2025 11:00:00
Цех екстракції (Глобине)</t>
  </si>
  <si>
    <t>Обл. НДС
Решітковий настил KOZ/34x38/30x3 оц. /  2392X1385       
Надходження товарів і послуг ІБ00-005710 від 30.09.2025 11:00:00
Цех екстракції (Глобине)</t>
  </si>
  <si>
    <t>Обл. НДС
Решітковий настил KOZ/34x38/30x3 оц. /  2393X1000   
Надходження товарів і послуг ІБ00-005710 від 30.09.2025 11:00:00
Цех екстракції (Глобине)</t>
  </si>
  <si>
    <t>Обл. НДС
Решітковий настил KOZ/34x38/30x3 оц. /  2601X1000       
Надходження товарів і послуг ІБ00-005696 від 30.09.2025 11:00:00
Цех екстракції (Глобине)</t>
  </si>
  <si>
    <t>Обл. НДС
Решітковий настил KOZ/34x38/30x3 оц. /  2602X778
Надходження товарів і послуг ІБ00-005696 від 30.09.2025 11:00:00
Цех екстракції (Глобине)</t>
  </si>
  <si>
    <t>Обл. НДС
Решітковий настил KOZ/34x38/30x3 оц. /  2605X1000       
Надходження товарів і послуг ІБ00-005710 від 30.09.2025 11:00:00
Цех екстракції (Глобине)</t>
  </si>
  <si>
    <t>Обл. НДС
Решітковий настил KOZ/34x38/30x3 оц. /  2648X1000       
Надходження товарів і послуг ІБ00-005696 від 30.09.2025 11:00:00
Цех екстракції (Глобине)</t>
  </si>
  <si>
    <t>Обл. НДС
Решітковий настил KOZ/34x38/30x3 оц. /  2649X1000       
Надходження товарів і послуг ІБ00-005696 від 30.09.2025 11:00:00
Цех екстракції (Глобине)</t>
  </si>
  <si>
    <t>Обл. НДС
Решітковий настил KOZ/34x38/30x3 оц. /  2658X1000       
Надходження товарів і послуг ІБ00-005710 від 30.09.2025 11:00:00
Цех екстракції (Глобине)</t>
  </si>
  <si>
    <t>Обл. НДС
Решітковий настил KOZ/34x38/30x3 оц. / 2077*1008
Надходження товарів і послуг ІБ00-005710 від 30.09.2025 11:00:00
Цех екстракції (Глобине)</t>
  </si>
  <si>
    <t>Обл. НДС
Решітковий настил KOZ/34x38/30x3 оц. /1137*1000
Надходження товарів і послуг ІБ00-005696 від 30.09.2025 11:00:00
Цех екстракції (Глобине)</t>
  </si>
  <si>
    <t>Обл. НДС
Решітковий настил KOZ/34x38/30x3 оц. /1500*1249
Надходження товарів і послуг ІБ00-005696 від 30.09.2025 11:00:00
Цех екстракції (Глобине)</t>
  </si>
  <si>
    <t>Обл. НДС
Решітковий настил KOZ/34x38/30x3 оц. /1724*1430
Надходження товарів і послуг ІБ00-005696 від 30.09.2025 11:00:00
Цех екстракції (Глобине)</t>
  </si>
  <si>
    <t>Обл. НДС
Решітковий настил KOZ/34x38/30x3 оц. /1845*1221
Надходження товарів і послуг ІБ00-005696 від 30.09.2025 11:00:00
Цех екстракції (Глобине)</t>
  </si>
  <si>
    <t>Обл. НДС
Решітковий настил KOZ/34x38/30x3 оц. /1872X1000     
Надходження товарів і послуг ІБ00-005696 від 30.09.2025 11:00:00
Цех екстракції (Глобине)</t>
  </si>
  <si>
    <t>Обл. НДС
Решітковий настил KOZ/34x38/30x3 оц. /1892*430
Надходження товарів і послуг ІБ00-005696 від 30.09.2025 11:00:00
Цех екстракції (Глобине)</t>
  </si>
  <si>
    <t>Обл. НДС
Решітковий настил KOZ/34x38/30x3 оц. /1892*570
Надходження товарів і послуг ІБ00-005696 від 30.09.2025 11:00:00
Цех екстракції (Глобине)</t>
  </si>
  <si>
    <t>Обл. НДС
Решітковий настил KOZ/34x38/30x3 оц. /2000*1158
Надходження товарів і послуг ІБ00-005696 від 30.09.2025 11:00:00
Цех екстракції (Глобине)</t>
  </si>
  <si>
    <t>Обл. НДС
Решітковий настил KOZ/34x38/30x3 оц. /2040X1000     
Надходження товарів і послуг ІБ00-005696 від 30.09.2025 11:00:00
Цех екстракції (Глобине)</t>
  </si>
  <si>
    <t>Обл. НДС
Решітковий настил KOZ/34x38/30x3 оц. /2103*714
Надходження товарів і послуг ІБ00-005696 від 30.09.2025 11:00:00
Цех екстракції (Глобине)</t>
  </si>
  <si>
    <t>Обл. НДС
Решітковий настил SP/34*38/30*3/оц/1863*1000
Надходження товарів і послуг ІБ00-005710 від 30.09.2025 11:00:00
Цех екстракції (Глобине)</t>
  </si>
  <si>
    <t>Обл. НДС
Решітковий настил SP/34*38/30*3/оц/1863*850
Надходження товарів і послуг ІБ00-005710 від 30.09.2025 11:00:00
Цех екстракції (Глобине)</t>
  </si>
  <si>
    <t>Обл. НДС
Кріплення стандартні
Надходження товарів і послуг ІБ00-005696 від 30.09.2025 11:00:00
Цех екстракції (Глобине)</t>
  </si>
  <si>
    <t>Обл. НДС
Кріплення гакове до швелера 24
Надходження товарів і послуг ІБ00-005696 від 30.09.2025 11:00:00
Цех екстракції (Глобине)</t>
  </si>
  <si>
    <t>Списання товарів ІБ00-000585 від 16.10.2025 11:19:52
Списаны ТМЦ</t>
  </si>
  <si>
    <t>Вимога-накладна ІБ00-000952 від 16.10.2025 14:16:37
Списаны ТМЦ</t>
  </si>
  <si>
    <t>Обл. НДС
Щебенево-піщана суміш фр 0-70 мм
Надходження товарів і послуг ІБ00-003779 від 07.07.2025 11:00:00
Резервуар для зберігання розчинника(Глобине)</t>
  </si>
  <si>
    <t>Обл. НДС
Щебенево-піщана суміш фр 0-70 мм
Надходження товарів і послуг ІБ00-003786 від 07.07.2025 11:00:00
Резервуар для зберігання розчинника(Глобине)</t>
  </si>
  <si>
    <t>Обл. НДС
Щебенево-піщана суміш фр 0-70 мм
Надходження товарів і послуг ІБ00-003783 від 08.07.2025 11:00:00
Резервуар для зберігання розчинника(Глобине)</t>
  </si>
  <si>
    <t>Вимога-накладна ІБ00-000953 від 16.10.2025 14:26:25
Списаны ТМЦ</t>
  </si>
  <si>
    <t>Обл. НДС
Бетон С 20/25  F75 W6 Р4
Переміщення товарів ІБ00-001000 від 27.09.2025 11:20:00
СПК (Глобине)</t>
  </si>
  <si>
    <t>Обл. НДС
Кутик 50х50х5мм ст, S275JR. 6 м
Надходження товарів і послуг ІБ00-002989 від 13.06.2025 11:00:00
СПК (Глобине)</t>
  </si>
  <si>
    <t>Списання товарів ІБ00-000587 від 16.10.2025 14:27:22
Списаны ТМЦ</t>
  </si>
  <si>
    <t>Обл. НДС
Брус 50*50*4, шт
Надходження товарів і послуг ІБ00-003360 від 06.06.2025 11:00:00
СПК (Глобине)</t>
  </si>
  <si>
    <t>Вимога-накладна ІБ00-000954 від 16.10.2025 14:35:48
Списаны ТМЦ</t>
  </si>
  <si>
    <t>Обл. НДС
Швелер 24П ст.3сп/пс 5, 12 м
Надходження товарів і послуг ІБ00-005064 від 29.08.2025 11:00:00
АПК (Глобине)</t>
  </si>
  <si>
    <t>Надходження товарів і послуг ІБ00-005977 від 17.10.2025 11:00:00
Оприходованы ТМЦ</t>
  </si>
  <si>
    <t>Обл. НДС
Бетон С20/25 W6 F75 P5 (щеб 5*10)
Надходження товарів і послуг ІБ00-005977 від 17.10.2025 11:00:00
Глобине-2</t>
  </si>
  <si>
    <t>Кременчуцький річковий порт ПРАТ
Договір 112/Б від 15.10.2024_Глобине-2
Надходження товарів і послуг ІБ00-005977 від 17.10.2025 11:00:00</t>
  </si>
  <si>
    <t>Надходження товарів і послуг ІБ00-006595 від 17.10.2025 11:00:00
Оприходованы ТМЦ (Зачет аванса поставщику)</t>
  </si>
  <si>
    <t>Обл. НДС
Комплект воріт розгорнутих на отвір prof-vrs 3000*3000 мет вбуд хвіртка
Надходження товарів і послуг ІБ00-006595 від 17.10.2025 11:00:00
Насосна Градирня (Глобине)</t>
  </si>
  <si>
    <t>ВОРОТА ЦЕНТР ТОВ
Договір № ВЦ-00182 від 03.04.2025_Глобине-2
Рахунок на оплату постачальника ІБ00-002633 від 19.06.2025 18:00:42</t>
  </si>
  <si>
    <t>Надходження дод. витрат ІБ00-000596 від 17.10.2025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</si>
  <si>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ІБ00-000596 від 17.10.2025 11:10:00</t>
  </si>
  <si>
    <t>Переміщення товарів ІБ00-001138 від 17.10.2025 11:20:00
Перемещение ТМЦ</t>
  </si>
  <si>
    <t>Обл. НДС
Бетон С20/25 W6 F75 P5 (щеб 5*10)
Переміщення товарів ІБ00-001138 від 17.10.2025 11:20:00
Цех екстракції (Глобине)</t>
  </si>
  <si>
    <t>Переміщення товарів ІБ00-001139 від 17.10.2025 11:20:00
Перемещение ТМЦ</t>
  </si>
  <si>
    <t>Обл. НДС
Бетон С20/25 W6 F75 P5 (щеб 5*10)
Переміщення товарів ІБ00-001139 від 17.10.2025 11:20:00
Очисні споруди (Глобине)</t>
  </si>
  <si>
    <t>Переміщення товарів ІБ00-001081 від 17.10.2025 19:11:39
Перемещение ТМЦ</t>
  </si>
  <si>
    <t>Обл. НДС
Клапан запобіжний відкритий ART494AP DN65/65 PN16 фланцевий корпус чавун
Переміщення товарів ІБ00-001081 від 17.10.2025 19:11:39
Глобине-2</t>
  </si>
  <si>
    <t>Обл. НДС
Кран кульовий фланцевий Genebre 2525 14 DN150 PN16 повнопрохідний  корпус-чугун, в комплекті з пнев
Переміщення товарів ІБ00-001081 від 17.10.2025 19:11:39
Глобине-2</t>
  </si>
  <si>
    <t>Обл. НДС
Кран кульовий 2525 14 фланцевий ДУ (150),  корпус-чугун, шар-н/ж сталь
Переміщення товарів ІБ00-001081 від 17.10.2025 19:11:39
Глобине-2</t>
  </si>
  <si>
    <t>Надходження товарів і послуг ІБ00-005981 від 18.10.2025 11:00:00
Оприходованы ТМЦ</t>
  </si>
  <si>
    <t>Обл. НДС
Бетон С20/25 W6 F75 P5 (щеб 5*10)
Надходження товарів і послуг ІБ00-005981 від 18.10.2025 11:00:00
Очисні споруди (Глобине)</t>
  </si>
  <si>
    <t>Кременчуцький річковий порт ПРАТ
Договір 112/Б від 15.10.2024_Глобине-2
Надходження товарів і послуг ІБ00-005981 від 18.10.2025 11:00:00</t>
  </si>
  <si>
    <t>Надходження товарів і послуг ІБ00-005982 від 18.10.2025 11:00:00
Оприходованы ТМЦ</t>
  </si>
  <si>
    <t>Обл. НДС
Бетон С20/25 W6 F75 P5 (щеб 5*10)
Надходження товарів і послуг ІБ00-005982 від 18.10.2025 11:00:00
АПК (Глобине)</t>
  </si>
  <si>
    <t>Кременчуцький річковий порт ПРАТ
Договір 112/Б від 15.10.2024_Глобине-2
Надходження товарів і послуг ІБ00-005982 від 18.10.2025 11:00:00</t>
  </si>
  <si>
    <t>Надходження дод. витрат ІБ00-000597 від 18.10.2025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</si>
  <si>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ІБ00-000597 від 18.10.2025 11:10:00</t>
  </si>
  <si>
    <t>Надходження дод. витрат ІБ00-000598 від 18.10.2025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</si>
  <si>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ІБ00-000598 від 18.10.2025 11:10:00</t>
  </si>
  <si>
    <t>Реалізація товарів і послуг ІБ00-000063 від 20.10.2025 00:00:00
Списаны ТМЦ</t>
  </si>
  <si>
    <t>Надходження товарів і послуг ІБ00-005978 від 20.10.2025 11:00:00
Оприходованы ТМЦ</t>
  </si>
  <si>
    <t>Обл. НДС
Бетон С20/25 W6 F75 P5 (щеб 5*10)
Надходження товарів і послуг ІБ00-005978 від 20.10.2025 11:00:00
Очисні споруди (Глобине)</t>
  </si>
  <si>
    <t>Кременчуцький річковий порт ПРАТ
Договір 112/Б від 15.10.2024_Глобине-2
Надходження товарів і послуг ІБ00-005978 від 20.10.2025 11:00:00</t>
  </si>
  <si>
    <t>Надходження товарів і послуг ІБ00-006149 від 20.10.2025 11:00:00
Оприходованы ТМЦ (Зачет аванса поставщику)</t>
  </si>
  <si>
    <t>Обл. НДС
Фланец ст плоский ДУ600/630 Ру10
Надходження товарів і послуг ІБ00-006149 від 20.10.2025 11:00:00
Насосна Градирня (Глобине)</t>
  </si>
  <si>
    <t>АРМАШОП.УА
№ 14/11-1 від 14.10.2022_Рахунки_Глобине-2
Рахунок на оплату постачальника ІБ00-004949 від 10.10.2025 18:22:51</t>
  </si>
  <si>
    <t>Надходження товарів і послуг ІБ00-006166 від 20.10.2025 11:00:00
Оприходованы ТМЦ (Зачет аванса поставщику)</t>
  </si>
  <si>
    <t>Обл. НДС
Стрічка ущільнювальна ТПК УП-1 ППЕ НХ (5*50 мм 20 м)
Надходження товарів і послуг ІБ00-006166 від 20.10.2025 11:00:00
Цех екстракції (Глобине)</t>
  </si>
  <si>
    <t>ТПК-ЦЕНТР ТОВ
Договір 13/20/П/011від 21.07.2020_Глобино-2
Рахунок на оплату постачальника ІБ00-004028 від 27.08.2025 18:27:16</t>
  </si>
  <si>
    <t>Обл. НДС
Клей-герметик д/сендвіч- панелей Soudaflex 40 FC (12 шт/уп) (600мл(шт.) сірий)
Надходження товарів і послуг ІБ00-006166 від 20.10.2025 11:00:00
Цех екстракції (Глобине)</t>
  </si>
  <si>
    <t>Обл. НДС
Самонаріз в метал до сендвіч-панелей 5,5*6,3/150 9006 срібло
Надходження товарів і послуг ІБ00-006166 від 20.10.2025 11:00:00
Цех екстракції (Глобине)</t>
  </si>
  <si>
    <t>Обл. НДС
Самонаріз в метал до сендвіч-панелей 5,5*6,3/150 5005 синій
Надходження товарів і послуг ІБ00-006166 від 20.10.2025 11:00:00
Цех екстракції (Глобине)</t>
  </si>
  <si>
    <t>Обл. НДС
Сендвіч-панель ТПК стінова 100мм МВ 1180мм відкр замок С0,5PS/C 0.5 PS 8,29м трап 5005/трап 9003
Надходження товарів і послуг ІБ00-006166 від 20.10.2025 11:00:00
Цех екстракції (Глобине)</t>
  </si>
  <si>
    <t>Обл. НДС
Сендвіч-панель ТПК стінова 100мм МВ 1180мм відкр замок С0,5PS/C 0.5 PS 7,29м трап 5005/трап 9003
Надходження товарів і послуг ІБ00-006166 від 20.10.2025 11:00:00
Цех екстракції (Глобине)</t>
  </si>
  <si>
    <t>Обл. НДС
Сендвіч-панель ТПК стінова 100мм МВ 1180мм відкр замок С0,5PS/C 0.5 PS 6,98м трап 5005/трап 9003
Надходження товарів і послуг ІБ00-006166 від 20.10.2025 11:00:00
Цех екстракції (Глобине)</t>
  </si>
  <si>
    <t>Обл. НДС
Сендвіч-панель ТПК стінова 100мм МВ 1180мм відкр замок С0,5PS/C 0.5 PS 8,29м трап 9006/трап 9003
Надходження товарів і послуг ІБ00-006166 від 20.10.2025 11:00:00
Цех екстракції (Глобине)</t>
  </si>
  <si>
    <t>Обл. НДС
Сендвіч-панель ТПК стінова 100мм МВ 1180мм відкр замок С0,5PS/C 0.5 PS 7,48м трап 9006/трап 9003
Надходження товарів і послуг ІБ00-006166 від 20.10.2025 11:00:00
Цех екстракції (Глобине)</t>
  </si>
  <si>
    <t>Обл. НДС
Сендвіч-панель ТПК стінова 100мм МВ 1180мм відкр замок С0,5PS/C 0.5 PS 7,29м трап 9006/трап 9003
Надходження товарів і послуг ІБ00-006166 від 20.10.2025 11:00:00
Цех екстракції (Глобине)</t>
  </si>
  <si>
    <t>Надходження товарів і послуг ІБ00-006166 від 20.10.2025 11:00:00
Оприходованы ТМЦ</t>
  </si>
  <si>
    <t>Обл. НДС
Сендвіч-панель ТПК стінова 100мм МВ 1180мм відкр замок С0,5PS/C 0.5 PS 6,98м трап 9006/трап 9003
Надходження товарів і послуг ІБ00-006166 від 20.10.2025 11:00:00
Цех екстракції (Глобине)</t>
  </si>
  <si>
    <t>Надходження дод. витрат ІБ00-000599 від 20.10.2025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</si>
  <si>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ІБ00-000599 від 20.10.2025 11:10:00</t>
  </si>
  <si>
    <t>Надходження товарів і послуг ІБ00-006099 від 21.10.2025 11:00:00
Оприходованы ТМЦ</t>
  </si>
  <si>
    <t>Обл. НДС
Бетон С20/25 W6 F75 P5 (щеб 5*10)
Надходження товарів і послуг ІБ00-006099 від 21.10.2025 11:00:00
Очисні споруди (Глобине)</t>
  </si>
  <si>
    <t>Кременчуцький річковий порт ПРАТ
Договір 112/Б від 15.10.2024_Глобине-2
Надходження товарів і послуг ІБ00-006099 від 21.10.2025 11:00:00</t>
  </si>
  <si>
    <t>Надходження товарів і послуг ІБ00-006173 від 21.10.2025 11:00:00
Оприходованы ТМЦ</t>
  </si>
  <si>
    <t>Обл. НДС
Гайка М36 DIN 934  
Надходження товарів і послуг ІБ00-006173 від 21.10.2025 11:00:00
Насосна Градирня (Глобине)</t>
  </si>
  <si>
    <t>ЄВРОБОЛТ УКРАЇНА ТОВ
Рахунки_Глобине-2
Рахунок на оплату постачальника ІБ00-005165 від 20.10.2025 18:23:08</t>
  </si>
  <si>
    <t>Надходження товарів і послуг ІБ00-006179 від 21.10.2025 11:00:00
Оприходованы ТМЦ (Зачет аванса поставщику)</t>
  </si>
  <si>
    <t>Обл. НДС
Решітковий настил KOZ 34*38/30*3/оц/2195*1000
Надходження товарів і послуг ІБ00-006179 від 21.10.2025 11:00:00
Цех екстракції (Глобине)</t>
  </si>
  <si>
    <t>Червоноградський завод металоконструкцій
Договір поставки № 44 від 11.06.2020 р._Глобино-2
Рахунок на оплату постачальника ІБ00-004271 від 06.08.2025 18:31:59</t>
  </si>
  <si>
    <t>Обл. НДС
Решітковий настил KOZ 34*38/30*3/оц/2195*650
Надходження товарів і послуг ІБ00-006179 від 21.10.2025 11:00:00
Цех екстракції (Глобине)</t>
  </si>
  <si>
    <t>Обл. НДС
Решітковий настил KOZ 34*38/30*3/оц/2300*1000
Надходження товарів і послуг ІБ00-006179 від 21.10.2025 11:00:00
Цех екстракції (Глобине)</t>
  </si>
  <si>
    <t>Обл. НДС
Решітковий настил KOZ 34*38/30*3/оц/2300*650
Надходження товарів і послуг ІБ00-006179 від 21.10.2025 11:00:00
Цех екстракції (Глобине)</t>
  </si>
  <si>
    <t>Надходження товарів і послуг ІБ00-006179 від 21.10.2025 11:00:00
Оприходованы ТМЦ</t>
  </si>
  <si>
    <t>Обл. НДС
Решітковий настил KOZ 34*38/30*3/оц/2200*1000
Надходження товарів і послуг ІБ00-006179 від 21.10.2025 11:00:00
Цех екстракції (Глобине)</t>
  </si>
  <si>
    <t>Обл. НДС
Решітковий настил KOZ 34*38/30*3/оц/2200*650
Надходження товарів і послуг ІБ00-006179 від 21.10.2025 11:00:00
Цех екстракції (Глобине)</t>
  </si>
  <si>
    <t>Обл. НДС
Решітковий настил KOZ 34*38/30*3/оц/957*1000
Надходження товарів і послуг ІБ00-006179 від 21.10.2025 11:00:00
Цех екстракції (Глобине)</t>
  </si>
  <si>
    <t>Обл. НДС
Решітковий настил KOZ 34*38/30*3/оц/957*650
Надходження товарів і послуг ІБ00-006179 від 21.10.2025 11:00:00
Цех екстракції (Глобине)</t>
  </si>
  <si>
    <t>Обл. НДС
Решітковий настил KOZ/34x38/30x3 оц. /  1200X1200   
Надходження товарів і послуг ІБ00-006179 від 21.10.2025 11:00:00
Цех екстракції (Глобине)</t>
  </si>
  <si>
    <t>Обл. НДС
Решітковий настил KOZ/34x38/30x3 оц. /  2505X1000       
Надходження товарів і послуг ІБ00-006179 від 21.10.2025 11:00:00
Цех екстракції (Глобине)</t>
  </si>
  <si>
    <t>Обл. НДС
Решітковий настил KOZ/34x38/30x3 оц. /  2550X1000       
Надходження товарів і послуг ІБ00-006179 від 21.10.2025 11:00:00
Цех екстракції (Глобине)</t>
  </si>
  <si>
    <t>Обл. НДС
Решітковий настил KOZ/34x38/30x3 оц. /  2505X1050       
Надходження товарів і послуг ІБ00-006179 від 21.10.2025 11:00:00
Цех екстракції (Глобине)</t>
  </si>
  <si>
    <t>Обл. НДС
Решітковий настил KOZ 34*38/30*3/оц/1500*1100
Надходження товарів і послуг ІБ00-006179 від 21.10.2025 11:00:00
Цех екстракції (Глобине)</t>
  </si>
  <si>
    <t>Обл. НДС
Решітковий настил KOZ/34x38/30x3 оц. /1500*500
Надходження товарів і послуг ІБ00-006179 від 21.10.2025 11:00:00
Цех екстракції (Глобине)</t>
  </si>
  <si>
    <t>Обл. НДС
Решітковий настил KOZ/34x38/30x3 оц. /2490*1000
Надходження товарів і послуг ІБ00-006179 від 21.10.2025 11:00:00
Цех екстракції (Глобине)</t>
  </si>
  <si>
    <t>Обл. НДС
Решітковий настил KOZ/34x38/30x3 оц. /2490*1050
Надходження товарів і послуг ІБ00-006179 від 21.10.2025 11:00:00
Цех екстракції (Глобине)</t>
  </si>
  <si>
    <t>Обл. НДС
Решітковий настил KOZ/34x38/30x3 оц. /  1195X1000       
Надходження товарів і послуг ІБ00-006179 від 21.10.2025 11:00:00
Цех екстракції (Глобине)</t>
  </si>
  <si>
    <t>Обл. НДС
Решітковий настил KOZ/34x38/30x3 оц. /  1195X600        
Надходження товарів і послуг ІБ00-006179 від 21.10.2025 11:00:00
Цех екстракції (Глобине)</t>
  </si>
  <si>
    <t>Обл. НДС
Решітковий настил KOZ 34*38/30*3/оц/2205*1000
Надходження товарів і послуг ІБ00-006179 від 21.10.2025 11:00:00
Цех екстракції (Глобине)</t>
  </si>
  <si>
    <t>Обл. НДС
Решітковий настил KOZ 34*38/30*3/оц/2205*600
Надходження товарів і послуг ІБ00-006179 від 21.10.2025 11:00:00
Цех екстракції (Глобине)</t>
  </si>
  <si>
    <t>Обл. НДС
Решітковий настил KOZ/34x38/30x3 оц. /  1605X1000       
Надходження товарів і послуг ІБ00-006179 від 21.10.2025 11:00:00
Цех екстракції (Глобине)</t>
  </si>
  <si>
    <t>Обл. НДС
Решітковий настил KOZ 34*38/30*3/оц/1650*1000
Надходження товарів і послуг ІБ00-006179 від 21.10.2025 11:00:00
Цех екстракції (Глобине)</t>
  </si>
  <si>
    <t>Обл. НДС
Решітковий настил KOZ/34x38/30x3 оц. /  1605X600        
Надходження товарів і послуг ІБ00-006179 від 21.10.2025 11:00:00
Цех екстракції (Глобине)</t>
  </si>
  <si>
    <t>Обл. НДС
Решітковий настил KOZ/34x38/30x3 оц. /  2440X1000
Надходження товарів і послуг ІБ00-006179 від 21.10.2025 11:00:00
Цех екстракції (Глобине)</t>
  </si>
  <si>
    <t>Обл. НДС
Решітковий настил KOZ/34x38/30x3 оц. /  2440X1050
Надходження товарів і послуг ІБ00-006179 від 21.10.2025 11:00:00
Цех екстракції (Глобине)</t>
  </si>
  <si>
    <t>Обл. НДС
Решітковий настил KOZ/34x38/30x3 оц. /  2440X600
Надходження товарів і послуг ІБ00-006179 від 21.10.2025 11:00:00
Цех екстракції (Глобине)</t>
  </si>
  <si>
    <t>Обл. НДС
Решітковий настил KOZ 34*38/30*3/оц/2000*1000
Надходження товарів і послуг ІБ00-006179 від 21.10.2025 11:00:00
Цех екстракції (Глобине)</t>
  </si>
  <si>
    <t>Обл. НДС
Решітковий настил KOZ 34*38/30*3/оц/2000*600
Надходження товарів і послуг ІБ00-006179 від 21.10.2025 11:00:00
Цех екстракції (Глобине)</t>
  </si>
  <si>
    <t>Обл. НДС
Решітковий настил KOZ 34*38/30*3/оц/955*1000
Надходження товарів і послуг ІБ00-006179 від 21.10.2025 11:00:00
Цех екстракції (Глобине)</t>
  </si>
  <si>
    <t>Обл. НДС
Решітковий настил KOZ 34*38/30*3/оц/955*600
Надходження товарів і послуг ІБ00-006179 від 21.10.2025 11:00:00
Цех екстракції (Глобине)</t>
  </si>
  <si>
    <t>Обл. НДС
Решітковий настил KOZ 34*38/30*3/оц/1845*861
Надходження товарів і послуг ІБ00-006179 від 21.10.2025 11:00:00
Цех екстракції (Глобине)</t>
  </si>
  <si>
    <t>Обл. НДС
Решітковий настил KOZ 34*38/30*3/оц/1845*1000
Надходження товарів і послуг ІБ00-006179 від 21.10.2025 11:00:00
Цех екстракції (Глобине)</t>
  </si>
  <si>
    <t>Обл. НДС
Решітковий настил KOZ 34*38/30*3/оц/1845*604
Надходження товарів і послуг ІБ00-006179 від 21.10.2025 11:00:00
Цех екстракції (Глобине)</t>
  </si>
  <si>
    <t>Обл. НДС
Решітковий настил KOZ/34x38/30x3 оц. /  2100X861        
Надходження товарів і послуг ІБ00-006179 від 21.10.2025 11:00:00
Цех екстракції (Глобине)</t>
  </si>
  <si>
    <t>Обл. НДС
Решітковий настил KOZ 34*38/30*3/оц/2100*1000
Надходження товарів і послуг ІБ00-006179 від 21.10.2025 11:00:00
Цех екстракції (Глобине)</t>
  </si>
  <si>
    <t>Обл. НДС
Решітковий настил KOZ 34*38/30*3/оц/2100*604
Надходження товарів і послуг ІБ00-006179 від 21.10.2025 11:00:00
Цех екстракції (Глобине)</t>
  </si>
  <si>
    <t>Обл. НДС
Решітковий настил KOZ 34*38/30*3/оц/2145*1046
Надходження товарів і послуг ІБ00-006179 від 21.10.2025 11:00:00
Цех екстракції (Глобине)</t>
  </si>
  <si>
    <t>Обл. НДС
Решітковий настил KOZ 34*38/30*3/оц/2145*1000
Надходження товарів і послуг ІБ00-006179 від 21.10.2025 11:00:00
Цех екстракції (Глобине)</t>
  </si>
  <si>
    <t>Обл. НДС
Решітковий настил KOZ 34*38/30*3/оц/1050*861
Надходження товарів і послуг ІБ00-006179 від 21.10.2025 11:00:00
Цех екстракції (Глобине)</t>
  </si>
  <si>
    <t>Обл. НДС
Решітковий настил KOZ 34*38/30*3/оц/1050*1000
Надходження товарів і послуг ІБ00-006179 від 21.10.2025 11:00:00
Цех екстракції (Глобине)</t>
  </si>
  <si>
    <t>Обл. НДС
Решітковий настил KOZ 34*38/30*3/оц/955*604
Надходження товарів і послуг ІБ00-006179 від 21.10.2025 11:00:00
Цех екстракції (Глобине)</t>
  </si>
  <si>
    <t>Обл. НДС
Решітковий настил KOZ 34*38/30*3/оц/1500*1500
Надходження товарів і послуг ІБ00-006179 від 21.10.2025 11:00:00
Цех екстракції (Глобине)</t>
  </si>
  <si>
    <t>Обл. НДС
Решітковий настил KOZ/34x38/30x3 оц. /1181*1135
Надходження товарів і послуг ІБ00-006179 від 21.10.2025 11:00:00
Цех екстракції (Глобине)</t>
  </si>
  <si>
    <t>Обл. НДС
Решітковий настил KOZ/34x38/30x3 оц. /1181*1000
Надходження товарів і послуг ІБ00-006179 від 21.10.2025 11:00:00
Цех екстракції (Глобине)</t>
  </si>
  <si>
    <t>Обл. НДС
Решітковий настил KOZ/34x38/30x3 оц. /932*1000
Надходження товарів і послуг ІБ00-006179 від 21.10.2025 11:00:00
Цех екстракції (Глобине)</t>
  </si>
  <si>
    <t>Обл. НДС
Решітковий настил KOZ/34x38/30x3 оц. /763*1000
Надходження товарів і послуг ІБ00-006179 від 21.10.2025 11:00:00
Цех екстракції (Глобине)</t>
  </si>
  <si>
    <t>Обл. НДС
Решітковий настил KOZ/34x38/30x3 оц. /  1005X1000       
Надходження товарів і послуг ІБ00-006179 від 21.10.2025 11:00:00
Цех екстракції (Глобине)</t>
  </si>
  <si>
    <t>Обл. НДС
Решітковий настил KOZ/34x38/30x3 оц. /1823X1000     
Надходження товарів і послуг ІБ00-006179 від 21.10.2025 11:00:00
Цех екстракції (Глобине)</t>
  </si>
  <si>
    <t>Обл. НДС
Решітковий настил KOZ/34x38/30x3 оц. /2158X1000     
Надходження товарів і послуг ІБ00-006179 від 21.10.2025 11:00:00
Цех екстракції (Глобине)</t>
  </si>
  <si>
    <t>Обл. НДС
Решітковий настил KOZ/34x38/30x3 оц. /932*689
Надходження товарів і послуг ІБ00-006179 від 21.10.2025 11:00:00
Цех екстракції (Глобине)</t>
  </si>
  <si>
    <t>Обл. НДС
Решітковий настил KOZ 34*38/30*3/оц/1767*689
Надходження товарів і послуг ІБ00-006179 від 21.10.2025 11:00:00
Цех екстракції (Глобине)</t>
  </si>
  <si>
    <t>Обл. НДС
Решітковий настил KOZ 34*38/30*3/оц/ 2050*689
Надходження товарів і послуг ІБ00-006179 від 21.10.2025 11:00:00
Цех екстракції (Глобине)</t>
  </si>
  <si>
    <t>Обл. НДС
Решітковий настил KOZ 34*38/30*3/оц/ 2385*689
Надходження товарів і послуг ІБ00-006179 від 21.10.2025 11:00:00
Цех екстракції (Глобине)</t>
  </si>
  <si>
    <t>Обл. НДС
Решітковий настил KOZ 34*38/30*3/оц/1511*1135
Надходження товарів і послуг ІБ00-006179 від 21.10.2025 11:00:00
Цех екстракції (Глобине)</t>
  </si>
  <si>
    <t>Обл. НДС
Решітковий настил KOZ 34*38/30*3/оц/1511*1000
Надходження товарів і послуг ІБ00-006179 від 21.10.2025 11:00:00
Цех екстракції (Глобине)</t>
  </si>
  <si>
    <t>Обл. НДС
Решітковий настил KOZ 34*38/30*3/оц/1130*1135
Надходження товарів і послуг ІБ00-006179 від 21.10.2025 11:00:00
Цех екстракції (Глобине)</t>
  </si>
  <si>
    <t>Обл. НДС
Решітковий настил KOZ 34*38/30*3/оц/1130*1000
Надходження товарів і послуг ІБ00-006179 від 21.10.2025 11:00:00
Цех екстракції (Глобине)</t>
  </si>
  <si>
    <t>Обл. НДС
Кріплення стандартні
Надходження товарів і послуг ІБ00-006179 від 21.10.2025 11:00:00
Цех екстракції (Глобине)</t>
  </si>
  <si>
    <t>Обл. НДС
Кріплення гакове до швелера 24
Надходження товарів і послуг ІБ00-006179 від 21.10.2025 11:00:00
Цех екстракції (Глобине)</t>
  </si>
  <si>
    <t>Обл. НДС
Кріплення гакове до швелера 16
Надходження товарів і послуг ІБ00-006179 від 21.10.2025 11:00:00
Цех екстракції (Глобине)</t>
  </si>
  <si>
    <t>Надходження товарів і послуг ІБ00-006182 від 21.10.2025 11:00:00
Оприходованы ТМЦ</t>
  </si>
  <si>
    <t>Обл. НДС
Решітковий настил KOZ 34*38/30*3/оц/ 1800*488
Надходження товарів і послуг ІБ00-006182 від 21.10.2025 11:00:00
Цех екстракції (Глобине)</t>
  </si>
  <si>
    <t>Обл. НДС
Решітковий настил KOZ 34*38/30*3/оц/ 1800*724
Надходження товарів і послуг ІБ00-006182 від 21.10.2025 11:00:00
Цех екстракції (Глобине)</t>
  </si>
  <si>
    <t>Обл. НДС
Решітковий настил KOZ 34*38/30*3/оц/ 1800*1000
Надходження товарів і послуг ІБ00-006182 від 21.10.2025 11:00:00
Цех екстракції (Глобине)</t>
  </si>
  <si>
    <t>Обл. НДС
Решітковий настил KOZ 34*38/30*3/оц/ 1759*1000
Надходження товарів і послуг ІБ00-006182 від 21.10.2025 11:00:00
Цех екстракції (Глобине)</t>
  </si>
  <si>
    <t>Обл. НДС
Решітковий настил KOZ 34*38/30*3/оц/1641*1200
Надходження товарів і послуг ІБ00-006182 від 21.10.2025 11:00:00
Цех екстракції (Глобине)</t>
  </si>
  <si>
    <t>Обл. НДС
Решітковий настил KOZ 34*38/30*3/оц/1641*550
Надходження товарів і послуг ІБ00-006182 від 21.10.2025 11:00:00
Цех екстракції (Глобине)</t>
  </si>
  <si>
    <t>Обл. НДС
Решітковий настил KOZ 34*38/30*3/оц/2000*468
Надходження товарів і послуг ІБ00-006182 від 21.10.2025 11:00:00
Цех екстракції (Глобине)</t>
  </si>
  <si>
    <t>Обл. НДС
Решітковий настил KOZ 34*38/30*3/оц/2000*1000
Надходження товарів і послуг ІБ00-006182 від 21.10.2025 11:00:00
Цех екстракції (Глобине)</t>
  </si>
  <si>
    <t>Обл. НДС
Решітковий настил KOZ 34*38/30*3/оц/2032*800
Надходження товарів і послуг ІБ00-006182 від 21.10.2025 11:00:00
Цех екстракції (Глобине)</t>
  </si>
  <si>
    <t>Обл. НДС
Решітковий настил KOZ 34*38/30*3/оц/1800*468
Надходження товарів і послуг ІБ00-006182 від 21.10.2025 11:00:00
Цех екстракції (Глобине)</t>
  </si>
  <si>
    <t>Обл. НДС
Решітковий настил KOZ 34*38/30*3/оц/1900*800
Надходження товарів і послуг ІБ00-006182 від 21.10.2025 11:00:00
Цех екстракції (Глобине)</t>
  </si>
  <si>
    <t>Обл. НДС
Решітковий настил KOZ 34*38/30*3/оц/800*650
Надходження товарів і послуг ІБ00-006182 від 21.10.2025 11:00:00
Цех екстракції (Глобине)</t>
  </si>
  <si>
    <t>Обл. НДС
Решітковий настил KOZ 34*38/30*3/оц/ 800*1000
Надходження товарів і послуг ІБ00-006182 від 21.10.2025 11:00:00
Цех екстракції (Глобине)</t>
  </si>
  <si>
    <t>Обл. НДС
Решітковий настил KOZ 34*38/30*3/оц/1600*1000
Надходження товарів і послуг ІБ00-006182 від 21.10.2025 11:00:00
Цех екстракції (Глобине)</t>
  </si>
  <si>
    <t>Обл. НДС
Решітковий настил KOZ 34*38/30*3/оц/ 1747*800
Надходження товарів і послуг ІБ00-006182 від 21.10.2025 11:00:00
Цех екстракції (Глобине)</t>
  </si>
  <si>
    <t>Обл. НДС
Решітковий настил KOZ 34*38/30*3/оц/1600*800
Надходження товарів і послуг ІБ00-006182 від 21.10.2025 11:00:00
Цех екстракції (Глобине)</t>
  </si>
  <si>
    <t>Обл. НДС
Решітковий настил KOZ 34*38/30*3/оц/950*1000
Надходження товарів і послуг ІБ00-006182 від 21.10.2025 11:00:00
Цех екстракції (Глобине)</t>
  </si>
  <si>
    <t>Обл. НДС
Решітковий настил KOZ 34*38/30*3/оц/950*800
Надходження товарів і послуг ІБ00-006182 від 21.10.2025 11:00:00
Цех екстракції (Глобине)</t>
  </si>
  <si>
    <t>Обл. НДС
Решітковий настил KOZ 34*38/30*3/оц/2000*858
Надходження товарів і послуг ІБ00-006182 від 21.10.2025 11:00:00
Цех екстракції (Глобине)</t>
  </si>
  <si>
    <t>Обл. НДС
Решітковий настил KOZ 34*38/30*3/оц/2200*468
Надходження товарів і послуг ІБ00-006182 від 21.10.2025 11:00:00
Цех екстракції (Глобине)</t>
  </si>
  <si>
    <t>Обл. НДС
Решітковий настил KOZ 34*38/30*3/оц/ 2200*1000
Надходження товарів і послуг ІБ00-006182 від 21.10.2025 11:00:00
Цех екстракції (Глобине)</t>
  </si>
  <si>
    <t>Обл. НДС
Решітковий настил KOZ 34*38/30*3/оц/1400*858
Надходження товарів і послуг ІБ00-006182 від 21.10.2025 11:00:00
Цех екстракції (Глобине)</t>
  </si>
  <si>
    <t>Обл. НДС
Решітковий настил KOZ 34*38/30*3/оц/1400*1000
Надходження товарів і послуг ІБ00-006182 від 21.10.2025 11:00:00
Цех екстракції (Глобине)</t>
  </si>
  <si>
    <t>Обл. НДС
Решітковий настил KOZ/34x38/30x3 оц. /  858X1000        
Надходження товарів і послуг ІБ00-006182 від 21.10.2025 11:00:00
Цех екстракції (Глобине)</t>
  </si>
  <si>
    <t>Обл. НДС
Решітковий настил KOZ 34*38/30*3/оц/1000*1000
Надходження товарів і послуг ІБ00-006182 від 21.10.2025 11:00:00
Цех екстракції (Глобине)</t>
  </si>
  <si>
    <t>Обл. НДС
Решітковий настил KOZ 34*38/30*3/оц/2300*586
Надходження товарів і послуг ІБ00-006182 від 21.10.2025 11:00:00
Цех екстракції (Глобине)</t>
  </si>
  <si>
    <t>Обл. НДС
Решітковий настил KOZ 34*38/30*3/оц/2300*1000
Надходження товарів і послуг ІБ00-006182 від 21.10.2025 11:00:00
Цех екстракції (Глобине)</t>
  </si>
  <si>
    <t>Обл. НДС
Решітковий настил KOZ 34*38/30*3/оц/1150*1000
Надходження товарів і послуг ІБ00-006182 від 21.10.2025 11:00:00
Цех екстракції (Глобине)</t>
  </si>
  <si>
    <t>Обл. НДС
Решітковий настил KOZ 34*38/30*3/оц/1150*1106
Надходження товарів і послуг ІБ00-006182 від 21.10.2025 11:00:00
Цех екстракції (Глобине)</t>
  </si>
  <si>
    <t>Обл. НДС
Решітковий настил KOZ 34*38/30*3/оц/1932*1000
Надходження товарів і послуг ІБ00-006182 від 21.10.2025 11:00:00
Цех екстракції (Глобине)</t>
  </si>
  <si>
    <t>Обл. НДС
Решітковий настил KOZ 34*38/30*3/оц/1932*1106
Надходження товарів і послуг ІБ00-006182 від 21.10.2025 11:00:00
Цех екстракції (Глобине)</t>
  </si>
  <si>
    <t>Обл. НДС
Решітковий настил KOZ/34x38/30x3 оц. /  2298X1000       
Надходження товарів і послуг ІБ00-006182 від 21.10.2025 11:00:00
Цех екстракції (Глобине)</t>
  </si>
  <si>
    <t>Обл. НДС
Решітковий настил KOZ 34*38/30*3/оц/ 1282*514
Надходження товарів і послуг ІБ00-006182 від 21.10.2025 11:00:00
Цех екстракції (Глобине)</t>
  </si>
  <si>
    <t>Обл. НДС
Решітковий настил KOZ 34*38/30*3/оц/ 1282*780
Надходження товарів і послуг ІБ00-006182 від 21.10.2025 11:00:00
Цех екстракції (Глобине)</t>
  </si>
  <si>
    <t>Обл. НДС
Решітковий настил KOZ 34*38/30*3/оц/ 1282*1000
Надходження товарів і послуг ІБ00-006182 від 21.10.2025 11:00:00
Цех екстракції (Глобине)</t>
  </si>
  <si>
    <t>Обл. НДС
Решітковий настил KOZ 34*38/30*3/оц/ 2050*1000
Надходження товарів і послуг ІБ00-006182 від 21.10.2025 11:00:00
Цех екстракції (Глобине)</t>
  </si>
  <si>
    <t>Обл. НДС
Решітковий настил KOZ/34x38/30x3 оц. /  1257X1000       
Надходження товарів і послуг ІБ00-006182 від 21.10.2025 11:00:00
Цех екстракції (Глобине)</t>
  </si>
  <si>
    <t>Обл. НДС
Решітковий настил KOZ/34x38/30x3 оц. /  2550X523        
Надходження товарів і послуг ІБ00-006182 від 21.10.2025 11:00:00
Цех екстракції (Глобине)</t>
  </si>
  <si>
    <t>Обл. НДС
Решітковий настил KOZ 34*38/30*3/оц/774*782
Надходження товарів і послуг ІБ00-006182 від 21.10.2025 11:00:00
Цех екстракції (Глобине)</t>
  </si>
  <si>
    <t>Обл. НДС
Решітковий настил KOZ 34*38/30*3/оц/ 1324*800
Надходження товарів і послуг ІБ00-006182 від 21.10.2025 11:00:00
Цех екстракції (Глобине)</t>
  </si>
  <si>
    <t>Обл. НДС
Решітковий настил KOZ 34*38/30*3/оц/1550*800
Надходження товарів і послуг ІБ00-006182 від 21.10.2025 11:00:00
Цех екстракції (Глобине)</t>
  </si>
  <si>
    <t>Обл. НДС
Решітковий настил KOZ 34*38/30*3/оц/1306*1000 
Надходження товарів і послуг ІБ00-006182 від 21.10.2025 11:00:00
Цех екстракції (Глобине)</t>
  </si>
  <si>
    <t>Обл. НДС
Решітковий настил KOZ 34*38/30*3/оц/2476*900
Надходження товарів і послуг ІБ00-006182 від 21.10.2025 11:00:00
Цех екстракції (Глобине)</t>
  </si>
  <si>
    <t>Обл. НДС
Решітковий настил KOZ 34*38/30*3/оц/1948*668
Надходження товарів і послуг ІБ00-006182 від 21.10.2025 11:00:00
Цех екстракції (Глобине)</t>
  </si>
  <si>
    <t>Обл. НДС
Решітковий настил KOZ 34*38/40*3/оц/ 1750*424
Надходження товарів і послуг ІБ00-006182 від 21.10.2025 11:00:00
Цех екстракції (Глобине)</t>
  </si>
  <si>
    <t>Обл. НДС
Решітковий настил KOZ 34*38/30*3/оц/ 1750*1000
Надходження товарів і послуг ІБ00-006182 від 21.10.2025 11:00:00
Цех екстракції (Глобине)</t>
  </si>
  <si>
    <t>Обл. НДС
Решітковий настил KOZ 34*38/30*3/оц/1700*424
Надходження товарів і послуг ІБ00-006182 від 21.10.2025 11:00:00
Цех екстракції (Глобине)</t>
  </si>
  <si>
    <t>Обл. НДС
Решітковий настил KOZ 34*38/30*3/оц/1700*1000
Надходження товарів і послуг ІБ00-006182 від 21.10.2025 11:00:00
Цех екстракції (Глобине)</t>
  </si>
  <si>
    <t>Обл. НДС
Решітковий настил KOZ 34*38/30*3/оц/1880х1000
Надходження товарів і послуг ІБ00-006182 від 21.10.2025 11:00:00
Цех екстракції (Глобине)</t>
  </si>
  <si>
    <t>Обл. НДС
Решітковий настил KOZ/34x38/30x3 оц. /  2602X1000
Надходження товарів і послуг ІБ00-006182 від 21.10.2025 11:00:00
Цех екстракції (Глобине)</t>
  </si>
  <si>
    <t>Обл. НДС
Решітковий настил KOZ/34x38/30x3 оц. /  2602X600
Надходження товарів і послуг ІБ00-006182 від 21.10.2025 11:00:00
Цех екстракції (Глобине)</t>
  </si>
  <si>
    <t>Обл. НДС
Решітковий настил KOZ 34*38/30*3/оц/ 1350*1000
Надходження товарів і послуг ІБ00-006182 від 21.10.2025 11:00:00
Цех екстракції (Глобине)</t>
  </si>
  <si>
    <t>Обл. НДС
Решітковий настил KOZ 34*38/30*3/оц/ 1350*711
Надходження товарів і послуг ІБ00-006182 від 21.10.2025 11:00:00
Цех екстракції (Глобине)</t>
  </si>
  <si>
    <t>Обл. НДС
Решітковий настил KOZ 34*38/30*3/оц/ 1350*780
Надходження товарів і послуг ІБ00-006182 від 21.10.2025 11:00:00
Цех екстракції (Глобине)</t>
  </si>
  <si>
    <t>Обл. НДС
Решітковий настил KOZ 34*38/30*3/оц/ 1350*510
Надходження товарів і послуг ІБ00-006182 від 21.10.2025 11:00:00
Цех екстракції (Глобине)</t>
  </si>
  <si>
    <t>Обл. НДС
Решітковий настил KOZ 34*38/30*3/оц/ 2148*1000
Надходження товарів і послуг ІБ00-006182 від 21.10.2025 11:00:00
Цех екстракції (Глобине)</t>
  </si>
  <si>
    <t>Обл. НДС
Решітковий настил KOZ 34*38/30*3/оц/ 1998*1000
Надходження товарів і послуг ІБ00-006182 від 21.10.2025 11:00:00
Цех екстракції (Глобине)</t>
  </si>
  <si>
    <t>Обл. НДС
Решітковий настил KOZ/34x38/30x3 оц. /1180X609
Надходження товарів і послуг ІБ00-006182 від 21.10.2025 11:00:00
Цех екстракції (Глобине)</t>
  </si>
  <si>
    <t>Обл. НДС
Решітковий настил KOZ/34x38/30x3 оц. /1180X1000
Надходження товарів і послуг ІБ00-006182 від 21.10.2025 11:00:00
Цех екстракції (Глобине)</t>
  </si>
  <si>
    <t>Обл. НДС
Решітковий настил KOZ 34*38/30*3/оц/1980*609
Надходження товарів і послуг ІБ00-006182 від 21.10.2025 11:00:00
Цех екстракції (Глобине)</t>
  </si>
  <si>
    <t>Обл. НДС
Решітковий настил KOZ 34*38/30*3/оц/1980*1000
Надходження товарів і послуг ІБ00-006182 від 21.10.2025 11:00:00
Цех екстракції (Глобине)</t>
  </si>
  <si>
    <t>Обл. НДС
Решітковий настил KOZ 34*38/30*3/оц/2000*999
Надходження товарів і послуг ІБ00-006182 від 21.10.2025 11:00:00
Цех екстракції (Глобине)</t>
  </si>
  <si>
    <t>Обл. НДС
Решітковий настил KOZ 34*38/30*3/оц/1900*650
Надходження товарів і послуг ІБ00-006182 від 21.10.2025 11:00:00
Цех екстракції (Глобине)</t>
  </si>
  <si>
    <t>Обл. НДС
Решітковий настил KOZ 34*38/30*3/оц/ 1138*500
Надходження товарів і послуг ІБ00-006182 від 21.10.2025 11:00:00
Цех екстракції (Глобине)</t>
  </si>
  <si>
    <t>Обл. НДС
Решітковий настил KOZ 34*38/30*3/оц/ 2060*560
Надходження товарів і послуг ІБ00-006182 від 21.10.2025 11:00:00
Цех екстракції (Глобине)</t>
  </si>
  <si>
    <t>Обл. НДС
Решітковий настил KOZ 34*38/30*3/оц/ 2062*780
Надходження товарів і послуг ІБ00-006182 від 21.10.2025 11:00:00
Цех екстракції (Глобине)</t>
  </si>
  <si>
    <t>Обл. НДС
Решітковий настил KOZ 34*38/30*3/оц/ 2060*310
Надходження товарів і послуг ІБ00-006182 від 21.10.2025 11:00:00
Цех екстракції (Глобине)</t>
  </si>
  <si>
    <t>Обл. НДС
Решітковий настил KOZ 34*38/30*3/оц/ 2270*650
Надходження товарів і послуг ІБ00-006182 від 21.10.2025 11:00:00
Цех екстракції (Глобине)</t>
  </si>
  <si>
    <t>Обл. НДС
Решітковий настил KOZ 34*38/30*3/оц/ 2270*1000
Надходження товарів і послуг ІБ00-006182 від 21.10.2025 11:00:00
Цех екстракції (Глобине)</t>
  </si>
  <si>
    <t>Обл. НДС
Решітковий настил KOZ 34*38/30*3/оц/ 2097*1015
Надходження товарів і послуг ІБ00-006182 від 21.10.2025 11:00:00
Цех екстракції (Глобине)</t>
  </si>
  <si>
    <t>Обл. НДС
Решітковий настил KOZ 34*38/30*3/оц/ 2097*1000
Надходження товарів і послуг ІБ00-006182 від 21.10.2025 11:00:00
Цех екстракції (Глобине)</t>
  </si>
  <si>
    <t>Обл. НДС
Решітковий настил KOZ 34*38/30*3/оц/1000*1015
Надходження товарів і послуг ІБ00-006182 від 21.10.2025 11:00:00
Цех екстракції (Глобине)</t>
  </si>
  <si>
    <t>Обл. НДС
Решітковий настил KOZ 34*38/30*3/оц/ 2003*1015
Надходження товарів і послуг ІБ00-006182 від 21.10.2025 11:00:00
Цех екстракції (Глобине)</t>
  </si>
  <si>
    <t>Обл. НДС
Решітковий настил KOZ 34*38/30*3/оц/2197*1015
Надходження товарів і послуг ІБ00-006182 від 21.10.2025 11:00:00
Цех екстракції (Глобине)</t>
  </si>
  <si>
    <t>Обл. НДС
Решітковий настил KOZ 34*38/30*3/оц/2197*1000
Надходження товарів і послуг ІБ00-006182 від 21.10.2025 11:00:00
Цех екстракції (Глобине)</t>
  </si>
  <si>
    <t>Обл. НДС
Решітковий настил KOZ 34*38/30*3/оц/1600*1200
Надходження товарів і послуг ІБ00-006182 від 21.10.2025 11:00:00
Цех екстракції (Глобине)</t>
  </si>
  <si>
    <t>Обл. НДС
Решітковий настил KOZ 34*38/30*3/оц/1850*1000
Надходження товарів і послуг ІБ00-006182 від 21.10.2025 11:00:00
Цех екстракції (Глобине)</t>
  </si>
  <si>
    <t>Обл. НДС
Решітковий настил KOZ 34*38/30*3/оц/885*1000
Надходження товарів і послуг ІБ00-006182 від 21.10.2025 11:00:00
Цех екстракції (Глобине)</t>
  </si>
  <si>
    <t>Обл. НДС
Решітковий настил KOZ 34*38/30*3/оц/ 1800*1185
Надходження товарів і послуг ІБ00-006182 від 21.10.2025 11:00:00
Цех екстракції (Глобине)</t>
  </si>
  <si>
    <t>Обл. НДС
Кріплення гакове до швелера 30
Надходження товарів і послуг ІБ00-006182 від 21.10.2025 11:00:00
Цех екстракції (Глобине)</t>
  </si>
  <si>
    <t>Обл. НДС
Кріплення гакове до швелера 16
Надходження товарів і послуг ІБ00-006182 від 21.10.2025 11:00:00
Цех екстракції (Глобине)</t>
  </si>
  <si>
    <t>Обл. НДС
Кріплення стандартні
Надходження товарів і послуг ІБ00-006182 від 21.10.2025 11:00:00
Цех екстракції (Глобине)</t>
  </si>
  <si>
    <t>Надходження товарів і послуг ІБ00-006187 від 21.10.2025 11:00:00
Оприходованы ТМЦ</t>
  </si>
  <si>
    <t>Обл. НДС
Сходинки SOZ/34*38/25*3/оц/800*205
Надходження товарів і послуг ІБ00-006187 від 21.10.2025 11:00:00
СПК (Глобине)</t>
  </si>
  <si>
    <t>Червоноградський завод металоконструкцій
Договір поставки № 44 від 11.06.2020 р._Глобино-2
Рахунок на оплату постачальника ІБ00-004269 від 11.09.2025 18:34:19</t>
  </si>
  <si>
    <t>Надходження товарів і послуг ІБ00-006187 від 21.10.2025 11:00:00
Оприходованы ТМЦ (Зачет аванса поставщику)</t>
  </si>
  <si>
    <t>Обл. НДС
Кріплення для сходинок
Надходження товарів і послуг ІБ00-006187 від 21.10.2025 11:00:00
СПК (Глобине)</t>
  </si>
  <si>
    <t>Надходження товарів і послуг ІБ00-006372 від 21.10.2025 11:00:00
Оприходованы ТМЦ (Зачет аванса поставщику)</t>
  </si>
  <si>
    <t>Обл. НДС
Скоба опорна чавунна "Євроскоба"
Надходження товарів і послуг ІБ00-006372 від 21.10.2025 11:00:00
Транспортна галерея (Глобине)</t>
  </si>
  <si>
    <t>Імпекс-груп ТОВ
Рахунки_Глобино-2
Рахунок на оплату постачальника ІБ00-004927 від 09.10.2025 19:00:23</t>
  </si>
  <si>
    <t>Надходження дод. витрат ІБ00-000600 від 21.10.2025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</si>
  <si>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ІБ00-000600 від 21.10.2025 11:10:00</t>
  </si>
  <si>
    <t>Надходження товарів і послуг ІБ00-006100 від 22.10.2025 11:00:00
Оприходованы ТМЦ</t>
  </si>
  <si>
    <t>Обл. НДС
Бетон С20/25 W6 F75 P5 (щеб 5*10)
Надходження товарів і послуг ІБ00-006100 від 22.10.2025 11:00:00
Очисні споруди (Глобине)</t>
  </si>
  <si>
    <t>Кременчуцький річковий порт ПРАТ
Договір 112/Б від 15.10.2024_Глобине-2
Надходження товарів і послуг ІБ00-006100 від 22.10.2025 11:00:00</t>
  </si>
  <si>
    <t>Надходження товарів і послуг ІБ00-006175 від 22.10.2025 11:00:00
Оприходованы ТМЦ</t>
  </si>
  <si>
    <t>Обл. НДС
Швелер гнутий 160*100*5 (160 6-S235JR)
Надходження товарів і послуг ІБ00-006175 від 22.10.2025 11:00:00
СПК (Глобине)</t>
  </si>
  <si>
    <t>МЕТАЛ ХОЛДІНГ ТРЕЙД ТОВ
Дог 01/219/25 від 01.04.2025_Глобине-2
Рахунок на оплату постачальника ІБ00-004706 від 22.09.2025 20:26:30</t>
  </si>
  <si>
    <t>Надходження товарів і послуг ІБ00-006175 від 22.10.2025 11:00:00
Оприходованы ТМЦ (Зачет аванса поставщику)</t>
  </si>
  <si>
    <t>Надходження дод. витрат ІБ00-000601 від 22.10.2025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</si>
  <si>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ІБ00-000601 від 22.10.2025 11:10:00</t>
  </si>
  <si>
    <t>Надходження дод. витрат ІБ00-000614 від 22.10.2025 11:10:00
Доп. расходы при поступлении товаров</t>
  </si>
  <si>
    <t>Реалізація товарів і послуг ІБ00-000065 від 22.10.2025 11:13:52
Списаны ТМЦ</t>
  </si>
  <si>
    <t>Надходження товарів і послуг ІБ00-006115 від 23.10.2025 11:00:00
Оприходованы ТМЦ</t>
  </si>
  <si>
    <t>Обл. НДС
Бетон С20/25 W6 F75 P5 (щеб 5*10)
Надходження товарів і послуг ІБ00-006115 від 23.10.2025 11:00:00
Глобине-2</t>
  </si>
  <si>
    <t>Кременчуцький річковий порт ПРАТ
Договір 112/Б від 15.10.2024_Глобине-2
Надходження товарів і послуг ІБ00-006115 від 23.10.2025 11:00:00</t>
  </si>
  <si>
    <t>Надходження дод. витрат ІБ00-000602 від 23.10.2025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</si>
  <si>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ІБ00-000602 від 23.10.2025 11:10:00</t>
  </si>
  <si>
    <t>Переміщення товарів ІБ00-001143 від 23.10.2025 11:20:00
Перемещение ТМЦ</t>
  </si>
  <si>
    <t>Обл. НДС
Бетон С20/25 W6 F75 P5 (щеб 5*10)
Переміщення товарів ІБ00-001143 від 23.10.2025 11:20:00
Очисні споруди (Глобине)</t>
  </si>
  <si>
    <t>Переміщення товарів ІБ00-001144 від 23.10.2025 11:20:00
Перемещение ТМЦ</t>
  </si>
  <si>
    <t>Обл. НДС
Бетон С20/25 W6 F75 P5 (щеб 5*10)
Переміщення товарів ІБ00-001144 від 23.10.2025 11:20:00
АПК (Глобине)</t>
  </si>
  <si>
    <t>Авансовий звіт ІБ00-000323 від 24.10.2025 00:00:00
Оприходованы ТМЦ</t>
  </si>
  <si>
    <t>Обл. НДС
Пістолет для піни
Авансовий звіт ІБ00-000323 від 24.10.2025 00:00:00
Глобине-2</t>
  </si>
  <si>
    <t>Обл. НДС
Ручний інструмент 
Авансовий звіт ІБ00-000323 від 24.10.2025 00:00:00
Глобине-2</t>
  </si>
  <si>
    <t>Обл. НДС
Міксер для сухих сумішей 100*600 мм
Авансовий звіт ІБ00-000323 від 24.10.2025 00:00:00
Глобине-2</t>
  </si>
  <si>
    <t>Обл. НДС
Саморіз по дереву 55 мм
Авансовий звіт ІБ00-000323 від 24.10.2025 00:00:00
Глобине-2</t>
  </si>
  <si>
    <t>Надходження товарів і послуг ІБ00-006183 від 24.10.2025 11:00:00
Оприходованы ТМЦ</t>
  </si>
  <si>
    <t>Обл. НДС
Бетон С20/25 W6 F75 P5 (щеб 5*10)
Надходження товарів і послуг ІБ00-006183 від 24.10.2025 11:00:00
Очисні споруди (Глобине)</t>
  </si>
  <si>
    <t>Кременчуцький річковий порт ПРАТ
Договір 112/Б від 15.10.2024_Глобине-2
Надходження товарів і послуг ІБ00-006183 від 24.10.2025 11:00:00</t>
  </si>
  <si>
    <t>Надходження дод. витрат ІБ00-000616 від 24.10.2025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</si>
  <si>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ІБ00-000616 від 24.10.2025 11:10:00</t>
  </si>
  <si>
    <t>25.10.2025</t>
  </si>
  <si>
    <t>Надходження товарів і послуг ІБ00-006184 від 25.10.2025 11:00:00
Оприходованы ТМЦ</t>
  </si>
  <si>
    <t>Обл. НДС
Бетон С20/25 W6 F75 P5 (щеб 5*10)
Надходження товарів і послуг ІБ00-006184 від 25.10.2025 11:00:00
Очисні споруди (Глобине)</t>
  </si>
  <si>
    <t>Кременчуцький річковий порт ПРАТ
Договір 112/Б від 15.10.2024_Глобине-2
Надходження товарів і послуг ІБ00-006184 від 25.10.2025 11:00:00</t>
  </si>
  <si>
    <t>Надходження дод. витрат ІБ00-000617 від 25.10.2025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</si>
  <si>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ІБ00-000617 від 25.10.2025 11:10:00</t>
  </si>
  <si>
    <t>26.10.2025</t>
  </si>
  <si>
    <t>Надходження товарів і послуг ІБ00-006185 від 26.10.2025 11:00:00
Оприходованы ТМЦ</t>
  </si>
  <si>
    <t>Обл. НДС
Бетон С20/25 W6 F75 P5 (щеб 5*10)
Надходження товарів і послуг ІБ00-006185 від 26.10.2025 11:00:00
Очисні споруди (Глобине)</t>
  </si>
  <si>
    <t>Кременчуцький річковий порт ПРАТ
Договір 112/Б від 15.10.2024_Глобине-2
Надходження товарів і послуг ІБ00-006185 від 26.10.2025 11:00:00</t>
  </si>
  <si>
    <t>Надходження дод. витрат ІБ00-000618 від 26.10.2025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</si>
  <si>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ІБ00-000618 від 26.10.2025 11:10:00</t>
  </si>
  <si>
    <t>Надходження товарів і послуг ІБ00-006248 від 27.10.2025 11:00:00
Оприходованы ТМЦ (Зачет аванса поставщику)</t>
  </si>
  <si>
    <t>Обл. НДС
Дефлектор Д710.00.000-03 №10 оц
Надходження товарів і послуг ІБ00-006248 від 27.10.2025 11:00:00
Котельна (Глобине)</t>
  </si>
  <si>
    <t>Градвент
Договору №150925  від 15.09.2025,_Глобино-2
Рахунок на оплату постачальника ІБ00-004417 від 15.09.2025 17:25:31</t>
  </si>
  <si>
    <t>Надходження товарів і послуг ІБ00-006248 від 27.10.2025 11:00:00
Оприходованы ТМЦ</t>
  </si>
  <si>
    <t>Обл. НДС
Вузол проходу №10
Надходження товарів і послуг ІБ00-006248 від 27.10.2025 11:00:00
Котельна (Глобине)</t>
  </si>
  <si>
    <t>Надходження товарів і послуг ІБ00-006306 від 28.10.2025 11:00:00
Оприходованы ТМЦ</t>
  </si>
  <si>
    <t>Обл. НДС
Плівка поліетиленова будівельна (чорна) 200мкм, рукав 1500мм, рулон 50м
Надходження товарів і послуг ІБ00-006306 від 28.10.2025 11:00:00
АПК (Глобине)</t>
  </si>
  <si>
    <t>СТАНДАРТ-БУД ТОВ
РАХУНКИ_Глобино-2
Рахунок на оплату постачальника ІБ00-005190 від 27.10.2025 17:23:54</t>
  </si>
  <si>
    <t>Обл. НДС
Праймер бітумно-каучуковий (18л)
Надходження товарів і послуг ІБ00-006306 від 28.10.2025 11:00:00
АПК (Глобине)</t>
  </si>
  <si>
    <t>Обл. НДС
Цемент ПЦ ІІ/А-Ш 500 , 25 кг (т)
Надходження товарів і послуг ІБ00-006306 від 28.10.2025 11:00:00
АПК (Глобине)</t>
  </si>
  <si>
    <t>Обл. НДС
Вогнебіозахист  Страж-1 тонований 5л
Надходження товарів і послуг ІБ00-006306 від 28.10.2025 11:00:00
АПК (Глобине)</t>
  </si>
  <si>
    <t>Надходження товарів і послуг ІБ00-006307 від 28.10.2025 11:00:00
Оприходованы ТМЦ</t>
  </si>
  <si>
    <t>Обл. НДС
Мембрана супердифузійна 115 г/м2 75 м кв
Надходження товарів і послуг ІБ00-006307 від 28.10.2025 11:00:00
АПК (Глобине)</t>
  </si>
  <si>
    <t>СТАНДАРТ-БУД ТОВ
РАХУНКИ_Глобино-2
Рахунок на оплату постачальника ІБ00-005188 від 27.10.2025 17:23:53</t>
  </si>
  <si>
    <t>Надходження товарів і послуг ІБ00-006308 від 28.10.2025 11:00:00
Оприходованы ТМЦ</t>
  </si>
  <si>
    <t>Обл. НДС
Сітка ВР-1 ф 3,0 2*1 150*150 
Надходження товарів і послуг ІБ00-006308 від 28.10.2025 11:00:00
АПК (Глобине)</t>
  </si>
  <si>
    <t>Надходження товарів і послуг ІБ00-006310 від 28.10.2025 11:00:00
Оприходованы ТМЦ</t>
  </si>
  <si>
    <t>Обл. НДС
Плита полістирольна екструзійна 20*1200*600  (шт)
Надходження товарів і послуг ІБ00-006310 від 28.10.2025 11:00:00
Цех екстракції (Глобине)</t>
  </si>
  <si>
    <t>СТАНДАРТ-БУД ТОВ
РАХУНКИ_Глобино-2
Рахунок на оплату постачальника ІБ00-005336 від 29.10.2025 18:47:03</t>
  </si>
  <si>
    <t>Надходження товарів і послуг ІБ00-006311 від 28.10.2025 11:00:00
Оприходованы ТМЦ</t>
  </si>
  <si>
    <t>Обл. НДС
Саморіз  4,8*19 RAL 9006
Надходження товарів і послуг ІБ00-006311 від 28.10.2025 11:00:00
Глобине-2</t>
  </si>
  <si>
    <t>ЄВРОБОЛТ УКРАЇНА ТОВ
Рахунки_Глобине-2
Рахунок на оплату постачальника ІБ00-005337 від 23.10.2025 18:15:25</t>
  </si>
  <si>
    <t>Обл. НДС
Саморіз  4,8*19 RAL 5005
Надходження товарів і послуг ІБ00-006311 від 28.10.2025 11:00:00
Глобине-2</t>
  </si>
  <si>
    <t>Обл. НДС
Дюбель  10*70 парасолька д/теплоізоляції
Надходження товарів і послуг ІБ00-006311 від 28.10.2025 11:00:00
Глобине-2</t>
  </si>
  <si>
    <t>Надходження товарів і послуг ІБ00-006364 від 28.10.2025 11:00:00
Оприходованы ТМЦ (Зачет аванса поставщику)</t>
  </si>
  <si>
    <t>Обл. НДС
Сендвіч-панель ТПК стінова 100мм МВ 1180мм відкр замок С0,5PS/C0.5PS 4,80м трап 9006 срібл/трап 9003
Надходження товарів і послуг ІБ00-006364 від 28.10.2025 11:00:00
Цех екстракції (Глобине)</t>
  </si>
  <si>
    <t>ТПК-ЦЕНТР ТОВ
Договір 13/20/П/011від 21.07.2020_Глобино-2
Рахунок на оплату постачальника ІБ00-004029 від 27.08.2025 18:27:17</t>
  </si>
  <si>
    <t>Обл. НДС
Сендвіч-панель ТПК стінова 100мм МВ 1180мм відкр замок С0,5PS/C0.5PS 4,70м трап 9006 срібл/трап 9003
Надходження товарів і послуг ІБ00-006364 від 28.10.2025 11:00:00
Цех екстракції (Глобине)</t>
  </si>
  <si>
    <t>Обл. НДС
Сендвіч-панель ТПК стінова 100мм МВ 1180мм відкр замок С0,5PS/C0.5PS 4,20м трап 9006 срібл/трап 9003
Надходження товарів і послуг ІБ00-006364 від 28.10.2025 11:00:00
Цех екстракції (Глобине)</t>
  </si>
  <si>
    <t>Обл. НДС
Сендвіч-панель ТПК стінова 100мм МВ 1180мм відкр замок С0,5PS/C0.5PS 2,90м трап 9006 срібл/трап 9003
Надходження товарів і послуг ІБ00-006364 від 28.10.2025 11:00:00
Цех екстракції (Глобине)</t>
  </si>
  <si>
    <t>Обл. НДС
Сендвіч-панель ТПК стінова 100мм МВ 1180мм відкр замок С0,5PS/C0.5PS 2,40м трап 9006 срібл/трап 9003
Надходження товарів і послуг ІБ00-006364 від 28.10.2025 11:00:00
Цех екстракції (Глобине)</t>
  </si>
  <si>
    <t>Обл. НДС
Стрічка ущільнювальна ТПК УП-1 ППЕ НХ (5*50 мм 20 м)
Надходження товарів і послуг ІБ00-006364 від 28.10.2025 11:00:00
Цех екстракції (Глобине)</t>
  </si>
  <si>
    <t>Обл. НДС
Клей-герметик д/сендвіч- панелей Soudaflex 40 FC (12 шт/уп) (600мл(шт.) сірий)
Надходження товарів і послуг ІБ00-006364 від 28.10.2025 11:00:00
Цех екстракції (Глобине)</t>
  </si>
  <si>
    <t>Обл. НДС
Самонаріз в метал до сендвіч-панелей 5,5*6,3/150 9006 срібло
Надходження товарів і послуг ІБ00-006364 від 28.10.2025 11:00:00
Цех екстракції (Глобине)</t>
  </si>
  <si>
    <t>Обл. НДС
Самонаріз в метал до сендвіч-панелей 5,5*6,3/150 5005 синій
Надходження товарів і послуг ІБ00-006364 від 28.10.2025 11:00:00
Цех екстракції (Глобине)</t>
  </si>
  <si>
    <t>Надходження товарів і послуг ІБ00-006365 від 28.10.2025 11:00:00
Оприходованы ТМЦ</t>
  </si>
  <si>
    <t>Обл. НДС
Сендвіч-панель ТПК стінова 100мм МВ 1180мм відкр замок С0,5PS/C 0.5 PS 7,29м трап 9006/трап 9003
Надходження товарів і послуг ІБ00-006365 від 28.10.2025 11:00:00
Цех екстракції (Глобине)</t>
  </si>
  <si>
    <t>Обл. НДС
Сендвіч-панель ТПК стінова 100мм МВ 1180мм відкр замок С0,5PS/C 0.5 PS 7,18м трап 9006/трап 9003
Надходження товарів і послуг ІБ00-006365 від 28.10.2025 11:00:00
Цех екстракції (Глобине)</t>
  </si>
  <si>
    <t>Обл. НДС
Сендвіч-панель ТПК стінова 100мм МВ 1180мм відкр замок С0,5PS/C 0.5 PS 6,98м трап 9006/трап 9003
Надходження товарів і послуг ІБ00-006365 від 28.10.2025 11:00:00
Цех екстракції (Глобине)</t>
  </si>
  <si>
    <t>Обл. НДС
Сендвіч-панель ТПК стінова 100мм МВ 1180мм відкр замок С0,5PS/C 0.5 PS 5,00м трап 9006/трап 9003
Надходження товарів і послуг ІБ00-006365 від 28.10.2025 11:00:00
Цех екстракції (Глобине)</t>
  </si>
  <si>
    <t>Обл. НДС
Сендвіч-панель ТПК стінова 100мм МВ 1180мм відкр замок С0,5PS/C 0.5 PS 4,48м трап 9006/трап 9003
Надходження товарів і послуг ІБ00-006365 від 28.10.2025 11:00:00
Цех екстракції (Глобине)</t>
  </si>
  <si>
    <t>Обл. НДС
Сендвіч-панель ТПК стінова 100мм МВ 1180мм відкр замок С0,5PS/C 0.5 PS 3,19м трап 9006/трап 9003
Надходження товарів і послуг ІБ00-006365 від 28.10.2025 11:00:00
Цех екстракції (Глобине)</t>
  </si>
  <si>
    <t>Надходження товарів і послуг ІБ00-006487 від 28.10.2025 11:00:00
Оприходованы ТМЦ</t>
  </si>
  <si>
    <t>Обл. НДС
Анкер хімічний 300 мл EСOFIX
Надходження товарів і послуг ІБ00-006487 від 28.10.2025 11:00:00
Резервуарний парк соєвої меляси (Глобине)</t>
  </si>
  <si>
    <t>ЄВРОБОЛТ УКРАЇНА ТОВ
Рахунки_Глобине-2
Рахунок на оплату постачальника ІБ00-005302 від 22.10.2025 18:20:02</t>
  </si>
  <si>
    <t>29.10.2025</t>
  </si>
  <si>
    <t>Надходження товарів і послуг ІБ00-006309 від 29.10.2025 11:00:00
Оприходованы ТМЦ</t>
  </si>
  <si>
    <t>Обл. НДС
Сітка ВР-1 ф 3,0 2*1 150*150 
Надходження товарів і послуг ІБ00-006309 від 29.10.2025 11:00:00
АПК (Глобине)</t>
  </si>
  <si>
    <t>СТАНДАРТ-БУД ТОВ
РАХУНКИ_Глобино-2
Рахунок на оплату постачальника ІБ00-005304 від 29.10.2025 18:46:55</t>
  </si>
  <si>
    <t>Надходження товарів і послуг ІБ00-006437 від 29.10.2025 11:00:00
Оприходованы ТМЦ</t>
  </si>
  <si>
    <t>Обл. НДС
Пісок, т
Надходження товарів і послуг ІБ00-006437 від 29.10.2025 11:00:00
АПК (Глобине)</t>
  </si>
  <si>
    <t>Венкрас Авто ПП
Договір 05/09/2024 від 05.09.2024_Глобине-2
Рахунок на оплату постачальника ІБ00-005366 від 29.10.2025 18:47:14</t>
  </si>
  <si>
    <t>Надходження дод. витрат ІБ00-000639 від 29.10.2025 11:10:00
Доп. расходы при поступлении товаров</t>
  </si>
  <si>
    <t>Списання товарів ІБ00-000607 від 31.10.2025 00:00:00
Списаны ТМЦ</t>
  </si>
  <si>
    <t>Списання товарів ІБ00-000608 від 31.10.2025 00:00:00
Списаны ТМЦ</t>
  </si>
  <si>
    <t>Обл. НДС
Фанера ламінована 1250*2500*21 мм гл/гл
Надходження товарів і послуг ІБ00-004394 від 20.09.2024 18:19:40
Глобине-2</t>
  </si>
  <si>
    <t>Переміщення товарів ІБ00-001210 від 31.10.2025 08:00:00
Перемещение ТМЦ</t>
  </si>
  <si>
    <t>Обл. НДС
Арматура 12 міра (12-3760  А500С/А400С)
Переміщення товарів ІБ00-001210 від 31.10.2025 08:00:00
АПК (Глобине)</t>
  </si>
  <si>
    <t>Переміщення товарів ІБ00-001211 від 31.10.2025 08:00:00
Перемещение ТМЦ</t>
  </si>
  <si>
    <t>Обл. НДС
Швелер 10 (UREAA 100) S275 JR, 12 м
Переміщення товарів ІБ00-001211 від 31.10.2025 08:00:00
АПК (Глобине)</t>
  </si>
  <si>
    <t>Обл. НДС
Швелер 10 (UREAA 100) S275 JR, 12 м
Надходження товарів і послуг ІБ00-006410 від 23.12.2024 17:16:14
Котельна (Глобине)</t>
  </si>
  <si>
    <t>Обл. НДС
Труба  60*60*3 мм  ст 1-3 пс, L=12 м
Переміщення товарів ІБ00-001211 від 31.10.2025 08:00:00
АПК (Глобине)</t>
  </si>
  <si>
    <t>Обл. НДС
Труба  60*60*3 мм  ст 1-3 пс, L=12 м
Надходження товарів і послуг ІБ00-003916 від 21.07.2025 11:00:00
Котельна (Глобине)</t>
  </si>
  <si>
    <t>Переміщення товарів ІБ00-001212 від 31.10.2025 08:00:00
Перемещение ТМЦ</t>
  </si>
  <si>
    <t>Обл. НДС
Кутник 50х50 мм 5,0 мм, 6 м
Переміщення товарів ІБ00-001212 від 31.10.2025 08:00:00
АПК (Глобине)</t>
  </si>
  <si>
    <t>Обл. НДС
Кутник 50х50 мм 5,0 мм, 6 м
Надходження товарів і послуг ІБ00-006167 від 01.12.2024 12:45:15
Цех екстракції (Глобине)</t>
  </si>
  <si>
    <t>Переміщення товарів ІБ00-001213 від 31.10.2025 08:00:00
Перемещение ТМЦ</t>
  </si>
  <si>
    <t>Обл. НДС
Арматура 12 міра (12-3760  А500С/А400С)
Переміщення товарів ІБ00-001213 від 31.10.2025 08:00:00
Цех екстракції (Глобине)</t>
  </si>
  <si>
    <t>Переміщення товарів ІБ00-001215 від 31.10.2025 08:00:00
Перемещение ТМЦ</t>
  </si>
  <si>
    <t>Обл. НДС
Плита пінополістирольна екструзійна 1180х580х100мм уп4шт/1шт-0,06844 куб м
Переміщення товарів ІБ00-001215 від 31.10.2025 08:00:00
Цех екстракції (Глобине)</t>
  </si>
  <si>
    <t>Переміщення товарів ІБ00-001216 від 31.10.2025 08:00:00
Перемещение ТМЦ</t>
  </si>
  <si>
    <t>Обл. НДС
Бетон С20/25 W6 F75 P5 (щеб 5*10)
Переміщення товарів ІБ00-001216 від 31.10.2025 08:00:00
СПК (Глобине)</t>
  </si>
  <si>
    <t>Обл. НДС
Бетон С20/25 W6 F75 P5 (щеб 5*10)
Надходження товарів і послуг ІБ00-004242 від 01.08.2025 11:00:00
Насосна Градирня (Глобине)</t>
  </si>
  <si>
    <t>Переміщення товарів ІБ00-001217 від 31.10.2025 08:00:00
Перемещение ТМЦ</t>
  </si>
  <si>
    <t>Обл. НДС
Бетон С20/25 W6 F75 P5 (щеб 5*10)
Переміщення товарів ІБ00-001217 від 31.10.2025 08:00:00
СПК (Глобине)</t>
  </si>
  <si>
    <t>Переміщення товарів ІБ00-001222 від 31.10.2025 08:00:00
Перемещение ТМЦ</t>
  </si>
  <si>
    <t>Обл. НДС
Бетон С20/25 W6 F75 P5 (щеб 5*10)
Переміщення товарів ІБ00-001222 від 31.10.2025 08:00:00
Цех екстракції (Глобине)</t>
  </si>
  <si>
    <t>Переміщення товарів ІБ00-001223 від 31.10.2025 08:00:00
Перемещение ТМЦ</t>
  </si>
  <si>
    <t>Обл. НДС
Плівка п/е рукав 1500*100
Переміщення товарів ІБ00-001223 від 31.10.2025 08:00:00
Цех екстракції (Глобине)</t>
  </si>
  <si>
    <t>Переміщення товарів ІБ00-001224 від 31.10.2025 08:00:00
Перемещение ТМЦ</t>
  </si>
  <si>
    <t>Обл. НДС
Плівка п/е рукав 1500*200
Переміщення товарів ІБ00-001224 від 31.10.2025 08:00:00
Цех екстракції (Глобине)</t>
  </si>
  <si>
    <t>Переміщення товарів ІБ00-001225 від 31.10.2025 08:00:00
Перемещение ТМЦ</t>
  </si>
  <si>
    <t>Обл. НДС
Плита пінополістирольна екструзійна 1180х580х100мм уп4шт/1шт-0,06844 куб м
Переміщення товарів ІБ00-001225 від 31.10.2025 08:00:00
Цех екстракції (Глобине)</t>
  </si>
  <si>
    <t>Переміщення товарів ІБ00-001226 від 31.10.2025 08:00:00
Перемещение ТМЦ</t>
  </si>
  <si>
    <t>Обл. НДС
Анкер хімічний 300 мл R-KEM-II 
Переміщення товарів ІБ00-001226 від 31.10.2025 08:00:00
Цех екстракції (Глобине)</t>
  </si>
  <si>
    <t>Переміщення товарів ІБ00-001227 від 31.10.2025 08:00:00
Перемещение ТМЦ</t>
  </si>
  <si>
    <t>Обл. НДС
Клей-піна монтажна , 750 мл
Переміщення товарів ІБ00-001227 від 31.10.2025 08:00:00
Котельна (Глобине)</t>
  </si>
  <si>
    <t>Переміщення товарів ІБ00-001230 від 31.10.2025 08:00:00
Перемещение ТМЦ</t>
  </si>
  <si>
    <t>Обл. НДС
Клей-піна монтажна , 750 мл
Переміщення товарів ІБ00-001230 від 31.10.2025 08:00:00
Котельна (Глобине)</t>
  </si>
  <si>
    <t>Переміщення товарів ІБ00-001231 від 31.10.2025 08:00:00
Перемещение ТМЦ</t>
  </si>
  <si>
    <t>Обл. НДС
Цемент ПЦ ІІ/А-Ш 500 25кг 1пал/64шт
Переміщення товарів ІБ00-001231 від 31.10.2025 08:00:00
Котельна (Глобине)</t>
  </si>
  <si>
    <t>Обл. НДС
Цемент ПЦ ІІ/А-Ш 500 25кг 1пал/64шт
Надходження товарів і послуг ІБ00-002038 від 01.04.2025 11:00:00
Генплан підпірна стінка (Глобине)</t>
  </si>
  <si>
    <t>Обл. НДС
Цемент ПЦ ІІ/А-Ш 500 25кг 1пал/64шт
Надходження товарів і послуг ІБ00-002042 від 01.04.2025 11:00:00
Генплан підпірна стінка (Глобине)</t>
  </si>
  <si>
    <t>Переміщення товарів ІБ00-001235 від 31.10.2025 08:00:00
Перемещение ТМЦ</t>
  </si>
  <si>
    <t>Обл. НДС
Балка 20 ІРЕ200 12м S275JR
Переміщення товарів ІБ00-001235 від 31.10.2025 08:00:00
СПК (Глобине)</t>
  </si>
  <si>
    <t>Обл. НДС
Балка 20 ІРЕ200 12м S275JR
Надходження товарів і послуг ІБ00-002356 від 20.05.2025 11:00:00
Резервуарний парк соєвої меляси (Глобине)</t>
  </si>
  <si>
    <t>Надходження товарів і послуг ІБ00-006396 від 31.10.2025 11:00:00
Оприходованы ТМЦ</t>
  </si>
  <si>
    <t>Обл. НДС
Шпілька М20*1000 оц
Надходження товарів і послуг ІБ00-006396 від 31.10.2025 11:00:00
Резервуар для зберігання розчинника(Глобине)</t>
  </si>
  <si>
    <t>ЄВРОБОЛТ УКРАЇНА ТОВ
Рахунки_Глобине-2
Рахунок на оплату постачальника ІБ00-005357 від 30.10.2025 18:47:12</t>
  </si>
  <si>
    <t>Надходження товарів і послуг ІБ00-006438 від 31.10.2025 11:00:00
Оприходованы ТМЦ</t>
  </si>
  <si>
    <t>Обл. НДС
Бетон С20/25 W6 F75 P4
Надходження товарів і послуг ІБ00-006438 від 31.10.2025 11:00:00
АПК (Глобине)</t>
  </si>
  <si>
    <t>Кременчуцький річковий порт ПРАТ
Договір 112/Б від 15.10.2024_Глобине-2
Надходження товарів і послуг ІБ00-006438 від 31.10.2025 11:00:00</t>
  </si>
  <si>
    <t>Надходження дод. витрат ІБ00-000641 від 31.10.2025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</si>
  <si>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ІБ00-000641 від 31.10.2025 11:10:00</t>
  </si>
  <si>
    <t>Вимога-накладна ІБ00-001007 від 31.10.2025 12:00:00
Списаны ТМЦ</t>
  </si>
  <si>
    <t>Обл. НДС
Герметик Оксипласт 12кг
Надходження товарів і послуг ІБ00-005041 від 05.09.2025 11:00:00
Цех екстракції (Глобине)</t>
  </si>
  <si>
    <t>Обл. НДС
Джгут TS-6 (500м/п)
Надходження товарів і послуг ІБ00-005041 від 05.09.2025 11:00:00
Цех екстракції (Глобине)</t>
  </si>
  <si>
    <t>Обл. НДС
Стрічка ТЕП 300/1D д/деформац шва
Надходження товарів і послуг ІБ00-005182 від 11.09.2025 11:00:00
Цех екстракції (Глобине)</t>
  </si>
  <si>
    <t>Обл. НДС
Клей епоксидний двокомпонент Гідрофлекс 21
Надходження товарів і послуг ІБ00-005182 від 11.09.2025 11:00:00
Цех екстракції (Глобине)</t>
  </si>
  <si>
    <t>Списання товарів ІБ00-000611 від 31.10.2025 19:00:00
Списаны ТМЦ</t>
  </si>
  <si>
    <t>Обл. НДС
Анкер 14*70 9,0-10,0/м нейлон д/газобетона
Надходження товарів і послуг ІБ00-004988 від 01.09.2025 11:00:00
Котельна (Глобине)</t>
  </si>
  <si>
    <t>Обл. НДС
Анкер 14*70 9,0-10,0/м нейлон д/газобетона
Надходження товарів і послуг ІБ00-006143 від 05.09.2025 21:00:27
Котельна (Глобине)</t>
  </si>
  <si>
    <t>Обл. НДС
Рейка для штукатурок оц. 3м 6 мм
Надходження товарів і послуг ІБ00-004200 від 15.07.2025 11:00:00
Котельна (Глобине)</t>
  </si>
  <si>
    <t>Обл. НДС
Стрічка малярна, 48мм*20м
Надходження товарів і послуг ІБ00-004988 від 01.09.2025 11:00:00
Котельна (Глобине)</t>
  </si>
  <si>
    <t>Вимога-накладна ІБ00-001003 від 31.10.2025 19:29:28
Списаны ТМЦ</t>
  </si>
  <si>
    <t>Вимога-накладна ІБ00-001004 від 31.10.2025 19:29:29
Списаны ТМЦ</t>
  </si>
  <si>
    <t>Вимога-накладна ІБ00-001005 від 31.10.2025 19:29:30
Списаны ТМЦ</t>
  </si>
  <si>
    <t>Вимога-накладна ІБ00-001006 від 31.10.2025 19:29:35
Списаны ТМЦ</t>
  </si>
  <si>
    <t>Вимога-накладна ІБ00-001008 від 31.10.2025 19:29:37
Списаны ТМЦ</t>
  </si>
  <si>
    <t>Обл. НДС
Сендвіч-панель ТПК стінова 100мм МВ 1000мм відкр замок С0,5 PS/C 0.45 PS 6,34м трап9006/трап 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</si>
  <si>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6,05м трап9006/трап 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</si>
  <si>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5,35м трап9006/трап 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</si>
  <si>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5,28м трап9006/трап 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</si>
  <si>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3,34м трап9006/трап 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</si>
  <si>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3,05м трап9006/трап 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</si>
  <si>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5,35м трап5005/трап9003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</si>
  <si>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5,28м трап5005/трап9003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</si>
  <si>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3,30м трап5005/трап9003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</si>
  <si>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3,15м трап5005/трап9003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</si>
  <si>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2,17м трап5005/трап9003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</si>
  <si>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3,34м трап5005/трап9003
Надходження товарів і послуг ІБ00-005688 від 29.09.2025 11:00:00
Резервуарний парк соєвої меляси (Глобине)</t>
  </si>
  <si>
    <t>Обл. НДС
Сендвіч-панель ТПК стінова 100мм МВ 1000мм відкр замок С0,5 PS/C 0.45 PS 3,27м трап5005/трап9003
Надходження товарів і послуг ІБ00-005688 від 29.09.2025 11:00:00
Резервуарний парк соєвої меляси (Глобине)</t>
  </si>
  <si>
    <t>Обл. НДС
Стрічка ущільнювальна ТПК УП-1 ППЕ НХ (5*50 мм 20 м)
Надходження товарів і послуг ІБ00-005648 від 29.09.2025 11:00:00
Резервуарний парк соєвої меляси (Глобине)</t>
  </si>
  <si>
    <t>Обл. НДС
Клей-герметик д/сендвіч-панелей, 600 мл
Надходження товарів і послуг ІБ00-005688 від 29.09.2025 11:00:00
Резервуарний парк соєвої меляси (Глобине)</t>
  </si>
  <si>
    <t>Обл. НДС
Самонаріз в метал до сендвіч-панелей 5,5*6,3/150 9006 срібло
Надходження товарів і послуг ІБ00-005688 від 29.09.2025 11:00:00
Резервуарний парк соєвої меляси (Глобине)</t>
  </si>
  <si>
    <t>Обл. НДС
Самонаріз в метал до сендвіч-панелей 5,5*6,3/150 5005 синій
Надходження товарів і послуг ІБ00-005688 від 29.09.2025 11:00:00
Резервуарний парк соєвої меляси (Глобине)</t>
  </si>
  <si>
    <t>Обл. НДС
Сендвіч-панель ТПК покрів 100мм МВ 1000мм С0,5 PS/C 0.5 PS 6,840м трапеція 5005 синій/9003 біл
Надходження товарів і послуг ІБ00-005648 від 29.09.2025 11:00:00
Резервуарний парк соєвої меляси (Глобине)</t>
  </si>
  <si>
    <t>Обл. НДС
Стрічка ущільнювальна ТПК УП-1 ППЕ НХ (5*50 мм 20 м)
Надходження товарів і послуг ІБ00-005688 від 29.09.2025 11:00:00
Резервуарний парк соєвої меляси (Глобине)</t>
  </si>
  <si>
    <t>Обл. НДС
Стрічка ущільнювальна ТПК УП-4 ППЕ 3*15мм 30м
Надходження товарів і послуг ІБ00-005648 від 29.09.2025 11:00:00
Резервуарний парк соєвої меляси (Глобине)</t>
  </si>
  <si>
    <t>Обл. НДС
Клей-герметик д/сендвіч- панелей Soudaflex 40 FC (12 шт/уп) (600мл(шт.) білий)
Надходження товарів і послуг ІБ00-005648 від 29.09.2025 11:00:00
Резервуарний парк соєвої меляси (Глобине)</t>
  </si>
  <si>
    <t>Обл. НДС
Ущільнювач КН для с/п 1 м ППЕ НХ
Надходження товарів і послуг ІБ00-005648 від 29.09.2025 11:00:00
Резервуарний парк соєвої меляси (Глобине)</t>
  </si>
  <si>
    <t>Обл. НДС
Самонаріз в метал до сендвіч-панелей 5,5*6,3/200 5005 синій
Надходження товарів і послуг ІБ00-005648 від 29.09.2025 11:00:00
Резервуарний парк соєвої меляси (Глобине)</t>
  </si>
  <si>
    <t>Обл. НДС
Саморіз  4,8*19 для скріплення листів 250шт 5005 синій
Надходження товарів і послуг ІБ00-005648 від 29.09.2025 11:00:00
Резервуарний парк соєвої меляси (Глобине)</t>
  </si>
  <si>
    <t>Вимога-накладна ІБ00-001009 від 31.10.2025 19:29:46
Списаны ТМЦ</t>
  </si>
  <si>
    <t>Списання товарів ІБ00-000610 від 31.10.2025 19:29:47
Списаны ТМЦ</t>
  </si>
  <si>
    <t>Вимога-накладна ІБ00-001010 від 31.10.2025 19:29:49
Списаны ТМЦ</t>
  </si>
  <si>
    <t>Обл. НДС
Балка 45 ІРЕ  S275/275  12,15 м
Надходження товарів і послуг ІБ00-003704 від 14.07.2025 11:00:00
СПК (Глобине)</t>
  </si>
  <si>
    <t>Обл. НДС
Швелер 10 (UREAA 100) S235 JR, 6,05 м
Надходження товарів і послуг ІБ00-003704 від 14.07.2025 11:00:00
СПК (Глобине)</t>
  </si>
  <si>
    <t>Обл. НДС
Швелер № 16П міра 12,00 м
Надходження товарів і послуг ІБ00-002356 від 20.05.2025 11:00:00
СПК (Глобине)</t>
  </si>
  <si>
    <t>Обл. НДС
Швелер 20П L= 12м
Надходження товарів і послуг ІБ00-005060 від 29.08.2025 11:00:00
СПК (Глобине)</t>
  </si>
  <si>
    <t>Обл. НДС
Швелер 30П міра 12,00 м 
Надходження товарів і послуг ІБ00-005060 від 29.08.2025 11:00:00
СПК (Глобине)</t>
  </si>
  <si>
    <t>Обл. НДС
Труба профільна 120*120*4 L=12000 мм ст1-3 сп/пс
Надходження товарів і послуг ІБ00-002983 від 13.06.2025 11:00:00
СПК (Глобине)</t>
  </si>
  <si>
    <t>Обл. НДС
Болт М12*40  DIN 933
Надходження товарів і послуг ІБ00-005316 від 18.09.2025 11:00:00
СПК (Глобине)</t>
  </si>
  <si>
    <t>Обл. НДС
Болт М12*45  DIN 933
Надходження товарів і послуг ІБ00-005316 від 18.09.2025 11:00:00
СПК (Глобине)</t>
  </si>
  <si>
    <t>Обл. НДС
Болт М16*40  DIN 933
Надходження товарів і послуг ІБ00-005316 від 18.09.2025 11:00:00
СПК (Глобине)</t>
  </si>
  <si>
    <t>Обл. НДС
Болт М16*55  DIN 933 8,8 цб пр
Надходження товарів і послуг ІБ00-005316 від 18.09.2025 11:00:00
СПК (Глобине)</t>
  </si>
  <si>
    <t>Обл. НДС
Болт М16*60  DIN 933 оц. 8.8цб
Надходження товарів і послуг ІБ00-005316 від 18.09.2025 11:00:00
СПК (Глобине)</t>
  </si>
  <si>
    <t>Обл. НДС
Болт М16*65  DIN 933 цб
Надходження товарів і послуг ІБ00-005316 від 18.09.2025 11:00:00
СПК (Глобине)</t>
  </si>
  <si>
    <t>Обл. НДС
Болт М16*150  DIN 933
Надходження товарів і послуг ІБ00-005316 від 18.09.2025 11:00:00
СПК (Глобине)</t>
  </si>
  <si>
    <t>Обл. НДС
Гайка DIN934 M 12
Надходження товарів і послуг ІБ00-005316 від 18.09.2025 11:00:00
СПК (Глобине)</t>
  </si>
  <si>
    <t>Обл. НДС
Гайка М16 DIN 934 ЦБ
Надходження товарів і послуг ІБ00-005316 від 18.09.2025 11:00:00
СПК (Глобине)</t>
  </si>
  <si>
    <t>Обл. НДС
Грунт ГФ-021 сірий
Надходження товарів і послуг ІБ00-002854 від 09.06.2025 11:00:00
СПК (Глобине)</t>
  </si>
  <si>
    <t>Обл. НДС
Грунт ГФ-021 сірий
Надходження товарів і послуг ІБ00-003462 від 03.07.2025 11:00:00
СПК (Глобине)</t>
  </si>
  <si>
    <t>Обл. НДС
Розчинник "White Spirit" (л)
Надходження товарів і послуг ІБ00-003462 від 03.07.2025 11:00:00
СПК (Глобине)</t>
  </si>
  <si>
    <t>Вимога-накладна ІБ00-001011 від 31.10.2025 19:29:54
Списаны ТМЦ</t>
  </si>
  <si>
    <t>Вимога-накладна ІБ00-001012 від 31.10.2025 20:00:02
Списаны ТМЦ</t>
  </si>
  <si>
    <t>Обл. НДС
Модульна конструкція світлопрозора енергоефект легкоскідна
Надходження товарів і послуг ІБ00-004999 від 01.09.2025 11:00:00
Котельна (Глобине)</t>
  </si>
  <si>
    <t>Обл. НДС
Гіпсокартон KNAUF 12,5 мм х 1,2 х 2,5 м
Надходження товарів і послуг ІБ00-004199 від 29.07.2025 11:00:00
Котельна (Глобине)</t>
  </si>
  <si>
    <t>Обл. НДС
Шуруп 3,5*25 для г/к по металу
Надходження товарів і послуг ІБ00-004199 від 29.07.2025 11:00:00
Котельна (Глобине)</t>
  </si>
  <si>
    <t>Обл. НДС
Шуруп г/к по металу 3,5*35 мм
Надходження товарів і послуг ІБ00-004199 від 29.07.2025 11:00:00
Котельна (Глобине)</t>
  </si>
  <si>
    <t>Обл. НДС
Стрічка демпферна 150 мм*50 м*8 мм
Надходження товарів і послуг ІБ00-005074 від 10.09.2025 11:00:00
Котельна (Глобине)</t>
  </si>
  <si>
    <t>Обл. НДС
Цемент ПЦ ІІ/А-Ш 500 , 25 кг
Надходження товарів і послуг ІБ00-002352 від 01.05.2025 11:00:00
Котельна (Глобине)</t>
  </si>
  <si>
    <t>Обл. НДС
Армопояс ф3 150*150мм р2,0*1,0м
Надходження товарів і послуг ІБ00-005338 від 15.09.2025 11:00:00
Котельна (Глобине)</t>
  </si>
  <si>
    <t>Обл. НДС
Армопояс ф3 150*150мм р2,0*1,0м
Надходження товарів і послуг ІБ00-005334 від 18.09.2025 11:00:00
Котельна (Глобине)</t>
  </si>
  <si>
    <t>Обл. НДС
Штукатурка МП-75 30кг
Надходження товарів і послуг ІБ00-004200 від 15.07.2025 11:00:00
Котельна (Глобине)</t>
  </si>
  <si>
    <t>Обл. НДС
Грунтівка 10кг
Надходження товарів і послуг ІБ00-004200 від 15.07.2025 11:00:00
Котельна (Глобине)</t>
  </si>
  <si>
    <t>Вимога-накладна ІБ00-001013 від 31.10.2025 20:00:05
Списаны ТМЦ</t>
  </si>
  <si>
    <t>Обл. НДС
Балка 20 ІРЕ 12,05м S235/275
Надходження товарів і послуг ІБ00-003704 від 14.07.2025 11:00:00
СПК (Глобине)</t>
  </si>
  <si>
    <t>Обл. НДС
Кутики 100х100х7 мм; ст. 3пс5; 12 м
Надходження товарів і послуг ІБ00-003704 від 14.07.2025 11:00:00
СПК (Глобине)</t>
  </si>
  <si>
    <t>Обл. НДС
Труба 100х100х4 (12,05- 8940:2019 08кп/1-3пс)
Надходження товарів і послуг ІБ00-003704 від 14.07.2025 11:00:00
СПК (Глобине)</t>
  </si>
  <si>
    <t>Списання товарів ІБ00-000650 від 31.10.2025 21:00:00
Списаны ТМЦ</t>
  </si>
  <si>
    <t>Вимога-накладна ІБ00-001017 від 31.10.2025 21:00:00
Списаны ТМЦ</t>
  </si>
  <si>
    <t>Вимога-накладна ІБ00-001018 від 31.10.2025 21:00:00
Списаны ТМЦ</t>
  </si>
  <si>
    <t>Вимога-накладна ІБ00-001019 від 31.10.2025 21:00:00
Списаны ТМЦ</t>
  </si>
  <si>
    <t>Вимога-накладна ІБ00-001020 від 31.10.2025 21:00:00
Списаны ТМЦ</t>
  </si>
  <si>
    <t>Вимога-накладна ІБ00-001024 від 31.10.2025 21:00:00
Списаны ТМЦ</t>
  </si>
  <si>
    <t>Обл. НДС
Арматура № 6,5  А240С L=6000 мм
Переміщення товарів ІБ00-000864 від 29.08.2025 11:10:00
Цех екстракції (Глобине)</t>
  </si>
  <si>
    <t>Вимога-накладна ІБ00-001025 від 31.10.2025 21:00:00
Списаны ТМЦ</t>
  </si>
  <si>
    <t>Вимога-накладна ІБ00-001026 від 31.10.2025 21:00:00
Списаны ТМЦ</t>
  </si>
  <si>
    <t>Обл. НДС
Труба профільна 120*120*4 L=12000 мм ст1-3 сп/пс
Надходження товарів і послуг ІБ00-002984 від 13.06.2025 11:00:00
СПК (Глобине)</t>
  </si>
  <si>
    <t>Обл. НДС
Грунт ГФ-021C червон.-коричн. 25 кг
Надходження товарів і послуг ІБ00-001791 від 18.04.2025 11:00:00
СПК (Глобине)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</si>
</sst>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3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1" xfId="1" applyNumberFormat="1" applyFont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1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vertical="top"/>
    </xf>
    <xf numFmtId="0" fontId="2" fillId="2" borderId="3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horizontal="center" vertical="top"/>
    </xf>
    <xf numFmtId="0" fontId="2" fillId="2" borderId="4" xfId="2" applyNumberFormat="1" applyFont="1" applyFill="1" applyBorder="1" applyAlignment="1">
      <alignment horizontal="center" vertical="top"/>
    </xf>
    <xf numFmtId="0" fontId="2" fillId="2" borderId="5" xfId="2" applyNumberFormat="1" applyFont="1" applyFill="1" applyBorder="1" applyAlignment="1">
      <alignment vertical="top"/>
    </xf>
    <xf numFmtId="0" fontId="2" fillId="2" borderId="6" xfId="2" applyNumberFormat="1" applyFont="1" applyFill="1" applyBorder="1" applyAlignment="1">
      <alignment vertical="top"/>
    </xf>
    <xf numFmtId="0" fontId="2" fillId="2" borderId="7" xfId="2" applyNumberFormat="1" applyFont="1" applyFill="1" applyBorder="1" applyAlignment="1">
      <alignment vertical="top"/>
    </xf>
    <xf numFmtId="0" fontId="2" fillId="2" borderId="4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9" xfId="2" applyNumberFormat="1" applyFont="1" applyFill="1" applyBorder="1" applyAlignment="1">
      <alignment vertical="top"/>
    </xf>
    <xf numFmtId="0" fontId="2" fillId="2" borderId="10" xfId="2" applyNumberFormat="1" applyFont="1" applyFill="1" applyBorder="1" applyAlignment="1">
      <alignment vertical="top"/>
    </xf>
    <xf numFmtId="0" fontId="3" fillId="0" borderId="11" xfId="2" applyNumberFormat="1" applyFont="1" applyBorder="1" applyAlignment="1">
      <alignment vertical="top"/>
    </xf>
    <xf numFmtId="0" fontId="3" fillId="0" borderId="11" xfId="2" applyNumberFormat="1" applyFont="1" applyBorder="1" applyAlignment="1">
      <alignment vertical="top" wrapText="1"/>
    </xf>
    <xf numFmtId="0" fontId="3" fillId="0" borderId="11" xfId="2" applyNumberFormat="1" applyFont="1" applyBorder="1" applyAlignment="1">
      <alignment horizontal="left" vertical="top"/>
    </xf>
    <xf numFmtId="4" fontId="3" fillId="0" borderId="11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0" fontId="3" fillId="0" borderId="12" xfId="2" applyNumberFormat="1" applyFont="1" applyBorder="1" applyAlignment="1">
      <alignment horizontal="center" vertical="top"/>
    </xf>
    <xf numFmtId="4" fontId="3" fillId="0" borderId="13" xfId="2" applyNumberFormat="1" applyFont="1" applyBorder="1" applyAlignment="1">
      <alignment horizontal="right" vertical="top" wrapText="1"/>
    </xf>
    <xf numFmtId="2" fontId="3" fillId="0" borderId="11" xfId="2" applyNumberFormat="1" applyFont="1" applyBorder="1" applyAlignment="1">
      <alignment horizontal="right" vertical="top" wrapText="1"/>
    </xf>
    <xf numFmtId="0" fontId="3" fillId="0" borderId="11" xfId="2" applyNumberFormat="1" applyFont="1" applyBorder="1" applyAlignment="1">
      <alignment horizontal="right" vertical="top" wrapText="1"/>
    </xf>
    <xf numFmtId="4" fontId="3" fillId="0" borderId="13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0" fontId="4" fillId="2" borderId="11" xfId="2" applyNumberFormat="1" applyFont="1" applyFill="1" applyBorder="1" applyAlignment="1">
      <alignment vertical="top"/>
    </xf>
    <xf numFmtId="4" fontId="4" fillId="2" borderId="11" xfId="2" applyNumberFormat="1" applyFont="1" applyFill="1" applyBorder="1" applyAlignment="1">
      <alignment horizontal="right" vertical="top" wrapText="1"/>
    </xf>
    <xf numFmtId="0" fontId="4" fillId="2" borderId="12" xfId="2" applyNumberFormat="1" applyFont="1" applyFill="1" applyBorder="1" applyAlignment="1">
      <alignment horizontal="center" vertical="top"/>
    </xf>
    <xf numFmtId="4" fontId="4" fillId="2" borderId="13" xfId="2" applyNumberFormat="1" applyFont="1" applyFill="1" applyBorder="1" applyAlignment="1">
      <alignment horizontal="right" vertical="top" wrapText="1"/>
    </xf>
    <xf numFmtId="0" fontId="2" fillId="2" borderId="1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vertical="top"/>
    </xf>
    <xf numFmtId="0" fontId="2" fillId="2" borderId="3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horizontal="center" vertical="top"/>
    </xf>
    <xf numFmtId="0" fontId="2" fillId="2" borderId="4" xfId="3" applyNumberFormat="1" applyFont="1" applyFill="1" applyBorder="1" applyAlignment="1">
      <alignment horizontal="center" vertical="top"/>
    </xf>
    <xf numFmtId="0" fontId="2" fillId="2" borderId="5" xfId="3" applyNumberFormat="1" applyFont="1" applyFill="1" applyBorder="1" applyAlignment="1">
      <alignment vertical="top"/>
    </xf>
    <xf numFmtId="0" fontId="2" fillId="2" borderId="6" xfId="3" applyNumberFormat="1" applyFont="1" applyFill="1" applyBorder="1" applyAlignment="1">
      <alignment vertical="top"/>
    </xf>
    <xf numFmtId="0" fontId="2" fillId="2" borderId="7" xfId="3" applyNumberFormat="1" applyFont="1" applyFill="1" applyBorder="1" applyAlignment="1">
      <alignment vertical="top"/>
    </xf>
    <xf numFmtId="0" fontId="2" fillId="2" borderId="4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9" xfId="3" applyNumberFormat="1" applyFont="1" applyFill="1" applyBorder="1" applyAlignment="1">
      <alignment vertical="top"/>
    </xf>
    <xf numFmtId="0" fontId="2" fillId="2" borderId="10" xfId="3" applyNumberFormat="1" applyFont="1" applyFill="1" applyBorder="1" applyAlignment="1">
      <alignment vertical="top"/>
    </xf>
    <xf numFmtId="0" fontId="3" fillId="0" borderId="11" xfId="3" applyNumberFormat="1" applyFont="1" applyBorder="1" applyAlignment="1">
      <alignment vertical="top"/>
    </xf>
    <xf numFmtId="0" fontId="3" fillId="0" borderId="11" xfId="3" applyNumberFormat="1" applyFont="1" applyBorder="1" applyAlignment="1">
      <alignment vertical="top" wrapText="1"/>
    </xf>
    <xf numFmtId="0" fontId="3" fillId="0" borderId="11" xfId="3" applyNumberFormat="1" applyFont="1" applyBorder="1" applyAlignment="1">
      <alignment horizontal="left" vertical="top"/>
    </xf>
    <xf numFmtId="0" fontId="3" fillId="0" borderId="11" xfId="3" applyNumberFormat="1" applyFont="1" applyBorder="1" applyAlignment="1">
      <alignment horizontal="right" vertical="top" wrapText="1"/>
    </xf>
    <xf numFmtId="4" fontId="3" fillId="0" borderId="13" xfId="3" applyNumberFormat="1" applyFont="1" applyBorder="1" applyAlignment="1">
      <alignment horizontal="right" vertical="top" wrapText="1"/>
    </xf>
    <xf numFmtId="0" fontId="3" fillId="0" borderId="12" xfId="3" applyNumberFormat="1" applyFont="1" applyBorder="1" applyAlignment="1">
      <alignment horizontal="center" vertical="top"/>
    </xf>
    <xf numFmtId="4" fontId="3" fillId="0" borderId="13" xfId="3" applyNumberFormat="1" applyFont="1" applyBorder="1" applyAlignment="1">
      <alignment horizontal="right" vertical="top" wrapText="1"/>
    </xf>
    <xf numFmtId="2" fontId="3" fillId="0" borderId="13" xfId="3" applyNumberFormat="1" applyFont="1" applyBorder="1" applyAlignment="1">
      <alignment horizontal="right" vertical="top" wrapText="1"/>
    </xf>
    <xf numFmtId="2" fontId="3" fillId="0" borderId="11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right" vertical="top" wrapText="1"/>
    </xf>
    <xf numFmtId="4" fontId="3" fillId="0" borderId="11" xfId="3" applyNumberFormat="1" applyFont="1" applyBorder="1" applyAlignment="1">
      <alignment horizontal="right" vertical="top" wrapText="1"/>
    </xf>
    <xf numFmtId="0" fontId="4" fillId="2" borderId="11" xfId="3" applyNumberFormat="1" applyFont="1" applyFill="1" applyBorder="1" applyAlignment="1">
      <alignment vertical="top"/>
    </xf>
    <xf numFmtId="4" fontId="4" fillId="2" borderId="11" xfId="3" applyNumberFormat="1" applyFont="1" applyFill="1" applyBorder="1" applyAlignment="1">
      <alignment horizontal="right" vertical="top" wrapText="1"/>
    </xf>
    <xf numFmtId="0" fontId="4" fillId="2" borderId="12" xfId="3" applyNumberFormat="1" applyFont="1" applyFill="1" applyBorder="1" applyAlignment="1">
      <alignment horizontal="center" vertical="top"/>
    </xf>
    <xf numFmtId="4" fontId="4" fillId="2" borderId="13" xfId="3" applyNumberFormat="1" applyFont="1" applyFill="1" applyBorder="1" applyAlignment="1">
      <alignment horizontal="right" vertical="top" wrapText="1"/>
    </xf>
    <xf numFmtId="0" fontId="2" fillId="2" borderId="1" xfId="4" applyNumberFormat="1" applyFont="1" applyFill="1" applyBorder="1" applyAlignment="1">
      <alignment vertical="top"/>
    </xf>
    <xf numFmtId="0" fontId="2" fillId="2" borderId="2" xfId="4" applyNumberFormat="1" applyFont="1" applyFill="1" applyBorder="1" applyAlignment="1">
      <alignment vertical="top"/>
    </xf>
    <xf numFmtId="0" fontId="2" fillId="2" borderId="3" xfId="4" applyNumberFormat="1" applyFont="1" applyFill="1" applyBorder="1" applyAlignment="1">
      <alignment vertical="top"/>
    </xf>
    <xf numFmtId="0" fontId="2" fillId="2" borderId="2" xfId="4" applyNumberFormat="1" applyFont="1" applyFill="1" applyBorder="1" applyAlignment="1">
      <alignment horizontal="center" vertical="top"/>
    </xf>
    <xf numFmtId="0" fontId="2" fillId="2" borderId="4" xfId="4" applyNumberFormat="1" applyFont="1" applyFill="1" applyBorder="1" applyAlignment="1">
      <alignment horizontal="center" vertical="top"/>
    </xf>
    <xf numFmtId="0" fontId="2" fillId="2" borderId="5" xfId="4" applyNumberFormat="1" applyFont="1" applyFill="1" applyBorder="1" applyAlignment="1">
      <alignment vertical="top"/>
    </xf>
    <xf numFmtId="0" fontId="2" fillId="2" borderId="6" xfId="4" applyNumberFormat="1" applyFont="1" applyFill="1" applyBorder="1" applyAlignment="1">
      <alignment vertical="top"/>
    </xf>
    <xf numFmtId="0" fontId="2" fillId="2" borderId="7" xfId="4" applyNumberFormat="1" applyFont="1" applyFill="1" applyBorder="1" applyAlignment="1">
      <alignment vertical="top"/>
    </xf>
    <xf numFmtId="0" fontId="2" fillId="2" borderId="4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2" fillId="2" borderId="9" xfId="4" applyNumberFormat="1" applyFont="1" applyFill="1" applyBorder="1" applyAlignment="1">
      <alignment vertical="top"/>
    </xf>
    <xf numFmtId="0" fontId="2" fillId="2" borderId="10" xfId="4" applyNumberFormat="1" applyFont="1" applyFill="1" applyBorder="1" applyAlignment="1">
      <alignment vertical="top"/>
    </xf>
    <xf numFmtId="0" fontId="3" fillId="0" borderId="11" xfId="4" applyNumberFormat="1" applyFont="1" applyBorder="1" applyAlignment="1">
      <alignment vertical="top"/>
    </xf>
    <xf numFmtId="0" fontId="3" fillId="0" borderId="11" xfId="4" applyNumberFormat="1" applyFont="1" applyBorder="1" applyAlignment="1">
      <alignment vertical="top" wrapText="1"/>
    </xf>
    <xf numFmtId="0" fontId="3" fillId="0" borderId="11" xfId="4" applyNumberFormat="1" applyFont="1" applyBorder="1" applyAlignment="1">
      <alignment horizontal="left" vertical="top"/>
    </xf>
    <xf numFmtId="2" fontId="3" fillId="0" borderId="11" xfId="4" applyNumberFormat="1" applyFont="1" applyBorder="1" applyAlignment="1">
      <alignment horizontal="right" vertical="top" wrapText="1"/>
    </xf>
    <xf numFmtId="0" fontId="3" fillId="0" borderId="13" xfId="4" applyNumberFormat="1" applyFont="1" applyBorder="1" applyAlignment="1">
      <alignment horizontal="right" vertical="top" wrapText="1"/>
    </xf>
    <xf numFmtId="0" fontId="3" fillId="0" borderId="12" xfId="4" applyNumberFormat="1" applyFont="1" applyBorder="1" applyAlignment="1">
      <alignment horizontal="center" vertical="top"/>
    </xf>
    <xf numFmtId="4" fontId="3" fillId="0" borderId="13" xfId="4" applyNumberFormat="1" applyFont="1" applyBorder="1" applyAlignment="1">
      <alignment horizontal="right" vertical="top" wrapText="1"/>
    </xf>
    <xf numFmtId="4" fontId="3" fillId="0" borderId="11" xfId="4" applyNumberFormat="1" applyFont="1" applyBorder="1" applyAlignment="1">
      <alignment horizontal="right" vertical="top" wrapText="1"/>
    </xf>
    <xf numFmtId="0" fontId="3" fillId="0" borderId="11" xfId="4" applyNumberFormat="1" applyFont="1" applyBorder="1" applyAlignment="1">
      <alignment horizontal="right" vertical="top" wrapText="1"/>
    </xf>
    <xf numFmtId="2" fontId="3" fillId="0" borderId="13" xfId="4" applyNumberFormat="1" applyFont="1" applyBorder="1" applyAlignment="1">
      <alignment horizontal="right" vertical="top" wrapText="1"/>
    </xf>
    <xf numFmtId="4" fontId="3" fillId="0" borderId="13" xfId="4" applyNumberFormat="1" applyFont="1" applyBorder="1" applyAlignment="1">
      <alignment horizontal="right" vertical="top" wrapText="1"/>
    </xf>
    <xf numFmtId="2" fontId="3" fillId="0" borderId="13" xfId="4" applyNumberFormat="1" applyFont="1" applyBorder="1" applyAlignment="1">
      <alignment horizontal="right" vertical="top" wrapText="1"/>
    </xf>
    <xf numFmtId="0" fontId="4" fillId="2" borderId="11" xfId="4" applyNumberFormat="1" applyFont="1" applyFill="1" applyBorder="1" applyAlignment="1">
      <alignment vertical="top"/>
    </xf>
    <xf numFmtId="4" fontId="4" fillId="2" borderId="11" xfId="4" applyNumberFormat="1" applyFont="1" applyFill="1" applyBorder="1" applyAlignment="1">
      <alignment horizontal="right" vertical="top" wrapText="1"/>
    </xf>
    <xf numFmtId="0" fontId="4" fillId="2" borderId="12" xfId="4" applyNumberFormat="1" applyFont="1" applyFill="1" applyBorder="1" applyAlignment="1">
      <alignment horizontal="center" vertical="top"/>
    </xf>
    <xf numFmtId="4" fontId="4" fillId="2" borderId="13" xfId="4" applyNumberFormat="1" applyFont="1" applyFill="1" applyBorder="1" applyAlignment="1">
      <alignment horizontal="right" vertical="top" wrapText="1"/>
    </xf>
    <xf numFmtId="0" fontId="2" fillId="2" borderId="1" xfId="5" applyNumberFormat="1" applyFont="1" applyFill="1" applyBorder="1" applyAlignment="1">
      <alignment vertical="top"/>
    </xf>
    <xf numFmtId="0" fontId="2" fillId="2" borderId="2" xfId="5" applyNumberFormat="1" applyFont="1" applyFill="1" applyBorder="1" applyAlignment="1">
      <alignment vertical="top"/>
    </xf>
    <xf numFmtId="0" fontId="2" fillId="2" borderId="3" xfId="5" applyNumberFormat="1" applyFont="1" applyFill="1" applyBorder="1" applyAlignment="1">
      <alignment vertical="top"/>
    </xf>
    <xf numFmtId="0" fontId="2" fillId="2" borderId="2" xfId="5" applyNumberFormat="1" applyFont="1" applyFill="1" applyBorder="1" applyAlignment="1">
      <alignment horizontal="center" vertical="top"/>
    </xf>
    <xf numFmtId="0" fontId="2" fillId="2" borderId="4" xfId="5" applyNumberFormat="1" applyFont="1" applyFill="1" applyBorder="1" applyAlignment="1">
      <alignment horizontal="center" vertical="top"/>
    </xf>
    <xf numFmtId="0" fontId="2" fillId="2" borderId="5" xfId="5" applyNumberFormat="1" applyFont="1" applyFill="1" applyBorder="1" applyAlignment="1">
      <alignment vertical="top"/>
    </xf>
    <xf numFmtId="0" fontId="2" fillId="2" borderId="6" xfId="5" applyNumberFormat="1" applyFont="1" applyFill="1" applyBorder="1" applyAlignment="1">
      <alignment vertical="top"/>
    </xf>
    <xf numFmtId="0" fontId="2" fillId="2" borderId="7" xfId="5" applyNumberFormat="1" applyFont="1" applyFill="1" applyBorder="1" applyAlignment="1">
      <alignment vertical="top"/>
    </xf>
    <xf numFmtId="0" fontId="2" fillId="2" borderId="4" xfId="5" applyNumberFormat="1" applyFont="1" applyFill="1" applyBorder="1" applyAlignment="1">
      <alignment vertical="top"/>
    </xf>
    <xf numFmtId="0" fontId="2" fillId="2" borderId="8" xfId="5" applyNumberFormat="1" applyFont="1" applyFill="1" applyBorder="1" applyAlignment="1">
      <alignment vertical="top"/>
    </xf>
    <xf numFmtId="0" fontId="2" fillId="2" borderId="8" xfId="5" applyNumberFormat="1" applyFont="1" applyFill="1" applyBorder="1" applyAlignment="1">
      <alignment vertical="top"/>
    </xf>
    <xf numFmtId="0" fontId="2" fillId="2" borderId="9" xfId="5" applyNumberFormat="1" applyFont="1" applyFill="1" applyBorder="1" applyAlignment="1">
      <alignment vertical="top"/>
    </xf>
    <xf numFmtId="0" fontId="2" fillId="2" borderId="10" xfId="5" applyNumberFormat="1" applyFont="1" applyFill="1" applyBorder="1" applyAlignment="1">
      <alignment vertical="top"/>
    </xf>
    <xf numFmtId="0" fontId="3" fillId="0" borderId="11" xfId="5" applyNumberFormat="1" applyFont="1" applyBorder="1" applyAlignment="1">
      <alignment vertical="top"/>
    </xf>
    <xf numFmtId="0" fontId="3" fillId="0" borderId="11" xfId="5" applyNumberFormat="1" applyFont="1" applyBorder="1" applyAlignment="1">
      <alignment vertical="top" wrapText="1"/>
    </xf>
    <xf numFmtId="0" fontId="3" fillId="0" borderId="11" xfId="5" applyNumberFormat="1" applyFont="1" applyBorder="1" applyAlignment="1">
      <alignment horizontal="left" vertical="top"/>
    </xf>
    <xf numFmtId="0" fontId="3" fillId="0" borderId="11" xfId="5" applyNumberFormat="1" applyFont="1" applyBorder="1" applyAlignment="1">
      <alignment horizontal="right" vertical="top" wrapText="1"/>
    </xf>
    <xf numFmtId="4" fontId="3" fillId="0" borderId="13" xfId="5" applyNumberFormat="1" applyFont="1" applyBorder="1" applyAlignment="1">
      <alignment horizontal="right" vertical="top" wrapText="1"/>
    </xf>
    <xf numFmtId="0" fontId="3" fillId="0" borderId="12" xfId="5" applyNumberFormat="1" applyFont="1" applyBorder="1" applyAlignment="1">
      <alignment horizontal="center" vertical="top"/>
    </xf>
    <xf numFmtId="4" fontId="3" fillId="0" borderId="13" xfId="5" applyNumberFormat="1" applyFont="1" applyBorder="1" applyAlignment="1">
      <alignment horizontal="right" vertical="top" wrapText="1"/>
    </xf>
    <xf numFmtId="2" fontId="3" fillId="0" borderId="13" xfId="5" applyNumberFormat="1" applyFont="1" applyBorder="1" applyAlignment="1">
      <alignment horizontal="right" vertical="top" wrapText="1"/>
    </xf>
    <xf numFmtId="0" fontId="4" fillId="2" borderId="11" xfId="5" applyNumberFormat="1" applyFont="1" applyFill="1" applyBorder="1" applyAlignment="1">
      <alignment vertical="top"/>
    </xf>
    <xf numFmtId="2" fontId="4" fillId="2" borderId="11" xfId="5" applyNumberFormat="1" applyFont="1" applyFill="1" applyBorder="1" applyAlignment="1">
      <alignment horizontal="right" vertical="top" wrapText="1"/>
    </xf>
    <xf numFmtId="4" fontId="4" fillId="2" borderId="11" xfId="5" applyNumberFormat="1" applyFont="1" applyFill="1" applyBorder="1" applyAlignment="1">
      <alignment horizontal="right" vertical="top" wrapText="1"/>
    </xf>
    <xf numFmtId="0" fontId="4" fillId="2" borderId="12" xfId="5" applyNumberFormat="1" applyFont="1" applyFill="1" applyBorder="1" applyAlignment="1">
      <alignment horizontal="center" vertical="top"/>
    </xf>
    <xf numFmtId="4" fontId="4" fillId="2" borderId="13" xfId="5" applyNumberFormat="1" applyFont="1" applyFill="1" applyBorder="1" applyAlignment="1">
      <alignment horizontal="right" vertical="top" wrapText="1"/>
    </xf>
    <xf numFmtId="0" fontId="2" fillId="2" borderId="1" xfId="6" applyNumberFormat="1" applyFont="1" applyFill="1" applyBorder="1" applyAlignment="1">
      <alignment vertical="top"/>
    </xf>
    <xf numFmtId="0" fontId="2" fillId="2" borderId="2" xfId="6" applyNumberFormat="1" applyFont="1" applyFill="1" applyBorder="1" applyAlignment="1">
      <alignment vertical="top"/>
    </xf>
    <xf numFmtId="0" fontId="2" fillId="2" borderId="3" xfId="6" applyNumberFormat="1" applyFont="1" applyFill="1" applyBorder="1" applyAlignment="1">
      <alignment vertical="top"/>
    </xf>
    <xf numFmtId="0" fontId="2" fillId="2" borderId="2" xfId="6" applyNumberFormat="1" applyFont="1" applyFill="1" applyBorder="1" applyAlignment="1">
      <alignment horizontal="center" vertical="top"/>
    </xf>
    <xf numFmtId="0" fontId="2" fillId="2" borderId="4" xfId="6" applyNumberFormat="1" applyFont="1" applyFill="1" applyBorder="1" applyAlignment="1">
      <alignment horizontal="center" vertical="top"/>
    </xf>
    <xf numFmtId="0" fontId="2" fillId="2" borderId="5" xfId="6" applyNumberFormat="1" applyFont="1" applyFill="1" applyBorder="1" applyAlignment="1">
      <alignment vertical="top"/>
    </xf>
    <xf numFmtId="0" fontId="2" fillId="2" borderId="6" xfId="6" applyNumberFormat="1" applyFont="1" applyFill="1" applyBorder="1" applyAlignment="1">
      <alignment vertical="top"/>
    </xf>
    <xf numFmtId="0" fontId="2" fillId="2" borderId="7" xfId="6" applyNumberFormat="1" applyFont="1" applyFill="1" applyBorder="1" applyAlignment="1">
      <alignment vertical="top"/>
    </xf>
    <xf numFmtId="0" fontId="2" fillId="2" borderId="4" xfId="6" applyNumberFormat="1" applyFont="1" applyFill="1" applyBorder="1" applyAlignment="1">
      <alignment vertical="top"/>
    </xf>
    <xf numFmtId="0" fontId="2" fillId="2" borderId="8" xfId="6" applyNumberFormat="1" applyFont="1" applyFill="1" applyBorder="1" applyAlignment="1">
      <alignment vertical="top"/>
    </xf>
    <xf numFmtId="0" fontId="2" fillId="2" borderId="8" xfId="6" applyNumberFormat="1" applyFont="1" applyFill="1" applyBorder="1" applyAlignment="1">
      <alignment vertical="top"/>
    </xf>
    <xf numFmtId="0" fontId="2" fillId="2" borderId="9" xfId="6" applyNumberFormat="1" applyFont="1" applyFill="1" applyBorder="1" applyAlignment="1">
      <alignment vertical="top"/>
    </xf>
    <xf numFmtId="0" fontId="2" fillId="2" borderId="10" xfId="6" applyNumberFormat="1" applyFont="1" applyFill="1" applyBorder="1" applyAlignment="1">
      <alignment vertical="top"/>
    </xf>
    <xf numFmtId="0" fontId="3" fillId="0" borderId="11" xfId="6" applyNumberFormat="1" applyFont="1" applyBorder="1" applyAlignment="1">
      <alignment vertical="top"/>
    </xf>
    <xf numFmtId="0" fontId="3" fillId="0" borderId="11" xfId="6" applyNumberFormat="1" applyFont="1" applyBorder="1" applyAlignment="1">
      <alignment vertical="top" wrapText="1"/>
    </xf>
    <xf numFmtId="0" fontId="3" fillId="0" borderId="11" xfId="6" applyNumberFormat="1" applyFont="1" applyBorder="1" applyAlignment="1">
      <alignment horizontal="left" vertical="top"/>
    </xf>
    <xf numFmtId="4" fontId="3" fillId="0" borderId="11" xfId="6" applyNumberFormat="1" applyFont="1" applyBorder="1" applyAlignment="1">
      <alignment horizontal="right" vertical="top" wrapText="1"/>
    </xf>
    <xf numFmtId="0" fontId="3" fillId="0" borderId="13" xfId="6" applyNumberFormat="1" applyFont="1" applyBorder="1" applyAlignment="1">
      <alignment horizontal="right" vertical="top" wrapText="1"/>
    </xf>
    <xf numFmtId="0" fontId="3" fillId="0" borderId="12" xfId="6" applyNumberFormat="1" applyFont="1" applyBorder="1" applyAlignment="1">
      <alignment horizontal="center" vertical="top"/>
    </xf>
    <xf numFmtId="4" fontId="3" fillId="0" borderId="13" xfId="6" applyNumberFormat="1" applyFont="1" applyBorder="1" applyAlignment="1">
      <alignment horizontal="right" vertical="top" wrapText="1"/>
    </xf>
    <xf numFmtId="2" fontId="3" fillId="0" borderId="11" xfId="6" applyNumberFormat="1" applyFont="1" applyBorder="1" applyAlignment="1">
      <alignment horizontal="right" vertical="top" wrapText="1"/>
    </xf>
    <xf numFmtId="0" fontId="3" fillId="0" borderId="11" xfId="6" applyNumberFormat="1" applyFont="1" applyBorder="1" applyAlignment="1">
      <alignment horizontal="right" vertical="top" wrapText="1"/>
    </xf>
    <xf numFmtId="4" fontId="3" fillId="0" borderId="13" xfId="6" applyNumberFormat="1" applyFont="1" applyBorder="1" applyAlignment="1">
      <alignment horizontal="right" vertical="top" wrapText="1"/>
    </xf>
    <xf numFmtId="2" fontId="3" fillId="0" borderId="13" xfId="6" applyNumberFormat="1" applyFont="1" applyBorder="1" applyAlignment="1">
      <alignment horizontal="right" vertical="top" wrapText="1"/>
    </xf>
    <xf numFmtId="0" fontId="4" fillId="2" borderId="11" xfId="6" applyNumberFormat="1" applyFont="1" applyFill="1" applyBorder="1" applyAlignment="1">
      <alignment vertical="top"/>
    </xf>
    <xf numFmtId="4" fontId="4" fillId="2" borderId="11" xfId="6" applyNumberFormat="1" applyFont="1" applyFill="1" applyBorder="1" applyAlignment="1">
      <alignment horizontal="right" vertical="top" wrapText="1"/>
    </xf>
    <xf numFmtId="0" fontId="4" fillId="2" borderId="12" xfId="6" applyNumberFormat="1" applyFont="1" applyFill="1" applyBorder="1" applyAlignment="1">
      <alignment horizontal="center" vertical="top"/>
    </xf>
    <xf numFmtId="4" fontId="4" fillId="2" borderId="13" xfId="6" applyNumberFormat="1" applyFont="1" applyFill="1" applyBorder="1" applyAlignment="1">
      <alignment horizontal="right" vertical="top" wrapText="1"/>
    </xf>
    <xf numFmtId="0" fontId="2" fillId="2" borderId="1" xfId="7" applyNumberFormat="1" applyFont="1" applyFill="1" applyBorder="1" applyAlignment="1">
      <alignment vertical="top"/>
    </xf>
    <xf numFmtId="0" fontId="2" fillId="2" borderId="2" xfId="7" applyNumberFormat="1" applyFont="1" applyFill="1" applyBorder="1" applyAlignment="1">
      <alignment vertical="top"/>
    </xf>
    <xf numFmtId="0" fontId="2" fillId="2" borderId="3" xfId="7" applyNumberFormat="1" applyFont="1" applyFill="1" applyBorder="1" applyAlignment="1">
      <alignment vertical="top"/>
    </xf>
    <xf numFmtId="0" fontId="2" fillId="2" borderId="2" xfId="7" applyNumberFormat="1" applyFont="1" applyFill="1" applyBorder="1" applyAlignment="1">
      <alignment horizontal="center" vertical="top"/>
    </xf>
    <xf numFmtId="0" fontId="2" fillId="2" borderId="4" xfId="7" applyNumberFormat="1" applyFont="1" applyFill="1" applyBorder="1" applyAlignment="1">
      <alignment horizontal="center" vertical="top"/>
    </xf>
    <xf numFmtId="0" fontId="2" fillId="2" borderId="5" xfId="7" applyNumberFormat="1" applyFont="1" applyFill="1" applyBorder="1" applyAlignment="1">
      <alignment vertical="top"/>
    </xf>
    <xf numFmtId="0" fontId="2" fillId="2" borderId="6" xfId="7" applyNumberFormat="1" applyFont="1" applyFill="1" applyBorder="1" applyAlignment="1">
      <alignment vertical="top"/>
    </xf>
    <xf numFmtId="0" fontId="2" fillId="2" borderId="7" xfId="7" applyNumberFormat="1" applyFont="1" applyFill="1" applyBorder="1" applyAlignment="1">
      <alignment vertical="top"/>
    </xf>
    <xf numFmtId="0" fontId="2" fillId="2" borderId="4" xfId="7" applyNumberFormat="1" applyFont="1" applyFill="1" applyBorder="1" applyAlignment="1">
      <alignment vertical="top"/>
    </xf>
    <xf numFmtId="0" fontId="2" fillId="2" borderId="8" xfId="7" applyNumberFormat="1" applyFont="1" applyFill="1" applyBorder="1" applyAlignment="1">
      <alignment vertical="top"/>
    </xf>
    <xf numFmtId="0" fontId="2" fillId="2" borderId="8" xfId="7" applyNumberFormat="1" applyFont="1" applyFill="1" applyBorder="1" applyAlignment="1">
      <alignment vertical="top"/>
    </xf>
    <xf numFmtId="0" fontId="2" fillId="2" borderId="9" xfId="7" applyNumberFormat="1" applyFont="1" applyFill="1" applyBorder="1" applyAlignment="1">
      <alignment vertical="top"/>
    </xf>
    <xf numFmtId="0" fontId="2" fillId="2" borderId="10" xfId="7" applyNumberFormat="1" applyFont="1" applyFill="1" applyBorder="1" applyAlignment="1">
      <alignment vertical="top"/>
    </xf>
    <xf numFmtId="0" fontId="3" fillId="0" borderId="11" xfId="7" applyNumberFormat="1" applyFont="1" applyBorder="1" applyAlignment="1">
      <alignment vertical="top"/>
    </xf>
    <xf numFmtId="0" fontId="3" fillId="0" borderId="11" xfId="7" applyNumberFormat="1" applyFont="1" applyBorder="1" applyAlignment="1">
      <alignment vertical="top" wrapText="1"/>
    </xf>
    <xf numFmtId="0" fontId="3" fillId="0" borderId="11" xfId="7" applyNumberFormat="1" applyFont="1" applyBorder="1" applyAlignment="1">
      <alignment horizontal="left" vertical="top"/>
    </xf>
    <xf numFmtId="0" fontId="3" fillId="0" borderId="11" xfId="7" applyNumberFormat="1" applyFont="1" applyBorder="1" applyAlignment="1">
      <alignment horizontal="right" vertical="top" wrapText="1"/>
    </xf>
    <xf numFmtId="4" fontId="3" fillId="0" borderId="13" xfId="7" applyNumberFormat="1" applyFont="1" applyBorder="1" applyAlignment="1">
      <alignment horizontal="right" vertical="top" wrapText="1"/>
    </xf>
    <xf numFmtId="0" fontId="3" fillId="0" borderId="12" xfId="7" applyNumberFormat="1" applyFont="1" applyBorder="1" applyAlignment="1">
      <alignment horizontal="center" vertical="top"/>
    </xf>
    <xf numFmtId="4" fontId="3" fillId="0" borderId="13" xfId="7" applyNumberFormat="1" applyFont="1" applyBorder="1" applyAlignment="1">
      <alignment horizontal="right" vertical="top" wrapText="1"/>
    </xf>
    <xf numFmtId="2" fontId="3" fillId="0" borderId="13" xfId="7" applyNumberFormat="1" applyFont="1" applyBorder="1" applyAlignment="1">
      <alignment horizontal="right" vertical="top" wrapText="1"/>
    </xf>
    <xf numFmtId="4" fontId="3" fillId="0" borderId="11" xfId="7" applyNumberFormat="1" applyFont="1" applyBorder="1" applyAlignment="1">
      <alignment horizontal="right" vertical="top" wrapText="1"/>
    </xf>
    <xf numFmtId="0" fontId="3" fillId="0" borderId="13" xfId="7" applyNumberFormat="1" applyFont="1" applyBorder="1" applyAlignment="1">
      <alignment horizontal="right" vertical="top" wrapText="1"/>
    </xf>
    <xf numFmtId="0" fontId="4" fillId="2" borderId="11" xfId="7" applyNumberFormat="1" applyFont="1" applyFill="1" applyBorder="1" applyAlignment="1">
      <alignment vertical="top"/>
    </xf>
    <xf numFmtId="4" fontId="4" fillId="2" borderId="11" xfId="7" applyNumberFormat="1" applyFont="1" applyFill="1" applyBorder="1" applyAlignment="1">
      <alignment horizontal="right" vertical="top" wrapText="1"/>
    </xf>
    <xf numFmtId="0" fontId="4" fillId="2" borderId="12" xfId="7" applyNumberFormat="1" applyFont="1" applyFill="1" applyBorder="1" applyAlignment="1">
      <alignment horizontal="center" vertical="top"/>
    </xf>
    <xf numFmtId="4" fontId="4" fillId="2" borderId="13" xfId="7" applyNumberFormat="1" applyFont="1" applyFill="1" applyBorder="1" applyAlignment="1">
      <alignment horizontal="right" vertical="top" wrapText="1"/>
    </xf>
    <xf numFmtId="0" fontId="2" fillId="2" borderId="1" xfId="8" applyNumberFormat="1" applyFont="1" applyFill="1" applyBorder="1" applyAlignment="1">
      <alignment vertical="top"/>
    </xf>
    <xf numFmtId="0" fontId="2" fillId="2" borderId="2" xfId="8" applyNumberFormat="1" applyFont="1" applyFill="1" applyBorder="1" applyAlignment="1">
      <alignment vertical="top"/>
    </xf>
    <xf numFmtId="0" fontId="2" fillId="2" borderId="3" xfId="8" applyNumberFormat="1" applyFont="1" applyFill="1" applyBorder="1" applyAlignment="1">
      <alignment vertical="top"/>
    </xf>
    <xf numFmtId="0" fontId="2" fillId="2" borderId="2" xfId="8" applyNumberFormat="1" applyFont="1" applyFill="1" applyBorder="1" applyAlignment="1">
      <alignment horizontal="center" vertical="top"/>
    </xf>
    <xf numFmtId="0" fontId="2" fillId="2" borderId="4" xfId="8" applyNumberFormat="1" applyFont="1" applyFill="1" applyBorder="1" applyAlignment="1">
      <alignment horizontal="center" vertical="top"/>
    </xf>
    <xf numFmtId="0" fontId="2" fillId="2" borderId="5" xfId="8" applyNumberFormat="1" applyFont="1" applyFill="1" applyBorder="1" applyAlignment="1">
      <alignment vertical="top"/>
    </xf>
    <xf numFmtId="0" fontId="2" fillId="2" borderId="6" xfId="8" applyNumberFormat="1" applyFont="1" applyFill="1" applyBorder="1" applyAlignment="1">
      <alignment vertical="top"/>
    </xf>
    <xf numFmtId="0" fontId="2" fillId="2" borderId="7" xfId="8" applyNumberFormat="1" applyFont="1" applyFill="1" applyBorder="1" applyAlignment="1">
      <alignment vertical="top"/>
    </xf>
    <xf numFmtId="0" fontId="2" fillId="2" borderId="4" xfId="8" applyNumberFormat="1" applyFont="1" applyFill="1" applyBorder="1" applyAlignment="1">
      <alignment vertical="top"/>
    </xf>
    <xf numFmtId="0" fontId="2" fillId="2" borderId="8" xfId="8" applyNumberFormat="1" applyFont="1" applyFill="1" applyBorder="1" applyAlignment="1">
      <alignment vertical="top"/>
    </xf>
    <xf numFmtId="0" fontId="2" fillId="2" borderId="8" xfId="8" applyNumberFormat="1" applyFont="1" applyFill="1" applyBorder="1" applyAlignment="1">
      <alignment vertical="top"/>
    </xf>
    <xf numFmtId="0" fontId="2" fillId="2" borderId="9" xfId="8" applyNumberFormat="1" applyFont="1" applyFill="1" applyBorder="1" applyAlignment="1">
      <alignment vertical="top"/>
    </xf>
    <xf numFmtId="0" fontId="2" fillId="2" borderId="10" xfId="8" applyNumberFormat="1" applyFont="1" applyFill="1" applyBorder="1" applyAlignment="1">
      <alignment vertical="top"/>
    </xf>
    <xf numFmtId="0" fontId="3" fillId="0" borderId="11" xfId="8" applyNumberFormat="1" applyFont="1" applyBorder="1" applyAlignment="1">
      <alignment vertical="top"/>
    </xf>
    <xf numFmtId="0" fontId="3" fillId="0" borderId="11" xfId="8" applyNumberFormat="1" applyFont="1" applyBorder="1" applyAlignment="1">
      <alignment vertical="top" wrapText="1"/>
    </xf>
    <xf numFmtId="0" fontId="3" fillId="0" borderId="11" xfId="8" applyNumberFormat="1" applyFont="1" applyBorder="1" applyAlignment="1">
      <alignment horizontal="left" vertical="top"/>
    </xf>
    <xf numFmtId="2" fontId="3" fillId="0" borderId="11" xfId="8" applyNumberFormat="1" applyFont="1" applyBorder="1" applyAlignment="1">
      <alignment horizontal="right" vertical="top" wrapText="1"/>
    </xf>
    <xf numFmtId="0" fontId="3" fillId="0" borderId="13" xfId="8" applyNumberFormat="1" applyFont="1" applyBorder="1" applyAlignment="1">
      <alignment horizontal="right" vertical="top" wrapText="1"/>
    </xf>
    <xf numFmtId="0" fontId="3" fillId="0" borderId="12" xfId="8" applyNumberFormat="1" applyFont="1" applyBorder="1" applyAlignment="1">
      <alignment horizontal="center" vertical="top"/>
    </xf>
    <xf numFmtId="4" fontId="3" fillId="0" borderId="13" xfId="8" applyNumberFormat="1" applyFont="1" applyBorder="1" applyAlignment="1">
      <alignment horizontal="right" vertical="top" wrapText="1"/>
    </xf>
    <xf numFmtId="4" fontId="3" fillId="0" borderId="11" xfId="8" applyNumberFormat="1" applyFont="1" applyBorder="1" applyAlignment="1">
      <alignment horizontal="right" vertical="top" wrapText="1"/>
    </xf>
    <xf numFmtId="0" fontId="3" fillId="0" borderId="11" xfId="8" applyNumberFormat="1" applyFont="1" applyBorder="1" applyAlignment="1">
      <alignment horizontal="right" vertical="top" wrapText="1"/>
    </xf>
    <xf numFmtId="4" fontId="3" fillId="0" borderId="13" xfId="8" applyNumberFormat="1" applyFont="1" applyBorder="1" applyAlignment="1">
      <alignment horizontal="right" vertical="top" wrapText="1"/>
    </xf>
    <xf numFmtId="2" fontId="3" fillId="0" borderId="13" xfId="8" applyNumberFormat="1" applyFont="1" applyBorder="1" applyAlignment="1">
      <alignment horizontal="right" vertical="top" wrapText="1"/>
    </xf>
    <xf numFmtId="0" fontId="4" fillId="2" borderId="11" xfId="8" applyNumberFormat="1" applyFont="1" applyFill="1" applyBorder="1" applyAlignment="1">
      <alignment vertical="top"/>
    </xf>
    <xf numFmtId="4" fontId="4" fillId="2" borderId="11" xfId="8" applyNumberFormat="1" applyFont="1" applyFill="1" applyBorder="1" applyAlignment="1">
      <alignment horizontal="right" vertical="top" wrapText="1"/>
    </xf>
    <xf numFmtId="0" fontId="4" fillId="2" borderId="12" xfId="8" applyNumberFormat="1" applyFont="1" applyFill="1" applyBorder="1" applyAlignment="1">
      <alignment horizontal="center" vertical="top"/>
    </xf>
    <xf numFmtId="4" fontId="4" fillId="2" borderId="13" xfId="8" applyNumberFormat="1" applyFont="1" applyFill="1" applyBorder="1" applyAlignment="1">
      <alignment horizontal="right" vertical="top" wrapText="1"/>
    </xf>
    <xf numFmtId="0" fontId="2" fillId="2" borderId="1" xfId="9" applyNumberFormat="1" applyFont="1" applyFill="1" applyBorder="1" applyAlignment="1">
      <alignment vertical="top"/>
    </xf>
    <xf numFmtId="0" fontId="2" fillId="2" borderId="2" xfId="9" applyNumberFormat="1" applyFont="1" applyFill="1" applyBorder="1" applyAlignment="1">
      <alignment vertical="top"/>
    </xf>
    <xf numFmtId="0" fontId="2" fillId="2" borderId="3" xfId="9" applyNumberFormat="1" applyFont="1" applyFill="1" applyBorder="1" applyAlignment="1">
      <alignment vertical="top"/>
    </xf>
    <xf numFmtId="0" fontId="2" fillId="2" borderId="2" xfId="9" applyNumberFormat="1" applyFont="1" applyFill="1" applyBorder="1" applyAlignment="1">
      <alignment horizontal="center" vertical="top"/>
    </xf>
    <xf numFmtId="0" fontId="2" fillId="2" borderId="4" xfId="9" applyNumberFormat="1" applyFont="1" applyFill="1" applyBorder="1" applyAlignment="1">
      <alignment horizontal="center" vertical="top"/>
    </xf>
    <xf numFmtId="0" fontId="2" fillId="2" borderId="5" xfId="9" applyNumberFormat="1" applyFont="1" applyFill="1" applyBorder="1" applyAlignment="1">
      <alignment vertical="top"/>
    </xf>
    <xf numFmtId="0" fontId="2" fillId="2" borderId="6" xfId="9" applyNumberFormat="1" applyFont="1" applyFill="1" applyBorder="1" applyAlignment="1">
      <alignment vertical="top"/>
    </xf>
    <xf numFmtId="0" fontId="2" fillId="2" borderId="7" xfId="9" applyNumberFormat="1" applyFont="1" applyFill="1" applyBorder="1" applyAlignment="1">
      <alignment vertical="top"/>
    </xf>
    <xf numFmtId="0" fontId="2" fillId="2" borderId="4" xfId="9" applyNumberFormat="1" applyFont="1" applyFill="1" applyBorder="1" applyAlignment="1">
      <alignment vertical="top"/>
    </xf>
    <xf numFmtId="0" fontId="2" fillId="2" borderId="8" xfId="9" applyNumberFormat="1" applyFont="1" applyFill="1" applyBorder="1" applyAlignment="1">
      <alignment vertical="top"/>
    </xf>
    <xf numFmtId="0" fontId="2" fillId="2" borderId="8" xfId="9" applyNumberFormat="1" applyFont="1" applyFill="1" applyBorder="1" applyAlignment="1">
      <alignment vertical="top"/>
    </xf>
    <xf numFmtId="0" fontId="2" fillId="2" borderId="9" xfId="9" applyNumberFormat="1" applyFont="1" applyFill="1" applyBorder="1" applyAlignment="1">
      <alignment vertical="top"/>
    </xf>
    <xf numFmtId="0" fontId="2" fillId="2" borderId="10" xfId="9" applyNumberFormat="1" applyFont="1" applyFill="1" applyBorder="1" applyAlignment="1">
      <alignment vertical="top"/>
    </xf>
    <xf numFmtId="0" fontId="3" fillId="0" borderId="11" xfId="9" applyNumberFormat="1" applyFont="1" applyBorder="1" applyAlignment="1">
      <alignment vertical="top"/>
    </xf>
    <xf numFmtId="0" fontId="3" fillId="0" borderId="11" xfId="9" applyNumberFormat="1" applyFont="1" applyBorder="1" applyAlignment="1">
      <alignment vertical="top" wrapText="1"/>
    </xf>
    <xf numFmtId="0" fontId="3" fillId="0" borderId="11" xfId="9" applyNumberFormat="1" applyFont="1" applyBorder="1" applyAlignment="1">
      <alignment horizontal="left" vertical="top"/>
    </xf>
    <xf numFmtId="4" fontId="3" fillId="0" borderId="11" xfId="9" applyNumberFormat="1" applyFont="1" applyBorder="1" applyAlignment="1">
      <alignment horizontal="right" vertical="top" wrapText="1"/>
    </xf>
    <xf numFmtId="0" fontId="3" fillId="0" borderId="13" xfId="9" applyNumberFormat="1" applyFont="1" applyBorder="1" applyAlignment="1">
      <alignment horizontal="right" vertical="top" wrapText="1"/>
    </xf>
    <xf numFmtId="0" fontId="3" fillId="0" borderId="12" xfId="9" applyNumberFormat="1" applyFont="1" applyBorder="1" applyAlignment="1">
      <alignment horizontal="center" vertical="top"/>
    </xf>
    <xf numFmtId="4" fontId="3" fillId="0" borderId="13" xfId="9" applyNumberFormat="1" applyFont="1" applyBorder="1" applyAlignment="1">
      <alignment horizontal="right" vertical="top" wrapText="1"/>
    </xf>
    <xf numFmtId="2" fontId="3" fillId="0" borderId="11" xfId="9" applyNumberFormat="1" applyFont="1" applyBorder="1" applyAlignment="1">
      <alignment horizontal="right" vertical="top" wrapText="1"/>
    </xf>
    <xf numFmtId="0" fontId="3" fillId="0" borderId="11" xfId="9" applyNumberFormat="1" applyFont="1" applyBorder="1" applyAlignment="1">
      <alignment horizontal="right" vertical="top" wrapText="1"/>
    </xf>
    <xf numFmtId="4" fontId="3" fillId="0" borderId="13" xfId="9" applyNumberFormat="1" applyFont="1" applyBorder="1" applyAlignment="1">
      <alignment horizontal="right" vertical="top" wrapText="1"/>
    </xf>
    <xf numFmtId="2" fontId="3" fillId="0" borderId="13" xfId="9" applyNumberFormat="1" applyFont="1" applyBorder="1" applyAlignment="1">
      <alignment horizontal="right" vertical="top" wrapText="1"/>
    </xf>
    <xf numFmtId="2" fontId="3" fillId="0" borderId="13" xfId="9" applyNumberFormat="1" applyFont="1" applyBorder="1" applyAlignment="1">
      <alignment horizontal="right" vertical="top" wrapText="1"/>
    </xf>
    <xf numFmtId="0" fontId="4" fillId="2" borderId="11" xfId="9" applyNumberFormat="1" applyFont="1" applyFill="1" applyBorder="1" applyAlignment="1">
      <alignment vertical="top"/>
    </xf>
    <xf numFmtId="4" fontId="4" fillId="2" borderId="11" xfId="9" applyNumberFormat="1" applyFont="1" applyFill="1" applyBorder="1" applyAlignment="1">
      <alignment horizontal="right" vertical="top" wrapText="1"/>
    </xf>
    <xf numFmtId="0" fontId="4" fillId="2" borderId="12" xfId="9" applyNumberFormat="1" applyFont="1" applyFill="1" applyBorder="1" applyAlignment="1">
      <alignment horizontal="center" vertical="top"/>
    </xf>
    <xf numFmtId="4" fontId="4" fillId="2" borderId="13" xfId="9" applyNumberFormat="1" applyFont="1" applyFill="1" applyBorder="1" applyAlignment="1">
      <alignment horizontal="right" vertical="top" wrapText="1"/>
    </xf>
  </cellXfs>
  <cellStyles count="10">
    <cellStyle name="Обычный" xfId="0" builtinId="0"/>
    <cellStyle name="Обычный_Sheet1" xfId="1" xr:uid="{34EB9E3C-1F67-4C9C-9DD6-A53D662B64A6}"/>
    <cellStyle name="Обычный_Глобино" xfId="4" xr:uid="{E6F528CA-346E-4721-A58F-0D84D405C04F}"/>
    <cellStyle name="Обычный_Глобино_общ" xfId="9" xr:uid="{6C6FC1C1-0D0F-4203-9AAA-51C15879DBDC}"/>
    <cellStyle name="Обычный_Глобино_Цех" xfId="8" xr:uid="{1D87EC2A-A265-4C07-9188-D6E9485E38FB}"/>
    <cellStyle name="Обычный_Глобино-2(ЦКС)-сч205.1" xfId="5" xr:uid="{BD5966D4-2FEC-47AA-A4E4-2C02991A0C4A}"/>
    <cellStyle name="Обычный_Катериноп" xfId="7" xr:uid="{CFFBB382-54DB-46FF-BC07-1A47D3C97542}"/>
    <cellStyle name="Обычный_Лист1" xfId="2" xr:uid="{9A5125CF-12F1-49B7-986B-EF5E45AE4479}"/>
    <cellStyle name="Обычный_Нежин" xfId="3" xr:uid="{F74D4235-7E25-495C-8589-EB1123CF54F1}"/>
    <cellStyle name="Обычный_Тищенки_м" xfId="6" xr:uid="{F1F18691-A0D1-45DE-8166-0962F83C9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3658-6FE4-48E8-95CA-787C98E20DD0}">
  <sheetPr>
    <tabColor rgb="FF92D05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55"/>
  <sheetViews>
    <sheetView topLeftCell="A108" workbookViewId="0">
      <selection activeCell="J155" sqref="J155"/>
    </sheetView>
  </sheetViews>
  <sheetFormatPr defaultRowHeight="14.4" x14ac:dyDescent="0.3"/>
  <cols>
    <col min="2" max="4" width="23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hidden="1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71.400000000000006" hidden="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>
        <v>3168</v>
      </c>
      <c r="G3" s="17"/>
      <c r="H3" s="16" t="s">
        <v>14</v>
      </c>
      <c r="I3" s="18" t="s">
        <v>15</v>
      </c>
      <c r="J3" s="18"/>
      <c r="K3" s="19" t="s">
        <v>8</v>
      </c>
      <c r="L3" s="20">
        <v>165314.07999999999</v>
      </c>
    </row>
    <row r="4" spans="1:12" ht="71.400000000000006" hidden="1" x14ac:dyDescent="0.3">
      <c r="A4" s="14" t="s">
        <v>9</v>
      </c>
      <c r="B4" s="15" t="s">
        <v>10</v>
      </c>
      <c r="C4" s="15" t="s">
        <v>16</v>
      </c>
      <c r="D4" s="15" t="s">
        <v>12</v>
      </c>
      <c r="E4" s="16" t="s">
        <v>13</v>
      </c>
      <c r="F4" s="17">
        <v>5280</v>
      </c>
      <c r="G4" s="17"/>
      <c r="H4" s="16" t="s">
        <v>14</v>
      </c>
      <c r="I4" s="18" t="s">
        <v>15</v>
      </c>
      <c r="J4" s="18"/>
      <c r="K4" s="19" t="s">
        <v>8</v>
      </c>
      <c r="L4" s="20">
        <v>170594.08</v>
      </c>
    </row>
    <row r="5" spans="1:12" ht="71.400000000000006" hidden="1" x14ac:dyDescent="0.3">
      <c r="A5" s="14" t="s">
        <v>9</v>
      </c>
      <c r="B5" s="15" t="s">
        <v>10</v>
      </c>
      <c r="C5" s="15" t="s">
        <v>17</v>
      </c>
      <c r="D5" s="15" t="s">
        <v>12</v>
      </c>
      <c r="E5" s="16" t="s">
        <v>13</v>
      </c>
      <c r="F5" s="17">
        <v>1486.7</v>
      </c>
      <c r="G5" s="17"/>
      <c r="H5" s="16" t="s">
        <v>14</v>
      </c>
      <c r="I5" s="18" t="s">
        <v>15</v>
      </c>
      <c r="J5" s="18"/>
      <c r="K5" s="19" t="s">
        <v>8</v>
      </c>
      <c r="L5" s="20">
        <v>172080.78</v>
      </c>
    </row>
    <row r="6" spans="1:12" ht="71.400000000000006" hidden="1" x14ac:dyDescent="0.3">
      <c r="A6" s="14" t="s">
        <v>9</v>
      </c>
      <c r="B6" s="15" t="s">
        <v>10</v>
      </c>
      <c r="C6" s="15" t="s">
        <v>18</v>
      </c>
      <c r="D6" s="15" t="s">
        <v>12</v>
      </c>
      <c r="E6" s="16" t="s">
        <v>13</v>
      </c>
      <c r="F6" s="21">
        <v>743.35</v>
      </c>
      <c r="G6" s="21"/>
      <c r="H6" s="16" t="s">
        <v>14</v>
      </c>
      <c r="I6" s="18" t="s">
        <v>15</v>
      </c>
      <c r="J6" s="18"/>
      <c r="K6" s="19" t="s">
        <v>8</v>
      </c>
      <c r="L6" s="20">
        <v>172824.13</v>
      </c>
    </row>
    <row r="7" spans="1:12" ht="61.2" hidden="1" x14ac:dyDescent="0.3">
      <c r="A7" s="14" t="s">
        <v>9</v>
      </c>
      <c r="B7" s="15" t="s">
        <v>19</v>
      </c>
      <c r="C7" s="15" t="s">
        <v>20</v>
      </c>
      <c r="D7" s="15" t="s">
        <v>21</v>
      </c>
      <c r="E7" s="16" t="s">
        <v>13</v>
      </c>
      <c r="F7" s="17">
        <v>1912.5</v>
      </c>
      <c r="G7" s="17"/>
      <c r="H7" s="16" t="s">
        <v>14</v>
      </c>
      <c r="I7" s="18" t="s">
        <v>15</v>
      </c>
      <c r="J7" s="18"/>
      <c r="K7" s="19" t="s">
        <v>8</v>
      </c>
      <c r="L7" s="20">
        <v>174736.63</v>
      </c>
    </row>
    <row r="8" spans="1:12" ht="61.2" hidden="1" x14ac:dyDescent="0.3">
      <c r="A8" s="14" t="s">
        <v>9</v>
      </c>
      <c r="B8" s="15" t="s">
        <v>22</v>
      </c>
      <c r="C8" s="15" t="s">
        <v>23</v>
      </c>
      <c r="D8" s="15" t="s">
        <v>24</v>
      </c>
      <c r="E8" s="16" t="s">
        <v>13</v>
      </c>
      <c r="F8" s="21">
        <v>780.5</v>
      </c>
      <c r="G8" s="21"/>
      <c r="H8" s="16" t="s">
        <v>14</v>
      </c>
      <c r="I8" s="18" t="s">
        <v>15</v>
      </c>
      <c r="J8" s="18"/>
      <c r="K8" s="19" t="s">
        <v>8</v>
      </c>
      <c r="L8" s="20">
        <v>175517.13</v>
      </c>
    </row>
    <row r="9" spans="1:12" ht="71.400000000000006" hidden="1" x14ac:dyDescent="0.3">
      <c r="A9" s="14" t="s">
        <v>9</v>
      </c>
      <c r="B9" s="15" t="s">
        <v>22</v>
      </c>
      <c r="C9" s="15" t="s">
        <v>25</v>
      </c>
      <c r="D9" s="15" t="s">
        <v>24</v>
      </c>
      <c r="E9" s="16" t="s">
        <v>13</v>
      </c>
      <c r="F9" s="17">
        <v>1692</v>
      </c>
      <c r="G9" s="17"/>
      <c r="H9" s="16" t="s">
        <v>14</v>
      </c>
      <c r="I9" s="18" t="s">
        <v>15</v>
      </c>
      <c r="J9" s="18"/>
      <c r="K9" s="19" t="s">
        <v>8</v>
      </c>
      <c r="L9" s="20">
        <v>177209.13</v>
      </c>
    </row>
    <row r="10" spans="1:12" ht="71.400000000000006" hidden="1" x14ac:dyDescent="0.3">
      <c r="A10" s="14" t="s">
        <v>9</v>
      </c>
      <c r="B10" s="15" t="s">
        <v>22</v>
      </c>
      <c r="C10" s="15" t="s">
        <v>26</v>
      </c>
      <c r="D10" s="15" t="s">
        <v>24</v>
      </c>
      <c r="E10" s="16" t="s">
        <v>13</v>
      </c>
      <c r="F10" s="17">
        <v>1086</v>
      </c>
      <c r="G10" s="17"/>
      <c r="H10" s="16" t="s">
        <v>14</v>
      </c>
      <c r="I10" s="18" t="s">
        <v>15</v>
      </c>
      <c r="J10" s="18"/>
      <c r="K10" s="19" t="s">
        <v>8</v>
      </c>
      <c r="L10" s="20">
        <v>178295.13</v>
      </c>
    </row>
    <row r="11" spans="1:12" ht="61.2" hidden="1" x14ac:dyDescent="0.3">
      <c r="A11" s="14" t="s">
        <v>9</v>
      </c>
      <c r="B11" s="15" t="s">
        <v>22</v>
      </c>
      <c r="C11" s="15" t="s">
        <v>27</v>
      </c>
      <c r="D11" s="15" t="s">
        <v>24</v>
      </c>
      <c r="E11" s="16" t="s">
        <v>13</v>
      </c>
      <c r="F11" s="17">
        <v>1160.75</v>
      </c>
      <c r="G11" s="17"/>
      <c r="H11" s="16" t="s">
        <v>14</v>
      </c>
      <c r="I11" s="18" t="s">
        <v>15</v>
      </c>
      <c r="J11" s="18"/>
      <c r="K11" s="19" t="s">
        <v>8</v>
      </c>
      <c r="L11" s="20">
        <v>179455.88</v>
      </c>
    </row>
    <row r="12" spans="1:12" ht="71.400000000000006" hidden="1" x14ac:dyDescent="0.3">
      <c r="A12" s="14" t="s">
        <v>9</v>
      </c>
      <c r="B12" s="15" t="s">
        <v>22</v>
      </c>
      <c r="C12" s="15" t="s">
        <v>28</v>
      </c>
      <c r="D12" s="15" t="s">
        <v>24</v>
      </c>
      <c r="E12" s="16" t="s">
        <v>13</v>
      </c>
      <c r="F12" s="17">
        <v>2745.6</v>
      </c>
      <c r="G12" s="17"/>
      <c r="H12" s="16" t="s">
        <v>14</v>
      </c>
      <c r="I12" s="18" t="s">
        <v>15</v>
      </c>
      <c r="J12" s="18"/>
      <c r="K12" s="19" t="s">
        <v>8</v>
      </c>
      <c r="L12" s="20">
        <v>182201.48</v>
      </c>
    </row>
    <row r="13" spans="1:12" ht="71.400000000000006" hidden="1" x14ac:dyDescent="0.3">
      <c r="A13" s="14" t="s">
        <v>9</v>
      </c>
      <c r="B13" s="15" t="s">
        <v>22</v>
      </c>
      <c r="C13" s="15" t="s">
        <v>29</v>
      </c>
      <c r="D13" s="15" t="s">
        <v>24</v>
      </c>
      <c r="E13" s="16" t="s">
        <v>13</v>
      </c>
      <c r="F13" s="17">
        <v>5337.6</v>
      </c>
      <c r="G13" s="17"/>
      <c r="H13" s="16" t="s">
        <v>14</v>
      </c>
      <c r="I13" s="18" t="s">
        <v>15</v>
      </c>
      <c r="J13" s="18"/>
      <c r="K13" s="19" t="s">
        <v>8</v>
      </c>
      <c r="L13" s="20">
        <v>187539.08</v>
      </c>
    </row>
    <row r="14" spans="1:12" ht="61.2" hidden="1" x14ac:dyDescent="0.3">
      <c r="A14" s="14" t="s">
        <v>9</v>
      </c>
      <c r="B14" s="15" t="s">
        <v>22</v>
      </c>
      <c r="C14" s="15" t="s">
        <v>30</v>
      </c>
      <c r="D14" s="15" t="s">
        <v>24</v>
      </c>
      <c r="E14" s="16" t="s">
        <v>13</v>
      </c>
      <c r="F14" s="21">
        <v>772.5</v>
      </c>
      <c r="G14" s="21"/>
      <c r="H14" s="16" t="s">
        <v>14</v>
      </c>
      <c r="I14" s="18" t="s">
        <v>15</v>
      </c>
      <c r="J14" s="18"/>
      <c r="K14" s="19" t="s">
        <v>8</v>
      </c>
      <c r="L14" s="20">
        <v>188311.58</v>
      </c>
    </row>
    <row r="15" spans="1:12" ht="71.400000000000006" hidden="1" x14ac:dyDescent="0.3">
      <c r="A15" s="14" t="s">
        <v>9</v>
      </c>
      <c r="B15" s="15" t="s">
        <v>22</v>
      </c>
      <c r="C15" s="15" t="s">
        <v>31</v>
      </c>
      <c r="D15" s="15" t="s">
        <v>24</v>
      </c>
      <c r="E15" s="16" t="s">
        <v>13</v>
      </c>
      <c r="F15" s="17">
        <v>1850</v>
      </c>
      <c r="G15" s="17"/>
      <c r="H15" s="16" t="s">
        <v>14</v>
      </c>
      <c r="I15" s="18" t="s">
        <v>15</v>
      </c>
      <c r="J15" s="18"/>
      <c r="K15" s="19" t="s">
        <v>8</v>
      </c>
      <c r="L15" s="20">
        <v>190161.58</v>
      </c>
    </row>
    <row r="16" spans="1:12" ht="71.400000000000006" hidden="1" x14ac:dyDescent="0.3">
      <c r="A16" s="14" t="s">
        <v>9</v>
      </c>
      <c r="B16" s="15" t="s">
        <v>22</v>
      </c>
      <c r="C16" s="15" t="s">
        <v>32</v>
      </c>
      <c r="D16" s="15" t="s">
        <v>24</v>
      </c>
      <c r="E16" s="16" t="s">
        <v>13</v>
      </c>
      <c r="F16" s="17">
        <v>2232</v>
      </c>
      <c r="G16" s="17"/>
      <c r="H16" s="16" t="s">
        <v>14</v>
      </c>
      <c r="I16" s="18" t="s">
        <v>15</v>
      </c>
      <c r="J16" s="18"/>
      <c r="K16" s="19" t="s">
        <v>8</v>
      </c>
      <c r="L16" s="20">
        <v>192393.58</v>
      </c>
    </row>
    <row r="17" spans="1:12" ht="61.2" hidden="1" x14ac:dyDescent="0.3">
      <c r="A17" s="14" t="s">
        <v>9</v>
      </c>
      <c r="B17" s="15" t="s">
        <v>22</v>
      </c>
      <c r="C17" s="15" t="s">
        <v>33</v>
      </c>
      <c r="D17" s="15" t="s">
        <v>24</v>
      </c>
      <c r="E17" s="16" t="s">
        <v>13</v>
      </c>
      <c r="F17" s="21">
        <v>542</v>
      </c>
      <c r="G17" s="21"/>
      <c r="H17" s="16" t="s">
        <v>14</v>
      </c>
      <c r="I17" s="18" t="s">
        <v>15</v>
      </c>
      <c r="J17" s="18"/>
      <c r="K17" s="19" t="s">
        <v>8</v>
      </c>
      <c r="L17" s="20">
        <v>192935.58</v>
      </c>
    </row>
    <row r="18" spans="1:12" ht="71.400000000000006" hidden="1" x14ac:dyDescent="0.3">
      <c r="A18" s="14" t="s">
        <v>9</v>
      </c>
      <c r="B18" s="15" t="s">
        <v>22</v>
      </c>
      <c r="C18" s="15" t="s">
        <v>34</v>
      </c>
      <c r="D18" s="15" t="s">
        <v>24</v>
      </c>
      <c r="E18" s="16" t="s">
        <v>13</v>
      </c>
      <c r="F18" s="17">
        <v>1807.5</v>
      </c>
      <c r="G18" s="17"/>
      <c r="H18" s="16" t="s">
        <v>14</v>
      </c>
      <c r="I18" s="18" t="s">
        <v>15</v>
      </c>
      <c r="J18" s="18"/>
      <c r="K18" s="19" t="s">
        <v>8</v>
      </c>
      <c r="L18" s="20">
        <v>194743.08</v>
      </c>
    </row>
    <row r="19" spans="1:12" ht="61.2" hidden="1" x14ac:dyDescent="0.3">
      <c r="A19" s="14" t="s">
        <v>9</v>
      </c>
      <c r="B19" s="15" t="s">
        <v>22</v>
      </c>
      <c r="C19" s="15" t="s">
        <v>35</v>
      </c>
      <c r="D19" s="15" t="s">
        <v>24</v>
      </c>
      <c r="E19" s="16" t="s">
        <v>13</v>
      </c>
      <c r="F19" s="17">
        <v>1057</v>
      </c>
      <c r="G19" s="17"/>
      <c r="H19" s="16" t="s">
        <v>14</v>
      </c>
      <c r="I19" s="18" t="s">
        <v>15</v>
      </c>
      <c r="J19" s="18"/>
      <c r="K19" s="19" t="s">
        <v>8</v>
      </c>
      <c r="L19" s="20">
        <v>195800.08</v>
      </c>
    </row>
    <row r="20" spans="1:12" ht="71.400000000000006" hidden="1" x14ac:dyDescent="0.3">
      <c r="A20" s="14" t="s">
        <v>9</v>
      </c>
      <c r="B20" s="15" t="s">
        <v>36</v>
      </c>
      <c r="C20" s="15" t="s">
        <v>37</v>
      </c>
      <c r="D20" s="15" t="s">
        <v>38</v>
      </c>
      <c r="E20" s="16" t="s">
        <v>13</v>
      </c>
      <c r="F20" s="21">
        <v>505.5</v>
      </c>
      <c r="G20" s="21"/>
      <c r="H20" s="16" t="s">
        <v>14</v>
      </c>
      <c r="I20" s="18" t="s">
        <v>15</v>
      </c>
      <c r="J20" s="18"/>
      <c r="K20" s="19" t="s">
        <v>8</v>
      </c>
      <c r="L20" s="20">
        <v>196305.58</v>
      </c>
    </row>
    <row r="21" spans="1:12" ht="71.400000000000006" hidden="1" x14ac:dyDescent="0.3">
      <c r="A21" s="14" t="s">
        <v>9</v>
      </c>
      <c r="B21" s="15" t="s">
        <v>36</v>
      </c>
      <c r="C21" s="15" t="s">
        <v>39</v>
      </c>
      <c r="D21" s="15" t="s">
        <v>38</v>
      </c>
      <c r="E21" s="16" t="s">
        <v>13</v>
      </c>
      <c r="F21" s="21">
        <v>632.25</v>
      </c>
      <c r="G21" s="21"/>
      <c r="H21" s="16" t="s">
        <v>14</v>
      </c>
      <c r="I21" s="18" t="s">
        <v>15</v>
      </c>
      <c r="J21" s="18"/>
      <c r="K21" s="19" t="s">
        <v>8</v>
      </c>
      <c r="L21" s="20">
        <v>196937.83</v>
      </c>
    </row>
    <row r="22" spans="1:12" ht="71.400000000000006" hidden="1" x14ac:dyDescent="0.3">
      <c r="A22" s="14" t="s">
        <v>9</v>
      </c>
      <c r="B22" s="15" t="s">
        <v>36</v>
      </c>
      <c r="C22" s="15" t="s">
        <v>40</v>
      </c>
      <c r="D22" s="15" t="s">
        <v>38</v>
      </c>
      <c r="E22" s="16" t="s">
        <v>13</v>
      </c>
      <c r="F22" s="21">
        <v>256.75</v>
      </c>
      <c r="G22" s="21"/>
      <c r="H22" s="16" t="s">
        <v>14</v>
      </c>
      <c r="I22" s="18" t="s">
        <v>15</v>
      </c>
      <c r="J22" s="18"/>
      <c r="K22" s="19" t="s">
        <v>8</v>
      </c>
      <c r="L22" s="20">
        <v>197194.58</v>
      </c>
    </row>
    <row r="23" spans="1:12" ht="71.400000000000006" hidden="1" x14ac:dyDescent="0.3">
      <c r="A23" s="14" t="s">
        <v>9</v>
      </c>
      <c r="B23" s="15" t="s">
        <v>36</v>
      </c>
      <c r="C23" s="15" t="s">
        <v>41</v>
      </c>
      <c r="D23" s="15" t="s">
        <v>38</v>
      </c>
      <c r="E23" s="16" t="s">
        <v>13</v>
      </c>
      <c r="F23" s="21">
        <v>336.5</v>
      </c>
      <c r="G23" s="21"/>
      <c r="H23" s="16" t="s">
        <v>14</v>
      </c>
      <c r="I23" s="18" t="s">
        <v>15</v>
      </c>
      <c r="J23" s="18"/>
      <c r="K23" s="19" t="s">
        <v>8</v>
      </c>
      <c r="L23" s="20">
        <v>197531.08</v>
      </c>
    </row>
    <row r="24" spans="1:12" ht="71.400000000000006" hidden="1" x14ac:dyDescent="0.3">
      <c r="A24" s="14" t="s">
        <v>9</v>
      </c>
      <c r="B24" s="15" t="s">
        <v>36</v>
      </c>
      <c r="C24" s="15" t="s">
        <v>42</v>
      </c>
      <c r="D24" s="15" t="s">
        <v>38</v>
      </c>
      <c r="E24" s="16" t="s">
        <v>13</v>
      </c>
      <c r="F24" s="21">
        <v>390.05</v>
      </c>
      <c r="G24" s="21"/>
      <c r="H24" s="16" t="s">
        <v>14</v>
      </c>
      <c r="I24" s="18" t="s">
        <v>15</v>
      </c>
      <c r="J24" s="18"/>
      <c r="K24" s="19" t="s">
        <v>8</v>
      </c>
      <c r="L24" s="20">
        <v>197921.13</v>
      </c>
    </row>
    <row r="25" spans="1:12" ht="71.400000000000006" hidden="1" x14ac:dyDescent="0.3">
      <c r="A25" s="14" t="s">
        <v>9</v>
      </c>
      <c r="B25" s="15" t="s">
        <v>36</v>
      </c>
      <c r="C25" s="15" t="s">
        <v>43</v>
      </c>
      <c r="D25" s="15" t="s">
        <v>38</v>
      </c>
      <c r="E25" s="16" t="s">
        <v>13</v>
      </c>
      <c r="F25" s="21">
        <v>124.6</v>
      </c>
      <c r="G25" s="21"/>
      <c r="H25" s="16" t="s">
        <v>14</v>
      </c>
      <c r="I25" s="18" t="s">
        <v>15</v>
      </c>
      <c r="J25" s="18"/>
      <c r="K25" s="19" t="s">
        <v>8</v>
      </c>
      <c r="L25" s="20">
        <v>198045.73</v>
      </c>
    </row>
    <row r="26" spans="1:12" ht="71.400000000000006" hidden="1" x14ac:dyDescent="0.3">
      <c r="A26" s="14" t="s">
        <v>9</v>
      </c>
      <c r="B26" s="15" t="s">
        <v>36</v>
      </c>
      <c r="C26" s="15" t="s">
        <v>44</v>
      </c>
      <c r="D26" s="15" t="s">
        <v>38</v>
      </c>
      <c r="E26" s="16" t="s">
        <v>13</v>
      </c>
      <c r="F26" s="17">
        <v>6478.3</v>
      </c>
      <c r="G26" s="17"/>
      <c r="H26" s="16" t="s">
        <v>14</v>
      </c>
      <c r="I26" s="18" t="s">
        <v>15</v>
      </c>
      <c r="J26" s="18"/>
      <c r="K26" s="19" t="s">
        <v>8</v>
      </c>
      <c r="L26" s="20">
        <v>204524.03</v>
      </c>
    </row>
    <row r="27" spans="1:12" ht="71.400000000000006" hidden="1" x14ac:dyDescent="0.3">
      <c r="A27" s="14" t="s">
        <v>9</v>
      </c>
      <c r="B27" s="15" t="s">
        <v>36</v>
      </c>
      <c r="C27" s="15" t="s">
        <v>45</v>
      </c>
      <c r="D27" s="15" t="s">
        <v>38</v>
      </c>
      <c r="E27" s="16" t="s">
        <v>13</v>
      </c>
      <c r="F27" s="17">
        <v>2803</v>
      </c>
      <c r="G27" s="17"/>
      <c r="H27" s="16" t="s">
        <v>14</v>
      </c>
      <c r="I27" s="18" t="s">
        <v>15</v>
      </c>
      <c r="J27" s="18"/>
      <c r="K27" s="19" t="s">
        <v>8</v>
      </c>
      <c r="L27" s="20">
        <v>207327.03</v>
      </c>
    </row>
    <row r="28" spans="1:12" ht="71.400000000000006" hidden="1" x14ac:dyDescent="0.3">
      <c r="A28" s="14" t="s">
        <v>9</v>
      </c>
      <c r="B28" s="15" t="s">
        <v>36</v>
      </c>
      <c r="C28" s="15" t="s">
        <v>46</v>
      </c>
      <c r="D28" s="15" t="s">
        <v>38</v>
      </c>
      <c r="E28" s="16" t="s">
        <v>13</v>
      </c>
      <c r="F28" s="17">
        <v>7245</v>
      </c>
      <c r="G28" s="17"/>
      <c r="H28" s="16" t="s">
        <v>14</v>
      </c>
      <c r="I28" s="18" t="s">
        <v>15</v>
      </c>
      <c r="J28" s="18"/>
      <c r="K28" s="19" t="s">
        <v>8</v>
      </c>
      <c r="L28" s="20">
        <v>214572.03</v>
      </c>
    </row>
    <row r="29" spans="1:12" ht="51" hidden="1" x14ac:dyDescent="0.3">
      <c r="A29" s="14" t="s">
        <v>47</v>
      </c>
      <c r="B29" s="15" t="s">
        <v>48</v>
      </c>
      <c r="C29" s="15" t="s">
        <v>49</v>
      </c>
      <c r="D29" s="15" t="s">
        <v>50</v>
      </c>
      <c r="E29" s="16" t="s">
        <v>13</v>
      </c>
      <c r="F29" s="21">
        <v>278</v>
      </c>
      <c r="G29" s="21"/>
      <c r="H29" s="16" t="s">
        <v>51</v>
      </c>
      <c r="I29" s="18" t="s">
        <v>15</v>
      </c>
      <c r="J29" s="18"/>
      <c r="K29" s="19" t="s">
        <v>8</v>
      </c>
      <c r="L29" s="20">
        <v>214850.03</v>
      </c>
    </row>
    <row r="30" spans="1:12" ht="51" hidden="1" x14ac:dyDescent="0.3">
      <c r="A30" s="14" t="s">
        <v>47</v>
      </c>
      <c r="B30" s="15" t="s">
        <v>48</v>
      </c>
      <c r="C30" s="15" t="s">
        <v>52</v>
      </c>
      <c r="D30" s="15" t="s">
        <v>50</v>
      </c>
      <c r="E30" s="16" t="s">
        <v>13</v>
      </c>
      <c r="F30" s="21">
        <v>90</v>
      </c>
      <c r="G30" s="21"/>
      <c r="H30" s="16" t="s">
        <v>51</v>
      </c>
      <c r="I30" s="18" t="s">
        <v>15</v>
      </c>
      <c r="J30" s="18"/>
      <c r="K30" s="19" t="s">
        <v>8</v>
      </c>
      <c r="L30" s="20">
        <v>214940.03</v>
      </c>
    </row>
    <row r="31" spans="1:12" ht="51" hidden="1" x14ac:dyDescent="0.3">
      <c r="A31" s="14" t="s">
        <v>47</v>
      </c>
      <c r="B31" s="15" t="s">
        <v>48</v>
      </c>
      <c r="C31" s="15" t="s">
        <v>53</v>
      </c>
      <c r="D31" s="15" t="s">
        <v>50</v>
      </c>
      <c r="E31" s="16" t="s">
        <v>13</v>
      </c>
      <c r="F31" s="21">
        <v>195</v>
      </c>
      <c r="G31" s="21"/>
      <c r="H31" s="16" t="s">
        <v>51</v>
      </c>
      <c r="I31" s="18" t="s">
        <v>15</v>
      </c>
      <c r="J31" s="18"/>
      <c r="K31" s="19" t="s">
        <v>8</v>
      </c>
      <c r="L31" s="20">
        <v>215135.03</v>
      </c>
    </row>
    <row r="32" spans="1:12" ht="61.2" hidden="1" x14ac:dyDescent="0.3">
      <c r="A32" s="14" t="s">
        <v>54</v>
      </c>
      <c r="B32" s="15" t="s">
        <v>55</v>
      </c>
      <c r="C32" s="15" t="s">
        <v>56</v>
      </c>
      <c r="D32" s="15" t="s">
        <v>57</v>
      </c>
      <c r="E32" s="16" t="s">
        <v>13</v>
      </c>
      <c r="F32" s="17">
        <v>2458.5</v>
      </c>
      <c r="G32" s="17"/>
      <c r="H32" s="16" t="s">
        <v>14</v>
      </c>
      <c r="I32" s="18" t="s">
        <v>15</v>
      </c>
      <c r="J32" s="18"/>
      <c r="K32" s="19" t="s">
        <v>8</v>
      </c>
      <c r="L32" s="20">
        <v>217593.53</v>
      </c>
    </row>
    <row r="33" spans="1:12" ht="61.2" hidden="1" x14ac:dyDescent="0.3">
      <c r="A33" s="14" t="s">
        <v>54</v>
      </c>
      <c r="B33" s="15" t="s">
        <v>55</v>
      </c>
      <c r="C33" s="15" t="s">
        <v>58</v>
      </c>
      <c r="D33" s="15" t="s">
        <v>57</v>
      </c>
      <c r="E33" s="16" t="s">
        <v>13</v>
      </c>
      <c r="F33" s="17">
        <v>3208.5</v>
      </c>
      <c r="G33" s="17"/>
      <c r="H33" s="16" t="s">
        <v>14</v>
      </c>
      <c r="I33" s="18" t="s">
        <v>15</v>
      </c>
      <c r="J33" s="18"/>
      <c r="K33" s="19" t="s">
        <v>8</v>
      </c>
      <c r="L33" s="20">
        <v>220802.03</v>
      </c>
    </row>
    <row r="34" spans="1:12" ht="61.2" hidden="1" x14ac:dyDescent="0.3">
      <c r="A34" s="14" t="s">
        <v>54</v>
      </c>
      <c r="B34" s="15" t="s">
        <v>55</v>
      </c>
      <c r="C34" s="15" t="s">
        <v>59</v>
      </c>
      <c r="D34" s="15" t="s">
        <v>57</v>
      </c>
      <c r="E34" s="16" t="s">
        <v>13</v>
      </c>
      <c r="F34" s="17">
        <v>3842</v>
      </c>
      <c r="G34" s="17"/>
      <c r="H34" s="16" t="s">
        <v>14</v>
      </c>
      <c r="I34" s="18" t="s">
        <v>15</v>
      </c>
      <c r="J34" s="18"/>
      <c r="K34" s="19" t="s">
        <v>8</v>
      </c>
      <c r="L34" s="20">
        <v>224644.03</v>
      </c>
    </row>
    <row r="35" spans="1:12" ht="71.400000000000006" hidden="1" x14ac:dyDescent="0.3">
      <c r="A35" s="14" t="s">
        <v>60</v>
      </c>
      <c r="B35" s="15" t="s">
        <v>61</v>
      </c>
      <c r="C35" s="15" t="s">
        <v>62</v>
      </c>
      <c r="D35" s="15" t="s">
        <v>63</v>
      </c>
      <c r="E35" s="16" t="s">
        <v>13</v>
      </c>
      <c r="F35" s="17">
        <v>2820</v>
      </c>
      <c r="G35" s="17"/>
      <c r="H35" s="16" t="s">
        <v>14</v>
      </c>
      <c r="I35" s="18" t="s">
        <v>15</v>
      </c>
      <c r="J35" s="18"/>
      <c r="K35" s="19" t="s">
        <v>8</v>
      </c>
      <c r="L35" s="20">
        <v>227464.03</v>
      </c>
    </row>
    <row r="36" spans="1:12" ht="61.2" hidden="1" x14ac:dyDescent="0.3">
      <c r="A36" s="14" t="s">
        <v>60</v>
      </c>
      <c r="B36" s="15" t="s">
        <v>61</v>
      </c>
      <c r="C36" s="15" t="s">
        <v>64</v>
      </c>
      <c r="D36" s="15" t="s">
        <v>63</v>
      </c>
      <c r="E36" s="16" t="s">
        <v>13</v>
      </c>
      <c r="F36" s="21">
        <v>730</v>
      </c>
      <c r="G36" s="21"/>
      <c r="H36" s="16" t="s">
        <v>14</v>
      </c>
      <c r="I36" s="18" t="s">
        <v>15</v>
      </c>
      <c r="J36" s="18"/>
      <c r="K36" s="19" t="s">
        <v>8</v>
      </c>
      <c r="L36" s="20">
        <v>228194.03</v>
      </c>
    </row>
    <row r="37" spans="1:12" ht="71.400000000000006" hidden="1" x14ac:dyDescent="0.3">
      <c r="A37" s="14" t="s">
        <v>60</v>
      </c>
      <c r="B37" s="15" t="s">
        <v>61</v>
      </c>
      <c r="C37" s="15" t="s">
        <v>65</v>
      </c>
      <c r="D37" s="15" t="s">
        <v>63</v>
      </c>
      <c r="E37" s="16" t="s">
        <v>13</v>
      </c>
      <c r="F37" s="17">
        <v>8896</v>
      </c>
      <c r="G37" s="17"/>
      <c r="H37" s="16" t="s">
        <v>14</v>
      </c>
      <c r="I37" s="18" t="s">
        <v>15</v>
      </c>
      <c r="J37" s="18"/>
      <c r="K37" s="19" t="s">
        <v>8</v>
      </c>
      <c r="L37" s="20">
        <v>237090.03</v>
      </c>
    </row>
    <row r="38" spans="1:12" ht="71.400000000000006" hidden="1" x14ac:dyDescent="0.3">
      <c r="A38" s="14" t="s">
        <v>60</v>
      </c>
      <c r="B38" s="15" t="s">
        <v>61</v>
      </c>
      <c r="C38" s="15" t="s">
        <v>66</v>
      </c>
      <c r="D38" s="15" t="s">
        <v>63</v>
      </c>
      <c r="E38" s="16" t="s">
        <v>13</v>
      </c>
      <c r="F38" s="17">
        <v>2745.6</v>
      </c>
      <c r="G38" s="17"/>
      <c r="H38" s="16" t="s">
        <v>14</v>
      </c>
      <c r="I38" s="18" t="s">
        <v>15</v>
      </c>
      <c r="J38" s="18"/>
      <c r="K38" s="19" t="s">
        <v>8</v>
      </c>
      <c r="L38" s="20">
        <v>239835.63</v>
      </c>
    </row>
    <row r="39" spans="1:12" ht="61.2" hidden="1" x14ac:dyDescent="0.3">
      <c r="A39" s="14" t="s">
        <v>60</v>
      </c>
      <c r="B39" s="15" t="s">
        <v>61</v>
      </c>
      <c r="C39" s="15" t="s">
        <v>67</v>
      </c>
      <c r="D39" s="15" t="s">
        <v>63</v>
      </c>
      <c r="E39" s="16" t="s">
        <v>13</v>
      </c>
      <c r="F39" s="21">
        <v>483.4</v>
      </c>
      <c r="G39" s="21"/>
      <c r="H39" s="16" t="s">
        <v>14</v>
      </c>
      <c r="I39" s="18" t="s">
        <v>15</v>
      </c>
      <c r="J39" s="18"/>
      <c r="K39" s="19" t="s">
        <v>8</v>
      </c>
      <c r="L39" s="20">
        <v>240319.03</v>
      </c>
    </row>
    <row r="40" spans="1:12" ht="61.2" hidden="1" x14ac:dyDescent="0.3">
      <c r="A40" s="14" t="s">
        <v>60</v>
      </c>
      <c r="B40" s="15" t="s">
        <v>61</v>
      </c>
      <c r="C40" s="15" t="s">
        <v>68</v>
      </c>
      <c r="D40" s="15" t="s">
        <v>63</v>
      </c>
      <c r="E40" s="16" t="s">
        <v>13</v>
      </c>
      <c r="F40" s="21">
        <v>772.5</v>
      </c>
      <c r="G40" s="21"/>
      <c r="H40" s="16" t="s">
        <v>14</v>
      </c>
      <c r="I40" s="18" t="s">
        <v>15</v>
      </c>
      <c r="J40" s="18"/>
      <c r="K40" s="19" t="s">
        <v>8</v>
      </c>
      <c r="L40" s="20">
        <v>241091.53</v>
      </c>
    </row>
    <row r="41" spans="1:12" ht="61.2" hidden="1" x14ac:dyDescent="0.3">
      <c r="A41" s="14" t="s">
        <v>60</v>
      </c>
      <c r="B41" s="15" t="s">
        <v>61</v>
      </c>
      <c r="C41" s="15" t="s">
        <v>69</v>
      </c>
      <c r="D41" s="15" t="s">
        <v>63</v>
      </c>
      <c r="E41" s="16" t="s">
        <v>13</v>
      </c>
      <c r="F41" s="21">
        <v>224</v>
      </c>
      <c r="G41" s="21"/>
      <c r="H41" s="16" t="s">
        <v>14</v>
      </c>
      <c r="I41" s="18" t="s">
        <v>15</v>
      </c>
      <c r="J41" s="18"/>
      <c r="K41" s="19" t="s">
        <v>8</v>
      </c>
      <c r="L41" s="20">
        <v>241315.53</v>
      </c>
    </row>
    <row r="42" spans="1:12" ht="61.2" hidden="1" x14ac:dyDescent="0.3">
      <c r="A42" s="14" t="s">
        <v>60</v>
      </c>
      <c r="B42" s="15" t="s">
        <v>61</v>
      </c>
      <c r="C42" s="15" t="s">
        <v>70</v>
      </c>
      <c r="D42" s="15" t="s">
        <v>63</v>
      </c>
      <c r="E42" s="16" t="s">
        <v>13</v>
      </c>
      <c r="F42" s="21">
        <v>138</v>
      </c>
      <c r="G42" s="21"/>
      <c r="H42" s="16" t="s">
        <v>14</v>
      </c>
      <c r="I42" s="18" t="s">
        <v>15</v>
      </c>
      <c r="J42" s="18"/>
      <c r="K42" s="19" t="s">
        <v>8</v>
      </c>
      <c r="L42" s="20">
        <v>241453.53</v>
      </c>
    </row>
    <row r="43" spans="1:12" ht="61.2" hidden="1" x14ac:dyDescent="0.3">
      <c r="A43" s="14" t="s">
        <v>60</v>
      </c>
      <c r="B43" s="15" t="s">
        <v>61</v>
      </c>
      <c r="C43" s="15" t="s">
        <v>71</v>
      </c>
      <c r="D43" s="15" t="s">
        <v>63</v>
      </c>
      <c r="E43" s="16" t="s">
        <v>13</v>
      </c>
      <c r="F43" s="21">
        <v>805</v>
      </c>
      <c r="G43" s="21"/>
      <c r="H43" s="16" t="s">
        <v>14</v>
      </c>
      <c r="I43" s="18" t="s">
        <v>15</v>
      </c>
      <c r="J43" s="18"/>
      <c r="K43" s="19" t="s">
        <v>8</v>
      </c>
      <c r="L43" s="20">
        <v>242258.53</v>
      </c>
    </row>
    <row r="44" spans="1:12" ht="61.2" hidden="1" x14ac:dyDescent="0.3">
      <c r="A44" s="14" t="s">
        <v>60</v>
      </c>
      <c r="B44" s="15" t="s">
        <v>61</v>
      </c>
      <c r="C44" s="15" t="s">
        <v>72</v>
      </c>
      <c r="D44" s="15" t="s">
        <v>63</v>
      </c>
      <c r="E44" s="16" t="s">
        <v>13</v>
      </c>
      <c r="F44" s="17">
        <v>1631.4</v>
      </c>
      <c r="G44" s="17"/>
      <c r="H44" s="16" t="s">
        <v>14</v>
      </c>
      <c r="I44" s="18" t="s">
        <v>15</v>
      </c>
      <c r="J44" s="18"/>
      <c r="K44" s="19" t="s">
        <v>8</v>
      </c>
      <c r="L44" s="20">
        <v>243889.93</v>
      </c>
    </row>
    <row r="45" spans="1:12" ht="71.400000000000006" hidden="1" x14ac:dyDescent="0.3">
      <c r="A45" s="14" t="s">
        <v>60</v>
      </c>
      <c r="B45" s="15" t="s">
        <v>61</v>
      </c>
      <c r="C45" s="15" t="s">
        <v>73</v>
      </c>
      <c r="D45" s="15" t="s">
        <v>63</v>
      </c>
      <c r="E45" s="16" t="s">
        <v>13</v>
      </c>
      <c r="F45" s="21">
        <v>955.05</v>
      </c>
      <c r="G45" s="21"/>
      <c r="H45" s="16" t="s">
        <v>14</v>
      </c>
      <c r="I45" s="18" t="s">
        <v>15</v>
      </c>
      <c r="J45" s="18"/>
      <c r="K45" s="19" t="s">
        <v>8</v>
      </c>
      <c r="L45" s="20">
        <v>244844.98</v>
      </c>
    </row>
    <row r="46" spans="1:12" ht="71.400000000000006" hidden="1" x14ac:dyDescent="0.3">
      <c r="A46" s="14" t="s">
        <v>60</v>
      </c>
      <c r="B46" s="15" t="s">
        <v>61</v>
      </c>
      <c r="C46" s="15" t="s">
        <v>74</v>
      </c>
      <c r="D46" s="15" t="s">
        <v>63</v>
      </c>
      <c r="E46" s="16" t="s">
        <v>13</v>
      </c>
      <c r="F46" s="21">
        <v>955.05</v>
      </c>
      <c r="G46" s="21"/>
      <c r="H46" s="16" t="s">
        <v>14</v>
      </c>
      <c r="I46" s="18" t="s">
        <v>15</v>
      </c>
      <c r="J46" s="18"/>
      <c r="K46" s="19" t="s">
        <v>8</v>
      </c>
      <c r="L46" s="20">
        <v>245800.03</v>
      </c>
    </row>
    <row r="47" spans="1:12" ht="71.400000000000006" hidden="1" x14ac:dyDescent="0.3">
      <c r="A47" s="14" t="s">
        <v>60</v>
      </c>
      <c r="B47" s="15" t="s">
        <v>61</v>
      </c>
      <c r="C47" s="15" t="s">
        <v>75</v>
      </c>
      <c r="D47" s="15" t="s">
        <v>63</v>
      </c>
      <c r="E47" s="16" t="s">
        <v>13</v>
      </c>
      <c r="F47" s="21">
        <v>555</v>
      </c>
      <c r="G47" s="21"/>
      <c r="H47" s="16" t="s">
        <v>14</v>
      </c>
      <c r="I47" s="18" t="s">
        <v>15</v>
      </c>
      <c r="J47" s="18"/>
      <c r="K47" s="19" t="s">
        <v>8</v>
      </c>
      <c r="L47" s="20">
        <v>246355.03</v>
      </c>
    </row>
    <row r="48" spans="1:12" ht="61.2" hidden="1" x14ac:dyDescent="0.3">
      <c r="A48" s="14" t="s">
        <v>60</v>
      </c>
      <c r="B48" s="15" t="s">
        <v>61</v>
      </c>
      <c r="C48" s="15" t="s">
        <v>76</v>
      </c>
      <c r="D48" s="15" t="s">
        <v>63</v>
      </c>
      <c r="E48" s="16" t="s">
        <v>13</v>
      </c>
      <c r="F48" s="21">
        <v>895.5</v>
      </c>
      <c r="G48" s="21"/>
      <c r="H48" s="16" t="s">
        <v>14</v>
      </c>
      <c r="I48" s="18" t="s">
        <v>15</v>
      </c>
      <c r="J48" s="18"/>
      <c r="K48" s="19" t="s">
        <v>8</v>
      </c>
      <c r="L48" s="20">
        <v>247250.53</v>
      </c>
    </row>
    <row r="49" spans="1:12" ht="71.400000000000006" hidden="1" x14ac:dyDescent="0.3">
      <c r="A49" s="14" t="s">
        <v>60</v>
      </c>
      <c r="B49" s="15" t="s">
        <v>61</v>
      </c>
      <c r="C49" s="15" t="s">
        <v>77</v>
      </c>
      <c r="D49" s="15" t="s">
        <v>63</v>
      </c>
      <c r="E49" s="16" t="s">
        <v>13</v>
      </c>
      <c r="F49" s="21">
        <v>614</v>
      </c>
      <c r="G49" s="21"/>
      <c r="H49" s="16" t="s">
        <v>14</v>
      </c>
      <c r="I49" s="18" t="s">
        <v>15</v>
      </c>
      <c r="J49" s="18"/>
      <c r="K49" s="19" t="s">
        <v>8</v>
      </c>
      <c r="L49" s="20">
        <v>247864.53</v>
      </c>
    </row>
    <row r="50" spans="1:12" ht="71.400000000000006" hidden="1" x14ac:dyDescent="0.3">
      <c r="A50" s="14" t="s">
        <v>60</v>
      </c>
      <c r="B50" s="15" t="s">
        <v>61</v>
      </c>
      <c r="C50" s="15" t="s">
        <v>78</v>
      </c>
      <c r="D50" s="15" t="s">
        <v>63</v>
      </c>
      <c r="E50" s="16" t="s">
        <v>13</v>
      </c>
      <c r="F50" s="17">
        <v>1619.5</v>
      </c>
      <c r="G50" s="17"/>
      <c r="H50" s="16" t="s">
        <v>14</v>
      </c>
      <c r="I50" s="18" t="s">
        <v>15</v>
      </c>
      <c r="J50" s="18"/>
      <c r="K50" s="19" t="s">
        <v>8</v>
      </c>
      <c r="L50" s="20">
        <v>249484.03</v>
      </c>
    </row>
    <row r="51" spans="1:12" ht="61.2" hidden="1" x14ac:dyDescent="0.3">
      <c r="A51" s="14" t="s">
        <v>60</v>
      </c>
      <c r="B51" s="15" t="s">
        <v>61</v>
      </c>
      <c r="C51" s="15" t="s">
        <v>79</v>
      </c>
      <c r="D51" s="15" t="s">
        <v>63</v>
      </c>
      <c r="E51" s="16" t="s">
        <v>13</v>
      </c>
      <c r="F51" s="17">
        <v>3077.25</v>
      </c>
      <c r="G51" s="17"/>
      <c r="H51" s="16" t="s">
        <v>14</v>
      </c>
      <c r="I51" s="18" t="s">
        <v>15</v>
      </c>
      <c r="J51" s="18"/>
      <c r="K51" s="19" t="s">
        <v>8</v>
      </c>
      <c r="L51" s="20">
        <v>252561.28</v>
      </c>
    </row>
    <row r="52" spans="1:12" ht="81.599999999999994" hidden="1" x14ac:dyDescent="0.3">
      <c r="A52" s="14" t="s">
        <v>60</v>
      </c>
      <c r="B52" s="15" t="s">
        <v>61</v>
      </c>
      <c r="C52" s="15" t="s">
        <v>80</v>
      </c>
      <c r="D52" s="15" t="s">
        <v>63</v>
      </c>
      <c r="E52" s="16" t="s">
        <v>13</v>
      </c>
      <c r="F52" s="17">
        <v>2082.25</v>
      </c>
      <c r="G52" s="17"/>
      <c r="H52" s="16" t="s">
        <v>14</v>
      </c>
      <c r="I52" s="18" t="s">
        <v>15</v>
      </c>
      <c r="J52" s="18"/>
      <c r="K52" s="19" t="s">
        <v>8</v>
      </c>
      <c r="L52" s="20">
        <v>254643.53</v>
      </c>
    </row>
    <row r="53" spans="1:12" ht="61.2" hidden="1" x14ac:dyDescent="0.3">
      <c r="A53" s="14" t="s">
        <v>60</v>
      </c>
      <c r="B53" s="15" t="s">
        <v>61</v>
      </c>
      <c r="C53" s="15" t="s">
        <v>81</v>
      </c>
      <c r="D53" s="15" t="s">
        <v>63</v>
      </c>
      <c r="E53" s="16" t="s">
        <v>13</v>
      </c>
      <c r="F53" s="21">
        <v>504.25</v>
      </c>
      <c r="G53" s="21"/>
      <c r="H53" s="16" t="s">
        <v>14</v>
      </c>
      <c r="I53" s="18" t="s">
        <v>15</v>
      </c>
      <c r="J53" s="18"/>
      <c r="K53" s="19" t="s">
        <v>8</v>
      </c>
      <c r="L53" s="20">
        <v>255147.78</v>
      </c>
    </row>
    <row r="54" spans="1:12" ht="71.400000000000006" hidden="1" x14ac:dyDescent="0.3">
      <c r="A54" s="14" t="s">
        <v>60</v>
      </c>
      <c r="B54" s="15" t="s">
        <v>82</v>
      </c>
      <c r="C54" s="15" t="s">
        <v>83</v>
      </c>
      <c r="D54" s="15" t="s">
        <v>63</v>
      </c>
      <c r="E54" s="16" t="s">
        <v>13</v>
      </c>
      <c r="F54" s="17">
        <v>1487.23</v>
      </c>
      <c r="G54" s="17"/>
      <c r="H54" s="16" t="s">
        <v>14</v>
      </c>
      <c r="I54" s="18" t="s">
        <v>15</v>
      </c>
      <c r="J54" s="18"/>
      <c r="K54" s="19" t="s">
        <v>8</v>
      </c>
      <c r="L54" s="20">
        <v>256635.01</v>
      </c>
    </row>
    <row r="55" spans="1:12" ht="71.400000000000006" hidden="1" x14ac:dyDescent="0.3">
      <c r="A55" s="14" t="s">
        <v>60</v>
      </c>
      <c r="B55" s="15" t="s">
        <v>61</v>
      </c>
      <c r="C55" s="15" t="s">
        <v>83</v>
      </c>
      <c r="D55" s="15" t="s">
        <v>63</v>
      </c>
      <c r="E55" s="16" t="s">
        <v>13</v>
      </c>
      <c r="F55" s="17">
        <v>6638.27</v>
      </c>
      <c r="G55" s="17"/>
      <c r="H55" s="16" t="s">
        <v>14</v>
      </c>
      <c r="I55" s="18" t="s">
        <v>15</v>
      </c>
      <c r="J55" s="18"/>
      <c r="K55" s="19" t="s">
        <v>8</v>
      </c>
      <c r="L55" s="20">
        <v>263273.28000000003</v>
      </c>
    </row>
    <row r="56" spans="1:12" ht="71.400000000000006" hidden="1" x14ac:dyDescent="0.3">
      <c r="A56" s="14" t="s">
        <v>60</v>
      </c>
      <c r="B56" s="15" t="s">
        <v>82</v>
      </c>
      <c r="C56" s="15" t="s">
        <v>84</v>
      </c>
      <c r="D56" s="15" t="s">
        <v>63</v>
      </c>
      <c r="E56" s="16" t="s">
        <v>13</v>
      </c>
      <c r="F56" s="17">
        <v>2232</v>
      </c>
      <c r="G56" s="17"/>
      <c r="H56" s="16" t="s">
        <v>14</v>
      </c>
      <c r="I56" s="18" t="s">
        <v>15</v>
      </c>
      <c r="J56" s="18"/>
      <c r="K56" s="19" t="s">
        <v>8</v>
      </c>
      <c r="L56" s="20">
        <v>265505.28000000003</v>
      </c>
    </row>
    <row r="57" spans="1:12" ht="61.2" hidden="1" x14ac:dyDescent="0.3">
      <c r="A57" s="14" t="s">
        <v>60</v>
      </c>
      <c r="B57" s="15" t="s">
        <v>82</v>
      </c>
      <c r="C57" s="15" t="s">
        <v>85</v>
      </c>
      <c r="D57" s="15" t="s">
        <v>63</v>
      </c>
      <c r="E57" s="16" t="s">
        <v>13</v>
      </c>
      <c r="F57" s="21">
        <v>542</v>
      </c>
      <c r="G57" s="21"/>
      <c r="H57" s="16" t="s">
        <v>14</v>
      </c>
      <c r="I57" s="18" t="s">
        <v>15</v>
      </c>
      <c r="J57" s="18"/>
      <c r="K57" s="19" t="s">
        <v>8</v>
      </c>
      <c r="L57" s="20">
        <v>266047.28000000003</v>
      </c>
    </row>
    <row r="58" spans="1:12" ht="71.400000000000006" hidden="1" x14ac:dyDescent="0.3">
      <c r="A58" s="14" t="s">
        <v>60</v>
      </c>
      <c r="B58" s="15" t="s">
        <v>82</v>
      </c>
      <c r="C58" s="15" t="s">
        <v>86</v>
      </c>
      <c r="D58" s="15" t="s">
        <v>63</v>
      </c>
      <c r="E58" s="16" t="s">
        <v>13</v>
      </c>
      <c r="F58" s="21">
        <v>320.55</v>
      </c>
      <c r="G58" s="21"/>
      <c r="H58" s="16" t="s">
        <v>14</v>
      </c>
      <c r="I58" s="18" t="s">
        <v>15</v>
      </c>
      <c r="J58" s="18"/>
      <c r="K58" s="19" t="s">
        <v>8</v>
      </c>
      <c r="L58" s="20">
        <v>266367.83</v>
      </c>
    </row>
    <row r="59" spans="1:12" ht="71.400000000000006" hidden="1" x14ac:dyDescent="0.3">
      <c r="A59" s="14" t="s">
        <v>60</v>
      </c>
      <c r="B59" s="15" t="s">
        <v>87</v>
      </c>
      <c r="C59" s="15" t="s">
        <v>88</v>
      </c>
      <c r="D59" s="15" t="s">
        <v>89</v>
      </c>
      <c r="E59" s="16" t="s">
        <v>13</v>
      </c>
      <c r="F59" s="17">
        <v>3000</v>
      </c>
      <c r="G59" s="17"/>
      <c r="H59" s="16" t="s">
        <v>14</v>
      </c>
      <c r="I59" s="18" t="s">
        <v>15</v>
      </c>
      <c r="J59" s="18"/>
      <c r="K59" s="19" t="s">
        <v>8</v>
      </c>
      <c r="L59" s="20">
        <v>269367.83</v>
      </c>
    </row>
    <row r="60" spans="1:12" ht="71.400000000000006" hidden="1" x14ac:dyDescent="0.3">
      <c r="A60" s="14" t="s">
        <v>60</v>
      </c>
      <c r="B60" s="15" t="s">
        <v>87</v>
      </c>
      <c r="C60" s="15" t="s">
        <v>90</v>
      </c>
      <c r="D60" s="15" t="s">
        <v>89</v>
      </c>
      <c r="E60" s="16" t="s">
        <v>13</v>
      </c>
      <c r="F60" s="17">
        <v>2000</v>
      </c>
      <c r="G60" s="17"/>
      <c r="H60" s="16" t="s">
        <v>14</v>
      </c>
      <c r="I60" s="18" t="s">
        <v>15</v>
      </c>
      <c r="J60" s="18"/>
      <c r="K60" s="19" t="s">
        <v>8</v>
      </c>
      <c r="L60" s="20">
        <v>271367.83</v>
      </c>
    </row>
    <row r="61" spans="1:12" ht="71.400000000000006" hidden="1" x14ac:dyDescent="0.3">
      <c r="A61" s="14" t="s">
        <v>60</v>
      </c>
      <c r="B61" s="15" t="s">
        <v>91</v>
      </c>
      <c r="C61" s="15" t="s">
        <v>92</v>
      </c>
      <c r="D61" s="15" t="s">
        <v>93</v>
      </c>
      <c r="E61" s="16" t="s">
        <v>13</v>
      </c>
      <c r="F61" s="21">
        <v>305.10000000000002</v>
      </c>
      <c r="G61" s="21"/>
      <c r="H61" s="16" t="s">
        <v>14</v>
      </c>
      <c r="I61" s="18" t="s">
        <v>15</v>
      </c>
      <c r="J61" s="18"/>
      <c r="K61" s="19" t="s">
        <v>8</v>
      </c>
      <c r="L61" s="20">
        <v>271672.93</v>
      </c>
    </row>
    <row r="62" spans="1:12" ht="71.400000000000006" x14ac:dyDescent="0.3">
      <c r="A62" s="14" t="s">
        <v>94</v>
      </c>
      <c r="B62" s="15" t="s">
        <v>95</v>
      </c>
      <c r="C62" s="15" t="s">
        <v>96</v>
      </c>
      <c r="D62" s="15" t="s">
        <v>88</v>
      </c>
      <c r="E62" s="16" t="s">
        <v>97</v>
      </c>
      <c r="F62" s="22" t="s">
        <v>15</v>
      </c>
      <c r="G62" s="22"/>
      <c r="H62" s="16" t="s">
        <v>13</v>
      </c>
      <c r="I62" s="23">
        <v>3000</v>
      </c>
      <c r="J62" s="23"/>
      <c r="K62" s="19" t="s">
        <v>8</v>
      </c>
      <c r="L62" s="20">
        <v>268672.93</v>
      </c>
    </row>
    <row r="63" spans="1:12" ht="71.400000000000006" x14ac:dyDescent="0.3">
      <c r="A63" s="14" t="s">
        <v>94</v>
      </c>
      <c r="B63" s="15" t="s">
        <v>95</v>
      </c>
      <c r="C63" s="15" t="s">
        <v>96</v>
      </c>
      <c r="D63" s="15" t="s">
        <v>90</v>
      </c>
      <c r="E63" s="16" t="s">
        <v>97</v>
      </c>
      <c r="F63" s="22" t="s">
        <v>15</v>
      </c>
      <c r="G63" s="22"/>
      <c r="H63" s="16" t="s">
        <v>13</v>
      </c>
      <c r="I63" s="23">
        <v>2000</v>
      </c>
      <c r="J63" s="23"/>
      <c r="K63" s="19" t="s">
        <v>8</v>
      </c>
      <c r="L63" s="20">
        <v>266672.93</v>
      </c>
    </row>
    <row r="64" spans="1:12" ht="71.400000000000006" hidden="1" x14ac:dyDescent="0.3">
      <c r="A64" s="14" t="s">
        <v>98</v>
      </c>
      <c r="B64" s="15" t="s">
        <v>99</v>
      </c>
      <c r="C64" s="15" t="s">
        <v>100</v>
      </c>
      <c r="D64" s="15" t="s">
        <v>101</v>
      </c>
      <c r="E64" s="16" t="s">
        <v>13</v>
      </c>
      <c r="F64" s="17">
        <v>16185</v>
      </c>
      <c r="G64" s="17"/>
      <c r="H64" s="16" t="s">
        <v>14</v>
      </c>
      <c r="I64" s="18" t="s">
        <v>15</v>
      </c>
      <c r="J64" s="18"/>
      <c r="K64" s="19" t="s">
        <v>8</v>
      </c>
      <c r="L64" s="20">
        <v>282857.93</v>
      </c>
    </row>
    <row r="65" spans="1:12" ht="71.400000000000006" x14ac:dyDescent="0.3">
      <c r="A65" s="14" t="s">
        <v>102</v>
      </c>
      <c r="B65" s="15" t="s">
        <v>103</v>
      </c>
      <c r="C65" s="15" t="s">
        <v>104</v>
      </c>
      <c r="D65" s="15" t="s">
        <v>31</v>
      </c>
      <c r="E65" s="16" t="s">
        <v>105</v>
      </c>
      <c r="F65" s="22" t="s">
        <v>15</v>
      </c>
      <c r="G65" s="22"/>
      <c r="H65" s="16" t="s">
        <v>13</v>
      </c>
      <c r="I65" s="24">
        <v>370</v>
      </c>
      <c r="J65" s="24"/>
      <c r="K65" s="19" t="s">
        <v>8</v>
      </c>
      <c r="L65" s="20">
        <v>282487.93</v>
      </c>
    </row>
    <row r="66" spans="1:12" ht="61.2" x14ac:dyDescent="0.3">
      <c r="A66" s="14" t="s">
        <v>102</v>
      </c>
      <c r="B66" s="15" t="s">
        <v>103</v>
      </c>
      <c r="C66" s="15" t="s">
        <v>104</v>
      </c>
      <c r="D66" s="15" t="s">
        <v>106</v>
      </c>
      <c r="E66" s="16" t="s">
        <v>105</v>
      </c>
      <c r="F66" s="22" t="s">
        <v>15</v>
      </c>
      <c r="G66" s="22"/>
      <c r="H66" s="16" t="s">
        <v>13</v>
      </c>
      <c r="I66" s="24">
        <v>351</v>
      </c>
      <c r="J66" s="24"/>
      <c r="K66" s="19" t="s">
        <v>8</v>
      </c>
      <c r="L66" s="20">
        <v>282136.93</v>
      </c>
    </row>
    <row r="67" spans="1:12" ht="71.400000000000006" x14ac:dyDescent="0.3">
      <c r="A67" s="14" t="s">
        <v>102</v>
      </c>
      <c r="B67" s="15" t="s">
        <v>103</v>
      </c>
      <c r="C67" s="15" t="s">
        <v>104</v>
      </c>
      <c r="D67" s="15" t="s">
        <v>107</v>
      </c>
      <c r="E67" s="16" t="s">
        <v>105</v>
      </c>
      <c r="F67" s="22" t="s">
        <v>15</v>
      </c>
      <c r="G67" s="22"/>
      <c r="H67" s="16" t="s">
        <v>13</v>
      </c>
      <c r="I67" s="24">
        <v>105.9</v>
      </c>
      <c r="J67" s="24"/>
      <c r="K67" s="19" t="s">
        <v>8</v>
      </c>
      <c r="L67" s="20">
        <v>282031.03000000003</v>
      </c>
    </row>
    <row r="68" spans="1:12" ht="61.2" x14ac:dyDescent="0.3">
      <c r="A68" s="14" t="s">
        <v>102</v>
      </c>
      <c r="B68" s="15" t="s">
        <v>103</v>
      </c>
      <c r="C68" s="15" t="s">
        <v>104</v>
      </c>
      <c r="D68" s="15" t="s">
        <v>108</v>
      </c>
      <c r="E68" s="16" t="s">
        <v>105</v>
      </c>
      <c r="F68" s="22" t="s">
        <v>15</v>
      </c>
      <c r="G68" s="22"/>
      <c r="H68" s="16" t="s">
        <v>13</v>
      </c>
      <c r="I68" s="24">
        <v>766.2</v>
      </c>
      <c r="J68" s="24"/>
      <c r="K68" s="19" t="s">
        <v>8</v>
      </c>
      <c r="L68" s="20">
        <v>281264.83</v>
      </c>
    </row>
    <row r="69" spans="1:12" ht="61.2" x14ac:dyDescent="0.3">
      <c r="A69" s="14" t="s">
        <v>102</v>
      </c>
      <c r="B69" s="15" t="s">
        <v>103</v>
      </c>
      <c r="C69" s="15" t="s">
        <v>104</v>
      </c>
      <c r="D69" s="15" t="s">
        <v>109</v>
      </c>
      <c r="E69" s="16" t="s">
        <v>105</v>
      </c>
      <c r="F69" s="22" t="s">
        <v>15</v>
      </c>
      <c r="G69" s="22"/>
      <c r="H69" s="16" t="s">
        <v>13</v>
      </c>
      <c r="I69" s="24">
        <v>301.55</v>
      </c>
      <c r="J69" s="24"/>
      <c r="K69" s="19" t="s">
        <v>8</v>
      </c>
      <c r="L69" s="20">
        <v>280963.28000000003</v>
      </c>
    </row>
    <row r="70" spans="1:12" ht="61.2" x14ac:dyDescent="0.3">
      <c r="A70" s="14" t="s">
        <v>102</v>
      </c>
      <c r="B70" s="15" t="s">
        <v>103</v>
      </c>
      <c r="C70" s="15" t="s">
        <v>104</v>
      </c>
      <c r="D70" s="15" t="s">
        <v>110</v>
      </c>
      <c r="E70" s="16" t="s">
        <v>105</v>
      </c>
      <c r="F70" s="22" t="s">
        <v>15</v>
      </c>
      <c r="G70" s="22"/>
      <c r="H70" s="16" t="s">
        <v>13</v>
      </c>
      <c r="I70" s="24">
        <v>636.70000000000005</v>
      </c>
      <c r="J70" s="24"/>
      <c r="K70" s="19" t="s">
        <v>8</v>
      </c>
      <c r="L70" s="20">
        <v>280326.58</v>
      </c>
    </row>
    <row r="71" spans="1:12" ht="61.2" x14ac:dyDescent="0.3">
      <c r="A71" s="14" t="s">
        <v>102</v>
      </c>
      <c r="B71" s="15" t="s">
        <v>103</v>
      </c>
      <c r="C71" s="15" t="s">
        <v>104</v>
      </c>
      <c r="D71" s="15" t="s">
        <v>111</v>
      </c>
      <c r="E71" s="16" t="s">
        <v>105</v>
      </c>
      <c r="F71" s="22" t="s">
        <v>15</v>
      </c>
      <c r="G71" s="22"/>
      <c r="H71" s="16" t="s">
        <v>13</v>
      </c>
      <c r="I71" s="24">
        <v>955.05</v>
      </c>
      <c r="J71" s="24"/>
      <c r="K71" s="19" t="s">
        <v>8</v>
      </c>
      <c r="L71" s="20">
        <v>279371.53000000003</v>
      </c>
    </row>
    <row r="72" spans="1:12" ht="61.2" x14ac:dyDescent="0.3">
      <c r="A72" s="14" t="s">
        <v>102</v>
      </c>
      <c r="B72" s="15" t="s">
        <v>103</v>
      </c>
      <c r="C72" s="15" t="s">
        <v>104</v>
      </c>
      <c r="D72" s="15" t="s">
        <v>112</v>
      </c>
      <c r="E72" s="16" t="s">
        <v>105</v>
      </c>
      <c r="F72" s="22" t="s">
        <v>15</v>
      </c>
      <c r="G72" s="22"/>
      <c r="H72" s="16" t="s">
        <v>13</v>
      </c>
      <c r="I72" s="24">
        <v>955.05</v>
      </c>
      <c r="J72" s="24"/>
      <c r="K72" s="19" t="s">
        <v>8</v>
      </c>
      <c r="L72" s="20">
        <v>278416.48</v>
      </c>
    </row>
    <row r="73" spans="1:12" ht="61.2" x14ac:dyDescent="0.3">
      <c r="A73" s="14" t="s">
        <v>102</v>
      </c>
      <c r="B73" s="15" t="s">
        <v>103</v>
      </c>
      <c r="C73" s="15" t="s">
        <v>104</v>
      </c>
      <c r="D73" s="15" t="s">
        <v>113</v>
      </c>
      <c r="E73" s="16" t="s">
        <v>105</v>
      </c>
      <c r="F73" s="22" t="s">
        <v>15</v>
      </c>
      <c r="G73" s="22"/>
      <c r="H73" s="16" t="s">
        <v>13</v>
      </c>
      <c r="I73" s="24">
        <v>955.05</v>
      </c>
      <c r="J73" s="24"/>
      <c r="K73" s="19" t="s">
        <v>8</v>
      </c>
      <c r="L73" s="20">
        <v>277461.43</v>
      </c>
    </row>
    <row r="74" spans="1:12" ht="71.400000000000006" x14ac:dyDescent="0.3">
      <c r="A74" s="14" t="s">
        <v>102</v>
      </c>
      <c r="B74" s="15" t="s">
        <v>114</v>
      </c>
      <c r="C74" s="15" t="s">
        <v>104</v>
      </c>
      <c r="D74" s="15" t="s">
        <v>29</v>
      </c>
      <c r="E74" s="16" t="s">
        <v>105</v>
      </c>
      <c r="F74" s="22" t="s">
        <v>15</v>
      </c>
      <c r="G74" s="22"/>
      <c r="H74" s="16" t="s">
        <v>13</v>
      </c>
      <c r="I74" s="23">
        <v>2668.8</v>
      </c>
      <c r="J74" s="23"/>
      <c r="K74" s="19" t="s">
        <v>8</v>
      </c>
      <c r="L74" s="20">
        <v>274792.63</v>
      </c>
    </row>
    <row r="75" spans="1:12" ht="71.400000000000006" x14ac:dyDescent="0.3">
      <c r="A75" s="14" t="s">
        <v>102</v>
      </c>
      <c r="B75" s="15" t="s">
        <v>114</v>
      </c>
      <c r="C75" s="15" t="s">
        <v>104</v>
      </c>
      <c r="D75" s="15" t="s">
        <v>34</v>
      </c>
      <c r="E75" s="16" t="s">
        <v>105</v>
      </c>
      <c r="F75" s="22" t="s">
        <v>15</v>
      </c>
      <c r="G75" s="22"/>
      <c r="H75" s="16" t="s">
        <v>13</v>
      </c>
      <c r="I75" s="24">
        <v>723</v>
      </c>
      <c r="J75" s="24"/>
      <c r="K75" s="19" t="s">
        <v>8</v>
      </c>
      <c r="L75" s="20">
        <v>274069.63</v>
      </c>
    </row>
    <row r="76" spans="1:12" ht="61.2" x14ac:dyDescent="0.3">
      <c r="A76" s="14" t="s">
        <v>102</v>
      </c>
      <c r="B76" s="15" t="s">
        <v>114</v>
      </c>
      <c r="C76" s="15" t="s">
        <v>104</v>
      </c>
      <c r="D76" s="15" t="s">
        <v>109</v>
      </c>
      <c r="E76" s="16" t="s">
        <v>105</v>
      </c>
      <c r="F76" s="22" t="s">
        <v>15</v>
      </c>
      <c r="G76" s="22"/>
      <c r="H76" s="16" t="s">
        <v>13</v>
      </c>
      <c r="I76" s="24">
        <v>603.1</v>
      </c>
      <c r="J76" s="24"/>
      <c r="K76" s="19" t="s">
        <v>8</v>
      </c>
      <c r="L76" s="20">
        <v>273466.53000000003</v>
      </c>
    </row>
    <row r="77" spans="1:12" ht="71.400000000000006" x14ac:dyDescent="0.3">
      <c r="A77" s="14" t="s">
        <v>102</v>
      </c>
      <c r="B77" s="15" t="s">
        <v>114</v>
      </c>
      <c r="C77" s="15" t="s">
        <v>104</v>
      </c>
      <c r="D77" s="15" t="s">
        <v>45</v>
      </c>
      <c r="E77" s="16" t="s">
        <v>105</v>
      </c>
      <c r="F77" s="22" t="s">
        <v>15</v>
      </c>
      <c r="G77" s="22"/>
      <c r="H77" s="16" t="s">
        <v>13</v>
      </c>
      <c r="I77" s="23">
        <v>1681.8</v>
      </c>
      <c r="J77" s="23"/>
      <c r="K77" s="19" t="s">
        <v>8</v>
      </c>
      <c r="L77" s="20">
        <v>271784.73</v>
      </c>
    </row>
    <row r="78" spans="1:12" ht="61.2" x14ac:dyDescent="0.3">
      <c r="A78" s="14" t="s">
        <v>102</v>
      </c>
      <c r="B78" s="15" t="s">
        <v>114</v>
      </c>
      <c r="C78" s="15" t="s">
        <v>104</v>
      </c>
      <c r="D78" s="15" t="s">
        <v>108</v>
      </c>
      <c r="E78" s="16" t="s">
        <v>105</v>
      </c>
      <c r="F78" s="22" t="s">
        <v>15</v>
      </c>
      <c r="G78" s="22"/>
      <c r="H78" s="16" t="s">
        <v>13</v>
      </c>
      <c r="I78" s="24">
        <v>766.2</v>
      </c>
      <c r="J78" s="24"/>
      <c r="K78" s="19" t="s">
        <v>8</v>
      </c>
      <c r="L78" s="20">
        <v>271018.53000000003</v>
      </c>
    </row>
    <row r="79" spans="1:12" ht="61.2" x14ac:dyDescent="0.3">
      <c r="A79" s="14" t="s">
        <v>102</v>
      </c>
      <c r="B79" s="15" t="s">
        <v>114</v>
      </c>
      <c r="C79" s="15" t="s">
        <v>104</v>
      </c>
      <c r="D79" s="15" t="s">
        <v>106</v>
      </c>
      <c r="E79" s="16" t="s">
        <v>105</v>
      </c>
      <c r="F79" s="22" t="s">
        <v>15</v>
      </c>
      <c r="G79" s="22"/>
      <c r="H79" s="16" t="s">
        <v>13</v>
      </c>
      <c r="I79" s="24">
        <v>351</v>
      </c>
      <c r="J79" s="24"/>
      <c r="K79" s="19" t="s">
        <v>8</v>
      </c>
      <c r="L79" s="20">
        <v>270667.53000000003</v>
      </c>
    </row>
    <row r="80" spans="1:12" ht="71.400000000000006" x14ac:dyDescent="0.3">
      <c r="A80" s="14" t="s">
        <v>102</v>
      </c>
      <c r="B80" s="15" t="s">
        <v>114</v>
      </c>
      <c r="C80" s="15" t="s">
        <v>104</v>
      </c>
      <c r="D80" s="15" t="s">
        <v>31</v>
      </c>
      <c r="E80" s="16" t="s">
        <v>105</v>
      </c>
      <c r="F80" s="22" t="s">
        <v>15</v>
      </c>
      <c r="G80" s="22"/>
      <c r="H80" s="16" t="s">
        <v>13</v>
      </c>
      <c r="I80" s="24">
        <v>370</v>
      </c>
      <c r="J80" s="24"/>
      <c r="K80" s="19" t="s">
        <v>8</v>
      </c>
      <c r="L80" s="20">
        <v>270297.53000000003</v>
      </c>
    </row>
    <row r="81" spans="1:12" ht="61.2" x14ac:dyDescent="0.3">
      <c r="A81" s="14" t="s">
        <v>102</v>
      </c>
      <c r="B81" s="15" t="s">
        <v>114</v>
      </c>
      <c r="C81" s="15" t="s">
        <v>104</v>
      </c>
      <c r="D81" s="15" t="s">
        <v>23</v>
      </c>
      <c r="E81" s="16" t="s">
        <v>105</v>
      </c>
      <c r="F81" s="22" t="s">
        <v>15</v>
      </c>
      <c r="G81" s="22"/>
      <c r="H81" s="16" t="s">
        <v>13</v>
      </c>
      <c r="I81" s="24">
        <v>156.1</v>
      </c>
      <c r="J81" s="24"/>
      <c r="K81" s="19" t="s">
        <v>8</v>
      </c>
      <c r="L81" s="20">
        <v>270141.43</v>
      </c>
    </row>
    <row r="82" spans="1:12" ht="71.400000000000006" x14ac:dyDescent="0.3">
      <c r="A82" s="14" t="s">
        <v>102</v>
      </c>
      <c r="B82" s="15" t="s">
        <v>114</v>
      </c>
      <c r="C82" s="15" t="s">
        <v>104</v>
      </c>
      <c r="D82" s="15" t="s">
        <v>41</v>
      </c>
      <c r="E82" s="16" t="s">
        <v>105</v>
      </c>
      <c r="F82" s="22" t="s">
        <v>15</v>
      </c>
      <c r="G82" s="22"/>
      <c r="H82" s="16" t="s">
        <v>13</v>
      </c>
      <c r="I82" s="24">
        <v>67.3</v>
      </c>
      <c r="J82" s="24"/>
      <c r="K82" s="19" t="s">
        <v>8</v>
      </c>
      <c r="L82" s="20">
        <v>270074.13</v>
      </c>
    </row>
    <row r="83" spans="1:12" ht="71.400000000000006" x14ac:dyDescent="0.3">
      <c r="A83" s="14" t="s">
        <v>102</v>
      </c>
      <c r="B83" s="15" t="s">
        <v>114</v>
      </c>
      <c r="C83" s="15" t="s">
        <v>104</v>
      </c>
      <c r="D83" s="15" t="s">
        <v>11</v>
      </c>
      <c r="E83" s="16" t="s">
        <v>105</v>
      </c>
      <c r="F83" s="22" t="s">
        <v>15</v>
      </c>
      <c r="G83" s="22"/>
      <c r="H83" s="16" t="s">
        <v>13</v>
      </c>
      <c r="I83" s="23">
        <v>3168</v>
      </c>
      <c r="J83" s="23"/>
      <c r="K83" s="19" t="s">
        <v>8</v>
      </c>
      <c r="L83" s="20">
        <v>266906.13</v>
      </c>
    </row>
    <row r="84" spans="1:12" ht="71.400000000000006" x14ac:dyDescent="0.3">
      <c r="A84" s="14" t="s">
        <v>102</v>
      </c>
      <c r="B84" s="15" t="s">
        <v>114</v>
      </c>
      <c r="C84" s="15" t="s">
        <v>104</v>
      </c>
      <c r="D84" s="15" t="s">
        <v>16</v>
      </c>
      <c r="E84" s="16" t="s">
        <v>105</v>
      </c>
      <c r="F84" s="22" t="s">
        <v>15</v>
      </c>
      <c r="G84" s="22"/>
      <c r="H84" s="16" t="s">
        <v>13</v>
      </c>
      <c r="I84" s="23">
        <v>5280</v>
      </c>
      <c r="J84" s="23"/>
      <c r="K84" s="19" t="s">
        <v>8</v>
      </c>
      <c r="L84" s="20">
        <v>261626.13</v>
      </c>
    </row>
    <row r="85" spans="1:12" ht="61.2" x14ac:dyDescent="0.3">
      <c r="A85" s="14" t="s">
        <v>102</v>
      </c>
      <c r="B85" s="15" t="s">
        <v>115</v>
      </c>
      <c r="C85" s="15" t="s">
        <v>104</v>
      </c>
      <c r="D85" s="15" t="s">
        <v>116</v>
      </c>
      <c r="E85" s="16" t="s">
        <v>105</v>
      </c>
      <c r="F85" s="22" t="s">
        <v>15</v>
      </c>
      <c r="G85" s="22"/>
      <c r="H85" s="16" t="s">
        <v>13</v>
      </c>
      <c r="I85" s="23">
        <v>1392.9</v>
      </c>
      <c r="J85" s="23"/>
      <c r="K85" s="19" t="s">
        <v>8</v>
      </c>
      <c r="L85" s="20">
        <v>260233.23</v>
      </c>
    </row>
    <row r="86" spans="1:12" ht="61.2" x14ac:dyDescent="0.3">
      <c r="A86" s="14" t="s">
        <v>102</v>
      </c>
      <c r="B86" s="15" t="s">
        <v>115</v>
      </c>
      <c r="C86" s="15" t="s">
        <v>104</v>
      </c>
      <c r="D86" s="15" t="s">
        <v>27</v>
      </c>
      <c r="E86" s="16" t="s">
        <v>105</v>
      </c>
      <c r="F86" s="22" t="s">
        <v>15</v>
      </c>
      <c r="G86" s="22"/>
      <c r="H86" s="16" t="s">
        <v>13</v>
      </c>
      <c r="I86" s="23">
        <v>1160.75</v>
      </c>
      <c r="J86" s="23"/>
      <c r="K86" s="19" t="s">
        <v>8</v>
      </c>
      <c r="L86" s="20">
        <v>259072.48</v>
      </c>
    </row>
    <row r="87" spans="1:12" ht="71.400000000000006" x14ac:dyDescent="0.3">
      <c r="A87" s="14" t="s">
        <v>102</v>
      </c>
      <c r="B87" s="15" t="s">
        <v>115</v>
      </c>
      <c r="C87" s="15" t="s">
        <v>104</v>
      </c>
      <c r="D87" s="15" t="s">
        <v>29</v>
      </c>
      <c r="E87" s="16" t="s">
        <v>105</v>
      </c>
      <c r="F87" s="22" t="s">
        <v>15</v>
      </c>
      <c r="G87" s="22"/>
      <c r="H87" s="16" t="s">
        <v>13</v>
      </c>
      <c r="I87" s="23">
        <v>2668.8</v>
      </c>
      <c r="J87" s="23"/>
      <c r="K87" s="19" t="s">
        <v>8</v>
      </c>
      <c r="L87" s="20">
        <v>256403.68</v>
      </c>
    </row>
    <row r="88" spans="1:12" ht="71.400000000000006" x14ac:dyDescent="0.3">
      <c r="A88" s="14" t="s">
        <v>102</v>
      </c>
      <c r="B88" s="15" t="s">
        <v>115</v>
      </c>
      <c r="C88" s="15" t="s">
        <v>104</v>
      </c>
      <c r="D88" s="15" t="s">
        <v>28</v>
      </c>
      <c r="E88" s="16" t="s">
        <v>105</v>
      </c>
      <c r="F88" s="22" t="s">
        <v>15</v>
      </c>
      <c r="G88" s="22"/>
      <c r="H88" s="16" t="s">
        <v>13</v>
      </c>
      <c r="I88" s="23">
        <v>2745.6</v>
      </c>
      <c r="J88" s="23"/>
      <c r="K88" s="19" t="s">
        <v>8</v>
      </c>
      <c r="L88" s="20">
        <v>253658.08</v>
      </c>
    </row>
    <row r="89" spans="1:12" ht="61.2" x14ac:dyDescent="0.3">
      <c r="A89" s="14" t="s">
        <v>102</v>
      </c>
      <c r="B89" s="15" t="s">
        <v>115</v>
      </c>
      <c r="C89" s="15" t="s">
        <v>104</v>
      </c>
      <c r="D89" s="15" t="s">
        <v>117</v>
      </c>
      <c r="E89" s="16" t="s">
        <v>105</v>
      </c>
      <c r="F89" s="22" t="s">
        <v>15</v>
      </c>
      <c r="G89" s="22"/>
      <c r="H89" s="16" t="s">
        <v>13</v>
      </c>
      <c r="I89" s="24">
        <v>552.76</v>
      </c>
      <c r="J89" s="24"/>
      <c r="K89" s="19" t="s">
        <v>8</v>
      </c>
      <c r="L89" s="20">
        <v>253105.32</v>
      </c>
    </row>
    <row r="90" spans="1:12" ht="61.2" x14ac:dyDescent="0.3">
      <c r="A90" s="14" t="s">
        <v>102</v>
      </c>
      <c r="B90" s="15" t="s">
        <v>115</v>
      </c>
      <c r="C90" s="15" t="s">
        <v>104</v>
      </c>
      <c r="D90" s="15" t="s">
        <v>118</v>
      </c>
      <c r="E90" s="16" t="s">
        <v>105</v>
      </c>
      <c r="F90" s="22" t="s">
        <v>15</v>
      </c>
      <c r="G90" s="22"/>
      <c r="H90" s="16" t="s">
        <v>13</v>
      </c>
      <c r="I90" s="24">
        <v>581.5</v>
      </c>
      <c r="J90" s="24"/>
      <c r="K90" s="19" t="s">
        <v>8</v>
      </c>
      <c r="L90" s="20">
        <v>252523.82</v>
      </c>
    </row>
    <row r="91" spans="1:12" ht="61.2" x14ac:dyDescent="0.3">
      <c r="A91" s="14" t="s">
        <v>102</v>
      </c>
      <c r="B91" s="15" t="s">
        <v>115</v>
      </c>
      <c r="C91" s="15" t="s">
        <v>104</v>
      </c>
      <c r="D91" s="15" t="s">
        <v>35</v>
      </c>
      <c r="E91" s="16" t="s">
        <v>105</v>
      </c>
      <c r="F91" s="22" t="s">
        <v>15</v>
      </c>
      <c r="G91" s="22"/>
      <c r="H91" s="16" t="s">
        <v>13</v>
      </c>
      <c r="I91" s="24">
        <v>211.4</v>
      </c>
      <c r="J91" s="24"/>
      <c r="K91" s="19" t="s">
        <v>8</v>
      </c>
      <c r="L91" s="20">
        <v>252312.42</v>
      </c>
    </row>
    <row r="92" spans="1:12" ht="61.2" x14ac:dyDescent="0.3">
      <c r="A92" s="14" t="s">
        <v>102</v>
      </c>
      <c r="B92" s="15" t="s">
        <v>115</v>
      </c>
      <c r="C92" s="15" t="s">
        <v>104</v>
      </c>
      <c r="D92" s="15" t="s">
        <v>44</v>
      </c>
      <c r="E92" s="16" t="s">
        <v>105</v>
      </c>
      <c r="F92" s="22" t="s">
        <v>15</v>
      </c>
      <c r="G92" s="22"/>
      <c r="H92" s="16" t="s">
        <v>13</v>
      </c>
      <c r="I92" s="23">
        <v>3239.15</v>
      </c>
      <c r="J92" s="23"/>
      <c r="K92" s="19" t="s">
        <v>8</v>
      </c>
      <c r="L92" s="20">
        <v>249073.27</v>
      </c>
    </row>
    <row r="93" spans="1:12" ht="71.400000000000006" x14ac:dyDescent="0.3">
      <c r="A93" s="14" t="s">
        <v>102</v>
      </c>
      <c r="B93" s="15" t="s">
        <v>119</v>
      </c>
      <c r="C93" s="15" t="s">
        <v>104</v>
      </c>
      <c r="D93" s="15" t="s">
        <v>120</v>
      </c>
      <c r="E93" s="16" t="s">
        <v>105</v>
      </c>
      <c r="F93" s="22" t="s">
        <v>15</v>
      </c>
      <c r="G93" s="22"/>
      <c r="H93" s="16" t="s">
        <v>13</v>
      </c>
      <c r="I93" s="24">
        <v>961.95</v>
      </c>
      <c r="J93" s="24"/>
      <c r="K93" s="19" t="s">
        <v>8</v>
      </c>
      <c r="L93" s="20">
        <v>248111.32</v>
      </c>
    </row>
    <row r="94" spans="1:12" ht="61.2" x14ac:dyDescent="0.3">
      <c r="A94" s="14" t="s">
        <v>102</v>
      </c>
      <c r="B94" s="15" t="s">
        <v>119</v>
      </c>
      <c r="C94" s="15" t="s">
        <v>104</v>
      </c>
      <c r="D94" s="15" t="s">
        <v>121</v>
      </c>
      <c r="E94" s="16" t="s">
        <v>105</v>
      </c>
      <c r="F94" s="22" t="s">
        <v>15</v>
      </c>
      <c r="G94" s="22"/>
      <c r="H94" s="16" t="s">
        <v>13</v>
      </c>
      <c r="I94" s="23">
        <v>1639.48</v>
      </c>
      <c r="J94" s="23"/>
      <c r="K94" s="19" t="s">
        <v>8</v>
      </c>
      <c r="L94" s="20">
        <v>246471.84</v>
      </c>
    </row>
    <row r="95" spans="1:12" ht="71.400000000000006" x14ac:dyDescent="0.3">
      <c r="A95" s="14" t="s">
        <v>102</v>
      </c>
      <c r="B95" s="15" t="s">
        <v>119</v>
      </c>
      <c r="C95" s="15" t="s">
        <v>104</v>
      </c>
      <c r="D95" s="15" t="s">
        <v>122</v>
      </c>
      <c r="E95" s="16" t="s">
        <v>105</v>
      </c>
      <c r="F95" s="22" t="s">
        <v>15</v>
      </c>
      <c r="G95" s="22"/>
      <c r="H95" s="16" t="s">
        <v>13</v>
      </c>
      <c r="I95" s="23">
        <v>9600</v>
      </c>
      <c r="J95" s="23"/>
      <c r="K95" s="19" t="s">
        <v>8</v>
      </c>
      <c r="L95" s="20">
        <v>236871.84</v>
      </c>
    </row>
    <row r="96" spans="1:12" ht="71.400000000000006" x14ac:dyDescent="0.3">
      <c r="A96" s="14" t="s">
        <v>102</v>
      </c>
      <c r="B96" s="15" t="s">
        <v>119</v>
      </c>
      <c r="C96" s="15" t="s">
        <v>104</v>
      </c>
      <c r="D96" s="15" t="s">
        <v>123</v>
      </c>
      <c r="E96" s="16" t="s">
        <v>105</v>
      </c>
      <c r="F96" s="22" t="s">
        <v>15</v>
      </c>
      <c r="G96" s="22"/>
      <c r="H96" s="16" t="s">
        <v>13</v>
      </c>
      <c r="I96" s="24">
        <v>841.24</v>
      </c>
      <c r="J96" s="24"/>
      <c r="K96" s="19" t="s">
        <v>8</v>
      </c>
      <c r="L96" s="20">
        <v>236030.6</v>
      </c>
    </row>
    <row r="97" spans="1:12" ht="61.2" x14ac:dyDescent="0.3">
      <c r="A97" s="14" t="s">
        <v>102</v>
      </c>
      <c r="B97" s="15" t="s">
        <v>119</v>
      </c>
      <c r="C97" s="15" t="s">
        <v>104</v>
      </c>
      <c r="D97" s="15" t="s">
        <v>124</v>
      </c>
      <c r="E97" s="16" t="s">
        <v>105</v>
      </c>
      <c r="F97" s="22" t="s">
        <v>15</v>
      </c>
      <c r="G97" s="22"/>
      <c r="H97" s="16" t="s">
        <v>13</v>
      </c>
      <c r="I97" s="24">
        <v>396.3</v>
      </c>
      <c r="J97" s="24"/>
      <c r="K97" s="19" t="s">
        <v>8</v>
      </c>
      <c r="L97" s="20">
        <v>235634.3</v>
      </c>
    </row>
    <row r="98" spans="1:12" ht="61.2" x14ac:dyDescent="0.3">
      <c r="A98" s="14" t="s">
        <v>102</v>
      </c>
      <c r="B98" s="15" t="s">
        <v>119</v>
      </c>
      <c r="C98" s="15" t="s">
        <v>104</v>
      </c>
      <c r="D98" s="15" t="s">
        <v>106</v>
      </c>
      <c r="E98" s="16" t="s">
        <v>105</v>
      </c>
      <c r="F98" s="22" t="s">
        <v>15</v>
      </c>
      <c r="G98" s="22"/>
      <c r="H98" s="16" t="s">
        <v>13</v>
      </c>
      <c r="I98" s="24">
        <v>351</v>
      </c>
      <c r="J98" s="24"/>
      <c r="K98" s="19" t="s">
        <v>8</v>
      </c>
      <c r="L98" s="20">
        <v>235283.3</v>
      </c>
    </row>
    <row r="99" spans="1:12" ht="61.2" x14ac:dyDescent="0.3">
      <c r="A99" s="14" t="s">
        <v>102</v>
      </c>
      <c r="B99" s="15" t="s">
        <v>119</v>
      </c>
      <c r="C99" s="15" t="s">
        <v>104</v>
      </c>
      <c r="D99" s="15" t="s">
        <v>125</v>
      </c>
      <c r="E99" s="16" t="s">
        <v>105</v>
      </c>
      <c r="F99" s="22" t="s">
        <v>15</v>
      </c>
      <c r="G99" s="22"/>
      <c r="H99" s="16" t="s">
        <v>13</v>
      </c>
      <c r="I99" s="23">
        <v>2658.33</v>
      </c>
      <c r="J99" s="23"/>
      <c r="K99" s="19" t="s">
        <v>8</v>
      </c>
      <c r="L99" s="20">
        <v>232624.97</v>
      </c>
    </row>
    <row r="100" spans="1:12" ht="61.2" x14ac:dyDescent="0.3">
      <c r="A100" s="14" t="s">
        <v>102</v>
      </c>
      <c r="B100" s="15" t="s">
        <v>119</v>
      </c>
      <c r="C100" s="15" t="s">
        <v>104</v>
      </c>
      <c r="D100" s="15" t="s">
        <v>23</v>
      </c>
      <c r="E100" s="16" t="s">
        <v>105</v>
      </c>
      <c r="F100" s="22" t="s">
        <v>15</v>
      </c>
      <c r="G100" s="22"/>
      <c r="H100" s="16" t="s">
        <v>13</v>
      </c>
      <c r="I100" s="24">
        <v>624.4</v>
      </c>
      <c r="J100" s="24"/>
      <c r="K100" s="19" t="s">
        <v>8</v>
      </c>
      <c r="L100" s="20">
        <v>232000.57</v>
      </c>
    </row>
    <row r="101" spans="1:12" ht="71.400000000000006" x14ac:dyDescent="0.3">
      <c r="A101" s="14" t="s">
        <v>102</v>
      </c>
      <c r="B101" s="15" t="s">
        <v>119</v>
      </c>
      <c r="C101" s="15" t="s">
        <v>104</v>
      </c>
      <c r="D101" s="15" t="s">
        <v>31</v>
      </c>
      <c r="E101" s="16" t="s">
        <v>105</v>
      </c>
      <c r="F101" s="22" t="s">
        <v>15</v>
      </c>
      <c r="G101" s="22"/>
      <c r="H101" s="16" t="s">
        <v>13</v>
      </c>
      <c r="I101" s="23">
        <v>1110</v>
      </c>
      <c r="J101" s="23"/>
      <c r="K101" s="19" t="s">
        <v>8</v>
      </c>
      <c r="L101" s="20">
        <v>230890.57</v>
      </c>
    </row>
    <row r="102" spans="1:12" ht="61.2" x14ac:dyDescent="0.3">
      <c r="A102" s="14" t="s">
        <v>102</v>
      </c>
      <c r="B102" s="15" t="s">
        <v>119</v>
      </c>
      <c r="C102" s="15" t="s">
        <v>104</v>
      </c>
      <c r="D102" s="15" t="s">
        <v>126</v>
      </c>
      <c r="E102" s="16" t="s">
        <v>105</v>
      </c>
      <c r="F102" s="22" t="s">
        <v>15</v>
      </c>
      <c r="G102" s="22"/>
      <c r="H102" s="16" t="s">
        <v>13</v>
      </c>
      <c r="I102" s="23">
        <v>6450</v>
      </c>
      <c r="J102" s="23"/>
      <c r="K102" s="19" t="s">
        <v>8</v>
      </c>
      <c r="L102" s="20">
        <v>224440.57</v>
      </c>
    </row>
    <row r="103" spans="1:12" ht="61.2" x14ac:dyDescent="0.3">
      <c r="A103" s="14" t="s">
        <v>102</v>
      </c>
      <c r="B103" s="15" t="s">
        <v>119</v>
      </c>
      <c r="C103" s="15" t="s">
        <v>104</v>
      </c>
      <c r="D103" s="15" t="s">
        <v>127</v>
      </c>
      <c r="E103" s="16" t="s">
        <v>105</v>
      </c>
      <c r="F103" s="22" t="s">
        <v>15</v>
      </c>
      <c r="G103" s="22"/>
      <c r="H103" s="16" t="s">
        <v>13</v>
      </c>
      <c r="I103" s="24">
        <v>417.1</v>
      </c>
      <c r="J103" s="24"/>
      <c r="K103" s="19" t="s">
        <v>8</v>
      </c>
      <c r="L103" s="20">
        <v>224023.47</v>
      </c>
    </row>
    <row r="104" spans="1:12" ht="61.2" x14ac:dyDescent="0.3">
      <c r="A104" s="14" t="s">
        <v>102</v>
      </c>
      <c r="B104" s="15" t="s">
        <v>119</v>
      </c>
      <c r="C104" s="15" t="s">
        <v>104</v>
      </c>
      <c r="D104" s="15" t="s">
        <v>128</v>
      </c>
      <c r="E104" s="16" t="s">
        <v>105</v>
      </c>
      <c r="F104" s="22" t="s">
        <v>15</v>
      </c>
      <c r="G104" s="22"/>
      <c r="H104" s="16" t="s">
        <v>13</v>
      </c>
      <c r="I104" s="23">
        <v>2686.5</v>
      </c>
      <c r="J104" s="23"/>
      <c r="K104" s="19" t="s">
        <v>8</v>
      </c>
      <c r="L104" s="20">
        <v>221336.97</v>
      </c>
    </row>
    <row r="105" spans="1:12" ht="61.2" x14ac:dyDescent="0.3">
      <c r="A105" s="14" t="s">
        <v>102</v>
      </c>
      <c r="B105" s="15" t="s">
        <v>119</v>
      </c>
      <c r="C105" s="15" t="s">
        <v>104</v>
      </c>
      <c r="D105" s="15" t="s">
        <v>44</v>
      </c>
      <c r="E105" s="16" t="s">
        <v>105</v>
      </c>
      <c r="F105" s="22" t="s">
        <v>15</v>
      </c>
      <c r="G105" s="22"/>
      <c r="H105" s="16" t="s">
        <v>13</v>
      </c>
      <c r="I105" s="23">
        <v>3239.15</v>
      </c>
      <c r="J105" s="23"/>
      <c r="K105" s="19" t="s">
        <v>8</v>
      </c>
      <c r="L105" s="20">
        <v>218097.82</v>
      </c>
    </row>
    <row r="106" spans="1:12" ht="61.2" x14ac:dyDescent="0.3">
      <c r="A106" s="14" t="s">
        <v>102</v>
      </c>
      <c r="B106" s="15" t="s">
        <v>119</v>
      </c>
      <c r="C106" s="15" t="s">
        <v>104</v>
      </c>
      <c r="D106" s="15" t="s">
        <v>129</v>
      </c>
      <c r="E106" s="16" t="s">
        <v>105</v>
      </c>
      <c r="F106" s="22" t="s">
        <v>15</v>
      </c>
      <c r="G106" s="22"/>
      <c r="H106" s="16" t="s">
        <v>13</v>
      </c>
      <c r="I106" s="23">
        <v>3318.75</v>
      </c>
      <c r="J106" s="23"/>
      <c r="K106" s="19" t="s">
        <v>8</v>
      </c>
      <c r="L106" s="20">
        <v>214779.07</v>
      </c>
    </row>
    <row r="107" spans="1:12" ht="61.2" x14ac:dyDescent="0.3">
      <c r="A107" s="14" t="s">
        <v>102</v>
      </c>
      <c r="B107" s="15" t="s">
        <v>119</v>
      </c>
      <c r="C107" s="15" t="s">
        <v>104</v>
      </c>
      <c r="D107" s="15" t="s">
        <v>30</v>
      </c>
      <c r="E107" s="16" t="s">
        <v>105</v>
      </c>
      <c r="F107" s="22" t="s">
        <v>15</v>
      </c>
      <c r="G107" s="22"/>
      <c r="H107" s="16" t="s">
        <v>13</v>
      </c>
      <c r="I107" s="24">
        <v>61.8</v>
      </c>
      <c r="J107" s="24"/>
      <c r="K107" s="19" t="s">
        <v>8</v>
      </c>
      <c r="L107" s="20">
        <v>214717.27</v>
      </c>
    </row>
    <row r="108" spans="1:12" ht="71.400000000000006" x14ac:dyDescent="0.3">
      <c r="A108" s="14" t="s">
        <v>102</v>
      </c>
      <c r="B108" s="15" t="s">
        <v>119</v>
      </c>
      <c r="C108" s="15" t="s">
        <v>104</v>
      </c>
      <c r="D108" s="15" t="s">
        <v>130</v>
      </c>
      <c r="E108" s="16" t="s">
        <v>105</v>
      </c>
      <c r="F108" s="22" t="s">
        <v>15</v>
      </c>
      <c r="G108" s="22"/>
      <c r="H108" s="16" t="s">
        <v>13</v>
      </c>
      <c r="I108" s="23">
        <v>1899.06</v>
      </c>
      <c r="J108" s="23"/>
      <c r="K108" s="19" t="s">
        <v>8</v>
      </c>
      <c r="L108" s="20">
        <v>212818.21</v>
      </c>
    </row>
    <row r="109" spans="1:12" ht="61.2" x14ac:dyDescent="0.3">
      <c r="A109" s="14" t="s">
        <v>102</v>
      </c>
      <c r="B109" s="15" t="s">
        <v>119</v>
      </c>
      <c r="C109" s="15" t="s">
        <v>104</v>
      </c>
      <c r="D109" s="15" t="s">
        <v>131</v>
      </c>
      <c r="E109" s="16" t="s">
        <v>105</v>
      </c>
      <c r="F109" s="22" t="s">
        <v>15</v>
      </c>
      <c r="G109" s="22"/>
      <c r="H109" s="16" t="s">
        <v>13</v>
      </c>
      <c r="I109" s="23">
        <v>2528.34</v>
      </c>
      <c r="J109" s="23"/>
      <c r="K109" s="19" t="s">
        <v>8</v>
      </c>
      <c r="L109" s="20">
        <v>210289.87</v>
      </c>
    </row>
    <row r="110" spans="1:12" ht="61.2" x14ac:dyDescent="0.3">
      <c r="A110" s="14" t="s">
        <v>102</v>
      </c>
      <c r="B110" s="15" t="s">
        <v>119</v>
      </c>
      <c r="C110" s="15" t="s">
        <v>104</v>
      </c>
      <c r="D110" s="15" t="s">
        <v>132</v>
      </c>
      <c r="E110" s="16" t="s">
        <v>105</v>
      </c>
      <c r="F110" s="22" t="s">
        <v>15</v>
      </c>
      <c r="G110" s="22"/>
      <c r="H110" s="16" t="s">
        <v>13</v>
      </c>
      <c r="I110" s="23">
        <v>1350</v>
      </c>
      <c r="J110" s="23"/>
      <c r="K110" s="19" t="s">
        <v>8</v>
      </c>
      <c r="L110" s="20">
        <v>208939.87</v>
      </c>
    </row>
    <row r="111" spans="1:12" ht="61.2" x14ac:dyDescent="0.3">
      <c r="A111" s="14" t="s">
        <v>102</v>
      </c>
      <c r="B111" s="15" t="s">
        <v>119</v>
      </c>
      <c r="C111" s="15" t="s">
        <v>104</v>
      </c>
      <c r="D111" s="15" t="s">
        <v>133</v>
      </c>
      <c r="E111" s="16" t="s">
        <v>105</v>
      </c>
      <c r="F111" s="22" t="s">
        <v>15</v>
      </c>
      <c r="G111" s="22"/>
      <c r="H111" s="16" t="s">
        <v>13</v>
      </c>
      <c r="I111" s="24">
        <v>266.7</v>
      </c>
      <c r="J111" s="24"/>
      <c r="K111" s="19" t="s">
        <v>8</v>
      </c>
      <c r="L111" s="20">
        <v>208673.17</v>
      </c>
    </row>
    <row r="112" spans="1:12" ht="71.400000000000006" x14ac:dyDescent="0.3">
      <c r="A112" s="14" t="s">
        <v>102</v>
      </c>
      <c r="B112" s="15" t="s">
        <v>119</v>
      </c>
      <c r="C112" s="15" t="s">
        <v>104</v>
      </c>
      <c r="D112" s="15" t="s">
        <v>134</v>
      </c>
      <c r="E112" s="16" t="s">
        <v>105</v>
      </c>
      <c r="F112" s="22" t="s">
        <v>15</v>
      </c>
      <c r="G112" s="22"/>
      <c r="H112" s="16" t="s">
        <v>13</v>
      </c>
      <c r="I112" s="24">
        <v>107.4</v>
      </c>
      <c r="J112" s="24"/>
      <c r="K112" s="19" t="s">
        <v>8</v>
      </c>
      <c r="L112" s="20">
        <v>208565.77</v>
      </c>
    </row>
    <row r="113" spans="1:12" ht="71.400000000000006" hidden="1" x14ac:dyDescent="0.3">
      <c r="A113" s="14" t="s">
        <v>135</v>
      </c>
      <c r="B113" s="15" t="s">
        <v>136</v>
      </c>
      <c r="C113" s="15" t="s">
        <v>137</v>
      </c>
      <c r="D113" s="15" t="s">
        <v>138</v>
      </c>
      <c r="E113" s="16" t="s">
        <v>13</v>
      </c>
      <c r="F113" s="21">
        <v>394.8</v>
      </c>
      <c r="G113" s="21"/>
      <c r="H113" s="16" t="s">
        <v>14</v>
      </c>
      <c r="I113" s="18" t="s">
        <v>15</v>
      </c>
      <c r="J113" s="18"/>
      <c r="K113" s="19" t="s">
        <v>8</v>
      </c>
      <c r="L113" s="20">
        <v>208960.57</v>
      </c>
    </row>
    <row r="114" spans="1:12" ht="71.400000000000006" hidden="1" x14ac:dyDescent="0.3">
      <c r="A114" s="14" t="s">
        <v>135</v>
      </c>
      <c r="B114" s="15" t="s">
        <v>136</v>
      </c>
      <c r="C114" s="15" t="s">
        <v>139</v>
      </c>
      <c r="D114" s="15" t="s">
        <v>138</v>
      </c>
      <c r="E114" s="16" t="s">
        <v>13</v>
      </c>
      <c r="F114" s="17">
        <v>6810</v>
      </c>
      <c r="G114" s="17"/>
      <c r="H114" s="16" t="s">
        <v>14</v>
      </c>
      <c r="I114" s="18" t="s">
        <v>15</v>
      </c>
      <c r="J114" s="18"/>
      <c r="K114" s="19" t="s">
        <v>8</v>
      </c>
      <c r="L114" s="20">
        <v>215770.57</v>
      </c>
    </row>
    <row r="115" spans="1:12" ht="71.400000000000006" hidden="1" x14ac:dyDescent="0.3">
      <c r="A115" s="14" t="s">
        <v>135</v>
      </c>
      <c r="B115" s="15" t="s">
        <v>140</v>
      </c>
      <c r="C115" s="15" t="s">
        <v>141</v>
      </c>
      <c r="D115" s="15" t="s">
        <v>142</v>
      </c>
      <c r="E115" s="16" t="s">
        <v>13</v>
      </c>
      <c r="F115" s="21">
        <v>333</v>
      </c>
      <c r="G115" s="21"/>
      <c r="H115" s="16" t="s">
        <v>14</v>
      </c>
      <c r="I115" s="18" t="s">
        <v>15</v>
      </c>
      <c r="J115" s="18"/>
      <c r="K115" s="19" t="s">
        <v>8</v>
      </c>
      <c r="L115" s="20">
        <v>216103.57</v>
      </c>
    </row>
    <row r="116" spans="1:12" ht="61.2" hidden="1" x14ac:dyDescent="0.3">
      <c r="A116" s="14" t="s">
        <v>135</v>
      </c>
      <c r="B116" s="15" t="s">
        <v>140</v>
      </c>
      <c r="C116" s="15" t="s">
        <v>143</v>
      </c>
      <c r="D116" s="15" t="s">
        <v>142</v>
      </c>
      <c r="E116" s="16" t="s">
        <v>13</v>
      </c>
      <c r="F116" s="21">
        <v>270</v>
      </c>
      <c r="G116" s="21"/>
      <c r="H116" s="16" t="s">
        <v>14</v>
      </c>
      <c r="I116" s="18" t="s">
        <v>15</v>
      </c>
      <c r="J116" s="18"/>
      <c r="K116" s="19" t="s">
        <v>8</v>
      </c>
      <c r="L116" s="20">
        <v>216373.57</v>
      </c>
    </row>
    <row r="117" spans="1:12" ht="71.400000000000006" hidden="1" x14ac:dyDescent="0.3">
      <c r="A117" s="14" t="s">
        <v>135</v>
      </c>
      <c r="B117" s="15" t="s">
        <v>140</v>
      </c>
      <c r="C117" s="15" t="s">
        <v>144</v>
      </c>
      <c r="D117" s="15" t="s">
        <v>142</v>
      </c>
      <c r="E117" s="16" t="s">
        <v>13</v>
      </c>
      <c r="F117" s="17">
        <v>4464</v>
      </c>
      <c r="G117" s="17"/>
      <c r="H117" s="16" t="s">
        <v>14</v>
      </c>
      <c r="I117" s="18" t="s">
        <v>15</v>
      </c>
      <c r="J117" s="18"/>
      <c r="K117" s="19" t="s">
        <v>8</v>
      </c>
      <c r="L117" s="20">
        <v>220837.57</v>
      </c>
    </row>
    <row r="118" spans="1:12" ht="61.2" hidden="1" x14ac:dyDescent="0.3">
      <c r="A118" s="14" t="s">
        <v>135</v>
      </c>
      <c r="B118" s="15" t="s">
        <v>140</v>
      </c>
      <c r="C118" s="15" t="s">
        <v>145</v>
      </c>
      <c r="D118" s="15" t="s">
        <v>142</v>
      </c>
      <c r="E118" s="16" t="s">
        <v>13</v>
      </c>
      <c r="F118" s="17">
        <v>1075</v>
      </c>
      <c r="G118" s="17"/>
      <c r="H118" s="16" t="s">
        <v>14</v>
      </c>
      <c r="I118" s="18" t="s">
        <v>15</v>
      </c>
      <c r="J118" s="18"/>
      <c r="K118" s="19" t="s">
        <v>8</v>
      </c>
      <c r="L118" s="20">
        <v>221912.57</v>
      </c>
    </row>
    <row r="119" spans="1:12" ht="61.2" hidden="1" x14ac:dyDescent="0.3">
      <c r="A119" s="14" t="s">
        <v>135</v>
      </c>
      <c r="B119" s="15" t="s">
        <v>140</v>
      </c>
      <c r="C119" s="15" t="s">
        <v>146</v>
      </c>
      <c r="D119" s="15" t="s">
        <v>142</v>
      </c>
      <c r="E119" s="16" t="s">
        <v>13</v>
      </c>
      <c r="F119" s="17">
        <v>4053.25</v>
      </c>
      <c r="G119" s="17"/>
      <c r="H119" s="16" t="s">
        <v>14</v>
      </c>
      <c r="I119" s="18" t="s">
        <v>15</v>
      </c>
      <c r="J119" s="18"/>
      <c r="K119" s="19" t="s">
        <v>8</v>
      </c>
      <c r="L119" s="20">
        <v>225965.82</v>
      </c>
    </row>
    <row r="120" spans="1:12" ht="71.400000000000006" hidden="1" x14ac:dyDescent="0.3">
      <c r="A120" s="14" t="s">
        <v>135</v>
      </c>
      <c r="B120" s="15" t="s">
        <v>140</v>
      </c>
      <c r="C120" s="15" t="s">
        <v>147</v>
      </c>
      <c r="D120" s="15" t="s">
        <v>142</v>
      </c>
      <c r="E120" s="16" t="s">
        <v>13</v>
      </c>
      <c r="F120" s="17">
        <v>1289.5</v>
      </c>
      <c r="G120" s="17"/>
      <c r="H120" s="16" t="s">
        <v>14</v>
      </c>
      <c r="I120" s="18" t="s">
        <v>15</v>
      </c>
      <c r="J120" s="18"/>
      <c r="K120" s="19" t="s">
        <v>8</v>
      </c>
      <c r="L120" s="20">
        <v>227255.32</v>
      </c>
    </row>
    <row r="121" spans="1:12" ht="61.2" hidden="1" x14ac:dyDescent="0.3">
      <c r="A121" s="14" t="s">
        <v>135</v>
      </c>
      <c r="B121" s="15" t="s">
        <v>140</v>
      </c>
      <c r="C121" s="15" t="s">
        <v>148</v>
      </c>
      <c r="D121" s="15" t="s">
        <v>142</v>
      </c>
      <c r="E121" s="16" t="s">
        <v>13</v>
      </c>
      <c r="F121" s="17">
        <v>1545</v>
      </c>
      <c r="G121" s="17"/>
      <c r="H121" s="16" t="s">
        <v>14</v>
      </c>
      <c r="I121" s="18" t="s">
        <v>15</v>
      </c>
      <c r="J121" s="18"/>
      <c r="K121" s="19" t="s">
        <v>8</v>
      </c>
      <c r="L121" s="20">
        <v>228800.32</v>
      </c>
    </row>
    <row r="122" spans="1:12" ht="61.2" hidden="1" x14ac:dyDescent="0.3">
      <c r="A122" s="14" t="s">
        <v>135</v>
      </c>
      <c r="B122" s="15" t="s">
        <v>140</v>
      </c>
      <c r="C122" s="15" t="s">
        <v>149</v>
      </c>
      <c r="D122" s="15" t="s">
        <v>142</v>
      </c>
      <c r="E122" s="16" t="s">
        <v>13</v>
      </c>
      <c r="F122" s="21">
        <v>990.75</v>
      </c>
      <c r="G122" s="21"/>
      <c r="H122" s="16" t="s">
        <v>14</v>
      </c>
      <c r="I122" s="18" t="s">
        <v>15</v>
      </c>
      <c r="J122" s="18"/>
      <c r="K122" s="19" t="s">
        <v>8</v>
      </c>
      <c r="L122" s="20">
        <v>229791.07</v>
      </c>
    </row>
    <row r="123" spans="1:12" ht="61.2" hidden="1" x14ac:dyDescent="0.3">
      <c r="A123" s="14" t="s">
        <v>135</v>
      </c>
      <c r="B123" s="15" t="s">
        <v>140</v>
      </c>
      <c r="C123" s="15" t="s">
        <v>150</v>
      </c>
      <c r="D123" s="15" t="s">
        <v>142</v>
      </c>
      <c r="E123" s="16" t="s">
        <v>13</v>
      </c>
      <c r="F123" s="21">
        <v>479.25</v>
      </c>
      <c r="G123" s="21"/>
      <c r="H123" s="16" t="s">
        <v>14</v>
      </c>
      <c r="I123" s="18" t="s">
        <v>15</v>
      </c>
      <c r="J123" s="18"/>
      <c r="K123" s="19" t="s">
        <v>8</v>
      </c>
      <c r="L123" s="20">
        <v>230270.32</v>
      </c>
    </row>
    <row r="124" spans="1:12" ht="61.2" hidden="1" x14ac:dyDescent="0.3">
      <c r="A124" s="14" t="s">
        <v>135</v>
      </c>
      <c r="B124" s="15" t="s">
        <v>151</v>
      </c>
      <c r="C124" s="15" t="s">
        <v>152</v>
      </c>
      <c r="D124" s="15" t="s">
        <v>153</v>
      </c>
      <c r="E124" s="16" t="s">
        <v>13</v>
      </c>
      <c r="F124" s="17">
        <v>3239.15</v>
      </c>
      <c r="G124" s="17"/>
      <c r="H124" s="16" t="s">
        <v>14</v>
      </c>
      <c r="I124" s="18" t="s">
        <v>15</v>
      </c>
      <c r="J124" s="18"/>
      <c r="K124" s="19" t="s">
        <v>8</v>
      </c>
      <c r="L124" s="20">
        <v>233509.47</v>
      </c>
    </row>
    <row r="125" spans="1:12" ht="61.2" hidden="1" x14ac:dyDescent="0.3">
      <c r="A125" s="14" t="s">
        <v>135</v>
      </c>
      <c r="B125" s="15" t="s">
        <v>151</v>
      </c>
      <c r="C125" s="15" t="s">
        <v>154</v>
      </c>
      <c r="D125" s="15" t="s">
        <v>153</v>
      </c>
      <c r="E125" s="16" t="s">
        <v>13</v>
      </c>
      <c r="F125" s="17">
        <v>3816.7</v>
      </c>
      <c r="G125" s="17"/>
      <c r="H125" s="16" t="s">
        <v>14</v>
      </c>
      <c r="I125" s="18" t="s">
        <v>15</v>
      </c>
      <c r="J125" s="18"/>
      <c r="K125" s="19" t="s">
        <v>8</v>
      </c>
      <c r="L125" s="20">
        <v>237326.17</v>
      </c>
    </row>
    <row r="126" spans="1:12" ht="71.400000000000006" hidden="1" x14ac:dyDescent="0.3">
      <c r="A126" s="14" t="s">
        <v>135</v>
      </c>
      <c r="B126" s="15" t="s">
        <v>151</v>
      </c>
      <c r="C126" s="15" t="s">
        <v>155</v>
      </c>
      <c r="D126" s="15" t="s">
        <v>153</v>
      </c>
      <c r="E126" s="16" t="s">
        <v>13</v>
      </c>
      <c r="F126" s="17">
        <v>22240</v>
      </c>
      <c r="G126" s="17"/>
      <c r="H126" s="16" t="s">
        <v>14</v>
      </c>
      <c r="I126" s="18" t="s">
        <v>15</v>
      </c>
      <c r="J126" s="18"/>
      <c r="K126" s="19" t="s">
        <v>8</v>
      </c>
      <c r="L126" s="20">
        <v>259566.17</v>
      </c>
    </row>
    <row r="127" spans="1:12" ht="71.400000000000006" hidden="1" x14ac:dyDescent="0.3">
      <c r="A127" s="14" t="s">
        <v>135</v>
      </c>
      <c r="B127" s="15" t="s">
        <v>151</v>
      </c>
      <c r="C127" s="15" t="s">
        <v>156</v>
      </c>
      <c r="D127" s="15" t="s">
        <v>153</v>
      </c>
      <c r="E127" s="16" t="s">
        <v>13</v>
      </c>
      <c r="F127" s="17">
        <v>6864</v>
      </c>
      <c r="G127" s="17"/>
      <c r="H127" s="16" t="s">
        <v>14</v>
      </c>
      <c r="I127" s="18" t="s">
        <v>15</v>
      </c>
      <c r="J127" s="18"/>
      <c r="K127" s="19" t="s">
        <v>8</v>
      </c>
      <c r="L127" s="20">
        <v>266430.17</v>
      </c>
    </row>
    <row r="128" spans="1:12" ht="61.2" hidden="1" x14ac:dyDescent="0.3">
      <c r="A128" s="14" t="s">
        <v>135</v>
      </c>
      <c r="B128" s="15" t="s">
        <v>151</v>
      </c>
      <c r="C128" s="15" t="s">
        <v>157</v>
      </c>
      <c r="D128" s="15" t="s">
        <v>153</v>
      </c>
      <c r="E128" s="16" t="s">
        <v>13</v>
      </c>
      <c r="F128" s="17">
        <v>4425</v>
      </c>
      <c r="G128" s="17"/>
      <c r="H128" s="16" t="s">
        <v>14</v>
      </c>
      <c r="I128" s="18" t="s">
        <v>15</v>
      </c>
      <c r="J128" s="18"/>
      <c r="K128" s="19" t="s">
        <v>8</v>
      </c>
      <c r="L128" s="20">
        <v>270855.17</v>
      </c>
    </row>
    <row r="129" spans="1:12" ht="61.2" hidden="1" x14ac:dyDescent="0.3">
      <c r="A129" s="14" t="s">
        <v>135</v>
      </c>
      <c r="B129" s="15" t="s">
        <v>151</v>
      </c>
      <c r="C129" s="15" t="s">
        <v>158</v>
      </c>
      <c r="D129" s="15" t="s">
        <v>153</v>
      </c>
      <c r="E129" s="16" t="s">
        <v>13</v>
      </c>
      <c r="F129" s="17">
        <v>8112</v>
      </c>
      <c r="G129" s="17"/>
      <c r="H129" s="16" t="s">
        <v>14</v>
      </c>
      <c r="I129" s="18" t="s">
        <v>15</v>
      </c>
      <c r="J129" s="18"/>
      <c r="K129" s="19" t="s">
        <v>8</v>
      </c>
      <c r="L129" s="20">
        <v>278967.17</v>
      </c>
    </row>
    <row r="130" spans="1:12" ht="71.400000000000006" hidden="1" x14ac:dyDescent="0.3">
      <c r="A130" s="14" t="s">
        <v>135</v>
      </c>
      <c r="B130" s="15" t="s">
        <v>159</v>
      </c>
      <c r="C130" s="15" t="s">
        <v>160</v>
      </c>
      <c r="D130" s="15" t="s">
        <v>138</v>
      </c>
      <c r="E130" s="16" t="s">
        <v>13</v>
      </c>
      <c r="F130" s="17">
        <v>5245.2</v>
      </c>
      <c r="G130" s="17"/>
      <c r="H130" s="16" t="s">
        <v>14</v>
      </c>
      <c r="I130" s="18" t="s">
        <v>15</v>
      </c>
      <c r="J130" s="18"/>
      <c r="K130" s="19" t="s">
        <v>8</v>
      </c>
      <c r="L130" s="20">
        <v>284212.37</v>
      </c>
    </row>
    <row r="131" spans="1:12" ht="61.2" hidden="1" x14ac:dyDescent="0.3">
      <c r="A131" s="14" t="s">
        <v>135</v>
      </c>
      <c r="B131" s="15" t="s">
        <v>159</v>
      </c>
      <c r="C131" s="15" t="s">
        <v>161</v>
      </c>
      <c r="D131" s="15" t="s">
        <v>138</v>
      </c>
      <c r="E131" s="16" t="s">
        <v>13</v>
      </c>
      <c r="F131" s="21">
        <v>398.1</v>
      </c>
      <c r="G131" s="21"/>
      <c r="H131" s="16" t="s">
        <v>14</v>
      </c>
      <c r="I131" s="18" t="s">
        <v>15</v>
      </c>
      <c r="J131" s="18"/>
      <c r="K131" s="19" t="s">
        <v>8</v>
      </c>
      <c r="L131" s="20">
        <v>284610.46999999997</v>
      </c>
    </row>
    <row r="132" spans="1:12" ht="71.400000000000006" hidden="1" x14ac:dyDescent="0.3">
      <c r="A132" s="14" t="s">
        <v>135</v>
      </c>
      <c r="B132" s="15" t="s">
        <v>159</v>
      </c>
      <c r="C132" s="15" t="s">
        <v>162</v>
      </c>
      <c r="D132" s="15" t="s">
        <v>138</v>
      </c>
      <c r="E132" s="16" t="s">
        <v>13</v>
      </c>
      <c r="F132" s="17">
        <v>10529.5</v>
      </c>
      <c r="G132" s="17"/>
      <c r="H132" s="16" t="s">
        <v>14</v>
      </c>
      <c r="I132" s="18" t="s">
        <v>15</v>
      </c>
      <c r="J132" s="18"/>
      <c r="K132" s="19" t="s">
        <v>8</v>
      </c>
      <c r="L132" s="20">
        <v>295139.96999999997</v>
      </c>
    </row>
    <row r="133" spans="1:12" ht="61.2" hidden="1" x14ac:dyDescent="0.3">
      <c r="A133" s="14" t="s">
        <v>135</v>
      </c>
      <c r="B133" s="15" t="s">
        <v>159</v>
      </c>
      <c r="C133" s="15" t="s">
        <v>163</v>
      </c>
      <c r="D133" s="15" t="s">
        <v>138</v>
      </c>
      <c r="E133" s="16" t="s">
        <v>13</v>
      </c>
      <c r="F133" s="21">
        <v>750</v>
      </c>
      <c r="G133" s="21"/>
      <c r="H133" s="16" t="s">
        <v>14</v>
      </c>
      <c r="I133" s="18" t="s">
        <v>15</v>
      </c>
      <c r="J133" s="18"/>
      <c r="K133" s="19" t="s">
        <v>8</v>
      </c>
      <c r="L133" s="20">
        <v>295889.96999999997</v>
      </c>
    </row>
    <row r="134" spans="1:12" ht="81.599999999999994" hidden="1" x14ac:dyDescent="0.3">
      <c r="A134" s="14" t="s">
        <v>135</v>
      </c>
      <c r="B134" s="15" t="s">
        <v>159</v>
      </c>
      <c r="C134" s="15" t="s">
        <v>164</v>
      </c>
      <c r="D134" s="15" t="s">
        <v>138</v>
      </c>
      <c r="E134" s="16" t="s">
        <v>13</v>
      </c>
      <c r="F134" s="17">
        <v>1850</v>
      </c>
      <c r="G134" s="17"/>
      <c r="H134" s="16" t="s">
        <v>14</v>
      </c>
      <c r="I134" s="18" t="s">
        <v>15</v>
      </c>
      <c r="J134" s="18"/>
      <c r="K134" s="19" t="s">
        <v>8</v>
      </c>
      <c r="L134" s="20">
        <v>297739.96999999997</v>
      </c>
    </row>
    <row r="135" spans="1:12" ht="71.400000000000006" hidden="1" x14ac:dyDescent="0.3">
      <c r="A135" s="14" t="s">
        <v>135</v>
      </c>
      <c r="B135" s="15" t="s">
        <v>159</v>
      </c>
      <c r="C135" s="15" t="s">
        <v>165</v>
      </c>
      <c r="D135" s="15" t="s">
        <v>138</v>
      </c>
      <c r="E135" s="16" t="s">
        <v>13</v>
      </c>
      <c r="F135" s="17">
        <v>4140</v>
      </c>
      <c r="G135" s="17"/>
      <c r="H135" s="16" t="s">
        <v>14</v>
      </c>
      <c r="I135" s="18" t="s">
        <v>15</v>
      </c>
      <c r="J135" s="18"/>
      <c r="K135" s="19" t="s">
        <v>8</v>
      </c>
      <c r="L135" s="20">
        <v>301879.96999999997</v>
      </c>
    </row>
    <row r="136" spans="1:12" ht="61.2" hidden="1" x14ac:dyDescent="0.3">
      <c r="A136" s="14" t="s">
        <v>135</v>
      </c>
      <c r="B136" s="15" t="s">
        <v>159</v>
      </c>
      <c r="C136" s="15" t="s">
        <v>166</v>
      </c>
      <c r="D136" s="15" t="s">
        <v>138</v>
      </c>
      <c r="E136" s="16" t="s">
        <v>13</v>
      </c>
      <c r="F136" s="17">
        <v>6614.4</v>
      </c>
      <c r="G136" s="17"/>
      <c r="H136" s="16" t="s">
        <v>14</v>
      </c>
      <c r="I136" s="18" t="s">
        <v>15</v>
      </c>
      <c r="J136" s="18"/>
      <c r="K136" s="19" t="s">
        <v>8</v>
      </c>
      <c r="L136" s="20">
        <v>308494.37</v>
      </c>
    </row>
    <row r="137" spans="1:12" ht="81.599999999999994" hidden="1" x14ac:dyDescent="0.3">
      <c r="A137" s="14" t="s">
        <v>167</v>
      </c>
      <c r="B137" s="15" t="s">
        <v>168</v>
      </c>
      <c r="C137" s="15" t="s">
        <v>169</v>
      </c>
      <c r="D137" s="15" t="s">
        <v>170</v>
      </c>
      <c r="E137" s="16" t="s">
        <v>13</v>
      </c>
      <c r="F137" s="17">
        <v>5667.03</v>
      </c>
      <c r="G137" s="17"/>
      <c r="H137" s="16" t="s">
        <v>14</v>
      </c>
      <c r="I137" s="18" t="s">
        <v>15</v>
      </c>
      <c r="J137" s="18"/>
      <c r="K137" s="19" t="s">
        <v>8</v>
      </c>
      <c r="L137" s="20">
        <v>314161.40000000002</v>
      </c>
    </row>
    <row r="138" spans="1:12" ht="71.400000000000006" hidden="1" x14ac:dyDescent="0.3">
      <c r="A138" s="14" t="s">
        <v>167</v>
      </c>
      <c r="B138" s="15" t="s">
        <v>168</v>
      </c>
      <c r="C138" s="15" t="s">
        <v>171</v>
      </c>
      <c r="D138" s="15" t="s">
        <v>170</v>
      </c>
      <c r="E138" s="16" t="s">
        <v>13</v>
      </c>
      <c r="F138" s="17">
        <v>1705.7</v>
      </c>
      <c r="G138" s="17"/>
      <c r="H138" s="16" t="s">
        <v>14</v>
      </c>
      <c r="I138" s="18" t="s">
        <v>15</v>
      </c>
      <c r="J138" s="18"/>
      <c r="K138" s="19" t="s">
        <v>8</v>
      </c>
      <c r="L138" s="20">
        <v>315867.09999999998</v>
      </c>
    </row>
    <row r="139" spans="1:12" ht="71.400000000000006" hidden="1" x14ac:dyDescent="0.3">
      <c r="A139" s="14" t="s">
        <v>172</v>
      </c>
      <c r="B139" s="15" t="s">
        <v>173</v>
      </c>
      <c r="C139" s="15" t="s">
        <v>174</v>
      </c>
      <c r="D139" s="15" t="s">
        <v>175</v>
      </c>
      <c r="E139" s="16" t="s">
        <v>13</v>
      </c>
      <c r="F139" s="21">
        <v>178.2</v>
      </c>
      <c r="G139" s="21"/>
      <c r="H139" s="16" t="s">
        <v>14</v>
      </c>
      <c r="I139" s="18" t="s">
        <v>15</v>
      </c>
      <c r="J139" s="18"/>
      <c r="K139" s="19" t="s">
        <v>8</v>
      </c>
      <c r="L139" s="20">
        <v>316045.3</v>
      </c>
    </row>
    <row r="140" spans="1:12" ht="61.2" hidden="1" x14ac:dyDescent="0.3">
      <c r="A140" s="14" t="s">
        <v>172</v>
      </c>
      <c r="B140" s="15" t="s">
        <v>176</v>
      </c>
      <c r="C140" s="15" t="s">
        <v>177</v>
      </c>
      <c r="D140" s="15" t="s">
        <v>178</v>
      </c>
      <c r="E140" s="16" t="s">
        <v>13</v>
      </c>
      <c r="F140" s="21">
        <v>156.19999999999999</v>
      </c>
      <c r="G140" s="21"/>
      <c r="H140" s="16" t="s">
        <v>14</v>
      </c>
      <c r="I140" s="18" t="s">
        <v>15</v>
      </c>
      <c r="J140" s="18"/>
      <c r="K140" s="19" t="s">
        <v>8</v>
      </c>
      <c r="L140" s="20">
        <v>316201.5</v>
      </c>
    </row>
    <row r="141" spans="1:12" ht="71.400000000000006" hidden="1" x14ac:dyDescent="0.3">
      <c r="A141" s="14" t="s">
        <v>172</v>
      </c>
      <c r="B141" s="15" t="s">
        <v>176</v>
      </c>
      <c r="C141" s="15" t="s">
        <v>179</v>
      </c>
      <c r="D141" s="15" t="s">
        <v>178</v>
      </c>
      <c r="E141" s="16" t="s">
        <v>13</v>
      </c>
      <c r="F141" s="17">
        <v>3000</v>
      </c>
      <c r="G141" s="17"/>
      <c r="H141" s="16" t="s">
        <v>14</v>
      </c>
      <c r="I141" s="18" t="s">
        <v>15</v>
      </c>
      <c r="J141" s="18"/>
      <c r="K141" s="19" t="s">
        <v>8</v>
      </c>
      <c r="L141" s="20">
        <v>319201.5</v>
      </c>
    </row>
    <row r="142" spans="1:12" ht="61.2" hidden="1" x14ac:dyDescent="0.3">
      <c r="A142" s="14" t="s">
        <v>172</v>
      </c>
      <c r="B142" s="15" t="s">
        <v>176</v>
      </c>
      <c r="C142" s="15" t="s">
        <v>180</v>
      </c>
      <c r="D142" s="15" t="s">
        <v>178</v>
      </c>
      <c r="E142" s="16" t="s">
        <v>13</v>
      </c>
      <c r="F142" s="17">
        <v>1561</v>
      </c>
      <c r="G142" s="17"/>
      <c r="H142" s="16" t="s">
        <v>14</v>
      </c>
      <c r="I142" s="18" t="s">
        <v>15</v>
      </c>
      <c r="J142" s="18"/>
      <c r="K142" s="19" t="s">
        <v>8</v>
      </c>
      <c r="L142" s="20">
        <v>320762.5</v>
      </c>
    </row>
    <row r="143" spans="1:12" ht="61.2" hidden="1" x14ac:dyDescent="0.3">
      <c r="A143" s="14" t="s">
        <v>172</v>
      </c>
      <c r="B143" s="15" t="s">
        <v>176</v>
      </c>
      <c r="C143" s="15" t="s">
        <v>181</v>
      </c>
      <c r="D143" s="15" t="s">
        <v>178</v>
      </c>
      <c r="E143" s="16" t="s">
        <v>13</v>
      </c>
      <c r="F143" s="21">
        <v>636.70000000000005</v>
      </c>
      <c r="G143" s="21"/>
      <c r="H143" s="16" t="s">
        <v>14</v>
      </c>
      <c r="I143" s="18" t="s">
        <v>15</v>
      </c>
      <c r="J143" s="18"/>
      <c r="K143" s="19" t="s">
        <v>8</v>
      </c>
      <c r="L143" s="20">
        <v>321399.2</v>
      </c>
    </row>
    <row r="144" spans="1:12" ht="61.2" hidden="1" x14ac:dyDescent="0.3">
      <c r="A144" s="14" t="s">
        <v>172</v>
      </c>
      <c r="B144" s="15" t="s">
        <v>176</v>
      </c>
      <c r="C144" s="15" t="s">
        <v>182</v>
      </c>
      <c r="D144" s="15" t="s">
        <v>178</v>
      </c>
      <c r="E144" s="16" t="s">
        <v>13</v>
      </c>
      <c r="F144" s="21">
        <v>636.70000000000005</v>
      </c>
      <c r="G144" s="21"/>
      <c r="H144" s="16" t="s">
        <v>14</v>
      </c>
      <c r="I144" s="18" t="s">
        <v>15</v>
      </c>
      <c r="J144" s="18"/>
      <c r="K144" s="19" t="s">
        <v>8</v>
      </c>
      <c r="L144" s="20">
        <v>322035.90000000002</v>
      </c>
    </row>
    <row r="145" spans="1:12" ht="71.400000000000006" hidden="1" x14ac:dyDescent="0.3">
      <c r="A145" s="14" t="s">
        <v>172</v>
      </c>
      <c r="B145" s="15" t="s">
        <v>176</v>
      </c>
      <c r="C145" s="15" t="s">
        <v>183</v>
      </c>
      <c r="D145" s="15" t="s">
        <v>178</v>
      </c>
      <c r="E145" s="16" t="s">
        <v>13</v>
      </c>
      <c r="F145" s="21">
        <v>185</v>
      </c>
      <c r="G145" s="21"/>
      <c r="H145" s="16" t="s">
        <v>14</v>
      </c>
      <c r="I145" s="18" t="s">
        <v>15</v>
      </c>
      <c r="J145" s="18"/>
      <c r="K145" s="19" t="s">
        <v>8</v>
      </c>
      <c r="L145" s="20">
        <v>322220.90000000002</v>
      </c>
    </row>
    <row r="146" spans="1:12" ht="71.400000000000006" hidden="1" x14ac:dyDescent="0.3">
      <c r="A146" s="14" t="s">
        <v>172</v>
      </c>
      <c r="B146" s="15" t="s">
        <v>176</v>
      </c>
      <c r="C146" s="15" t="s">
        <v>184</v>
      </c>
      <c r="D146" s="15" t="s">
        <v>178</v>
      </c>
      <c r="E146" s="16" t="s">
        <v>13</v>
      </c>
      <c r="F146" s="21">
        <v>185</v>
      </c>
      <c r="G146" s="21"/>
      <c r="H146" s="16" t="s">
        <v>14</v>
      </c>
      <c r="I146" s="18" t="s">
        <v>15</v>
      </c>
      <c r="J146" s="18"/>
      <c r="K146" s="19" t="s">
        <v>8</v>
      </c>
      <c r="L146" s="20">
        <v>322405.90000000002</v>
      </c>
    </row>
    <row r="147" spans="1:12" ht="61.2" hidden="1" x14ac:dyDescent="0.3">
      <c r="A147" s="14" t="s">
        <v>172</v>
      </c>
      <c r="B147" s="15" t="s">
        <v>176</v>
      </c>
      <c r="C147" s="15" t="s">
        <v>185</v>
      </c>
      <c r="D147" s="15" t="s">
        <v>178</v>
      </c>
      <c r="E147" s="16" t="s">
        <v>13</v>
      </c>
      <c r="F147" s="17">
        <v>1981.5</v>
      </c>
      <c r="G147" s="17"/>
      <c r="H147" s="16" t="s">
        <v>14</v>
      </c>
      <c r="I147" s="18" t="s">
        <v>15</v>
      </c>
      <c r="J147" s="18"/>
      <c r="K147" s="19" t="s">
        <v>8</v>
      </c>
      <c r="L147" s="20">
        <v>324387.40000000002</v>
      </c>
    </row>
    <row r="148" spans="1:12" ht="61.2" hidden="1" x14ac:dyDescent="0.3">
      <c r="A148" s="14" t="s">
        <v>172</v>
      </c>
      <c r="B148" s="15" t="s">
        <v>176</v>
      </c>
      <c r="C148" s="15" t="s">
        <v>186</v>
      </c>
      <c r="D148" s="15" t="s">
        <v>178</v>
      </c>
      <c r="E148" s="16" t="s">
        <v>13</v>
      </c>
      <c r="F148" s="17">
        <v>4477.5</v>
      </c>
      <c r="G148" s="17"/>
      <c r="H148" s="16" t="s">
        <v>14</v>
      </c>
      <c r="I148" s="18" t="s">
        <v>15</v>
      </c>
      <c r="J148" s="18"/>
      <c r="K148" s="19" t="s">
        <v>8</v>
      </c>
      <c r="L148" s="20">
        <v>328864.90000000002</v>
      </c>
    </row>
    <row r="149" spans="1:12" ht="71.400000000000006" hidden="1" x14ac:dyDescent="0.3">
      <c r="A149" s="14" t="s">
        <v>187</v>
      </c>
      <c r="B149" s="15" t="s">
        <v>188</v>
      </c>
      <c r="C149" s="15" t="s">
        <v>189</v>
      </c>
      <c r="D149" s="15" t="s">
        <v>190</v>
      </c>
      <c r="E149" s="16" t="s">
        <v>13</v>
      </c>
      <c r="F149" s="17">
        <v>3842</v>
      </c>
      <c r="G149" s="17"/>
      <c r="H149" s="16" t="s">
        <v>14</v>
      </c>
      <c r="I149" s="18" t="s">
        <v>15</v>
      </c>
      <c r="J149" s="18"/>
      <c r="K149" s="19" t="s">
        <v>8</v>
      </c>
      <c r="L149" s="20">
        <v>332706.90000000002</v>
      </c>
    </row>
    <row r="150" spans="1:12" ht="61.2" hidden="1" x14ac:dyDescent="0.3">
      <c r="A150" s="14" t="s">
        <v>187</v>
      </c>
      <c r="B150" s="15" t="s">
        <v>188</v>
      </c>
      <c r="C150" s="15" t="s">
        <v>191</v>
      </c>
      <c r="D150" s="15" t="s">
        <v>190</v>
      </c>
      <c r="E150" s="16" t="s">
        <v>13</v>
      </c>
      <c r="F150" s="17">
        <v>2458.5</v>
      </c>
      <c r="G150" s="17"/>
      <c r="H150" s="16" t="s">
        <v>14</v>
      </c>
      <c r="I150" s="18" t="s">
        <v>15</v>
      </c>
      <c r="J150" s="18"/>
      <c r="K150" s="19" t="s">
        <v>8</v>
      </c>
      <c r="L150" s="20">
        <v>335165.40000000002</v>
      </c>
    </row>
    <row r="151" spans="1:12" ht="61.2" hidden="1" x14ac:dyDescent="0.3">
      <c r="A151" s="14" t="s">
        <v>187</v>
      </c>
      <c r="B151" s="15" t="s">
        <v>188</v>
      </c>
      <c r="C151" s="15" t="s">
        <v>192</v>
      </c>
      <c r="D151" s="15" t="s">
        <v>190</v>
      </c>
      <c r="E151" s="16" t="s">
        <v>13</v>
      </c>
      <c r="F151" s="17">
        <v>5250</v>
      </c>
      <c r="G151" s="17"/>
      <c r="H151" s="16" t="s">
        <v>14</v>
      </c>
      <c r="I151" s="18" t="s">
        <v>15</v>
      </c>
      <c r="J151" s="18"/>
      <c r="K151" s="19" t="s">
        <v>8</v>
      </c>
      <c r="L151" s="20">
        <v>340415.4</v>
      </c>
    </row>
    <row r="152" spans="1:12" hidden="1" x14ac:dyDescent="0.3">
      <c r="A152" s="25" t="s">
        <v>193</v>
      </c>
      <c r="B152" s="25"/>
      <c r="C152" s="25"/>
      <c r="D152" s="25"/>
      <c r="E152" s="26">
        <v>257561.48</v>
      </c>
      <c r="F152" s="26"/>
      <c r="G152" s="26"/>
      <c r="H152" s="26">
        <v>79292.160000000003</v>
      </c>
      <c r="I152" s="26"/>
      <c r="J152" s="26"/>
      <c r="K152" s="27" t="s">
        <v>8</v>
      </c>
      <c r="L152" s="28">
        <v>340415.4</v>
      </c>
    </row>
    <row r="154" spans="1:12" x14ac:dyDescent="0.3">
      <c r="J154" s="29">
        <f>SUBTOTAL(9,I62:J112)</f>
        <v>79292.159999999989</v>
      </c>
    </row>
    <row r="155" spans="1:12" x14ac:dyDescent="0.3">
      <c r="J155">
        <f>J154*1.2</f>
        <v>95150.59199999999</v>
      </c>
    </row>
  </sheetData>
  <autoFilter ref="A1:L152" xr:uid="{4DF9B5DD-39D2-48FE-A7B4-E8A504BCD49C}">
    <filterColumn colId="1">
      <filters>
        <filter val="Передача малоцінних активів в експлуатацію ІБ00-000523 від 15.10.2025 19:00:02_x000a_Списание стоимости малоценных активов"/>
        <filter val="Передача малоцінних активів в експлуатацію ІБ00-000524 від 15.10.2025 19:00:05_x000a_Списание стоимости малоценных активов"/>
        <filter val="Передача малоцінних активів в експлуатацію ІБ00-000525 від 15.10.2025 11:49:36_x000a_Списание стоимости малоценных активов"/>
        <filter val="Передача малоцінних активів в експлуатацію ІБ00-000530 від 15.10.2025 19:00:17_x000a_Списание стоимости малоценных активов"/>
        <filter val="Передача устаткування в монтаж ІБ00-000001 від 11.10.2025 16:28:03_x000a_Передача оборудования в монтаж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10">
    <mergeCell ref="F151:G151"/>
    <mergeCell ref="I151:J151"/>
    <mergeCell ref="A152:D152"/>
    <mergeCell ref="E152:G152"/>
    <mergeCell ref="H152:J152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BAC4-17F3-49FC-985C-AFB560DE0403}">
  <sheetPr filterMode="1"/>
  <dimension ref="A1:L69"/>
  <sheetViews>
    <sheetView topLeftCell="A61" workbookViewId="0">
      <selection activeCell="J69" sqref="J69"/>
    </sheetView>
  </sheetViews>
  <sheetFormatPr defaultRowHeight="14.4" x14ac:dyDescent="0.3"/>
  <cols>
    <col min="2" max="4" width="24.44140625" customWidth="1"/>
  </cols>
  <sheetData>
    <row r="1" spans="1:12" x14ac:dyDescent="0.3">
      <c r="A1" s="30" t="s">
        <v>0</v>
      </c>
      <c r="B1" s="31" t="s">
        <v>1</v>
      </c>
      <c r="C1" s="31" t="s">
        <v>2</v>
      </c>
      <c r="D1" s="32" t="s">
        <v>3</v>
      </c>
      <c r="E1" s="33" t="s">
        <v>4</v>
      </c>
      <c r="F1" s="33"/>
      <c r="G1" s="33"/>
      <c r="H1" s="34" t="s">
        <v>5</v>
      </c>
      <c r="I1" s="34"/>
      <c r="J1" s="34"/>
      <c r="K1" s="31" t="s">
        <v>6</v>
      </c>
      <c r="L1" s="31"/>
    </row>
    <row r="2" spans="1:12" hidden="1" x14ac:dyDescent="0.3">
      <c r="A2" s="35"/>
      <c r="B2" s="36"/>
      <c r="C2" s="36"/>
      <c r="D2" s="37"/>
      <c r="E2" s="38" t="s">
        <v>7</v>
      </c>
      <c r="F2" s="39"/>
      <c r="G2" s="39"/>
      <c r="H2" s="40" t="s">
        <v>7</v>
      </c>
      <c r="I2" s="41"/>
      <c r="J2" s="41"/>
      <c r="K2" s="35"/>
      <c r="L2" s="42"/>
    </row>
    <row r="3" spans="1:12" ht="71.400000000000006" hidden="1" x14ac:dyDescent="0.3">
      <c r="A3" s="43" t="s">
        <v>9</v>
      </c>
      <c r="B3" s="44" t="s">
        <v>194</v>
      </c>
      <c r="C3" s="44" t="s">
        <v>195</v>
      </c>
      <c r="D3" s="44" t="s">
        <v>196</v>
      </c>
      <c r="E3" s="45" t="s">
        <v>13</v>
      </c>
      <c r="F3" s="46">
        <v>1385.55</v>
      </c>
      <c r="G3" s="46"/>
      <c r="H3" s="45" t="s">
        <v>14</v>
      </c>
      <c r="I3" s="47" t="s">
        <v>15</v>
      </c>
      <c r="J3" s="47"/>
      <c r="K3" s="48" t="s">
        <v>8</v>
      </c>
      <c r="L3" s="49">
        <v>82531.56</v>
      </c>
    </row>
    <row r="4" spans="1:12" ht="61.2" hidden="1" x14ac:dyDescent="0.3">
      <c r="A4" s="43" t="s">
        <v>9</v>
      </c>
      <c r="B4" s="44" t="s">
        <v>194</v>
      </c>
      <c r="C4" s="44" t="s">
        <v>197</v>
      </c>
      <c r="D4" s="44" t="s">
        <v>196</v>
      </c>
      <c r="E4" s="45" t="s">
        <v>13</v>
      </c>
      <c r="F4" s="50">
        <v>222.25</v>
      </c>
      <c r="G4" s="50"/>
      <c r="H4" s="45" t="s">
        <v>14</v>
      </c>
      <c r="I4" s="47" t="s">
        <v>15</v>
      </c>
      <c r="J4" s="47"/>
      <c r="K4" s="48" t="s">
        <v>8</v>
      </c>
      <c r="L4" s="49">
        <v>82753.81</v>
      </c>
    </row>
    <row r="5" spans="1:12" ht="61.2" hidden="1" x14ac:dyDescent="0.3">
      <c r="A5" s="43" t="s">
        <v>9</v>
      </c>
      <c r="B5" s="44" t="s">
        <v>194</v>
      </c>
      <c r="C5" s="44" t="s">
        <v>198</v>
      </c>
      <c r="D5" s="44" t="s">
        <v>196</v>
      </c>
      <c r="E5" s="45" t="s">
        <v>13</v>
      </c>
      <c r="F5" s="50">
        <v>211.25</v>
      </c>
      <c r="G5" s="50"/>
      <c r="H5" s="45" t="s">
        <v>14</v>
      </c>
      <c r="I5" s="47" t="s">
        <v>15</v>
      </c>
      <c r="J5" s="47"/>
      <c r="K5" s="48" t="s">
        <v>8</v>
      </c>
      <c r="L5" s="49">
        <v>82965.06</v>
      </c>
    </row>
    <row r="6" spans="1:12" ht="71.400000000000006" hidden="1" x14ac:dyDescent="0.3">
      <c r="A6" s="43" t="s">
        <v>9</v>
      </c>
      <c r="B6" s="44" t="s">
        <v>194</v>
      </c>
      <c r="C6" s="44" t="s">
        <v>199</v>
      </c>
      <c r="D6" s="44" t="s">
        <v>196</v>
      </c>
      <c r="E6" s="45" t="s">
        <v>13</v>
      </c>
      <c r="F6" s="50">
        <v>803.9</v>
      </c>
      <c r="G6" s="50"/>
      <c r="H6" s="45" t="s">
        <v>14</v>
      </c>
      <c r="I6" s="47" t="s">
        <v>15</v>
      </c>
      <c r="J6" s="47"/>
      <c r="K6" s="48" t="s">
        <v>8</v>
      </c>
      <c r="L6" s="49">
        <v>83768.960000000006</v>
      </c>
    </row>
    <row r="7" spans="1:12" ht="61.2" hidden="1" x14ac:dyDescent="0.3">
      <c r="A7" s="43" t="s">
        <v>9</v>
      </c>
      <c r="B7" s="44" t="s">
        <v>194</v>
      </c>
      <c r="C7" s="44" t="s">
        <v>200</v>
      </c>
      <c r="D7" s="44" t="s">
        <v>196</v>
      </c>
      <c r="E7" s="45" t="s">
        <v>13</v>
      </c>
      <c r="F7" s="46">
        <v>1195.8499999999999</v>
      </c>
      <c r="G7" s="46"/>
      <c r="H7" s="45" t="s">
        <v>14</v>
      </c>
      <c r="I7" s="47" t="s">
        <v>15</v>
      </c>
      <c r="J7" s="47"/>
      <c r="K7" s="48" t="s">
        <v>8</v>
      </c>
      <c r="L7" s="49">
        <v>84964.81</v>
      </c>
    </row>
    <row r="8" spans="1:12" ht="61.2" hidden="1" x14ac:dyDescent="0.3">
      <c r="A8" s="43" t="s">
        <v>9</v>
      </c>
      <c r="B8" s="44" t="s">
        <v>201</v>
      </c>
      <c r="C8" s="44" t="s">
        <v>202</v>
      </c>
      <c r="D8" s="44" t="s">
        <v>203</v>
      </c>
      <c r="E8" s="45" t="s">
        <v>13</v>
      </c>
      <c r="F8" s="46">
        <v>2827.5</v>
      </c>
      <c r="G8" s="46"/>
      <c r="H8" s="45" t="s">
        <v>14</v>
      </c>
      <c r="I8" s="47" t="s">
        <v>15</v>
      </c>
      <c r="J8" s="47"/>
      <c r="K8" s="48" t="s">
        <v>8</v>
      </c>
      <c r="L8" s="49">
        <v>87792.31</v>
      </c>
    </row>
    <row r="9" spans="1:12" ht="71.400000000000006" hidden="1" x14ac:dyDescent="0.3">
      <c r="A9" s="43" t="s">
        <v>9</v>
      </c>
      <c r="B9" s="44" t="s">
        <v>204</v>
      </c>
      <c r="C9" s="44" t="s">
        <v>205</v>
      </c>
      <c r="D9" s="44" t="s">
        <v>206</v>
      </c>
      <c r="E9" s="45" t="s">
        <v>13</v>
      </c>
      <c r="F9" s="46">
        <v>3515.2</v>
      </c>
      <c r="G9" s="46"/>
      <c r="H9" s="45" t="s">
        <v>14</v>
      </c>
      <c r="I9" s="47" t="s">
        <v>15</v>
      </c>
      <c r="J9" s="47"/>
      <c r="K9" s="48" t="s">
        <v>8</v>
      </c>
      <c r="L9" s="49">
        <v>91307.51</v>
      </c>
    </row>
    <row r="10" spans="1:12" ht="71.400000000000006" hidden="1" x14ac:dyDescent="0.3">
      <c r="A10" s="43" t="s">
        <v>9</v>
      </c>
      <c r="B10" s="44" t="s">
        <v>204</v>
      </c>
      <c r="C10" s="44" t="s">
        <v>207</v>
      </c>
      <c r="D10" s="44" t="s">
        <v>206</v>
      </c>
      <c r="E10" s="45" t="s">
        <v>13</v>
      </c>
      <c r="F10" s="50">
        <v>770</v>
      </c>
      <c r="G10" s="50"/>
      <c r="H10" s="45" t="s">
        <v>14</v>
      </c>
      <c r="I10" s="47" t="s">
        <v>15</v>
      </c>
      <c r="J10" s="47"/>
      <c r="K10" s="48" t="s">
        <v>8</v>
      </c>
      <c r="L10" s="49">
        <v>92077.51</v>
      </c>
    </row>
    <row r="11" spans="1:12" ht="71.400000000000006" hidden="1" x14ac:dyDescent="0.3">
      <c r="A11" s="43" t="s">
        <v>9</v>
      </c>
      <c r="B11" s="44" t="s">
        <v>208</v>
      </c>
      <c r="C11" s="44" t="s">
        <v>209</v>
      </c>
      <c r="D11" s="44" t="s">
        <v>210</v>
      </c>
      <c r="E11" s="45" t="s">
        <v>13</v>
      </c>
      <c r="F11" s="50">
        <v>534</v>
      </c>
      <c r="G11" s="50"/>
      <c r="H11" s="45" t="s">
        <v>14</v>
      </c>
      <c r="I11" s="47" t="s">
        <v>15</v>
      </c>
      <c r="J11" s="47"/>
      <c r="K11" s="48" t="s">
        <v>8</v>
      </c>
      <c r="L11" s="49">
        <v>92611.51</v>
      </c>
    </row>
    <row r="12" spans="1:12" ht="71.400000000000006" hidden="1" x14ac:dyDescent="0.3">
      <c r="A12" s="43" t="s">
        <v>9</v>
      </c>
      <c r="B12" s="44" t="s">
        <v>211</v>
      </c>
      <c r="C12" s="44" t="s">
        <v>212</v>
      </c>
      <c r="D12" s="44" t="s">
        <v>210</v>
      </c>
      <c r="E12" s="45" t="s">
        <v>13</v>
      </c>
      <c r="F12" s="46">
        <v>2916.7</v>
      </c>
      <c r="G12" s="46"/>
      <c r="H12" s="45" t="s">
        <v>14</v>
      </c>
      <c r="I12" s="47" t="s">
        <v>15</v>
      </c>
      <c r="J12" s="47"/>
      <c r="K12" s="48" t="s">
        <v>8</v>
      </c>
      <c r="L12" s="49">
        <v>95528.21</v>
      </c>
    </row>
    <row r="13" spans="1:12" ht="71.400000000000006" hidden="1" x14ac:dyDescent="0.3">
      <c r="A13" s="43" t="s">
        <v>9</v>
      </c>
      <c r="B13" s="44" t="s">
        <v>211</v>
      </c>
      <c r="C13" s="44" t="s">
        <v>213</v>
      </c>
      <c r="D13" s="44" t="s">
        <v>210</v>
      </c>
      <c r="E13" s="45" t="s">
        <v>13</v>
      </c>
      <c r="F13" s="50">
        <v>667</v>
      </c>
      <c r="G13" s="50"/>
      <c r="H13" s="45" t="s">
        <v>14</v>
      </c>
      <c r="I13" s="47" t="s">
        <v>15</v>
      </c>
      <c r="J13" s="47"/>
      <c r="K13" s="48" t="s">
        <v>8</v>
      </c>
      <c r="L13" s="49">
        <v>96195.21</v>
      </c>
    </row>
    <row r="14" spans="1:12" ht="71.400000000000006" hidden="1" x14ac:dyDescent="0.3">
      <c r="A14" s="43" t="s">
        <v>9</v>
      </c>
      <c r="B14" s="44" t="s">
        <v>211</v>
      </c>
      <c r="C14" s="44" t="s">
        <v>214</v>
      </c>
      <c r="D14" s="44" t="s">
        <v>210</v>
      </c>
      <c r="E14" s="45" t="s">
        <v>13</v>
      </c>
      <c r="F14" s="46">
        <v>1071</v>
      </c>
      <c r="G14" s="46"/>
      <c r="H14" s="45" t="s">
        <v>14</v>
      </c>
      <c r="I14" s="47" t="s">
        <v>15</v>
      </c>
      <c r="J14" s="47"/>
      <c r="K14" s="48" t="s">
        <v>8</v>
      </c>
      <c r="L14" s="49">
        <v>97266.21</v>
      </c>
    </row>
    <row r="15" spans="1:12" ht="71.400000000000006" hidden="1" x14ac:dyDescent="0.3">
      <c r="A15" s="43" t="s">
        <v>9</v>
      </c>
      <c r="B15" s="44" t="s">
        <v>215</v>
      </c>
      <c r="C15" s="44" t="s">
        <v>216</v>
      </c>
      <c r="D15" s="44" t="s">
        <v>217</v>
      </c>
      <c r="E15" s="45" t="s">
        <v>13</v>
      </c>
      <c r="F15" s="50">
        <v>705</v>
      </c>
      <c r="G15" s="50"/>
      <c r="H15" s="45" t="s">
        <v>14</v>
      </c>
      <c r="I15" s="47" t="s">
        <v>15</v>
      </c>
      <c r="J15" s="47"/>
      <c r="K15" s="48" t="s">
        <v>8</v>
      </c>
      <c r="L15" s="49">
        <v>97971.21</v>
      </c>
    </row>
    <row r="16" spans="1:12" ht="71.400000000000006" hidden="1" x14ac:dyDescent="0.3">
      <c r="A16" s="43" t="s">
        <v>9</v>
      </c>
      <c r="B16" s="44" t="s">
        <v>215</v>
      </c>
      <c r="C16" s="44" t="s">
        <v>218</v>
      </c>
      <c r="D16" s="44" t="s">
        <v>217</v>
      </c>
      <c r="E16" s="45" t="s">
        <v>13</v>
      </c>
      <c r="F16" s="50">
        <v>450</v>
      </c>
      <c r="G16" s="50"/>
      <c r="H16" s="45" t="s">
        <v>14</v>
      </c>
      <c r="I16" s="47" t="s">
        <v>15</v>
      </c>
      <c r="J16" s="47"/>
      <c r="K16" s="48" t="s">
        <v>8</v>
      </c>
      <c r="L16" s="49">
        <v>98421.21</v>
      </c>
    </row>
    <row r="17" spans="1:12" ht="71.400000000000006" hidden="1" x14ac:dyDescent="0.3">
      <c r="A17" s="43" t="s">
        <v>9</v>
      </c>
      <c r="B17" s="44" t="s">
        <v>215</v>
      </c>
      <c r="C17" s="44" t="s">
        <v>219</v>
      </c>
      <c r="D17" s="44" t="s">
        <v>217</v>
      </c>
      <c r="E17" s="45" t="s">
        <v>13</v>
      </c>
      <c r="F17" s="46">
        <v>1030</v>
      </c>
      <c r="G17" s="46"/>
      <c r="H17" s="45" t="s">
        <v>14</v>
      </c>
      <c r="I17" s="47" t="s">
        <v>15</v>
      </c>
      <c r="J17" s="47"/>
      <c r="K17" s="48" t="s">
        <v>8</v>
      </c>
      <c r="L17" s="49">
        <v>99451.21</v>
      </c>
    </row>
    <row r="18" spans="1:12" ht="71.400000000000006" x14ac:dyDescent="0.3">
      <c r="A18" s="43" t="s">
        <v>9</v>
      </c>
      <c r="B18" s="44" t="s">
        <v>220</v>
      </c>
      <c r="C18" s="44" t="s">
        <v>221</v>
      </c>
      <c r="D18" s="44" t="s">
        <v>222</v>
      </c>
      <c r="E18" s="45" t="s">
        <v>105</v>
      </c>
      <c r="F18" s="51" t="s">
        <v>15</v>
      </c>
      <c r="G18" s="51"/>
      <c r="H18" s="45" t="s">
        <v>13</v>
      </c>
      <c r="I18" s="52">
        <v>5640</v>
      </c>
      <c r="J18" s="52"/>
      <c r="K18" s="48" t="s">
        <v>8</v>
      </c>
      <c r="L18" s="49">
        <v>93811.21</v>
      </c>
    </row>
    <row r="19" spans="1:12" ht="71.400000000000006" x14ac:dyDescent="0.3">
      <c r="A19" s="43" t="s">
        <v>9</v>
      </c>
      <c r="B19" s="44" t="s">
        <v>220</v>
      </c>
      <c r="C19" s="44" t="s">
        <v>221</v>
      </c>
      <c r="D19" s="44" t="s">
        <v>223</v>
      </c>
      <c r="E19" s="45" t="s">
        <v>105</v>
      </c>
      <c r="F19" s="51" t="s">
        <v>15</v>
      </c>
      <c r="G19" s="51"/>
      <c r="H19" s="45" t="s">
        <v>13</v>
      </c>
      <c r="I19" s="52">
        <v>1577.5</v>
      </c>
      <c r="J19" s="52"/>
      <c r="K19" s="48" t="s">
        <v>8</v>
      </c>
      <c r="L19" s="49">
        <v>92233.71</v>
      </c>
    </row>
    <row r="20" spans="1:12" ht="71.400000000000006" x14ac:dyDescent="0.3">
      <c r="A20" s="43" t="s">
        <v>9</v>
      </c>
      <c r="B20" s="44" t="s">
        <v>220</v>
      </c>
      <c r="C20" s="44" t="s">
        <v>224</v>
      </c>
      <c r="D20" s="44" t="s">
        <v>225</v>
      </c>
      <c r="E20" s="45" t="s">
        <v>105</v>
      </c>
      <c r="F20" s="51" t="s">
        <v>15</v>
      </c>
      <c r="G20" s="51"/>
      <c r="H20" s="45" t="s">
        <v>13</v>
      </c>
      <c r="I20" s="52">
        <v>1100</v>
      </c>
      <c r="J20" s="52"/>
      <c r="K20" s="48" t="s">
        <v>8</v>
      </c>
      <c r="L20" s="49">
        <v>91133.71</v>
      </c>
    </row>
    <row r="21" spans="1:12" ht="61.2" x14ac:dyDescent="0.3">
      <c r="A21" s="43" t="s">
        <v>9</v>
      </c>
      <c r="B21" s="44" t="s">
        <v>220</v>
      </c>
      <c r="C21" s="44" t="s">
        <v>221</v>
      </c>
      <c r="D21" s="44" t="s">
        <v>226</v>
      </c>
      <c r="E21" s="45" t="s">
        <v>105</v>
      </c>
      <c r="F21" s="51" t="s">
        <v>15</v>
      </c>
      <c r="G21" s="51"/>
      <c r="H21" s="45" t="s">
        <v>13</v>
      </c>
      <c r="I21" s="53">
        <v>834.15</v>
      </c>
      <c r="J21" s="53"/>
      <c r="K21" s="48" t="s">
        <v>8</v>
      </c>
      <c r="L21" s="49">
        <v>90299.56</v>
      </c>
    </row>
    <row r="22" spans="1:12" ht="61.2" x14ac:dyDescent="0.3">
      <c r="A22" s="43" t="s">
        <v>9</v>
      </c>
      <c r="B22" s="44" t="s">
        <v>220</v>
      </c>
      <c r="C22" s="44" t="s">
        <v>221</v>
      </c>
      <c r="D22" s="44" t="s">
        <v>227</v>
      </c>
      <c r="E22" s="45" t="s">
        <v>105</v>
      </c>
      <c r="F22" s="51" t="s">
        <v>15</v>
      </c>
      <c r="G22" s="51"/>
      <c r="H22" s="45" t="s">
        <v>13</v>
      </c>
      <c r="I22" s="52">
        <v>5583.5</v>
      </c>
      <c r="J22" s="52"/>
      <c r="K22" s="48" t="s">
        <v>8</v>
      </c>
      <c r="L22" s="49">
        <v>84716.06</v>
      </c>
    </row>
    <row r="23" spans="1:12" ht="71.400000000000006" x14ac:dyDescent="0.3">
      <c r="A23" s="43" t="s">
        <v>9</v>
      </c>
      <c r="B23" s="44" t="s">
        <v>220</v>
      </c>
      <c r="C23" s="44" t="s">
        <v>221</v>
      </c>
      <c r="D23" s="44" t="s">
        <v>228</v>
      </c>
      <c r="E23" s="45" t="s">
        <v>105</v>
      </c>
      <c r="F23" s="51" t="s">
        <v>15</v>
      </c>
      <c r="G23" s="51"/>
      <c r="H23" s="45" t="s">
        <v>13</v>
      </c>
      <c r="I23" s="53">
        <v>375</v>
      </c>
      <c r="J23" s="53"/>
      <c r="K23" s="48" t="s">
        <v>8</v>
      </c>
      <c r="L23" s="49">
        <v>84341.06</v>
      </c>
    </row>
    <row r="24" spans="1:12" ht="61.2" x14ac:dyDescent="0.3">
      <c r="A24" s="43" t="s">
        <v>9</v>
      </c>
      <c r="B24" s="44" t="s">
        <v>220</v>
      </c>
      <c r="C24" s="44" t="s">
        <v>221</v>
      </c>
      <c r="D24" s="44" t="s">
        <v>229</v>
      </c>
      <c r="E24" s="45" t="s">
        <v>105</v>
      </c>
      <c r="F24" s="51" t="s">
        <v>15</v>
      </c>
      <c r="G24" s="51"/>
      <c r="H24" s="45" t="s">
        <v>13</v>
      </c>
      <c r="I24" s="53">
        <v>618</v>
      </c>
      <c r="J24" s="53"/>
      <c r="K24" s="48" t="s">
        <v>8</v>
      </c>
      <c r="L24" s="49">
        <v>83723.06</v>
      </c>
    </row>
    <row r="25" spans="1:12" ht="71.400000000000006" x14ac:dyDescent="0.3">
      <c r="A25" s="43" t="s">
        <v>9</v>
      </c>
      <c r="B25" s="44" t="s">
        <v>220</v>
      </c>
      <c r="C25" s="44" t="s">
        <v>221</v>
      </c>
      <c r="D25" s="44" t="s">
        <v>230</v>
      </c>
      <c r="E25" s="45" t="s">
        <v>105</v>
      </c>
      <c r="F25" s="51" t="s">
        <v>15</v>
      </c>
      <c r="G25" s="51"/>
      <c r="H25" s="45" t="s">
        <v>13</v>
      </c>
      <c r="I25" s="53">
        <v>257.89999999999998</v>
      </c>
      <c r="J25" s="53"/>
      <c r="K25" s="48" t="s">
        <v>8</v>
      </c>
      <c r="L25" s="49">
        <v>83465.16</v>
      </c>
    </row>
    <row r="26" spans="1:12" ht="61.2" hidden="1" x14ac:dyDescent="0.3">
      <c r="A26" s="43" t="s">
        <v>47</v>
      </c>
      <c r="B26" s="44" t="s">
        <v>231</v>
      </c>
      <c r="C26" s="44" t="s">
        <v>232</v>
      </c>
      <c r="D26" s="44" t="s">
        <v>233</v>
      </c>
      <c r="E26" s="45" t="s">
        <v>13</v>
      </c>
      <c r="F26" s="46">
        <v>1000.5</v>
      </c>
      <c r="G26" s="46"/>
      <c r="H26" s="45" t="s">
        <v>14</v>
      </c>
      <c r="I26" s="47" t="s">
        <v>15</v>
      </c>
      <c r="J26" s="47"/>
      <c r="K26" s="48" t="s">
        <v>8</v>
      </c>
      <c r="L26" s="49">
        <v>84465.66</v>
      </c>
    </row>
    <row r="27" spans="1:12" ht="71.400000000000006" hidden="1" x14ac:dyDescent="0.3">
      <c r="A27" s="43" t="s">
        <v>234</v>
      </c>
      <c r="B27" s="44" t="s">
        <v>235</v>
      </c>
      <c r="C27" s="44" t="s">
        <v>236</v>
      </c>
      <c r="D27" s="44" t="s">
        <v>237</v>
      </c>
      <c r="E27" s="45" t="s">
        <v>13</v>
      </c>
      <c r="F27" s="50">
        <v>997.5</v>
      </c>
      <c r="G27" s="50"/>
      <c r="H27" s="45" t="s">
        <v>14</v>
      </c>
      <c r="I27" s="47" t="s">
        <v>15</v>
      </c>
      <c r="J27" s="47"/>
      <c r="K27" s="48" t="s">
        <v>8</v>
      </c>
      <c r="L27" s="49">
        <v>85463.16</v>
      </c>
    </row>
    <row r="28" spans="1:12" ht="71.400000000000006" hidden="1" x14ac:dyDescent="0.3">
      <c r="A28" s="43" t="s">
        <v>234</v>
      </c>
      <c r="B28" s="44" t="s">
        <v>235</v>
      </c>
      <c r="C28" s="44" t="s">
        <v>238</v>
      </c>
      <c r="D28" s="44" t="s">
        <v>237</v>
      </c>
      <c r="E28" s="45" t="s">
        <v>13</v>
      </c>
      <c r="F28" s="46">
        <v>1245.3</v>
      </c>
      <c r="G28" s="46"/>
      <c r="H28" s="45" t="s">
        <v>14</v>
      </c>
      <c r="I28" s="47" t="s">
        <v>15</v>
      </c>
      <c r="J28" s="47"/>
      <c r="K28" s="48" t="s">
        <v>8</v>
      </c>
      <c r="L28" s="49">
        <v>86708.46</v>
      </c>
    </row>
    <row r="29" spans="1:12" ht="71.400000000000006" hidden="1" x14ac:dyDescent="0.3">
      <c r="A29" s="43" t="s">
        <v>60</v>
      </c>
      <c r="B29" s="44" t="s">
        <v>239</v>
      </c>
      <c r="C29" s="44" t="s">
        <v>240</v>
      </c>
      <c r="D29" s="44" t="s">
        <v>237</v>
      </c>
      <c r="E29" s="45" t="s">
        <v>13</v>
      </c>
      <c r="F29" s="46">
        <v>5652.5</v>
      </c>
      <c r="G29" s="46"/>
      <c r="H29" s="45" t="s">
        <v>14</v>
      </c>
      <c r="I29" s="47" t="s">
        <v>15</v>
      </c>
      <c r="J29" s="47"/>
      <c r="K29" s="48" t="s">
        <v>8</v>
      </c>
      <c r="L29" s="49">
        <v>92360.960000000006</v>
      </c>
    </row>
    <row r="30" spans="1:12" ht="71.400000000000006" hidden="1" x14ac:dyDescent="0.3">
      <c r="A30" s="43" t="s">
        <v>60</v>
      </c>
      <c r="B30" s="44" t="s">
        <v>239</v>
      </c>
      <c r="C30" s="44" t="s">
        <v>241</v>
      </c>
      <c r="D30" s="44" t="s">
        <v>237</v>
      </c>
      <c r="E30" s="45" t="s">
        <v>13</v>
      </c>
      <c r="F30" s="46">
        <v>4981.2</v>
      </c>
      <c r="G30" s="46"/>
      <c r="H30" s="45" t="s">
        <v>14</v>
      </c>
      <c r="I30" s="47" t="s">
        <v>15</v>
      </c>
      <c r="J30" s="47"/>
      <c r="K30" s="48" t="s">
        <v>8</v>
      </c>
      <c r="L30" s="49">
        <v>97342.16</v>
      </c>
    </row>
    <row r="31" spans="1:12" ht="71.400000000000006" hidden="1" x14ac:dyDescent="0.3">
      <c r="A31" s="43" t="s">
        <v>60</v>
      </c>
      <c r="B31" s="44" t="s">
        <v>239</v>
      </c>
      <c r="C31" s="44" t="s">
        <v>242</v>
      </c>
      <c r="D31" s="44" t="s">
        <v>237</v>
      </c>
      <c r="E31" s="45" t="s">
        <v>13</v>
      </c>
      <c r="F31" s="46">
        <v>5640</v>
      </c>
      <c r="G31" s="46"/>
      <c r="H31" s="45" t="s">
        <v>14</v>
      </c>
      <c r="I31" s="47" t="s">
        <v>15</v>
      </c>
      <c r="J31" s="47"/>
      <c r="K31" s="48" t="s">
        <v>8</v>
      </c>
      <c r="L31" s="49">
        <v>102982.16</v>
      </c>
    </row>
    <row r="32" spans="1:12" ht="61.2" hidden="1" x14ac:dyDescent="0.3">
      <c r="A32" s="43" t="s">
        <v>60</v>
      </c>
      <c r="B32" s="44" t="s">
        <v>239</v>
      </c>
      <c r="C32" s="44" t="s">
        <v>243</v>
      </c>
      <c r="D32" s="44" t="s">
        <v>237</v>
      </c>
      <c r="E32" s="45" t="s">
        <v>13</v>
      </c>
      <c r="F32" s="46">
        <v>3090</v>
      </c>
      <c r="G32" s="46"/>
      <c r="H32" s="45" t="s">
        <v>14</v>
      </c>
      <c r="I32" s="47" t="s">
        <v>15</v>
      </c>
      <c r="J32" s="47"/>
      <c r="K32" s="48" t="s">
        <v>8</v>
      </c>
      <c r="L32" s="49">
        <v>106072.16</v>
      </c>
    </row>
    <row r="33" spans="1:12" ht="71.400000000000006" hidden="1" x14ac:dyDescent="0.3">
      <c r="A33" s="43" t="s">
        <v>60</v>
      </c>
      <c r="B33" s="44" t="s">
        <v>239</v>
      </c>
      <c r="C33" s="44" t="s">
        <v>244</v>
      </c>
      <c r="D33" s="44" t="s">
        <v>237</v>
      </c>
      <c r="E33" s="45" t="s">
        <v>13</v>
      </c>
      <c r="F33" s="50">
        <v>439</v>
      </c>
      <c r="G33" s="50"/>
      <c r="H33" s="45" t="s">
        <v>14</v>
      </c>
      <c r="I33" s="47" t="s">
        <v>15</v>
      </c>
      <c r="J33" s="47"/>
      <c r="K33" s="48" t="s">
        <v>8</v>
      </c>
      <c r="L33" s="49">
        <v>106511.16</v>
      </c>
    </row>
    <row r="34" spans="1:12" ht="61.2" hidden="1" x14ac:dyDescent="0.3">
      <c r="A34" s="43" t="s">
        <v>60</v>
      </c>
      <c r="B34" s="44" t="s">
        <v>239</v>
      </c>
      <c r="C34" s="44" t="s">
        <v>245</v>
      </c>
      <c r="D34" s="44" t="s">
        <v>237</v>
      </c>
      <c r="E34" s="45" t="s">
        <v>13</v>
      </c>
      <c r="F34" s="46">
        <v>1934.25</v>
      </c>
      <c r="G34" s="46"/>
      <c r="H34" s="45" t="s">
        <v>14</v>
      </c>
      <c r="I34" s="47" t="s">
        <v>15</v>
      </c>
      <c r="J34" s="47"/>
      <c r="K34" s="48" t="s">
        <v>8</v>
      </c>
      <c r="L34" s="49">
        <v>108445.41</v>
      </c>
    </row>
    <row r="35" spans="1:12" ht="61.2" hidden="1" x14ac:dyDescent="0.3">
      <c r="A35" s="43" t="s">
        <v>60</v>
      </c>
      <c r="B35" s="44" t="s">
        <v>239</v>
      </c>
      <c r="C35" s="44" t="s">
        <v>246</v>
      </c>
      <c r="D35" s="44" t="s">
        <v>237</v>
      </c>
      <c r="E35" s="45" t="s">
        <v>13</v>
      </c>
      <c r="F35" s="50">
        <v>381.5</v>
      </c>
      <c r="G35" s="50"/>
      <c r="H35" s="45" t="s">
        <v>14</v>
      </c>
      <c r="I35" s="47" t="s">
        <v>15</v>
      </c>
      <c r="J35" s="47"/>
      <c r="K35" s="48" t="s">
        <v>8</v>
      </c>
      <c r="L35" s="49">
        <v>108826.91</v>
      </c>
    </row>
    <row r="36" spans="1:12" ht="71.400000000000006" hidden="1" x14ac:dyDescent="0.3">
      <c r="A36" s="43" t="s">
        <v>60</v>
      </c>
      <c r="B36" s="44" t="s">
        <v>239</v>
      </c>
      <c r="C36" s="44" t="s">
        <v>247</v>
      </c>
      <c r="D36" s="44" t="s">
        <v>237</v>
      </c>
      <c r="E36" s="45" t="s">
        <v>13</v>
      </c>
      <c r="F36" s="46">
        <v>2295</v>
      </c>
      <c r="G36" s="46"/>
      <c r="H36" s="45" t="s">
        <v>14</v>
      </c>
      <c r="I36" s="47" t="s">
        <v>15</v>
      </c>
      <c r="J36" s="47"/>
      <c r="K36" s="48" t="s">
        <v>8</v>
      </c>
      <c r="L36" s="49">
        <v>111121.91</v>
      </c>
    </row>
    <row r="37" spans="1:12" ht="71.400000000000006" hidden="1" x14ac:dyDescent="0.3">
      <c r="A37" s="43" t="s">
        <v>60</v>
      </c>
      <c r="B37" s="44" t="s">
        <v>239</v>
      </c>
      <c r="C37" s="44" t="s">
        <v>248</v>
      </c>
      <c r="D37" s="44" t="s">
        <v>237</v>
      </c>
      <c r="E37" s="45" t="s">
        <v>13</v>
      </c>
      <c r="F37" s="46">
        <v>1083</v>
      </c>
      <c r="G37" s="46"/>
      <c r="H37" s="45" t="s">
        <v>14</v>
      </c>
      <c r="I37" s="47" t="s">
        <v>15</v>
      </c>
      <c r="J37" s="47"/>
      <c r="K37" s="48" t="s">
        <v>8</v>
      </c>
      <c r="L37" s="49">
        <v>112204.91</v>
      </c>
    </row>
    <row r="38" spans="1:12" ht="71.400000000000006" x14ac:dyDescent="0.3">
      <c r="A38" s="43" t="s">
        <v>60</v>
      </c>
      <c r="B38" s="44" t="s">
        <v>249</v>
      </c>
      <c r="C38" s="44" t="s">
        <v>221</v>
      </c>
      <c r="D38" s="44" t="s">
        <v>250</v>
      </c>
      <c r="E38" s="45" t="s">
        <v>105</v>
      </c>
      <c r="F38" s="51" t="s">
        <v>15</v>
      </c>
      <c r="G38" s="51"/>
      <c r="H38" s="45" t="s">
        <v>13</v>
      </c>
      <c r="I38" s="52">
        <v>2189.0100000000002</v>
      </c>
      <c r="J38" s="52"/>
      <c r="K38" s="48" t="s">
        <v>8</v>
      </c>
      <c r="L38" s="49">
        <v>110015.9</v>
      </c>
    </row>
    <row r="39" spans="1:12" ht="71.400000000000006" x14ac:dyDescent="0.3">
      <c r="A39" s="43" t="s">
        <v>60</v>
      </c>
      <c r="B39" s="44" t="s">
        <v>249</v>
      </c>
      <c r="C39" s="44" t="s">
        <v>221</v>
      </c>
      <c r="D39" s="44" t="s">
        <v>230</v>
      </c>
      <c r="E39" s="45" t="s">
        <v>105</v>
      </c>
      <c r="F39" s="51" t="s">
        <v>15</v>
      </c>
      <c r="G39" s="51"/>
      <c r="H39" s="45" t="s">
        <v>13</v>
      </c>
      <c r="I39" s="53">
        <v>386.85</v>
      </c>
      <c r="J39" s="53"/>
      <c r="K39" s="48" t="s">
        <v>8</v>
      </c>
      <c r="L39" s="49">
        <v>109629.05</v>
      </c>
    </row>
    <row r="40" spans="1:12" ht="71.400000000000006" x14ac:dyDescent="0.3">
      <c r="A40" s="43" t="s">
        <v>60</v>
      </c>
      <c r="B40" s="44" t="s">
        <v>249</v>
      </c>
      <c r="C40" s="44" t="s">
        <v>221</v>
      </c>
      <c r="D40" s="44" t="s">
        <v>251</v>
      </c>
      <c r="E40" s="45" t="s">
        <v>105</v>
      </c>
      <c r="F40" s="51" t="s">
        <v>15</v>
      </c>
      <c r="G40" s="51"/>
      <c r="H40" s="45" t="s">
        <v>13</v>
      </c>
      <c r="I40" s="53">
        <v>916.7</v>
      </c>
      <c r="J40" s="53"/>
      <c r="K40" s="48" t="s">
        <v>8</v>
      </c>
      <c r="L40" s="49">
        <v>108712.35</v>
      </c>
    </row>
    <row r="41" spans="1:12" ht="71.400000000000006" x14ac:dyDescent="0.3">
      <c r="A41" s="43" t="s">
        <v>60</v>
      </c>
      <c r="B41" s="44" t="s">
        <v>249</v>
      </c>
      <c r="C41" s="44" t="s">
        <v>221</v>
      </c>
      <c r="D41" s="44" t="s">
        <v>223</v>
      </c>
      <c r="E41" s="45" t="s">
        <v>105</v>
      </c>
      <c r="F41" s="51" t="s">
        <v>15</v>
      </c>
      <c r="G41" s="51"/>
      <c r="H41" s="45" t="s">
        <v>13</v>
      </c>
      <c r="I41" s="53">
        <v>631</v>
      </c>
      <c r="J41" s="53"/>
      <c r="K41" s="48" t="s">
        <v>8</v>
      </c>
      <c r="L41" s="49">
        <v>108081.35</v>
      </c>
    </row>
    <row r="42" spans="1:12" ht="71.400000000000006" x14ac:dyDescent="0.3">
      <c r="A42" s="43" t="s">
        <v>60</v>
      </c>
      <c r="B42" s="44" t="s">
        <v>249</v>
      </c>
      <c r="C42" s="44" t="s">
        <v>221</v>
      </c>
      <c r="D42" s="44" t="s">
        <v>252</v>
      </c>
      <c r="E42" s="45" t="s">
        <v>105</v>
      </c>
      <c r="F42" s="51" t="s">
        <v>15</v>
      </c>
      <c r="G42" s="51"/>
      <c r="H42" s="45" t="s">
        <v>13</v>
      </c>
      <c r="I42" s="52">
        <v>6840</v>
      </c>
      <c r="J42" s="52"/>
      <c r="K42" s="48" t="s">
        <v>8</v>
      </c>
      <c r="L42" s="49">
        <v>101241.35</v>
      </c>
    </row>
    <row r="43" spans="1:12" ht="61.2" x14ac:dyDescent="0.3">
      <c r="A43" s="43" t="s">
        <v>60</v>
      </c>
      <c r="B43" s="44" t="s">
        <v>249</v>
      </c>
      <c r="C43" s="44" t="s">
        <v>221</v>
      </c>
      <c r="D43" s="44" t="s">
        <v>227</v>
      </c>
      <c r="E43" s="45" t="s">
        <v>105</v>
      </c>
      <c r="F43" s="51" t="s">
        <v>15</v>
      </c>
      <c r="G43" s="51"/>
      <c r="H43" s="45" t="s">
        <v>13</v>
      </c>
      <c r="I43" s="52">
        <v>5583.5</v>
      </c>
      <c r="J43" s="52"/>
      <c r="K43" s="48" t="s">
        <v>8</v>
      </c>
      <c r="L43" s="49">
        <v>95657.85</v>
      </c>
    </row>
    <row r="44" spans="1:12" ht="61.2" x14ac:dyDescent="0.3">
      <c r="A44" s="43" t="s">
        <v>60</v>
      </c>
      <c r="B44" s="44" t="s">
        <v>249</v>
      </c>
      <c r="C44" s="44" t="s">
        <v>221</v>
      </c>
      <c r="D44" s="44" t="s">
        <v>229</v>
      </c>
      <c r="E44" s="45" t="s">
        <v>105</v>
      </c>
      <c r="F44" s="51" t="s">
        <v>15</v>
      </c>
      <c r="G44" s="51"/>
      <c r="H44" s="45" t="s">
        <v>13</v>
      </c>
      <c r="I44" s="53">
        <v>927</v>
      </c>
      <c r="J44" s="53"/>
      <c r="K44" s="48" t="s">
        <v>8</v>
      </c>
      <c r="L44" s="49">
        <v>94730.85</v>
      </c>
    </row>
    <row r="45" spans="1:12" ht="61.2" x14ac:dyDescent="0.3">
      <c r="A45" s="43" t="s">
        <v>60</v>
      </c>
      <c r="B45" s="44" t="s">
        <v>249</v>
      </c>
      <c r="C45" s="44" t="s">
        <v>221</v>
      </c>
      <c r="D45" s="44" t="s">
        <v>253</v>
      </c>
      <c r="E45" s="45" t="s">
        <v>105</v>
      </c>
      <c r="F45" s="51" t="s">
        <v>15</v>
      </c>
      <c r="G45" s="51"/>
      <c r="H45" s="45" t="s">
        <v>13</v>
      </c>
      <c r="I45" s="53">
        <v>141.75</v>
      </c>
      <c r="J45" s="53"/>
      <c r="K45" s="48" t="s">
        <v>8</v>
      </c>
      <c r="L45" s="49">
        <v>94589.1</v>
      </c>
    </row>
    <row r="46" spans="1:12" ht="71.400000000000006" x14ac:dyDescent="0.3">
      <c r="A46" s="43" t="s">
        <v>60</v>
      </c>
      <c r="B46" s="44" t="s">
        <v>249</v>
      </c>
      <c r="C46" s="44" t="s">
        <v>221</v>
      </c>
      <c r="D46" s="44" t="s">
        <v>254</v>
      </c>
      <c r="E46" s="45" t="s">
        <v>105</v>
      </c>
      <c r="F46" s="51" t="s">
        <v>15</v>
      </c>
      <c r="G46" s="51"/>
      <c r="H46" s="45" t="s">
        <v>13</v>
      </c>
      <c r="I46" s="53">
        <v>188.75</v>
      </c>
      <c r="J46" s="53"/>
      <c r="K46" s="48" t="s">
        <v>8</v>
      </c>
      <c r="L46" s="49">
        <v>94400.35</v>
      </c>
    </row>
    <row r="47" spans="1:12" ht="61.2" x14ac:dyDescent="0.3">
      <c r="A47" s="43" t="s">
        <v>60</v>
      </c>
      <c r="B47" s="44" t="s">
        <v>249</v>
      </c>
      <c r="C47" s="44" t="s">
        <v>221</v>
      </c>
      <c r="D47" s="44" t="s">
        <v>255</v>
      </c>
      <c r="E47" s="45" t="s">
        <v>105</v>
      </c>
      <c r="F47" s="51" t="s">
        <v>15</v>
      </c>
      <c r="G47" s="51"/>
      <c r="H47" s="45" t="s">
        <v>13</v>
      </c>
      <c r="I47" s="53">
        <v>860</v>
      </c>
      <c r="J47" s="53"/>
      <c r="K47" s="48" t="s">
        <v>8</v>
      </c>
      <c r="L47" s="49">
        <v>93540.35</v>
      </c>
    </row>
    <row r="48" spans="1:12" ht="71.400000000000006" x14ac:dyDescent="0.3">
      <c r="A48" s="43" t="s">
        <v>256</v>
      </c>
      <c r="B48" s="44" t="s">
        <v>257</v>
      </c>
      <c r="C48" s="44" t="s">
        <v>221</v>
      </c>
      <c r="D48" s="44" t="s">
        <v>258</v>
      </c>
      <c r="E48" s="45" t="s">
        <v>105</v>
      </c>
      <c r="F48" s="51" t="s">
        <v>15</v>
      </c>
      <c r="G48" s="51"/>
      <c r="H48" s="45" t="s">
        <v>13</v>
      </c>
      <c r="I48" s="53">
        <v>441</v>
      </c>
      <c r="J48" s="53"/>
      <c r="K48" s="48" t="s">
        <v>8</v>
      </c>
      <c r="L48" s="49">
        <v>93099.35</v>
      </c>
    </row>
    <row r="49" spans="1:12" ht="61.2" x14ac:dyDescent="0.3">
      <c r="A49" s="43" t="s">
        <v>256</v>
      </c>
      <c r="B49" s="44" t="s">
        <v>257</v>
      </c>
      <c r="C49" s="44" t="s">
        <v>221</v>
      </c>
      <c r="D49" s="44" t="s">
        <v>259</v>
      </c>
      <c r="E49" s="45" t="s">
        <v>105</v>
      </c>
      <c r="F49" s="51" t="s">
        <v>15</v>
      </c>
      <c r="G49" s="51"/>
      <c r="H49" s="45" t="s">
        <v>13</v>
      </c>
      <c r="I49" s="53">
        <v>862.3</v>
      </c>
      <c r="J49" s="53"/>
      <c r="K49" s="48" t="s">
        <v>8</v>
      </c>
      <c r="L49" s="49">
        <v>92237.05</v>
      </c>
    </row>
    <row r="50" spans="1:12" ht="61.2" x14ac:dyDescent="0.3">
      <c r="A50" s="43" t="s">
        <v>256</v>
      </c>
      <c r="B50" s="44" t="s">
        <v>257</v>
      </c>
      <c r="C50" s="44" t="s">
        <v>221</v>
      </c>
      <c r="D50" s="44" t="s">
        <v>260</v>
      </c>
      <c r="E50" s="45" t="s">
        <v>105</v>
      </c>
      <c r="F50" s="51" t="s">
        <v>15</v>
      </c>
      <c r="G50" s="51"/>
      <c r="H50" s="45" t="s">
        <v>13</v>
      </c>
      <c r="I50" s="53">
        <v>151.71</v>
      </c>
      <c r="J50" s="53"/>
      <c r="K50" s="48" t="s">
        <v>8</v>
      </c>
      <c r="L50" s="49">
        <v>92085.34</v>
      </c>
    </row>
    <row r="51" spans="1:12" ht="71.400000000000006" x14ac:dyDescent="0.3">
      <c r="A51" s="43" t="s">
        <v>256</v>
      </c>
      <c r="B51" s="44" t="s">
        <v>257</v>
      </c>
      <c r="C51" s="44" t="s">
        <v>221</v>
      </c>
      <c r="D51" s="44" t="s">
        <v>261</v>
      </c>
      <c r="E51" s="45" t="s">
        <v>105</v>
      </c>
      <c r="F51" s="51" t="s">
        <v>15</v>
      </c>
      <c r="G51" s="51"/>
      <c r="H51" s="45" t="s">
        <v>13</v>
      </c>
      <c r="I51" s="53">
        <v>288</v>
      </c>
      <c r="J51" s="53"/>
      <c r="K51" s="48" t="s">
        <v>8</v>
      </c>
      <c r="L51" s="49">
        <v>91797.34</v>
      </c>
    </row>
    <row r="52" spans="1:12" ht="61.2" x14ac:dyDescent="0.3">
      <c r="A52" s="43" t="s">
        <v>256</v>
      </c>
      <c r="B52" s="44" t="s">
        <v>257</v>
      </c>
      <c r="C52" s="44" t="s">
        <v>221</v>
      </c>
      <c r="D52" s="44" t="s">
        <v>262</v>
      </c>
      <c r="E52" s="45" t="s">
        <v>105</v>
      </c>
      <c r="F52" s="51" t="s">
        <v>15</v>
      </c>
      <c r="G52" s="51"/>
      <c r="H52" s="45" t="s">
        <v>13</v>
      </c>
      <c r="I52" s="53">
        <v>380</v>
      </c>
      <c r="J52" s="53"/>
      <c r="K52" s="48" t="s">
        <v>8</v>
      </c>
      <c r="L52" s="49">
        <v>91417.34</v>
      </c>
    </row>
    <row r="53" spans="1:12" ht="61.2" x14ac:dyDescent="0.3">
      <c r="A53" s="43" t="s">
        <v>256</v>
      </c>
      <c r="B53" s="44" t="s">
        <v>257</v>
      </c>
      <c r="C53" s="44" t="s">
        <v>221</v>
      </c>
      <c r="D53" s="44" t="s">
        <v>229</v>
      </c>
      <c r="E53" s="45" t="s">
        <v>105</v>
      </c>
      <c r="F53" s="51" t="s">
        <v>15</v>
      </c>
      <c r="G53" s="51"/>
      <c r="H53" s="45" t="s">
        <v>13</v>
      </c>
      <c r="I53" s="53">
        <v>309</v>
      </c>
      <c r="J53" s="53"/>
      <c r="K53" s="48" t="s">
        <v>8</v>
      </c>
      <c r="L53" s="49">
        <v>91108.34</v>
      </c>
    </row>
    <row r="54" spans="1:12" ht="71.400000000000006" x14ac:dyDescent="0.3">
      <c r="A54" s="43" t="s">
        <v>256</v>
      </c>
      <c r="B54" s="44" t="s">
        <v>257</v>
      </c>
      <c r="C54" s="44" t="s">
        <v>221</v>
      </c>
      <c r="D54" s="44" t="s">
        <v>254</v>
      </c>
      <c r="E54" s="45" t="s">
        <v>105</v>
      </c>
      <c r="F54" s="51" t="s">
        <v>15</v>
      </c>
      <c r="G54" s="51"/>
      <c r="H54" s="45" t="s">
        <v>13</v>
      </c>
      <c r="I54" s="53">
        <v>188.75</v>
      </c>
      <c r="J54" s="53"/>
      <c r="K54" s="48" t="s">
        <v>8</v>
      </c>
      <c r="L54" s="49">
        <v>90919.59</v>
      </c>
    </row>
    <row r="55" spans="1:12" ht="61.2" x14ac:dyDescent="0.3">
      <c r="A55" s="43" t="s">
        <v>256</v>
      </c>
      <c r="B55" s="44" t="s">
        <v>257</v>
      </c>
      <c r="C55" s="44" t="s">
        <v>221</v>
      </c>
      <c r="D55" s="44" t="s">
        <v>263</v>
      </c>
      <c r="E55" s="45" t="s">
        <v>105</v>
      </c>
      <c r="F55" s="51" t="s">
        <v>15</v>
      </c>
      <c r="G55" s="51"/>
      <c r="H55" s="45" t="s">
        <v>13</v>
      </c>
      <c r="I55" s="52">
        <v>1800</v>
      </c>
      <c r="J55" s="52"/>
      <c r="K55" s="48" t="s">
        <v>8</v>
      </c>
      <c r="L55" s="49">
        <v>89119.59</v>
      </c>
    </row>
    <row r="56" spans="1:12" ht="61.2" x14ac:dyDescent="0.3">
      <c r="A56" s="43" t="s">
        <v>256</v>
      </c>
      <c r="B56" s="44" t="s">
        <v>257</v>
      </c>
      <c r="C56" s="44" t="s">
        <v>221</v>
      </c>
      <c r="D56" s="44" t="s">
        <v>264</v>
      </c>
      <c r="E56" s="45" t="s">
        <v>105</v>
      </c>
      <c r="F56" s="51" t="s">
        <v>15</v>
      </c>
      <c r="G56" s="51"/>
      <c r="H56" s="45" t="s">
        <v>13</v>
      </c>
      <c r="I56" s="53">
        <v>778</v>
      </c>
      <c r="J56" s="53"/>
      <c r="K56" s="48" t="s">
        <v>8</v>
      </c>
      <c r="L56" s="49">
        <v>88341.59</v>
      </c>
    </row>
    <row r="57" spans="1:12" ht="71.400000000000006" x14ac:dyDescent="0.3">
      <c r="A57" s="43" t="s">
        <v>256</v>
      </c>
      <c r="B57" s="44" t="s">
        <v>257</v>
      </c>
      <c r="C57" s="44" t="s">
        <v>221</v>
      </c>
      <c r="D57" s="44" t="s">
        <v>225</v>
      </c>
      <c r="E57" s="45" t="s">
        <v>105</v>
      </c>
      <c r="F57" s="51" t="s">
        <v>15</v>
      </c>
      <c r="G57" s="51"/>
      <c r="H57" s="45" t="s">
        <v>13</v>
      </c>
      <c r="I57" s="52">
        <v>1650</v>
      </c>
      <c r="J57" s="52"/>
      <c r="K57" s="48" t="s">
        <v>8</v>
      </c>
      <c r="L57" s="49">
        <v>86691.59</v>
      </c>
    </row>
    <row r="58" spans="1:12" ht="61.2" x14ac:dyDescent="0.3">
      <c r="A58" s="43" t="s">
        <v>256</v>
      </c>
      <c r="B58" s="44" t="s">
        <v>257</v>
      </c>
      <c r="C58" s="44" t="s">
        <v>221</v>
      </c>
      <c r="D58" s="44" t="s">
        <v>265</v>
      </c>
      <c r="E58" s="45" t="s">
        <v>105</v>
      </c>
      <c r="F58" s="51" t="s">
        <v>15</v>
      </c>
      <c r="G58" s="51"/>
      <c r="H58" s="45" t="s">
        <v>13</v>
      </c>
      <c r="I58" s="52">
        <v>1410</v>
      </c>
      <c r="J58" s="52"/>
      <c r="K58" s="48" t="s">
        <v>8</v>
      </c>
      <c r="L58" s="49">
        <v>85281.59</v>
      </c>
    </row>
    <row r="59" spans="1:12" ht="71.400000000000006" x14ac:dyDescent="0.3">
      <c r="A59" s="43" t="s">
        <v>256</v>
      </c>
      <c r="B59" s="44" t="s">
        <v>257</v>
      </c>
      <c r="C59" s="44" t="s">
        <v>221</v>
      </c>
      <c r="D59" s="44" t="s">
        <v>252</v>
      </c>
      <c r="E59" s="45" t="s">
        <v>105</v>
      </c>
      <c r="F59" s="51" t="s">
        <v>15</v>
      </c>
      <c r="G59" s="51"/>
      <c r="H59" s="45" t="s">
        <v>13</v>
      </c>
      <c r="I59" s="52">
        <v>1710</v>
      </c>
      <c r="J59" s="52"/>
      <c r="K59" s="48" t="s">
        <v>8</v>
      </c>
      <c r="L59" s="49">
        <v>83571.59</v>
      </c>
    </row>
    <row r="60" spans="1:12" ht="71.400000000000006" x14ac:dyDescent="0.3">
      <c r="A60" s="43" t="s">
        <v>187</v>
      </c>
      <c r="B60" s="44" t="s">
        <v>266</v>
      </c>
      <c r="C60" s="44" t="s">
        <v>221</v>
      </c>
      <c r="D60" s="44" t="s">
        <v>252</v>
      </c>
      <c r="E60" s="45" t="s">
        <v>105</v>
      </c>
      <c r="F60" s="51" t="s">
        <v>15</v>
      </c>
      <c r="G60" s="51"/>
      <c r="H60" s="45" t="s">
        <v>13</v>
      </c>
      <c r="I60" s="52">
        <v>3420</v>
      </c>
      <c r="J60" s="52"/>
      <c r="K60" s="48" t="s">
        <v>8</v>
      </c>
      <c r="L60" s="49">
        <v>80151.59</v>
      </c>
    </row>
    <row r="61" spans="1:12" ht="61.2" x14ac:dyDescent="0.3">
      <c r="A61" s="43" t="s">
        <v>187</v>
      </c>
      <c r="B61" s="44" t="s">
        <v>266</v>
      </c>
      <c r="C61" s="44" t="s">
        <v>221</v>
      </c>
      <c r="D61" s="44" t="s">
        <v>243</v>
      </c>
      <c r="E61" s="45" t="s">
        <v>105</v>
      </c>
      <c r="F61" s="51" t="s">
        <v>15</v>
      </c>
      <c r="G61" s="51"/>
      <c r="H61" s="45" t="s">
        <v>13</v>
      </c>
      <c r="I61" s="52">
        <v>1545</v>
      </c>
      <c r="J61" s="52"/>
      <c r="K61" s="48" t="s">
        <v>8</v>
      </c>
      <c r="L61" s="49">
        <v>78606.59</v>
      </c>
    </row>
    <row r="62" spans="1:12" ht="61.2" x14ac:dyDescent="0.3">
      <c r="A62" s="43" t="s">
        <v>187</v>
      </c>
      <c r="B62" s="44" t="s">
        <v>266</v>
      </c>
      <c r="C62" s="44" t="s">
        <v>221</v>
      </c>
      <c r="D62" s="44" t="s">
        <v>202</v>
      </c>
      <c r="E62" s="45" t="s">
        <v>105</v>
      </c>
      <c r="F62" s="51" t="s">
        <v>15</v>
      </c>
      <c r="G62" s="51"/>
      <c r="H62" s="45" t="s">
        <v>13</v>
      </c>
      <c r="I62" s="53">
        <v>942.5</v>
      </c>
      <c r="J62" s="53"/>
      <c r="K62" s="48" t="s">
        <v>8</v>
      </c>
      <c r="L62" s="49">
        <v>77664.09</v>
      </c>
    </row>
    <row r="63" spans="1:12" ht="71.400000000000006" x14ac:dyDescent="0.3">
      <c r="A63" s="43" t="s">
        <v>187</v>
      </c>
      <c r="B63" s="44" t="s">
        <v>266</v>
      </c>
      <c r="C63" s="44" t="s">
        <v>221</v>
      </c>
      <c r="D63" s="44" t="s">
        <v>258</v>
      </c>
      <c r="E63" s="45" t="s">
        <v>105</v>
      </c>
      <c r="F63" s="51" t="s">
        <v>15</v>
      </c>
      <c r="G63" s="51"/>
      <c r="H63" s="45" t="s">
        <v>13</v>
      </c>
      <c r="I63" s="53">
        <v>147</v>
      </c>
      <c r="J63" s="53"/>
      <c r="K63" s="48" t="s">
        <v>8</v>
      </c>
      <c r="L63" s="49">
        <v>77517.09</v>
      </c>
    </row>
    <row r="64" spans="1:12" ht="61.2" x14ac:dyDescent="0.3">
      <c r="A64" s="43" t="s">
        <v>187</v>
      </c>
      <c r="B64" s="44" t="s">
        <v>266</v>
      </c>
      <c r="C64" s="44" t="s">
        <v>221</v>
      </c>
      <c r="D64" s="44" t="s">
        <v>214</v>
      </c>
      <c r="E64" s="45" t="s">
        <v>105</v>
      </c>
      <c r="F64" s="51" t="s">
        <v>15</v>
      </c>
      <c r="G64" s="51"/>
      <c r="H64" s="45" t="s">
        <v>13</v>
      </c>
      <c r="I64" s="52">
        <v>1071</v>
      </c>
      <c r="J64" s="52"/>
      <c r="K64" s="48" t="s">
        <v>8</v>
      </c>
      <c r="L64" s="49">
        <v>76446.09</v>
      </c>
    </row>
    <row r="65" spans="1:12" ht="61.2" x14ac:dyDescent="0.3">
      <c r="A65" s="43" t="s">
        <v>187</v>
      </c>
      <c r="B65" s="44" t="s">
        <v>266</v>
      </c>
      <c r="C65" s="44" t="s">
        <v>221</v>
      </c>
      <c r="D65" s="44" t="s">
        <v>209</v>
      </c>
      <c r="E65" s="45" t="s">
        <v>105</v>
      </c>
      <c r="F65" s="51" t="s">
        <v>15</v>
      </c>
      <c r="G65" s="51"/>
      <c r="H65" s="45" t="s">
        <v>13</v>
      </c>
      <c r="I65" s="53">
        <v>133.5</v>
      </c>
      <c r="J65" s="53"/>
      <c r="K65" s="48" t="s">
        <v>8</v>
      </c>
      <c r="L65" s="49">
        <v>76312.59</v>
      </c>
    </row>
    <row r="66" spans="1:12" hidden="1" x14ac:dyDescent="0.3">
      <c r="A66" s="54" t="s">
        <v>193</v>
      </c>
      <c r="B66" s="54"/>
      <c r="C66" s="54"/>
      <c r="D66" s="54"/>
      <c r="E66" s="55">
        <v>47044.95</v>
      </c>
      <c r="F66" s="55"/>
      <c r="G66" s="55"/>
      <c r="H66" s="55">
        <v>51878.37</v>
      </c>
      <c r="I66" s="55"/>
      <c r="J66" s="55"/>
      <c r="K66" s="56" t="s">
        <v>8</v>
      </c>
      <c r="L66" s="57">
        <v>76312.59</v>
      </c>
    </row>
    <row r="68" spans="1:12" x14ac:dyDescent="0.3">
      <c r="J68">
        <f>SUBTOTAL(9,I18:J65)</f>
        <v>51878.37</v>
      </c>
    </row>
    <row r="69" spans="1:12" x14ac:dyDescent="0.3">
      <c r="J69">
        <f>J68*1.2</f>
        <v>62254.044000000002</v>
      </c>
    </row>
  </sheetData>
  <autoFilter ref="A1:L66" xr:uid="{4B5D3E91-CF86-497A-9E07-1BD5688675EC}">
    <filterColumn colId="1">
      <filters>
        <filter val="Передача малоцінних активів в експлуатацію ІБ00-000481 від 01.10.2025 19:00:10_x000a_Списание стоимости малоценных активов"/>
        <filter val="Передача малоцінних активів в експлуатацію ІБ00-000522 від 10.10.2025 18:22:57_x000a_Списание стоимости малоценных активов"/>
        <filter val="Передача малоцінних активів в експлуатацію ІБ00-000531 від 23.10.2025 16:04:45_x000a_Списание стоимости малоценных активов"/>
        <filter val="Передача малоцінних активів в експлуатацію ІБ00-000534 від 30.10.2025 18:47:09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38">
    <mergeCell ref="F64:G64"/>
    <mergeCell ref="I64:J64"/>
    <mergeCell ref="F65:G65"/>
    <mergeCell ref="I65:J65"/>
    <mergeCell ref="A66:D66"/>
    <mergeCell ref="E66:G66"/>
    <mergeCell ref="H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7B10-7E32-4AAD-BAB2-643B6273B93E}">
  <sheetPr filterMode="1"/>
  <dimension ref="A1:L86"/>
  <sheetViews>
    <sheetView topLeftCell="A81" workbookViewId="0">
      <selection activeCell="I89" sqref="I89"/>
    </sheetView>
  </sheetViews>
  <sheetFormatPr defaultRowHeight="14.4" x14ac:dyDescent="0.3"/>
  <cols>
    <col min="2" max="4" width="22.88671875" customWidth="1"/>
  </cols>
  <sheetData>
    <row r="1" spans="1:12" x14ac:dyDescent="0.3">
      <c r="A1" s="58" t="s">
        <v>0</v>
      </c>
      <c r="B1" s="59" t="s">
        <v>1</v>
      </c>
      <c r="C1" s="59" t="s">
        <v>2</v>
      </c>
      <c r="D1" s="60" t="s">
        <v>3</v>
      </c>
      <c r="E1" s="61" t="s">
        <v>4</v>
      </c>
      <c r="F1" s="61"/>
      <c r="G1" s="61"/>
      <c r="H1" s="62" t="s">
        <v>5</v>
      </c>
      <c r="I1" s="62"/>
      <c r="J1" s="62"/>
      <c r="K1" s="59" t="s">
        <v>6</v>
      </c>
      <c r="L1" s="59"/>
    </row>
    <row r="2" spans="1:12" hidden="1" x14ac:dyDescent="0.3">
      <c r="A2" s="63"/>
      <c r="B2" s="64"/>
      <c r="C2" s="64"/>
      <c r="D2" s="65"/>
      <c r="E2" s="66" t="s">
        <v>7</v>
      </c>
      <c r="F2" s="67"/>
      <c r="G2" s="67"/>
      <c r="H2" s="68" t="s">
        <v>7</v>
      </c>
      <c r="I2" s="69"/>
      <c r="J2" s="69"/>
      <c r="K2" s="63"/>
      <c r="L2" s="70"/>
    </row>
    <row r="3" spans="1:12" ht="71.400000000000006" x14ac:dyDescent="0.3">
      <c r="A3" s="71" t="s">
        <v>9</v>
      </c>
      <c r="B3" s="72" t="s">
        <v>267</v>
      </c>
      <c r="C3" s="72" t="s">
        <v>224</v>
      </c>
      <c r="D3" s="72" t="s">
        <v>268</v>
      </c>
      <c r="E3" s="73" t="s">
        <v>105</v>
      </c>
      <c r="F3" s="74" t="s">
        <v>15</v>
      </c>
      <c r="G3" s="74"/>
      <c r="H3" s="73" t="s">
        <v>13</v>
      </c>
      <c r="I3" s="75">
        <v>1135</v>
      </c>
      <c r="J3" s="75"/>
      <c r="K3" s="76" t="s">
        <v>8</v>
      </c>
      <c r="L3" s="77">
        <v>100780.22</v>
      </c>
    </row>
    <row r="4" spans="1:12" ht="71.400000000000006" x14ac:dyDescent="0.3">
      <c r="A4" s="71" t="s">
        <v>9</v>
      </c>
      <c r="B4" s="72" t="s">
        <v>267</v>
      </c>
      <c r="C4" s="72" t="s">
        <v>224</v>
      </c>
      <c r="D4" s="72" t="s">
        <v>269</v>
      </c>
      <c r="E4" s="73" t="s">
        <v>105</v>
      </c>
      <c r="F4" s="74" t="s">
        <v>15</v>
      </c>
      <c r="G4" s="74"/>
      <c r="H4" s="73" t="s">
        <v>13</v>
      </c>
      <c r="I4" s="75">
        <v>1638.5</v>
      </c>
      <c r="J4" s="75"/>
      <c r="K4" s="76" t="s">
        <v>8</v>
      </c>
      <c r="L4" s="77">
        <v>99141.72</v>
      </c>
    </row>
    <row r="5" spans="1:12" ht="61.2" x14ac:dyDescent="0.3">
      <c r="A5" s="71" t="s">
        <v>9</v>
      </c>
      <c r="B5" s="72" t="s">
        <v>267</v>
      </c>
      <c r="C5" s="72" t="s">
        <v>224</v>
      </c>
      <c r="D5" s="72" t="s">
        <v>270</v>
      </c>
      <c r="E5" s="73" t="s">
        <v>105</v>
      </c>
      <c r="F5" s="74" t="s">
        <v>15</v>
      </c>
      <c r="G5" s="74"/>
      <c r="H5" s="73" t="s">
        <v>13</v>
      </c>
      <c r="I5" s="78">
        <v>129.6</v>
      </c>
      <c r="J5" s="78"/>
      <c r="K5" s="76" t="s">
        <v>8</v>
      </c>
      <c r="L5" s="77">
        <v>99012.12</v>
      </c>
    </row>
    <row r="6" spans="1:12" ht="71.400000000000006" x14ac:dyDescent="0.3">
      <c r="A6" s="71" t="s">
        <v>9</v>
      </c>
      <c r="B6" s="72" t="s">
        <v>267</v>
      </c>
      <c r="C6" s="72" t="s">
        <v>224</v>
      </c>
      <c r="D6" s="72" t="s">
        <v>271</v>
      </c>
      <c r="E6" s="73" t="s">
        <v>105</v>
      </c>
      <c r="F6" s="74" t="s">
        <v>15</v>
      </c>
      <c r="G6" s="74"/>
      <c r="H6" s="73" t="s">
        <v>13</v>
      </c>
      <c r="I6" s="78">
        <v>690</v>
      </c>
      <c r="J6" s="78"/>
      <c r="K6" s="76" t="s">
        <v>8</v>
      </c>
      <c r="L6" s="77">
        <v>98322.12</v>
      </c>
    </row>
    <row r="7" spans="1:12" ht="61.2" x14ac:dyDescent="0.3">
      <c r="A7" s="71" t="s">
        <v>9</v>
      </c>
      <c r="B7" s="72" t="s">
        <v>267</v>
      </c>
      <c r="C7" s="72" t="s">
        <v>224</v>
      </c>
      <c r="D7" s="72" t="s">
        <v>272</v>
      </c>
      <c r="E7" s="73" t="s">
        <v>105</v>
      </c>
      <c r="F7" s="74" t="s">
        <v>15</v>
      </c>
      <c r="G7" s="74"/>
      <c r="H7" s="73" t="s">
        <v>13</v>
      </c>
      <c r="I7" s="78">
        <v>36.700000000000003</v>
      </c>
      <c r="J7" s="78"/>
      <c r="K7" s="76" t="s">
        <v>8</v>
      </c>
      <c r="L7" s="77">
        <v>98285.42</v>
      </c>
    </row>
    <row r="8" spans="1:12" ht="71.400000000000006" x14ac:dyDescent="0.3">
      <c r="A8" s="71" t="s">
        <v>9</v>
      </c>
      <c r="B8" s="72" t="s">
        <v>267</v>
      </c>
      <c r="C8" s="72" t="s">
        <v>224</v>
      </c>
      <c r="D8" s="72" t="s">
        <v>273</v>
      </c>
      <c r="E8" s="73" t="s">
        <v>105</v>
      </c>
      <c r="F8" s="74" t="s">
        <v>15</v>
      </c>
      <c r="G8" s="74"/>
      <c r="H8" s="73" t="s">
        <v>13</v>
      </c>
      <c r="I8" s="78">
        <v>310</v>
      </c>
      <c r="J8" s="78"/>
      <c r="K8" s="76" t="s">
        <v>8</v>
      </c>
      <c r="L8" s="77">
        <v>97975.42</v>
      </c>
    </row>
    <row r="9" spans="1:12" ht="61.2" x14ac:dyDescent="0.3">
      <c r="A9" s="71" t="s">
        <v>9</v>
      </c>
      <c r="B9" s="72" t="s">
        <v>267</v>
      </c>
      <c r="C9" s="72" t="s">
        <v>224</v>
      </c>
      <c r="D9" s="72" t="s">
        <v>274</v>
      </c>
      <c r="E9" s="73" t="s">
        <v>105</v>
      </c>
      <c r="F9" s="74" t="s">
        <v>15</v>
      </c>
      <c r="G9" s="74"/>
      <c r="H9" s="73" t="s">
        <v>13</v>
      </c>
      <c r="I9" s="78">
        <v>748.34</v>
      </c>
      <c r="J9" s="78"/>
      <c r="K9" s="76" t="s">
        <v>8</v>
      </c>
      <c r="L9" s="77">
        <v>97227.08</v>
      </c>
    </row>
    <row r="10" spans="1:12" ht="71.400000000000006" x14ac:dyDescent="0.3">
      <c r="A10" s="71" t="s">
        <v>9</v>
      </c>
      <c r="B10" s="72" t="s">
        <v>267</v>
      </c>
      <c r="C10" s="72" t="s">
        <v>224</v>
      </c>
      <c r="D10" s="72" t="s">
        <v>275</v>
      </c>
      <c r="E10" s="73" t="s">
        <v>105</v>
      </c>
      <c r="F10" s="74" t="s">
        <v>15</v>
      </c>
      <c r="G10" s="74"/>
      <c r="H10" s="73" t="s">
        <v>13</v>
      </c>
      <c r="I10" s="78">
        <v>205</v>
      </c>
      <c r="J10" s="78"/>
      <c r="K10" s="76" t="s">
        <v>8</v>
      </c>
      <c r="L10" s="77">
        <v>97022.080000000002</v>
      </c>
    </row>
    <row r="11" spans="1:12" ht="71.400000000000006" x14ac:dyDescent="0.3">
      <c r="A11" s="71" t="s">
        <v>9</v>
      </c>
      <c r="B11" s="72" t="s">
        <v>267</v>
      </c>
      <c r="C11" s="72" t="s">
        <v>224</v>
      </c>
      <c r="D11" s="72" t="s">
        <v>276</v>
      </c>
      <c r="E11" s="73" t="s">
        <v>105</v>
      </c>
      <c r="F11" s="74" t="s">
        <v>15</v>
      </c>
      <c r="G11" s="74"/>
      <c r="H11" s="73" t="s">
        <v>13</v>
      </c>
      <c r="I11" s="78">
        <v>683.2</v>
      </c>
      <c r="J11" s="78"/>
      <c r="K11" s="76" t="s">
        <v>8</v>
      </c>
      <c r="L11" s="77">
        <v>96338.880000000005</v>
      </c>
    </row>
    <row r="12" spans="1:12" ht="61.2" x14ac:dyDescent="0.3">
      <c r="A12" s="71" t="s">
        <v>9</v>
      </c>
      <c r="B12" s="72" t="s">
        <v>267</v>
      </c>
      <c r="C12" s="72" t="s">
        <v>224</v>
      </c>
      <c r="D12" s="72" t="s">
        <v>277</v>
      </c>
      <c r="E12" s="73" t="s">
        <v>105</v>
      </c>
      <c r="F12" s="74" t="s">
        <v>15</v>
      </c>
      <c r="G12" s="74"/>
      <c r="H12" s="73" t="s">
        <v>13</v>
      </c>
      <c r="I12" s="78">
        <v>351.8</v>
      </c>
      <c r="J12" s="78"/>
      <c r="K12" s="76" t="s">
        <v>8</v>
      </c>
      <c r="L12" s="77">
        <v>95987.08</v>
      </c>
    </row>
    <row r="13" spans="1:12" ht="61.2" x14ac:dyDescent="0.3">
      <c r="A13" s="71" t="s">
        <v>9</v>
      </c>
      <c r="B13" s="72" t="s">
        <v>267</v>
      </c>
      <c r="C13" s="72" t="s">
        <v>224</v>
      </c>
      <c r="D13" s="72" t="s">
        <v>278</v>
      </c>
      <c r="E13" s="73" t="s">
        <v>105</v>
      </c>
      <c r="F13" s="74" t="s">
        <v>15</v>
      </c>
      <c r="G13" s="74"/>
      <c r="H13" s="73" t="s">
        <v>13</v>
      </c>
      <c r="I13" s="78">
        <v>411.65</v>
      </c>
      <c r="J13" s="78"/>
      <c r="K13" s="76" t="s">
        <v>8</v>
      </c>
      <c r="L13" s="77">
        <v>95575.43</v>
      </c>
    </row>
    <row r="14" spans="1:12" ht="71.400000000000006" x14ac:dyDescent="0.3">
      <c r="A14" s="71" t="s">
        <v>9</v>
      </c>
      <c r="B14" s="72" t="s">
        <v>267</v>
      </c>
      <c r="C14" s="72" t="s">
        <v>224</v>
      </c>
      <c r="D14" s="72" t="s">
        <v>279</v>
      </c>
      <c r="E14" s="73" t="s">
        <v>105</v>
      </c>
      <c r="F14" s="74" t="s">
        <v>15</v>
      </c>
      <c r="G14" s="74"/>
      <c r="H14" s="73" t="s">
        <v>13</v>
      </c>
      <c r="I14" s="78">
        <v>894.9</v>
      </c>
      <c r="J14" s="78"/>
      <c r="K14" s="76" t="s">
        <v>8</v>
      </c>
      <c r="L14" s="77">
        <v>94680.53</v>
      </c>
    </row>
    <row r="15" spans="1:12" ht="61.2" x14ac:dyDescent="0.3">
      <c r="A15" s="71" t="s">
        <v>9</v>
      </c>
      <c r="B15" s="72" t="s">
        <v>267</v>
      </c>
      <c r="C15" s="72" t="s">
        <v>224</v>
      </c>
      <c r="D15" s="72" t="s">
        <v>280</v>
      </c>
      <c r="E15" s="73" t="s">
        <v>105</v>
      </c>
      <c r="F15" s="74" t="s">
        <v>15</v>
      </c>
      <c r="G15" s="74"/>
      <c r="H15" s="73" t="s">
        <v>13</v>
      </c>
      <c r="I15" s="75">
        <v>1199.0999999999999</v>
      </c>
      <c r="J15" s="75"/>
      <c r="K15" s="76" t="s">
        <v>8</v>
      </c>
      <c r="L15" s="77">
        <v>93481.43</v>
      </c>
    </row>
    <row r="16" spans="1:12" ht="61.2" x14ac:dyDescent="0.3">
      <c r="A16" s="71" t="s">
        <v>9</v>
      </c>
      <c r="B16" s="72" t="s">
        <v>267</v>
      </c>
      <c r="C16" s="72" t="s">
        <v>224</v>
      </c>
      <c r="D16" s="72" t="s">
        <v>281</v>
      </c>
      <c r="E16" s="73" t="s">
        <v>105</v>
      </c>
      <c r="F16" s="74" t="s">
        <v>15</v>
      </c>
      <c r="G16" s="74"/>
      <c r="H16" s="73" t="s">
        <v>13</v>
      </c>
      <c r="I16" s="78">
        <v>780.5</v>
      </c>
      <c r="J16" s="78"/>
      <c r="K16" s="76" t="s">
        <v>8</v>
      </c>
      <c r="L16" s="77">
        <v>92700.93</v>
      </c>
    </row>
    <row r="17" spans="1:12" ht="71.400000000000006" x14ac:dyDescent="0.3">
      <c r="A17" s="71" t="s">
        <v>9</v>
      </c>
      <c r="B17" s="72" t="s">
        <v>267</v>
      </c>
      <c r="C17" s="72" t="s">
        <v>224</v>
      </c>
      <c r="D17" s="72" t="s">
        <v>282</v>
      </c>
      <c r="E17" s="73" t="s">
        <v>105</v>
      </c>
      <c r="F17" s="74" t="s">
        <v>15</v>
      </c>
      <c r="G17" s="74"/>
      <c r="H17" s="73" t="s">
        <v>13</v>
      </c>
      <c r="I17" s="78">
        <v>318.35000000000002</v>
      </c>
      <c r="J17" s="78"/>
      <c r="K17" s="76" t="s">
        <v>8</v>
      </c>
      <c r="L17" s="77">
        <v>92382.58</v>
      </c>
    </row>
    <row r="18" spans="1:12" ht="71.400000000000006" x14ac:dyDescent="0.3">
      <c r="A18" s="71" t="s">
        <v>9</v>
      </c>
      <c r="B18" s="72" t="s">
        <v>267</v>
      </c>
      <c r="C18" s="72" t="s">
        <v>224</v>
      </c>
      <c r="D18" s="72" t="s">
        <v>283</v>
      </c>
      <c r="E18" s="73" t="s">
        <v>105</v>
      </c>
      <c r="F18" s="74" t="s">
        <v>15</v>
      </c>
      <c r="G18" s="74"/>
      <c r="H18" s="73" t="s">
        <v>13</v>
      </c>
      <c r="I18" s="75">
        <v>1215.0999999999999</v>
      </c>
      <c r="J18" s="75"/>
      <c r="K18" s="76" t="s">
        <v>8</v>
      </c>
      <c r="L18" s="77">
        <v>91167.48</v>
      </c>
    </row>
    <row r="19" spans="1:12" ht="71.400000000000006" hidden="1" x14ac:dyDescent="0.3">
      <c r="A19" s="71" t="s">
        <v>9</v>
      </c>
      <c r="B19" s="72" t="s">
        <v>284</v>
      </c>
      <c r="C19" s="72" t="s">
        <v>285</v>
      </c>
      <c r="D19" s="72" t="s">
        <v>286</v>
      </c>
      <c r="E19" s="73" t="s">
        <v>13</v>
      </c>
      <c r="F19" s="79">
        <v>761</v>
      </c>
      <c r="G19" s="79"/>
      <c r="H19" s="73" t="s">
        <v>14</v>
      </c>
      <c r="I19" s="80" t="s">
        <v>15</v>
      </c>
      <c r="J19" s="80"/>
      <c r="K19" s="76" t="s">
        <v>8</v>
      </c>
      <c r="L19" s="77">
        <v>91928.48</v>
      </c>
    </row>
    <row r="20" spans="1:12" ht="71.400000000000006" hidden="1" x14ac:dyDescent="0.3">
      <c r="A20" s="71" t="s">
        <v>9</v>
      </c>
      <c r="B20" s="72" t="s">
        <v>287</v>
      </c>
      <c r="C20" s="72" t="s">
        <v>288</v>
      </c>
      <c r="D20" s="72" t="s">
        <v>289</v>
      </c>
      <c r="E20" s="73" t="s">
        <v>13</v>
      </c>
      <c r="F20" s="81">
        <v>1128</v>
      </c>
      <c r="G20" s="81"/>
      <c r="H20" s="73" t="s">
        <v>14</v>
      </c>
      <c r="I20" s="80" t="s">
        <v>15</v>
      </c>
      <c r="J20" s="80"/>
      <c r="K20" s="76" t="s">
        <v>8</v>
      </c>
      <c r="L20" s="77">
        <v>93056.48</v>
      </c>
    </row>
    <row r="21" spans="1:12" ht="71.400000000000006" hidden="1" x14ac:dyDescent="0.3">
      <c r="A21" s="71" t="s">
        <v>9</v>
      </c>
      <c r="B21" s="72" t="s">
        <v>287</v>
      </c>
      <c r="C21" s="72" t="s">
        <v>290</v>
      </c>
      <c r="D21" s="72" t="s">
        <v>289</v>
      </c>
      <c r="E21" s="73" t="s">
        <v>13</v>
      </c>
      <c r="F21" s="79">
        <v>588</v>
      </c>
      <c r="G21" s="79"/>
      <c r="H21" s="73" t="s">
        <v>14</v>
      </c>
      <c r="I21" s="80" t="s">
        <v>15</v>
      </c>
      <c r="J21" s="80"/>
      <c r="K21" s="76" t="s">
        <v>8</v>
      </c>
      <c r="L21" s="77">
        <v>93644.479999999996</v>
      </c>
    </row>
    <row r="22" spans="1:12" ht="71.400000000000006" hidden="1" x14ac:dyDescent="0.3">
      <c r="A22" s="71" t="s">
        <v>9</v>
      </c>
      <c r="B22" s="72" t="s">
        <v>287</v>
      </c>
      <c r="C22" s="72" t="s">
        <v>291</v>
      </c>
      <c r="D22" s="72" t="s">
        <v>289</v>
      </c>
      <c r="E22" s="73" t="s">
        <v>13</v>
      </c>
      <c r="F22" s="81">
        <v>1545</v>
      </c>
      <c r="G22" s="81"/>
      <c r="H22" s="73" t="s">
        <v>14</v>
      </c>
      <c r="I22" s="80" t="s">
        <v>15</v>
      </c>
      <c r="J22" s="80"/>
      <c r="K22" s="76" t="s">
        <v>8</v>
      </c>
      <c r="L22" s="77">
        <v>95189.48</v>
      </c>
    </row>
    <row r="23" spans="1:12" ht="61.2" hidden="1" x14ac:dyDescent="0.3">
      <c r="A23" s="71" t="s">
        <v>9</v>
      </c>
      <c r="B23" s="72" t="s">
        <v>292</v>
      </c>
      <c r="C23" s="72" t="s">
        <v>293</v>
      </c>
      <c r="D23" s="72" t="s">
        <v>294</v>
      </c>
      <c r="E23" s="73" t="s">
        <v>13</v>
      </c>
      <c r="F23" s="79">
        <v>395.83</v>
      </c>
      <c r="G23" s="79"/>
      <c r="H23" s="73" t="s">
        <v>14</v>
      </c>
      <c r="I23" s="80" t="s">
        <v>15</v>
      </c>
      <c r="J23" s="80"/>
      <c r="K23" s="76" t="s">
        <v>8</v>
      </c>
      <c r="L23" s="77">
        <v>95585.31</v>
      </c>
    </row>
    <row r="24" spans="1:12" ht="61.2" hidden="1" x14ac:dyDescent="0.3">
      <c r="A24" s="71" t="s">
        <v>9</v>
      </c>
      <c r="B24" s="72" t="s">
        <v>292</v>
      </c>
      <c r="C24" s="72" t="s">
        <v>295</v>
      </c>
      <c r="D24" s="72" t="s">
        <v>294</v>
      </c>
      <c r="E24" s="73" t="s">
        <v>13</v>
      </c>
      <c r="F24" s="79">
        <v>500</v>
      </c>
      <c r="G24" s="79"/>
      <c r="H24" s="73" t="s">
        <v>14</v>
      </c>
      <c r="I24" s="80" t="s">
        <v>15</v>
      </c>
      <c r="J24" s="80"/>
      <c r="K24" s="76" t="s">
        <v>8</v>
      </c>
      <c r="L24" s="77">
        <v>96085.31</v>
      </c>
    </row>
    <row r="25" spans="1:12" ht="71.400000000000006" hidden="1" x14ac:dyDescent="0.3">
      <c r="A25" s="71" t="s">
        <v>9</v>
      </c>
      <c r="B25" s="72" t="s">
        <v>292</v>
      </c>
      <c r="C25" s="72" t="s">
        <v>296</v>
      </c>
      <c r="D25" s="72" t="s">
        <v>294</v>
      </c>
      <c r="E25" s="73" t="s">
        <v>13</v>
      </c>
      <c r="F25" s="79">
        <v>366.67</v>
      </c>
      <c r="G25" s="79"/>
      <c r="H25" s="73" t="s">
        <v>14</v>
      </c>
      <c r="I25" s="80" t="s">
        <v>15</v>
      </c>
      <c r="J25" s="80"/>
      <c r="K25" s="76" t="s">
        <v>8</v>
      </c>
      <c r="L25" s="77">
        <v>96451.98</v>
      </c>
    </row>
    <row r="26" spans="1:12" ht="61.2" hidden="1" x14ac:dyDescent="0.3">
      <c r="A26" s="71" t="s">
        <v>9</v>
      </c>
      <c r="B26" s="72" t="s">
        <v>292</v>
      </c>
      <c r="C26" s="72" t="s">
        <v>297</v>
      </c>
      <c r="D26" s="72" t="s">
        <v>294</v>
      </c>
      <c r="E26" s="73" t="s">
        <v>13</v>
      </c>
      <c r="F26" s="79">
        <v>150</v>
      </c>
      <c r="G26" s="79"/>
      <c r="H26" s="73" t="s">
        <v>14</v>
      </c>
      <c r="I26" s="80" t="s">
        <v>15</v>
      </c>
      <c r="J26" s="80"/>
      <c r="K26" s="76" t="s">
        <v>8</v>
      </c>
      <c r="L26" s="77">
        <v>96601.98</v>
      </c>
    </row>
    <row r="27" spans="1:12" ht="61.2" hidden="1" x14ac:dyDescent="0.3">
      <c r="A27" s="71" t="s">
        <v>9</v>
      </c>
      <c r="B27" s="72" t="s">
        <v>292</v>
      </c>
      <c r="C27" s="72" t="s">
        <v>298</v>
      </c>
      <c r="D27" s="72" t="s">
        <v>294</v>
      </c>
      <c r="E27" s="73" t="s">
        <v>13</v>
      </c>
      <c r="F27" s="79">
        <v>33.33</v>
      </c>
      <c r="G27" s="79"/>
      <c r="H27" s="73" t="s">
        <v>14</v>
      </c>
      <c r="I27" s="80" t="s">
        <v>15</v>
      </c>
      <c r="J27" s="80"/>
      <c r="K27" s="76" t="s">
        <v>8</v>
      </c>
      <c r="L27" s="77">
        <v>96635.31</v>
      </c>
    </row>
    <row r="28" spans="1:12" ht="61.2" hidden="1" x14ac:dyDescent="0.3">
      <c r="A28" s="71" t="s">
        <v>9</v>
      </c>
      <c r="B28" s="72" t="s">
        <v>292</v>
      </c>
      <c r="C28" s="72" t="s">
        <v>299</v>
      </c>
      <c r="D28" s="72" t="s">
        <v>294</v>
      </c>
      <c r="E28" s="73" t="s">
        <v>13</v>
      </c>
      <c r="F28" s="79">
        <v>350</v>
      </c>
      <c r="G28" s="79"/>
      <c r="H28" s="73" t="s">
        <v>14</v>
      </c>
      <c r="I28" s="80" t="s">
        <v>15</v>
      </c>
      <c r="J28" s="80"/>
      <c r="K28" s="76" t="s">
        <v>8</v>
      </c>
      <c r="L28" s="77">
        <v>96985.31</v>
      </c>
    </row>
    <row r="29" spans="1:12" ht="61.2" hidden="1" x14ac:dyDescent="0.3">
      <c r="A29" s="71" t="s">
        <v>9</v>
      </c>
      <c r="B29" s="72" t="s">
        <v>292</v>
      </c>
      <c r="C29" s="72" t="s">
        <v>300</v>
      </c>
      <c r="D29" s="72" t="s">
        <v>294</v>
      </c>
      <c r="E29" s="73" t="s">
        <v>13</v>
      </c>
      <c r="F29" s="79">
        <v>87.5</v>
      </c>
      <c r="G29" s="79"/>
      <c r="H29" s="73" t="s">
        <v>14</v>
      </c>
      <c r="I29" s="80" t="s">
        <v>15</v>
      </c>
      <c r="J29" s="80"/>
      <c r="K29" s="76" t="s">
        <v>8</v>
      </c>
      <c r="L29" s="77">
        <v>97072.81</v>
      </c>
    </row>
    <row r="30" spans="1:12" ht="61.2" hidden="1" x14ac:dyDescent="0.3">
      <c r="A30" s="71" t="s">
        <v>9</v>
      </c>
      <c r="B30" s="72" t="s">
        <v>292</v>
      </c>
      <c r="C30" s="72" t="s">
        <v>301</v>
      </c>
      <c r="D30" s="72" t="s">
        <v>294</v>
      </c>
      <c r="E30" s="73" t="s">
        <v>13</v>
      </c>
      <c r="F30" s="79">
        <v>116.67</v>
      </c>
      <c r="G30" s="79"/>
      <c r="H30" s="73" t="s">
        <v>14</v>
      </c>
      <c r="I30" s="80" t="s">
        <v>15</v>
      </c>
      <c r="J30" s="80"/>
      <c r="K30" s="76" t="s">
        <v>8</v>
      </c>
      <c r="L30" s="77">
        <v>97189.48</v>
      </c>
    </row>
    <row r="31" spans="1:12" ht="61.2" hidden="1" x14ac:dyDescent="0.3">
      <c r="A31" s="71" t="s">
        <v>9</v>
      </c>
      <c r="B31" s="72" t="s">
        <v>292</v>
      </c>
      <c r="C31" s="72" t="s">
        <v>302</v>
      </c>
      <c r="D31" s="72" t="s">
        <v>294</v>
      </c>
      <c r="E31" s="73" t="s">
        <v>13</v>
      </c>
      <c r="F31" s="79">
        <v>20.83</v>
      </c>
      <c r="G31" s="79"/>
      <c r="H31" s="73" t="s">
        <v>14</v>
      </c>
      <c r="I31" s="80" t="s">
        <v>15</v>
      </c>
      <c r="J31" s="80"/>
      <c r="K31" s="76" t="s">
        <v>8</v>
      </c>
      <c r="L31" s="77">
        <v>97210.31</v>
      </c>
    </row>
    <row r="32" spans="1:12" ht="61.2" hidden="1" x14ac:dyDescent="0.3">
      <c r="A32" s="71" t="s">
        <v>9</v>
      </c>
      <c r="B32" s="72" t="s">
        <v>292</v>
      </c>
      <c r="C32" s="72" t="s">
        <v>303</v>
      </c>
      <c r="D32" s="72" t="s">
        <v>294</v>
      </c>
      <c r="E32" s="73" t="s">
        <v>13</v>
      </c>
      <c r="F32" s="79">
        <v>33.340000000000003</v>
      </c>
      <c r="G32" s="79"/>
      <c r="H32" s="73" t="s">
        <v>14</v>
      </c>
      <c r="I32" s="80" t="s">
        <v>15</v>
      </c>
      <c r="J32" s="80"/>
      <c r="K32" s="76" t="s">
        <v>8</v>
      </c>
      <c r="L32" s="77">
        <v>97243.65</v>
      </c>
    </row>
    <row r="33" spans="1:12" ht="61.2" hidden="1" x14ac:dyDescent="0.3">
      <c r="A33" s="71" t="s">
        <v>9</v>
      </c>
      <c r="B33" s="72" t="s">
        <v>292</v>
      </c>
      <c r="C33" s="72" t="s">
        <v>304</v>
      </c>
      <c r="D33" s="72" t="s">
        <v>294</v>
      </c>
      <c r="E33" s="73" t="s">
        <v>13</v>
      </c>
      <c r="F33" s="79">
        <v>25</v>
      </c>
      <c r="G33" s="79"/>
      <c r="H33" s="73" t="s">
        <v>14</v>
      </c>
      <c r="I33" s="80" t="s">
        <v>15</v>
      </c>
      <c r="J33" s="80"/>
      <c r="K33" s="76" t="s">
        <v>8</v>
      </c>
      <c r="L33" s="77">
        <v>97268.65</v>
      </c>
    </row>
    <row r="34" spans="1:12" ht="61.2" x14ac:dyDescent="0.3">
      <c r="A34" s="71" t="s">
        <v>9</v>
      </c>
      <c r="B34" s="72" t="s">
        <v>305</v>
      </c>
      <c r="C34" s="72" t="s">
        <v>224</v>
      </c>
      <c r="D34" s="72" t="s">
        <v>306</v>
      </c>
      <c r="E34" s="73" t="s">
        <v>105</v>
      </c>
      <c r="F34" s="74" t="s">
        <v>15</v>
      </c>
      <c r="G34" s="74"/>
      <c r="H34" s="73" t="s">
        <v>13</v>
      </c>
      <c r="I34" s="75">
        <v>4164</v>
      </c>
      <c r="J34" s="75"/>
      <c r="K34" s="76" t="s">
        <v>8</v>
      </c>
      <c r="L34" s="77">
        <v>93104.65</v>
      </c>
    </row>
    <row r="35" spans="1:12" ht="61.2" x14ac:dyDescent="0.3">
      <c r="A35" s="71" t="s">
        <v>9</v>
      </c>
      <c r="B35" s="72" t="s">
        <v>305</v>
      </c>
      <c r="C35" s="72" t="s">
        <v>224</v>
      </c>
      <c r="D35" s="72" t="s">
        <v>307</v>
      </c>
      <c r="E35" s="73" t="s">
        <v>105</v>
      </c>
      <c r="F35" s="74" t="s">
        <v>15</v>
      </c>
      <c r="G35" s="74"/>
      <c r="H35" s="73" t="s">
        <v>13</v>
      </c>
      <c r="I35" s="75">
        <v>4425</v>
      </c>
      <c r="J35" s="75"/>
      <c r="K35" s="76" t="s">
        <v>8</v>
      </c>
      <c r="L35" s="77">
        <v>88679.65</v>
      </c>
    </row>
    <row r="36" spans="1:12" ht="71.400000000000006" x14ac:dyDescent="0.3">
      <c r="A36" s="71" t="s">
        <v>9</v>
      </c>
      <c r="B36" s="72" t="s">
        <v>305</v>
      </c>
      <c r="C36" s="72" t="s">
        <v>224</v>
      </c>
      <c r="D36" s="72" t="s">
        <v>308</v>
      </c>
      <c r="E36" s="73" t="s">
        <v>105</v>
      </c>
      <c r="F36" s="74" t="s">
        <v>15</v>
      </c>
      <c r="G36" s="74"/>
      <c r="H36" s="73" t="s">
        <v>13</v>
      </c>
      <c r="I36" s="78">
        <v>489.1</v>
      </c>
      <c r="J36" s="78"/>
      <c r="K36" s="76" t="s">
        <v>8</v>
      </c>
      <c r="L36" s="77">
        <v>88190.55</v>
      </c>
    </row>
    <row r="37" spans="1:12" ht="61.2" x14ac:dyDescent="0.3">
      <c r="A37" s="71" t="s">
        <v>9</v>
      </c>
      <c r="B37" s="72" t="s">
        <v>305</v>
      </c>
      <c r="C37" s="72" t="s">
        <v>224</v>
      </c>
      <c r="D37" s="72" t="s">
        <v>309</v>
      </c>
      <c r="E37" s="73" t="s">
        <v>105</v>
      </c>
      <c r="F37" s="74" t="s">
        <v>15</v>
      </c>
      <c r="G37" s="74"/>
      <c r="H37" s="73" t="s">
        <v>13</v>
      </c>
      <c r="I37" s="78">
        <v>183.5</v>
      </c>
      <c r="J37" s="78"/>
      <c r="K37" s="76" t="s">
        <v>8</v>
      </c>
      <c r="L37" s="77">
        <v>88007.05</v>
      </c>
    </row>
    <row r="38" spans="1:12" ht="61.2" x14ac:dyDescent="0.3">
      <c r="A38" s="71" t="s">
        <v>9</v>
      </c>
      <c r="B38" s="72" t="s">
        <v>305</v>
      </c>
      <c r="C38" s="72" t="s">
        <v>224</v>
      </c>
      <c r="D38" s="72" t="s">
        <v>310</v>
      </c>
      <c r="E38" s="73" t="s">
        <v>105</v>
      </c>
      <c r="F38" s="74" t="s">
        <v>15</v>
      </c>
      <c r="G38" s="74"/>
      <c r="H38" s="73" t="s">
        <v>13</v>
      </c>
      <c r="I38" s="78">
        <v>167</v>
      </c>
      <c r="J38" s="78"/>
      <c r="K38" s="76" t="s">
        <v>8</v>
      </c>
      <c r="L38" s="77">
        <v>87840.05</v>
      </c>
    </row>
    <row r="39" spans="1:12" ht="61.2" x14ac:dyDescent="0.3">
      <c r="A39" s="71" t="s">
        <v>9</v>
      </c>
      <c r="B39" s="72" t="s">
        <v>305</v>
      </c>
      <c r="C39" s="72" t="s">
        <v>224</v>
      </c>
      <c r="D39" s="72" t="s">
        <v>311</v>
      </c>
      <c r="E39" s="73" t="s">
        <v>105</v>
      </c>
      <c r="F39" s="74" t="s">
        <v>15</v>
      </c>
      <c r="G39" s="74"/>
      <c r="H39" s="73" t="s">
        <v>13</v>
      </c>
      <c r="I39" s="78">
        <v>895.5</v>
      </c>
      <c r="J39" s="78"/>
      <c r="K39" s="76" t="s">
        <v>8</v>
      </c>
      <c r="L39" s="77">
        <v>86944.55</v>
      </c>
    </row>
    <row r="40" spans="1:12" ht="61.2" x14ac:dyDescent="0.3">
      <c r="A40" s="71" t="s">
        <v>9</v>
      </c>
      <c r="B40" s="72" t="s">
        <v>305</v>
      </c>
      <c r="C40" s="72" t="s">
        <v>224</v>
      </c>
      <c r="D40" s="72" t="s">
        <v>312</v>
      </c>
      <c r="E40" s="73" t="s">
        <v>105</v>
      </c>
      <c r="F40" s="74" t="s">
        <v>15</v>
      </c>
      <c r="G40" s="74"/>
      <c r="H40" s="73" t="s">
        <v>13</v>
      </c>
      <c r="I40" s="78">
        <v>895.5</v>
      </c>
      <c r="J40" s="78"/>
      <c r="K40" s="76" t="s">
        <v>8</v>
      </c>
      <c r="L40" s="77">
        <v>86049.05</v>
      </c>
    </row>
    <row r="41" spans="1:12" ht="61.2" x14ac:dyDescent="0.3">
      <c r="A41" s="71" t="s">
        <v>9</v>
      </c>
      <c r="B41" s="72" t="s">
        <v>305</v>
      </c>
      <c r="C41" s="72" t="s">
        <v>224</v>
      </c>
      <c r="D41" s="72" t="s">
        <v>313</v>
      </c>
      <c r="E41" s="73" t="s">
        <v>105</v>
      </c>
      <c r="F41" s="74" t="s">
        <v>15</v>
      </c>
      <c r="G41" s="74"/>
      <c r="H41" s="73" t="s">
        <v>13</v>
      </c>
      <c r="I41" s="75">
        <v>1571.55</v>
      </c>
      <c r="J41" s="75"/>
      <c r="K41" s="76" t="s">
        <v>8</v>
      </c>
      <c r="L41" s="77">
        <v>84477.5</v>
      </c>
    </row>
    <row r="42" spans="1:12" ht="61.2" x14ac:dyDescent="0.3">
      <c r="A42" s="71" t="s">
        <v>9</v>
      </c>
      <c r="B42" s="72" t="s">
        <v>305</v>
      </c>
      <c r="C42" s="72" t="s">
        <v>224</v>
      </c>
      <c r="D42" s="72" t="s">
        <v>314</v>
      </c>
      <c r="E42" s="73" t="s">
        <v>105</v>
      </c>
      <c r="F42" s="74" t="s">
        <v>15</v>
      </c>
      <c r="G42" s="74"/>
      <c r="H42" s="73" t="s">
        <v>13</v>
      </c>
      <c r="I42" s="75">
        <v>1607.3</v>
      </c>
      <c r="J42" s="75"/>
      <c r="K42" s="76" t="s">
        <v>8</v>
      </c>
      <c r="L42" s="77">
        <v>82870.2</v>
      </c>
    </row>
    <row r="43" spans="1:12" ht="71.400000000000006" x14ac:dyDescent="0.3">
      <c r="A43" s="71" t="s">
        <v>9</v>
      </c>
      <c r="B43" s="72" t="s">
        <v>305</v>
      </c>
      <c r="C43" s="72" t="s">
        <v>224</v>
      </c>
      <c r="D43" s="72" t="s">
        <v>315</v>
      </c>
      <c r="E43" s="73" t="s">
        <v>105</v>
      </c>
      <c r="F43" s="74" t="s">
        <v>15</v>
      </c>
      <c r="G43" s="74"/>
      <c r="H43" s="73" t="s">
        <v>13</v>
      </c>
      <c r="I43" s="78">
        <v>120.1</v>
      </c>
      <c r="J43" s="78"/>
      <c r="K43" s="76" t="s">
        <v>8</v>
      </c>
      <c r="L43" s="77">
        <v>82750.100000000006</v>
      </c>
    </row>
    <row r="44" spans="1:12" ht="71.400000000000006" x14ac:dyDescent="0.3">
      <c r="A44" s="71" t="s">
        <v>9</v>
      </c>
      <c r="B44" s="72" t="s">
        <v>305</v>
      </c>
      <c r="C44" s="72" t="s">
        <v>224</v>
      </c>
      <c r="D44" s="72" t="s">
        <v>316</v>
      </c>
      <c r="E44" s="73" t="s">
        <v>105</v>
      </c>
      <c r="F44" s="74" t="s">
        <v>15</v>
      </c>
      <c r="G44" s="74"/>
      <c r="H44" s="73" t="s">
        <v>13</v>
      </c>
      <c r="I44" s="78">
        <v>720.6</v>
      </c>
      <c r="J44" s="78"/>
      <c r="K44" s="76" t="s">
        <v>8</v>
      </c>
      <c r="L44" s="77">
        <v>82029.5</v>
      </c>
    </row>
    <row r="45" spans="1:12" ht="71.400000000000006" x14ac:dyDescent="0.3">
      <c r="A45" s="71" t="s">
        <v>9</v>
      </c>
      <c r="B45" s="72" t="s">
        <v>305</v>
      </c>
      <c r="C45" s="72" t="s">
        <v>224</v>
      </c>
      <c r="D45" s="72" t="s">
        <v>317</v>
      </c>
      <c r="E45" s="73" t="s">
        <v>105</v>
      </c>
      <c r="F45" s="74" t="s">
        <v>15</v>
      </c>
      <c r="G45" s="74"/>
      <c r="H45" s="73" t="s">
        <v>13</v>
      </c>
      <c r="I45" s="75">
        <v>4770</v>
      </c>
      <c r="J45" s="75"/>
      <c r="K45" s="76" t="s">
        <v>8</v>
      </c>
      <c r="L45" s="77">
        <v>77259.5</v>
      </c>
    </row>
    <row r="46" spans="1:12" ht="71.400000000000006" x14ac:dyDescent="0.3">
      <c r="A46" s="71" t="s">
        <v>9</v>
      </c>
      <c r="B46" s="72" t="s">
        <v>305</v>
      </c>
      <c r="C46" s="72" t="s">
        <v>224</v>
      </c>
      <c r="D46" s="72" t="s">
        <v>318</v>
      </c>
      <c r="E46" s="73" t="s">
        <v>105</v>
      </c>
      <c r="F46" s="74" t="s">
        <v>15</v>
      </c>
      <c r="G46" s="74"/>
      <c r="H46" s="73" t="s">
        <v>13</v>
      </c>
      <c r="I46" s="75">
        <v>1470</v>
      </c>
      <c r="J46" s="75"/>
      <c r="K46" s="76" t="s">
        <v>8</v>
      </c>
      <c r="L46" s="77">
        <v>75789.5</v>
      </c>
    </row>
    <row r="47" spans="1:12" ht="71.400000000000006" x14ac:dyDescent="0.3">
      <c r="A47" s="71" t="s">
        <v>9</v>
      </c>
      <c r="B47" s="72" t="s">
        <v>305</v>
      </c>
      <c r="C47" s="72" t="s">
        <v>224</v>
      </c>
      <c r="D47" s="72" t="s">
        <v>319</v>
      </c>
      <c r="E47" s="73" t="s">
        <v>105</v>
      </c>
      <c r="F47" s="74" t="s">
        <v>15</v>
      </c>
      <c r="G47" s="74"/>
      <c r="H47" s="73" t="s">
        <v>13</v>
      </c>
      <c r="I47" s="78">
        <v>377.5</v>
      </c>
      <c r="J47" s="78"/>
      <c r="K47" s="76" t="s">
        <v>8</v>
      </c>
      <c r="L47" s="77">
        <v>75412</v>
      </c>
    </row>
    <row r="48" spans="1:12" ht="81.599999999999994" x14ac:dyDescent="0.3">
      <c r="A48" s="71" t="s">
        <v>9</v>
      </c>
      <c r="B48" s="72" t="s">
        <v>305</v>
      </c>
      <c r="C48" s="72" t="s">
        <v>224</v>
      </c>
      <c r="D48" s="72" t="s">
        <v>320</v>
      </c>
      <c r="E48" s="73" t="s">
        <v>105</v>
      </c>
      <c r="F48" s="74" t="s">
        <v>15</v>
      </c>
      <c r="G48" s="74"/>
      <c r="H48" s="73" t="s">
        <v>13</v>
      </c>
      <c r="I48" s="75">
        <v>1470</v>
      </c>
      <c r="J48" s="75"/>
      <c r="K48" s="76" t="s">
        <v>8</v>
      </c>
      <c r="L48" s="77">
        <v>73942</v>
      </c>
    </row>
    <row r="49" spans="1:12" ht="61.2" x14ac:dyDescent="0.3">
      <c r="A49" s="71" t="s">
        <v>9</v>
      </c>
      <c r="B49" s="72" t="s">
        <v>305</v>
      </c>
      <c r="C49" s="72" t="s">
        <v>224</v>
      </c>
      <c r="D49" s="72" t="s">
        <v>321</v>
      </c>
      <c r="E49" s="73" t="s">
        <v>105</v>
      </c>
      <c r="F49" s="74" t="s">
        <v>15</v>
      </c>
      <c r="G49" s="74"/>
      <c r="H49" s="73" t="s">
        <v>13</v>
      </c>
      <c r="I49" s="78">
        <v>396.3</v>
      </c>
      <c r="J49" s="78"/>
      <c r="K49" s="76" t="s">
        <v>8</v>
      </c>
      <c r="L49" s="77">
        <v>73545.7</v>
      </c>
    </row>
    <row r="50" spans="1:12" ht="61.2" x14ac:dyDescent="0.3">
      <c r="A50" s="71" t="s">
        <v>9</v>
      </c>
      <c r="B50" s="72" t="s">
        <v>305</v>
      </c>
      <c r="C50" s="72" t="s">
        <v>224</v>
      </c>
      <c r="D50" s="72" t="s">
        <v>322</v>
      </c>
      <c r="E50" s="73" t="s">
        <v>105</v>
      </c>
      <c r="F50" s="74" t="s">
        <v>15</v>
      </c>
      <c r="G50" s="74"/>
      <c r="H50" s="73" t="s">
        <v>13</v>
      </c>
      <c r="I50" s="78">
        <v>198.15</v>
      </c>
      <c r="J50" s="78"/>
      <c r="K50" s="76" t="s">
        <v>8</v>
      </c>
      <c r="L50" s="77">
        <v>73347.55</v>
      </c>
    </row>
    <row r="51" spans="1:12" ht="81.599999999999994" x14ac:dyDescent="0.3">
      <c r="A51" s="71" t="s">
        <v>9</v>
      </c>
      <c r="B51" s="72" t="s">
        <v>305</v>
      </c>
      <c r="C51" s="72" t="s">
        <v>224</v>
      </c>
      <c r="D51" s="72" t="s">
        <v>323</v>
      </c>
      <c r="E51" s="73" t="s">
        <v>105</v>
      </c>
      <c r="F51" s="74" t="s">
        <v>15</v>
      </c>
      <c r="G51" s="74"/>
      <c r="H51" s="73" t="s">
        <v>13</v>
      </c>
      <c r="I51" s="78">
        <v>877.5</v>
      </c>
      <c r="J51" s="78"/>
      <c r="K51" s="76" t="s">
        <v>8</v>
      </c>
      <c r="L51" s="77">
        <v>72470.05</v>
      </c>
    </row>
    <row r="52" spans="1:12" ht="61.2" x14ac:dyDescent="0.3">
      <c r="A52" s="71" t="s">
        <v>9</v>
      </c>
      <c r="B52" s="72" t="s">
        <v>305</v>
      </c>
      <c r="C52" s="72" t="s">
        <v>224</v>
      </c>
      <c r="D52" s="72" t="s">
        <v>324</v>
      </c>
      <c r="E52" s="73" t="s">
        <v>105</v>
      </c>
      <c r="F52" s="74" t="s">
        <v>15</v>
      </c>
      <c r="G52" s="74"/>
      <c r="H52" s="73" t="s">
        <v>13</v>
      </c>
      <c r="I52" s="78">
        <v>850.9</v>
      </c>
      <c r="J52" s="78"/>
      <c r="K52" s="76" t="s">
        <v>8</v>
      </c>
      <c r="L52" s="77">
        <v>71619.149999999994</v>
      </c>
    </row>
    <row r="53" spans="1:12" ht="61.2" x14ac:dyDescent="0.3">
      <c r="A53" s="71" t="s">
        <v>9</v>
      </c>
      <c r="B53" s="72" t="s">
        <v>305</v>
      </c>
      <c r="C53" s="72" t="s">
        <v>224</v>
      </c>
      <c r="D53" s="72" t="s">
        <v>325</v>
      </c>
      <c r="E53" s="73" t="s">
        <v>105</v>
      </c>
      <c r="F53" s="74" t="s">
        <v>15</v>
      </c>
      <c r="G53" s="74"/>
      <c r="H53" s="73" t="s">
        <v>13</v>
      </c>
      <c r="I53" s="78">
        <v>204.75</v>
      </c>
      <c r="J53" s="78"/>
      <c r="K53" s="76" t="s">
        <v>8</v>
      </c>
      <c r="L53" s="77">
        <v>71414.399999999994</v>
      </c>
    </row>
    <row r="54" spans="1:12" ht="71.400000000000006" x14ac:dyDescent="0.3">
      <c r="A54" s="71" t="s">
        <v>9</v>
      </c>
      <c r="B54" s="72" t="s">
        <v>305</v>
      </c>
      <c r="C54" s="72" t="s">
        <v>224</v>
      </c>
      <c r="D54" s="72" t="s">
        <v>326</v>
      </c>
      <c r="E54" s="73" t="s">
        <v>105</v>
      </c>
      <c r="F54" s="74" t="s">
        <v>15</v>
      </c>
      <c r="G54" s="74"/>
      <c r="H54" s="73" t="s">
        <v>13</v>
      </c>
      <c r="I54" s="78">
        <v>241.7</v>
      </c>
      <c r="J54" s="78"/>
      <c r="K54" s="76" t="s">
        <v>8</v>
      </c>
      <c r="L54" s="77">
        <v>71172.7</v>
      </c>
    </row>
    <row r="55" spans="1:12" ht="61.2" x14ac:dyDescent="0.3">
      <c r="A55" s="71" t="s">
        <v>9</v>
      </c>
      <c r="B55" s="72" t="s">
        <v>305</v>
      </c>
      <c r="C55" s="72" t="s">
        <v>224</v>
      </c>
      <c r="D55" s="72" t="s">
        <v>327</v>
      </c>
      <c r="E55" s="73" t="s">
        <v>105</v>
      </c>
      <c r="F55" s="74" t="s">
        <v>15</v>
      </c>
      <c r="G55" s="74"/>
      <c r="H55" s="73" t="s">
        <v>13</v>
      </c>
      <c r="I55" s="75">
        <v>1591.6</v>
      </c>
      <c r="J55" s="75"/>
      <c r="K55" s="76" t="s">
        <v>8</v>
      </c>
      <c r="L55" s="77">
        <v>69581.100000000006</v>
      </c>
    </row>
    <row r="56" spans="1:12" ht="71.400000000000006" x14ac:dyDescent="0.3">
      <c r="A56" s="71" t="s">
        <v>328</v>
      </c>
      <c r="B56" s="72" t="s">
        <v>329</v>
      </c>
      <c r="C56" s="72" t="s">
        <v>224</v>
      </c>
      <c r="D56" s="72" t="s">
        <v>296</v>
      </c>
      <c r="E56" s="73" t="s">
        <v>105</v>
      </c>
      <c r="F56" s="74" t="s">
        <v>15</v>
      </c>
      <c r="G56" s="74"/>
      <c r="H56" s="73" t="s">
        <v>13</v>
      </c>
      <c r="I56" s="78">
        <v>366.67</v>
      </c>
      <c r="J56" s="78"/>
      <c r="K56" s="76" t="s">
        <v>8</v>
      </c>
      <c r="L56" s="77">
        <v>69214.429999999993</v>
      </c>
    </row>
    <row r="57" spans="1:12" ht="71.400000000000006" x14ac:dyDescent="0.3">
      <c r="A57" s="71" t="s">
        <v>328</v>
      </c>
      <c r="B57" s="72" t="s">
        <v>329</v>
      </c>
      <c r="C57" s="72" t="s">
        <v>224</v>
      </c>
      <c r="D57" s="72" t="s">
        <v>285</v>
      </c>
      <c r="E57" s="73" t="s">
        <v>105</v>
      </c>
      <c r="F57" s="74" t="s">
        <v>15</v>
      </c>
      <c r="G57" s="74"/>
      <c r="H57" s="73" t="s">
        <v>13</v>
      </c>
      <c r="I57" s="78">
        <v>761</v>
      </c>
      <c r="J57" s="78"/>
      <c r="K57" s="76" t="s">
        <v>8</v>
      </c>
      <c r="L57" s="77">
        <v>68453.429999999993</v>
      </c>
    </row>
    <row r="58" spans="1:12" ht="61.2" x14ac:dyDescent="0.3">
      <c r="A58" s="71" t="s">
        <v>328</v>
      </c>
      <c r="B58" s="72" t="s">
        <v>329</v>
      </c>
      <c r="C58" s="72" t="s">
        <v>224</v>
      </c>
      <c r="D58" s="72" t="s">
        <v>330</v>
      </c>
      <c r="E58" s="73" t="s">
        <v>105</v>
      </c>
      <c r="F58" s="74" t="s">
        <v>15</v>
      </c>
      <c r="G58" s="74"/>
      <c r="H58" s="73" t="s">
        <v>13</v>
      </c>
      <c r="I58" s="78">
        <v>220</v>
      </c>
      <c r="J58" s="78"/>
      <c r="K58" s="76" t="s">
        <v>8</v>
      </c>
      <c r="L58" s="77">
        <v>68233.429999999993</v>
      </c>
    </row>
    <row r="59" spans="1:12" ht="61.2" x14ac:dyDescent="0.3">
      <c r="A59" s="71" t="s">
        <v>328</v>
      </c>
      <c r="B59" s="72" t="s">
        <v>329</v>
      </c>
      <c r="C59" s="72" t="s">
        <v>224</v>
      </c>
      <c r="D59" s="72" t="s">
        <v>331</v>
      </c>
      <c r="E59" s="73" t="s">
        <v>105</v>
      </c>
      <c r="F59" s="74" t="s">
        <v>15</v>
      </c>
      <c r="G59" s="74"/>
      <c r="H59" s="73" t="s">
        <v>13</v>
      </c>
      <c r="I59" s="78">
        <v>916.3</v>
      </c>
      <c r="J59" s="78"/>
      <c r="K59" s="76" t="s">
        <v>8</v>
      </c>
      <c r="L59" s="77">
        <v>67317.13</v>
      </c>
    </row>
    <row r="60" spans="1:12" ht="61.2" x14ac:dyDescent="0.3">
      <c r="A60" s="71" t="s">
        <v>328</v>
      </c>
      <c r="B60" s="72" t="s">
        <v>329</v>
      </c>
      <c r="C60" s="72" t="s">
        <v>224</v>
      </c>
      <c r="D60" s="72" t="s">
        <v>300</v>
      </c>
      <c r="E60" s="73" t="s">
        <v>105</v>
      </c>
      <c r="F60" s="74" t="s">
        <v>15</v>
      </c>
      <c r="G60" s="74"/>
      <c r="H60" s="73" t="s">
        <v>13</v>
      </c>
      <c r="I60" s="78">
        <v>87.5</v>
      </c>
      <c r="J60" s="78"/>
      <c r="K60" s="76" t="s">
        <v>8</v>
      </c>
      <c r="L60" s="77">
        <v>67229.63</v>
      </c>
    </row>
    <row r="61" spans="1:12" ht="61.2" x14ac:dyDescent="0.3">
      <c r="A61" s="71" t="s">
        <v>328</v>
      </c>
      <c r="B61" s="72" t="s">
        <v>329</v>
      </c>
      <c r="C61" s="72" t="s">
        <v>224</v>
      </c>
      <c r="D61" s="72" t="s">
        <v>302</v>
      </c>
      <c r="E61" s="73" t="s">
        <v>105</v>
      </c>
      <c r="F61" s="74" t="s">
        <v>15</v>
      </c>
      <c r="G61" s="74"/>
      <c r="H61" s="73" t="s">
        <v>13</v>
      </c>
      <c r="I61" s="78">
        <v>20.83</v>
      </c>
      <c r="J61" s="78"/>
      <c r="K61" s="76" t="s">
        <v>8</v>
      </c>
      <c r="L61" s="77">
        <v>67208.800000000003</v>
      </c>
    </row>
    <row r="62" spans="1:12" ht="61.2" x14ac:dyDescent="0.3">
      <c r="A62" s="71" t="s">
        <v>328</v>
      </c>
      <c r="B62" s="72" t="s">
        <v>329</v>
      </c>
      <c r="C62" s="72" t="s">
        <v>224</v>
      </c>
      <c r="D62" s="72" t="s">
        <v>301</v>
      </c>
      <c r="E62" s="73" t="s">
        <v>105</v>
      </c>
      <c r="F62" s="74" t="s">
        <v>15</v>
      </c>
      <c r="G62" s="74"/>
      <c r="H62" s="73" t="s">
        <v>13</v>
      </c>
      <c r="I62" s="78">
        <v>116.67</v>
      </c>
      <c r="J62" s="78"/>
      <c r="K62" s="76" t="s">
        <v>8</v>
      </c>
      <c r="L62" s="77">
        <v>67092.13</v>
      </c>
    </row>
    <row r="63" spans="1:12" ht="71.400000000000006" x14ac:dyDescent="0.3">
      <c r="A63" s="71" t="s">
        <v>328</v>
      </c>
      <c r="B63" s="72" t="s">
        <v>329</v>
      </c>
      <c r="C63" s="72" t="s">
        <v>224</v>
      </c>
      <c r="D63" s="72" t="s">
        <v>290</v>
      </c>
      <c r="E63" s="73" t="s">
        <v>105</v>
      </c>
      <c r="F63" s="74" t="s">
        <v>15</v>
      </c>
      <c r="G63" s="74"/>
      <c r="H63" s="73" t="s">
        <v>13</v>
      </c>
      <c r="I63" s="78">
        <v>588</v>
      </c>
      <c r="J63" s="78"/>
      <c r="K63" s="76" t="s">
        <v>8</v>
      </c>
      <c r="L63" s="77">
        <v>66504.13</v>
      </c>
    </row>
    <row r="64" spans="1:12" ht="61.2" x14ac:dyDescent="0.3">
      <c r="A64" s="71" t="s">
        <v>328</v>
      </c>
      <c r="B64" s="72" t="s">
        <v>329</v>
      </c>
      <c r="C64" s="72" t="s">
        <v>224</v>
      </c>
      <c r="D64" s="72" t="s">
        <v>299</v>
      </c>
      <c r="E64" s="73" t="s">
        <v>105</v>
      </c>
      <c r="F64" s="74" t="s">
        <v>15</v>
      </c>
      <c r="G64" s="74"/>
      <c r="H64" s="73" t="s">
        <v>13</v>
      </c>
      <c r="I64" s="78">
        <v>350</v>
      </c>
      <c r="J64" s="78"/>
      <c r="K64" s="76" t="s">
        <v>8</v>
      </c>
      <c r="L64" s="77">
        <v>66154.13</v>
      </c>
    </row>
    <row r="65" spans="1:12" ht="61.2" x14ac:dyDescent="0.3">
      <c r="A65" s="71" t="s">
        <v>328</v>
      </c>
      <c r="B65" s="72" t="s">
        <v>329</v>
      </c>
      <c r="C65" s="72" t="s">
        <v>224</v>
      </c>
      <c r="D65" s="72" t="s">
        <v>298</v>
      </c>
      <c r="E65" s="73" t="s">
        <v>105</v>
      </c>
      <c r="F65" s="74" t="s">
        <v>15</v>
      </c>
      <c r="G65" s="74"/>
      <c r="H65" s="73" t="s">
        <v>13</v>
      </c>
      <c r="I65" s="78">
        <v>33.33</v>
      </c>
      <c r="J65" s="78"/>
      <c r="K65" s="76" t="s">
        <v>8</v>
      </c>
      <c r="L65" s="77">
        <v>66120.800000000003</v>
      </c>
    </row>
    <row r="66" spans="1:12" ht="71.400000000000006" x14ac:dyDescent="0.3">
      <c r="A66" s="71" t="s">
        <v>328</v>
      </c>
      <c r="B66" s="72" t="s">
        <v>329</v>
      </c>
      <c r="C66" s="72" t="s">
        <v>224</v>
      </c>
      <c r="D66" s="72" t="s">
        <v>288</v>
      </c>
      <c r="E66" s="73" t="s">
        <v>105</v>
      </c>
      <c r="F66" s="74" t="s">
        <v>15</v>
      </c>
      <c r="G66" s="74"/>
      <c r="H66" s="73" t="s">
        <v>13</v>
      </c>
      <c r="I66" s="75">
        <v>1128</v>
      </c>
      <c r="J66" s="75"/>
      <c r="K66" s="76" t="s">
        <v>8</v>
      </c>
      <c r="L66" s="77">
        <v>64992.800000000003</v>
      </c>
    </row>
    <row r="67" spans="1:12" ht="61.2" x14ac:dyDescent="0.3">
      <c r="A67" s="71" t="s">
        <v>328</v>
      </c>
      <c r="B67" s="72" t="s">
        <v>329</v>
      </c>
      <c r="C67" s="72" t="s">
        <v>224</v>
      </c>
      <c r="D67" s="72" t="s">
        <v>304</v>
      </c>
      <c r="E67" s="73" t="s">
        <v>105</v>
      </c>
      <c r="F67" s="74" t="s">
        <v>15</v>
      </c>
      <c r="G67" s="74"/>
      <c r="H67" s="73" t="s">
        <v>13</v>
      </c>
      <c r="I67" s="78">
        <v>25</v>
      </c>
      <c r="J67" s="78"/>
      <c r="K67" s="76" t="s">
        <v>8</v>
      </c>
      <c r="L67" s="77">
        <v>64967.8</v>
      </c>
    </row>
    <row r="68" spans="1:12" ht="71.400000000000006" x14ac:dyDescent="0.3">
      <c r="A68" s="71" t="s">
        <v>328</v>
      </c>
      <c r="B68" s="72" t="s">
        <v>329</v>
      </c>
      <c r="C68" s="72" t="s">
        <v>224</v>
      </c>
      <c r="D68" s="72" t="s">
        <v>332</v>
      </c>
      <c r="E68" s="73" t="s">
        <v>105</v>
      </c>
      <c r="F68" s="74" t="s">
        <v>15</v>
      </c>
      <c r="G68" s="74"/>
      <c r="H68" s="73" t="s">
        <v>13</v>
      </c>
      <c r="I68" s="75">
        <v>1156.2</v>
      </c>
      <c r="J68" s="75"/>
      <c r="K68" s="76" t="s">
        <v>8</v>
      </c>
      <c r="L68" s="77">
        <v>63811.6</v>
      </c>
    </row>
    <row r="69" spans="1:12" ht="61.2" x14ac:dyDescent="0.3">
      <c r="A69" s="71" t="s">
        <v>328</v>
      </c>
      <c r="B69" s="72" t="s">
        <v>329</v>
      </c>
      <c r="C69" s="72" t="s">
        <v>224</v>
      </c>
      <c r="D69" s="72" t="s">
        <v>293</v>
      </c>
      <c r="E69" s="73" t="s">
        <v>105</v>
      </c>
      <c r="F69" s="74" t="s">
        <v>15</v>
      </c>
      <c r="G69" s="74"/>
      <c r="H69" s="73" t="s">
        <v>13</v>
      </c>
      <c r="I69" s="78">
        <v>395.83</v>
      </c>
      <c r="J69" s="78"/>
      <c r="K69" s="76" t="s">
        <v>8</v>
      </c>
      <c r="L69" s="77">
        <v>63415.77</v>
      </c>
    </row>
    <row r="70" spans="1:12" ht="61.2" x14ac:dyDescent="0.3">
      <c r="A70" s="71" t="s">
        <v>328</v>
      </c>
      <c r="B70" s="72" t="s">
        <v>329</v>
      </c>
      <c r="C70" s="72" t="s">
        <v>224</v>
      </c>
      <c r="D70" s="72" t="s">
        <v>333</v>
      </c>
      <c r="E70" s="73" t="s">
        <v>105</v>
      </c>
      <c r="F70" s="74" t="s">
        <v>15</v>
      </c>
      <c r="G70" s="74"/>
      <c r="H70" s="73" t="s">
        <v>13</v>
      </c>
      <c r="I70" s="78">
        <v>318.35000000000002</v>
      </c>
      <c r="J70" s="78"/>
      <c r="K70" s="76" t="s">
        <v>8</v>
      </c>
      <c r="L70" s="77">
        <v>63097.42</v>
      </c>
    </row>
    <row r="71" spans="1:12" ht="61.2" x14ac:dyDescent="0.3">
      <c r="A71" s="71" t="s">
        <v>328</v>
      </c>
      <c r="B71" s="72" t="s">
        <v>329</v>
      </c>
      <c r="C71" s="72" t="s">
        <v>224</v>
      </c>
      <c r="D71" s="72" t="s">
        <v>334</v>
      </c>
      <c r="E71" s="73" t="s">
        <v>105</v>
      </c>
      <c r="F71" s="74" t="s">
        <v>15</v>
      </c>
      <c r="G71" s="74"/>
      <c r="H71" s="73" t="s">
        <v>13</v>
      </c>
      <c r="I71" s="78">
        <v>318.35000000000002</v>
      </c>
      <c r="J71" s="78"/>
      <c r="K71" s="76" t="s">
        <v>8</v>
      </c>
      <c r="L71" s="77">
        <v>62779.07</v>
      </c>
    </row>
    <row r="72" spans="1:12" ht="61.2" x14ac:dyDescent="0.3">
      <c r="A72" s="71" t="s">
        <v>328</v>
      </c>
      <c r="B72" s="72" t="s">
        <v>335</v>
      </c>
      <c r="C72" s="72" t="s">
        <v>224</v>
      </c>
      <c r="D72" s="72" t="s">
        <v>291</v>
      </c>
      <c r="E72" s="73" t="s">
        <v>105</v>
      </c>
      <c r="F72" s="74" t="s">
        <v>15</v>
      </c>
      <c r="G72" s="74"/>
      <c r="H72" s="73" t="s">
        <v>13</v>
      </c>
      <c r="I72" s="75">
        <v>1545</v>
      </c>
      <c r="J72" s="75"/>
      <c r="K72" s="76" t="s">
        <v>8</v>
      </c>
      <c r="L72" s="77">
        <v>61234.07</v>
      </c>
    </row>
    <row r="73" spans="1:12" ht="61.2" x14ac:dyDescent="0.3">
      <c r="A73" s="71" t="s">
        <v>328</v>
      </c>
      <c r="B73" s="72" t="s">
        <v>335</v>
      </c>
      <c r="C73" s="72" t="s">
        <v>224</v>
      </c>
      <c r="D73" s="72" t="s">
        <v>295</v>
      </c>
      <c r="E73" s="73" t="s">
        <v>105</v>
      </c>
      <c r="F73" s="74" t="s">
        <v>15</v>
      </c>
      <c r="G73" s="74"/>
      <c r="H73" s="73" t="s">
        <v>13</v>
      </c>
      <c r="I73" s="78">
        <v>500</v>
      </c>
      <c r="J73" s="78"/>
      <c r="K73" s="76" t="s">
        <v>8</v>
      </c>
      <c r="L73" s="77">
        <v>60734.07</v>
      </c>
    </row>
    <row r="74" spans="1:12" ht="71.400000000000006" x14ac:dyDescent="0.3">
      <c r="A74" s="71" t="s">
        <v>328</v>
      </c>
      <c r="B74" s="72" t="s">
        <v>335</v>
      </c>
      <c r="C74" s="72" t="s">
        <v>224</v>
      </c>
      <c r="D74" s="72" t="s">
        <v>336</v>
      </c>
      <c r="E74" s="73" t="s">
        <v>105</v>
      </c>
      <c r="F74" s="74" t="s">
        <v>15</v>
      </c>
      <c r="G74" s="74"/>
      <c r="H74" s="73" t="s">
        <v>13</v>
      </c>
      <c r="I74" s="78">
        <v>712.5</v>
      </c>
      <c r="J74" s="78"/>
      <c r="K74" s="76" t="s">
        <v>8</v>
      </c>
      <c r="L74" s="77">
        <v>60021.57</v>
      </c>
    </row>
    <row r="75" spans="1:12" ht="61.2" x14ac:dyDescent="0.3">
      <c r="A75" s="71" t="s">
        <v>328</v>
      </c>
      <c r="B75" s="72" t="s">
        <v>335</v>
      </c>
      <c r="C75" s="72" t="s">
        <v>224</v>
      </c>
      <c r="D75" s="72" t="s">
        <v>337</v>
      </c>
      <c r="E75" s="73" t="s">
        <v>105</v>
      </c>
      <c r="F75" s="74" t="s">
        <v>15</v>
      </c>
      <c r="G75" s="74"/>
      <c r="H75" s="73" t="s">
        <v>13</v>
      </c>
      <c r="I75" s="75">
        <v>1657.5</v>
      </c>
      <c r="J75" s="75"/>
      <c r="K75" s="76" t="s">
        <v>8</v>
      </c>
      <c r="L75" s="77">
        <v>58364.07</v>
      </c>
    </row>
    <row r="76" spans="1:12" ht="61.2" x14ac:dyDescent="0.3">
      <c r="A76" s="71" t="s">
        <v>328</v>
      </c>
      <c r="B76" s="72" t="s">
        <v>335</v>
      </c>
      <c r="C76" s="72" t="s">
        <v>224</v>
      </c>
      <c r="D76" s="72" t="s">
        <v>338</v>
      </c>
      <c r="E76" s="73" t="s">
        <v>105</v>
      </c>
      <c r="F76" s="74" t="s">
        <v>15</v>
      </c>
      <c r="G76" s="74"/>
      <c r="H76" s="73" t="s">
        <v>13</v>
      </c>
      <c r="I76" s="75">
        <v>1255.4000000000001</v>
      </c>
      <c r="J76" s="75"/>
      <c r="K76" s="76" t="s">
        <v>8</v>
      </c>
      <c r="L76" s="77">
        <v>57108.67</v>
      </c>
    </row>
    <row r="77" spans="1:12" ht="61.2" x14ac:dyDescent="0.3">
      <c r="A77" s="71" t="s">
        <v>328</v>
      </c>
      <c r="B77" s="72" t="s">
        <v>335</v>
      </c>
      <c r="C77" s="72" t="s">
        <v>224</v>
      </c>
      <c r="D77" s="72" t="s">
        <v>297</v>
      </c>
      <c r="E77" s="73" t="s">
        <v>105</v>
      </c>
      <c r="F77" s="74" t="s">
        <v>15</v>
      </c>
      <c r="G77" s="74"/>
      <c r="H77" s="73" t="s">
        <v>13</v>
      </c>
      <c r="I77" s="78">
        <v>150</v>
      </c>
      <c r="J77" s="78"/>
      <c r="K77" s="76" t="s">
        <v>8</v>
      </c>
      <c r="L77" s="77">
        <v>56958.67</v>
      </c>
    </row>
    <row r="78" spans="1:12" ht="61.2" x14ac:dyDescent="0.3">
      <c r="A78" s="71" t="s">
        <v>328</v>
      </c>
      <c r="B78" s="72" t="s">
        <v>335</v>
      </c>
      <c r="C78" s="72" t="s">
        <v>224</v>
      </c>
      <c r="D78" s="72" t="s">
        <v>339</v>
      </c>
      <c r="E78" s="73" t="s">
        <v>105</v>
      </c>
      <c r="F78" s="74" t="s">
        <v>15</v>
      </c>
      <c r="G78" s="74"/>
      <c r="H78" s="73" t="s">
        <v>13</v>
      </c>
      <c r="I78" s="75">
        <v>1621.3</v>
      </c>
      <c r="J78" s="75"/>
      <c r="K78" s="76" t="s">
        <v>8</v>
      </c>
      <c r="L78" s="77">
        <v>55337.37</v>
      </c>
    </row>
    <row r="79" spans="1:12" ht="61.2" x14ac:dyDescent="0.3">
      <c r="A79" s="71" t="s">
        <v>328</v>
      </c>
      <c r="B79" s="72" t="s">
        <v>335</v>
      </c>
      <c r="C79" s="72" t="s">
        <v>224</v>
      </c>
      <c r="D79" s="72" t="s">
        <v>340</v>
      </c>
      <c r="E79" s="73" t="s">
        <v>105</v>
      </c>
      <c r="F79" s="74" t="s">
        <v>15</v>
      </c>
      <c r="G79" s="74"/>
      <c r="H79" s="73" t="s">
        <v>13</v>
      </c>
      <c r="I79" s="75">
        <v>3384.15</v>
      </c>
      <c r="J79" s="75"/>
      <c r="K79" s="76" t="s">
        <v>8</v>
      </c>
      <c r="L79" s="77">
        <v>51953.22</v>
      </c>
    </row>
    <row r="80" spans="1:12" ht="61.2" x14ac:dyDescent="0.3">
      <c r="A80" s="71" t="s">
        <v>328</v>
      </c>
      <c r="B80" s="72" t="s">
        <v>341</v>
      </c>
      <c r="C80" s="72" t="s">
        <v>224</v>
      </c>
      <c r="D80" s="72" t="s">
        <v>340</v>
      </c>
      <c r="E80" s="73" t="s">
        <v>105</v>
      </c>
      <c r="F80" s="74" t="s">
        <v>15</v>
      </c>
      <c r="G80" s="74"/>
      <c r="H80" s="73" t="s">
        <v>13</v>
      </c>
      <c r="I80" s="75">
        <v>1538.25</v>
      </c>
      <c r="J80" s="75"/>
      <c r="K80" s="76" t="s">
        <v>8</v>
      </c>
      <c r="L80" s="77">
        <v>50414.97</v>
      </c>
    </row>
    <row r="81" spans="1:12" ht="71.400000000000006" x14ac:dyDescent="0.3">
      <c r="A81" s="71" t="s">
        <v>328</v>
      </c>
      <c r="B81" s="72" t="s">
        <v>341</v>
      </c>
      <c r="C81" s="72" t="s">
        <v>224</v>
      </c>
      <c r="D81" s="72" t="s">
        <v>342</v>
      </c>
      <c r="E81" s="73" t="s">
        <v>105</v>
      </c>
      <c r="F81" s="74" t="s">
        <v>15</v>
      </c>
      <c r="G81" s="74"/>
      <c r="H81" s="73" t="s">
        <v>13</v>
      </c>
      <c r="I81" s="75">
        <v>2880</v>
      </c>
      <c r="J81" s="75"/>
      <c r="K81" s="76" t="s">
        <v>8</v>
      </c>
      <c r="L81" s="77">
        <v>47534.97</v>
      </c>
    </row>
    <row r="82" spans="1:12" ht="61.2" x14ac:dyDescent="0.3">
      <c r="A82" s="71" t="s">
        <v>328</v>
      </c>
      <c r="B82" s="72" t="s">
        <v>341</v>
      </c>
      <c r="C82" s="72" t="s">
        <v>224</v>
      </c>
      <c r="D82" s="72" t="s">
        <v>303</v>
      </c>
      <c r="E82" s="73" t="s">
        <v>105</v>
      </c>
      <c r="F82" s="74" t="s">
        <v>15</v>
      </c>
      <c r="G82" s="74"/>
      <c r="H82" s="73" t="s">
        <v>13</v>
      </c>
      <c r="I82" s="78">
        <v>33.340000000000003</v>
      </c>
      <c r="J82" s="78"/>
      <c r="K82" s="76" t="s">
        <v>8</v>
      </c>
      <c r="L82" s="77">
        <v>47501.63</v>
      </c>
    </row>
    <row r="83" spans="1:12" hidden="1" x14ac:dyDescent="0.3">
      <c r="A83" s="82" t="s">
        <v>193</v>
      </c>
      <c r="B83" s="82"/>
      <c r="C83" s="82"/>
      <c r="D83" s="82"/>
      <c r="E83" s="83">
        <v>6101.17</v>
      </c>
      <c r="F83" s="83"/>
      <c r="G83" s="83"/>
      <c r="H83" s="83">
        <v>60514.76</v>
      </c>
      <c r="I83" s="83"/>
      <c r="J83" s="83"/>
      <c r="K83" s="84" t="s">
        <v>8</v>
      </c>
      <c r="L83" s="85">
        <v>47501.63</v>
      </c>
    </row>
    <row r="85" spans="1:12" x14ac:dyDescent="0.3">
      <c r="J85">
        <f>SUBTOTAL(9,I3:J82)</f>
        <v>60514.759999999995</v>
      </c>
    </row>
    <row r="86" spans="1:12" x14ac:dyDescent="0.3">
      <c r="J86">
        <f>J85*1.2</f>
        <v>72617.711999999985</v>
      </c>
    </row>
  </sheetData>
  <autoFilter ref="A1:L83" xr:uid="{F64DDC8F-6AE3-41A4-9D8B-2BB24C61094B}">
    <filterColumn colId="1">
      <filters>
        <filter val="Передача малоцінних активів в експлуатацію ІБ00-000479 від 01.10.2025 10:09:39_x000a_Списание стоимости малоценных активов"/>
        <filter val="Передача малоцінних активів в експлуатацію ІБ00-000480 від 01.10.2025 19:00:06_x000a_Списание стоимости малоценных активов"/>
        <filter val="Передача малоцінних активів в експлуатацію ІБ00-000551 від 31.10.2025 20:00:00_x000a_Списание стоимости малоценных активов"/>
        <filter val="Передача малоцінних активів в експлуатацію ІБ00-000552 від 31.10.2025 23:00:00_x000a_Списание стоимости малоценных активов"/>
        <filter val="Передача малоцінних активів в експлуатацію ІБ00-000553 від 31.10.2025 23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72">
    <mergeCell ref="F82:G82"/>
    <mergeCell ref="I82:J82"/>
    <mergeCell ref="A83:D83"/>
    <mergeCell ref="E83:G83"/>
    <mergeCell ref="H83:J83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967D-A53A-488A-8147-8742BFACBE28}">
  <sheetPr filterMode="1"/>
  <dimension ref="A1:L480"/>
  <sheetViews>
    <sheetView topLeftCell="A471" workbookViewId="0">
      <selection activeCell="J480" sqref="J480"/>
    </sheetView>
  </sheetViews>
  <sheetFormatPr defaultRowHeight="14.4" x14ac:dyDescent="0.3"/>
  <cols>
    <col min="2" max="4" width="32.6640625" customWidth="1"/>
  </cols>
  <sheetData>
    <row r="1" spans="1:12" x14ac:dyDescent="0.3">
      <c r="A1" s="86" t="s">
        <v>0</v>
      </c>
      <c r="B1" s="87" t="s">
        <v>1</v>
      </c>
      <c r="C1" s="87" t="s">
        <v>2</v>
      </c>
      <c r="D1" s="88" t="s">
        <v>3</v>
      </c>
      <c r="E1" s="89" t="s">
        <v>4</v>
      </c>
      <c r="F1" s="89"/>
      <c r="G1" s="89"/>
      <c r="H1" s="90" t="s">
        <v>5</v>
      </c>
      <c r="I1" s="90"/>
      <c r="J1" s="90"/>
      <c r="K1" s="87" t="s">
        <v>6</v>
      </c>
      <c r="L1" s="87"/>
    </row>
    <row r="2" spans="1:12" hidden="1" x14ac:dyDescent="0.3">
      <c r="A2" s="91"/>
      <c r="B2" s="92"/>
      <c r="C2" s="92"/>
      <c r="D2" s="93"/>
      <c r="E2" s="94" t="s">
        <v>7</v>
      </c>
      <c r="F2" s="95"/>
      <c r="G2" s="95"/>
      <c r="H2" s="96" t="s">
        <v>7</v>
      </c>
      <c r="I2" s="97"/>
      <c r="J2" s="97"/>
      <c r="K2" s="91"/>
      <c r="L2" s="98"/>
    </row>
    <row r="3" spans="1:12" ht="51" hidden="1" x14ac:dyDescent="0.3">
      <c r="A3" s="99" t="s">
        <v>9</v>
      </c>
      <c r="B3" s="100" t="s">
        <v>343</v>
      </c>
      <c r="C3" s="100" t="s">
        <v>344</v>
      </c>
      <c r="D3" s="100" t="s">
        <v>345</v>
      </c>
      <c r="E3" s="101" t="s">
        <v>13</v>
      </c>
      <c r="F3" s="102">
        <v>916.65</v>
      </c>
      <c r="G3" s="102"/>
      <c r="H3" s="101" t="s">
        <v>14</v>
      </c>
      <c r="I3" s="103" t="s">
        <v>15</v>
      </c>
      <c r="J3" s="103"/>
      <c r="K3" s="104" t="s">
        <v>8</v>
      </c>
      <c r="L3" s="105">
        <v>32836.58</v>
      </c>
    </row>
    <row r="4" spans="1:12" ht="61.2" hidden="1" x14ac:dyDescent="0.3">
      <c r="A4" s="99" t="s">
        <v>9</v>
      </c>
      <c r="B4" s="100" t="s">
        <v>343</v>
      </c>
      <c r="C4" s="100" t="s">
        <v>346</v>
      </c>
      <c r="D4" s="100" t="s">
        <v>345</v>
      </c>
      <c r="E4" s="101" t="s">
        <v>13</v>
      </c>
      <c r="F4" s="102">
        <v>833.25</v>
      </c>
      <c r="G4" s="102"/>
      <c r="H4" s="101" t="s">
        <v>14</v>
      </c>
      <c r="I4" s="103" t="s">
        <v>15</v>
      </c>
      <c r="J4" s="103"/>
      <c r="K4" s="104" t="s">
        <v>8</v>
      </c>
      <c r="L4" s="105">
        <v>33669.83</v>
      </c>
    </row>
    <row r="5" spans="1:12" ht="51" hidden="1" x14ac:dyDescent="0.3">
      <c r="A5" s="99" t="s">
        <v>9</v>
      </c>
      <c r="B5" s="100" t="s">
        <v>343</v>
      </c>
      <c r="C5" s="100" t="s">
        <v>347</v>
      </c>
      <c r="D5" s="100" t="s">
        <v>345</v>
      </c>
      <c r="E5" s="101" t="s">
        <v>13</v>
      </c>
      <c r="F5" s="102">
        <v>250</v>
      </c>
      <c r="G5" s="102"/>
      <c r="H5" s="101" t="s">
        <v>14</v>
      </c>
      <c r="I5" s="103" t="s">
        <v>15</v>
      </c>
      <c r="J5" s="103"/>
      <c r="K5" s="104" t="s">
        <v>8</v>
      </c>
      <c r="L5" s="105">
        <v>33919.83</v>
      </c>
    </row>
    <row r="6" spans="1:12" ht="51" hidden="1" x14ac:dyDescent="0.3">
      <c r="A6" s="99" t="s">
        <v>9</v>
      </c>
      <c r="B6" s="100" t="s">
        <v>348</v>
      </c>
      <c r="C6" s="100" t="s">
        <v>349</v>
      </c>
      <c r="D6" s="100" t="s">
        <v>350</v>
      </c>
      <c r="E6" s="101" t="s">
        <v>13</v>
      </c>
      <c r="F6" s="106">
        <v>18500</v>
      </c>
      <c r="G6" s="106"/>
      <c r="H6" s="101" t="s">
        <v>14</v>
      </c>
      <c r="I6" s="103" t="s">
        <v>15</v>
      </c>
      <c r="J6" s="103"/>
      <c r="K6" s="104" t="s">
        <v>8</v>
      </c>
      <c r="L6" s="105">
        <v>78044.639999999999</v>
      </c>
    </row>
    <row r="7" spans="1:12" ht="51" hidden="1" x14ac:dyDescent="0.3">
      <c r="A7" s="99" t="s">
        <v>9</v>
      </c>
      <c r="B7" s="100" t="s">
        <v>351</v>
      </c>
      <c r="C7" s="100" t="s">
        <v>352</v>
      </c>
      <c r="D7" s="100" t="s">
        <v>353</v>
      </c>
      <c r="E7" s="101" t="s">
        <v>13</v>
      </c>
      <c r="F7" s="102">
        <v>742.5</v>
      </c>
      <c r="G7" s="102"/>
      <c r="H7" s="101" t="s">
        <v>14</v>
      </c>
      <c r="I7" s="103" t="s">
        <v>15</v>
      </c>
      <c r="J7" s="103"/>
      <c r="K7" s="104" t="s">
        <v>8</v>
      </c>
      <c r="L7" s="105">
        <v>137592.03</v>
      </c>
    </row>
    <row r="8" spans="1:12" ht="51" hidden="1" x14ac:dyDescent="0.3">
      <c r="A8" s="99" t="s">
        <v>9</v>
      </c>
      <c r="B8" s="100" t="s">
        <v>351</v>
      </c>
      <c r="C8" s="100" t="s">
        <v>354</v>
      </c>
      <c r="D8" s="100" t="s">
        <v>353</v>
      </c>
      <c r="E8" s="101" t="s">
        <v>13</v>
      </c>
      <c r="F8" s="102">
        <v>129.4</v>
      </c>
      <c r="G8" s="102"/>
      <c r="H8" s="101" t="s">
        <v>14</v>
      </c>
      <c r="I8" s="103" t="s">
        <v>15</v>
      </c>
      <c r="J8" s="103"/>
      <c r="K8" s="104" t="s">
        <v>8</v>
      </c>
      <c r="L8" s="105">
        <v>137721.43</v>
      </c>
    </row>
    <row r="9" spans="1:12" ht="51" hidden="1" x14ac:dyDescent="0.3">
      <c r="A9" s="99" t="s">
        <v>9</v>
      </c>
      <c r="B9" s="100" t="s">
        <v>355</v>
      </c>
      <c r="C9" s="100" t="s">
        <v>356</v>
      </c>
      <c r="D9" s="100" t="s">
        <v>357</v>
      </c>
      <c r="E9" s="101" t="s">
        <v>13</v>
      </c>
      <c r="F9" s="106">
        <v>9384</v>
      </c>
      <c r="G9" s="106"/>
      <c r="H9" s="101" t="s">
        <v>14</v>
      </c>
      <c r="I9" s="103" t="s">
        <v>15</v>
      </c>
      <c r="J9" s="103"/>
      <c r="K9" s="104" t="s">
        <v>8</v>
      </c>
      <c r="L9" s="105">
        <v>43303.83</v>
      </c>
    </row>
    <row r="10" spans="1:12" ht="51" hidden="1" x14ac:dyDescent="0.3">
      <c r="A10" s="99" t="s">
        <v>9</v>
      </c>
      <c r="B10" s="100" t="s">
        <v>358</v>
      </c>
      <c r="C10" s="100" t="s">
        <v>359</v>
      </c>
      <c r="D10" s="100" t="s">
        <v>360</v>
      </c>
      <c r="E10" s="101" t="s">
        <v>13</v>
      </c>
      <c r="F10" s="106">
        <v>1990</v>
      </c>
      <c r="G10" s="106"/>
      <c r="H10" s="101" t="s">
        <v>14</v>
      </c>
      <c r="I10" s="103" t="s">
        <v>15</v>
      </c>
      <c r="J10" s="103"/>
      <c r="K10" s="104" t="s">
        <v>8</v>
      </c>
      <c r="L10" s="105">
        <v>139711.43</v>
      </c>
    </row>
    <row r="11" spans="1:12" ht="51" hidden="1" x14ac:dyDescent="0.3">
      <c r="A11" s="99" t="s">
        <v>9</v>
      </c>
      <c r="B11" s="100" t="s">
        <v>358</v>
      </c>
      <c r="C11" s="100" t="s">
        <v>361</v>
      </c>
      <c r="D11" s="100" t="s">
        <v>360</v>
      </c>
      <c r="E11" s="101" t="s">
        <v>13</v>
      </c>
      <c r="F11" s="102">
        <v>540</v>
      </c>
      <c r="G11" s="102"/>
      <c r="H11" s="101" t="s">
        <v>14</v>
      </c>
      <c r="I11" s="103" t="s">
        <v>15</v>
      </c>
      <c r="J11" s="103"/>
      <c r="K11" s="104" t="s">
        <v>8</v>
      </c>
      <c r="L11" s="105">
        <v>140251.43</v>
      </c>
    </row>
    <row r="12" spans="1:12" ht="51" hidden="1" x14ac:dyDescent="0.3">
      <c r="A12" s="99" t="s">
        <v>9</v>
      </c>
      <c r="B12" s="100" t="s">
        <v>358</v>
      </c>
      <c r="C12" s="100" t="s">
        <v>362</v>
      </c>
      <c r="D12" s="100" t="s">
        <v>360</v>
      </c>
      <c r="E12" s="101" t="s">
        <v>13</v>
      </c>
      <c r="F12" s="106">
        <v>1980</v>
      </c>
      <c r="G12" s="106"/>
      <c r="H12" s="101" t="s">
        <v>14</v>
      </c>
      <c r="I12" s="103" t="s">
        <v>15</v>
      </c>
      <c r="J12" s="103"/>
      <c r="K12" s="104" t="s">
        <v>8</v>
      </c>
      <c r="L12" s="105">
        <v>142231.43</v>
      </c>
    </row>
    <row r="13" spans="1:12" ht="51" hidden="1" x14ac:dyDescent="0.3">
      <c r="A13" s="99" t="s">
        <v>9</v>
      </c>
      <c r="B13" s="100" t="s">
        <v>363</v>
      </c>
      <c r="C13" s="100" t="s">
        <v>364</v>
      </c>
      <c r="D13" s="100" t="s">
        <v>365</v>
      </c>
      <c r="E13" s="101" t="s">
        <v>13</v>
      </c>
      <c r="F13" s="106">
        <v>3440.5</v>
      </c>
      <c r="G13" s="106"/>
      <c r="H13" s="101" t="s">
        <v>14</v>
      </c>
      <c r="I13" s="103" t="s">
        <v>15</v>
      </c>
      <c r="J13" s="103"/>
      <c r="K13" s="104" t="s">
        <v>8</v>
      </c>
      <c r="L13" s="105">
        <v>145671.93</v>
      </c>
    </row>
    <row r="14" spans="1:12" ht="51" hidden="1" x14ac:dyDescent="0.3">
      <c r="A14" s="99" t="s">
        <v>9</v>
      </c>
      <c r="B14" s="100" t="s">
        <v>366</v>
      </c>
      <c r="C14" s="100" t="s">
        <v>364</v>
      </c>
      <c r="D14" s="100" t="s">
        <v>365</v>
      </c>
      <c r="E14" s="101" t="s">
        <v>13</v>
      </c>
      <c r="F14" s="106">
        <v>1050</v>
      </c>
      <c r="G14" s="106"/>
      <c r="H14" s="101" t="s">
        <v>14</v>
      </c>
      <c r="I14" s="103" t="s">
        <v>15</v>
      </c>
      <c r="J14" s="103"/>
      <c r="K14" s="104" t="s">
        <v>8</v>
      </c>
      <c r="L14" s="105">
        <v>146721.93</v>
      </c>
    </row>
    <row r="15" spans="1:12" ht="51" hidden="1" x14ac:dyDescent="0.3">
      <c r="A15" s="99" t="s">
        <v>9</v>
      </c>
      <c r="B15" s="100" t="s">
        <v>363</v>
      </c>
      <c r="C15" s="100" t="s">
        <v>367</v>
      </c>
      <c r="D15" s="100" t="s">
        <v>365</v>
      </c>
      <c r="E15" s="101" t="s">
        <v>13</v>
      </c>
      <c r="F15" s="106">
        <v>5250</v>
      </c>
      <c r="G15" s="106"/>
      <c r="H15" s="101" t="s">
        <v>14</v>
      </c>
      <c r="I15" s="103" t="s">
        <v>15</v>
      </c>
      <c r="J15" s="103"/>
      <c r="K15" s="104" t="s">
        <v>8</v>
      </c>
      <c r="L15" s="105">
        <v>151971.93</v>
      </c>
    </row>
    <row r="16" spans="1:12" ht="51" hidden="1" x14ac:dyDescent="0.3">
      <c r="A16" s="99" t="s">
        <v>9</v>
      </c>
      <c r="B16" s="100" t="s">
        <v>368</v>
      </c>
      <c r="C16" s="100" t="s">
        <v>369</v>
      </c>
      <c r="D16" s="100" t="s">
        <v>370</v>
      </c>
      <c r="E16" s="101" t="s">
        <v>13</v>
      </c>
      <c r="F16" s="106">
        <v>2747.5</v>
      </c>
      <c r="G16" s="106"/>
      <c r="H16" s="101" t="s">
        <v>14</v>
      </c>
      <c r="I16" s="103" t="s">
        <v>15</v>
      </c>
      <c r="J16" s="103"/>
      <c r="K16" s="104" t="s">
        <v>8</v>
      </c>
      <c r="L16" s="105">
        <v>154719.43</v>
      </c>
    </row>
    <row r="17" spans="1:12" ht="51" hidden="1" x14ac:dyDescent="0.3">
      <c r="A17" s="99" t="s">
        <v>9</v>
      </c>
      <c r="B17" s="100" t="s">
        <v>371</v>
      </c>
      <c r="C17" s="100" t="s">
        <v>369</v>
      </c>
      <c r="D17" s="100" t="s">
        <v>370</v>
      </c>
      <c r="E17" s="101" t="s">
        <v>13</v>
      </c>
      <c r="F17" s="106">
        <v>9740.5</v>
      </c>
      <c r="G17" s="106"/>
      <c r="H17" s="101" t="s">
        <v>14</v>
      </c>
      <c r="I17" s="103" t="s">
        <v>15</v>
      </c>
      <c r="J17" s="103"/>
      <c r="K17" s="104" t="s">
        <v>8</v>
      </c>
      <c r="L17" s="105">
        <v>164459.93</v>
      </c>
    </row>
    <row r="18" spans="1:12" ht="61.2" hidden="1" x14ac:dyDescent="0.3">
      <c r="A18" s="99" t="s">
        <v>9</v>
      </c>
      <c r="B18" s="100" t="s">
        <v>372</v>
      </c>
      <c r="C18" s="100" t="s">
        <v>373</v>
      </c>
      <c r="D18" s="100" t="s">
        <v>374</v>
      </c>
      <c r="E18" s="101" t="s">
        <v>13</v>
      </c>
      <c r="F18" s="102">
        <v>850</v>
      </c>
      <c r="G18" s="102"/>
      <c r="H18" s="101" t="s">
        <v>14</v>
      </c>
      <c r="I18" s="103" t="s">
        <v>15</v>
      </c>
      <c r="J18" s="103"/>
      <c r="K18" s="104" t="s">
        <v>8</v>
      </c>
      <c r="L18" s="105">
        <v>165309.93</v>
      </c>
    </row>
    <row r="19" spans="1:12" ht="61.2" hidden="1" x14ac:dyDescent="0.3">
      <c r="A19" s="99" t="s">
        <v>9</v>
      </c>
      <c r="B19" s="100" t="s">
        <v>375</v>
      </c>
      <c r="C19" s="100" t="s">
        <v>376</v>
      </c>
      <c r="D19" s="100" t="s">
        <v>377</v>
      </c>
      <c r="E19" s="101" t="s">
        <v>13</v>
      </c>
      <c r="F19" s="106">
        <v>4600</v>
      </c>
      <c r="G19" s="106"/>
      <c r="H19" s="101" t="s">
        <v>14</v>
      </c>
      <c r="I19" s="103" t="s">
        <v>15</v>
      </c>
      <c r="J19" s="103"/>
      <c r="K19" s="104" t="s">
        <v>8</v>
      </c>
      <c r="L19" s="105">
        <v>169909.93</v>
      </c>
    </row>
    <row r="20" spans="1:12" ht="61.2" hidden="1" x14ac:dyDescent="0.3">
      <c r="A20" s="99" t="s">
        <v>9</v>
      </c>
      <c r="B20" s="100" t="s">
        <v>378</v>
      </c>
      <c r="C20" s="100" t="s">
        <v>379</v>
      </c>
      <c r="D20" s="100" t="s">
        <v>377</v>
      </c>
      <c r="E20" s="101" t="s">
        <v>13</v>
      </c>
      <c r="F20" s="106">
        <v>2206.67</v>
      </c>
      <c r="G20" s="106"/>
      <c r="H20" s="101" t="s">
        <v>14</v>
      </c>
      <c r="I20" s="103" t="s">
        <v>15</v>
      </c>
      <c r="J20" s="103"/>
      <c r="K20" s="104" t="s">
        <v>8</v>
      </c>
      <c r="L20" s="105">
        <v>172116.6</v>
      </c>
    </row>
    <row r="21" spans="1:12" ht="61.2" hidden="1" x14ac:dyDescent="0.3">
      <c r="A21" s="99" t="s">
        <v>9</v>
      </c>
      <c r="B21" s="100" t="s">
        <v>375</v>
      </c>
      <c r="C21" s="100" t="s">
        <v>379</v>
      </c>
      <c r="D21" s="100" t="s">
        <v>377</v>
      </c>
      <c r="E21" s="101" t="s">
        <v>13</v>
      </c>
      <c r="F21" s="106">
        <v>25360.03</v>
      </c>
      <c r="G21" s="106"/>
      <c r="H21" s="101" t="s">
        <v>14</v>
      </c>
      <c r="I21" s="103" t="s">
        <v>15</v>
      </c>
      <c r="J21" s="103"/>
      <c r="K21" s="104" t="s">
        <v>8</v>
      </c>
      <c r="L21" s="105">
        <v>197476.63</v>
      </c>
    </row>
    <row r="22" spans="1:12" ht="51" hidden="1" x14ac:dyDescent="0.3">
      <c r="A22" s="99" t="s">
        <v>9</v>
      </c>
      <c r="B22" s="100" t="s">
        <v>380</v>
      </c>
      <c r="C22" s="100" t="s">
        <v>381</v>
      </c>
      <c r="D22" s="100" t="s">
        <v>382</v>
      </c>
      <c r="E22" s="101" t="s">
        <v>13</v>
      </c>
      <c r="F22" s="106">
        <v>6305.49</v>
      </c>
      <c r="G22" s="106"/>
      <c r="H22" s="101" t="s">
        <v>14</v>
      </c>
      <c r="I22" s="103" t="s">
        <v>15</v>
      </c>
      <c r="J22" s="103"/>
      <c r="K22" s="104" t="s">
        <v>8</v>
      </c>
      <c r="L22" s="105">
        <v>203782.12</v>
      </c>
    </row>
    <row r="23" spans="1:12" ht="51" hidden="1" x14ac:dyDescent="0.3">
      <c r="A23" s="99" t="s">
        <v>9</v>
      </c>
      <c r="B23" s="100" t="s">
        <v>380</v>
      </c>
      <c r="C23" s="100" t="s">
        <v>383</v>
      </c>
      <c r="D23" s="100" t="s">
        <v>382</v>
      </c>
      <c r="E23" s="101" t="s">
        <v>13</v>
      </c>
      <c r="F23" s="106">
        <v>1274.51</v>
      </c>
      <c r="G23" s="106"/>
      <c r="H23" s="101" t="s">
        <v>14</v>
      </c>
      <c r="I23" s="103" t="s">
        <v>15</v>
      </c>
      <c r="J23" s="103"/>
      <c r="K23" s="104" t="s">
        <v>8</v>
      </c>
      <c r="L23" s="105">
        <v>205056.63</v>
      </c>
    </row>
    <row r="24" spans="1:12" ht="51" hidden="1" x14ac:dyDescent="0.3">
      <c r="A24" s="99" t="s">
        <v>9</v>
      </c>
      <c r="B24" s="100" t="s">
        <v>384</v>
      </c>
      <c r="C24" s="100" t="s">
        <v>385</v>
      </c>
      <c r="D24" s="100" t="s">
        <v>386</v>
      </c>
      <c r="E24" s="101" t="s">
        <v>13</v>
      </c>
      <c r="F24" s="106">
        <v>1050</v>
      </c>
      <c r="G24" s="106"/>
      <c r="H24" s="101" t="s">
        <v>14</v>
      </c>
      <c r="I24" s="103" t="s">
        <v>15</v>
      </c>
      <c r="J24" s="103"/>
      <c r="K24" s="104" t="s">
        <v>8</v>
      </c>
      <c r="L24" s="105">
        <v>44353.83</v>
      </c>
    </row>
    <row r="25" spans="1:12" ht="51" hidden="1" x14ac:dyDescent="0.3">
      <c r="A25" s="99" t="s">
        <v>47</v>
      </c>
      <c r="B25" s="100" t="s">
        <v>387</v>
      </c>
      <c r="C25" s="100" t="s">
        <v>388</v>
      </c>
      <c r="D25" s="100" t="s">
        <v>389</v>
      </c>
      <c r="E25" s="101" t="s">
        <v>13</v>
      </c>
      <c r="F25" s="102">
        <v>137.1</v>
      </c>
      <c r="G25" s="102"/>
      <c r="H25" s="101" t="s">
        <v>14</v>
      </c>
      <c r="I25" s="103" t="s">
        <v>15</v>
      </c>
      <c r="J25" s="103"/>
      <c r="K25" s="104" t="s">
        <v>8</v>
      </c>
      <c r="L25" s="105">
        <v>205193.73</v>
      </c>
    </row>
    <row r="26" spans="1:12" ht="51" hidden="1" x14ac:dyDescent="0.3">
      <c r="A26" s="99" t="s">
        <v>47</v>
      </c>
      <c r="B26" s="100" t="s">
        <v>387</v>
      </c>
      <c r="C26" s="100" t="s">
        <v>390</v>
      </c>
      <c r="D26" s="100" t="s">
        <v>389</v>
      </c>
      <c r="E26" s="101" t="s">
        <v>13</v>
      </c>
      <c r="F26" s="102">
        <v>583</v>
      </c>
      <c r="G26" s="102"/>
      <c r="H26" s="101" t="s">
        <v>14</v>
      </c>
      <c r="I26" s="103" t="s">
        <v>15</v>
      </c>
      <c r="J26" s="103"/>
      <c r="K26" s="104" t="s">
        <v>8</v>
      </c>
      <c r="L26" s="105">
        <v>205776.73</v>
      </c>
    </row>
    <row r="27" spans="1:12" ht="51" hidden="1" x14ac:dyDescent="0.3">
      <c r="A27" s="99" t="s">
        <v>47</v>
      </c>
      <c r="B27" s="100" t="s">
        <v>387</v>
      </c>
      <c r="C27" s="100" t="s">
        <v>391</v>
      </c>
      <c r="D27" s="100" t="s">
        <v>389</v>
      </c>
      <c r="E27" s="101" t="s">
        <v>13</v>
      </c>
      <c r="F27" s="106">
        <v>16021.5</v>
      </c>
      <c r="G27" s="106"/>
      <c r="H27" s="101" t="s">
        <v>14</v>
      </c>
      <c r="I27" s="103" t="s">
        <v>15</v>
      </c>
      <c r="J27" s="103"/>
      <c r="K27" s="104" t="s">
        <v>8</v>
      </c>
      <c r="L27" s="105">
        <v>221798.23</v>
      </c>
    </row>
    <row r="28" spans="1:12" ht="51" hidden="1" x14ac:dyDescent="0.3">
      <c r="A28" s="99" t="s">
        <v>47</v>
      </c>
      <c r="B28" s="100" t="s">
        <v>387</v>
      </c>
      <c r="C28" s="100" t="s">
        <v>392</v>
      </c>
      <c r="D28" s="100" t="s">
        <v>389</v>
      </c>
      <c r="E28" s="101" t="s">
        <v>13</v>
      </c>
      <c r="F28" s="106">
        <v>3733.5</v>
      </c>
      <c r="G28" s="106"/>
      <c r="H28" s="101" t="s">
        <v>14</v>
      </c>
      <c r="I28" s="103" t="s">
        <v>15</v>
      </c>
      <c r="J28" s="103"/>
      <c r="K28" s="104" t="s">
        <v>8</v>
      </c>
      <c r="L28" s="105">
        <v>225531.73</v>
      </c>
    </row>
    <row r="29" spans="1:12" ht="51" hidden="1" x14ac:dyDescent="0.3">
      <c r="A29" s="99" t="s">
        <v>47</v>
      </c>
      <c r="B29" s="100" t="s">
        <v>393</v>
      </c>
      <c r="C29" s="100" t="s">
        <v>394</v>
      </c>
      <c r="D29" s="100" t="s">
        <v>395</v>
      </c>
      <c r="E29" s="101" t="s">
        <v>13</v>
      </c>
      <c r="F29" s="106">
        <v>9965</v>
      </c>
      <c r="G29" s="106"/>
      <c r="H29" s="101" t="s">
        <v>14</v>
      </c>
      <c r="I29" s="103" t="s">
        <v>15</v>
      </c>
      <c r="J29" s="103"/>
      <c r="K29" s="104" t="s">
        <v>8</v>
      </c>
      <c r="L29" s="105">
        <v>55004.56</v>
      </c>
    </row>
    <row r="30" spans="1:12" ht="61.2" hidden="1" x14ac:dyDescent="0.3">
      <c r="A30" s="99" t="s">
        <v>47</v>
      </c>
      <c r="B30" s="100" t="s">
        <v>393</v>
      </c>
      <c r="C30" s="100" t="s">
        <v>396</v>
      </c>
      <c r="D30" s="100" t="s">
        <v>395</v>
      </c>
      <c r="E30" s="101" t="s">
        <v>13</v>
      </c>
      <c r="F30" s="106">
        <v>26790</v>
      </c>
      <c r="G30" s="106"/>
      <c r="H30" s="101" t="s">
        <v>14</v>
      </c>
      <c r="I30" s="103" t="s">
        <v>15</v>
      </c>
      <c r="J30" s="103"/>
      <c r="K30" s="104" t="s">
        <v>8</v>
      </c>
      <c r="L30" s="105">
        <v>81794.559999999998</v>
      </c>
    </row>
    <row r="31" spans="1:12" ht="51" hidden="1" x14ac:dyDescent="0.3">
      <c r="A31" s="99" t="s">
        <v>47</v>
      </c>
      <c r="B31" s="100" t="s">
        <v>397</v>
      </c>
      <c r="C31" s="100" t="s">
        <v>398</v>
      </c>
      <c r="D31" s="100" t="s">
        <v>388</v>
      </c>
      <c r="E31" s="101" t="s">
        <v>13</v>
      </c>
      <c r="F31" s="102">
        <v>137.1</v>
      </c>
      <c r="G31" s="102"/>
      <c r="H31" s="101" t="s">
        <v>13</v>
      </c>
      <c r="I31" s="103" t="s">
        <v>15</v>
      </c>
      <c r="J31" s="103"/>
      <c r="K31" s="104" t="s">
        <v>8</v>
      </c>
      <c r="L31" s="105">
        <v>5290.9</v>
      </c>
    </row>
    <row r="32" spans="1:12" ht="51" hidden="1" x14ac:dyDescent="0.3">
      <c r="A32" s="99" t="s">
        <v>47</v>
      </c>
      <c r="B32" s="100" t="s">
        <v>397</v>
      </c>
      <c r="C32" s="100" t="s">
        <v>398</v>
      </c>
      <c r="D32" s="100" t="s">
        <v>388</v>
      </c>
      <c r="E32" s="101" t="s">
        <v>13</v>
      </c>
      <c r="F32" s="107" t="s">
        <v>15</v>
      </c>
      <c r="G32" s="107"/>
      <c r="H32" s="101" t="s">
        <v>13</v>
      </c>
      <c r="I32" s="108">
        <v>137.1</v>
      </c>
      <c r="J32" s="108"/>
      <c r="K32" s="104" t="s">
        <v>8</v>
      </c>
      <c r="L32" s="105">
        <v>225394.63</v>
      </c>
    </row>
    <row r="33" spans="1:12" ht="51" hidden="1" x14ac:dyDescent="0.3">
      <c r="A33" s="99" t="s">
        <v>47</v>
      </c>
      <c r="B33" s="100" t="s">
        <v>399</v>
      </c>
      <c r="C33" s="100" t="s">
        <v>400</v>
      </c>
      <c r="D33" s="100" t="s">
        <v>401</v>
      </c>
      <c r="E33" s="101" t="s">
        <v>13</v>
      </c>
      <c r="F33" s="107" t="s">
        <v>15</v>
      </c>
      <c r="G33" s="107"/>
      <c r="H33" s="101" t="s">
        <v>13</v>
      </c>
      <c r="I33" s="108">
        <v>559.5</v>
      </c>
      <c r="J33" s="108"/>
      <c r="K33" s="104" t="s">
        <v>8</v>
      </c>
      <c r="L33" s="105">
        <v>224835.13</v>
      </c>
    </row>
    <row r="34" spans="1:12" ht="51" hidden="1" x14ac:dyDescent="0.3">
      <c r="A34" s="99" t="s">
        <v>47</v>
      </c>
      <c r="B34" s="100" t="s">
        <v>399</v>
      </c>
      <c r="C34" s="100" t="s">
        <v>400</v>
      </c>
      <c r="D34" s="100" t="s">
        <v>401</v>
      </c>
      <c r="E34" s="101" t="s">
        <v>13</v>
      </c>
      <c r="F34" s="102">
        <v>559.5</v>
      </c>
      <c r="G34" s="102"/>
      <c r="H34" s="101" t="s">
        <v>13</v>
      </c>
      <c r="I34" s="103" t="s">
        <v>15</v>
      </c>
      <c r="J34" s="103"/>
      <c r="K34" s="104" t="s">
        <v>8</v>
      </c>
      <c r="L34" s="105">
        <v>44913.33</v>
      </c>
    </row>
    <row r="35" spans="1:12" ht="51" hidden="1" x14ac:dyDescent="0.3">
      <c r="A35" s="99" t="s">
        <v>47</v>
      </c>
      <c r="B35" s="100" t="s">
        <v>399</v>
      </c>
      <c r="C35" s="100" t="s">
        <v>400</v>
      </c>
      <c r="D35" s="100" t="s">
        <v>390</v>
      </c>
      <c r="E35" s="101" t="s">
        <v>13</v>
      </c>
      <c r="F35" s="107" t="s">
        <v>15</v>
      </c>
      <c r="G35" s="107"/>
      <c r="H35" s="101" t="s">
        <v>13</v>
      </c>
      <c r="I35" s="108">
        <v>145.75</v>
      </c>
      <c r="J35" s="108"/>
      <c r="K35" s="104" t="s">
        <v>8</v>
      </c>
      <c r="L35" s="105">
        <v>224689.38</v>
      </c>
    </row>
    <row r="36" spans="1:12" ht="51" hidden="1" x14ac:dyDescent="0.3">
      <c r="A36" s="99" t="s">
        <v>47</v>
      </c>
      <c r="B36" s="100" t="s">
        <v>399</v>
      </c>
      <c r="C36" s="100" t="s">
        <v>400</v>
      </c>
      <c r="D36" s="100" t="s">
        <v>390</v>
      </c>
      <c r="E36" s="101" t="s">
        <v>13</v>
      </c>
      <c r="F36" s="102">
        <v>145.75</v>
      </c>
      <c r="G36" s="102"/>
      <c r="H36" s="101" t="s">
        <v>13</v>
      </c>
      <c r="I36" s="103" t="s">
        <v>15</v>
      </c>
      <c r="J36" s="103"/>
      <c r="K36" s="104" t="s">
        <v>8</v>
      </c>
      <c r="L36" s="105">
        <v>45059.08</v>
      </c>
    </row>
    <row r="37" spans="1:12" ht="51" hidden="1" x14ac:dyDescent="0.3">
      <c r="A37" s="99" t="s">
        <v>47</v>
      </c>
      <c r="B37" s="100" t="s">
        <v>399</v>
      </c>
      <c r="C37" s="100" t="s">
        <v>402</v>
      </c>
      <c r="D37" s="100" t="s">
        <v>391</v>
      </c>
      <c r="E37" s="101" t="s">
        <v>13</v>
      </c>
      <c r="F37" s="107" t="s">
        <v>15</v>
      </c>
      <c r="G37" s="107"/>
      <c r="H37" s="101" t="s">
        <v>13</v>
      </c>
      <c r="I37" s="109">
        <v>16021.5</v>
      </c>
      <c r="J37" s="109"/>
      <c r="K37" s="104" t="s">
        <v>8</v>
      </c>
      <c r="L37" s="105">
        <v>208667.88</v>
      </c>
    </row>
    <row r="38" spans="1:12" ht="51" hidden="1" x14ac:dyDescent="0.3">
      <c r="A38" s="99" t="s">
        <v>47</v>
      </c>
      <c r="B38" s="100" t="s">
        <v>399</v>
      </c>
      <c r="C38" s="100" t="s">
        <v>402</v>
      </c>
      <c r="D38" s="100" t="s">
        <v>391</v>
      </c>
      <c r="E38" s="101" t="s">
        <v>13</v>
      </c>
      <c r="F38" s="106">
        <v>16021.5</v>
      </c>
      <c r="G38" s="106"/>
      <c r="H38" s="101" t="s">
        <v>13</v>
      </c>
      <c r="I38" s="103" t="s">
        <v>15</v>
      </c>
      <c r="J38" s="103"/>
      <c r="K38" s="104" t="s">
        <v>8</v>
      </c>
      <c r="L38" s="105">
        <v>61080.58</v>
      </c>
    </row>
    <row r="39" spans="1:12" ht="51" hidden="1" x14ac:dyDescent="0.3">
      <c r="A39" s="99" t="s">
        <v>47</v>
      </c>
      <c r="B39" s="100" t="s">
        <v>399</v>
      </c>
      <c r="C39" s="100" t="s">
        <v>403</v>
      </c>
      <c r="D39" s="100" t="s">
        <v>392</v>
      </c>
      <c r="E39" s="101" t="s">
        <v>13</v>
      </c>
      <c r="F39" s="107" t="s">
        <v>15</v>
      </c>
      <c r="G39" s="107"/>
      <c r="H39" s="101" t="s">
        <v>13</v>
      </c>
      <c r="I39" s="109">
        <v>1866.75</v>
      </c>
      <c r="J39" s="109"/>
      <c r="K39" s="104" t="s">
        <v>8</v>
      </c>
      <c r="L39" s="105">
        <v>206801.13</v>
      </c>
    </row>
    <row r="40" spans="1:12" ht="51" hidden="1" x14ac:dyDescent="0.3">
      <c r="A40" s="99" t="s">
        <v>47</v>
      </c>
      <c r="B40" s="100" t="s">
        <v>399</v>
      </c>
      <c r="C40" s="100" t="s">
        <v>403</v>
      </c>
      <c r="D40" s="100" t="s">
        <v>392</v>
      </c>
      <c r="E40" s="101" t="s">
        <v>13</v>
      </c>
      <c r="F40" s="106">
        <v>1866.75</v>
      </c>
      <c r="G40" s="106"/>
      <c r="H40" s="101" t="s">
        <v>13</v>
      </c>
      <c r="I40" s="103" t="s">
        <v>15</v>
      </c>
      <c r="J40" s="103"/>
      <c r="K40" s="104" t="s">
        <v>8</v>
      </c>
      <c r="L40" s="105">
        <v>62947.33</v>
      </c>
    </row>
    <row r="41" spans="1:12" ht="51" hidden="1" x14ac:dyDescent="0.3">
      <c r="A41" s="99" t="s">
        <v>47</v>
      </c>
      <c r="B41" s="100" t="s">
        <v>404</v>
      </c>
      <c r="C41" s="100" t="s">
        <v>405</v>
      </c>
      <c r="D41" s="100" t="s">
        <v>392</v>
      </c>
      <c r="E41" s="101" t="s">
        <v>13</v>
      </c>
      <c r="F41" s="106">
        <v>1866.75</v>
      </c>
      <c r="G41" s="106"/>
      <c r="H41" s="101" t="s">
        <v>13</v>
      </c>
      <c r="I41" s="103" t="s">
        <v>15</v>
      </c>
      <c r="J41" s="103"/>
      <c r="K41" s="104" t="s">
        <v>8</v>
      </c>
      <c r="L41" s="105">
        <v>79911.39</v>
      </c>
    </row>
    <row r="42" spans="1:12" ht="51" hidden="1" x14ac:dyDescent="0.3">
      <c r="A42" s="99" t="s">
        <v>47</v>
      </c>
      <c r="B42" s="100" t="s">
        <v>404</v>
      </c>
      <c r="C42" s="100" t="s">
        <v>405</v>
      </c>
      <c r="D42" s="100" t="s">
        <v>392</v>
      </c>
      <c r="E42" s="101" t="s">
        <v>13</v>
      </c>
      <c r="F42" s="107" t="s">
        <v>15</v>
      </c>
      <c r="G42" s="107"/>
      <c r="H42" s="101" t="s">
        <v>13</v>
      </c>
      <c r="I42" s="109">
        <v>1866.75</v>
      </c>
      <c r="J42" s="109"/>
      <c r="K42" s="104" t="s">
        <v>8</v>
      </c>
      <c r="L42" s="105">
        <v>204934.38</v>
      </c>
    </row>
    <row r="43" spans="1:12" ht="51" hidden="1" x14ac:dyDescent="0.3">
      <c r="A43" s="99" t="s">
        <v>47</v>
      </c>
      <c r="B43" s="100" t="s">
        <v>406</v>
      </c>
      <c r="C43" s="100" t="s">
        <v>407</v>
      </c>
      <c r="D43" s="100" t="s">
        <v>408</v>
      </c>
      <c r="E43" s="101" t="s">
        <v>13</v>
      </c>
      <c r="F43" s="107" t="s">
        <v>15</v>
      </c>
      <c r="G43" s="107"/>
      <c r="H43" s="101" t="s">
        <v>13</v>
      </c>
      <c r="I43" s="108">
        <v>818.25</v>
      </c>
      <c r="J43" s="108"/>
      <c r="K43" s="104" t="s">
        <v>8</v>
      </c>
      <c r="L43" s="105">
        <v>204116.13</v>
      </c>
    </row>
    <row r="44" spans="1:12" ht="51" hidden="1" x14ac:dyDescent="0.3">
      <c r="A44" s="99" t="s">
        <v>47</v>
      </c>
      <c r="B44" s="100" t="s">
        <v>406</v>
      </c>
      <c r="C44" s="100" t="s">
        <v>407</v>
      </c>
      <c r="D44" s="100" t="s">
        <v>408</v>
      </c>
      <c r="E44" s="101" t="s">
        <v>13</v>
      </c>
      <c r="F44" s="102">
        <v>818.25</v>
      </c>
      <c r="G44" s="102"/>
      <c r="H44" s="101" t="s">
        <v>13</v>
      </c>
      <c r="I44" s="103" t="s">
        <v>15</v>
      </c>
      <c r="J44" s="103"/>
      <c r="K44" s="104" t="s">
        <v>8</v>
      </c>
      <c r="L44" s="105">
        <v>10210.549999999999</v>
      </c>
    </row>
    <row r="45" spans="1:12" ht="51" hidden="1" x14ac:dyDescent="0.3">
      <c r="A45" s="99" t="s">
        <v>47</v>
      </c>
      <c r="B45" s="100" t="s">
        <v>406</v>
      </c>
      <c r="C45" s="100" t="s">
        <v>409</v>
      </c>
      <c r="D45" s="100" t="s">
        <v>410</v>
      </c>
      <c r="E45" s="101" t="s">
        <v>13</v>
      </c>
      <c r="F45" s="102">
        <v>504.9</v>
      </c>
      <c r="G45" s="102"/>
      <c r="H45" s="101" t="s">
        <v>13</v>
      </c>
      <c r="I45" s="103" t="s">
        <v>15</v>
      </c>
      <c r="J45" s="103"/>
      <c r="K45" s="104" t="s">
        <v>8</v>
      </c>
      <c r="L45" s="105">
        <v>10715.45</v>
      </c>
    </row>
    <row r="46" spans="1:12" ht="51" hidden="1" x14ac:dyDescent="0.3">
      <c r="A46" s="99" t="s">
        <v>47</v>
      </c>
      <c r="B46" s="100" t="s">
        <v>406</v>
      </c>
      <c r="C46" s="100" t="s">
        <v>409</v>
      </c>
      <c r="D46" s="100" t="s">
        <v>410</v>
      </c>
      <c r="E46" s="101" t="s">
        <v>13</v>
      </c>
      <c r="F46" s="107" t="s">
        <v>15</v>
      </c>
      <c r="G46" s="107"/>
      <c r="H46" s="101" t="s">
        <v>13</v>
      </c>
      <c r="I46" s="108">
        <v>504.9</v>
      </c>
      <c r="J46" s="108"/>
      <c r="K46" s="104" t="s">
        <v>8</v>
      </c>
      <c r="L46" s="105">
        <v>203611.23</v>
      </c>
    </row>
    <row r="47" spans="1:12" ht="51" hidden="1" x14ac:dyDescent="0.3">
      <c r="A47" s="99" t="s">
        <v>47</v>
      </c>
      <c r="B47" s="100" t="s">
        <v>406</v>
      </c>
      <c r="C47" s="100" t="s">
        <v>411</v>
      </c>
      <c r="D47" s="100" t="s">
        <v>412</v>
      </c>
      <c r="E47" s="101" t="s">
        <v>13</v>
      </c>
      <c r="F47" s="102">
        <v>709.8</v>
      </c>
      <c r="G47" s="102"/>
      <c r="H47" s="101" t="s">
        <v>13</v>
      </c>
      <c r="I47" s="103" t="s">
        <v>15</v>
      </c>
      <c r="J47" s="103"/>
      <c r="K47" s="104" t="s">
        <v>8</v>
      </c>
      <c r="L47" s="105">
        <v>11425.25</v>
      </c>
    </row>
    <row r="48" spans="1:12" ht="51" hidden="1" x14ac:dyDescent="0.3">
      <c r="A48" s="99" t="s">
        <v>47</v>
      </c>
      <c r="B48" s="100" t="s">
        <v>406</v>
      </c>
      <c r="C48" s="100" t="s">
        <v>411</v>
      </c>
      <c r="D48" s="100" t="s">
        <v>412</v>
      </c>
      <c r="E48" s="101" t="s">
        <v>13</v>
      </c>
      <c r="F48" s="107" t="s">
        <v>15</v>
      </c>
      <c r="G48" s="107"/>
      <c r="H48" s="101" t="s">
        <v>13</v>
      </c>
      <c r="I48" s="108">
        <v>709.8</v>
      </c>
      <c r="J48" s="108"/>
      <c r="K48" s="104" t="s">
        <v>8</v>
      </c>
      <c r="L48" s="105">
        <v>202901.43</v>
      </c>
    </row>
    <row r="49" spans="1:12" ht="51" hidden="1" x14ac:dyDescent="0.3">
      <c r="A49" s="99" t="s">
        <v>47</v>
      </c>
      <c r="B49" s="100" t="s">
        <v>413</v>
      </c>
      <c r="C49" s="100" t="s">
        <v>414</v>
      </c>
      <c r="D49" s="100" t="s">
        <v>415</v>
      </c>
      <c r="E49" s="101" t="s">
        <v>13</v>
      </c>
      <c r="F49" s="106">
        <v>2588.25</v>
      </c>
      <c r="G49" s="106"/>
      <c r="H49" s="101" t="s">
        <v>14</v>
      </c>
      <c r="I49" s="103" t="s">
        <v>15</v>
      </c>
      <c r="J49" s="103"/>
      <c r="K49" s="104" t="s">
        <v>8</v>
      </c>
      <c r="L49" s="105">
        <v>84382.81</v>
      </c>
    </row>
    <row r="50" spans="1:12" ht="51" hidden="1" x14ac:dyDescent="0.3">
      <c r="A50" s="99" t="s">
        <v>47</v>
      </c>
      <c r="B50" s="100" t="s">
        <v>413</v>
      </c>
      <c r="C50" s="100" t="s">
        <v>416</v>
      </c>
      <c r="D50" s="100" t="s">
        <v>415</v>
      </c>
      <c r="E50" s="101" t="s">
        <v>13</v>
      </c>
      <c r="F50" s="102">
        <v>459.75</v>
      </c>
      <c r="G50" s="102"/>
      <c r="H50" s="101" t="s">
        <v>14</v>
      </c>
      <c r="I50" s="103" t="s">
        <v>15</v>
      </c>
      <c r="J50" s="103"/>
      <c r="K50" s="104" t="s">
        <v>8</v>
      </c>
      <c r="L50" s="105">
        <v>84842.559999999998</v>
      </c>
    </row>
    <row r="51" spans="1:12" ht="51" hidden="1" x14ac:dyDescent="0.3">
      <c r="A51" s="99" t="s">
        <v>47</v>
      </c>
      <c r="B51" s="100" t="s">
        <v>413</v>
      </c>
      <c r="C51" s="100" t="s">
        <v>417</v>
      </c>
      <c r="D51" s="100" t="s">
        <v>415</v>
      </c>
      <c r="E51" s="101" t="s">
        <v>13</v>
      </c>
      <c r="F51" s="102">
        <v>9.4600000000000009</v>
      </c>
      <c r="G51" s="102"/>
      <c r="H51" s="101" t="s">
        <v>14</v>
      </c>
      <c r="I51" s="103" t="s">
        <v>15</v>
      </c>
      <c r="J51" s="103"/>
      <c r="K51" s="104" t="s">
        <v>8</v>
      </c>
      <c r="L51" s="105">
        <v>84852.02</v>
      </c>
    </row>
    <row r="52" spans="1:12" ht="51" hidden="1" x14ac:dyDescent="0.3">
      <c r="A52" s="99" t="s">
        <v>47</v>
      </c>
      <c r="B52" s="100" t="s">
        <v>413</v>
      </c>
      <c r="C52" s="100" t="s">
        <v>418</v>
      </c>
      <c r="D52" s="100" t="s">
        <v>415</v>
      </c>
      <c r="E52" s="101" t="s">
        <v>13</v>
      </c>
      <c r="F52" s="106">
        <v>1452.5</v>
      </c>
      <c r="G52" s="106"/>
      <c r="H52" s="101" t="s">
        <v>14</v>
      </c>
      <c r="I52" s="103" t="s">
        <v>15</v>
      </c>
      <c r="J52" s="103"/>
      <c r="K52" s="104" t="s">
        <v>8</v>
      </c>
      <c r="L52" s="105">
        <v>86304.52</v>
      </c>
    </row>
    <row r="53" spans="1:12" ht="51" hidden="1" x14ac:dyDescent="0.3">
      <c r="A53" s="99" t="s">
        <v>419</v>
      </c>
      <c r="B53" s="100" t="s">
        <v>420</v>
      </c>
      <c r="C53" s="100" t="s">
        <v>421</v>
      </c>
      <c r="D53" s="100" t="s">
        <v>422</v>
      </c>
      <c r="E53" s="101" t="s">
        <v>13</v>
      </c>
      <c r="F53" s="106">
        <v>2750</v>
      </c>
      <c r="G53" s="106"/>
      <c r="H53" s="101" t="s">
        <v>14</v>
      </c>
      <c r="I53" s="103" t="s">
        <v>15</v>
      </c>
      <c r="J53" s="103"/>
      <c r="K53" s="104" t="s">
        <v>8</v>
      </c>
      <c r="L53" s="105">
        <v>205651.43</v>
      </c>
    </row>
    <row r="54" spans="1:12" ht="51" hidden="1" x14ac:dyDescent="0.3">
      <c r="A54" s="99" t="s">
        <v>419</v>
      </c>
      <c r="B54" s="100" t="s">
        <v>420</v>
      </c>
      <c r="C54" s="100" t="s">
        <v>423</v>
      </c>
      <c r="D54" s="100" t="s">
        <v>422</v>
      </c>
      <c r="E54" s="101" t="s">
        <v>13</v>
      </c>
      <c r="F54" s="102">
        <v>550</v>
      </c>
      <c r="G54" s="102"/>
      <c r="H54" s="101" t="s">
        <v>14</v>
      </c>
      <c r="I54" s="103" t="s">
        <v>15</v>
      </c>
      <c r="J54" s="103"/>
      <c r="K54" s="104" t="s">
        <v>8</v>
      </c>
      <c r="L54" s="105">
        <v>206201.43</v>
      </c>
    </row>
    <row r="55" spans="1:12" ht="51" hidden="1" x14ac:dyDescent="0.3">
      <c r="A55" s="99" t="s">
        <v>424</v>
      </c>
      <c r="B55" s="100" t="s">
        <v>425</v>
      </c>
      <c r="C55" s="100" t="s">
        <v>426</v>
      </c>
      <c r="D55" s="100" t="s">
        <v>427</v>
      </c>
      <c r="E55" s="101" t="s">
        <v>13</v>
      </c>
      <c r="F55" s="102">
        <v>559.5</v>
      </c>
      <c r="G55" s="102"/>
      <c r="H55" s="101" t="s">
        <v>14</v>
      </c>
      <c r="I55" s="103" t="s">
        <v>15</v>
      </c>
      <c r="J55" s="103"/>
      <c r="K55" s="104" t="s">
        <v>8</v>
      </c>
      <c r="L55" s="105">
        <v>206760.93</v>
      </c>
    </row>
    <row r="56" spans="1:12" ht="61.2" hidden="1" x14ac:dyDescent="0.3">
      <c r="A56" s="99" t="s">
        <v>424</v>
      </c>
      <c r="B56" s="100" t="s">
        <v>425</v>
      </c>
      <c r="C56" s="100" t="s">
        <v>428</v>
      </c>
      <c r="D56" s="100" t="s">
        <v>427</v>
      </c>
      <c r="E56" s="101" t="s">
        <v>13</v>
      </c>
      <c r="F56" s="106">
        <v>2855</v>
      </c>
      <c r="G56" s="106"/>
      <c r="H56" s="101" t="s">
        <v>14</v>
      </c>
      <c r="I56" s="103" t="s">
        <v>15</v>
      </c>
      <c r="J56" s="103"/>
      <c r="K56" s="104" t="s">
        <v>8</v>
      </c>
      <c r="L56" s="105">
        <v>209615.93</v>
      </c>
    </row>
    <row r="57" spans="1:12" ht="51" hidden="1" x14ac:dyDescent="0.3">
      <c r="A57" s="99" t="s">
        <v>424</v>
      </c>
      <c r="B57" s="100" t="s">
        <v>425</v>
      </c>
      <c r="C57" s="100" t="s">
        <v>429</v>
      </c>
      <c r="D57" s="100" t="s">
        <v>427</v>
      </c>
      <c r="E57" s="101" t="s">
        <v>13</v>
      </c>
      <c r="F57" s="106">
        <v>13360</v>
      </c>
      <c r="G57" s="106"/>
      <c r="H57" s="101" t="s">
        <v>14</v>
      </c>
      <c r="I57" s="103" t="s">
        <v>15</v>
      </c>
      <c r="J57" s="103"/>
      <c r="K57" s="104" t="s">
        <v>8</v>
      </c>
      <c r="L57" s="105">
        <v>222975.93</v>
      </c>
    </row>
    <row r="58" spans="1:12" ht="51" hidden="1" x14ac:dyDescent="0.3">
      <c r="A58" s="99" t="s">
        <v>424</v>
      </c>
      <c r="B58" s="100" t="s">
        <v>425</v>
      </c>
      <c r="C58" s="100" t="s">
        <v>430</v>
      </c>
      <c r="D58" s="100" t="s">
        <v>427</v>
      </c>
      <c r="E58" s="101" t="s">
        <v>13</v>
      </c>
      <c r="F58" s="102">
        <v>718.8</v>
      </c>
      <c r="G58" s="102"/>
      <c r="H58" s="101" t="s">
        <v>14</v>
      </c>
      <c r="I58" s="103" t="s">
        <v>15</v>
      </c>
      <c r="J58" s="103"/>
      <c r="K58" s="104" t="s">
        <v>8</v>
      </c>
      <c r="L58" s="105">
        <v>223694.73</v>
      </c>
    </row>
    <row r="59" spans="1:12" ht="51" hidden="1" x14ac:dyDescent="0.3">
      <c r="A59" s="99" t="s">
        <v>424</v>
      </c>
      <c r="B59" s="100" t="s">
        <v>431</v>
      </c>
      <c r="C59" s="100" t="s">
        <v>432</v>
      </c>
      <c r="D59" s="100" t="s">
        <v>433</v>
      </c>
      <c r="E59" s="101" t="s">
        <v>13</v>
      </c>
      <c r="F59" s="106">
        <v>1800</v>
      </c>
      <c r="G59" s="106"/>
      <c r="H59" s="101" t="s">
        <v>14</v>
      </c>
      <c r="I59" s="103" t="s">
        <v>15</v>
      </c>
      <c r="J59" s="103"/>
      <c r="K59" s="104" t="s">
        <v>8</v>
      </c>
      <c r="L59" s="105">
        <v>225494.73</v>
      </c>
    </row>
    <row r="60" spans="1:12" ht="51" hidden="1" x14ac:dyDescent="0.3">
      <c r="A60" s="99" t="s">
        <v>424</v>
      </c>
      <c r="B60" s="100" t="s">
        <v>431</v>
      </c>
      <c r="C60" s="100" t="s">
        <v>434</v>
      </c>
      <c r="D60" s="100" t="s">
        <v>433</v>
      </c>
      <c r="E60" s="101" t="s">
        <v>13</v>
      </c>
      <c r="F60" s="106">
        <v>19500</v>
      </c>
      <c r="G60" s="106"/>
      <c r="H60" s="101" t="s">
        <v>14</v>
      </c>
      <c r="I60" s="103" t="s">
        <v>15</v>
      </c>
      <c r="J60" s="103"/>
      <c r="K60" s="104" t="s">
        <v>8</v>
      </c>
      <c r="L60" s="105">
        <v>244994.73</v>
      </c>
    </row>
    <row r="61" spans="1:12" ht="51" hidden="1" x14ac:dyDescent="0.3">
      <c r="A61" s="99" t="s">
        <v>424</v>
      </c>
      <c r="B61" s="100" t="s">
        <v>431</v>
      </c>
      <c r="C61" s="100" t="s">
        <v>435</v>
      </c>
      <c r="D61" s="100" t="s">
        <v>433</v>
      </c>
      <c r="E61" s="101" t="s">
        <v>13</v>
      </c>
      <c r="F61" s="106">
        <v>4600</v>
      </c>
      <c r="G61" s="106"/>
      <c r="H61" s="101" t="s">
        <v>14</v>
      </c>
      <c r="I61" s="103" t="s">
        <v>15</v>
      </c>
      <c r="J61" s="103"/>
      <c r="K61" s="104" t="s">
        <v>8</v>
      </c>
      <c r="L61" s="105">
        <v>249594.73</v>
      </c>
    </row>
    <row r="62" spans="1:12" ht="61.2" hidden="1" x14ac:dyDescent="0.3">
      <c r="A62" s="99" t="s">
        <v>424</v>
      </c>
      <c r="B62" s="100" t="s">
        <v>436</v>
      </c>
      <c r="C62" s="100" t="s">
        <v>437</v>
      </c>
      <c r="D62" s="100" t="s">
        <v>438</v>
      </c>
      <c r="E62" s="101" t="s">
        <v>13</v>
      </c>
      <c r="F62" s="106">
        <v>5565</v>
      </c>
      <c r="G62" s="106"/>
      <c r="H62" s="101" t="s">
        <v>14</v>
      </c>
      <c r="I62" s="103" t="s">
        <v>15</v>
      </c>
      <c r="J62" s="103"/>
      <c r="K62" s="104" t="s">
        <v>8</v>
      </c>
      <c r="L62" s="105">
        <v>255159.73</v>
      </c>
    </row>
    <row r="63" spans="1:12" ht="51" hidden="1" x14ac:dyDescent="0.3">
      <c r="A63" s="99" t="s">
        <v>424</v>
      </c>
      <c r="B63" s="100" t="s">
        <v>436</v>
      </c>
      <c r="C63" s="100" t="s">
        <v>439</v>
      </c>
      <c r="D63" s="100" t="s">
        <v>438</v>
      </c>
      <c r="E63" s="101" t="s">
        <v>13</v>
      </c>
      <c r="F63" s="106">
        <v>2510</v>
      </c>
      <c r="G63" s="106"/>
      <c r="H63" s="101" t="s">
        <v>14</v>
      </c>
      <c r="I63" s="103" t="s">
        <v>15</v>
      </c>
      <c r="J63" s="103"/>
      <c r="K63" s="104" t="s">
        <v>8</v>
      </c>
      <c r="L63" s="105">
        <v>257669.73</v>
      </c>
    </row>
    <row r="64" spans="1:12" ht="51" hidden="1" x14ac:dyDescent="0.3">
      <c r="A64" s="99" t="s">
        <v>424</v>
      </c>
      <c r="B64" s="100" t="s">
        <v>436</v>
      </c>
      <c r="C64" s="100" t="s">
        <v>440</v>
      </c>
      <c r="D64" s="100" t="s">
        <v>438</v>
      </c>
      <c r="E64" s="101" t="s">
        <v>13</v>
      </c>
      <c r="F64" s="102">
        <v>14.9</v>
      </c>
      <c r="G64" s="102"/>
      <c r="H64" s="101" t="s">
        <v>14</v>
      </c>
      <c r="I64" s="103" t="s">
        <v>15</v>
      </c>
      <c r="J64" s="103"/>
      <c r="K64" s="104" t="s">
        <v>8</v>
      </c>
      <c r="L64" s="105">
        <v>257684.63</v>
      </c>
    </row>
    <row r="65" spans="1:12" ht="51" hidden="1" x14ac:dyDescent="0.3">
      <c r="A65" s="99" t="s">
        <v>424</v>
      </c>
      <c r="B65" s="100" t="s">
        <v>436</v>
      </c>
      <c r="C65" s="100" t="s">
        <v>441</v>
      </c>
      <c r="D65" s="100" t="s">
        <v>438</v>
      </c>
      <c r="E65" s="101" t="s">
        <v>13</v>
      </c>
      <c r="F65" s="102">
        <v>419</v>
      </c>
      <c r="G65" s="102"/>
      <c r="H65" s="101" t="s">
        <v>14</v>
      </c>
      <c r="I65" s="103" t="s">
        <v>15</v>
      </c>
      <c r="J65" s="103"/>
      <c r="K65" s="104" t="s">
        <v>8</v>
      </c>
      <c r="L65" s="105">
        <v>258103.63</v>
      </c>
    </row>
    <row r="66" spans="1:12" ht="51" hidden="1" x14ac:dyDescent="0.3">
      <c r="A66" s="99" t="s">
        <v>424</v>
      </c>
      <c r="B66" s="100" t="s">
        <v>436</v>
      </c>
      <c r="C66" s="100" t="s">
        <v>442</v>
      </c>
      <c r="D66" s="100" t="s">
        <v>438</v>
      </c>
      <c r="E66" s="101" t="s">
        <v>13</v>
      </c>
      <c r="F66" s="102">
        <v>228</v>
      </c>
      <c r="G66" s="102"/>
      <c r="H66" s="101" t="s">
        <v>14</v>
      </c>
      <c r="I66" s="103" t="s">
        <v>15</v>
      </c>
      <c r="J66" s="103"/>
      <c r="K66" s="104" t="s">
        <v>8</v>
      </c>
      <c r="L66" s="105">
        <v>258331.63</v>
      </c>
    </row>
    <row r="67" spans="1:12" ht="51" hidden="1" x14ac:dyDescent="0.3">
      <c r="A67" s="99" t="s">
        <v>424</v>
      </c>
      <c r="B67" s="100" t="s">
        <v>436</v>
      </c>
      <c r="C67" s="100" t="s">
        <v>443</v>
      </c>
      <c r="D67" s="100" t="s">
        <v>438</v>
      </c>
      <c r="E67" s="101" t="s">
        <v>13</v>
      </c>
      <c r="F67" s="102">
        <v>406.5</v>
      </c>
      <c r="G67" s="102"/>
      <c r="H67" s="101" t="s">
        <v>14</v>
      </c>
      <c r="I67" s="103" t="s">
        <v>15</v>
      </c>
      <c r="J67" s="103"/>
      <c r="K67" s="104" t="s">
        <v>8</v>
      </c>
      <c r="L67" s="105">
        <v>258738.13</v>
      </c>
    </row>
    <row r="68" spans="1:12" ht="51" hidden="1" x14ac:dyDescent="0.3">
      <c r="A68" s="99" t="s">
        <v>424</v>
      </c>
      <c r="B68" s="100" t="s">
        <v>436</v>
      </c>
      <c r="C68" s="100" t="s">
        <v>444</v>
      </c>
      <c r="D68" s="100" t="s">
        <v>438</v>
      </c>
      <c r="E68" s="101" t="s">
        <v>13</v>
      </c>
      <c r="F68" s="102">
        <v>170.5</v>
      </c>
      <c r="G68" s="102"/>
      <c r="H68" s="101" t="s">
        <v>14</v>
      </c>
      <c r="I68" s="103" t="s">
        <v>15</v>
      </c>
      <c r="J68" s="103"/>
      <c r="K68" s="104" t="s">
        <v>8</v>
      </c>
      <c r="L68" s="105">
        <v>258908.63</v>
      </c>
    </row>
    <row r="69" spans="1:12" ht="51" hidden="1" x14ac:dyDescent="0.3">
      <c r="A69" s="99" t="s">
        <v>424</v>
      </c>
      <c r="B69" s="100" t="s">
        <v>436</v>
      </c>
      <c r="C69" s="100" t="s">
        <v>445</v>
      </c>
      <c r="D69" s="100" t="s">
        <v>438</v>
      </c>
      <c r="E69" s="101" t="s">
        <v>13</v>
      </c>
      <c r="F69" s="102">
        <v>101</v>
      </c>
      <c r="G69" s="102"/>
      <c r="H69" s="101" t="s">
        <v>14</v>
      </c>
      <c r="I69" s="103" t="s">
        <v>15</v>
      </c>
      <c r="J69" s="103"/>
      <c r="K69" s="104" t="s">
        <v>8</v>
      </c>
      <c r="L69" s="105">
        <v>259009.63</v>
      </c>
    </row>
    <row r="70" spans="1:12" ht="51" hidden="1" x14ac:dyDescent="0.3">
      <c r="A70" s="99" t="s">
        <v>424</v>
      </c>
      <c r="B70" s="100" t="s">
        <v>436</v>
      </c>
      <c r="C70" s="100" t="s">
        <v>446</v>
      </c>
      <c r="D70" s="100" t="s">
        <v>438</v>
      </c>
      <c r="E70" s="101" t="s">
        <v>13</v>
      </c>
      <c r="F70" s="106">
        <v>1490</v>
      </c>
      <c r="G70" s="106"/>
      <c r="H70" s="101" t="s">
        <v>14</v>
      </c>
      <c r="I70" s="103" t="s">
        <v>15</v>
      </c>
      <c r="J70" s="103"/>
      <c r="K70" s="104" t="s">
        <v>8</v>
      </c>
      <c r="L70" s="105">
        <v>260499.63</v>
      </c>
    </row>
    <row r="71" spans="1:12" ht="51" hidden="1" x14ac:dyDescent="0.3">
      <c r="A71" s="99" t="s">
        <v>424</v>
      </c>
      <c r="B71" s="100" t="s">
        <v>436</v>
      </c>
      <c r="C71" s="100" t="s">
        <v>447</v>
      </c>
      <c r="D71" s="100" t="s">
        <v>438</v>
      </c>
      <c r="E71" s="101" t="s">
        <v>13</v>
      </c>
      <c r="F71" s="102">
        <v>888.3</v>
      </c>
      <c r="G71" s="102"/>
      <c r="H71" s="101" t="s">
        <v>14</v>
      </c>
      <c r="I71" s="103" t="s">
        <v>15</v>
      </c>
      <c r="J71" s="103"/>
      <c r="K71" s="104" t="s">
        <v>8</v>
      </c>
      <c r="L71" s="105">
        <v>261387.93</v>
      </c>
    </row>
    <row r="72" spans="1:12" ht="51" hidden="1" x14ac:dyDescent="0.3">
      <c r="A72" s="99" t="s">
        <v>424</v>
      </c>
      <c r="B72" s="100" t="s">
        <v>436</v>
      </c>
      <c r="C72" s="100" t="s">
        <v>448</v>
      </c>
      <c r="D72" s="100" t="s">
        <v>438</v>
      </c>
      <c r="E72" s="101" t="s">
        <v>13</v>
      </c>
      <c r="F72" s="102">
        <v>373.5</v>
      </c>
      <c r="G72" s="102"/>
      <c r="H72" s="101" t="s">
        <v>14</v>
      </c>
      <c r="I72" s="103" t="s">
        <v>15</v>
      </c>
      <c r="J72" s="103"/>
      <c r="K72" s="104" t="s">
        <v>8</v>
      </c>
      <c r="L72" s="105">
        <v>261761.43</v>
      </c>
    </row>
    <row r="73" spans="1:12" ht="51" hidden="1" x14ac:dyDescent="0.3">
      <c r="A73" s="99" t="s">
        <v>424</v>
      </c>
      <c r="B73" s="100" t="s">
        <v>449</v>
      </c>
      <c r="C73" s="100" t="s">
        <v>450</v>
      </c>
      <c r="D73" s="100" t="s">
        <v>389</v>
      </c>
      <c r="E73" s="101" t="s">
        <v>13</v>
      </c>
      <c r="F73" s="102">
        <v>235.2</v>
      </c>
      <c r="G73" s="102"/>
      <c r="H73" s="101" t="s">
        <v>14</v>
      </c>
      <c r="I73" s="103" t="s">
        <v>15</v>
      </c>
      <c r="J73" s="103"/>
      <c r="K73" s="104" t="s">
        <v>8</v>
      </c>
      <c r="L73" s="105">
        <v>261996.63</v>
      </c>
    </row>
    <row r="74" spans="1:12" ht="61.2" hidden="1" x14ac:dyDescent="0.3">
      <c r="A74" s="99" t="s">
        <v>424</v>
      </c>
      <c r="B74" s="100" t="s">
        <v>451</v>
      </c>
      <c r="C74" s="100" t="s">
        <v>452</v>
      </c>
      <c r="D74" s="100" t="s">
        <v>437</v>
      </c>
      <c r="E74" s="101" t="s">
        <v>13</v>
      </c>
      <c r="F74" s="107" t="s">
        <v>15</v>
      </c>
      <c r="G74" s="107"/>
      <c r="H74" s="101" t="s">
        <v>13</v>
      </c>
      <c r="I74" s="109">
        <v>1391.25</v>
      </c>
      <c r="J74" s="109"/>
      <c r="K74" s="104" t="s">
        <v>8</v>
      </c>
      <c r="L74" s="105">
        <v>260605.38</v>
      </c>
    </row>
    <row r="75" spans="1:12" ht="61.2" hidden="1" x14ac:dyDescent="0.3">
      <c r="A75" s="99" t="s">
        <v>424</v>
      </c>
      <c r="B75" s="100" t="s">
        <v>451</v>
      </c>
      <c r="C75" s="100" t="s">
        <v>452</v>
      </c>
      <c r="D75" s="100" t="s">
        <v>437</v>
      </c>
      <c r="E75" s="101" t="s">
        <v>13</v>
      </c>
      <c r="F75" s="106">
        <v>1391.25</v>
      </c>
      <c r="G75" s="106"/>
      <c r="H75" s="101" t="s">
        <v>13</v>
      </c>
      <c r="I75" s="103" t="s">
        <v>15</v>
      </c>
      <c r="J75" s="103"/>
      <c r="K75" s="104" t="s">
        <v>8</v>
      </c>
      <c r="L75" s="105">
        <v>12816.5</v>
      </c>
    </row>
    <row r="76" spans="1:12" ht="51" hidden="1" x14ac:dyDescent="0.3">
      <c r="A76" s="99" t="s">
        <v>424</v>
      </c>
      <c r="B76" s="100" t="s">
        <v>451</v>
      </c>
      <c r="C76" s="100" t="s">
        <v>453</v>
      </c>
      <c r="D76" s="100" t="s">
        <v>439</v>
      </c>
      <c r="E76" s="101" t="s">
        <v>13</v>
      </c>
      <c r="F76" s="107" t="s">
        <v>15</v>
      </c>
      <c r="G76" s="107"/>
      <c r="H76" s="101" t="s">
        <v>13</v>
      </c>
      <c r="I76" s="108">
        <v>627.5</v>
      </c>
      <c r="J76" s="108"/>
      <c r="K76" s="104" t="s">
        <v>8</v>
      </c>
      <c r="L76" s="105">
        <v>259977.88</v>
      </c>
    </row>
    <row r="77" spans="1:12" ht="51" hidden="1" x14ac:dyDescent="0.3">
      <c r="A77" s="99" t="s">
        <v>424</v>
      </c>
      <c r="B77" s="100" t="s">
        <v>451</v>
      </c>
      <c r="C77" s="100" t="s">
        <v>453</v>
      </c>
      <c r="D77" s="100" t="s">
        <v>439</v>
      </c>
      <c r="E77" s="101" t="s">
        <v>13</v>
      </c>
      <c r="F77" s="102">
        <v>627.5</v>
      </c>
      <c r="G77" s="102"/>
      <c r="H77" s="101" t="s">
        <v>13</v>
      </c>
      <c r="I77" s="103" t="s">
        <v>15</v>
      </c>
      <c r="J77" s="103"/>
      <c r="K77" s="104" t="s">
        <v>8</v>
      </c>
      <c r="L77" s="105">
        <v>13444</v>
      </c>
    </row>
    <row r="78" spans="1:12" ht="51" hidden="1" x14ac:dyDescent="0.3">
      <c r="A78" s="99" t="s">
        <v>424</v>
      </c>
      <c r="B78" s="100" t="s">
        <v>451</v>
      </c>
      <c r="C78" s="100" t="s">
        <v>454</v>
      </c>
      <c r="D78" s="100" t="s">
        <v>440</v>
      </c>
      <c r="E78" s="101" t="s">
        <v>13</v>
      </c>
      <c r="F78" s="107" t="s">
        <v>15</v>
      </c>
      <c r="G78" s="107"/>
      <c r="H78" s="101" t="s">
        <v>13</v>
      </c>
      <c r="I78" s="108">
        <v>14.9</v>
      </c>
      <c r="J78" s="108"/>
      <c r="K78" s="104" t="s">
        <v>8</v>
      </c>
      <c r="L78" s="105">
        <v>259962.98</v>
      </c>
    </row>
    <row r="79" spans="1:12" ht="51" hidden="1" x14ac:dyDescent="0.3">
      <c r="A79" s="99" t="s">
        <v>424</v>
      </c>
      <c r="B79" s="100" t="s">
        <v>451</v>
      </c>
      <c r="C79" s="100" t="s">
        <v>454</v>
      </c>
      <c r="D79" s="100" t="s">
        <v>440</v>
      </c>
      <c r="E79" s="101" t="s">
        <v>13</v>
      </c>
      <c r="F79" s="102">
        <v>14.9</v>
      </c>
      <c r="G79" s="102"/>
      <c r="H79" s="101" t="s">
        <v>13</v>
      </c>
      <c r="I79" s="103" t="s">
        <v>15</v>
      </c>
      <c r="J79" s="103"/>
      <c r="K79" s="104" t="s">
        <v>8</v>
      </c>
      <c r="L79" s="105">
        <v>13458.9</v>
      </c>
    </row>
    <row r="80" spans="1:12" ht="51" hidden="1" x14ac:dyDescent="0.3">
      <c r="A80" s="99" t="s">
        <v>424</v>
      </c>
      <c r="B80" s="100" t="s">
        <v>451</v>
      </c>
      <c r="C80" s="100" t="s">
        <v>455</v>
      </c>
      <c r="D80" s="100" t="s">
        <v>441</v>
      </c>
      <c r="E80" s="101" t="s">
        <v>13</v>
      </c>
      <c r="F80" s="102">
        <v>209.5</v>
      </c>
      <c r="G80" s="102"/>
      <c r="H80" s="101" t="s">
        <v>13</v>
      </c>
      <c r="I80" s="103" t="s">
        <v>15</v>
      </c>
      <c r="J80" s="103"/>
      <c r="K80" s="104" t="s">
        <v>8</v>
      </c>
      <c r="L80" s="105">
        <v>13668.4</v>
      </c>
    </row>
    <row r="81" spans="1:12" ht="51" hidden="1" x14ac:dyDescent="0.3">
      <c r="A81" s="99" t="s">
        <v>424</v>
      </c>
      <c r="B81" s="100" t="s">
        <v>451</v>
      </c>
      <c r="C81" s="100" t="s">
        <v>455</v>
      </c>
      <c r="D81" s="100" t="s">
        <v>441</v>
      </c>
      <c r="E81" s="101" t="s">
        <v>13</v>
      </c>
      <c r="F81" s="107" t="s">
        <v>15</v>
      </c>
      <c r="G81" s="107"/>
      <c r="H81" s="101" t="s">
        <v>13</v>
      </c>
      <c r="I81" s="108">
        <v>209.5</v>
      </c>
      <c r="J81" s="108"/>
      <c r="K81" s="104" t="s">
        <v>8</v>
      </c>
      <c r="L81" s="105">
        <v>259753.48</v>
      </c>
    </row>
    <row r="82" spans="1:12" ht="51" hidden="1" x14ac:dyDescent="0.3">
      <c r="A82" s="99" t="s">
        <v>424</v>
      </c>
      <c r="B82" s="100" t="s">
        <v>451</v>
      </c>
      <c r="C82" s="100" t="s">
        <v>456</v>
      </c>
      <c r="D82" s="100" t="s">
        <v>442</v>
      </c>
      <c r="E82" s="101" t="s">
        <v>13</v>
      </c>
      <c r="F82" s="107" t="s">
        <v>15</v>
      </c>
      <c r="G82" s="107"/>
      <c r="H82" s="101" t="s">
        <v>13</v>
      </c>
      <c r="I82" s="108">
        <v>114</v>
      </c>
      <c r="J82" s="108"/>
      <c r="K82" s="104" t="s">
        <v>8</v>
      </c>
      <c r="L82" s="105">
        <v>259639.48</v>
      </c>
    </row>
    <row r="83" spans="1:12" ht="51" hidden="1" x14ac:dyDescent="0.3">
      <c r="A83" s="99" t="s">
        <v>424</v>
      </c>
      <c r="B83" s="100" t="s">
        <v>451</v>
      </c>
      <c r="C83" s="100" t="s">
        <v>456</v>
      </c>
      <c r="D83" s="100" t="s">
        <v>442</v>
      </c>
      <c r="E83" s="101" t="s">
        <v>13</v>
      </c>
      <c r="F83" s="102">
        <v>114</v>
      </c>
      <c r="G83" s="102"/>
      <c r="H83" s="101" t="s">
        <v>13</v>
      </c>
      <c r="I83" s="103" t="s">
        <v>15</v>
      </c>
      <c r="J83" s="103"/>
      <c r="K83" s="104" t="s">
        <v>8</v>
      </c>
      <c r="L83" s="105">
        <v>13782.4</v>
      </c>
    </row>
    <row r="84" spans="1:12" ht="51" hidden="1" x14ac:dyDescent="0.3">
      <c r="A84" s="99" t="s">
        <v>424</v>
      </c>
      <c r="B84" s="100" t="s">
        <v>451</v>
      </c>
      <c r="C84" s="100" t="s">
        <v>457</v>
      </c>
      <c r="D84" s="100" t="s">
        <v>443</v>
      </c>
      <c r="E84" s="101" t="s">
        <v>13</v>
      </c>
      <c r="F84" s="102">
        <v>203.25</v>
      </c>
      <c r="G84" s="102"/>
      <c r="H84" s="101" t="s">
        <v>13</v>
      </c>
      <c r="I84" s="103" t="s">
        <v>15</v>
      </c>
      <c r="J84" s="103"/>
      <c r="K84" s="104" t="s">
        <v>8</v>
      </c>
      <c r="L84" s="105">
        <v>13985.65</v>
      </c>
    </row>
    <row r="85" spans="1:12" ht="51" hidden="1" x14ac:dyDescent="0.3">
      <c r="A85" s="99" t="s">
        <v>424</v>
      </c>
      <c r="B85" s="100" t="s">
        <v>451</v>
      </c>
      <c r="C85" s="100" t="s">
        <v>457</v>
      </c>
      <c r="D85" s="100" t="s">
        <v>443</v>
      </c>
      <c r="E85" s="101" t="s">
        <v>13</v>
      </c>
      <c r="F85" s="107" t="s">
        <v>15</v>
      </c>
      <c r="G85" s="107"/>
      <c r="H85" s="101" t="s">
        <v>13</v>
      </c>
      <c r="I85" s="108">
        <v>203.25</v>
      </c>
      <c r="J85" s="108"/>
      <c r="K85" s="104" t="s">
        <v>8</v>
      </c>
      <c r="L85" s="105">
        <v>259436.23</v>
      </c>
    </row>
    <row r="86" spans="1:12" ht="51" hidden="1" x14ac:dyDescent="0.3">
      <c r="A86" s="99" t="s">
        <v>424</v>
      </c>
      <c r="B86" s="100" t="s">
        <v>451</v>
      </c>
      <c r="C86" s="100" t="s">
        <v>458</v>
      </c>
      <c r="D86" s="100" t="s">
        <v>446</v>
      </c>
      <c r="E86" s="101" t="s">
        <v>13</v>
      </c>
      <c r="F86" s="107" t="s">
        <v>15</v>
      </c>
      <c r="G86" s="107"/>
      <c r="H86" s="101" t="s">
        <v>13</v>
      </c>
      <c r="I86" s="108">
        <v>372.5</v>
      </c>
      <c r="J86" s="108"/>
      <c r="K86" s="104" t="s">
        <v>8</v>
      </c>
      <c r="L86" s="105">
        <v>259063.73</v>
      </c>
    </row>
    <row r="87" spans="1:12" ht="51" hidden="1" x14ac:dyDescent="0.3">
      <c r="A87" s="99" t="s">
        <v>424</v>
      </c>
      <c r="B87" s="100" t="s">
        <v>451</v>
      </c>
      <c r="C87" s="100" t="s">
        <v>458</v>
      </c>
      <c r="D87" s="100" t="s">
        <v>446</v>
      </c>
      <c r="E87" s="101" t="s">
        <v>13</v>
      </c>
      <c r="F87" s="102">
        <v>372.5</v>
      </c>
      <c r="G87" s="102"/>
      <c r="H87" s="101" t="s">
        <v>13</v>
      </c>
      <c r="I87" s="103" t="s">
        <v>15</v>
      </c>
      <c r="J87" s="103"/>
      <c r="K87" s="104" t="s">
        <v>8</v>
      </c>
      <c r="L87" s="105">
        <v>14358.15</v>
      </c>
    </row>
    <row r="88" spans="1:12" ht="61.2" hidden="1" x14ac:dyDescent="0.3">
      <c r="A88" s="99" t="s">
        <v>424</v>
      </c>
      <c r="B88" s="100" t="s">
        <v>459</v>
      </c>
      <c r="C88" s="100" t="s">
        <v>460</v>
      </c>
      <c r="D88" s="100" t="s">
        <v>437</v>
      </c>
      <c r="E88" s="101" t="s">
        <v>13</v>
      </c>
      <c r="F88" s="107" t="s">
        <v>15</v>
      </c>
      <c r="G88" s="107"/>
      <c r="H88" s="101" t="s">
        <v>13</v>
      </c>
      <c r="I88" s="109">
        <v>1391.25</v>
      </c>
      <c r="J88" s="109"/>
      <c r="K88" s="104" t="s">
        <v>8</v>
      </c>
      <c r="L88" s="105">
        <v>257672.48</v>
      </c>
    </row>
    <row r="89" spans="1:12" ht="61.2" hidden="1" x14ac:dyDescent="0.3">
      <c r="A89" s="99" t="s">
        <v>424</v>
      </c>
      <c r="B89" s="100" t="s">
        <v>459</v>
      </c>
      <c r="C89" s="100" t="s">
        <v>460</v>
      </c>
      <c r="D89" s="100" t="s">
        <v>437</v>
      </c>
      <c r="E89" s="101" t="s">
        <v>13</v>
      </c>
      <c r="F89" s="106">
        <v>1391.25</v>
      </c>
      <c r="G89" s="106"/>
      <c r="H89" s="101" t="s">
        <v>13</v>
      </c>
      <c r="I89" s="103" t="s">
        <v>15</v>
      </c>
      <c r="J89" s="103"/>
      <c r="K89" s="104" t="s">
        <v>8</v>
      </c>
      <c r="L89" s="105">
        <v>64338.58</v>
      </c>
    </row>
    <row r="90" spans="1:12" ht="51" hidden="1" x14ac:dyDescent="0.3">
      <c r="A90" s="99" t="s">
        <v>424</v>
      </c>
      <c r="B90" s="100" t="s">
        <v>459</v>
      </c>
      <c r="C90" s="100" t="s">
        <v>461</v>
      </c>
      <c r="D90" s="100" t="s">
        <v>439</v>
      </c>
      <c r="E90" s="101" t="s">
        <v>13</v>
      </c>
      <c r="F90" s="107" t="s">
        <v>15</v>
      </c>
      <c r="G90" s="107"/>
      <c r="H90" s="101" t="s">
        <v>13</v>
      </c>
      <c r="I90" s="108">
        <v>627.5</v>
      </c>
      <c r="J90" s="108"/>
      <c r="K90" s="104" t="s">
        <v>8</v>
      </c>
      <c r="L90" s="105">
        <v>257044.98</v>
      </c>
    </row>
    <row r="91" spans="1:12" ht="51" hidden="1" x14ac:dyDescent="0.3">
      <c r="A91" s="99" t="s">
        <v>424</v>
      </c>
      <c r="B91" s="100" t="s">
        <v>459</v>
      </c>
      <c r="C91" s="100" t="s">
        <v>461</v>
      </c>
      <c r="D91" s="100" t="s">
        <v>439</v>
      </c>
      <c r="E91" s="101" t="s">
        <v>13</v>
      </c>
      <c r="F91" s="102">
        <v>627.5</v>
      </c>
      <c r="G91" s="102"/>
      <c r="H91" s="101" t="s">
        <v>13</v>
      </c>
      <c r="I91" s="103" t="s">
        <v>15</v>
      </c>
      <c r="J91" s="103"/>
      <c r="K91" s="104" t="s">
        <v>8</v>
      </c>
      <c r="L91" s="105">
        <v>64966.080000000002</v>
      </c>
    </row>
    <row r="92" spans="1:12" ht="51" hidden="1" x14ac:dyDescent="0.3">
      <c r="A92" s="99" t="s">
        <v>424</v>
      </c>
      <c r="B92" s="100" t="s">
        <v>459</v>
      </c>
      <c r="C92" s="100" t="s">
        <v>462</v>
      </c>
      <c r="D92" s="100" t="s">
        <v>441</v>
      </c>
      <c r="E92" s="101" t="s">
        <v>13</v>
      </c>
      <c r="F92" s="107" t="s">
        <v>15</v>
      </c>
      <c r="G92" s="107"/>
      <c r="H92" s="101" t="s">
        <v>13</v>
      </c>
      <c r="I92" s="108">
        <v>209.5</v>
      </c>
      <c r="J92" s="108"/>
      <c r="K92" s="104" t="s">
        <v>8</v>
      </c>
      <c r="L92" s="105">
        <v>256835.48</v>
      </c>
    </row>
    <row r="93" spans="1:12" ht="51" hidden="1" x14ac:dyDescent="0.3">
      <c r="A93" s="99" t="s">
        <v>424</v>
      </c>
      <c r="B93" s="100" t="s">
        <v>459</v>
      </c>
      <c r="C93" s="100" t="s">
        <v>462</v>
      </c>
      <c r="D93" s="100" t="s">
        <v>441</v>
      </c>
      <c r="E93" s="101" t="s">
        <v>13</v>
      </c>
      <c r="F93" s="102">
        <v>209.5</v>
      </c>
      <c r="G93" s="102"/>
      <c r="H93" s="101" t="s">
        <v>13</v>
      </c>
      <c r="I93" s="103" t="s">
        <v>15</v>
      </c>
      <c r="J93" s="103"/>
      <c r="K93" s="104" t="s">
        <v>8</v>
      </c>
      <c r="L93" s="105">
        <v>65175.58</v>
      </c>
    </row>
    <row r="94" spans="1:12" ht="51" hidden="1" x14ac:dyDescent="0.3">
      <c r="A94" s="99" t="s">
        <v>424</v>
      </c>
      <c r="B94" s="100" t="s">
        <v>459</v>
      </c>
      <c r="C94" s="100" t="s">
        <v>463</v>
      </c>
      <c r="D94" s="100" t="s">
        <v>442</v>
      </c>
      <c r="E94" s="101" t="s">
        <v>13</v>
      </c>
      <c r="F94" s="107" t="s">
        <v>15</v>
      </c>
      <c r="G94" s="107"/>
      <c r="H94" s="101" t="s">
        <v>13</v>
      </c>
      <c r="I94" s="108">
        <v>114</v>
      </c>
      <c r="J94" s="108"/>
      <c r="K94" s="104" t="s">
        <v>8</v>
      </c>
      <c r="L94" s="105">
        <v>256721.48</v>
      </c>
    </row>
    <row r="95" spans="1:12" ht="51" hidden="1" x14ac:dyDescent="0.3">
      <c r="A95" s="99" t="s">
        <v>424</v>
      </c>
      <c r="B95" s="100" t="s">
        <v>459</v>
      </c>
      <c r="C95" s="100" t="s">
        <v>463</v>
      </c>
      <c r="D95" s="100" t="s">
        <v>442</v>
      </c>
      <c r="E95" s="101" t="s">
        <v>13</v>
      </c>
      <c r="F95" s="102">
        <v>114</v>
      </c>
      <c r="G95" s="102"/>
      <c r="H95" s="101" t="s">
        <v>13</v>
      </c>
      <c r="I95" s="103" t="s">
        <v>15</v>
      </c>
      <c r="J95" s="103"/>
      <c r="K95" s="104" t="s">
        <v>8</v>
      </c>
      <c r="L95" s="105">
        <v>65289.58</v>
      </c>
    </row>
    <row r="96" spans="1:12" ht="61.2" hidden="1" x14ac:dyDescent="0.3">
      <c r="A96" s="99" t="s">
        <v>424</v>
      </c>
      <c r="B96" s="100" t="s">
        <v>464</v>
      </c>
      <c r="C96" s="100" t="s">
        <v>465</v>
      </c>
      <c r="D96" s="100" t="s">
        <v>437</v>
      </c>
      <c r="E96" s="101" t="s">
        <v>13</v>
      </c>
      <c r="F96" s="106">
        <v>1391.25</v>
      </c>
      <c r="G96" s="106"/>
      <c r="H96" s="101" t="s">
        <v>13</v>
      </c>
      <c r="I96" s="103" t="s">
        <v>15</v>
      </c>
      <c r="J96" s="103"/>
      <c r="K96" s="104" t="s">
        <v>8</v>
      </c>
      <c r="L96" s="105">
        <v>4584.2700000000004</v>
      </c>
    </row>
    <row r="97" spans="1:12" ht="61.2" hidden="1" x14ac:dyDescent="0.3">
      <c r="A97" s="99" t="s">
        <v>424</v>
      </c>
      <c r="B97" s="100" t="s">
        <v>464</v>
      </c>
      <c r="C97" s="100" t="s">
        <v>465</v>
      </c>
      <c r="D97" s="100" t="s">
        <v>437</v>
      </c>
      <c r="E97" s="101" t="s">
        <v>13</v>
      </c>
      <c r="F97" s="107" t="s">
        <v>15</v>
      </c>
      <c r="G97" s="107"/>
      <c r="H97" s="101" t="s">
        <v>13</v>
      </c>
      <c r="I97" s="109">
        <v>1391.25</v>
      </c>
      <c r="J97" s="109"/>
      <c r="K97" s="104" t="s">
        <v>8</v>
      </c>
      <c r="L97" s="105">
        <v>255330.23</v>
      </c>
    </row>
    <row r="98" spans="1:12" ht="51" hidden="1" x14ac:dyDescent="0.3">
      <c r="A98" s="99" t="s">
        <v>424</v>
      </c>
      <c r="B98" s="100" t="s">
        <v>464</v>
      </c>
      <c r="C98" s="100" t="s">
        <v>466</v>
      </c>
      <c r="D98" s="100" t="s">
        <v>439</v>
      </c>
      <c r="E98" s="101" t="s">
        <v>13</v>
      </c>
      <c r="F98" s="102">
        <v>627.5</v>
      </c>
      <c r="G98" s="102"/>
      <c r="H98" s="101" t="s">
        <v>13</v>
      </c>
      <c r="I98" s="103" t="s">
        <v>15</v>
      </c>
      <c r="J98" s="103"/>
      <c r="K98" s="104" t="s">
        <v>8</v>
      </c>
      <c r="L98" s="105">
        <v>5211.7700000000004</v>
      </c>
    </row>
    <row r="99" spans="1:12" ht="51" hidden="1" x14ac:dyDescent="0.3">
      <c r="A99" s="99" t="s">
        <v>424</v>
      </c>
      <c r="B99" s="100" t="s">
        <v>464</v>
      </c>
      <c r="C99" s="100" t="s">
        <v>466</v>
      </c>
      <c r="D99" s="100" t="s">
        <v>439</v>
      </c>
      <c r="E99" s="101" t="s">
        <v>13</v>
      </c>
      <c r="F99" s="107" t="s">
        <v>15</v>
      </c>
      <c r="G99" s="107"/>
      <c r="H99" s="101" t="s">
        <v>13</v>
      </c>
      <c r="I99" s="108">
        <v>627.5</v>
      </c>
      <c r="J99" s="108"/>
      <c r="K99" s="104" t="s">
        <v>8</v>
      </c>
      <c r="L99" s="105">
        <v>254702.73</v>
      </c>
    </row>
    <row r="100" spans="1:12" ht="51" hidden="1" x14ac:dyDescent="0.3">
      <c r="A100" s="99" t="s">
        <v>424</v>
      </c>
      <c r="B100" s="100" t="s">
        <v>464</v>
      </c>
      <c r="C100" s="100" t="s">
        <v>467</v>
      </c>
      <c r="D100" s="100" t="s">
        <v>444</v>
      </c>
      <c r="E100" s="101" t="s">
        <v>13</v>
      </c>
      <c r="F100" s="102">
        <v>170.5</v>
      </c>
      <c r="G100" s="102"/>
      <c r="H100" s="101" t="s">
        <v>13</v>
      </c>
      <c r="I100" s="103" t="s">
        <v>15</v>
      </c>
      <c r="J100" s="103"/>
      <c r="K100" s="104" t="s">
        <v>8</v>
      </c>
      <c r="L100" s="105">
        <v>5382.27</v>
      </c>
    </row>
    <row r="101" spans="1:12" ht="51" hidden="1" x14ac:dyDescent="0.3">
      <c r="A101" s="99" t="s">
        <v>424</v>
      </c>
      <c r="B101" s="100" t="s">
        <v>464</v>
      </c>
      <c r="C101" s="100" t="s">
        <v>467</v>
      </c>
      <c r="D101" s="100" t="s">
        <v>444</v>
      </c>
      <c r="E101" s="101" t="s">
        <v>13</v>
      </c>
      <c r="F101" s="107" t="s">
        <v>15</v>
      </c>
      <c r="G101" s="107"/>
      <c r="H101" s="101" t="s">
        <v>13</v>
      </c>
      <c r="I101" s="108">
        <v>170.5</v>
      </c>
      <c r="J101" s="108"/>
      <c r="K101" s="104" t="s">
        <v>8</v>
      </c>
      <c r="L101" s="105">
        <v>254532.23</v>
      </c>
    </row>
    <row r="102" spans="1:12" ht="51" hidden="1" x14ac:dyDescent="0.3">
      <c r="A102" s="99" t="s">
        <v>424</v>
      </c>
      <c r="B102" s="100" t="s">
        <v>464</v>
      </c>
      <c r="C102" s="100" t="s">
        <v>468</v>
      </c>
      <c r="D102" s="100" t="s">
        <v>446</v>
      </c>
      <c r="E102" s="101" t="s">
        <v>13</v>
      </c>
      <c r="F102" s="107" t="s">
        <v>15</v>
      </c>
      <c r="G102" s="107"/>
      <c r="H102" s="101" t="s">
        <v>13</v>
      </c>
      <c r="I102" s="108">
        <v>372.5</v>
      </c>
      <c r="J102" s="108"/>
      <c r="K102" s="104" t="s">
        <v>8</v>
      </c>
      <c r="L102" s="105">
        <v>254159.73</v>
      </c>
    </row>
    <row r="103" spans="1:12" ht="51" hidden="1" x14ac:dyDescent="0.3">
      <c r="A103" s="99" t="s">
        <v>424</v>
      </c>
      <c r="B103" s="100" t="s">
        <v>464</v>
      </c>
      <c r="C103" s="100" t="s">
        <v>468</v>
      </c>
      <c r="D103" s="100" t="s">
        <v>446</v>
      </c>
      <c r="E103" s="101" t="s">
        <v>13</v>
      </c>
      <c r="F103" s="102">
        <v>372.5</v>
      </c>
      <c r="G103" s="102"/>
      <c r="H103" s="101" t="s">
        <v>13</v>
      </c>
      <c r="I103" s="103" t="s">
        <v>15</v>
      </c>
      <c r="J103" s="103"/>
      <c r="K103" s="104" t="s">
        <v>8</v>
      </c>
      <c r="L103" s="105">
        <v>5754.77</v>
      </c>
    </row>
    <row r="104" spans="1:12" ht="61.2" hidden="1" x14ac:dyDescent="0.3">
      <c r="A104" s="99" t="s">
        <v>424</v>
      </c>
      <c r="B104" s="100" t="s">
        <v>469</v>
      </c>
      <c r="C104" s="100" t="s">
        <v>470</v>
      </c>
      <c r="D104" s="100" t="s">
        <v>437</v>
      </c>
      <c r="E104" s="101" t="s">
        <v>13</v>
      </c>
      <c r="F104" s="107" t="s">
        <v>15</v>
      </c>
      <c r="G104" s="107"/>
      <c r="H104" s="101" t="s">
        <v>13</v>
      </c>
      <c r="I104" s="109">
        <v>1391.25</v>
      </c>
      <c r="J104" s="109"/>
      <c r="K104" s="104" t="s">
        <v>8</v>
      </c>
      <c r="L104" s="105">
        <v>252768.48</v>
      </c>
    </row>
    <row r="105" spans="1:12" ht="61.2" hidden="1" x14ac:dyDescent="0.3">
      <c r="A105" s="99" t="s">
        <v>424</v>
      </c>
      <c r="B105" s="100" t="s">
        <v>469</v>
      </c>
      <c r="C105" s="100" t="s">
        <v>470</v>
      </c>
      <c r="D105" s="100" t="s">
        <v>437</v>
      </c>
      <c r="E105" s="101" t="s">
        <v>13</v>
      </c>
      <c r="F105" s="106">
        <v>1391.25</v>
      </c>
      <c r="G105" s="106"/>
      <c r="H105" s="101" t="s">
        <v>13</v>
      </c>
      <c r="I105" s="103" t="s">
        <v>15</v>
      </c>
      <c r="J105" s="103"/>
      <c r="K105" s="104" t="s">
        <v>8</v>
      </c>
      <c r="L105" s="105">
        <v>6682.15</v>
      </c>
    </row>
    <row r="106" spans="1:12" ht="51" hidden="1" x14ac:dyDescent="0.3">
      <c r="A106" s="99" t="s">
        <v>424</v>
      </c>
      <c r="B106" s="100" t="s">
        <v>469</v>
      </c>
      <c r="C106" s="100" t="s">
        <v>471</v>
      </c>
      <c r="D106" s="100" t="s">
        <v>439</v>
      </c>
      <c r="E106" s="101" t="s">
        <v>13</v>
      </c>
      <c r="F106" s="107" t="s">
        <v>15</v>
      </c>
      <c r="G106" s="107"/>
      <c r="H106" s="101" t="s">
        <v>13</v>
      </c>
      <c r="I106" s="108">
        <v>627.5</v>
      </c>
      <c r="J106" s="108"/>
      <c r="K106" s="104" t="s">
        <v>8</v>
      </c>
      <c r="L106" s="105">
        <v>252140.98</v>
      </c>
    </row>
    <row r="107" spans="1:12" ht="51" hidden="1" x14ac:dyDescent="0.3">
      <c r="A107" s="99" t="s">
        <v>424</v>
      </c>
      <c r="B107" s="100" t="s">
        <v>469</v>
      </c>
      <c r="C107" s="100" t="s">
        <v>471</v>
      </c>
      <c r="D107" s="100" t="s">
        <v>439</v>
      </c>
      <c r="E107" s="101" t="s">
        <v>13</v>
      </c>
      <c r="F107" s="102">
        <v>627.5</v>
      </c>
      <c r="G107" s="102"/>
      <c r="H107" s="101" t="s">
        <v>13</v>
      </c>
      <c r="I107" s="103" t="s">
        <v>15</v>
      </c>
      <c r="J107" s="103"/>
      <c r="K107" s="104" t="s">
        <v>8</v>
      </c>
      <c r="L107" s="105">
        <v>7309.65</v>
      </c>
    </row>
    <row r="108" spans="1:12" ht="51" hidden="1" x14ac:dyDescent="0.3">
      <c r="A108" s="99" t="s">
        <v>424</v>
      </c>
      <c r="B108" s="100" t="s">
        <v>469</v>
      </c>
      <c r="C108" s="100" t="s">
        <v>472</v>
      </c>
      <c r="D108" s="100" t="s">
        <v>446</v>
      </c>
      <c r="E108" s="101" t="s">
        <v>13</v>
      </c>
      <c r="F108" s="107" t="s">
        <v>15</v>
      </c>
      <c r="G108" s="107"/>
      <c r="H108" s="101" t="s">
        <v>13</v>
      </c>
      <c r="I108" s="108">
        <v>372.5</v>
      </c>
      <c r="J108" s="108"/>
      <c r="K108" s="104" t="s">
        <v>8</v>
      </c>
      <c r="L108" s="105">
        <v>251768.48</v>
      </c>
    </row>
    <row r="109" spans="1:12" ht="51" hidden="1" x14ac:dyDescent="0.3">
      <c r="A109" s="99" t="s">
        <v>424</v>
      </c>
      <c r="B109" s="100" t="s">
        <v>469</v>
      </c>
      <c r="C109" s="100" t="s">
        <v>472</v>
      </c>
      <c r="D109" s="100" t="s">
        <v>446</v>
      </c>
      <c r="E109" s="101" t="s">
        <v>13</v>
      </c>
      <c r="F109" s="102">
        <v>372.5</v>
      </c>
      <c r="G109" s="102"/>
      <c r="H109" s="101" t="s">
        <v>13</v>
      </c>
      <c r="I109" s="103" t="s">
        <v>15</v>
      </c>
      <c r="J109" s="103"/>
      <c r="K109" s="104" t="s">
        <v>8</v>
      </c>
      <c r="L109" s="105">
        <v>7682.15</v>
      </c>
    </row>
    <row r="110" spans="1:12" ht="51" hidden="1" x14ac:dyDescent="0.3">
      <c r="A110" s="99" t="s">
        <v>424</v>
      </c>
      <c r="B110" s="100" t="s">
        <v>473</v>
      </c>
      <c r="C110" s="100" t="s">
        <v>474</v>
      </c>
      <c r="D110" s="100" t="s">
        <v>443</v>
      </c>
      <c r="E110" s="101" t="s">
        <v>13</v>
      </c>
      <c r="F110" s="102">
        <v>203.25</v>
      </c>
      <c r="G110" s="102"/>
      <c r="H110" s="101" t="s">
        <v>13</v>
      </c>
      <c r="I110" s="103" t="s">
        <v>15</v>
      </c>
      <c r="J110" s="103"/>
      <c r="K110" s="104" t="s">
        <v>8</v>
      </c>
      <c r="L110" s="110">
        <v>203.25</v>
      </c>
    </row>
    <row r="111" spans="1:12" ht="51" hidden="1" x14ac:dyDescent="0.3">
      <c r="A111" s="99" t="s">
        <v>424</v>
      </c>
      <c r="B111" s="100" t="s">
        <v>473</v>
      </c>
      <c r="C111" s="100" t="s">
        <v>474</v>
      </c>
      <c r="D111" s="100" t="s">
        <v>443</v>
      </c>
      <c r="E111" s="101" t="s">
        <v>13</v>
      </c>
      <c r="F111" s="107" t="s">
        <v>15</v>
      </c>
      <c r="G111" s="107"/>
      <c r="H111" s="101" t="s">
        <v>13</v>
      </c>
      <c r="I111" s="108">
        <v>203.25</v>
      </c>
      <c r="J111" s="108"/>
      <c r="K111" s="104" t="s">
        <v>8</v>
      </c>
      <c r="L111" s="105">
        <v>251565.23</v>
      </c>
    </row>
    <row r="112" spans="1:12" ht="51" hidden="1" x14ac:dyDescent="0.3">
      <c r="A112" s="99" t="s">
        <v>424</v>
      </c>
      <c r="B112" s="100" t="s">
        <v>473</v>
      </c>
      <c r="C112" s="100" t="s">
        <v>475</v>
      </c>
      <c r="D112" s="100" t="s">
        <v>445</v>
      </c>
      <c r="E112" s="101" t="s">
        <v>13</v>
      </c>
      <c r="F112" s="107" t="s">
        <v>15</v>
      </c>
      <c r="G112" s="107"/>
      <c r="H112" s="101" t="s">
        <v>13</v>
      </c>
      <c r="I112" s="108">
        <v>101</v>
      </c>
      <c r="J112" s="108"/>
      <c r="K112" s="104" t="s">
        <v>8</v>
      </c>
      <c r="L112" s="105">
        <v>251464.23</v>
      </c>
    </row>
    <row r="113" spans="1:12" ht="51" hidden="1" x14ac:dyDescent="0.3">
      <c r="A113" s="99" t="s">
        <v>424</v>
      </c>
      <c r="B113" s="100" t="s">
        <v>473</v>
      </c>
      <c r="C113" s="100" t="s">
        <v>475</v>
      </c>
      <c r="D113" s="100" t="s">
        <v>445</v>
      </c>
      <c r="E113" s="101" t="s">
        <v>13</v>
      </c>
      <c r="F113" s="102">
        <v>101</v>
      </c>
      <c r="G113" s="102"/>
      <c r="H113" s="101" t="s">
        <v>13</v>
      </c>
      <c r="I113" s="103" t="s">
        <v>15</v>
      </c>
      <c r="J113" s="103"/>
      <c r="K113" s="104" t="s">
        <v>8</v>
      </c>
      <c r="L113" s="110">
        <v>304.25</v>
      </c>
    </row>
    <row r="114" spans="1:12" ht="51" hidden="1" x14ac:dyDescent="0.3">
      <c r="A114" s="99" t="s">
        <v>424</v>
      </c>
      <c r="B114" s="100" t="s">
        <v>473</v>
      </c>
      <c r="C114" s="100" t="s">
        <v>476</v>
      </c>
      <c r="D114" s="100" t="s">
        <v>446</v>
      </c>
      <c r="E114" s="101" t="s">
        <v>13</v>
      </c>
      <c r="F114" s="107" t="s">
        <v>15</v>
      </c>
      <c r="G114" s="107"/>
      <c r="H114" s="101" t="s">
        <v>13</v>
      </c>
      <c r="I114" s="108">
        <v>372.5</v>
      </c>
      <c r="J114" s="108"/>
      <c r="K114" s="104" t="s">
        <v>8</v>
      </c>
      <c r="L114" s="105">
        <v>251091.73</v>
      </c>
    </row>
    <row r="115" spans="1:12" ht="51" hidden="1" x14ac:dyDescent="0.3">
      <c r="A115" s="99" t="s">
        <v>424</v>
      </c>
      <c r="B115" s="100" t="s">
        <v>473</v>
      </c>
      <c r="C115" s="100" t="s">
        <v>476</v>
      </c>
      <c r="D115" s="100" t="s">
        <v>446</v>
      </c>
      <c r="E115" s="101" t="s">
        <v>13</v>
      </c>
      <c r="F115" s="102">
        <v>372.5</v>
      </c>
      <c r="G115" s="102"/>
      <c r="H115" s="101" t="s">
        <v>13</v>
      </c>
      <c r="I115" s="103" t="s">
        <v>15</v>
      </c>
      <c r="J115" s="103"/>
      <c r="K115" s="104" t="s">
        <v>8</v>
      </c>
      <c r="L115" s="110">
        <v>676.75</v>
      </c>
    </row>
    <row r="116" spans="1:12" ht="61.2" hidden="1" x14ac:dyDescent="0.3">
      <c r="A116" s="99" t="s">
        <v>424</v>
      </c>
      <c r="B116" s="100" t="s">
        <v>477</v>
      </c>
      <c r="C116" s="100" t="s">
        <v>478</v>
      </c>
      <c r="D116" s="100" t="s">
        <v>428</v>
      </c>
      <c r="E116" s="101" t="s">
        <v>13</v>
      </c>
      <c r="F116" s="106">
        <v>2855</v>
      </c>
      <c r="G116" s="106"/>
      <c r="H116" s="101" t="s">
        <v>13</v>
      </c>
      <c r="I116" s="103" t="s">
        <v>15</v>
      </c>
      <c r="J116" s="103"/>
      <c r="K116" s="104" t="s">
        <v>8</v>
      </c>
      <c r="L116" s="105">
        <v>89159.52</v>
      </c>
    </row>
    <row r="117" spans="1:12" ht="61.2" hidden="1" x14ac:dyDescent="0.3">
      <c r="A117" s="99" t="s">
        <v>424</v>
      </c>
      <c r="B117" s="100" t="s">
        <v>477</v>
      </c>
      <c r="C117" s="100" t="s">
        <v>478</v>
      </c>
      <c r="D117" s="100" t="s">
        <v>428</v>
      </c>
      <c r="E117" s="101" t="s">
        <v>13</v>
      </c>
      <c r="F117" s="107" t="s">
        <v>15</v>
      </c>
      <c r="G117" s="107"/>
      <c r="H117" s="101" t="s">
        <v>13</v>
      </c>
      <c r="I117" s="109">
        <v>2855</v>
      </c>
      <c r="J117" s="109"/>
      <c r="K117" s="104" t="s">
        <v>8</v>
      </c>
      <c r="L117" s="105">
        <v>248236.73</v>
      </c>
    </row>
    <row r="118" spans="1:12" ht="51" hidden="1" x14ac:dyDescent="0.3">
      <c r="A118" s="99" t="s">
        <v>424</v>
      </c>
      <c r="B118" s="100" t="s">
        <v>477</v>
      </c>
      <c r="C118" s="100" t="s">
        <v>479</v>
      </c>
      <c r="D118" s="100" t="s">
        <v>429</v>
      </c>
      <c r="E118" s="101" t="s">
        <v>13</v>
      </c>
      <c r="F118" s="106">
        <v>6680</v>
      </c>
      <c r="G118" s="106"/>
      <c r="H118" s="101" t="s">
        <v>13</v>
      </c>
      <c r="I118" s="103" t="s">
        <v>15</v>
      </c>
      <c r="J118" s="103"/>
      <c r="K118" s="104" t="s">
        <v>8</v>
      </c>
      <c r="L118" s="105">
        <v>95839.52</v>
      </c>
    </row>
    <row r="119" spans="1:12" ht="51" hidden="1" x14ac:dyDescent="0.3">
      <c r="A119" s="99" t="s">
        <v>424</v>
      </c>
      <c r="B119" s="100" t="s">
        <v>477</v>
      </c>
      <c r="C119" s="100" t="s">
        <v>479</v>
      </c>
      <c r="D119" s="100" t="s">
        <v>429</v>
      </c>
      <c r="E119" s="101" t="s">
        <v>13</v>
      </c>
      <c r="F119" s="107" t="s">
        <v>15</v>
      </c>
      <c r="G119" s="107"/>
      <c r="H119" s="101" t="s">
        <v>13</v>
      </c>
      <c r="I119" s="109">
        <v>6680</v>
      </c>
      <c r="J119" s="109"/>
      <c r="K119" s="104" t="s">
        <v>8</v>
      </c>
      <c r="L119" s="105">
        <v>241556.73</v>
      </c>
    </row>
    <row r="120" spans="1:12" ht="51" hidden="1" x14ac:dyDescent="0.3">
      <c r="A120" s="99" t="s">
        <v>424</v>
      </c>
      <c r="B120" s="100" t="s">
        <v>480</v>
      </c>
      <c r="C120" s="100" t="s">
        <v>481</v>
      </c>
      <c r="D120" s="100" t="s">
        <v>434</v>
      </c>
      <c r="E120" s="101" t="s">
        <v>13</v>
      </c>
      <c r="F120" s="106">
        <v>19500</v>
      </c>
      <c r="G120" s="106"/>
      <c r="H120" s="101" t="s">
        <v>13</v>
      </c>
      <c r="I120" s="103" t="s">
        <v>15</v>
      </c>
      <c r="J120" s="103"/>
      <c r="K120" s="104" t="s">
        <v>8</v>
      </c>
      <c r="L120" s="105">
        <v>99411.39</v>
      </c>
    </row>
    <row r="121" spans="1:12" ht="51" hidden="1" x14ac:dyDescent="0.3">
      <c r="A121" s="99" t="s">
        <v>424</v>
      </c>
      <c r="B121" s="100" t="s">
        <v>480</v>
      </c>
      <c r="C121" s="100" t="s">
        <v>481</v>
      </c>
      <c r="D121" s="100" t="s">
        <v>434</v>
      </c>
      <c r="E121" s="101" t="s">
        <v>13</v>
      </c>
      <c r="F121" s="107" t="s">
        <v>15</v>
      </c>
      <c r="G121" s="107"/>
      <c r="H121" s="101" t="s">
        <v>13</v>
      </c>
      <c r="I121" s="109">
        <v>19500</v>
      </c>
      <c r="J121" s="109"/>
      <c r="K121" s="104" t="s">
        <v>8</v>
      </c>
      <c r="L121" s="105">
        <v>222056.73</v>
      </c>
    </row>
    <row r="122" spans="1:12" ht="51" hidden="1" x14ac:dyDescent="0.3">
      <c r="A122" s="99" t="s">
        <v>424</v>
      </c>
      <c r="B122" s="100" t="s">
        <v>482</v>
      </c>
      <c r="C122" s="100" t="s">
        <v>483</v>
      </c>
      <c r="D122" s="100" t="s">
        <v>432</v>
      </c>
      <c r="E122" s="101" t="s">
        <v>13</v>
      </c>
      <c r="F122" s="102">
        <v>900</v>
      </c>
      <c r="G122" s="102"/>
      <c r="H122" s="101" t="s">
        <v>13</v>
      </c>
      <c r="I122" s="103" t="s">
        <v>15</v>
      </c>
      <c r="J122" s="103"/>
      <c r="K122" s="104" t="s">
        <v>8</v>
      </c>
      <c r="L122" s="105">
        <v>100311.39</v>
      </c>
    </row>
    <row r="123" spans="1:12" ht="51" hidden="1" x14ac:dyDescent="0.3">
      <c r="A123" s="99" t="s">
        <v>424</v>
      </c>
      <c r="B123" s="100" t="s">
        <v>482</v>
      </c>
      <c r="C123" s="100" t="s">
        <v>483</v>
      </c>
      <c r="D123" s="100" t="s">
        <v>432</v>
      </c>
      <c r="E123" s="101" t="s">
        <v>13</v>
      </c>
      <c r="F123" s="107" t="s">
        <v>15</v>
      </c>
      <c r="G123" s="107"/>
      <c r="H123" s="101" t="s">
        <v>13</v>
      </c>
      <c r="I123" s="108">
        <v>900</v>
      </c>
      <c r="J123" s="108"/>
      <c r="K123" s="104" t="s">
        <v>8</v>
      </c>
      <c r="L123" s="105">
        <v>221156.73</v>
      </c>
    </row>
    <row r="124" spans="1:12" ht="51" hidden="1" x14ac:dyDescent="0.3">
      <c r="A124" s="99" t="s">
        <v>424</v>
      </c>
      <c r="B124" s="100" t="s">
        <v>484</v>
      </c>
      <c r="C124" s="100" t="s">
        <v>485</v>
      </c>
      <c r="D124" s="100" t="s">
        <v>432</v>
      </c>
      <c r="E124" s="101" t="s">
        <v>13</v>
      </c>
      <c r="F124" s="102">
        <v>900</v>
      </c>
      <c r="G124" s="102"/>
      <c r="H124" s="101" t="s">
        <v>13</v>
      </c>
      <c r="I124" s="103" t="s">
        <v>15</v>
      </c>
      <c r="J124" s="103"/>
      <c r="K124" s="104" t="s">
        <v>8</v>
      </c>
      <c r="L124" s="105">
        <v>66189.58</v>
      </c>
    </row>
    <row r="125" spans="1:12" ht="51" hidden="1" x14ac:dyDescent="0.3">
      <c r="A125" s="99" t="s">
        <v>424</v>
      </c>
      <c r="B125" s="100" t="s">
        <v>484</v>
      </c>
      <c r="C125" s="100" t="s">
        <v>485</v>
      </c>
      <c r="D125" s="100" t="s">
        <v>432</v>
      </c>
      <c r="E125" s="101" t="s">
        <v>13</v>
      </c>
      <c r="F125" s="107" t="s">
        <v>15</v>
      </c>
      <c r="G125" s="107"/>
      <c r="H125" s="101" t="s">
        <v>13</v>
      </c>
      <c r="I125" s="108">
        <v>900</v>
      </c>
      <c r="J125" s="108"/>
      <c r="K125" s="104" t="s">
        <v>8</v>
      </c>
      <c r="L125" s="105">
        <v>220256.73</v>
      </c>
    </row>
    <row r="126" spans="1:12" ht="51" hidden="1" x14ac:dyDescent="0.3">
      <c r="A126" s="99" t="s">
        <v>424</v>
      </c>
      <c r="B126" s="100" t="s">
        <v>484</v>
      </c>
      <c r="C126" s="100" t="s">
        <v>486</v>
      </c>
      <c r="D126" s="100" t="s">
        <v>435</v>
      </c>
      <c r="E126" s="101" t="s">
        <v>13</v>
      </c>
      <c r="F126" s="107" t="s">
        <v>15</v>
      </c>
      <c r="G126" s="107"/>
      <c r="H126" s="101" t="s">
        <v>13</v>
      </c>
      <c r="I126" s="109">
        <v>4600</v>
      </c>
      <c r="J126" s="109"/>
      <c r="K126" s="104" t="s">
        <v>8</v>
      </c>
      <c r="L126" s="105">
        <v>215656.73</v>
      </c>
    </row>
    <row r="127" spans="1:12" ht="51" hidden="1" x14ac:dyDescent="0.3">
      <c r="A127" s="99" t="s">
        <v>424</v>
      </c>
      <c r="B127" s="100" t="s">
        <v>484</v>
      </c>
      <c r="C127" s="100" t="s">
        <v>486</v>
      </c>
      <c r="D127" s="100" t="s">
        <v>435</v>
      </c>
      <c r="E127" s="101" t="s">
        <v>13</v>
      </c>
      <c r="F127" s="106">
        <v>4600</v>
      </c>
      <c r="G127" s="106"/>
      <c r="H127" s="101" t="s">
        <v>13</v>
      </c>
      <c r="I127" s="103" t="s">
        <v>15</v>
      </c>
      <c r="J127" s="103"/>
      <c r="K127" s="104" t="s">
        <v>8</v>
      </c>
      <c r="L127" s="105">
        <v>70789.58</v>
      </c>
    </row>
    <row r="128" spans="1:12" ht="51" hidden="1" x14ac:dyDescent="0.3">
      <c r="A128" s="99" t="s">
        <v>424</v>
      </c>
      <c r="B128" s="100" t="s">
        <v>487</v>
      </c>
      <c r="C128" s="100" t="s">
        <v>488</v>
      </c>
      <c r="D128" s="100" t="s">
        <v>429</v>
      </c>
      <c r="E128" s="101" t="s">
        <v>13</v>
      </c>
      <c r="F128" s="106">
        <v>6680</v>
      </c>
      <c r="G128" s="106"/>
      <c r="H128" s="101" t="s">
        <v>13</v>
      </c>
      <c r="I128" s="103" t="s">
        <v>15</v>
      </c>
      <c r="J128" s="103"/>
      <c r="K128" s="104" t="s">
        <v>8</v>
      </c>
      <c r="L128" s="105">
        <v>77469.58</v>
      </c>
    </row>
    <row r="129" spans="1:12" ht="51" hidden="1" x14ac:dyDescent="0.3">
      <c r="A129" s="99" t="s">
        <v>424</v>
      </c>
      <c r="B129" s="100" t="s">
        <v>487</v>
      </c>
      <c r="C129" s="100" t="s">
        <v>488</v>
      </c>
      <c r="D129" s="100" t="s">
        <v>429</v>
      </c>
      <c r="E129" s="101" t="s">
        <v>13</v>
      </c>
      <c r="F129" s="107" t="s">
        <v>15</v>
      </c>
      <c r="G129" s="107"/>
      <c r="H129" s="101" t="s">
        <v>13</v>
      </c>
      <c r="I129" s="109">
        <v>6680</v>
      </c>
      <c r="J129" s="109"/>
      <c r="K129" s="104" t="s">
        <v>8</v>
      </c>
      <c r="L129" s="105">
        <v>208976.73</v>
      </c>
    </row>
    <row r="130" spans="1:12" ht="51" hidden="1" x14ac:dyDescent="0.3">
      <c r="A130" s="99" t="s">
        <v>424</v>
      </c>
      <c r="B130" s="100" t="s">
        <v>489</v>
      </c>
      <c r="C130" s="100" t="s">
        <v>490</v>
      </c>
      <c r="D130" s="100" t="s">
        <v>491</v>
      </c>
      <c r="E130" s="101" t="s">
        <v>13</v>
      </c>
      <c r="F130" s="102">
        <v>85.14</v>
      </c>
      <c r="G130" s="102"/>
      <c r="H130" s="101" t="s">
        <v>14</v>
      </c>
      <c r="I130" s="103" t="s">
        <v>15</v>
      </c>
      <c r="J130" s="103"/>
      <c r="K130" s="104" t="s">
        <v>8</v>
      </c>
      <c r="L130" s="105">
        <v>209061.87</v>
      </c>
    </row>
    <row r="131" spans="1:12" ht="51" x14ac:dyDescent="0.3">
      <c r="A131" s="99" t="s">
        <v>60</v>
      </c>
      <c r="B131" s="100" t="s">
        <v>492</v>
      </c>
      <c r="C131" s="100" t="s">
        <v>493</v>
      </c>
      <c r="D131" s="100" t="s">
        <v>494</v>
      </c>
      <c r="E131" s="101" t="s">
        <v>105</v>
      </c>
      <c r="F131" s="107" t="s">
        <v>15</v>
      </c>
      <c r="G131" s="107"/>
      <c r="H131" s="101" t="s">
        <v>13</v>
      </c>
      <c r="I131" s="109">
        <v>3014</v>
      </c>
      <c r="J131" s="109"/>
      <c r="K131" s="104" t="s">
        <v>8</v>
      </c>
      <c r="L131" s="105">
        <v>74455.58</v>
      </c>
    </row>
    <row r="132" spans="1:12" ht="51" x14ac:dyDescent="0.3">
      <c r="A132" s="99" t="s">
        <v>60</v>
      </c>
      <c r="B132" s="100" t="s">
        <v>492</v>
      </c>
      <c r="C132" s="100" t="s">
        <v>493</v>
      </c>
      <c r="D132" s="100" t="s">
        <v>495</v>
      </c>
      <c r="E132" s="101" t="s">
        <v>105</v>
      </c>
      <c r="F132" s="107" t="s">
        <v>15</v>
      </c>
      <c r="G132" s="107"/>
      <c r="H132" s="101" t="s">
        <v>13</v>
      </c>
      <c r="I132" s="109">
        <v>1507</v>
      </c>
      <c r="J132" s="109"/>
      <c r="K132" s="104" t="s">
        <v>8</v>
      </c>
      <c r="L132" s="105">
        <v>72948.58</v>
      </c>
    </row>
    <row r="133" spans="1:12" ht="51" x14ac:dyDescent="0.3">
      <c r="A133" s="99" t="s">
        <v>60</v>
      </c>
      <c r="B133" s="100" t="s">
        <v>492</v>
      </c>
      <c r="C133" s="100" t="s">
        <v>493</v>
      </c>
      <c r="D133" s="100" t="s">
        <v>496</v>
      </c>
      <c r="E133" s="101" t="s">
        <v>105</v>
      </c>
      <c r="F133" s="107" t="s">
        <v>15</v>
      </c>
      <c r="G133" s="107"/>
      <c r="H133" s="101" t="s">
        <v>13</v>
      </c>
      <c r="I133" s="109">
        <v>2416.65</v>
      </c>
      <c r="J133" s="109"/>
      <c r="K133" s="104" t="s">
        <v>8</v>
      </c>
      <c r="L133" s="105">
        <v>70531.929999999993</v>
      </c>
    </row>
    <row r="134" spans="1:12" ht="51" x14ac:dyDescent="0.3">
      <c r="A134" s="99" t="s">
        <v>60</v>
      </c>
      <c r="B134" s="100" t="s">
        <v>492</v>
      </c>
      <c r="C134" s="100" t="s">
        <v>493</v>
      </c>
      <c r="D134" s="100" t="s">
        <v>347</v>
      </c>
      <c r="E134" s="101" t="s">
        <v>105</v>
      </c>
      <c r="F134" s="107" t="s">
        <v>15</v>
      </c>
      <c r="G134" s="107"/>
      <c r="H134" s="101" t="s">
        <v>13</v>
      </c>
      <c r="I134" s="108">
        <v>250</v>
      </c>
      <c r="J134" s="108"/>
      <c r="K134" s="104" t="s">
        <v>8</v>
      </c>
      <c r="L134" s="105">
        <v>70281.929999999993</v>
      </c>
    </row>
    <row r="135" spans="1:12" ht="51" x14ac:dyDescent="0.3">
      <c r="A135" s="99" t="s">
        <v>60</v>
      </c>
      <c r="B135" s="100" t="s">
        <v>492</v>
      </c>
      <c r="C135" s="100" t="s">
        <v>493</v>
      </c>
      <c r="D135" s="100" t="s">
        <v>497</v>
      </c>
      <c r="E135" s="101" t="s">
        <v>105</v>
      </c>
      <c r="F135" s="107" t="s">
        <v>15</v>
      </c>
      <c r="G135" s="107"/>
      <c r="H135" s="101" t="s">
        <v>13</v>
      </c>
      <c r="I135" s="108">
        <v>870</v>
      </c>
      <c r="J135" s="108"/>
      <c r="K135" s="104" t="s">
        <v>8</v>
      </c>
      <c r="L135" s="105">
        <v>69411.929999999993</v>
      </c>
    </row>
    <row r="136" spans="1:12" ht="51" x14ac:dyDescent="0.3">
      <c r="A136" s="99" t="s">
        <v>60</v>
      </c>
      <c r="B136" s="100" t="s">
        <v>498</v>
      </c>
      <c r="C136" s="100" t="s">
        <v>493</v>
      </c>
      <c r="D136" s="100" t="s">
        <v>499</v>
      </c>
      <c r="E136" s="101" t="s">
        <v>105</v>
      </c>
      <c r="F136" s="107" t="s">
        <v>15</v>
      </c>
      <c r="G136" s="107"/>
      <c r="H136" s="101" t="s">
        <v>13</v>
      </c>
      <c r="I136" s="108">
        <v>631</v>
      </c>
      <c r="J136" s="108"/>
      <c r="K136" s="104" t="s">
        <v>8</v>
      </c>
      <c r="L136" s="105">
        <v>13727.15</v>
      </c>
    </row>
    <row r="137" spans="1:12" ht="51" x14ac:dyDescent="0.3">
      <c r="A137" s="99" t="s">
        <v>60</v>
      </c>
      <c r="B137" s="100" t="s">
        <v>500</v>
      </c>
      <c r="C137" s="100" t="s">
        <v>493</v>
      </c>
      <c r="D137" s="100" t="s">
        <v>501</v>
      </c>
      <c r="E137" s="101" t="s">
        <v>105</v>
      </c>
      <c r="F137" s="107" t="s">
        <v>15</v>
      </c>
      <c r="G137" s="107"/>
      <c r="H137" s="101" t="s">
        <v>13</v>
      </c>
      <c r="I137" s="108">
        <v>100.65</v>
      </c>
      <c r="J137" s="108"/>
      <c r="K137" s="104" t="s">
        <v>8</v>
      </c>
      <c r="L137" s="105">
        <v>100210.74</v>
      </c>
    </row>
    <row r="138" spans="1:12" ht="51" x14ac:dyDescent="0.3">
      <c r="A138" s="99" t="s">
        <v>60</v>
      </c>
      <c r="B138" s="100" t="s">
        <v>500</v>
      </c>
      <c r="C138" s="100" t="s">
        <v>493</v>
      </c>
      <c r="D138" s="100" t="s">
        <v>502</v>
      </c>
      <c r="E138" s="101" t="s">
        <v>105</v>
      </c>
      <c r="F138" s="107" t="s">
        <v>15</v>
      </c>
      <c r="G138" s="107"/>
      <c r="H138" s="101" t="s">
        <v>13</v>
      </c>
      <c r="I138" s="108">
        <v>108.35</v>
      </c>
      <c r="J138" s="108"/>
      <c r="K138" s="104" t="s">
        <v>8</v>
      </c>
      <c r="L138" s="105">
        <v>100102.39</v>
      </c>
    </row>
    <row r="139" spans="1:12" ht="51" x14ac:dyDescent="0.3">
      <c r="A139" s="99" t="s">
        <v>60</v>
      </c>
      <c r="B139" s="100" t="s">
        <v>500</v>
      </c>
      <c r="C139" s="100" t="s">
        <v>493</v>
      </c>
      <c r="D139" s="100" t="s">
        <v>503</v>
      </c>
      <c r="E139" s="101" t="s">
        <v>105</v>
      </c>
      <c r="F139" s="107" t="s">
        <v>15</v>
      </c>
      <c r="G139" s="107"/>
      <c r="H139" s="101" t="s">
        <v>13</v>
      </c>
      <c r="I139" s="108">
        <v>170.8</v>
      </c>
      <c r="J139" s="108"/>
      <c r="K139" s="104" t="s">
        <v>8</v>
      </c>
      <c r="L139" s="105">
        <v>99931.59</v>
      </c>
    </row>
    <row r="140" spans="1:12" ht="51" x14ac:dyDescent="0.3">
      <c r="A140" s="99" t="s">
        <v>60</v>
      </c>
      <c r="B140" s="100" t="s">
        <v>500</v>
      </c>
      <c r="C140" s="100" t="s">
        <v>493</v>
      </c>
      <c r="D140" s="100" t="s">
        <v>504</v>
      </c>
      <c r="E140" s="101" t="s">
        <v>105</v>
      </c>
      <c r="F140" s="107" t="s">
        <v>15</v>
      </c>
      <c r="G140" s="107"/>
      <c r="H140" s="101" t="s">
        <v>13</v>
      </c>
      <c r="I140" s="108">
        <v>379.1</v>
      </c>
      <c r="J140" s="108"/>
      <c r="K140" s="104" t="s">
        <v>8</v>
      </c>
      <c r="L140" s="105">
        <v>99552.49</v>
      </c>
    </row>
    <row r="141" spans="1:12" ht="51" hidden="1" x14ac:dyDescent="0.3">
      <c r="A141" s="99" t="s">
        <v>60</v>
      </c>
      <c r="B141" s="100" t="s">
        <v>505</v>
      </c>
      <c r="C141" s="100" t="s">
        <v>506</v>
      </c>
      <c r="D141" s="100" t="s">
        <v>507</v>
      </c>
      <c r="E141" s="101" t="s">
        <v>13</v>
      </c>
      <c r="F141" s="102">
        <v>800</v>
      </c>
      <c r="G141" s="102"/>
      <c r="H141" s="101" t="s">
        <v>14</v>
      </c>
      <c r="I141" s="103" t="s">
        <v>15</v>
      </c>
      <c r="J141" s="103"/>
      <c r="K141" s="104" t="s">
        <v>8</v>
      </c>
      <c r="L141" s="105">
        <v>96639.52</v>
      </c>
    </row>
    <row r="142" spans="1:12" ht="51" hidden="1" x14ac:dyDescent="0.3">
      <c r="A142" s="99" t="s">
        <v>60</v>
      </c>
      <c r="B142" s="100" t="s">
        <v>508</v>
      </c>
      <c r="C142" s="100" t="s">
        <v>509</v>
      </c>
      <c r="D142" s="100" t="s">
        <v>510</v>
      </c>
      <c r="E142" s="101" t="s">
        <v>13</v>
      </c>
      <c r="F142" s="106">
        <v>7262</v>
      </c>
      <c r="G142" s="106"/>
      <c r="H142" s="101" t="s">
        <v>14</v>
      </c>
      <c r="I142" s="103" t="s">
        <v>15</v>
      </c>
      <c r="J142" s="103"/>
      <c r="K142" s="104" t="s">
        <v>8</v>
      </c>
      <c r="L142" s="105">
        <v>216323.87</v>
      </c>
    </row>
    <row r="143" spans="1:12" ht="51" hidden="1" x14ac:dyDescent="0.3">
      <c r="A143" s="99" t="s">
        <v>60</v>
      </c>
      <c r="B143" s="100" t="s">
        <v>508</v>
      </c>
      <c r="C143" s="100" t="s">
        <v>511</v>
      </c>
      <c r="D143" s="100" t="s">
        <v>510</v>
      </c>
      <c r="E143" s="101" t="s">
        <v>13</v>
      </c>
      <c r="F143" s="106">
        <v>3615</v>
      </c>
      <c r="G143" s="106"/>
      <c r="H143" s="101" t="s">
        <v>14</v>
      </c>
      <c r="I143" s="103" t="s">
        <v>15</v>
      </c>
      <c r="J143" s="103"/>
      <c r="K143" s="104" t="s">
        <v>8</v>
      </c>
      <c r="L143" s="105">
        <v>219938.87</v>
      </c>
    </row>
    <row r="144" spans="1:12" ht="51" hidden="1" x14ac:dyDescent="0.3">
      <c r="A144" s="99" t="s">
        <v>60</v>
      </c>
      <c r="B144" s="100" t="s">
        <v>508</v>
      </c>
      <c r="C144" s="100" t="s">
        <v>512</v>
      </c>
      <c r="D144" s="100" t="s">
        <v>510</v>
      </c>
      <c r="E144" s="101" t="s">
        <v>13</v>
      </c>
      <c r="F144" s="102">
        <v>651.6</v>
      </c>
      <c r="G144" s="102"/>
      <c r="H144" s="101" t="s">
        <v>14</v>
      </c>
      <c r="I144" s="103" t="s">
        <v>15</v>
      </c>
      <c r="J144" s="103"/>
      <c r="K144" s="104" t="s">
        <v>8</v>
      </c>
      <c r="L144" s="105">
        <v>220590.47</v>
      </c>
    </row>
    <row r="145" spans="1:12" ht="51" hidden="1" x14ac:dyDescent="0.3">
      <c r="A145" s="99" t="s">
        <v>60</v>
      </c>
      <c r="B145" s="100" t="s">
        <v>508</v>
      </c>
      <c r="C145" s="100" t="s">
        <v>513</v>
      </c>
      <c r="D145" s="100" t="s">
        <v>510</v>
      </c>
      <c r="E145" s="101" t="s">
        <v>13</v>
      </c>
      <c r="F145" s="102">
        <v>716.7</v>
      </c>
      <c r="G145" s="102"/>
      <c r="H145" s="101" t="s">
        <v>14</v>
      </c>
      <c r="I145" s="103" t="s">
        <v>15</v>
      </c>
      <c r="J145" s="103"/>
      <c r="K145" s="104" t="s">
        <v>8</v>
      </c>
      <c r="L145" s="105">
        <v>221307.17</v>
      </c>
    </row>
    <row r="146" spans="1:12" ht="51" hidden="1" x14ac:dyDescent="0.3">
      <c r="A146" s="99" t="s">
        <v>60</v>
      </c>
      <c r="B146" s="100" t="s">
        <v>508</v>
      </c>
      <c r="C146" s="100" t="s">
        <v>514</v>
      </c>
      <c r="D146" s="100" t="s">
        <v>510</v>
      </c>
      <c r="E146" s="101" t="s">
        <v>13</v>
      </c>
      <c r="F146" s="106">
        <v>3122</v>
      </c>
      <c r="G146" s="106"/>
      <c r="H146" s="101" t="s">
        <v>14</v>
      </c>
      <c r="I146" s="103" t="s">
        <v>15</v>
      </c>
      <c r="J146" s="103"/>
      <c r="K146" s="104" t="s">
        <v>8</v>
      </c>
      <c r="L146" s="105">
        <v>224429.17</v>
      </c>
    </row>
    <row r="147" spans="1:12" ht="51" hidden="1" x14ac:dyDescent="0.3">
      <c r="A147" s="99" t="s">
        <v>60</v>
      </c>
      <c r="B147" s="100" t="s">
        <v>508</v>
      </c>
      <c r="C147" s="100" t="s">
        <v>515</v>
      </c>
      <c r="D147" s="100" t="s">
        <v>510</v>
      </c>
      <c r="E147" s="101" t="s">
        <v>13</v>
      </c>
      <c r="F147" s="106">
        <v>3482.25</v>
      </c>
      <c r="G147" s="106"/>
      <c r="H147" s="101" t="s">
        <v>14</v>
      </c>
      <c r="I147" s="103" t="s">
        <v>15</v>
      </c>
      <c r="J147" s="103"/>
      <c r="K147" s="104" t="s">
        <v>8</v>
      </c>
      <c r="L147" s="105">
        <v>227911.42</v>
      </c>
    </row>
    <row r="148" spans="1:12" ht="51" hidden="1" x14ac:dyDescent="0.3">
      <c r="A148" s="99" t="s">
        <v>60</v>
      </c>
      <c r="B148" s="100" t="s">
        <v>516</v>
      </c>
      <c r="C148" s="100" t="s">
        <v>517</v>
      </c>
      <c r="D148" s="100" t="s">
        <v>509</v>
      </c>
      <c r="E148" s="101" t="s">
        <v>13</v>
      </c>
      <c r="F148" s="107" t="s">
        <v>15</v>
      </c>
      <c r="G148" s="107"/>
      <c r="H148" s="101" t="s">
        <v>13</v>
      </c>
      <c r="I148" s="109">
        <v>3631</v>
      </c>
      <c r="J148" s="109"/>
      <c r="K148" s="104" t="s">
        <v>8</v>
      </c>
      <c r="L148" s="105">
        <v>224280.42</v>
      </c>
    </row>
    <row r="149" spans="1:12" ht="51" hidden="1" x14ac:dyDescent="0.3">
      <c r="A149" s="99" t="s">
        <v>60</v>
      </c>
      <c r="B149" s="100" t="s">
        <v>516</v>
      </c>
      <c r="C149" s="100" t="s">
        <v>517</v>
      </c>
      <c r="D149" s="100" t="s">
        <v>509</v>
      </c>
      <c r="E149" s="101" t="s">
        <v>13</v>
      </c>
      <c r="F149" s="106">
        <v>3631</v>
      </c>
      <c r="G149" s="106"/>
      <c r="H149" s="101" t="s">
        <v>13</v>
      </c>
      <c r="I149" s="103" t="s">
        <v>15</v>
      </c>
      <c r="J149" s="103"/>
      <c r="K149" s="104" t="s">
        <v>8</v>
      </c>
      <c r="L149" s="105">
        <v>100270.52</v>
      </c>
    </row>
    <row r="150" spans="1:12" ht="51" hidden="1" x14ac:dyDescent="0.3">
      <c r="A150" s="99" t="s">
        <v>60</v>
      </c>
      <c r="B150" s="100" t="s">
        <v>516</v>
      </c>
      <c r="C150" s="100" t="s">
        <v>518</v>
      </c>
      <c r="D150" s="100" t="s">
        <v>515</v>
      </c>
      <c r="E150" s="101" t="s">
        <v>13</v>
      </c>
      <c r="F150" s="107" t="s">
        <v>15</v>
      </c>
      <c r="G150" s="107"/>
      <c r="H150" s="101" t="s">
        <v>13</v>
      </c>
      <c r="I150" s="109">
        <v>1625.05</v>
      </c>
      <c r="J150" s="109"/>
      <c r="K150" s="104" t="s">
        <v>8</v>
      </c>
      <c r="L150" s="105">
        <v>222655.37</v>
      </c>
    </row>
    <row r="151" spans="1:12" ht="51" hidden="1" x14ac:dyDescent="0.3">
      <c r="A151" s="99" t="s">
        <v>60</v>
      </c>
      <c r="B151" s="100" t="s">
        <v>516</v>
      </c>
      <c r="C151" s="100" t="s">
        <v>518</v>
      </c>
      <c r="D151" s="100" t="s">
        <v>515</v>
      </c>
      <c r="E151" s="101" t="s">
        <v>13</v>
      </c>
      <c r="F151" s="106">
        <v>1625.05</v>
      </c>
      <c r="G151" s="106"/>
      <c r="H151" s="101" t="s">
        <v>13</v>
      </c>
      <c r="I151" s="103" t="s">
        <v>15</v>
      </c>
      <c r="J151" s="103"/>
      <c r="K151" s="104" t="s">
        <v>8</v>
      </c>
      <c r="L151" s="105">
        <v>101895.57</v>
      </c>
    </row>
    <row r="152" spans="1:12" ht="51" hidden="1" x14ac:dyDescent="0.3">
      <c r="A152" s="99" t="s">
        <v>60</v>
      </c>
      <c r="B152" s="100" t="s">
        <v>516</v>
      </c>
      <c r="C152" s="100" t="s">
        <v>519</v>
      </c>
      <c r="D152" s="100" t="s">
        <v>511</v>
      </c>
      <c r="E152" s="101" t="s">
        <v>13</v>
      </c>
      <c r="F152" s="107" t="s">
        <v>15</v>
      </c>
      <c r="G152" s="107"/>
      <c r="H152" s="101" t="s">
        <v>13</v>
      </c>
      <c r="I152" s="109">
        <v>1084.5</v>
      </c>
      <c r="J152" s="109"/>
      <c r="K152" s="104" t="s">
        <v>8</v>
      </c>
      <c r="L152" s="105">
        <v>221570.87</v>
      </c>
    </row>
    <row r="153" spans="1:12" ht="51" hidden="1" x14ac:dyDescent="0.3">
      <c r="A153" s="99" t="s">
        <v>60</v>
      </c>
      <c r="B153" s="100" t="s">
        <v>516</v>
      </c>
      <c r="C153" s="100" t="s">
        <v>519</v>
      </c>
      <c r="D153" s="100" t="s">
        <v>511</v>
      </c>
      <c r="E153" s="101" t="s">
        <v>13</v>
      </c>
      <c r="F153" s="106">
        <v>1084.5</v>
      </c>
      <c r="G153" s="106"/>
      <c r="H153" s="101" t="s">
        <v>13</v>
      </c>
      <c r="I153" s="103" t="s">
        <v>15</v>
      </c>
      <c r="J153" s="103"/>
      <c r="K153" s="104" t="s">
        <v>8</v>
      </c>
      <c r="L153" s="105">
        <v>102980.07</v>
      </c>
    </row>
    <row r="154" spans="1:12" ht="51" hidden="1" x14ac:dyDescent="0.3">
      <c r="A154" s="99" t="s">
        <v>60</v>
      </c>
      <c r="B154" s="100" t="s">
        <v>520</v>
      </c>
      <c r="C154" s="100" t="s">
        <v>521</v>
      </c>
      <c r="D154" s="100" t="s">
        <v>511</v>
      </c>
      <c r="E154" s="101" t="s">
        <v>13</v>
      </c>
      <c r="F154" s="107" t="s">
        <v>15</v>
      </c>
      <c r="G154" s="107"/>
      <c r="H154" s="101" t="s">
        <v>13</v>
      </c>
      <c r="I154" s="109">
        <v>1446</v>
      </c>
      <c r="J154" s="109"/>
      <c r="K154" s="104" t="s">
        <v>8</v>
      </c>
      <c r="L154" s="105">
        <v>220124.87</v>
      </c>
    </row>
    <row r="155" spans="1:12" ht="51" hidden="1" x14ac:dyDescent="0.3">
      <c r="A155" s="99" t="s">
        <v>60</v>
      </c>
      <c r="B155" s="100" t="s">
        <v>520</v>
      </c>
      <c r="C155" s="100" t="s">
        <v>521</v>
      </c>
      <c r="D155" s="100" t="s">
        <v>511</v>
      </c>
      <c r="E155" s="101" t="s">
        <v>13</v>
      </c>
      <c r="F155" s="106">
        <v>1446</v>
      </c>
      <c r="G155" s="106"/>
      <c r="H155" s="101" t="s">
        <v>13</v>
      </c>
      <c r="I155" s="103" t="s">
        <v>15</v>
      </c>
      <c r="J155" s="103"/>
      <c r="K155" s="104" t="s">
        <v>8</v>
      </c>
      <c r="L155" s="105">
        <v>9128.15</v>
      </c>
    </row>
    <row r="156" spans="1:12" ht="51" hidden="1" x14ac:dyDescent="0.3">
      <c r="A156" s="99" t="s">
        <v>60</v>
      </c>
      <c r="B156" s="100" t="s">
        <v>520</v>
      </c>
      <c r="C156" s="100" t="s">
        <v>522</v>
      </c>
      <c r="D156" s="100" t="s">
        <v>514</v>
      </c>
      <c r="E156" s="101" t="s">
        <v>13</v>
      </c>
      <c r="F156" s="107" t="s">
        <v>15</v>
      </c>
      <c r="G156" s="107"/>
      <c r="H156" s="101" t="s">
        <v>13</v>
      </c>
      <c r="I156" s="108">
        <v>780.5</v>
      </c>
      <c r="J156" s="108"/>
      <c r="K156" s="104" t="s">
        <v>8</v>
      </c>
      <c r="L156" s="105">
        <v>219344.37</v>
      </c>
    </row>
    <row r="157" spans="1:12" ht="51" hidden="1" x14ac:dyDescent="0.3">
      <c r="A157" s="99" t="s">
        <v>60</v>
      </c>
      <c r="B157" s="100" t="s">
        <v>520</v>
      </c>
      <c r="C157" s="100" t="s">
        <v>522</v>
      </c>
      <c r="D157" s="100" t="s">
        <v>514</v>
      </c>
      <c r="E157" s="101" t="s">
        <v>13</v>
      </c>
      <c r="F157" s="102">
        <v>780.5</v>
      </c>
      <c r="G157" s="102"/>
      <c r="H157" s="101" t="s">
        <v>13</v>
      </c>
      <c r="I157" s="103" t="s">
        <v>15</v>
      </c>
      <c r="J157" s="103"/>
      <c r="K157" s="104" t="s">
        <v>8</v>
      </c>
      <c r="L157" s="105">
        <v>9908.65</v>
      </c>
    </row>
    <row r="158" spans="1:12" ht="51" hidden="1" x14ac:dyDescent="0.3">
      <c r="A158" s="99" t="s">
        <v>60</v>
      </c>
      <c r="B158" s="100" t="s">
        <v>523</v>
      </c>
      <c r="C158" s="100" t="s">
        <v>524</v>
      </c>
      <c r="D158" s="100" t="s">
        <v>514</v>
      </c>
      <c r="E158" s="101" t="s">
        <v>13</v>
      </c>
      <c r="F158" s="107" t="s">
        <v>15</v>
      </c>
      <c r="G158" s="107"/>
      <c r="H158" s="101" t="s">
        <v>13</v>
      </c>
      <c r="I158" s="108">
        <v>780.5</v>
      </c>
      <c r="J158" s="108"/>
      <c r="K158" s="104" t="s">
        <v>8</v>
      </c>
      <c r="L158" s="105">
        <v>218563.87</v>
      </c>
    </row>
    <row r="159" spans="1:12" ht="51" hidden="1" x14ac:dyDescent="0.3">
      <c r="A159" s="99" t="s">
        <v>60</v>
      </c>
      <c r="B159" s="100" t="s">
        <v>523</v>
      </c>
      <c r="C159" s="100" t="s">
        <v>524</v>
      </c>
      <c r="D159" s="100" t="s">
        <v>514</v>
      </c>
      <c r="E159" s="101" t="s">
        <v>13</v>
      </c>
      <c r="F159" s="102">
        <v>780.5</v>
      </c>
      <c r="G159" s="102"/>
      <c r="H159" s="101" t="s">
        <v>13</v>
      </c>
      <c r="I159" s="103" t="s">
        <v>15</v>
      </c>
      <c r="J159" s="103"/>
      <c r="K159" s="104" t="s">
        <v>8</v>
      </c>
      <c r="L159" s="105">
        <v>70192.429999999993</v>
      </c>
    </row>
    <row r="160" spans="1:12" ht="51" hidden="1" x14ac:dyDescent="0.3">
      <c r="A160" s="99" t="s">
        <v>60</v>
      </c>
      <c r="B160" s="100" t="s">
        <v>523</v>
      </c>
      <c r="C160" s="100" t="s">
        <v>525</v>
      </c>
      <c r="D160" s="100" t="s">
        <v>515</v>
      </c>
      <c r="E160" s="101" t="s">
        <v>13</v>
      </c>
      <c r="F160" s="106">
        <v>1857.2</v>
      </c>
      <c r="G160" s="106"/>
      <c r="H160" s="101" t="s">
        <v>13</v>
      </c>
      <c r="I160" s="103" t="s">
        <v>15</v>
      </c>
      <c r="J160" s="103"/>
      <c r="K160" s="104" t="s">
        <v>8</v>
      </c>
      <c r="L160" s="105">
        <v>72049.63</v>
      </c>
    </row>
    <row r="161" spans="1:12" ht="51" hidden="1" x14ac:dyDescent="0.3">
      <c r="A161" s="99" t="s">
        <v>60</v>
      </c>
      <c r="B161" s="100" t="s">
        <v>523</v>
      </c>
      <c r="C161" s="100" t="s">
        <v>525</v>
      </c>
      <c r="D161" s="100" t="s">
        <v>515</v>
      </c>
      <c r="E161" s="101" t="s">
        <v>13</v>
      </c>
      <c r="F161" s="107" t="s">
        <v>15</v>
      </c>
      <c r="G161" s="107"/>
      <c r="H161" s="101" t="s">
        <v>13</v>
      </c>
      <c r="I161" s="109">
        <v>1857.2</v>
      </c>
      <c r="J161" s="109"/>
      <c r="K161" s="104" t="s">
        <v>8</v>
      </c>
      <c r="L161" s="105">
        <v>216706.67</v>
      </c>
    </row>
    <row r="162" spans="1:12" ht="51" hidden="1" x14ac:dyDescent="0.3">
      <c r="A162" s="99" t="s">
        <v>60</v>
      </c>
      <c r="B162" s="100" t="s">
        <v>526</v>
      </c>
      <c r="C162" s="100" t="s">
        <v>527</v>
      </c>
      <c r="D162" s="100" t="s">
        <v>514</v>
      </c>
      <c r="E162" s="101" t="s">
        <v>13</v>
      </c>
      <c r="F162" s="102">
        <v>780.5</v>
      </c>
      <c r="G162" s="102"/>
      <c r="H162" s="101" t="s">
        <v>13</v>
      </c>
      <c r="I162" s="103" t="s">
        <v>15</v>
      </c>
      <c r="J162" s="103"/>
      <c r="K162" s="104" t="s">
        <v>8</v>
      </c>
      <c r="L162" s="105">
        <v>6535.27</v>
      </c>
    </row>
    <row r="163" spans="1:12" ht="51" hidden="1" x14ac:dyDescent="0.3">
      <c r="A163" s="99" t="s">
        <v>60</v>
      </c>
      <c r="B163" s="100" t="s">
        <v>526</v>
      </c>
      <c r="C163" s="100" t="s">
        <v>527</v>
      </c>
      <c r="D163" s="100" t="s">
        <v>514</v>
      </c>
      <c r="E163" s="101" t="s">
        <v>13</v>
      </c>
      <c r="F163" s="107" t="s">
        <v>15</v>
      </c>
      <c r="G163" s="107"/>
      <c r="H163" s="101" t="s">
        <v>13</v>
      </c>
      <c r="I163" s="108">
        <v>780.5</v>
      </c>
      <c r="J163" s="108"/>
      <c r="K163" s="104" t="s">
        <v>8</v>
      </c>
      <c r="L163" s="105">
        <v>215926.17</v>
      </c>
    </row>
    <row r="164" spans="1:12" ht="51" hidden="1" x14ac:dyDescent="0.3">
      <c r="A164" s="99" t="s">
        <v>60</v>
      </c>
      <c r="B164" s="100" t="s">
        <v>528</v>
      </c>
      <c r="C164" s="100" t="s">
        <v>529</v>
      </c>
      <c r="D164" s="100" t="s">
        <v>509</v>
      </c>
      <c r="E164" s="101" t="s">
        <v>13</v>
      </c>
      <c r="F164" s="107" t="s">
        <v>15</v>
      </c>
      <c r="G164" s="107"/>
      <c r="H164" s="101" t="s">
        <v>13</v>
      </c>
      <c r="I164" s="109">
        <v>3631</v>
      </c>
      <c r="J164" s="109"/>
      <c r="K164" s="104" t="s">
        <v>8</v>
      </c>
      <c r="L164" s="105">
        <v>212295.17</v>
      </c>
    </row>
    <row r="165" spans="1:12" ht="51" hidden="1" x14ac:dyDescent="0.3">
      <c r="A165" s="99" t="s">
        <v>60</v>
      </c>
      <c r="B165" s="100" t="s">
        <v>528</v>
      </c>
      <c r="C165" s="100" t="s">
        <v>529</v>
      </c>
      <c r="D165" s="100" t="s">
        <v>509</v>
      </c>
      <c r="E165" s="101" t="s">
        <v>13</v>
      </c>
      <c r="F165" s="106">
        <v>3631</v>
      </c>
      <c r="G165" s="106"/>
      <c r="H165" s="101" t="s">
        <v>13</v>
      </c>
      <c r="I165" s="103" t="s">
        <v>15</v>
      </c>
      <c r="J165" s="103"/>
      <c r="K165" s="104" t="s">
        <v>8</v>
      </c>
      <c r="L165" s="105">
        <v>19466.490000000002</v>
      </c>
    </row>
    <row r="166" spans="1:12" ht="51" hidden="1" x14ac:dyDescent="0.3">
      <c r="A166" s="99" t="s">
        <v>60</v>
      </c>
      <c r="B166" s="100" t="s">
        <v>528</v>
      </c>
      <c r="C166" s="100" t="s">
        <v>530</v>
      </c>
      <c r="D166" s="100" t="s">
        <v>511</v>
      </c>
      <c r="E166" s="101" t="s">
        <v>13</v>
      </c>
      <c r="F166" s="107" t="s">
        <v>15</v>
      </c>
      <c r="G166" s="107"/>
      <c r="H166" s="101" t="s">
        <v>13</v>
      </c>
      <c r="I166" s="109">
        <v>1084.5</v>
      </c>
      <c r="J166" s="109"/>
      <c r="K166" s="104" t="s">
        <v>8</v>
      </c>
      <c r="L166" s="105">
        <v>211210.67</v>
      </c>
    </row>
    <row r="167" spans="1:12" ht="51" hidden="1" x14ac:dyDescent="0.3">
      <c r="A167" s="99" t="s">
        <v>60</v>
      </c>
      <c r="B167" s="100" t="s">
        <v>528</v>
      </c>
      <c r="C167" s="100" t="s">
        <v>530</v>
      </c>
      <c r="D167" s="100" t="s">
        <v>511</v>
      </c>
      <c r="E167" s="101" t="s">
        <v>13</v>
      </c>
      <c r="F167" s="106">
        <v>1084.5</v>
      </c>
      <c r="G167" s="106"/>
      <c r="H167" s="101" t="s">
        <v>13</v>
      </c>
      <c r="I167" s="103" t="s">
        <v>15</v>
      </c>
      <c r="J167" s="103"/>
      <c r="K167" s="104" t="s">
        <v>8</v>
      </c>
      <c r="L167" s="105">
        <v>20550.990000000002</v>
      </c>
    </row>
    <row r="168" spans="1:12" ht="51" hidden="1" x14ac:dyDescent="0.3">
      <c r="A168" s="99" t="s">
        <v>60</v>
      </c>
      <c r="B168" s="100" t="s">
        <v>528</v>
      </c>
      <c r="C168" s="100" t="s">
        <v>531</v>
      </c>
      <c r="D168" s="100" t="s">
        <v>512</v>
      </c>
      <c r="E168" s="101" t="s">
        <v>13</v>
      </c>
      <c r="F168" s="107" t="s">
        <v>15</v>
      </c>
      <c r="G168" s="107"/>
      <c r="H168" s="101" t="s">
        <v>13</v>
      </c>
      <c r="I168" s="108">
        <v>651.6</v>
      </c>
      <c r="J168" s="108"/>
      <c r="K168" s="104" t="s">
        <v>8</v>
      </c>
      <c r="L168" s="105">
        <v>210559.07</v>
      </c>
    </row>
    <row r="169" spans="1:12" ht="51" hidden="1" x14ac:dyDescent="0.3">
      <c r="A169" s="99" t="s">
        <v>60</v>
      </c>
      <c r="B169" s="100" t="s">
        <v>528</v>
      </c>
      <c r="C169" s="100" t="s">
        <v>531</v>
      </c>
      <c r="D169" s="100" t="s">
        <v>512</v>
      </c>
      <c r="E169" s="101" t="s">
        <v>13</v>
      </c>
      <c r="F169" s="102">
        <v>651.6</v>
      </c>
      <c r="G169" s="102"/>
      <c r="H169" s="101" t="s">
        <v>13</v>
      </c>
      <c r="I169" s="103" t="s">
        <v>15</v>
      </c>
      <c r="J169" s="103"/>
      <c r="K169" s="104" t="s">
        <v>8</v>
      </c>
      <c r="L169" s="105">
        <v>21202.59</v>
      </c>
    </row>
    <row r="170" spans="1:12" ht="51" hidden="1" x14ac:dyDescent="0.3">
      <c r="A170" s="99" t="s">
        <v>60</v>
      </c>
      <c r="B170" s="100" t="s">
        <v>528</v>
      </c>
      <c r="C170" s="100" t="s">
        <v>532</v>
      </c>
      <c r="D170" s="100" t="s">
        <v>514</v>
      </c>
      <c r="E170" s="101" t="s">
        <v>13</v>
      </c>
      <c r="F170" s="107" t="s">
        <v>15</v>
      </c>
      <c r="G170" s="107"/>
      <c r="H170" s="101" t="s">
        <v>13</v>
      </c>
      <c r="I170" s="108">
        <v>780.5</v>
      </c>
      <c r="J170" s="108"/>
      <c r="K170" s="104" t="s">
        <v>8</v>
      </c>
      <c r="L170" s="105">
        <v>209778.57</v>
      </c>
    </row>
    <row r="171" spans="1:12" ht="51" hidden="1" x14ac:dyDescent="0.3">
      <c r="A171" s="99" t="s">
        <v>60</v>
      </c>
      <c r="B171" s="100" t="s">
        <v>528</v>
      </c>
      <c r="C171" s="100" t="s">
        <v>532</v>
      </c>
      <c r="D171" s="100" t="s">
        <v>514</v>
      </c>
      <c r="E171" s="101" t="s">
        <v>13</v>
      </c>
      <c r="F171" s="102">
        <v>780.5</v>
      </c>
      <c r="G171" s="102"/>
      <c r="H171" s="101" t="s">
        <v>13</v>
      </c>
      <c r="I171" s="103" t="s">
        <v>15</v>
      </c>
      <c r="J171" s="103"/>
      <c r="K171" s="104" t="s">
        <v>8</v>
      </c>
      <c r="L171" s="105">
        <v>21983.09</v>
      </c>
    </row>
    <row r="172" spans="1:12" ht="51" hidden="1" x14ac:dyDescent="0.3">
      <c r="A172" s="99" t="s">
        <v>98</v>
      </c>
      <c r="B172" s="100" t="s">
        <v>533</v>
      </c>
      <c r="C172" s="100" t="s">
        <v>534</v>
      </c>
      <c r="D172" s="100" t="s">
        <v>535</v>
      </c>
      <c r="E172" s="101" t="s">
        <v>13</v>
      </c>
      <c r="F172" s="102">
        <v>587.75</v>
      </c>
      <c r="G172" s="102"/>
      <c r="H172" s="101" t="s">
        <v>14</v>
      </c>
      <c r="I172" s="103" t="s">
        <v>15</v>
      </c>
      <c r="J172" s="103"/>
      <c r="K172" s="104" t="s">
        <v>8</v>
      </c>
      <c r="L172" s="105">
        <v>210366.32</v>
      </c>
    </row>
    <row r="173" spans="1:12" ht="51" hidden="1" x14ac:dyDescent="0.3">
      <c r="A173" s="99" t="s">
        <v>98</v>
      </c>
      <c r="B173" s="100" t="s">
        <v>533</v>
      </c>
      <c r="C173" s="100" t="s">
        <v>536</v>
      </c>
      <c r="D173" s="100" t="s">
        <v>535</v>
      </c>
      <c r="E173" s="101" t="s">
        <v>13</v>
      </c>
      <c r="F173" s="102">
        <v>297.5</v>
      </c>
      <c r="G173" s="102"/>
      <c r="H173" s="101" t="s">
        <v>14</v>
      </c>
      <c r="I173" s="103" t="s">
        <v>15</v>
      </c>
      <c r="J173" s="103"/>
      <c r="K173" s="104" t="s">
        <v>8</v>
      </c>
      <c r="L173" s="105">
        <v>210663.82</v>
      </c>
    </row>
    <row r="174" spans="1:12" ht="51" hidden="1" x14ac:dyDescent="0.3">
      <c r="A174" s="99" t="s">
        <v>537</v>
      </c>
      <c r="B174" s="100" t="s">
        <v>538</v>
      </c>
      <c r="C174" s="100" t="s">
        <v>539</v>
      </c>
      <c r="D174" s="100" t="s">
        <v>540</v>
      </c>
      <c r="E174" s="101" t="s">
        <v>13</v>
      </c>
      <c r="F174" s="106">
        <v>1260</v>
      </c>
      <c r="G174" s="106"/>
      <c r="H174" s="101" t="s">
        <v>14</v>
      </c>
      <c r="I174" s="103" t="s">
        <v>15</v>
      </c>
      <c r="J174" s="103"/>
      <c r="K174" s="104" t="s">
        <v>8</v>
      </c>
      <c r="L174" s="105">
        <v>211923.82</v>
      </c>
    </row>
    <row r="175" spans="1:12" ht="51" hidden="1" x14ac:dyDescent="0.3">
      <c r="A175" s="99" t="s">
        <v>537</v>
      </c>
      <c r="B175" s="100" t="s">
        <v>538</v>
      </c>
      <c r="C175" s="100" t="s">
        <v>541</v>
      </c>
      <c r="D175" s="100" t="s">
        <v>540</v>
      </c>
      <c r="E175" s="101" t="s">
        <v>13</v>
      </c>
      <c r="F175" s="102">
        <v>381</v>
      </c>
      <c r="G175" s="102"/>
      <c r="H175" s="101" t="s">
        <v>14</v>
      </c>
      <c r="I175" s="103" t="s">
        <v>15</v>
      </c>
      <c r="J175" s="103"/>
      <c r="K175" s="104" t="s">
        <v>8</v>
      </c>
      <c r="L175" s="105">
        <v>212304.82</v>
      </c>
    </row>
    <row r="176" spans="1:12" ht="51" hidden="1" x14ac:dyDescent="0.3">
      <c r="A176" s="99" t="s">
        <v>537</v>
      </c>
      <c r="B176" s="100" t="s">
        <v>538</v>
      </c>
      <c r="C176" s="100" t="s">
        <v>542</v>
      </c>
      <c r="D176" s="100" t="s">
        <v>540</v>
      </c>
      <c r="E176" s="101" t="s">
        <v>13</v>
      </c>
      <c r="F176" s="102">
        <v>530</v>
      </c>
      <c r="G176" s="102"/>
      <c r="H176" s="101" t="s">
        <v>14</v>
      </c>
      <c r="I176" s="103" t="s">
        <v>15</v>
      </c>
      <c r="J176" s="103"/>
      <c r="K176" s="104" t="s">
        <v>8</v>
      </c>
      <c r="L176" s="105">
        <v>212834.82</v>
      </c>
    </row>
    <row r="177" spans="1:12" ht="51" hidden="1" x14ac:dyDescent="0.3">
      <c r="A177" s="99" t="s">
        <v>537</v>
      </c>
      <c r="B177" s="100" t="s">
        <v>538</v>
      </c>
      <c r="C177" s="100" t="s">
        <v>543</v>
      </c>
      <c r="D177" s="100" t="s">
        <v>540</v>
      </c>
      <c r="E177" s="101" t="s">
        <v>13</v>
      </c>
      <c r="F177" s="102">
        <v>369</v>
      </c>
      <c r="G177" s="102"/>
      <c r="H177" s="101" t="s">
        <v>14</v>
      </c>
      <c r="I177" s="103" t="s">
        <v>15</v>
      </c>
      <c r="J177" s="103"/>
      <c r="K177" s="104" t="s">
        <v>8</v>
      </c>
      <c r="L177" s="105">
        <v>213203.82</v>
      </c>
    </row>
    <row r="178" spans="1:12" ht="51" hidden="1" x14ac:dyDescent="0.3">
      <c r="A178" s="99" t="s">
        <v>537</v>
      </c>
      <c r="B178" s="100" t="s">
        <v>538</v>
      </c>
      <c r="C178" s="100" t="s">
        <v>544</v>
      </c>
      <c r="D178" s="100" t="s">
        <v>540</v>
      </c>
      <c r="E178" s="101" t="s">
        <v>13</v>
      </c>
      <c r="F178" s="102">
        <v>422.5</v>
      </c>
      <c r="G178" s="102"/>
      <c r="H178" s="101" t="s">
        <v>14</v>
      </c>
      <c r="I178" s="103" t="s">
        <v>15</v>
      </c>
      <c r="J178" s="103"/>
      <c r="K178" s="104" t="s">
        <v>8</v>
      </c>
      <c r="L178" s="105">
        <v>213626.32</v>
      </c>
    </row>
    <row r="179" spans="1:12" ht="51" hidden="1" x14ac:dyDescent="0.3">
      <c r="A179" s="99" t="s">
        <v>537</v>
      </c>
      <c r="B179" s="100" t="s">
        <v>538</v>
      </c>
      <c r="C179" s="100" t="s">
        <v>545</v>
      </c>
      <c r="D179" s="100" t="s">
        <v>540</v>
      </c>
      <c r="E179" s="101" t="s">
        <v>13</v>
      </c>
      <c r="F179" s="102">
        <v>187.5</v>
      </c>
      <c r="G179" s="102"/>
      <c r="H179" s="101" t="s">
        <v>14</v>
      </c>
      <c r="I179" s="103" t="s">
        <v>15</v>
      </c>
      <c r="J179" s="103"/>
      <c r="K179" s="104" t="s">
        <v>8</v>
      </c>
      <c r="L179" s="105">
        <v>213813.82</v>
      </c>
    </row>
    <row r="180" spans="1:12" ht="51" hidden="1" x14ac:dyDescent="0.3">
      <c r="A180" s="99" t="s">
        <v>537</v>
      </c>
      <c r="B180" s="100" t="s">
        <v>538</v>
      </c>
      <c r="C180" s="100" t="s">
        <v>546</v>
      </c>
      <c r="D180" s="100" t="s">
        <v>540</v>
      </c>
      <c r="E180" s="101" t="s">
        <v>13</v>
      </c>
      <c r="F180" s="102">
        <v>220</v>
      </c>
      <c r="G180" s="102"/>
      <c r="H180" s="101" t="s">
        <v>14</v>
      </c>
      <c r="I180" s="103" t="s">
        <v>15</v>
      </c>
      <c r="J180" s="103"/>
      <c r="K180" s="104" t="s">
        <v>8</v>
      </c>
      <c r="L180" s="105">
        <v>214033.82</v>
      </c>
    </row>
    <row r="181" spans="1:12" ht="51" hidden="1" x14ac:dyDescent="0.3">
      <c r="A181" s="99" t="s">
        <v>537</v>
      </c>
      <c r="B181" s="100" t="s">
        <v>538</v>
      </c>
      <c r="C181" s="100" t="s">
        <v>547</v>
      </c>
      <c r="D181" s="100" t="s">
        <v>540</v>
      </c>
      <c r="E181" s="101" t="s">
        <v>13</v>
      </c>
      <c r="F181" s="102">
        <v>745.2</v>
      </c>
      <c r="G181" s="102"/>
      <c r="H181" s="101" t="s">
        <v>14</v>
      </c>
      <c r="I181" s="103" t="s">
        <v>15</v>
      </c>
      <c r="J181" s="103"/>
      <c r="K181" s="104" t="s">
        <v>8</v>
      </c>
      <c r="L181" s="105">
        <v>214779.02</v>
      </c>
    </row>
    <row r="182" spans="1:12" ht="51" hidden="1" x14ac:dyDescent="0.3">
      <c r="A182" s="99" t="s">
        <v>537</v>
      </c>
      <c r="B182" s="100" t="s">
        <v>538</v>
      </c>
      <c r="C182" s="100" t="s">
        <v>548</v>
      </c>
      <c r="D182" s="100" t="s">
        <v>540</v>
      </c>
      <c r="E182" s="101" t="s">
        <v>13</v>
      </c>
      <c r="F182" s="102">
        <v>790.2</v>
      </c>
      <c r="G182" s="102"/>
      <c r="H182" s="101" t="s">
        <v>14</v>
      </c>
      <c r="I182" s="103" t="s">
        <v>15</v>
      </c>
      <c r="J182" s="103"/>
      <c r="K182" s="104" t="s">
        <v>8</v>
      </c>
      <c r="L182" s="105">
        <v>215569.22</v>
      </c>
    </row>
    <row r="183" spans="1:12" ht="51" hidden="1" x14ac:dyDescent="0.3">
      <c r="A183" s="99" t="s">
        <v>537</v>
      </c>
      <c r="B183" s="100" t="s">
        <v>538</v>
      </c>
      <c r="C183" s="100" t="s">
        <v>549</v>
      </c>
      <c r="D183" s="100" t="s">
        <v>540</v>
      </c>
      <c r="E183" s="101" t="s">
        <v>13</v>
      </c>
      <c r="F183" s="102">
        <v>136.80000000000001</v>
      </c>
      <c r="G183" s="102"/>
      <c r="H183" s="101" t="s">
        <v>14</v>
      </c>
      <c r="I183" s="103" t="s">
        <v>15</v>
      </c>
      <c r="J183" s="103"/>
      <c r="K183" s="104" t="s">
        <v>8</v>
      </c>
      <c r="L183" s="105">
        <v>215706.02</v>
      </c>
    </row>
    <row r="184" spans="1:12" ht="51" hidden="1" x14ac:dyDescent="0.3">
      <c r="A184" s="99" t="s">
        <v>537</v>
      </c>
      <c r="B184" s="100" t="s">
        <v>538</v>
      </c>
      <c r="C184" s="100" t="s">
        <v>550</v>
      </c>
      <c r="D184" s="100" t="s">
        <v>540</v>
      </c>
      <c r="E184" s="101" t="s">
        <v>13</v>
      </c>
      <c r="F184" s="102">
        <v>218</v>
      </c>
      <c r="G184" s="102"/>
      <c r="H184" s="101" t="s">
        <v>14</v>
      </c>
      <c r="I184" s="103" t="s">
        <v>15</v>
      </c>
      <c r="J184" s="103"/>
      <c r="K184" s="104" t="s">
        <v>8</v>
      </c>
      <c r="L184" s="105">
        <v>215924.02</v>
      </c>
    </row>
    <row r="185" spans="1:12" ht="51" hidden="1" x14ac:dyDescent="0.3">
      <c r="A185" s="99" t="s">
        <v>537</v>
      </c>
      <c r="B185" s="100" t="s">
        <v>551</v>
      </c>
      <c r="C185" s="100" t="s">
        <v>552</v>
      </c>
      <c r="D185" s="100" t="s">
        <v>541</v>
      </c>
      <c r="E185" s="101" t="s">
        <v>13</v>
      </c>
      <c r="F185" s="107" t="s">
        <v>15</v>
      </c>
      <c r="G185" s="107"/>
      <c r="H185" s="101" t="s">
        <v>13</v>
      </c>
      <c r="I185" s="108">
        <v>381</v>
      </c>
      <c r="J185" s="108"/>
      <c r="K185" s="104" t="s">
        <v>8</v>
      </c>
      <c r="L185" s="105">
        <v>215543.02</v>
      </c>
    </row>
    <row r="186" spans="1:12" ht="51" hidden="1" x14ac:dyDescent="0.3">
      <c r="A186" s="99" t="s">
        <v>537</v>
      </c>
      <c r="B186" s="100" t="s">
        <v>551</v>
      </c>
      <c r="C186" s="100" t="s">
        <v>552</v>
      </c>
      <c r="D186" s="100" t="s">
        <v>541</v>
      </c>
      <c r="E186" s="101" t="s">
        <v>13</v>
      </c>
      <c r="F186" s="102">
        <v>381</v>
      </c>
      <c r="G186" s="102"/>
      <c r="H186" s="101" t="s">
        <v>13</v>
      </c>
      <c r="I186" s="103" t="s">
        <v>15</v>
      </c>
      <c r="J186" s="103"/>
      <c r="K186" s="104" t="s">
        <v>8</v>
      </c>
      <c r="L186" s="105">
        <v>103361.07</v>
      </c>
    </row>
    <row r="187" spans="1:12" ht="51" hidden="1" x14ac:dyDescent="0.3">
      <c r="A187" s="99" t="s">
        <v>537</v>
      </c>
      <c r="B187" s="100" t="s">
        <v>551</v>
      </c>
      <c r="C187" s="100" t="s">
        <v>553</v>
      </c>
      <c r="D187" s="100" t="s">
        <v>554</v>
      </c>
      <c r="E187" s="101" t="s">
        <v>13</v>
      </c>
      <c r="F187" s="107" t="s">
        <v>15</v>
      </c>
      <c r="G187" s="107"/>
      <c r="H187" s="101" t="s">
        <v>13</v>
      </c>
      <c r="I187" s="108">
        <v>303</v>
      </c>
      <c r="J187" s="108"/>
      <c r="K187" s="104" t="s">
        <v>8</v>
      </c>
      <c r="L187" s="105">
        <v>215240.02</v>
      </c>
    </row>
    <row r="188" spans="1:12" ht="51" hidden="1" x14ac:dyDescent="0.3">
      <c r="A188" s="99" t="s">
        <v>537</v>
      </c>
      <c r="B188" s="100" t="s">
        <v>551</v>
      </c>
      <c r="C188" s="100" t="s">
        <v>553</v>
      </c>
      <c r="D188" s="100" t="s">
        <v>554</v>
      </c>
      <c r="E188" s="101" t="s">
        <v>13</v>
      </c>
      <c r="F188" s="102">
        <v>303</v>
      </c>
      <c r="G188" s="102"/>
      <c r="H188" s="101" t="s">
        <v>13</v>
      </c>
      <c r="I188" s="103" t="s">
        <v>15</v>
      </c>
      <c r="J188" s="103"/>
      <c r="K188" s="104" t="s">
        <v>8</v>
      </c>
      <c r="L188" s="105">
        <v>103664.07</v>
      </c>
    </row>
    <row r="189" spans="1:12" ht="51" hidden="1" x14ac:dyDescent="0.3">
      <c r="A189" s="99" t="s">
        <v>537</v>
      </c>
      <c r="B189" s="100" t="s">
        <v>551</v>
      </c>
      <c r="C189" s="100" t="s">
        <v>553</v>
      </c>
      <c r="D189" s="100" t="s">
        <v>547</v>
      </c>
      <c r="E189" s="101" t="s">
        <v>13</v>
      </c>
      <c r="F189" s="107" t="s">
        <v>15</v>
      </c>
      <c r="G189" s="107"/>
      <c r="H189" s="101" t="s">
        <v>13</v>
      </c>
      <c r="I189" s="108">
        <v>124.2</v>
      </c>
      <c r="J189" s="108"/>
      <c r="K189" s="104" t="s">
        <v>8</v>
      </c>
      <c r="L189" s="105">
        <v>215115.82</v>
      </c>
    </row>
    <row r="190" spans="1:12" ht="51" hidden="1" x14ac:dyDescent="0.3">
      <c r="A190" s="99" t="s">
        <v>537</v>
      </c>
      <c r="B190" s="100" t="s">
        <v>551</v>
      </c>
      <c r="C190" s="100" t="s">
        <v>553</v>
      </c>
      <c r="D190" s="100" t="s">
        <v>547</v>
      </c>
      <c r="E190" s="101" t="s">
        <v>13</v>
      </c>
      <c r="F190" s="102">
        <v>124.2</v>
      </c>
      <c r="G190" s="102"/>
      <c r="H190" s="101" t="s">
        <v>13</v>
      </c>
      <c r="I190" s="103" t="s">
        <v>15</v>
      </c>
      <c r="J190" s="103"/>
      <c r="K190" s="104" t="s">
        <v>8</v>
      </c>
      <c r="L190" s="105">
        <v>103788.27</v>
      </c>
    </row>
    <row r="191" spans="1:12" ht="51" hidden="1" x14ac:dyDescent="0.3">
      <c r="A191" s="99" t="s">
        <v>537</v>
      </c>
      <c r="B191" s="100" t="s">
        <v>551</v>
      </c>
      <c r="C191" s="100" t="s">
        <v>555</v>
      </c>
      <c r="D191" s="100" t="s">
        <v>556</v>
      </c>
      <c r="E191" s="101" t="s">
        <v>13</v>
      </c>
      <c r="F191" s="107" t="s">
        <v>15</v>
      </c>
      <c r="G191" s="107"/>
      <c r="H191" s="101" t="s">
        <v>13</v>
      </c>
      <c r="I191" s="108">
        <v>403.5</v>
      </c>
      <c r="J191" s="108"/>
      <c r="K191" s="104" t="s">
        <v>8</v>
      </c>
      <c r="L191" s="105">
        <v>214712.32000000001</v>
      </c>
    </row>
    <row r="192" spans="1:12" ht="51" hidden="1" x14ac:dyDescent="0.3">
      <c r="A192" s="99" t="s">
        <v>537</v>
      </c>
      <c r="B192" s="100" t="s">
        <v>551</v>
      </c>
      <c r="C192" s="100" t="s">
        <v>555</v>
      </c>
      <c r="D192" s="100" t="s">
        <v>556</v>
      </c>
      <c r="E192" s="101" t="s">
        <v>13</v>
      </c>
      <c r="F192" s="102">
        <v>403.5</v>
      </c>
      <c r="G192" s="102"/>
      <c r="H192" s="101" t="s">
        <v>13</v>
      </c>
      <c r="I192" s="103" t="s">
        <v>15</v>
      </c>
      <c r="J192" s="103"/>
      <c r="K192" s="104" t="s">
        <v>8</v>
      </c>
      <c r="L192" s="105">
        <v>104191.77</v>
      </c>
    </row>
    <row r="193" spans="1:12" ht="51" hidden="1" x14ac:dyDescent="0.3">
      <c r="A193" s="99" t="s">
        <v>537</v>
      </c>
      <c r="B193" s="100" t="s">
        <v>551</v>
      </c>
      <c r="C193" s="100" t="s">
        <v>557</v>
      </c>
      <c r="D193" s="100" t="s">
        <v>549</v>
      </c>
      <c r="E193" s="101" t="s">
        <v>13</v>
      </c>
      <c r="F193" s="102">
        <v>136.80000000000001</v>
      </c>
      <c r="G193" s="102"/>
      <c r="H193" s="101" t="s">
        <v>13</v>
      </c>
      <c r="I193" s="103" t="s">
        <v>15</v>
      </c>
      <c r="J193" s="103"/>
      <c r="K193" s="104" t="s">
        <v>8</v>
      </c>
      <c r="L193" s="105">
        <v>104328.57</v>
      </c>
    </row>
    <row r="194" spans="1:12" ht="51" hidden="1" x14ac:dyDescent="0.3">
      <c r="A194" s="99" t="s">
        <v>537</v>
      </c>
      <c r="B194" s="100" t="s">
        <v>551</v>
      </c>
      <c r="C194" s="100" t="s">
        <v>557</v>
      </c>
      <c r="D194" s="100" t="s">
        <v>549</v>
      </c>
      <c r="E194" s="101" t="s">
        <v>13</v>
      </c>
      <c r="F194" s="107" t="s">
        <v>15</v>
      </c>
      <c r="G194" s="107"/>
      <c r="H194" s="101" t="s">
        <v>13</v>
      </c>
      <c r="I194" s="108">
        <v>136.80000000000001</v>
      </c>
      <c r="J194" s="108"/>
      <c r="K194" s="104" t="s">
        <v>8</v>
      </c>
      <c r="L194" s="105">
        <v>214575.52</v>
      </c>
    </row>
    <row r="195" spans="1:12" ht="51" hidden="1" x14ac:dyDescent="0.3">
      <c r="A195" s="99" t="s">
        <v>537</v>
      </c>
      <c r="B195" s="100" t="s">
        <v>558</v>
      </c>
      <c r="C195" s="100" t="s">
        <v>559</v>
      </c>
      <c r="D195" s="100" t="s">
        <v>545</v>
      </c>
      <c r="E195" s="101" t="s">
        <v>13</v>
      </c>
      <c r="F195" s="107" t="s">
        <v>15</v>
      </c>
      <c r="G195" s="107"/>
      <c r="H195" s="101" t="s">
        <v>13</v>
      </c>
      <c r="I195" s="108">
        <v>187.5</v>
      </c>
      <c r="J195" s="108"/>
      <c r="K195" s="104" t="s">
        <v>8</v>
      </c>
      <c r="L195" s="105">
        <v>214388.02</v>
      </c>
    </row>
    <row r="196" spans="1:12" ht="51" hidden="1" x14ac:dyDescent="0.3">
      <c r="A196" s="99" t="s">
        <v>537</v>
      </c>
      <c r="B196" s="100" t="s">
        <v>558</v>
      </c>
      <c r="C196" s="100" t="s">
        <v>559</v>
      </c>
      <c r="D196" s="100" t="s">
        <v>545</v>
      </c>
      <c r="E196" s="101" t="s">
        <v>13</v>
      </c>
      <c r="F196" s="102">
        <v>187.5</v>
      </c>
      <c r="G196" s="102"/>
      <c r="H196" s="101" t="s">
        <v>13</v>
      </c>
      <c r="I196" s="103" t="s">
        <v>15</v>
      </c>
      <c r="J196" s="103"/>
      <c r="K196" s="104" t="s">
        <v>8</v>
      </c>
      <c r="L196" s="105">
        <v>22170.59</v>
      </c>
    </row>
    <row r="197" spans="1:12" ht="51" hidden="1" x14ac:dyDescent="0.3">
      <c r="A197" s="99" t="s">
        <v>537</v>
      </c>
      <c r="B197" s="100" t="s">
        <v>558</v>
      </c>
      <c r="C197" s="100" t="s">
        <v>560</v>
      </c>
      <c r="D197" s="100" t="s">
        <v>550</v>
      </c>
      <c r="E197" s="101" t="s">
        <v>13</v>
      </c>
      <c r="F197" s="107" t="s">
        <v>15</v>
      </c>
      <c r="G197" s="107"/>
      <c r="H197" s="101" t="s">
        <v>13</v>
      </c>
      <c r="I197" s="108">
        <v>218</v>
      </c>
      <c r="J197" s="108"/>
      <c r="K197" s="104" t="s">
        <v>8</v>
      </c>
      <c r="L197" s="105">
        <v>214170.02</v>
      </c>
    </row>
    <row r="198" spans="1:12" ht="51" hidden="1" x14ac:dyDescent="0.3">
      <c r="A198" s="99" t="s">
        <v>537</v>
      </c>
      <c r="B198" s="100" t="s">
        <v>558</v>
      </c>
      <c r="C198" s="100" t="s">
        <v>560</v>
      </c>
      <c r="D198" s="100" t="s">
        <v>550</v>
      </c>
      <c r="E198" s="101" t="s">
        <v>13</v>
      </c>
      <c r="F198" s="102">
        <v>218</v>
      </c>
      <c r="G198" s="102"/>
      <c r="H198" s="101" t="s">
        <v>13</v>
      </c>
      <c r="I198" s="103" t="s">
        <v>15</v>
      </c>
      <c r="J198" s="103"/>
      <c r="K198" s="104" t="s">
        <v>8</v>
      </c>
      <c r="L198" s="105">
        <v>22388.59</v>
      </c>
    </row>
    <row r="199" spans="1:12" ht="51" hidden="1" x14ac:dyDescent="0.3">
      <c r="A199" s="99" t="s">
        <v>537</v>
      </c>
      <c r="B199" s="100" t="s">
        <v>558</v>
      </c>
      <c r="C199" s="100" t="s">
        <v>561</v>
      </c>
      <c r="D199" s="100" t="s">
        <v>542</v>
      </c>
      <c r="E199" s="101" t="s">
        <v>13</v>
      </c>
      <c r="F199" s="107" t="s">
        <v>15</v>
      </c>
      <c r="G199" s="107"/>
      <c r="H199" s="101" t="s">
        <v>13</v>
      </c>
      <c r="I199" s="108">
        <v>265</v>
      </c>
      <c r="J199" s="108"/>
      <c r="K199" s="104" t="s">
        <v>8</v>
      </c>
      <c r="L199" s="105">
        <v>213905.02</v>
      </c>
    </row>
    <row r="200" spans="1:12" ht="51" hidden="1" x14ac:dyDescent="0.3">
      <c r="A200" s="99" t="s">
        <v>537</v>
      </c>
      <c r="B200" s="100" t="s">
        <v>558</v>
      </c>
      <c r="C200" s="100" t="s">
        <v>561</v>
      </c>
      <c r="D200" s="100" t="s">
        <v>542</v>
      </c>
      <c r="E200" s="101" t="s">
        <v>13</v>
      </c>
      <c r="F200" s="102">
        <v>265</v>
      </c>
      <c r="G200" s="102"/>
      <c r="H200" s="101" t="s">
        <v>13</v>
      </c>
      <c r="I200" s="103" t="s">
        <v>15</v>
      </c>
      <c r="J200" s="103"/>
      <c r="K200" s="104" t="s">
        <v>8</v>
      </c>
      <c r="L200" s="105">
        <v>22653.59</v>
      </c>
    </row>
    <row r="201" spans="1:12" ht="51" hidden="1" x14ac:dyDescent="0.3">
      <c r="A201" s="99" t="s">
        <v>537</v>
      </c>
      <c r="B201" s="100" t="s">
        <v>558</v>
      </c>
      <c r="C201" s="100" t="s">
        <v>562</v>
      </c>
      <c r="D201" s="100" t="s">
        <v>543</v>
      </c>
      <c r="E201" s="101" t="s">
        <v>13</v>
      </c>
      <c r="F201" s="102">
        <v>123</v>
      </c>
      <c r="G201" s="102"/>
      <c r="H201" s="101" t="s">
        <v>13</v>
      </c>
      <c r="I201" s="103" t="s">
        <v>15</v>
      </c>
      <c r="J201" s="103"/>
      <c r="K201" s="104" t="s">
        <v>8</v>
      </c>
      <c r="L201" s="105">
        <v>22776.59</v>
      </c>
    </row>
    <row r="202" spans="1:12" ht="51" hidden="1" x14ac:dyDescent="0.3">
      <c r="A202" s="99" t="s">
        <v>537</v>
      </c>
      <c r="B202" s="100" t="s">
        <v>558</v>
      </c>
      <c r="C202" s="100" t="s">
        <v>562</v>
      </c>
      <c r="D202" s="100" t="s">
        <v>543</v>
      </c>
      <c r="E202" s="101" t="s">
        <v>13</v>
      </c>
      <c r="F202" s="107" t="s">
        <v>15</v>
      </c>
      <c r="G202" s="107"/>
      <c r="H202" s="101" t="s">
        <v>13</v>
      </c>
      <c r="I202" s="108">
        <v>123</v>
      </c>
      <c r="J202" s="108"/>
      <c r="K202" s="104" t="s">
        <v>8</v>
      </c>
      <c r="L202" s="105">
        <v>213782.02</v>
      </c>
    </row>
    <row r="203" spans="1:12" ht="51" hidden="1" x14ac:dyDescent="0.3">
      <c r="A203" s="99" t="s">
        <v>537</v>
      </c>
      <c r="B203" s="100" t="s">
        <v>563</v>
      </c>
      <c r="C203" s="100" t="s">
        <v>564</v>
      </c>
      <c r="D203" s="100" t="s">
        <v>544</v>
      </c>
      <c r="E203" s="101" t="s">
        <v>13</v>
      </c>
      <c r="F203" s="102">
        <v>211.25</v>
      </c>
      <c r="G203" s="102"/>
      <c r="H203" s="101" t="s">
        <v>13</v>
      </c>
      <c r="I203" s="103" t="s">
        <v>15</v>
      </c>
      <c r="J203" s="103"/>
      <c r="K203" s="104" t="s">
        <v>8</v>
      </c>
      <c r="L203" s="105">
        <v>6746.52</v>
      </c>
    </row>
    <row r="204" spans="1:12" ht="51" hidden="1" x14ac:dyDescent="0.3">
      <c r="A204" s="99" t="s">
        <v>537</v>
      </c>
      <c r="B204" s="100" t="s">
        <v>563</v>
      </c>
      <c r="C204" s="100" t="s">
        <v>564</v>
      </c>
      <c r="D204" s="100" t="s">
        <v>544</v>
      </c>
      <c r="E204" s="101" t="s">
        <v>13</v>
      </c>
      <c r="F204" s="107" t="s">
        <v>15</v>
      </c>
      <c r="G204" s="107"/>
      <c r="H204" s="101" t="s">
        <v>13</v>
      </c>
      <c r="I204" s="108">
        <v>211.25</v>
      </c>
      <c r="J204" s="108"/>
      <c r="K204" s="104" t="s">
        <v>8</v>
      </c>
      <c r="L204" s="105">
        <v>213570.77</v>
      </c>
    </row>
    <row r="205" spans="1:12" ht="51" hidden="1" x14ac:dyDescent="0.3">
      <c r="A205" s="99" t="s">
        <v>537</v>
      </c>
      <c r="B205" s="100" t="s">
        <v>565</v>
      </c>
      <c r="C205" s="100" t="s">
        <v>566</v>
      </c>
      <c r="D205" s="100" t="s">
        <v>543</v>
      </c>
      <c r="E205" s="101" t="s">
        <v>13</v>
      </c>
      <c r="F205" s="107" t="s">
        <v>15</v>
      </c>
      <c r="G205" s="107"/>
      <c r="H205" s="101" t="s">
        <v>13</v>
      </c>
      <c r="I205" s="108">
        <v>123</v>
      </c>
      <c r="J205" s="108"/>
      <c r="K205" s="104" t="s">
        <v>8</v>
      </c>
      <c r="L205" s="105">
        <v>213447.77</v>
      </c>
    </row>
    <row r="206" spans="1:12" ht="51" hidden="1" x14ac:dyDescent="0.3">
      <c r="A206" s="99" t="s">
        <v>537</v>
      </c>
      <c r="B206" s="100" t="s">
        <v>565</v>
      </c>
      <c r="C206" s="100" t="s">
        <v>566</v>
      </c>
      <c r="D206" s="100" t="s">
        <v>543</v>
      </c>
      <c r="E206" s="101" t="s">
        <v>13</v>
      </c>
      <c r="F206" s="102">
        <v>123</v>
      </c>
      <c r="G206" s="102"/>
      <c r="H206" s="101" t="s">
        <v>13</v>
      </c>
      <c r="I206" s="103" t="s">
        <v>15</v>
      </c>
      <c r="J206" s="103"/>
      <c r="K206" s="104" t="s">
        <v>8</v>
      </c>
      <c r="L206" s="105">
        <v>10031.65</v>
      </c>
    </row>
    <row r="207" spans="1:12" ht="51" hidden="1" x14ac:dyDescent="0.3">
      <c r="A207" s="99" t="s">
        <v>537</v>
      </c>
      <c r="B207" s="100" t="s">
        <v>565</v>
      </c>
      <c r="C207" s="100" t="s">
        <v>567</v>
      </c>
      <c r="D207" s="100" t="s">
        <v>544</v>
      </c>
      <c r="E207" s="101" t="s">
        <v>13</v>
      </c>
      <c r="F207" s="102">
        <v>211.25</v>
      </c>
      <c r="G207" s="102"/>
      <c r="H207" s="101" t="s">
        <v>13</v>
      </c>
      <c r="I207" s="103" t="s">
        <v>15</v>
      </c>
      <c r="J207" s="103"/>
      <c r="K207" s="104" t="s">
        <v>8</v>
      </c>
      <c r="L207" s="105">
        <v>10242.9</v>
      </c>
    </row>
    <row r="208" spans="1:12" ht="51" hidden="1" x14ac:dyDescent="0.3">
      <c r="A208" s="99" t="s">
        <v>537</v>
      </c>
      <c r="B208" s="100" t="s">
        <v>565</v>
      </c>
      <c r="C208" s="100" t="s">
        <v>567</v>
      </c>
      <c r="D208" s="100" t="s">
        <v>544</v>
      </c>
      <c r="E208" s="101" t="s">
        <v>13</v>
      </c>
      <c r="F208" s="107" t="s">
        <v>15</v>
      </c>
      <c r="G208" s="107"/>
      <c r="H208" s="101" t="s">
        <v>13</v>
      </c>
      <c r="I208" s="108">
        <v>211.25</v>
      </c>
      <c r="J208" s="108"/>
      <c r="K208" s="104" t="s">
        <v>8</v>
      </c>
      <c r="L208" s="105">
        <v>213236.52</v>
      </c>
    </row>
    <row r="209" spans="1:12" ht="51" hidden="1" x14ac:dyDescent="0.3">
      <c r="A209" s="99" t="s">
        <v>537</v>
      </c>
      <c r="B209" s="100" t="s">
        <v>568</v>
      </c>
      <c r="C209" s="100" t="s">
        <v>569</v>
      </c>
      <c r="D209" s="100" t="s">
        <v>546</v>
      </c>
      <c r="E209" s="101" t="s">
        <v>13</v>
      </c>
      <c r="F209" s="107" t="s">
        <v>15</v>
      </c>
      <c r="G209" s="107"/>
      <c r="H209" s="101" t="s">
        <v>13</v>
      </c>
      <c r="I209" s="108">
        <v>220</v>
      </c>
      <c r="J209" s="108"/>
      <c r="K209" s="104" t="s">
        <v>8</v>
      </c>
      <c r="L209" s="105">
        <v>213016.52</v>
      </c>
    </row>
    <row r="210" spans="1:12" ht="51" hidden="1" x14ac:dyDescent="0.3">
      <c r="A210" s="99" t="s">
        <v>537</v>
      </c>
      <c r="B210" s="100" t="s">
        <v>568</v>
      </c>
      <c r="C210" s="100" t="s">
        <v>569</v>
      </c>
      <c r="D210" s="100" t="s">
        <v>546</v>
      </c>
      <c r="E210" s="101" t="s">
        <v>13</v>
      </c>
      <c r="F210" s="102">
        <v>220</v>
      </c>
      <c r="G210" s="102"/>
      <c r="H210" s="101" t="s">
        <v>13</v>
      </c>
      <c r="I210" s="103" t="s">
        <v>15</v>
      </c>
      <c r="J210" s="103"/>
      <c r="K210" s="104" t="s">
        <v>8</v>
      </c>
      <c r="L210" s="105">
        <v>13947.15</v>
      </c>
    </row>
    <row r="211" spans="1:12" ht="51" hidden="1" x14ac:dyDescent="0.3">
      <c r="A211" s="99" t="s">
        <v>537</v>
      </c>
      <c r="B211" s="100" t="s">
        <v>568</v>
      </c>
      <c r="C211" s="100" t="s">
        <v>570</v>
      </c>
      <c r="D211" s="100" t="s">
        <v>539</v>
      </c>
      <c r="E211" s="101" t="s">
        <v>13</v>
      </c>
      <c r="F211" s="102">
        <v>630</v>
      </c>
      <c r="G211" s="102"/>
      <c r="H211" s="101" t="s">
        <v>13</v>
      </c>
      <c r="I211" s="103" t="s">
        <v>15</v>
      </c>
      <c r="J211" s="103"/>
      <c r="K211" s="104" t="s">
        <v>8</v>
      </c>
      <c r="L211" s="105">
        <v>14577.15</v>
      </c>
    </row>
    <row r="212" spans="1:12" ht="51" hidden="1" x14ac:dyDescent="0.3">
      <c r="A212" s="99" t="s">
        <v>537</v>
      </c>
      <c r="B212" s="100" t="s">
        <v>568</v>
      </c>
      <c r="C212" s="100" t="s">
        <v>570</v>
      </c>
      <c r="D212" s="100" t="s">
        <v>539</v>
      </c>
      <c r="E212" s="101" t="s">
        <v>13</v>
      </c>
      <c r="F212" s="107" t="s">
        <v>15</v>
      </c>
      <c r="G212" s="107"/>
      <c r="H212" s="101" t="s">
        <v>13</v>
      </c>
      <c r="I212" s="108">
        <v>630</v>
      </c>
      <c r="J212" s="108"/>
      <c r="K212" s="104" t="s">
        <v>8</v>
      </c>
      <c r="L212" s="105">
        <v>212386.52</v>
      </c>
    </row>
    <row r="213" spans="1:12" ht="51" hidden="1" x14ac:dyDescent="0.3">
      <c r="A213" s="99" t="s">
        <v>537</v>
      </c>
      <c r="B213" s="100" t="s">
        <v>568</v>
      </c>
      <c r="C213" s="100" t="s">
        <v>571</v>
      </c>
      <c r="D213" s="100" t="s">
        <v>542</v>
      </c>
      <c r="E213" s="101" t="s">
        <v>13</v>
      </c>
      <c r="F213" s="102">
        <v>265</v>
      </c>
      <c r="G213" s="102"/>
      <c r="H213" s="101" t="s">
        <v>13</v>
      </c>
      <c r="I213" s="103" t="s">
        <v>15</v>
      </c>
      <c r="J213" s="103"/>
      <c r="K213" s="104" t="s">
        <v>8</v>
      </c>
      <c r="L213" s="105">
        <v>14842.15</v>
      </c>
    </row>
    <row r="214" spans="1:12" ht="51" hidden="1" x14ac:dyDescent="0.3">
      <c r="A214" s="99" t="s">
        <v>537</v>
      </c>
      <c r="B214" s="100" t="s">
        <v>568</v>
      </c>
      <c r="C214" s="100" t="s">
        <v>571</v>
      </c>
      <c r="D214" s="100" t="s">
        <v>542</v>
      </c>
      <c r="E214" s="101" t="s">
        <v>13</v>
      </c>
      <c r="F214" s="107" t="s">
        <v>15</v>
      </c>
      <c r="G214" s="107"/>
      <c r="H214" s="101" t="s">
        <v>13</v>
      </c>
      <c r="I214" s="108">
        <v>265</v>
      </c>
      <c r="J214" s="108"/>
      <c r="K214" s="104" t="s">
        <v>8</v>
      </c>
      <c r="L214" s="105">
        <v>212121.52</v>
      </c>
    </row>
    <row r="215" spans="1:12" ht="51" hidden="1" x14ac:dyDescent="0.3">
      <c r="A215" s="99" t="s">
        <v>537</v>
      </c>
      <c r="B215" s="100" t="s">
        <v>568</v>
      </c>
      <c r="C215" s="100" t="s">
        <v>572</v>
      </c>
      <c r="D215" s="100" t="s">
        <v>543</v>
      </c>
      <c r="E215" s="101" t="s">
        <v>13</v>
      </c>
      <c r="F215" s="102">
        <v>123</v>
      </c>
      <c r="G215" s="102"/>
      <c r="H215" s="101" t="s">
        <v>13</v>
      </c>
      <c r="I215" s="103" t="s">
        <v>15</v>
      </c>
      <c r="J215" s="103"/>
      <c r="K215" s="104" t="s">
        <v>8</v>
      </c>
      <c r="L215" s="105">
        <v>14965.15</v>
      </c>
    </row>
    <row r="216" spans="1:12" ht="51" hidden="1" x14ac:dyDescent="0.3">
      <c r="A216" s="99" t="s">
        <v>537</v>
      </c>
      <c r="B216" s="100" t="s">
        <v>568</v>
      </c>
      <c r="C216" s="100" t="s">
        <v>572</v>
      </c>
      <c r="D216" s="100" t="s">
        <v>543</v>
      </c>
      <c r="E216" s="101" t="s">
        <v>13</v>
      </c>
      <c r="F216" s="107" t="s">
        <v>15</v>
      </c>
      <c r="G216" s="107"/>
      <c r="H216" s="101" t="s">
        <v>13</v>
      </c>
      <c r="I216" s="108">
        <v>123</v>
      </c>
      <c r="J216" s="108"/>
      <c r="K216" s="104" t="s">
        <v>8</v>
      </c>
      <c r="L216" s="105">
        <v>211998.52</v>
      </c>
    </row>
    <row r="217" spans="1:12" ht="61.2" hidden="1" x14ac:dyDescent="0.3">
      <c r="A217" s="99" t="s">
        <v>537</v>
      </c>
      <c r="B217" s="100" t="s">
        <v>573</v>
      </c>
      <c r="C217" s="100" t="s">
        <v>574</v>
      </c>
      <c r="D217" s="100" t="s">
        <v>510</v>
      </c>
      <c r="E217" s="101" t="s">
        <v>13</v>
      </c>
      <c r="F217" s="106">
        <v>4100.1000000000004</v>
      </c>
      <c r="G217" s="106"/>
      <c r="H217" s="101" t="s">
        <v>14</v>
      </c>
      <c r="I217" s="103" t="s">
        <v>15</v>
      </c>
      <c r="J217" s="103"/>
      <c r="K217" s="104" t="s">
        <v>8</v>
      </c>
      <c r="L217" s="105">
        <v>108428.67</v>
      </c>
    </row>
    <row r="218" spans="1:12" ht="61.2" hidden="1" x14ac:dyDescent="0.3">
      <c r="A218" s="99" t="s">
        <v>102</v>
      </c>
      <c r="B218" s="100" t="s">
        <v>575</v>
      </c>
      <c r="C218" s="100" t="s">
        <v>576</v>
      </c>
      <c r="D218" s="100" t="s">
        <v>540</v>
      </c>
      <c r="E218" s="101" t="s">
        <v>13</v>
      </c>
      <c r="F218" s="102">
        <v>467</v>
      </c>
      <c r="G218" s="102"/>
      <c r="H218" s="101" t="s">
        <v>14</v>
      </c>
      <c r="I218" s="103" t="s">
        <v>15</v>
      </c>
      <c r="J218" s="103"/>
      <c r="K218" s="104" t="s">
        <v>8</v>
      </c>
      <c r="L218" s="105">
        <v>212465.52</v>
      </c>
    </row>
    <row r="219" spans="1:12" ht="51" hidden="1" x14ac:dyDescent="0.3">
      <c r="A219" s="99" t="s">
        <v>102</v>
      </c>
      <c r="B219" s="100" t="s">
        <v>575</v>
      </c>
      <c r="C219" s="100" t="s">
        <v>577</v>
      </c>
      <c r="D219" s="100" t="s">
        <v>540</v>
      </c>
      <c r="E219" s="101" t="s">
        <v>13</v>
      </c>
      <c r="F219" s="102">
        <v>205.2</v>
      </c>
      <c r="G219" s="102"/>
      <c r="H219" s="101" t="s">
        <v>14</v>
      </c>
      <c r="I219" s="103" t="s">
        <v>15</v>
      </c>
      <c r="J219" s="103"/>
      <c r="K219" s="104" t="s">
        <v>8</v>
      </c>
      <c r="L219" s="105">
        <v>212670.72</v>
      </c>
    </row>
    <row r="220" spans="1:12" ht="61.2" hidden="1" x14ac:dyDescent="0.3">
      <c r="A220" s="99" t="s">
        <v>102</v>
      </c>
      <c r="B220" s="100" t="s">
        <v>578</v>
      </c>
      <c r="C220" s="100" t="s">
        <v>579</v>
      </c>
      <c r="D220" s="100" t="s">
        <v>576</v>
      </c>
      <c r="E220" s="101" t="s">
        <v>13</v>
      </c>
      <c r="F220" s="102">
        <v>467</v>
      </c>
      <c r="G220" s="102"/>
      <c r="H220" s="101" t="s">
        <v>13</v>
      </c>
      <c r="I220" s="103" t="s">
        <v>15</v>
      </c>
      <c r="J220" s="103"/>
      <c r="K220" s="104" t="s">
        <v>8</v>
      </c>
      <c r="L220" s="105">
        <v>23243.59</v>
      </c>
    </row>
    <row r="221" spans="1:12" ht="61.2" hidden="1" x14ac:dyDescent="0.3">
      <c r="A221" s="99" t="s">
        <v>102</v>
      </c>
      <c r="B221" s="100" t="s">
        <v>578</v>
      </c>
      <c r="C221" s="100" t="s">
        <v>579</v>
      </c>
      <c r="D221" s="100" t="s">
        <v>576</v>
      </c>
      <c r="E221" s="101" t="s">
        <v>13</v>
      </c>
      <c r="F221" s="107" t="s">
        <v>15</v>
      </c>
      <c r="G221" s="107"/>
      <c r="H221" s="101" t="s">
        <v>13</v>
      </c>
      <c r="I221" s="108">
        <v>467</v>
      </c>
      <c r="J221" s="108"/>
      <c r="K221" s="104" t="s">
        <v>8</v>
      </c>
      <c r="L221" s="105">
        <v>212203.72</v>
      </c>
    </row>
    <row r="222" spans="1:12" ht="51" hidden="1" x14ac:dyDescent="0.3">
      <c r="A222" s="99" t="s">
        <v>102</v>
      </c>
      <c r="B222" s="100" t="s">
        <v>580</v>
      </c>
      <c r="C222" s="100" t="s">
        <v>581</v>
      </c>
      <c r="D222" s="100" t="s">
        <v>577</v>
      </c>
      <c r="E222" s="101" t="s">
        <v>13</v>
      </c>
      <c r="F222" s="102">
        <v>205.2</v>
      </c>
      <c r="G222" s="102"/>
      <c r="H222" s="101" t="s">
        <v>13</v>
      </c>
      <c r="I222" s="103" t="s">
        <v>15</v>
      </c>
      <c r="J222" s="103"/>
      <c r="K222" s="104" t="s">
        <v>8</v>
      </c>
      <c r="L222" s="105">
        <v>108633.87</v>
      </c>
    </row>
    <row r="223" spans="1:12" ht="51" hidden="1" x14ac:dyDescent="0.3">
      <c r="A223" s="99" t="s">
        <v>102</v>
      </c>
      <c r="B223" s="100" t="s">
        <v>580</v>
      </c>
      <c r="C223" s="100" t="s">
        <v>581</v>
      </c>
      <c r="D223" s="100" t="s">
        <v>577</v>
      </c>
      <c r="E223" s="101" t="s">
        <v>13</v>
      </c>
      <c r="F223" s="107" t="s">
        <v>15</v>
      </c>
      <c r="G223" s="107"/>
      <c r="H223" s="101" t="s">
        <v>13</v>
      </c>
      <c r="I223" s="108">
        <v>205.2</v>
      </c>
      <c r="J223" s="108"/>
      <c r="K223" s="104" t="s">
        <v>8</v>
      </c>
      <c r="L223" s="105">
        <v>211998.52</v>
      </c>
    </row>
    <row r="224" spans="1:12" ht="51" hidden="1" x14ac:dyDescent="0.3">
      <c r="A224" s="99" t="s">
        <v>102</v>
      </c>
      <c r="B224" s="100" t="s">
        <v>582</v>
      </c>
      <c r="C224" s="100" t="s">
        <v>583</v>
      </c>
      <c r="D224" s="100" t="s">
        <v>584</v>
      </c>
      <c r="E224" s="101" t="s">
        <v>13</v>
      </c>
      <c r="F224" s="106">
        <v>3200</v>
      </c>
      <c r="G224" s="106"/>
      <c r="H224" s="101" t="s">
        <v>14</v>
      </c>
      <c r="I224" s="103" t="s">
        <v>15</v>
      </c>
      <c r="J224" s="103"/>
      <c r="K224" s="104" t="s">
        <v>8</v>
      </c>
      <c r="L224" s="105">
        <v>111833.87</v>
      </c>
    </row>
    <row r="225" spans="1:12" ht="51" hidden="1" x14ac:dyDescent="0.3">
      <c r="A225" s="99" t="s">
        <v>102</v>
      </c>
      <c r="B225" s="100" t="s">
        <v>582</v>
      </c>
      <c r="C225" s="100" t="s">
        <v>585</v>
      </c>
      <c r="D225" s="100" t="s">
        <v>584</v>
      </c>
      <c r="E225" s="101" t="s">
        <v>13</v>
      </c>
      <c r="F225" s="106">
        <v>4800</v>
      </c>
      <c r="G225" s="106"/>
      <c r="H225" s="101" t="s">
        <v>14</v>
      </c>
      <c r="I225" s="103" t="s">
        <v>15</v>
      </c>
      <c r="J225" s="103"/>
      <c r="K225" s="104" t="s">
        <v>8</v>
      </c>
      <c r="L225" s="105">
        <v>116633.87</v>
      </c>
    </row>
    <row r="226" spans="1:12" ht="51" hidden="1" x14ac:dyDescent="0.3">
      <c r="A226" s="99" t="s">
        <v>102</v>
      </c>
      <c r="B226" s="100" t="s">
        <v>582</v>
      </c>
      <c r="C226" s="100" t="s">
        <v>586</v>
      </c>
      <c r="D226" s="100" t="s">
        <v>584</v>
      </c>
      <c r="E226" s="101" t="s">
        <v>13</v>
      </c>
      <c r="F226" s="106">
        <v>3200</v>
      </c>
      <c r="G226" s="106"/>
      <c r="H226" s="101" t="s">
        <v>14</v>
      </c>
      <c r="I226" s="103" t="s">
        <v>15</v>
      </c>
      <c r="J226" s="103"/>
      <c r="K226" s="104" t="s">
        <v>8</v>
      </c>
      <c r="L226" s="105">
        <v>119833.87</v>
      </c>
    </row>
    <row r="227" spans="1:12" ht="61.2" hidden="1" x14ac:dyDescent="0.3">
      <c r="A227" s="99" t="s">
        <v>102</v>
      </c>
      <c r="B227" s="100" t="s">
        <v>582</v>
      </c>
      <c r="C227" s="100" t="s">
        <v>587</v>
      </c>
      <c r="D227" s="100" t="s">
        <v>584</v>
      </c>
      <c r="E227" s="101" t="s">
        <v>13</v>
      </c>
      <c r="F227" s="106">
        <v>6800</v>
      </c>
      <c r="G227" s="106"/>
      <c r="H227" s="101" t="s">
        <v>14</v>
      </c>
      <c r="I227" s="103" t="s">
        <v>15</v>
      </c>
      <c r="J227" s="103"/>
      <c r="K227" s="104" t="s">
        <v>8</v>
      </c>
      <c r="L227" s="105">
        <v>126633.87</v>
      </c>
    </row>
    <row r="228" spans="1:12" ht="51" hidden="1" x14ac:dyDescent="0.3">
      <c r="A228" s="99" t="s">
        <v>102</v>
      </c>
      <c r="B228" s="100" t="s">
        <v>582</v>
      </c>
      <c r="C228" s="100" t="s">
        <v>588</v>
      </c>
      <c r="D228" s="100" t="s">
        <v>584</v>
      </c>
      <c r="E228" s="101" t="s">
        <v>13</v>
      </c>
      <c r="F228" s="106">
        <v>5700</v>
      </c>
      <c r="G228" s="106"/>
      <c r="H228" s="101" t="s">
        <v>14</v>
      </c>
      <c r="I228" s="103" t="s">
        <v>15</v>
      </c>
      <c r="J228" s="103"/>
      <c r="K228" s="104" t="s">
        <v>8</v>
      </c>
      <c r="L228" s="105">
        <v>132333.87</v>
      </c>
    </row>
    <row r="229" spans="1:12" ht="51" hidden="1" x14ac:dyDescent="0.3">
      <c r="A229" s="99" t="s">
        <v>102</v>
      </c>
      <c r="B229" s="100" t="s">
        <v>589</v>
      </c>
      <c r="C229" s="100" t="s">
        <v>590</v>
      </c>
      <c r="D229" s="100" t="s">
        <v>438</v>
      </c>
      <c r="E229" s="101" t="s">
        <v>13</v>
      </c>
      <c r="F229" s="102">
        <v>248.45</v>
      </c>
      <c r="G229" s="102"/>
      <c r="H229" s="101" t="s">
        <v>14</v>
      </c>
      <c r="I229" s="103" t="s">
        <v>15</v>
      </c>
      <c r="J229" s="103"/>
      <c r="K229" s="104" t="s">
        <v>8</v>
      </c>
      <c r="L229" s="105">
        <v>10491.35</v>
      </c>
    </row>
    <row r="230" spans="1:12" ht="51" hidden="1" x14ac:dyDescent="0.3">
      <c r="A230" s="99" t="s">
        <v>102</v>
      </c>
      <c r="B230" s="100" t="s">
        <v>591</v>
      </c>
      <c r="C230" s="100" t="s">
        <v>592</v>
      </c>
      <c r="D230" s="100" t="s">
        <v>593</v>
      </c>
      <c r="E230" s="101" t="s">
        <v>13</v>
      </c>
      <c r="F230" s="106">
        <v>1840</v>
      </c>
      <c r="G230" s="106"/>
      <c r="H230" s="101" t="s">
        <v>14</v>
      </c>
      <c r="I230" s="103" t="s">
        <v>15</v>
      </c>
      <c r="J230" s="103"/>
      <c r="K230" s="104" t="s">
        <v>8</v>
      </c>
      <c r="L230" s="105">
        <v>213838.52</v>
      </c>
    </row>
    <row r="231" spans="1:12" ht="51" hidden="1" x14ac:dyDescent="0.3">
      <c r="A231" s="99" t="s">
        <v>102</v>
      </c>
      <c r="B231" s="100" t="s">
        <v>591</v>
      </c>
      <c r="C231" s="100" t="s">
        <v>594</v>
      </c>
      <c r="D231" s="100" t="s">
        <v>593</v>
      </c>
      <c r="E231" s="101" t="s">
        <v>13</v>
      </c>
      <c r="F231" s="106">
        <v>1290</v>
      </c>
      <c r="G231" s="106"/>
      <c r="H231" s="101" t="s">
        <v>14</v>
      </c>
      <c r="I231" s="103" t="s">
        <v>15</v>
      </c>
      <c r="J231" s="103"/>
      <c r="K231" s="104" t="s">
        <v>8</v>
      </c>
      <c r="L231" s="105">
        <v>215128.52</v>
      </c>
    </row>
    <row r="232" spans="1:12" ht="51" hidden="1" x14ac:dyDescent="0.3">
      <c r="A232" s="99" t="s">
        <v>102</v>
      </c>
      <c r="B232" s="100" t="s">
        <v>595</v>
      </c>
      <c r="C232" s="100" t="s">
        <v>596</v>
      </c>
      <c r="D232" s="100" t="s">
        <v>427</v>
      </c>
      <c r="E232" s="101" t="s">
        <v>13</v>
      </c>
      <c r="F232" s="106">
        <v>1358</v>
      </c>
      <c r="G232" s="106"/>
      <c r="H232" s="101" t="s">
        <v>14</v>
      </c>
      <c r="I232" s="103" t="s">
        <v>15</v>
      </c>
      <c r="J232" s="103"/>
      <c r="K232" s="104" t="s">
        <v>8</v>
      </c>
      <c r="L232" s="105">
        <v>216486.52</v>
      </c>
    </row>
    <row r="233" spans="1:12" ht="51" hidden="1" x14ac:dyDescent="0.3">
      <c r="A233" s="99" t="s">
        <v>102</v>
      </c>
      <c r="B233" s="100" t="s">
        <v>595</v>
      </c>
      <c r="C233" s="100" t="s">
        <v>597</v>
      </c>
      <c r="D233" s="100" t="s">
        <v>427</v>
      </c>
      <c r="E233" s="101" t="s">
        <v>13</v>
      </c>
      <c r="F233" s="106">
        <v>1800</v>
      </c>
      <c r="G233" s="106"/>
      <c r="H233" s="101" t="s">
        <v>14</v>
      </c>
      <c r="I233" s="103" t="s">
        <v>15</v>
      </c>
      <c r="J233" s="103"/>
      <c r="K233" s="104" t="s">
        <v>8</v>
      </c>
      <c r="L233" s="105">
        <v>218286.52</v>
      </c>
    </row>
    <row r="234" spans="1:12" ht="51" hidden="1" x14ac:dyDescent="0.3">
      <c r="A234" s="99" t="s">
        <v>102</v>
      </c>
      <c r="B234" s="100" t="s">
        <v>598</v>
      </c>
      <c r="C234" s="100" t="s">
        <v>599</v>
      </c>
      <c r="D234" s="100" t="s">
        <v>600</v>
      </c>
      <c r="E234" s="101" t="s">
        <v>13</v>
      </c>
      <c r="F234" s="106">
        <v>12453</v>
      </c>
      <c r="G234" s="106"/>
      <c r="H234" s="101" t="s">
        <v>14</v>
      </c>
      <c r="I234" s="103" t="s">
        <v>15</v>
      </c>
      <c r="J234" s="103"/>
      <c r="K234" s="104" t="s">
        <v>8</v>
      </c>
      <c r="L234" s="105">
        <v>230739.52</v>
      </c>
    </row>
    <row r="235" spans="1:12" ht="51" hidden="1" x14ac:dyDescent="0.3">
      <c r="A235" s="99" t="s">
        <v>102</v>
      </c>
      <c r="B235" s="100" t="s">
        <v>598</v>
      </c>
      <c r="C235" s="100" t="s">
        <v>601</v>
      </c>
      <c r="D235" s="100" t="s">
        <v>600</v>
      </c>
      <c r="E235" s="101" t="s">
        <v>13</v>
      </c>
      <c r="F235" s="106">
        <v>3990</v>
      </c>
      <c r="G235" s="106"/>
      <c r="H235" s="101" t="s">
        <v>14</v>
      </c>
      <c r="I235" s="103" t="s">
        <v>15</v>
      </c>
      <c r="J235" s="103"/>
      <c r="K235" s="104" t="s">
        <v>8</v>
      </c>
      <c r="L235" s="105">
        <v>234729.52</v>
      </c>
    </row>
    <row r="236" spans="1:12" ht="51" hidden="1" x14ac:dyDescent="0.3">
      <c r="A236" s="99" t="s">
        <v>102</v>
      </c>
      <c r="B236" s="100" t="s">
        <v>602</v>
      </c>
      <c r="C236" s="100" t="s">
        <v>603</v>
      </c>
      <c r="D236" s="100" t="s">
        <v>604</v>
      </c>
      <c r="E236" s="101" t="s">
        <v>13</v>
      </c>
      <c r="F236" s="106">
        <v>12453</v>
      </c>
      <c r="G236" s="106"/>
      <c r="H236" s="101" t="s">
        <v>14</v>
      </c>
      <c r="I236" s="103" t="s">
        <v>15</v>
      </c>
      <c r="J236" s="103"/>
      <c r="K236" s="104" t="s">
        <v>8</v>
      </c>
      <c r="L236" s="105">
        <v>247182.52</v>
      </c>
    </row>
    <row r="237" spans="1:12" ht="51" hidden="1" x14ac:dyDescent="0.3">
      <c r="A237" s="99" t="s">
        <v>102</v>
      </c>
      <c r="B237" s="100" t="s">
        <v>602</v>
      </c>
      <c r="C237" s="100" t="s">
        <v>605</v>
      </c>
      <c r="D237" s="100" t="s">
        <v>604</v>
      </c>
      <c r="E237" s="101" t="s">
        <v>13</v>
      </c>
      <c r="F237" s="106">
        <v>3990</v>
      </c>
      <c r="G237" s="106"/>
      <c r="H237" s="101" t="s">
        <v>14</v>
      </c>
      <c r="I237" s="103" t="s">
        <v>15</v>
      </c>
      <c r="J237" s="103"/>
      <c r="K237" s="104" t="s">
        <v>8</v>
      </c>
      <c r="L237" s="105">
        <v>251172.52</v>
      </c>
    </row>
    <row r="238" spans="1:12" ht="51" hidden="1" x14ac:dyDescent="0.3">
      <c r="A238" s="99" t="s">
        <v>102</v>
      </c>
      <c r="B238" s="100" t="s">
        <v>606</v>
      </c>
      <c r="C238" s="100" t="s">
        <v>607</v>
      </c>
      <c r="D238" s="100" t="s">
        <v>608</v>
      </c>
      <c r="E238" s="101" t="s">
        <v>13</v>
      </c>
      <c r="F238" s="102">
        <v>448</v>
      </c>
      <c r="G238" s="102"/>
      <c r="H238" s="101" t="s">
        <v>14</v>
      </c>
      <c r="I238" s="103" t="s">
        <v>15</v>
      </c>
      <c r="J238" s="103"/>
      <c r="K238" s="104" t="s">
        <v>8</v>
      </c>
      <c r="L238" s="105">
        <v>251620.52</v>
      </c>
    </row>
    <row r="239" spans="1:12" ht="51" hidden="1" x14ac:dyDescent="0.3">
      <c r="A239" s="99" t="s">
        <v>102</v>
      </c>
      <c r="B239" s="100" t="s">
        <v>606</v>
      </c>
      <c r="C239" s="100" t="s">
        <v>609</v>
      </c>
      <c r="D239" s="100" t="s">
        <v>608</v>
      </c>
      <c r="E239" s="101" t="s">
        <v>13</v>
      </c>
      <c r="F239" s="106">
        <v>12453</v>
      </c>
      <c r="G239" s="106"/>
      <c r="H239" s="101" t="s">
        <v>14</v>
      </c>
      <c r="I239" s="103" t="s">
        <v>15</v>
      </c>
      <c r="J239" s="103"/>
      <c r="K239" s="104" t="s">
        <v>8</v>
      </c>
      <c r="L239" s="105">
        <v>264073.52</v>
      </c>
    </row>
    <row r="240" spans="1:12" ht="51" hidden="1" x14ac:dyDescent="0.3">
      <c r="A240" s="99" t="s">
        <v>102</v>
      </c>
      <c r="B240" s="100" t="s">
        <v>606</v>
      </c>
      <c r="C240" s="100" t="s">
        <v>610</v>
      </c>
      <c r="D240" s="100" t="s">
        <v>608</v>
      </c>
      <c r="E240" s="101" t="s">
        <v>13</v>
      </c>
      <c r="F240" s="106">
        <v>3990</v>
      </c>
      <c r="G240" s="106"/>
      <c r="H240" s="101" t="s">
        <v>14</v>
      </c>
      <c r="I240" s="103" t="s">
        <v>15</v>
      </c>
      <c r="J240" s="103"/>
      <c r="K240" s="104" t="s">
        <v>8</v>
      </c>
      <c r="L240" s="105">
        <v>268063.52</v>
      </c>
    </row>
    <row r="241" spans="1:12" ht="51" hidden="1" x14ac:dyDescent="0.3">
      <c r="A241" s="99" t="s">
        <v>102</v>
      </c>
      <c r="B241" s="100" t="s">
        <v>606</v>
      </c>
      <c r="C241" s="100" t="s">
        <v>611</v>
      </c>
      <c r="D241" s="100" t="s">
        <v>608</v>
      </c>
      <c r="E241" s="101" t="s">
        <v>13</v>
      </c>
      <c r="F241" s="102">
        <v>265.39999999999998</v>
      </c>
      <c r="G241" s="102"/>
      <c r="H241" s="101" t="s">
        <v>14</v>
      </c>
      <c r="I241" s="103" t="s">
        <v>15</v>
      </c>
      <c r="J241" s="103"/>
      <c r="K241" s="104" t="s">
        <v>8</v>
      </c>
      <c r="L241" s="105">
        <v>268328.92</v>
      </c>
    </row>
    <row r="242" spans="1:12" ht="51" hidden="1" x14ac:dyDescent="0.3">
      <c r="A242" s="99" t="s">
        <v>102</v>
      </c>
      <c r="B242" s="100" t="s">
        <v>606</v>
      </c>
      <c r="C242" s="100" t="s">
        <v>612</v>
      </c>
      <c r="D242" s="100" t="s">
        <v>608</v>
      </c>
      <c r="E242" s="101" t="s">
        <v>13</v>
      </c>
      <c r="F242" s="102">
        <v>241.7</v>
      </c>
      <c r="G242" s="102"/>
      <c r="H242" s="101" t="s">
        <v>14</v>
      </c>
      <c r="I242" s="103" t="s">
        <v>15</v>
      </c>
      <c r="J242" s="103"/>
      <c r="K242" s="104" t="s">
        <v>8</v>
      </c>
      <c r="L242" s="105">
        <v>268570.62</v>
      </c>
    </row>
    <row r="243" spans="1:12" ht="51" hidden="1" x14ac:dyDescent="0.3">
      <c r="A243" s="99" t="s">
        <v>102</v>
      </c>
      <c r="B243" s="100" t="s">
        <v>606</v>
      </c>
      <c r="C243" s="100" t="s">
        <v>613</v>
      </c>
      <c r="D243" s="100" t="s">
        <v>608</v>
      </c>
      <c r="E243" s="101" t="s">
        <v>13</v>
      </c>
      <c r="F243" s="102">
        <v>525.79999999999995</v>
      </c>
      <c r="G243" s="102"/>
      <c r="H243" s="101" t="s">
        <v>14</v>
      </c>
      <c r="I243" s="103" t="s">
        <v>15</v>
      </c>
      <c r="J243" s="103"/>
      <c r="K243" s="104" t="s">
        <v>8</v>
      </c>
      <c r="L243" s="105">
        <v>269096.42</v>
      </c>
    </row>
    <row r="244" spans="1:12" ht="61.2" hidden="1" x14ac:dyDescent="0.3">
      <c r="A244" s="99" t="s">
        <v>102</v>
      </c>
      <c r="B244" s="100" t="s">
        <v>606</v>
      </c>
      <c r="C244" s="100" t="s">
        <v>614</v>
      </c>
      <c r="D244" s="100" t="s">
        <v>608</v>
      </c>
      <c r="E244" s="101" t="s">
        <v>13</v>
      </c>
      <c r="F244" s="102">
        <v>361.2</v>
      </c>
      <c r="G244" s="102"/>
      <c r="H244" s="101" t="s">
        <v>14</v>
      </c>
      <c r="I244" s="103" t="s">
        <v>15</v>
      </c>
      <c r="J244" s="103"/>
      <c r="K244" s="104" t="s">
        <v>8</v>
      </c>
      <c r="L244" s="105">
        <v>269457.62</v>
      </c>
    </row>
    <row r="245" spans="1:12" ht="51" hidden="1" x14ac:dyDescent="0.3">
      <c r="A245" s="99" t="s">
        <v>102</v>
      </c>
      <c r="B245" s="100" t="s">
        <v>615</v>
      </c>
      <c r="C245" s="100" t="s">
        <v>616</v>
      </c>
      <c r="D245" s="100" t="s">
        <v>611</v>
      </c>
      <c r="E245" s="101" t="s">
        <v>13</v>
      </c>
      <c r="F245" s="102">
        <v>265.39999999999998</v>
      </c>
      <c r="G245" s="102"/>
      <c r="H245" s="101" t="s">
        <v>13</v>
      </c>
      <c r="I245" s="103" t="s">
        <v>15</v>
      </c>
      <c r="J245" s="103"/>
      <c r="K245" s="104" t="s">
        <v>8</v>
      </c>
      <c r="L245" s="105">
        <v>132599.26999999999</v>
      </c>
    </row>
    <row r="246" spans="1:12" ht="51" hidden="1" x14ac:dyDescent="0.3">
      <c r="A246" s="99" t="s">
        <v>102</v>
      </c>
      <c r="B246" s="100" t="s">
        <v>615</v>
      </c>
      <c r="C246" s="100" t="s">
        <v>616</v>
      </c>
      <c r="D246" s="100" t="s">
        <v>611</v>
      </c>
      <c r="E246" s="101" t="s">
        <v>13</v>
      </c>
      <c r="F246" s="107" t="s">
        <v>15</v>
      </c>
      <c r="G246" s="107"/>
      <c r="H246" s="101" t="s">
        <v>13</v>
      </c>
      <c r="I246" s="108">
        <v>265.39999999999998</v>
      </c>
      <c r="J246" s="108"/>
      <c r="K246" s="104" t="s">
        <v>8</v>
      </c>
      <c r="L246" s="105">
        <v>269192.21999999997</v>
      </c>
    </row>
    <row r="247" spans="1:12" ht="51" hidden="1" x14ac:dyDescent="0.3">
      <c r="A247" s="99" t="s">
        <v>102</v>
      </c>
      <c r="B247" s="100" t="s">
        <v>615</v>
      </c>
      <c r="C247" s="100" t="s">
        <v>617</v>
      </c>
      <c r="D247" s="100" t="s">
        <v>612</v>
      </c>
      <c r="E247" s="101" t="s">
        <v>13</v>
      </c>
      <c r="F247" s="102">
        <v>241.7</v>
      </c>
      <c r="G247" s="102"/>
      <c r="H247" s="101" t="s">
        <v>13</v>
      </c>
      <c r="I247" s="103" t="s">
        <v>15</v>
      </c>
      <c r="J247" s="103"/>
      <c r="K247" s="104" t="s">
        <v>8</v>
      </c>
      <c r="L247" s="105">
        <v>132840.97</v>
      </c>
    </row>
    <row r="248" spans="1:12" ht="51" hidden="1" x14ac:dyDescent="0.3">
      <c r="A248" s="99" t="s">
        <v>102</v>
      </c>
      <c r="B248" s="100" t="s">
        <v>615</v>
      </c>
      <c r="C248" s="100" t="s">
        <v>617</v>
      </c>
      <c r="D248" s="100" t="s">
        <v>612</v>
      </c>
      <c r="E248" s="101" t="s">
        <v>13</v>
      </c>
      <c r="F248" s="107" t="s">
        <v>15</v>
      </c>
      <c r="G248" s="107"/>
      <c r="H248" s="101" t="s">
        <v>13</v>
      </c>
      <c r="I248" s="108">
        <v>241.7</v>
      </c>
      <c r="J248" s="108"/>
      <c r="K248" s="104" t="s">
        <v>8</v>
      </c>
      <c r="L248" s="105">
        <v>268950.52</v>
      </c>
    </row>
    <row r="249" spans="1:12" ht="51" hidden="1" x14ac:dyDescent="0.3">
      <c r="A249" s="99" t="s">
        <v>102</v>
      </c>
      <c r="B249" s="100" t="s">
        <v>615</v>
      </c>
      <c r="C249" s="100" t="s">
        <v>618</v>
      </c>
      <c r="D249" s="100" t="s">
        <v>613</v>
      </c>
      <c r="E249" s="101" t="s">
        <v>13</v>
      </c>
      <c r="F249" s="102">
        <v>525.79999999999995</v>
      </c>
      <c r="G249" s="102"/>
      <c r="H249" s="101" t="s">
        <v>13</v>
      </c>
      <c r="I249" s="103" t="s">
        <v>15</v>
      </c>
      <c r="J249" s="103"/>
      <c r="K249" s="104" t="s">
        <v>8</v>
      </c>
      <c r="L249" s="105">
        <v>133366.76999999999</v>
      </c>
    </row>
    <row r="250" spans="1:12" ht="51" hidden="1" x14ac:dyDescent="0.3">
      <c r="A250" s="99" t="s">
        <v>102</v>
      </c>
      <c r="B250" s="100" t="s">
        <v>615</v>
      </c>
      <c r="C250" s="100" t="s">
        <v>618</v>
      </c>
      <c r="D250" s="100" t="s">
        <v>613</v>
      </c>
      <c r="E250" s="101" t="s">
        <v>13</v>
      </c>
      <c r="F250" s="107" t="s">
        <v>15</v>
      </c>
      <c r="G250" s="107"/>
      <c r="H250" s="101" t="s">
        <v>13</v>
      </c>
      <c r="I250" s="108">
        <v>525.79999999999995</v>
      </c>
      <c r="J250" s="108"/>
      <c r="K250" s="104" t="s">
        <v>8</v>
      </c>
      <c r="L250" s="105">
        <v>268424.71999999997</v>
      </c>
    </row>
    <row r="251" spans="1:12" ht="61.2" hidden="1" x14ac:dyDescent="0.3">
      <c r="A251" s="99" t="s">
        <v>102</v>
      </c>
      <c r="B251" s="100" t="s">
        <v>615</v>
      </c>
      <c r="C251" s="100" t="s">
        <v>619</v>
      </c>
      <c r="D251" s="100" t="s">
        <v>614</v>
      </c>
      <c r="E251" s="101" t="s">
        <v>13</v>
      </c>
      <c r="F251" s="102">
        <v>361.2</v>
      </c>
      <c r="G251" s="102"/>
      <c r="H251" s="101" t="s">
        <v>13</v>
      </c>
      <c r="I251" s="103" t="s">
        <v>15</v>
      </c>
      <c r="J251" s="103"/>
      <c r="K251" s="104" t="s">
        <v>8</v>
      </c>
      <c r="L251" s="105">
        <v>133727.97</v>
      </c>
    </row>
    <row r="252" spans="1:12" ht="61.2" hidden="1" x14ac:dyDescent="0.3">
      <c r="A252" s="99" t="s">
        <v>102</v>
      </c>
      <c r="B252" s="100" t="s">
        <v>615</v>
      </c>
      <c r="C252" s="100" t="s">
        <v>619</v>
      </c>
      <c r="D252" s="100" t="s">
        <v>614</v>
      </c>
      <c r="E252" s="101" t="s">
        <v>13</v>
      </c>
      <c r="F252" s="107" t="s">
        <v>15</v>
      </c>
      <c r="G252" s="107"/>
      <c r="H252" s="101" t="s">
        <v>13</v>
      </c>
      <c r="I252" s="108">
        <v>361.2</v>
      </c>
      <c r="J252" s="108"/>
      <c r="K252" s="104" t="s">
        <v>8</v>
      </c>
      <c r="L252" s="105">
        <v>268063.52</v>
      </c>
    </row>
    <row r="253" spans="1:12" ht="51" hidden="1" x14ac:dyDescent="0.3">
      <c r="A253" s="99" t="s">
        <v>102</v>
      </c>
      <c r="B253" s="100" t="s">
        <v>620</v>
      </c>
      <c r="C253" s="100" t="s">
        <v>621</v>
      </c>
      <c r="D253" s="100" t="s">
        <v>609</v>
      </c>
      <c r="E253" s="101" t="s">
        <v>13</v>
      </c>
      <c r="F253" s="106">
        <v>12453</v>
      </c>
      <c r="G253" s="106"/>
      <c r="H253" s="101" t="s">
        <v>13</v>
      </c>
      <c r="I253" s="103" t="s">
        <v>15</v>
      </c>
      <c r="J253" s="103"/>
      <c r="K253" s="104" t="s">
        <v>8</v>
      </c>
      <c r="L253" s="105">
        <v>19199.52</v>
      </c>
    </row>
    <row r="254" spans="1:12" ht="51" hidden="1" x14ac:dyDescent="0.3">
      <c r="A254" s="99" t="s">
        <v>102</v>
      </c>
      <c r="B254" s="100" t="s">
        <v>620</v>
      </c>
      <c r="C254" s="100" t="s">
        <v>621</v>
      </c>
      <c r="D254" s="100" t="s">
        <v>609</v>
      </c>
      <c r="E254" s="101" t="s">
        <v>13</v>
      </c>
      <c r="F254" s="107" t="s">
        <v>15</v>
      </c>
      <c r="G254" s="107"/>
      <c r="H254" s="101" t="s">
        <v>13</v>
      </c>
      <c r="I254" s="109">
        <v>12453</v>
      </c>
      <c r="J254" s="109"/>
      <c r="K254" s="104" t="s">
        <v>8</v>
      </c>
      <c r="L254" s="105">
        <v>255610.52</v>
      </c>
    </row>
    <row r="255" spans="1:12" ht="51" hidden="1" x14ac:dyDescent="0.3">
      <c r="A255" s="99" t="s">
        <v>102</v>
      </c>
      <c r="B255" s="100" t="s">
        <v>620</v>
      </c>
      <c r="C255" s="100" t="s">
        <v>622</v>
      </c>
      <c r="D255" s="100" t="s">
        <v>610</v>
      </c>
      <c r="E255" s="101" t="s">
        <v>13</v>
      </c>
      <c r="F255" s="106">
        <v>3990</v>
      </c>
      <c r="G255" s="106"/>
      <c r="H255" s="101" t="s">
        <v>13</v>
      </c>
      <c r="I255" s="103" t="s">
        <v>15</v>
      </c>
      <c r="J255" s="103"/>
      <c r="K255" s="104" t="s">
        <v>8</v>
      </c>
      <c r="L255" s="105">
        <v>23189.52</v>
      </c>
    </row>
    <row r="256" spans="1:12" ht="51" hidden="1" x14ac:dyDescent="0.3">
      <c r="A256" s="99" t="s">
        <v>102</v>
      </c>
      <c r="B256" s="100" t="s">
        <v>620</v>
      </c>
      <c r="C256" s="100" t="s">
        <v>622</v>
      </c>
      <c r="D256" s="100" t="s">
        <v>610</v>
      </c>
      <c r="E256" s="101" t="s">
        <v>13</v>
      </c>
      <c r="F256" s="107" t="s">
        <v>15</v>
      </c>
      <c r="G256" s="107"/>
      <c r="H256" s="101" t="s">
        <v>13</v>
      </c>
      <c r="I256" s="109">
        <v>3990</v>
      </c>
      <c r="J256" s="109"/>
      <c r="K256" s="104" t="s">
        <v>8</v>
      </c>
      <c r="L256" s="105">
        <v>251620.52</v>
      </c>
    </row>
    <row r="257" spans="1:12" ht="51" hidden="1" x14ac:dyDescent="0.3">
      <c r="A257" s="99" t="s">
        <v>102</v>
      </c>
      <c r="B257" s="100" t="s">
        <v>620</v>
      </c>
      <c r="C257" s="100" t="s">
        <v>623</v>
      </c>
      <c r="D257" s="100" t="s">
        <v>607</v>
      </c>
      <c r="E257" s="101" t="s">
        <v>13</v>
      </c>
      <c r="F257" s="102">
        <v>112</v>
      </c>
      <c r="G257" s="102"/>
      <c r="H257" s="101" t="s">
        <v>13</v>
      </c>
      <c r="I257" s="103" t="s">
        <v>15</v>
      </c>
      <c r="J257" s="103"/>
      <c r="K257" s="104" t="s">
        <v>8</v>
      </c>
      <c r="L257" s="105">
        <v>23301.52</v>
      </c>
    </row>
    <row r="258" spans="1:12" ht="51" hidden="1" x14ac:dyDescent="0.3">
      <c r="A258" s="99" t="s">
        <v>102</v>
      </c>
      <c r="B258" s="100" t="s">
        <v>620</v>
      </c>
      <c r="C258" s="100" t="s">
        <v>623</v>
      </c>
      <c r="D258" s="100" t="s">
        <v>607</v>
      </c>
      <c r="E258" s="101" t="s">
        <v>13</v>
      </c>
      <c r="F258" s="107" t="s">
        <v>15</v>
      </c>
      <c r="G258" s="107"/>
      <c r="H258" s="101" t="s">
        <v>13</v>
      </c>
      <c r="I258" s="108">
        <v>112</v>
      </c>
      <c r="J258" s="108"/>
      <c r="K258" s="104" t="s">
        <v>8</v>
      </c>
      <c r="L258" s="105">
        <v>251508.52</v>
      </c>
    </row>
    <row r="259" spans="1:12" ht="51" hidden="1" x14ac:dyDescent="0.3">
      <c r="A259" s="99" t="s">
        <v>102</v>
      </c>
      <c r="B259" s="100" t="s">
        <v>624</v>
      </c>
      <c r="C259" s="100" t="s">
        <v>625</v>
      </c>
      <c r="D259" s="100" t="s">
        <v>607</v>
      </c>
      <c r="E259" s="101" t="s">
        <v>13</v>
      </c>
      <c r="F259" s="107" t="s">
        <v>15</v>
      </c>
      <c r="G259" s="107"/>
      <c r="H259" s="101" t="s">
        <v>13</v>
      </c>
      <c r="I259" s="108">
        <v>112</v>
      </c>
      <c r="J259" s="108"/>
      <c r="K259" s="104" t="s">
        <v>8</v>
      </c>
      <c r="L259" s="105">
        <v>251396.52</v>
      </c>
    </row>
    <row r="260" spans="1:12" ht="51" hidden="1" x14ac:dyDescent="0.3">
      <c r="A260" s="99" t="s">
        <v>102</v>
      </c>
      <c r="B260" s="100" t="s">
        <v>624</v>
      </c>
      <c r="C260" s="100" t="s">
        <v>625</v>
      </c>
      <c r="D260" s="100" t="s">
        <v>607</v>
      </c>
      <c r="E260" s="101" t="s">
        <v>13</v>
      </c>
      <c r="F260" s="102">
        <v>112</v>
      </c>
      <c r="G260" s="102"/>
      <c r="H260" s="101" t="s">
        <v>13</v>
      </c>
      <c r="I260" s="103" t="s">
        <v>15</v>
      </c>
      <c r="J260" s="103"/>
      <c r="K260" s="104" t="s">
        <v>8</v>
      </c>
      <c r="L260" s="105">
        <v>15077.15</v>
      </c>
    </row>
    <row r="261" spans="1:12" ht="51" hidden="1" x14ac:dyDescent="0.3">
      <c r="A261" s="99" t="s">
        <v>102</v>
      </c>
      <c r="B261" s="100" t="s">
        <v>626</v>
      </c>
      <c r="C261" s="100" t="s">
        <v>627</v>
      </c>
      <c r="D261" s="100" t="s">
        <v>607</v>
      </c>
      <c r="E261" s="101" t="s">
        <v>13</v>
      </c>
      <c r="F261" s="102">
        <v>112</v>
      </c>
      <c r="G261" s="102"/>
      <c r="H261" s="101" t="s">
        <v>13</v>
      </c>
      <c r="I261" s="103" t="s">
        <v>15</v>
      </c>
      <c r="J261" s="103"/>
      <c r="K261" s="104" t="s">
        <v>8</v>
      </c>
      <c r="L261" s="105">
        <v>72161.63</v>
      </c>
    </row>
    <row r="262" spans="1:12" ht="51" hidden="1" x14ac:dyDescent="0.3">
      <c r="A262" s="99" t="s">
        <v>102</v>
      </c>
      <c r="B262" s="100" t="s">
        <v>626</v>
      </c>
      <c r="C262" s="100" t="s">
        <v>627</v>
      </c>
      <c r="D262" s="100" t="s">
        <v>607</v>
      </c>
      <c r="E262" s="101" t="s">
        <v>13</v>
      </c>
      <c r="F262" s="107" t="s">
        <v>15</v>
      </c>
      <c r="G262" s="107"/>
      <c r="H262" s="101" t="s">
        <v>13</v>
      </c>
      <c r="I262" s="108">
        <v>112</v>
      </c>
      <c r="J262" s="108"/>
      <c r="K262" s="104" t="s">
        <v>8</v>
      </c>
      <c r="L262" s="105">
        <v>251284.52</v>
      </c>
    </row>
    <row r="263" spans="1:12" ht="51" hidden="1" x14ac:dyDescent="0.3">
      <c r="A263" s="99" t="s">
        <v>102</v>
      </c>
      <c r="B263" s="100" t="s">
        <v>628</v>
      </c>
      <c r="C263" s="100" t="s">
        <v>629</v>
      </c>
      <c r="D263" s="100" t="s">
        <v>607</v>
      </c>
      <c r="E263" s="101" t="s">
        <v>13</v>
      </c>
      <c r="F263" s="102">
        <v>112</v>
      </c>
      <c r="G263" s="102"/>
      <c r="H263" s="101" t="s">
        <v>13</v>
      </c>
      <c r="I263" s="103" t="s">
        <v>15</v>
      </c>
      <c r="J263" s="103"/>
      <c r="K263" s="104" t="s">
        <v>8</v>
      </c>
      <c r="L263" s="105">
        <v>10603.35</v>
      </c>
    </row>
    <row r="264" spans="1:12" ht="51" hidden="1" x14ac:dyDescent="0.3">
      <c r="A264" s="99" t="s">
        <v>102</v>
      </c>
      <c r="B264" s="100" t="s">
        <v>628</v>
      </c>
      <c r="C264" s="100" t="s">
        <v>629</v>
      </c>
      <c r="D264" s="100" t="s">
        <v>607</v>
      </c>
      <c r="E264" s="101" t="s">
        <v>13</v>
      </c>
      <c r="F264" s="107" t="s">
        <v>15</v>
      </c>
      <c r="G264" s="107"/>
      <c r="H264" s="101" t="s">
        <v>13</v>
      </c>
      <c r="I264" s="108">
        <v>112</v>
      </c>
      <c r="J264" s="108"/>
      <c r="K264" s="104" t="s">
        <v>8</v>
      </c>
      <c r="L264" s="105">
        <v>251172.52</v>
      </c>
    </row>
    <row r="265" spans="1:12" ht="51" hidden="1" x14ac:dyDescent="0.3">
      <c r="A265" s="99" t="s">
        <v>102</v>
      </c>
      <c r="B265" s="100" t="s">
        <v>630</v>
      </c>
      <c r="C265" s="100" t="s">
        <v>631</v>
      </c>
      <c r="D265" s="100" t="s">
        <v>603</v>
      </c>
      <c r="E265" s="101" t="s">
        <v>13</v>
      </c>
      <c r="F265" s="106">
        <v>6226.5</v>
      </c>
      <c r="G265" s="106"/>
      <c r="H265" s="101" t="s">
        <v>13</v>
      </c>
      <c r="I265" s="103" t="s">
        <v>15</v>
      </c>
      <c r="J265" s="103"/>
      <c r="K265" s="104" t="s">
        <v>8</v>
      </c>
      <c r="L265" s="105">
        <v>29470.09</v>
      </c>
    </row>
    <row r="266" spans="1:12" ht="51" hidden="1" x14ac:dyDescent="0.3">
      <c r="A266" s="99" t="s">
        <v>102</v>
      </c>
      <c r="B266" s="100" t="s">
        <v>630</v>
      </c>
      <c r="C266" s="100" t="s">
        <v>631</v>
      </c>
      <c r="D266" s="100" t="s">
        <v>603</v>
      </c>
      <c r="E266" s="101" t="s">
        <v>13</v>
      </c>
      <c r="F266" s="107" t="s">
        <v>15</v>
      </c>
      <c r="G266" s="107"/>
      <c r="H266" s="101" t="s">
        <v>13</v>
      </c>
      <c r="I266" s="109">
        <v>6226.5</v>
      </c>
      <c r="J266" s="109"/>
      <c r="K266" s="104" t="s">
        <v>8</v>
      </c>
      <c r="L266" s="105">
        <v>244946.02</v>
      </c>
    </row>
    <row r="267" spans="1:12" ht="51" hidden="1" x14ac:dyDescent="0.3">
      <c r="A267" s="99" t="s">
        <v>102</v>
      </c>
      <c r="B267" s="100" t="s">
        <v>630</v>
      </c>
      <c r="C267" s="100" t="s">
        <v>632</v>
      </c>
      <c r="D267" s="100" t="s">
        <v>605</v>
      </c>
      <c r="E267" s="101" t="s">
        <v>13</v>
      </c>
      <c r="F267" s="107" t="s">
        <v>15</v>
      </c>
      <c r="G267" s="107"/>
      <c r="H267" s="101" t="s">
        <v>13</v>
      </c>
      <c r="I267" s="109">
        <v>1995</v>
      </c>
      <c r="J267" s="109"/>
      <c r="K267" s="104" t="s">
        <v>8</v>
      </c>
      <c r="L267" s="105">
        <v>242951.02</v>
      </c>
    </row>
    <row r="268" spans="1:12" ht="51" hidden="1" x14ac:dyDescent="0.3">
      <c r="A268" s="99" t="s">
        <v>102</v>
      </c>
      <c r="B268" s="100" t="s">
        <v>630</v>
      </c>
      <c r="C268" s="100" t="s">
        <v>632</v>
      </c>
      <c r="D268" s="100" t="s">
        <v>605</v>
      </c>
      <c r="E268" s="101" t="s">
        <v>13</v>
      </c>
      <c r="F268" s="106">
        <v>1995</v>
      </c>
      <c r="G268" s="106"/>
      <c r="H268" s="101" t="s">
        <v>13</v>
      </c>
      <c r="I268" s="103" t="s">
        <v>15</v>
      </c>
      <c r="J268" s="103"/>
      <c r="K268" s="104" t="s">
        <v>8</v>
      </c>
      <c r="L268" s="105">
        <v>31465.09</v>
      </c>
    </row>
    <row r="269" spans="1:12" ht="51" hidden="1" x14ac:dyDescent="0.3">
      <c r="A269" s="99" t="s">
        <v>102</v>
      </c>
      <c r="B269" s="100" t="s">
        <v>633</v>
      </c>
      <c r="C269" s="100" t="s">
        <v>634</v>
      </c>
      <c r="D269" s="100" t="s">
        <v>603</v>
      </c>
      <c r="E269" s="101" t="s">
        <v>13</v>
      </c>
      <c r="F269" s="107" t="s">
        <v>15</v>
      </c>
      <c r="G269" s="107"/>
      <c r="H269" s="101" t="s">
        <v>13</v>
      </c>
      <c r="I269" s="109">
        <v>6226.5</v>
      </c>
      <c r="J269" s="109"/>
      <c r="K269" s="104" t="s">
        <v>8</v>
      </c>
      <c r="L269" s="105">
        <v>236724.52</v>
      </c>
    </row>
    <row r="270" spans="1:12" ht="51" hidden="1" x14ac:dyDescent="0.3">
      <c r="A270" s="99" t="s">
        <v>102</v>
      </c>
      <c r="B270" s="100" t="s">
        <v>633</v>
      </c>
      <c r="C270" s="100" t="s">
        <v>634</v>
      </c>
      <c r="D270" s="100" t="s">
        <v>603</v>
      </c>
      <c r="E270" s="101" t="s">
        <v>13</v>
      </c>
      <c r="F270" s="106">
        <v>6226.5</v>
      </c>
      <c r="G270" s="106"/>
      <c r="H270" s="101" t="s">
        <v>13</v>
      </c>
      <c r="I270" s="103" t="s">
        <v>15</v>
      </c>
      <c r="J270" s="103"/>
      <c r="K270" s="104" t="s">
        <v>8</v>
      </c>
      <c r="L270" s="105">
        <v>29528.02</v>
      </c>
    </row>
    <row r="271" spans="1:12" ht="51" hidden="1" x14ac:dyDescent="0.3">
      <c r="A271" s="99" t="s">
        <v>102</v>
      </c>
      <c r="B271" s="100" t="s">
        <v>635</v>
      </c>
      <c r="C271" s="100" t="s">
        <v>636</v>
      </c>
      <c r="D271" s="100" t="s">
        <v>605</v>
      </c>
      <c r="E271" s="101" t="s">
        <v>13</v>
      </c>
      <c r="F271" s="107" t="s">
        <v>15</v>
      </c>
      <c r="G271" s="107"/>
      <c r="H271" s="101" t="s">
        <v>13</v>
      </c>
      <c r="I271" s="109">
        <v>1995</v>
      </c>
      <c r="J271" s="109"/>
      <c r="K271" s="104" t="s">
        <v>8</v>
      </c>
      <c r="L271" s="105">
        <v>234729.52</v>
      </c>
    </row>
    <row r="272" spans="1:12" ht="51" hidden="1" x14ac:dyDescent="0.3">
      <c r="A272" s="99" t="s">
        <v>102</v>
      </c>
      <c r="B272" s="100" t="s">
        <v>635</v>
      </c>
      <c r="C272" s="100" t="s">
        <v>636</v>
      </c>
      <c r="D272" s="100" t="s">
        <v>605</v>
      </c>
      <c r="E272" s="101" t="s">
        <v>13</v>
      </c>
      <c r="F272" s="106">
        <v>1995</v>
      </c>
      <c r="G272" s="106"/>
      <c r="H272" s="101" t="s">
        <v>13</v>
      </c>
      <c r="I272" s="103" t="s">
        <v>15</v>
      </c>
      <c r="J272" s="103"/>
      <c r="K272" s="104" t="s">
        <v>8</v>
      </c>
      <c r="L272" s="105">
        <v>8225.89</v>
      </c>
    </row>
    <row r="273" spans="1:12" ht="51" hidden="1" x14ac:dyDescent="0.3">
      <c r="A273" s="99" t="s">
        <v>102</v>
      </c>
      <c r="B273" s="100" t="s">
        <v>637</v>
      </c>
      <c r="C273" s="100" t="s">
        <v>638</v>
      </c>
      <c r="D273" s="100" t="s">
        <v>599</v>
      </c>
      <c r="E273" s="101" t="s">
        <v>13</v>
      </c>
      <c r="F273" s="106">
        <v>6226.5</v>
      </c>
      <c r="G273" s="106"/>
      <c r="H273" s="101" t="s">
        <v>13</v>
      </c>
      <c r="I273" s="103" t="s">
        <v>15</v>
      </c>
      <c r="J273" s="103"/>
      <c r="K273" s="104" t="s">
        <v>8</v>
      </c>
      <c r="L273" s="105">
        <v>37691.589999999997</v>
      </c>
    </row>
    <row r="274" spans="1:12" ht="51" hidden="1" x14ac:dyDescent="0.3">
      <c r="A274" s="99" t="s">
        <v>102</v>
      </c>
      <c r="B274" s="100" t="s">
        <v>637</v>
      </c>
      <c r="C274" s="100" t="s">
        <v>638</v>
      </c>
      <c r="D274" s="100" t="s">
        <v>599</v>
      </c>
      <c r="E274" s="101" t="s">
        <v>13</v>
      </c>
      <c r="F274" s="107" t="s">
        <v>15</v>
      </c>
      <c r="G274" s="107"/>
      <c r="H274" s="101" t="s">
        <v>13</v>
      </c>
      <c r="I274" s="109">
        <v>6226.5</v>
      </c>
      <c r="J274" s="109"/>
      <c r="K274" s="104" t="s">
        <v>8</v>
      </c>
      <c r="L274" s="105">
        <v>228503.02</v>
      </c>
    </row>
    <row r="275" spans="1:12" ht="51" hidden="1" x14ac:dyDescent="0.3">
      <c r="A275" s="99" t="s">
        <v>102</v>
      </c>
      <c r="B275" s="100" t="s">
        <v>637</v>
      </c>
      <c r="C275" s="100" t="s">
        <v>639</v>
      </c>
      <c r="D275" s="100" t="s">
        <v>601</v>
      </c>
      <c r="E275" s="101" t="s">
        <v>13</v>
      </c>
      <c r="F275" s="106">
        <v>1995</v>
      </c>
      <c r="G275" s="106"/>
      <c r="H275" s="101" t="s">
        <v>13</v>
      </c>
      <c r="I275" s="103" t="s">
        <v>15</v>
      </c>
      <c r="J275" s="103"/>
      <c r="K275" s="104" t="s">
        <v>8</v>
      </c>
      <c r="L275" s="105">
        <v>39686.589999999997</v>
      </c>
    </row>
    <row r="276" spans="1:12" ht="51" hidden="1" x14ac:dyDescent="0.3">
      <c r="A276" s="99" t="s">
        <v>102</v>
      </c>
      <c r="B276" s="100" t="s">
        <v>637</v>
      </c>
      <c r="C276" s="100" t="s">
        <v>639</v>
      </c>
      <c r="D276" s="100" t="s">
        <v>601</v>
      </c>
      <c r="E276" s="101" t="s">
        <v>13</v>
      </c>
      <c r="F276" s="107" t="s">
        <v>15</v>
      </c>
      <c r="G276" s="107"/>
      <c r="H276" s="101" t="s">
        <v>13</v>
      </c>
      <c r="I276" s="109">
        <v>1995</v>
      </c>
      <c r="J276" s="109"/>
      <c r="K276" s="104" t="s">
        <v>8</v>
      </c>
      <c r="L276" s="105">
        <v>226508.02</v>
      </c>
    </row>
    <row r="277" spans="1:12" ht="51" hidden="1" x14ac:dyDescent="0.3">
      <c r="A277" s="99" t="s">
        <v>102</v>
      </c>
      <c r="B277" s="100" t="s">
        <v>640</v>
      </c>
      <c r="C277" s="100" t="s">
        <v>641</v>
      </c>
      <c r="D277" s="100" t="s">
        <v>599</v>
      </c>
      <c r="E277" s="101" t="s">
        <v>13</v>
      </c>
      <c r="F277" s="107" t="s">
        <v>15</v>
      </c>
      <c r="G277" s="107"/>
      <c r="H277" s="101" t="s">
        <v>13</v>
      </c>
      <c r="I277" s="109">
        <v>6226.5</v>
      </c>
      <c r="J277" s="109"/>
      <c r="K277" s="104" t="s">
        <v>8</v>
      </c>
      <c r="L277" s="105">
        <v>220281.52</v>
      </c>
    </row>
    <row r="278" spans="1:12" ht="51" hidden="1" x14ac:dyDescent="0.3">
      <c r="A278" s="99" t="s">
        <v>102</v>
      </c>
      <c r="B278" s="100" t="s">
        <v>640</v>
      </c>
      <c r="C278" s="100" t="s">
        <v>641</v>
      </c>
      <c r="D278" s="100" t="s">
        <v>599</v>
      </c>
      <c r="E278" s="101" t="s">
        <v>13</v>
      </c>
      <c r="F278" s="106">
        <v>6226.5</v>
      </c>
      <c r="G278" s="106"/>
      <c r="H278" s="101" t="s">
        <v>13</v>
      </c>
      <c r="I278" s="103" t="s">
        <v>15</v>
      </c>
      <c r="J278" s="103"/>
      <c r="K278" s="104" t="s">
        <v>8</v>
      </c>
      <c r="L278" s="105">
        <v>35754.519999999997</v>
      </c>
    </row>
    <row r="279" spans="1:12" ht="51" hidden="1" x14ac:dyDescent="0.3">
      <c r="A279" s="99" t="s">
        <v>102</v>
      </c>
      <c r="B279" s="100" t="s">
        <v>642</v>
      </c>
      <c r="C279" s="100" t="s">
        <v>643</v>
      </c>
      <c r="D279" s="100" t="s">
        <v>601</v>
      </c>
      <c r="E279" s="101" t="s">
        <v>13</v>
      </c>
      <c r="F279" s="106">
        <v>1995</v>
      </c>
      <c r="G279" s="106"/>
      <c r="H279" s="101" t="s">
        <v>13</v>
      </c>
      <c r="I279" s="103" t="s">
        <v>15</v>
      </c>
      <c r="J279" s="103"/>
      <c r="K279" s="104" t="s">
        <v>8</v>
      </c>
      <c r="L279" s="105">
        <v>12598.35</v>
      </c>
    </row>
    <row r="280" spans="1:12" ht="51" hidden="1" x14ac:dyDescent="0.3">
      <c r="A280" s="99" t="s">
        <v>102</v>
      </c>
      <c r="B280" s="100" t="s">
        <v>642</v>
      </c>
      <c r="C280" s="100" t="s">
        <v>643</v>
      </c>
      <c r="D280" s="100" t="s">
        <v>601</v>
      </c>
      <c r="E280" s="101" t="s">
        <v>13</v>
      </c>
      <c r="F280" s="107" t="s">
        <v>15</v>
      </c>
      <c r="G280" s="107"/>
      <c r="H280" s="101" t="s">
        <v>13</v>
      </c>
      <c r="I280" s="109">
        <v>1995</v>
      </c>
      <c r="J280" s="109"/>
      <c r="K280" s="104" t="s">
        <v>8</v>
      </c>
      <c r="L280" s="105">
        <v>218286.52</v>
      </c>
    </row>
    <row r="281" spans="1:12" ht="51" x14ac:dyDescent="0.3">
      <c r="A281" s="99" t="s">
        <v>644</v>
      </c>
      <c r="B281" s="100" t="s">
        <v>645</v>
      </c>
      <c r="C281" s="100" t="s">
        <v>493</v>
      </c>
      <c r="D281" s="100" t="s">
        <v>646</v>
      </c>
      <c r="E281" s="101" t="s">
        <v>105</v>
      </c>
      <c r="F281" s="107" t="s">
        <v>15</v>
      </c>
      <c r="G281" s="107"/>
      <c r="H281" s="101" t="s">
        <v>13</v>
      </c>
      <c r="I281" s="109">
        <v>1070.5</v>
      </c>
      <c r="J281" s="109"/>
      <c r="K281" s="104" t="s">
        <v>8</v>
      </c>
      <c r="L281" s="105">
        <v>217216.02</v>
      </c>
    </row>
    <row r="282" spans="1:12" ht="51" x14ac:dyDescent="0.3">
      <c r="A282" s="99" t="s">
        <v>644</v>
      </c>
      <c r="B282" s="100" t="s">
        <v>645</v>
      </c>
      <c r="C282" s="100" t="s">
        <v>493</v>
      </c>
      <c r="D282" s="100" t="s">
        <v>448</v>
      </c>
      <c r="E282" s="101" t="s">
        <v>105</v>
      </c>
      <c r="F282" s="107" t="s">
        <v>15</v>
      </c>
      <c r="G282" s="107"/>
      <c r="H282" s="101" t="s">
        <v>13</v>
      </c>
      <c r="I282" s="108">
        <v>373.5</v>
      </c>
      <c r="J282" s="108"/>
      <c r="K282" s="104" t="s">
        <v>8</v>
      </c>
      <c r="L282" s="105">
        <v>216842.52</v>
      </c>
    </row>
    <row r="283" spans="1:12" ht="51" x14ac:dyDescent="0.3">
      <c r="A283" s="99" t="s">
        <v>644</v>
      </c>
      <c r="B283" s="100" t="s">
        <v>645</v>
      </c>
      <c r="C283" s="100" t="s">
        <v>493</v>
      </c>
      <c r="D283" s="100" t="s">
        <v>547</v>
      </c>
      <c r="E283" s="101" t="s">
        <v>105</v>
      </c>
      <c r="F283" s="107" t="s">
        <v>15</v>
      </c>
      <c r="G283" s="107"/>
      <c r="H283" s="101" t="s">
        <v>13</v>
      </c>
      <c r="I283" s="108">
        <v>248.4</v>
      </c>
      <c r="J283" s="108"/>
      <c r="K283" s="104" t="s">
        <v>8</v>
      </c>
      <c r="L283" s="105">
        <v>216594.12</v>
      </c>
    </row>
    <row r="284" spans="1:12" ht="51" x14ac:dyDescent="0.3">
      <c r="A284" s="99" t="s">
        <v>644</v>
      </c>
      <c r="B284" s="100" t="s">
        <v>645</v>
      </c>
      <c r="C284" s="100" t="s">
        <v>493</v>
      </c>
      <c r="D284" s="100" t="s">
        <v>556</v>
      </c>
      <c r="E284" s="101" t="s">
        <v>105</v>
      </c>
      <c r="F284" s="107" t="s">
        <v>15</v>
      </c>
      <c r="G284" s="107"/>
      <c r="H284" s="101" t="s">
        <v>13</v>
      </c>
      <c r="I284" s="108">
        <v>269</v>
      </c>
      <c r="J284" s="108"/>
      <c r="K284" s="104" t="s">
        <v>8</v>
      </c>
      <c r="L284" s="105">
        <v>216325.12</v>
      </c>
    </row>
    <row r="285" spans="1:12" ht="51" x14ac:dyDescent="0.3">
      <c r="A285" s="99" t="s">
        <v>644</v>
      </c>
      <c r="B285" s="100" t="s">
        <v>645</v>
      </c>
      <c r="C285" s="100" t="s">
        <v>493</v>
      </c>
      <c r="D285" s="100" t="s">
        <v>447</v>
      </c>
      <c r="E285" s="101" t="s">
        <v>105</v>
      </c>
      <c r="F285" s="107" t="s">
        <v>15</v>
      </c>
      <c r="G285" s="107"/>
      <c r="H285" s="101" t="s">
        <v>13</v>
      </c>
      <c r="I285" s="108">
        <v>888.3</v>
      </c>
      <c r="J285" s="108"/>
      <c r="K285" s="104" t="s">
        <v>8</v>
      </c>
      <c r="L285" s="105">
        <v>215436.82</v>
      </c>
    </row>
    <row r="286" spans="1:12" ht="51" x14ac:dyDescent="0.3">
      <c r="A286" s="99" t="s">
        <v>644</v>
      </c>
      <c r="B286" s="100" t="s">
        <v>647</v>
      </c>
      <c r="C286" s="100" t="s">
        <v>493</v>
      </c>
      <c r="D286" s="100" t="s">
        <v>648</v>
      </c>
      <c r="E286" s="101" t="s">
        <v>105</v>
      </c>
      <c r="F286" s="107" t="s">
        <v>15</v>
      </c>
      <c r="G286" s="107"/>
      <c r="H286" s="101" t="s">
        <v>13</v>
      </c>
      <c r="I286" s="108">
        <v>367.95</v>
      </c>
      <c r="J286" s="108"/>
      <c r="K286" s="104" t="s">
        <v>8</v>
      </c>
      <c r="L286" s="105">
        <v>71793.679999999993</v>
      </c>
    </row>
    <row r="287" spans="1:12" ht="51" x14ac:dyDescent="0.3">
      <c r="A287" s="99" t="s">
        <v>644</v>
      </c>
      <c r="B287" s="100" t="s">
        <v>647</v>
      </c>
      <c r="C287" s="100" t="s">
        <v>493</v>
      </c>
      <c r="D287" s="100" t="s">
        <v>649</v>
      </c>
      <c r="E287" s="101" t="s">
        <v>105</v>
      </c>
      <c r="F287" s="107" t="s">
        <v>15</v>
      </c>
      <c r="G287" s="107"/>
      <c r="H287" s="101" t="s">
        <v>13</v>
      </c>
      <c r="I287" s="108">
        <v>970.2</v>
      </c>
      <c r="J287" s="108"/>
      <c r="K287" s="104" t="s">
        <v>8</v>
      </c>
      <c r="L287" s="105">
        <v>70823.48</v>
      </c>
    </row>
    <row r="288" spans="1:12" ht="61.2" x14ac:dyDescent="0.3">
      <c r="A288" s="99" t="s">
        <v>644</v>
      </c>
      <c r="B288" s="100" t="s">
        <v>647</v>
      </c>
      <c r="C288" s="100" t="s">
        <v>493</v>
      </c>
      <c r="D288" s="100" t="s">
        <v>650</v>
      </c>
      <c r="E288" s="101" t="s">
        <v>105</v>
      </c>
      <c r="F288" s="107" t="s">
        <v>15</v>
      </c>
      <c r="G288" s="107"/>
      <c r="H288" s="101" t="s">
        <v>13</v>
      </c>
      <c r="I288" s="108">
        <v>446</v>
      </c>
      <c r="J288" s="108"/>
      <c r="K288" s="104" t="s">
        <v>8</v>
      </c>
      <c r="L288" s="105">
        <v>70377.48</v>
      </c>
    </row>
    <row r="289" spans="1:12" ht="61.2" x14ac:dyDescent="0.3">
      <c r="A289" s="99" t="s">
        <v>644</v>
      </c>
      <c r="B289" s="100" t="s">
        <v>647</v>
      </c>
      <c r="C289" s="100" t="s">
        <v>493</v>
      </c>
      <c r="D289" s="100" t="s">
        <v>346</v>
      </c>
      <c r="E289" s="101" t="s">
        <v>105</v>
      </c>
      <c r="F289" s="107" t="s">
        <v>15</v>
      </c>
      <c r="G289" s="107"/>
      <c r="H289" s="101" t="s">
        <v>13</v>
      </c>
      <c r="I289" s="108">
        <v>833.25</v>
      </c>
      <c r="J289" s="108"/>
      <c r="K289" s="104" t="s">
        <v>8</v>
      </c>
      <c r="L289" s="105">
        <v>69544.23</v>
      </c>
    </row>
    <row r="290" spans="1:12" ht="51" x14ac:dyDescent="0.3">
      <c r="A290" s="99" t="s">
        <v>644</v>
      </c>
      <c r="B290" s="100" t="s">
        <v>647</v>
      </c>
      <c r="C290" s="100" t="s">
        <v>493</v>
      </c>
      <c r="D290" s="100" t="s">
        <v>651</v>
      </c>
      <c r="E290" s="101" t="s">
        <v>105</v>
      </c>
      <c r="F290" s="107" t="s">
        <v>15</v>
      </c>
      <c r="G290" s="107"/>
      <c r="H290" s="101" t="s">
        <v>13</v>
      </c>
      <c r="I290" s="108">
        <v>170.8</v>
      </c>
      <c r="J290" s="108"/>
      <c r="K290" s="104" t="s">
        <v>8</v>
      </c>
      <c r="L290" s="105">
        <v>69373.429999999993</v>
      </c>
    </row>
    <row r="291" spans="1:12" ht="61.2" x14ac:dyDescent="0.3">
      <c r="A291" s="99" t="s">
        <v>644</v>
      </c>
      <c r="B291" s="100" t="s">
        <v>647</v>
      </c>
      <c r="C291" s="100" t="s">
        <v>493</v>
      </c>
      <c r="D291" s="100" t="s">
        <v>652</v>
      </c>
      <c r="E291" s="101" t="s">
        <v>105</v>
      </c>
      <c r="F291" s="107" t="s">
        <v>15</v>
      </c>
      <c r="G291" s="107"/>
      <c r="H291" s="101" t="s">
        <v>13</v>
      </c>
      <c r="I291" s="108">
        <v>766</v>
      </c>
      <c r="J291" s="108"/>
      <c r="K291" s="104" t="s">
        <v>8</v>
      </c>
      <c r="L291" s="105">
        <v>68607.429999999993</v>
      </c>
    </row>
    <row r="292" spans="1:12" ht="51" x14ac:dyDescent="0.3">
      <c r="A292" s="99" t="s">
        <v>644</v>
      </c>
      <c r="B292" s="100" t="s">
        <v>647</v>
      </c>
      <c r="C292" s="100" t="s">
        <v>493</v>
      </c>
      <c r="D292" s="100" t="s">
        <v>344</v>
      </c>
      <c r="E292" s="101" t="s">
        <v>105</v>
      </c>
      <c r="F292" s="107" t="s">
        <v>15</v>
      </c>
      <c r="G292" s="107"/>
      <c r="H292" s="101" t="s">
        <v>13</v>
      </c>
      <c r="I292" s="108">
        <v>916.65</v>
      </c>
      <c r="J292" s="108"/>
      <c r="K292" s="104" t="s">
        <v>8</v>
      </c>
      <c r="L292" s="105">
        <v>67690.78</v>
      </c>
    </row>
    <row r="293" spans="1:12" ht="51" x14ac:dyDescent="0.3">
      <c r="A293" s="99" t="s">
        <v>644</v>
      </c>
      <c r="B293" s="100" t="s">
        <v>647</v>
      </c>
      <c r="C293" s="100" t="s">
        <v>493</v>
      </c>
      <c r="D293" s="100" t="s">
        <v>653</v>
      </c>
      <c r="E293" s="101" t="s">
        <v>105</v>
      </c>
      <c r="F293" s="107" t="s">
        <v>15</v>
      </c>
      <c r="G293" s="107"/>
      <c r="H293" s="101" t="s">
        <v>13</v>
      </c>
      <c r="I293" s="109">
        <v>1012</v>
      </c>
      <c r="J293" s="109"/>
      <c r="K293" s="104" t="s">
        <v>8</v>
      </c>
      <c r="L293" s="105">
        <v>66678.78</v>
      </c>
    </row>
    <row r="294" spans="1:12" ht="51" x14ac:dyDescent="0.3">
      <c r="A294" s="99" t="s">
        <v>644</v>
      </c>
      <c r="B294" s="100" t="s">
        <v>647</v>
      </c>
      <c r="C294" s="100" t="s">
        <v>493</v>
      </c>
      <c r="D294" s="100" t="s">
        <v>654</v>
      </c>
      <c r="E294" s="101" t="s">
        <v>105</v>
      </c>
      <c r="F294" s="107" t="s">
        <v>15</v>
      </c>
      <c r="G294" s="107"/>
      <c r="H294" s="101" t="s">
        <v>13</v>
      </c>
      <c r="I294" s="109">
        <v>1496.1</v>
      </c>
      <c r="J294" s="109"/>
      <c r="K294" s="104" t="s">
        <v>8</v>
      </c>
      <c r="L294" s="105">
        <v>65182.68</v>
      </c>
    </row>
    <row r="295" spans="1:12" ht="51" x14ac:dyDescent="0.3">
      <c r="A295" s="99" t="s">
        <v>644</v>
      </c>
      <c r="B295" s="100" t="s">
        <v>647</v>
      </c>
      <c r="C295" s="100" t="s">
        <v>493</v>
      </c>
      <c r="D295" s="100" t="s">
        <v>655</v>
      </c>
      <c r="E295" s="101" t="s">
        <v>105</v>
      </c>
      <c r="F295" s="107" t="s">
        <v>15</v>
      </c>
      <c r="G295" s="107"/>
      <c r="H295" s="101" t="s">
        <v>13</v>
      </c>
      <c r="I295" s="108">
        <v>916.7</v>
      </c>
      <c r="J295" s="108"/>
      <c r="K295" s="104" t="s">
        <v>8</v>
      </c>
      <c r="L295" s="105">
        <v>64265.98</v>
      </c>
    </row>
    <row r="296" spans="1:12" ht="51" x14ac:dyDescent="0.3">
      <c r="A296" s="99" t="s">
        <v>644</v>
      </c>
      <c r="B296" s="100" t="s">
        <v>647</v>
      </c>
      <c r="C296" s="100" t="s">
        <v>493</v>
      </c>
      <c r="D296" s="100" t="s">
        <v>656</v>
      </c>
      <c r="E296" s="101" t="s">
        <v>105</v>
      </c>
      <c r="F296" s="107" t="s">
        <v>15</v>
      </c>
      <c r="G296" s="107"/>
      <c r="H296" s="101" t="s">
        <v>13</v>
      </c>
      <c r="I296" s="108">
        <v>817.5</v>
      </c>
      <c r="J296" s="108"/>
      <c r="K296" s="104" t="s">
        <v>8</v>
      </c>
      <c r="L296" s="105">
        <v>63448.480000000003</v>
      </c>
    </row>
    <row r="297" spans="1:12" ht="51" x14ac:dyDescent="0.3">
      <c r="A297" s="99" t="s">
        <v>644</v>
      </c>
      <c r="B297" s="100" t="s">
        <v>647</v>
      </c>
      <c r="C297" s="100" t="s">
        <v>493</v>
      </c>
      <c r="D297" s="100" t="s">
        <v>657</v>
      </c>
      <c r="E297" s="101" t="s">
        <v>105</v>
      </c>
      <c r="F297" s="107" t="s">
        <v>15</v>
      </c>
      <c r="G297" s="107"/>
      <c r="H297" s="101" t="s">
        <v>13</v>
      </c>
      <c r="I297" s="108">
        <v>631.25</v>
      </c>
      <c r="J297" s="108"/>
      <c r="K297" s="104" t="s">
        <v>8</v>
      </c>
      <c r="L297" s="105">
        <v>62817.23</v>
      </c>
    </row>
    <row r="298" spans="1:12" ht="51" x14ac:dyDescent="0.3">
      <c r="A298" s="99" t="s">
        <v>644</v>
      </c>
      <c r="B298" s="100" t="s">
        <v>658</v>
      </c>
      <c r="C298" s="100" t="s">
        <v>493</v>
      </c>
      <c r="D298" s="100" t="s">
        <v>659</v>
      </c>
      <c r="E298" s="101" t="s">
        <v>105</v>
      </c>
      <c r="F298" s="107" t="s">
        <v>15</v>
      </c>
      <c r="G298" s="107"/>
      <c r="H298" s="101" t="s">
        <v>13</v>
      </c>
      <c r="I298" s="109">
        <v>3631.25</v>
      </c>
      <c r="J298" s="109"/>
      <c r="K298" s="104" t="s">
        <v>8</v>
      </c>
      <c r="L298" s="105">
        <v>211805.57</v>
      </c>
    </row>
    <row r="299" spans="1:12" ht="51" x14ac:dyDescent="0.3">
      <c r="A299" s="99" t="s">
        <v>644</v>
      </c>
      <c r="B299" s="100" t="s">
        <v>658</v>
      </c>
      <c r="C299" s="100" t="s">
        <v>493</v>
      </c>
      <c r="D299" s="100" t="s">
        <v>660</v>
      </c>
      <c r="E299" s="101" t="s">
        <v>105</v>
      </c>
      <c r="F299" s="107" t="s">
        <v>15</v>
      </c>
      <c r="G299" s="107"/>
      <c r="H299" s="101" t="s">
        <v>13</v>
      </c>
      <c r="I299" s="108">
        <v>287</v>
      </c>
      <c r="J299" s="108"/>
      <c r="K299" s="104" t="s">
        <v>8</v>
      </c>
      <c r="L299" s="105">
        <v>211518.57</v>
      </c>
    </row>
    <row r="300" spans="1:12" ht="51" x14ac:dyDescent="0.3">
      <c r="A300" s="99" t="s">
        <v>644</v>
      </c>
      <c r="B300" s="100" t="s">
        <v>658</v>
      </c>
      <c r="C300" s="100" t="s">
        <v>493</v>
      </c>
      <c r="D300" s="100" t="s">
        <v>661</v>
      </c>
      <c r="E300" s="101" t="s">
        <v>105</v>
      </c>
      <c r="F300" s="107" t="s">
        <v>15</v>
      </c>
      <c r="G300" s="107"/>
      <c r="H300" s="101" t="s">
        <v>13</v>
      </c>
      <c r="I300" s="109">
        <v>2743.5</v>
      </c>
      <c r="J300" s="109"/>
      <c r="K300" s="104" t="s">
        <v>8</v>
      </c>
      <c r="L300" s="105">
        <v>208775.07</v>
      </c>
    </row>
    <row r="301" spans="1:12" ht="51" x14ac:dyDescent="0.3">
      <c r="A301" s="99" t="s">
        <v>644</v>
      </c>
      <c r="B301" s="100" t="s">
        <v>658</v>
      </c>
      <c r="C301" s="100" t="s">
        <v>493</v>
      </c>
      <c r="D301" s="100" t="s">
        <v>662</v>
      </c>
      <c r="E301" s="101" t="s">
        <v>105</v>
      </c>
      <c r="F301" s="107" t="s">
        <v>15</v>
      </c>
      <c r="G301" s="107"/>
      <c r="H301" s="101" t="s">
        <v>13</v>
      </c>
      <c r="I301" s="108">
        <v>543.79999999999995</v>
      </c>
      <c r="J301" s="108"/>
      <c r="K301" s="104" t="s">
        <v>8</v>
      </c>
      <c r="L301" s="105">
        <v>208231.27</v>
      </c>
    </row>
    <row r="302" spans="1:12" ht="51" x14ac:dyDescent="0.3">
      <c r="A302" s="99" t="s">
        <v>644</v>
      </c>
      <c r="B302" s="100" t="s">
        <v>658</v>
      </c>
      <c r="C302" s="100" t="s">
        <v>493</v>
      </c>
      <c r="D302" s="100" t="s">
        <v>390</v>
      </c>
      <c r="E302" s="101" t="s">
        <v>105</v>
      </c>
      <c r="F302" s="107" t="s">
        <v>15</v>
      </c>
      <c r="G302" s="107"/>
      <c r="H302" s="101" t="s">
        <v>13</v>
      </c>
      <c r="I302" s="108">
        <v>437.25</v>
      </c>
      <c r="J302" s="108"/>
      <c r="K302" s="104" t="s">
        <v>8</v>
      </c>
      <c r="L302" s="105">
        <v>207794.02</v>
      </c>
    </row>
    <row r="303" spans="1:12" ht="51" x14ac:dyDescent="0.3">
      <c r="A303" s="99" t="s">
        <v>644</v>
      </c>
      <c r="B303" s="100" t="s">
        <v>658</v>
      </c>
      <c r="C303" s="100" t="s">
        <v>493</v>
      </c>
      <c r="D303" s="100" t="s">
        <v>663</v>
      </c>
      <c r="E303" s="101" t="s">
        <v>105</v>
      </c>
      <c r="F303" s="107" t="s">
        <v>15</v>
      </c>
      <c r="G303" s="107"/>
      <c r="H303" s="101" t="s">
        <v>13</v>
      </c>
      <c r="I303" s="109">
        <v>1331.1</v>
      </c>
      <c r="J303" s="109"/>
      <c r="K303" s="104" t="s">
        <v>8</v>
      </c>
      <c r="L303" s="105">
        <v>206462.92</v>
      </c>
    </row>
    <row r="304" spans="1:12" ht="51" x14ac:dyDescent="0.3">
      <c r="A304" s="99" t="s">
        <v>644</v>
      </c>
      <c r="B304" s="100" t="s">
        <v>658</v>
      </c>
      <c r="C304" s="100" t="s">
        <v>493</v>
      </c>
      <c r="D304" s="100" t="s">
        <v>664</v>
      </c>
      <c r="E304" s="101" t="s">
        <v>105</v>
      </c>
      <c r="F304" s="107" t="s">
        <v>15</v>
      </c>
      <c r="G304" s="107"/>
      <c r="H304" s="101" t="s">
        <v>13</v>
      </c>
      <c r="I304" s="108">
        <v>366.5</v>
      </c>
      <c r="J304" s="108"/>
      <c r="K304" s="104" t="s">
        <v>8</v>
      </c>
      <c r="L304" s="105">
        <v>206096.42</v>
      </c>
    </row>
    <row r="305" spans="1:12" ht="51" x14ac:dyDescent="0.3">
      <c r="A305" s="99" t="s">
        <v>644</v>
      </c>
      <c r="B305" s="100" t="s">
        <v>658</v>
      </c>
      <c r="C305" s="100" t="s">
        <v>493</v>
      </c>
      <c r="D305" s="100" t="s">
        <v>665</v>
      </c>
      <c r="E305" s="101" t="s">
        <v>105</v>
      </c>
      <c r="F305" s="107" t="s">
        <v>15</v>
      </c>
      <c r="G305" s="107"/>
      <c r="H305" s="101" t="s">
        <v>13</v>
      </c>
      <c r="I305" s="108">
        <v>128.4</v>
      </c>
      <c r="J305" s="108"/>
      <c r="K305" s="104" t="s">
        <v>8</v>
      </c>
      <c r="L305" s="105">
        <v>205968.02</v>
      </c>
    </row>
    <row r="306" spans="1:12" ht="51" x14ac:dyDescent="0.3">
      <c r="A306" s="99" t="s">
        <v>644</v>
      </c>
      <c r="B306" s="100" t="s">
        <v>658</v>
      </c>
      <c r="C306" s="100" t="s">
        <v>493</v>
      </c>
      <c r="D306" s="100" t="s">
        <v>666</v>
      </c>
      <c r="E306" s="101" t="s">
        <v>105</v>
      </c>
      <c r="F306" s="107" t="s">
        <v>15</v>
      </c>
      <c r="G306" s="107"/>
      <c r="H306" s="101" t="s">
        <v>13</v>
      </c>
      <c r="I306" s="109">
        <v>2189.0100000000002</v>
      </c>
      <c r="J306" s="109"/>
      <c r="K306" s="104" t="s">
        <v>8</v>
      </c>
      <c r="L306" s="105">
        <v>203779.01</v>
      </c>
    </row>
    <row r="307" spans="1:12" ht="51" x14ac:dyDescent="0.3">
      <c r="A307" s="99" t="s">
        <v>644</v>
      </c>
      <c r="B307" s="100" t="s">
        <v>658</v>
      </c>
      <c r="C307" s="100" t="s">
        <v>493</v>
      </c>
      <c r="D307" s="100" t="s">
        <v>667</v>
      </c>
      <c r="E307" s="101" t="s">
        <v>105</v>
      </c>
      <c r="F307" s="107" t="s">
        <v>15</v>
      </c>
      <c r="G307" s="107"/>
      <c r="H307" s="101" t="s">
        <v>13</v>
      </c>
      <c r="I307" s="108">
        <v>290.5</v>
      </c>
      <c r="J307" s="108"/>
      <c r="K307" s="104" t="s">
        <v>8</v>
      </c>
      <c r="L307" s="105">
        <v>203488.51</v>
      </c>
    </row>
    <row r="308" spans="1:12" ht="51" x14ac:dyDescent="0.3">
      <c r="A308" s="99" t="s">
        <v>644</v>
      </c>
      <c r="B308" s="100" t="s">
        <v>658</v>
      </c>
      <c r="C308" s="100" t="s">
        <v>493</v>
      </c>
      <c r="D308" s="100" t="s">
        <v>668</v>
      </c>
      <c r="E308" s="101" t="s">
        <v>105</v>
      </c>
      <c r="F308" s="107" t="s">
        <v>15</v>
      </c>
      <c r="G308" s="107"/>
      <c r="H308" s="101" t="s">
        <v>13</v>
      </c>
      <c r="I308" s="108">
        <v>490.75</v>
      </c>
      <c r="J308" s="108"/>
      <c r="K308" s="104" t="s">
        <v>8</v>
      </c>
      <c r="L308" s="105">
        <v>202997.76000000001</v>
      </c>
    </row>
    <row r="309" spans="1:12" ht="51" x14ac:dyDescent="0.3">
      <c r="A309" s="99" t="s">
        <v>644</v>
      </c>
      <c r="B309" s="100" t="s">
        <v>658</v>
      </c>
      <c r="C309" s="100" t="s">
        <v>493</v>
      </c>
      <c r="D309" s="100" t="s">
        <v>669</v>
      </c>
      <c r="E309" s="101" t="s">
        <v>105</v>
      </c>
      <c r="F309" s="107" t="s">
        <v>15</v>
      </c>
      <c r="G309" s="107"/>
      <c r="H309" s="101" t="s">
        <v>13</v>
      </c>
      <c r="I309" s="109">
        <v>2750</v>
      </c>
      <c r="J309" s="109"/>
      <c r="K309" s="104" t="s">
        <v>8</v>
      </c>
      <c r="L309" s="105">
        <v>200247.76</v>
      </c>
    </row>
    <row r="310" spans="1:12" ht="51" x14ac:dyDescent="0.3">
      <c r="A310" s="99" t="s">
        <v>644</v>
      </c>
      <c r="B310" s="100" t="s">
        <v>670</v>
      </c>
      <c r="C310" s="100" t="s">
        <v>493</v>
      </c>
      <c r="D310" s="100" t="s">
        <v>671</v>
      </c>
      <c r="E310" s="101" t="s">
        <v>105</v>
      </c>
      <c r="F310" s="107" t="s">
        <v>15</v>
      </c>
      <c r="G310" s="107"/>
      <c r="H310" s="101" t="s">
        <v>13</v>
      </c>
      <c r="I310" s="109">
        <v>1301.75</v>
      </c>
      <c r="J310" s="109"/>
      <c r="K310" s="104" t="s">
        <v>8</v>
      </c>
      <c r="L310" s="105">
        <v>98250.74</v>
      </c>
    </row>
    <row r="311" spans="1:12" ht="51" x14ac:dyDescent="0.3">
      <c r="A311" s="99" t="s">
        <v>644</v>
      </c>
      <c r="B311" s="100" t="s">
        <v>670</v>
      </c>
      <c r="C311" s="100" t="s">
        <v>493</v>
      </c>
      <c r="D311" s="100" t="s">
        <v>672</v>
      </c>
      <c r="E311" s="101" t="s">
        <v>105</v>
      </c>
      <c r="F311" s="107" t="s">
        <v>15</v>
      </c>
      <c r="G311" s="107"/>
      <c r="H311" s="101" t="s">
        <v>13</v>
      </c>
      <c r="I311" s="108">
        <v>81.900000000000006</v>
      </c>
      <c r="J311" s="108"/>
      <c r="K311" s="104" t="s">
        <v>8</v>
      </c>
      <c r="L311" s="105">
        <v>98168.84</v>
      </c>
    </row>
    <row r="312" spans="1:12" ht="51" x14ac:dyDescent="0.3">
      <c r="A312" s="99" t="s">
        <v>644</v>
      </c>
      <c r="B312" s="100" t="s">
        <v>670</v>
      </c>
      <c r="C312" s="100" t="s">
        <v>493</v>
      </c>
      <c r="D312" s="100" t="s">
        <v>673</v>
      </c>
      <c r="E312" s="101" t="s">
        <v>105</v>
      </c>
      <c r="F312" s="107" t="s">
        <v>15</v>
      </c>
      <c r="G312" s="107"/>
      <c r="H312" s="101" t="s">
        <v>13</v>
      </c>
      <c r="I312" s="109">
        <v>1410</v>
      </c>
      <c r="J312" s="109"/>
      <c r="K312" s="104" t="s">
        <v>8</v>
      </c>
      <c r="L312" s="105">
        <v>96758.84</v>
      </c>
    </row>
    <row r="313" spans="1:12" ht="51" hidden="1" x14ac:dyDescent="0.3">
      <c r="A313" s="99" t="s">
        <v>135</v>
      </c>
      <c r="B313" s="100" t="s">
        <v>674</v>
      </c>
      <c r="C313" s="100" t="s">
        <v>675</v>
      </c>
      <c r="D313" s="100" t="s">
        <v>676</v>
      </c>
      <c r="E313" s="101" t="s">
        <v>13</v>
      </c>
      <c r="F313" s="106">
        <v>1383.3</v>
      </c>
      <c r="G313" s="106"/>
      <c r="H313" s="101" t="s">
        <v>14</v>
      </c>
      <c r="I313" s="103" t="s">
        <v>15</v>
      </c>
      <c r="J313" s="103"/>
      <c r="K313" s="104" t="s">
        <v>8</v>
      </c>
      <c r="L313" s="105">
        <v>201631.06</v>
      </c>
    </row>
    <row r="314" spans="1:12" ht="51" hidden="1" x14ac:dyDescent="0.3">
      <c r="A314" s="99" t="s">
        <v>135</v>
      </c>
      <c r="B314" s="100" t="s">
        <v>674</v>
      </c>
      <c r="C314" s="100" t="s">
        <v>677</v>
      </c>
      <c r="D314" s="100" t="s">
        <v>676</v>
      </c>
      <c r="E314" s="101" t="s">
        <v>13</v>
      </c>
      <c r="F314" s="106">
        <v>1351.86</v>
      </c>
      <c r="G314" s="106"/>
      <c r="H314" s="101" t="s">
        <v>14</v>
      </c>
      <c r="I314" s="103" t="s">
        <v>15</v>
      </c>
      <c r="J314" s="103"/>
      <c r="K314" s="104" t="s">
        <v>8</v>
      </c>
      <c r="L314" s="105">
        <v>202982.92</v>
      </c>
    </row>
    <row r="315" spans="1:12" ht="51" hidden="1" x14ac:dyDescent="0.3">
      <c r="A315" s="99" t="s">
        <v>135</v>
      </c>
      <c r="B315" s="100" t="s">
        <v>674</v>
      </c>
      <c r="C315" s="100" t="s">
        <v>678</v>
      </c>
      <c r="D315" s="100" t="s">
        <v>676</v>
      </c>
      <c r="E315" s="101" t="s">
        <v>13</v>
      </c>
      <c r="F315" s="106">
        <v>1708.16</v>
      </c>
      <c r="G315" s="106"/>
      <c r="H315" s="101" t="s">
        <v>14</v>
      </c>
      <c r="I315" s="103" t="s">
        <v>15</v>
      </c>
      <c r="J315" s="103"/>
      <c r="K315" s="104" t="s">
        <v>8</v>
      </c>
      <c r="L315" s="105">
        <v>204691.08</v>
      </c>
    </row>
    <row r="316" spans="1:12" ht="51" hidden="1" x14ac:dyDescent="0.3">
      <c r="A316" s="99" t="s">
        <v>135</v>
      </c>
      <c r="B316" s="100" t="s">
        <v>674</v>
      </c>
      <c r="C316" s="100" t="s">
        <v>679</v>
      </c>
      <c r="D316" s="100" t="s">
        <v>676</v>
      </c>
      <c r="E316" s="101" t="s">
        <v>13</v>
      </c>
      <c r="F316" s="102">
        <v>744.05</v>
      </c>
      <c r="G316" s="102"/>
      <c r="H316" s="101" t="s">
        <v>14</v>
      </c>
      <c r="I316" s="103" t="s">
        <v>15</v>
      </c>
      <c r="J316" s="103"/>
      <c r="K316" s="104" t="s">
        <v>8</v>
      </c>
      <c r="L316" s="105">
        <v>205435.13</v>
      </c>
    </row>
    <row r="317" spans="1:12" ht="61.2" hidden="1" x14ac:dyDescent="0.3">
      <c r="A317" s="99" t="s">
        <v>135</v>
      </c>
      <c r="B317" s="100" t="s">
        <v>674</v>
      </c>
      <c r="C317" s="100" t="s">
        <v>680</v>
      </c>
      <c r="D317" s="100" t="s">
        <v>676</v>
      </c>
      <c r="E317" s="101" t="s">
        <v>13</v>
      </c>
      <c r="F317" s="106">
        <v>11134.49</v>
      </c>
      <c r="G317" s="106"/>
      <c r="H317" s="101" t="s">
        <v>14</v>
      </c>
      <c r="I317" s="103" t="s">
        <v>15</v>
      </c>
      <c r="J317" s="103"/>
      <c r="K317" s="104" t="s">
        <v>8</v>
      </c>
      <c r="L317" s="105">
        <v>216569.62</v>
      </c>
    </row>
    <row r="318" spans="1:12" ht="51" hidden="1" x14ac:dyDescent="0.3">
      <c r="A318" s="99" t="s">
        <v>135</v>
      </c>
      <c r="B318" s="100" t="s">
        <v>674</v>
      </c>
      <c r="C318" s="100" t="s">
        <v>681</v>
      </c>
      <c r="D318" s="100" t="s">
        <v>676</v>
      </c>
      <c r="E318" s="101" t="s">
        <v>13</v>
      </c>
      <c r="F318" s="106">
        <v>3772.63</v>
      </c>
      <c r="G318" s="106"/>
      <c r="H318" s="101" t="s">
        <v>14</v>
      </c>
      <c r="I318" s="103" t="s">
        <v>15</v>
      </c>
      <c r="J318" s="103"/>
      <c r="K318" s="104" t="s">
        <v>8</v>
      </c>
      <c r="L318" s="105">
        <v>220342.25</v>
      </c>
    </row>
    <row r="319" spans="1:12" ht="51" hidden="1" x14ac:dyDescent="0.3">
      <c r="A319" s="99" t="s">
        <v>135</v>
      </c>
      <c r="B319" s="100" t="s">
        <v>674</v>
      </c>
      <c r="C319" s="100" t="s">
        <v>682</v>
      </c>
      <c r="D319" s="100" t="s">
        <v>676</v>
      </c>
      <c r="E319" s="101" t="s">
        <v>13</v>
      </c>
      <c r="F319" s="102">
        <v>838.36</v>
      </c>
      <c r="G319" s="102"/>
      <c r="H319" s="101" t="s">
        <v>14</v>
      </c>
      <c r="I319" s="103" t="s">
        <v>15</v>
      </c>
      <c r="J319" s="103"/>
      <c r="K319" s="104" t="s">
        <v>8</v>
      </c>
      <c r="L319" s="105">
        <v>221180.61</v>
      </c>
    </row>
    <row r="320" spans="1:12" ht="51" hidden="1" x14ac:dyDescent="0.3">
      <c r="A320" s="99" t="s">
        <v>135</v>
      </c>
      <c r="B320" s="100" t="s">
        <v>683</v>
      </c>
      <c r="C320" s="100" t="s">
        <v>684</v>
      </c>
      <c r="D320" s="100" t="s">
        <v>676</v>
      </c>
      <c r="E320" s="101" t="s">
        <v>13</v>
      </c>
      <c r="F320" s="102">
        <v>623.54</v>
      </c>
      <c r="G320" s="102"/>
      <c r="H320" s="101" t="s">
        <v>14</v>
      </c>
      <c r="I320" s="103" t="s">
        <v>15</v>
      </c>
      <c r="J320" s="103"/>
      <c r="K320" s="104" t="s">
        <v>8</v>
      </c>
      <c r="L320" s="105">
        <v>221804.15</v>
      </c>
    </row>
    <row r="321" spans="1:12" ht="51" hidden="1" x14ac:dyDescent="0.3">
      <c r="A321" s="99" t="s">
        <v>135</v>
      </c>
      <c r="B321" s="100" t="s">
        <v>674</v>
      </c>
      <c r="C321" s="100" t="s">
        <v>684</v>
      </c>
      <c r="D321" s="100" t="s">
        <v>676</v>
      </c>
      <c r="E321" s="101" t="s">
        <v>13</v>
      </c>
      <c r="F321" s="102">
        <v>47.15</v>
      </c>
      <c r="G321" s="102"/>
      <c r="H321" s="101" t="s">
        <v>14</v>
      </c>
      <c r="I321" s="103" t="s">
        <v>15</v>
      </c>
      <c r="J321" s="103"/>
      <c r="K321" s="104" t="s">
        <v>8</v>
      </c>
      <c r="L321" s="105">
        <v>221851.3</v>
      </c>
    </row>
    <row r="322" spans="1:12" ht="51" hidden="1" x14ac:dyDescent="0.3">
      <c r="A322" s="99" t="s">
        <v>135</v>
      </c>
      <c r="B322" s="100" t="s">
        <v>683</v>
      </c>
      <c r="C322" s="100" t="s">
        <v>685</v>
      </c>
      <c r="D322" s="100" t="s">
        <v>676</v>
      </c>
      <c r="E322" s="101" t="s">
        <v>13</v>
      </c>
      <c r="F322" s="106">
        <v>2871.39</v>
      </c>
      <c r="G322" s="106"/>
      <c r="H322" s="101" t="s">
        <v>14</v>
      </c>
      <c r="I322" s="103" t="s">
        <v>15</v>
      </c>
      <c r="J322" s="103"/>
      <c r="K322" s="104" t="s">
        <v>8</v>
      </c>
      <c r="L322" s="105">
        <v>224722.69</v>
      </c>
    </row>
    <row r="323" spans="1:12" ht="51" hidden="1" x14ac:dyDescent="0.3">
      <c r="A323" s="99" t="s">
        <v>135</v>
      </c>
      <c r="B323" s="100" t="s">
        <v>683</v>
      </c>
      <c r="C323" s="100" t="s">
        <v>686</v>
      </c>
      <c r="D323" s="100" t="s">
        <v>676</v>
      </c>
      <c r="E323" s="101" t="s">
        <v>13</v>
      </c>
      <c r="F323" s="106">
        <v>1299.45</v>
      </c>
      <c r="G323" s="106"/>
      <c r="H323" s="101" t="s">
        <v>14</v>
      </c>
      <c r="I323" s="103" t="s">
        <v>15</v>
      </c>
      <c r="J323" s="103"/>
      <c r="K323" s="104" t="s">
        <v>8</v>
      </c>
      <c r="L323" s="105">
        <v>226022.14</v>
      </c>
    </row>
    <row r="324" spans="1:12" ht="51" hidden="1" x14ac:dyDescent="0.3">
      <c r="A324" s="99" t="s">
        <v>135</v>
      </c>
      <c r="B324" s="100" t="s">
        <v>683</v>
      </c>
      <c r="C324" s="100" t="s">
        <v>677</v>
      </c>
      <c r="D324" s="100" t="s">
        <v>676</v>
      </c>
      <c r="E324" s="101" t="s">
        <v>13</v>
      </c>
      <c r="F324" s="102">
        <v>450.62</v>
      </c>
      <c r="G324" s="102"/>
      <c r="H324" s="101" t="s">
        <v>14</v>
      </c>
      <c r="I324" s="103" t="s">
        <v>15</v>
      </c>
      <c r="J324" s="103"/>
      <c r="K324" s="104" t="s">
        <v>8</v>
      </c>
      <c r="L324" s="105">
        <v>226472.76</v>
      </c>
    </row>
    <row r="325" spans="1:12" ht="51" hidden="1" x14ac:dyDescent="0.3">
      <c r="A325" s="99" t="s">
        <v>135</v>
      </c>
      <c r="B325" s="100" t="s">
        <v>687</v>
      </c>
      <c r="C325" s="100" t="s">
        <v>688</v>
      </c>
      <c r="D325" s="100" t="s">
        <v>689</v>
      </c>
      <c r="E325" s="101" t="s">
        <v>13</v>
      </c>
      <c r="F325" s="102">
        <v>425.83</v>
      </c>
      <c r="G325" s="102"/>
      <c r="H325" s="101" t="s">
        <v>14</v>
      </c>
      <c r="I325" s="103" t="s">
        <v>15</v>
      </c>
      <c r="J325" s="103"/>
      <c r="K325" s="104" t="s">
        <v>8</v>
      </c>
      <c r="L325" s="105">
        <v>226898.59</v>
      </c>
    </row>
    <row r="326" spans="1:12" ht="51" hidden="1" x14ac:dyDescent="0.3">
      <c r="A326" s="99" t="s">
        <v>135</v>
      </c>
      <c r="B326" s="100" t="s">
        <v>690</v>
      </c>
      <c r="C326" s="100" t="s">
        <v>691</v>
      </c>
      <c r="D326" s="100" t="s">
        <v>675</v>
      </c>
      <c r="E326" s="101" t="s">
        <v>13</v>
      </c>
      <c r="F326" s="106">
        <v>1383.3</v>
      </c>
      <c r="G326" s="106"/>
      <c r="H326" s="101" t="s">
        <v>13</v>
      </c>
      <c r="I326" s="103" t="s">
        <v>15</v>
      </c>
      <c r="J326" s="103"/>
      <c r="K326" s="104" t="s">
        <v>8</v>
      </c>
      <c r="L326" s="105">
        <v>64200.53</v>
      </c>
    </row>
    <row r="327" spans="1:12" ht="51" hidden="1" x14ac:dyDescent="0.3">
      <c r="A327" s="99" t="s">
        <v>135</v>
      </c>
      <c r="B327" s="100" t="s">
        <v>690</v>
      </c>
      <c r="C327" s="100" t="s">
        <v>691</v>
      </c>
      <c r="D327" s="100" t="s">
        <v>675</v>
      </c>
      <c r="E327" s="101" t="s">
        <v>13</v>
      </c>
      <c r="F327" s="107" t="s">
        <v>15</v>
      </c>
      <c r="G327" s="107"/>
      <c r="H327" s="101" t="s">
        <v>13</v>
      </c>
      <c r="I327" s="109">
        <v>1383.3</v>
      </c>
      <c r="J327" s="109"/>
      <c r="K327" s="104" t="s">
        <v>8</v>
      </c>
      <c r="L327" s="105">
        <v>225515.29</v>
      </c>
    </row>
    <row r="328" spans="1:12" ht="51" hidden="1" x14ac:dyDescent="0.3">
      <c r="A328" s="99" t="s">
        <v>135</v>
      </c>
      <c r="B328" s="100" t="s">
        <v>690</v>
      </c>
      <c r="C328" s="100" t="s">
        <v>692</v>
      </c>
      <c r="D328" s="100" t="s">
        <v>677</v>
      </c>
      <c r="E328" s="101" t="s">
        <v>13</v>
      </c>
      <c r="F328" s="107" t="s">
        <v>15</v>
      </c>
      <c r="G328" s="107"/>
      <c r="H328" s="101" t="s">
        <v>13</v>
      </c>
      <c r="I328" s="109">
        <v>1351.86</v>
      </c>
      <c r="J328" s="109"/>
      <c r="K328" s="104" t="s">
        <v>8</v>
      </c>
      <c r="L328" s="105">
        <v>224163.43</v>
      </c>
    </row>
    <row r="329" spans="1:12" ht="51" hidden="1" x14ac:dyDescent="0.3">
      <c r="A329" s="99" t="s">
        <v>135</v>
      </c>
      <c r="B329" s="100" t="s">
        <v>690</v>
      </c>
      <c r="C329" s="100" t="s">
        <v>692</v>
      </c>
      <c r="D329" s="100" t="s">
        <v>677</v>
      </c>
      <c r="E329" s="101" t="s">
        <v>13</v>
      </c>
      <c r="F329" s="106">
        <v>1351.86</v>
      </c>
      <c r="G329" s="106"/>
      <c r="H329" s="101" t="s">
        <v>13</v>
      </c>
      <c r="I329" s="103" t="s">
        <v>15</v>
      </c>
      <c r="J329" s="103"/>
      <c r="K329" s="104" t="s">
        <v>8</v>
      </c>
      <c r="L329" s="105">
        <v>65552.39</v>
      </c>
    </row>
    <row r="330" spans="1:12" ht="51" hidden="1" x14ac:dyDescent="0.3">
      <c r="A330" s="99" t="s">
        <v>135</v>
      </c>
      <c r="B330" s="100" t="s">
        <v>690</v>
      </c>
      <c r="C330" s="100" t="s">
        <v>693</v>
      </c>
      <c r="D330" s="100" t="s">
        <v>681</v>
      </c>
      <c r="E330" s="101" t="s">
        <v>13</v>
      </c>
      <c r="F330" s="107" t="s">
        <v>15</v>
      </c>
      <c r="G330" s="107"/>
      <c r="H330" s="101" t="s">
        <v>13</v>
      </c>
      <c r="I330" s="109">
        <v>3772.63</v>
      </c>
      <c r="J330" s="109"/>
      <c r="K330" s="104" t="s">
        <v>8</v>
      </c>
      <c r="L330" s="105">
        <v>220390.8</v>
      </c>
    </row>
    <row r="331" spans="1:12" ht="51" hidden="1" x14ac:dyDescent="0.3">
      <c r="A331" s="99" t="s">
        <v>135</v>
      </c>
      <c r="B331" s="100" t="s">
        <v>690</v>
      </c>
      <c r="C331" s="100" t="s">
        <v>693</v>
      </c>
      <c r="D331" s="100" t="s">
        <v>681</v>
      </c>
      <c r="E331" s="101" t="s">
        <v>13</v>
      </c>
      <c r="F331" s="106">
        <v>3772.63</v>
      </c>
      <c r="G331" s="106"/>
      <c r="H331" s="101" t="s">
        <v>13</v>
      </c>
      <c r="I331" s="103" t="s">
        <v>15</v>
      </c>
      <c r="J331" s="103"/>
      <c r="K331" s="104" t="s">
        <v>8</v>
      </c>
      <c r="L331" s="105">
        <v>69325.02</v>
      </c>
    </row>
    <row r="332" spans="1:12" ht="51" hidden="1" x14ac:dyDescent="0.3">
      <c r="A332" s="99" t="s">
        <v>135</v>
      </c>
      <c r="B332" s="100" t="s">
        <v>690</v>
      </c>
      <c r="C332" s="100" t="s">
        <v>694</v>
      </c>
      <c r="D332" s="100" t="s">
        <v>682</v>
      </c>
      <c r="E332" s="101" t="s">
        <v>13</v>
      </c>
      <c r="F332" s="107" t="s">
        <v>15</v>
      </c>
      <c r="G332" s="107"/>
      <c r="H332" s="101" t="s">
        <v>13</v>
      </c>
      <c r="I332" s="108">
        <v>838.36</v>
      </c>
      <c r="J332" s="108"/>
      <c r="K332" s="104" t="s">
        <v>8</v>
      </c>
      <c r="L332" s="105">
        <v>219552.44</v>
      </c>
    </row>
    <row r="333" spans="1:12" ht="51" hidden="1" x14ac:dyDescent="0.3">
      <c r="A333" s="99" t="s">
        <v>135</v>
      </c>
      <c r="B333" s="100" t="s">
        <v>690</v>
      </c>
      <c r="C333" s="100" t="s">
        <v>694</v>
      </c>
      <c r="D333" s="100" t="s">
        <v>682</v>
      </c>
      <c r="E333" s="101" t="s">
        <v>13</v>
      </c>
      <c r="F333" s="102">
        <v>838.36</v>
      </c>
      <c r="G333" s="102"/>
      <c r="H333" s="101" t="s">
        <v>13</v>
      </c>
      <c r="I333" s="103" t="s">
        <v>15</v>
      </c>
      <c r="J333" s="103"/>
      <c r="K333" s="104" t="s">
        <v>8</v>
      </c>
      <c r="L333" s="105">
        <v>70163.38</v>
      </c>
    </row>
    <row r="334" spans="1:12" ht="51" hidden="1" x14ac:dyDescent="0.3">
      <c r="A334" s="99" t="s">
        <v>135</v>
      </c>
      <c r="B334" s="100" t="s">
        <v>690</v>
      </c>
      <c r="C334" s="100" t="s">
        <v>695</v>
      </c>
      <c r="D334" s="100" t="s">
        <v>684</v>
      </c>
      <c r="E334" s="101" t="s">
        <v>13</v>
      </c>
      <c r="F334" s="107" t="s">
        <v>15</v>
      </c>
      <c r="G334" s="107"/>
      <c r="H334" s="101" t="s">
        <v>13</v>
      </c>
      <c r="I334" s="108">
        <v>670.69</v>
      </c>
      <c r="J334" s="108"/>
      <c r="K334" s="104" t="s">
        <v>8</v>
      </c>
      <c r="L334" s="105">
        <v>218881.75</v>
      </c>
    </row>
    <row r="335" spans="1:12" ht="51" hidden="1" x14ac:dyDescent="0.3">
      <c r="A335" s="99" t="s">
        <v>135</v>
      </c>
      <c r="B335" s="100" t="s">
        <v>690</v>
      </c>
      <c r="C335" s="100" t="s">
        <v>695</v>
      </c>
      <c r="D335" s="100" t="s">
        <v>684</v>
      </c>
      <c r="E335" s="101" t="s">
        <v>13</v>
      </c>
      <c r="F335" s="102">
        <v>670.69</v>
      </c>
      <c r="G335" s="102"/>
      <c r="H335" s="101" t="s">
        <v>13</v>
      </c>
      <c r="I335" s="103" t="s">
        <v>15</v>
      </c>
      <c r="J335" s="103"/>
      <c r="K335" s="104" t="s">
        <v>8</v>
      </c>
      <c r="L335" s="105">
        <v>70834.070000000007</v>
      </c>
    </row>
    <row r="336" spans="1:12" ht="51" hidden="1" x14ac:dyDescent="0.3">
      <c r="A336" s="99" t="s">
        <v>135</v>
      </c>
      <c r="B336" s="100" t="s">
        <v>690</v>
      </c>
      <c r="C336" s="100" t="s">
        <v>692</v>
      </c>
      <c r="D336" s="100" t="s">
        <v>677</v>
      </c>
      <c r="E336" s="101" t="s">
        <v>13</v>
      </c>
      <c r="F336" s="107" t="s">
        <v>15</v>
      </c>
      <c r="G336" s="107"/>
      <c r="H336" s="101" t="s">
        <v>13</v>
      </c>
      <c r="I336" s="108">
        <v>450.62</v>
      </c>
      <c r="J336" s="108"/>
      <c r="K336" s="104" t="s">
        <v>8</v>
      </c>
      <c r="L336" s="105">
        <v>218431.13</v>
      </c>
    </row>
    <row r="337" spans="1:12" ht="51" hidden="1" x14ac:dyDescent="0.3">
      <c r="A337" s="99" t="s">
        <v>135</v>
      </c>
      <c r="B337" s="100" t="s">
        <v>690</v>
      </c>
      <c r="C337" s="100" t="s">
        <v>692</v>
      </c>
      <c r="D337" s="100" t="s">
        <v>677</v>
      </c>
      <c r="E337" s="101" t="s">
        <v>13</v>
      </c>
      <c r="F337" s="102">
        <v>450.62</v>
      </c>
      <c r="G337" s="102"/>
      <c r="H337" s="101" t="s">
        <v>13</v>
      </c>
      <c r="I337" s="103" t="s">
        <v>15</v>
      </c>
      <c r="J337" s="103"/>
      <c r="K337" s="104" t="s">
        <v>8</v>
      </c>
      <c r="L337" s="105">
        <v>71284.69</v>
      </c>
    </row>
    <row r="338" spans="1:12" ht="51" hidden="1" x14ac:dyDescent="0.3">
      <c r="A338" s="99" t="s">
        <v>135</v>
      </c>
      <c r="B338" s="100" t="s">
        <v>696</v>
      </c>
      <c r="C338" s="100" t="s">
        <v>697</v>
      </c>
      <c r="D338" s="100" t="s">
        <v>678</v>
      </c>
      <c r="E338" s="101" t="s">
        <v>13</v>
      </c>
      <c r="F338" s="106">
        <v>1708.16</v>
      </c>
      <c r="G338" s="106"/>
      <c r="H338" s="101" t="s">
        <v>13</v>
      </c>
      <c r="I338" s="103" t="s">
        <v>15</v>
      </c>
      <c r="J338" s="103"/>
      <c r="K338" s="104" t="s">
        <v>8</v>
      </c>
      <c r="L338" s="105">
        <v>135436.13</v>
      </c>
    </row>
    <row r="339" spans="1:12" ht="51" hidden="1" x14ac:dyDescent="0.3">
      <c r="A339" s="99" t="s">
        <v>135</v>
      </c>
      <c r="B339" s="100" t="s">
        <v>696</v>
      </c>
      <c r="C339" s="100" t="s">
        <v>697</v>
      </c>
      <c r="D339" s="100" t="s">
        <v>678</v>
      </c>
      <c r="E339" s="101" t="s">
        <v>13</v>
      </c>
      <c r="F339" s="107" t="s">
        <v>15</v>
      </c>
      <c r="G339" s="107"/>
      <c r="H339" s="101" t="s">
        <v>13</v>
      </c>
      <c r="I339" s="109">
        <v>1708.16</v>
      </c>
      <c r="J339" s="109"/>
      <c r="K339" s="104" t="s">
        <v>8</v>
      </c>
      <c r="L339" s="105">
        <v>216722.97</v>
      </c>
    </row>
    <row r="340" spans="1:12" ht="51" hidden="1" x14ac:dyDescent="0.3">
      <c r="A340" s="99" t="s">
        <v>135</v>
      </c>
      <c r="B340" s="100" t="s">
        <v>696</v>
      </c>
      <c r="C340" s="100" t="s">
        <v>698</v>
      </c>
      <c r="D340" s="100" t="s">
        <v>685</v>
      </c>
      <c r="E340" s="101" t="s">
        <v>13</v>
      </c>
      <c r="F340" s="106">
        <v>2871.39</v>
      </c>
      <c r="G340" s="106"/>
      <c r="H340" s="101" t="s">
        <v>13</v>
      </c>
      <c r="I340" s="103" t="s">
        <v>15</v>
      </c>
      <c r="J340" s="103"/>
      <c r="K340" s="104" t="s">
        <v>8</v>
      </c>
      <c r="L340" s="105">
        <v>138307.51999999999</v>
      </c>
    </row>
    <row r="341" spans="1:12" ht="51" hidden="1" x14ac:dyDescent="0.3">
      <c r="A341" s="99" t="s">
        <v>135</v>
      </c>
      <c r="B341" s="100" t="s">
        <v>696</v>
      </c>
      <c r="C341" s="100" t="s">
        <v>698</v>
      </c>
      <c r="D341" s="100" t="s">
        <v>685</v>
      </c>
      <c r="E341" s="101" t="s">
        <v>13</v>
      </c>
      <c r="F341" s="107" t="s">
        <v>15</v>
      </c>
      <c r="G341" s="107"/>
      <c r="H341" s="101" t="s">
        <v>13</v>
      </c>
      <c r="I341" s="109">
        <v>2871.39</v>
      </c>
      <c r="J341" s="109"/>
      <c r="K341" s="104" t="s">
        <v>8</v>
      </c>
      <c r="L341" s="105">
        <v>213851.58</v>
      </c>
    </row>
    <row r="342" spans="1:12" ht="51" hidden="1" x14ac:dyDescent="0.3">
      <c r="A342" s="99" t="s">
        <v>135</v>
      </c>
      <c r="B342" s="100" t="s">
        <v>696</v>
      </c>
      <c r="C342" s="100" t="s">
        <v>699</v>
      </c>
      <c r="D342" s="100" t="s">
        <v>686</v>
      </c>
      <c r="E342" s="101" t="s">
        <v>13</v>
      </c>
      <c r="F342" s="106">
        <v>1299.45</v>
      </c>
      <c r="G342" s="106"/>
      <c r="H342" s="101" t="s">
        <v>13</v>
      </c>
      <c r="I342" s="103" t="s">
        <v>15</v>
      </c>
      <c r="J342" s="103"/>
      <c r="K342" s="104" t="s">
        <v>8</v>
      </c>
      <c r="L342" s="105">
        <v>139606.97</v>
      </c>
    </row>
    <row r="343" spans="1:12" ht="51" hidden="1" x14ac:dyDescent="0.3">
      <c r="A343" s="99" t="s">
        <v>135</v>
      </c>
      <c r="B343" s="100" t="s">
        <v>696</v>
      </c>
      <c r="C343" s="100" t="s">
        <v>699</v>
      </c>
      <c r="D343" s="100" t="s">
        <v>686</v>
      </c>
      <c r="E343" s="101" t="s">
        <v>13</v>
      </c>
      <c r="F343" s="107" t="s">
        <v>15</v>
      </c>
      <c r="G343" s="107"/>
      <c r="H343" s="101" t="s">
        <v>13</v>
      </c>
      <c r="I343" s="109">
        <v>1299.45</v>
      </c>
      <c r="J343" s="109"/>
      <c r="K343" s="104" t="s">
        <v>8</v>
      </c>
      <c r="L343" s="105">
        <v>212552.13</v>
      </c>
    </row>
    <row r="344" spans="1:12" ht="51" hidden="1" x14ac:dyDescent="0.3">
      <c r="A344" s="99" t="s">
        <v>135</v>
      </c>
      <c r="B344" s="100" t="s">
        <v>700</v>
      </c>
      <c r="C344" s="100" t="s">
        <v>701</v>
      </c>
      <c r="D344" s="100" t="s">
        <v>679</v>
      </c>
      <c r="E344" s="101" t="s">
        <v>13</v>
      </c>
      <c r="F344" s="102">
        <v>744.05</v>
      </c>
      <c r="G344" s="102"/>
      <c r="H344" s="101" t="s">
        <v>13</v>
      </c>
      <c r="I344" s="103" t="s">
        <v>15</v>
      </c>
      <c r="J344" s="103"/>
      <c r="K344" s="104" t="s">
        <v>8</v>
      </c>
      <c r="L344" s="105">
        <v>15821.2</v>
      </c>
    </row>
    <row r="345" spans="1:12" ht="51" hidden="1" x14ac:dyDescent="0.3">
      <c r="A345" s="99" t="s">
        <v>135</v>
      </c>
      <c r="B345" s="100" t="s">
        <v>700</v>
      </c>
      <c r="C345" s="100" t="s">
        <v>701</v>
      </c>
      <c r="D345" s="100" t="s">
        <v>679</v>
      </c>
      <c r="E345" s="101" t="s">
        <v>13</v>
      </c>
      <c r="F345" s="107" t="s">
        <v>15</v>
      </c>
      <c r="G345" s="107"/>
      <c r="H345" s="101" t="s">
        <v>13</v>
      </c>
      <c r="I345" s="108">
        <v>744.05</v>
      </c>
      <c r="J345" s="108"/>
      <c r="K345" s="104" t="s">
        <v>8</v>
      </c>
      <c r="L345" s="105">
        <v>211808.08</v>
      </c>
    </row>
    <row r="346" spans="1:12" ht="61.2" hidden="1" x14ac:dyDescent="0.3">
      <c r="A346" s="99" t="s">
        <v>135</v>
      </c>
      <c r="B346" s="100" t="s">
        <v>700</v>
      </c>
      <c r="C346" s="100" t="s">
        <v>702</v>
      </c>
      <c r="D346" s="100" t="s">
        <v>680</v>
      </c>
      <c r="E346" s="101" t="s">
        <v>13</v>
      </c>
      <c r="F346" s="106">
        <v>11134.49</v>
      </c>
      <c r="G346" s="106"/>
      <c r="H346" s="101" t="s">
        <v>13</v>
      </c>
      <c r="I346" s="103" t="s">
        <v>15</v>
      </c>
      <c r="J346" s="103"/>
      <c r="K346" s="104" t="s">
        <v>8</v>
      </c>
      <c r="L346" s="105">
        <v>26955.69</v>
      </c>
    </row>
    <row r="347" spans="1:12" ht="61.2" hidden="1" x14ac:dyDescent="0.3">
      <c r="A347" s="99" t="s">
        <v>135</v>
      </c>
      <c r="B347" s="100" t="s">
        <v>700</v>
      </c>
      <c r="C347" s="100" t="s">
        <v>702</v>
      </c>
      <c r="D347" s="100" t="s">
        <v>680</v>
      </c>
      <c r="E347" s="101" t="s">
        <v>13</v>
      </c>
      <c r="F347" s="107" t="s">
        <v>15</v>
      </c>
      <c r="G347" s="107"/>
      <c r="H347" s="101" t="s">
        <v>13</v>
      </c>
      <c r="I347" s="109">
        <v>11134.49</v>
      </c>
      <c r="J347" s="109"/>
      <c r="K347" s="104" t="s">
        <v>8</v>
      </c>
      <c r="L347" s="105">
        <v>200673.59</v>
      </c>
    </row>
    <row r="348" spans="1:12" ht="51" hidden="1" x14ac:dyDescent="0.3">
      <c r="A348" s="99" t="s">
        <v>703</v>
      </c>
      <c r="B348" s="100" t="s">
        <v>704</v>
      </c>
      <c r="C348" s="100" t="s">
        <v>705</v>
      </c>
      <c r="D348" s="100" t="s">
        <v>706</v>
      </c>
      <c r="E348" s="101" t="s">
        <v>13</v>
      </c>
      <c r="F348" s="106">
        <v>1507.75</v>
      </c>
      <c r="G348" s="106"/>
      <c r="H348" s="101" t="s">
        <v>14</v>
      </c>
      <c r="I348" s="103" t="s">
        <v>15</v>
      </c>
      <c r="J348" s="103"/>
      <c r="K348" s="104" t="s">
        <v>8</v>
      </c>
      <c r="L348" s="105">
        <v>202181.34</v>
      </c>
    </row>
    <row r="349" spans="1:12" ht="51" hidden="1" x14ac:dyDescent="0.3">
      <c r="A349" s="99" t="s">
        <v>703</v>
      </c>
      <c r="B349" s="100" t="s">
        <v>704</v>
      </c>
      <c r="C349" s="100" t="s">
        <v>707</v>
      </c>
      <c r="D349" s="100" t="s">
        <v>706</v>
      </c>
      <c r="E349" s="101" t="s">
        <v>13</v>
      </c>
      <c r="F349" s="102">
        <v>352.5</v>
      </c>
      <c r="G349" s="102"/>
      <c r="H349" s="101" t="s">
        <v>14</v>
      </c>
      <c r="I349" s="103" t="s">
        <v>15</v>
      </c>
      <c r="J349" s="103"/>
      <c r="K349" s="104" t="s">
        <v>8</v>
      </c>
      <c r="L349" s="105">
        <v>202533.84</v>
      </c>
    </row>
    <row r="350" spans="1:12" ht="61.2" hidden="1" x14ac:dyDescent="0.3">
      <c r="A350" s="99" t="s">
        <v>703</v>
      </c>
      <c r="B350" s="100" t="s">
        <v>704</v>
      </c>
      <c r="C350" s="100" t="s">
        <v>708</v>
      </c>
      <c r="D350" s="100" t="s">
        <v>706</v>
      </c>
      <c r="E350" s="101" t="s">
        <v>13</v>
      </c>
      <c r="F350" s="106">
        <v>2232</v>
      </c>
      <c r="G350" s="106"/>
      <c r="H350" s="101" t="s">
        <v>14</v>
      </c>
      <c r="I350" s="103" t="s">
        <v>15</v>
      </c>
      <c r="J350" s="103"/>
      <c r="K350" s="104" t="s">
        <v>8</v>
      </c>
      <c r="L350" s="105">
        <v>204765.84</v>
      </c>
    </row>
    <row r="351" spans="1:12" ht="51" hidden="1" x14ac:dyDescent="0.3">
      <c r="A351" s="99" t="s">
        <v>703</v>
      </c>
      <c r="B351" s="100" t="s">
        <v>704</v>
      </c>
      <c r="C351" s="100" t="s">
        <v>709</v>
      </c>
      <c r="D351" s="100" t="s">
        <v>706</v>
      </c>
      <c r="E351" s="101" t="s">
        <v>13</v>
      </c>
      <c r="F351" s="102">
        <v>537.5</v>
      </c>
      <c r="G351" s="102"/>
      <c r="H351" s="101" t="s">
        <v>14</v>
      </c>
      <c r="I351" s="103" t="s">
        <v>15</v>
      </c>
      <c r="J351" s="103"/>
      <c r="K351" s="104" t="s">
        <v>8</v>
      </c>
      <c r="L351" s="105">
        <v>205303.34</v>
      </c>
    </row>
    <row r="352" spans="1:12" ht="51" hidden="1" x14ac:dyDescent="0.3">
      <c r="A352" s="99" t="s">
        <v>703</v>
      </c>
      <c r="B352" s="100" t="s">
        <v>704</v>
      </c>
      <c r="C352" s="100" t="s">
        <v>710</v>
      </c>
      <c r="D352" s="100" t="s">
        <v>706</v>
      </c>
      <c r="E352" s="101" t="s">
        <v>13</v>
      </c>
      <c r="F352" s="102">
        <v>89</v>
      </c>
      <c r="G352" s="102"/>
      <c r="H352" s="101" t="s">
        <v>14</v>
      </c>
      <c r="I352" s="103" t="s">
        <v>15</v>
      </c>
      <c r="J352" s="103"/>
      <c r="K352" s="104" t="s">
        <v>8</v>
      </c>
      <c r="L352" s="105">
        <v>205392.34</v>
      </c>
    </row>
    <row r="353" spans="1:12" ht="51" hidden="1" x14ac:dyDescent="0.3">
      <c r="A353" s="99" t="s">
        <v>703</v>
      </c>
      <c r="B353" s="100" t="s">
        <v>704</v>
      </c>
      <c r="C353" s="100" t="s">
        <v>711</v>
      </c>
      <c r="D353" s="100" t="s">
        <v>706</v>
      </c>
      <c r="E353" s="101" t="s">
        <v>13</v>
      </c>
      <c r="F353" s="106">
        <v>1500</v>
      </c>
      <c r="G353" s="106"/>
      <c r="H353" s="101" t="s">
        <v>14</v>
      </c>
      <c r="I353" s="103" t="s">
        <v>15</v>
      </c>
      <c r="J353" s="103"/>
      <c r="K353" s="104" t="s">
        <v>8</v>
      </c>
      <c r="L353" s="105">
        <v>206892.34</v>
      </c>
    </row>
    <row r="354" spans="1:12" ht="51" hidden="1" x14ac:dyDescent="0.3">
      <c r="A354" s="99" t="s">
        <v>703</v>
      </c>
      <c r="B354" s="100" t="s">
        <v>704</v>
      </c>
      <c r="C354" s="100" t="s">
        <v>712</v>
      </c>
      <c r="D354" s="100" t="s">
        <v>706</v>
      </c>
      <c r="E354" s="101" t="s">
        <v>13</v>
      </c>
      <c r="F354" s="106">
        <v>1829</v>
      </c>
      <c r="G354" s="106"/>
      <c r="H354" s="101" t="s">
        <v>14</v>
      </c>
      <c r="I354" s="103" t="s">
        <v>15</v>
      </c>
      <c r="J354" s="103"/>
      <c r="K354" s="104" t="s">
        <v>8</v>
      </c>
      <c r="L354" s="105">
        <v>208721.34</v>
      </c>
    </row>
    <row r="355" spans="1:12" ht="51" hidden="1" x14ac:dyDescent="0.3">
      <c r="A355" s="99" t="s">
        <v>703</v>
      </c>
      <c r="B355" s="100" t="s">
        <v>704</v>
      </c>
      <c r="C355" s="100" t="s">
        <v>713</v>
      </c>
      <c r="D355" s="100" t="s">
        <v>706</v>
      </c>
      <c r="E355" s="101" t="s">
        <v>13</v>
      </c>
      <c r="F355" s="106">
        <v>1545</v>
      </c>
      <c r="G355" s="106"/>
      <c r="H355" s="101" t="s">
        <v>14</v>
      </c>
      <c r="I355" s="103" t="s">
        <v>15</v>
      </c>
      <c r="J355" s="103"/>
      <c r="K355" s="104" t="s">
        <v>8</v>
      </c>
      <c r="L355" s="105">
        <v>210266.34</v>
      </c>
    </row>
    <row r="356" spans="1:12" ht="51" hidden="1" x14ac:dyDescent="0.3">
      <c r="A356" s="99" t="s">
        <v>703</v>
      </c>
      <c r="B356" s="100" t="s">
        <v>704</v>
      </c>
      <c r="C356" s="100" t="s">
        <v>714</v>
      </c>
      <c r="D356" s="100" t="s">
        <v>706</v>
      </c>
      <c r="E356" s="101" t="s">
        <v>13</v>
      </c>
      <c r="F356" s="106">
        <v>1125</v>
      </c>
      <c r="G356" s="106"/>
      <c r="H356" s="101" t="s">
        <v>14</v>
      </c>
      <c r="I356" s="103" t="s">
        <v>15</v>
      </c>
      <c r="J356" s="103"/>
      <c r="K356" s="104" t="s">
        <v>8</v>
      </c>
      <c r="L356" s="105">
        <v>211391.34</v>
      </c>
    </row>
    <row r="357" spans="1:12" ht="51" hidden="1" x14ac:dyDescent="0.3">
      <c r="A357" s="99" t="s">
        <v>167</v>
      </c>
      <c r="B357" s="100" t="s">
        <v>715</v>
      </c>
      <c r="C357" s="100" t="s">
        <v>716</v>
      </c>
      <c r="D357" s="100" t="s">
        <v>438</v>
      </c>
      <c r="E357" s="101" t="s">
        <v>13</v>
      </c>
      <c r="F357" s="102">
        <v>134.1</v>
      </c>
      <c r="G357" s="102"/>
      <c r="H357" s="101" t="s">
        <v>14</v>
      </c>
      <c r="I357" s="103" t="s">
        <v>15</v>
      </c>
      <c r="J357" s="103"/>
      <c r="K357" s="104" t="s">
        <v>8</v>
      </c>
      <c r="L357" s="105">
        <v>211525.44</v>
      </c>
    </row>
    <row r="358" spans="1:12" ht="51" hidden="1" x14ac:dyDescent="0.3">
      <c r="A358" s="99" t="s">
        <v>167</v>
      </c>
      <c r="B358" s="100" t="s">
        <v>717</v>
      </c>
      <c r="C358" s="100" t="s">
        <v>718</v>
      </c>
      <c r="D358" s="100" t="s">
        <v>719</v>
      </c>
      <c r="E358" s="101" t="s">
        <v>13</v>
      </c>
      <c r="F358" s="106">
        <v>1260</v>
      </c>
      <c r="G358" s="106"/>
      <c r="H358" s="101" t="s">
        <v>14</v>
      </c>
      <c r="I358" s="103" t="s">
        <v>15</v>
      </c>
      <c r="J358" s="103"/>
      <c r="K358" s="104" t="s">
        <v>8</v>
      </c>
      <c r="L358" s="105">
        <v>212785.44</v>
      </c>
    </row>
    <row r="359" spans="1:12" ht="51" hidden="1" x14ac:dyDescent="0.3">
      <c r="A359" s="99" t="s">
        <v>167</v>
      </c>
      <c r="B359" s="100" t="s">
        <v>720</v>
      </c>
      <c r="C359" s="100" t="s">
        <v>721</v>
      </c>
      <c r="D359" s="100" t="s">
        <v>716</v>
      </c>
      <c r="E359" s="101" t="s">
        <v>13</v>
      </c>
      <c r="F359" s="102">
        <v>59.6</v>
      </c>
      <c r="G359" s="102"/>
      <c r="H359" s="101" t="s">
        <v>13</v>
      </c>
      <c r="I359" s="103" t="s">
        <v>15</v>
      </c>
      <c r="J359" s="103"/>
      <c r="K359" s="104" t="s">
        <v>8</v>
      </c>
      <c r="L359" s="105">
        <v>27015.29</v>
      </c>
    </row>
    <row r="360" spans="1:12" ht="51" hidden="1" x14ac:dyDescent="0.3">
      <c r="A360" s="99" t="s">
        <v>167</v>
      </c>
      <c r="B360" s="100" t="s">
        <v>720</v>
      </c>
      <c r="C360" s="100" t="s">
        <v>721</v>
      </c>
      <c r="D360" s="100" t="s">
        <v>716</v>
      </c>
      <c r="E360" s="101" t="s">
        <v>13</v>
      </c>
      <c r="F360" s="107" t="s">
        <v>15</v>
      </c>
      <c r="G360" s="107"/>
      <c r="H360" s="101" t="s">
        <v>13</v>
      </c>
      <c r="I360" s="108">
        <v>59.6</v>
      </c>
      <c r="J360" s="108"/>
      <c r="K360" s="104" t="s">
        <v>8</v>
      </c>
      <c r="L360" s="105">
        <v>212725.84</v>
      </c>
    </row>
    <row r="361" spans="1:12" ht="51" hidden="1" x14ac:dyDescent="0.3">
      <c r="A361" s="99" t="s">
        <v>167</v>
      </c>
      <c r="B361" s="100" t="s">
        <v>722</v>
      </c>
      <c r="C361" s="100" t="s">
        <v>723</v>
      </c>
      <c r="D361" s="100" t="s">
        <v>716</v>
      </c>
      <c r="E361" s="101" t="s">
        <v>13</v>
      </c>
      <c r="F361" s="102">
        <v>74.5</v>
      </c>
      <c r="G361" s="102"/>
      <c r="H361" s="101" t="s">
        <v>13</v>
      </c>
      <c r="I361" s="103" t="s">
        <v>15</v>
      </c>
      <c r="J361" s="103"/>
      <c r="K361" s="104" t="s">
        <v>8</v>
      </c>
      <c r="L361" s="105">
        <v>71359.19</v>
      </c>
    </row>
    <row r="362" spans="1:12" ht="51" hidden="1" x14ac:dyDescent="0.3">
      <c r="A362" s="99" t="s">
        <v>167</v>
      </c>
      <c r="B362" s="100" t="s">
        <v>722</v>
      </c>
      <c r="C362" s="100" t="s">
        <v>723</v>
      </c>
      <c r="D362" s="100" t="s">
        <v>716</v>
      </c>
      <c r="E362" s="101" t="s">
        <v>13</v>
      </c>
      <c r="F362" s="107" t="s">
        <v>15</v>
      </c>
      <c r="G362" s="107"/>
      <c r="H362" s="101" t="s">
        <v>13</v>
      </c>
      <c r="I362" s="108">
        <v>74.5</v>
      </c>
      <c r="J362" s="108"/>
      <c r="K362" s="104" t="s">
        <v>8</v>
      </c>
      <c r="L362" s="105">
        <v>212651.34</v>
      </c>
    </row>
    <row r="363" spans="1:12" ht="51" hidden="1" x14ac:dyDescent="0.3">
      <c r="A363" s="99" t="s">
        <v>256</v>
      </c>
      <c r="B363" s="100" t="s">
        <v>724</v>
      </c>
      <c r="C363" s="100" t="s">
        <v>725</v>
      </c>
      <c r="D363" s="100" t="s">
        <v>726</v>
      </c>
      <c r="E363" s="101" t="s">
        <v>13</v>
      </c>
      <c r="F363" s="106">
        <v>1000</v>
      </c>
      <c r="G363" s="106"/>
      <c r="H363" s="101" t="s">
        <v>14</v>
      </c>
      <c r="I363" s="103" t="s">
        <v>15</v>
      </c>
      <c r="J363" s="103"/>
      <c r="K363" s="104" t="s">
        <v>8</v>
      </c>
      <c r="L363" s="105">
        <v>213651.34</v>
      </c>
    </row>
    <row r="364" spans="1:12" ht="51" hidden="1" x14ac:dyDescent="0.3">
      <c r="A364" s="99" t="s">
        <v>256</v>
      </c>
      <c r="B364" s="100" t="s">
        <v>724</v>
      </c>
      <c r="C364" s="100" t="s">
        <v>727</v>
      </c>
      <c r="D364" s="100" t="s">
        <v>726</v>
      </c>
      <c r="E364" s="101" t="s">
        <v>13</v>
      </c>
      <c r="F364" s="106">
        <v>1500</v>
      </c>
      <c r="G364" s="106"/>
      <c r="H364" s="101" t="s">
        <v>14</v>
      </c>
      <c r="I364" s="103" t="s">
        <v>15</v>
      </c>
      <c r="J364" s="103"/>
      <c r="K364" s="104" t="s">
        <v>8</v>
      </c>
      <c r="L364" s="105">
        <v>215151.34</v>
      </c>
    </row>
    <row r="365" spans="1:12" ht="51" hidden="1" x14ac:dyDescent="0.3">
      <c r="A365" s="99" t="s">
        <v>256</v>
      </c>
      <c r="B365" s="100" t="s">
        <v>724</v>
      </c>
      <c r="C365" s="100" t="s">
        <v>728</v>
      </c>
      <c r="D365" s="100" t="s">
        <v>726</v>
      </c>
      <c r="E365" s="101" t="s">
        <v>13</v>
      </c>
      <c r="F365" s="106">
        <v>2720</v>
      </c>
      <c r="G365" s="106"/>
      <c r="H365" s="101" t="s">
        <v>14</v>
      </c>
      <c r="I365" s="103" t="s">
        <v>15</v>
      </c>
      <c r="J365" s="103"/>
      <c r="K365" s="104" t="s">
        <v>8</v>
      </c>
      <c r="L365" s="105">
        <v>217871.34</v>
      </c>
    </row>
    <row r="366" spans="1:12" ht="61.2" hidden="1" x14ac:dyDescent="0.3">
      <c r="A366" s="99" t="s">
        <v>256</v>
      </c>
      <c r="B366" s="100" t="s">
        <v>724</v>
      </c>
      <c r="C366" s="100" t="s">
        <v>729</v>
      </c>
      <c r="D366" s="100" t="s">
        <v>726</v>
      </c>
      <c r="E366" s="101" t="s">
        <v>13</v>
      </c>
      <c r="F366" s="106">
        <v>1000</v>
      </c>
      <c r="G366" s="106"/>
      <c r="H366" s="101" t="s">
        <v>14</v>
      </c>
      <c r="I366" s="103" t="s">
        <v>15</v>
      </c>
      <c r="J366" s="103"/>
      <c r="K366" s="104" t="s">
        <v>8</v>
      </c>
      <c r="L366" s="105">
        <v>218871.34</v>
      </c>
    </row>
    <row r="367" spans="1:12" ht="51" hidden="1" x14ac:dyDescent="0.3">
      <c r="A367" s="99" t="s">
        <v>256</v>
      </c>
      <c r="B367" s="100" t="s">
        <v>724</v>
      </c>
      <c r="C367" s="100" t="s">
        <v>730</v>
      </c>
      <c r="D367" s="100" t="s">
        <v>726</v>
      </c>
      <c r="E367" s="101" t="s">
        <v>13</v>
      </c>
      <c r="F367" s="106">
        <v>6400</v>
      </c>
      <c r="G367" s="106"/>
      <c r="H367" s="101" t="s">
        <v>14</v>
      </c>
      <c r="I367" s="103" t="s">
        <v>15</v>
      </c>
      <c r="J367" s="103"/>
      <c r="K367" s="104" t="s">
        <v>8</v>
      </c>
      <c r="L367" s="105">
        <v>225271.34</v>
      </c>
    </row>
    <row r="368" spans="1:12" ht="51" hidden="1" x14ac:dyDescent="0.3">
      <c r="A368" s="99" t="s">
        <v>256</v>
      </c>
      <c r="B368" s="100" t="s">
        <v>724</v>
      </c>
      <c r="C368" s="100" t="s">
        <v>731</v>
      </c>
      <c r="D368" s="100" t="s">
        <v>726</v>
      </c>
      <c r="E368" s="101" t="s">
        <v>13</v>
      </c>
      <c r="F368" s="106">
        <v>28140</v>
      </c>
      <c r="G368" s="106"/>
      <c r="H368" s="101" t="s">
        <v>14</v>
      </c>
      <c r="I368" s="103" t="s">
        <v>15</v>
      </c>
      <c r="J368" s="103"/>
      <c r="K368" s="104" t="s">
        <v>8</v>
      </c>
      <c r="L368" s="105">
        <v>253411.34</v>
      </c>
    </row>
    <row r="369" spans="1:12" ht="51" hidden="1" x14ac:dyDescent="0.3">
      <c r="A369" s="99" t="s">
        <v>256</v>
      </c>
      <c r="B369" s="100" t="s">
        <v>732</v>
      </c>
      <c r="C369" s="100" t="s">
        <v>733</v>
      </c>
      <c r="D369" s="100" t="s">
        <v>725</v>
      </c>
      <c r="E369" s="101" t="s">
        <v>13</v>
      </c>
      <c r="F369" s="107" t="s">
        <v>15</v>
      </c>
      <c r="G369" s="107"/>
      <c r="H369" s="101" t="s">
        <v>13</v>
      </c>
      <c r="I369" s="109">
        <v>1000</v>
      </c>
      <c r="J369" s="109"/>
      <c r="K369" s="104" t="s">
        <v>8</v>
      </c>
      <c r="L369" s="105">
        <v>252411.34</v>
      </c>
    </row>
    <row r="370" spans="1:12" ht="51" hidden="1" x14ac:dyDescent="0.3">
      <c r="A370" s="99" t="s">
        <v>256</v>
      </c>
      <c r="B370" s="100" t="s">
        <v>732</v>
      </c>
      <c r="C370" s="100" t="s">
        <v>733</v>
      </c>
      <c r="D370" s="100" t="s">
        <v>725</v>
      </c>
      <c r="E370" s="101" t="s">
        <v>13</v>
      </c>
      <c r="F370" s="106">
        <v>1000</v>
      </c>
      <c r="G370" s="106"/>
      <c r="H370" s="101" t="s">
        <v>13</v>
      </c>
      <c r="I370" s="103" t="s">
        <v>15</v>
      </c>
      <c r="J370" s="103"/>
      <c r="K370" s="104" t="s">
        <v>8</v>
      </c>
      <c r="L370" s="105">
        <v>72359.19</v>
      </c>
    </row>
    <row r="371" spans="1:12" ht="51" hidden="1" x14ac:dyDescent="0.3">
      <c r="A371" s="99" t="s">
        <v>256</v>
      </c>
      <c r="B371" s="100" t="s">
        <v>732</v>
      </c>
      <c r="C371" s="100" t="s">
        <v>734</v>
      </c>
      <c r="D371" s="100" t="s">
        <v>727</v>
      </c>
      <c r="E371" s="101" t="s">
        <v>13</v>
      </c>
      <c r="F371" s="107" t="s">
        <v>15</v>
      </c>
      <c r="G371" s="107"/>
      <c r="H371" s="101" t="s">
        <v>13</v>
      </c>
      <c r="I371" s="109">
        <v>1500</v>
      </c>
      <c r="J371" s="109"/>
      <c r="K371" s="104" t="s">
        <v>8</v>
      </c>
      <c r="L371" s="105">
        <v>250911.34</v>
      </c>
    </row>
    <row r="372" spans="1:12" ht="51" hidden="1" x14ac:dyDescent="0.3">
      <c r="A372" s="99" t="s">
        <v>256</v>
      </c>
      <c r="B372" s="100" t="s">
        <v>732</v>
      </c>
      <c r="C372" s="100" t="s">
        <v>734</v>
      </c>
      <c r="D372" s="100" t="s">
        <v>727</v>
      </c>
      <c r="E372" s="101" t="s">
        <v>13</v>
      </c>
      <c r="F372" s="106">
        <v>1500</v>
      </c>
      <c r="G372" s="106"/>
      <c r="H372" s="101" t="s">
        <v>13</v>
      </c>
      <c r="I372" s="103" t="s">
        <v>15</v>
      </c>
      <c r="J372" s="103"/>
      <c r="K372" s="104" t="s">
        <v>8</v>
      </c>
      <c r="L372" s="105">
        <v>73859.19</v>
      </c>
    </row>
    <row r="373" spans="1:12" ht="51" hidden="1" x14ac:dyDescent="0.3">
      <c r="A373" s="99" t="s">
        <v>256</v>
      </c>
      <c r="B373" s="100" t="s">
        <v>732</v>
      </c>
      <c r="C373" s="100" t="s">
        <v>735</v>
      </c>
      <c r="D373" s="100" t="s">
        <v>728</v>
      </c>
      <c r="E373" s="101" t="s">
        <v>13</v>
      </c>
      <c r="F373" s="107" t="s">
        <v>15</v>
      </c>
      <c r="G373" s="107"/>
      <c r="H373" s="101" t="s">
        <v>13</v>
      </c>
      <c r="I373" s="109">
        <v>2720</v>
      </c>
      <c r="J373" s="109"/>
      <c r="K373" s="104" t="s">
        <v>8</v>
      </c>
      <c r="L373" s="105">
        <v>248191.34</v>
      </c>
    </row>
    <row r="374" spans="1:12" ht="51" hidden="1" x14ac:dyDescent="0.3">
      <c r="A374" s="99" t="s">
        <v>256</v>
      </c>
      <c r="B374" s="100" t="s">
        <v>732</v>
      </c>
      <c r="C374" s="100" t="s">
        <v>735</v>
      </c>
      <c r="D374" s="100" t="s">
        <v>728</v>
      </c>
      <c r="E374" s="101" t="s">
        <v>13</v>
      </c>
      <c r="F374" s="106">
        <v>2720</v>
      </c>
      <c r="G374" s="106"/>
      <c r="H374" s="101" t="s">
        <v>13</v>
      </c>
      <c r="I374" s="103" t="s">
        <v>15</v>
      </c>
      <c r="J374" s="103"/>
      <c r="K374" s="104" t="s">
        <v>8</v>
      </c>
      <c r="L374" s="105">
        <v>76579.19</v>
      </c>
    </row>
    <row r="375" spans="1:12" ht="51" hidden="1" x14ac:dyDescent="0.3">
      <c r="A375" s="99" t="s">
        <v>256</v>
      </c>
      <c r="B375" s="100" t="s">
        <v>736</v>
      </c>
      <c r="C375" s="100" t="s">
        <v>737</v>
      </c>
      <c r="D375" s="100" t="s">
        <v>730</v>
      </c>
      <c r="E375" s="101" t="s">
        <v>13</v>
      </c>
      <c r="F375" s="107" t="s">
        <v>15</v>
      </c>
      <c r="G375" s="107"/>
      <c r="H375" s="101" t="s">
        <v>13</v>
      </c>
      <c r="I375" s="109">
        <v>6400</v>
      </c>
      <c r="J375" s="109"/>
      <c r="K375" s="104" t="s">
        <v>8</v>
      </c>
      <c r="L375" s="105">
        <v>241791.34</v>
      </c>
    </row>
    <row r="376" spans="1:12" ht="51" hidden="1" x14ac:dyDescent="0.3">
      <c r="A376" s="99" t="s">
        <v>256</v>
      </c>
      <c r="B376" s="100" t="s">
        <v>736</v>
      </c>
      <c r="C376" s="100" t="s">
        <v>737</v>
      </c>
      <c r="D376" s="100" t="s">
        <v>730</v>
      </c>
      <c r="E376" s="101" t="s">
        <v>13</v>
      </c>
      <c r="F376" s="106">
        <v>6400</v>
      </c>
      <c r="G376" s="106"/>
      <c r="H376" s="101" t="s">
        <v>13</v>
      </c>
      <c r="I376" s="103" t="s">
        <v>15</v>
      </c>
      <c r="J376" s="103"/>
      <c r="K376" s="104" t="s">
        <v>8</v>
      </c>
      <c r="L376" s="105">
        <v>146006.97</v>
      </c>
    </row>
    <row r="377" spans="1:12" ht="51" hidden="1" x14ac:dyDescent="0.3">
      <c r="A377" s="99" t="s">
        <v>256</v>
      </c>
      <c r="B377" s="100" t="s">
        <v>736</v>
      </c>
      <c r="C377" s="100" t="s">
        <v>738</v>
      </c>
      <c r="D377" s="100" t="s">
        <v>731</v>
      </c>
      <c r="E377" s="101" t="s">
        <v>13</v>
      </c>
      <c r="F377" s="107" t="s">
        <v>15</v>
      </c>
      <c r="G377" s="107"/>
      <c r="H377" s="101" t="s">
        <v>13</v>
      </c>
      <c r="I377" s="109">
        <v>28140</v>
      </c>
      <c r="J377" s="109"/>
      <c r="K377" s="104" t="s">
        <v>8</v>
      </c>
      <c r="L377" s="105">
        <v>213651.34</v>
      </c>
    </row>
    <row r="378" spans="1:12" ht="51" hidden="1" x14ac:dyDescent="0.3">
      <c r="A378" s="99" t="s">
        <v>256</v>
      </c>
      <c r="B378" s="100" t="s">
        <v>736</v>
      </c>
      <c r="C378" s="100" t="s">
        <v>738</v>
      </c>
      <c r="D378" s="100" t="s">
        <v>731</v>
      </c>
      <c r="E378" s="101" t="s">
        <v>13</v>
      </c>
      <c r="F378" s="106">
        <v>28140</v>
      </c>
      <c r="G378" s="106"/>
      <c r="H378" s="101" t="s">
        <v>13</v>
      </c>
      <c r="I378" s="103" t="s">
        <v>15</v>
      </c>
      <c r="J378" s="103"/>
      <c r="K378" s="104" t="s">
        <v>8</v>
      </c>
      <c r="L378" s="105">
        <v>174146.97</v>
      </c>
    </row>
    <row r="379" spans="1:12" ht="51" hidden="1" x14ac:dyDescent="0.3">
      <c r="A379" s="99" t="s">
        <v>739</v>
      </c>
      <c r="B379" s="100" t="s">
        <v>740</v>
      </c>
      <c r="C379" s="100" t="s">
        <v>741</v>
      </c>
      <c r="D379" s="100" t="s">
        <v>706</v>
      </c>
      <c r="E379" s="101" t="s">
        <v>13</v>
      </c>
      <c r="F379" s="106">
        <v>11050</v>
      </c>
      <c r="G379" s="106"/>
      <c r="H379" s="101" t="s">
        <v>14</v>
      </c>
      <c r="I379" s="103" t="s">
        <v>15</v>
      </c>
      <c r="J379" s="103"/>
      <c r="K379" s="104" t="s">
        <v>8</v>
      </c>
      <c r="L379" s="105">
        <v>224701.34</v>
      </c>
    </row>
    <row r="380" spans="1:12" ht="51" hidden="1" x14ac:dyDescent="0.3">
      <c r="A380" s="99" t="s">
        <v>739</v>
      </c>
      <c r="B380" s="100" t="s">
        <v>742</v>
      </c>
      <c r="C380" s="100" t="s">
        <v>743</v>
      </c>
      <c r="D380" s="100" t="s">
        <v>744</v>
      </c>
      <c r="E380" s="101" t="s">
        <v>13</v>
      </c>
      <c r="F380" s="106">
        <v>16575</v>
      </c>
      <c r="G380" s="106"/>
      <c r="H380" s="101" t="s">
        <v>14</v>
      </c>
      <c r="I380" s="103" t="s">
        <v>15</v>
      </c>
      <c r="J380" s="103"/>
      <c r="K380" s="104" t="s">
        <v>8</v>
      </c>
      <c r="L380" s="105">
        <v>241276.34</v>
      </c>
    </row>
    <row r="381" spans="1:12" ht="51" hidden="1" x14ac:dyDescent="0.3">
      <c r="A381" s="99" t="s">
        <v>328</v>
      </c>
      <c r="B381" s="100" t="s">
        <v>745</v>
      </c>
      <c r="C381" s="100" t="s">
        <v>746</v>
      </c>
      <c r="D381" s="100" t="s">
        <v>747</v>
      </c>
      <c r="E381" s="101" t="s">
        <v>13</v>
      </c>
      <c r="F381" s="107" t="s">
        <v>15</v>
      </c>
      <c r="G381" s="107"/>
      <c r="H381" s="101" t="s">
        <v>13</v>
      </c>
      <c r="I381" s="109">
        <v>15416.67</v>
      </c>
      <c r="J381" s="109"/>
      <c r="K381" s="104" t="s">
        <v>8</v>
      </c>
      <c r="L381" s="105">
        <v>81342.17</v>
      </c>
    </row>
    <row r="382" spans="1:12" ht="51" hidden="1" x14ac:dyDescent="0.3">
      <c r="A382" s="99" t="s">
        <v>328</v>
      </c>
      <c r="B382" s="100" t="s">
        <v>745</v>
      </c>
      <c r="C382" s="100" t="s">
        <v>746</v>
      </c>
      <c r="D382" s="100" t="s">
        <v>747</v>
      </c>
      <c r="E382" s="101" t="s">
        <v>13</v>
      </c>
      <c r="F382" s="106">
        <v>15416.67</v>
      </c>
      <c r="G382" s="106"/>
      <c r="H382" s="101" t="s">
        <v>13</v>
      </c>
      <c r="I382" s="103" t="s">
        <v>15</v>
      </c>
      <c r="J382" s="103"/>
      <c r="K382" s="104" t="s">
        <v>8</v>
      </c>
      <c r="L382" s="105">
        <v>91995.86</v>
      </c>
    </row>
    <row r="383" spans="1:12" ht="51" hidden="1" x14ac:dyDescent="0.3">
      <c r="A383" s="99" t="s">
        <v>328</v>
      </c>
      <c r="B383" s="100" t="s">
        <v>748</v>
      </c>
      <c r="C383" s="100" t="s">
        <v>749</v>
      </c>
      <c r="D383" s="100" t="s">
        <v>750</v>
      </c>
      <c r="E383" s="101" t="s">
        <v>751</v>
      </c>
      <c r="F383" s="107" t="s">
        <v>15</v>
      </c>
      <c r="G383" s="107"/>
      <c r="H383" s="101" t="s">
        <v>13</v>
      </c>
      <c r="I383" s="109">
        <v>3010.1</v>
      </c>
      <c r="J383" s="109"/>
      <c r="K383" s="104" t="s">
        <v>8</v>
      </c>
      <c r="L383" s="105">
        <v>238266.23999999999</v>
      </c>
    </row>
    <row r="384" spans="1:12" ht="51" x14ac:dyDescent="0.3">
      <c r="A384" s="99" t="s">
        <v>328</v>
      </c>
      <c r="B384" s="100" t="s">
        <v>752</v>
      </c>
      <c r="C384" s="100" t="s">
        <v>493</v>
      </c>
      <c r="D384" s="100" t="s">
        <v>753</v>
      </c>
      <c r="E384" s="101" t="s">
        <v>105</v>
      </c>
      <c r="F384" s="107" t="s">
        <v>15</v>
      </c>
      <c r="G384" s="107"/>
      <c r="H384" s="101" t="s">
        <v>13</v>
      </c>
      <c r="I384" s="108">
        <v>96.6</v>
      </c>
      <c r="J384" s="108"/>
      <c r="K384" s="104" t="s">
        <v>8</v>
      </c>
      <c r="L384" s="105">
        <v>238169.64</v>
      </c>
    </row>
    <row r="385" spans="1:12" ht="51" x14ac:dyDescent="0.3">
      <c r="A385" s="99" t="s">
        <v>328</v>
      </c>
      <c r="B385" s="100" t="s">
        <v>752</v>
      </c>
      <c r="C385" s="100" t="s">
        <v>493</v>
      </c>
      <c r="D385" s="100" t="s">
        <v>754</v>
      </c>
      <c r="E385" s="101" t="s">
        <v>105</v>
      </c>
      <c r="F385" s="107" t="s">
        <v>15</v>
      </c>
      <c r="G385" s="107"/>
      <c r="H385" s="101" t="s">
        <v>13</v>
      </c>
      <c r="I385" s="108">
        <v>157.35</v>
      </c>
      <c r="J385" s="108"/>
      <c r="K385" s="104" t="s">
        <v>8</v>
      </c>
      <c r="L385" s="105">
        <v>238012.29</v>
      </c>
    </row>
    <row r="386" spans="1:12" ht="51" x14ac:dyDescent="0.3">
      <c r="A386" s="99" t="s">
        <v>328</v>
      </c>
      <c r="B386" s="100" t="s">
        <v>752</v>
      </c>
      <c r="C386" s="100" t="s">
        <v>493</v>
      </c>
      <c r="D386" s="100" t="s">
        <v>536</v>
      </c>
      <c r="E386" s="101" t="s">
        <v>105</v>
      </c>
      <c r="F386" s="107" t="s">
        <v>15</v>
      </c>
      <c r="G386" s="107"/>
      <c r="H386" s="101" t="s">
        <v>13</v>
      </c>
      <c r="I386" s="108">
        <v>297.5</v>
      </c>
      <c r="J386" s="108"/>
      <c r="K386" s="104" t="s">
        <v>8</v>
      </c>
      <c r="L386" s="105">
        <v>237714.79</v>
      </c>
    </row>
    <row r="387" spans="1:12" ht="51" x14ac:dyDescent="0.3">
      <c r="A387" s="99" t="s">
        <v>328</v>
      </c>
      <c r="B387" s="100" t="s">
        <v>752</v>
      </c>
      <c r="C387" s="100" t="s">
        <v>493</v>
      </c>
      <c r="D387" s="100" t="s">
        <v>513</v>
      </c>
      <c r="E387" s="101" t="s">
        <v>105</v>
      </c>
      <c r="F387" s="107" t="s">
        <v>15</v>
      </c>
      <c r="G387" s="107"/>
      <c r="H387" s="101" t="s">
        <v>13</v>
      </c>
      <c r="I387" s="108">
        <v>716.7</v>
      </c>
      <c r="J387" s="108"/>
      <c r="K387" s="104" t="s">
        <v>8</v>
      </c>
      <c r="L387" s="105">
        <v>236998.09</v>
      </c>
    </row>
    <row r="388" spans="1:12" ht="61.2" x14ac:dyDescent="0.3">
      <c r="A388" s="99" t="s">
        <v>328</v>
      </c>
      <c r="B388" s="100" t="s">
        <v>752</v>
      </c>
      <c r="C388" s="100" t="s">
        <v>493</v>
      </c>
      <c r="D388" s="100" t="s">
        <v>755</v>
      </c>
      <c r="E388" s="101" t="s">
        <v>105</v>
      </c>
      <c r="F388" s="107" t="s">
        <v>15</v>
      </c>
      <c r="G388" s="107"/>
      <c r="H388" s="101" t="s">
        <v>13</v>
      </c>
      <c r="I388" s="108">
        <v>111</v>
      </c>
      <c r="J388" s="108"/>
      <c r="K388" s="104" t="s">
        <v>8</v>
      </c>
      <c r="L388" s="105">
        <v>236887.09</v>
      </c>
    </row>
    <row r="389" spans="1:12" ht="51" x14ac:dyDescent="0.3">
      <c r="A389" s="99" t="s">
        <v>328</v>
      </c>
      <c r="B389" s="100" t="s">
        <v>752</v>
      </c>
      <c r="C389" s="100" t="s">
        <v>493</v>
      </c>
      <c r="D389" s="100" t="s">
        <v>539</v>
      </c>
      <c r="E389" s="101" t="s">
        <v>105</v>
      </c>
      <c r="F389" s="107" t="s">
        <v>15</v>
      </c>
      <c r="G389" s="107"/>
      <c r="H389" s="101" t="s">
        <v>13</v>
      </c>
      <c r="I389" s="108">
        <v>630</v>
      </c>
      <c r="J389" s="108"/>
      <c r="K389" s="104" t="s">
        <v>8</v>
      </c>
      <c r="L389" s="105">
        <v>236257.09</v>
      </c>
    </row>
    <row r="390" spans="1:12" ht="51" x14ac:dyDescent="0.3">
      <c r="A390" s="99" t="s">
        <v>328</v>
      </c>
      <c r="B390" s="100" t="s">
        <v>752</v>
      </c>
      <c r="C390" s="100" t="s">
        <v>493</v>
      </c>
      <c r="D390" s="100" t="s">
        <v>756</v>
      </c>
      <c r="E390" s="101" t="s">
        <v>105</v>
      </c>
      <c r="F390" s="107" t="s">
        <v>15</v>
      </c>
      <c r="G390" s="107"/>
      <c r="H390" s="101" t="s">
        <v>13</v>
      </c>
      <c r="I390" s="108">
        <v>122.2</v>
      </c>
      <c r="J390" s="108"/>
      <c r="K390" s="104" t="s">
        <v>8</v>
      </c>
      <c r="L390" s="105">
        <v>236134.89</v>
      </c>
    </row>
    <row r="391" spans="1:12" ht="51" x14ac:dyDescent="0.3">
      <c r="A391" s="99" t="s">
        <v>328</v>
      </c>
      <c r="B391" s="100" t="s">
        <v>752</v>
      </c>
      <c r="C391" s="100" t="s">
        <v>493</v>
      </c>
      <c r="D391" s="100" t="s">
        <v>757</v>
      </c>
      <c r="E391" s="101" t="s">
        <v>105</v>
      </c>
      <c r="F391" s="107" t="s">
        <v>15</v>
      </c>
      <c r="G391" s="107"/>
      <c r="H391" s="101" t="s">
        <v>13</v>
      </c>
      <c r="I391" s="109">
        <v>1408.5</v>
      </c>
      <c r="J391" s="109"/>
      <c r="K391" s="104" t="s">
        <v>8</v>
      </c>
      <c r="L391" s="105">
        <v>234726.39</v>
      </c>
    </row>
    <row r="392" spans="1:12" ht="51" x14ac:dyDescent="0.3">
      <c r="A392" s="99" t="s">
        <v>328</v>
      </c>
      <c r="B392" s="100" t="s">
        <v>752</v>
      </c>
      <c r="C392" s="100" t="s">
        <v>493</v>
      </c>
      <c r="D392" s="100" t="s">
        <v>758</v>
      </c>
      <c r="E392" s="101" t="s">
        <v>105</v>
      </c>
      <c r="F392" s="107" t="s">
        <v>15</v>
      </c>
      <c r="G392" s="107"/>
      <c r="H392" s="101" t="s">
        <v>13</v>
      </c>
      <c r="I392" s="108">
        <v>365</v>
      </c>
      <c r="J392" s="108"/>
      <c r="K392" s="104" t="s">
        <v>8</v>
      </c>
      <c r="L392" s="105">
        <v>234361.39</v>
      </c>
    </row>
    <row r="393" spans="1:12" ht="51" hidden="1" x14ac:dyDescent="0.3">
      <c r="A393" s="99" t="s">
        <v>328</v>
      </c>
      <c r="B393" s="100" t="s">
        <v>759</v>
      </c>
      <c r="C393" s="100" t="s">
        <v>760</v>
      </c>
      <c r="D393" s="100" t="s">
        <v>761</v>
      </c>
      <c r="E393" s="101" t="s">
        <v>13</v>
      </c>
      <c r="F393" s="102">
        <v>582.29999999999995</v>
      </c>
      <c r="G393" s="102"/>
      <c r="H393" s="101" t="s">
        <v>14</v>
      </c>
      <c r="I393" s="103" t="s">
        <v>15</v>
      </c>
      <c r="J393" s="103"/>
      <c r="K393" s="104" t="s">
        <v>8</v>
      </c>
      <c r="L393" s="105">
        <v>92578.16</v>
      </c>
    </row>
    <row r="394" spans="1:12" ht="51" hidden="1" x14ac:dyDescent="0.3">
      <c r="A394" s="99" t="s">
        <v>328</v>
      </c>
      <c r="B394" s="100" t="s">
        <v>759</v>
      </c>
      <c r="C394" s="100" t="s">
        <v>762</v>
      </c>
      <c r="D394" s="100" t="s">
        <v>761</v>
      </c>
      <c r="E394" s="101" t="s">
        <v>13</v>
      </c>
      <c r="F394" s="102">
        <v>354.2</v>
      </c>
      <c r="G394" s="102"/>
      <c r="H394" s="101" t="s">
        <v>14</v>
      </c>
      <c r="I394" s="103" t="s">
        <v>15</v>
      </c>
      <c r="J394" s="103"/>
      <c r="K394" s="104" t="s">
        <v>8</v>
      </c>
      <c r="L394" s="105">
        <v>92932.36</v>
      </c>
    </row>
    <row r="395" spans="1:12" ht="51" hidden="1" x14ac:dyDescent="0.3">
      <c r="A395" s="99" t="s">
        <v>328</v>
      </c>
      <c r="B395" s="100" t="s">
        <v>759</v>
      </c>
      <c r="C395" s="100" t="s">
        <v>763</v>
      </c>
      <c r="D395" s="100" t="s">
        <v>761</v>
      </c>
      <c r="E395" s="101" t="s">
        <v>13</v>
      </c>
      <c r="F395" s="102">
        <v>306.8</v>
      </c>
      <c r="G395" s="102"/>
      <c r="H395" s="101" t="s">
        <v>14</v>
      </c>
      <c r="I395" s="103" t="s">
        <v>15</v>
      </c>
      <c r="J395" s="103"/>
      <c r="K395" s="104" t="s">
        <v>8</v>
      </c>
      <c r="L395" s="105">
        <v>93239.16</v>
      </c>
    </row>
    <row r="396" spans="1:12" ht="51" hidden="1" x14ac:dyDescent="0.3">
      <c r="A396" s="99" t="s">
        <v>328</v>
      </c>
      <c r="B396" s="100" t="s">
        <v>759</v>
      </c>
      <c r="C396" s="100" t="s">
        <v>764</v>
      </c>
      <c r="D396" s="100" t="s">
        <v>761</v>
      </c>
      <c r="E396" s="101" t="s">
        <v>13</v>
      </c>
      <c r="F396" s="102">
        <v>533.4</v>
      </c>
      <c r="G396" s="102"/>
      <c r="H396" s="101" t="s">
        <v>14</v>
      </c>
      <c r="I396" s="103" t="s">
        <v>15</v>
      </c>
      <c r="J396" s="103"/>
      <c r="K396" s="104" t="s">
        <v>8</v>
      </c>
      <c r="L396" s="105">
        <v>93772.56</v>
      </c>
    </row>
    <row r="397" spans="1:12" ht="51" hidden="1" x14ac:dyDescent="0.3">
      <c r="A397" s="99" t="s">
        <v>328</v>
      </c>
      <c r="B397" s="100" t="s">
        <v>759</v>
      </c>
      <c r="C397" s="100" t="s">
        <v>765</v>
      </c>
      <c r="D397" s="100" t="s">
        <v>761</v>
      </c>
      <c r="E397" s="101" t="s">
        <v>13</v>
      </c>
      <c r="F397" s="106">
        <v>1904.2</v>
      </c>
      <c r="G397" s="106"/>
      <c r="H397" s="101" t="s">
        <v>14</v>
      </c>
      <c r="I397" s="103" t="s">
        <v>15</v>
      </c>
      <c r="J397" s="103"/>
      <c r="K397" s="104" t="s">
        <v>8</v>
      </c>
      <c r="L397" s="105">
        <v>95676.76</v>
      </c>
    </row>
    <row r="398" spans="1:12" ht="51" hidden="1" x14ac:dyDescent="0.3">
      <c r="A398" s="99" t="s">
        <v>328</v>
      </c>
      <c r="B398" s="100" t="s">
        <v>766</v>
      </c>
      <c r="C398" s="100" t="s">
        <v>767</v>
      </c>
      <c r="D398" s="100" t="s">
        <v>768</v>
      </c>
      <c r="E398" s="101" t="s">
        <v>13</v>
      </c>
      <c r="F398" s="106">
        <v>4830</v>
      </c>
      <c r="G398" s="106"/>
      <c r="H398" s="101" t="s">
        <v>14</v>
      </c>
      <c r="I398" s="103" t="s">
        <v>15</v>
      </c>
      <c r="J398" s="103"/>
      <c r="K398" s="104" t="s">
        <v>8</v>
      </c>
      <c r="L398" s="105">
        <v>178976.97</v>
      </c>
    </row>
    <row r="399" spans="1:12" ht="61.2" hidden="1" x14ac:dyDescent="0.3">
      <c r="A399" s="99" t="s">
        <v>328</v>
      </c>
      <c r="B399" s="100" t="s">
        <v>766</v>
      </c>
      <c r="C399" s="100" t="s">
        <v>769</v>
      </c>
      <c r="D399" s="100" t="s">
        <v>768</v>
      </c>
      <c r="E399" s="101" t="s">
        <v>13</v>
      </c>
      <c r="F399" s="106">
        <v>4525</v>
      </c>
      <c r="G399" s="106"/>
      <c r="H399" s="101" t="s">
        <v>14</v>
      </c>
      <c r="I399" s="103" t="s">
        <v>15</v>
      </c>
      <c r="J399" s="103"/>
      <c r="K399" s="104" t="s">
        <v>8</v>
      </c>
      <c r="L399" s="105">
        <v>183501.97</v>
      </c>
    </row>
    <row r="400" spans="1:12" ht="51" hidden="1" x14ac:dyDescent="0.3">
      <c r="A400" s="99" t="s">
        <v>328</v>
      </c>
      <c r="B400" s="100" t="s">
        <v>766</v>
      </c>
      <c r="C400" s="100" t="s">
        <v>770</v>
      </c>
      <c r="D400" s="100" t="s">
        <v>768</v>
      </c>
      <c r="E400" s="101" t="s">
        <v>13</v>
      </c>
      <c r="F400" s="106">
        <v>3106</v>
      </c>
      <c r="G400" s="106"/>
      <c r="H400" s="101" t="s">
        <v>14</v>
      </c>
      <c r="I400" s="103" t="s">
        <v>15</v>
      </c>
      <c r="J400" s="103"/>
      <c r="K400" s="104" t="s">
        <v>8</v>
      </c>
      <c r="L400" s="105">
        <v>186607.97</v>
      </c>
    </row>
    <row r="401" spans="1:12" ht="51" x14ac:dyDescent="0.3">
      <c r="A401" s="99" t="s">
        <v>328</v>
      </c>
      <c r="B401" s="100" t="s">
        <v>771</v>
      </c>
      <c r="C401" s="100" t="s">
        <v>493</v>
      </c>
      <c r="D401" s="100" t="s">
        <v>772</v>
      </c>
      <c r="E401" s="101" t="s">
        <v>105</v>
      </c>
      <c r="F401" s="107" t="s">
        <v>15</v>
      </c>
      <c r="G401" s="107"/>
      <c r="H401" s="101" t="s">
        <v>13</v>
      </c>
      <c r="I401" s="108">
        <v>631.25</v>
      </c>
      <c r="J401" s="108"/>
      <c r="K401" s="104" t="s">
        <v>8</v>
      </c>
      <c r="L401" s="105">
        <v>80710.92</v>
      </c>
    </row>
    <row r="402" spans="1:12" ht="51" x14ac:dyDescent="0.3">
      <c r="A402" s="99" t="s">
        <v>328</v>
      </c>
      <c r="B402" s="100" t="s">
        <v>773</v>
      </c>
      <c r="C402" s="100" t="s">
        <v>493</v>
      </c>
      <c r="D402" s="100" t="s">
        <v>774</v>
      </c>
      <c r="E402" s="101" t="s">
        <v>105</v>
      </c>
      <c r="F402" s="107" t="s">
        <v>15</v>
      </c>
      <c r="G402" s="107"/>
      <c r="H402" s="101" t="s">
        <v>13</v>
      </c>
      <c r="I402" s="108">
        <v>124.2</v>
      </c>
      <c r="J402" s="108"/>
      <c r="K402" s="104" t="s">
        <v>8</v>
      </c>
      <c r="L402" s="105">
        <v>234237.19</v>
      </c>
    </row>
    <row r="403" spans="1:12" ht="51" x14ac:dyDescent="0.3">
      <c r="A403" s="99" t="s">
        <v>328</v>
      </c>
      <c r="B403" s="100" t="s">
        <v>775</v>
      </c>
      <c r="C403" s="100" t="s">
        <v>493</v>
      </c>
      <c r="D403" s="100" t="s">
        <v>776</v>
      </c>
      <c r="E403" s="101" t="s">
        <v>105</v>
      </c>
      <c r="F403" s="107" t="s">
        <v>15</v>
      </c>
      <c r="G403" s="107"/>
      <c r="H403" s="101" t="s">
        <v>13</v>
      </c>
      <c r="I403" s="108">
        <v>886.5</v>
      </c>
      <c r="J403" s="108"/>
      <c r="K403" s="104" t="s">
        <v>8</v>
      </c>
      <c r="L403" s="105">
        <v>7339.39</v>
      </c>
    </row>
    <row r="404" spans="1:12" ht="51" x14ac:dyDescent="0.3">
      <c r="A404" s="99" t="s">
        <v>328</v>
      </c>
      <c r="B404" s="100" t="s">
        <v>775</v>
      </c>
      <c r="C404" s="100" t="s">
        <v>493</v>
      </c>
      <c r="D404" s="100" t="s">
        <v>777</v>
      </c>
      <c r="E404" s="101" t="s">
        <v>105</v>
      </c>
      <c r="F404" s="107" t="s">
        <v>15</v>
      </c>
      <c r="G404" s="107"/>
      <c r="H404" s="101" t="s">
        <v>13</v>
      </c>
      <c r="I404" s="108">
        <v>817.5</v>
      </c>
      <c r="J404" s="108"/>
      <c r="K404" s="104" t="s">
        <v>8</v>
      </c>
      <c r="L404" s="105">
        <v>6521.89</v>
      </c>
    </row>
    <row r="405" spans="1:12" ht="51" x14ac:dyDescent="0.3">
      <c r="A405" s="99" t="s">
        <v>328</v>
      </c>
      <c r="B405" s="100" t="s">
        <v>775</v>
      </c>
      <c r="C405" s="100" t="s">
        <v>493</v>
      </c>
      <c r="D405" s="100" t="s">
        <v>778</v>
      </c>
      <c r="E405" s="101" t="s">
        <v>105</v>
      </c>
      <c r="F405" s="107" t="s">
        <v>15</v>
      </c>
      <c r="G405" s="107"/>
      <c r="H405" s="101" t="s">
        <v>13</v>
      </c>
      <c r="I405" s="108">
        <v>631.25</v>
      </c>
      <c r="J405" s="108"/>
      <c r="K405" s="104" t="s">
        <v>8</v>
      </c>
      <c r="L405" s="105">
        <v>5890.64</v>
      </c>
    </row>
    <row r="406" spans="1:12" ht="51" x14ac:dyDescent="0.3">
      <c r="A406" s="99" t="s">
        <v>328</v>
      </c>
      <c r="B406" s="100" t="s">
        <v>779</v>
      </c>
      <c r="C406" s="100" t="s">
        <v>493</v>
      </c>
      <c r="D406" s="100" t="s">
        <v>490</v>
      </c>
      <c r="E406" s="101" t="s">
        <v>105</v>
      </c>
      <c r="F406" s="107" t="s">
        <v>15</v>
      </c>
      <c r="G406" s="107"/>
      <c r="H406" s="101" t="s">
        <v>13</v>
      </c>
      <c r="I406" s="108">
        <v>85.14</v>
      </c>
      <c r="J406" s="108"/>
      <c r="K406" s="104" t="s">
        <v>8</v>
      </c>
      <c r="L406" s="105">
        <v>234152.05</v>
      </c>
    </row>
    <row r="407" spans="1:12" ht="51" x14ac:dyDescent="0.3">
      <c r="A407" s="99" t="s">
        <v>328</v>
      </c>
      <c r="B407" s="100" t="s">
        <v>779</v>
      </c>
      <c r="C407" s="100" t="s">
        <v>493</v>
      </c>
      <c r="D407" s="100" t="s">
        <v>780</v>
      </c>
      <c r="E407" s="101" t="s">
        <v>105</v>
      </c>
      <c r="F407" s="107" t="s">
        <v>15</v>
      </c>
      <c r="G407" s="107"/>
      <c r="H407" s="101" t="s">
        <v>13</v>
      </c>
      <c r="I407" s="109">
        <v>2918.68</v>
      </c>
      <c r="J407" s="109"/>
      <c r="K407" s="104" t="s">
        <v>8</v>
      </c>
      <c r="L407" s="105">
        <v>231233.37</v>
      </c>
    </row>
    <row r="408" spans="1:12" ht="51" x14ac:dyDescent="0.3">
      <c r="A408" s="99" t="s">
        <v>328</v>
      </c>
      <c r="B408" s="100" t="s">
        <v>779</v>
      </c>
      <c r="C408" s="100" t="s">
        <v>493</v>
      </c>
      <c r="D408" s="100" t="s">
        <v>781</v>
      </c>
      <c r="E408" s="101" t="s">
        <v>105</v>
      </c>
      <c r="F408" s="107" t="s">
        <v>15</v>
      </c>
      <c r="G408" s="107"/>
      <c r="H408" s="101" t="s">
        <v>13</v>
      </c>
      <c r="I408" s="109">
        <v>2604</v>
      </c>
      <c r="J408" s="109"/>
      <c r="K408" s="104" t="s">
        <v>8</v>
      </c>
      <c r="L408" s="105">
        <v>228629.37</v>
      </c>
    </row>
    <row r="409" spans="1:12" ht="51" x14ac:dyDescent="0.3">
      <c r="A409" s="99" t="s">
        <v>328</v>
      </c>
      <c r="B409" s="100" t="s">
        <v>779</v>
      </c>
      <c r="C409" s="100" t="s">
        <v>493</v>
      </c>
      <c r="D409" s="100" t="s">
        <v>782</v>
      </c>
      <c r="E409" s="101" t="s">
        <v>105</v>
      </c>
      <c r="F409" s="107" t="s">
        <v>15</v>
      </c>
      <c r="G409" s="107"/>
      <c r="H409" s="101" t="s">
        <v>13</v>
      </c>
      <c r="I409" s="109">
        <v>1252.5</v>
      </c>
      <c r="J409" s="109"/>
      <c r="K409" s="104" t="s">
        <v>8</v>
      </c>
      <c r="L409" s="105">
        <v>227376.87</v>
      </c>
    </row>
    <row r="410" spans="1:12" ht="51" x14ac:dyDescent="0.3">
      <c r="A410" s="99" t="s">
        <v>328</v>
      </c>
      <c r="B410" s="100" t="s">
        <v>783</v>
      </c>
      <c r="C410" s="100" t="s">
        <v>493</v>
      </c>
      <c r="D410" s="100" t="s">
        <v>394</v>
      </c>
      <c r="E410" s="101" t="s">
        <v>105</v>
      </c>
      <c r="F410" s="107" t="s">
        <v>15</v>
      </c>
      <c r="G410" s="107"/>
      <c r="H410" s="101" t="s">
        <v>13</v>
      </c>
      <c r="I410" s="109">
        <v>9965</v>
      </c>
      <c r="J410" s="109"/>
      <c r="K410" s="104" t="s">
        <v>8</v>
      </c>
      <c r="L410" s="105">
        <v>176642.97</v>
      </c>
    </row>
    <row r="411" spans="1:12" ht="51" x14ac:dyDescent="0.3">
      <c r="A411" s="99" t="s">
        <v>328</v>
      </c>
      <c r="B411" s="100" t="s">
        <v>783</v>
      </c>
      <c r="C411" s="100" t="s">
        <v>493</v>
      </c>
      <c r="D411" s="100" t="s">
        <v>784</v>
      </c>
      <c r="E411" s="101" t="s">
        <v>105</v>
      </c>
      <c r="F411" s="107" t="s">
        <v>15</v>
      </c>
      <c r="G411" s="107"/>
      <c r="H411" s="101" t="s">
        <v>13</v>
      </c>
      <c r="I411" s="109">
        <v>1888.25</v>
      </c>
      <c r="J411" s="109"/>
      <c r="K411" s="104" t="s">
        <v>8</v>
      </c>
      <c r="L411" s="105">
        <v>174754.72</v>
      </c>
    </row>
    <row r="412" spans="1:12" ht="51" x14ac:dyDescent="0.3">
      <c r="A412" s="99" t="s">
        <v>328</v>
      </c>
      <c r="B412" s="100" t="s">
        <v>783</v>
      </c>
      <c r="C412" s="100" t="s">
        <v>493</v>
      </c>
      <c r="D412" s="100" t="s">
        <v>418</v>
      </c>
      <c r="E412" s="101" t="s">
        <v>105</v>
      </c>
      <c r="F412" s="107" t="s">
        <v>15</v>
      </c>
      <c r="G412" s="107"/>
      <c r="H412" s="101" t="s">
        <v>13</v>
      </c>
      <c r="I412" s="109">
        <v>1452.5</v>
      </c>
      <c r="J412" s="109"/>
      <c r="K412" s="104" t="s">
        <v>8</v>
      </c>
      <c r="L412" s="105">
        <v>173302.22</v>
      </c>
    </row>
    <row r="413" spans="1:12" ht="51" x14ac:dyDescent="0.3">
      <c r="A413" s="99" t="s">
        <v>328</v>
      </c>
      <c r="B413" s="100" t="s">
        <v>783</v>
      </c>
      <c r="C413" s="100" t="s">
        <v>493</v>
      </c>
      <c r="D413" s="100" t="s">
        <v>785</v>
      </c>
      <c r="E413" s="101" t="s">
        <v>105</v>
      </c>
      <c r="F413" s="107" t="s">
        <v>15</v>
      </c>
      <c r="G413" s="107"/>
      <c r="H413" s="101" t="s">
        <v>13</v>
      </c>
      <c r="I413" s="109">
        <v>3218.25</v>
      </c>
      <c r="J413" s="109"/>
      <c r="K413" s="104" t="s">
        <v>8</v>
      </c>
      <c r="L413" s="105">
        <v>170083.97</v>
      </c>
    </row>
    <row r="414" spans="1:12" ht="51" x14ac:dyDescent="0.3">
      <c r="A414" s="99" t="s">
        <v>328</v>
      </c>
      <c r="B414" s="100" t="s">
        <v>783</v>
      </c>
      <c r="C414" s="100" t="s">
        <v>493</v>
      </c>
      <c r="D414" s="100" t="s">
        <v>786</v>
      </c>
      <c r="E414" s="101" t="s">
        <v>105</v>
      </c>
      <c r="F414" s="107" t="s">
        <v>15</v>
      </c>
      <c r="G414" s="107"/>
      <c r="H414" s="101" t="s">
        <v>13</v>
      </c>
      <c r="I414" s="108">
        <v>669.9</v>
      </c>
      <c r="J414" s="108"/>
      <c r="K414" s="104" t="s">
        <v>8</v>
      </c>
      <c r="L414" s="105">
        <v>169414.07</v>
      </c>
    </row>
    <row r="415" spans="1:12" ht="51" x14ac:dyDescent="0.3">
      <c r="A415" s="99" t="s">
        <v>328</v>
      </c>
      <c r="B415" s="100" t="s">
        <v>783</v>
      </c>
      <c r="C415" s="100" t="s">
        <v>493</v>
      </c>
      <c r="D415" s="100" t="s">
        <v>787</v>
      </c>
      <c r="E415" s="101" t="s">
        <v>105</v>
      </c>
      <c r="F415" s="107" t="s">
        <v>15</v>
      </c>
      <c r="G415" s="107"/>
      <c r="H415" s="101" t="s">
        <v>13</v>
      </c>
      <c r="I415" s="108">
        <v>970.2</v>
      </c>
      <c r="J415" s="108"/>
      <c r="K415" s="104" t="s">
        <v>8</v>
      </c>
      <c r="L415" s="105">
        <v>168443.87</v>
      </c>
    </row>
    <row r="416" spans="1:12" ht="51" x14ac:dyDescent="0.3">
      <c r="A416" s="99" t="s">
        <v>328</v>
      </c>
      <c r="B416" s="100" t="s">
        <v>783</v>
      </c>
      <c r="C416" s="100" t="s">
        <v>493</v>
      </c>
      <c r="D416" s="100" t="s">
        <v>414</v>
      </c>
      <c r="E416" s="101" t="s">
        <v>105</v>
      </c>
      <c r="F416" s="107" t="s">
        <v>15</v>
      </c>
      <c r="G416" s="107"/>
      <c r="H416" s="101" t="s">
        <v>13</v>
      </c>
      <c r="I416" s="109">
        <v>2588.25</v>
      </c>
      <c r="J416" s="109"/>
      <c r="K416" s="104" t="s">
        <v>8</v>
      </c>
      <c r="L416" s="105">
        <v>165855.62</v>
      </c>
    </row>
    <row r="417" spans="1:12" ht="61.2" x14ac:dyDescent="0.3">
      <c r="A417" s="99" t="s">
        <v>328</v>
      </c>
      <c r="B417" s="100" t="s">
        <v>783</v>
      </c>
      <c r="C417" s="100" t="s">
        <v>493</v>
      </c>
      <c r="D417" s="100" t="s">
        <v>788</v>
      </c>
      <c r="E417" s="101" t="s">
        <v>105</v>
      </c>
      <c r="F417" s="107" t="s">
        <v>15</v>
      </c>
      <c r="G417" s="107"/>
      <c r="H417" s="101" t="s">
        <v>13</v>
      </c>
      <c r="I417" s="108">
        <v>386.75</v>
      </c>
      <c r="J417" s="108"/>
      <c r="K417" s="104" t="s">
        <v>8</v>
      </c>
      <c r="L417" s="105">
        <v>165468.87</v>
      </c>
    </row>
    <row r="418" spans="1:12" ht="51" x14ac:dyDescent="0.3">
      <c r="A418" s="99" t="s">
        <v>328</v>
      </c>
      <c r="B418" s="100" t="s">
        <v>789</v>
      </c>
      <c r="C418" s="100" t="s">
        <v>493</v>
      </c>
      <c r="D418" s="100" t="s">
        <v>746</v>
      </c>
      <c r="E418" s="101" t="s">
        <v>105</v>
      </c>
      <c r="F418" s="107" t="s">
        <v>15</v>
      </c>
      <c r="G418" s="107"/>
      <c r="H418" s="101" t="s">
        <v>13</v>
      </c>
      <c r="I418" s="109">
        <v>15416.67</v>
      </c>
      <c r="J418" s="109"/>
      <c r="K418" s="104" t="s">
        <v>8</v>
      </c>
      <c r="L418" s="105">
        <v>80260.09</v>
      </c>
    </row>
    <row r="419" spans="1:12" ht="51" x14ac:dyDescent="0.3">
      <c r="A419" s="99" t="s">
        <v>328</v>
      </c>
      <c r="B419" s="100" t="s">
        <v>790</v>
      </c>
      <c r="C419" s="100" t="s">
        <v>493</v>
      </c>
      <c r="D419" s="100" t="s">
        <v>625</v>
      </c>
      <c r="E419" s="101" t="s">
        <v>105</v>
      </c>
      <c r="F419" s="107" t="s">
        <v>15</v>
      </c>
      <c r="G419" s="107"/>
      <c r="H419" s="101" t="s">
        <v>13</v>
      </c>
      <c r="I419" s="108">
        <v>112</v>
      </c>
      <c r="J419" s="108"/>
      <c r="K419" s="104" t="s">
        <v>8</v>
      </c>
      <c r="L419" s="105">
        <v>26903.29</v>
      </c>
    </row>
    <row r="420" spans="1:12" ht="51" x14ac:dyDescent="0.3">
      <c r="A420" s="99" t="s">
        <v>328</v>
      </c>
      <c r="B420" s="100" t="s">
        <v>790</v>
      </c>
      <c r="C420" s="100" t="s">
        <v>493</v>
      </c>
      <c r="D420" s="100" t="s">
        <v>701</v>
      </c>
      <c r="E420" s="101" t="s">
        <v>105</v>
      </c>
      <c r="F420" s="107" t="s">
        <v>15</v>
      </c>
      <c r="G420" s="107"/>
      <c r="H420" s="101" t="s">
        <v>13</v>
      </c>
      <c r="I420" s="108">
        <v>744.05</v>
      </c>
      <c r="J420" s="108"/>
      <c r="K420" s="104" t="s">
        <v>8</v>
      </c>
      <c r="L420" s="105">
        <v>26159.24</v>
      </c>
    </row>
    <row r="421" spans="1:12" ht="51" x14ac:dyDescent="0.3">
      <c r="A421" s="99" t="s">
        <v>328</v>
      </c>
      <c r="B421" s="100" t="s">
        <v>790</v>
      </c>
      <c r="C421" s="100" t="s">
        <v>493</v>
      </c>
      <c r="D421" s="100" t="s">
        <v>407</v>
      </c>
      <c r="E421" s="101" t="s">
        <v>105</v>
      </c>
      <c r="F421" s="107" t="s">
        <v>15</v>
      </c>
      <c r="G421" s="107"/>
      <c r="H421" s="101" t="s">
        <v>13</v>
      </c>
      <c r="I421" s="108">
        <v>818.25</v>
      </c>
      <c r="J421" s="108"/>
      <c r="K421" s="104" t="s">
        <v>8</v>
      </c>
      <c r="L421" s="105">
        <v>25340.99</v>
      </c>
    </row>
    <row r="422" spans="1:12" ht="51" x14ac:dyDescent="0.3">
      <c r="A422" s="99" t="s">
        <v>328</v>
      </c>
      <c r="B422" s="100" t="s">
        <v>790</v>
      </c>
      <c r="C422" s="100" t="s">
        <v>493</v>
      </c>
      <c r="D422" s="100" t="s">
        <v>411</v>
      </c>
      <c r="E422" s="101" t="s">
        <v>105</v>
      </c>
      <c r="F422" s="107" t="s">
        <v>15</v>
      </c>
      <c r="G422" s="107"/>
      <c r="H422" s="101" t="s">
        <v>13</v>
      </c>
      <c r="I422" s="108">
        <v>709.8</v>
      </c>
      <c r="J422" s="108"/>
      <c r="K422" s="104" t="s">
        <v>8</v>
      </c>
      <c r="L422" s="105">
        <v>24631.19</v>
      </c>
    </row>
    <row r="423" spans="1:12" ht="51" x14ac:dyDescent="0.3">
      <c r="A423" s="99" t="s">
        <v>328</v>
      </c>
      <c r="B423" s="100" t="s">
        <v>790</v>
      </c>
      <c r="C423" s="100" t="s">
        <v>493</v>
      </c>
      <c r="D423" s="100" t="s">
        <v>569</v>
      </c>
      <c r="E423" s="101" t="s">
        <v>105</v>
      </c>
      <c r="F423" s="107" t="s">
        <v>15</v>
      </c>
      <c r="G423" s="107"/>
      <c r="H423" s="101" t="s">
        <v>13</v>
      </c>
      <c r="I423" s="108">
        <v>220</v>
      </c>
      <c r="J423" s="108"/>
      <c r="K423" s="104" t="s">
        <v>8</v>
      </c>
      <c r="L423" s="105">
        <v>24411.19</v>
      </c>
    </row>
    <row r="424" spans="1:12" ht="51" x14ac:dyDescent="0.3">
      <c r="A424" s="99" t="s">
        <v>328</v>
      </c>
      <c r="B424" s="100" t="s">
        <v>790</v>
      </c>
      <c r="C424" s="100" t="s">
        <v>493</v>
      </c>
      <c r="D424" s="100" t="s">
        <v>791</v>
      </c>
      <c r="E424" s="101" t="s">
        <v>105</v>
      </c>
      <c r="F424" s="107" t="s">
        <v>15</v>
      </c>
      <c r="G424" s="107"/>
      <c r="H424" s="101" t="s">
        <v>13</v>
      </c>
      <c r="I424" s="108">
        <v>462.5</v>
      </c>
      <c r="J424" s="108"/>
      <c r="K424" s="104" t="s">
        <v>8</v>
      </c>
      <c r="L424" s="105">
        <v>23948.69</v>
      </c>
    </row>
    <row r="425" spans="1:12" ht="51" x14ac:dyDescent="0.3">
      <c r="A425" s="99" t="s">
        <v>328</v>
      </c>
      <c r="B425" s="100" t="s">
        <v>790</v>
      </c>
      <c r="C425" s="100" t="s">
        <v>493</v>
      </c>
      <c r="D425" s="100" t="s">
        <v>792</v>
      </c>
      <c r="E425" s="101" t="s">
        <v>105</v>
      </c>
      <c r="F425" s="107" t="s">
        <v>15</v>
      </c>
      <c r="G425" s="107"/>
      <c r="H425" s="101" t="s">
        <v>13</v>
      </c>
      <c r="I425" s="108">
        <v>735</v>
      </c>
      <c r="J425" s="108"/>
      <c r="K425" s="104" t="s">
        <v>8</v>
      </c>
      <c r="L425" s="105">
        <v>23213.69</v>
      </c>
    </row>
    <row r="426" spans="1:12" ht="51" x14ac:dyDescent="0.3">
      <c r="A426" s="99" t="s">
        <v>328</v>
      </c>
      <c r="B426" s="100" t="s">
        <v>790</v>
      </c>
      <c r="C426" s="100" t="s">
        <v>493</v>
      </c>
      <c r="D426" s="100" t="s">
        <v>409</v>
      </c>
      <c r="E426" s="101" t="s">
        <v>105</v>
      </c>
      <c r="F426" s="107" t="s">
        <v>15</v>
      </c>
      <c r="G426" s="107"/>
      <c r="H426" s="101" t="s">
        <v>13</v>
      </c>
      <c r="I426" s="108">
        <v>504.9</v>
      </c>
      <c r="J426" s="108"/>
      <c r="K426" s="104" t="s">
        <v>8</v>
      </c>
      <c r="L426" s="105">
        <v>22708.79</v>
      </c>
    </row>
    <row r="427" spans="1:12" ht="51" x14ac:dyDescent="0.3">
      <c r="A427" s="99" t="s">
        <v>328</v>
      </c>
      <c r="B427" s="100" t="s">
        <v>790</v>
      </c>
      <c r="C427" s="100" t="s">
        <v>493</v>
      </c>
      <c r="D427" s="100" t="s">
        <v>570</v>
      </c>
      <c r="E427" s="101" t="s">
        <v>105</v>
      </c>
      <c r="F427" s="107" t="s">
        <v>15</v>
      </c>
      <c r="G427" s="107"/>
      <c r="H427" s="101" t="s">
        <v>13</v>
      </c>
      <c r="I427" s="108">
        <v>630</v>
      </c>
      <c r="J427" s="108"/>
      <c r="K427" s="104" t="s">
        <v>8</v>
      </c>
      <c r="L427" s="105">
        <v>22078.79</v>
      </c>
    </row>
    <row r="428" spans="1:12" ht="51" x14ac:dyDescent="0.3">
      <c r="A428" s="99" t="s">
        <v>328</v>
      </c>
      <c r="B428" s="100" t="s">
        <v>790</v>
      </c>
      <c r="C428" s="100" t="s">
        <v>493</v>
      </c>
      <c r="D428" s="100" t="s">
        <v>793</v>
      </c>
      <c r="E428" s="101" t="s">
        <v>105</v>
      </c>
      <c r="F428" s="107" t="s">
        <v>15</v>
      </c>
      <c r="G428" s="107"/>
      <c r="H428" s="101" t="s">
        <v>13</v>
      </c>
      <c r="I428" s="108">
        <v>425</v>
      </c>
      <c r="J428" s="108"/>
      <c r="K428" s="104" t="s">
        <v>8</v>
      </c>
      <c r="L428" s="105">
        <v>21653.79</v>
      </c>
    </row>
    <row r="429" spans="1:12" ht="51" x14ac:dyDescent="0.3">
      <c r="A429" s="99" t="s">
        <v>328</v>
      </c>
      <c r="B429" s="100" t="s">
        <v>790</v>
      </c>
      <c r="C429" s="100" t="s">
        <v>493</v>
      </c>
      <c r="D429" s="100" t="s">
        <v>571</v>
      </c>
      <c r="E429" s="101" t="s">
        <v>105</v>
      </c>
      <c r="F429" s="107" t="s">
        <v>15</v>
      </c>
      <c r="G429" s="107"/>
      <c r="H429" s="101" t="s">
        <v>13</v>
      </c>
      <c r="I429" s="108">
        <v>265</v>
      </c>
      <c r="J429" s="108"/>
      <c r="K429" s="104" t="s">
        <v>8</v>
      </c>
      <c r="L429" s="105">
        <v>21388.79</v>
      </c>
    </row>
    <row r="430" spans="1:12" ht="51" x14ac:dyDescent="0.3">
      <c r="A430" s="99" t="s">
        <v>328</v>
      </c>
      <c r="B430" s="100" t="s">
        <v>794</v>
      </c>
      <c r="C430" s="100" t="s">
        <v>493</v>
      </c>
      <c r="D430" s="100" t="s">
        <v>402</v>
      </c>
      <c r="E430" s="101" t="s">
        <v>105</v>
      </c>
      <c r="F430" s="107" t="s">
        <v>15</v>
      </c>
      <c r="G430" s="107"/>
      <c r="H430" s="101" t="s">
        <v>13</v>
      </c>
      <c r="I430" s="109">
        <v>10681</v>
      </c>
      <c r="J430" s="109"/>
      <c r="K430" s="104" t="s">
        <v>8</v>
      </c>
      <c r="L430" s="105">
        <v>69579.09</v>
      </c>
    </row>
    <row r="431" spans="1:12" ht="51" x14ac:dyDescent="0.3">
      <c r="A431" s="99" t="s">
        <v>328</v>
      </c>
      <c r="B431" s="100" t="s">
        <v>794</v>
      </c>
      <c r="C431" s="100" t="s">
        <v>493</v>
      </c>
      <c r="D431" s="100" t="s">
        <v>461</v>
      </c>
      <c r="E431" s="101" t="s">
        <v>105</v>
      </c>
      <c r="F431" s="107" t="s">
        <v>15</v>
      </c>
      <c r="G431" s="107"/>
      <c r="H431" s="101" t="s">
        <v>13</v>
      </c>
      <c r="I431" s="108">
        <v>627.5</v>
      </c>
      <c r="J431" s="108"/>
      <c r="K431" s="104" t="s">
        <v>8</v>
      </c>
      <c r="L431" s="105">
        <v>68951.59</v>
      </c>
    </row>
    <row r="432" spans="1:12" ht="51" x14ac:dyDescent="0.3">
      <c r="A432" s="99" t="s">
        <v>328</v>
      </c>
      <c r="B432" s="100" t="s">
        <v>794</v>
      </c>
      <c r="C432" s="100" t="s">
        <v>493</v>
      </c>
      <c r="D432" s="100" t="s">
        <v>795</v>
      </c>
      <c r="E432" s="101" t="s">
        <v>105</v>
      </c>
      <c r="F432" s="107" t="s">
        <v>15</v>
      </c>
      <c r="G432" s="107"/>
      <c r="H432" s="101" t="s">
        <v>13</v>
      </c>
      <c r="I432" s="108">
        <v>669.9</v>
      </c>
      <c r="J432" s="108"/>
      <c r="K432" s="104" t="s">
        <v>8</v>
      </c>
      <c r="L432" s="105">
        <v>68281.69</v>
      </c>
    </row>
    <row r="433" spans="1:12" ht="51" x14ac:dyDescent="0.3">
      <c r="A433" s="99" t="s">
        <v>328</v>
      </c>
      <c r="B433" s="100" t="s">
        <v>794</v>
      </c>
      <c r="C433" s="100" t="s">
        <v>493</v>
      </c>
      <c r="D433" s="100" t="s">
        <v>760</v>
      </c>
      <c r="E433" s="101" t="s">
        <v>105</v>
      </c>
      <c r="F433" s="107" t="s">
        <v>15</v>
      </c>
      <c r="G433" s="107"/>
      <c r="H433" s="101" t="s">
        <v>13</v>
      </c>
      <c r="I433" s="108">
        <v>582.29999999999995</v>
      </c>
      <c r="J433" s="108"/>
      <c r="K433" s="104" t="s">
        <v>8</v>
      </c>
      <c r="L433" s="105">
        <v>67699.39</v>
      </c>
    </row>
    <row r="434" spans="1:12" ht="51" x14ac:dyDescent="0.3">
      <c r="A434" s="99" t="s">
        <v>328</v>
      </c>
      <c r="B434" s="100" t="s">
        <v>794</v>
      </c>
      <c r="C434" s="100" t="s">
        <v>493</v>
      </c>
      <c r="D434" s="100" t="s">
        <v>524</v>
      </c>
      <c r="E434" s="101" t="s">
        <v>105</v>
      </c>
      <c r="F434" s="107" t="s">
        <v>15</v>
      </c>
      <c r="G434" s="107"/>
      <c r="H434" s="101" t="s">
        <v>13</v>
      </c>
      <c r="I434" s="108">
        <v>780.5</v>
      </c>
      <c r="J434" s="108"/>
      <c r="K434" s="104" t="s">
        <v>8</v>
      </c>
      <c r="L434" s="105">
        <v>66918.89</v>
      </c>
    </row>
    <row r="435" spans="1:12" ht="51" x14ac:dyDescent="0.3">
      <c r="A435" s="99" t="s">
        <v>328</v>
      </c>
      <c r="B435" s="100" t="s">
        <v>794</v>
      </c>
      <c r="C435" s="100" t="s">
        <v>493</v>
      </c>
      <c r="D435" s="100" t="s">
        <v>463</v>
      </c>
      <c r="E435" s="101" t="s">
        <v>105</v>
      </c>
      <c r="F435" s="107" t="s">
        <v>15</v>
      </c>
      <c r="G435" s="107"/>
      <c r="H435" s="101" t="s">
        <v>13</v>
      </c>
      <c r="I435" s="108">
        <v>114</v>
      </c>
      <c r="J435" s="108"/>
      <c r="K435" s="104" t="s">
        <v>8</v>
      </c>
      <c r="L435" s="105">
        <v>66804.89</v>
      </c>
    </row>
    <row r="436" spans="1:12" ht="51" x14ac:dyDescent="0.3">
      <c r="A436" s="99" t="s">
        <v>328</v>
      </c>
      <c r="B436" s="100" t="s">
        <v>794</v>
      </c>
      <c r="C436" s="100" t="s">
        <v>493</v>
      </c>
      <c r="D436" s="100" t="s">
        <v>695</v>
      </c>
      <c r="E436" s="101" t="s">
        <v>105</v>
      </c>
      <c r="F436" s="107" t="s">
        <v>15</v>
      </c>
      <c r="G436" s="107"/>
      <c r="H436" s="101" t="s">
        <v>13</v>
      </c>
      <c r="I436" s="108">
        <v>670.69</v>
      </c>
      <c r="J436" s="108"/>
      <c r="K436" s="104" t="s">
        <v>8</v>
      </c>
      <c r="L436" s="105">
        <v>66134.2</v>
      </c>
    </row>
    <row r="437" spans="1:12" ht="51" x14ac:dyDescent="0.3">
      <c r="A437" s="99" t="s">
        <v>328</v>
      </c>
      <c r="B437" s="100" t="s">
        <v>794</v>
      </c>
      <c r="C437" s="100" t="s">
        <v>493</v>
      </c>
      <c r="D437" s="100" t="s">
        <v>694</v>
      </c>
      <c r="E437" s="101" t="s">
        <v>105</v>
      </c>
      <c r="F437" s="107" t="s">
        <v>15</v>
      </c>
      <c r="G437" s="107"/>
      <c r="H437" s="101" t="s">
        <v>13</v>
      </c>
      <c r="I437" s="108">
        <v>838.36</v>
      </c>
      <c r="J437" s="108"/>
      <c r="K437" s="104" t="s">
        <v>8</v>
      </c>
      <c r="L437" s="105">
        <v>65295.839999999997</v>
      </c>
    </row>
    <row r="438" spans="1:12" ht="51" x14ac:dyDescent="0.3">
      <c r="A438" s="99" t="s">
        <v>328</v>
      </c>
      <c r="B438" s="100" t="s">
        <v>794</v>
      </c>
      <c r="C438" s="100" t="s">
        <v>493</v>
      </c>
      <c r="D438" s="100" t="s">
        <v>733</v>
      </c>
      <c r="E438" s="101" t="s">
        <v>105</v>
      </c>
      <c r="F438" s="107" t="s">
        <v>15</v>
      </c>
      <c r="G438" s="107"/>
      <c r="H438" s="101" t="s">
        <v>13</v>
      </c>
      <c r="I438" s="109">
        <v>1000</v>
      </c>
      <c r="J438" s="109"/>
      <c r="K438" s="104" t="s">
        <v>8</v>
      </c>
      <c r="L438" s="105">
        <v>64295.839999999997</v>
      </c>
    </row>
    <row r="439" spans="1:12" ht="51" x14ac:dyDescent="0.3">
      <c r="A439" s="99" t="s">
        <v>328</v>
      </c>
      <c r="B439" s="100" t="s">
        <v>794</v>
      </c>
      <c r="C439" s="100" t="s">
        <v>493</v>
      </c>
      <c r="D439" s="100" t="s">
        <v>734</v>
      </c>
      <c r="E439" s="101" t="s">
        <v>105</v>
      </c>
      <c r="F439" s="107" t="s">
        <v>15</v>
      </c>
      <c r="G439" s="107"/>
      <c r="H439" s="101" t="s">
        <v>13</v>
      </c>
      <c r="I439" s="109">
        <v>1500</v>
      </c>
      <c r="J439" s="109"/>
      <c r="K439" s="104" t="s">
        <v>8</v>
      </c>
      <c r="L439" s="105">
        <v>62795.839999999997</v>
      </c>
    </row>
    <row r="440" spans="1:12" ht="51" x14ac:dyDescent="0.3">
      <c r="A440" s="99" t="s">
        <v>328</v>
      </c>
      <c r="B440" s="100" t="s">
        <v>794</v>
      </c>
      <c r="C440" s="100" t="s">
        <v>493</v>
      </c>
      <c r="D440" s="100" t="s">
        <v>735</v>
      </c>
      <c r="E440" s="101" t="s">
        <v>105</v>
      </c>
      <c r="F440" s="107" t="s">
        <v>15</v>
      </c>
      <c r="G440" s="107"/>
      <c r="H440" s="101" t="s">
        <v>13</v>
      </c>
      <c r="I440" s="109">
        <v>2720</v>
      </c>
      <c r="J440" s="109"/>
      <c r="K440" s="104" t="s">
        <v>8</v>
      </c>
      <c r="L440" s="105">
        <v>60075.839999999997</v>
      </c>
    </row>
    <row r="441" spans="1:12" ht="51" x14ac:dyDescent="0.3">
      <c r="A441" s="99" t="s">
        <v>328</v>
      </c>
      <c r="B441" s="100" t="s">
        <v>794</v>
      </c>
      <c r="C441" s="100" t="s">
        <v>493</v>
      </c>
      <c r="D441" s="100" t="s">
        <v>525</v>
      </c>
      <c r="E441" s="101" t="s">
        <v>105</v>
      </c>
      <c r="F441" s="107" t="s">
        <v>15</v>
      </c>
      <c r="G441" s="107"/>
      <c r="H441" s="101" t="s">
        <v>13</v>
      </c>
      <c r="I441" s="109">
        <v>1857.2</v>
      </c>
      <c r="J441" s="109"/>
      <c r="K441" s="104" t="s">
        <v>8</v>
      </c>
      <c r="L441" s="105">
        <v>58218.64</v>
      </c>
    </row>
    <row r="442" spans="1:12" ht="51" x14ac:dyDescent="0.3">
      <c r="A442" s="99" t="s">
        <v>328</v>
      </c>
      <c r="B442" s="100" t="s">
        <v>794</v>
      </c>
      <c r="C442" s="100" t="s">
        <v>493</v>
      </c>
      <c r="D442" s="100" t="s">
        <v>796</v>
      </c>
      <c r="E442" s="101" t="s">
        <v>105</v>
      </c>
      <c r="F442" s="107" t="s">
        <v>15</v>
      </c>
      <c r="G442" s="107"/>
      <c r="H442" s="101" t="s">
        <v>13</v>
      </c>
      <c r="I442" s="109">
        <v>1159.6300000000001</v>
      </c>
      <c r="J442" s="109"/>
      <c r="K442" s="104" t="s">
        <v>8</v>
      </c>
      <c r="L442" s="105">
        <v>57059.01</v>
      </c>
    </row>
    <row r="443" spans="1:12" ht="51" x14ac:dyDescent="0.3">
      <c r="A443" s="99" t="s">
        <v>328</v>
      </c>
      <c r="B443" s="100" t="s">
        <v>797</v>
      </c>
      <c r="C443" s="100" t="s">
        <v>493</v>
      </c>
      <c r="D443" s="100" t="s">
        <v>707</v>
      </c>
      <c r="E443" s="101" t="s">
        <v>105</v>
      </c>
      <c r="F443" s="107" t="s">
        <v>15</v>
      </c>
      <c r="G443" s="107"/>
      <c r="H443" s="101" t="s">
        <v>13</v>
      </c>
      <c r="I443" s="108">
        <v>352.5</v>
      </c>
      <c r="J443" s="108"/>
      <c r="K443" s="104" t="s">
        <v>8</v>
      </c>
      <c r="L443" s="105">
        <v>227024.37</v>
      </c>
    </row>
    <row r="444" spans="1:12" ht="61.2" x14ac:dyDescent="0.3">
      <c r="A444" s="99" t="s">
        <v>328</v>
      </c>
      <c r="B444" s="100" t="s">
        <v>797</v>
      </c>
      <c r="C444" s="100" t="s">
        <v>493</v>
      </c>
      <c r="D444" s="100" t="s">
        <v>708</v>
      </c>
      <c r="E444" s="101" t="s">
        <v>105</v>
      </c>
      <c r="F444" s="107" t="s">
        <v>15</v>
      </c>
      <c r="G444" s="107"/>
      <c r="H444" s="101" t="s">
        <v>13</v>
      </c>
      <c r="I444" s="109">
        <v>2232</v>
      </c>
      <c r="J444" s="109"/>
      <c r="K444" s="104" t="s">
        <v>8</v>
      </c>
      <c r="L444" s="105">
        <v>224792.37</v>
      </c>
    </row>
    <row r="445" spans="1:12" ht="51" x14ac:dyDescent="0.3">
      <c r="A445" s="99" t="s">
        <v>328</v>
      </c>
      <c r="B445" s="100" t="s">
        <v>798</v>
      </c>
      <c r="C445" s="100" t="s">
        <v>493</v>
      </c>
      <c r="D445" s="100" t="s">
        <v>743</v>
      </c>
      <c r="E445" s="101" t="s">
        <v>105</v>
      </c>
      <c r="F445" s="107" t="s">
        <v>15</v>
      </c>
      <c r="G445" s="107"/>
      <c r="H445" s="101" t="s">
        <v>13</v>
      </c>
      <c r="I445" s="109">
        <v>16575</v>
      </c>
      <c r="J445" s="109"/>
      <c r="K445" s="104" t="s">
        <v>8</v>
      </c>
      <c r="L445" s="105">
        <v>208217.37</v>
      </c>
    </row>
    <row r="446" spans="1:12" ht="51" x14ac:dyDescent="0.3">
      <c r="A446" s="99" t="s">
        <v>328</v>
      </c>
      <c r="B446" s="100" t="s">
        <v>798</v>
      </c>
      <c r="C446" s="100" t="s">
        <v>493</v>
      </c>
      <c r="D446" s="100" t="s">
        <v>362</v>
      </c>
      <c r="E446" s="101" t="s">
        <v>105</v>
      </c>
      <c r="F446" s="107" t="s">
        <v>15</v>
      </c>
      <c r="G446" s="107"/>
      <c r="H446" s="101" t="s">
        <v>13</v>
      </c>
      <c r="I446" s="109">
        <v>1980</v>
      </c>
      <c r="J446" s="109"/>
      <c r="K446" s="104" t="s">
        <v>8</v>
      </c>
      <c r="L446" s="105">
        <v>206237.37</v>
      </c>
    </row>
    <row r="447" spans="1:12" ht="51" x14ac:dyDescent="0.3">
      <c r="A447" s="99" t="s">
        <v>328</v>
      </c>
      <c r="B447" s="100" t="s">
        <v>798</v>
      </c>
      <c r="C447" s="100" t="s">
        <v>493</v>
      </c>
      <c r="D447" s="100" t="s">
        <v>534</v>
      </c>
      <c r="E447" s="101" t="s">
        <v>105</v>
      </c>
      <c r="F447" s="107" t="s">
        <v>15</v>
      </c>
      <c r="G447" s="107"/>
      <c r="H447" s="101" t="s">
        <v>13</v>
      </c>
      <c r="I447" s="108">
        <v>587.75</v>
      </c>
      <c r="J447" s="108"/>
      <c r="K447" s="104" t="s">
        <v>8</v>
      </c>
      <c r="L447" s="105">
        <v>205649.62</v>
      </c>
    </row>
    <row r="448" spans="1:12" ht="61.2" x14ac:dyDescent="0.3">
      <c r="A448" s="99" t="s">
        <v>328</v>
      </c>
      <c r="B448" s="100" t="s">
        <v>798</v>
      </c>
      <c r="C448" s="100" t="s">
        <v>493</v>
      </c>
      <c r="D448" s="100" t="s">
        <v>373</v>
      </c>
      <c r="E448" s="101" t="s">
        <v>105</v>
      </c>
      <c r="F448" s="107" t="s">
        <v>15</v>
      </c>
      <c r="G448" s="107"/>
      <c r="H448" s="101" t="s">
        <v>13</v>
      </c>
      <c r="I448" s="108">
        <v>850</v>
      </c>
      <c r="J448" s="108"/>
      <c r="K448" s="104" t="s">
        <v>8</v>
      </c>
      <c r="L448" s="105">
        <v>204799.62</v>
      </c>
    </row>
    <row r="449" spans="1:12" ht="61.2" x14ac:dyDescent="0.3">
      <c r="A449" s="99" t="s">
        <v>328</v>
      </c>
      <c r="B449" s="100" t="s">
        <v>799</v>
      </c>
      <c r="C449" s="100" t="s">
        <v>493</v>
      </c>
      <c r="D449" s="100" t="s">
        <v>460</v>
      </c>
      <c r="E449" s="101" t="s">
        <v>105</v>
      </c>
      <c r="F449" s="107" t="s">
        <v>15</v>
      </c>
      <c r="G449" s="107"/>
      <c r="H449" s="101" t="s">
        <v>13</v>
      </c>
      <c r="I449" s="109">
        <v>1391.25</v>
      </c>
      <c r="J449" s="109"/>
      <c r="K449" s="104" t="s">
        <v>8</v>
      </c>
      <c r="L449" s="105">
        <v>55667.76</v>
      </c>
    </row>
    <row r="450" spans="1:12" ht="51" x14ac:dyDescent="0.3">
      <c r="A450" s="99" t="s">
        <v>328</v>
      </c>
      <c r="B450" s="100" t="s">
        <v>799</v>
      </c>
      <c r="C450" s="100" t="s">
        <v>493</v>
      </c>
      <c r="D450" s="100" t="s">
        <v>627</v>
      </c>
      <c r="E450" s="101" t="s">
        <v>105</v>
      </c>
      <c r="F450" s="107" t="s">
        <v>15</v>
      </c>
      <c r="G450" s="107"/>
      <c r="H450" s="101" t="s">
        <v>13</v>
      </c>
      <c r="I450" s="108">
        <v>112</v>
      </c>
      <c r="J450" s="108"/>
      <c r="K450" s="104" t="s">
        <v>8</v>
      </c>
      <c r="L450" s="105">
        <v>55555.76</v>
      </c>
    </row>
    <row r="451" spans="1:12" ht="51" x14ac:dyDescent="0.3">
      <c r="A451" s="99" t="s">
        <v>328</v>
      </c>
      <c r="B451" s="100" t="s">
        <v>799</v>
      </c>
      <c r="C451" s="100" t="s">
        <v>493</v>
      </c>
      <c r="D451" s="100" t="s">
        <v>723</v>
      </c>
      <c r="E451" s="101" t="s">
        <v>105</v>
      </c>
      <c r="F451" s="107" t="s">
        <v>15</v>
      </c>
      <c r="G451" s="107"/>
      <c r="H451" s="101" t="s">
        <v>13</v>
      </c>
      <c r="I451" s="108">
        <v>74.5</v>
      </c>
      <c r="J451" s="108"/>
      <c r="K451" s="104" t="s">
        <v>8</v>
      </c>
      <c r="L451" s="105">
        <v>55481.26</v>
      </c>
    </row>
    <row r="452" spans="1:12" ht="51" x14ac:dyDescent="0.3">
      <c r="A452" s="99" t="s">
        <v>328</v>
      </c>
      <c r="B452" s="100" t="s">
        <v>799</v>
      </c>
      <c r="C452" s="100" t="s">
        <v>493</v>
      </c>
      <c r="D452" s="100" t="s">
        <v>462</v>
      </c>
      <c r="E452" s="101" t="s">
        <v>105</v>
      </c>
      <c r="F452" s="107" t="s">
        <v>15</v>
      </c>
      <c r="G452" s="107"/>
      <c r="H452" s="101" t="s">
        <v>13</v>
      </c>
      <c r="I452" s="108">
        <v>209.5</v>
      </c>
      <c r="J452" s="108"/>
      <c r="K452" s="104" t="s">
        <v>8</v>
      </c>
      <c r="L452" s="105">
        <v>55271.76</v>
      </c>
    </row>
    <row r="453" spans="1:12" ht="51" x14ac:dyDescent="0.3">
      <c r="A453" s="99" t="s">
        <v>328</v>
      </c>
      <c r="B453" s="100" t="s">
        <v>799</v>
      </c>
      <c r="C453" s="100" t="s">
        <v>493</v>
      </c>
      <c r="D453" s="100" t="s">
        <v>385</v>
      </c>
      <c r="E453" s="101" t="s">
        <v>105</v>
      </c>
      <c r="F453" s="107" t="s">
        <v>15</v>
      </c>
      <c r="G453" s="107"/>
      <c r="H453" s="101" t="s">
        <v>13</v>
      </c>
      <c r="I453" s="109">
        <v>1050</v>
      </c>
      <c r="J453" s="109"/>
      <c r="K453" s="104" t="s">
        <v>8</v>
      </c>
      <c r="L453" s="105">
        <v>54221.760000000002</v>
      </c>
    </row>
    <row r="454" spans="1:12" ht="51" x14ac:dyDescent="0.3">
      <c r="A454" s="99" t="s">
        <v>328</v>
      </c>
      <c r="B454" s="100" t="s">
        <v>799</v>
      </c>
      <c r="C454" s="100" t="s">
        <v>493</v>
      </c>
      <c r="D454" s="100" t="s">
        <v>800</v>
      </c>
      <c r="E454" s="101" t="s">
        <v>105</v>
      </c>
      <c r="F454" s="107" t="s">
        <v>15</v>
      </c>
      <c r="G454" s="107"/>
      <c r="H454" s="101" t="s">
        <v>13</v>
      </c>
      <c r="I454" s="109">
        <v>1888.25</v>
      </c>
      <c r="J454" s="109"/>
      <c r="K454" s="104" t="s">
        <v>8</v>
      </c>
      <c r="L454" s="105">
        <v>52333.51</v>
      </c>
    </row>
    <row r="455" spans="1:12" ht="51" x14ac:dyDescent="0.3">
      <c r="A455" s="99" t="s">
        <v>328</v>
      </c>
      <c r="B455" s="100" t="s">
        <v>799</v>
      </c>
      <c r="C455" s="100" t="s">
        <v>493</v>
      </c>
      <c r="D455" s="100" t="s">
        <v>402</v>
      </c>
      <c r="E455" s="101" t="s">
        <v>105</v>
      </c>
      <c r="F455" s="107" t="s">
        <v>15</v>
      </c>
      <c r="G455" s="107"/>
      <c r="H455" s="101" t="s">
        <v>13</v>
      </c>
      <c r="I455" s="109">
        <v>5340.5</v>
      </c>
      <c r="J455" s="109"/>
      <c r="K455" s="104" t="s">
        <v>8</v>
      </c>
      <c r="L455" s="105">
        <v>46993.01</v>
      </c>
    </row>
    <row r="456" spans="1:12" ht="51" x14ac:dyDescent="0.3">
      <c r="A456" s="99" t="s">
        <v>328</v>
      </c>
      <c r="B456" s="100" t="s">
        <v>799</v>
      </c>
      <c r="C456" s="100" t="s">
        <v>493</v>
      </c>
      <c r="D456" s="100" t="s">
        <v>763</v>
      </c>
      <c r="E456" s="101" t="s">
        <v>105</v>
      </c>
      <c r="F456" s="107" t="s">
        <v>15</v>
      </c>
      <c r="G456" s="107"/>
      <c r="H456" s="101" t="s">
        <v>13</v>
      </c>
      <c r="I456" s="108">
        <v>306.8</v>
      </c>
      <c r="J456" s="108"/>
      <c r="K456" s="104" t="s">
        <v>8</v>
      </c>
      <c r="L456" s="105">
        <v>46686.21</v>
      </c>
    </row>
    <row r="457" spans="1:12" ht="51" x14ac:dyDescent="0.3">
      <c r="A457" s="99" t="s">
        <v>328</v>
      </c>
      <c r="B457" s="100" t="s">
        <v>799</v>
      </c>
      <c r="C457" s="100" t="s">
        <v>493</v>
      </c>
      <c r="D457" s="100" t="s">
        <v>762</v>
      </c>
      <c r="E457" s="101" t="s">
        <v>105</v>
      </c>
      <c r="F457" s="107" t="s">
        <v>15</v>
      </c>
      <c r="G457" s="107"/>
      <c r="H457" s="101" t="s">
        <v>13</v>
      </c>
      <c r="I457" s="108">
        <v>354.2</v>
      </c>
      <c r="J457" s="108"/>
      <c r="K457" s="104" t="s">
        <v>8</v>
      </c>
      <c r="L457" s="105">
        <v>46332.01</v>
      </c>
    </row>
    <row r="458" spans="1:12" ht="51" x14ac:dyDescent="0.3">
      <c r="A458" s="99" t="s">
        <v>328</v>
      </c>
      <c r="B458" s="100" t="s">
        <v>799</v>
      </c>
      <c r="C458" s="100" t="s">
        <v>493</v>
      </c>
      <c r="D458" s="100" t="s">
        <v>764</v>
      </c>
      <c r="E458" s="101" t="s">
        <v>105</v>
      </c>
      <c r="F458" s="107" t="s">
        <v>15</v>
      </c>
      <c r="G458" s="107"/>
      <c r="H458" s="101" t="s">
        <v>13</v>
      </c>
      <c r="I458" s="108">
        <v>533.4</v>
      </c>
      <c r="J458" s="108"/>
      <c r="K458" s="104" t="s">
        <v>8</v>
      </c>
      <c r="L458" s="105">
        <v>45798.61</v>
      </c>
    </row>
    <row r="459" spans="1:12" ht="51" x14ac:dyDescent="0.3">
      <c r="A459" s="99" t="s">
        <v>328</v>
      </c>
      <c r="B459" s="100" t="s">
        <v>799</v>
      </c>
      <c r="C459" s="100" t="s">
        <v>493</v>
      </c>
      <c r="D459" s="100" t="s">
        <v>765</v>
      </c>
      <c r="E459" s="101" t="s">
        <v>105</v>
      </c>
      <c r="F459" s="107" t="s">
        <v>15</v>
      </c>
      <c r="G459" s="107"/>
      <c r="H459" s="101" t="s">
        <v>13</v>
      </c>
      <c r="I459" s="109">
        <v>1904.2</v>
      </c>
      <c r="J459" s="109"/>
      <c r="K459" s="104" t="s">
        <v>8</v>
      </c>
      <c r="L459" s="105">
        <v>43894.41</v>
      </c>
    </row>
    <row r="460" spans="1:12" ht="51" x14ac:dyDescent="0.3">
      <c r="A460" s="99" t="s">
        <v>328</v>
      </c>
      <c r="B460" s="100" t="s">
        <v>801</v>
      </c>
      <c r="C460" s="100" t="s">
        <v>493</v>
      </c>
      <c r="D460" s="100" t="s">
        <v>400</v>
      </c>
      <c r="E460" s="101" t="s">
        <v>105</v>
      </c>
      <c r="F460" s="107" t="s">
        <v>15</v>
      </c>
      <c r="G460" s="107"/>
      <c r="H460" s="101" t="s">
        <v>13</v>
      </c>
      <c r="I460" s="108">
        <v>705.25</v>
      </c>
      <c r="J460" s="108"/>
      <c r="K460" s="104" t="s">
        <v>8</v>
      </c>
      <c r="L460" s="105">
        <v>43189.16</v>
      </c>
    </row>
    <row r="461" spans="1:12" ht="51" x14ac:dyDescent="0.3">
      <c r="A461" s="99" t="s">
        <v>328</v>
      </c>
      <c r="B461" s="100" t="s">
        <v>801</v>
      </c>
      <c r="C461" s="100" t="s">
        <v>493</v>
      </c>
      <c r="D461" s="100" t="s">
        <v>485</v>
      </c>
      <c r="E461" s="101" t="s">
        <v>105</v>
      </c>
      <c r="F461" s="107" t="s">
        <v>15</v>
      </c>
      <c r="G461" s="107"/>
      <c r="H461" s="101" t="s">
        <v>13</v>
      </c>
      <c r="I461" s="108">
        <v>900</v>
      </c>
      <c r="J461" s="108"/>
      <c r="K461" s="104" t="s">
        <v>8</v>
      </c>
      <c r="L461" s="105">
        <v>42289.16</v>
      </c>
    </row>
    <row r="462" spans="1:12" ht="51" x14ac:dyDescent="0.3">
      <c r="A462" s="99" t="s">
        <v>328</v>
      </c>
      <c r="B462" s="100" t="s">
        <v>802</v>
      </c>
      <c r="C462" s="100" t="s">
        <v>493</v>
      </c>
      <c r="D462" s="100" t="s">
        <v>506</v>
      </c>
      <c r="E462" s="101" t="s">
        <v>105</v>
      </c>
      <c r="F462" s="107" t="s">
        <v>15</v>
      </c>
      <c r="G462" s="107"/>
      <c r="H462" s="101" t="s">
        <v>13</v>
      </c>
      <c r="I462" s="108">
        <v>800</v>
      </c>
      <c r="J462" s="108"/>
      <c r="K462" s="104" t="s">
        <v>8</v>
      </c>
      <c r="L462" s="105">
        <v>164668.87</v>
      </c>
    </row>
    <row r="463" spans="1:12" ht="51" x14ac:dyDescent="0.3">
      <c r="A463" s="99" t="s">
        <v>328</v>
      </c>
      <c r="B463" s="100" t="s">
        <v>802</v>
      </c>
      <c r="C463" s="100" t="s">
        <v>493</v>
      </c>
      <c r="D463" s="100" t="s">
        <v>417</v>
      </c>
      <c r="E463" s="101" t="s">
        <v>105</v>
      </c>
      <c r="F463" s="107" t="s">
        <v>15</v>
      </c>
      <c r="G463" s="107"/>
      <c r="H463" s="101" t="s">
        <v>13</v>
      </c>
      <c r="I463" s="108">
        <v>9.4600000000000009</v>
      </c>
      <c r="J463" s="108"/>
      <c r="K463" s="104" t="s">
        <v>8</v>
      </c>
      <c r="L463" s="105">
        <v>164659.41</v>
      </c>
    </row>
    <row r="464" spans="1:12" ht="51" x14ac:dyDescent="0.3">
      <c r="A464" s="99" t="s">
        <v>328</v>
      </c>
      <c r="B464" s="100" t="s">
        <v>802</v>
      </c>
      <c r="C464" s="100" t="s">
        <v>493</v>
      </c>
      <c r="D464" s="100" t="s">
        <v>770</v>
      </c>
      <c r="E464" s="101" t="s">
        <v>105</v>
      </c>
      <c r="F464" s="107" t="s">
        <v>15</v>
      </c>
      <c r="G464" s="107"/>
      <c r="H464" s="101" t="s">
        <v>13</v>
      </c>
      <c r="I464" s="109">
        <v>3106</v>
      </c>
      <c r="J464" s="109"/>
      <c r="K464" s="104" t="s">
        <v>8</v>
      </c>
      <c r="L464" s="105">
        <v>161553.41</v>
      </c>
    </row>
    <row r="465" spans="1:12" ht="61.2" x14ac:dyDescent="0.3">
      <c r="A465" s="99" t="s">
        <v>328</v>
      </c>
      <c r="B465" s="100" t="s">
        <v>802</v>
      </c>
      <c r="C465" s="100" t="s">
        <v>493</v>
      </c>
      <c r="D465" s="100" t="s">
        <v>396</v>
      </c>
      <c r="E465" s="101" t="s">
        <v>105</v>
      </c>
      <c r="F465" s="107" t="s">
        <v>15</v>
      </c>
      <c r="G465" s="107"/>
      <c r="H465" s="101" t="s">
        <v>13</v>
      </c>
      <c r="I465" s="109">
        <v>26790</v>
      </c>
      <c r="J465" s="109"/>
      <c r="K465" s="104" t="s">
        <v>8</v>
      </c>
      <c r="L465" s="105">
        <v>134763.41</v>
      </c>
    </row>
    <row r="466" spans="1:12" ht="51" x14ac:dyDescent="0.3">
      <c r="A466" s="99" t="s">
        <v>328</v>
      </c>
      <c r="B466" s="100" t="s">
        <v>802</v>
      </c>
      <c r="C466" s="100" t="s">
        <v>493</v>
      </c>
      <c r="D466" s="100" t="s">
        <v>618</v>
      </c>
      <c r="E466" s="101" t="s">
        <v>105</v>
      </c>
      <c r="F466" s="107" t="s">
        <v>15</v>
      </c>
      <c r="G466" s="107"/>
      <c r="H466" s="101" t="s">
        <v>13</v>
      </c>
      <c r="I466" s="108">
        <v>525.79999999999995</v>
      </c>
      <c r="J466" s="108"/>
      <c r="K466" s="104" t="s">
        <v>8</v>
      </c>
      <c r="L466" s="105">
        <v>134237.60999999999</v>
      </c>
    </row>
    <row r="467" spans="1:12" ht="51" x14ac:dyDescent="0.3">
      <c r="A467" s="99" t="s">
        <v>328</v>
      </c>
      <c r="B467" s="100" t="s">
        <v>802</v>
      </c>
      <c r="C467" s="100" t="s">
        <v>493</v>
      </c>
      <c r="D467" s="100" t="s">
        <v>519</v>
      </c>
      <c r="E467" s="101" t="s">
        <v>105</v>
      </c>
      <c r="F467" s="107" t="s">
        <v>15</v>
      </c>
      <c r="G467" s="107"/>
      <c r="H467" s="101" t="s">
        <v>13</v>
      </c>
      <c r="I467" s="109">
        <v>1084.5</v>
      </c>
      <c r="J467" s="109"/>
      <c r="K467" s="104" t="s">
        <v>8</v>
      </c>
      <c r="L467" s="105">
        <v>133153.10999999999</v>
      </c>
    </row>
    <row r="468" spans="1:12" ht="51" x14ac:dyDescent="0.3">
      <c r="A468" s="99" t="s">
        <v>328</v>
      </c>
      <c r="B468" s="100" t="s">
        <v>802</v>
      </c>
      <c r="C468" s="100" t="s">
        <v>493</v>
      </c>
      <c r="D468" s="100" t="s">
        <v>479</v>
      </c>
      <c r="E468" s="101" t="s">
        <v>105</v>
      </c>
      <c r="F468" s="107" t="s">
        <v>15</v>
      </c>
      <c r="G468" s="107"/>
      <c r="H468" s="101" t="s">
        <v>13</v>
      </c>
      <c r="I468" s="109">
        <v>6680</v>
      </c>
      <c r="J468" s="109"/>
      <c r="K468" s="104" t="s">
        <v>8</v>
      </c>
      <c r="L468" s="105">
        <v>126473.11</v>
      </c>
    </row>
    <row r="469" spans="1:12" ht="51" x14ac:dyDescent="0.3">
      <c r="A469" s="99" t="s">
        <v>328</v>
      </c>
      <c r="B469" s="100" t="s">
        <v>802</v>
      </c>
      <c r="C469" s="100" t="s">
        <v>493</v>
      </c>
      <c r="D469" s="100" t="s">
        <v>552</v>
      </c>
      <c r="E469" s="101" t="s">
        <v>105</v>
      </c>
      <c r="F469" s="107" t="s">
        <v>15</v>
      </c>
      <c r="G469" s="107"/>
      <c r="H469" s="101" t="s">
        <v>13</v>
      </c>
      <c r="I469" s="108">
        <v>381</v>
      </c>
      <c r="J469" s="108"/>
      <c r="K469" s="104" t="s">
        <v>8</v>
      </c>
      <c r="L469" s="105">
        <v>126092.11</v>
      </c>
    </row>
    <row r="470" spans="1:12" ht="61.2" x14ac:dyDescent="0.3">
      <c r="A470" s="99" t="s">
        <v>328</v>
      </c>
      <c r="B470" s="100" t="s">
        <v>802</v>
      </c>
      <c r="C470" s="100" t="s">
        <v>493</v>
      </c>
      <c r="D470" s="100" t="s">
        <v>574</v>
      </c>
      <c r="E470" s="101" t="s">
        <v>105</v>
      </c>
      <c r="F470" s="107" t="s">
        <v>15</v>
      </c>
      <c r="G470" s="107"/>
      <c r="H470" s="101" t="s">
        <v>13</v>
      </c>
      <c r="I470" s="109">
        <v>4100.1000000000004</v>
      </c>
      <c r="J470" s="109"/>
      <c r="K470" s="104" t="s">
        <v>8</v>
      </c>
      <c r="L470" s="105">
        <v>121992.01</v>
      </c>
    </row>
    <row r="471" spans="1:12" ht="51" x14ac:dyDescent="0.3">
      <c r="A471" s="99" t="s">
        <v>328</v>
      </c>
      <c r="B471" s="100" t="s">
        <v>802</v>
      </c>
      <c r="C471" s="100" t="s">
        <v>493</v>
      </c>
      <c r="D471" s="100" t="s">
        <v>803</v>
      </c>
      <c r="E471" s="101" t="s">
        <v>105</v>
      </c>
      <c r="F471" s="107" t="s">
        <v>15</v>
      </c>
      <c r="G471" s="107"/>
      <c r="H471" s="101" t="s">
        <v>13</v>
      </c>
      <c r="I471" s="108">
        <v>367.95</v>
      </c>
      <c r="J471" s="108"/>
      <c r="K471" s="104" t="s">
        <v>8</v>
      </c>
      <c r="L471" s="105">
        <v>121624.06</v>
      </c>
    </row>
    <row r="472" spans="1:12" ht="51" x14ac:dyDescent="0.3">
      <c r="A472" s="99" t="s">
        <v>328</v>
      </c>
      <c r="B472" s="100" t="s">
        <v>802</v>
      </c>
      <c r="C472" s="100" t="s">
        <v>493</v>
      </c>
      <c r="D472" s="100" t="s">
        <v>416</v>
      </c>
      <c r="E472" s="101" t="s">
        <v>105</v>
      </c>
      <c r="F472" s="107" t="s">
        <v>15</v>
      </c>
      <c r="G472" s="107"/>
      <c r="H472" s="101" t="s">
        <v>13</v>
      </c>
      <c r="I472" s="108">
        <v>459.75</v>
      </c>
      <c r="J472" s="108"/>
      <c r="K472" s="104" t="s">
        <v>8</v>
      </c>
      <c r="L472" s="105">
        <v>121164.31</v>
      </c>
    </row>
    <row r="473" spans="1:12" ht="51" x14ac:dyDescent="0.3">
      <c r="A473" s="99" t="s">
        <v>328</v>
      </c>
      <c r="B473" s="100" t="s">
        <v>802</v>
      </c>
      <c r="C473" s="100" t="s">
        <v>493</v>
      </c>
      <c r="D473" s="100" t="s">
        <v>767</v>
      </c>
      <c r="E473" s="101" t="s">
        <v>105</v>
      </c>
      <c r="F473" s="107" t="s">
        <v>15</v>
      </c>
      <c r="G473" s="107"/>
      <c r="H473" s="101" t="s">
        <v>13</v>
      </c>
      <c r="I473" s="109">
        <v>4830</v>
      </c>
      <c r="J473" s="109"/>
      <c r="K473" s="104" t="s">
        <v>8</v>
      </c>
      <c r="L473" s="105">
        <v>116334.31</v>
      </c>
    </row>
    <row r="474" spans="1:12" ht="51" x14ac:dyDescent="0.3">
      <c r="A474" s="99" t="s">
        <v>328</v>
      </c>
      <c r="B474" s="100" t="s">
        <v>802</v>
      </c>
      <c r="C474" s="100" t="s">
        <v>493</v>
      </c>
      <c r="D474" s="100" t="s">
        <v>586</v>
      </c>
      <c r="E474" s="101" t="s">
        <v>105</v>
      </c>
      <c r="F474" s="107" t="s">
        <v>15</v>
      </c>
      <c r="G474" s="107"/>
      <c r="H474" s="101" t="s">
        <v>13</v>
      </c>
      <c r="I474" s="109">
        <v>3200</v>
      </c>
      <c r="J474" s="109"/>
      <c r="K474" s="104" t="s">
        <v>8</v>
      </c>
      <c r="L474" s="105">
        <v>113134.31</v>
      </c>
    </row>
    <row r="475" spans="1:12" ht="51" x14ac:dyDescent="0.3">
      <c r="A475" s="99" t="s">
        <v>328</v>
      </c>
      <c r="B475" s="100" t="s">
        <v>802</v>
      </c>
      <c r="C475" s="100" t="s">
        <v>493</v>
      </c>
      <c r="D475" s="100" t="s">
        <v>585</v>
      </c>
      <c r="E475" s="101" t="s">
        <v>105</v>
      </c>
      <c r="F475" s="107" t="s">
        <v>15</v>
      </c>
      <c r="G475" s="107"/>
      <c r="H475" s="101" t="s">
        <v>13</v>
      </c>
      <c r="I475" s="109">
        <v>4800</v>
      </c>
      <c r="J475" s="109"/>
      <c r="K475" s="104" t="s">
        <v>8</v>
      </c>
      <c r="L475" s="105">
        <v>108334.31</v>
      </c>
    </row>
    <row r="476" spans="1:12" ht="51" x14ac:dyDescent="0.3">
      <c r="A476" s="99" t="s">
        <v>328</v>
      </c>
      <c r="B476" s="100" t="s">
        <v>802</v>
      </c>
      <c r="C476" s="100" t="s">
        <v>493</v>
      </c>
      <c r="D476" s="100" t="s">
        <v>804</v>
      </c>
      <c r="E476" s="101" t="s">
        <v>105</v>
      </c>
      <c r="F476" s="107" t="s">
        <v>15</v>
      </c>
      <c r="G476" s="107"/>
      <c r="H476" s="101" t="s">
        <v>13</v>
      </c>
      <c r="I476" s="109">
        <v>1675</v>
      </c>
      <c r="J476" s="109"/>
      <c r="K476" s="104" t="s">
        <v>8</v>
      </c>
      <c r="L476" s="105">
        <v>106659.31</v>
      </c>
    </row>
    <row r="477" spans="1:12" hidden="1" x14ac:dyDescent="0.3">
      <c r="A477" s="111" t="s">
        <v>193</v>
      </c>
      <c r="B477" s="111"/>
      <c r="C477" s="111"/>
      <c r="D477" s="111"/>
      <c r="E477" s="112">
        <v>686413.45</v>
      </c>
      <c r="F477" s="112"/>
      <c r="G477" s="112"/>
      <c r="H477" s="112">
        <v>449117.96</v>
      </c>
      <c r="I477" s="112"/>
      <c r="J477" s="112"/>
      <c r="K477" s="113" t="s">
        <v>8</v>
      </c>
      <c r="L477" s="114">
        <v>550454.65</v>
      </c>
    </row>
    <row r="479" spans="1:12" x14ac:dyDescent="0.3">
      <c r="J479">
        <f>SUBTOTAL(9,I131:J476)</f>
        <v>215020.23999999996</v>
      </c>
    </row>
    <row r="480" spans="1:12" x14ac:dyDescent="0.3">
      <c r="J480">
        <f>J479*1.2</f>
        <v>258024.28799999994</v>
      </c>
    </row>
  </sheetData>
  <autoFilter ref="A1:L477" xr:uid="{CCA2489C-EFBE-409D-86C1-1580A8E48E67}">
    <filterColumn colId="1">
      <filters>
        <filter val="Передача малоцінних активів в експлуатацію ІБ00-000502 від 10.10.2025 18:22:32_x000a_Списание стоимости малоценных активов"/>
        <filter val="Передача малоцінних активів в експлуатацію ІБ00-000503 від 10.10.2025 11:57:20_x000a_Списание стоимости малоценных активов"/>
        <filter val="Передача малоцінних активів в експлуатацію ІБ00-000504 від 10.10.2025 15:32:14_x000a_Списание стоимости малоценных активов"/>
        <filter val="Передача малоцінних активів в експлуатацію ІБ00-000507 від 16.10.2025 11:11:22_x000a_Списание стоимости малоценных активов"/>
        <filter val="Передача малоцінних активів в експлуатацію ІБ00-000509 від 16.10.2025 11:45:59_x000a_Списание стоимости малоценных активов"/>
        <filter val="Передача малоцінних активів в експлуатацію ІБ00-000510 від 16.10.2025 11:49:17_x000a_Списание стоимости малоценных активов"/>
        <filter val="Передача малоцінних активів в експлуатацію ІБ00-000512 від 16.10.2025 14:48:26_x000a_Списание стоимости малоценных активов"/>
        <filter val="Передача малоцінних активів в експлуатацію ІБ00-000537 від 31.10.2025 19:29:32_x000a_Списание стоимости малоценных активов"/>
        <filter val="Передача малоцінних активів в експлуатацію ІБ00-000538 від 31.10.2025 19:29:33_x000a_Списание стоимости малоценных активов"/>
        <filter val="Передача малоцінних активів в експлуатацію ІБ00-000539 від 31.10.2025 10:00:00_x000a_Списание стоимости малоценных активов"/>
        <filter val="Передача малоцінних активів в експлуатацію ІБ00-000540 від 31.10.2025 19:29:40_x000a_Списание стоимости малоценных активов"/>
        <filter val="Передача малоцінних активів в експлуатацію ІБ00-000541 від 31.10.2025 19:29:41_x000a_Списание стоимости малоценных активов"/>
        <filter val="Передача малоцінних активів в експлуатацію ІБ00-000542 від 31.10.2025 19:29:50_x000a_Списание стоимости малоценных активов"/>
        <filter val="Передача малоцінних активів в експлуатацію ІБ00-000543 від 31.10.2025 20:00:00_x000a_Списание стоимости малоценных активов"/>
        <filter val="Передача малоцінних активів в експлуатацію ІБ00-000544 від 31.10.2025 20:00:03_x000a_Списание стоимости малоценных активов"/>
        <filter val="Передача малоцінних активів в експлуатацію ІБ00-000545 від 31.10.2025 21:00:00_x000a_Списание стоимости малоценных активов"/>
        <filter val="Передача малоцінних активів в експлуатацію ІБ00-000546 від 31.10.2025 21:00:00_x000a_Списание стоимости малоценных активов"/>
        <filter val="Передача малоцінних активів в експлуатацію ІБ00-000547 від 31.10.2025 21:00:00_x000a_Списание стоимости малоценных активов"/>
        <filter val="Передача малоцінних активів в експлуатацію ІБ00-000548 від 31.10.2025 21:00:00_x000a_Списание стоимости малоценных активов"/>
        <filter val="Передача малоцінних активів в експлуатацію ІБ00-000549 від 31.10.2025 21:00:00_x000a_Списание стоимости малоценных активов"/>
        <filter val="Передача малоцінних активів в експлуатацію ІБ00-000550 від 31.10.2025 21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960">
    <mergeCell ref="F475:G475"/>
    <mergeCell ref="I475:J475"/>
    <mergeCell ref="F476:G476"/>
    <mergeCell ref="I476:J476"/>
    <mergeCell ref="A477:D477"/>
    <mergeCell ref="E477:G477"/>
    <mergeCell ref="H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87AB-DB17-43B0-827D-146F80CCB588}">
  <sheetPr>
    <tabColor rgb="FF92D05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47AC-C477-4EE3-8F9E-052DA8419E07}">
  <sheetPr filterMode="1"/>
  <dimension ref="A1:L150"/>
  <sheetViews>
    <sheetView topLeftCell="A142" workbookViewId="0">
      <selection activeCell="J150" sqref="J150"/>
    </sheetView>
  </sheetViews>
  <sheetFormatPr defaultRowHeight="14.4" x14ac:dyDescent="0.3"/>
  <cols>
    <col min="2" max="4" width="25.33203125" customWidth="1"/>
    <col min="10" max="10" width="11.33203125" bestFit="1" customWidth="1"/>
  </cols>
  <sheetData>
    <row r="1" spans="1:12" x14ac:dyDescent="0.3">
      <c r="A1" s="115" t="s">
        <v>0</v>
      </c>
      <c r="B1" s="116" t="s">
        <v>1</v>
      </c>
      <c r="C1" s="116" t="s">
        <v>2</v>
      </c>
      <c r="D1" s="117" t="s">
        <v>3</v>
      </c>
      <c r="E1" s="118" t="s">
        <v>4</v>
      </c>
      <c r="F1" s="118"/>
      <c r="G1" s="118"/>
      <c r="H1" s="119" t="s">
        <v>5</v>
      </c>
      <c r="I1" s="119"/>
      <c r="J1" s="119"/>
      <c r="K1" s="116" t="s">
        <v>6</v>
      </c>
      <c r="L1" s="116"/>
    </row>
    <row r="2" spans="1:12" hidden="1" x14ac:dyDescent="0.3">
      <c r="A2" s="120"/>
      <c r="B2" s="121"/>
      <c r="C2" s="121"/>
      <c r="D2" s="122"/>
      <c r="E2" s="123" t="s">
        <v>7</v>
      </c>
      <c r="F2" s="124"/>
      <c r="G2" s="124"/>
      <c r="H2" s="125" t="s">
        <v>7</v>
      </c>
      <c r="I2" s="126"/>
      <c r="J2" s="126"/>
      <c r="K2" s="120"/>
      <c r="L2" s="127"/>
    </row>
    <row r="3" spans="1:12" ht="61.2" x14ac:dyDescent="0.3">
      <c r="A3" s="128" t="s">
        <v>60</v>
      </c>
      <c r="B3" s="129" t="s">
        <v>805</v>
      </c>
      <c r="C3" s="129" t="s">
        <v>806</v>
      </c>
      <c r="D3" s="129" t="s">
        <v>807</v>
      </c>
      <c r="E3" s="130" t="s">
        <v>105</v>
      </c>
      <c r="F3" s="131" t="s">
        <v>15</v>
      </c>
      <c r="G3" s="131"/>
      <c r="H3" s="130" t="s">
        <v>808</v>
      </c>
      <c r="I3" s="132">
        <v>2063.83</v>
      </c>
      <c r="J3" s="132"/>
      <c r="K3" s="133" t="s">
        <v>8</v>
      </c>
      <c r="L3" s="134">
        <v>9691883.8499999996</v>
      </c>
    </row>
    <row r="4" spans="1:12" ht="51" x14ac:dyDescent="0.3">
      <c r="A4" s="128" t="s">
        <v>60</v>
      </c>
      <c r="B4" s="129" t="s">
        <v>805</v>
      </c>
      <c r="C4" s="129" t="s">
        <v>806</v>
      </c>
      <c r="D4" s="129" t="s">
        <v>809</v>
      </c>
      <c r="E4" s="130" t="s">
        <v>105</v>
      </c>
      <c r="F4" s="131" t="s">
        <v>15</v>
      </c>
      <c r="G4" s="131"/>
      <c r="H4" s="130" t="s">
        <v>808</v>
      </c>
      <c r="I4" s="132">
        <v>10580.87</v>
      </c>
      <c r="J4" s="132"/>
      <c r="K4" s="133" t="s">
        <v>8</v>
      </c>
      <c r="L4" s="134">
        <v>9681302.9800000004</v>
      </c>
    </row>
    <row r="5" spans="1:12" ht="51" x14ac:dyDescent="0.3">
      <c r="A5" s="128" t="s">
        <v>60</v>
      </c>
      <c r="B5" s="129" t="s">
        <v>805</v>
      </c>
      <c r="C5" s="129" t="s">
        <v>806</v>
      </c>
      <c r="D5" s="129" t="s">
        <v>810</v>
      </c>
      <c r="E5" s="130" t="s">
        <v>105</v>
      </c>
      <c r="F5" s="131" t="s">
        <v>15</v>
      </c>
      <c r="G5" s="131"/>
      <c r="H5" s="130" t="s">
        <v>808</v>
      </c>
      <c r="I5" s="132">
        <v>34812.17</v>
      </c>
      <c r="J5" s="132"/>
      <c r="K5" s="133" t="s">
        <v>8</v>
      </c>
      <c r="L5" s="134">
        <v>9646490.8100000005</v>
      </c>
    </row>
    <row r="6" spans="1:12" ht="51" x14ac:dyDescent="0.3">
      <c r="A6" s="128" t="s">
        <v>60</v>
      </c>
      <c r="B6" s="129" t="s">
        <v>805</v>
      </c>
      <c r="C6" s="129" t="s">
        <v>806</v>
      </c>
      <c r="D6" s="129" t="s">
        <v>811</v>
      </c>
      <c r="E6" s="130" t="s">
        <v>105</v>
      </c>
      <c r="F6" s="131" t="s">
        <v>15</v>
      </c>
      <c r="G6" s="131"/>
      <c r="H6" s="130" t="s">
        <v>808</v>
      </c>
      <c r="I6" s="132">
        <v>31889.26</v>
      </c>
      <c r="J6" s="132"/>
      <c r="K6" s="133" t="s">
        <v>8</v>
      </c>
      <c r="L6" s="134">
        <v>9614601.5500000007</v>
      </c>
    </row>
    <row r="7" spans="1:12" ht="51" x14ac:dyDescent="0.3">
      <c r="A7" s="128" t="s">
        <v>60</v>
      </c>
      <c r="B7" s="129" t="s">
        <v>805</v>
      </c>
      <c r="C7" s="129" t="s">
        <v>806</v>
      </c>
      <c r="D7" s="129" t="s">
        <v>810</v>
      </c>
      <c r="E7" s="130" t="s">
        <v>105</v>
      </c>
      <c r="F7" s="131" t="s">
        <v>15</v>
      </c>
      <c r="G7" s="131"/>
      <c r="H7" s="130" t="s">
        <v>808</v>
      </c>
      <c r="I7" s="132">
        <v>50510.49</v>
      </c>
      <c r="J7" s="132"/>
      <c r="K7" s="133" t="s">
        <v>8</v>
      </c>
      <c r="L7" s="134">
        <v>9564091.0600000005</v>
      </c>
    </row>
    <row r="8" spans="1:12" ht="61.2" x14ac:dyDescent="0.3">
      <c r="A8" s="128" t="s">
        <v>60</v>
      </c>
      <c r="B8" s="129" t="s">
        <v>805</v>
      </c>
      <c r="C8" s="129" t="s">
        <v>806</v>
      </c>
      <c r="D8" s="129" t="s">
        <v>812</v>
      </c>
      <c r="E8" s="130" t="s">
        <v>105</v>
      </c>
      <c r="F8" s="131" t="s">
        <v>15</v>
      </c>
      <c r="G8" s="131"/>
      <c r="H8" s="130" t="s">
        <v>808</v>
      </c>
      <c r="I8" s="132">
        <v>15640.62</v>
      </c>
      <c r="J8" s="132"/>
      <c r="K8" s="133" t="s">
        <v>8</v>
      </c>
      <c r="L8" s="134">
        <v>9548450.4399999995</v>
      </c>
    </row>
    <row r="9" spans="1:12" ht="51" x14ac:dyDescent="0.3">
      <c r="A9" s="128" t="s">
        <v>60</v>
      </c>
      <c r="B9" s="129" t="s">
        <v>805</v>
      </c>
      <c r="C9" s="129" t="s">
        <v>806</v>
      </c>
      <c r="D9" s="129" t="s">
        <v>813</v>
      </c>
      <c r="E9" s="130" t="s">
        <v>105</v>
      </c>
      <c r="F9" s="131" t="s">
        <v>15</v>
      </c>
      <c r="G9" s="131"/>
      <c r="H9" s="130" t="s">
        <v>808</v>
      </c>
      <c r="I9" s="132">
        <v>12996.32</v>
      </c>
      <c r="J9" s="132"/>
      <c r="K9" s="133" t="s">
        <v>8</v>
      </c>
      <c r="L9" s="134">
        <v>9535454.1199999992</v>
      </c>
    </row>
    <row r="10" spans="1:12" ht="61.2" x14ac:dyDescent="0.3">
      <c r="A10" s="128" t="s">
        <v>60</v>
      </c>
      <c r="B10" s="129" t="s">
        <v>805</v>
      </c>
      <c r="C10" s="129" t="s">
        <v>806</v>
      </c>
      <c r="D10" s="129" t="s">
        <v>814</v>
      </c>
      <c r="E10" s="130" t="s">
        <v>105</v>
      </c>
      <c r="F10" s="131" t="s">
        <v>15</v>
      </c>
      <c r="G10" s="131"/>
      <c r="H10" s="130" t="s">
        <v>808</v>
      </c>
      <c r="I10" s="135">
        <v>193.73</v>
      </c>
      <c r="J10" s="135"/>
      <c r="K10" s="133" t="s">
        <v>8</v>
      </c>
      <c r="L10" s="134">
        <v>9535260.3900000006</v>
      </c>
    </row>
    <row r="11" spans="1:12" ht="61.2" x14ac:dyDescent="0.3">
      <c r="A11" s="128" t="s">
        <v>60</v>
      </c>
      <c r="B11" s="129" t="s">
        <v>805</v>
      </c>
      <c r="C11" s="129" t="s">
        <v>806</v>
      </c>
      <c r="D11" s="129" t="s">
        <v>815</v>
      </c>
      <c r="E11" s="130" t="s">
        <v>105</v>
      </c>
      <c r="F11" s="131" t="s">
        <v>15</v>
      </c>
      <c r="G11" s="131"/>
      <c r="H11" s="130" t="s">
        <v>808</v>
      </c>
      <c r="I11" s="132">
        <v>19234.13</v>
      </c>
      <c r="J11" s="132"/>
      <c r="K11" s="133" t="s">
        <v>8</v>
      </c>
      <c r="L11" s="134">
        <v>9516026.2599999998</v>
      </c>
    </row>
    <row r="12" spans="1:12" ht="61.2" x14ac:dyDescent="0.3">
      <c r="A12" s="128" t="s">
        <v>60</v>
      </c>
      <c r="B12" s="129" t="s">
        <v>805</v>
      </c>
      <c r="C12" s="129" t="s">
        <v>806</v>
      </c>
      <c r="D12" s="129" t="s">
        <v>816</v>
      </c>
      <c r="E12" s="130" t="s">
        <v>105</v>
      </c>
      <c r="F12" s="131" t="s">
        <v>15</v>
      </c>
      <c r="G12" s="131"/>
      <c r="H12" s="130" t="s">
        <v>808</v>
      </c>
      <c r="I12" s="132">
        <v>23442.62</v>
      </c>
      <c r="J12" s="132"/>
      <c r="K12" s="133" t="s">
        <v>8</v>
      </c>
      <c r="L12" s="134">
        <v>9492583.6400000006</v>
      </c>
    </row>
    <row r="13" spans="1:12" ht="61.2" x14ac:dyDescent="0.3">
      <c r="A13" s="128" t="s">
        <v>60</v>
      </c>
      <c r="B13" s="129" t="s">
        <v>805</v>
      </c>
      <c r="C13" s="129" t="s">
        <v>806</v>
      </c>
      <c r="D13" s="129" t="s">
        <v>817</v>
      </c>
      <c r="E13" s="130" t="s">
        <v>105</v>
      </c>
      <c r="F13" s="131" t="s">
        <v>15</v>
      </c>
      <c r="G13" s="131"/>
      <c r="H13" s="130" t="s">
        <v>808</v>
      </c>
      <c r="I13" s="132">
        <v>2778.6</v>
      </c>
      <c r="J13" s="132"/>
      <c r="K13" s="133" t="s">
        <v>8</v>
      </c>
      <c r="L13" s="134">
        <v>9489805.0399999991</v>
      </c>
    </row>
    <row r="14" spans="1:12" ht="51" x14ac:dyDescent="0.3">
      <c r="A14" s="128" t="s">
        <v>60</v>
      </c>
      <c r="B14" s="129" t="s">
        <v>805</v>
      </c>
      <c r="C14" s="129" t="s">
        <v>806</v>
      </c>
      <c r="D14" s="129" t="s">
        <v>818</v>
      </c>
      <c r="E14" s="130" t="s">
        <v>105</v>
      </c>
      <c r="F14" s="131" t="s">
        <v>15</v>
      </c>
      <c r="G14" s="131"/>
      <c r="H14" s="130" t="s">
        <v>808</v>
      </c>
      <c r="I14" s="132">
        <v>115768</v>
      </c>
      <c r="J14" s="132"/>
      <c r="K14" s="133" t="s">
        <v>8</v>
      </c>
      <c r="L14" s="134">
        <v>9374037.0399999991</v>
      </c>
    </row>
    <row r="15" spans="1:12" ht="51" x14ac:dyDescent="0.3">
      <c r="A15" s="128" t="s">
        <v>60</v>
      </c>
      <c r="B15" s="129" t="s">
        <v>805</v>
      </c>
      <c r="C15" s="129" t="s">
        <v>806</v>
      </c>
      <c r="D15" s="129" t="s">
        <v>819</v>
      </c>
      <c r="E15" s="130" t="s">
        <v>105</v>
      </c>
      <c r="F15" s="131" t="s">
        <v>15</v>
      </c>
      <c r="G15" s="131"/>
      <c r="H15" s="130" t="s">
        <v>808</v>
      </c>
      <c r="I15" s="135">
        <v>54.25</v>
      </c>
      <c r="J15" s="135"/>
      <c r="K15" s="133" t="s">
        <v>8</v>
      </c>
      <c r="L15" s="134">
        <v>9373982.7899999991</v>
      </c>
    </row>
    <row r="16" spans="1:12" ht="61.2" x14ac:dyDescent="0.3">
      <c r="A16" s="128" t="s">
        <v>60</v>
      </c>
      <c r="B16" s="129" t="s">
        <v>805</v>
      </c>
      <c r="C16" s="129" t="s">
        <v>806</v>
      </c>
      <c r="D16" s="129" t="s">
        <v>820</v>
      </c>
      <c r="E16" s="130" t="s">
        <v>105</v>
      </c>
      <c r="F16" s="131" t="s">
        <v>15</v>
      </c>
      <c r="G16" s="131"/>
      <c r="H16" s="130" t="s">
        <v>808</v>
      </c>
      <c r="I16" s="132">
        <v>3103.08</v>
      </c>
      <c r="J16" s="132"/>
      <c r="K16" s="133" t="s">
        <v>8</v>
      </c>
      <c r="L16" s="134">
        <v>9370879.7100000009</v>
      </c>
    </row>
    <row r="17" spans="1:12" ht="61.2" x14ac:dyDescent="0.3">
      <c r="A17" s="128" t="s">
        <v>60</v>
      </c>
      <c r="B17" s="129" t="s">
        <v>805</v>
      </c>
      <c r="C17" s="129" t="s">
        <v>806</v>
      </c>
      <c r="D17" s="129" t="s">
        <v>821</v>
      </c>
      <c r="E17" s="130" t="s">
        <v>105</v>
      </c>
      <c r="F17" s="131" t="s">
        <v>15</v>
      </c>
      <c r="G17" s="131"/>
      <c r="H17" s="130" t="s">
        <v>808</v>
      </c>
      <c r="I17" s="132">
        <v>2578.58</v>
      </c>
      <c r="J17" s="132"/>
      <c r="K17" s="133" t="s">
        <v>8</v>
      </c>
      <c r="L17" s="134">
        <v>9368301.1300000008</v>
      </c>
    </row>
    <row r="18" spans="1:12" ht="61.2" x14ac:dyDescent="0.3">
      <c r="A18" s="128" t="s">
        <v>60</v>
      </c>
      <c r="B18" s="129" t="s">
        <v>805</v>
      </c>
      <c r="C18" s="129" t="s">
        <v>806</v>
      </c>
      <c r="D18" s="129" t="s">
        <v>822</v>
      </c>
      <c r="E18" s="130" t="s">
        <v>105</v>
      </c>
      <c r="F18" s="131" t="s">
        <v>15</v>
      </c>
      <c r="G18" s="131"/>
      <c r="H18" s="130" t="s">
        <v>808</v>
      </c>
      <c r="I18" s="132">
        <v>34102.629999999997</v>
      </c>
      <c r="J18" s="132"/>
      <c r="K18" s="133" t="s">
        <v>8</v>
      </c>
      <c r="L18" s="134">
        <v>9334198.5</v>
      </c>
    </row>
    <row r="19" spans="1:12" ht="61.2" x14ac:dyDescent="0.3">
      <c r="A19" s="128" t="s">
        <v>60</v>
      </c>
      <c r="B19" s="129" t="s">
        <v>805</v>
      </c>
      <c r="C19" s="129" t="s">
        <v>806</v>
      </c>
      <c r="D19" s="129" t="s">
        <v>823</v>
      </c>
      <c r="E19" s="130" t="s">
        <v>105</v>
      </c>
      <c r="F19" s="131" t="s">
        <v>15</v>
      </c>
      <c r="G19" s="131"/>
      <c r="H19" s="130" t="s">
        <v>808</v>
      </c>
      <c r="I19" s="132">
        <v>126439.95</v>
      </c>
      <c r="J19" s="132"/>
      <c r="K19" s="133" t="s">
        <v>8</v>
      </c>
      <c r="L19" s="134">
        <v>9207758.5500000007</v>
      </c>
    </row>
    <row r="20" spans="1:12" ht="51" x14ac:dyDescent="0.3">
      <c r="A20" s="128" t="s">
        <v>60</v>
      </c>
      <c r="B20" s="129" t="s">
        <v>824</v>
      </c>
      <c r="C20" s="129" t="s">
        <v>806</v>
      </c>
      <c r="D20" s="129" t="s">
        <v>825</v>
      </c>
      <c r="E20" s="130" t="s">
        <v>105</v>
      </c>
      <c r="F20" s="131" t="s">
        <v>15</v>
      </c>
      <c r="G20" s="131"/>
      <c r="H20" s="130" t="s">
        <v>808</v>
      </c>
      <c r="I20" s="132">
        <v>36421.11</v>
      </c>
      <c r="J20" s="132"/>
      <c r="K20" s="133" t="s">
        <v>8</v>
      </c>
      <c r="L20" s="134">
        <v>9171337.4399999995</v>
      </c>
    </row>
    <row r="21" spans="1:12" ht="61.2" x14ac:dyDescent="0.3">
      <c r="A21" s="128" t="s">
        <v>60</v>
      </c>
      <c r="B21" s="129" t="s">
        <v>824</v>
      </c>
      <c r="C21" s="129" t="s">
        <v>806</v>
      </c>
      <c r="D21" s="129" t="s">
        <v>826</v>
      </c>
      <c r="E21" s="130" t="s">
        <v>105</v>
      </c>
      <c r="F21" s="131" t="s">
        <v>15</v>
      </c>
      <c r="G21" s="131"/>
      <c r="H21" s="130" t="s">
        <v>808</v>
      </c>
      <c r="I21" s="132">
        <v>5023.5</v>
      </c>
      <c r="J21" s="132"/>
      <c r="K21" s="133" t="s">
        <v>8</v>
      </c>
      <c r="L21" s="134">
        <v>9166313.9399999995</v>
      </c>
    </row>
    <row r="22" spans="1:12" ht="61.2" x14ac:dyDescent="0.3">
      <c r="A22" s="128" t="s">
        <v>60</v>
      </c>
      <c r="B22" s="129" t="s">
        <v>824</v>
      </c>
      <c r="C22" s="129" t="s">
        <v>806</v>
      </c>
      <c r="D22" s="129" t="s">
        <v>826</v>
      </c>
      <c r="E22" s="130" t="s">
        <v>105</v>
      </c>
      <c r="F22" s="131" t="s">
        <v>15</v>
      </c>
      <c r="G22" s="131"/>
      <c r="H22" s="130" t="s">
        <v>808</v>
      </c>
      <c r="I22" s="132">
        <v>2167.5</v>
      </c>
      <c r="J22" s="132"/>
      <c r="K22" s="133" t="s">
        <v>8</v>
      </c>
      <c r="L22" s="134">
        <v>9164146.4399999995</v>
      </c>
    </row>
    <row r="23" spans="1:12" ht="51" x14ac:dyDescent="0.3">
      <c r="A23" s="128" t="s">
        <v>60</v>
      </c>
      <c r="B23" s="129" t="s">
        <v>824</v>
      </c>
      <c r="C23" s="129" t="s">
        <v>806</v>
      </c>
      <c r="D23" s="129" t="s">
        <v>827</v>
      </c>
      <c r="E23" s="130" t="s">
        <v>105</v>
      </c>
      <c r="F23" s="131" t="s">
        <v>15</v>
      </c>
      <c r="G23" s="131"/>
      <c r="H23" s="130" t="s">
        <v>808</v>
      </c>
      <c r="I23" s="132">
        <v>1779.9</v>
      </c>
      <c r="J23" s="132"/>
      <c r="K23" s="133" t="s">
        <v>8</v>
      </c>
      <c r="L23" s="134">
        <v>9162366.5399999991</v>
      </c>
    </row>
    <row r="24" spans="1:12" ht="51" x14ac:dyDescent="0.3">
      <c r="A24" s="128" t="s">
        <v>60</v>
      </c>
      <c r="B24" s="129" t="s">
        <v>824</v>
      </c>
      <c r="C24" s="129" t="s">
        <v>806</v>
      </c>
      <c r="D24" s="129" t="s">
        <v>828</v>
      </c>
      <c r="E24" s="130" t="s">
        <v>105</v>
      </c>
      <c r="F24" s="131" t="s">
        <v>15</v>
      </c>
      <c r="G24" s="131"/>
      <c r="H24" s="130" t="s">
        <v>808</v>
      </c>
      <c r="I24" s="132">
        <v>12250.68</v>
      </c>
      <c r="J24" s="132"/>
      <c r="K24" s="133" t="s">
        <v>8</v>
      </c>
      <c r="L24" s="134">
        <v>9150115.8599999994</v>
      </c>
    </row>
    <row r="25" spans="1:12" ht="61.2" x14ac:dyDescent="0.3">
      <c r="A25" s="128" t="s">
        <v>60</v>
      </c>
      <c r="B25" s="129" t="s">
        <v>824</v>
      </c>
      <c r="C25" s="129" t="s">
        <v>806</v>
      </c>
      <c r="D25" s="129" t="s">
        <v>829</v>
      </c>
      <c r="E25" s="130" t="s">
        <v>105</v>
      </c>
      <c r="F25" s="131" t="s">
        <v>15</v>
      </c>
      <c r="G25" s="131"/>
      <c r="H25" s="130" t="s">
        <v>808</v>
      </c>
      <c r="I25" s="132">
        <v>29925.33</v>
      </c>
      <c r="J25" s="132"/>
      <c r="K25" s="133" t="s">
        <v>8</v>
      </c>
      <c r="L25" s="134">
        <v>9120190.5299999993</v>
      </c>
    </row>
    <row r="26" spans="1:12" ht="51" x14ac:dyDescent="0.3">
      <c r="A26" s="128" t="s">
        <v>60</v>
      </c>
      <c r="B26" s="129" t="s">
        <v>824</v>
      </c>
      <c r="C26" s="129" t="s">
        <v>806</v>
      </c>
      <c r="D26" s="129" t="s">
        <v>830</v>
      </c>
      <c r="E26" s="130" t="s">
        <v>105</v>
      </c>
      <c r="F26" s="131" t="s">
        <v>15</v>
      </c>
      <c r="G26" s="131"/>
      <c r="H26" s="130" t="s">
        <v>808</v>
      </c>
      <c r="I26" s="132">
        <v>8491.6</v>
      </c>
      <c r="J26" s="132"/>
      <c r="K26" s="133" t="s">
        <v>8</v>
      </c>
      <c r="L26" s="134">
        <v>9111698.9299999997</v>
      </c>
    </row>
    <row r="27" spans="1:12" ht="61.2" x14ac:dyDescent="0.3">
      <c r="A27" s="128" t="s">
        <v>60</v>
      </c>
      <c r="B27" s="129" t="s">
        <v>824</v>
      </c>
      <c r="C27" s="129" t="s">
        <v>806</v>
      </c>
      <c r="D27" s="129" t="s">
        <v>829</v>
      </c>
      <c r="E27" s="130" t="s">
        <v>105</v>
      </c>
      <c r="F27" s="131" t="s">
        <v>15</v>
      </c>
      <c r="G27" s="131"/>
      <c r="H27" s="130" t="s">
        <v>808</v>
      </c>
      <c r="I27" s="132">
        <v>21742.62</v>
      </c>
      <c r="J27" s="132"/>
      <c r="K27" s="133" t="s">
        <v>8</v>
      </c>
      <c r="L27" s="134">
        <v>9089956.3100000005</v>
      </c>
    </row>
    <row r="28" spans="1:12" ht="61.2" x14ac:dyDescent="0.3">
      <c r="A28" s="128" t="s">
        <v>60</v>
      </c>
      <c r="B28" s="129" t="s">
        <v>824</v>
      </c>
      <c r="C28" s="129" t="s">
        <v>806</v>
      </c>
      <c r="D28" s="129" t="s">
        <v>831</v>
      </c>
      <c r="E28" s="130" t="s">
        <v>105</v>
      </c>
      <c r="F28" s="131" t="s">
        <v>15</v>
      </c>
      <c r="G28" s="131"/>
      <c r="H28" s="130" t="s">
        <v>808</v>
      </c>
      <c r="I28" s="132">
        <v>5023.08</v>
      </c>
      <c r="J28" s="132"/>
      <c r="K28" s="133" t="s">
        <v>8</v>
      </c>
      <c r="L28" s="134">
        <v>9084933.2300000004</v>
      </c>
    </row>
    <row r="29" spans="1:12" ht="61.2" x14ac:dyDescent="0.3">
      <c r="A29" s="128" t="s">
        <v>60</v>
      </c>
      <c r="B29" s="129" t="s">
        <v>824</v>
      </c>
      <c r="C29" s="129" t="s">
        <v>806</v>
      </c>
      <c r="D29" s="129" t="s">
        <v>815</v>
      </c>
      <c r="E29" s="130" t="s">
        <v>105</v>
      </c>
      <c r="F29" s="131" t="s">
        <v>15</v>
      </c>
      <c r="G29" s="131"/>
      <c r="H29" s="130" t="s">
        <v>808</v>
      </c>
      <c r="I29" s="132">
        <v>4317.3</v>
      </c>
      <c r="J29" s="132"/>
      <c r="K29" s="133" t="s">
        <v>8</v>
      </c>
      <c r="L29" s="134">
        <v>9080615.9299999997</v>
      </c>
    </row>
    <row r="30" spans="1:12" ht="61.2" x14ac:dyDescent="0.3">
      <c r="A30" s="128" t="s">
        <v>60</v>
      </c>
      <c r="B30" s="129" t="s">
        <v>824</v>
      </c>
      <c r="C30" s="129" t="s">
        <v>806</v>
      </c>
      <c r="D30" s="129" t="s">
        <v>816</v>
      </c>
      <c r="E30" s="130" t="s">
        <v>105</v>
      </c>
      <c r="F30" s="131" t="s">
        <v>15</v>
      </c>
      <c r="G30" s="131"/>
      <c r="H30" s="130" t="s">
        <v>808</v>
      </c>
      <c r="I30" s="132">
        <v>14907.83</v>
      </c>
      <c r="J30" s="132"/>
      <c r="K30" s="133" t="s">
        <v>8</v>
      </c>
      <c r="L30" s="134">
        <v>9065708.0999999996</v>
      </c>
    </row>
    <row r="31" spans="1:12" ht="61.2" x14ac:dyDescent="0.3">
      <c r="A31" s="128" t="s">
        <v>60</v>
      </c>
      <c r="B31" s="129" t="s">
        <v>824</v>
      </c>
      <c r="C31" s="129" t="s">
        <v>806</v>
      </c>
      <c r="D31" s="129" t="s">
        <v>832</v>
      </c>
      <c r="E31" s="130" t="s">
        <v>105</v>
      </c>
      <c r="F31" s="131" t="s">
        <v>15</v>
      </c>
      <c r="G31" s="131"/>
      <c r="H31" s="130" t="s">
        <v>808</v>
      </c>
      <c r="I31" s="132">
        <v>1040.8800000000001</v>
      </c>
      <c r="J31" s="132"/>
      <c r="K31" s="133" t="s">
        <v>8</v>
      </c>
      <c r="L31" s="134">
        <v>9064667.2200000007</v>
      </c>
    </row>
    <row r="32" spans="1:12" ht="51" x14ac:dyDescent="0.3">
      <c r="A32" s="128" t="s">
        <v>60</v>
      </c>
      <c r="B32" s="129" t="s">
        <v>824</v>
      </c>
      <c r="C32" s="129" t="s">
        <v>806</v>
      </c>
      <c r="D32" s="129" t="s">
        <v>833</v>
      </c>
      <c r="E32" s="130" t="s">
        <v>105</v>
      </c>
      <c r="F32" s="131" t="s">
        <v>15</v>
      </c>
      <c r="G32" s="131"/>
      <c r="H32" s="130" t="s">
        <v>808</v>
      </c>
      <c r="I32" s="132">
        <v>5697.53</v>
      </c>
      <c r="J32" s="132"/>
      <c r="K32" s="133" t="s">
        <v>8</v>
      </c>
      <c r="L32" s="134">
        <v>9058969.6899999995</v>
      </c>
    </row>
    <row r="33" spans="1:12" ht="61.2" x14ac:dyDescent="0.3">
      <c r="A33" s="128" t="s">
        <v>60</v>
      </c>
      <c r="B33" s="129" t="s">
        <v>824</v>
      </c>
      <c r="C33" s="129" t="s">
        <v>806</v>
      </c>
      <c r="D33" s="129" t="s">
        <v>817</v>
      </c>
      <c r="E33" s="130" t="s">
        <v>105</v>
      </c>
      <c r="F33" s="131" t="s">
        <v>15</v>
      </c>
      <c r="G33" s="131"/>
      <c r="H33" s="130" t="s">
        <v>808</v>
      </c>
      <c r="I33" s="132">
        <v>18832.740000000002</v>
      </c>
      <c r="J33" s="132"/>
      <c r="K33" s="133" t="s">
        <v>8</v>
      </c>
      <c r="L33" s="134">
        <v>9040136.9499999993</v>
      </c>
    </row>
    <row r="34" spans="1:12" ht="51" x14ac:dyDescent="0.3">
      <c r="A34" s="128" t="s">
        <v>60</v>
      </c>
      <c r="B34" s="129" t="s">
        <v>824</v>
      </c>
      <c r="C34" s="129" t="s">
        <v>806</v>
      </c>
      <c r="D34" s="129" t="s">
        <v>818</v>
      </c>
      <c r="E34" s="130" t="s">
        <v>105</v>
      </c>
      <c r="F34" s="131" t="s">
        <v>15</v>
      </c>
      <c r="G34" s="131"/>
      <c r="H34" s="130" t="s">
        <v>808</v>
      </c>
      <c r="I34" s="132">
        <v>7047</v>
      </c>
      <c r="J34" s="132"/>
      <c r="K34" s="133" t="s">
        <v>8</v>
      </c>
      <c r="L34" s="134">
        <v>9033089.9499999993</v>
      </c>
    </row>
    <row r="35" spans="1:12" ht="61.2" x14ac:dyDescent="0.3">
      <c r="A35" s="128" t="s">
        <v>60</v>
      </c>
      <c r="B35" s="129" t="s">
        <v>824</v>
      </c>
      <c r="C35" s="129" t="s">
        <v>806</v>
      </c>
      <c r="D35" s="129" t="s">
        <v>820</v>
      </c>
      <c r="E35" s="130" t="s">
        <v>105</v>
      </c>
      <c r="F35" s="131" t="s">
        <v>15</v>
      </c>
      <c r="G35" s="131"/>
      <c r="H35" s="130" t="s">
        <v>808</v>
      </c>
      <c r="I35" s="132">
        <v>2347.5500000000002</v>
      </c>
      <c r="J35" s="132"/>
      <c r="K35" s="133" t="s">
        <v>8</v>
      </c>
      <c r="L35" s="134">
        <v>9030742.4000000004</v>
      </c>
    </row>
    <row r="36" spans="1:12" ht="51" x14ac:dyDescent="0.3">
      <c r="A36" s="128" t="s">
        <v>60</v>
      </c>
      <c r="B36" s="129" t="s">
        <v>824</v>
      </c>
      <c r="C36" s="129" t="s">
        <v>806</v>
      </c>
      <c r="D36" s="129" t="s">
        <v>834</v>
      </c>
      <c r="E36" s="130" t="s">
        <v>105</v>
      </c>
      <c r="F36" s="131" t="s">
        <v>15</v>
      </c>
      <c r="G36" s="131"/>
      <c r="H36" s="130" t="s">
        <v>808</v>
      </c>
      <c r="I36" s="132">
        <v>1068.28</v>
      </c>
      <c r="J36" s="132"/>
      <c r="K36" s="133" t="s">
        <v>8</v>
      </c>
      <c r="L36" s="134">
        <v>9029674.1199999992</v>
      </c>
    </row>
    <row r="37" spans="1:12" ht="61.2" x14ac:dyDescent="0.3">
      <c r="A37" s="128" t="s">
        <v>60</v>
      </c>
      <c r="B37" s="129" t="s">
        <v>835</v>
      </c>
      <c r="C37" s="129" t="s">
        <v>806</v>
      </c>
      <c r="D37" s="129" t="s">
        <v>807</v>
      </c>
      <c r="E37" s="130" t="s">
        <v>105</v>
      </c>
      <c r="F37" s="131" t="s">
        <v>15</v>
      </c>
      <c r="G37" s="131"/>
      <c r="H37" s="130" t="s">
        <v>808</v>
      </c>
      <c r="I37" s="132">
        <v>1759.33</v>
      </c>
      <c r="J37" s="132"/>
      <c r="K37" s="133" t="s">
        <v>8</v>
      </c>
      <c r="L37" s="134">
        <v>9027914.7899999991</v>
      </c>
    </row>
    <row r="38" spans="1:12" ht="61.2" x14ac:dyDescent="0.3">
      <c r="A38" s="128" t="s">
        <v>60</v>
      </c>
      <c r="B38" s="129" t="s">
        <v>835</v>
      </c>
      <c r="C38" s="129" t="s">
        <v>806</v>
      </c>
      <c r="D38" s="129" t="s">
        <v>836</v>
      </c>
      <c r="E38" s="130" t="s">
        <v>105</v>
      </c>
      <c r="F38" s="131" t="s">
        <v>15</v>
      </c>
      <c r="G38" s="131"/>
      <c r="H38" s="130" t="s">
        <v>808</v>
      </c>
      <c r="I38" s="132">
        <v>14169.96</v>
      </c>
      <c r="J38" s="132"/>
      <c r="K38" s="133" t="s">
        <v>8</v>
      </c>
      <c r="L38" s="134">
        <v>9013744.8300000001</v>
      </c>
    </row>
    <row r="39" spans="1:12" ht="61.2" x14ac:dyDescent="0.3">
      <c r="A39" s="128" t="s">
        <v>60</v>
      </c>
      <c r="B39" s="129" t="s">
        <v>835</v>
      </c>
      <c r="C39" s="129" t="s">
        <v>806</v>
      </c>
      <c r="D39" s="129" t="s">
        <v>826</v>
      </c>
      <c r="E39" s="130" t="s">
        <v>105</v>
      </c>
      <c r="F39" s="131" t="s">
        <v>15</v>
      </c>
      <c r="G39" s="131"/>
      <c r="H39" s="130" t="s">
        <v>808</v>
      </c>
      <c r="I39" s="132">
        <v>18079.5</v>
      </c>
      <c r="J39" s="132"/>
      <c r="K39" s="133" t="s">
        <v>8</v>
      </c>
      <c r="L39" s="134">
        <v>8995665.3300000001</v>
      </c>
    </row>
    <row r="40" spans="1:12" ht="61.2" x14ac:dyDescent="0.3">
      <c r="A40" s="128" t="s">
        <v>60</v>
      </c>
      <c r="B40" s="129" t="s">
        <v>835</v>
      </c>
      <c r="C40" s="129" t="s">
        <v>806</v>
      </c>
      <c r="D40" s="129" t="s">
        <v>837</v>
      </c>
      <c r="E40" s="130" t="s">
        <v>105</v>
      </c>
      <c r="F40" s="131" t="s">
        <v>15</v>
      </c>
      <c r="G40" s="131"/>
      <c r="H40" s="130" t="s">
        <v>808</v>
      </c>
      <c r="I40" s="132">
        <v>2224.17</v>
      </c>
      <c r="J40" s="132"/>
      <c r="K40" s="133" t="s">
        <v>8</v>
      </c>
      <c r="L40" s="134">
        <v>8993441.1600000001</v>
      </c>
    </row>
    <row r="41" spans="1:12" ht="51" x14ac:dyDescent="0.3">
      <c r="A41" s="128" t="s">
        <v>60</v>
      </c>
      <c r="B41" s="129" t="s">
        <v>835</v>
      </c>
      <c r="C41" s="129" t="s">
        <v>806</v>
      </c>
      <c r="D41" s="129" t="s">
        <v>838</v>
      </c>
      <c r="E41" s="130" t="s">
        <v>105</v>
      </c>
      <c r="F41" s="131" t="s">
        <v>15</v>
      </c>
      <c r="G41" s="131"/>
      <c r="H41" s="130" t="s">
        <v>808</v>
      </c>
      <c r="I41" s="132">
        <v>82949.27</v>
      </c>
      <c r="J41" s="132"/>
      <c r="K41" s="133" t="s">
        <v>8</v>
      </c>
      <c r="L41" s="134">
        <v>8910491.8900000006</v>
      </c>
    </row>
    <row r="42" spans="1:12" ht="61.2" x14ac:dyDescent="0.3">
      <c r="A42" s="128" t="s">
        <v>60</v>
      </c>
      <c r="B42" s="129" t="s">
        <v>835</v>
      </c>
      <c r="C42" s="129" t="s">
        <v>806</v>
      </c>
      <c r="D42" s="129" t="s">
        <v>831</v>
      </c>
      <c r="E42" s="130" t="s">
        <v>105</v>
      </c>
      <c r="F42" s="131" t="s">
        <v>15</v>
      </c>
      <c r="G42" s="131"/>
      <c r="H42" s="130" t="s">
        <v>808</v>
      </c>
      <c r="I42" s="132">
        <v>21428.75</v>
      </c>
      <c r="J42" s="132"/>
      <c r="K42" s="133" t="s">
        <v>8</v>
      </c>
      <c r="L42" s="134">
        <v>8889063.1400000006</v>
      </c>
    </row>
    <row r="43" spans="1:12" ht="61.2" x14ac:dyDescent="0.3">
      <c r="A43" s="128" t="s">
        <v>60</v>
      </c>
      <c r="B43" s="129" t="s">
        <v>835</v>
      </c>
      <c r="C43" s="129" t="s">
        <v>806</v>
      </c>
      <c r="D43" s="129" t="s">
        <v>814</v>
      </c>
      <c r="E43" s="130" t="s">
        <v>105</v>
      </c>
      <c r="F43" s="131" t="s">
        <v>15</v>
      </c>
      <c r="G43" s="131"/>
      <c r="H43" s="130" t="s">
        <v>808</v>
      </c>
      <c r="I43" s="135">
        <v>138.37</v>
      </c>
      <c r="J43" s="135"/>
      <c r="K43" s="133" t="s">
        <v>8</v>
      </c>
      <c r="L43" s="134">
        <v>8888924.7699999996</v>
      </c>
    </row>
    <row r="44" spans="1:12" ht="61.2" x14ac:dyDescent="0.3">
      <c r="A44" s="128" t="s">
        <v>60</v>
      </c>
      <c r="B44" s="129" t="s">
        <v>835</v>
      </c>
      <c r="C44" s="129" t="s">
        <v>806</v>
      </c>
      <c r="D44" s="129" t="s">
        <v>815</v>
      </c>
      <c r="E44" s="130" t="s">
        <v>105</v>
      </c>
      <c r="F44" s="131" t="s">
        <v>15</v>
      </c>
      <c r="G44" s="131"/>
      <c r="H44" s="130" t="s">
        <v>808</v>
      </c>
      <c r="I44" s="132">
        <v>3071.93</v>
      </c>
      <c r="J44" s="132"/>
      <c r="K44" s="133" t="s">
        <v>8</v>
      </c>
      <c r="L44" s="134">
        <v>8885852.8399999999</v>
      </c>
    </row>
    <row r="45" spans="1:12" ht="61.2" x14ac:dyDescent="0.3">
      <c r="A45" s="128" t="s">
        <v>60</v>
      </c>
      <c r="B45" s="129" t="s">
        <v>835</v>
      </c>
      <c r="C45" s="129" t="s">
        <v>806</v>
      </c>
      <c r="D45" s="129" t="s">
        <v>832</v>
      </c>
      <c r="E45" s="130" t="s">
        <v>105</v>
      </c>
      <c r="F45" s="131" t="s">
        <v>15</v>
      </c>
      <c r="G45" s="131"/>
      <c r="H45" s="130" t="s">
        <v>808</v>
      </c>
      <c r="I45" s="132">
        <v>19886.349999999999</v>
      </c>
      <c r="J45" s="132"/>
      <c r="K45" s="133" t="s">
        <v>8</v>
      </c>
      <c r="L45" s="134">
        <v>8865966.4900000002</v>
      </c>
    </row>
    <row r="46" spans="1:12" ht="61.2" x14ac:dyDescent="0.3">
      <c r="A46" s="128" t="s">
        <v>60</v>
      </c>
      <c r="B46" s="129" t="s">
        <v>835</v>
      </c>
      <c r="C46" s="129" t="s">
        <v>806</v>
      </c>
      <c r="D46" s="129" t="s">
        <v>817</v>
      </c>
      <c r="E46" s="130" t="s">
        <v>105</v>
      </c>
      <c r="F46" s="131" t="s">
        <v>15</v>
      </c>
      <c r="G46" s="131"/>
      <c r="H46" s="130" t="s">
        <v>808</v>
      </c>
      <c r="I46" s="132">
        <v>11731.87</v>
      </c>
      <c r="J46" s="132"/>
      <c r="K46" s="133" t="s">
        <v>8</v>
      </c>
      <c r="L46" s="134">
        <v>8854234.6199999992</v>
      </c>
    </row>
    <row r="47" spans="1:12" ht="51" x14ac:dyDescent="0.3">
      <c r="A47" s="128" t="s">
        <v>60</v>
      </c>
      <c r="B47" s="129" t="s">
        <v>835</v>
      </c>
      <c r="C47" s="129" t="s">
        <v>806</v>
      </c>
      <c r="D47" s="129" t="s">
        <v>818</v>
      </c>
      <c r="E47" s="130" t="s">
        <v>105</v>
      </c>
      <c r="F47" s="131" t="s">
        <v>15</v>
      </c>
      <c r="G47" s="131"/>
      <c r="H47" s="130" t="s">
        <v>808</v>
      </c>
      <c r="I47" s="132">
        <v>11397</v>
      </c>
      <c r="J47" s="132"/>
      <c r="K47" s="133" t="s">
        <v>8</v>
      </c>
      <c r="L47" s="134">
        <v>8842837.6199999992</v>
      </c>
    </row>
    <row r="48" spans="1:12" ht="61.2" x14ac:dyDescent="0.3">
      <c r="A48" s="128" t="s">
        <v>60</v>
      </c>
      <c r="B48" s="129" t="s">
        <v>835</v>
      </c>
      <c r="C48" s="129" t="s">
        <v>806</v>
      </c>
      <c r="D48" s="129" t="s">
        <v>820</v>
      </c>
      <c r="E48" s="130" t="s">
        <v>105</v>
      </c>
      <c r="F48" s="131" t="s">
        <v>15</v>
      </c>
      <c r="G48" s="131"/>
      <c r="H48" s="130" t="s">
        <v>808</v>
      </c>
      <c r="I48" s="132">
        <v>2590.4</v>
      </c>
      <c r="J48" s="132"/>
      <c r="K48" s="133" t="s">
        <v>8</v>
      </c>
      <c r="L48" s="134">
        <v>8840247.2200000007</v>
      </c>
    </row>
    <row r="49" spans="1:12" ht="61.2" x14ac:dyDescent="0.3">
      <c r="A49" s="128" t="s">
        <v>60</v>
      </c>
      <c r="B49" s="129" t="s">
        <v>835</v>
      </c>
      <c r="C49" s="129" t="s">
        <v>806</v>
      </c>
      <c r="D49" s="129" t="s">
        <v>822</v>
      </c>
      <c r="E49" s="130" t="s">
        <v>105</v>
      </c>
      <c r="F49" s="131" t="s">
        <v>15</v>
      </c>
      <c r="G49" s="131"/>
      <c r="H49" s="130" t="s">
        <v>808</v>
      </c>
      <c r="I49" s="132">
        <v>20680.71</v>
      </c>
      <c r="J49" s="132"/>
      <c r="K49" s="133" t="s">
        <v>8</v>
      </c>
      <c r="L49" s="134">
        <v>8819566.5099999998</v>
      </c>
    </row>
    <row r="50" spans="1:12" ht="61.2" x14ac:dyDescent="0.3">
      <c r="A50" s="128" t="s">
        <v>60</v>
      </c>
      <c r="B50" s="129" t="s">
        <v>835</v>
      </c>
      <c r="C50" s="129" t="s">
        <v>806</v>
      </c>
      <c r="D50" s="129" t="s">
        <v>823</v>
      </c>
      <c r="E50" s="130" t="s">
        <v>105</v>
      </c>
      <c r="F50" s="131" t="s">
        <v>15</v>
      </c>
      <c r="G50" s="131"/>
      <c r="H50" s="130" t="s">
        <v>808</v>
      </c>
      <c r="I50" s="132">
        <v>74834.039999999994</v>
      </c>
      <c r="J50" s="132"/>
      <c r="K50" s="133" t="s">
        <v>8</v>
      </c>
      <c r="L50" s="134">
        <v>8744732.4700000007</v>
      </c>
    </row>
    <row r="51" spans="1:12" ht="61.2" x14ac:dyDescent="0.3">
      <c r="A51" s="128" t="s">
        <v>60</v>
      </c>
      <c r="B51" s="129" t="s">
        <v>839</v>
      </c>
      <c r="C51" s="129" t="s">
        <v>806</v>
      </c>
      <c r="D51" s="129" t="s">
        <v>836</v>
      </c>
      <c r="E51" s="130" t="s">
        <v>105</v>
      </c>
      <c r="F51" s="131" t="s">
        <v>15</v>
      </c>
      <c r="G51" s="131"/>
      <c r="H51" s="130" t="s">
        <v>808</v>
      </c>
      <c r="I51" s="132">
        <v>11688.42</v>
      </c>
      <c r="J51" s="132"/>
      <c r="K51" s="133" t="s">
        <v>8</v>
      </c>
      <c r="L51" s="134">
        <v>8733044.0500000007</v>
      </c>
    </row>
    <row r="52" spans="1:12" ht="51" x14ac:dyDescent="0.3">
      <c r="A52" s="128" t="s">
        <v>60</v>
      </c>
      <c r="B52" s="129" t="s">
        <v>839</v>
      </c>
      <c r="C52" s="129" t="s">
        <v>806</v>
      </c>
      <c r="D52" s="129" t="s">
        <v>827</v>
      </c>
      <c r="E52" s="130" t="s">
        <v>105</v>
      </c>
      <c r="F52" s="131" t="s">
        <v>15</v>
      </c>
      <c r="G52" s="131"/>
      <c r="H52" s="130" t="s">
        <v>808</v>
      </c>
      <c r="I52" s="132">
        <v>37534.949999999997</v>
      </c>
      <c r="J52" s="132"/>
      <c r="K52" s="133" t="s">
        <v>8</v>
      </c>
      <c r="L52" s="134">
        <v>8695509.0999999996</v>
      </c>
    </row>
    <row r="53" spans="1:12" ht="51" x14ac:dyDescent="0.3">
      <c r="A53" s="128" t="s">
        <v>60</v>
      </c>
      <c r="B53" s="129" t="s">
        <v>839</v>
      </c>
      <c r="C53" s="129" t="s">
        <v>806</v>
      </c>
      <c r="D53" s="129" t="s">
        <v>838</v>
      </c>
      <c r="E53" s="130" t="s">
        <v>105</v>
      </c>
      <c r="F53" s="131" t="s">
        <v>15</v>
      </c>
      <c r="G53" s="131"/>
      <c r="H53" s="130" t="s">
        <v>808</v>
      </c>
      <c r="I53" s="132">
        <v>13559.92</v>
      </c>
      <c r="J53" s="132"/>
      <c r="K53" s="133" t="s">
        <v>8</v>
      </c>
      <c r="L53" s="134">
        <v>8681949.1799999997</v>
      </c>
    </row>
    <row r="54" spans="1:12" ht="61.2" x14ac:dyDescent="0.3">
      <c r="A54" s="128" t="s">
        <v>60</v>
      </c>
      <c r="B54" s="129" t="s">
        <v>839</v>
      </c>
      <c r="C54" s="129" t="s">
        <v>806</v>
      </c>
      <c r="D54" s="129" t="s">
        <v>815</v>
      </c>
      <c r="E54" s="130" t="s">
        <v>105</v>
      </c>
      <c r="F54" s="131" t="s">
        <v>15</v>
      </c>
      <c r="G54" s="131"/>
      <c r="H54" s="130" t="s">
        <v>808</v>
      </c>
      <c r="I54" s="132">
        <v>4483.3500000000004</v>
      </c>
      <c r="J54" s="132"/>
      <c r="K54" s="133" t="s">
        <v>8</v>
      </c>
      <c r="L54" s="134">
        <v>8677465.8300000001</v>
      </c>
    </row>
    <row r="55" spans="1:12" ht="61.2" x14ac:dyDescent="0.3">
      <c r="A55" s="128" t="s">
        <v>60</v>
      </c>
      <c r="B55" s="129" t="s">
        <v>839</v>
      </c>
      <c r="C55" s="129" t="s">
        <v>806</v>
      </c>
      <c r="D55" s="129" t="s">
        <v>840</v>
      </c>
      <c r="E55" s="130" t="s">
        <v>105</v>
      </c>
      <c r="F55" s="131" t="s">
        <v>15</v>
      </c>
      <c r="G55" s="131"/>
      <c r="H55" s="130" t="s">
        <v>808</v>
      </c>
      <c r="I55" s="132">
        <v>12249.38</v>
      </c>
      <c r="J55" s="132"/>
      <c r="K55" s="133" t="s">
        <v>8</v>
      </c>
      <c r="L55" s="134">
        <v>8665216.4499999993</v>
      </c>
    </row>
    <row r="56" spans="1:12" ht="51" x14ac:dyDescent="0.3">
      <c r="A56" s="128" t="s">
        <v>60</v>
      </c>
      <c r="B56" s="129" t="s">
        <v>839</v>
      </c>
      <c r="C56" s="129" t="s">
        <v>806</v>
      </c>
      <c r="D56" s="129" t="s">
        <v>818</v>
      </c>
      <c r="E56" s="130" t="s">
        <v>105</v>
      </c>
      <c r="F56" s="131" t="s">
        <v>15</v>
      </c>
      <c r="G56" s="131"/>
      <c r="H56" s="130" t="s">
        <v>808</v>
      </c>
      <c r="I56" s="132">
        <v>14181</v>
      </c>
      <c r="J56" s="132"/>
      <c r="K56" s="133" t="s">
        <v>8</v>
      </c>
      <c r="L56" s="134">
        <v>8651035.4499999993</v>
      </c>
    </row>
    <row r="57" spans="1:12" ht="61.2" x14ac:dyDescent="0.3">
      <c r="A57" s="128" t="s">
        <v>60</v>
      </c>
      <c r="B57" s="129" t="s">
        <v>839</v>
      </c>
      <c r="C57" s="129" t="s">
        <v>806</v>
      </c>
      <c r="D57" s="129" t="s">
        <v>831</v>
      </c>
      <c r="E57" s="130" t="s">
        <v>105</v>
      </c>
      <c r="F57" s="131" t="s">
        <v>15</v>
      </c>
      <c r="G57" s="131"/>
      <c r="H57" s="130" t="s">
        <v>808</v>
      </c>
      <c r="I57" s="132">
        <v>76314</v>
      </c>
      <c r="J57" s="132"/>
      <c r="K57" s="133" t="s">
        <v>8</v>
      </c>
      <c r="L57" s="134">
        <v>8574721.4499999993</v>
      </c>
    </row>
    <row r="58" spans="1:12" ht="61.2" x14ac:dyDescent="0.3">
      <c r="A58" s="128" t="s">
        <v>60</v>
      </c>
      <c r="B58" s="129" t="s">
        <v>839</v>
      </c>
      <c r="C58" s="129" t="s">
        <v>806</v>
      </c>
      <c r="D58" s="129" t="s">
        <v>820</v>
      </c>
      <c r="E58" s="130" t="s">
        <v>105</v>
      </c>
      <c r="F58" s="131" t="s">
        <v>15</v>
      </c>
      <c r="G58" s="131"/>
      <c r="H58" s="130" t="s">
        <v>808</v>
      </c>
      <c r="I58" s="132">
        <v>5342.7</v>
      </c>
      <c r="J58" s="132"/>
      <c r="K58" s="133" t="s">
        <v>8</v>
      </c>
      <c r="L58" s="134">
        <v>8569378.75</v>
      </c>
    </row>
    <row r="59" spans="1:12" ht="61.2" x14ac:dyDescent="0.3">
      <c r="A59" s="128" t="s">
        <v>60</v>
      </c>
      <c r="B59" s="129" t="s">
        <v>839</v>
      </c>
      <c r="C59" s="129" t="s">
        <v>806</v>
      </c>
      <c r="D59" s="129" t="s">
        <v>841</v>
      </c>
      <c r="E59" s="130" t="s">
        <v>105</v>
      </c>
      <c r="F59" s="131" t="s">
        <v>15</v>
      </c>
      <c r="G59" s="131"/>
      <c r="H59" s="130" t="s">
        <v>808</v>
      </c>
      <c r="I59" s="132">
        <v>38896.17</v>
      </c>
      <c r="J59" s="132"/>
      <c r="K59" s="133" t="s">
        <v>8</v>
      </c>
      <c r="L59" s="134">
        <v>8530482.5800000001</v>
      </c>
    </row>
    <row r="60" spans="1:12" ht="61.2" x14ac:dyDescent="0.3">
      <c r="A60" s="128" t="s">
        <v>60</v>
      </c>
      <c r="B60" s="129" t="s">
        <v>839</v>
      </c>
      <c r="C60" s="129" t="s">
        <v>806</v>
      </c>
      <c r="D60" s="129" t="s">
        <v>832</v>
      </c>
      <c r="E60" s="130" t="s">
        <v>105</v>
      </c>
      <c r="F60" s="131" t="s">
        <v>15</v>
      </c>
      <c r="G60" s="131"/>
      <c r="H60" s="130" t="s">
        <v>808</v>
      </c>
      <c r="I60" s="132">
        <v>14599.76</v>
      </c>
      <c r="J60" s="132"/>
      <c r="K60" s="133" t="s">
        <v>8</v>
      </c>
      <c r="L60" s="134">
        <v>8515882.8200000003</v>
      </c>
    </row>
    <row r="61" spans="1:12" ht="61.2" x14ac:dyDescent="0.3">
      <c r="A61" s="128" t="s">
        <v>60</v>
      </c>
      <c r="B61" s="129" t="s">
        <v>839</v>
      </c>
      <c r="C61" s="129" t="s">
        <v>806</v>
      </c>
      <c r="D61" s="129" t="s">
        <v>842</v>
      </c>
      <c r="E61" s="130" t="s">
        <v>105</v>
      </c>
      <c r="F61" s="131" t="s">
        <v>15</v>
      </c>
      <c r="G61" s="131"/>
      <c r="H61" s="130" t="s">
        <v>808</v>
      </c>
      <c r="I61" s="135">
        <v>140.38</v>
      </c>
      <c r="J61" s="135"/>
      <c r="K61" s="133" t="s">
        <v>8</v>
      </c>
      <c r="L61" s="134">
        <v>8515742.4399999995</v>
      </c>
    </row>
    <row r="62" spans="1:12" ht="61.2" x14ac:dyDescent="0.3">
      <c r="A62" s="128" t="s">
        <v>60</v>
      </c>
      <c r="B62" s="129" t="s">
        <v>839</v>
      </c>
      <c r="C62" s="129" t="s">
        <v>806</v>
      </c>
      <c r="D62" s="129" t="s">
        <v>817</v>
      </c>
      <c r="E62" s="130" t="s">
        <v>105</v>
      </c>
      <c r="F62" s="131" t="s">
        <v>15</v>
      </c>
      <c r="G62" s="131"/>
      <c r="H62" s="130" t="s">
        <v>808</v>
      </c>
      <c r="I62" s="132">
        <v>110498.48</v>
      </c>
      <c r="J62" s="132"/>
      <c r="K62" s="133" t="s">
        <v>8</v>
      </c>
      <c r="L62" s="134">
        <v>8405243.9600000009</v>
      </c>
    </row>
    <row r="63" spans="1:12" ht="51" x14ac:dyDescent="0.3">
      <c r="A63" s="128" t="s">
        <v>60</v>
      </c>
      <c r="B63" s="129" t="s">
        <v>839</v>
      </c>
      <c r="C63" s="129" t="s">
        <v>806</v>
      </c>
      <c r="D63" s="129" t="s">
        <v>834</v>
      </c>
      <c r="E63" s="130" t="s">
        <v>105</v>
      </c>
      <c r="F63" s="131" t="s">
        <v>15</v>
      </c>
      <c r="G63" s="131"/>
      <c r="H63" s="130" t="s">
        <v>808</v>
      </c>
      <c r="I63" s="132">
        <v>2903.52</v>
      </c>
      <c r="J63" s="132"/>
      <c r="K63" s="133" t="s">
        <v>8</v>
      </c>
      <c r="L63" s="134">
        <v>8402340.4399999995</v>
      </c>
    </row>
    <row r="64" spans="1:12" ht="61.2" x14ac:dyDescent="0.3">
      <c r="A64" s="128" t="s">
        <v>644</v>
      </c>
      <c r="B64" s="129" t="s">
        <v>843</v>
      </c>
      <c r="C64" s="129" t="s">
        <v>806</v>
      </c>
      <c r="D64" s="129" t="s">
        <v>836</v>
      </c>
      <c r="E64" s="130" t="s">
        <v>105</v>
      </c>
      <c r="F64" s="131" t="s">
        <v>15</v>
      </c>
      <c r="G64" s="131"/>
      <c r="H64" s="130" t="s">
        <v>808</v>
      </c>
      <c r="I64" s="132">
        <v>13270.85</v>
      </c>
      <c r="J64" s="132"/>
      <c r="K64" s="133" t="s">
        <v>8</v>
      </c>
      <c r="L64" s="134">
        <v>8389069.5899999999</v>
      </c>
    </row>
    <row r="65" spans="1:12" ht="51" x14ac:dyDescent="0.3">
      <c r="A65" s="128" t="s">
        <v>644</v>
      </c>
      <c r="B65" s="129" t="s">
        <v>843</v>
      </c>
      <c r="C65" s="129" t="s">
        <v>806</v>
      </c>
      <c r="D65" s="129" t="s">
        <v>810</v>
      </c>
      <c r="E65" s="130" t="s">
        <v>105</v>
      </c>
      <c r="F65" s="131" t="s">
        <v>15</v>
      </c>
      <c r="G65" s="131"/>
      <c r="H65" s="130" t="s">
        <v>808</v>
      </c>
      <c r="I65" s="132">
        <v>5090.46</v>
      </c>
      <c r="J65" s="132"/>
      <c r="K65" s="133" t="s">
        <v>8</v>
      </c>
      <c r="L65" s="134">
        <v>8383979.1299999999</v>
      </c>
    </row>
    <row r="66" spans="1:12" ht="51" x14ac:dyDescent="0.3">
      <c r="A66" s="128" t="s">
        <v>644</v>
      </c>
      <c r="B66" s="129" t="s">
        <v>843</v>
      </c>
      <c r="C66" s="129" t="s">
        <v>806</v>
      </c>
      <c r="D66" s="129" t="s">
        <v>844</v>
      </c>
      <c r="E66" s="130" t="s">
        <v>105</v>
      </c>
      <c r="F66" s="131" t="s">
        <v>15</v>
      </c>
      <c r="G66" s="131"/>
      <c r="H66" s="130" t="s">
        <v>808</v>
      </c>
      <c r="I66" s="132">
        <v>17627.34</v>
      </c>
      <c r="J66" s="132"/>
      <c r="K66" s="133" t="s">
        <v>8</v>
      </c>
      <c r="L66" s="134">
        <v>8366351.79</v>
      </c>
    </row>
    <row r="67" spans="1:12" ht="61.2" x14ac:dyDescent="0.3">
      <c r="A67" s="128" t="s">
        <v>644</v>
      </c>
      <c r="B67" s="129" t="s">
        <v>843</v>
      </c>
      <c r="C67" s="129" t="s">
        <v>806</v>
      </c>
      <c r="D67" s="129" t="s">
        <v>840</v>
      </c>
      <c r="E67" s="130" t="s">
        <v>105</v>
      </c>
      <c r="F67" s="131" t="s">
        <v>15</v>
      </c>
      <c r="G67" s="131"/>
      <c r="H67" s="130" t="s">
        <v>808</v>
      </c>
      <c r="I67" s="132">
        <v>33252.5</v>
      </c>
      <c r="J67" s="132"/>
      <c r="K67" s="133" t="s">
        <v>8</v>
      </c>
      <c r="L67" s="134">
        <v>8333099.29</v>
      </c>
    </row>
    <row r="68" spans="1:12" ht="51" x14ac:dyDescent="0.3">
      <c r="A68" s="128" t="s">
        <v>644</v>
      </c>
      <c r="B68" s="129" t="s">
        <v>843</v>
      </c>
      <c r="C68" s="129" t="s">
        <v>806</v>
      </c>
      <c r="D68" s="129" t="s">
        <v>818</v>
      </c>
      <c r="E68" s="130" t="s">
        <v>105</v>
      </c>
      <c r="F68" s="131" t="s">
        <v>15</v>
      </c>
      <c r="G68" s="131"/>
      <c r="H68" s="130" t="s">
        <v>808</v>
      </c>
      <c r="I68" s="132">
        <v>3509</v>
      </c>
      <c r="J68" s="132"/>
      <c r="K68" s="133" t="s">
        <v>8</v>
      </c>
      <c r="L68" s="134">
        <v>8329590.29</v>
      </c>
    </row>
    <row r="69" spans="1:12" ht="51" x14ac:dyDescent="0.3">
      <c r="A69" s="128" t="s">
        <v>644</v>
      </c>
      <c r="B69" s="129" t="s">
        <v>843</v>
      </c>
      <c r="C69" s="129" t="s">
        <v>806</v>
      </c>
      <c r="D69" s="129" t="s">
        <v>828</v>
      </c>
      <c r="E69" s="130" t="s">
        <v>105</v>
      </c>
      <c r="F69" s="131" t="s">
        <v>15</v>
      </c>
      <c r="G69" s="131"/>
      <c r="H69" s="130" t="s">
        <v>808</v>
      </c>
      <c r="I69" s="132">
        <v>1823.58</v>
      </c>
      <c r="J69" s="132"/>
      <c r="K69" s="133" t="s">
        <v>8</v>
      </c>
      <c r="L69" s="134">
        <v>8327766.71</v>
      </c>
    </row>
    <row r="70" spans="1:12" ht="61.2" x14ac:dyDescent="0.3">
      <c r="A70" s="128" t="s">
        <v>644</v>
      </c>
      <c r="B70" s="129" t="s">
        <v>843</v>
      </c>
      <c r="C70" s="129" t="s">
        <v>806</v>
      </c>
      <c r="D70" s="129" t="s">
        <v>831</v>
      </c>
      <c r="E70" s="130" t="s">
        <v>105</v>
      </c>
      <c r="F70" s="131" t="s">
        <v>15</v>
      </c>
      <c r="G70" s="131"/>
      <c r="H70" s="130" t="s">
        <v>808</v>
      </c>
      <c r="I70" s="132">
        <v>185992.32000000001</v>
      </c>
      <c r="J70" s="132"/>
      <c r="K70" s="133" t="s">
        <v>8</v>
      </c>
      <c r="L70" s="134">
        <v>8141774.3899999997</v>
      </c>
    </row>
    <row r="71" spans="1:12" ht="61.2" x14ac:dyDescent="0.3">
      <c r="A71" s="128" t="s">
        <v>644</v>
      </c>
      <c r="B71" s="129" t="s">
        <v>843</v>
      </c>
      <c r="C71" s="129" t="s">
        <v>806</v>
      </c>
      <c r="D71" s="129" t="s">
        <v>814</v>
      </c>
      <c r="E71" s="130" t="s">
        <v>105</v>
      </c>
      <c r="F71" s="131" t="s">
        <v>15</v>
      </c>
      <c r="G71" s="131"/>
      <c r="H71" s="130" t="s">
        <v>808</v>
      </c>
      <c r="I71" s="135">
        <v>415.12</v>
      </c>
      <c r="J71" s="135"/>
      <c r="K71" s="133" t="s">
        <v>8</v>
      </c>
      <c r="L71" s="134">
        <v>8141359.2699999996</v>
      </c>
    </row>
    <row r="72" spans="1:12" ht="61.2" x14ac:dyDescent="0.3">
      <c r="A72" s="128" t="s">
        <v>644</v>
      </c>
      <c r="B72" s="129" t="s">
        <v>843</v>
      </c>
      <c r="C72" s="129" t="s">
        <v>806</v>
      </c>
      <c r="D72" s="129" t="s">
        <v>820</v>
      </c>
      <c r="E72" s="130" t="s">
        <v>105</v>
      </c>
      <c r="F72" s="131" t="s">
        <v>15</v>
      </c>
      <c r="G72" s="131"/>
      <c r="H72" s="130" t="s">
        <v>808</v>
      </c>
      <c r="I72" s="132">
        <v>6233.15</v>
      </c>
      <c r="J72" s="132"/>
      <c r="K72" s="133" t="s">
        <v>8</v>
      </c>
      <c r="L72" s="134">
        <v>8135126.1200000001</v>
      </c>
    </row>
    <row r="73" spans="1:12" ht="61.2" x14ac:dyDescent="0.3">
      <c r="A73" s="128" t="s">
        <v>644</v>
      </c>
      <c r="B73" s="129" t="s">
        <v>843</v>
      </c>
      <c r="C73" s="129" t="s">
        <v>806</v>
      </c>
      <c r="D73" s="129" t="s">
        <v>815</v>
      </c>
      <c r="E73" s="130" t="s">
        <v>105</v>
      </c>
      <c r="F73" s="131" t="s">
        <v>15</v>
      </c>
      <c r="G73" s="131"/>
      <c r="H73" s="130" t="s">
        <v>808</v>
      </c>
      <c r="I73" s="132">
        <v>13339.35</v>
      </c>
      <c r="J73" s="132"/>
      <c r="K73" s="133" t="s">
        <v>8</v>
      </c>
      <c r="L73" s="134">
        <v>8121786.7699999996</v>
      </c>
    </row>
    <row r="74" spans="1:12" ht="61.2" x14ac:dyDescent="0.3">
      <c r="A74" s="128" t="s">
        <v>644</v>
      </c>
      <c r="B74" s="129" t="s">
        <v>843</v>
      </c>
      <c r="C74" s="129" t="s">
        <v>806</v>
      </c>
      <c r="D74" s="129" t="s">
        <v>832</v>
      </c>
      <c r="E74" s="130" t="s">
        <v>105</v>
      </c>
      <c r="F74" s="131" t="s">
        <v>15</v>
      </c>
      <c r="G74" s="131"/>
      <c r="H74" s="130" t="s">
        <v>808</v>
      </c>
      <c r="I74" s="132">
        <v>22817.27</v>
      </c>
      <c r="J74" s="132"/>
      <c r="K74" s="133" t="s">
        <v>8</v>
      </c>
      <c r="L74" s="134">
        <v>8098969.5</v>
      </c>
    </row>
    <row r="75" spans="1:12" ht="61.2" x14ac:dyDescent="0.3">
      <c r="A75" s="128" t="s">
        <v>644</v>
      </c>
      <c r="B75" s="129" t="s">
        <v>843</v>
      </c>
      <c r="C75" s="129" t="s">
        <v>806</v>
      </c>
      <c r="D75" s="129" t="s">
        <v>845</v>
      </c>
      <c r="E75" s="130" t="s">
        <v>105</v>
      </c>
      <c r="F75" s="131" t="s">
        <v>15</v>
      </c>
      <c r="G75" s="131"/>
      <c r="H75" s="130" t="s">
        <v>808</v>
      </c>
      <c r="I75" s="132">
        <v>2520.0300000000002</v>
      </c>
      <c r="J75" s="132"/>
      <c r="K75" s="133" t="s">
        <v>8</v>
      </c>
      <c r="L75" s="134">
        <v>8096449.4699999997</v>
      </c>
    </row>
    <row r="76" spans="1:12" ht="61.2" x14ac:dyDescent="0.3">
      <c r="A76" s="128" t="s">
        <v>644</v>
      </c>
      <c r="B76" s="129" t="s">
        <v>843</v>
      </c>
      <c r="C76" s="129" t="s">
        <v>806</v>
      </c>
      <c r="D76" s="129" t="s">
        <v>842</v>
      </c>
      <c r="E76" s="130" t="s">
        <v>105</v>
      </c>
      <c r="F76" s="131" t="s">
        <v>15</v>
      </c>
      <c r="G76" s="131"/>
      <c r="H76" s="130" t="s">
        <v>808</v>
      </c>
      <c r="I76" s="132">
        <v>20017.47</v>
      </c>
      <c r="J76" s="132"/>
      <c r="K76" s="133" t="s">
        <v>8</v>
      </c>
      <c r="L76" s="134">
        <v>8076432</v>
      </c>
    </row>
    <row r="77" spans="1:12" ht="61.2" x14ac:dyDescent="0.3">
      <c r="A77" s="128" t="s">
        <v>644</v>
      </c>
      <c r="B77" s="129" t="s">
        <v>843</v>
      </c>
      <c r="C77" s="129" t="s">
        <v>806</v>
      </c>
      <c r="D77" s="129" t="s">
        <v>817</v>
      </c>
      <c r="E77" s="130" t="s">
        <v>105</v>
      </c>
      <c r="F77" s="131" t="s">
        <v>15</v>
      </c>
      <c r="G77" s="131"/>
      <c r="H77" s="130" t="s">
        <v>808</v>
      </c>
      <c r="I77" s="132">
        <v>65788.27</v>
      </c>
      <c r="J77" s="132"/>
      <c r="K77" s="133" t="s">
        <v>8</v>
      </c>
      <c r="L77" s="134">
        <v>8010643.7300000004</v>
      </c>
    </row>
    <row r="78" spans="1:12" ht="61.2" x14ac:dyDescent="0.3">
      <c r="A78" s="128" t="s">
        <v>644</v>
      </c>
      <c r="B78" s="129" t="s">
        <v>846</v>
      </c>
      <c r="C78" s="129" t="s">
        <v>806</v>
      </c>
      <c r="D78" s="129" t="s">
        <v>836</v>
      </c>
      <c r="E78" s="130" t="s">
        <v>105</v>
      </c>
      <c r="F78" s="131" t="s">
        <v>15</v>
      </c>
      <c r="G78" s="131"/>
      <c r="H78" s="130" t="s">
        <v>808</v>
      </c>
      <c r="I78" s="132">
        <v>146698.66</v>
      </c>
      <c r="J78" s="132"/>
      <c r="K78" s="133" t="s">
        <v>8</v>
      </c>
      <c r="L78" s="134">
        <v>7863945.0700000003</v>
      </c>
    </row>
    <row r="79" spans="1:12" ht="51" x14ac:dyDescent="0.3">
      <c r="A79" s="128" t="s">
        <v>644</v>
      </c>
      <c r="B79" s="129" t="s">
        <v>846</v>
      </c>
      <c r="C79" s="129" t="s">
        <v>806</v>
      </c>
      <c r="D79" s="129" t="s">
        <v>844</v>
      </c>
      <c r="E79" s="130" t="s">
        <v>105</v>
      </c>
      <c r="F79" s="131" t="s">
        <v>15</v>
      </c>
      <c r="G79" s="131"/>
      <c r="H79" s="130" t="s">
        <v>808</v>
      </c>
      <c r="I79" s="132">
        <v>16469.330000000002</v>
      </c>
      <c r="J79" s="132"/>
      <c r="K79" s="133" t="s">
        <v>8</v>
      </c>
      <c r="L79" s="134">
        <v>7847475.7400000002</v>
      </c>
    </row>
    <row r="80" spans="1:12" ht="51" x14ac:dyDescent="0.3">
      <c r="A80" s="128" t="s">
        <v>644</v>
      </c>
      <c r="B80" s="129" t="s">
        <v>846</v>
      </c>
      <c r="C80" s="129" t="s">
        <v>806</v>
      </c>
      <c r="D80" s="129" t="s">
        <v>847</v>
      </c>
      <c r="E80" s="130" t="s">
        <v>105</v>
      </c>
      <c r="F80" s="131" t="s">
        <v>15</v>
      </c>
      <c r="G80" s="131"/>
      <c r="H80" s="130" t="s">
        <v>808</v>
      </c>
      <c r="I80" s="132">
        <v>40214.620000000003</v>
      </c>
      <c r="J80" s="132"/>
      <c r="K80" s="133" t="s">
        <v>8</v>
      </c>
      <c r="L80" s="134">
        <v>7807261.1200000001</v>
      </c>
    </row>
    <row r="81" spans="1:12" ht="61.2" x14ac:dyDescent="0.3">
      <c r="A81" s="128" t="s">
        <v>644</v>
      </c>
      <c r="B81" s="129" t="s">
        <v>846</v>
      </c>
      <c r="C81" s="129" t="s">
        <v>806</v>
      </c>
      <c r="D81" s="129" t="s">
        <v>815</v>
      </c>
      <c r="E81" s="130" t="s">
        <v>105</v>
      </c>
      <c r="F81" s="131" t="s">
        <v>15</v>
      </c>
      <c r="G81" s="131"/>
      <c r="H81" s="130" t="s">
        <v>808</v>
      </c>
      <c r="I81" s="132">
        <v>16881.75</v>
      </c>
      <c r="J81" s="132"/>
      <c r="K81" s="133" t="s">
        <v>8</v>
      </c>
      <c r="L81" s="134">
        <v>7790379.3700000001</v>
      </c>
    </row>
    <row r="82" spans="1:12" ht="61.2" x14ac:dyDescent="0.3">
      <c r="A82" s="128" t="s">
        <v>644</v>
      </c>
      <c r="B82" s="129" t="s">
        <v>846</v>
      </c>
      <c r="C82" s="129" t="s">
        <v>806</v>
      </c>
      <c r="D82" s="129" t="s">
        <v>842</v>
      </c>
      <c r="E82" s="130" t="s">
        <v>105</v>
      </c>
      <c r="F82" s="131" t="s">
        <v>15</v>
      </c>
      <c r="G82" s="131"/>
      <c r="H82" s="130" t="s">
        <v>808</v>
      </c>
      <c r="I82" s="132">
        <v>95118.1</v>
      </c>
      <c r="J82" s="132"/>
      <c r="K82" s="133" t="s">
        <v>8</v>
      </c>
      <c r="L82" s="134">
        <v>7695261.2699999996</v>
      </c>
    </row>
    <row r="83" spans="1:12" ht="61.2" x14ac:dyDescent="0.3">
      <c r="A83" s="128" t="s">
        <v>644</v>
      </c>
      <c r="B83" s="129" t="s">
        <v>846</v>
      </c>
      <c r="C83" s="129" t="s">
        <v>806</v>
      </c>
      <c r="D83" s="129" t="s">
        <v>817</v>
      </c>
      <c r="E83" s="130" t="s">
        <v>105</v>
      </c>
      <c r="F83" s="131" t="s">
        <v>15</v>
      </c>
      <c r="G83" s="131"/>
      <c r="H83" s="130" t="s">
        <v>808</v>
      </c>
      <c r="I83" s="132">
        <v>198038.43</v>
      </c>
      <c r="J83" s="132"/>
      <c r="K83" s="133" t="s">
        <v>8</v>
      </c>
      <c r="L83" s="134">
        <v>7497222.8399999999</v>
      </c>
    </row>
    <row r="84" spans="1:12" ht="51" x14ac:dyDescent="0.3">
      <c r="A84" s="128" t="s">
        <v>644</v>
      </c>
      <c r="B84" s="129" t="s">
        <v>846</v>
      </c>
      <c r="C84" s="129" t="s">
        <v>806</v>
      </c>
      <c r="D84" s="129" t="s">
        <v>809</v>
      </c>
      <c r="E84" s="130" t="s">
        <v>105</v>
      </c>
      <c r="F84" s="131" t="s">
        <v>15</v>
      </c>
      <c r="G84" s="131"/>
      <c r="H84" s="130" t="s">
        <v>808</v>
      </c>
      <c r="I84" s="132">
        <v>4244.6499999999996</v>
      </c>
      <c r="J84" s="132"/>
      <c r="K84" s="133" t="s">
        <v>8</v>
      </c>
      <c r="L84" s="134">
        <v>7492978.1900000004</v>
      </c>
    </row>
    <row r="85" spans="1:12" ht="61.2" x14ac:dyDescent="0.3">
      <c r="A85" s="128" t="s">
        <v>644</v>
      </c>
      <c r="B85" s="129" t="s">
        <v>846</v>
      </c>
      <c r="C85" s="129" t="s">
        <v>806</v>
      </c>
      <c r="D85" s="129" t="s">
        <v>840</v>
      </c>
      <c r="E85" s="130" t="s">
        <v>105</v>
      </c>
      <c r="F85" s="131" t="s">
        <v>15</v>
      </c>
      <c r="G85" s="131"/>
      <c r="H85" s="130" t="s">
        <v>808</v>
      </c>
      <c r="I85" s="132">
        <v>22971.25</v>
      </c>
      <c r="J85" s="132"/>
      <c r="K85" s="133" t="s">
        <v>8</v>
      </c>
      <c r="L85" s="134">
        <v>7470006.9400000004</v>
      </c>
    </row>
    <row r="86" spans="1:12" ht="51" x14ac:dyDescent="0.3">
      <c r="A86" s="128" t="s">
        <v>644</v>
      </c>
      <c r="B86" s="129" t="s">
        <v>846</v>
      </c>
      <c r="C86" s="129" t="s">
        <v>806</v>
      </c>
      <c r="D86" s="129" t="s">
        <v>818</v>
      </c>
      <c r="E86" s="130" t="s">
        <v>105</v>
      </c>
      <c r="F86" s="131" t="s">
        <v>15</v>
      </c>
      <c r="G86" s="131"/>
      <c r="H86" s="130" t="s">
        <v>808</v>
      </c>
      <c r="I86" s="132">
        <v>18067</v>
      </c>
      <c r="J86" s="132"/>
      <c r="K86" s="133" t="s">
        <v>8</v>
      </c>
      <c r="L86" s="134">
        <v>7451939.9400000004</v>
      </c>
    </row>
    <row r="87" spans="1:12" ht="51" x14ac:dyDescent="0.3">
      <c r="A87" s="128" t="s">
        <v>644</v>
      </c>
      <c r="B87" s="129" t="s">
        <v>846</v>
      </c>
      <c r="C87" s="129" t="s">
        <v>806</v>
      </c>
      <c r="D87" s="129" t="s">
        <v>838</v>
      </c>
      <c r="E87" s="130" t="s">
        <v>105</v>
      </c>
      <c r="F87" s="131" t="s">
        <v>15</v>
      </c>
      <c r="G87" s="131"/>
      <c r="H87" s="130" t="s">
        <v>808</v>
      </c>
      <c r="I87" s="132">
        <v>20713.939999999999</v>
      </c>
      <c r="J87" s="132"/>
      <c r="K87" s="133" t="s">
        <v>8</v>
      </c>
      <c r="L87" s="134">
        <v>7431226</v>
      </c>
    </row>
    <row r="88" spans="1:12" ht="61.2" x14ac:dyDescent="0.3">
      <c r="A88" s="128" t="s">
        <v>644</v>
      </c>
      <c r="B88" s="129" t="s">
        <v>846</v>
      </c>
      <c r="C88" s="129" t="s">
        <v>806</v>
      </c>
      <c r="D88" s="129" t="s">
        <v>814</v>
      </c>
      <c r="E88" s="130" t="s">
        <v>105</v>
      </c>
      <c r="F88" s="131" t="s">
        <v>15</v>
      </c>
      <c r="G88" s="131"/>
      <c r="H88" s="130" t="s">
        <v>808</v>
      </c>
      <c r="I88" s="135">
        <v>83.03</v>
      </c>
      <c r="J88" s="135"/>
      <c r="K88" s="133" t="s">
        <v>8</v>
      </c>
      <c r="L88" s="134">
        <v>7431142.9699999997</v>
      </c>
    </row>
    <row r="89" spans="1:12" ht="61.2" x14ac:dyDescent="0.3">
      <c r="A89" s="128" t="s">
        <v>644</v>
      </c>
      <c r="B89" s="129" t="s">
        <v>846</v>
      </c>
      <c r="C89" s="129" t="s">
        <v>806</v>
      </c>
      <c r="D89" s="129" t="s">
        <v>820</v>
      </c>
      <c r="E89" s="130" t="s">
        <v>105</v>
      </c>
      <c r="F89" s="131" t="s">
        <v>15</v>
      </c>
      <c r="G89" s="131"/>
      <c r="H89" s="130" t="s">
        <v>808</v>
      </c>
      <c r="I89" s="135">
        <v>215.87</v>
      </c>
      <c r="J89" s="135"/>
      <c r="K89" s="133" t="s">
        <v>8</v>
      </c>
      <c r="L89" s="134">
        <v>7430927.0999999996</v>
      </c>
    </row>
    <row r="90" spans="1:12" ht="61.2" x14ac:dyDescent="0.3">
      <c r="A90" s="128" t="s">
        <v>644</v>
      </c>
      <c r="B90" s="129" t="s">
        <v>846</v>
      </c>
      <c r="C90" s="129" t="s">
        <v>806</v>
      </c>
      <c r="D90" s="129" t="s">
        <v>845</v>
      </c>
      <c r="E90" s="130" t="s">
        <v>105</v>
      </c>
      <c r="F90" s="131" t="s">
        <v>15</v>
      </c>
      <c r="G90" s="131"/>
      <c r="H90" s="130" t="s">
        <v>808</v>
      </c>
      <c r="I90" s="132">
        <v>4026.58</v>
      </c>
      <c r="J90" s="132"/>
      <c r="K90" s="133" t="s">
        <v>8</v>
      </c>
      <c r="L90" s="134">
        <v>7426900.5199999996</v>
      </c>
    </row>
    <row r="91" spans="1:12" ht="51" x14ac:dyDescent="0.3">
      <c r="A91" s="128" t="s">
        <v>644</v>
      </c>
      <c r="B91" s="129" t="s">
        <v>846</v>
      </c>
      <c r="C91" s="129" t="s">
        <v>806</v>
      </c>
      <c r="D91" s="129" t="s">
        <v>834</v>
      </c>
      <c r="E91" s="130" t="s">
        <v>105</v>
      </c>
      <c r="F91" s="131" t="s">
        <v>15</v>
      </c>
      <c r="G91" s="131"/>
      <c r="H91" s="130" t="s">
        <v>808</v>
      </c>
      <c r="I91" s="132">
        <v>42484.47</v>
      </c>
      <c r="J91" s="132"/>
      <c r="K91" s="133" t="s">
        <v>8</v>
      </c>
      <c r="L91" s="134">
        <v>7384416.0499999998</v>
      </c>
    </row>
    <row r="92" spans="1:12" ht="61.2" x14ac:dyDescent="0.3">
      <c r="A92" s="128" t="s">
        <v>328</v>
      </c>
      <c r="B92" s="129" t="s">
        <v>848</v>
      </c>
      <c r="C92" s="129" t="s">
        <v>806</v>
      </c>
      <c r="D92" s="129" t="s">
        <v>836</v>
      </c>
      <c r="E92" s="130" t="s">
        <v>105</v>
      </c>
      <c r="F92" s="131" t="s">
        <v>15</v>
      </c>
      <c r="G92" s="131"/>
      <c r="H92" s="130" t="s">
        <v>808</v>
      </c>
      <c r="I92" s="132">
        <v>11796.31</v>
      </c>
      <c r="J92" s="132"/>
      <c r="K92" s="133" t="s">
        <v>8</v>
      </c>
      <c r="L92" s="134">
        <v>7372619.7400000002</v>
      </c>
    </row>
    <row r="93" spans="1:12" ht="51" x14ac:dyDescent="0.3">
      <c r="A93" s="128" t="s">
        <v>328</v>
      </c>
      <c r="B93" s="129" t="s">
        <v>848</v>
      </c>
      <c r="C93" s="129" t="s">
        <v>806</v>
      </c>
      <c r="D93" s="129" t="s">
        <v>849</v>
      </c>
      <c r="E93" s="130" t="s">
        <v>105</v>
      </c>
      <c r="F93" s="131" t="s">
        <v>15</v>
      </c>
      <c r="G93" s="131"/>
      <c r="H93" s="130" t="s">
        <v>808</v>
      </c>
      <c r="I93" s="132">
        <v>237868.07</v>
      </c>
      <c r="J93" s="132"/>
      <c r="K93" s="133" t="s">
        <v>8</v>
      </c>
      <c r="L93" s="134">
        <v>7134751.6699999999</v>
      </c>
    </row>
    <row r="94" spans="1:12" ht="51" x14ac:dyDescent="0.3">
      <c r="A94" s="128" t="s">
        <v>328</v>
      </c>
      <c r="B94" s="129" t="s">
        <v>848</v>
      </c>
      <c r="C94" s="129" t="s">
        <v>806</v>
      </c>
      <c r="D94" s="129" t="s">
        <v>850</v>
      </c>
      <c r="E94" s="130" t="s">
        <v>105</v>
      </c>
      <c r="F94" s="131" t="s">
        <v>15</v>
      </c>
      <c r="G94" s="131"/>
      <c r="H94" s="130" t="s">
        <v>808</v>
      </c>
      <c r="I94" s="132">
        <v>47840.01</v>
      </c>
      <c r="J94" s="132"/>
      <c r="K94" s="133" t="s">
        <v>8</v>
      </c>
      <c r="L94" s="134">
        <v>7086911.6600000001</v>
      </c>
    </row>
    <row r="95" spans="1:12" ht="51" x14ac:dyDescent="0.3">
      <c r="A95" s="128" t="s">
        <v>328</v>
      </c>
      <c r="B95" s="129" t="s">
        <v>848</v>
      </c>
      <c r="C95" s="129" t="s">
        <v>806</v>
      </c>
      <c r="D95" s="129" t="s">
        <v>809</v>
      </c>
      <c r="E95" s="130" t="s">
        <v>105</v>
      </c>
      <c r="F95" s="131" t="s">
        <v>15</v>
      </c>
      <c r="G95" s="131"/>
      <c r="H95" s="130" t="s">
        <v>808</v>
      </c>
      <c r="I95" s="132">
        <v>1845.5</v>
      </c>
      <c r="J95" s="132"/>
      <c r="K95" s="133" t="s">
        <v>8</v>
      </c>
      <c r="L95" s="134">
        <v>7085066.1600000001</v>
      </c>
    </row>
    <row r="96" spans="1:12" ht="51" x14ac:dyDescent="0.3">
      <c r="A96" s="128" t="s">
        <v>328</v>
      </c>
      <c r="B96" s="129" t="s">
        <v>848</v>
      </c>
      <c r="C96" s="129" t="s">
        <v>806</v>
      </c>
      <c r="D96" s="129" t="s">
        <v>847</v>
      </c>
      <c r="E96" s="130" t="s">
        <v>105</v>
      </c>
      <c r="F96" s="131" t="s">
        <v>15</v>
      </c>
      <c r="G96" s="131"/>
      <c r="H96" s="130" t="s">
        <v>808</v>
      </c>
      <c r="I96" s="132">
        <v>4958.8999999999996</v>
      </c>
      <c r="J96" s="132"/>
      <c r="K96" s="133" t="s">
        <v>8</v>
      </c>
      <c r="L96" s="134">
        <v>7080107.2599999998</v>
      </c>
    </row>
    <row r="97" spans="1:12" ht="61.2" x14ac:dyDescent="0.3">
      <c r="A97" s="128" t="s">
        <v>328</v>
      </c>
      <c r="B97" s="129" t="s">
        <v>848</v>
      </c>
      <c r="C97" s="129" t="s">
        <v>806</v>
      </c>
      <c r="D97" s="129" t="s">
        <v>840</v>
      </c>
      <c r="E97" s="130" t="s">
        <v>105</v>
      </c>
      <c r="F97" s="131" t="s">
        <v>15</v>
      </c>
      <c r="G97" s="131"/>
      <c r="H97" s="130" t="s">
        <v>808</v>
      </c>
      <c r="I97" s="132">
        <v>6021.87</v>
      </c>
      <c r="J97" s="132"/>
      <c r="K97" s="133" t="s">
        <v>8</v>
      </c>
      <c r="L97" s="134">
        <v>7074085.3899999997</v>
      </c>
    </row>
    <row r="98" spans="1:12" ht="61.2" x14ac:dyDescent="0.3">
      <c r="A98" s="128" t="s">
        <v>328</v>
      </c>
      <c r="B98" s="129" t="s">
        <v>848</v>
      </c>
      <c r="C98" s="129" t="s">
        <v>806</v>
      </c>
      <c r="D98" s="129" t="s">
        <v>851</v>
      </c>
      <c r="E98" s="130" t="s">
        <v>105</v>
      </c>
      <c r="F98" s="131" t="s">
        <v>15</v>
      </c>
      <c r="G98" s="131"/>
      <c r="H98" s="130" t="s">
        <v>808</v>
      </c>
      <c r="I98" s="135">
        <v>208.54</v>
      </c>
      <c r="J98" s="135"/>
      <c r="K98" s="133" t="s">
        <v>8</v>
      </c>
      <c r="L98" s="134">
        <v>7073876.8499999996</v>
      </c>
    </row>
    <row r="99" spans="1:12" ht="61.2" x14ac:dyDescent="0.3">
      <c r="A99" s="128" t="s">
        <v>328</v>
      </c>
      <c r="B99" s="129" t="s">
        <v>848</v>
      </c>
      <c r="C99" s="129" t="s">
        <v>806</v>
      </c>
      <c r="D99" s="129" t="s">
        <v>852</v>
      </c>
      <c r="E99" s="130" t="s">
        <v>105</v>
      </c>
      <c r="F99" s="131" t="s">
        <v>15</v>
      </c>
      <c r="G99" s="131"/>
      <c r="H99" s="130" t="s">
        <v>808</v>
      </c>
      <c r="I99" s="135">
        <v>820.25</v>
      </c>
      <c r="J99" s="135"/>
      <c r="K99" s="133" t="s">
        <v>8</v>
      </c>
      <c r="L99" s="134">
        <v>7073056.5999999996</v>
      </c>
    </row>
    <row r="100" spans="1:12" ht="61.2" x14ac:dyDescent="0.3">
      <c r="A100" s="128" t="s">
        <v>328</v>
      </c>
      <c r="B100" s="129" t="s">
        <v>848</v>
      </c>
      <c r="C100" s="129" t="s">
        <v>806</v>
      </c>
      <c r="D100" s="129" t="s">
        <v>853</v>
      </c>
      <c r="E100" s="130" t="s">
        <v>105</v>
      </c>
      <c r="F100" s="131" t="s">
        <v>15</v>
      </c>
      <c r="G100" s="131"/>
      <c r="H100" s="130" t="s">
        <v>808</v>
      </c>
      <c r="I100" s="132">
        <v>192987.63</v>
      </c>
      <c r="J100" s="132"/>
      <c r="K100" s="133" t="s">
        <v>8</v>
      </c>
      <c r="L100" s="134">
        <v>6880068.9699999997</v>
      </c>
    </row>
    <row r="101" spans="1:12" ht="61.2" x14ac:dyDescent="0.3">
      <c r="A101" s="128" t="s">
        <v>328</v>
      </c>
      <c r="B101" s="129" t="s">
        <v>848</v>
      </c>
      <c r="C101" s="129" t="s">
        <v>806</v>
      </c>
      <c r="D101" s="129" t="s">
        <v>820</v>
      </c>
      <c r="E101" s="130" t="s">
        <v>105</v>
      </c>
      <c r="F101" s="131" t="s">
        <v>15</v>
      </c>
      <c r="G101" s="131"/>
      <c r="H101" s="130" t="s">
        <v>808</v>
      </c>
      <c r="I101" s="132">
        <v>2185.64</v>
      </c>
      <c r="J101" s="132"/>
      <c r="K101" s="133" t="s">
        <v>8</v>
      </c>
      <c r="L101" s="134">
        <v>6877883.3300000001</v>
      </c>
    </row>
    <row r="102" spans="1:12" ht="51" x14ac:dyDescent="0.3">
      <c r="A102" s="128" t="s">
        <v>328</v>
      </c>
      <c r="B102" s="129" t="s">
        <v>848</v>
      </c>
      <c r="C102" s="129" t="s">
        <v>806</v>
      </c>
      <c r="D102" s="129" t="s">
        <v>854</v>
      </c>
      <c r="E102" s="130" t="s">
        <v>105</v>
      </c>
      <c r="F102" s="131" t="s">
        <v>15</v>
      </c>
      <c r="G102" s="131"/>
      <c r="H102" s="130" t="s">
        <v>808</v>
      </c>
      <c r="I102" s="132">
        <v>8371.18</v>
      </c>
      <c r="J102" s="132"/>
      <c r="K102" s="133" t="s">
        <v>8</v>
      </c>
      <c r="L102" s="134">
        <v>6869512.1500000004</v>
      </c>
    </row>
    <row r="103" spans="1:12" ht="61.2" x14ac:dyDescent="0.3">
      <c r="A103" s="128" t="s">
        <v>328</v>
      </c>
      <c r="B103" s="129" t="s">
        <v>848</v>
      </c>
      <c r="C103" s="129" t="s">
        <v>806</v>
      </c>
      <c r="D103" s="129" t="s">
        <v>855</v>
      </c>
      <c r="E103" s="130" t="s">
        <v>105</v>
      </c>
      <c r="F103" s="131" t="s">
        <v>15</v>
      </c>
      <c r="G103" s="131"/>
      <c r="H103" s="130" t="s">
        <v>808</v>
      </c>
      <c r="I103" s="132">
        <v>4442.2</v>
      </c>
      <c r="J103" s="132"/>
      <c r="K103" s="133" t="s">
        <v>8</v>
      </c>
      <c r="L103" s="134">
        <v>6865069.9500000002</v>
      </c>
    </row>
    <row r="104" spans="1:12" ht="61.2" x14ac:dyDescent="0.3">
      <c r="A104" s="128" t="s">
        <v>328</v>
      </c>
      <c r="B104" s="129" t="s">
        <v>848</v>
      </c>
      <c r="C104" s="129" t="s">
        <v>806</v>
      </c>
      <c r="D104" s="129" t="s">
        <v>842</v>
      </c>
      <c r="E104" s="130" t="s">
        <v>105</v>
      </c>
      <c r="F104" s="131" t="s">
        <v>15</v>
      </c>
      <c r="G104" s="131"/>
      <c r="H104" s="130" t="s">
        <v>808</v>
      </c>
      <c r="I104" s="132">
        <v>41944.05</v>
      </c>
      <c r="J104" s="132"/>
      <c r="K104" s="133" t="s">
        <v>8</v>
      </c>
      <c r="L104" s="134">
        <v>6823125.9000000004</v>
      </c>
    </row>
    <row r="105" spans="1:12" ht="51" x14ac:dyDescent="0.3">
      <c r="A105" s="128" t="s">
        <v>328</v>
      </c>
      <c r="B105" s="129" t="s">
        <v>848</v>
      </c>
      <c r="C105" s="129" t="s">
        <v>806</v>
      </c>
      <c r="D105" s="129" t="s">
        <v>856</v>
      </c>
      <c r="E105" s="130" t="s">
        <v>105</v>
      </c>
      <c r="F105" s="131" t="s">
        <v>15</v>
      </c>
      <c r="G105" s="131"/>
      <c r="H105" s="130" t="s">
        <v>808</v>
      </c>
      <c r="I105" s="132">
        <v>89783.85</v>
      </c>
      <c r="J105" s="132"/>
      <c r="K105" s="133" t="s">
        <v>8</v>
      </c>
      <c r="L105" s="134">
        <v>6733342.0499999998</v>
      </c>
    </row>
    <row r="106" spans="1:12" ht="51" x14ac:dyDescent="0.3">
      <c r="A106" s="128" t="s">
        <v>328</v>
      </c>
      <c r="B106" s="129" t="s">
        <v>857</v>
      </c>
      <c r="C106" s="129" t="s">
        <v>806</v>
      </c>
      <c r="D106" s="129" t="s">
        <v>809</v>
      </c>
      <c r="E106" s="130" t="s">
        <v>105</v>
      </c>
      <c r="F106" s="131" t="s">
        <v>15</v>
      </c>
      <c r="G106" s="131"/>
      <c r="H106" s="130" t="s">
        <v>808</v>
      </c>
      <c r="I106" s="132">
        <v>5321.19</v>
      </c>
      <c r="J106" s="132"/>
      <c r="K106" s="133" t="s">
        <v>8</v>
      </c>
      <c r="L106" s="134">
        <v>6728020.8600000003</v>
      </c>
    </row>
    <row r="107" spans="1:12" ht="61.2" x14ac:dyDescent="0.3">
      <c r="A107" s="128" t="s">
        <v>328</v>
      </c>
      <c r="B107" s="129" t="s">
        <v>857</v>
      </c>
      <c r="C107" s="129" t="s">
        <v>806</v>
      </c>
      <c r="D107" s="129" t="s">
        <v>858</v>
      </c>
      <c r="E107" s="130" t="s">
        <v>105</v>
      </c>
      <c r="F107" s="131" t="s">
        <v>15</v>
      </c>
      <c r="G107" s="131"/>
      <c r="H107" s="130" t="s">
        <v>808</v>
      </c>
      <c r="I107" s="132">
        <v>8317.75</v>
      </c>
      <c r="J107" s="132"/>
      <c r="K107" s="133" t="s">
        <v>8</v>
      </c>
      <c r="L107" s="134">
        <v>6719703.1100000003</v>
      </c>
    </row>
    <row r="108" spans="1:12" ht="61.2" x14ac:dyDescent="0.3">
      <c r="A108" s="128" t="s">
        <v>328</v>
      </c>
      <c r="B108" s="129" t="s">
        <v>857</v>
      </c>
      <c r="C108" s="129" t="s">
        <v>806</v>
      </c>
      <c r="D108" s="129" t="s">
        <v>840</v>
      </c>
      <c r="E108" s="130" t="s">
        <v>105</v>
      </c>
      <c r="F108" s="131" t="s">
        <v>15</v>
      </c>
      <c r="G108" s="131"/>
      <c r="H108" s="130" t="s">
        <v>808</v>
      </c>
      <c r="I108" s="132">
        <v>36278.129999999997</v>
      </c>
      <c r="J108" s="132"/>
      <c r="K108" s="133" t="s">
        <v>8</v>
      </c>
      <c r="L108" s="134">
        <v>6683424.9800000004</v>
      </c>
    </row>
    <row r="109" spans="1:12" ht="61.2" x14ac:dyDescent="0.3">
      <c r="A109" s="128" t="s">
        <v>328</v>
      </c>
      <c r="B109" s="129" t="s">
        <v>857</v>
      </c>
      <c r="C109" s="129" t="s">
        <v>806</v>
      </c>
      <c r="D109" s="129" t="s">
        <v>851</v>
      </c>
      <c r="E109" s="130" t="s">
        <v>105</v>
      </c>
      <c r="F109" s="131" t="s">
        <v>15</v>
      </c>
      <c r="G109" s="131"/>
      <c r="H109" s="130" t="s">
        <v>808</v>
      </c>
      <c r="I109" s="132">
        <v>6375.42</v>
      </c>
      <c r="J109" s="132"/>
      <c r="K109" s="133" t="s">
        <v>8</v>
      </c>
      <c r="L109" s="134">
        <v>6677049.5599999996</v>
      </c>
    </row>
    <row r="110" spans="1:12" ht="51" x14ac:dyDescent="0.3">
      <c r="A110" s="128" t="s">
        <v>328</v>
      </c>
      <c r="B110" s="129" t="s">
        <v>857</v>
      </c>
      <c r="C110" s="129" t="s">
        <v>806</v>
      </c>
      <c r="D110" s="129" t="s">
        <v>859</v>
      </c>
      <c r="E110" s="130" t="s">
        <v>105</v>
      </c>
      <c r="F110" s="131" t="s">
        <v>15</v>
      </c>
      <c r="G110" s="131"/>
      <c r="H110" s="130" t="s">
        <v>808</v>
      </c>
      <c r="I110" s="132">
        <v>1615.63</v>
      </c>
      <c r="J110" s="132"/>
      <c r="K110" s="133" t="s">
        <v>8</v>
      </c>
      <c r="L110" s="134">
        <v>6675433.9299999997</v>
      </c>
    </row>
    <row r="111" spans="1:12" ht="51" x14ac:dyDescent="0.3">
      <c r="A111" s="128" t="s">
        <v>328</v>
      </c>
      <c r="B111" s="129" t="s">
        <v>857</v>
      </c>
      <c r="C111" s="129" t="s">
        <v>806</v>
      </c>
      <c r="D111" s="129" t="s">
        <v>827</v>
      </c>
      <c r="E111" s="130" t="s">
        <v>105</v>
      </c>
      <c r="F111" s="131" t="s">
        <v>15</v>
      </c>
      <c r="G111" s="131"/>
      <c r="H111" s="130" t="s">
        <v>808</v>
      </c>
      <c r="I111" s="132">
        <v>30127.42</v>
      </c>
      <c r="J111" s="132"/>
      <c r="K111" s="133" t="s">
        <v>8</v>
      </c>
      <c r="L111" s="134">
        <v>6645306.5099999998</v>
      </c>
    </row>
    <row r="112" spans="1:12" ht="61.2" x14ac:dyDescent="0.3">
      <c r="A112" s="128" t="s">
        <v>328</v>
      </c>
      <c r="B112" s="129" t="s">
        <v>857</v>
      </c>
      <c r="C112" s="129" t="s">
        <v>806</v>
      </c>
      <c r="D112" s="129" t="s">
        <v>852</v>
      </c>
      <c r="E112" s="130" t="s">
        <v>105</v>
      </c>
      <c r="F112" s="131" t="s">
        <v>15</v>
      </c>
      <c r="G112" s="131"/>
      <c r="H112" s="130" t="s">
        <v>808</v>
      </c>
      <c r="I112" s="132">
        <v>2269.36</v>
      </c>
      <c r="J112" s="132"/>
      <c r="K112" s="133" t="s">
        <v>8</v>
      </c>
      <c r="L112" s="134">
        <v>6643037.1500000004</v>
      </c>
    </row>
    <row r="113" spans="1:12" ht="51" x14ac:dyDescent="0.3">
      <c r="A113" s="128" t="s">
        <v>328</v>
      </c>
      <c r="B113" s="129" t="s">
        <v>857</v>
      </c>
      <c r="C113" s="129" t="s">
        <v>806</v>
      </c>
      <c r="D113" s="129" t="s">
        <v>838</v>
      </c>
      <c r="E113" s="130" t="s">
        <v>105</v>
      </c>
      <c r="F113" s="131" t="s">
        <v>15</v>
      </c>
      <c r="G113" s="131"/>
      <c r="H113" s="130" t="s">
        <v>808</v>
      </c>
      <c r="I113" s="132">
        <v>23659.71</v>
      </c>
      <c r="J113" s="132"/>
      <c r="K113" s="133" t="s">
        <v>8</v>
      </c>
      <c r="L113" s="134">
        <v>6619377.4400000004</v>
      </c>
    </row>
    <row r="114" spans="1:12" ht="51" x14ac:dyDescent="0.3">
      <c r="A114" s="128" t="s">
        <v>328</v>
      </c>
      <c r="B114" s="129" t="s">
        <v>857</v>
      </c>
      <c r="C114" s="129" t="s">
        <v>806</v>
      </c>
      <c r="D114" s="129" t="s">
        <v>860</v>
      </c>
      <c r="E114" s="130" t="s">
        <v>105</v>
      </c>
      <c r="F114" s="131" t="s">
        <v>15</v>
      </c>
      <c r="G114" s="131"/>
      <c r="H114" s="130" t="s">
        <v>808</v>
      </c>
      <c r="I114" s="135">
        <v>792.98</v>
      </c>
      <c r="J114" s="135"/>
      <c r="K114" s="133" t="s">
        <v>8</v>
      </c>
      <c r="L114" s="134">
        <v>6618584.46</v>
      </c>
    </row>
    <row r="115" spans="1:12" ht="51" x14ac:dyDescent="0.3">
      <c r="A115" s="128" t="s">
        <v>328</v>
      </c>
      <c r="B115" s="129" t="s">
        <v>857</v>
      </c>
      <c r="C115" s="129" t="s">
        <v>806</v>
      </c>
      <c r="D115" s="129" t="s">
        <v>861</v>
      </c>
      <c r="E115" s="130" t="s">
        <v>105</v>
      </c>
      <c r="F115" s="131" t="s">
        <v>15</v>
      </c>
      <c r="G115" s="131"/>
      <c r="H115" s="130" t="s">
        <v>808</v>
      </c>
      <c r="I115" s="132">
        <v>404208</v>
      </c>
      <c r="J115" s="132"/>
      <c r="K115" s="133" t="s">
        <v>8</v>
      </c>
      <c r="L115" s="134">
        <v>6214376.46</v>
      </c>
    </row>
    <row r="116" spans="1:12" ht="51" x14ac:dyDescent="0.3">
      <c r="A116" s="128" t="s">
        <v>328</v>
      </c>
      <c r="B116" s="129" t="s">
        <v>857</v>
      </c>
      <c r="C116" s="129" t="s">
        <v>806</v>
      </c>
      <c r="D116" s="129" t="s">
        <v>862</v>
      </c>
      <c r="E116" s="130" t="s">
        <v>105</v>
      </c>
      <c r="F116" s="131" t="s">
        <v>15</v>
      </c>
      <c r="G116" s="131"/>
      <c r="H116" s="130" t="s">
        <v>808</v>
      </c>
      <c r="I116" s="132">
        <v>48996.91</v>
      </c>
      <c r="J116" s="132"/>
      <c r="K116" s="133" t="s">
        <v>8</v>
      </c>
      <c r="L116" s="134">
        <v>6165379.5499999998</v>
      </c>
    </row>
    <row r="117" spans="1:12" ht="61.2" x14ac:dyDescent="0.3">
      <c r="A117" s="128" t="s">
        <v>328</v>
      </c>
      <c r="B117" s="129" t="s">
        <v>857</v>
      </c>
      <c r="C117" s="129" t="s">
        <v>806</v>
      </c>
      <c r="D117" s="129" t="s">
        <v>814</v>
      </c>
      <c r="E117" s="130" t="s">
        <v>105</v>
      </c>
      <c r="F117" s="131" t="s">
        <v>15</v>
      </c>
      <c r="G117" s="131"/>
      <c r="H117" s="130" t="s">
        <v>808</v>
      </c>
      <c r="I117" s="132">
        <v>3237.97</v>
      </c>
      <c r="J117" s="132"/>
      <c r="K117" s="133" t="s">
        <v>8</v>
      </c>
      <c r="L117" s="134">
        <v>6162141.5800000001</v>
      </c>
    </row>
    <row r="118" spans="1:12" ht="51" x14ac:dyDescent="0.3">
      <c r="A118" s="128" t="s">
        <v>328</v>
      </c>
      <c r="B118" s="129" t="s">
        <v>857</v>
      </c>
      <c r="C118" s="129" t="s">
        <v>806</v>
      </c>
      <c r="D118" s="129" t="s">
        <v>854</v>
      </c>
      <c r="E118" s="130" t="s">
        <v>105</v>
      </c>
      <c r="F118" s="131" t="s">
        <v>15</v>
      </c>
      <c r="G118" s="131"/>
      <c r="H118" s="130" t="s">
        <v>808</v>
      </c>
      <c r="I118" s="132">
        <v>13538.23</v>
      </c>
      <c r="J118" s="132"/>
      <c r="K118" s="133" t="s">
        <v>8</v>
      </c>
      <c r="L118" s="134">
        <v>6148603.3499999996</v>
      </c>
    </row>
    <row r="119" spans="1:12" ht="51" x14ac:dyDescent="0.3">
      <c r="A119" s="128" t="s">
        <v>328</v>
      </c>
      <c r="B119" s="129" t="s">
        <v>857</v>
      </c>
      <c r="C119" s="129" t="s">
        <v>806</v>
      </c>
      <c r="D119" s="129" t="s">
        <v>863</v>
      </c>
      <c r="E119" s="130" t="s">
        <v>105</v>
      </c>
      <c r="F119" s="131" t="s">
        <v>15</v>
      </c>
      <c r="G119" s="131"/>
      <c r="H119" s="130" t="s">
        <v>808</v>
      </c>
      <c r="I119" s="132">
        <v>6297.83</v>
      </c>
      <c r="J119" s="132"/>
      <c r="K119" s="133" t="s">
        <v>8</v>
      </c>
      <c r="L119" s="134">
        <v>6142305.5199999996</v>
      </c>
    </row>
    <row r="120" spans="1:12" ht="61.2" x14ac:dyDescent="0.3">
      <c r="A120" s="128" t="s">
        <v>328</v>
      </c>
      <c r="B120" s="129" t="s">
        <v>857</v>
      </c>
      <c r="C120" s="129" t="s">
        <v>806</v>
      </c>
      <c r="D120" s="129" t="s">
        <v>845</v>
      </c>
      <c r="E120" s="130" t="s">
        <v>105</v>
      </c>
      <c r="F120" s="131" t="s">
        <v>15</v>
      </c>
      <c r="G120" s="131"/>
      <c r="H120" s="130" t="s">
        <v>808</v>
      </c>
      <c r="I120" s="132">
        <v>10080.129999999999</v>
      </c>
      <c r="J120" s="132"/>
      <c r="K120" s="133" t="s">
        <v>8</v>
      </c>
      <c r="L120" s="134">
        <v>6132225.3899999997</v>
      </c>
    </row>
    <row r="121" spans="1:12" ht="61.2" x14ac:dyDescent="0.3">
      <c r="A121" s="128" t="s">
        <v>328</v>
      </c>
      <c r="B121" s="129" t="s">
        <v>857</v>
      </c>
      <c r="C121" s="129" t="s">
        <v>806</v>
      </c>
      <c r="D121" s="129" t="s">
        <v>842</v>
      </c>
      <c r="E121" s="130" t="s">
        <v>105</v>
      </c>
      <c r="F121" s="131" t="s">
        <v>15</v>
      </c>
      <c r="G121" s="131"/>
      <c r="H121" s="130" t="s">
        <v>808</v>
      </c>
      <c r="I121" s="132">
        <v>64151.38</v>
      </c>
      <c r="J121" s="132"/>
      <c r="K121" s="133" t="s">
        <v>8</v>
      </c>
      <c r="L121" s="134">
        <v>6068074.0099999998</v>
      </c>
    </row>
    <row r="122" spans="1:12" ht="51" x14ac:dyDescent="0.3">
      <c r="A122" s="128" t="s">
        <v>328</v>
      </c>
      <c r="B122" s="129" t="s">
        <v>857</v>
      </c>
      <c r="C122" s="129" t="s">
        <v>806</v>
      </c>
      <c r="D122" s="129" t="s">
        <v>856</v>
      </c>
      <c r="E122" s="130" t="s">
        <v>105</v>
      </c>
      <c r="F122" s="131" t="s">
        <v>15</v>
      </c>
      <c r="G122" s="131"/>
      <c r="H122" s="130" t="s">
        <v>808</v>
      </c>
      <c r="I122" s="132">
        <v>101070</v>
      </c>
      <c r="J122" s="132"/>
      <c r="K122" s="133" t="s">
        <v>8</v>
      </c>
      <c r="L122" s="134">
        <v>5967004.0099999998</v>
      </c>
    </row>
    <row r="123" spans="1:12" ht="61.2" x14ac:dyDescent="0.3">
      <c r="A123" s="128" t="s">
        <v>328</v>
      </c>
      <c r="B123" s="129" t="s">
        <v>857</v>
      </c>
      <c r="C123" s="129" t="s">
        <v>806</v>
      </c>
      <c r="D123" s="129" t="s">
        <v>817</v>
      </c>
      <c r="E123" s="130" t="s">
        <v>105</v>
      </c>
      <c r="F123" s="131" t="s">
        <v>15</v>
      </c>
      <c r="G123" s="131"/>
      <c r="H123" s="130" t="s">
        <v>808</v>
      </c>
      <c r="I123" s="132">
        <v>38423.269999999997</v>
      </c>
      <c r="J123" s="132"/>
      <c r="K123" s="133" t="s">
        <v>8</v>
      </c>
      <c r="L123" s="134">
        <v>5928580.7400000002</v>
      </c>
    </row>
    <row r="124" spans="1:12" ht="51" x14ac:dyDescent="0.3">
      <c r="A124" s="128" t="s">
        <v>328</v>
      </c>
      <c r="B124" s="129" t="s">
        <v>864</v>
      </c>
      <c r="C124" s="129" t="s">
        <v>806</v>
      </c>
      <c r="D124" s="129" t="s">
        <v>809</v>
      </c>
      <c r="E124" s="130" t="s">
        <v>105</v>
      </c>
      <c r="F124" s="131" t="s">
        <v>15</v>
      </c>
      <c r="G124" s="131"/>
      <c r="H124" s="130" t="s">
        <v>808</v>
      </c>
      <c r="I124" s="132">
        <v>1783.98</v>
      </c>
      <c r="J124" s="132"/>
      <c r="K124" s="133" t="s">
        <v>8</v>
      </c>
      <c r="L124" s="134">
        <v>5926796.7599999998</v>
      </c>
    </row>
    <row r="125" spans="1:12" ht="51" x14ac:dyDescent="0.3">
      <c r="A125" s="128" t="s">
        <v>328</v>
      </c>
      <c r="B125" s="129" t="s">
        <v>864</v>
      </c>
      <c r="C125" s="129" t="s">
        <v>806</v>
      </c>
      <c r="D125" s="129" t="s">
        <v>847</v>
      </c>
      <c r="E125" s="130" t="s">
        <v>105</v>
      </c>
      <c r="F125" s="131" t="s">
        <v>15</v>
      </c>
      <c r="G125" s="131"/>
      <c r="H125" s="130" t="s">
        <v>808</v>
      </c>
      <c r="I125" s="132">
        <v>13042.58</v>
      </c>
      <c r="J125" s="132"/>
      <c r="K125" s="133" t="s">
        <v>8</v>
      </c>
      <c r="L125" s="134">
        <v>5913754.1799999997</v>
      </c>
    </row>
    <row r="126" spans="1:12" ht="61.2" x14ac:dyDescent="0.3">
      <c r="A126" s="128" t="s">
        <v>328</v>
      </c>
      <c r="B126" s="129" t="s">
        <v>864</v>
      </c>
      <c r="C126" s="129" t="s">
        <v>806</v>
      </c>
      <c r="D126" s="129" t="s">
        <v>858</v>
      </c>
      <c r="E126" s="130" t="s">
        <v>105</v>
      </c>
      <c r="F126" s="131" t="s">
        <v>15</v>
      </c>
      <c r="G126" s="131"/>
      <c r="H126" s="130" t="s">
        <v>808</v>
      </c>
      <c r="I126" s="132">
        <v>2000.83</v>
      </c>
      <c r="J126" s="132"/>
      <c r="K126" s="133" t="s">
        <v>8</v>
      </c>
      <c r="L126" s="134">
        <v>5911753.3499999996</v>
      </c>
    </row>
    <row r="127" spans="1:12" ht="61.2" x14ac:dyDescent="0.3">
      <c r="A127" s="128" t="s">
        <v>328</v>
      </c>
      <c r="B127" s="129" t="s">
        <v>864</v>
      </c>
      <c r="C127" s="129" t="s">
        <v>806</v>
      </c>
      <c r="D127" s="129" t="s">
        <v>840</v>
      </c>
      <c r="E127" s="130" t="s">
        <v>105</v>
      </c>
      <c r="F127" s="131" t="s">
        <v>15</v>
      </c>
      <c r="G127" s="131"/>
      <c r="H127" s="130" t="s">
        <v>808</v>
      </c>
      <c r="I127" s="132">
        <v>20797.5</v>
      </c>
      <c r="J127" s="132"/>
      <c r="K127" s="133" t="s">
        <v>8</v>
      </c>
      <c r="L127" s="134">
        <v>5890955.8499999996</v>
      </c>
    </row>
    <row r="128" spans="1:12" ht="61.2" x14ac:dyDescent="0.3">
      <c r="A128" s="128" t="s">
        <v>328</v>
      </c>
      <c r="B128" s="129" t="s">
        <v>864</v>
      </c>
      <c r="C128" s="129" t="s">
        <v>806</v>
      </c>
      <c r="D128" s="129" t="s">
        <v>851</v>
      </c>
      <c r="E128" s="130" t="s">
        <v>105</v>
      </c>
      <c r="F128" s="131" t="s">
        <v>15</v>
      </c>
      <c r="G128" s="131"/>
      <c r="H128" s="130" t="s">
        <v>808</v>
      </c>
      <c r="I128" s="132">
        <v>45015.21</v>
      </c>
      <c r="J128" s="132"/>
      <c r="K128" s="133" t="s">
        <v>8</v>
      </c>
      <c r="L128" s="134">
        <v>5845940.6399999997</v>
      </c>
    </row>
    <row r="129" spans="1:12" ht="51" x14ac:dyDescent="0.3">
      <c r="A129" s="128" t="s">
        <v>328</v>
      </c>
      <c r="B129" s="129" t="s">
        <v>864</v>
      </c>
      <c r="C129" s="129" t="s">
        <v>806</v>
      </c>
      <c r="D129" s="129" t="s">
        <v>813</v>
      </c>
      <c r="E129" s="130" t="s">
        <v>105</v>
      </c>
      <c r="F129" s="131" t="s">
        <v>15</v>
      </c>
      <c r="G129" s="131"/>
      <c r="H129" s="130" t="s">
        <v>808</v>
      </c>
      <c r="I129" s="132">
        <v>11783.74</v>
      </c>
      <c r="J129" s="132"/>
      <c r="K129" s="133" t="s">
        <v>8</v>
      </c>
      <c r="L129" s="134">
        <v>5834156.9000000004</v>
      </c>
    </row>
    <row r="130" spans="1:12" ht="51" x14ac:dyDescent="0.3">
      <c r="A130" s="128" t="s">
        <v>328</v>
      </c>
      <c r="B130" s="129" t="s">
        <v>864</v>
      </c>
      <c r="C130" s="129" t="s">
        <v>806</v>
      </c>
      <c r="D130" s="129" t="s">
        <v>859</v>
      </c>
      <c r="E130" s="130" t="s">
        <v>105</v>
      </c>
      <c r="F130" s="131" t="s">
        <v>15</v>
      </c>
      <c r="G130" s="131"/>
      <c r="H130" s="130" t="s">
        <v>808</v>
      </c>
      <c r="I130" s="135">
        <v>117.5</v>
      </c>
      <c r="J130" s="135"/>
      <c r="K130" s="133" t="s">
        <v>8</v>
      </c>
      <c r="L130" s="134">
        <v>5834039.4000000004</v>
      </c>
    </row>
    <row r="131" spans="1:12" ht="51" x14ac:dyDescent="0.3">
      <c r="A131" s="128" t="s">
        <v>328</v>
      </c>
      <c r="B131" s="129" t="s">
        <v>864</v>
      </c>
      <c r="C131" s="129" t="s">
        <v>806</v>
      </c>
      <c r="D131" s="129" t="s">
        <v>827</v>
      </c>
      <c r="E131" s="130" t="s">
        <v>105</v>
      </c>
      <c r="F131" s="131" t="s">
        <v>15</v>
      </c>
      <c r="G131" s="131"/>
      <c r="H131" s="130" t="s">
        <v>808</v>
      </c>
      <c r="I131" s="135">
        <v>418.8</v>
      </c>
      <c r="J131" s="135"/>
      <c r="K131" s="133" t="s">
        <v>8</v>
      </c>
      <c r="L131" s="134">
        <v>5833620.5999999996</v>
      </c>
    </row>
    <row r="132" spans="1:12" ht="61.2" x14ac:dyDescent="0.3">
      <c r="A132" s="128" t="s">
        <v>328</v>
      </c>
      <c r="B132" s="129" t="s">
        <v>864</v>
      </c>
      <c r="C132" s="129" t="s">
        <v>806</v>
      </c>
      <c r="D132" s="129" t="s">
        <v>852</v>
      </c>
      <c r="E132" s="130" t="s">
        <v>105</v>
      </c>
      <c r="F132" s="131" t="s">
        <v>15</v>
      </c>
      <c r="G132" s="131"/>
      <c r="H132" s="130" t="s">
        <v>808</v>
      </c>
      <c r="I132" s="132">
        <v>3691.12</v>
      </c>
      <c r="J132" s="132"/>
      <c r="K132" s="133" t="s">
        <v>8</v>
      </c>
      <c r="L132" s="134">
        <v>5829929.4800000004</v>
      </c>
    </row>
    <row r="133" spans="1:12" ht="51" x14ac:dyDescent="0.3">
      <c r="A133" s="128" t="s">
        <v>328</v>
      </c>
      <c r="B133" s="129" t="s">
        <v>864</v>
      </c>
      <c r="C133" s="129" t="s">
        <v>806</v>
      </c>
      <c r="D133" s="129" t="s">
        <v>860</v>
      </c>
      <c r="E133" s="130" t="s">
        <v>105</v>
      </c>
      <c r="F133" s="131" t="s">
        <v>15</v>
      </c>
      <c r="G133" s="131"/>
      <c r="H133" s="130" t="s">
        <v>808</v>
      </c>
      <c r="I133" s="132">
        <v>4956.1099999999997</v>
      </c>
      <c r="J133" s="132"/>
      <c r="K133" s="133" t="s">
        <v>8</v>
      </c>
      <c r="L133" s="134">
        <v>5824973.3700000001</v>
      </c>
    </row>
    <row r="134" spans="1:12" ht="51" x14ac:dyDescent="0.3">
      <c r="A134" s="128" t="s">
        <v>328</v>
      </c>
      <c r="B134" s="129" t="s">
        <v>864</v>
      </c>
      <c r="C134" s="129" t="s">
        <v>806</v>
      </c>
      <c r="D134" s="129" t="s">
        <v>828</v>
      </c>
      <c r="E134" s="130" t="s">
        <v>105</v>
      </c>
      <c r="F134" s="131" t="s">
        <v>15</v>
      </c>
      <c r="G134" s="131"/>
      <c r="H134" s="130" t="s">
        <v>808</v>
      </c>
      <c r="I134" s="132">
        <v>1823.57</v>
      </c>
      <c r="J134" s="132"/>
      <c r="K134" s="133" t="s">
        <v>8</v>
      </c>
      <c r="L134" s="134">
        <v>5823149.7999999998</v>
      </c>
    </row>
    <row r="135" spans="1:12" ht="51" x14ac:dyDescent="0.3">
      <c r="A135" s="128" t="s">
        <v>328</v>
      </c>
      <c r="B135" s="129" t="s">
        <v>864</v>
      </c>
      <c r="C135" s="129" t="s">
        <v>806</v>
      </c>
      <c r="D135" s="129" t="s">
        <v>865</v>
      </c>
      <c r="E135" s="130" t="s">
        <v>105</v>
      </c>
      <c r="F135" s="131" t="s">
        <v>15</v>
      </c>
      <c r="G135" s="131"/>
      <c r="H135" s="130" t="s">
        <v>808</v>
      </c>
      <c r="I135" s="132">
        <v>143411.32</v>
      </c>
      <c r="J135" s="132"/>
      <c r="K135" s="133" t="s">
        <v>8</v>
      </c>
      <c r="L135" s="134">
        <v>5679738.4800000004</v>
      </c>
    </row>
    <row r="136" spans="1:12" ht="61.2" x14ac:dyDescent="0.3">
      <c r="A136" s="128" t="s">
        <v>328</v>
      </c>
      <c r="B136" s="129" t="s">
        <v>864</v>
      </c>
      <c r="C136" s="129" t="s">
        <v>806</v>
      </c>
      <c r="D136" s="129" t="s">
        <v>831</v>
      </c>
      <c r="E136" s="130" t="s">
        <v>105</v>
      </c>
      <c r="F136" s="131" t="s">
        <v>15</v>
      </c>
      <c r="G136" s="131"/>
      <c r="H136" s="130" t="s">
        <v>808</v>
      </c>
      <c r="I136" s="132">
        <v>25991</v>
      </c>
      <c r="J136" s="132"/>
      <c r="K136" s="133" t="s">
        <v>8</v>
      </c>
      <c r="L136" s="134">
        <v>5653747.4800000004</v>
      </c>
    </row>
    <row r="137" spans="1:12" ht="51" x14ac:dyDescent="0.3">
      <c r="A137" s="128" t="s">
        <v>328</v>
      </c>
      <c r="B137" s="129" t="s">
        <v>864</v>
      </c>
      <c r="C137" s="129" t="s">
        <v>806</v>
      </c>
      <c r="D137" s="129" t="s">
        <v>862</v>
      </c>
      <c r="E137" s="130" t="s">
        <v>105</v>
      </c>
      <c r="F137" s="131" t="s">
        <v>15</v>
      </c>
      <c r="G137" s="131"/>
      <c r="H137" s="130" t="s">
        <v>808</v>
      </c>
      <c r="I137" s="132">
        <v>292394.73</v>
      </c>
      <c r="J137" s="132"/>
      <c r="K137" s="133" t="s">
        <v>8</v>
      </c>
      <c r="L137" s="134">
        <v>5361352.75</v>
      </c>
    </row>
    <row r="138" spans="1:12" ht="61.2" x14ac:dyDescent="0.3">
      <c r="A138" s="128" t="s">
        <v>328</v>
      </c>
      <c r="B138" s="129" t="s">
        <v>864</v>
      </c>
      <c r="C138" s="129" t="s">
        <v>806</v>
      </c>
      <c r="D138" s="129" t="s">
        <v>814</v>
      </c>
      <c r="E138" s="130" t="s">
        <v>105</v>
      </c>
      <c r="F138" s="131" t="s">
        <v>15</v>
      </c>
      <c r="G138" s="131"/>
      <c r="H138" s="130" t="s">
        <v>808</v>
      </c>
      <c r="I138" s="135">
        <v>719.55</v>
      </c>
      <c r="J138" s="135"/>
      <c r="K138" s="133" t="s">
        <v>8</v>
      </c>
      <c r="L138" s="134">
        <v>5360633.2</v>
      </c>
    </row>
    <row r="139" spans="1:12" ht="51" x14ac:dyDescent="0.3">
      <c r="A139" s="128" t="s">
        <v>328</v>
      </c>
      <c r="B139" s="129" t="s">
        <v>864</v>
      </c>
      <c r="C139" s="129" t="s">
        <v>806</v>
      </c>
      <c r="D139" s="129" t="s">
        <v>863</v>
      </c>
      <c r="E139" s="130" t="s">
        <v>105</v>
      </c>
      <c r="F139" s="131" t="s">
        <v>15</v>
      </c>
      <c r="G139" s="131"/>
      <c r="H139" s="130" t="s">
        <v>808</v>
      </c>
      <c r="I139" s="132">
        <v>14604.46</v>
      </c>
      <c r="J139" s="132"/>
      <c r="K139" s="133" t="s">
        <v>8</v>
      </c>
      <c r="L139" s="134">
        <v>5346028.74</v>
      </c>
    </row>
    <row r="140" spans="1:12" ht="61.2" x14ac:dyDescent="0.3">
      <c r="A140" s="128" t="s">
        <v>328</v>
      </c>
      <c r="B140" s="129" t="s">
        <v>864</v>
      </c>
      <c r="C140" s="129" t="s">
        <v>806</v>
      </c>
      <c r="D140" s="129" t="s">
        <v>845</v>
      </c>
      <c r="E140" s="130" t="s">
        <v>105</v>
      </c>
      <c r="F140" s="131" t="s">
        <v>15</v>
      </c>
      <c r="G140" s="131"/>
      <c r="H140" s="130" t="s">
        <v>808</v>
      </c>
      <c r="I140" s="132">
        <v>20872.45</v>
      </c>
      <c r="J140" s="132"/>
      <c r="K140" s="133" t="s">
        <v>8</v>
      </c>
      <c r="L140" s="134">
        <v>5325156.29</v>
      </c>
    </row>
    <row r="141" spans="1:12" ht="61.2" x14ac:dyDescent="0.3">
      <c r="A141" s="128" t="s">
        <v>328</v>
      </c>
      <c r="B141" s="129" t="s">
        <v>864</v>
      </c>
      <c r="C141" s="129" t="s">
        <v>806</v>
      </c>
      <c r="D141" s="129" t="s">
        <v>842</v>
      </c>
      <c r="E141" s="130" t="s">
        <v>105</v>
      </c>
      <c r="F141" s="131" t="s">
        <v>15</v>
      </c>
      <c r="G141" s="131"/>
      <c r="H141" s="130" t="s">
        <v>808</v>
      </c>
      <c r="I141" s="132">
        <v>12746.05</v>
      </c>
      <c r="J141" s="132"/>
      <c r="K141" s="133" t="s">
        <v>8</v>
      </c>
      <c r="L141" s="134">
        <v>5312410.24</v>
      </c>
    </row>
    <row r="142" spans="1:12" ht="61.2" x14ac:dyDescent="0.3">
      <c r="A142" s="128" t="s">
        <v>328</v>
      </c>
      <c r="B142" s="129" t="s">
        <v>864</v>
      </c>
      <c r="C142" s="129" t="s">
        <v>806</v>
      </c>
      <c r="D142" s="129" t="s">
        <v>866</v>
      </c>
      <c r="E142" s="130" t="s">
        <v>105</v>
      </c>
      <c r="F142" s="131" t="s">
        <v>15</v>
      </c>
      <c r="G142" s="131"/>
      <c r="H142" s="130" t="s">
        <v>808</v>
      </c>
      <c r="I142" s="132">
        <v>4163.53</v>
      </c>
      <c r="J142" s="132"/>
      <c r="K142" s="133" t="s">
        <v>8</v>
      </c>
      <c r="L142" s="134">
        <v>5308246.71</v>
      </c>
    </row>
    <row r="143" spans="1:12" ht="61.2" x14ac:dyDescent="0.3">
      <c r="A143" s="128" t="s">
        <v>328</v>
      </c>
      <c r="B143" s="129" t="s">
        <v>864</v>
      </c>
      <c r="C143" s="129" t="s">
        <v>806</v>
      </c>
      <c r="D143" s="129" t="s">
        <v>866</v>
      </c>
      <c r="E143" s="130" t="s">
        <v>105</v>
      </c>
      <c r="F143" s="131" t="s">
        <v>15</v>
      </c>
      <c r="G143" s="131"/>
      <c r="H143" s="130" t="s">
        <v>808</v>
      </c>
      <c r="I143" s="132">
        <v>12435.82</v>
      </c>
      <c r="J143" s="132"/>
      <c r="K143" s="133" t="s">
        <v>8</v>
      </c>
      <c r="L143" s="134">
        <v>5295810.8899999997</v>
      </c>
    </row>
    <row r="144" spans="1:12" ht="61.2" x14ac:dyDescent="0.3">
      <c r="A144" s="128" t="s">
        <v>328</v>
      </c>
      <c r="B144" s="129" t="s">
        <v>864</v>
      </c>
      <c r="C144" s="129" t="s">
        <v>806</v>
      </c>
      <c r="D144" s="129" t="s">
        <v>817</v>
      </c>
      <c r="E144" s="130" t="s">
        <v>105</v>
      </c>
      <c r="F144" s="131" t="s">
        <v>15</v>
      </c>
      <c r="G144" s="131"/>
      <c r="H144" s="130" t="s">
        <v>808</v>
      </c>
      <c r="I144" s="132">
        <v>34550.07</v>
      </c>
      <c r="J144" s="132"/>
      <c r="K144" s="133" t="s">
        <v>8</v>
      </c>
      <c r="L144" s="134">
        <v>5261260.82</v>
      </c>
    </row>
    <row r="145" spans="1:12" ht="51" x14ac:dyDescent="0.3">
      <c r="A145" s="128" t="s">
        <v>328</v>
      </c>
      <c r="B145" s="129" t="s">
        <v>864</v>
      </c>
      <c r="C145" s="129" t="s">
        <v>806</v>
      </c>
      <c r="D145" s="129" t="s">
        <v>867</v>
      </c>
      <c r="E145" s="130" t="s">
        <v>105</v>
      </c>
      <c r="F145" s="131" t="s">
        <v>15</v>
      </c>
      <c r="G145" s="131"/>
      <c r="H145" s="130" t="s">
        <v>808</v>
      </c>
      <c r="I145" s="132">
        <v>30063.94</v>
      </c>
      <c r="J145" s="132"/>
      <c r="K145" s="133" t="s">
        <v>8</v>
      </c>
      <c r="L145" s="134">
        <v>5231196.88</v>
      </c>
    </row>
    <row r="146" spans="1:12" ht="51" x14ac:dyDescent="0.3">
      <c r="A146" s="128" t="s">
        <v>328</v>
      </c>
      <c r="B146" s="129" t="s">
        <v>864</v>
      </c>
      <c r="C146" s="129" t="s">
        <v>806</v>
      </c>
      <c r="D146" s="129" t="s">
        <v>856</v>
      </c>
      <c r="E146" s="130" t="s">
        <v>105</v>
      </c>
      <c r="F146" s="131" t="s">
        <v>15</v>
      </c>
      <c r="G146" s="131"/>
      <c r="H146" s="130" t="s">
        <v>808</v>
      </c>
      <c r="I146" s="132">
        <v>6008.05</v>
      </c>
      <c r="J146" s="132"/>
      <c r="K146" s="133" t="s">
        <v>8</v>
      </c>
      <c r="L146" s="134">
        <v>5225188.83</v>
      </c>
    </row>
    <row r="147" spans="1:12" hidden="1" x14ac:dyDescent="0.3">
      <c r="A147" s="136" t="s">
        <v>193</v>
      </c>
      <c r="B147" s="136"/>
      <c r="C147" s="136"/>
      <c r="D147" s="136"/>
      <c r="E147" s="137">
        <v>0</v>
      </c>
      <c r="F147" s="137"/>
      <c r="G147" s="137"/>
      <c r="H147" s="138">
        <v>4468758.8499999996</v>
      </c>
      <c r="I147" s="138"/>
      <c r="J147" s="138"/>
      <c r="K147" s="139" t="s">
        <v>8</v>
      </c>
      <c r="L147" s="140">
        <v>5225188.83</v>
      </c>
    </row>
    <row r="149" spans="1:12" x14ac:dyDescent="0.3">
      <c r="J149" s="29">
        <f>SUBTOTAL(9,I3:J146)</f>
        <v>4468758.8500000006</v>
      </c>
    </row>
    <row r="150" spans="1:12" x14ac:dyDescent="0.3">
      <c r="J150" s="29">
        <f>J149*1.2</f>
        <v>5362510.62</v>
      </c>
    </row>
  </sheetData>
  <autoFilter ref="A1:L147" xr:uid="{329679BF-E85B-4F48-9C2D-1CEF48A628AA}">
    <filterColumn colId="1">
      <customFilters>
        <customFilter operator="notEqual" val=" "/>
      </custom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00">
    <mergeCell ref="F145:G145"/>
    <mergeCell ref="I145:J145"/>
    <mergeCell ref="F146:G146"/>
    <mergeCell ref="I146:J146"/>
    <mergeCell ref="A147:D147"/>
    <mergeCell ref="E147:G147"/>
    <mergeCell ref="H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8AAC-CBE6-495E-BAEF-9EE1DF260B6F}">
  <sheetPr filterMode="1"/>
  <dimension ref="A1:L60"/>
  <sheetViews>
    <sheetView tabSelected="1" topLeftCell="A52" workbookViewId="0">
      <selection activeCell="G58" sqref="G58"/>
    </sheetView>
  </sheetViews>
  <sheetFormatPr defaultRowHeight="14.4" x14ac:dyDescent="0.3"/>
  <cols>
    <col min="2" max="4" width="18.77734375" customWidth="1"/>
    <col min="10" max="10" width="9.88671875" bestFit="1" customWidth="1"/>
  </cols>
  <sheetData>
    <row r="1" spans="1:12" x14ac:dyDescent="0.3">
      <c r="A1" s="196" t="s">
        <v>0</v>
      </c>
      <c r="B1" s="197" t="s">
        <v>1</v>
      </c>
      <c r="C1" s="197" t="s">
        <v>2</v>
      </c>
      <c r="D1" s="198" t="s">
        <v>3</v>
      </c>
      <c r="E1" s="199" t="s">
        <v>4</v>
      </c>
      <c r="F1" s="199"/>
      <c r="G1" s="199"/>
      <c r="H1" s="200" t="s">
        <v>5</v>
      </c>
      <c r="I1" s="200"/>
      <c r="J1" s="200"/>
      <c r="K1" s="197" t="s">
        <v>6</v>
      </c>
      <c r="L1" s="197"/>
    </row>
    <row r="2" spans="1:12" hidden="1" x14ac:dyDescent="0.3">
      <c r="A2" s="201"/>
      <c r="B2" s="202"/>
      <c r="C2" s="202"/>
      <c r="D2" s="203"/>
      <c r="E2" s="204" t="s">
        <v>7</v>
      </c>
      <c r="F2" s="205"/>
      <c r="G2" s="205"/>
      <c r="H2" s="206" t="s">
        <v>7</v>
      </c>
      <c r="I2" s="207"/>
      <c r="J2" s="207"/>
      <c r="K2" s="201"/>
      <c r="L2" s="208"/>
    </row>
    <row r="3" spans="1:12" ht="61.2" hidden="1" x14ac:dyDescent="0.3">
      <c r="A3" s="209" t="s">
        <v>9</v>
      </c>
      <c r="B3" s="210" t="s">
        <v>1234</v>
      </c>
      <c r="C3" s="210" t="s">
        <v>1235</v>
      </c>
      <c r="D3" s="210" t="s">
        <v>1236</v>
      </c>
      <c r="E3" s="211" t="s">
        <v>751</v>
      </c>
      <c r="F3" s="212">
        <v>657.36</v>
      </c>
      <c r="G3" s="212"/>
      <c r="H3" s="211" t="s">
        <v>751</v>
      </c>
      <c r="I3" s="213" t="s">
        <v>15</v>
      </c>
      <c r="J3" s="213"/>
      <c r="K3" s="214" t="s">
        <v>8</v>
      </c>
      <c r="L3" s="215">
        <v>4710804.08</v>
      </c>
    </row>
    <row r="4" spans="1:12" ht="61.2" hidden="1" x14ac:dyDescent="0.3">
      <c r="A4" s="209" t="s">
        <v>9</v>
      </c>
      <c r="B4" s="210" t="s">
        <v>1237</v>
      </c>
      <c r="C4" s="210" t="s">
        <v>1238</v>
      </c>
      <c r="D4" s="210" t="s">
        <v>1239</v>
      </c>
      <c r="E4" s="211" t="s">
        <v>751</v>
      </c>
      <c r="F4" s="216">
        <v>12561.57</v>
      </c>
      <c r="G4" s="216"/>
      <c r="H4" s="211" t="s">
        <v>751</v>
      </c>
      <c r="I4" s="213" t="s">
        <v>15</v>
      </c>
      <c r="J4" s="213"/>
      <c r="K4" s="214" t="s">
        <v>8</v>
      </c>
      <c r="L4" s="215">
        <v>4723365.6500000004</v>
      </c>
    </row>
    <row r="5" spans="1:12" ht="71.400000000000006" x14ac:dyDescent="0.3">
      <c r="A5" s="209" t="s">
        <v>60</v>
      </c>
      <c r="B5" s="210" t="s">
        <v>1240</v>
      </c>
      <c r="C5" s="210" t="s">
        <v>1241</v>
      </c>
      <c r="D5" s="210" t="s">
        <v>1242</v>
      </c>
      <c r="E5" s="211" t="s">
        <v>105</v>
      </c>
      <c r="F5" s="217" t="s">
        <v>15</v>
      </c>
      <c r="G5" s="217"/>
      <c r="H5" s="211" t="s">
        <v>751</v>
      </c>
      <c r="I5" s="218">
        <v>12540.37</v>
      </c>
      <c r="J5" s="218"/>
      <c r="K5" s="214" t="s">
        <v>8</v>
      </c>
      <c r="L5" s="215">
        <v>4710825.28</v>
      </c>
    </row>
    <row r="6" spans="1:12" ht="61.2" x14ac:dyDescent="0.3">
      <c r="A6" s="209" t="s">
        <v>60</v>
      </c>
      <c r="B6" s="210" t="s">
        <v>1240</v>
      </c>
      <c r="C6" s="210" t="s">
        <v>1241</v>
      </c>
      <c r="D6" s="210" t="s">
        <v>1243</v>
      </c>
      <c r="E6" s="211" t="s">
        <v>105</v>
      </c>
      <c r="F6" s="217" t="s">
        <v>15</v>
      </c>
      <c r="G6" s="217"/>
      <c r="H6" s="211" t="s">
        <v>751</v>
      </c>
      <c r="I6" s="219">
        <v>828.65</v>
      </c>
      <c r="J6" s="219"/>
      <c r="K6" s="214" t="s">
        <v>8</v>
      </c>
      <c r="L6" s="215">
        <v>4709996.63</v>
      </c>
    </row>
    <row r="7" spans="1:12" ht="61.2" x14ac:dyDescent="0.3">
      <c r="A7" s="209" t="s">
        <v>60</v>
      </c>
      <c r="B7" s="210" t="s">
        <v>1240</v>
      </c>
      <c r="C7" s="210" t="s">
        <v>1241</v>
      </c>
      <c r="D7" s="210" t="s">
        <v>1244</v>
      </c>
      <c r="E7" s="211" t="s">
        <v>105</v>
      </c>
      <c r="F7" s="217" t="s">
        <v>15</v>
      </c>
      <c r="G7" s="217"/>
      <c r="H7" s="211" t="s">
        <v>751</v>
      </c>
      <c r="I7" s="218">
        <v>29353.75</v>
      </c>
      <c r="J7" s="218"/>
      <c r="K7" s="214" t="s">
        <v>8</v>
      </c>
      <c r="L7" s="215">
        <v>4680642.88</v>
      </c>
    </row>
    <row r="8" spans="1:12" ht="71.400000000000006" x14ac:dyDescent="0.3">
      <c r="A8" s="209" t="s">
        <v>60</v>
      </c>
      <c r="B8" s="210" t="s">
        <v>1240</v>
      </c>
      <c r="C8" s="210" t="s">
        <v>1241</v>
      </c>
      <c r="D8" s="210" t="s">
        <v>1245</v>
      </c>
      <c r="E8" s="211" t="s">
        <v>105</v>
      </c>
      <c r="F8" s="217" t="s">
        <v>15</v>
      </c>
      <c r="G8" s="217"/>
      <c r="H8" s="211" t="s">
        <v>751</v>
      </c>
      <c r="I8" s="218">
        <v>9620.3799999999992</v>
      </c>
      <c r="J8" s="218"/>
      <c r="K8" s="214" t="s">
        <v>8</v>
      </c>
      <c r="L8" s="215">
        <v>4671022.5</v>
      </c>
    </row>
    <row r="9" spans="1:12" ht="71.400000000000006" x14ac:dyDescent="0.3">
      <c r="A9" s="209" t="s">
        <v>60</v>
      </c>
      <c r="B9" s="210" t="s">
        <v>1240</v>
      </c>
      <c r="C9" s="210" t="s">
        <v>1241</v>
      </c>
      <c r="D9" s="210" t="s">
        <v>1246</v>
      </c>
      <c r="E9" s="211" t="s">
        <v>105</v>
      </c>
      <c r="F9" s="217" t="s">
        <v>15</v>
      </c>
      <c r="G9" s="217"/>
      <c r="H9" s="211" t="s">
        <v>751</v>
      </c>
      <c r="I9" s="218">
        <v>6220.46</v>
      </c>
      <c r="J9" s="218"/>
      <c r="K9" s="214" t="s">
        <v>8</v>
      </c>
      <c r="L9" s="215">
        <v>4664802.04</v>
      </c>
    </row>
    <row r="10" spans="1:12" ht="71.400000000000006" x14ac:dyDescent="0.3">
      <c r="A10" s="209" t="s">
        <v>60</v>
      </c>
      <c r="B10" s="210" t="s">
        <v>1240</v>
      </c>
      <c r="C10" s="210" t="s">
        <v>1241</v>
      </c>
      <c r="D10" s="210" t="s">
        <v>1247</v>
      </c>
      <c r="E10" s="211" t="s">
        <v>105</v>
      </c>
      <c r="F10" s="217" t="s">
        <v>15</v>
      </c>
      <c r="G10" s="217"/>
      <c r="H10" s="211" t="s">
        <v>751</v>
      </c>
      <c r="I10" s="218">
        <v>5196.95</v>
      </c>
      <c r="J10" s="218"/>
      <c r="K10" s="214" t="s">
        <v>8</v>
      </c>
      <c r="L10" s="215">
        <v>4659605.09</v>
      </c>
    </row>
    <row r="11" spans="1:12" ht="71.400000000000006" x14ac:dyDescent="0.3">
      <c r="A11" s="209" t="s">
        <v>60</v>
      </c>
      <c r="B11" s="210" t="s">
        <v>1240</v>
      </c>
      <c r="C11" s="210" t="s">
        <v>1241</v>
      </c>
      <c r="D11" s="210" t="s">
        <v>1248</v>
      </c>
      <c r="E11" s="211" t="s">
        <v>105</v>
      </c>
      <c r="F11" s="217" t="s">
        <v>15</v>
      </c>
      <c r="G11" s="217"/>
      <c r="H11" s="211" t="s">
        <v>751</v>
      </c>
      <c r="I11" s="218">
        <v>6030.29</v>
      </c>
      <c r="J11" s="218"/>
      <c r="K11" s="214" t="s">
        <v>8</v>
      </c>
      <c r="L11" s="215">
        <v>4653574.8</v>
      </c>
    </row>
    <row r="12" spans="1:12" ht="61.2" x14ac:dyDescent="0.3">
      <c r="A12" s="209" t="s">
        <v>60</v>
      </c>
      <c r="B12" s="210" t="s">
        <v>1240</v>
      </c>
      <c r="C12" s="210" t="s">
        <v>1241</v>
      </c>
      <c r="D12" s="210" t="s">
        <v>1249</v>
      </c>
      <c r="E12" s="211" t="s">
        <v>105</v>
      </c>
      <c r="F12" s="217" t="s">
        <v>15</v>
      </c>
      <c r="G12" s="217"/>
      <c r="H12" s="211" t="s">
        <v>751</v>
      </c>
      <c r="I12" s="219">
        <v>53.47</v>
      </c>
      <c r="J12" s="219"/>
      <c r="K12" s="214" t="s">
        <v>8</v>
      </c>
      <c r="L12" s="215">
        <v>4653521.33</v>
      </c>
    </row>
    <row r="13" spans="1:12" ht="71.400000000000006" x14ac:dyDescent="0.3">
      <c r="A13" s="209" t="s">
        <v>60</v>
      </c>
      <c r="B13" s="210" t="s">
        <v>1240</v>
      </c>
      <c r="C13" s="210" t="s">
        <v>1241</v>
      </c>
      <c r="D13" s="210" t="s">
        <v>1250</v>
      </c>
      <c r="E13" s="211" t="s">
        <v>105</v>
      </c>
      <c r="F13" s="217" t="s">
        <v>15</v>
      </c>
      <c r="G13" s="217"/>
      <c r="H13" s="211" t="s">
        <v>751</v>
      </c>
      <c r="I13" s="218">
        <v>6578.49</v>
      </c>
      <c r="J13" s="218"/>
      <c r="K13" s="214" t="s">
        <v>8</v>
      </c>
      <c r="L13" s="215">
        <v>4646942.84</v>
      </c>
    </row>
    <row r="14" spans="1:12" ht="61.2" x14ac:dyDescent="0.3">
      <c r="A14" s="209" t="s">
        <v>60</v>
      </c>
      <c r="B14" s="210" t="s">
        <v>1240</v>
      </c>
      <c r="C14" s="210" t="s">
        <v>1241</v>
      </c>
      <c r="D14" s="210" t="s">
        <v>1251</v>
      </c>
      <c r="E14" s="211" t="s">
        <v>105</v>
      </c>
      <c r="F14" s="217" t="s">
        <v>15</v>
      </c>
      <c r="G14" s="217"/>
      <c r="H14" s="211" t="s">
        <v>751</v>
      </c>
      <c r="I14" s="218">
        <v>23658.32</v>
      </c>
      <c r="J14" s="218"/>
      <c r="K14" s="214" t="s">
        <v>8</v>
      </c>
      <c r="L14" s="215">
        <v>4623284.5199999996</v>
      </c>
    </row>
    <row r="15" spans="1:12" ht="81.599999999999994" x14ac:dyDescent="0.3">
      <c r="A15" s="209" t="s">
        <v>60</v>
      </c>
      <c r="B15" s="210" t="s">
        <v>1240</v>
      </c>
      <c r="C15" s="210" t="s">
        <v>1241</v>
      </c>
      <c r="D15" s="210" t="s">
        <v>1252</v>
      </c>
      <c r="E15" s="211" t="s">
        <v>105</v>
      </c>
      <c r="F15" s="217" t="s">
        <v>15</v>
      </c>
      <c r="G15" s="217"/>
      <c r="H15" s="211" t="s">
        <v>751</v>
      </c>
      <c r="I15" s="219">
        <v>858.13</v>
      </c>
      <c r="J15" s="219"/>
      <c r="K15" s="214" t="s">
        <v>8</v>
      </c>
      <c r="L15" s="215">
        <v>4622426.3899999997</v>
      </c>
    </row>
    <row r="16" spans="1:12" ht="71.400000000000006" x14ac:dyDescent="0.3">
      <c r="A16" s="209" t="s">
        <v>60</v>
      </c>
      <c r="B16" s="210" t="s">
        <v>1240</v>
      </c>
      <c r="C16" s="210" t="s">
        <v>1241</v>
      </c>
      <c r="D16" s="210" t="s">
        <v>1253</v>
      </c>
      <c r="E16" s="211" t="s">
        <v>105</v>
      </c>
      <c r="F16" s="217" t="s">
        <v>15</v>
      </c>
      <c r="G16" s="217"/>
      <c r="H16" s="211" t="s">
        <v>751</v>
      </c>
      <c r="I16" s="218">
        <v>9770.83</v>
      </c>
      <c r="J16" s="218"/>
      <c r="K16" s="214" t="s">
        <v>8</v>
      </c>
      <c r="L16" s="215">
        <v>4612655.5599999996</v>
      </c>
    </row>
    <row r="17" spans="1:12" ht="71.400000000000006" x14ac:dyDescent="0.3">
      <c r="A17" s="209" t="s">
        <v>60</v>
      </c>
      <c r="B17" s="210" t="s">
        <v>1240</v>
      </c>
      <c r="C17" s="210" t="s">
        <v>1241</v>
      </c>
      <c r="D17" s="210" t="s">
        <v>1254</v>
      </c>
      <c r="E17" s="211" t="s">
        <v>105</v>
      </c>
      <c r="F17" s="217" t="s">
        <v>15</v>
      </c>
      <c r="G17" s="217"/>
      <c r="H17" s="211" t="s">
        <v>751</v>
      </c>
      <c r="I17" s="218">
        <v>5790.67</v>
      </c>
      <c r="J17" s="218"/>
      <c r="K17" s="214" t="s">
        <v>8</v>
      </c>
      <c r="L17" s="215">
        <v>4606864.8899999997</v>
      </c>
    </row>
    <row r="18" spans="1:12" ht="71.400000000000006" x14ac:dyDescent="0.3">
      <c r="A18" s="209" t="s">
        <v>60</v>
      </c>
      <c r="B18" s="210" t="s">
        <v>1240</v>
      </c>
      <c r="C18" s="210" t="s">
        <v>1241</v>
      </c>
      <c r="D18" s="210" t="s">
        <v>1255</v>
      </c>
      <c r="E18" s="211" t="s">
        <v>105</v>
      </c>
      <c r="F18" s="217" t="s">
        <v>15</v>
      </c>
      <c r="G18" s="217"/>
      <c r="H18" s="211" t="s">
        <v>751</v>
      </c>
      <c r="I18" s="219">
        <v>107.17</v>
      </c>
      <c r="J18" s="219"/>
      <c r="K18" s="214" t="s">
        <v>8</v>
      </c>
      <c r="L18" s="215">
        <v>4606757.72</v>
      </c>
    </row>
    <row r="19" spans="1:12" ht="61.2" x14ac:dyDescent="0.3">
      <c r="A19" s="209" t="s">
        <v>60</v>
      </c>
      <c r="B19" s="210" t="s">
        <v>1240</v>
      </c>
      <c r="C19" s="210" t="s">
        <v>1241</v>
      </c>
      <c r="D19" s="210" t="s">
        <v>1256</v>
      </c>
      <c r="E19" s="211" t="s">
        <v>105</v>
      </c>
      <c r="F19" s="217" t="s">
        <v>15</v>
      </c>
      <c r="G19" s="217"/>
      <c r="H19" s="211" t="s">
        <v>751</v>
      </c>
      <c r="I19" s="218">
        <v>1068.8</v>
      </c>
      <c r="J19" s="218"/>
      <c r="K19" s="214" t="s">
        <v>8</v>
      </c>
      <c r="L19" s="215">
        <v>4605688.92</v>
      </c>
    </row>
    <row r="20" spans="1:12" ht="71.400000000000006" x14ac:dyDescent="0.3">
      <c r="A20" s="209" t="s">
        <v>60</v>
      </c>
      <c r="B20" s="210" t="s">
        <v>1240</v>
      </c>
      <c r="C20" s="210" t="s">
        <v>1241</v>
      </c>
      <c r="D20" s="210" t="s">
        <v>1257</v>
      </c>
      <c r="E20" s="211" t="s">
        <v>105</v>
      </c>
      <c r="F20" s="217" t="s">
        <v>15</v>
      </c>
      <c r="G20" s="217"/>
      <c r="H20" s="211" t="s">
        <v>751</v>
      </c>
      <c r="I20" s="218">
        <v>4726</v>
      </c>
      <c r="J20" s="218"/>
      <c r="K20" s="214" t="s">
        <v>8</v>
      </c>
      <c r="L20" s="215">
        <v>4600962.92</v>
      </c>
    </row>
    <row r="21" spans="1:12" ht="71.400000000000006" x14ac:dyDescent="0.3">
      <c r="A21" s="209" t="s">
        <v>60</v>
      </c>
      <c r="B21" s="210" t="s">
        <v>1240</v>
      </c>
      <c r="C21" s="210" t="s">
        <v>1241</v>
      </c>
      <c r="D21" s="210" t="s">
        <v>1258</v>
      </c>
      <c r="E21" s="211" t="s">
        <v>105</v>
      </c>
      <c r="F21" s="217" t="s">
        <v>15</v>
      </c>
      <c r="G21" s="217"/>
      <c r="H21" s="211" t="s">
        <v>751</v>
      </c>
      <c r="I21" s="218">
        <v>60288.91</v>
      </c>
      <c r="J21" s="218"/>
      <c r="K21" s="214" t="s">
        <v>8</v>
      </c>
      <c r="L21" s="215">
        <v>4540674.01</v>
      </c>
    </row>
    <row r="22" spans="1:12" ht="61.2" x14ac:dyDescent="0.3">
      <c r="A22" s="209" t="s">
        <v>60</v>
      </c>
      <c r="B22" s="210" t="s">
        <v>1240</v>
      </c>
      <c r="C22" s="210" t="s">
        <v>1241</v>
      </c>
      <c r="D22" s="210" t="s">
        <v>1259</v>
      </c>
      <c r="E22" s="211" t="s">
        <v>105</v>
      </c>
      <c r="F22" s="217" t="s">
        <v>15</v>
      </c>
      <c r="G22" s="217"/>
      <c r="H22" s="211" t="s">
        <v>751</v>
      </c>
      <c r="I22" s="219">
        <v>204</v>
      </c>
      <c r="J22" s="219"/>
      <c r="K22" s="214" t="s">
        <v>8</v>
      </c>
      <c r="L22" s="215">
        <v>4540470.01</v>
      </c>
    </row>
    <row r="23" spans="1:12" ht="81.599999999999994" hidden="1" x14ac:dyDescent="0.3">
      <c r="A23" s="209" t="s">
        <v>644</v>
      </c>
      <c r="B23" s="210" t="s">
        <v>1260</v>
      </c>
      <c r="C23" s="210" t="s">
        <v>1261</v>
      </c>
      <c r="D23" s="210" t="s">
        <v>1262</v>
      </c>
      <c r="E23" s="211" t="s">
        <v>751</v>
      </c>
      <c r="F23" s="216">
        <v>21893.119999999999</v>
      </c>
      <c r="G23" s="216"/>
      <c r="H23" s="211" t="s">
        <v>14</v>
      </c>
      <c r="I23" s="213" t="s">
        <v>15</v>
      </c>
      <c r="J23" s="213"/>
      <c r="K23" s="214" t="s">
        <v>8</v>
      </c>
      <c r="L23" s="215">
        <v>4562363.13</v>
      </c>
    </row>
    <row r="24" spans="1:12" ht="61.2" x14ac:dyDescent="0.3">
      <c r="A24" s="209" t="s">
        <v>1122</v>
      </c>
      <c r="B24" s="210" t="s">
        <v>1263</v>
      </c>
      <c r="C24" s="210" t="s">
        <v>806</v>
      </c>
      <c r="D24" s="210" t="s">
        <v>1238</v>
      </c>
      <c r="E24" s="211" t="s">
        <v>105</v>
      </c>
      <c r="F24" s="217" t="s">
        <v>15</v>
      </c>
      <c r="G24" s="217"/>
      <c r="H24" s="211" t="s">
        <v>751</v>
      </c>
      <c r="I24" s="218">
        <v>2119.5</v>
      </c>
      <c r="J24" s="218"/>
      <c r="K24" s="214" t="s">
        <v>8</v>
      </c>
      <c r="L24" s="215">
        <v>4560243.63</v>
      </c>
    </row>
    <row r="25" spans="1:12" ht="61.2" x14ac:dyDescent="0.3">
      <c r="A25" s="209" t="s">
        <v>1122</v>
      </c>
      <c r="B25" s="210" t="s">
        <v>1264</v>
      </c>
      <c r="C25" s="210" t="s">
        <v>1241</v>
      </c>
      <c r="D25" s="210" t="s">
        <v>1244</v>
      </c>
      <c r="E25" s="211" t="s">
        <v>105</v>
      </c>
      <c r="F25" s="217" t="s">
        <v>15</v>
      </c>
      <c r="G25" s="217"/>
      <c r="H25" s="211" t="s">
        <v>751</v>
      </c>
      <c r="I25" s="218">
        <v>43843.75</v>
      </c>
      <c r="J25" s="218"/>
      <c r="K25" s="214" t="s">
        <v>8</v>
      </c>
      <c r="L25" s="215">
        <v>4516399.88</v>
      </c>
    </row>
    <row r="26" spans="1:12" ht="71.400000000000006" x14ac:dyDescent="0.3">
      <c r="A26" s="209" t="s">
        <v>1122</v>
      </c>
      <c r="B26" s="210" t="s">
        <v>1264</v>
      </c>
      <c r="C26" s="210" t="s">
        <v>1241</v>
      </c>
      <c r="D26" s="210" t="s">
        <v>1245</v>
      </c>
      <c r="E26" s="211" t="s">
        <v>105</v>
      </c>
      <c r="F26" s="217" t="s">
        <v>15</v>
      </c>
      <c r="G26" s="217"/>
      <c r="H26" s="211" t="s">
        <v>751</v>
      </c>
      <c r="I26" s="218">
        <v>20947.599999999999</v>
      </c>
      <c r="J26" s="218"/>
      <c r="K26" s="214" t="s">
        <v>8</v>
      </c>
      <c r="L26" s="215">
        <v>4495452.28</v>
      </c>
    </row>
    <row r="27" spans="1:12" ht="61.2" x14ac:dyDescent="0.3">
      <c r="A27" s="209" t="s">
        <v>1122</v>
      </c>
      <c r="B27" s="210" t="s">
        <v>1264</v>
      </c>
      <c r="C27" s="210" t="s">
        <v>1241</v>
      </c>
      <c r="D27" s="210" t="s">
        <v>1251</v>
      </c>
      <c r="E27" s="211" t="s">
        <v>105</v>
      </c>
      <c r="F27" s="217" t="s">
        <v>15</v>
      </c>
      <c r="G27" s="217"/>
      <c r="H27" s="211" t="s">
        <v>751</v>
      </c>
      <c r="I27" s="218">
        <v>22052.82</v>
      </c>
      <c r="J27" s="218"/>
      <c r="K27" s="214" t="s">
        <v>8</v>
      </c>
      <c r="L27" s="215">
        <v>4473399.46</v>
      </c>
    </row>
    <row r="28" spans="1:12" ht="71.400000000000006" x14ac:dyDescent="0.3">
      <c r="A28" s="209" t="s">
        <v>1122</v>
      </c>
      <c r="B28" s="210" t="s">
        <v>1264</v>
      </c>
      <c r="C28" s="210" t="s">
        <v>1241</v>
      </c>
      <c r="D28" s="210" t="s">
        <v>1242</v>
      </c>
      <c r="E28" s="211" t="s">
        <v>105</v>
      </c>
      <c r="F28" s="217" t="s">
        <v>15</v>
      </c>
      <c r="G28" s="217"/>
      <c r="H28" s="211" t="s">
        <v>751</v>
      </c>
      <c r="I28" s="218">
        <v>4952.25</v>
      </c>
      <c r="J28" s="218"/>
      <c r="K28" s="214" t="s">
        <v>8</v>
      </c>
      <c r="L28" s="215">
        <v>4468447.21</v>
      </c>
    </row>
    <row r="29" spans="1:12" ht="81.599999999999994" x14ac:dyDescent="0.3">
      <c r="A29" s="209" t="s">
        <v>1122</v>
      </c>
      <c r="B29" s="210" t="s">
        <v>1264</v>
      </c>
      <c r="C29" s="210" t="s">
        <v>1241</v>
      </c>
      <c r="D29" s="210" t="s">
        <v>1252</v>
      </c>
      <c r="E29" s="211" t="s">
        <v>105</v>
      </c>
      <c r="F29" s="217" t="s">
        <v>15</v>
      </c>
      <c r="G29" s="217"/>
      <c r="H29" s="211" t="s">
        <v>751</v>
      </c>
      <c r="I29" s="218">
        <v>1260.3800000000001</v>
      </c>
      <c r="J29" s="218"/>
      <c r="K29" s="214" t="s">
        <v>8</v>
      </c>
      <c r="L29" s="215">
        <v>4467186.83</v>
      </c>
    </row>
    <row r="30" spans="1:12" ht="71.400000000000006" x14ac:dyDescent="0.3">
      <c r="A30" s="209" t="s">
        <v>1122</v>
      </c>
      <c r="B30" s="210" t="s">
        <v>1264</v>
      </c>
      <c r="C30" s="210" t="s">
        <v>1241</v>
      </c>
      <c r="D30" s="210" t="s">
        <v>1248</v>
      </c>
      <c r="E30" s="211" t="s">
        <v>105</v>
      </c>
      <c r="F30" s="217" t="s">
        <v>15</v>
      </c>
      <c r="G30" s="217"/>
      <c r="H30" s="211" t="s">
        <v>751</v>
      </c>
      <c r="I30" s="218">
        <v>3948.08</v>
      </c>
      <c r="J30" s="218"/>
      <c r="K30" s="214" t="s">
        <v>8</v>
      </c>
      <c r="L30" s="215">
        <v>4463238.75</v>
      </c>
    </row>
    <row r="31" spans="1:12" ht="71.400000000000006" x14ac:dyDescent="0.3">
      <c r="A31" s="209" t="s">
        <v>1122</v>
      </c>
      <c r="B31" s="210" t="s">
        <v>1264</v>
      </c>
      <c r="C31" s="210" t="s">
        <v>1241</v>
      </c>
      <c r="D31" s="210" t="s">
        <v>1246</v>
      </c>
      <c r="E31" s="211" t="s">
        <v>105</v>
      </c>
      <c r="F31" s="217" t="s">
        <v>15</v>
      </c>
      <c r="G31" s="217"/>
      <c r="H31" s="211" t="s">
        <v>751</v>
      </c>
      <c r="I31" s="218">
        <v>9870.2099999999991</v>
      </c>
      <c r="J31" s="218"/>
      <c r="K31" s="214" t="s">
        <v>8</v>
      </c>
      <c r="L31" s="215">
        <v>4453368.54</v>
      </c>
    </row>
    <row r="32" spans="1:12" ht="71.400000000000006" x14ac:dyDescent="0.3">
      <c r="A32" s="209" t="s">
        <v>1122</v>
      </c>
      <c r="B32" s="210" t="s">
        <v>1264</v>
      </c>
      <c r="C32" s="210" t="s">
        <v>1241</v>
      </c>
      <c r="D32" s="210" t="s">
        <v>1253</v>
      </c>
      <c r="E32" s="211" t="s">
        <v>105</v>
      </c>
      <c r="F32" s="217" t="s">
        <v>15</v>
      </c>
      <c r="G32" s="217"/>
      <c r="H32" s="211" t="s">
        <v>751</v>
      </c>
      <c r="I32" s="218">
        <v>19133.34</v>
      </c>
      <c r="J32" s="218"/>
      <c r="K32" s="214" t="s">
        <v>8</v>
      </c>
      <c r="L32" s="215">
        <v>4434235.2</v>
      </c>
    </row>
    <row r="33" spans="1:12" ht="71.400000000000006" x14ac:dyDescent="0.3">
      <c r="A33" s="209" t="s">
        <v>1122</v>
      </c>
      <c r="B33" s="210" t="s">
        <v>1264</v>
      </c>
      <c r="C33" s="210" t="s">
        <v>1241</v>
      </c>
      <c r="D33" s="210" t="s">
        <v>1254</v>
      </c>
      <c r="E33" s="211" t="s">
        <v>105</v>
      </c>
      <c r="F33" s="217" t="s">
        <v>15</v>
      </c>
      <c r="G33" s="217"/>
      <c r="H33" s="211" t="s">
        <v>751</v>
      </c>
      <c r="I33" s="218">
        <v>16196.67</v>
      </c>
      <c r="J33" s="218"/>
      <c r="K33" s="214" t="s">
        <v>8</v>
      </c>
      <c r="L33" s="215">
        <v>4418038.53</v>
      </c>
    </row>
    <row r="34" spans="1:12" ht="71.400000000000006" x14ac:dyDescent="0.3">
      <c r="A34" s="209" t="s">
        <v>135</v>
      </c>
      <c r="B34" s="210" t="s">
        <v>1265</v>
      </c>
      <c r="C34" s="210" t="s">
        <v>1266</v>
      </c>
      <c r="D34" s="210" t="s">
        <v>1238</v>
      </c>
      <c r="E34" s="211" t="s">
        <v>105</v>
      </c>
      <c r="F34" s="217" t="s">
        <v>15</v>
      </c>
      <c r="G34" s="217"/>
      <c r="H34" s="211" t="s">
        <v>751</v>
      </c>
      <c r="I34" s="218">
        <v>2826</v>
      </c>
      <c r="J34" s="218"/>
      <c r="K34" s="214" t="s">
        <v>8</v>
      </c>
      <c r="L34" s="215">
        <v>4415212.53</v>
      </c>
    </row>
    <row r="35" spans="1:12" ht="81.599999999999994" hidden="1" x14ac:dyDescent="0.3">
      <c r="A35" s="209" t="s">
        <v>1145</v>
      </c>
      <c r="B35" s="210" t="s">
        <v>1267</v>
      </c>
      <c r="C35" s="210" t="s">
        <v>1268</v>
      </c>
      <c r="D35" s="210" t="s">
        <v>1269</v>
      </c>
      <c r="E35" s="211" t="s">
        <v>751</v>
      </c>
      <c r="F35" s="216">
        <v>97364.800000000003</v>
      </c>
      <c r="G35" s="216"/>
      <c r="H35" s="211" t="s">
        <v>14</v>
      </c>
      <c r="I35" s="213" t="s">
        <v>15</v>
      </c>
      <c r="J35" s="213"/>
      <c r="K35" s="214" t="s">
        <v>8</v>
      </c>
      <c r="L35" s="215">
        <v>4512577.33</v>
      </c>
    </row>
    <row r="36" spans="1:12" ht="81.599999999999994" hidden="1" x14ac:dyDescent="0.3">
      <c r="A36" s="209" t="s">
        <v>1145</v>
      </c>
      <c r="B36" s="210" t="s">
        <v>1270</v>
      </c>
      <c r="C36" s="210" t="s">
        <v>1268</v>
      </c>
      <c r="D36" s="210" t="s">
        <v>1269</v>
      </c>
      <c r="E36" s="211" t="s">
        <v>751</v>
      </c>
      <c r="F36" s="216">
        <v>58048.94</v>
      </c>
      <c r="G36" s="216"/>
      <c r="H36" s="211" t="s">
        <v>14</v>
      </c>
      <c r="I36" s="213" t="s">
        <v>15</v>
      </c>
      <c r="J36" s="213"/>
      <c r="K36" s="214" t="s">
        <v>8</v>
      </c>
      <c r="L36" s="215">
        <v>4570626.2699999996</v>
      </c>
    </row>
    <row r="37" spans="1:12" ht="81.599999999999994" hidden="1" x14ac:dyDescent="0.3">
      <c r="A37" s="209" t="s">
        <v>1145</v>
      </c>
      <c r="B37" s="210" t="s">
        <v>1271</v>
      </c>
      <c r="C37" s="210" t="s">
        <v>1268</v>
      </c>
      <c r="D37" s="210" t="s">
        <v>1269</v>
      </c>
      <c r="E37" s="211" t="s">
        <v>751</v>
      </c>
      <c r="F37" s="216">
        <v>5833.33</v>
      </c>
      <c r="G37" s="216"/>
      <c r="H37" s="211" t="s">
        <v>14</v>
      </c>
      <c r="I37" s="213" t="s">
        <v>15</v>
      </c>
      <c r="J37" s="213"/>
      <c r="K37" s="214" t="s">
        <v>8</v>
      </c>
      <c r="L37" s="215">
        <v>4576459.5999999996</v>
      </c>
    </row>
    <row r="38" spans="1:12" ht="71.400000000000006" x14ac:dyDescent="0.3">
      <c r="A38" s="209" t="s">
        <v>739</v>
      </c>
      <c r="B38" s="210" t="s">
        <v>1272</v>
      </c>
      <c r="C38" s="210" t="s">
        <v>1241</v>
      </c>
      <c r="D38" s="210" t="s">
        <v>1273</v>
      </c>
      <c r="E38" s="211" t="s">
        <v>105</v>
      </c>
      <c r="F38" s="217" t="s">
        <v>15</v>
      </c>
      <c r="G38" s="217"/>
      <c r="H38" s="211" t="s">
        <v>751</v>
      </c>
      <c r="I38" s="218">
        <v>8942.33</v>
      </c>
      <c r="J38" s="218"/>
      <c r="K38" s="214" t="s">
        <v>8</v>
      </c>
      <c r="L38" s="215">
        <v>4567517.2699999996</v>
      </c>
    </row>
    <row r="39" spans="1:12" ht="71.400000000000006" x14ac:dyDescent="0.3">
      <c r="A39" s="209" t="s">
        <v>739</v>
      </c>
      <c r="B39" s="210" t="s">
        <v>1272</v>
      </c>
      <c r="C39" s="210" t="s">
        <v>1241</v>
      </c>
      <c r="D39" s="210" t="s">
        <v>1257</v>
      </c>
      <c r="E39" s="211" t="s">
        <v>105</v>
      </c>
      <c r="F39" s="217" t="s">
        <v>15</v>
      </c>
      <c r="G39" s="217"/>
      <c r="H39" s="211" t="s">
        <v>751</v>
      </c>
      <c r="I39" s="218">
        <v>3150.67</v>
      </c>
      <c r="J39" s="218"/>
      <c r="K39" s="214" t="s">
        <v>8</v>
      </c>
      <c r="L39" s="215">
        <v>4564366.5999999996</v>
      </c>
    </row>
    <row r="40" spans="1:12" ht="61.2" x14ac:dyDescent="0.3">
      <c r="A40" s="209" t="s">
        <v>739</v>
      </c>
      <c r="B40" s="210" t="s">
        <v>1272</v>
      </c>
      <c r="C40" s="210" t="s">
        <v>1241</v>
      </c>
      <c r="D40" s="210" t="s">
        <v>1274</v>
      </c>
      <c r="E40" s="211" t="s">
        <v>105</v>
      </c>
      <c r="F40" s="217" t="s">
        <v>15</v>
      </c>
      <c r="G40" s="217"/>
      <c r="H40" s="211" t="s">
        <v>751</v>
      </c>
      <c r="I40" s="218">
        <v>46904.69</v>
      </c>
      <c r="J40" s="218"/>
      <c r="K40" s="214" t="s">
        <v>8</v>
      </c>
      <c r="L40" s="215">
        <v>4517461.91</v>
      </c>
    </row>
    <row r="41" spans="1:12" ht="71.400000000000006" x14ac:dyDescent="0.3">
      <c r="A41" s="209" t="s">
        <v>739</v>
      </c>
      <c r="B41" s="210" t="s">
        <v>1272</v>
      </c>
      <c r="C41" s="210" t="s">
        <v>1241</v>
      </c>
      <c r="D41" s="210" t="s">
        <v>1275</v>
      </c>
      <c r="E41" s="211" t="s">
        <v>105</v>
      </c>
      <c r="F41" s="217" t="s">
        <v>15</v>
      </c>
      <c r="G41" s="217"/>
      <c r="H41" s="211" t="s">
        <v>751</v>
      </c>
      <c r="I41" s="218">
        <v>14052.92</v>
      </c>
      <c r="J41" s="218"/>
      <c r="K41" s="214" t="s">
        <v>8</v>
      </c>
      <c r="L41" s="215">
        <v>4503408.99</v>
      </c>
    </row>
    <row r="42" spans="1:12" ht="71.400000000000006" x14ac:dyDescent="0.3">
      <c r="A42" s="209" t="s">
        <v>739</v>
      </c>
      <c r="B42" s="210" t="s">
        <v>1272</v>
      </c>
      <c r="C42" s="210" t="s">
        <v>1241</v>
      </c>
      <c r="D42" s="210" t="s">
        <v>1242</v>
      </c>
      <c r="E42" s="211" t="s">
        <v>105</v>
      </c>
      <c r="F42" s="217" t="s">
        <v>15</v>
      </c>
      <c r="G42" s="217"/>
      <c r="H42" s="211" t="s">
        <v>751</v>
      </c>
      <c r="I42" s="218">
        <v>3860.63</v>
      </c>
      <c r="J42" s="218"/>
      <c r="K42" s="214" t="s">
        <v>8</v>
      </c>
      <c r="L42" s="215">
        <v>4499548.3600000003</v>
      </c>
    </row>
    <row r="43" spans="1:12" ht="71.400000000000006" x14ac:dyDescent="0.3">
      <c r="A43" s="209" t="s">
        <v>739</v>
      </c>
      <c r="B43" s="210" t="s">
        <v>1272</v>
      </c>
      <c r="C43" s="210" t="s">
        <v>1241</v>
      </c>
      <c r="D43" s="210" t="s">
        <v>1248</v>
      </c>
      <c r="E43" s="211" t="s">
        <v>105</v>
      </c>
      <c r="F43" s="217" t="s">
        <v>15</v>
      </c>
      <c r="G43" s="217"/>
      <c r="H43" s="211" t="s">
        <v>751</v>
      </c>
      <c r="I43" s="218">
        <v>7166.05</v>
      </c>
      <c r="J43" s="218"/>
      <c r="K43" s="214" t="s">
        <v>8</v>
      </c>
      <c r="L43" s="215">
        <v>4492382.3099999996</v>
      </c>
    </row>
    <row r="44" spans="1:12" ht="71.400000000000006" x14ac:dyDescent="0.3">
      <c r="A44" s="209" t="s">
        <v>739</v>
      </c>
      <c r="B44" s="210" t="s">
        <v>1272</v>
      </c>
      <c r="C44" s="210" t="s">
        <v>1241</v>
      </c>
      <c r="D44" s="210" t="s">
        <v>1276</v>
      </c>
      <c r="E44" s="211" t="s">
        <v>105</v>
      </c>
      <c r="F44" s="217" t="s">
        <v>15</v>
      </c>
      <c r="G44" s="217"/>
      <c r="H44" s="211" t="s">
        <v>751</v>
      </c>
      <c r="I44" s="218">
        <v>2760.09</v>
      </c>
      <c r="J44" s="218"/>
      <c r="K44" s="214" t="s">
        <v>8</v>
      </c>
      <c r="L44" s="215">
        <v>4489622.22</v>
      </c>
    </row>
    <row r="45" spans="1:12" ht="71.400000000000006" x14ac:dyDescent="0.3">
      <c r="A45" s="209" t="s">
        <v>739</v>
      </c>
      <c r="B45" s="210" t="s">
        <v>1272</v>
      </c>
      <c r="C45" s="210" t="s">
        <v>1241</v>
      </c>
      <c r="D45" s="210" t="s">
        <v>1277</v>
      </c>
      <c r="E45" s="211" t="s">
        <v>105</v>
      </c>
      <c r="F45" s="217" t="s">
        <v>15</v>
      </c>
      <c r="G45" s="217"/>
      <c r="H45" s="211" t="s">
        <v>751</v>
      </c>
      <c r="I45" s="218">
        <v>3165.42</v>
      </c>
      <c r="J45" s="218"/>
      <c r="K45" s="214" t="s">
        <v>8</v>
      </c>
      <c r="L45" s="215">
        <v>4486456.8</v>
      </c>
    </row>
    <row r="46" spans="1:12" ht="61.2" x14ac:dyDescent="0.3">
      <c r="A46" s="209" t="s">
        <v>739</v>
      </c>
      <c r="B46" s="210" t="s">
        <v>1272</v>
      </c>
      <c r="C46" s="210" t="s">
        <v>1241</v>
      </c>
      <c r="D46" s="210" t="s">
        <v>1278</v>
      </c>
      <c r="E46" s="211" t="s">
        <v>105</v>
      </c>
      <c r="F46" s="217" t="s">
        <v>15</v>
      </c>
      <c r="G46" s="217"/>
      <c r="H46" s="211" t="s">
        <v>751</v>
      </c>
      <c r="I46" s="219">
        <v>907.2</v>
      </c>
      <c r="J46" s="219"/>
      <c r="K46" s="214" t="s">
        <v>8</v>
      </c>
      <c r="L46" s="215">
        <v>4485549.5999999996</v>
      </c>
    </row>
    <row r="47" spans="1:12" ht="71.400000000000006" x14ac:dyDescent="0.3">
      <c r="A47" s="209" t="s">
        <v>739</v>
      </c>
      <c r="B47" s="210" t="s">
        <v>1272</v>
      </c>
      <c r="C47" s="210" t="s">
        <v>1241</v>
      </c>
      <c r="D47" s="210" t="s">
        <v>1255</v>
      </c>
      <c r="E47" s="211" t="s">
        <v>105</v>
      </c>
      <c r="F47" s="217" t="s">
        <v>15</v>
      </c>
      <c r="G47" s="217"/>
      <c r="H47" s="211" t="s">
        <v>751</v>
      </c>
      <c r="I47" s="218">
        <v>1821.91</v>
      </c>
      <c r="J47" s="218"/>
      <c r="K47" s="214" t="s">
        <v>8</v>
      </c>
      <c r="L47" s="215">
        <v>4483727.6900000004</v>
      </c>
    </row>
    <row r="48" spans="1:12" ht="61.2" x14ac:dyDescent="0.3">
      <c r="A48" s="209" t="s">
        <v>739</v>
      </c>
      <c r="B48" s="210" t="s">
        <v>1272</v>
      </c>
      <c r="C48" s="210" t="s">
        <v>1241</v>
      </c>
      <c r="D48" s="210" t="s">
        <v>1259</v>
      </c>
      <c r="E48" s="211" t="s">
        <v>105</v>
      </c>
      <c r="F48" s="217" t="s">
        <v>15</v>
      </c>
      <c r="G48" s="217"/>
      <c r="H48" s="211" t="s">
        <v>751</v>
      </c>
      <c r="I48" s="219">
        <v>127.5</v>
      </c>
      <c r="J48" s="219"/>
      <c r="K48" s="214" t="s">
        <v>8</v>
      </c>
      <c r="L48" s="215">
        <v>4483600.1900000004</v>
      </c>
    </row>
    <row r="49" spans="1:12" ht="61.2" x14ac:dyDescent="0.3">
      <c r="A49" s="209" t="s">
        <v>739</v>
      </c>
      <c r="B49" s="210" t="s">
        <v>1272</v>
      </c>
      <c r="C49" s="210" t="s">
        <v>1241</v>
      </c>
      <c r="D49" s="210" t="s">
        <v>1251</v>
      </c>
      <c r="E49" s="211" t="s">
        <v>105</v>
      </c>
      <c r="F49" s="217" t="s">
        <v>15</v>
      </c>
      <c r="G49" s="217"/>
      <c r="H49" s="211" t="s">
        <v>751</v>
      </c>
      <c r="I49" s="218">
        <v>8996.82</v>
      </c>
      <c r="J49" s="218"/>
      <c r="K49" s="214" t="s">
        <v>8</v>
      </c>
      <c r="L49" s="215">
        <v>4474603.37</v>
      </c>
    </row>
    <row r="50" spans="1:12" ht="71.400000000000006" x14ac:dyDescent="0.3">
      <c r="A50" s="209" t="s">
        <v>739</v>
      </c>
      <c r="B50" s="210" t="s">
        <v>1272</v>
      </c>
      <c r="C50" s="210" t="s">
        <v>1241</v>
      </c>
      <c r="D50" s="210" t="s">
        <v>1254</v>
      </c>
      <c r="E50" s="211" t="s">
        <v>105</v>
      </c>
      <c r="F50" s="217" t="s">
        <v>15</v>
      </c>
      <c r="G50" s="217"/>
      <c r="H50" s="211" t="s">
        <v>751</v>
      </c>
      <c r="I50" s="218">
        <v>18805.34</v>
      </c>
      <c r="J50" s="218"/>
      <c r="K50" s="214" t="s">
        <v>8</v>
      </c>
      <c r="L50" s="215">
        <v>4455798.03</v>
      </c>
    </row>
    <row r="51" spans="1:12" ht="71.400000000000006" x14ac:dyDescent="0.3">
      <c r="A51" s="209" t="s">
        <v>739</v>
      </c>
      <c r="B51" s="210" t="s">
        <v>1279</v>
      </c>
      <c r="C51" s="210" t="s">
        <v>1241</v>
      </c>
      <c r="D51" s="210" t="s">
        <v>1280</v>
      </c>
      <c r="E51" s="211" t="s">
        <v>105</v>
      </c>
      <c r="F51" s="217" t="s">
        <v>15</v>
      </c>
      <c r="G51" s="217"/>
      <c r="H51" s="211" t="s">
        <v>751</v>
      </c>
      <c r="I51" s="218">
        <v>3187.5</v>
      </c>
      <c r="J51" s="218"/>
      <c r="K51" s="214" t="s">
        <v>8</v>
      </c>
      <c r="L51" s="215">
        <v>4452610.53</v>
      </c>
    </row>
    <row r="52" spans="1:12" ht="61.2" x14ac:dyDescent="0.3">
      <c r="A52" s="209" t="s">
        <v>739</v>
      </c>
      <c r="B52" s="210" t="s">
        <v>1279</v>
      </c>
      <c r="C52" s="210" t="s">
        <v>1241</v>
      </c>
      <c r="D52" s="210" t="s">
        <v>1281</v>
      </c>
      <c r="E52" s="211" t="s">
        <v>105</v>
      </c>
      <c r="F52" s="217" t="s">
        <v>15</v>
      </c>
      <c r="G52" s="217"/>
      <c r="H52" s="211" t="s">
        <v>751</v>
      </c>
      <c r="I52" s="219">
        <v>267.58999999999997</v>
      </c>
      <c r="J52" s="219"/>
      <c r="K52" s="214" t="s">
        <v>8</v>
      </c>
      <c r="L52" s="215">
        <v>4452342.9400000004</v>
      </c>
    </row>
    <row r="53" spans="1:12" ht="61.2" x14ac:dyDescent="0.3">
      <c r="A53" s="209" t="s">
        <v>739</v>
      </c>
      <c r="B53" s="210" t="s">
        <v>1279</v>
      </c>
      <c r="C53" s="210" t="s">
        <v>1241</v>
      </c>
      <c r="D53" s="210" t="s">
        <v>1282</v>
      </c>
      <c r="E53" s="211" t="s">
        <v>105</v>
      </c>
      <c r="F53" s="217" t="s">
        <v>15</v>
      </c>
      <c r="G53" s="217"/>
      <c r="H53" s="211" t="s">
        <v>751</v>
      </c>
      <c r="I53" s="219">
        <v>982.92</v>
      </c>
      <c r="J53" s="219"/>
      <c r="K53" s="214" t="s">
        <v>8</v>
      </c>
      <c r="L53" s="215">
        <v>4451360.0199999996</v>
      </c>
    </row>
    <row r="54" spans="1:12" ht="61.2" x14ac:dyDescent="0.3">
      <c r="A54" s="209" t="s">
        <v>739</v>
      </c>
      <c r="B54" s="210" t="s">
        <v>1279</v>
      </c>
      <c r="C54" s="210" t="s">
        <v>1241</v>
      </c>
      <c r="D54" s="210" t="s">
        <v>1283</v>
      </c>
      <c r="E54" s="211" t="s">
        <v>105</v>
      </c>
      <c r="F54" s="217" t="s">
        <v>15</v>
      </c>
      <c r="G54" s="217"/>
      <c r="H54" s="211" t="s">
        <v>751</v>
      </c>
      <c r="I54" s="218">
        <v>1672.5</v>
      </c>
      <c r="J54" s="218"/>
      <c r="K54" s="214" t="s">
        <v>8</v>
      </c>
      <c r="L54" s="215">
        <v>4449687.5199999996</v>
      </c>
    </row>
    <row r="55" spans="1:12" ht="71.400000000000006" x14ac:dyDescent="0.3">
      <c r="A55" s="209" t="s">
        <v>739</v>
      </c>
      <c r="B55" s="210" t="s">
        <v>1279</v>
      </c>
      <c r="C55" s="210" t="s">
        <v>1241</v>
      </c>
      <c r="D55" s="210" t="s">
        <v>1284</v>
      </c>
      <c r="E55" s="211" t="s">
        <v>105</v>
      </c>
      <c r="F55" s="217" t="s">
        <v>15</v>
      </c>
      <c r="G55" s="217"/>
      <c r="H55" s="211" t="s">
        <v>751</v>
      </c>
      <c r="I55" s="218">
        <v>1757.25</v>
      </c>
      <c r="J55" s="218"/>
      <c r="K55" s="214" t="s">
        <v>8</v>
      </c>
      <c r="L55" s="215">
        <v>4447930.2699999996</v>
      </c>
    </row>
    <row r="56" spans="1:12" ht="71.400000000000006" x14ac:dyDescent="0.3">
      <c r="A56" s="209" t="s">
        <v>739</v>
      </c>
      <c r="B56" s="210" t="s">
        <v>1279</v>
      </c>
      <c r="C56" s="210" t="s">
        <v>1241</v>
      </c>
      <c r="D56" s="210" t="s">
        <v>1242</v>
      </c>
      <c r="E56" s="211" t="s">
        <v>105</v>
      </c>
      <c r="F56" s="217" t="s">
        <v>15</v>
      </c>
      <c r="G56" s="217"/>
      <c r="H56" s="211" t="s">
        <v>751</v>
      </c>
      <c r="I56" s="219">
        <v>26.62</v>
      </c>
      <c r="J56" s="219"/>
      <c r="K56" s="214" t="s">
        <v>8</v>
      </c>
      <c r="L56" s="215">
        <v>4447903.6500000004</v>
      </c>
    </row>
    <row r="57" spans="1:12" hidden="1" x14ac:dyDescent="0.3">
      <c r="A57" s="220" t="s">
        <v>193</v>
      </c>
      <c r="B57" s="220"/>
      <c r="C57" s="220"/>
      <c r="D57" s="220"/>
      <c r="E57" s="221">
        <v>196359.12</v>
      </c>
      <c r="F57" s="221"/>
      <c r="G57" s="221"/>
      <c r="H57" s="221">
        <v>458602.19</v>
      </c>
      <c r="I57" s="221"/>
      <c r="J57" s="221"/>
      <c r="K57" s="222" t="s">
        <v>8</v>
      </c>
      <c r="L57" s="223">
        <v>4447903.6500000004</v>
      </c>
    </row>
    <row r="59" spans="1:12" x14ac:dyDescent="0.3">
      <c r="J59">
        <f>SUBTOTAL(9,I5:J56)</f>
        <v>458602.19000000006</v>
      </c>
    </row>
    <row r="60" spans="1:12" x14ac:dyDescent="0.3">
      <c r="J60" s="29">
        <f>J59*1.2</f>
        <v>550322.62800000003</v>
      </c>
    </row>
  </sheetData>
  <autoFilter ref="A1:L57" xr:uid="{D4A96915-40CA-48D1-9887-DA301DF999DD}">
    <filterColumn colId="1">
      <filters>
        <filter val="Вимога-накладна ІБ00-000902 від 27.10.2025 00:00:00_x000a_Списаны ТМЦ"/>
        <filter val="Вимога-накладна ІБ00-000994 від 18.10.2025 00:00:00_x000a_Списаны ТМЦ"/>
        <filter val="Вимога-накладна ІБ00-000998 від 27.10.2025 17:24:13_x000a_Списаны ТМЦ"/>
        <filter val="Вимога-накладна ІБ00-001001 від 18.10.2025 00:00:00_x000a_Списаны ТМЦ"/>
        <filter val="Вимога-накладна ІБ00-001002 від 10.10.2025 20:00:06_x000a_Списаны ТМЦ"/>
        <filter val="Списання товарів ІБ00-000602 від 20.10.2025 0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20">
    <mergeCell ref="F55:G55"/>
    <mergeCell ref="I55:J55"/>
    <mergeCell ref="F56:G56"/>
    <mergeCell ref="I56:J56"/>
    <mergeCell ref="A57:D57"/>
    <mergeCell ref="E57:G57"/>
    <mergeCell ref="H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824C-B1BA-4CDE-9B9F-8378CE23CBEC}">
  <sheetPr filterMode="1"/>
  <dimension ref="A1:L1824"/>
  <sheetViews>
    <sheetView topLeftCell="A1814" workbookViewId="0">
      <selection activeCell="J1827" sqref="J1827"/>
    </sheetView>
  </sheetViews>
  <sheetFormatPr defaultRowHeight="14.4" x14ac:dyDescent="0.3"/>
  <cols>
    <col min="2" max="4" width="31.33203125" customWidth="1"/>
    <col min="10" max="10" width="12.33203125" bestFit="1" customWidth="1"/>
  </cols>
  <sheetData>
    <row r="1" spans="1:12" x14ac:dyDescent="0.3">
      <c r="A1" s="224" t="s">
        <v>0</v>
      </c>
      <c r="B1" s="225" t="s">
        <v>1</v>
      </c>
      <c r="C1" s="225" t="s">
        <v>2</v>
      </c>
      <c r="D1" s="226" t="s">
        <v>3</v>
      </c>
      <c r="E1" s="227" t="s">
        <v>4</v>
      </c>
      <c r="F1" s="227"/>
      <c r="G1" s="227"/>
      <c r="H1" s="228" t="s">
        <v>5</v>
      </c>
      <c r="I1" s="228"/>
      <c r="J1" s="228"/>
      <c r="K1" s="225" t="s">
        <v>6</v>
      </c>
      <c r="L1" s="225"/>
    </row>
    <row r="2" spans="1:12" hidden="1" x14ac:dyDescent="0.3">
      <c r="A2" s="229"/>
      <c r="B2" s="230"/>
      <c r="C2" s="230"/>
      <c r="D2" s="231"/>
      <c r="E2" s="232" t="s">
        <v>7</v>
      </c>
      <c r="F2" s="233"/>
      <c r="G2" s="233"/>
      <c r="H2" s="234" t="s">
        <v>7</v>
      </c>
      <c r="I2" s="235"/>
      <c r="J2" s="235"/>
      <c r="K2" s="229"/>
      <c r="L2" s="236"/>
    </row>
    <row r="3" spans="1:12" ht="51" hidden="1" x14ac:dyDescent="0.3">
      <c r="A3" s="237" t="s">
        <v>9</v>
      </c>
      <c r="B3" s="238" t="s">
        <v>1285</v>
      </c>
      <c r="C3" s="238" t="s">
        <v>1286</v>
      </c>
      <c r="D3" s="238" t="s">
        <v>1287</v>
      </c>
      <c r="E3" s="239" t="s">
        <v>751</v>
      </c>
      <c r="F3" s="240">
        <v>67160</v>
      </c>
      <c r="G3" s="240"/>
      <c r="H3" s="239" t="s">
        <v>14</v>
      </c>
      <c r="I3" s="241" t="s">
        <v>15</v>
      </c>
      <c r="J3" s="241"/>
      <c r="K3" s="242" t="s">
        <v>8</v>
      </c>
      <c r="L3" s="243">
        <v>156269.01</v>
      </c>
    </row>
    <row r="4" spans="1:12" ht="51" hidden="1" x14ac:dyDescent="0.3">
      <c r="A4" s="237" t="s">
        <v>9</v>
      </c>
      <c r="B4" s="238" t="s">
        <v>1288</v>
      </c>
      <c r="C4" s="238" t="s">
        <v>1289</v>
      </c>
      <c r="D4" s="238" t="s">
        <v>1290</v>
      </c>
      <c r="E4" s="239" t="s">
        <v>751</v>
      </c>
      <c r="F4" s="240">
        <v>118439.99</v>
      </c>
      <c r="G4" s="240"/>
      <c r="H4" s="239" t="s">
        <v>14</v>
      </c>
      <c r="I4" s="241" t="s">
        <v>15</v>
      </c>
      <c r="J4" s="241"/>
      <c r="K4" s="242" t="s">
        <v>8</v>
      </c>
      <c r="L4" s="243">
        <v>441727.25</v>
      </c>
    </row>
    <row r="5" spans="1:12" ht="51" hidden="1" x14ac:dyDescent="0.3">
      <c r="A5" s="237" t="s">
        <v>9</v>
      </c>
      <c r="B5" s="238" t="s">
        <v>1288</v>
      </c>
      <c r="C5" s="238" t="s">
        <v>1291</v>
      </c>
      <c r="D5" s="238" t="s">
        <v>1290</v>
      </c>
      <c r="E5" s="239" t="s">
        <v>751</v>
      </c>
      <c r="F5" s="240">
        <v>4400</v>
      </c>
      <c r="G5" s="240"/>
      <c r="H5" s="239" t="s">
        <v>14</v>
      </c>
      <c r="I5" s="241" t="s">
        <v>15</v>
      </c>
      <c r="J5" s="241"/>
      <c r="K5" s="242" t="s">
        <v>8</v>
      </c>
      <c r="L5" s="243">
        <v>446127.25</v>
      </c>
    </row>
    <row r="6" spans="1:12" ht="51" hidden="1" x14ac:dyDescent="0.3">
      <c r="A6" s="237" t="s">
        <v>9</v>
      </c>
      <c r="B6" s="238" t="s">
        <v>1292</v>
      </c>
      <c r="C6" s="238" t="s">
        <v>1293</v>
      </c>
      <c r="D6" s="238" t="s">
        <v>1290</v>
      </c>
      <c r="E6" s="239" t="s">
        <v>751</v>
      </c>
      <c r="F6" s="240">
        <v>112799.99</v>
      </c>
      <c r="G6" s="240"/>
      <c r="H6" s="239" t="s">
        <v>14</v>
      </c>
      <c r="I6" s="241" t="s">
        <v>15</v>
      </c>
      <c r="J6" s="241"/>
      <c r="K6" s="242" t="s">
        <v>8</v>
      </c>
      <c r="L6" s="243">
        <v>558927.24</v>
      </c>
    </row>
    <row r="7" spans="1:12" ht="51" hidden="1" x14ac:dyDescent="0.3">
      <c r="A7" s="237" t="s">
        <v>9</v>
      </c>
      <c r="B7" s="238" t="s">
        <v>1292</v>
      </c>
      <c r="C7" s="238" t="s">
        <v>1294</v>
      </c>
      <c r="D7" s="238" t="s">
        <v>1290</v>
      </c>
      <c r="E7" s="239" t="s">
        <v>751</v>
      </c>
      <c r="F7" s="240">
        <v>5280</v>
      </c>
      <c r="G7" s="240"/>
      <c r="H7" s="239" t="s">
        <v>14</v>
      </c>
      <c r="I7" s="241" t="s">
        <v>15</v>
      </c>
      <c r="J7" s="241"/>
      <c r="K7" s="242" t="s">
        <v>8</v>
      </c>
      <c r="L7" s="243">
        <v>564207.24</v>
      </c>
    </row>
    <row r="8" spans="1:12" ht="51" hidden="1" x14ac:dyDescent="0.3">
      <c r="A8" s="237" t="s">
        <v>9</v>
      </c>
      <c r="B8" s="238" t="s">
        <v>1295</v>
      </c>
      <c r="C8" s="238" t="s">
        <v>1296</v>
      </c>
      <c r="D8" s="238" t="s">
        <v>1297</v>
      </c>
      <c r="E8" s="239" t="s">
        <v>751</v>
      </c>
      <c r="F8" s="240">
        <v>1496.95</v>
      </c>
      <c r="G8" s="240"/>
      <c r="H8" s="239" t="s">
        <v>14</v>
      </c>
      <c r="I8" s="241" t="s">
        <v>15</v>
      </c>
      <c r="J8" s="241"/>
      <c r="K8" s="242" t="s">
        <v>8</v>
      </c>
      <c r="L8" s="243">
        <v>1529518.87</v>
      </c>
    </row>
    <row r="9" spans="1:12" ht="51" hidden="1" x14ac:dyDescent="0.3">
      <c r="A9" s="237" t="s">
        <v>9</v>
      </c>
      <c r="B9" s="238" t="s">
        <v>1298</v>
      </c>
      <c r="C9" s="238" t="s">
        <v>1296</v>
      </c>
      <c r="D9" s="238" t="s">
        <v>1297</v>
      </c>
      <c r="E9" s="239" t="s">
        <v>751</v>
      </c>
      <c r="F9" s="240">
        <v>35928.839999999997</v>
      </c>
      <c r="G9" s="240"/>
      <c r="H9" s="239" t="s">
        <v>14</v>
      </c>
      <c r="I9" s="241" t="s">
        <v>15</v>
      </c>
      <c r="J9" s="241"/>
      <c r="K9" s="242" t="s">
        <v>8</v>
      </c>
      <c r="L9" s="243">
        <v>1565447.71</v>
      </c>
    </row>
    <row r="10" spans="1:12" ht="51" hidden="1" x14ac:dyDescent="0.3">
      <c r="A10" s="237" t="s">
        <v>9</v>
      </c>
      <c r="B10" s="238" t="s">
        <v>1299</v>
      </c>
      <c r="C10" s="238" t="s">
        <v>1300</v>
      </c>
      <c r="D10" s="238" t="s">
        <v>1301</v>
      </c>
      <c r="E10" s="239" t="s">
        <v>751</v>
      </c>
      <c r="F10" s="240">
        <v>1763.87</v>
      </c>
      <c r="G10" s="240"/>
      <c r="H10" s="239" t="s">
        <v>14</v>
      </c>
      <c r="I10" s="241" t="s">
        <v>15</v>
      </c>
      <c r="J10" s="241"/>
      <c r="K10" s="242" t="s">
        <v>8</v>
      </c>
      <c r="L10" s="243">
        <v>565971.11</v>
      </c>
    </row>
    <row r="11" spans="1:12" ht="51" hidden="1" x14ac:dyDescent="0.3">
      <c r="A11" s="237" t="s">
        <v>9</v>
      </c>
      <c r="B11" s="238" t="s">
        <v>1302</v>
      </c>
      <c r="C11" s="238" t="s">
        <v>1303</v>
      </c>
      <c r="D11" s="238" t="s">
        <v>1304</v>
      </c>
      <c r="E11" s="239" t="s">
        <v>751</v>
      </c>
      <c r="F11" s="240">
        <v>2480</v>
      </c>
      <c r="G11" s="240"/>
      <c r="H11" s="239" t="s">
        <v>14</v>
      </c>
      <c r="I11" s="241" t="s">
        <v>15</v>
      </c>
      <c r="J11" s="241"/>
      <c r="K11" s="242" t="s">
        <v>8</v>
      </c>
      <c r="L11" s="243">
        <v>568451.11</v>
      </c>
    </row>
    <row r="12" spans="1:12" ht="61.2" hidden="1" x14ac:dyDescent="0.3">
      <c r="A12" s="237" t="s">
        <v>9</v>
      </c>
      <c r="B12" s="238" t="s">
        <v>1305</v>
      </c>
      <c r="C12" s="238" t="s">
        <v>1306</v>
      </c>
      <c r="D12" s="238" t="s">
        <v>1307</v>
      </c>
      <c r="E12" s="239" t="s">
        <v>751</v>
      </c>
      <c r="F12" s="240">
        <v>44171.73</v>
      </c>
      <c r="G12" s="240"/>
      <c r="H12" s="239" t="s">
        <v>14</v>
      </c>
      <c r="I12" s="241" t="s">
        <v>15</v>
      </c>
      <c r="J12" s="241"/>
      <c r="K12" s="242" t="s">
        <v>8</v>
      </c>
      <c r="L12" s="243">
        <v>200440.74</v>
      </c>
    </row>
    <row r="13" spans="1:12" ht="51" hidden="1" x14ac:dyDescent="0.3">
      <c r="A13" s="237" t="s">
        <v>9</v>
      </c>
      <c r="B13" s="238" t="s">
        <v>1308</v>
      </c>
      <c r="C13" s="238" t="s">
        <v>1309</v>
      </c>
      <c r="D13" s="238" t="s">
        <v>1307</v>
      </c>
      <c r="E13" s="239" t="s">
        <v>751</v>
      </c>
      <c r="F13" s="240">
        <v>2388.6</v>
      </c>
      <c r="G13" s="240"/>
      <c r="H13" s="239" t="s">
        <v>14</v>
      </c>
      <c r="I13" s="241" t="s">
        <v>15</v>
      </c>
      <c r="J13" s="241"/>
      <c r="K13" s="242" t="s">
        <v>8</v>
      </c>
      <c r="L13" s="243">
        <v>202829.34</v>
      </c>
    </row>
    <row r="14" spans="1:12" ht="51" hidden="1" x14ac:dyDescent="0.3">
      <c r="A14" s="237" t="s">
        <v>9</v>
      </c>
      <c r="B14" s="238" t="s">
        <v>1310</v>
      </c>
      <c r="C14" s="238" t="s">
        <v>1311</v>
      </c>
      <c r="D14" s="238" t="s">
        <v>1312</v>
      </c>
      <c r="E14" s="239" t="s">
        <v>751</v>
      </c>
      <c r="F14" s="240">
        <v>1177.1600000000001</v>
      </c>
      <c r="G14" s="240"/>
      <c r="H14" s="239" t="s">
        <v>14</v>
      </c>
      <c r="I14" s="241" t="s">
        <v>15</v>
      </c>
      <c r="J14" s="241"/>
      <c r="K14" s="242" t="s">
        <v>8</v>
      </c>
      <c r="L14" s="243">
        <v>204006.5</v>
      </c>
    </row>
    <row r="15" spans="1:12" ht="61.2" hidden="1" x14ac:dyDescent="0.3">
      <c r="A15" s="237" t="s">
        <v>9</v>
      </c>
      <c r="B15" s="238" t="s">
        <v>1310</v>
      </c>
      <c r="C15" s="238" t="s">
        <v>1313</v>
      </c>
      <c r="D15" s="238" t="s">
        <v>1312</v>
      </c>
      <c r="E15" s="239" t="s">
        <v>751</v>
      </c>
      <c r="F15" s="240">
        <v>2414.41</v>
      </c>
      <c r="G15" s="240"/>
      <c r="H15" s="239" t="s">
        <v>14</v>
      </c>
      <c r="I15" s="241" t="s">
        <v>15</v>
      </c>
      <c r="J15" s="241"/>
      <c r="K15" s="242" t="s">
        <v>8</v>
      </c>
      <c r="L15" s="243">
        <v>206420.91</v>
      </c>
    </row>
    <row r="16" spans="1:12" ht="51" hidden="1" x14ac:dyDescent="0.3">
      <c r="A16" s="237" t="s">
        <v>9</v>
      </c>
      <c r="B16" s="238" t="s">
        <v>1310</v>
      </c>
      <c r="C16" s="238" t="s">
        <v>1314</v>
      </c>
      <c r="D16" s="238" t="s">
        <v>1312</v>
      </c>
      <c r="E16" s="239" t="s">
        <v>751</v>
      </c>
      <c r="F16" s="240">
        <v>6004</v>
      </c>
      <c r="G16" s="240"/>
      <c r="H16" s="239" t="s">
        <v>14</v>
      </c>
      <c r="I16" s="241" t="s">
        <v>15</v>
      </c>
      <c r="J16" s="241"/>
      <c r="K16" s="242" t="s">
        <v>8</v>
      </c>
      <c r="L16" s="243">
        <v>212424.91</v>
      </c>
    </row>
    <row r="17" spans="1:12" ht="51" hidden="1" x14ac:dyDescent="0.3">
      <c r="A17" s="237" t="s">
        <v>9</v>
      </c>
      <c r="B17" s="238" t="s">
        <v>1310</v>
      </c>
      <c r="C17" s="238" t="s">
        <v>1315</v>
      </c>
      <c r="D17" s="238" t="s">
        <v>1312</v>
      </c>
      <c r="E17" s="239" t="s">
        <v>751</v>
      </c>
      <c r="F17" s="240">
        <v>10000.01</v>
      </c>
      <c r="G17" s="240"/>
      <c r="H17" s="239" t="s">
        <v>14</v>
      </c>
      <c r="I17" s="241" t="s">
        <v>15</v>
      </c>
      <c r="J17" s="241"/>
      <c r="K17" s="242" t="s">
        <v>8</v>
      </c>
      <c r="L17" s="243">
        <v>222424.92</v>
      </c>
    </row>
    <row r="18" spans="1:12" ht="51" hidden="1" x14ac:dyDescent="0.3">
      <c r="A18" s="237" t="s">
        <v>9</v>
      </c>
      <c r="B18" s="238" t="s">
        <v>1316</v>
      </c>
      <c r="C18" s="238" t="s">
        <v>1317</v>
      </c>
      <c r="D18" s="238" t="s">
        <v>1318</v>
      </c>
      <c r="E18" s="239" t="s">
        <v>751</v>
      </c>
      <c r="F18" s="240">
        <v>17606.77</v>
      </c>
      <c r="G18" s="240"/>
      <c r="H18" s="239" t="s">
        <v>14</v>
      </c>
      <c r="I18" s="241" t="s">
        <v>15</v>
      </c>
      <c r="J18" s="241"/>
      <c r="K18" s="242" t="s">
        <v>8</v>
      </c>
      <c r="L18" s="243">
        <v>586057.88</v>
      </c>
    </row>
    <row r="19" spans="1:12" ht="51" hidden="1" x14ac:dyDescent="0.3">
      <c r="A19" s="237" t="s">
        <v>9</v>
      </c>
      <c r="B19" s="238" t="s">
        <v>1319</v>
      </c>
      <c r="C19" s="238" t="s">
        <v>1320</v>
      </c>
      <c r="D19" s="238" t="s">
        <v>1321</v>
      </c>
      <c r="E19" s="239" t="s">
        <v>751</v>
      </c>
      <c r="F19" s="240">
        <v>1526.93</v>
      </c>
      <c r="G19" s="240"/>
      <c r="H19" s="239" t="s">
        <v>14</v>
      </c>
      <c r="I19" s="241" t="s">
        <v>15</v>
      </c>
      <c r="J19" s="241"/>
      <c r="K19" s="242" t="s">
        <v>8</v>
      </c>
      <c r="L19" s="243">
        <v>587584.81000000006</v>
      </c>
    </row>
    <row r="20" spans="1:12" ht="51" hidden="1" x14ac:dyDescent="0.3">
      <c r="A20" s="237" t="s">
        <v>9</v>
      </c>
      <c r="B20" s="238" t="s">
        <v>1322</v>
      </c>
      <c r="C20" s="238" t="s">
        <v>1320</v>
      </c>
      <c r="D20" s="238" t="s">
        <v>1321</v>
      </c>
      <c r="E20" s="239" t="s">
        <v>751</v>
      </c>
      <c r="F20" s="240">
        <v>36646.39</v>
      </c>
      <c r="G20" s="240"/>
      <c r="H20" s="239" t="s">
        <v>14</v>
      </c>
      <c r="I20" s="241" t="s">
        <v>15</v>
      </c>
      <c r="J20" s="241"/>
      <c r="K20" s="242" t="s">
        <v>8</v>
      </c>
      <c r="L20" s="243">
        <v>624231.19999999995</v>
      </c>
    </row>
    <row r="21" spans="1:12" ht="51" hidden="1" x14ac:dyDescent="0.3">
      <c r="A21" s="237" t="s">
        <v>9</v>
      </c>
      <c r="B21" s="238" t="s">
        <v>1323</v>
      </c>
      <c r="C21" s="238" t="s">
        <v>1324</v>
      </c>
      <c r="D21" s="238" t="s">
        <v>1325</v>
      </c>
      <c r="E21" s="239" t="s">
        <v>751</v>
      </c>
      <c r="F21" s="240">
        <v>1925.03</v>
      </c>
      <c r="G21" s="240"/>
      <c r="H21" s="239" t="s">
        <v>14</v>
      </c>
      <c r="I21" s="241" t="s">
        <v>15</v>
      </c>
      <c r="J21" s="241"/>
      <c r="K21" s="242" t="s">
        <v>8</v>
      </c>
      <c r="L21" s="243">
        <v>626156.23</v>
      </c>
    </row>
    <row r="22" spans="1:12" ht="51" hidden="1" x14ac:dyDescent="0.3">
      <c r="A22" s="237" t="s">
        <v>9</v>
      </c>
      <c r="B22" s="238" t="s">
        <v>1326</v>
      </c>
      <c r="C22" s="238" t="s">
        <v>1324</v>
      </c>
      <c r="D22" s="238" t="s">
        <v>1325</v>
      </c>
      <c r="E22" s="239" t="s">
        <v>751</v>
      </c>
      <c r="F22" s="240">
        <v>46200.77</v>
      </c>
      <c r="G22" s="240"/>
      <c r="H22" s="239" t="s">
        <v>14</v>
      </c>
      <c r="I22" s="241" t="s">
        <v>15</v>
      </c>
      <c r="J22" s="241"/>
      <c r="K22" s="242" t="s">
        <v>8</v>
      </c>
      <c r="L22" s="243">
        <v>672357</v>
      </c>
    </row>
    <row r="23" spans="1:12" ht="51" hidden="1" x14ac:dyDescent="0.3">
      <c r="A23" s="237" t="s">
        <v>9</v>
      </c>
      <c r="B23" s="238" t="s">
        <v>1327</v>
      </c>
      <c r="C23" s="238" t="s">
        <v>1328</v>
      </c>
      <c r="D23" s="238" t="s">
        <v>1290</v>
      </c>
      <c r="E23" s="239" t="s">
        <v>751</v>
      </c>
      <c r="F23" s="240">
        <v>84599.99</v>
      </c>
      <c r="G23" s="240"/>
      <c r="H23" s="239" t="s">
        <v>14</v>
      </c>
      <c r="I23" s="241" t="s">
        <v>15</v>
      </c>
      <c r="J23" s="241"/>
      <c r="K23" s="242" t="s">
        <v>8</v>
      </c>
      <c r="L23" s="243">
        <v>6427359.79</v>
      </c>
    </row>
    <row r="24" spans="1:12" ht="51" hidden="1" x14ac:dyDescent="0.3">
      <c r="A24" s="237" t="s">
        <v>9</v>
      </c>
      <c r="B24" s="238" t="s">
        <v>1327</v>
      </c>
      <c r="C24" s="238" t="s">
        <v>1329</v>
      </c>
      <c r="D24" s="238" t="s">
        <v>1290</v>
      </c>
      <c r="E24" s="239" t="s">
        <v>751</v>
      </c>
      <c r="F24" s="240">
        <v>9680</v>
      </c>
      <c r="G24" s="240"/>
      <c r="H24" s="239" t="s">
        <v>14</v>
      </c>
      <c r="I24" s="241" t="s">
        <v>15</v>
      </c>
      <c r="J24" s="241"/>
      <c r="K24" s="242" t="s">
        <v>8</v>
      </c>
      <c r="L24" s="243">
        <v>6437039.79</v>
      </c>
    </row>
    <row r="25" spans="1:12" ht="51" hidden="1" x14ac:dyDescent="0.3">
      <c r="A25" s="237" t="s">
        <v>9</v>
      </c>
      <c r="B25" s="238" t="s">
        <v>1330</v>
      </c>
      <c r="C25" s="238" t="s">
        <v>1331</v>
      </c>
      <c r="D25" s="238" t="s">
        <v>1290</v>
      </c>
      <c r="E25" s="239" t="s">
        <v>751</v>
      </c>
      <c r="F25" s="240">
        <v>112800</v>
      </c>
      <c r="G25" s="240"/>
      <c r="H25" s="239" t="s">
        <v>14</v>
      </c>
      <c r="I25" s="241" t="s">
        <v>15</v>
      </c>
      <c r="J25" s="241"/>
      <c r="K25" s="242" t="s">
        <v>8</v>
      </c>
      <c r="L25" s="243">
        <v>785157</v>
      </c>
    </row>
    <row r="26" spans="1:12" ht="51" hidden="1" x14ac:dyDescent="0.3">
      <c r="A26" s="237" t="s">
        <v>9</v>
      </c>
      <c r="B26" s="238" t="s">
        <v>1332</v>
      </c>
      <c r="C26" s="238" t="s">
        <v>1333</v>
      </c>
      <c r="D26" s="238" t="s">
        <v>1290</v>
      </c>
      <c r="E26" s="239" t="s">
        <v>751</v>
      </c>
      <c r="F26" s="240">
        <v>45120</v>
      </c>
      <c r="G26" s="240"/>
      <c r="H26" s="239" t="s">
        <v>14</v>
      </c>
      <c r="I26" s="241" t="s">
        <v>15</v>
      </c>
      <c r="J26" s="241"/>
      <c r="K26" s="242" t="s">
        <v>8</v>
      </c>
      <c r="L26" s="243">
        <v>267544.92</v>
      </c>
    </row>
    <row r="27" spans="1:12" ht="51" hidden="1" x14ac:dyDescent="0.3">
      <c r="A27" s="237" t="s">
        <v>9</v>
      </c>
      <c r="B27" s="238" t="s">
        <v>1332</v>
      </c>
      <c r="C27" s="238" t="s">
        <v>1334</v>
      </c>
      <c r="D27" s="238" t="s">
        <v>1290</v>
      </c>
      <c r="E27" s="239" t="s">
        <v>751</v>
      </c>
      <c r="F27" s="240">
        <v>62039.99</v>
      </c>
      <c r="G27" s="240"/>
      <c r="H27" s="239" t="s">
        <v>14</v>
      </c>
      <c r="I27" s="241" t="s">
        <v>15</v>
      </c>
      <c r="J27" s="241"/>
      <c r="K27" s="242" t="s">
        <v>8</v>
      </c>
      <c r="L27" s="243">
        <v>329584.90999999997</v>
      </c>
    </row>
    <row r="28" spans="1:12" ht="51" hidden="1" x14ac:dyDescent="0.3">
      <c r="A28" s="237" t="s">
        <v>9</v>
      </c>
      <c r="B28" s="238" t="s">
        <v>1335</v>
      </c>
      <c r="C28" s="238" t="s">
        <v>1336</v>
      </c>
      <c r="D28" s="238" t="s">
        <v>1337</v>
      </c>
      <c r="E28" s="239" t="s">
        <v>751</v>
      </c>
      <c r="F28" s="240">
        <v>2112.5</v>
      </c>
      <c r="G28" s="240"/>
      <c r="H28" s="239" t="s">
        <v>14</v>
      </c>
      <c r="I28" s="241" t="s">
        <v>15</v>
      </c>
      <c r="J28" s="241"/>
      <c r="K28" s="242" t="s">
        <v>8</v>
      </c>
      <c r="L28" s="243">
        <v>3104158.74</v>
      </c>
    </row>
    <row r="29" spans="1:12" ht="51" hidden="1" x14ac:dyDescent="0.3">
      <c r="A29" s="237" t="s">
        <v>9</v>
      </c>
      <c r="B29" s="238" t="s">
        <v>1335</v>
      </c>
      <c r="C29" s="238" t="s">
        <v>1338</v>
      </c>
      <c r="D29" s="238" t="s">
        <v>1337</v>
      </c>
      <c r="E29" s="239" t="s">
        <v>751</v>
      </c>
      <c r="F29" s="240">
        <v>264907.5</v>
      </c>
      <c r="G29" s="240"/>
      <c r="H29" s="239" t="s">
        <v>14</v>
      </c>
      <c r="I29" s="241" t="s">
        <v>15</v>
      </c>
      <c r="J29" s="241"/>
      <c r="K29" s="242" t="s">
        <v>8</v>
      </c>
      <c r="L29" s="243">
        <v>3369066.24</v>
      </c>
    </row>
    <row r="30" spans="1:12" ht="51" hidden="1" x14ac:dyDescent="0.3">
      <c r="A30" s="237" t="s">
        <v>9</v>
      </c>
      <c r="B30" s="238" t="s">
        <v>1335</v>
      </c>
      <c r="C30" s="238" t="s">
        <v>1336</v>
      </c>
      <c r="D30" s="238" t="s">
        <v>1337</v>
      </c>
      <c r="E30" s="239" t="s">
        <v>751</v>
      </c>
      <c r="F30" s="240">
        <v>9750</v>
      </c>
      <c r="G30" s="240"/>
      <c r="H30" s="239" t="s">
        <v>14</v>
      </c>
      <c r="I30" s="241" t="s">
        <v>15</v>
      </c>
      <c r="J30" s="241"/>
      <c r="K30" s="242" t="s">
        <v>8</v>
      </c>
      <c r="L30" s="243">
        <v>3378816.24</v>
      </c>
    </row>
    <row r="31" spans="1:12" ht="51" hidden="1" x14ac:dyDescent="0.3">
      <c r="A31" s="237" t="s">
        <v>9</v>
      </c>
      <c r="B31" s="238" t="s">
        <v>1335</v>
      </c>
      <c r="C31" s="238" t="s">
        <v>1336</v>
      </c>
      <c r="D31" s="238" t="s">
        <v>1337</v>
      </c>
      <c r="E31" s="239" t="s">
        <v>751</v>
      </c>
      <c r="F31" s="240">
        <v>4875</v>
      </c>
      <c r="G31" s="240"/>
      <c r="H31" s="239" t="s">
        <v>14</v>
      </c>
      <c r="I31" s="241" t="s">
        <v>15</v>
      </c>
      <c r="J31" s="241"/>
      <c r="K31" s="242" t="s">
        <v>8</v>
      </c>
      <c r="L31" s="243">
        <v>3383691.24</v>
      </c>
    </row>
    <row r="32" spans="1:12" ht="51" hidden="1" x14ac:dyDescent="0.3">
      <c r="A32" s="237" t="s">
        <v>9</v>
      </c>
      <c r="B32" s="238" t="s">
        <v>1339</v>
      </c>
      <c r="C32" s="238" t="s">
        <v>1340</v>
      </c>
      <c r="D32" s="238" t="s">
        <v>1337</v>
      </c>
      <c r="E32" s="239" t="s">
        <v>751</v>
      </c>
      <c r="F32" s="240">
        <v>3730</v>
      </c>
      <c r="G32" s="240"/>
      <c r="H32" s="239" t="s">
        <v>14</v>
      </c>
      <c r="I32" s="241" t="s">
        <v>15</v>
      </c>
      <c r="J32" s="241"/>
      <c r="K32" s="242" t="s">
        <v>8</v>
      </c>
      <c r="L32" s="243">
        <v>3387421.24</v>
      </c>
    </row>
    <row r="33" spans="1:12" ht="51" hidden="1" x14ac:dyDescent="0.3">
      <c r="A33" s="237" t="s">
        <v>9</v>
      </c>
      <c r="B33" s="238" t="s">
        <v>1339</v>
      </c>
      <c r="C33" s="238" t="s">
        <v>1341</v>
      </c>
      <c r="D33" s="238" t="s">
        <v>1337</v>
      </c>
      <c r="E33" s="239" t="s">
        <v>751</v>
      </c>
      <c r="F33" s="240">
        <v>8358.5400000000009</v>
      </c>
      <c r="G33" s="240"/>
      <c r="H33" s="239" t="s">
        <v>14</v>
      </c>
      <c r="I33" s="241" t="s">
        <v>15</v>
      </c>
      <c r="J33" s="241"/>
      <c r="K33" s="242" t="s">
        <v>8</v>
      </c>
      <c r="L33" s="243">
        <v>3395779.78</v>
      </c>
    </row>
    <row r="34" spans="1:12" ht="61.2" hidden="1" x14ac:dyDescent="0.3">
      <c r="A34" s="237" t="s">
        <v>9</v>
      </c>
      <c r="B34" s="238" t="s">
        <v>1339</v>
      </c>
      <c r="C34" s="238" t="s">
        <v>1342</v>
      </c>
      <c r="D34" s="238" t="s">
        <v>1337</v>
      </c>
      <c r="E34" s="239" t="s">
        <v>751</v>
      </c>
      <c r="F34" s="240">
        <v>929854.35</v>
      </c>
      <c r="G34" s="240"/>
      <c r="H34" s="239" t="s">
        <v>14</v>
      </c>
      <c r="I34" s="241" t="s">
        <v>15</v>
      </c>
      <c r="J34" s="241"/>
      <c r="K34" s="242" t="s">
        <v>8</v>
      </c>
      <c r="L34" s="243">
        <v>4325634.13</v>
      </c>
    </row>
    <row r="35" spans="1:12" ht="51" hidden="1" x14ac:dyDescent="0.3">
      <c r="A35" s="237" t="s">
        <v>9</v>
      </c>
      <c r="B35" s="238" t="s">
        <v>1339</v>
      </c>
      <c r="C35" s="238" t="s">
        <v>1343</v>
      </c>
      <c r="D35" s="238" t="s">
        <v>1337</v>
      </c>
      <c r="E35" s="239" t="s">
        <v>751</v>
      </c>
      <c r="F35" s="240">
        <v>40445.83</v>
      </c>
      <c r="G35" s="240"/>
      <c r="H35" s="239" t="s">
        <v>14</v>
      </c>
      <c r="I35" s="241" t="s">
        <v>15</v>
      </c>
      <c r="J35" s="241"/>
      <c r="K35" s="242" t="s">
        <v>8</v>
      </c>
      <c r="L35" s="243">
        <v>4366079.96</v>
      </c>
    </row>
    <row r="36" spans="1:12" ht="61.2" hidden="1" x14ac:dyDescent="0.3">
      <c r="A36" s="237" t="s">
        <v>9</v>
      </c>
      <c r="B36" s="238" t="s">
        <v>1344</v>
      </c>
      <c r="C36" s="238" t="s">
        <v>1345</v>
      </c>
      <c r="D36" s="238" t="s">
        <v>1337</v>
      </c>
      <c r="E36" s="239" t="s">
        <v>751</v>
      </c>
      <c r="F36" s="240">
        <v>568432.5</v>
      </c>
      <c r="G36" s="240"/>
      <c r="H36" s="239" t="s">
        <v>14</v>
      </c>
      <c r="I36" s="241" t="s">
        <v>15</v>
      </c>
      <c r="J36" s="241"/>
      <c r="K36" s="242" t="s">
        <v>8</v>
      </c>
      <c r="L36" s="243">
        <v>4934512.46</v>
      </c>
    </row>
    <row r="37" spans="1:12" ht="61.2" hidden="1" x14ac:dyDescent="0.3">
      <c r="A37" s="237" t="s">
        <v>9</v>
      </c>
      <c r="B37" s="238" t="s">
        <v>1346</v>
      </c>
      <c r="C37" s="238" t="s">
        <v>1347</v>
      </c>
      <c r="D37" s="238" t="s">
        <v>1337</v>
      </c>
      <c r="E37" s="239" t="s">
        <v>751</v>
      </c>
      <c r="F37" s="240">
        <v>25080</v>
      </c>
      <c r="G37" s="240"/>
      <c r="H37" s="239" t="s">
        <v>14</v>
      </c>
      <c r="I37" s="241" t="s">
        <v>15</v>
      </c>
      <c r="J37" s="241"/>
      <c r="K37" s="242" t="s">
        <v>8</v>
      </c>
      <c r="L37" s="243">
        <v>4959592.46</v>
      </c>
    </row>
    <row r="38" spans="1:12" ht="51" hidden="1" x14ac:dyDescent="0.3">
      <c r="A38" s="237" t="s">
        <v>9</v>
      </c>
      <c r="B38" s="238" t="s">
        <v>1346</v>
      </c>
      <c r="C38" s="238" t="s">
        <v>1348</v>
      </c>
      <c r="D38" s="238" t="s">
        <v>1337</v>
      </c>
      <c r="E38" s="239" t="s">
        <v>751</v>
      </c>
      <c r="F38" s="240">
        <v>604948.13</v>
      </c>
      <c r="G38" s="240"/>
      <c r="H38" s="239" t="s">
        <v>14</v>
      </c>
      <c r="I38" s="241" t="s">
        <v>15</v>
      </c>
      <c r="J38" s="241"/>
      <c r="K38" s="242" t="s">
        <v>8</v>
      </c>
      <c r="L38" s="243">
        <v>5564540.5899999999</v>
      </c>
    </row>
    <row r="39" spans="1:12" ht="51" hidden="1" x14ac:dyDescent="0.3">
      <c r="A39" s="237" t="s">
        <v>9</v>
      </c>
      <c r="B39" s="238" t="s">
        <v>1346</v>
      </c>
      <c r="C39" s="238" t="s">
        <v>1348</v>
      </c>
      <c r="D39" s="238" t="s">
        <v>1337</v>
      </c>
      <c r="E39" s="239" t="s">
        <v>751</v>
      </c>
      <c r="F39" s="240">
        <v>39686.25</v>
      </c>
      <c r="G39" s="240"/>
      <c r="H39" s="239" t="s">
        <v>14</v>
      </c>
      <c r="I39" s="241" t="s">
        <v>15</v>
      </c>
      <c r="J39" s="241"/>
      <c r="K39" s="242" t="s">
        <v>8</v>
      </c>
      <c r="L39" s="243">
        <v>5604226.8399999999</v>
      </c>
    </row>
    <row r="40" spans="1:12" ht="51" hidden="1" x14ac:dyDescent="0.3">
      <c r="A40" s="237" t="s">
        <v>9</v>
      </c>
      <c r="B40" s="238" t="s">
        <v>1349</v>
      </c>
      <c r="C40" s="238" t="s">
        <v>1350</v>
      </c>
      <c r="D40" s="238" t="s">
        <v>1337</v>
      </c>
      <c r="E40" s="239" t="s">
        <v>751</v>
      </c>
      <c r="F40" s="240">
        <v>48037.5</v>
      </c>
      <c r="G40" s="240"/>
      <c r="H40" s="239" t="s">
        <v>14</v>
      </c>
      <c r="I40" s="241" t="s">
        <v>15</v>
      </c>
      <c r="J40" s="241"/>
      <c r="K40" s="242" t="s">
        <v>8</v>
      </c>
      <c r="L40" s="243">
        <v>377622.41</v>
      </c>
    </row>
    <row r="41" spans="1:12" ht="51" hidden="1" x14ac:dyDescent="0.3">
      <c r="A41" s="237" t="s">
        <v>9</v>
      </c>
      <c r="B41" s="238" t="s">
        <v>1349</v>
      </c>
      <c r="C41" s="238" t="s">
        <v>1351</v>
      </c>
      <c r="D41" s="238" t="s">
        <v>1337</v>
      </c>
      <c r="E41" s="239" t="s">
        <v>751</v>
      </c>
      <c r="F41" s="240">
        <v>1570</v>
      </c>
      <c r="G41" s="240"/>
      <c r="H41" s="239" t="s">
        <v>14</v>
      </c>
      <c r="I41" s="241" t="s">
        <v>15</v>
      </c>
      <c r="J41" s="241"/>
      <c r="K41" s="242" t="s">
        <v>8</v>
      </c>
      <c r="L41" s="243">
        <v>379192.41</v>
      </c>
    </row>
    <row r="42" spans="1:12" ht="51" hidden="1" x14ac:dyDescent="0.3">
      <c r="A42" s="237" t="s">
        <v>9</v>
      </c>
      <c r="B42" s="238" t="s">
        <v>1349</v>
      </c>
      <c r="C42" s="238" t="s">
        <v>1352</v>
      </c>
      <c r="D42" s="238" t="s">
        <v>1337</v>
      </c>
      <c r="E42" s="239" t="s">
        <v>751</v>
      </c>
      <c r="F42" s="240">
        <v>11502.5</v>
      </c>
      <c r="G42" s="240"/>
      <c r="H42" s="239" t="s">
        <v>14</v>
      </c>
      <c r="I42" s="241" t="s">
        <v>15</v>
      </c>
      <c r="J42" s="241"/>
      <c r="K42" s="242" t="s">
        <v>8</v>
      </c>
      <c r="L42" s="243">
        <v>390694.91</v>
      </c>
    </row>
    <row r="43" spans="1:12" ht="51" hidden="1" x14ac:dyDescent="0.3">
      <c r="A43" s="237" t="s">
        <v>9</v>
      </c>
      <c r="B43" s="238" t="s">
        <v>1349</v>
      </c>
      <c r="C43" s="238" t="s">
        <v>1350</v>
      </c>
      <c r="D43" s="238" t="s">
        <v>1337</v>
      </c>
      <c r="E43" s="239" t="s">
        <v>751</v>
      </c>
      <c r="F43" s="240">
        <v>23625</v>
      </c>
      <c r="G43" s="240"/>
      <c r="H43" s="239" t="s">
        <v>14</v>
      </c>
      <c r="I43" s="241" t="s">
        <v>15</v>
      </c>
      <c r="J43" s="241"/>
      <c r="K43" s="242" t="s">
        <v>8</v>
      </c>
      <c r="L43" s="243">
        <v>414319.91</v>
      </c>
    </row>
    <row r="44" spans="1:12" ht="51" hidden="1" x14ac:dyDescent="0.3">
      <c r="A44" s="237" t="s">
        <v>9</v>
      </c>
      <c r="B44" s="238" t="s">
        <v>1349</v>
      </c>
      <c r="C44" s="238" t="s">
        <v>1353</v>
      </c>
      <c r="D44" s="238" t="s">
        <v>1337</v>
      </c>
      <c r="E44" s="239" t="s">
        <v>751</v>
      </c>
      <c r="F44" s="244">
        <v>261.67</v>
      </c>
      <c r="G44" s="244"/>
      <c r="H44" s="239" t="s">
        <v>14</v>
      </c>
      <c r="I44" s="241" t="s">
        <v>15</v>
      </c>
      <c r="J44" s="241"/>
      <c r="K44" s="242" t="s">
        <v>8</v>
      </c>
      <c r="L44" s="243">
        <v>414581.58</v>
      </c>
    </row>
    <row r="45" spans="1:12" ht="51" hidden="1" x14ac:dyDescent="0.3">
      <c r="A45" s="237" t="s">
        <v>9</v>
      </c>
      <c r="B45" s="238" t="s">
        <v>1349</v>
      </c>
      <c r="C45" s="238" t="s">
        <v>1354</v>
      </c>
      <c r="D45" s="238" t="s">
        <v>1337</v>
      </c>
      <c r="E45" s="239" t="s">
        <v>751</v>
      </c>
      <c r="F45" s="244">
        <v>584.58000000000004</v>
      </c>
      <c r="G45" s="244"/>
      <c r="H45" s="239" t="s">
        <v>14</v>
      </c>
      <c r="I45" s="241" t="s">
        <v>15</v>
      </c>
      <c r="J45" s="241"/>
      <c r="K45" s="242" t="s">
        <v>8</v>
      </c>
      <c r="L45" s="243">
        <v>415166.16</v>
      </c>
    </row>
    <row r="46" spans="1:12" ht="51" hidden="1" x14ac:dyDescent="0.3">
      <c r="A46" s="237" t="s">
        <v>9</v>
      </c>
      <c r="B46" s="238" t="s">
        <v>1349</v>
      </c>
      <c r="C46" s="238" t="s">
        <v>1355</v>
      </c>
      <c r="D46" s="238" t="s">
        <v>1337</v>
      </c>
      <c r="E46" s="239" t="s">
        <v>751</v>
      </c>
      <c r="F46" s="240">
        <v>23002.09</v>
      </c>
      <c r="G46" s="240"/>
      <c r="H46" s="239" t="s">
        <v>14</v>
      </c>
      <c r="I46" s="241" t="s">
        <v>15</v>
      </c>
      <c r="J46" s="241"/>
      <c r="K46" s="242" t="s">
        <v>8</v>
      </c>
      <c r="L46" s="243">
        <v>438168.25</v>
      </c>
    </row>
    <row r="47" spans="1:12" ht="51" hidden="1" x14ac:dyDescent="0.3">
      <c r="A47" s="237" t="s">
        <v>9</v>
      </c>
      <c r="B47" s="238" t="s">
        <v>1349</v>
      </c>
      <c r="C47" s="238" t="s">
        <v>1350</v>
      </c>
      <c r="D47" s="238" t="s">
        <v>1337</v>
      </c>
      <c r="E47" s="239" t="s">
        <v>751</v>
      </c>
      <c r="F47" s="240">
        <v>223650</v>
      </c>
      <c r="G47" s="240"/>
      <c r="H47" s="239" t="s">
        <v>14</v>
      </c>
      <c r="I47" s="241" t="s">
        <v>15</v>
      </c>
      <c r="J47" s="241"/>
      <c r="K47" s="242" t="s">
        <v>8</v>
      </c>
      <c r="L47" s="243">
        <v>661818.25</v>
      </c>
    </row>
    <row r="48" spans="1:12" ht="61.2" hidden="1" x14ac:dyDescent="0.3">
      <c r="A48" s="237" t="s">
        <v>9</v>
      </c>
      <c r="B48" s="238" t="s">
        <v>1356</v>
      </c>
      <c r="C48" s="238" t="s">
        <v>1357</v>
      </c>
      <c r="D48" s="238" t="s">
        <v>1337</v>
      </c>
      <c r="E48" s="239" t="s">
        <v>751</v>
      </c>
      <c r="F48" s="240">
        <v>314640</v>
      </c>
      <c r="G48" s="240"/>
      <c r="H48" s="239" t="s">
        <v>14</v>
      </c>
      <c r="I48" s="241" t="s">
        <v>15</v>
      </c>
      <c r="J48" s="241"/>
      <c r="K48" s="242" t="s">
        <v>8</v>
      </c>
      <c r="L48" s="243">
        <v>5918866.8399999999</v>
      </c>
    </row>
    <row r="49" spans="1:12" ht="51" hidden="1" x14ac:dyDescent="0.3">
      <c r="A49" s="237" t="s">
        <v>9</v>
      </c>
      <c r="B49" s="238" t="s">
        <v>1358</v>
      </c>
      <c r="C49" s="238" t="s">
        <v>1359</v>
      </c>
      <c r="D49" s="238" t="s">
        <v>1337</v>
      </c>
      <c r="E49" s="239" t="s">
        <v>751</v>
      </c>
      <c r="F49" s="240">
        <v>4845</v>
      </c>
      <c r="G49" s="240"/>
      <c r="H49" s="239" t="s">
        <v>14</v>
      </c>
      <c r="I49" s="241" t="s">
        <v>15</v>
      </c>
      <c r="J49" s="241"/>
      <c r="K49" s="242" t="s">
        <v>8</v>
      </c>
      <c r="L49" s="243">
        <v>5923711.8399999999</v>
      </c>
    </row>
    <row r="50" spans="1:12" ht="61.2" hidden="1" x14ac:dyDescent="0.3">
      <c r="A50" s="237" t="s">
        <v>9</v>
      </c>
      <c r="B50" s="238" t="s">
        <v>1358</v>
      </c>
      <c r="C50" s="238" t="s">
        <v>1360</v>
      </c>
      <c r="D50" s="238" t="s">
        <v>1337</v>
      </c>
      <c r="E50" s="239" t="s">
        <v>751</v>
      </c>
      <c r="F50" s="240">
        <v>13199.17</v>
      </c>
      <c r="G50" s="240"/>
      <c r="H50" s="239" t="s">
        <v>14</v>
      </c>
      <c r="I50" s="241" t="s">
        <v>15</v>
      </c>
      <c r="J50" s="241"/>
      <c r="K50" s="242" t="s">
        <v>8</v>
      </c>
      <c r="L50" s="243">
        <v>5936911.0099999998</v>
      </c>
    </row>
    <row r="51" spans="1:12" ht="61.2" hidden="1" x14ac:dyDescent="0.3">
      <c r="A51" s="237" t="s">
        <v>9</v>
      </c>
      <c r="B51" s="238" t="s">
        <v>1361</v>
      </c>
      <c r="C51" s="238" t="s">
        <v>1362</v>
      </c>
      <c r="D51" s="238" t="s">
        <v>1337</v>
      </c>
      <c r="E51" s="239" t="s">
        <v>751</v>
      </c>
      <c r="F51" s="240">
        <v>88236</v>
      </c>
      <c r="G51" s="240"/>
      <c r="H51" s="239" t="s">
        <v>14</v>
      </c>
      <c r="I51" s="241" t="s">
        <v>15</v>
      </c>
      <c r="J51" s="241"/>
      <c r="K51" s="242" t="s">
        <v>8</v>
      </c>
      <c r="L51" s="243">
        <v>6025147.0099999998</v>
      </c>
    </row>
    <row r="52" spans="1:12" ht="61.2" hidden="1" x14ac:dyDescent="0.3">
      <c r="A52" s="237" t="s">
        <v>9</v>
      </c>
      <c r="B52" s="238" t="s">
        <v>1361</v>
      </c>
      <c r="C52" s="238" t="s">
        <v>1362</v>
      </c>
      <c r="D52" s="238" t="s">
        <v>1337</v>
      </c>
      <c r="E52" s="239" t="s">
        <v>751</v>
      </c>
      <c r="F52" s="244">
        <v>399</v>
      </c>
      <c r="G52" s="244"/>
      <c r="H52" s="239" t="s">
        <v>14</v>
      </c>
      <c r="I52" s="241" t="s">
        <v>15</v>
      </c>
      <c r="J52" s="241"/>
      <c r="K52" s="242" t="s">
        <v>8</v>
      </c>
      <c r="L52" s="243">
        <v>6025546.0099999998</v>
      </c>
    </row>
    <row r="53" spans="1:12" ht="51" hidden="1" x14ac:dyDescent="0.3">
      <c r="A53" s="237" t="s">
        <v>9</v>
      </c>
      <c r="B53" s="238" t="s">
        <v>1361</v>
      </c>
      <c r="C53" s="238" t="s">
        <v>1363</v>
      </c>
      <c r="D53" s="238" t="s">
        <v>1337</v>
      </c>
      <c r="E53" s="239" t="s">
        <v>751</v>
      </c>
      <c r="F53" s="240">
        <v>4493.33</v>
      </c>
      <c r="G53" s="240"/>
      <c r="H53" s="239" t="s">
        <v>14</v>
      </c>
      <c r="I53" s="241" t="s">
        <v>15</v>
      </c>
      <c r="J53" s="241"/>
      <c r="K53" s="242" t="s">
        <v>8</v>
      </c>
      <c r="L53" s="243">
        <v>6030039.3399999999</v>
      </c>
    </row>
    <row r="54" spans="1:12" ht="51" hidden="1" x14ac:dyDescent="0.3">
      <c r="A54" s="237" t="s">
        <v>9</v>
      </c>
      <c r="B54" s="238" t="s">
        <v>1364</v>
      </c>
      <c r="C54" s="238" t="s">
        <v>1365</v>
      </c>
      <c r="D54" s="238" t="s">
        <v>1337</v>
      </c>
      <c r="E54" s="239" t="s">
        <v>751</v>
      </c>
      <c r="F54" s="240">
        <v>8516.25</v>
      </c>
      <c r="G54" s="240"/>
      <c r="H54" s="239" t="s">
        <v>14</v>
      </c>
      <c r="I54" s="241" t="s">
        <v>15</v>
      </c>
      <c r="J54" s="241"/>
      <c r="K54" s="242" t="s">
        <v>8</v>
      </c>
      <c r="L54" s="243">
        <v>6038555.5899999999</v>
      </c>
    </row>
    <row r="55" spans="1:12" ht="51" hidden="1" x14ac:dyDescent="0.3">
      <c r="A55" s="237" t="s">
        <v>9</v>
      </c>
      <c r="B55" s="238" t="s">
        <v>1364</v>
      </c>
      <c r="C55" s="238" t="s">
        <v>1366</v>
      </c>
      <c r="D55" s="238" t="s">
        <v>1337</v>
      </c>
      <c r="E55" s="239" t="s">
        <v>751</v>
      </c>
      <c r="F55" s="240">
        <v>135165.63</v>
      </c>
      <c r="G55" s="240"/>
      <c r="H55" s="239" t="s">
        <v>14</v>
      </c>
      <c r="I55" s="241" t="s">
        <v>15</v>
      </c>
      <c r="J55" s="241"/>
      <c r="K55" s="242" t="s">
        <v>8</v>
      </c>
      <c r="L55" s="243">
        <v>6173721.2199999997</v>
      </c>
    </row>
    <row r="56" spans="1:12" ht="51" hidden="1" x14ac:dyDescent="0.3">
      <c r="A56" s="237" t="s">
        <v>9</v>
      </c>
      <c r="B56" s="238" t="s">
        <v>1364</v>
      </c>
      <c r="C56" s="238" t="s">
        <v>1367</v>
      </c>
      <c r="D56" s="238" t="s">
        <v>1337</v>
      </c>
      <c r="E56" s="239" t="s">
        <v>751</v>
      </c>
      <c r="F56" s="240">
        <v>115325.82</v>
      </c>
      <c r="G56" s="240"/>
      <c r="H56" s="239" t="s">
        <v>14</v>
      </c>
      <c r="I56" s="241" t="s">
        <v>15</v>
      </c>
      <c r="J56" s="241"/>
      <c r="K56" s="242" t="s">
        <v>8</v>
      </c>
      <c r="L56" s="243">
        <v>6289047.04</v>
      </c>
    </row>
    <row r="57" spans="1:12" ht="61.2" hidden="1" x14ac:dyDescent="0.3">
      <c r="A57" s="237" t="s">
        <v>9</v>
      </c>
      <c r="B57" s="238" t="s">
        <v>1368</v>
      </c>
      <c r="C57" s="238" t="s">
        <v>1369</v>
      </c>
      <c r="D57" s="238" t="s">
        <v>1337</v>
      </c>
      <c r="E57" s="239" t="s">
        <v>751</v>
      </c>
      <c r="F57" s="240">
        <v>147259.5</v>
      </c>
      <c r="G57" s="240"/>
      <c r="H57" s="239" t="s">
        <v>14</v>
      </c>
      <c r="I57" s="241" t="s">
        <v>15</v>
      </c>
      <c r="J57" s="241"/>
      <c r="K57" s="242" t="s">
        <v>8</v>
      </c>
      <c r="L57" s="243">
        <v>6436306.54</v>
      </c>
    </row>
    <row r="58" spans="1:12" ht="61.2" hidden="1" x14ac:dyDescent="0.3">
      <c r="A58" s="237" t="s">
        <v>9</v>
      </c>
      <c r="B58" s="238" t="s">
        <v>1368</v>
      </c>
      <c r="C58" s="238" t="s">
        <v>1369</v>
      </c>
      <c r="D58" s="238" t="s">
        <v>1337</v>
      </c>
      <c r="E58" s="239" t="s">
        <v>751</v>
      </c>
      <c r="F58" s="240">
        <v>474895.5</v>
      </c>
      <c r="G58" s="240"/>
      <c r="H58" s="239" t="s">
        <v>14</v>
      </c>
      <c r="I58" s="241" t="s">
        <v>15</v>
      </c>
      <c r="J58" s="241"/>
      <c r="K58" s="242" t="s">
        <v>8</v>
      </c>
      <c r="L58" s="243">
        <v>6911202.04</v>
      </c>
    </row>
    <row r="59" spans="1:12" ht="51" hidden="1" x14ac:dyDescent="0.3">
      <c r="A59" s="237" t="s">
        <v>9</v>
      </c>
      <c r="B59" s="238" t="s">
        <v>1370</v>
      </c>
      <c r="C59" s="238" t="s">
        <v>1371</v>
      </c>
      <c r="D59" s="238" t="s">
        <v>1337</v>
      </c>
      <c r="E59" s="239" t="s">
        <v>751</v>
      </c>
      <c r="F59" s="240">
        <v>88293.32</v>
      </c>
      <c r="G59" s="240"/>
      <c r="H59" s="239" t="s">
        <v>14</v>
      </c>
      <c r="I59" s="241" t="s">
        <v>15</v>
      </c>
      <c r="J59" s="241"/>
      <c r="K59" s="242" t="s">
        <v>8</v>
      </c>
      <c r="L59" s="243">
        <v>9281723.4199999999</v>
      </c>
    </row>
    <row r="60" spans="1:12" ht="51" hidden="1" x14ac:dyDescent="0.3">
      <c r="A60" s="237" t="s">
        <v>9</v>
      </c>
      <c r="B60" s="238" t="s">
        <v>384</v>
      </c>
      <c r="C60" s="238" t="s">
        <v>1372</v>
      </c>
      <c r="D60" s="238" t="s">
        <v>386</v>
      </c>
      <c r="E60" s="239" t="s">
        <v>751</v>
      </c>
      <c r="F60" s="240">
        <v>3400</v>
      </c>
      <c r="G60" s="240"/>
      <c r="H60" s="239" t="s">
        <v>14</v>
      </c>
      <c r="I60" s="241" t="s">
        <v>15</v>
      </c>
      <c r="J60" s="241"/>
      <c r="K60" s="242" t="s">
        <v>8</v>
      </c>
      <c r="L60" s="243">
        <v>6440439.79</v>
      </c>
    </row>
    <row r="61" spans="1:12" ht="61.2" hidden="1" x14ac:dyDescent="0.3">
      <c r="A61" s="237" t="s">
        <v>9</v>
      </c>
      <c r="B61" s="238" t="s">
        <v>1373</v>
      </c>
      <c r="C61" s="238" t="s">
        <v>1374</v>
      </c>
      <c r="D61" s="238" t="s">
        <v>1306</v>
      </c>
      <c r="E61" s="239" t="s">
        <v>751</v>
      </c>
      <c r="F61" s="245" t="s">
        <v>15</v>
      </c>
      <c r="G61" s="245"/>
      <c r="H61" s="239" t="s">
        <v>751</v>
      </c>
      <c r="I61" s="246">
        <v>44171.73</v>
      </c>
      <c r="J61" s="246"/>
      <c r="K61" s="242" t="s">
        <v>8</v>
      </c>
      <c r="L61" s="243">
        <v>617646.52</v>
      </c>
    </row>
    <row r="62" spans="1:12" ht="61.2" hidden="1" x14ac:dyDescent="0.3">
      <c r="A62" s="237" t="s">
        <v>9</v>
      </c>
      <c r="B62" s="238" t="s">
        <v>1373</v>
      </c>
      <c r="C62" s="238" t="s">
        <v>1374</v>
      </c>
      <c r="D62" s="238" t="s">
        <v>1306</v>
      </c>
      <c r="E62" s="239" t="s">
        <v>751</v>
      </c>
      <c r="F62" s="240">
        <v>44171.73</v>
      </c>
      <c r="G62" s="240"/>
      <c r="H62" s="239" t="s">
        <v>751</v>
      </c>
      <c r="I62" s="241" t="s">
        <v>15</v>
      </c>
      <c r="J62" s="241"/>
      <c r="K62" s="242" t="s">
        <v>8</v>
      </c>
      <c r="L62" s="243">
        <v>829328.73</v>
      </c>
    </row>
    <row r="63" spans="1:12" ht="51" hidden="1" x14ac:dyDescent="0.3">
      <c r="A63" s="237" t="s">
        <v>9</v>
      </c>
      <c r="B63" s="238" t="s">
        <v>1375</v>
      </c>
      <c r="C63" s="238" t="s">
        <v>1376</v>
      </c>
      <c r="D63" s="238" t="s">
        <v>1309</v>
      </c>
      <c r="E63" s="239" t="s">
        <v>751</v>
      </c>
      <c r="F63" s="240">
        <v>2388.6</v>
      </c>
      <c r="G63" s="240"/>
      <c r="H63" s="239" t="s">
        <v>751</v>
      </c>
      <c r="I63" s="241" t="s">
        <v>15</v>
      </c>
      <c r="J63" s="241"/>
      <c r="K63" s="242" t="s">
        <v>8</v>
      </c>
      <c r="L63" s="243">
        <v>1567836.31</v>
      </c>
    </row>
    <row r="64" spans="1:12" ht="51" hidden="1" x14ac:dyDescent="0.3">
      <c r="A64" s="237" t="s">
        <v>9</v>
      </c>
      <c r="B64" s="238" t="s">
        <v>1375</v>
      </c>
      <c r="C64" s="238" t="s">
        <v>1376</v>
      </c>
      <c r="D64" s="238" t="s">
        <v>1309</v>
      </c>
      <c r="E64" s="239" t="s">
        <v>751</v>
      </c>
      <c r="F64" s="245" t="s">
        <v>15</v>
      </c>
      <c r="G64" s="245"/>
      <c r="H64" s="239" t="s">
        <v>751</v>
      </c>
      <c r="I64" s="246">
        <v>2388.6</v>
      </c>
      <c r="J64" s="246"/>
      <c r="K64" s="242" t="s">
        <v>8</v>
      </c>
      <c r="L64" s="243">
        <v>615257.92000000004</v>
      </c>
    </row>
    <row r="65" spans="1:12" ht="51" hidden="1" x14ac:dyDescent="0.3">
      <c r="A65" s="237" t="s">
        <v>9</v>
      </c>
      <c r="B65" s="238" t="s">
        <v>1377</v>
      </c>
      <c r="C65" s="238" t="s">
        <v>1378</v>
      </c>
      <c r="D65" s="238" t="s">
        <v>1311</v>
      </c>
      <c r="E65" s="239" t="s">
        <v>751</v>
      </c>
      <c r="F65" s="240">
        <v>1177.1600000000001</v>
      </c>
      <c r="G65" s="240"/>
      <c r="H65" s="239" t="s">
        <v>751</v>
      </c>
      <c r="I65" s="241" t="s">
        <v>15</v>
      </c>
      <c r="J65" s="241"/>
      <c r="K65" s="242" t="s">
        <v>8</v>
      </c>
      <c r="L65" s="243">
        <v>1569013.47</v>
      </c>
    </row>
    <row r="66" spans="1:12" ht="51" hidden="1" x14ac:dyDescent="0.3">
      <c r="A66" s="237" t="s">
        <v>9</v>
      </c>
      <c r="B66" s="238" t="s">
        <v>1377</v>
      </c>
      <c r="C66" s="238" t="s">
        <v>1378</v>
      </c>
      <c r="D66" s="238" t="s">
        <v>1311</v>
      </c>
      <c r="E66" s="239" t="s">
        <v>751</v>
      </c>
      <c r="F66" s="245" t="s">
        <v>15</v>
      </c>
      <c r="G66" s="245"/>
      <c r="H66" s="239" t="s">
        <v>751</v>
      </c>
      <c r="I66" s="246">
        <v>1177.1600000000001</v>
      </c>
      <c r="J66" s="246"/>
      <c r="K66" s="242" t="s">
        <v>8</v>
      </c>
      <c r="L66" s="243">
        <v>614080.76</v>
      </c>
    </row>
    <row r="67" spans="1:12" ht="61.2" hidden="1" x14ac:dyDescent="0.3">
      <c r="A67" s="237" t="s">
        <v>9</v>
      </c>
      <c r="B67" s="238" t="s">
        <v>1377</v>
      </c>
      <c r="C67" s="238" t="s">
        <v>1379</v>
      </c>
      <c r="D67" s="238" t="s">
        <v>1313</v>
      </c>
      <c r="E67" s="239" t="s">
        <v>751</v>
      </c>
      <c r="F67" s="240">
        <v>2414.41</v>
      </c>
      <c r="G67" s="240"/>
      <c r="H67" s="239" t="s">
        <v>751</v>
      </c>
      <c r="I67" s="241" t="s">
        <v>15</v>
      </c>
      <c r="J67" s="241"/>
      <c r="K67" s="242" t="s">
        <v>8</v>
      </c>
      <c r="L67" s="243">
        <v>1571427.88</v>
      </c>
    </row>
    <row r="68" spans="1:12" ht="61.2" hidden="1" x14ac:dyDescent="0.3">
      <c r="A68" s="237" t="s">
        <v>9</v>
      </c>
      <c r="B68" s="238" t="s">
        <v>1377</v>
      </c>
      <c r="C68" s="238" t="s">
        <v>1379</v>
      </c>
      <c r="D68" s="238" t="s">
        <v>1313</v>
      </c>
      <c r="E68" s="239" t="s">
        <v>751</v>
      </c>
      <c r="F68" s="245" t="s">
        <v>15</v>
      </c>
      <c r="G68" s="245"/>
      <c r="H68" s="239" t="s">
        <v>751</v>
      </c>
      <c r="I68" s="246">
        <v>2414.41</v>
      </c>
      <c r="J68" s="246"/>
      <c r="K68" s="242" t="s">
        <v>8</v>
      </c>
      <c r="L68" s="243">
        <v>611666.35</v>
      </c>
    </row>
    <row r="69" spans="1:12" ht="51" hidden="1" x14ac:dyDescent="0.3">
      <c r="A69" s="237" t="s">
        <v>9</v>
      </c>
      <c r="B69" s="238" t="s">
        <v>1380</v>
      </c>
      <c r="C69" s="238" t="s">
        <v>1381</v>
      </c>
      <c r="D69" s="238" t="s">
        <v>1314</v>
      </c>
      <c r="E69" s="239" t="s">
        <v>751</v>
      </c>
      <c r="F69" s="245" t="s">
        <v>15</v>
      </c>
      <c r="G69" s="245"/>
      <c r="H69" s="239" t="s">
        <v>751</v>
      </c>
      <c r="I69" s="246">
        <v>6004</v>
      </c>
      <c r="J69" s="246"/>
      <c r="K69" s="242" t="s">
        <v>8</v>
      </c>
      <c r="L69" s="243">
        <v>605662.35</v>
      </c>
    </row>
    <row r="70" spans="1:12" ht="51" hidden="1" x14ac:dyDescent="0.3">
      <c r="A70" s="237" t="s">
        <v>9</v>
      </c>
      <c r="B70" s="238" t="s">
        <v>1380</v>
      </c>
      <c r="C70" s="238" t="s">
        <v>1381</v>
      </c>
      <c r="D70" s="238" t="s">
        <v>1314</v>
      </c>
      <c r="E70" s="239" t="s">
        <v>751</v>
      </c>
      <c r="F70" s="240">
        <v>6004</v>
      </c>
      <c r="G70" s="240"/>
      <c r="H70" s="239" t="s">
        <v>751</v>
      </c>
      <c r="I70" s="241" t="s">
        <v>15</v>
      </c>
      <c r="J70" s="241"/>
      <c r="K70" s="242" t="s">
        <v>8</v>
      </c>
      <c r="L70" s="243">
        <v>835332.73</v>
      </c>
    </row>
    <row r="71" spans="1:12" ht="51" hidden="1" x14ac:dyDescent="0.3">
      <c r="A71" s="237" t="s">
        <v>9</v>
      </c>
      <c r="B71" s="238" t="s">
        <v>1380</v>
      </c>
      <c r="C71" s="238" t="s">
        <v>1382</v>
      </c>
      <c r="D71" s="238" t="s">
        <v>1315</v>
      </c>
      <c r="E71" s="239" t="s">
        <v>751</v>
      </c>
      <c r="F71" s="240">
        <v>10000.01</v>
      </c>
      <c r="G71" s="240"/>
      <c r="H71" s="239" t="s">
        <v>751</v>
      </c>
      <c r="I71" s="241" t="s">
        <v>15</v>
      </c>
      <c r="J71" s="241"/>
      <c r="K71" s="242" t="s">
        <v>8</v>
      </c>
      <c r="L71" s="243">
        <v>845332.74</v>
      </c>
    </row>
    <row r="72" spans="1:12" ht="51" hidden="1" x14ac:dyDescent="0.3">
      <c r="A72" s="237" t="s">
        <v>9</v>
      </c>
      <c r="B72" s="238" t="s">
        <v>1380</v>
      </c>
      <c r="C72" s="238" t="s">
        <v>1382</v>
      </c>
      <c r="D72" s="238" t="s">
        <v>1315</v>
      </c>
      <c r="E72" s="239" t="s">
        <v>751</v>
      </c>
      <c r="F72" s="245" t="s">
        <v>15</v>
      </c>
      <c r="G72" s="245"/>
      <c r="H72" s="239" t="s">
        <v>751</v>
      </c>
      <c r="I72" s="246">
        <v>10000.01</v>
      </c>
      <c r="J72" s="246"/>
      <c r="K72" s="242" t="s">
        <v>8</v>
      </c>
      <c r="L72" s="243">
        <v>595662.34</v>
      </c>
    </row>
    <row r="73" spans="1:12" ht="51" hidden="1" x14ac:dyDescent="0.3">
      <c r="A73" s="237" t="s">
        <v>9</v>
      </c>
      <c r="B73" s="238" t="s">
        <v>1383</v>
      </c>
      <c r="C73" s="238" t="s">
        <v>1384</v>
      </c>
      <c r="D73" s="238" t="s">
        <v>1333</v>
      </c>
      <c r="E73" s="239" t="s">
        <v>751</v>
      </c>
      <c r="F73" s="245" t="s">
        <v>15</v>
      </c>
      <c r="G73" s="245"/>
      <c r="H73" s="239" t="s">
        <v>751</v>
      </c>
      <c r="I73" s="246">
        <v>45120</v>
      </c>
      <c r="J73" s="246"/>
      <c r="K73" s="242" t="s">
        <v>8</v>
      </c>
      <c r="L73" s="243">
        <v>550542.34</v>
      </c>
    </row>
    <row r="74" spans="1:12" ht="51" hidden="1" x14ac:dyDescent="0.3">
      <c r="A74" s="237" t="s">
        <v>9</v>
      </c>
      <c r="B74" s="238" t="s">
        <v>1383</v>
      </c>
      <c r="C74" s="238" t="s">
        <v>1384</v>
      </c>
      <c r="D74" s="238" t="s">
        <v>1333</v>
      </c>
      <c r="E74" s="239" t="s">
        <v>751</v>
      </c>
      <c r="F74" s="240">
        <v>45120</v>
      </c>
      <c r="G74" s="240"/>
      <c r="H74" s="239" t="s">
        <v>751</v>
      </c>
      <c r="I74" s="241" t="s">
        <v>15</v>
      </c>
      <c r="J74" s="241"/>
      <c r="K74" s="242" t="s">
        <v>8</v>
      </c>
      <c r="L74" s="243">
        <v>890452.74</v>
      </c>
    </row>
    <row r="75" spans="1:12" ht="51" hidden="1" x14ac:dyDescent="0.3">
      <c r="A75" s="237" t="s">
        <v>9</v>
      </c>
      <c r="B75" s="238" t="s">
        <v>1385</v>
      </c>
      <c r="C75" s="238" t="s">
        <v>1386</v>
      </c>
      <c r="D75" s="238" t="s">
        <v>1334</v>
      </c>
      <c r="E75" s="239" t="s">
        <v>751</v>
      </c>
      <c r="F75" s="245" t="s">
        <v>15</v>
      </c>
      <c r="G75" s="245"/>
      <c r="H75" s="239" t="s">
        <v>751</v>
      </c>
      <c r="I75" s="246">
        <v>62039.99</v>
      </c>
      <c r="J75" s="246"/>
      <c r="K75" s="242" t="s">
        <v>8</v>
      </c>
      <c r="L75" s="243">
        <v>488502.35</v>
      </c>
    </row>
    <row r="76" spans="1:12" ht="51" hidden="1" x14ac:dyDescent="0.3">
      <c r="A76" s="237" t="s">
        <v>9</v>
      </c>
      <c r="B76" s="238" t="s">
        <v>1385</v>
      </c>
      <c r="C76" s="238" t="s">
        <v>1386</v>
      </c>
      <c r="D76" s="238" t="s">
        <v>1334</v>
      </c>
      <c r="E76" s="239" t="s">
        <v>751</v>
      </c>
      <c r="F76" s="240">
        <v>62039.99</v>
      </c>
      <c r="G76" s="240"/>
      <c r="H76" s="239" t="s">
        <v>751</v>
      </c>
      <c r="I76" s="241" t="s">
        <v>15</v>
      </c>
      <c r="J76" s="241"/>
      <c r="K76" s="242" t="s">
        <v>8</v>
      </c>
      <c r="L76" s="243">
        <v>6502479.7800000003</v>
      </c>
    </row>
    <row r="77" spans="1:12" ht="51" hidden="1" x14ac:dyDescent="0.3">
      <c r="A77" s="237" t="s">
        <v>9</v>
      </c>
      <c r="B77" s="238" t="s">
        <v>1387</v>
      </c>
      <c r="C77" s="238" t="s">
        <v>1388</v>
      </c>
      <c r="D77" s="238" t="s">
        <v>1350</v>
      </c>
      <c r="E77" s="239" t="s">
        <v>751</v>
      </c>
      <c r="F77" s="245" t="s">
        <v>15</v>
      </c>
      <c r="G77" s="245"/>
      <c r="H77" s="239" t="s">
        <v>751</v>
      </c>
      <c r="I77" s="246">
        <v>48037.5</v>
      </c>
      <c r="J77" s="246"/>
      <c r="K77" s="242" t="s">
        <v>8</v>
      </c>
      <c r="L77" s="243">
        <v>440464.85</v>
      </c>
    </row>
    <row r="78" spans="1:12" ht="51" hidden="1" x14ac:dyDescent="0.3">
      <c r="A78" s="237" t="s">
        <v>9</v>
      </c>
      <c r="B78" s="238" t="s">
        <v>1387</v>
      </c>
      <c r="C78" s="238" t="s">
        <v>1388</v>
      </c>
      <c r="D78" s="238" t="s">
        <v>1350</v>
      </c>
      <c r="E78" s="239" t="s">
        <v>751</v>
      </c>
      <c r="F78" s="240">
        <v>48037.5</v>
      </c>
      <c r="G78" s="240"/>
      <c r="H78" s="239" t="s">
        <v>751</v>
      </c>
      <c r="I78" s="241" t="s">
        <v>15</v>
      </c>
      <c r="J78" s="241"/>
      <c r="K78" s="242" t="s">
        <v>8</v>
      </c>
      <c r="L78" s="243">
        <v>6550517.2800000003</v>
      </c>
    </row>
    <row r="79" spans="1:12" ht="51" hidden="1" x14ac:dyDescent="0.3">
      <c r="A79" s="237" t="s">
        <v>9</v>
      </c>
      <c r="B79" s="238" t="s">
        <v>1387</v>
      </c>
      <c r="C79" s="238" t="s">
        <v>1389</v>
      </c>
      <c r="D79" s="238" t="s">
        <v>1351</v>
      </c>
      <c r="E79" s="239" t="s">
        <v>751</v>
      </c>
      <c r="F79" s="245" t="s">
        <v>15</v>
      </c>
      <c r="G79" s="245"/>
      <c r="H79" s="239" t="s">
        <v>751</v>
      </c>
      <c r="I79" s="246">
        <v>1570</v>
      </c>
      <c r="J79" s="246"/>
      <c r="K79" s="242" t="s">
        <v>8</v>
      </c>
      <c r="L79" s="243">
        <v>438894.85</v>
      </c>
    </row>
    <row r="80" spans="1:12" ht="51" hidden="1" x14ac:dyDescent="0.3">
      <c r="A80" s="237" t="s">
        <v>9</v>
      </c>
      <c r="B80" s="238" t="s">
        <v>1387</v>
      </c>
      <c r="C80" s="238" t="s">
        <v>1389</v>
      </c>
      <c r="D80" s="238" t="s">
        <v>1351</v>
      </c>
      <c r="E80" s="239" t="s">
        <v>751</v>
      </c>
      <c r="F80" s="240">
        <v>1570</v>
      </c>
      <c r="G80" s="240"/>
      <c r="H80" s="239" t="s">
        <v>751</v>
      </c>
      <c r="I80" s="241" t="s">
        <v>15</v>
      </c>
      <c r="J80" s="241"/>
      <c r="K80" s="242" t="s">
        <v>8</v>
      </c>
      <c r="L80" s="243">
        <v>6552087.2800000003</v>
      </c>
    </row>
    <row r="81" spans="1:12" ht="51" hidden="1" x14ac:dyDescent="0.3">
      <c r="A81" s="237" t="s">
        <v>9</v>
      </c>
      <c r="B81" s="238" t="s">
        <v>1390</v>
      </c>
      <c r="C81" s="238" t="s">
        <v>1391</v>
      </c>
      <c r="D81" s="238" t="s">
        <v>1352</v>
      </c>
      <c r="E81" s="239" t="s">
        <v>751</v>
      </c>
      <c r="F81" s="245" t="s">
        <v>15</v>
      </c>
      <c r="G81" s="245"/>
      <c r="H81" s="239" t="s">
        <v>751</v>
      </c>
      <c r="I81" s="246">
        <v>11502.5</v>
      </c>
      <c r="J81" s="246"/>
      <c r="K81" s="242" t="s">
        <v>8</v>
      </c>
      <c r="L81" s="243">
        <v>427392.35</v>
      </c>
    </row>
    <row r="82" spans="1:12" ht="51" hidden="1" x14ac:dyDescent="0.3">
      <c r="A82" s="237" t="s">
        <v>9</v>
      </c>
      <c r="B82" s="238" t="s">
        <v>1390</v>
      </c>
      <c r="C82" s="238" t="s">
        <v>1391</v>
      </c>
      <c r="D82" s="238" t="s">
        <v>1352</v>
      </c>
      <c r="E82" s="239" t="s">
        <v>751</v>
      </c>
      <c r="F82" s="240">
        <v>11502.5</v>
      </c>
      <c r="G82" s="240"/>
      <c r="H82" s="239" t="s">
        <v>751</v>
      </c>
      <c r="I82" s="241" t="s">
        <v>15</v>
      </c>
      <c r="J82" s="241"/>
      <c r="K82" s="242" t="s">
        <v>8</v>
      </c>
      <c r="L82" s="243">
        <v>901955.24</v>
      </c>
    </row>
    <row r="83" spans="1:12" ht="51" hidden="1" x14ac:dyDescent="0.3">
      <c r="A83" s="237" t="s">
        <v>9</v>
      </c>
      <c r="B83" s="238" t="s">
        <v>1392</v>
      </c>
      <c r="C83" s="238" t="s">
        <v>1393</v>
      </c>
      <c r="D83" s="238" t="s">
        <v>1350</v>
      </c>
      <c r="E83" s="239" t="s">
        <v>751</v>
      </c>
      <c r="F83" s="245" t="s">
        <v>15</v>
      </c>
      <c r="G83" s="245"/>
      <c r="H83" s="239" t="s">
        <v>751</v>
      </c>
      <c r="I83" s="246">
        <v>23625</v>
      </c>
      <c r="J83" s="246"/>
      <c r="K83" s="242" t="s">
        <v>8</v>
      </c>
      <c r="L83" s="243">
        <v>403767.35</v>
      </c>
    </row>
    <row r="84" spans="1:12" ht="51" hidden="1" x14ac:dyDescent="0.3">
      <c r="A84" s="237" t="s">
        <v>9</v>
      </c>
      <c r="B84" s="238" t="s">
        <v>1392</v>
      </c>
      <c r="C84" s="238" t="s">
        <v>1393</v>
      </c>
      <c r="D84" s="238" t="s">
        <v>1350</v>
      </c>
      <c r="E84" s="239" t="s">
        <v>751</v>
      </c>
      <c r="F84" s="240">
        <v>23625</v>
      </c>
      <c r="G84" s="240"/>
      <c r="H84" s="239" t="s">
        <v>751</v>
      </c>
      <c r="I84" s="241" t="s">
        <v>15</v>
      </c>
      <c r="J84" s="241"/>
      <c r="K84" s="242" t="s">
        <v>8</v>
      </c>
      <c r="L84" s="243">
        <v>75034.960000000006</v>
      </c>
    </row>
    <row r="85" spans="1:12" ht="51" hidden="1" x14ac:dyDescent="0.3">
      <c r="A85" s="237" t="s">
        <v>9</v>
      </c>
      <c r="B85" s="238" t="s">
        <v>1392</v>
      </c>
      <c r="C85" s="238" t="s">
        <v>1394</v>
      </c>
      <c r="D85" s="238" t="s">
        <v>1353</v>
      </c>
      <c r="E85" s="239" t="s">
        <v>751</v>
      </c>
      <c r="F85" s="245" t="s">
        <v>15</v>
      </c>
      <c r="G85" s="245"/>
      <c r="H85" s="239" t="s">
        <v>751</v>
      </c>
      <c r="I85" s="247">
        <v>261.67</v>
      </c>
      <c r="J85" s="247"/>
      <c r="K85" s="242" t="s">
        <v>8</v>
      </c>
      <c r="L85" s="243">
        <v>403505.68</v>
      </c>
    </row>
    <row r="86" spans="1:12" ht="51" hidden="1" x14ac:dyDescent="0.3">
      <c r="A86" s="237" t="s">
        <v>9</v>
      </c>
      <c r="B86" s="238" t="s">
        <v>1392</v>
      </c>
      <c r="C86" s="238" t="s">
        <v>1394</v>
      </c>
      <c r="D86" s="238" t="s">
        <v>1353</v>
      </c>
      <c r="E86" s="239" t="s">
        <v>751</v>
      </c>
      <c r="F86" s="244">
        <v>261.67</v>
      </c>
      <c r="G86" s="244"/>
      <c r="H86" s="239" t="s">
        <v>751</v>
      </c>
      <c r="I86" s="241" t="s">
        <v>15</v>
      </c>
      <c r="J86" s="241"/>
      <c r="K86" s="242" t="s">
        <v>8</v>
      </c>
      <c r="L86" s="243">
        <v>75296.63</v>
      </c>
    </row>
    <row r="87" spans="1:12" ht="51" hidden="1" x14ac:dyDescent="0.3">
      <c r="A87" s="237" t="s">
        <v>9</v>
      </c>
      <c r="B87" s="238" t="s">
        <v>1395</v>
      </c>
      <c r="C87" s="238" t="s">
        <v>1396</v>
      </c>
      <c r="D87" s="238" t="s">
        <v>1354</v>
      </c>
      <c r="E87" s="239" t="s">
        <v>751</v>
      </c>
      <c r="F87" s="245" t="s">
        <v>15</v>
      </c>
      <c r="G87" s="245"/>
      <c r="H87" s="239" t="s">
        <v>751</v>
      </c>
      <c r="I87" s="247">
        <v>584.58000000000004</v>
      </c>
      <c r="J87" s="247"/>
      <c r="K87" s="242" t="s">
        <v>8</v>
      </c>
      <c r="L87" s="243">
        <v>402921.1</v>
      </c>
    </row>
    <row r="88" spans="1:12" ht="51" hidden="1" x14ac:dyDescent="0.3">
      <c r="A88" s="237" t="s">
        <v>9</v>
      </c>
      <c r="B88" s="238" t="s">
        <v>1395</v>
      </c>
      <c r="C88" s="238" t="s">
        <v>1396</v>
      </c>
      <c r="D88" s="238" t="s">
        <v>1354</v>
      </c>
      <c r="E88" s="239" t="s">
        <v>751</v>
      </c>
      <c r="F88" s="244">
        <v>584.58000000000004</v>
      </c>
      <c r="G88" s="244"/>
      <c r="H88" s="239" t="s">
        <v>751</v>
      </c>
      <c r="I88" s="241" t="s">
        <v>15</v>
      </c>
      <c r="J88" s="241"/>
      <c r="K88" s="242" t="s">
        <v>8</v>
      </c>
      <c r="L88" s="243">
        <v>6911786.6200000001</v>
      </c>
    </row>
    <row r="89" spans="1:12" ht="51" hidden="1" x14ac:dyDescent="0.3">
      <c r="A89" s="237" t="s">
        <v>9</v>
      </c>
      <c r="B89" s="238" t="s">
        <v>1395</v>
      </c>
      <c r="C89" s="238" t="s">
        <v>1397</v>
      </c>
      <c r="D89" s="238" t="s">
        <v>1355</v>
      </c>
      <c r="E89" s="239" t="s">
        <v>751</v>
      </c>
      <c r="F89" s="245" t="s">
        <v>15</v>
      </c>
      <c r="G89" s="245"/>
      <c r="H89" s="239" t="s">
        <v>751</v>
      </c>
      <c r="I89" s="246">
        <v>23002.09</v>
      </c>
      <c r="J89" s="246"/>
      <c r="K89" s="242" t="s">
        <v>8</v>
      </c>
      <c r="L89" s="243">
        <v>379919.01</v>
      </c>
    </row>
    <row r="90" spans="1:12" ht="51" hidden="1" x14ac:dyDescent="0.3">
      <c r="A90" s="237" t="s">
        <v>9</v>
      </c>
      <c r="B90" s="238" t="s">
        <v>1395</v>
      </c>
      <c r="C90" s="238" t="s">
        <v>1397</v>
      </c>
      <c r="D90" s="238" t="s">
        <v>1355</v>
      </c>
      <c r="E90" s="239" t="s">
        <v>751</v>
      </c>
      <c r="F90" s="240">
        <v>23002.09</v>
      </c>
      <c r="G90" s="240"/>
      <c r="H90" s="239" t="s">
        <v>751</v>
      </c>
      <c r="I90" s="241" t="s">
        <v>15</v>
      </c>
      <c r="J90" s="241"/>
      <c r="K90" s="242" t="s">
        <v>8</v>
      </c>
      <c r="L90" s="243">
        <v>6934788.71</v>
      </c>
    </row>
    <row r="91" spans="1:12" ht="51" hidden="1" x14ac:dyDescent="0.3">
      <c r="A91" s="237" t="s">
        <v>9</v>
      </c>
      <c r="B91" s="238" t="s">
        <v>1395</v>
      </c>
      <c r="C91" s="238" t="s">
        <v>1398</v>
      </c>
      <c r="D91" s="238" t="s">
        <v>1350</v>
      </c>
      <c r="E91" s="239" t="s">
        <v>751</v>
      </c>
      <c r="F91" s="245" t="s">
        <v>15</v>
      </c>
      <c r="G91" s="245"/>
      <c r="H91" s="239" t="s">
        <v>751</v>
      </c>
      <c r="I91" s="246">
        <v>223650</v>
      </c>
      <c r="J91" s="246"/>
      <c r="K91" s="242" t="s">
        <v>8</v>
      </c>
      <c r="L91" s="243">
        <v>156269.01</v>
      </c>
    </row>
    <row r="92" spans="1:12" ht="51" hidden="1" x14ac:dyDescent="0.3">
      <c r="A92" s="237" t="s">
        <v>9</v>
      </c>
      <c r="B92" s="238" t="s">
        <v>1395</v>
      </c>
      <c r="C92" s="238" t="s">
        <v>1398</v>
      </c>
      <c r="D92" s="238" t="s">
        <v>1350</v>
      </c>
      <c r="E92" s="239" t="s">
        <v>751</v>
      </c>
      <c r="F92" s="240">
        <v>223650</v>
      </c>
      <c r="G92" s="240"/>
      <c r="H92" s="239" t="s">
        <v>751</v>
      </c>
      <c r="I92" s="241" t="s">
        <v>15</v>
      </c>
      <c r="J92" s="241"/>
      <c r="K92" s="242" t="s">
        <v>8</v>
      </c>
      <c r="L92" s="243">
        <v>7158438.71</v>
      </c>
    </row>
    <row r="93" spans="1:12" ht="51" hidden="1" x14ac:dyDescent="0.3">
      <c r="A93" s="237" t="s">
        <v>9</v>
      </c>
      <c r="B93" s="238" t="s">
        <v>1399</v>
      </c>
      <c r="C93" s="238" t="s">
        <v>1286</v>
      </c>
      <c r="D93" s="238" t="s">
        <v>1400</v>
      </c>
      <c r="E93" s="239" t="s">
        <v>751</v>
      </c>
      <c r="F93" s="240">
        <v>23230.5</v>
      </c>
      <c r="G93" s="240"/>
      <c r="H93" s="239" t="s">
        <v>14</v>
      </c>
      <c r="I93" s="241" t="s">
        <v>15</v>
      </c>
      <c r="J93" s="241"/>
      <c r="K93" s="242" t="s">
        <v>8</v>
      </c>
      <c r="L93" s="243">
        <v>179499.51</v>
      </c>
    </row>
    <row r="94" spans="1:12" ht="61.2" hidden="1" x14ac:dyDescent="0.3">
      <c r="A94" s="237" t="s">
        <v>9</v>
      </c>
      <c r="B94" s="238" t="s">
        <v>1401</v>
      </c>
      <c r="C94" s="238" t="s">
        <v>1345</v>
      </c>
      <c r="D94" s="238" t="s">
        <v>1337</v>
      </c>
      <c r="E94" s="239" t="s">
        <v>751</v>
      </c>
      <c r="F94" s="240">
        <v>18000</v>
      </c>
      <c r="G94" s="240"/>
      <c r="H94" s="239" t="s">
        <v>14</v>
      </c>
      <c r="I94" s="241" t="s">
        <v>15</v>
      </c>
      <c r="J94" s="241"/>
      <c r="K94" s="242" t="s">
        <v>8</v>
      </c>
      <c r="L94" s="243">
        <v>7176438.71</v>
      </c>
    </row>
    <row r="95" spans="1:12" ht="51" hidden="1" x14ac:dyDescent="0.3">
      <c r="A95" s="237" t="s">
        <v>9</v>
      </c>
      <c r="B95" s="238" t="s">
        <v>1402</v>
      </c>
      <c r="C95" s="238" t="s">
        <v>1365</v>
      </c>
      <c r="D95" s="238" t="s">
        <v>1337</v>
      </c>
      <c r="E95" s="239" t="s">
        <v>751</v>
      </c>
      <c r="F95" s="244">
        <v>591.85</v>
      </c>
      <c r="G95" s="244"/>
      <c r="H95" s="239" t="s">
        <v>14</v>
      </c>
      <c r="I95" s="241" t="s">
        <v>15</v>
      </c>
      <c r="J95" s="241"/>
      <c r="K95" s="242" t="s">
        <v>8</v>
      </c>
      <c r="L95" s="243">
        <v>7177030.5599999996</v>
      </c>
    </row>
    <row r="96" spans="1:12" ht="51" hidden="1" x14ac:dyDescent="0.3">
      <c r="A96" s="237" t="s">
        <v>9</v>
      </c>
      <c r="B96" s="238" t="s">
        <v>1402</v>
      </c>
      <c r="C96" s="238" t="s">
        <v>1366</v>
      </c>
      <c r="D96" s="238" t="s">
        <v>1337</v>
      </c>
      <c r="E96" s="239" t="s">
        <v>751</v>
      </c>
      <c r="F96" s="240">
        <v>9393.4699999999993</v>
      </c>
      <c r="G96" s="240"/>
      <c r="H96" s="239" t="s">
        <v>14</v>
      </c>
      <c r="I96" s="241" t="s">
        <v>15</v>
      </c>
      <c r="J96" s="241"/>
      <c r="K96" s="242" t="s">
        <v>8</v>
      </c>
      <c r="L96" s="243">
        <v>7186424.0300000003</v>
      </c>
    </row>
    <row r="97" spans="1:12" ht="51" hidden="1" x14ac:dyDescent="0.3">
      <c r="A97" s="237" t="s">
        <v>9</v>
      </c>
      <c r="B97" s="238" t="s">
        <v>1402</v>
      </c>
      <c r="C97" s="238" t="s">
        <v>1367</v>
      </c>
      <c r="D97" s="238" t="s">
        <v>1337</v>
      </c>
      <c r="E97" s="239" t="s">
        <v>751</v>
      </c>
      <c r="F97" s="240">
        <v>8014.68</v>
      </c>
      <c r="G97" s="240"/>
      <c r="H97" s="239" t="s">
        <v>14</v>
      </c>
      <c r="I97" s="241" t="s">
        <v>15</v>
      </c>
      <c r="J97" s="241"/>
      <c r="K97" s="242" t="s">
        <v>8</v>
      </c>
      <c r="L97" s="243">
        <v>7194438.71</v>
      </c>
    </row>
    <row r="98" spans="1:12" ht="51" hidden="1" x14ac:dyDescent="0.3">
      <c r="A98" s="237" t="s">
        <v>9</v>
      </c>
      <c r="B98" s="238" t="s">
        <v>1403</v>
      </c>
      <c r="C98" s="238" t="s">
        <v>1371</v>
      </c>
      <c r="D98" s="238" t="s">
        <v>1337</v>
      </c>
      <c r="E98" s="239" t="s">
        <v>751</v>
      </c>
      <c r="F98" s="240">
        <v>72000</v>
      </c>
      <c r="G98" s="240"/>
      <c r="H98" s="239" t="s">
        <v>14</v>
      </c>
      <c r="I98" s="241" t="s">
        <v>15</v>
      </c>
      <c r="J98" s="241"/>
      <c r="K98" s="242" t="s">
        <v>8</v>
      </c>
      <c r="L98" s="243">
        <v>9353723.4199999999</v>
      </c>
    </row>
    <row r="99" spans="1:12" ht="51" hidden="1" x14ac:dyDescent="0.3">
      <c r="A99" s="237" t="s">
        <v>9</v>
      </c>
      <c r="B99" s="238" t="s">
        <v>1404</v>
      </c>
      <c r="C99" s="238" t="s">
        <v>1405</v>
      </c>
      <c r="D99" s="238" t="s">
        <v>1286</v>
      </c>
      <c r="E99" s="239" t="s">
        <v>751</v>
      </c>
      <c r="F99" s="245" t="s">
        <v>15</v>
      </c>
      <c r="G99" s="245"/>
      <c r="H99" s="239" t="s">
        <v>751</v>
      </c>
      <c r="I99" s="246">
        <v>62880.35</v>
      </c>
      <c r="J99" s="246"/>
      <c r="K99" s="242" t="s">
        <v>8</v>
      </c>
      <c r="L99" s="243">
        <v>116619.16</v>
      </c>
    </row>
    <row r="100" spans="1:12" ht="51" hidden="1" x14ac:dyDescent="0.3">
      <c r="A100" s="237" t="s">
        <v>9</v>
      </c>
      <c r="B100" s="238" t="s">
        <v>1404</v>
      </c>
      <c r="C100" s="238" t="s">
        <v>1405</v>
      </c>
      <c r="D100" s="238" t="s">
        <v>1286</v>
      </c>
      <c r="E100" s="239" t="s">
        <v>751</v>
      </c>
      <c r="F100" s="240">
        <v>62880.35</v>
      </c>
      <c r="G100" s="240"/>
      <c r="H100" s="239" t="s">
        <v>751</v>
      </c>
      <c r="I100" s="241" t="s">
        <v>15</v>
      </c>
      <c r="J100" s="241"/>
      <c r="K100" s="242" t="s">
        <v>8</v>
      </c>
      <c r="L100" s="243">
        <v>222974.85</v>
      </c>
    </row>
    <row r="101" spans="1:12" ht="61.2" hidden="1" x14ac:dyDescent="0.3">
      <c r="A101" s="237" t="s">
        <v>9</v>
      </c>
      <c r="B101" s="238" t="s">
        <v>1406</v>
      </c>
      <c r="C101" s="238" t="s">
        <v>1407</v>
      </c>
      <c r="D101" s="238" t="s">
        <v>1286</v>
      </c>
      <c r="E101" s="239" t="s">
        <v>751</v>
      </c>
      <c r="F101" s="245" t="s">
        <v>15</v>
      </c>
      <c r="G101" s="245"/>
      <c r="H101" s="239" t="s">
        <v>751</v>
      </c>
      <c r="I101" s="246">
        <v>5895.03</v>
      </c>
      <c r="J101" s="246"/>
      <c r="K101" s="242" t="s">
        <v>8</v>
      </c>
      <c r="L101" s="243">
        <v>110724.13</v>
      </c>
    </row>
    <row r="102" spans="1:12" ht="61.2" hidden="1" x14ac:dyDescent="0.3">
      <c r="A102" s="237" t="s">
        <v>9</v>
      </c>
      <c r="B102" s="238" t="s">
        <v>1406</v>
      </c>
      <c r="C102" s="238" t="s">
        <v>1407</v>
      </c>
      <c r="D102" s="238" t="s">
        <v>1286</v>
      </c>
      <c r="E102" s="239" t="s">
        <v>751</v>
      </c>
      <c r="F102" s="240">
        <v>5895.03</v>
      </c>
      <c r="G102" s="240"/>
      <c r="H102" s="239" t="s">
        <v>751</v>
      </c>
      <c r="I102" s="241" t="s">
        <v>15</v>
      </c>
      <c r="J102" s="241"/>
      <c r="K102" s="242" t="s">
        <v>8</v>
      </c>
      <c r="L102" s="243">
        <v>48273.03</v>
      </c>
    </row>
    <row r="103" spans="1:12" ht="51" hidden="1" x14ac:dyDescent="0.3">
      <c r="A103" s="237" t="s">
        <v>9</v>
      </c>
      <c r="B103" s="238" t="s">
        <v>1408</v>
      </c>
      <c r="C103" s="238" t="s">
        <v>1409</v>
      </c>
      <c r="D103" s="238" t="s">
        <v>1286</v>
      </c>
      <c r="E103" s="239" t="s">
        <v>751</v>
      </c>
      <c r="F103" s="245" t="s">
        <v>15</v>
      </c>
      <c r="G103" s="245"/>
      <c r="H103" s="239" t="s">
        <v>751</v>
      </c>
      <c r="I103" s="246">
        <v>21615.119999999999</v>
      </c>
      <c r="J103" s="246"/>
      <c r="K103" s="242" t="s">
        <v>8</v>
      </c>
      <c r="L103" s="243">
        <v>89109.01</v>
      </c>
    </row>
    <row r="104" spans="1:12" ht="51" hidden="1" x14ac:dyDescent="0.3">
      <c r="A104" s="237" t="s">
        <v>9</v>
      </c>
      <c r="B104" s="238" t="s">
        <v>1408</v>
      </c>
      <c r="C104" s="238" t="s">
        <v>1409</v>
      </c>
      <c r="D104" s="238" t="s">
        <v>1286</v>
      </c>
      <c r="E104" s="239" t="s">
        <v>751</v>
      </c>
      <c r="F104" s="240">
        <v>21615.119999999999</v>
      </c>
      <c r="G104" s="240"/>
      <c r="H104" s="239" t="s">
        <v>751</v>
      </c>
      <c r="I104" s="241" t="s">
        <v>15</v>
      </c>
      <c r="J104" s="241"/>
      <c r="K104" s="242" t="s">
        <v>8</v>
      </c>
      <c r="L104" s="243">
        <v>6573702.4000000004</v>
      </c>
    </row>
    <row r="105" spans="1:12" ht="61.2" hidden="1" x14ac:dyDescent="0.3">
      <c r="A105" s="237" t="s">
        <v>9</v>
      </c>
      <c r="B105" s="238" t="s">
        <v>1410</v>
      </c>
      <c r="C105" s="238" t="s">
        <v>1411</v>
      </c>
      <c r="D105" s="238" t="s">
        <v>1412</v>
      </c>
      <c r="E105" s="239" t="s">
        <v>751</v>
      </c>
      <c r="F105" s="240">
        <v>480984</v>
      </c>
      <c r="G105" s="240"/>
      <c r="H105" s="239" t="s">
        <v>751</v>
      </c>
      <c r="I105" s="241" t="s">
        <v>15</v>
      </c>
      <c r="J105" s="241"/>
      <c r="K105" s="242" t="s">
        <v>8</v>
      </c>
      <c r="L105" s="243">
        <v>570093.01</v>
      </c>
    </row>
    <row r="106" spans="1:12" ht="61.2" hidden="1" x14ac:dyDescent="0.3">
      <c r="A106" s="237" t="s">
        <v>9</v>
      </c>
      <c r="B106" s="238" t="s">
        <v>1410</v>
      </c>
      <c r="C106" s="238" t="s">
        <v>1411</v>
      </c>
      <c r="D106" s="238" t="s">
        <v>1412</v>
      </c>
      <c r="E106" s="239" t="s">
        <v>751</v>
      </c>
      <c r="F106" s="245" t="s">
        <v>15</v>
      </c>
      <c r="G106" s="245"/>
      <c r="H106" s="239" t="s">
        <v>751</v>
      </c>
      <c r="I106" s="246">
        <v>480984</v>
      </c>
      <c r="J106" s="246"/>
      <c r="K106" s="242" t="s">
        <v>8</v>
      </c>
      <c r="L106" s="243">
        <v>8872739.4199999999</v>
      </c>
    </row>
    <row r="107" spans="1:12" ht="61.2" hidden="1" x14ac:dyDescent="0.3">
      <c r="A107" s="237" t="s">
        <v>9</v>
      </c>
      <c r="B107" s="238" t="s">
        <v>1410</v>
      </c>
      <c r="C107" s="238" t="s">
        <v>1413</v>
      </c>
      <c r="D107" s="238" t="s">
        <v>1414</v>
      </c>
      <c r="E107" s="239" t="s">
        <v>751</v>
      </c>
      <c r="F107" s="240">
        <v>175290</v>
      </c>
      <c r="G107" s="240"/>
      <c r="H107" s="239" t="s">
        <v>751</v>
      </c>
      <c r="I107" s="241" t="s">
        <v>15</v>
      </c>
      <c r="J107" s="241"/>
      <c r="K107" s="242" t="s">
        <v>8</v>
      </c>
      <c r="L107" s="243">
        <v>745383.01</v>
      </c>
    </row>
    <row r="108" spans="1:12" ht="61.2" hidden="1" x14ac:dyDescent="0.3">
      <c r="A108" s="237" t="s">
        <v>9</v>
      </c>
      <c r="B108" s="238" t="s">
        <v>1410</v>
      </c>
      <c r="C108" s="238" t="s">
        <v>1413</v>
      </c>
      <c r="D108" s="238" t="s">
        <v>1414</v>
      </c>
      <c r="E108" s="239" t="s">
        <v>751</v>
      </c>
      <c r="F108" s="245" t="s">
        <v>15</v>
      </c>
      <c r="G108" s="245"/>
      <c r="H108" s="239" t="s">
        <v>751</v>
      </c>
      <c r="I108" s="246">
        <v>175290</v>
      </c>
      <c r="J108" s="246"/>
      <c r="K108" s="242" t="s">
        <v>8</v>
      </c>
      <c r="L108" s="243">
        <v>8697449.4199999999</v>
      </c>
    </row>
    <row r="109" spans="1:12" ht="71.400000000000006" hidden="1" x14ac:dyDescent="0.3">
      <c r="A109" s="237" t="s">
        <v>9</v>
      </c>
      <c r="B109" s="238" t="s">
        <v>1415</v>
      </c>
      <c r="C109" s="238" t="s">
        <v>1416</v>
      </c>
      <c r="D109" s="238" t="s">
        <v>1417</v>
      </c>
      <c r="E109" s="239" t="s">
        <v>751</v>
      </c>
      <c r="F109" s="240">
        <v>463528</v>
      </c>
      <c r="G109" s="240"/>
      <c r="H109" s="239" t="s">
        <v>751</v>
      </c>
      <c r="I109" s="241" t="s">
        <v>15</v>
      </c>
      <c r="J109" s="241"/>
      <c r="K109" s="242" t="s">
        <v>8</v>
      </c>
      <c r="L109" s="243">
        <v>1208911.01</v>
      </c>
    </row>
    <row r="110" spans="1:12" ht="71.400000000000006" hidden="1" x14ac:dyDescent="0.3">
      <c r="A110" s="237" t="s">
        <v>9</v>
      </c>
      <c r="B110" s="238" t="s">
        <v>1415</v>
      </c>
      <c r="C110" s="238" t="s">
        <v>1416</v>
      </c>
      <c r="D110" s="238" t="s">
        <v>1417</v>
      </c>
      <c r="E110" s="239" t="s">
        <v>751</v>
      </c>
      <c r="F110" s="245" t="s">
        <v>15</v>
      </c>
      <c r="G110" s="245"/>
      <c r="H110" s="239" t="s">
        <v>751</v>
      </c>
      <c r="I110" s="246">
        <v>463528</v>
      </c>
      <c r="J110" s="246"/>
      <c r="K110" s="242" t="s">
        <v>8</v>
      </c>
      <c r="L110" s="243">
        <v>106791.76</v>
      </c>
    </row>
    <row r="111" spans="1:12" ht="71.400000000000006" hidden="1" x14ac:dyDescent="0.3">
      <c r="A111" s="237" t="s">
        <v>9</v>
      </c>
      <c r="B111" s="238" t="s">
        <v>1418</v>
      </c>
      <c r="C111" s="238" t="s">
        <v>1419</v>
      </c>
      <c r="D111" s="238" t="s">
        <v>1420</v>
      </c>
      <c r="E111" s="239" t="s">
        <v>751</v>
      </c>
      <c r="F111" s="245" t="s">
        <v>15</v>
      </c>
      <c r="G111" s="245"/>
      <c r="H111" s="239" t="s">
        <v>751</v>
      </c>
      <c r="I111" s="246">
        <v>3733240</v>
      </c>
      <c r="J111" s="246"/>
      <c r="K111" s="242" t="s">
        <v>8</v>
      </c>
      <c r="L111" s="243">
        <v>4964209.42</v>
      </c>
    </row>
    <row r="112" spans="1:12" ht="71.400000000000006" hidden="1" x14ac:dyDescent="0.3">
      <c r="A112" s="237" t="s">
        <v>9</v>
      </c>
      <c r="B112" s="238" t="s">
        <v>1418</v>
      </c>
      <c r="C112" s="238" t="s">
        <v>1419</v>
      </c>
      <c r="D112" s="238" t="s">
        <v>1420</v>
      </c>
      <c r="E112" s="239" t="s">
        <v>751</v>
      </c>
      <c r="F112" s="240">
        <v>3733240</v>
      </c>
      <c r="G112" s="240"/>
      <c r="H112" s="239" t="s">
        <v>751</v>
      </c>
      <c r="I112" s="241" t="s">
        <v>15</v>
      </c>
      <c r="J112" s="241"/>
      <c r="K112" s="242" t="s">
        <v>8</v>
      </c>
      <c r="L112" s="243">
        <v>4942151.01</v>
      </c>
    </row>
    <row r="113" spans="1:12" ht="71.400000000000006" hidden="1" x14ac:dyDescent="0.3">
      <c r="A113" s="237" t="s">
        <v>9</v>
      </c>
      <c r="B113" s="238" t="s">
        <v>1421</v>
      </c>
      <c r="C113" s="238" t="s">
        <v>1422</v>
      </c>
      <c r="D113" s="238" t="s">
        <v>1423</v>
      </c>
      <c r="E113" s="239" t="s">
        <v>751</v>
      </c>
      <c r="F113" s="245" t="s">
        <v>15</v>
      </c>
      <c r="G113" s="245"/>
      <c r="H113" s="239" t="s">
        <v>751</v>
      </c>
      <c r="I113" s="246">
        <v>3715976</v>
      </c>
      <c r="J113" s="246"/>
      <c r="K113" s="242" t="s">
        <v>8</v>
      </c>
      <c r="L113" s="243">
        <v>1248233.42</v>
      </c>
    </row>
    <row r="114" spans="1:12" ht="71.400000000000006" hidden="1" x14ac:dyDescent="0.3">
      <c r="A114" s="237" t="s">
        <v>9</v>
      </c>
      <c r="B114" s="238" t="s">
        <v>1421</v>
      </c>
      <c r="C114" s="238" t="s">
        <v>1422</v>
      </c>
      <c r="D114" s="238" t="s">
        <v>1423</v>
      </c>
      <c r="E114" s="239" t="s">
        <v>751</v>
      </c>
      <c r="F114" s="240">
        <v>3715976</v>
      </c>
      <c r="G114" s="240"/>
      <c r="H114" s="239" t="s">
        <v>751</v>
      </c>
      <c r="I114" s="241" t="s">
        <v>15</v>
      </c>
      <c r="J114" s="241"/>
      <c r="K114" s="242" t="s">
        <v>8</v>
      </c>
      <c r="L114" s="243">
        <v>8658127.0099999998</v>
      </c>
    </row>
    <row r="115" spans="1:12" ht="61.2" hidden="1" x14ac:dyDescent="0.3">
      <c r="A115" s="237" t="s">
        <v>9</v>
      </c>
      <c r="B115" s="238" t="s">
        <v>1424</v>
      </c>
      <c r="C115" s="238" t="s">
        <v>1425</v>
      </c>
      <c r="D115" s="238" t="s">
        <v>1426</v>
      </c>
      <c r="E115" s="239" t="s">
        <v>751</v>
      </c>
      <c r="F115" s="245" t="s">
        <v>15</v>
      </c>
      <c r="G115" s="245"/>
      <c r="H115" s="239" t="s">
        <v>751</v>
      </c>
      <c r="I115" s="246">
        <v>344602</v>
      </c>
      <c r="J115" s="246"/>
      <c r="K115" s="242" t="s">
        <v>8</v>
      </c>
      <c r="L115" s="243">
        <v>1090014.52</v>
      </c>
    </row>
    <row r="116" spans="1:12" ht="61.2" hidden="1" x14ac:dyDescent="0.3">
      <c r="A116" s="237" t="s">
        <v>9</v>
      </c>
      <c r="B116" s="238" t="s">
        <v>1424</v>
      </c>
      <c r="C116" s="238" t="s">
        <v>1425</v>
      </c>
      <c r="D116" s="238" t="s">
        <v>1426</v>
      </c>
      <c r="E116" s="239" t="s">
        <v>751</v>
      </c>
      <c r="F116" s="240">
        <v>344602</v>
      </c>
      <c r="G116" s="240"/>
      <c r="H116" s="239" t="s">
        <v>751</v>
      </c>
      <c r="I116" s="241" t="s">
        <v>15</v>
      </c>
      <c r="J116" s="241"/>
      <c r="K116" s="242" t="s">
        <v>8</v>
      </c>
      <c r="L116" s="243">
        <v>9002729.0099999998</v>
      </c>
    </row>
    <row r="117" spans="1:12" ht="61.2" hidden="1" x14ac:dyDescent="0.3">
      <c r="A117" s="237" t="s">
        <v>9</v>
      </c>
      <c r="B117" s="238" t="s">
        <v>1427</v>
      </c>
      <c r="C117" s="238" t="s">
        <v>1428</v>
      </c>
      <c r="D117" s="238" t="s">
        <v>1429</v>
      </c>
      <c r="E117" s="239" t="s">
        <v>751</v>
      </c>
      <c r="F117" s="245" t="s">
        <v>15</v>
      </c>
      <c r="G117" s="245"/>
      <c r="H117" s="239" t="s">
        <v>751</v>
      </c>
      <c r="I117" s="246">
        <v>209670</v>
      </c>
      <c r="J117" s="246"/>
      <c r="K117" s="242" t="s">
        <v>8</v>
      </c>
      <c r="L117" s="243">
        <v>880344.52</v>
      </c>
    </row>
    <row r="118" spans="1:12" ht="61.2" hidden="1" x14ac:dyDescent="0.3">
      <c r="A118" s="237" t="s">
        <v>9</v>
      </c>
      <c r="B118" s="238" t="s">
        <v>1427</v>
      </c>
      <c r="C118" s="238" t="s">
        <v>1428</v>
      </c>
      <c r="D118" s="238" t="s">
        <v>1429</v>
      </c>
      <c r="E118" s="239" t="s">
        <v>751</v>
      </c>
      <c r="F118" s="240">
        <v>209670</v>
      </c>
      <c r="G118" s="240"/>
      <c r="H118" s="239" t="s">
        <v>751</v>
      </c>
      <c r="I118" s="241" t="s">
        <v>15</v>
      </c>
      <c r="J118" s="241"/>
      <c r="K118" s="242" t="s">
        <v>8</v>
      </c>
      <c r="L118" s="243">
        <v>9212399.0099999998</v>
      </c>
    </row>
    <row r="119" spans="1:12" ht="51" hidden="1" x14ac:dyDescent="0.3">
      <c r="A119" s="237" t="s">
        <v>9</v>
      </c>
      <c r="B119" s="238" t="s">
        <v>1234</v>
      </c>
      <c r="C119" s="238" t="s">
        <v>1235</v>
      </c>
      <c r="D119" s="238" t="s">
        <v>1236</v>
      </c>
      <c r="E119" s="239" t="s">
        <v>751</v>
      </c>
      <c r="F119" s="244">
        <v>657.36</v>
      </c>
      <c r="G119" s="244"/>
      <c r="H119" s="239" t="s">
        <v>751</v>
      </c>
      <c r="I119" s="241" t="s">
        <v>15</v>
      </c>
      <c r="J119" s="241"/>
      <c r="K119" s="242" t="s">
        <v>8</v>
      </c>
      <c r="L119" s="243">
        <v>4710804.08</v>
      </c>
    </row>
    <row r="120" spans="1:12" ht="51" hidden="1" x14ac:dyDescent="0.3">
      <c r="A120" s="237" t="s">
        <v>9</v>
      </c>
      <c r="B120" s="238" t="s">
        <v>1430</v>
      </c>
      <c r="C120" s="238" t="s">
        <v>1431</v>
      </c>
      <c r="D120" s="238" t="s">
        <v>1432</v>
      </c>
      <c r="E120" s="239" t="s">
        <v>751</v>
      </c>
      <c r="F120" s="240">
        <v>19798.2</v>
      </c>
      <c r="G120" s="240"/>
      <c r="H120" s="239" t="s">
        <v>14</v>
      </c>
      <c r="I120" s="241" t="s">
        <v>15</v>
      </c>
      <c r="J120" s="241"/>
      <c r="K120" s="242" t="s">
        <v>8</v>
      </c>
      <c r="L120" s="243">
        <v>6593500.5999999996</v>
      </c>
    </row>
    <row r="121" spans="1:12" ht="51" hidden="1" x14ac:dyDescent="0.3">
      <c r="A121" s="237" t="s">
        <v>9</v>
      </c>
      <c r="B121" s="238" t="s">
        <v>1433</v>
      </c>
      <c r="C121" s="238" t="s">
        <v>1431</v>
      </c>
      <c r="D121" s="238" t="s">
        <v>1432</v>
      </c>
      <c r="E121" s="239" t="s">
        <v>751</v>
      </c>
      <c r="F121" s="240">
        <v>5022.03</v>
      </c>
      <c r="G121" s="240"/>
      <c r="H121" s="239" t="s">
        <v>14</v>
      </c>
      <c r="I121" s="241" t="s">
        <v>15</v>
      </c>
      <c r="J121" s="241"/>
      <c r="K121" s="242" t="s">
        <v>8</v>
      </c>
      <c r="L121" s="243">
        <v>6598522.6299999999</v>
      </c>
    </row>
    <row r="122" spans="1:12" ht="51" hidden="1" x14ac:dyDescent="0.3">
      <c r="A122" s="237" t="s">
        <v>9</v>
      </c>
      <c r="B122" s="238" t="s">
        <v>1434</v>
      </c>
      <c r="C122" s="238" t="s">
        <v>1431</v>
      </c>
      <c r="D122" s="238" t="s">
        <v>1432</v>
      </c>
      <c r="E122" s="239" t="s">
        <v>751</v>
      </c>
      <c r="F122" s="240">
        <v>1739.34</v>
      </c>
      <c r="G122" s="240"/>
      <c r="H122" s="239" t="s">
        <v>14</v>
      </c>
      <c r="I122" s="241" t="s">
        <v>15</v>
      </c>
      <c r="J122" s="241"/>
      <c r="K122" s="242" t="s">
        <v>8</v>
      </c>
      <c r="L122" s="243">
        <v>6600261.9699999997</v>
      </c>
    </row>
    <row r="123" spans="1:12" ht="51" hidden="1" x14ac:dyDescent="0.3">
      <c r="A123" s="237" t="s">
        <v>9</v>
      </c>
      <c r="B123" s="238" t="s">
        <v>1237</v>
      </c>
      <c r="C123" s="238" t="s">
        <v>1238</v>
      </c>
      <c r="D123" s="238" t="s">
        <v>1239</v>
      </c>
      <c r="E123" s="239" t="s">
        <v>751</v>
      </c>
      <c r="F123" s="240">
        <v>12561.57</v>
      </c>
      <c r="G123" s="240"/>
      <c r="H123" s="239" t="s">
        <v>751</v>
      </c>
      <c r="I123" s="241" t="s">
        <v>15</v>
      </c>
      <c r="J123" s="241"/>
      <c r="K123" s="242" t="s">
        <v>8</v>
      </c>
      <c r="L123" s="243">
        <v>4723365.6500000004</v>
      </c>
    </row>
    <row r="124" spans="1:12" ht="51" hidden="1" x14ac:dyDescent="0.3">
      <c r="A124" s="237" t="s">
        <v>9</v>
      </c>
      <c r="B124" s="238" t="s">
        <v>1435</v>
      </c>
      <c r="C124" s="238" t="s">
        <v>1436</v>
      </c>
      <c r="D124" s="238" t="s">
        <v>1437</v>
      </c>
      <c r="E124" s="239" t="s">
        <v>751</v>
      </c>
      <c r="F124" s="240">
        <v>10234</v>
      </c>
      <c r="G124" s="240"/>
      <c r="H124" s="239" t="s">
        <v>14</v>
      </c>
      <c r="I124" s="241" t="s">
        <v>15</v>
      </c>
      <c r="J124" s="241"/>
      <c r="K124" s="242" t="s">
        <v>8</v>
      </c>
      <c r="L124" s="243">
        <v>912189.24</v>
      </c>
    </row>
    <row r="125" spans="1:12" ht="51" hidden="1" x14ac:dyDescent="0.3">
      <c r="A125" s="237" t="s">
        <v>47</v>
      </c>
      <c r="B125" s="238" t="s">
        <v>1438</v>
      </c>
      <c r="C125" s="238" t="s">
        <v>1439</v>
      </c>
      <c r="D125" s="238" t="s">
        <v>1440</v>
      </c>
      <c r="E125" s="239" t="s">
        <v>751</v>
      </c>
      <c r="F125" s="240">
        <v>5760</v>
      </c>
      <c r="G125" s="240"/>
      <c r="H125" s="239" t="s">
        <v>14</v>
      </c>
      <c r="I125" s="241" t="s">
        <v>15</v>
      </c>
      <c r="J125" s="241"/>
      <c r="K125" s="242" t="s">
        <v>8</v>
      </c>
      <c r="L125" s="243">
        <v>7200198.71</v>
      </c>
    </row>
    <row r="126" spans="1:12" ht="51" hidden="1" x14ac:dyDescent="0.3">
      <c r="A126" s="237" t="s">
        <v>47</v>
      </c>
      <c r="B126" s="238" t="s">
        <v>1441</v>
      </c>
      <c r="C126" s="238" t="s">
        <v>1442</v>
      </c>
      <c r="D126" s="238" t="s">
        <v>1312</v>
      </c>
      <c r="E126" s="239" t="s">
        <v>751</v>
      </c>
      <c r="F126" s="240">
        <v>5369.63</v>
      </c>
      <c r="G126" s="240"/>
      <c r="H126" s="239" t="s">
        <v>14</v>
      </c>
      <c r="I126" s="241" t="s">
        <v>15</v>
      </c>
      <c r="J126" s="241"/>
      <c r="K126" s="242" t="s">
        <v>8</v>
      </c>
      <c r="L126" s="243">
        <v>917558.87</v>
      </c>
    </row>
    <row r="127" spans="1:12" ht="51" hidden="1" x14ac:dyDescent="0.3">
      <c r="A127" s="237" t="s">
        <v>47</v>
      </c>
      <c r="B127" s="238" t="s">
        <v>1443</v>
      </c>
      <c r="C127" s="238" t="s">
        <v>1442</v>
      </c>
      <c r="D127" s="238" t="s">
        <v>1312</v>
      </c>
      <c r="E127" s="239" t="s">
        <v>751</v>
      </c>
      <c r="F127" s="240">
        <v>11297.06</v>
      </c>
      <c r="G127" s="240"/>
      <c r="H127" s="239" t="s">
        <v>14</v>
      </c>
      <c r="I127" s="241" t="s">
        <v>15</v>
      </c>
      <c r="J127" s="241"/>
      <c r="K127" s="242" t="s">
        <v>8</v>
      </c>
      <c r="L127" s="243">
        <v>928855.93</v>
      </c>
    </row>
    <row r="128" spans="1:12" ht="51" hidden="1" x14ac:dyDescent="0.3">
      <c r="A128" s="237" t="s">
        <v>47</v>
      </c>
      <c r="B128" s="238" t="s">
        <v>1444</v>
      </c>
      <c r="C128" s="238" t="s">
        <v>1445</v>
      </c>
      <c r="D128" s="238" t="s">
        <v>1446</v>
      </c>
      <c r="E128" s="239" t="s">
        <v>751</v>
      </c>
      <c r="F128" s="240">
        <v>1890.22</v>
      </c>
      <c r="G128" s="240"/>
      <c r="H128" s="239" t="s">
        <v>14</v>
      </c>
      <c r="I128" s="241" t="s">
        <v>15</v>
      </c>
      <c r="J128" s="241"/>
      <c r="K128" s="242" t="s">
        <v>8</v>
      </c>
      <c r="L128" s="243">
        <v>930746.15</v>
      </c>
    </row>
    <row r="129" spans="1:12" ht="61.2" x14ac:dyDescent="0.3">
      <c r="A129" s="237" t="s">
        <v>47</v>
      </c>
      <c r="B129" s="238" t="s">
        <v>1447</v>
      </c>
      <c r="C129" s="238" t="s">
        <v>1150</v>
      </c>
      <c r="D129" s="238" t="s">
        <v>1448</v>
      </c>
      <c r="E129" s="239" t="s">
        <v>1151</v>
      </c>
      <c r="F129" s="245" t="s">
        <v>15</v>
      </c>
      <c r="G129" s="245"/>
      <c r="H129" s="239" t="s">
        <v>751</v>
      </c>
      <c r="I129" s="246">
        <v>353258.64</v>
      </c>
      <c r="J129" s="246"/>
      <c r="K129" s="242" t="s">
        <v>8</v>
      </c>
      <c r="L129" s="243">
        <v>6247003.3300000001</v>
      </c>
    </row>
    <row r="130" spans="1:12" ht="61.2" x14ac:dyDescent="0.3">
      <c r="A130" s="237" t="s">
        <v>47</v>
      </c>
      <c r="B130" s="238" t="s">
        <v>1447</v>
      </c>
      <c r="C130" s="238" t="s">
        <v>1150</v>
      </c>
      <c r="D130" s="238" t="s">
        <v>1449</v>
      </c>
      <c r="E130" s="239" t="s">
        <v>1151</v>
      </c>
      <c r="F130" s="245" t="s">
        <v>15</v>
      </c>
      <c r="G130" s="245"/>
      <c r="H130" s="239" t="s">
        <v>751</v>
      </c>
      <c r="I130" s="246">
        <v>337538.04</v>
      </c>
      <c r="J130" s="246"/>
      <c r="K130" s="242" t="s">
        <v>8</v>
      </c>
      <c r="L130" s="243">
        <v>5909465.29</v>
      </c>
    </row>
    <row r="131" spans="1:12" ht="61.2" x14ac:dyDescent="0.3">
      <c r="A131" s="237" t="s">
        <v>47</v>
      </c>
      <c r="B131" s="238" t="s">
        <v>1447</v>
      </c>
      <c r="C131" s="238" t="s">
        <v>1150</v>
      </c>
      <c r="D131" s="238" t="s">
        <v>1450</v>
      </c>
      <c r="E131" s="239" t="s">
        <v>1151</v>
      </c>
      <c r="F131" s="245" t="s">
        <v>15</v>
      </c>
      <c r="G131" s="245"/>
      <c r="H131" s="239" t="s">
        <v>751</v>
      </c>
      <c r="I131" s="246">
        <v>442132.26</v>
      </c>
      <c r="J131" s="246"/>
      <c r="K131" s="242" t="s">
        <v>8</v>
      </c>
      <c r="L131" s="243">
        <v>5467333.0300000003</v>
      </c>
    </row>
    <row r="132" spans="1:12" ht="61.2" x14ac:dyDescent="0.3">
      <c r="A132" s="237" t="s">
        <v>47</v>
      </c>
      <c r="B132" s="238" t="s">
        <v>1447</v>
      </c>
      <c r="C132" s="238" t="s">
        <v>1150</v>
      </c>
      <c r="D132" s="238" t="s">
        <v>1451</v>
      </c>
      <c r="E132" s="239" t="s">
        <v>1151</v>
      </c>
      <c r="F132" s="245" t="s">
        <v>15</v>
      </c>
      <c r="G132" s="245"/>
      <c r="H132" s="239" t="s">
        <v>751</v>
      </c>
      <c r="I132" s="246">
        <v>596617.92000000004</v>
      </c>
      <c r="J132" s="246"/>
      <c r="K132" s="242" t="s">
        <v>8</v>
      </c>
      <c r="L132" s="243">
        <v>4870715.1100000003</v>
      </c>
    </row>
    <row r="133" spans="1:12" ht="61.2" x14ac:dyDescent="0.3">
      <c r="A133" s="237" t="s">
        <v>47</v>
      </c>
      <c r="B133" s="238" t="s">
        <v>1447</v>
      </c>
      <c r="C133" s="238" t="s">
        <v>1150</v>
      </c>
      <c r="D133" s="238" t="s">
        <v>1452</v>
      </c>
      <c r="E133" s="239" t="s">
        <v>1151</v>
      </c>
      <c r="F133" s="245" t="s">
        <v>15</v>
      </c>
      <c r="G133" s="245"/>
      <c r="H133" s="239" t="s">
        <v>751</v>
      </c>
      <c r="I133" s="246">
        <v>363372.18</v>
      </c>
      <c r="J133" s="246"/>
      <c r="K133" s="242" t="s">
        <v>8</v>
      </c>
      <c r="L133" s="243">
        <v>4507342.93</v>
      </c>
    </row>
    <row r="134" spans="1:12" ht="51" hidden="1" x14ac:dyDescent="0.3">
      <c r="A134" s="237" t="s">
        <v>47</v>
      </c>
      <c r="B134" s="238" t="s">
        <v>1453</v>
      </c>
      <c r="C134" s="238" t="s">
        <v>1454</v>
      </c>
      <c r="D134" s="238" t="s">
        <v>1455</v>
      </c>
      <c r="E134" s="239" t="s">
        <v>751</v>
      </c>
      <c r="F134" s="244">
        <v>800</v>
      </c>
      <c r="G134" s="244"/>
      <c r="H134" s="239" t="s">
        <v>51</v>
      </c>
      <c r="I134" s="241" t="s">
        <v>15</v>
      </c>
      <c r="J134" s="241"/>
      <c r="K134" s="242" t="s">
        <v>8</v>
      </c>
      <c r="L134" s="243">
        <v>9213199.0099999998</v>
      </c>
    </row>
    <row r="135" spans="1:12" ht="51" hidden="1" x14ac:dyDescent="0.3">
      <c r="A135" s="237" t="s">
        <v>47</v>
      </c>
      <c r="B135" s="238" t="s">
        <v>1453</v>
      </c>
      <c r="C135" s="238" t="s">
        <v>1456</v>
      </c>
      <c r="D135" s="238" t="s">
        <v>1455</v>
      </c>
      <c r="E135" s="239" t="s">
        <v>751</v>
      </c>
      <c r="F135" s="244">
        <v>69</v>
      </c>
      <c r="G135" s="244"/>
      <c r="H135" s="239" t="s">
        <v>51</v>
      </c>
      <c r="I135" s="241" t="s">
        <v>15</v>
      </c>
      <c r="J135" s="241"/>
      <c r="K135" s="242" t="s">
        <v>8</v>
      </c>
      <c r="L135" s="243">
        <v>9213268.0099999998</v>
      </c>
    </row>
    <row r="136" spans="1:12" ht="51" hidden="1" x14ac:dyDescent="0.3">
      <c r="A136" s="237" t="s">
        <v>47</v>
      </c>
      <c r="B136" s="238" t="s">
        <v>1453</v>
      </c>
      <c r="C136" s="238" t="s">
        <v>1457</v>
      </c>
      <c r="D136" s="238" t="s">
        <v>1455</v>
      </c>
      <c r="E136" s="239" t="s">
        <v>751</v>
      </c>
      <c r="F136" s="244">
        <v>372</v>
      </c>
      <c r="G136" s="244"/>
      <c r="H136" s="239" t="s">
        <v>51</v>
      </c>
      <c r="I136" s="241" t="s">
        <v>15</v>
      </c>
      <c r="J136" s="241"/>
      <c r="K136" s="242" t="s">
        <v>8</v>
      </c>
      <c r="L136" s="243">
        <v>9213640.0099999998</v>
      </c>
    </row>
    <row r="137" spans="1:12" ht="51" hidden="1" x14ac:dyDescent="0.3">
      <c r="A137" s="237" t="s">
        <v>47</v>
      </c>
      <c r="B137" s="238" t="s">
        <v>1453</v>
      </c>
      <c r="C137" s="238" t="s">
        <v>1458</v>
      </c>
      <c r="D137" s="238" t="s">
        <v>1455</v>
      </c>
      <c r="E137" s="239" t="s">
        <v>751</v>
      </c>
      <c r="F137" s="240">
        <v>1540</v>
      </c>
      <c r="G137" s="240"/>
      <c r="H137" s="239" t="s">
        <v>51</v>
      </c>
      <c r="I137" s="241" t="s">
        <v>15</v>
      </c>
      <c r="J137" s="241"/>
      <c r="K137" s="242" t="s">
        <v>8</v>
      </c>
      <c r="L137" s="243">
        <v>9215180.0099999998</v>
      </c>
    </row>
    <row r="138" spans="1:12" ht="51" hidden="1" x14ac:dyDescent="0.3">
      <c r="A138" s="237" t="s">
        <v>54</v>
      </c>
      <c r="B138" s="238" t="s">
        <v>1459</v>
      </c>
      <c r="C138" s="238" t="s">
        <v>1460</v>
      </c>
      <c r="D138" s="238" t="s">
        <v>1461</v>
      </c>
      <c r="E138" s="239" t="s">
        <v>751</v>
      </c>
      <c r="F138" s="240">
        <v>78307.5</v>
      </c>
      <c r="G138" s="240"/>
      <c r="H138" s="239" t="s">
        <v>14</v>
      </c>
      <c r="I138" s="241" t="s">
        <v>15</v>
      </c>
      <c r="J138" s="241"/>
      <c r="K138" s="242" t="s">
        <v>8</v>
      </c>
      <c r="L138" s="243">
        <v>301282.34999999998</v>
      </c>
    </row>
    <row r="139" spans="1:12" ht="61.2" hidden="1" x14ac:dyDescent="0.3">
      <c r="A139" s="237" t="s">
        <v>54</v>
      </c>
      <c r="B139" s="238" t="s">
        <v>1462</v>
      </c>
      <c r="C139" s="238" t="s">
        <v>1463</v>
      </c>
      <c r="D139" s="238" t="s">
        <v>1464</v>
      </c>
      <c r="E139" s="239" t="s">
        <v>751</v>
      </c>
      <c r="F139" s="240">
        <v>7995</v>
      </c>
      <c r="G139" s="240"/>
      <c r="H139" s="239" t="s">
        <v>14</v>
      </c>
      <c r="I139" s="241" t="s">
        <v>15</v>
      </c>
      <c r="J139" s="241"/>
      <c r="K139" s="242" t="s">
        <v>8</v>
      </c>
      <c r="L139" s="243">
        <v>9223175.0099999998</v>
      </c>
    </row>
    <row r="140" spans="1:12" ht="51" hidden="1" x14ac:dyDescent="0.3">
      <c r="A140" s="237" t="s">
        <v>54</v>
      </c>
      <c r="B140" s="238" t="s">
        <v>1465</v>
      </c>
      <c r="C140" s="238" t="s">
        <v>1466</v>
      </c>
      <c r="D140" s="238" t="s">
        <v>1467</v>
      </c>
      <c r="E140" s="239" t="s">
        <v>751</v>
      </c>
      <c r="F140" s="240">
        <v>32527.26</v>
      </c>
      <c r="G140" s="240"/>
      <c r="H140" s="239" t="s">
        <v>14</v>
      </c>
      <c r="I140" s="241" t="s">
        <v>15</v>
      </c>
      <c r="J140" s="241"/>
      <c r="K140" s="242" t="s">
        <v>8</v>
      </c>
      <c r="L140" s="243">
        <v>1603955.14</v>
      </c>
    </row>
    <row r="141" spans="1:12" ht="51" hidden="1" x14ac:dyDescent="0.3">
      <c r="A141" s="237" t="s">
        <v>54</v>
      </c>
      <c r="B141" s="238" t="s">
        <v>1468</v>
      </c>
      <c r="C141" s="238" t="s">
        <v>1466</v>
      </c>
      <c r="D141" s="238" t="s">
        <v>1467</v>
      </c>
      <c r="E141" s="239" t="s">
        <v>751</v>
      </c>
      <c r="F141" s="240">
        <v>57150.28</v>
      </c>
      <c r="G141" s="240"/>
      <c r="H141" s="239" t="s">
        <v>14</v>
      </c>
      <c r="I141" s="241" t="s">
        <v>15</v>
      </c>
      <c r="J141" s="241"/>
      <c r="K141" s="242" t="s">
        <v>8</v>
      </c>
      <c r="L141" s="243">
        <v>1661105.42</v>
      </c>
    </row>
    <row r="142" spans="1:12" ht="61.2" hidden="1" x14ac:dyDescent="0.3">
      <c r="A142" s="237" t="s">
        <v>54</v>
      </c>
      <c r="B142" s="238" t="s">
        <v>1469</v>
      </c>
      <c r="C142" s="238" t="s">
        <v>1463</v>
      </c>
      <c r="D142" s="238" t="s">
        <v>1464</v>
      </c>
      <c r="E142" s="239" t="s">
        <v>751</v>
      </c>
      <c r="F142" s="240">
        <v>15375</v>
      </c>
      <c r="G142" s="240"/>
      <c r="H142" s="239" t="s">
        <v>14</v>
      </c>
      <c r="I142" s="241" t="s">
        <v>15</v>
      </c>
      <c r="J142" s="241"/>
      <c r="K142" s="242" t="s">
        <v>8</v>
      </c>
      <c r="L142" s="243">
        <v>9238550.0099999998</v>
      </c>
    </row>
    <row r="143" spans="1:12" ht="61.2" hidden="1" x14ac:dyDescent="0.3">
      <c r="A143" s="237" t="s">
        <v>54</v>
      </c>
      <c r="B143" s="238" t="s">
        <v>1470</v>
      </c>
      <c r="C143" s="238" t="s">
        <v>1471</v>
      </c>
      <c r="D143" s="238" t="s">
        <v>1463</v>
      </c>
      <c r="E143" s="239" t="s">
        <v>751</v>
      </c>
      <c r="F143" s="245" t="s">
        <v>15</v>
      </c>
      <c r="G143" s="245"/>
      <c r="H143" s="239" t="s">
        <v>751</v>
      </c>
      <c r="I143" s="246">
        <v>11913</v>
      </c>
      <c r="J143" s="246"/>
      <c r="K143" s="242" t="s">
        <v>8</v>
      </c>
      <c r="L143" s="243">
        <v>9226637.0099999998</v>
      </c>
    </row>
    <row r="144" spans="1:12" ht="61.2" hidden="1" x14ac:dyDescent="0.3">
      <c r="A144" s="237" t="s">
        <v>54</v>
      </c>
      <c r="B144" s="238" t="s">
        <v>1470</v>
      </c>
      <c r="C144" s="238" t="s">
        <v>1471</v>
      </c>
      <c r="D144" s="238" t="s">
        <v>1463</v>
      </c>
      <c r="E144" s="239" t="s">
        <v>751</v>
      </c>
      <c r="F144" s="240">
        <v>11913</v>
      </c>
      <c r="G144" s="240"/>
      <c r="H144" s="239" t="s">
        <v>751</v>
      </c>
      <c r="I144" s="241" t="s">
        <v>15</v>
      </c>
      <c r="J144" s="241"/>
      <c r="K144" s="242" t="s">
        <v>8</v>
      </c>
      <c r="L144" s="243">
        <v>130261.21</v>
      </c>
    </row>
    <row r="145" spans="1:12" ht="61.2" hidden="1" x14ac:dyDescent="0.3">
      <c r="A145" s="237" t="s">
        <v>54</v>
      </c>
      <c r="B145" s="238" t="s">
        <v>1472</v>
      </c>
      <c r="C145" s="238" t="s">
        <v>1473</v>
      </c>
      <c r="D145" s="238" t="s">
        <v>1463</v>
      </c>
      <c r="E145" s="239" t="s">
        <v>751</v>
      </c>
      <c r="F145" s="245" t="s">
        <v>15</v>
      </c>
      <c r="G145" s="245"/>
      <c r="H145" s="239" t="s">
        <v>751</v>
      </c>
      <c r="I145" s="246">
        <v>11457</v>
      </c>
      <c r="J145" s="246"/>
      <c r="K145" s="242" t="s">
        <v>8</v>
      </c>
      <c r="L145" s="243">
        <v>9215180.0099999998</v>
      </c>
    </row>
    <row r="146" spans="1:12" ht="61.2" hidden="1" x14ac:dyDescent="0.3">
      <c r="A146" s="237" t="s">
        <v>54</v>
      </c>
      <c r="B146" s="238" t="s">
        <v>1472</v>
      </c>
      <c r="C146" s="238" t="s">
        <v>1473</v>
      </c>
      <c r="D146" s="238" t="s">
        <v>1463</v>
      </c>
      <c r="E146" s="239" t="s">
        <v>751</v>
      </c>
      <c r="F146" s="240">
        <v>11457</v>
      </c>
      <c r="G146" s="240"/>
      <c r="H146" s="239" t="s">
        <v>751</v>
      </c>
      <c r="I146" s="241" t="s">
        <v>15</v>
      </c>
      <c r="J146" s="241"/>
      <c r="K146" s="242" t="s">
        <v>8</v>
      </c>
      <c r="L146" s="243">
        <v>891801.52</v>
      </c>
    </row>
    <row r="147" spans="1:12" ht="51" hidden="1" x14ac:dyDescent="0.3">
      <c r="A147" s="237" t="s">
        <v>54</v>
      </c>
      <c r="B147" s="238" t="s">
        <v>1474</v>
      </c>
      <c r="C147" s="238" t="s">
        <v>1460</v>
      </c>
      <c r="D147" s="238" t="s">
        <v>1475</v>
      </c>
      <c r="E147" s="239" t="s">
        <v>751</v>
      </c>
      <c r="F147" s="240">
        <v>23460</v>
      </c>
      <c r="G147" s="240"/>
      <c r="H147" s="239" t="s">
        <v>14</v>
      </c>
      <c r="I147" s="241" t="s">
        <v>15</v>
      </c>
      <c r="J147" s="241"/>
      <c r="K147" s="242" t="s">
        <v>8</v>
      </c>
      <c r="L147" s="243">
        <v>324742.34999999998</v>
      </c>
    </row>
    <row r="148" spans="1:12" ht="61.2" x14ac:dyDescent="0.3">
      <c r="A148" s="237" t="s">
        <v>54</v>
      </c>
      <c r="B148" s="238" t="s">
        <v>1476</v>
      </c>
      <c r="C148" s="238" t="s">
        <v>1150</v>
      </c>
      <c r="D148" s="238" t="s">
        <v>1411</v>
      </c>
      <c r="E148" s="239" t="s">
        <v>1151</v>
      </c>
      <c r="F148" s="245" t="s">
        <v>15</v>
      </c>
      <c r="G148" s="245"/>
      <c r="H148" s="239" t="s">
        <v>751</v>
      </c>
      <c r="I148" s="246">
        <v>480984</v>
      </c>
      <c r="J148" s="246"/>
      <c r="K148" s="242" t="s">
        <v>8</v>
      </c>
      <c r="L148" s="243">
        <v>8734196.0099999998</v>
      </c>
    </row>
    <row r="149" spans="1:12" ht="61.2" x14ac:dyDescent="0.3">
      <c r="A149" s="237" t="s">
        <v>54</v>
      </c>
      <c r="B149" s="238" t="s">
        <v>1476</v>
      </c>
      <c r="C149" s="238" t="s">
        <v>1150</v>
      </c>
      <c r="D149" s="238" t="s">
        <v>1413</v>
      </c>
      <c r="E149" s="239" t="s">
        <v>1151</v>
      </c>
      <c r="F149" s="245" t="s">
        <v>15</v>
      </c>
      <c r="G149" s="245"/>
      <c r="H149" s="239" t="s">
        <v>751</v>
      </c>
      <c r="I149" s="246">
        <v>175290</v>
      </c>
      <c r="J149" s="246"/>
      <c r="K149" s="242" t="s">
        <v>8</v>
      </c>
      <c r="L149" s="243">
        <v>8558906.0099999998</v>
      </c>
    </row>
    <row r="150" spans="1:12" ht="61.2" x14ac:dyDescent="0.3">
      <c r="A150" s="237" t="s">
        <v>54</v>
      </c>
      <c r="B150" s="238" t="s">
        <v>1476</v>
      </c>
      <c r="C150" s="238" t="s">
        <v>1150</v>
      </c>
      <c r="D150" s="238" t="s">
        <v>1416</v>
      </c>
      <c r="E150" s="239" t="s">
        <v>1151</v>
      </c>
      <c r="F150" s="245" t="s">
        <v>15</v>
      </c>
      <c r="G150" s="245"/>
      <c r="H150" s="239" t="s">
        <v>751</v>
      </c>
      <c r="I150" s="246">
        <v>463528</v>
      </c>
      <c r="J150" s="246"/>
      <c r="K150" s="242" t="s">
        <v>8</v>
      </c>
      <c r="L150" s="243">
        <v>8095378.0099999998</v>
      </c>
    </row>
    <row r="151" spans="1:12" ht="71.400000000000006" x14ac:dyDescent="0.3">
      <c r="A151" s="237" t="s">
        <v>54</v>
      </c>
      <c r="B151" s="238" t="s">
        <v>1476</v>
      </c>
      <c r="C151" s="238" t="s">
        <v>1150</v>
      </c>
      <c r="D151" s="238" t="s">
        <v>1419</v>
      </c>
      <c r="E151" s="239" t="s">
        <v>1151</v>
      </c>
      <c r="F151" s="245" t="s">
        <v>15</v>
      </c>
      <c r="G151" s="245"/>
      <c r="H151" s="239" t="s">
        <v>751</v>
      </c>
      <c r="I151" s="246">
        <v>3733240</v>
      </c>
      <c r="J151" s="246"/>
      <c r="K151" s="242" t="s">
        <v>8</v>
      </c>
      <c r="L151" s="243">
        <v>4362138.01</v>
      </c>
    </row>
    <row r="152" spans="1:12" ht="71.400000000000006" x14ac:dyDescent="0.3">
      <c r="A152" s="237" t="s">
        <v>54</v>
      </c>
      <c r="B152" s="238" t="s">
        <v>1476</v>
      </c>
      <c r="C152" s="238" t="s">
        <v>1150</v>
      </c>
      <c r="D152" s="238" t="s">
        <v>1422</v>
      </c>
      <c r="E152" s="239" t="s">
        <v>1151</v>
      </c>
      <c r="F152" s="245" t="s">
        <v>15</v>
      </c>
      <c r="G152" s="245"/>
      <c r="H152" s="239" t="s">
        <v>751</v>
      </c>
      <c r="I152" s="246">
        <v>3715976</v>
      </c>
      <c r="J152" s="246"/>
      <c r="K152" s="242" t="s">
        <v>8</v>
      </c>
      <c r="L152" s="243">
        <v>646162.01</v>
      </c>
    </row>
    <row r="153" spans="1:12" ht="61.2" x14ac:dyDescent="0.3">
      <c r="A153" s="237" t="s">
        <v>54</v>
      </c>
      <c r="B153" s="238" t="s">
        <v>1476</v>
      </c>
      <c r="C153" s="238" t="s">
        <v>1150</v>
      </c>
      <c r="D153" s="238" t="s">
        <v>1425</v>
      </c>
      <c r="E153" s="239" t="s">
        <v>1151</v>
      </c>
      <c r="F153" s="245" t="s">
        <v>15</v>
      </c>
      <c r="G153" s="245"/>
      <c r="H153" s="239" t="s">
        <v>751</v>
      </c>
      <c r="I153" s="246">
        <v>344602</v>
      </c>
      <c r="J153" s="246"/>
      <c r="K153" s="242" t="s">
        <v>8</v>
      </c>
      <c r="L153" s="243">
        <v>301560.01</v>
      </c>
    </row>
    <row r="154" spans="1:12" ht="61.2" x14ac:dyDescent="0.3">
      <c r="A154" s="237" t="s">
        <v>54</v>
      </c>
      <c r="B154" s="238" t="s">
        <v>1476</v>
      </c>
      <c r="C154" s="238" t="s">
        <v>1150</v>
      </c>
      <c r="D154" s="238" t="s">
        <v>1428</v>
      </c>
      <c r="E154" s="239" t="s">
        <v>1151</v>
      </c>
      <c r="F154" s="245" t="s">
        <v>15</v>
      </c>
      <c r="G154" s="245"/>
      <c r="H154" s="239" t="s">
        <v>751</v>
      </c>
      <c r="I154" s="246">
        <v>209670</v>
      </c>
      <c r="J154" s="246"/>
      <c r="K154" s="242" t="s">
        <v>8</v>
      </c>
      <c r="L154" s="243">
        <v>91890.01</v>
      </c>
    </row>
    <row r="155" spans="1:12" ht="51" hidden="1" x14ac:dyDescent="0.3">
      <c r="A155" s="237" t="s">
        <v>1477</v>
      </c>
      <c r="B155" s="238" t="s">
        <v>1478</v>
      </c>
      <c r="C155" s="238" t="s">
        <v>1479</v>
      </c>
      <c r="D155" s="238" t="s">
        <v>1480</v>
      </c>
      <c r="E155" s="239" t="s">
        <v>751</v>
      </c>
      <c r="F155" s="240">
        <v>106380</v>
      </c>
      <c r="G155" s="240"/>
      <c r="H155" s="239" t="s">
        <v>14</v>
      </c>
      <c r="I155" s="241" t="s">
        <v>15</v>
      </c>
      <c r="J155" s="241"/>
      <c r="K155" s="242" t="s">
        <v>8</v>
      </c>
      <c r="L155" s="243">
        <v>198270.01</v>
      </c>
    </row>
    <row r="156" spans="1:12" ht="51" hidden="1" x14ac:dyDescent="0.3">
      <c r="A156" s="237" t="s">
        <v>1477</v>
      </c>
      <c r="B156" s="238" t="s">
        <v>1478</v>
      </c>
      <c r="C156" s="238" t="s">
        <v>1481</v>
      </c>
      <c r="D156" s="238" t="s">
        <v>1480</v>
      </c>
      <c r="E156" s="239" t="s">
        <v>751</v>
      </c>
      <c r="F156" s="240">
        <v>147750</v>
      </c>
      <c r="G156" s="240"/>
      <c r="H156" s="239" t="s">
        <v>14</v>
      </c>
      <c r="I156" s="241" t="s">
        <v>15</v>
      </c>
      <c r="J156" s="241"/>
      <c r="K156" s="242" t="s">
        <v>8</v>
      </c>
      <c r="L156" s="243">
        <v>346020.01</v>
      </c>
    </row>
    <row r="157" spans="1:12" ht="51" hidden="1" x14ac:dyDescent="0.3">
      <c r="A157" s="237" t="s">
        <v>1477</v>
      </c>
      <c r="B157" s="238" t="s">
        <v>1482</v>
      </c>
      <c r="C157" s="238" t="s">
        <v>1479</v>
      </c>
      <c r="D157" s="238" t="s">
        <v>1483</v>
      </c>
      <c r="E157" s="239" t="s">
        <v>751</v>
      </c>
      <c r="F157" s="240">
        <v>32874.28</v>
      </c>
      <c r="G157" s="240"/>
      <c r="H157" s="239" t="s">
        <v>14</v>
      </c>
      <c r="I157" s="241" t="s">
        <v>15</v>
      </c>
      <c r="J157" s="241"/>
      <c r="K157" s="242" t="s">
        <v>8</v>
      </c>
      <c r="L157" s="243">
        <v>378894.29</v>
      </c>
    </row>
    <row r="158" spans="1:12" ht="51" hidden="1" x14ac:dyDescent="0.3">
      <c r="A158" s="237" t="s">
        <v>1477</v>
      </c>
      <c r="B158" s="238" t="s">
        <v>1482</v>
      </c>
      <c r="C158" s="238" t="s">
        <v>1481</v>
      </c>
      <c r="D158" s="238" t="s">
        <v>1483</v>
      </c>
      <c r="E158" s="239" t="s">
        <v>751</v>
      </c>
      <c r="F158" s="240">
        <v>45658.720000000001</v>
      </c>
      <c r="G158" s="240"/>
      <c r="H158" s="239" t="s">
        <v>14</v>
      </c>
      <c r="I158" s="241" t="s">
        <v>15</v>
      </c>
      <c r="J158" s="241"/>
      <c r="K158" s="242" t="s">
        <v>8</v>
      </c>
      <c r="L158" s="243">
        <v>424553.01</v>
      </c>
    </row>
    <row r="159" spans="1:12" ht="51" hidden="1" x14ac:dyDescent="0.3">
      <c r="A159" s="237" t="s">
        <v>1477</v>
      </c>
      <c r="B159" s="238" t="s">
        <v>1484</v>
      </c>
      <c r="C159" s="238" t="s">
        <v>1485</v>
      </c>
      <c r="D159" s="238" t="s">
        <v>1481</v>
      </c>
      <c r="E159" s="239" t="s">
        <v>751</v>
      </c>
      <c r="F159" s="240">
        <v>193408.72</v>
      </c>
      <c r="G159" s="240"/>
      <c r="H159" s="239" t="s">
        <v>751</v>
      </c>
      <c r="I159" s="241" t="s">
        <v>15</v>
      </c>
      <c r="J159" s="241"/>
      <c r="K159" s="242" t="s">
        <v>8</v>
      </c>
      <c r="L159" s="243">
        <v>518151.07</v>
      </c>
    </row>
    <row r="160" spans="1:12" ht="51" hidden="1" x14ac:dyDescent="0.3">
      <c r="A160" s="237" t="s">
        <v>1477</v>
      </c>
      <c r="B160" s="238" t="s">
        <v>1484</v>
      </c>
      <c r="C160" s="238" t="s">
        <v>1485</v>
      </c>
      <c r="D160" s="238" t="s">
        <v>1481</v>
      </c>
      <c r="E160" s="239" t="s">
        <v>751</v>
      </c>
      <c r="F160" s="245" t="s">
        <v>15</v>
      </c>
      <c r="G160" s="245"/>
      <c r="H160" s="239" t="s">
        <v>751</v>
      </c>
      <c r="I160" s="246">
        <v>193408.72</v>
      </c>
      <c r="J160" s="246"/>
      <c r="K160" s="242" t="s">
        <v>8</v>
      </c>
      <c r="L160" s="243">
        <v>231144.29</v>
      </c>
    </row>
    <row r="161" spans="1:12" ht="51" hidden="1" x14ac:dyDescent="0.3">
      <c r="A161" s="237" t="s">
        <v>1477</v>
      </c>
      <c r="B161" s="238" t="s">
        <v>1486</v>
      </c>
      <c r="C161" s="238" t="s">
        <v>1487</v>
      </c>
      <c r="D161" s="238" t="s">
        <v>1479</v>
      </c>
      <c r="E161" s="239" t="s">
        <v>751</v>
      </c>
      <c r="F161" s="245" t="s">
        <v>15</v>
      </c>
      <c r="G161" s="245"/>
      <c r="H161" s="239" t="s">
        <v>751</v>
      </c>
      <c r="I161" s="246">
        <v>139254.28</v>
      </c>
      <c r="J161" s="246"/>
      <c r="K161" s="242" t="s">
        <v>8</v>
      </c>
      <c r="L161" s="243">
        <v>91890.01</v>
      </c>
    </row>
    <row r="162" spans="1:12" ht="51" hidden="1" x14ac:dyDescent="0.3">
      <c r="A162" s="237" t="s">
        <v>1477</v>
      </c>
      <c r="B162" s="238" t="s">
        <v>1486</v>
      </c>
      <c r="C162" s="238" t="s">
        <v>1487</v>
      </c>
      <c r="D162" s="238" t="s">
        <v>1479</v>
      </c>
      <c r="E162" s="239" t="s">
        <v>751</v>
      </c>
      <c r="F162" s="240">
        <v>139254.28</v>
      </c>
      <c r="G162" s="240"/>
      <c r="H162" s="239" t="s">
        <v>751</v>
      </c>
      <c r="I162" s="241" t="s">
        <v>15</v>
      </c>
      <c r="J162" s="241"/>
      <c r="K162" s="242" t="s">
        <v>8</v>
      </c>
      <c r="L162" s="243">
        <v>7339452.9900000002</v>
      </c>
    </row>
    <row r="163" spans="1:12" ht="51" hidden="1" x14ac:dyDescent="0.3">
      <c r="A163" s="237" t="s">
        <v>940</v>
      </c>
      <c r="B163" s="238" t="s">
        <v>1488</v>
      </c>
      <c r="C163" s="238" t="s">
        <v>1489</v>
      </c>
      <c r="D163" s="238" t="s">
        <v>1490</v>
      </c>
      <c r="E163" s="239" t="s">
        <v>751</v>
      </c>
      <c r="F163" s="240">
        <v>29200</v>
      </c>
      <c r="G163" s="240"/>
      <c r="H163" s="239" t="s">
        <v>14</v>
      </c>
      <c r="I163" s="241" t="s">
        <v>15</v>
      </c>
      <c r="J163" s="241"/>
      <c r="K163" s="242" t="s">
        <v>8</v>
      </c>
      <c r="L163" s="243">
        <v>121090.01</v>
      </c>
    </row>
    <row r="164" spans="1:12" ht="51" hidden="1" x14ac:dyDescent="0.3">
      <c r="A164" s="237" t="s">
        <v>940</v>
      </c>
      <c r="B164" s="238" t="s">
        <v>1488</v>
      </c>
      <c r="C164" s="238" t="s">
        <v>1491</v>
      </c>
      <c r="D164" s="238" t="s">
        <v>1490</v>
      </c>
      <c r="E164" s="239" t="s">
        <v>751</v>
      </c>
      <c r="F164" s="240">
        <v>73875</v>
      </c>
      <c r="G164" s="240"/>
      <c r="H164" s="239" t="s">
        <v>14</v>
      </c>
      <c r="I164" s="241" t="s">
        <v>15</v>
      </c>
      <c r="J164" s="241"/>
      <c r="K164" s="242" t="s">
        <v>8</v>
      </c>
      <c r="L164" s="243">
        <v>194965.01</v>
      </c>
    </row>
    <row r="165" spans="1:12" ht="51" hidden="1" x14ac:dyDescent="0.3">
      <c r="A165" s="237" t="s">
        <v>940</v>
      </c>
      <c r="B165" s="238" t="s">
        <v>1492</v>
      </c>
      <c r="C165" s="238" t="s">
        <v>1493</v>
      </c>
      <c r="D165" s="238" t="s">
        <v>1494</v>
      </c>
      <c r="E165" s="239" t="s">
        <v>751</v>
      </c>
      <c r="F165" s="240">
        <v>28517.77</v>
      </c>
      <c r="G165" s="240"/>
      <c r="H165" s="239" t="s">
        <v>14</v>
      </c>
      <c r="I165" s="241" t="s">
        <v>15</v>
      </c>
      <c r="J165" s="241"/>
      <c r="K165" s="242" t="s">
        <v>8</v>
      </c>
      <c r="L165" s="243">
        <v>4535860.7</v>
      </c>
    </row>
    <row r="166" spans="1:12" ht="61.2" hidden="1" x14ac:dyDescent="0.3">
      <c r="A166" s="237" t="s">
        <v>940</v>
      </c>
      <c r="B166" s="238" t="s">
        <v>1492</v>
      </c>
      <c r="C166" s="238" t="s">
        <v>1495</v>
      </c>
      <c r="D166" s="238" t="s">
        <v>1494</v>
      </c>
      <c r="E166" s="239" t="s">
        <v>751</v>
      </c>
      <c r="F166" s="240">
        <v>123216.41</v>
      </c>
      <c r="G166" s="240"/>
      <c r="H166" s="239" t="s">
        <v>14</v>
      </c>
      <c r="I166" s="241" t="s">
        <v>15</v>
      </c>
      <c r="J166" s="241"/>
      <c r="K166" s="242" t="s">
        <v>8</v>
      </c>
      <c r="L166" s="243">
        <v>4659077.1100000003</v>
      </c>
    </row>
    <row r="167" spans="1:12" ht="61.2" hidden="1" x14ac:dyDescent="0.3">
      <c r="A167" s="237" t="s">
        <v>940</v>
      </c>
      <c r="B167" s="238" t="s">
        <v>1492</v>
      </c>
      <c r="C167" s="238" t="s">
        <v>1496</v>
      </c>
      <c r="D167" s="238" t="s">
        <v>1494</v>
      </c>
      <c r="E167" s="239" t="s">
        <v>751</v>
      </c>
      <c r="F167" s="240">
        <v>320228.03000000003</v>
      </c>
      <c r="G167" s="240"/>
      <c r="H167" s="239" t="s">
        <v>14</v>
      </c>
      <c r="I167" s="241" t="s">
        <v>15</v>
      </c>
      <c r="J167" s="241"/>
      <c r="K167" s="242" t="s">
        <v>8</v>
      </c>
      <c r="L167" s="243">
        <v>4979305.1399999997</v>
      </c>
    </row>
    <row r="168" spans="1:12" ht="61.2" hidden="1" x14ac:dyDescent="0.3">
      <c r="A168" s="237" t="s">
        <v>940</v>
      </c>
      <c r="B168" s="238" t="s">
        <v>1492</v>
      </c>
      <c r="C168" s="238" t="s">
        <v>1497</v>
      </c>
      <c r="D168" s="238" t="s">
        <v>1494</v>
      </c>
      <c r="E168" s="239" t="s">
        <v>751</v>
      </c>
      <c r="F168" s="240">
        <v>1001880.35</v>
      </c>
      <c r="G168" s="240"/>
      <c r="H168" s="239" t="s">
        <v>14</v>
      </c>
      <c r="I168" s="241" t="s">
        <v>15</v>
      </c>
      <c r="J168" s="241"/>
      <c r="K168" s="242" t="s">
        <v>8</v>
      </c>
      <c r="L168" s="243">
        <v>5981185.4900000002</v>
      </c>
    </row>
    <row r="169" spans="1:12" ht="51" hidden="1" x14ac:dyDescent="0.3">
      <c r="A169" s="237" t="s">
        <v>940</v>
      </c>
      <c r="B169" s="238" t="s">
        <v>1498</v>
      </c>
      <c r="C169" s="238" t="s">
        <v>1489</v>
      </c>
      <c r="D169" s="238" t="s">
        <v>1499</v>
      </c>
      <c r="E169" s="239" t="s">
        <v>751</v>
      </c>
      <c r="F169" s="240">
        <v>8990.0300000000007</v>
      </c>
      <c r="G169" s="240"/>
      <c r="H169" s="239" t="s">
        <v>14</v>
      </c>
      <c r="I169" s="241" t="s">
        <v>15</v>
      </c>
      <c r="J169" s="241"/>
      <c r="K169" s="242" t="s">
        <v>8</v>
      </c>
      <c r="L169" s="243">
        <v>203955.04</v>
      </c>
    </row>
    <row r="170" spans="1:12" ht="51" hidden="1" x14ac:dyDescent="0.3">
      <c r="A170" s="237" t="s">
        <v>940</v>
      </c>
      <c r="B170" s="238" t="s">
        <v>1498</v>
      </c>
      <c r="C170" s="238" t="s">
        <v>1491</v>
      </c>
      <c r="D170" s="238" t="s">
        <v>1499</v>
      </c>
      <c r="E170" s="239" t="s">
        <v>751</v>
      </c>
      <c r="F170" s="240">
        <v>22744.47</v>
      </c>
      <c r="G170" s="240"/>
      <c r="H170" s="239" t="s">
        <v>14</v>
      </c>
      <c r="I170" s="241" t="s">
        <v>15</v>
      </c>
      <c r="J170" s="241"/>
      <c r="K170" s="242" t="s">
        <v>8</v>
      </c>
      <c r="L170" s="243">
        <v>226699.51</v>
      </c>
    </row>
    <row r="171" spans="1:12" ht="51" hidden="1" x14ac:dyDescent="0.3">
      <c r="A171" s="237" t="s">
        <v>940</v>
      </c>
      <c r="B171" s="238" t="s">
        <v>1500</v>
      </c>
      <c r="C171" s="238" t="s">
        <v>1501</v>
      </c>
      <c r="D171" s="238" t="s">
        <v>1491</v>
      </c>
      <c r="E171" s="239" t="s">
        <v>751</v>
      </c>
      <c r="F171" s="240">
        <v>96619.47</v>
      </c>
      <c r="G171" s="240"/>
      <c r="H171" s="239" t="s">
        <v>751</v>
      </c>
      <c r="I171" s="241" t="s">
        <v>15</v>
      </c>
      <c r="J171" s="241"/>
      <c r="K171" s="242" t="s">
        <v>8</v>
      </c>
      <c r="L171" s="243">
        <v>614770.54</v>
      </c>
    </row>
    <row r="172" spans="1:12" ht="51" hidden="1" x14ac:dyDescent="0.3">
      <c r="A172" s="237" t="s">
        <v>940</v>
      </c>
      <c r="B172" s="238" t="s">
        <v>1500</v>
      </c>
      <c r="C172" s="238" t="s">
        <v>1501</v>
      </c>
      <c r="D172" s="238" t="s">
        <v>1491</v>
      </c>
      <c r="E172" s="239" t="s">
        <v>751</v>
      </c>
      <c r="F172" s="245" t="s">
        <v>15</v>
      </c>
      <c r="G172" s="245"/>
      <c r="H172" s="239" t="s">
        <v>751</v>
      </c>
      <c r="I172" s="246">
        <v>96619.47</v>
      </c>
      <c r="J172" s="246"/>
      <c r="K172" s="242" t="s">
        <v>8</v>
      </c>
      <c r="L172" s="243">
        <v>130080.04</v>
      </c>
    </row>
    <row r="173" spans="1:12" ht="51" hidden="1" x14ac:dyDescent="0.3">
      <c r="A173" s="237" t="s">
        <v>940</v>
      </c>
      <c r="B173" s="238" t="s">
        <v>1502</v>
      </c>
      <c r="C173" s="238" t="s">
        <v>1503</v>
      </c>
      <c r="D173" s="238" t="s">
        <v>1489</v>
      </c>
      <c r="E173" s="239" t="s">
        <v>751</v>
      </c>
      <c r="F173" s="245" t="s">
        <v>15</v>
      </c>
      <c r="G173" s="245"/>
      <c r="H173" s="239" t="s">
        <v>751</v>
      </c>
      <c r="I173" s="246">
        <v>36280.53</v>
      </c>
      <c r="J173" s="246"/>
      <c r="K173" s="242" t="s">
        <v>8</v>
      </c>
      <c r="L173" s="243">
        <v>93799.51</v>
      </c>
    </row>
    <row r="174" spans="1:12" ht="51" hidden="1" x14ac:dyDescent="0.3">
      <c r="A174" s="237" t="s">
        <v>940</v>
      </c>
      <c r="B174" s="238" t="s">
        <v>1502</v>
      </c>
      <c r="C174" s="238" t="s">
        <v>1503</v>
      </c>
      <c r="D174" s="238" t="s">
        <v>1489</v>
      </c>
      <c r="E174" s="239" t="s">
        <v>751</v>
      </c>
      <c r="F174" s="240">
        <v>36280.53</v>
      </c>
      <c r="G174" s="240"/>
      <c r="H174" s="239" t="s">
        <v>751</v>
      </c>
      <c r="I174" s="241" t="s">
        <v>15</v>
      </c>
      <c r="J174" s="241"/>
      <c r="K174" s="242" t="s">
        <v>8</v>
      </c>
      <c r="L174" s="243">
        <v>6017466.0199999996</v>
      </c>
    </row>
    <row r="175" spans="1:12" ht="51" hidden="1" x14ac:dyDescent="0.3">
      <c r="A175" s="237" t="s">
        <v>940</v>
      </c>
      <c r="B175" s="238" t="s">
        <v>1504</v>
      </c>
      <c r="C175" s="238" t="s">
        <v>1505</v>
      </c>
      <c r="D175" s="238" t="s">
        <v>1489</v>
      </c>
      <c r="E175" s="239" t="s">
        <v>751</v>
      </c>
      <c r="F175" s="240">
        <v>1909.5</v>
      </c>
      <c r="G175" s="240"/>
      <c r="H175" s="239" t="s">
        <v>751</v>
      </c>
      <c r="I175" s="241" t="s">
        <v>15</v>
      </c>
      <c r="J175" s="241"/>
      <c r="K175" s="242" t="s">
        <v>8</v>
      </c>
      <c r="L175" s="243">
        <v>7341362.4900000002</v>
      </c>
    </row>
    <row r="176" spans="1:12" ht="51" hidden="1" x14ac:dyDescent="0.3">
      <c r="A176" s="237" t="s">
        <v>940</v>
      </c>
      <c r="B176" s="238" t="s">
        <v>1504</v>
      </c>
      <c r="C176" s="238" t="s">
        <v>1505</v>
      </c>
      <c r="D176" s="238" t="s">
        <v>1489</v>
      </c>
      <c r="E176" s="239" t="s">
        <v>751</v>
      </c>
      <c r="F176" s="245" t="s">
        <v>15</v>
      </c>
      <c r="G176" s="245"/>
      <c r="H176" s="239" t="s">
        <v>751</v>
      </c>
      <c r="I176" s="246">
        <v>1909.5</v>
      </c>
      <c r="J176" s="246"/>
      <c r="K176" s="242" t="s">
        <v>8</v>
      </c>
      <c r="L176" s="243">
        <v>91890.01</v>
      </c>
    </row>
    <row r="177" spans="1:12" ht="51" hidden="1" x14ac:dyDescent="0.3">
      <c r="A177" s="237" t="s">
        <v>234</v>
      </c>
      <c r="B177" s="238" t="s">
        <v>1506</v>
      </c>
      <c r="C177" s="238" t="s">
        <v>1507</v>
      </c>
      <c r="D177" s="238" t="s">
        <v>1508</v>
      </c>
      <c r="E177" s="239" t="s">
        <v>751</v>
      </c>
      <c r="F177" s="240">
        <v>118200</v>
      </c>
      <c r="G177" s="240"/>
      <c r="H177" s="239" t="s">
        <v>14</v>
      </c>
      <c r="I177" s="241" t="s">
        <v>15</v>
      </c>
      <c r="J177" s="241"/>
      <c r="K177" s="242" t="s">
        <v>8</v>
      </c>
      <c r="L177" s="243">
        <v>732970.54</v>
      </c>
    </row>
    <row r="178" spans="1:12" ht="51" hidden="1" x14ac:dyDescent="0.3">
      <c r="A178" s="237" t="s">
        <v>234</v>
      </c>
      <c r="B178" s="238" t="s">
        <v>1509</v>
      </c>
      <c r="C178" s="238" t="s">
        <v>1510</v>
      </c>
      <c r="D178" s="238" t="s">
        <v>1511</v>
      </c>
      <c r="E178" s="239" t="s">
        <v>751</v>
      </c>
      <c r="F178" s="240">
        <v>16497.34</v>
      </c>
      <c r="G178" s="240"/>
      <c r="H178" s="239" t="s">
        <v>14</v>
      </c>
      <c r="I178" s="241" t="s">
        <v>15</v>
      </c>
      <c r="J178" s="241"/>
      <c r="K178" s="242" t="s">
        <v>8</v>
      </c>
      <c r="L178" s="243">
        <v>947243.49</v>
      </c>
    </row>
    <row r="179" spans="1:12" ht="51" hidden="1" x14ac:dyDescent="0.3">
      <c r="A179" s="237" t="s">
        <v>234</v>
      </c>
      <c r="B179" s="238" t="s">
        <v>1509</v>
      </c>
      <c r="C179" s="238" t="s">
        <v>1512</v>
      </c>
      <c r="D179" s="238" t="s">
        <v>1511</v>
      </c>
      <c r="E179" s="239" t="s">
        <v>751</v>
      </c>
      <c r="F179" s="240">
        <v>29820.12</v>
      </c>
      <c r="G179" s="240"/>
      <c r="H179" s="239" t="s">
        <v>14</v>
      </c>
      <c r="I179" s="241" t="s">
        <v>15</v>
      </c>
      <c r="J179" s="241"/>
      <c r="K179" s="242" t="s">
        <v>8</v>
      </c>
      <c r="L179" s="243">
        <v>977063.61</v>
      </c>
    </row>
    <row r="180" spans="1:12" ht="61.2" hidden="1" x14ac:dyDescent="0.3">
      <c r="A180" s="237" t="s">
        <v>234</v>
      </c>
      <c r="B180" s="238" t="s">
        <v>1513</v>
      </c>
      <c r="C180" s="238" t="s">
        <v>1514</v>
      </c>
      <c r="D180" s="238" t="s">
        <v>1515</v>
      </c>
      <c r="E180" s="239" t="s">
        <v>751</v>
      </c>
      <c r="F180" s="240">
        <v>194040</v>
      </c>
      <c r="G180" s="240"/>
      <c r="H180" s="239" t="s">
        <v>14</v>
      </c>
      <c r="I180" s="241" t="s">
        <v>15</v>
      </c>
      <c r="J180" s="241"/>
      <c r="K180" s="242" t="s">
        <v>8</v>
      </c>
      <c r="L180" s="243">
        <v>242313.03</v>
      </c>
    </row>
    <row r="181" spans="1:12" ht="51" hidden="1" x14ac:dyDescent="0.3">
      <c r="A181" s="237" t="s">
        <v>234</v>
      </c>
      <c r="B181" s="238" t="s">
        <v>1516</v>
      </c>
      <c r="C181" s="238" t="s">
        <v>1517</v>
      </c>
      <c r="D181" s="238" t="s">
        <v>1518</v>
      </c>
      <c r="E181" s="239" t="s">
        <v>751</v>
      </c>
      <c r="F181" s="240">
        <v>121275</v>
      </c>
      <c r="G181" s="240"/>
      <c r="H181" s="239" t="s">
        <v>14</v>
      </c>
      <c r="I181" s="241" t="s">
        <v>15</v>
      </c>
      <c r="J181" s="241"/>
      <c r="K181" s="242" t="s">
        <v>8</v>
      </c>
      <c r="L181" s="243">
        <v>7462637.4900000002</v>
      </c>
    </row>
    <row r="182" spans="1:12" ht="51" hidden="1" x14ac:dyDescent="0.3">
      <c r="A182" s="237" t="s">
        <v>234</v>
      </c>
      <c r="B182" s="238" t="s">
        <v>1519</v>
      </c>
      <c r="C182" s="238" t="s">
        <v>1507</v>
      </c>
      <c r="D182" s="238" t="s">
        <v>1520</v>
      </c>
      <c r="E182" s="239" t="s">
        <v>751</v>
      </c>
      <c r="F182" s="240">
        <v>37862.5</v>
      </c>
      <c r="G182" s="240"/>
      <c r="H182" s="239" t="s">
        <v>14</v>
      </c>
      <c r="I182" s="241" t="s">
        <v>15</v>
      </c>
      <c r="J182" s="241"/>
      <c r="K182" s="242" t="s">
        <v>8</v>
      </c>
      <c r="L182" s="243">
        <v>770833.04</v>
      </c>
    </row>
    <row r="183" spans="1:12" ht="51" hidden="1" x14ac:dyDescent="0.3">
      <c r="A183" s="237" t="s">
        <v>234</v>
      </c>
      <c r="B183" s="238" t="s">
        <v>1521</v>
      </c>
      <c r="C183" s="238" t="s">
        <v>1517</v>
      </c>
      <c r="D183" s="238" t="s">
        <v>1518</v>
      </c>
      <c r="E183" s="239" t="s">
        <v>751</v>
      </c>
      <c r="F183" s="240">
        <v>15000</v>
      </c>
      <c r="G183" s="240"/>
      <c r="H183" s="239" t="s">
        <v>14</v>
      </c>
      <c r="I183" s="241" t="s">
        <v>15</v>
      </c>
      <c r="J183" s="241"/>
      <c r="K183" s="242" t="s">
        <v>8</v>
      </c>
      <c r="L183" s="243">
        <v>7477637.4900000002</v>
      </c>
    </row>
    <row r="184" spans="1:12" ht="51" hidden="1" x14ac:dyDescent="0.3">
      <c r="A184" s="237" t="s">
        <v>234</v>
      </c>
      <c r="B184" s="238" t="s">
        <v>1522</v>
      </c>
      <c r="C184" s="238" t="s">
        <v>1523</v>
      </c>
      <c r="D184" s="238" t="s">
        <v>1524</v>
      </c>
      <c r="E184" s="239" t="s">
        <v>751</v>
      </c>
      <c r="F184" s="240">
        <v>162448.56</v>
      </c>
      <c r="G184" s="240"/>
      <c r="H184" s="239" t="s">
        <v>14</v>
      </c>
      <c r="I184" s="241" t="s">
        <v>15</v>
      </c>
      <c r="J184" s="241"/>
      <c r="K184" s="242" t="s">
        <v>8</v>
      </c>
      <c r="L184" s="243">
        <v>6179914.5800000001</v>
      </c>
    </row>
    <row r="185" spans="1:12" ht="51" hidden="1" x14ac:dyDescent="0.3">
      <c r="A185" s="237" t="s">
        <v>234</v>
      </c>
      <c r="B185" s="238" t="s">
        <v>1525</v>
      </c>
      <c r="C185" s="238" t="s">
        <v>1523</v>
      </c>
      <c r="D185" s="238" t="s">
        <v>1524</v>
      </c>
      <c r="E185" s="239" t="s">
        <v>751</v>
      </c>
      <c r="F185" s="240">
        <v>111718.44</v>
      </c>
      <c r="G185" s="240"/>
      <c r="H185" s="239" t="s">
        <v>14</v>
      </c>
      <c r="I185" s="241" t="s">
        <v>15</v>
      </c>
      <c r="J185" s="241"/>
      <c r="K185" s="242" t="s">
        <v>8</v>
      </c>
      <c r="L185" s="243">
        <v>6291633.0199999996</v>
      </c>
    </row>
    <row r="186" spans="1:12" ht="51" hidden="1" x14ac:dyDescent="0.3">
      <c r="A186" s="237" t="s">
        <v>234</v>
      </c>
      <c r="B186" s="238" t="s">
        <v>1522</v>
      </c>
      <c r="C186" s="238" t="s">
        <v>1526</v>
      </c>
      <c r="D186" s="238" t="s">
        <v>1524</v>
      </c>
      <c r="E186" s="239" t="s">
        <v>751</v>
      </c>
      <c r="F186" s="240">
        <v>36162</v>
      </c>
      <c r="G186" s="240"/>
      <c r="H186" s="239" t="s">
        <v>14</v>
      </c>
      <c r="I186" s="241" t="s">
        <v>15</v>
      </c>
      <c r="J186" s="241"/>
      <c r="K186" s="242" t="s">
        <v>8</v>
      </c>
      <c r="L186" s="243">
        <v>6327795.0199999996</v>
      </c>
    </row>
    <row r="187" spans="1:12" ht="61.2" hidden="1" x14ac:dyDescent="0.3">
      <c r="A187" s="237" t="s">
        <v>234</v>
      </c>
      <c r="B187" s="238" t="s">
        <v>1527</v>
      </c>
      <c r="C187" s="238" t="s">
        <v>1528</v>
      </c>
      <c r="D187" s="238" t="s">
        <v>1529</v>
      </c>
      <c r="E187" s="239" t="s">
        <v>751</v>
      </c>
      <c r="F187" s="240">
        <v>45109.18</v>
      </c>
      <c r="G187" s="240"/>
      <c r="H187" s="239" t="s">
        <v>14</v>
      </c>
      <c r="I187" s="241" t="s">
        <v>15</v>
      </c>
      <c r="J187" s="241"/>
      <c r="K187" s="242" t="s">
        <v>8</v>
      </c>
      <c r="L187" s="243">
        <v>1706214.6</v>
      </c>
    </row>
    <row r="188" spans="1:12" ht="61.2" hidden="1" x14ac:dyDescent="0.3">
      <c r="A188" s="237" t="s">
        <v>234</v>
      </c>
      <c r="B188" s="238" t="s">
        <v>1530</v>
      </c>
      <c r="C188" s="238" t="s">
        <v>1528</v>
      </c>
      <c r="D188" s="238" t="s">
        <v>1529</v>
      </c>
      <c r="E188" s="239" t="s">
        <v>751</v>
      </c>
      <c r="F188" s="240">
        <v>25373.919999999998</v>
      </c>
      <c r="G188" s="240"/>
      <c r="H188" s="239" t="s">
        <v>14</v>
      </c>
      <c r="I188" s="241" t="s">
        <v>15</v>
      </c>
      <c r="J188" s="241"/>
      <c r="K188" s="242" t="s">
        <v>8</v>
      </c>
      <c r="L188" s="243">
        <v>1731588.52</v>
      </c>
    </row>
    <row r="189" spans="1:12" ht="61.2" hidden="1" x14ac:dyDescent="0.3">
      <c r="A189" s="237" t="s">
        <v>234</v>
      </c>
      <c r="B189" s="238" t="s">
        <v>1531</v>
      </c>
      <c r="C189" s="238" t="s">
        <v>1532</v>
      </c>
      <c r="D189" s="238" t="s">
        <v>1533</v>
      </c>
      <c r="E189" s="239" t="s">
        <v>751</v>
      </c>
      <c r="F189" s="240">
        <v>16017.3</v>
      </c>
      <c r="G189" s="240"/>
      <c r="H189" s="239" t="s">
        <v>14</v>
      </c>
      <c r="I189" s="241" t="s">
        <v>15</v>
      </c>
      <c r="J189" s="241"/>
      <c r="K189" s="242" t="s">
        <v>8</v>
      </c>
      <c r="L189" s="243">
        <v>6343812.3200000003</v>
      </c>
    </row>
    <row r="190" spans="1:12" ht="61.2" hidden="1" x14ac:dyDescent="0.3">
      <c r="A190" s="237" t="s">
        <v>234</v>
      </c>
      <c r="B190" s="238" t="s">
        <v>1531</v>
      </c>
      <c r="C190" s="238" t="s">
        <v>1534</v>
      </c>
      <c r="D190" s="238" t="s">
        <v>1533</v>
      </c>
      <c r="E190" s="239" t="s">
        <v>751</v>
      </c>
      <c r="F190" s="240">
        <v>8619.2000000000007</v>
      </c>
      <c r="G190" s="240"/>
      <c r="H190" s="239" t="s">
        <v>14</v>
      </c>
      <c r="I190" s="241" t="s">
        <v>15</v>
      </c>
      <c r="J190" s="241"/>
      <c r="K190" s="242" t="s">
        <v>8</v>
      </c>
      <c r="L190" s="243">
        <v>6352431.5199999996</v>
      </c>
    </row>
    <row r="191" spans="1:12" ht="61.2" hidden="1" x14ac:dyDescent="0.3">
      <c r="A191" s="237" t="s">
        <v>234</v>
      </c>
      <c r="B191" s="238" t="s">
        <v>1531</v>
      </c>
      <c r="C191" s="238" t="s">
        <v>1535</v>
      </c>
      <c r="D191" s="238" t="s">
        <v>1533</v>
      </c>
      <c r="E191" s="239" t="s">
        <v>751</v>
      </c>
      <c r="F191" s="240">
        <v>4611.6000000000004</v>
      </c>
      <c r="G191" s="240"/>
      <c r="H191" s="239" t="s">
        <v>14</v>
      </c>
      <c r="I191" s="241" t="s">
        <v>15</v>
      </c>
      <c r="J191" s="241"/>
      <c r="K191" s="242" t="s">
        <v>8</v>
      </c>
      <c r="L191" s="243">
        <v>6357043.1200000001</v>
      </c>
    </row>
    <row r="192" spans="1:12" ht="61.2" hidden="1" x14ac:dyDescent="0.3">
      <c r="A192" s="237" t="s">
        <v>234</v>
      </c>
      <c r="B192" s="238" t="s">
        <v>1531</v>
      </c>
      <c r="C192" s="238" t="s">
        <v>1536</v>
      </c>
      <c r="D192" s="238" t="s">
        <v>1533</v>
      </c>
      <c r="E192" s="239" t="s">
        <v>751</v>
      </c>
      <c r="F192" s="240">
        <v>3068.3</v>
      </c>
      <c r="G192" s="240"/>
      <c r="H192" s="239" t="s">
        <v>14</v>
      </c>
      <c r="I192" s="241" t="s">
        <v>15</v>
      </c>
      <c r="J192" s="241"/>
      <c r="K192" s="242" t="s">
        <v>8</v>
      </c>
      <c r="L192" s="243">
        <v>6360111.4199999999</v>
      </c>
    </row>
    <row r="193" spans="1:12" ht="61.2" hidden="1" x14ac:dyDescent="0.3">
      <c r="A193" s="237" t="s">
        <v>234</v>
      </c>
      <c r="B193" s="238" t="s">
        <v>1531</v>
      </c>
      <c r="C193" s="238" t="s">
        <v>1537</v>
      </c>
      <c r="D193" s="238" t="s">
        <v>1533</v>
      </c>
      <c r="E193" s="239" t="s">
        <v>751</v>
      </c>
      <c r="F193" s="240">
        <v>5813.4</v>
      </c>
      <c r="G193" s="240"/>
      <c r="H193" s="239" t="s">
        <v>14</v>
      </c>
      <c r="I193" s="241" t="s">
        <v>15</v>
      </c>
      <c r="J193" s="241"/>
      <c r="K193" s="242" t="s">
        <v>8</v>
      </c>
      <c r="L193" s="243">
        <v>6365924.8200000003</v>
      </c>
    </row>
    <row r="194" spans="1:12" ht="61.2" hidden="1" x14ac:dyDescent="0.3">
      <c r="A194" s="237" t="s">
        <v>234</v>
      </c>
      <c r="B194" s="238" t="s">
        <v>1531</v>
      </c>
      <c r="C194" s="238" t="s">
        <v>1538</v>
      </c>
      <c r="D194" s="238" t="s">
        <v>1533</v>
      </c>
      <c r="E194" s="239" t="s">
        <v>751</v>
      </c>
      <c r="F194" s="240">
        <v>3672.2</v>
      </c>
      <c r="G194" s="240"/>
      <c r="H194" s="239" t="s">
        <v>14</v>
      </c>
      <c r="I194" s="241" t="s">
        <v>15</v>
      </c>
      <c r="J194" s="241"/>
      <c r="K194" s="242" t="s">
        <v>8</v>
      </c>
      <c r="L194" s="243">
        <v>6369597.0199999996</v>
      </c>
    </row>
    <row r="195" spans="1:12" ht="61.2" hidden="1" x14ac:dyDescent="0.3">
      <c r="A195" s="237" t="s">
        <v>234</v>
      </c>
      <c r="B195" s="238" t="s">
        <v>1531</v>
      </c>
      <c r="C195" s="238" t="s">
        <v>1539</v>
      </c>
      <c r="D195" s="238" t="s">
        <v>1533</v>
      </c>
      <c r="E195" s="239" t="s">
        <v>751</v>
      </c>
      <c r="F195" s="240">
        <v>50654.400000000001</v>
      </c>
      <c r="G195" s="240"/>
      <c r="H195" s="239" t="s">
        <v>14</v>
      </c>
      <c r="I195" s="241" t="s">
        <v>15</v>
      </c>
      <c r="J195" s="241"/>
      <c r="K195" s="242" t="s">
        <v>8</v>
      </c>
      <c r="L195" s="243">
        <v>6420251.4199999999</v>
      </c>
    </row>
    <row r="196" spans="1:12" ht="61.2" hidden="1" x14ac:dyDescent="0.3">
      <c r="A196" s="237" t="s">
        <v>234</v>
      </c>
      <c r="B196" s="238" t="s">
        <v>1531</v>
      </c>
      <c r="C196" s="238" t="s">
        <v>1540</v>
      </c>
      <c r="D196" s="238" t="s">
        <v>1533</v>
      </c>
      <c r="E196" s="239" t="s">
        <v>751</v>
      </c>
      <c r="F196" s="240">
        <v>8556.7999999999993</v>
      </c>
      <c r="G196" s="240"/>
      <c r="H196" s="239" t="s">
        <v>14</v>
      </c>
      <c r="I196" s="241" t="s">
        <v>15</v>
      </c>
      <c r="J196" s="241"/>
      <c r="K196" s="242" t="s">
        <v>8</v>
      </c>
      <c r="L196" s="243">
        <v>6428808.2199999997</v>
      </c>
    </row>
    <row r="197" spans="1:12" ht="61.2" hidden="1" x14ac:dyDescent="0.3">
      <c r="A197" s="237" t="s">
        <v>234</v>
      </c>
      <c r="B197" s="238" t="s">
        <v>1531</v>
      </c>
      <c r="C197" s="238" t="s">
        <v>1541</v>
      </c>
      <c r="D197" s="238" t="s">
        <v>1533</v>
      </c>
      <c r="E197" s="239" t="s">
        <v>751</v>
      </c>
      <c r="F197" s="240">
        <v>20258.400000000001</v>
      </c>
      <c r="G197" s="240"/>
      <c r="H197" s="239" t="s">
        <v>14</v>
      </c>
      <c r="I197" s="241" t="s">
        <v>15</v>
      </c>
      <c r="J197" s="241"/>
      <c r="K197" s="242" t="s">
        <v>8</v>
      </c>
      <c r="L197" s="243">
        <v>6449066.6200000001</v>
      </c>
    </row>
    <row r="198" spans="1:12" ht="61.2" hidden="1" x14ac:dyDescent="0.3">
      <c r="A198" s="237" t="s">
        <v>234</v>
      </c>
      <c r="B198" s="238" t="s">
        <v>1531</v>
      </c>
      <c r="C198" s="238" t="s">
        <v>1542</v>
      </c>
      <c r="D198" s="238" t="s">
        <v>1533</v>
      </c>
      <c r="E198" s="239" t="s">
        <v>751</v>
      </c>
      <c r="F198" s="240">
        <v>3733.2</v>
      </c>
      <c r="G198" s="240"/>
      <c r="H198" s="239" t="s">
        <v>14</v>
      </c>
      <c r="I198" s="241" t="s">
        <v>15</v>
      </c>
      <c r="J198" s="241"/>
      <c r="K198" s="242" t="s">
        <v>8</v>
      </c>
      <c r="L198" s="243">
        <v>6452799.8200000003</v>
      </c>
    </row>
    <row r="199" spans="1:12" ht="61.2" hidden="1" x14ac:dyDescent="0.3">
      <c r="A199" s="237" t="s">
        <v>234</v>
      </c>
      <c r="B199" s="238" t="s">
        <v>1531</v>
      </c>
      <c r="C199" s="238" t="s">
        <v>1543</v>
      </c>
      <c r="D199" s="238" t="s">
        <v>1533</v>
      </c>
      <c r="E199" s="239" t="s">
        <v>751</v>
      </c>
      <c r="F199" s="240">
        <v>12004.8</v>
      </c>
      <c r="G199" s="240"/>
      <c r="H199" s="239" t="s">
        <v>14</v>
      </c>
      <c r="I199" s="241" t="s">
        <v>15</v>
      </c>
      <c r="J199" s="241"/>
      <c r="K199" s="242" t="s">
        <v>8</v>
      </c>
      <c r="L199" s="243">
        <v>6464804.6200000001</v>
      </c>
    </row>
    <row r="200" spans="1:12" ht="61.2" hidden="1" x14ac:dyDescent="0.3">
      <c r="A200" s="237" t="s">
        <v>234</v>
      </c>
      <c r="B200" s="238" t="s">
        <v>1531</v>
      </c>
      <c r="C200" s="238" t="s">
        <v>1544</v>
      </c>
      <c r="D200" s="238" t="s">
        <v>1533</v>
      </c>
      <c r="E200" s="239" t="s">
        <v>751</v>
      </c>
      <c r="F200" s="240">
        <v>4722.2</v>
      </c>
      <c r="G200" s="240"/>
      <c r="H200" s="239" t="s">
        <v>14</v>
      </c>
      <c r="I200" s="241" t="s">
        <v>15</v>
      </c>
      <c r="J200" s="241"/>
      <c r="K200" s="242" t="s">
        <v>8</v>
      </c>
      <c r="L200" s="243">
        <v>6469526.8200000003</v>
      </c>
    </row>
    <row r="201" spans="1:12" ht="61.2" hidden="1" x14ac:dyDescent="0.3">
      <c r="A201" s="237" t="s">
        <v>234</v>
      </c>
      <c r="B201" s="238" t="s">
        <v>1531</v>
      </c>
      <c r="C201" s="238" t="s">
        <v>1545</v>
      </c>
      <c r="D201" s="238" t="s">
        <v>1533</v>
      </c>
      <c r="E201" s="239" t="s">
        <v>751</v>
      </c>
      <c r="F201" s="240">
        <v>26260.799999999999</v>
      </c>
      <c r="G201" s="240"/>
      <c r="H201" s="239" t="s">
        <v>14</v>
      </c>
      <c r="I201" s="241" t="s">
        <v>15</v>
      </c>
      <c r="J201" s="241"/>
      <c r="K201" s="242" t="s">
        <v>8</v>
      </c>
      <c r="L201" s="243">
        <v>6495787.6200000001</v>
      </c>
    </row>
    <row r="202" spans="1:12" ht="61.2" hidden="1" x14ac:dyDescent="0.3">
      <c r="A202" s="237" t="s">
        <v>234</v>
      </c>
      <c r="B202" s="238" t="s">
        <v>1531</v>
      </c>
      <c r="C202" s="238" t="s">
        <v>1546</v>
      </c>
      <c r="D202" s="238" t="s">
        <v>1533</v>
      </c>
      <c r="E202" s="239" t="s">
        <v>751</v>
      </c>
      <c r="F202" s="240">
        <v>13595.5</v>
      </c>
      <c r="G202" s="240"/>
      <c r="H202" s="239" t="s">
        <v>14</v>
      </c>
      <c r="I202" s="241" t="s">
        <v>15</v>
      </c>
      <c r="J202" s="241"/>
      <c r="K202" s="242" t="s">
        <v>8</v>
      </c>
      <c r="L202" s="243">
        <v>6509383.1200000001</v>
      </c>
    </row>
    <row r="203" spans="1:12" ht="61.2" hidden="1" x14ac:dyDescent="0.3">
      <c r="A203" s="237" t="s">
        <v>234</v>
      </c>
      <c r="B203" s="238" t="s">
        <v>1531</v>
      </c>
      <c r="C203" s="238" t="s">
        <v>1547</v>
      </c>
      <c r="D203" s="238" t="s">
        <v>1533</v>
      </c>
      <c r="E203" s="239" t="s">
        <v>751</v>
      </c>
      <c r="F203" s="240">
        <v>7512.2</v>
      </c>
      <c r="G203" s="240"/>
      <c r="H203" s="239" t="s">
        <v>14</v>
      </c>
      <c r="I203" s="241" t="s">
        <v>15</v>
      </c>
      <c r="J203" s="241"/>
      <c r="K203" s="242" t="s">
        <v>8</v>
      </c>
      <c r="L203" s="243">
        <v>6516895.3200000003</v>
      </c>
    </row>
    <row r="204" spans="1:12" ht="61.2" hidden="1" x14ac:dyDescent="0.3">
      <c r="A204" s="237" t="s">
        <v>234</v>
      </c>
      <c r="B204" s="238" t="s">
        <v>1531</v>
      </c>
      <c r="C204" s="238" t="s">
        <v>1548</v>
      </c>
      <c r="D204" s="238" t="s">
        <v>1533</v>
      </c>
      <c r="E204" s="239" t="s">
        <v>751</v>
      </c>
      <c r="F204" s="240">
        <v>11803.8</v>
      </c>
      <c r="G204" s="240"/>
      <c r="H204" s="239" t="s">
        <v>14</v>
      </c>
      <c r="I204" s="241" t="s">
        <v>15</v>
      </c>
      <c r="J204" s="241"/>
      <c r="K204" s="242" t="s">
        <v>8</v>
      </c>
      <c r="L204" s="243">
        <v>6528699.1200000001</v>
      </c>
    </row>
    <row r="205" spans="1:12" ht="61.2" hidden="1" x14ac:dyDescent="0.3">
      <c r="A205" s="237" t="s">
        <v>234</v>
      </c>
      <c r="B205" s="238" t="s">
        <v>1531</v>
      </c>
      <c r="C205" s="238" t="s">
        <v>1549</v>
      </c>
      <c r="D205" s="238" t="s">
        <v>1533</v>
      </c>
      <c r="E205" s="239" t="s">
        <v>751</v>
      </c>
      <c r="F205" s="240">
        <v>5482.4</v>
      </c>
      <c r="G205" s="240"/>
      <c r="H205" s="239" t="s">
        <v>14</v>
      </c>
      <c r="I205" s="241" t="s">
        <v>15</v>
      </c>
      <c r="J205" s="241"/>
      <c r="K205" s="242" t="s">
        <v>8</v>
      </c>
      <c r="L205" s="243">
        <v>6534181.5199999996</v>
      </c>
    </row>
    <row r="206" spans="1:12" ht="61.2" hidden="1" x14ac:dyDescent="0.3">
      <c r="A206" s="237" t="s">
        <v>234</v>
      </c>
      <c r="B206" s="238" t="s">
        <v>1531</v>
      </c>
      <c r="C206" s="238" t="s">
        <v>1550</v>
      </c>
      <c r="D206" s="238" t="s">
        <v>1533</v>
      </c>
      <c r="E206" s="239" t="s">
        <v>751</v>
      </c>
      <c r="F206" s="240">
        <v>10410.299999999999</v>
      </c>
      <c r="G206" s="240"/>
      <c r="H206" s="239" t="s">
        <v>14</v>
      </c>
      <c r="I206" s="241" t="s">
        <v>15</v>
      </c>
      <c r="J206" s="241"/>
      <c r="K206" s="242" t="s">
        <v>8</v>
      </c>
      <c r="L206" s="243">
        <v>6544591.8200000003</v>
      </c>
    </row>
    <row r="207" spans="1:12" ht="61.2" hidden="1" x14ac:dyDescent="0.3">
      <c r="A207" s="237" t="s">
        <v>234</v>
      </c>
      <c r="B207" s="238" t="s">
        <v>1531</v>
      </c>
      <c r="C207" s="238" t="s">
        <v>1551</v>
      </c>
      <c r="D207" s="238" t="s">
        <v>1533</v>
      </c>
      <c r="E207" s="239" t="s">
        <v>751</v>
      </c>
      <c r="F207" s="240">
        <v>3808.7</v>
      </c>
      <c r="G207" s="240"/>
      <c r="H207" s="239" t="s">
        <v>14</v>
      </c>
      <c r="I207" s="241" t="s">
        <v>15</v>
      </c>
      <c r="J207" s="241"/>
      <c r="K207" s="242" t="s">
        <v>8</v>
      </c>
      <c r="L207" s="243">
        <v>6548400.5199999996</v>
      </c>
    </row>
    <row r="208" spans="1:12" ht="61.2" hidden="1" x14ac:dyDescent="0.3">
      <c r="A208" s="237" t="s">
        <v>234</v>
      </c>
      <c r="B208" s="238" t="s">
        <v>1531</v>
      </c>
      <c r="C208" s="238" t="s">
        <v>1552</v>
      </c>
      <c r="D208" s="238" t="s">
        <v>1533</v>
      </c>
      <c r="E208" s="239" t="s">
        <v>751</v>
      </c>
      <c r="F208" s="240">
        <v>58991.7</v>
      </c>
      <c r="G208" s="240"/>
      <c r="H208" s="239" t="s">
        <v>14</v>
      </c>
      <c r="I208" s="241" t="s">
        <v>15</v>
      </c>
      <c r="J208" s="241"/>
      <c r="K208" s="242" t="s">
        <v>8</v>
      </c>
      <c r="L208" s="243">
        <v>6607392.2199999997</v>
      </c>
    </row>
    <row r="209" spans="1:12" ht="61.2" hidden="1" x14ac:dyDescent="0.3">
      <c r="A209" s="237" t="s">
        <v>234</v>
      </c>
      <c r="B209" s="238" t="s">
        <v>1531</v>
      </c>
      <c r="C209" s="238" t="s">
        <v>1553</v>
      </c>
      <c r="D209" s="238" t="s">
        <v>1533</v>
      </c>
      <c r="E209" s="239" t="s">
        <v>751</v>
      </c>
      <c r="F209" s="240">
        <v>47269.599999999999</v>
      </c>
      <c r="G209" s="240"/>
      <c r="H209" s="239" t="s">
        <v>14</v>
      </c>
      <c r="I209" s="241" t="s">
        <v>15</v>
      </c>
      <c r="J209" s="241"/>
      <c r="K209" s="242" t="s">
        <v>8</v>
      </c>
      <c r="L209" s="243">
        <v>6654661.8200000003</v>
      </c>
    </row>
    <row r="210" spans="1:12" ht="61.2" hidden="1" x14ac:dyDescent="0.3">
      <c r="A210" s="237" t="s">
        <v>234</v>
      </c>
      <c r="B210" s="238" t="s">
        <v>1531</v>
      </c>
      <c r="C210" s="238" t="s">
        <v>1554</v>
      </c>
      <c r="D210" s="238" t="s">
        <v>1533</v>
      </c>
      <c r="E210" s="239" t="s">
        <v>751</v>
      </c>
      <c r="F210" s="240">
        <v>18288.5</v>
      </c>
      <c r="G210" s="240"/>
      <c r="H210" s="239" t="s">
        <v>14</v>
      </c>
      <c r="I210" s="241" t="s">
        <v>15</v>
      </c>
      <c r="J210" s="241"/>
      <c r="K210" s="242" t="s">
        <v>8</v>
      </c>
      <c r="L210" s="243">
        <v>6672950.3200000003</v>
      </c>
    </row>
    <row r="211" spans="1:12" ht="61.2" hidden="1" x14ac:dyDescent="0.3">
      <c r="A211" s="237" t="s">
        <v>234</v>
      </c>
      <c r="B211" s="238" t="s">
        <v>1531</v>
      </c>
      <c r="C211" s="238" t="s">
        <v>1544</v>
      </c>
      <c r="D211" s="238" t="s">
        <v>1533</v>
      </c>
      <c r="E211" s="239" t="s">
        <v>751</v>
      </c>
      <c r="F211" s="240">
        <v>4618.5</v>
      </c>
      <c r="G211" s="240"/>
      <c r="H211" s="239" t="s">
        <v>14</v>
      </c>
      <c r="I211" s="241" t="s">
        <v>15</v>
      </c>
      <c r="J211" s="241"/>
      <c r="K211" s="242" t="s">
        <v>8</v>
      </c>
      <c r="L211" s="243">
        <v>6677568.8200000003</v>
      </c>
    </row>
    <row r="212" spans="1:12" ht="61.2" hidden="1" x14ac:dyDescent="0.3">
      <c r="A212" s="237" t="s">
        <v>234</v>
      </c>
      <c r="B212" s="238" t="s">
        <v>1531</v>
      </c>
      <c r="C212" s="238" t="s">
        <v>1555</v>
      </c>
      <c r="D212" s="238" t="s">
        <v>1533</v>
      </c>
      <c r="E212" s="239" t="s">
        <v>751</v>
      </c>
      <c r="F212" s="240">
        <v>5788.9</v>
      </c>
      <c r="G212" s="240"/>
      <c r="H212" s="239" t="s">
        <v>14</v>
      </c>
      <c r="I212" s="241" t="s">
        <v>15</v>
      </c>
      <c r="J212" s="241"/>
      <c r="K212" s="242" t="s">
        <v>8</v>
      </c>
      <c r="L212" s="243">
        <v>6683357.7199999997</v>
      </c>
    </row>
    <row r="213" spans="1:12" ht="61.2" hidden="1" x14ac:dyDescent="0.3">
      <c r="A213" s="237" t="s">
        <v>234</v>
      </c>
      <c r="B213" s="238" t="s">
        <v>1531</v>
      </c>
      <c r="C213" s="238" t="s">
        <v>1556</v>
      </c>
      <c r="D213" s="238" t="s">
        <v>1533</v>
      </c>
      <c r="E213" s="239" t="s">
        <v>751</v>
      </c>
      <c r="F213" s="240">
        <v>5262.8</v>
      </c>
      <c r="G213" s="240"/>
      <c r="H213" s="239" t="s">
        <v>14</v>
      </c>
      <c r="I213" s="241" t="s">
        <v>15</v>
      </c>
      <c r="J213" s="241"/>
      <c r="K213" s="242" t="s">
        <v>8</v>
      </c>
      <c r="L213" s="243">
        <v>6688620.5199999996</v>
      </c>
    </row>
    <row r="214" spans="1:12" ht="61.2" hidden="1" x14ac:dyDescent="0.3">
      <c r="A214" s="237" t="s">
        <v>234</v>
      </c>
      <c r="B214" s="238" t="s">
        <v>1531</v>
      </c>
      <c r="C214" s="238" t="s">
        <v>1557</v>
      </c>
      <c r="D214" s="238" t="s">
        <v>1533</v>
      </c>
      <c r="E214" s="239" t="s">
        <v>751</v>
      </c>
      <c r="F214" s="240">
        <v>2159.4</v>
      </c>
      <c r="G214" s="240"/>
      <c r="H214" s="239" t="s">
        <v>14</v>
      </c>
      <c r="I214" s="241" t="s">
        <v>15</v>
      </c>
      <c r="J214" s="241"/>
      <c r="K214" s="242" t="s">
        <v>8</v>
      </c>
      <c r="L214" s="243">
        <v>6690779.9199999999</v>
      </c>
    </row>
    <row r="215" spans="1:12" ht="61.2" hidden="1" x14ac:dyDescent="0.3">
      <c r="A215" s="237" t="s">
        <v>234</v>
      </c>
      <c r="B215" s="238" t="s">
        <v>1531</v>
      </c>
      <c r="C215" s="238" t="s">
        <v>1558</v>
      </c>
      <c r="D215" s="238" t="s">
        <v>1533</v>
      </c>
      <c r="E215" s="239" t="s">
        <v>751</v>
      </c>
      <c r="F215" s="240">
        <v>2646.6</v>
      </c>
      <c r="G215" s="240"/>
      <c r="H215" s="239" t="s">
        <v>14</v>
      </c>
      <c r="I215" s="241" t="s">
        <v>15</v>
      </c>
      <c r="J215" s="241"/>
      <c r="K215" s="242" t="s">
        <v>8</v>
      </c>
      <c r="L215" s="243">
        <v>6693426.5199999996</v>
      </c>
    </row>
    <row r="216" spans="1:12" ht="61.2" hidden="1" x14ac:dyDescent="0.3">
      <c r="A216" s="237" t="s">
        <v>234</v>
      </c>
      <c r="B216" s="238" t="s">
        <v>1531</v>
      </c>
      <c r="C216" s="238" t="s">
        <v>1559</v>
      </c>
      <c r="D216" s="238" t="s">
        <v>1533</v>
      </c>
      <c r="E216" s="239" t="s">
        <v>751</v>
      </c>
      <c r="F216" s="240">
        <v>5056.8999999999996</v>
      </c>
      <c r="G216" s="240"/>
      <c r="H216" s="239" t="s">
        <v>14</v>
      </c>
      <c r="I216" s="241" t="s">
        <v>15</v>
      </c>
      <c r="J216" s="241"/>
      <c r="K216" s="242" t="s">
        <v>8</v>
      </c>
      <c r="L216" s="243">
        <v>6698483.4199999999</v>
      </c>
    </row>
    <row r="217" spans="1:12" ht="61.2" hidden="1" x14ac:dyDescent="0.3">
      <c r="A217" s="237" t="s">
        <v>234</v>
      </c>
      <c r="B217" s="238" t="s">
        <v>1531</v>
      </c>
      <c r="C217" s="238" t="s">
        <v>1560</v>
      </c>
      <c r="D217" s="238" t="s">
        <v>1533</v>
      </c>
      <c r="E217" s="239" t="s">
        <v>751</v>
      </c>
      <c r="F217" s="240">
        <v>2958.6</v>
      </c>
      <c r="G217" s="240"/>
      <c r="H217" s="239" t="s">
        <v>14</v>
      </c>
      <c r="I217" s="241" t="s">
        <v>15</v>
      </c>
      <c r="J217" s="241"/>
      <c r="K217" s="242" t="s">
        <v>8</v>
      </c>
      <c r="L217" s="243">
        <v>6701442.0199999996</v>
      </c>
    </row>
    <row r="218" spans="1:12" ht="61.2" hidden="1" x14ac:dyDescent="0.3">
      <c r="A218" s="237" t="s">
        <v>234</v>
      </c>
      <c r="B218" s="238" t="s">
        <v>1531</v>
      </c>
      <c r="C218" s="238" t="s">
        <v>1561</v>
      </c>
      <c r="D218" s="238" t="s">
        <v>1533</v>
      </c>
      <c r="E218" s="239" t="s">
        <v>751</v>
      </c>
      <c r="F218" s="240">
        <v>4084</v>
      </c>
      <c r="G218" s="240"/>
      <c r="H218" s="239" t="s">
        <v>14</v>
      </c>
      <c r="I218" s="241" t="s">
        <v>15</v>
      </c>
      <c r="J218" s="241"/>
      <c r="K218" s="242" t="s">
        <v>8</v>
      </c>
      <c r="L218" s="243">
        <v>6705526.0199999996</v>
      </c>
    </row>
    <row r="219" spans="1:12" ht="61.2" hidden="1" x14ac:dyDescent="0.3">
      <c r="A219" s="237" t="s">
        <v>234</v>
      </c>
      <c r="B219" s="238" t="s">
        <v>1531</v>
      </c>
      <c r="C219" s="238" t="s">
        <v>1562</v>
      </c>
      <c r="D219" s="238" t="s">
        <v>1533</v>
      </c>
      <c r="E219" s="239" t="s">
        <v>751</v>
      </c>
      <c r="F219" s="240">
        <v>23458.5</v>
      </c>
      <c r="G219" s="240"/>
      <c r="H219" s="239" t="s">
        <v>14</v>
      </c>
      <c r="I219" s="241" t="s">
        <v>15</v>
      </c>
      <c r="J219" s="241"/>
      <c r="K219" s="242" t="s">
        <v>8</v>
      </c>
      <c r="L219" s="243">
        <v>6728984.5199999996</v>
      </c>
    </row>
    <row r="220" spans="1:12" ht="61.2" hidden="1" x14ac:dyDescent="0.3">
      <c r="A220" s="237" t="s">
        <v>234</v>
      </c>
      <c r="B220" s="238" t="s">
        <v>1531</v>
      </c>
      <c r="C220" s="238" t="s">
        <v>1563</v>
      </c>
      <c r="D220" s="238" t="s">
        <v>1533</v>
      </c>
      <c r="E220" s="239" t="s">
        <v>751</v>
      </c>
      <c r="F220" s="240">
        <v>5901.9</v>
      </c>
      <c r="G220" s="240"/>
      <c r="H220" s="239" t="s">
        <v>14</v>
      </c>
      <c r="I220" s="241" t="s">
        <v>15</v>
      </c>
      <c r="J220" s="241"/>
      <c r="K220" s="242" t="s">
        <v>8</v>
      </c>
      <c r="L220" s="243">
        <v>6734886.4199999999</v>
      </c>
    </row>
    <row r="221" spans="1:12" ht="61.2" hidden="1" x14ac:dyDescent="0.3">
      <c r="A221" s="237" t="s">
        <v>234</v>
      </c>
      <c r="B221" s="238" t="s">
        <v>1531</v>
      </c>
      <c r="C221" s="238" t="s">
        <v>1564</v>
      </c>
      <c r="D221" s="238" t="s">
        <v>1533</v>
      </c>
      <c r="E221" s="239" t="s">
        <v>751</v>
      </c>
      <c r="F221" s="240">
        <v>2766.4</v>
      </c>
      <c r="G221" s="240"/>
      <c r="H221" s="239" t="s">
        <v>14</v>
      </c>
      <c r="I221" s="241" t="s">
        <v>15</v>
      </c>
      <c r="J221" s="241"/>
      <c r="K221" s="242" t="s">
        <v>8</v>
      </c>
      <c r="L221" s="243">
        <v>6737652.8200000003</v>
      </c>
    </row>
    <row r="222" spans="1:12" ht="61.2" hidden="1" x14ac:dyDescent="0.3">
      <c r="A222" s="237" t="s">
        <v>234</v>
      </c>
      <c r="B222" s="238" t="s">
        <v>1531</v>
      </c>
      <c r="C222" s="238" t="s">
        <v>1565</v>
      </c>
      <c r="D222" s="238" t="s">
        <v>1533</v>
      </c>
      <c r="E222" s="239" t="s">
        <v>751</v>
      </c>
      <c r="F222" s="240">
        <v>4653.5</v>
      </c>
      <c r="G222" s="240"/>
      <c r="H222" s="239" t="s">
        <v>14</v>
      </c>
      <c r="I222" s="241" t="s">
        <v>15</v>
      </c>
      <c r="J222" s="241"/>
      <c r="K222" s="242" t="s">
        <v>8</v>
      </c>
      <c r="L222" s="243">
        <v>6742306.3200000003</v>
      </c>
    </row>
    <row r="223" spans="1:12" ht="61.2" hidden="1" x14ac:dyDescent="0.3">
      <c r="A223" s="237" t="s">
        <v>234</v>
      </c>
      <c r="B223" s="238" t="s">
        <v>1531</v>
      </c>
      <c r="C223" s="238" t="s">
        <v>1566</v>
      </c>
      <c r="D223" s="238" t="s">
        <v>1533</v>
      </c>
      <c r="E223" s="239" t="s">
        <v>751</v>
      </c>
      <c r="F223" s="240">
        <v>24760</v>
      </c>
      <c r="G223" s="240"/>
      <c r="H223" s="239" t="s">
        <v>14</v>
      </c>
      <c r="I223" s="241" t="s">
        <v>15</v>
      </c>
      <c r="J223" s="241"/>
      <c r="K223" s="242" t="s">
        <v>8</v>
      </c>
      <c r="L223" s="243">
        <v>6767066.3200000003</v>
      </c>
    </row>
    <row r="224" spans="1:12" ht="61.2" hidden="1" x14ac:dyDescent="0.3">
      <c r="A224" s="237" t="s">
        <v>234</v>
      </c>
      <c r="B224" s="238" t="s">
        <v>1531</v>
      </c>
      <c r="C224" s="238" t="s">
        <v>1567</v>
      </c>
      <c r="D224" s="238" t="s">
        <v>1533</v>
      </c>
      <c r="E224" s="239" t="s">
        <v>751</v>
      </c>
      <c r="F224" s="240">
        <v>3653.9</v>
      </c>
      <c r="G224" s="240"/>
      <c r="H224" s="239" t="s">
        <v>14</v>
      </c>
      <c r="I224" s="241" t="s">
        <v>15</v>
      </c>
      <c r="J224" s="241"/>
      <c r="K224" s="242" t="s">
        <v>8</v>
      </c>
      <c r="L224" s="243">
        <v>6770720.2199999997</v>
      </c>
    </row>
    <row r="225" spans="1:12" ht="61.2" hidden="1" x14ac:dyDescent="0.3">
      <c r="A225" s="237" t="s">
        <v>234</v>
      </c>
      <c r="B225" s="238" t="s">
        <v>1531</v>
      </c>
      <c r="C225" s="238" t="s">
        <v>1568</v>
      </c>
      <c r="D225" s="238" t="s">
        <v>1533</v>
      </c>
      <c r="E225" s="239" t="s">
        <v>751</v>
      </c>
      <c r="F225" s="240">
        <v>3878.1</v>
      </c>
      <c r="G225" s="240"/>
      <c r="H225" s="239" t="s">
        <v>14</v>
      </c>
      <c r="I225" s="241" t="s">
        <v>15</v>
      </c>
      <c r="J225" s="241"/>
      <c r="K225" s="242" t="s">
        <v>8</v>
      </c>
      <c r="L225" s="243">
        <v>6774598.3200000003</v>
      </c>
    </row>
    <row r="226" spans="1:12" ht="61.2" hidden="1" x14ac:dyDescent="0.3">
      <c r="A226" s="237" t="s">
        <v>234</v>
      </c>
      <c r="B226" s="238" t="s">
        <v>1531</v>
      </c>
      <c r="C226" s="238" t="s">
        <v>1568</v>
      </c>
      <c r="D226" s="238" t="s">
        <v>1533</v>
      </c>
      <c r="E226" s="239" t="s">
        <v>751</v>
      </c>
      <c r="F226" s="240">
        <v>3958.9</v>
      </c>
      <c r="G226" s="240"/>
      <c r="H226" s="239" t="s">
        <v>14</v>
      </c>
      <c r="I226" s="241" t="s">
        <v>15</v>
      </c>
      <c r="J226" s="241"/>
      <c r="K226" s="242" t="s">
        <v>8</v>
      </c>
      <c r="L226" s="243">
        <v>6778557.2199999997</v>
      </c>
    </row>
    <row r="227" spans="1:12" ht="61.2" hidden="1" x14ac:dyDescent="0.3">
      <c r="A227" s="237" t="s">
        <v>234</v>
      </c>
      <c r="B227" s="238" t="s">
        <v>1531</v>
      </c>
      <c r="C227" s="238" t="s">
        <v>1569</v>
      </c>
      <c r="D227" s="238" t="s">
        <v>1533</v>
      </c>
      <c r="E227" s="239" t="s">
        <v>751</v>
      </c>
      <c r="F227" s="240">
        <v>32268.799999999999</v>
      </c>
      <c r="G227" s="240"/>
      <c r="H227" s="239" t="s">
        <v>14</v>
      </c>
      <c r="I227" s="241" t="s">
        <v>15</v>
      </c>
      <c r="J227" s="241"/>
      <c r="K227" s="242" t="s">
        <v>8</v>
      </c>
      <c r="L227" s="243">
        <v>6810826.0199999996</v>
      </c>
    </row>
    <row r="228" spans="1:12" ht="61.2" hidden="1" x14ac:dyDescent="0.3">
      <c r="A228" s="237" t="s">
        <v>234</v>
      </c>
      <c r="B228" s="238" t="s">
        <v>1531</v>
      </c>
      <c r="C228" s="238" t="s">
        <v>1570</v>
      </c>
      <c r="D228" s="238" t="s">
        <v>1533</v>
      </c>
      <c r="E228" s="239" t="s">
        <v>751</v>
      </c>
      <c r="F228" s="240">
        <v>19699</v>
      </c>
      <c r="G228" s="240"/>
      <c r="H228" s="239" t="s">
        <v>14</v>
      </c>
      <c r="I228" s="241" t="s">
        <v>15</v>
      </c>
      <c r="J228" s="241"/>
      <c r="K228" s="242" t="s">
        <v>8</v>
      </c>
      <c r="L228" s="243">
        <v>6830525.0199999996</v>
      </c>
    </row>
    <row r="229" spans="1:12" ht="61.2" hidden="1" x14ac:dyDescent="0.3">
      <c r="A229" s="237" t="s">
        <v>234</v>
      </c>
      <c r="B229" s="238" t="s">
        <v>1531</v>
      </c>
      <c r="C229" s="238" t="s">
        <v>1571</v>
      </c>
      <c r="D229" s="238" t="s">
        <v>1533</v>
      </c>
      <c r="E229" s="239" t="s">
        <v>751</v>
      </c>
      <c r="F229" s="240">
        <v>3321.5</v>
      </c>
      <c r="G229" s="240"/>
      <c r="H229" s="239" t="s">
        <v>14</v>
      </c>
      <c r="I229" s="241" t="s">
        <v>15</v>
      </c>
      <c r="J229" s="241"/>
      <c r="K229" s="242" t="s">
        <v>8</v>
      </c>
      <c r="L229" s="243">
        <v>6833846.5199999996</v>
      </c>
    </row>
    <row r="230" spans="1:12" ht="61.2" hidden="1" x14ac:dyDescent="0.3">
      <c r="A230" s="237" t="s">
        <v>234</v>
      </c>
      <c r="B230" s="238" t="s">
        <v>1531</v>
      </c>
      <c r="C230" s="238" t="s">
        <v>1572</v>
      </c>
      <c r="D230" s="238" t="s">
        <v>1533</v>
      </c>
      <c r="E230" s="239" t="s">
        <v>751</v>
      </c>
      <c r="F230" s="240">
        <v>12004.8</v>
      </c>
      <c r="G230" s="240"/>
      <c r="H230" s="239" t="s">
        <v>14</v>
      </c>
      <c r="I230" s="241" t="s">
        <v>15</v>
      </c>
      <c r="J230" s="241"/>
      <c r="K230" s="242" t="s">
        <v>8</v>
      </c>
      <c r="L230" s="243">
        <v>6845851.3200000003</v>
      </c>
    </row>
    <row r="231" spans="1:12" ht="61.2" hidden="1" x14ac:dyDescent="0.3">
      <c r="A231" s="237" t="s">
        <v>234</v>
      </c>
      <c r="B231" s="238" t="s">
        <v>1531</v>
      </c>
      <c r="C231" s="238" t="s">
        <v>1573</v>
      </c>
      <c r="D231" s="238" t="s">
        <v>1533</v>
      </c>
      <c r="E231" s="239" t="s">
        <v>751</v>
      </c>
      <c r="F231" s="240">
        <v>3956.6</v>
      </c>
      <c r="G231" s="240"/>
      <c r="H231" s="239" t="s">
        <v>14</v>
      </c>
      <c r="I231" s="241" t="s">
        <v>15</v>
      </c>
      <c r="J231" s="241"/>
      <c r="K231" s="242" t="s">
        <v>8</v>
      </c>
      <c r="L231" s="243">
        <v>6849807.9199999999</v>
      </c>
    </row>
    <row r="232" spans="1:12" ht="61.2" hidden="1" x14ac:dyDescent="0.3">
      <c r="A232" s="237" t="s">
        <v>234</v>
      </c>
      <c r="B232" s="238" t="s">
        <v>1531</v>
      </c>
      <c r="C232" s="238" t="s">
        <v>1573</v>
      </c>
      <c r="D232" s="238" t="s">
        <v>1533</v>
      </c>
      <c r="E232" s="239" t="s">
        <v>751</v>
      </c>
      <c r="F232" s="240">
        <v>3996.3</v>
      </c>
      <c r="G232" s="240"/>
      <c r="H232" s="239" t="s">
        <v>14</v>
      </c>
      <c r="I232" s="241" t="s">
        <v>15</v>
      </c>
      <c r="J232" s="241"/>
      <c r="K232" s="242" t="s">
        <v>8</v>
      </c>
      <c r="L232" s="243">
        <v>6853804.2199999997</v>
      </c>
    </row>
    <row r="233" spans="1:12" ht="61.2" hidden="1" x14ac:dyDescent="0.3">
      <c r="A233" s="237" t="s">
        <v>234</v>
      </c>
      <c r="B233" s="238" t="s">
        <v>1531</v>
      </c>
      <c r="C233" s="238" t="s">
        <v>1574</v>
      </c>
      <c r="D233" s="238" t="s">
        <v>1533</v>
      </c>
      <c r="E233" s="239" t="s">
        <v>751</v>
      </c>
      <c r="F233" s="240">
        <v>15683.2</v>
      </c>
      <c r="G233" s="240"/>
      <c r="H233" s="239" t="s">
        <v>14</v>
      </c>
      <c r="I233" s="241" t="s">
        <v>15</v>
      </c>
      <c r="J233" s="241"/>
      <c r="K233" s="242" t="s">
        <v>8</v>
      </c>
      <c r="L233" s="243">
        <v>6869487.4199999999</v>
      </c>
    </row>
    <row r="234" spans="1:12" ht="61.2" hidden="1" x14ac:dyDescent="0.3">
      <c r="A234" s="237" t="s">
        <v>234</v>
      </c>
      <c r="B234" s="238" t="s">
        <v>1531</v>
      </c>
      <c r="C234" s="238" t="s">
        <v>1575</v>
      </c>
      <c r="D234" s="238" t="s">
        <v>1533</v>
      </c>
      <c r="E234" s="239" t="s">
        <v>751</v>
      </c>
      <c r="F234" s="240">
        <v>3414.5</v>
      </c>
      <c r="G234" s="240"/>
      <c r="H234" s="239" t="s">
        <v>14</v>
      </c>
      <c r="I234" s="241" t="s">
        <v>15</v>
      </c>
      <c r="J234" s="241"/>
      <c r="K234" s="242" t="s">
        <v>8</v>
      </c>
      <c r="L234" s="243">
        <v>6872901.9199999999</v>
      </c>
    </row>
    <row r="235" spans="1:12" ht="61.2" hidden="1" x14ac:dyDescent="0.3">
      <c r="A235" s="237" t="s">
        <v>234</v>
      </c>
      <c r="B235" s="238" t="s">
        <v>1531</v>
      </c>
      <c r="C235" s="238" t="s">
        <v>1576</v>
      </c>
      <c r="D235" s="238" t="s">
        <v>1533</v>
      </c>
      <c r="E235" s="239" t="s">
        <v>751</v>
      </c>
      <c r="F235" s="240">
        <v>2101.5</v>
      </c>
      <c r="G235" s="240"/>
      <c r="H235" s="239" t="s">
        <v>14</v>
      </c>
      <c r="I235" s="241" t="s">
        <v>15</v>
      </c>
      <c r="J235" s="241"/>
      <c r="K235" s="242" t="s">
        <v>8</v>
      </c>
      <c r="L235" s="243">
        <v>6875003.4199999999</v>
      </c>
    </row>
    <row r="236" spans="1:12" ht="61.2" hidden="1" x14ac:dyDescent="0.3">
      <c r="A236" s="237" t="s">
        <v>234</v>
      </c>
      <c r="B236" s="238" t="s">
        <v>1531</v>
      </c>
      <c r="C236" s="238" t="s">
        <v>1577</v>
      </c>
      <c r="D236" s="238" t="s">
        <v>1533</v>
      </c>
      <c r="E236" s="239" t="s">
        <v>751</v>
      </c>
      <c r="F236" s="240">
        <v>2624.5</v>
      </c>
      <c r="G236" s="240"/>
      <c r="H236" s="239" t="s">
        <v>14</v>
      </c>
      <c r="I236" s="241" t="s">
        <v>15</v>
      </c>
      <c r="J236" s="241"/>
      <c r="K236" s="242" t="s">
        <v>8</v>
      </c>
      <c r="L236" s="243">
        <v>6877627.9199999999</v>
      </c>
    </row>
    <row r="237" spans="1:12" ht="61.2" hidden="1" x14ac:dyDescent="0.3">
      <c r="A237" s="237" t="s">
        <v>234</v>
      </c>
      <c r="B237" s="238" t="s">
        <v>1531</v>
      </c>
      <c r="C237" s="238" t="s">
        <v>1578</v>
      </c>
      <c r="D237" s="238" t="s">
        <v>1533</v>
      </c>
      <c r="E237" s="239" t="s">
        <v>751</v>
      </c>
      <c r="F237" s="240">
        <v>1779.7</v>
      </c>
      <c r="G237" s="240"/>
      <c r="H237" s="239" t="s">
        <v>14</v>
      </c>
      <c r="I237" s="241" t="s">
        <v>15</v>
      </c>
      <c r="J237" s="241"/>
      <c r="K237" s="242" t="s">
        <v>8</v>
      </c>
      <c r="L237" s="243">
        <v>6879407.6200000001</v>
      </c>
    </row>
    <row r="238" spans="1:12" ht="61.2" hidden="1" x14ac:dyDescent="0.3">
      <c r="A238" s="237" t="s">
        <v>234</v>
      </c>
      <c r="B238" s="238" t="s">
        <v>1531</v>
      </c>
      <c r="C238" s="238" t="s">
        <v>1579</v>
      </c>
      <c r="D238" s="238" t="s">
        <v>1533</v>
      </c>
      <c r="E238" s="239" t="s">
        <v>751</v>
      </c>
      <c r="F238" s="240">
        <v>1592.1</v>
      </c>
      <c r="G238" s="240"/>
      <c r="H238" s="239" t="s">
        <v>14</v>
      </c>
      <c r="I238" s="241" t="s">
        <v>15</v>
      </c>
      <c r="J238" s="241"/>
      <c r="K238" s="242" t="s">
        <v>8</v>
      </c>
      <c r="L238" s="243">
        <v>6880999.7199999997</v>
      </c>
    </row>
    <row r="239" spans="1:12" ht="61.2" hidden="1" x14ac:dyDescent="0.3">
      <c r="A239" s="237" t="s">
        <v>234</v>
      </c>
      <c r="B239" s="238" t="s">
        <v>1531</v>
      </c>
      <c r="C239" s="238" t="s">
        <v>1580</v>
      </c>
      <c r="D239" s="238" t="s">
        <v>1533</v>
      </c>
      <c r="E239" s="239" t="s">
        <v>751</v>
      </c>
      <c r="F239" s="240">
        <v>16579.8</v>
      </c>
      <c r="G239" s="240"/>
      <c r="H239" s="239" t="s">
        <v>14</v>
      </c>
      <c r="I239" s="241" t="s">
        <v>15</v>
      </c>
      <c r="J239" s="241"/>
      <c r="K239" s="242" t="s">
        <v>8</v>
      </c>
      <c r="L239" s="243">
        <v>6897579.5199999996</v>
      </c>
    </row>
    <row r="240" spans="1:12" ht="61.2" hidden="1" x14ac:dyDescent="0.3">
      <c r="A240" s="237" t="s">
        <v>234</v>
      </c>
      <c r="B240" s="238" t="s">
        <v>1531</v>
      </c>
      <c r="C240" s="238" t="s">
        <v>1581</v>
      </c>
      <c r="D240" s="238" t="s">
        <v>1533</v>
      </c>
      <c r="E240" s="239" t="s">
        <v>751</v>
      </c>
      <c r="F240" s="240">
        <v>2504.8000000000002</v>
      </c>
      <c r="G240" s="240"/>
      <c r="H240" s="239" t="s">
        <v>14</v>
      </c>
      <c r="I240" s="241" t="s">
        <v>15</v>
      </c>
      <c r="J240" s="241"/>
      <c r="K240" s="242" t="s">
        <v>8</v>
      </c>
      <c r="L240" s="243">
        <v>6900084.3200000003</v>
      </c>
    </row>
    <row r="241" spans="1:12" ht="61.2" hidden="1" x14ac:dyDescent="0.3">
      <c r="A241" s="237" t="s">
        <v>234</v>
      </c>
      <c r="B241" s="238" t="s">
        <v>1531</v>
      </c>
      <c r="C241" s="238" t="s">
        <v>1582</v>
      </c>
      <c r="D241" s="238" t="s">
        <v>1533</v>
      </c>
      <c r="E241" s="239" t="s">
        <v>751</v>
      </c>
      <c r="F241" s="240">
        <v>2322.6</v>
      </c>
      <c r="G241" s="240"/>
      <c r="H241" s="239" t="s">
        <v>14</v>
      </c>
      <c r="I241" s="241" t="s">
        <v>15</v>
      </c>
      <c r="J241" s="241"/>
      <c r="K241" s="242" t="s">
        <v>8</v>
      </c>
      <c r="L241" s="243">
        <v>6902406.9199999999</v>
      </c>
    </row>
    <row r="242" spans="1:12" ht="61.2" hidden="1" x14ac:dyDescent="0.3">
      <c r="A242" s="237" t="s">
        <v>234</v>
      </c>
      <c r="B242" s="238" t="s">
        <v>1531</v>
      </c>
      <c r="C242" s="238" t="s">
        <v>1583</v>
      </c>
      <c r="D242" s="238" t="s">
        <v>1533</v>
      </c>
      <c r="E242" s="239" t="s">
        <v>751</v>
      </c>
      <c r="F242" s="240">
        <v>4653.5</v>
      </c>
      <c r="G242" s="240"/>
      <c r="H242" s="239" t="s">
        <v>14</v>
      </c>
      <c r="I242" s="241" t="s">
        <v>15</v>
      </c>
      <c r="J242" s="241"/>
      <c r="K242" s="242" t="s">
        <v>8</v>
      </c>
      <c r="L242" s="243">
        <v>6907060.4199999999</v>
      </c>
    </row>
    <row r="243" spans="1:12" ht="61.2" hidden="1" x14ac:dyDescent="0.3">
      <c r="A243" s="237" t="s">
        <v>234</v>
      </c>
      <c r="B243" s="238" t="s">
        <v>1531</v>
      </c>
      <c r="C243" s="238" t="s">
        <v>1584</v>
      </c>
      <c r="D243" s="238" t="s">
        <v>1533</v>
      </c>
      <c r="E243" s="239" t="s">
        <v>751</v>
      </c>
      <c r="F243" s="240">
        <v>5633.4</v>
      </c>
      <c r="G243" s="240"/>
      <c r="H243" s="239" t="s">
        <v>14</v>
      </c>
      <c r="I243" s="241" t="s">
        <v>15</v>
      </c>
      <c r="J243" s="241"/>
      <c r="K243" s="242" t="s">
        <v>8</v>
      </c>
      <c r="L243" s="243">
        <v>6912693.8200000003</v>
      </c>
    </row>
    <row r="244" spans="1:12" ht="61.2" hidden="1" x14ac:dyDescent="0.3">
      <c r="A244" s="237" t="s">
        <v>234</v>
      </c>
      <c r="B244" s="238" t="s">
        <v>1531</v>
      </c>
      <c r="C244" s="238" t="s">
        <v>1585</v>
      </c>
      <c r="D244" s="238" t="s">
        <v>1533</v>
      </c>
      <c r="E244" s="239" t="s">
        <v>751</v>
      </c>
      <c r="F244" s="240">
        <v>4053.5</v>
      </c>
      <c r="G244" s="240"/>
      <c r="H244" s="239" t="s">
        <v>14</v>
      </c>
      <c r="I244" s="241" t="s">
        <v>15</v>
      </c>
      <c r="J244" s="241"/>
      <c r="K244" s="242" t="s">
        <v>8</v>
      </c>
      <c r="L244" s="243">
        <v>6916747.3200000003</v>
      </c>
    </row>
    <row r="245" spans="1:12" ht="61.2" hidden="1" x14ac:dyDescent="0.3">
      <c r="A245" s="237" t="s">
        <v>234</v>
      </c>
      <c r="B245" s="238" t="s">
        <v>1531</v>
      </c>
      <c r="C245" s="238" t="s">
        <v>1586</v>
      </c>
      <c r="D245" s="238" t="s">
        <v>1533</v>
      </c>
      <c r="E245" s="239" t="s">
        <v>751</v>
      </c>
      <c r="F245" s="240">
        <v>2996.6</v>
      </c>
      <c r="G245" s="240"/>
      <c r="H245" s="239" t="s">
        <v>14</v>
      </c>
      <c r="I245" s="241" t="s">
        <v>15</v>
      </c>
      <c r="J245" s="241"/>
      <c r="K245" s="242" t="s">
        <v>8</v>
      </c>
      <c r="L245" s="243">
        <v>6919743.9199999999</v>
      </c>
    </row>
    <row r="246" spans="1:12" ht="61.2" hidden="1" x14ac:dyDescent="0.3">
      <c r="A246" s="237" t="s">
        <v>234</v>
      </c>
      <c r="B246" s="238" t="s">
        <v>1531</v>
      </c>
      <c r="C246" s="238" t="s">
        <v>1587</v>
      </c>
      <c r="D246" s="238" t="s">
        <v>1533</v>
      </c>
      <c r="E246" s="239" t="s">
        <v>751</v>
      </c>
      <c r="F246" s="240">
        <v>4160.2</v>
      </c>
      <c r="G246" s="240"/>
      <c r="H246" s="239" t="s">
        <v>14</v>
      </c>
      <c r="I246" s="241" t="s">
        <v>15</v>
      </c>
      <c r="J246" s="241"/>
      <c r="K246" s="242" t="s">
        <v>8</v>
      </c>
      <c r="L246" s="243">
        <v>6923904.1200000001</v>
      </c>
    </row>
    <row r="247" spans="1:12" ht="61.2" hidden="1" x14ac:dyDescent="0.3">
      <c r="A247" s="237" t="s">
        <v>234</v>
      </c>
      <c r="B247" s="238" t="s">
        <v>1531</v>
      </c>
      <c r="C247" s="238" t="s">
        <v>1588</v>
      </c>
      <c r="D247" s="238" t="s">
        <v>1533</v>
      </c>
      <c r="E247" s="239" t="s">
        <v>751</v>
      </c>
      <c r="F247" s="240">
        <v>22044</v>
      </c>
      <c r="G247" s="240"/>
      <c r="H247" s="239" t="s">
        <v>14</v>
      </c>
      <c r="I247" s="241" t="s">
        <v>15</v>
      </c>
      <c r="J247" s="241"/>
      <c r="K247" s="242" t="s">
        <v>8</v>
      </c>
      <c r="L247" s="243">
        <v>6945948.1200000001</v>
      </c>
    </row>
    <row r="248" spans="1:12" ht="61.2" hidden="1" x14ac:dyDescent="0.3">
      <c r="A248" s="237" t="s">
        <v>234</v>
      </c>
      <c r="B248" s="238" t="s">
        <v>1531</v>
      </c>
      <c r="C248" s="238" t="s">
        <v>1589</v>
      </c>
      <c r="D248" s="238" t="s">
        <v>1533</v>
      </c>
      <c r="E248" s="239" t="s">
        <v>751</v>
      </c>
      <c r="F248" s="240">
        <v>6938.8</v>
      </c>
      <c r="G248" s="240"/>
      <c r="H248" s="239" t="s">
        <v>14</v>
      </c>
      <c r="I248" s="241" t="s">
        <v>15</v>
      </c>
      <c r="J248" s="241"/>
      <c r="K248" s="242" t="s">
        <v>8</v>
      </c>
      <c r="L248" s="243">
        <v>6952886.9199999999</v>
      </c>
    </row>
    <row r="249" spans="1:12" ht="61.2" hidden="1" x14ac:dyDescent="0.3">
      <c r="A249" s="237" t="s">
        <v>234</v>
      </c>
      <c r="B249" s="238" t="s">
        <v>1531</v>
      </c>
      <c r="C249" s="238" t="s">
        <v>1590</v>
      </c>
      <c r="D249" s="238" t="s">
        <v>1533</v>
      </c>
      <c r="E249" s="239" t="s">
        <v>751</v>
      </c>
      <c r="F249" s="240">
        <v>3650.1</v>
      </c>
      <c r="G249" s="240"/>
      <c r="H249" s="239" t="s">
        <v>14</v>
      </c>
      <c r="I249" s="241" t="s">
        <v>15</v>
      </c>
      <c r="J249" s="241"/>
      <c r="K249" s="242" t="s">
        <v>8</v>
      </c>
      <c r="L249" s="243">
        <v>6956537.0199999996</v>
      </c>
    </row>
    <row r="250" spans="1:12" ht="61.2" hidden="1" x14ac:dyDescent="0.3">
      <c r="A250" s="237" t="s">
        <v>234</v>
      </c>
      <c r="B250" s="238" t="s">
        <v>1531</v>
      </c>
      <c r="C250" s="238" t="s">
        <v>1591</v>
      </c>
      <c r="D250" s="238" t="s">
        <v>1533</v>
      </c>
      <c r="E250" s="239" t="s">
        <v>751</v>
      </c>
      <c r="F250" s="240">
        <v>3451.1</v>
      </c>
      <c r="G250" s="240"/>
      <c r="H250" s="239" t="s">
        <v>14</v>
      </c>
      <c r="I250" s="241" t="s">
        <v>15</v>
      </c>
      <c r="J250" s="241"/>
      <c r="K250" s="242" t="s">
        <v>8</v>
      </c>
      <c r="L250" s="243">
        <v>6959988.1200000001</v>
      </c>
    </row>
    <row r="251" spans="1:12" ht="61.2" hidden="1" x14ac:dyDescent="0.3">
      <c r="A251" s="237" t="s">
        <v>234</v>
      </c>
      <c r="B251" s="238" t="s">
        <v>1531</v>
      </c>
      <c r="C251" s="238" t="s">
        <v>1592</v>
      </c>
      <c r="D251" s="238" t="s">
        <v>1533</v>
      </c>
      <c r="E251" s="239" t="s">
        <v>751</v>
      </c>
      <c r="F251" s="240">
        <v>9003.6</v>
      </c>
      <c r="G251" s="240"/>
      <c r="H251" s="239" t="s">
        <v>14</v>
      </c>
      <c r="I251" s="241" t="s">
        <v>15</v>
      </c>
      <c r="J251" s="241"/>
      <c r="K251" s="242" t="s">
        <v>8</v>
      </c>
      <c r="L251" s="243">
        <v>6968991.7199999997</v>
      </c>
    </row>
    <row r="252" spans="1:12" ht="61.2" hidden="1" x14ac:dyDescent="0.3">
      <c r="A252" s="237" t="s">
        <v>234</v>
      </c>
      <c r="B252" s="238" t="s">
        <v>1531</v>
      </c>
      <c r="C252" s="238" t="s">
        <v>1593</v>
      </c>
      <c r="D252" s="238" t="s">
        <v>1533</v>
      </c>
      <c r="E252" s="239" t="s">
        <v>751</v>
      </c>
      <c r="F252" s="240">
        <v>13226.4</v>
      </c>
      <c r="G252" s="240"/>
      <c r="H252" s="239" t="s">
        <v>14</v>
      </c>
      <c r="I252" s="241" t="s">
        <v>15</v>
      </c>
      <c r="J252" s="241"/>
      <c r="K252" s="242" t="s">
        <v>8</v>
      </c>
      <c r="L252" s="243">
        <v>6982218.1200000001</v>
      </c>
    </row>
    <row r="253" spans="1:12" ht="61.2" hidden="1" x14ac:dyDescent="0.3">
      <c r="A253" s="237" t="s">
        <v>234</v>
      </c>
      <c r="B253" s="238" t="s">
        <v>1531</v>
      </c>
      <c r="C253" s="238" t="s">
        <v>1594</v>
      </c>
      <c r="D253" s="238" t="s">
        <v>1533</v>
      </c>
      <c r="E253" s="239" t="s">
        <v>751</v>
      </c>
      <c r="F253" s="240">
        <v>6039</v>
      </c>
      <c r="G253" s="240"/>
      <c r="H253" s="239" t="s">
        <v>14</v>
      </c>
      <c r="I253" s="241" t="s">
        <v>15</v>
      </c>
      <c r="J253" s="241"/>
      <c r="K253" s="242" t="s">
        <v>8</v>
      </c>
      <c r="L253" s="243">
        <v>6988257.1200000001</v>
      </c>
    </row>
    <row r="254" spans="1:12" ht="61.2" hidden="1" x14ac:dyDescent="0.3">
      <c r="A254" s="237" t="s">
        <v>234</v>
      </c>
      <c r="B254" s="238" t="s">
        <v>1531</v>
      </c>
      <c r="C254" s="238" t="s">
        <v>1595</v>
      </c>
      <c r="D254" s="238" t="s">
        <v>1533</v>
      </c>
      <c r="E254" s="239" t="s">
        <v>751</v>
      </c>
      <c r="F254" s="240">
        <v>3602.1</v>
      </c>
      <c r="G254" s="240"/>
      <c r="H254" s="239" t="s">
        <v>14</v>
      </c>
      <c r="I254" s="241" t="s">
        <v>15</v>
      </c>
      <c r="J254" s="241"/>
      <c r="K254" s="242" t="s">
        <v>8</v>
      </c>
      <c r="L254" s="243">
        <v>6991859.2199999997</v>
      </c>
    </row>
    <row r="255" spans="1:12" ht="61.2" hidden="1" x14ac:dyDescent="0.3">
      <c r="A255" s="237" t="s">
        <v>234</v>
      </c>
      <c r="B255" s="238" t="s">
        <v>1531</v>
      </c>
      <c r="C255" s="238" t="s">
        <v>1596</v>
      </c>
      <c r="D255" s="238" t="s">
        <v>1533</v>
      </c>
      <c r="E255" s="239" t="s">
        <v>751</v>
      </c>
      <c r="F255" s="240">
        <v>1762.9</v>
      </c>
      <c r="G255" s="240"/>
      <c r="H255" s="239" t="s">
        <v>14</v>
      </c>
      <c r="I255" s="241" t="s">
        <v>15</v>
      </c>
      <c r="J255" s="241"/>
      <c r="K255" s="242" t="s">
        <v>8</v>
      </c>
      <c r="L255" s="243">
        <v>6993622.1200000001</v>
      </c>
    </row>
    <row r="256" spans="1:12" ht="61.2" hidden="1" x14ac:dyDescent="0.3">
      <c r="A256" s="237" t="s">
        <v>234</v>
      </c>
      <c r="B256" s="238" t="s">
        <v>1531</v>
      </c>
      <c r="C256" s="238" t="s">
        <v>1597</v>
      </c>
      <c r="D256" s="238" t="s">
        <v>1533</v>
      </c>
      <c r="E256" s="239" t="s">
        <v>751</v>
      </c>
      <c r="F256" s="240">
        <v>3977.2</v>
      </c>
      <c r="G256" s="240"/>
      <c r="H256" s="239" t="s">
        <v>14</v>
      </c>
      <c r="I256" s="241" t="s">
        <v>15</v>
      </c>
      <c r="J256" s="241"/>
      <c r="K256" s="242" t="s">
        <v>8</v>
      </c>
      <c r="L256" s="243">
        <v>6997599.3200000003</v>
      </c>
    </row>
    <row r="257" spans="1:12" ht="51" hidden="1" x14ac:dyDescent="0.3">
      <c r="A257" s="237" t="s">
        <v>234</v>
      </c>
      <c r="B257" s="238" t="s">
        <v>1531</v>
      </c>
      <c r="C257" s="238" t="s">
        <v>1598</v>
      </c>
      <c r="D257" s="238" t="s">
        <v>1533</v>
      </c>
      <c r="E257" s="239" t="s">
        <v>751</v>
      </c>
      <c r="F257" s="240">
        <v>25392</v>
      </c>
      <c r="G257" s="240"/>
      <c r="H257" s="239" t="s">
        <v>14</v>
      </c>
      <c r="I257" s="241" t="s">
        <v>15</v>
      </c>
      <c r="J257" s="241"/>
      <c r="K257" s="242" t="s">
        <v>8</v>
      </c>
      <c r="L257" s="243">
        <v>7022991.3200000003</v>
      </c>
    </row>
    <row r="258" spans="1:12" ht="51" hidden="1" x14ac:dyDescent="0.3">
      <c r="A258" s="237" t="s">
        <v>419</v>
      </c>
      <c r="B258" s="238" t="s">
        <v>1599</v>
      </c>
      <c r="C258" s="238" t="s">
        <v>1600</v>
      </c>
      <c r="D258" s="238" t="s">
        <v>1601</v>
      </c>
      <c r="E258" s="239" t="s">
        <v>751</v>
      </c>
      <c r="F258" s="240">
        <v>153660</v>
      </c>
      <c r="G258" s="240"/>
      <c r="H258" s="239" t="s">
        <v>14</v>
      </c>
      <c r="I258" s="241" t="s">
        <v>15</v>
      </c>
      <c r="J258" s="241"/>
      <c r="K258" s="242" t="s">
        <v>8</v>
      </c>
      <c r="L258" s="243">
        <v>245550.01</v>
      </c>
    </row>
    <row r="259" spans="1:12" ht="51" hidden="1" x14ac:dyDescent="0.3">
      <c r="A259" s="237" t="s">
        <v>419</v>
      </c>
      <c r="B259" s="238" t="s">
        <v>1602</v>
      </c>
      <c r="C259" s="238" t="s">
        <v>1603</v>
      </c>
      <c r="D259" s="238" t="s">
        <v>1604</v>
      </c>
      <c r="E259" s="239" t="s">
        <v>751</v>
      </c>
      <c r="F259" s="240">
        <v>101997</v>
      </c>
      <c r="G259" s="240"/>
      <c r="H259" s="239" t="s">
        <v>14</v>
      </c>
      <c r="I259" s="241" t="s">
        <v>15</v>
      </c>
      <c r="J259" s="241"/>
      <c r="K259" s="242" t="s">
        <v>8</v>
      </c>
      <c r="L259" s="243">
        <v>347547.01</v>
      </c>
    </row>
    <row r="260" spans="1:12" ht="51" hidden="1" x14ac:dyDescent="0.3">
      <c r="A260" s="237" t="s">
        <v>419</v>
      </c>
      <c r="B260" s="238" t="s">
        <v>1605</v>
      </c>
      <c r="C260" s="238" t="s">
        <v>1606</v>
      </c>
      <c r="D260" s="238" t="s">
        <v>1604</v>
      </c>
      <c r="E260" s="239" t="s">
        <v>751</v>
      </c>
      <c r="F260" s="240">
        <v>14773.5</v>
      </c>
      <c r="G260" s="240"/>
      <c r="H260" s="239" t="s">
        <v>14</v>
      </c>
      <c r="I260" s="241" t="s">
        <v>15</v>
      </c>
      <c r="J260" s="241"/>
      <c r="K260" s="242" t="s">
        <v>8</v>
      </c>
      <c r="L260" s="243">
        <v>362320.51</v>
      </c>
    </row>
    <row r="261" spans="1:12" ht="51" hidden="1" x14ac:dyDescent="0.3">
      <c r="A261" s="237" t="s">
        <v>419</v>
      </c>
      <c r="B261" s="238" t="s">
        <v>1607</v>
      </c>
      <c r="C261" s="238" t="s">
        <v>1608</v>
      </c>
      <c r="D261" s="238" t="s">
        <v>1603</v>
      </c>
      <c r="E261" s="239" t="s">
        <v>751</v>
      </c>
      <c r="F261" s="245" t="s">
        <v>15</v>
      </c>
      <c r="G261" s="245"/>
      <c r="H261" s="239" t="s">
        <v>751</v>
      </c>
      <c r="I261" s="246">
        <v>56665</v>
      </c>
      <c r="J261" s="246"/>
      <c r="K261" s="242" t="s">
        <v>8</v>
      </c>
      <c r="L261" s="243">
        <v>305655.51</v>
      </c>
    </row>
    <row r="262" spans="1:12" ht="51" hidden="1" x14ac:dyDescent="0.3">
      <c r="A262" s="237" t="s">
        <v>419</v>
      </c>
      <c r="B262" s="238" t="s">
        <v>1607</v>
      </c>
      <c r="C262" s="238" t="s">
        <v>1608</v>
      </c>
      <c r="D262" s="238" t="s">
        <v>1603</v>
      </c>
      <c r="E262" s="239" t="s">
        <v>751</v>
      </c>
      <c r="F262" s="240">
        <v>56665</v>
      </c>
      <c r="G262" s="240"/>
      <c r="H262" s="239" t="s">
        <v>751</v>
      </c>
      <c r="I262" s="241" t="s">
        <v>15</v>
      </c>
      <c r="J262" s="241"/>
      <c r="K262" s="242" t="s">
        <v>8</v>
      </c>
      <c r="L262" s="243">
        <v>7534302.4900000002</v>
      </c>
    </row>
    <row r="263" spans="1:12" ht="51" hidden="1" x14ac:dyDescent="0.3">
      <c r="A263" s="237" t="s">
        <v>419</v>
      </c>
      <c r="B263" s="238" t="s">
        <v>1607</v>
      </c>
      <c r="C263" s="238" t="s">
        <v>1609</v>
      </c>
      <c r="D263" s="238" t="s">
        <v>1606</v>
      </c>
      <c r="E263" s="239" t="s">
        <v>751</v>
      </c>
      <c r="F263" s="245" t="s">
        <v>15</v>
      </c>
      <c r="G263" s="245"/>
      <c r="H263" s="239" t="s">
        <v>751</v>
      </c>
      <c r="I263" s="246">
        <v>7222.6</v>
      </c>
      <c r="J263" s="246"/>
      <c r="K263" s="242" t="s">
        <v>8</v>
      </c>
      <c r="L263" s="243">
        <v>298432.90999999997</v>
      </c>
    </row>
    <row r="264" spans="1:12" ht="51" hidden="1" x14ac:dyDescent="0.3">
      <c r="A264" s="237" t="s">
        <v>419</v>
      </c>
      <c r="B264" s="238" t="s">
        <v>1607</v>
      </c>
      <c r="C264" s="238" t="s">
        <v>1609</v>
      </c>
      <c r="D264" s="238" t="s">
        <v>1606</v>
      </c>
      <c r="E264" s="239" t="s">
        <v>751</v>
      </c>
      <c r="F264" s="240">
        <v>7222.6</v>
      </c>
      <c r="G264" s="240"/>
      <c r="H264" s="239" t="s">
        <v>751</v>
      </c>
      <c r="I264" s="241" t="s">
        <v>15</v>
      </c>
      <c r="J264" s="241"/>
      <c r="K264" s="242" t="s">
        <v>8</v>
      </c>
      <c r="L264" s="243">
        <v>7541525.0899999999</v>
      </c>
    </row>
    <row r="265" spans="1:12" ht="51" hidden="1" x14ac:dyDescent="0.3">
      <c r="A265" s="237" t="s">
        <v>419</v>
      </c>
      <c r="B265" s="238" t="s">
        <v>1610</v>
      </c>
      <c r="C265" s="238" t="s">
        <v>1611</v>
      </c>
      <c r="D265" s="238" t="s">
        <v>1603</v>
      </c>
      <c r="E265" s="239" t="s">
        <v>751</v>
      </c>
      <c r="F265" s="245" t="s">
        <v>15</v>
      </c>
      <c r="G265" s="245"/>
      <c r="H265" s="239" t="s">
        <v>751</v>
      </c>
      <c r="I265" s="246">
        <v>33999</v>
      </c>
      <c r="J265" s="246"/>
      <c r="K265" s="242" t="s">
        <v>8</v>
      </c>
      <c r="L265" s="243">
        <v>264433.90999999997</v>
      </c>
    </row>
    <row r="266" spans="1:12" ht="51" hidden="1" x14ac:dyDescent="0.3">
      <c r="A266" s="237" t="s">
        <v>419</v>
      </c>
      <c r="B266" s="238" t="s">
        <v>1610</v>
      </c>
      <c r="C266" s="238" t="s">
        <v>1611</v>
      </c>
      <c r="D266" s="238" t="s">
        <v>1603</v>
      </c>
      <c r="E266" s="239" t="s">
        <v>751</v>
      </c>
      <c r="F266" s="240">
        <v>33999</v>
      </c>
      <c r="G266" s="240"/>
      <c r="H266" s="239" t="s">
        <v>751</v>
      </c>
      <c r="I266" s="241" t="s">
        <v>15</v>
      </c>
      <c r="J266" s="241"/>
      <c r="K266" s="242" t="s">
        <v>8</v>
      </c>
      <c r="L266" s="243">
        <v>164260.21</v>
      </c>
    </row>
    <row r="267" spans="1:12" ht="51" hidden="1" x14ac:dyDescent="0.3">
      <c r="A267" s="237" t="s">
        <v>419</v>
      </c>
      <c r="B267" s="238" t="s">
        <v>1610</v>
      </c>
      <c r="C267" s="238" t="s">
        <v>1612</v>
      </c>
      <c r="D267" s="238" t="s">
        <v>1606</v>
      </c>
      <c r="E267" s="239" t="s">
        <v>751</v>
      </c>
      <c r="F267" s="245" t="s">
        <v>15</v>
      </c>
      <c r="G267" s="245"/>
      <c r="H267" s="239" t="s">
        <v>751</v>
      </c>
      <c r="I267" s="246">
        <v>4924.5</v>
      </c>
      <c r="J267" s="246"/>
      <c r="K267" s="242" t="s">
        <v>8</v>
      </c>
      <c r="L267" s="243">
        <v>259509.41</v>
      </c>
    </row>
    <row r="268" spans="1:12" ht="51" hidden="1" x14ac:dyDescent="0.3">
      <c r="A268" s="237" t="s">
        <v>419</v>
      </c>
      <c r="B268" s="238" t="s">
        <v>1610</v>
      </c>
      <c r="C268" s="238" t="s">
        <v>1612</v>
      </c>
      <c r="D268" s="238" t="s">
        <v>1606</v>
      </c>
      <c r="E268" s="239" t="s">
        <v>751</v>
      </c>
      <c r="F268" s="240">
        <v>4924.5</v>
      </c>
      <c r="G268" s="240"/>
      <c r="H268" s="239" t="s">
        <v>751</v>
      </c>
      <c r="I268" s="241" t="s">
        <v>15</v>
      </c>
      <c r="J268" s="241"/>
      <c r="K268" s="242" t="s">
        <v>8</v>
      </c>
      <c r="L268" s="243">
        <v>169184.71</v>
      </c>
    </row>
    <row r="269" spans="1:12" ht="51" hidden="1" x14ac:dyDescent="0.3">
      <c r="A269" s="237" t="s">
        <v>419</v>
      </c>
      <c r="B269" s="238" t="s">
        <v>1613</v>
      </c>
      <c r="C269" s="238" t="s">
        <v>1614</v>
      </c>
      <c r="D269" s="238" t="s">
        <v>1603</v>
      </c>
      <c r="E269" s="239" t="s">
        <v>751</v>
      </c>
      <c r="F269" s="245" t="s">
        <v>15</v>
      </c>
      <c r="G269" s="245"/>
      <c r="H269" s="239" t="s">
        <v>751</v>
      </c>
      <c r="I269" s="246">
        <v>5666.5</v>
      </c>
      <c r="J269" s="246"/>
      <c r="K269" s="242" t="s">
        <v>8</v>
      </c>
      <c r="L269" s="243">
        <v>253842.91</v>
      </c>
    </row>
    <row r="270" spans="1:12" ht="51" hidden="1" x14ac:dyDescent="0.3">
      <c r="A270" s="237" t="s">
        <v>419</v>
      </c>
      <c r="B270" s="238" t="s">
        <v>1613</v>
      </c>
      <c r="C270" s="238" t="s">
        <v>1614</v>
      </c>
      <c r="D270" s="238" t="s">
        <v>1603</v>
      </c>
      <c r="E270" s="239" t="s">
        <v>751</v>
      </c>
      <c r="F270" s="240">
        <v>5666.5</v>
      </c>
      <c r="G270" s="240"/>
      <c r="H270" s="239" t="s">
        <v>751</v>
      </c>
      <c r="I270" s="241" t="s">
        <v>15</v>
      </c>
      <c r="J270" s="241"/>
      <c r="K270" s="242" t="s">
        <v>8</v>
      </c>
      <c r="L270" s="243">
        <v>80963.13</v>
      </c>
    </row>
    <row r="271" spans="1:12" ht="51" hidden="1" x14ac:dyDescent="0.3">
      <c r="A271" s="237" t="s">
        <v>419</v>
      </c>
      <c r="B271" s="238" t="s">
        <v>1613</v>
      </c>
      <c r="C271" s="238" t="s">
        <v>1615</v>
      </c>
      <c r="D271" s="238" t="s">
        <v>1606</v>
      </c>
      <c r="E271" s="239" t="s">
        <v>751</v>
      </c>
      <c r="F271" s="245" t="s">
        <v>15</v>
      </c>
      <c r="G271" s="245"/>
      <c r="H271" s="239" t="s">
        <v>751</v>
      </c>
      <c r="I271" s="246">
        <v>1313.2</v>
      </c>
      <c r="J271" s="246"/>
      <c r="K271" s="242" t="s">
        <v>8</v>
      </c>
      <c r="L271" s="243">
        <v>252529.71</v>
      </c>
    </row>
    <row r="272" spans="1:12" ht="51" hidden="1" x14ac:dyDescent="0.3">
      <c r="A272" s="237" t="s">
        <v>419</v>
      </c>
      <c r="B272" s="238" t="s">
        <v>1613</v>
      </c>
      <c r="C272" s="238" t="s">
        <v>1615</v>
      </c>
      <c r="D272" s="238" t="s">
        <v>1606</v>
      </c>
      <c r="E272" s="239" t="s">
        <v>751</v>
      </c>
      <c r="F272" s="240">
        <v>1313.2</v>
      </c>
      <c r="G272" s="240"/>
      <c r="H272" s="239" t="s">
        <v>751</v>
      </c>
      <c r="I272" s="241" t="s">
        <v>15</v>
      </c>
      <c r="J272" s="241"/>
      <c r="K272" s="242" t="s">
        <v>8</v>
      </c>
      <c r="L272" s="243">
        <v>82276.33</v>
      </c>
    </row>
    <row r="273" spans="1:12" ht="51" hidden="1" x14ac:dyDescent="0.3">
      <c r="A273" s="237" t="s">
        <v>419</v>
      </c>
      <c r="B273" s="238" t="s">
        <v>1616</v>
      </c>
      <c r="C273" s="238" t="s">
        <v>1617</v>
      </c>
      <c r="D273" s="238" t="s">
        <v>1603</v>
      </c>
      <c r="E273" s="239" t="s">
        <v>751</v>
      </c>
      <c r="F273" s="245" t="s">
        <v>15</v>
      </c>
      <c r="G273" s="245"/>
      <c r="H273" s="239" t="s">
        <v>751</v>
      </c>
      <c r="I273" s="246">
        <v>5666.5</v>
      </c>
      <c r="J273" s="246"/>
      <c r="K273" s="242" t="s">
        <v>8</v>
      </c>
      <c r="L273" s="243">
        <v>246863.21</v>
      </c>
    </row>
    <row r="274" spans="1:12" ht="51" hidden="1" x14ac:dyDescent="0.3">
      <c r="A274" s="237" t="s">
        <v>419</v>
      </c>
      <c r="B274" s="238" t="s">
        <v>1616</v>
      </c>
      <c r="C274" s="238" t="s">
        <v>1617</v>
      </c>
      <c r="D274" s="238" t="s">
        <v>1603</v>
      </c>
      <c r="E274" s="239" t="s">
        <v>751</v>
      </c>
      <c r="F274" s="240">
        <v>5666.5</v>
      </c>
      <c r="G274" s="240"/>
      <c r="H274" s="239" t="s">
        <v>751</v>
      </c>
      <c r="I274" s="241" t="s">
        <v>15</v>
      </c>
      <c r="J274" s="241"/>
      <c r="K274" s="242" t="s">
        <v>8</v>
      </c>
      <c r="L274" s="243">
        <v>5666.5</v>
      </c>
    </row>
    <row r="275" spans="1:12" ht="51" hidden="1" x14ac:dyDescent="0.3">
      <c r="A275" s="237" t="s">
        <v>419</v>
      </c>
      <c r="B275" s="238" t="s">
        <v>1616</v>
      </c>
      <c r="C275" s="238" t="s">
        <v>1618</v>
      </c>
      <c r="D275" s="238" t="s">
        <v>1606</v>
      </c>
      <c r="E275" s="239" t="s">
        <v>751</v>
      </c>
      <c r="F275" s="245" t="s">
        <v>15</v>
      </c>
      <c r="G275" s="245"/>
      <c r="H275" s="239" t="s">
        <v>751</v>
      </c>
      <c r="I275" s="246">
        <v>1313.2</v>
      </c>
      <c r="J275" s="246"/>
      <c r="K275" s="242" t="s">
        <v>8</v>
      </c>
      <c r="L275" s="243">
        <v>245550.01</v>
      </c>
    </row>
    <row r="276" spans="1:12" ht="51" hidden="1" x14ac:dyDescent="0.3">
      <c r="A276" s="237" t="s">
        <v>419</v>
      </c>
      <c r="B276" s="238" t="s">
        <v>1616</v>
      </c>
      <c r="C276" s="238" t="s">
        <v>1618</v>
      </c>
      <c r="D276" s="238" t="s">
        <v>1606</v>
      </c>
      <c r="E276" s="239" t="s">
        <v>751</v>
      </c>
      <c r="F276" s="240">
        <v>1313.2</v>
      </c>
      <c r="G276" s="240"/>
      <c r="H276" s="239" t="s">
        <v>751</v>
      </c>
      <c r="I276" s="241" t="s">
        <v>15</v>
      </c>
      <c r="J276" s="241"/>
      <c r="K276" s="242" t="s">
        <v>8</v>
      </c>
      <c r="L276" s="243">
        <v>6979.7</v>
      </c>
    </row>
    <row r="277" spans="1:12" ht="51" hidden="1" x14ac:dyDescent="0.3">
      <c r="A277" s="237" t="s">
        <v>419</v>
      </c>
      <c r="B277" s="238" t="s">
        <v>1619</v>
      </c>
      <c r="C277" s="238" t="s">
        <v>1600</v>
      </c>
      <c r="D277" s="238" t="s">
        <v>1620</v>
      </c>
      <c r="E277" s="239" t="s">
        <v>751</v>
      </c>
      <c r="F277" s="240">
        <v>47595</v>
      </c>
      <c r="G277" s="240"/>
      <c r="H277" s="239" t="s">
        <v>14</v>
      </c>
      <c r="I277" s="241" t="s">
        <v>15</v>
      </c>
      <c r="J277" s="241"/>
      <c r="K277" s="242" t="s">
        <v>8</v>
      </c>
      <c r="L277" s="243">
        <v>293145.01</v>
      </c>
    </row>
    <row r="278" spans="1:12" ht="51" hidden="1" x14ac:dyDescent="0.3">
      <c r="A278" s="237" t="s">
        <v>419</v>
      </c>
      <c r="B278" s="238" t="s">
        <v>1621</v>
      </c>
      <c r="C278" s="238" t="s">
        <v>1622</v>
      </c>
      <c r="D278" s="238" t="s">
        <v>1600</v>
      </c>
      <c r="E278" s="239" t="s">
        <v>751</v>
      </c>
      <c r="F278" s="240">
        <v>92886.92</v>
      </c>
      <c r="G278" s="240"/>
      <c r="H278" s="239" t="s">
        <v>751</v>
      </c>
      <c r="I278" s="241" t="s">
        <v>15</v>
      </c>
      <c r="J278" s="241"/>
      <c r="K278" s="242" t="s">
        <v>8</v>
      </c>
      <c r="L278" s="243">
        <v>863719.96</v>
      </c>
    </row>
    <row r="279" spans="1:12" ht="51" hidden="1" x14ac:dyDescent="0.3">
      <c r="A279" s="237" t="s">
        <v>419</v>
      </c>
      <c r="B279" s="238" t="s">
        <v>1621</v>
      </c>
      <c r="C279" s="238" t="s">
        <v>1622</v>
      </c>
      <c r="D279" s="238" t="s">
        <v>1600</v>
      </c>
      <c r="E279" s="239" t="s">
        <v>751</v>
      </c>
      <c r="F279" s="245" t="s">
        <v>15</v>
      </c>
      <c r="G279" s="245"/>
      <c r="H279" s="239" t="s">
        <v>751</v>
      </c>
      <c r="I279" s="246">
        <v>92886.92</v>
      </c>
      <c r="J279" s="246"/>
      <c r="K279" s="242" t="s">
        <v>8</v>
      </c>
      <c r="L279" s="243">
        <v>200258.09</v>
      </c>
    </row>
    <row r="280" spans="1:12" ht="51" hidden="1" x14ac:dyDescent="0.3">
      <c r="A280" s="237" t="s">
        <v>419</v>
      </c>
      <c r="B280" s="238" t="s">
        <v>1623</v>
      </c>
      <c r="C280" s="238" t="s">
        <v>1624</v>
      </c>
      <c r="D280" s="238" t="s">
        <v>1600</v>
      </c>
      <c r="E280" s="239" t="s">
        <v>751</v>
      </c>
      <c r="F280" s="240">
        <v>108368.08</v>
      </c>
      <c r="G280" s="240"/>
      <c r="H280" s="239" t="s">
        <v>751</v>
      </c>
      <c r="I280" s="241" t="s">
        <v>15</v>
      </c>
      <c r="J280" s="241"/>
      <c r="K280" s="242" t="s">
        <v>8</v>
      </c>
      <c r="L280" s="243">
        <v>7131359.4000000004</v>
      </c>
    </row>
    <row r="281" spans="1:12" ht="51" hidden="1" x14ac:dyDescent="0.3">
      <c r="A281" s="237" t="s">
        <v>419</v>
      </c>
      <c r="B281" s="238" t="s">
        <v>1623</v>
      </c>
      <c r="C281" s="238" t="s">
        <v>1624</v>
      </c>
      <c r="D281" s="238" t="s">
        <v>1600</v>
      </c>
      <c r="E281" s="239" t="s">
        <v>751</v>
      </c>
      <c r="F281" s="245" t="s">
        <v>15</v>
      </c>
      <c r="G281" s="245"/>
      <c r="H281" s="239" t="s">
        <v>751</v>
      </c>
      <c r="I281" s="246">
        <v>108368.08</v>
      </c>
      <c r="J281" s="246"/>
      <c r="K281" s="242" t="s">
        <v>8</v>
      </c>
      <c r="L281" s="243">
        <v>91890.01</v>
      </c>
    </row>
    <row r="282" spans="1:12" ht="51" hidden="1" x14ac:dyDescent="0.3">
      <c r="A282" s="237" t="s">
        <v>424</v>
      </c>
      <c r="B282" s="238" t="s">
        <v>1625</v>
      </c>
      <c r="C282" s="238" t="s">
        <v>1626</v>
      </c>
      <c r="D282" s="238" t="s">
        <v>1627</v>
      </c>
      <c r="E282" s="239" t="s">
        <v>751</v>
      </c>
      <c r="F282" s="240">
        <v>18000</v>
      </c>
      <c r="G282" s="240"/>
      <c r="H282" s="239" t="s">
        <v>14</v>
      </c>
      <c r="I282" s="241" t="s">
        <v>15</v>
      </c>
      <c r="J282" s="241"/>
      <c r="K282" s="242" t="s">
        <v>8</v>
      </c>
      <c r="L282" s="243">
        <v>109890.01</v>
      </c>
    </row>
    <row r="283" spans="1:12" ht="51" hidden="1" x14ac:dyDescent="0.3">
      <c r="A283" s="237" t="s">
        <v>424</v>
      </c>
      <c r="B283" s="238" t="s">
        <v>1625</v>
      </c>
      <c r="C283" s="238" t="s">
        <v>1628</v>
      </c>
      <c r="D283" s="238" t="s">
        <v>1627</v>
      </c>
      <c r="E283" s="239" t="s">
        <v>751</v>
      </c>
      <c r="F283" s="240">
        <v>3283</v>
      </c>
      <c r="G283" s="240"/>
      <c r="H283" s="239" t="s">
        <v>14</v>
      </c>
      <c r="I283" s="241" t="s">
        <v>15</v>
      </c>
      <c r="J283" s="241"/>
      <c r="K283" s="242" t="s">
        <v>8</v>
      </c>
      <c r="L283" s="243">
        <v>113173.01</v>
      </c>
    </row>
    <row r="284" spans="1:12" ht="61.2" hidden="1" x14ac:dyDescent="0.3">
      <c r="A284" s="237" t="s">
        <v>424</v>
      </c>
      <c r="B284" s="238" t="s">
        <v>431</v>
      </c>
      <c r="C284" s="238" t="s">
        <v>1629</v>
      </c>
      <c r="D284" s="238" t="s">
        <v>433</v>
      </c>
      <c r="E284" s="239" t="s">
        <v>751</v>
      </c>
      <c r="F284" s="240">
        <v>18900</v>
      </c>
      <c r="G284" s="240"/>
      <c r="H284" s="239" t="s">
        <v>14</v>
      </c>
      <c r="I284" s="241" t="s">
        <v>15</v>
      </c>
      <c r="J284" s="241"/>
      <c r="K284" s="242" t="s">
        <v>8</v>
      </c>
      <c r="L284" s="243">
        <v>132073.01</v>
      </c>
    </row>
    <row r="285" spans="1:12" ht="51" hidden="1" x14ac:dyDescent="0.3">
      <c r="A285" s="237" t="s">
        <v>424</v>
      </c>
      <c r="B285" s="238" t="s">
        <v>1630</v>
      </c>
      <c r="C285" s="238" t="s">
        <v>1631</v>
      </c>
      <c r="D285" s="238" t="s">
        <v>1632</v>
      </c>
      <c r="E285" s="239" t="s">
        <v>751</v>
      </c>
      <c r="F285" s="240">
        <v>165480</v>
      </c>
      <c r="G285" s="240"/>
      <c r="H285" s="239" t="s">
        <v>14</v>
      </c>
      <c r="I285" s="241" t="s">
        <v>15</v>
      </c>
      <c r="J285" s="241"/>
      <c r="K285" s="242" t="s">
        <v>8</v>
      </c>
      <c r="L285" s="243">
        <v>297553.01</v>
      </c>
    </row>
    <row r="286" spans="1:12" ht="51" hidden="1" x14ac:dyDescent="0.3">
      <c r="A286" s="237" t="s">
        <v>424</v>
      </c>
      <c r="B286" s="238" t="s">
        <v>1630</v>
      </c>
      <c r="C286" s="238" t="s">
        <v>1633</v>
      </c>
      <c r="D286" s="238" t="s">
        <v>1632</v>
      </c>
      <c r="E286" s="239" t="s">
        <v>751</v>
      </c>
      <c r="F286" s="240">
        <v>16060</v>
      </c>
      <c r="G286" s="240"/>
      <c r="H286" s="239" t="s">
        <v>14</v>
      </c>
      <c r="I286" s="241" t="s">
        <v>15</v>
      </c>
      <c r="J286" s="241"/>
      <c r="K286" s="242" t="s">
        <v>8</v>
      </c>
      <c r="L286" s="243">
        <v>313613.01</v>
      </c>
    </row>
    <row r="287" spans="1:12" ht="71.400000000000006" hidden="1" x14ac:dyDescent="0.3">
      <c r="A287" s="237" t="s">
        <v>424</v>
      </c>
      <c r="B287" s="238" t="s">
        <v>1634</v>
      </c>
      <c r="C287" s="238" t="s">
        <v>1635</v>
      </c>
      <c r="D287" s="238" t="s">
        <v>1636</v>
      </c>
      <c r="E287" s="239" t="s">
        <v>751</v>
      </c>
      <c r="F287" s="240">
        <v>167916</v>
      </c>
      <c r="G287" s="240"/>
      <c r="H287" s="239" t="s">
        <v>14</v>
      </c>
      <c r="I287" s="241" t="s">
        <v>15</v>
      </c>
      <c r="J287" s="241"/>
      <c r="K287" s="242" t="s">
        <v>8</v>
      </c>
      <c r="L287" s="243">
        <v>274707.76</v>
      </c>
    </row>
    <row r="288" spans="1:12" ht="61.2" hidden="1" x14ac:dyDescent="0.3">
      <c r="A288" s="237" t="s">
        <v>424</v>
      </c>
      <c r="B288" s="238" t="s">
        <v>1637</v>
      </c>
      <c r="C288" s="238" t="s">
        <v>1638</v>
      </c>
      <c r="D288" s="238" t="s">
        <v>1639</v>
      </c>
      <c r="E288" s="239" t="s">
        <v>751</v>
      </c>
      <c r="F288" s="240">
        <v>90404</v>
      </c>
      <c r="G288" s="240"/>
      <c r="H288" s="239" t="s">
        <v>14</v>
      </c>
      <c r="I288" s="241" t="s">
        <v>15</v>
      </c>
      <c r="J288" s="241"/>
      <c r="K288" s="242" t="s">
        <v>8</v>
      </c>
      <c r="L288" s="243">
        <v>982205.52</v>
      </c>
    </row>
    <row r="289" spans="1:12" ht="71.400000000000006" hidden="1" x14ac:dyDescent="0.3">
      <c r="A289" s="237" t="s">
        <v>424</v>
      </c>
      <c r="B289" s="238" t="s">
        <v>1640</v>
      </c>
      <c r="C289" s="238" t="s">
        <v>1641</v>
      </c>
      <c r="D289" s="238" t="s">
        <v>1642</v>
      </c>
      <c r="E289" s="239" t="s">
        <v>751</v>
      </c>
      <c r="F289" s="240">
        <v>43573</v>
      </c>
      <c r="G289" s="240"/>
      <c r="H289" s="239" t="s">
        <v>14</v>
      </c>
      <c r="I289" s="241" t="s">
        <v>15</v>
      </c>
      <c r="J289" s="241"/>
      <c r="K289" s="242" t="s">
        <v>8</v>
      </c>
      <c r="L289" s="243">
        <v>1025778.52</v>
      </c>
    </row>
    <row r="290" spans="1:12" ht="61.2" hidden="1" x14ac:dyDescent="0.3">
      <c r="A290" s="237" t="s">
        <v>424</v>
      </c>
      <c r="B290" s="238" t="s">
        <v>1643</v>
      </c>
      <c r="C290" s="238" t="s">
        <v>1644</v>
      </c>
      <c r="D290" s="238" t="s">
        <v>1645</v>
      </c>
      <c r="E290" s="239" t="s">
        <v>751</v>
      </c>
      <c r="F290" s="240">
        <v>49370</v>
      </c>
      <c r="G290" s="240"/>
      <c r="H290" s="239" t="s">
        <v>14</v>
      </c>
      <c r="I290" s="241" t="s">
        <v>15</v>
      </c>
      <c r="J290" s="241"/>
      <c r="K290" s="242" t="s">
        <v>8</v>
      </c>
      <c r="L290" s="243">
        <v>1297603.42</v>
      </c>
    </row>
    <row r="291" spans="1:12" ht="61.2" hidden="1" x14ac:dyDescent="0.3">
      <c r="A291" s="237" t="s">
        <v>424</v>
      </c>
      <c r="B291" s="238" t="s">
        <v>1643</v>
      </c>
      <c r="C291" s="238" t="s">
        <v>1646</v>
      </c>
      <c r="D291" s="238" t="s">
        <v>1645</v>
      </c>
      <c r="E291" s="239" t="s">
        <v>751</v>
      </c>
      <c r="F291" s="240">
        <v>1007496</v>
      </c>
      <c r="G291" s="240"/>
      <c r="H291" s="239" t="s">
        <v>14</v>
      </c>
      <c r="I291" s="241" t="s">
        <v>15</v>
      </c>
      <c r="J291" s="241"/>
      <c r="K291" s="242" t="s">
        <v>8</v>
      </c>
      <c r="L291" s="243">
        <v>2305099.42</v>
      </c>
    </row>
    <row r="292" spans="1:12" ht="71.400000000000006" hidden="1" x14ac:dyDescent="0.3">
      <c r="A292" s="237" t="s">
        <v>424</v>
      </c>
      <c r="B292" s="238" t="s">
        <v>1643</v>
      </c>
      <c r="C292" s="238" t="s">
        <v>1647</v>
      </c>
      <c r="D292" s="238" t="s">
        <v>1645</v>
      </c>
      <c r="E292" s="239" t="s">
        <v>751</v>
      </c>
      <c r="F292" s="240">
        <v>1439100</v>
      </c>
      <c r="G292" s="240"/>
      <c r="H292" s="239" t="s">
        <v>14</v>
      </c>
      <c r="I292" s="241" t="s">
        <v>15</v>
      </c>
      <c r="J292" s="241"/>
      <c r="K292" s="242" t="s">
        <v>8</v>
      </c>
      <c r="L292" s="243">
        <v>3744199.42</v>
      </c>
    </row>
    <row r="293" spans="1:12" ht="51" hidden="1" x14ac:dyDescent="0.3">
      <c r="A293" s="237" t="s">
        <v>424</v>
      </c>
      <c r="B293" s="238" t="s">
        <v>1648</v>
      </c>
      <c r="C293" s="238" t="s">
        <v>1649</v>
      </c>
      <c r="D293" s="238" t="s">
        <v>1650</v>
      </c>
      <c r="E293" s="239" t="s">
        <v>751</v>
      </c>
      <c r="F293" s="240">
        <v>33999</v>
      </c>
      <c r="G293" s="240"/>
      <c r="H293" s="239" t="s">
        <v>14</v>
      </c>
      <c r="I293" s="241" t="s">
        <v>15</v>
      </c>
      <c r="J293" s="241"/>
      <c r="K293" s="242" t="s">
        <v>8</v>
      </c>
      <c r="L293" s="243">
        <v>3778198.42</v>
      </c>
    </row>
    <row r="294" spans="1:12" ht="51" hidden="1" x14ac:dyDescent="0.3">
      <c r="A294" s="237" t="s">
        <v>424</v>
      </c>
      <c r="B294" s="238" t="s">
        <v>1651</v>
      </c>
      <c r="C294" s="238" t="s">
        <v>1652</v>
      </c>
      <c r="D294" s="238" t="s">
        <v>1653</v>
      </c>
      <c r="E294" s="239" t="s">
        <v>751</v>
      </c>
      <c r="F294" s="240">
        <v>2536.63</v>
      </c>
      <c r="G294" s="240"/>
      <c r="H294" s="239" t="s">
        <v>14</v>
      </c>
      <c r="I294" s="241" t="s">
        <v>15</v>
      </c>
      <c r="J294" s="241"/>
      <c r="K294" s="242" t="s">
        <v>8</v>
      </c>
      <c r="L294" s="243">
        <v>141629.1</v>
      </c>
    </row>
    <row r="295" spans="1:12" ht="51" hidden="1" x14ac:dyDescent="0.3">
      <c r="A295" s="237" t="s">
        <v>424</v>
      </c>
      <c r="B295" s="238" t="s">
        <v>1654</v>
      </c>
      <c r="C295" s="238" t="s">
        <v>1655</v>
      </c>
      <c r="D295" s="238" t="s">
        <v>1467</v>
      </c>
      <c r="E295" s="239" t="s">
        <v>751</v>
      </c>
      <c r="F295" s="240">
        <v>4060.09</v>
      </c>
      <c r="G295" s="240"/>
      <c r="H295" s="239" t="s">
        <v>14</v>
      </c>
      <c r="I295" s="241" t="s">
        <v>15</v>
      </c>
      <c r="J295" s="241"/>
      <c r="K295" s="242" t="s">
        <v>8</v>
      </c>
      <c r="L295" s="243">
        <v>1735648.61</v>
      </c>
    </row>
    <row r="296" spans="1:12" ht="51" hidden="1" x14ac:dyDescent="0.3">
      <c r="A296" s="237" t="s">
        <v>424</v>
      </c>
      <c r="B296" s="238" t="s">
        <v>1654</v>
      </c>
      <c r="C296" s="238" t="s">
        <v>1655</v>
      </c>
      <c r="D296" s="238" t="s">
        <v>1467</v>
      </c>
      <c r="E296" s="239" t="s">
        <v>751</v>
      </c>
      <c r="F296" s="240">
        <v>1512.83</v>
      </c>
      <c r="G296" s="240"/>
      <c r="H296" s="239" t="s">
        <v>14</v>
      </c>
      <c r="I296" s="241" t="s">
        <v>15</v>
      </c>
      <c r="J296" s="241"/>
      <c r="K296" s="242" t="s">
        <v>8</v>
      </c>
      <c r="L296" s="243">
        <v>1737161.44</v>
      </c>
    </row>
    <row r="297" spans="1:12" ht="51" hidden="1" x14ac:dyDescent="0.3">
      <c r="A297" s="237" t="s">
        <v>424</v>
      </c>
      <c r="B297" s="238" t="s">
        <v>1656</v>
      </c>
      <c r="C297" s="238" t="s">
        <v>1631</v>
      </c>
      <c r="D297" s="238" t="s">
        <v>1657</v>
      </c>
      <c r="E297" s="239" t="s">
        <v>751</v>
      </c>
      <c r="F297" s="240">
        <v>64502.47</v>
      </c>
      <c r="G297" s="240"/>
      <c r="H297" s="239" t="s">
        <v>14</v>
      </c>
      <c r="I297" s="241" t="s">
        <v>15</v>
      </c>
      <c r="J297" s="241"/>
      <c r="K297" s="242" t="s">
        <v>8</v>
      </c>
      <c r="L297" s="243">
        <v>378115.48</v>
      </c>
    </row>
    <row r="298" spans="1:12" ht="51" hidden="1" x14ac:dyDescent="0.3">
      <c r="A298" s="237" t="s">
        <v>424</v>
      </c>
      <c r="B298" s="238" t="s">
        <v>1656</v>
      </c>
      <c r="C298" s="238" t="s">
        <v>1633</v>
      </c>
      <c r="D298" s="238" t="s">
        <v>1657</v>
      </c>
      <c r="E298" s="239" t="s">
        <v>751</v>
      </c>
      <c r="F298" s="240">
        <v>7512.03</v>
      </c>
      <c r="G298" s="240"/>
      <c r="H298" s="239" t="s">
        <v>14</v>
      </c>
      <c r="I298" s="241" t="s">
        <v>15</v>
      </c>
      <c r="J298" s="241"/>
      <c r="K298" s="242" t="s">
        <v>8</v>
      </c>
      <c r="L298" s="243">
        <v>385627.51</v>
      </c>
    </row>
    <row r="299" spans="1:12" ht="51" hidden="1" x14ac:dyDescent="0.3">
      <c r="A299" s="237" t="s">
        <v>424</v>
      </c>
      <c r="B299" s="238" t="s">
        <v>1658</v>
      </c>
      <c r="C299" s="238" t="s">
        <v>1659</v>
      </c>
      <c r="D299" s="238" t="s">
        <v>1631</v>
      </c>
      <c r="E299" s="239" t="s">
        <v>751</v>
      </c>
      <c r="F299" s="240">
        <v>98563.92</v>
      </c>
      <c r="G299" s="240"/>
      <c r="H299" s="239" t="s">
        <v>751</v>
      </c>
      <c r="I299" s="241" t="s">
        <v>15</v>
      </c>
      <c r="J299" s="241"/>
      <c r="K299" s="242" t="s">
        <v>8</v>
      </c>
      <c r="L299" s="243">
        <v>7229923.3200000003</v>
      </c>
    </row>
    <row r="300" spans="1:12" ht="51" hidden="1" x14ac:dyDescent="0.3">
      <c r="A300" s="237" t="s">
        <v>424</v>
      </c>
      <c r="B300" s="238" t="s">
        <v>1658</v>
      </c>
      <c r="C300" s="238" t="s">
        <v>1659</v>
      </c>
      <c r="D300" s="238" t="s">
        <v>1631</v>
      </c>
      <c r="E300" s="239" t="s">
        <v>751</v>
      </c>
      <c r="F300" s="245" t="s">
        <v>15</v>
      </c>
      <c r="G300" s="245"/>
      <c r="H300" s="239" t="s">
        <v>751</v>
      </c>
      <c r="I300" s="246">
        <v>98563.92</v>
      </c>
      <c r="J300" s="246"/>
      <c r="K300" s="242" t="s">
        <v>8</v>
      </c>
      <c r="L300" s="243">
        <v>287063.59000000003</v>
      </c>
    </row>
    <row r="301" spans="1:12" ht="51" hidden="1" x14ac:dyDescent="0.3">
      <c r="A301" s="237" t="s">
        <v>424</v>
      </c>
      <c r="B301" s="238" t="s">
        <v>1658</v>
      </c>
      <c r="C301" s="238" t="s">
        <v>1660</v>
      </c>
      <c r="D301" s="238" t="s">
        <v>1633</v>
      </c>
      <c r="E301" s="239" t="s">
        <v>751</v>
      </c>
      <c r="F301" s="245" t="s">
        <v>15</v>
      </c>
      <c r="G301" s="245"/>
      <c r="H301" s="239" t="s">
        <v>751</v>
      </c>
      <c r="I301" s="246">
        <v>23572.03</v>
      </c>
      <c r="J301" s="246"/>
      <c r="K301" s="242" t="s">
        <v>8</v>
      </c>
      <c r="L301" s="243">
        <v>263491.56</v>
      </c>
    </row>
    <row r="302" spans="1:12" ht="51" hidden="1" x14ac:dyDescent="0.3">
      <c r="A302" s="237" t="s">
        <v>424</v>
      </c>
      <c r="B302" s="238" t="s">
        <v>1658</v>
      </c>
      <c r="C302" s="238" t="s">
        <v>1660</v>
      </c>
      <c r="D302" s="238" t="s">
        <v>1633</v>
      </c>
      <c r="E302" s="239" t="s">
        <v>751</v>
      </c>
      <c r="F302" s="240">
        <v>23572.03</v>
      </c>
      <c r="G302" s="240"/>
      <c r="H302" s="239" t="s">
        <v>751</v>
      </c>
      <c r="I302" s="241" t="s">
        <v>15</v>
      </c>
      <c r="J302" s="241"/>
      <c r="K302" s="242" t="s">
        <v>8</v>
      </c>
      <c r="L302" s="243">
        <v>7253495.3499999996</v>
      </c>
    </row>
    <row r="303" spans="1:12" ht="51" hidden="1" x14ac:dyDescent="0.3">
      <c r="A303" s="237" t="s">
        <v>424</v>
      </c>
      <c r="B303" s="238" t="s">
        <v>1661</v>
      </c>
      <c r="C303" s="238" t="s">
        <v>1662</v>
      </c>
      <c r="D303" s="238" t="s">
        <v>1631</v>
      </c>
      <c r="E303" s="239" t="s">
        <v>751</v>
      </c>
      <c r="F303" s="240">
        <v>131418.54999999999</v>
      </c>
      <c r="G303" s="240"/>
      <c r="H303" s="239" t="s">
        <v>751</v>
      </c>
      <c r="I303" s="241" t="s">
        <v>15</v>
      </c>
      <c r="J303" s="241"/>
      <c r="K303" s="242" t="s">
        <v>8</v>
      </c>
      <c r="L303" s="243">
        <v>995138.51</v>
      </c>
    </row>
    <row r="304" spans="1:12" ht="51" hidden="1" x14ac:dyDescent="0.3">
      <c r="A304" s="237" t="s">
        <v>424</v>
      </c>
      <c r="B304" s="238" t="s">
        <v>1661</v>
      </c>
      <c r="C304" s="238" t="s">
        <v>1662</v>
      </c>
      <c r="D304" s="238" t="s">
        <v>1631</v>
      </c>
      <c r="E304" s="239" t="s">
        <v>751</v>
      </c>
      <c r="F304" s="245" t="s">
        <v>15</v>
      </c>
      <c r="G304" s="245"/>
      <c r="H304" s="239" t="s">
        <v>751</v>
      </c>
      <c r="I304" s="246">
        <v>131418.54999999999</v>
      </c>
      <c r="J304" s="246"/>
      <c r="K304" s="242" t="s">
        <v>8</v>
      </c>
      <c r="L304" s="243">
        <v>132073.01</v>
      </c>
    </row>
    <row r="305" spans="1:12" ht="51" hidden="1" x14ac:dyDescent="0.3">
      <c r="A305" s="237" t="s">
        <v>424</v>
      </c>
      <c r="B305" s="238" t="s">
        <v>1663</v>
      </c>
      <c r="C305" s="238" t="s">
        <v>1664</v>
      </c>
      <c r="D305" s="238" t="s">
        <v>1626</v>
      </c>
      <c r="E305" s="239" t="s">
        <v>751</v>
      </c>
      <c r="F305" s="245" t="s">
        <v>15</v>
      </c>
      <c r="G305" s="245"/>
      <c r="H305" s="239" t="s">
        <v>751</v>
      </c>
      <c r="I305" s="246">
        <v>6000</v>
      </c>
      <c r="J305" s="246"/>
      <c r="K305" s="242" t="s">
        <v>8</v>
      </c>
      <c r="L305" s="243">
        <v>126073.01</v>
      </c>
    </row>
    <row r="306" spans="1:12" ht="51" hidden="1" x14ac:dyDescent="0.3">
      <c r="A306" s="237" t="s">
        <v>424</v>
      </c>
      <c r="B306" s="238" t="s">
        <v>1663</v>
      </c>
      <c r="C306" s="238" t="s">
        <v>1664</v>
      </c>
      <c r="D306" s="238" t="s">
        <v>1626</v>
      </c>
      <c r="E306" s="239" t="s">
        <v>751</v>
      </c>
      <c r="F306" s="240">
        <v>6000</v>
      </c>
      <c r="G306" s="240"/>
      <c r="H306" s="239" t="s">
        <v>751</v>
      </c>
      <c r="I306" s="241" t="s">
        <v>15</v>
      </c>
      <c r="J306" s="241"/>
      <c r="K306" s="242" t="s">
        <v>8</v>
      </c>
      <c r="L306" s="243">
        <v>175184.71</v>
      </c>
    </row>
    <row r="307" spans="1:12" ht="51" hidden="1" x14ac:dyDescent="0.3">
      <c r="A307" s="237" t="s">
        <v>424</v>
      </c>
      <c r="B307" s="238" t="s">
        <v>1665</v>
      </c>
      <c r="C307" s="238" t="s">
        <v>1666</v>
      </c>
      <c r="D307" s="238" t="s">
        <v>1626</v>
      </c>
      <c r="E307" s="239" t="s">
        <v>751</v>
      </c>
      <c r="F307" s="240">
        <v>12000</v>
      </c>
      <c r="G307" s="240"/>
      <c r="H307" s="239" t="s">
        <v>751</v>
      </c>
      <c r="I307" s="241" t="s">
        <v>15</v>
      </c>
      <c r="J307" s="241"/>
      <c r="K307" s="242" t="s">
        <v>8</v>
      </c>
      <c r="L307" s="243">
        <v>18979.7</v>
      </c>
    </row>
    <row r="308" spans="1:12" ht="51" hidden="1" x14ac:dyDescent="0.3">
      <c r="A308" s="237" t="s">
        <v>424</v>
      </c>
      <c r="B308" s="238" t="s">
        <v>1665</v>
      </c>
      <c r="C308" s="238" t="s">
        <v>1666</v>
      </c>
      <c r="D308" s="238" t="s">
        <v>1626</v>
      </c>
      <c r="E308" s="239" t="s">
        <v>751</v>
      </c>
      <c r="F308" s="245" t="s">
        <v>15</v>
      </c>
      <c r="G308" s="245"/>
      <c r="H308" s="239" t="s">
        <v>751</v>
      </c>
      <c r="I308" s="246">
        <v>12000</v>
      </c>
      <c r="J308" s="246"/>
      <c r="K308" s="242" t="s">
        <v>8</v>
      </c>
      <c r="L308" s="243">
        <v>114073.01</v>
      </c>
    </row>
    <row r="309" spans="1:12" ht="51" hidden="1" x14ac:dyDescent="0.3">
      <c r="A309" s="237" t="s">
        <v>424</v>
      </c>
      <c r="B309" s="238" t="s">
        <v>1665</v>
      </c>
      <c r="C309" s="238" t="s">
        <v>1667</v>
      </c>
      <c r="D309" s="238" t="s">
        <v>1628</v>
      </c>
      <c r="E309" s="239" t="s">
        <v>751</v>
      </c>
      <c r="F309" s="240">
        <v>3283</v>
      </c>
      <c r="G309" s="240"/>
      <c r="H309" s="239" t="s">
        <v>751</v>
      </c>
      <c r="I309" s="241" t="s">
        <v>15</v>
      </c>
      <c r="J309" s="241"/>
      <c r="K309" s="242" t="s">
        <v>8</v>
      </c>
      <c r="L309" s="243">
        <v>22262.7</v>
      </c>
    </row>
    <row r="310" spans="1:12" ht="51" hidden="1" x14ac:dyDescent="0.3">
      <c r="A310" s="237" t="s">
        <v>424</v>
      </c>
      <c r="B310" s="238" t="s">
        <v>1665</v>
      </c>
      <c r="C310" s="238" t="s">
        <v>1667</v>
      </c>
      <c r="D310" s="238" t="s">
        <v>1628</v>
      </c>
      <c r="E310" s="239" t="s">
        <v>751</v>
      </c>
      <c r="F310" s="245" t="s">
        <v>15</v>
      </c>
      <c r="G310" s="245"/>
      <c r="H310" s="239" t="s">
        <v>751</v>
      </c>
      <c r="I310" s="246">
        <v>3283</v>
      </c>
      <c r="J310" s="246"/>
      <c r="K310" s="242" t="s">
        <v>8</v>
      </c>
      <c r="L310" s="243">
        <v>110790.01</v>
      </c>
    </row>
    <row r="311" spans="1:12" ht="61.2" hidden="1" x14ac:dyDescent="0.3">
      <c r="A311" s="237" t="s">
        <v>424</v>
      </c>
      <c r="B311" s="238" t="s">
        <v>1668</v>
      </c>
      <c r="C311" s="238" t="s">
        <v>1669</v>
      </c>
      <c r="D311" s="238" t="s">
        <v>1629</v>
      </c>
      <c r="E311" s="239" t="s">
        <v>751</v>
      </c>
      <c r="F311" s="245" t="s">
        <v>15</v>
      </c>
      <c r="G311" s="245"/>
      <c r="H311" s="239" t="s">
        <v>751</v>
      </c>
      <c r="I311" s="246">
        <v>18900</v>
      </c>
      <c r="J311" s="246"/>
      <c r="K311" s="242" t="s">
        <v>8</v>
      </c>
      <c r="L311" s="243">
        <v>91890.01</v>
      </c>
    </row>
    <row r="312" spans="1:12" ht="61.2" hidden="1" x14ac:dyDescent="0.3">
      <c r="A312" s="237" t="s">
        <v>424</v>
      </c>
      <c r="B312" s="238" t="s">
        <v>1668</v>
      </c>
      <c r="C312" s="238" t="s">
        <v>1669</v>
      </c>
      <c r="D312" s="238" t="s">
        <v>1629</v>
      </c>
      <c r="E312" s="239" t="s">
        <v>751</v>
      </c>
      <c r="F312" s="240">
        <v>18900</v>
      </c>
      <c r="G312" s="240"/>
      <c r="H312" s="239" t="s">
        <v>751</v>
      </c>
      <c r="I312" s="241" t="s">
        <v>15</v>
      </c>
      <c r="J312" s="241"/>
      <c r="K312" s="242" t="s">
        <v>8</v>
      </c>
      <c r="L312" s="243">
        <v>3797098.42</v>
      </c>
    </row>
    <row r="313" spans="1:12" ht="61.2" hidden="1" x14ac:dyDescent="0.3">
      <c r="A313" s="237" t="s">
        <v>424</v>
      </c>
      <c r="B313" s="238" t="s">
        <v>1670</v>
      </c>
      <c r="C313" s="238" t="s">
        <v>1671</v>
      </c>
      <c r="D313" s="238" t="s">
        <v>1672</v>
      </c>
      <c r="E313" s="239" t="s">
        <v>751</v>
      </c>
      <c r="F313" s="245" t="s">
        <v>15</v>
      </c>
      <c r="G313" s="245"/>
      <c r="H313" s="239" t="s">
        <v>751</v>
      </c>
      <c r="I313" s="246">
        <v>582555</v>
      </c>
      <c r="J313" s="246"/>
      <c r="K313" s="242" t="s">
        <v>8</v>
      </c>
      <c r="L313" s="243">
        <v>443223.52</v>
      </c>
    </row>
    <row r="314" spans="1:12" ht="61.2" hidden="1" x14ac:dyDescent="0.3">
      <c r="A314" s="237" t="s">
        <v>424</v>
      </c>
      <c r="B314" s="238" t="s">
        <v>1670</v>
      </c>
      <c r="C314" s="238" t="s">
        <v>1671</v>
      </c>
      <c r="D314" s="238" t="s">
        <v>1672</v>
      </c>
      <c r="E314" s="239" t="s">
        <v>751</v>
      </c>
      <c r="F314" s="240">
        <v>582555</v>
      </c>
      <c r="G314" s="240"/>
      <c r="H314" s="239" t="s">
        <v>751</v>
      </c>
      <c r="I314" s="241" t="s">
        <v>15</v>
      </c>
      <c r="J314" s="241"/>
      <c r="K314" s="242" t="s">
        <v>8</v>
      </c>
      <c r="L314" s="243">
        <v>674445.01</v>
      </c>
    </row>
    <row r="315" spans="1:12" ht="61.2" hidden="1" x14ac:dyDescent="0.3">
      <c r="A315" s="237" t="s">
        <v>424</v>
      </c>
      <c r="B315" s="238" t="s">
        <v>1670</v>
      </c>
      <c r="C315" s="238" t="s">
        <v>1673</v>
      </c>
      <c r="D315" s="238" t="s">
        <v>1638</v>
      </c>
      <c r="E315" s="239" t="s">
        <v>751</v>
      </c>
      <c r="F315" s="245" t="s">
        <v>15</v>
      </c>
      <c r="G315" s="245"/>
      <c r="H315" s="239" t="s">
        <v>751</v>
      </c>
      <c r="I315" s="246">
        <v>90404</v>
      </c>
      <c r="J315" s="246"/>
      <c r="K315" s="242" t="s">
        <v>8</v>
      </c>
      <c r="L315" s="243">
        <v>352819.52</v>
      </c>
    </row>
    <row r="316" spans="1:12" ht="61.2" hidden="1" x14ac:dyDescent="0.3">
      <c r="A316" s="237" t="s">
        <v>424</v>
      </c>
      <c r="B316" s="238" t="s">
        <v>1670</v>
      </c>
      <c r="C316" s="238" t="s">
        <v>1673</v>
      </c>
      <c r="D316" s="238" t="s">
        <v>1638</v>
      </c>
      <c r="E316" s="239" t="s">
        <v>751</v>
      </c>
      <c r="F316" s="240">
        <v>90404</v>
      </c>
      <c r="G316" s="240"/>
      <c r="H316" s="239" t="s">
        <v>751</v>
      </c>
      <c r="I316" s="241" t="s">
        <v>15</v>
      </c>
      <c r="J316" s="241"/>
      <c r="K316" s="242" t="s">
        <v>8</v>
      </c>
      <c r="L316" s="243">
        <v>764849.01</v>
      </c>
    </row>
    <row r="317" spans="1:12" ht="51" hidden="1" x14ac:dyDescent="0.3">
      <c r="A317" s="237" t="s">
        <v>60</v>
      </c>
      <c r="B317" s="238" t="s">
        <v>1674</v>
      </c>
      <c r="C317" s="238" t="s">
        <v>1675</v>
      </c>
      <c r="D317" s="238" t="s">
        <v>1676</v>
      </c>
      <c r="E317" s="239" t="s">
        <v>751</v>
      </c>
      <c r="F317" s="245" t="s">
        <v>15</v>
      </c>
      <c r="G317" s="245"/>
      <c r="H317" s="239" t="s">
        <v>751</v>
      </c>
      <c r="I317" s="247">
        <v>65.67</v>
      </c>
      <c r="J317" s="247"/>
      <c r="K317" s="242" t="s">
        <v>8</v>
      </c>
      <c r="L317" s="243">
        <v>7541459.4199999999</v>
      </c>
    </row>
    <row r="318" spans="1:12" ht="51" hidden="1" x14ac:dyDescent="0.3">
      <c r="A318" s="237" t="s">
        <v>60</v>
      </c>
      <c r="B318" s="238" t="s">
        <v>1674</v>
      </c>
      <c r="C318" s="238" t="s">
        <v>1675</v>
      </c>
      <c r="D318" s="238" t="s">
        <v>1676</v>
      </c>
      <c r="E318" s="239" t="s">
        <v>751</v>
      </c>
      <c r="F318" s="244">
        <v>65.67</v>
      </c>
      <c r="G318" s="244"/>
      <c r="H318" s="239" t="s">
        <v>751</v>
      </c>
      <c r="I318" s="241" t="s">
        <v>15</v>
      </c>
      <c r="J318" s="241"/>
      <c r="K318" s="242" t="s">
        <v>8</v>
      </c>
      <c r="L318" s="243">
        <v>1737227.11</v>
      </c>
    </row>
    <row r="319" spans="1:12" ht="51" hidden="1" x14ac:dyDescent="0.3">
      <c r="A319" s="237" t="s">
        <v>60</v>
      </c>
      <c r="B319" s="238" t="s">
        <v>1674</v>
      </c>
      <c r="C319" s="238" t="s">
        <v>1677</v>
      </c>
      <c r="D319" s="238" t="s">
        <v>1678</v>
      </c>
      <c r="E319" s="239" t="s">
        <v>751</v>
      </c>
      <c r="F319" s="244">
        <v>496.8</v>
      </c>
      <c r="G319" s="244"/>
      <c r="H319" s="239" t="s">
        <v>751</v>
      </c>
      <c r="I319" s="241" t="s">
        <v>15</v>
      </c>
      <c r="J319" s="241"/>
      <c r="K319" s="242" t="s">
        <v>8</v>
      </c>
      <c r="L319" s="243">
        <v>1737723.91</v>
      </c>
    </row>
    <row r="320" spans="1:12" ht="51" hidden="1" x14ac:dyDescent="0.3">
      <c r="A320" s="237" t="s">
        <v>60</v>
      </c>
      <c r="B320" s="238" t="s">
        <v>1674</v>
      </c>
      <c r="C320" s="238" t="s">
        <v>1677</v>
      </c>
      <c r="D320" s="238" t="s">
        <v>1678</v>
      </c>
      <c r="E320" s="239" t="s">
        <v>751</v>
      </c>
      <c r="F320" s="245" t="s">
        <v>15</v>
      </c>
      <c r="G320" s="245"/>
      <c r="H320" s="239" t="s">
        <v>751</v>
      </c>
      <c r="I320" s="247">
        <v>496.8</v>
      </c>
      <c r="J320" s="247"/>
      <c r="K320" s="242" t="s">
        <v>8</v>
      </c>
      <c r="L320" s="243">
        <v>7540962.6200000001</v>
      </c>
    </row>
    <row r="321" spans="1:12" ht="51" hidden="1" x14ac:dyDescent="0.3">
      <c r="A321" s="237" t="s">
        <v>60</v>
      </c>
      <c r="B321" s="238" t="s">
        <v>1679</v>
      </c>
      <c r="C321" s="238" t="s">
        <v>1680</v>
      </c>
      <c r="D321" s="238" t="s">
        <v>1681</v>
      </c>
      <c r="E321" s="239" t="s">
        <v>751</v>
      </c>
      <c r="F321" s="240">
        <v>33999</v>
      </c>
      <c r="G321" s="240"/>
      <c r="H321" s="239" t="s">
        <v>14</v>
      </c>
      <c r="I321" s="241" t="s">
        <v>15</v>
      </c>
      <c r="J321" s="241"/>
      <c r="K321" s="242" t="s">
        <v>8</v>
      </c>
      <c r="L321" s="243">
        <v>3831097.42</v>
      </c>
    </row>
    <row r="322" spans="1:12" ht="51" x14ac:dyDescent="0.3">
      <c r="A322" s="237" t="s">
        <v>60</v>
      </c>
      <c r="B322" s="238" t="s">
        <v>1682</v>
      </c>
      <c r="C322" s="238" t="s">
        <v>806</v>
      </c>
      <c r="D322" s="238" t="s">
        <v>1683</v>
      </c>
      <c r="E322" s="239" t="s">
        <v>105</v>
      </c>
      <c r="F322" s="245" t="s">
        <v>15</v>
      </c>
      <c r="G322" s="245"/>
      <c r="H322" s="239" t="s">
        <v>751</v>
      </c>
      <c r="I322" s="246">
        <v>1602.75</v>
      </c>
      <c r="J322" s="246"/>
      <c r="K322" s="242" t="s">
        <v>8</v>
      </c>
      <c r="L322" s="243">
        <v>2909.11</v>
      </c>
    </row>
    <row r="323" spans="1:12" ht="51" x14ac:dyDescent="0.3">
      <c r="A323" s="237" t="s">
        <v>60</v>
      </c>
      <c r="B323" s="238" t="s">
        <v>1682</v>
      </c>
      <c r="C323" s="238" t="s">
        <v>806</v>
      </c>
      <c r="D323" s="238" t="s">
        <v>1684</v>
      </c>
      <c r="E323" s="239" t="s">
        <v>105</v>
      </c>
      <c r="F323" s="245" t="s">
        <v>15</v>
      </c>
      <c r="G323" s="245"/>
      <c r="H323" s="239" t="s">
        <v>751</v>
      </c>
      <c r="I323" s="247">
        <v>3.19</v>
      </c>
      <c r="J323" s="247"/>
      <c r="K323" s="242" t="s">
        <v>8</v>
      </c>
      <c r="L323" s="243">
        <v>2905.92</v>
      </c>
    </row>
    <row r="324" spans="1:12" ht="51" x14ac:dyDescent="0.3">
      <c r="A324" s="237" t="s">
        <v>60</v>
      </c>
      <c r="B324" s="238" t="s">
        <v>1685</v>
      </c>
      <c r="C324" s="238" t="s">
        <v>806</v>
      </c>
      <c r="D324" s="238" t="s">
        <v>1686</v>
      </c>
      <c r="E324" s="239" t="s">
        <v>105</v>
      </c>
      <c r="F324" s="245" t="s">
        <v>15</v>
      </c>
      <c r="G324" s="245"/>
      <c r="H324" s="239" t="s">
        <v>751</v>
      </c>
      <c r="I324" s="246">
        <v>2940.6</v>
      </c>
      <c r="J324" s="246"/>
      <c r="K324" s="242" t="s">
        <v>8</v>
      </c>
      <c r="L324" s="243">
        <v>7538022.0199999996</v>
      </c>
    </row>
    <row r="325" spans="1:12" ht="51" x14ac:dyDescent="0.3">
      <c r="A325" s="237" t="s">
        <v>60</v>
      </c>
      <c r="B325" s="238" t="s">
        <v>1685</v>
      </c>
      <c r="C325" s="238" t="s">
        <v>806</v>
      </c>
      <c r="D325" s="238" t="s">
        <v>1439</v>
      </c>
      <c r="E325" s="239" t="s">
        <v>105</v>
      </c>
      <c r="F325" s="245" t="s">
        <v>15</v>
      </c>
      <c r="G325" s="245"/>
      <c r="H325" s="239" t="s">
        <v>751</v>
      </c>
      <c r="I325" s="246">
        <v>5760</v>
      </c>
      <c r="J325" s="246"/>
      <c r="K325" s="242" t="s">
        <v>8</v>
      </c>
      <c r="L325" s="243">
        <v>7532262.0199999996</v>
      </c>
    </row>
    <row r="326" spans="1:12" ht="51" x14ac:dyDescent="0.3">
      <c r="A326" s="237" t="s">
        <v>60</v>
      </c>
      <c r="B326" s="238" t="s">
        <v>1687</v>
      </c>
      <c r="C326" s="238" t="s">
        <v>806</v>
      </c>
      <c r="D326" s="238" t="s">
        <v>1688</v>
      </c>
      <c r="E326" s="239" t="s">
        <v>105</v>
      </c>
      <c r="F326" s="245" t="s">
        <v>15</v>
      </c>
      <c r="G326" s="245"/>
      <c r="H326" s="239" t="s">
        <v>751</v>
      </c>
      <c r="I326" s="246">
        <v>11621.66</v>
      </c>
      <c r="J326" s="246"/>
      <c r="K326" s="242" t="s">
        <v>8</v>
      </c>
      <c r="L326" s="243">
        <v>1726102.25</v>
      </c>
    </row>
    <row r="327" spans="1:12" ht="51" x14ac:dyDescent="0.3">
      <c r="A327" s="237" t="s">
        <v>60</v>
      </c>
      <c r="B327" s="238" t="s">
        <v>1687</v>
      </c>
      <c r="C327" s="238" t="s">
        <v>806</v>
      </c>
      <c r="D327" s="238" t="s">
        <v>1675</v>
      </c>
      <c r="E327" s="239" t="s">
        <v>105</v>
      </c>
      <c r="F327" s="245" t="s">
        <v>15</v>
      </c>
      <c r="G327" s="245"/>
      <c r="H327" s="239" t="s">
        <v>751</v>
      </c>
      <c r="I327" s="247">
        <v>65.67</v>
      </c>
      <c r="J327" s="247"/>
      <c r="K327" s="242" t="s">
        <v>8</v>
      </c>
      <c r="L327" s="243">
        <v>1726036.58</v>
      </c>
    </row>
    <row r="328" spans="1:12" ht="51" x14ac:dyDescent="0.3">
      <c r="A328" s="237" t="s">
        <v>60</v>
      </c>
      <c r="B328" s="238" t="s">
        <v>1687</v>
      </c>
      <c r="C328" s="238" t="s">
        <v>806</v>
      </c>
      <c r="D328" s="238" t="s">
        <v>1677</v>
      </c>
      <c r="E328" s="239" t="s">
        <v>105</v>
      </c>
      <c r="F328" s="245" t="s">
        <v>15</v>
      </c>
      <c r="G328" s="245"/>
      <c r="H328" s="239" t="s">
        <v>751</v>
      </c>
      <c r="I328" s="247">
        <v>496.8</v>
      </c>
      <c r="J328" s="247"/>
      <c r="K328" s="242" t="s">
        <v>8</v>
      </c>
      <c r="L328" s="243">
        <v>1725539.78</v>
      </c>
    </row>
    <row r="329" spans="1:12" ht="51" x14ac:dyDescent="0.3">
      <c r="A329" s="237" t="s">
        <v>60</v>
      </c>
      <c r="B329" s="238" t="s">
        <v>1689</v>
      </c>
      <c r="C329" s="238" t="s">
        <v>806</v>
      </c>
      <c r="D329" s="238" t="s">
        <v>1690</v>
      </c>
      <c r="E329" s="239" t="s">
        <v>105</v>
      </c>
      <c r="F329" s="245" t="s">
        <v>15</v>
      </c>
      <c r="G329" s="245"/>
      <c r="H329" s="239" t="s">
        <v>751</v>
      </c>
      <c r="I329" s="246">
        <v>10184</v>
      </c>
      <c r="J329" s="246"/>
      <c r="K329" s="242" t="s">
        <v>8</v>
      </c>
      <c r="L329" s="243">
        <v>966879.61</v>
      </c>
    </row>
    <row r="330" spans="1:12" ht="51" x14ac:dyDescent="0.3">
      <c r="A330" s="237" t="s">
        <v>60</v>
      </c>
      <c r="B330" s="238" t="s">
        <v>1689</v>
      </c>
      <c r="C330" s="238" t="s">
        <v>806</v>
      </c>
      <c r="D330" s="238" t="s">
        <v>1691</v>
      </c>
      <c r="E330" s="239" t="s">
        <v>105</v>
      </c>
      <c r="F330" s="245" t="s">
        <v>15</v>
      </c>
      <c r="G330" s="245"/>
      <c r="H330" s="239" t="s">
        <v>751</v>
      </c>
      <c r="I330" s="246">
        <v>1590</v>
      </c>
      <c r="J330" s="246"/>
      <c r="K330" s="242" t="s">
        <v>8</v>
      </c>
      <c r="L330" s="243">
        <v>965289.61</v>
      </c>
    </row>
    <row r="331" spans="1:12" ht="51" x14ac:dyDescent="0.3">
      <c r="A331" s="237" t="s">
        <v>60</v>
      </c>
      <c r="B331" s="238" t="s">
        <v>1692</v>
      </c>
      <c r="C331" s="238" t="s">
        <v>806</v>
      </c>
      <c r="D331" s="238" t="s">
        <v>1693</v>
      </c>
      <c r="E331" s="239" t="s">
        <v>105</v>
      </c>
      <c r="F331" s="245" t="s">
        <v>15</v>
      </c>
      <c r="G331" s="245"/>
      <c r="H331" s="239" t="s">
        <v>751</v>
      </c>
      <c r="I331" s="246">
        <v>1980.23</v>
      </c>
      <c r="J331" s="246"/>
      <c r="K331" s="242" t="s">
        <v>8</v>
      </c>
      <c r="L331" s="243">
        <v>173204.48000000001</v>
      </c>
    </row>
    <row r="332" spans="1:12" ht="61.2" x14ac:dyDescent="0.3">
      <c r="A332" s="237" t="s">
        <v>60</v>
      </c>
      <c r="B332" s="238" t="s">
        <v>1694</v>
      </c>
      <c r="C332" s="238" t="s">
        <v>806</v>
      </c>
      <c r="D332" s="238" t="s">
        <v>1695</v>
      </c>
      <c r="E332" s="239" t="s">
        <v>105</v>
      </c>
      <c r="F332" s="245" t="s">
        <v>15</v>
      </c>
      <c r="G332" s="245"/>
      <c r="H332" s="239" t="s">
        <v>751</v>
      </c>
      <c r="I332" s="246">
        <v>1833.7</v>
      </c>
      <c r="J332" s="246"/>
      <c r="K332" s="242" t="s">
        <v>8</v>
      </c>
      <c r="L332" s="243">
        <v>7251661.6500000004</v>
      </c>
    </row>
    <row r="333" spans="1:12" ht="61.2" x14ac:dyDescent="0.3">
      <c r="A333" s="237" t="s">
        <v>60</v>
      </c>
      <c r="B333" s="238" t="s">
        <v>1694</v>
      </c>
      <c r="C333" s="238" t="s">
        <v>806</v>
      </c>
      <c r="D333" s="238" t="s">
        <v>1696</v>
      </c>
      <c r="E333" s="239" t="s">
        <v>105</v>
      </c>
      <c r="F333" s="245" t="s">
        <v>15</v>
      </c>
      <c r="G333" s="245"/>
      <c r="H333" s="239" t="s">
        <v>751</v>
      </c>
      <c r="I333" s="246">
        <v>1186.8</v>
      </c>
      <c r="J333" s="246"/>
      <c r="K333" s="242" t="s">
        <v>8</v>
      </c>
      <c r="L333" s="243">
        <v>7250474.8499999996</v>
      </c>
    </row>
    <row r="334" spans="1:12" ht="61.2" x14ac:dyDescent="0.3">
      <c r="A334" s="237" t="s">
        <v>60</v>
      </c>
      <c r="B334" s="238" t="s">
        <v>1694</v>
      </c>
      <c r="C334" s="238" t="s">
        <v>806</v>
      </c>
      <c r="D334" s="238" t="s">
        <v>1697</v>
      </c>
      <c r="E334" s="239" t="s">
        <v>105</v>
      </c>
      <c r="F334" s="245" t="s">
        <v>15</v>
      </c>
      <c r="G334" s="245"/>
      <c r="H334" s="239" t="s">
        <v>751</v>
      </c>
      <c r="I334" s="246">
        <v>2901.4</v>
      </c>
      <c r="J334" s="246"/>
      <c r="K334" s="242" t="s">
        <v>8</v>
      </c>
      <c r="L334" s="243">
        <v>7247573.4500000002</v>
      </c>
    </row>
    <row r="335" spans="1:12" ht="61.2" x14ac:dyDescent="0.3">
      <c r="A335" s="237" t="s">
        <v>60</v>
      </c>
      <c r="B335" s="238" t="s">
        <v>1694</v>
      </c>
      <c r="C335" s="238" t="s">
        <v>806</v>
      </c>
      <c r="D335" s="238" t="s">
        <v>1698</v>
      </c>
      <c r="E335" s="239" t="s">
        <v>105</v>
      </c>
      <c r="F335" s="245" t="s">
        <v>15</v>
      </c>
      <c r="G335" s="245"/>
      <c r="H335" s="239" t="s">
        <v>751</v>
      </c>
      <c r="I335" s="246">
        <v>2318.1999999999998</v>
      </c>
      <c r="J335" s="246"/>
      <c r="K335" s="242" t="s">
        <v>8</v>
      </c>
      <c r="L335" s="243">
        <v>7245255.25</v>
      </c>
    </row>
    <row r="336" spans="1:12" ht="61.2" x14ac:dyDescent="0.3">
      <c r="A336" s="237" t="s">
        <v>60</v>
      </c>
      <c r="B336" s="238" t="s">
        <v>1694</v>
      </c>
      <c r="C336" s="238" t="s">
        <v>806</v>
      </c>
      <c r="D336" s="238" t="s">
        <v>1699</v>
      </c>
      <c r="E336" s="239" t="s">
        <v>105</v>
      </c>
      <c r="F336" s="245" t="s">
        <v>15</v>
      </c>
      <c r="G336" s="245"/>
      <c r="H336" s="239" t="s">
        <v>751</v>
      </c>
      <c r="I336" s="246">
        <v>129536.8</v>
      </c>
      <c r="J336" s="246"/>
      <c r="K336" s="242" t="s">
        <v>8</v>
      </c>
      <c r="L336" s="243">
        <v>7115718.4500000002</v>
      </c>
    </row>
    <row r="337" spans="1:12" ht="61.2" x14ac:dyDescent="0.3">
      <c r="A337" s="237" t="s">
        <v>60</v>
      </c>
      <c r="B337" s="238" t="s">
        <v>1694</v>
      </c>
      <c r="C337" s="238" t="s">
        <v>806</v>
      </c>
      <c r="D337" s="238" t="s">
        <v>1700</v>
      </c>
      <c r="E337" s="239" t="s">
        <v>105</v>
      </c>
      <c r="F337" s="245" t="s">
        <v>15</v>
      </c>
      <c r="G337" s="245"/>
      <c r="H337" s="239" t="s">
        <v>751</v>
      </c>
      <c r="I337" s="246">
        <v>3040.9</v>
      </c>
      <c r="J337" s="246"/>
      <c r="K337" s="242" t="s">
        <v>8</v>
      </c>
      <c r="L337" s="243">
        <v>7112677.5499999998</v>
      </c>
    </row>
    <row r="338" spans="1:12" ht="61.2" x14ac:dyDescent="0.3">
      <c r="A338" s="237" t="s">
        <v>60</v>
      </c>
      <c r="B338" s="238" t="s">
        <v>1694</v>
      </c>
      <c r="C338" s="238" t="s">
        <v>806</v>
      </c>
      <c r="D338" s="238" t="s">
        <v>1701</v>
      </c>
      <c r="E338" s="239" t="s">
        <v>105</v>
      </c>
      <c r="F338" s="245" t="s">
        <v>15</v>
      </c>
      <c r="G338" s="245"/>
      <c r="H338" s="239" t="s">
        <v>751</v>
      </c>
      <c r="I338" s="246">
        <v>6740.1</v>
      </c>
      <c r="J338" s="246"/>
      <c r="K338" s="242" t="s">
        <v>8</v>
      </c>
      <c r="L338" s="243">
        <v>7105937.4500000002</v>
      </c>
    </row>
    <row r="339" spans="1:12" ht="61.2" x14ac:dyDescent="0.3">
      <c r="A339" s="237" t="s">
        <v>60</v>
      </c>
      <c r="B339" s="238" t="s">
        <v>1694</v>
      </c>
      <c r="C339" s="238" t="s">
        <v>806</v>
      </c>
      <c r="D339" s="238" t="s">
        <v>1702</v>
      </c>
      <c r="E339" s="239" t="s">
        <v>105</v>
      </c>
      <c r="F339" s="245" t="s">
        <v>15</v>
      </c>
      <c r="G339" s="245"/>
      <c r="H339" s="239" t="s">
        <v>751</v>
      </c>
      <c r="I339" s="246">
        <v>13593.9</v>
      </c>
      <c r="J339" s="246"/>
      <c r="K339" s="242" t="s">
        <v>8</v>
      </c>
      <c r="L339" s="243">
        <v>7092343.5499999998</v>
      </c>
    </row>
    <row r="340" spans="1:12" ht="61.2" x14ac:dyDescent="0.3">
      <c r="A340" s="237" t="s">
        <v>60</v>
      </c>
      <c r="B340" s="238" t="s">
        <v>1694</v>
      </c>
      <c r="C340" s="238" t="s">
        <v>806</v>
      </c>
      <c r="D340" s="238" t="s">
        <v>1703</v>
      </c>
      <c r="E340" s="239" t="s">
        <v>105</v>
      </c>
      <c r="F340" s="245" t="s">
        <v>15</v>
      </c>
      <c r="G340" s="245"/>
      <c r="H340" s="239" t="s">
        <v>751</v>
      </c>
      <c r="I340" s="246">
        <v>2573.8000000000002</v>
      </c>
      <c r="J340" s="246"/>
      <c r="K340" s="242" t="s">
        <v>8</v>
      </c>
      <c r="L340" s="243">
        <v>7089769.75</v>
      </c>
    </row>
    <row r="341" spans="1:12" ht="61.2" x14ac:dyDescent="0.3">
      <c r="A341" s="237" t="s">
        <v>60</v>
      </c>
      <c r="B341" s="238" t="s">
        <v>1694</v>
      </c>
      <c r="C341" s="238" t="s">
        <v>806</v>
      </c>
      <c r="D341" s="238" t="s">
        <v>1704</v>
      </c>
      <c r="E341" s="239" t="s">
        <v>105</v>
      </c>
      <c r="F341" s="245" t="s">
        <v>15</v>
      </c>
      <c r="G341" s="245"/>
      <c r="H341" s="239" t="s">
        <v>751</v>
      </c>
      <c r="I341" s="246">
        <v>8653.2999999999993</v>
      </c>
      <c r="J341" s="246"/>
      <c r="K341" s="242" t="s">
        <v>8</v>
      </c>
      <c r="L341" s="243">
        <v>7081116.4500000002</v>
      </c>
    </row>
    <row r="342" spans="1:12" ht="61.2" x14ac:dyDescent="0.3">
      <c r="A342" s="237" t="s">
        <v>60</v>
      </c>
      <c r="B342" s="238" t="s">
        <v>1694</v>
      </c>
      <c r="C342" s="238" t="s">
        <v>806</v>
      </c>
      <c r="D342" s="238" t="s">
        <v>1705</v>
      </c>
      <c r="E342" s="239" t="s">
        <v>105</v>
      </c>
      <c r="F342" s="245" t="s">
        <v>15</v>
      </c>
      <c r="G342" s="245"/>
      <c r="H342" s="239" t="s">
        <v>751</v>
      </c>
      <c r="I342" s="246">
        <v>8850</v>
      </c>
      <c r="J342" s="246"/>
      <c r="K342" s="242" t="s">
        <v>8</v>
      </c>
      <c r="L342" s="243">
        <v>7072266.4500000002</v>
      </c>
    </row>
    <row r="343" spans="1:12" ht="61.2" x14ac:dyDescent="0.3">
      <c r="A343" s="237" t="s">
        <v>60</v>
      </c>
      <c r="B343" s="238" t="s">
        <v>1694</v>
      </c>
      <c r="C343" s="238" t="s">
        <v>806</v>
      </c>
      <c r="D343" s="238" t="s">
        <v>1706</v>
      </c>
      <c r="E343" s="239" t="s">
        <v>105</v>
      </c>
      <c r="F343" s="245" t="s">
        <v>15</v>
      </c>
      <c r="G343" s="245"/>
      <c r="H343" s="239" t="s">
        <v>751</v>
      </c>
      <c r="I343" s="246">
        <v>1795</v>
      </c>
      <c r="J343" s="246"/>
      <c r="K343" s="242" t="s">
        <v>8</v>
      </c>
      <c r="L343" s="243">
        <v>7070471.4500000002</v>
      </c>
    </row>
    <row r="344" spans="1:12" ht="61.2" x14ac:dyDescent="0.3">
      <c r="A344" s="237" t="s">
        <v>60</v>
      </c>
      <c r="B344" s="238" t="s">
        <v>1694</v>
      </c>
      <c r="C344" s="238" t="s">
        <v>806</v>
      </c>
      <c r="D344" s="238" t="s">
        <v>1707</v>
      </c>
      <c r="E344" s="239" t="s">
        <v>105</v>
      </c>
      <c r="F344" s="245" t="s">
        <v>15</v>
      </c>
      <c r="G344" s="245"/>
      <c r="H344" s="239" t="s">
        <v>751</v>
      </c>
      <c r="I344" s="246">
        <v>9782.5</v>
      </c>
      <c r="J344" s="246"/>
      <c r="K344" s="242" t="s">
        <v>8</v>
      </c>
      <c r="L344" s="243">
        <v>7060688.9500000002</v>
      </c>
    </row>
    <row r="345" spans="1:12" ht="61.2" x14ac:dyDescent="0.3">
      <c r="A345" s="237" t="s">
        <v>60</v>
      </c>
      <c r="B345" s="238" t="s">
        <v>1694</v>
      </c>
      <c r="C345" s="238" t="s">
        <v>806</v>
      </c>
      <c r="D345" s="238" t="s">
        <v>1708</v>
      </c>
      <c r="E345" s="239" t="s">
        <v>105</v>
      </c>
      <c r="F345" s="245" t="s">
        <v>15</v>
      </c>
      <c r="G345" s="245"/>
      <c r="H345" s="239" t="s">
        <v>751</v>
      </c>
      <c r="I345" s="246">
        <v>3938.8</v>
      </c>
      <c r="J345" s="246"/>
      <c r="K345" s="242" t="s">
        <v>8</v>
      </c>
      <c r="L345" s="243">
        <v>7056750.1500000004</v>
      </c>
    </row>
    <row r="346" spans="1:12" ht="61.2" x14ac:dyDescent="0.3">
      <c r="A346" s="237" t="s">
        <v>60</v>
      </c>
      <c r="B346" s="238" t="s">
        <v>1694</v>
      </c>
      <c r="C346" s="238" t="s">
        <v>806</v>
      </c>
      <c r="D346" s="238" t="s">
        <v>1709</v>
      </c>
      <c r="E346" s="239" t="s">
        <v>105</v>
      </c>
      <c r="F346" s="245" t="s">
        <v>15</v>
      </c>
      <c r="G346" s="245"/>
      <c r="H346" s="239" t="s">
        <v>751</v>
      </c>
      <c r="I346" s="246">
        <v>2425.9</v>
      </c>
      <c r="J346" s="246"/>
      <c r="K346" s="242" t="s">
        <v>8</v>
      </c>
      <c r="L346" s="243">
        <v>7054324.25</v>
      </c>
    </row>
    <row r="347" spans="1:12" ht="61.2" x14ac:dyDescent="0.3">
      <c r="A347" s="237" t="s">
        <v>60</v>
      </c>
      <c r="B347" s="238" t="s">
        <v>1694</v>
      </c>
      <c r="C347" s="238" t="s">
        <v>806</v>
      </c>
      <c r="D347" s="238" t="s">
        <v>1710</v>
      </c>
      <c r="E347" s="239" t="s">
        <v>105</v>
      </c>
      <c r="F347" s="245" t="s">
        <v>15</v>
      </c>
      <c r="G347" s="245"/>
      <c r="H347" s="239" t="s">
        <v>751</v>
      </c>
      <c r="I347" s="246">
        <v>4624.3999999999996</v>
      </c>
      <c r="J347" s="246"/>
      <c r="K347" s="242" t="s">
        <v>8</v>
      </c>
      <c r="L347" s="243">
        <v>7049699.8499999996</v>
      </c>
    </row>
    <row r="348" spans="1:12" ht="61.2" x14ac:dyDescent="0.3">
      <c r="A348" s="237" t="s">
        <v>60</v>
      </c>
      <c r="B348" s="238" t="s">
        <v>1694</v>
      </c>
      <c r="C348" s="238" t="s">
        <v>806</v>
      </c>
      <c r="D348" s="238" t="s">
        <v>1711</v>
      </c>
      <c r="E348" s="239" t="s">
        <v>105</v>
      </c>
      <c r="F348" s="245" t="s">
        <v>15</v>
      </c>
      <c r="G348" s="245"/>
      <c r="H348" s="239" t="s">
        <v>751</v>
      </c>
      <c r="I348" s="246">
        <v>1964.1</v>
      </c>
      <c r="J348" s="246"/>
      <c r="K348" s="242" t="s">
        <v>8</v>
      </c>
      <c r="L348" s="243">
        <v>7047735.75</v>
      </c>
    </row>
    <row r="349" spans="1:12" ht="61.2" x14ac:dyDescent="0.3">
      <c r="A349" s="237" t="s">
        <v>60</v>
      </c>
      <c r="B349" s="238" t="s">
        <v>1694</v>
      </c>
      <c r="C349" s="238" t="s">
        <v>806</v>
      </c>
      <c r="D349" s="238" t="s">
        <v>1712</v>
      </c>
      <c r="E349" s="239" t="s">
        <v>105</v>
      </c>
      <c r="F349" s="245" t="s">
        <v>15</v>
      </c>
      <c r="G349" s="245"/>
      <c r="H349" s="239" t="s">
        <v>751</v>
      </c>
      <c r="I349" s="246">
        <v>27884.3</v>
      </c>
      <c r="J349" s="246"/>
      <c r="K349" s="242" t="s">
        <v>8</v>
      </c>
      <c r="L349" s="243">
        <v>7019851.4500000002</v>
      </c>
    </row>
    <row r="350" spans="1:12" ht="61.2" x14ac:dyDescent="0.3">
      <c r="A350" s="237" t="s">
        <v>60</v>
      </c>
      <c r="B350" s="238" t="s">
        <v>1694</v>
      </c>
      <c r="C350" s="238" t="s">
        <v>806</v>
      </c>
      <c r="D350" s="238" t="s">
        <v>1713</v>
      </c>
      <c r="E350" s="239" t="s">
        <v>105</v>
      </c>
      <c r="F350" s="245" t="s">
        <v>15</v>
      </c>
      <c r="G350" s="245"/>
      <c r="H350" s="239" t="s">
        <v>751</v>
      </c>
      <c r="I350" s="246">
        <v>2519.1999999999998</v>
      </c>
      <c r="J350" s="246"/>
      <c r="K350" s="242" t="s">
        <v>8</v>
      </c>
      <c r="L350" s="243">
        <v>7017332.25</v>
      </c>
    </row>
    <row r="351" spans="1:12" ht="61.2" x14ac:dyDescent="0.3">
      <c r="A351" s="237" t="s">
        <v>60</v>
      </c>
      <c r="B351" s="238" t="s">
        <v>1694</v>
      </c>
      <c r="C351" s="238" t="s">
        <v>806</v>
      </c>
      <c r="D351" s="238" t="s">
        <v>1714</v>
      </c>
      <c r="E351" s="239" t="s">
        <v>105</v>
      </c>
      <c r="F351" s="245" t="s">
        <v>15</v>
      </c>
      <c r="G351" s="245"/>
      <c r="H351" s="239" t="s">
        <v>751</v>
      </c>
      <c r="I351" s="246">
        <v>3399.6</v>
      </c>
      <c r="J351" s="246"/>
      <c r="K351" s="242" t="s">
        <v>8</v>
      </c>
      <c r="L351" s="243">
        <v>7013932.6500000004</v>
      </c>
    </row>
    <row r="352" spans="1:12" ht="61.2" x14ac:dyDescent="0.3">
      <c r="A352" s="237" t="s">
        <v>60</v>
      </c>
      <c r="B352" s="238" t="s">
        <v>1694</v>
      </c>
      <c r="C352" s="238" t="s">
        <v>806</v>
      </c>
      <c r="D352" s="238" t="s">
        <v>1715</v>
      </c>
      <c r="E352" s="239" t="s">
        <v>105</v>
      </c>
      <c r="F352" s="245" t="s">
        <v>15</v>
      </c>
      <c r="G352" s="245"/>
      <c r="H352" s="239" t="s">
        <v>751</v>
      </c>
      <c r="I352" s="246">
        <v>2585.9</v>
      </c>
      <c r="J352" s="246"/>
      <c r="K352" s="242" t="s">
        <v>8</v>
      </c>
      <c r="L352" s="243">
        <v>7011346.75</v>
      </c>
    </row>
    <row r="353" spans="1:12" ht="61.2" x14ac:dyDescent="0.3">
      <c r="A353" s="237" t="s">
        <v>60</v>
      </c>
      <c r="B353" s="238" t="s">
        <v>1694</v>
      </c>
      <c r="C353" s="238" t="s">
        <v>806</v>
      </c>
      <c r="D353" s="238" t="s">
        <v>1716</v>
      </c>
      <c r="E353" s="239" t="s">
        <v>105</v>
      </c>
      <c r="F353" s="245" t="s">
        <v>15</v>
      </c>
      <c r="G353" s="245"/>
      <c r="H353" s="239" t="s">
        <v>751</v>
      </c>
      <c r="I353" s="246">
        <v>3356.4</v>
      </c>
      <c r="J353" s="246"/>
      <c r="K353" s="242" t="s">
        <v>8</v>
      </c>
      <c r="L353" s="243">
        <v>7007990.3499999996</v>
      </c>
    </row>
    <row r="354" spans="1:12" ht="61.2" x14ac:dyDescent="0.3">
      <c r="A354" s="237" t="s">
        <v>60</v>
      </c>
      <c r="B354" s="238" t="s">
        <v>1694</v>
      </c>
      <c r="C354" s="238" t="s">
        <v>806</v>
      </c>
      <c r="D354" s="238" t="s">
        <v>1717</v>
      </c>
      <c r="E354" s="239" t="s">
        <v>105</v>
      </c>
      <c r="F354" s="245" t="s">
        <v>15</v>
      </c>
      <c r="G354" s="245"/>
      <c r="H354" s="239" t="s">
        <v>751</v>
      </c>
      <c r="I354" s="246">
        <v>9529.2000000000007</v>
      </c>
      <c r="J354" s="246"/>
      <c r="K354" s="242" t="s">
        <v>8</v>
      </c>
      <c r="L354" s="243">
        <v>6998461.1500000004</v>
      </c>
    </row>
    <row r="355" spans="1:12" ht="61.2" x14ac:dyDescent="0.3">
      <c r="A355" s="237" t="s">
        <v>60</v>
      </c>
      <c r="B355" s="238" t="s">
        <v>1694</v>
      </c>
      <c r="C355" s="238" t="s">
        <v>806</v>
      </c>
      <c r="D355" s="238" t="s">
        <v>1718</v>
      </c>
      <c r="E355" s="239" t="s">
        <v>105</v>
      </c>
      <c r="F355" s="245" t="s">
        <v>15</v>
      </c>
      <c r="G355" s="245"/>
      <c r="H355" s="239" t="s">
        <v>751</v>
      </c>
      <c r="I355" s="246">
        <v>7801.8</v>
      </c>
      <c r="J355" s="246"/>
      <c r="K355" s="242" t="s">
        <v>8</v>
      </c>
      <c r="L355" s="243">
        <v>6990659.3499999996</v>
      </c>
    </row>
    <row r="356" spans="1:12" ht="61.2" x14ac:dyDescent="0.3">
      <c r="A356" s="237" t="s">
        <v>60</v>
      </c>
      <c r="B356" s="238" t="s">
        <v>1694</v>
      </c>
      <c r="C356" s="238" t="s">
        <v>806</v>
      </c>
      <c r="D356" s="238" t="s">
        <v>1719</v>
      </c>
      <c r="E356" s="239" t="s">
        <v>105</v>
      </c>
      <c r="F356" s="245" t="s">
        <v>15</v>
      </c>
      <c r="G356" s="245"/>
      <c r="H356" s="239" t="s">
        <v>751</v>
      </c>
      <c r="I356" s="246">
        <v>3006.8</v>
      </c>
      <c r="J356" s="246"/>
      <c r="K356" s="242" t="s">
        <v>8</v>
      </c>
      <c r="L356" s="243">
        <v>6987652.5499999998</v>
      </c>
    </row>
    <row r="357" spans="1:12" ht="61.2" x14ac:dyDescent="0.3">
      <c r="A357" s="237" t="s">
        <v>60</v>
      </c>
      <c r="B357" s="238" t="s">
        <v>1694</v>
      </c>
      <c r="C357" s="238" t="s">
        <v>806</v>
      </c>
      <c r="D357" s="238" t="s">
        <v>1720</v>
      </c>
      <c r="E357" s="239" t="s">
        <v>105</v>
      </c>
      <c r="F357" s="245" t="s">
        <v>15</v>
      </c>
      <c r="G357" s="245"/>
      <c r="H357" s="239" t="s">
        <v>751</v>
      </c>
      <c r="I357" s="246">
        <v>9873.4</v>
      </c>
      <c r="J357" s="246"/>
      <c r="K357" s="242" t="s">
        <v>8</v>
      </c>
      <c r="L357" s="243">
        <v>6977779.1500000004</v>
      </c>
    </row>
    <row r="358" spans="1:12" ht="61.2" x14ac:dyDescent="0.3">
      <c r="A358" s="237" t="s">
        <v>60</v>
      </c>
      <c r="B358" s="238" t="s">
        <v>1694</v>
      </c>
      <c r="C358" s="238" t="s">
        <v>806</v>
      </c>
      <c r="D358" s="238" t="s">
        <v>1721</v>
      </c>
      <c r="E358" s="239" t="s">
        <v>105</v>
      </c>
      <c r="F358" s="245" t="s">
        <v>15</v>
      </c>
      <c r="G358" s="245"/>
      <c r="H358" s="239" t="s">
        <v>751</v>
      </c>
      <c r="I358" s="246">
        <v>3520.9</v>
      </c>
      <c r="J358" s="246"/>
      <c r="K358" s="242" t="s">
        <v>8</v>
      </c>
      <c r="L358" s="243">
        <v>6974258.25</v>
      </c>
    </row>
    <row r="359" spans="1:12" ht="61.2" x14ac:dyDescent="0.3">
      <c r="A359" s="237" t="s">
        <v>60</v>
      </c>
      <c r="B359" s="238" t="s">
        <v>1694</v>
      </c>
      <c r="C359" s="238" t="s">
        <v>806</v>
      </c>
      <c r="D359" s="238" t="s">
        <v>1722</v>
      </c>
      <c r="E359" s="239" t="s">
        <v>105</v>
      </c>
      <c r="F359" s="245" t="s">
        <v>15</v>
      </c>
      <c r="G359" s="245"/>
      <c r="H359" s="239" t="s">
        <v>751</v>
      </c>
      <c r="I359" s="246">
        <v>3096.3</v>
      </c>
      <c r="J359" s="246"/>
      <c r="K359" s="242" t="s">
        <v>8</v>
      </c>
      <c r="L359" s="243">
        <v>6971161.9500000002</v>
      </c>
    </row>
    <row r="360" spans="1:12" ht="61.2" x14ac:dyDescent="0.3">
      <c r="A360" s="237" t="s">
        <v>60</v>
      </c>
      <c r="B360" s="238" t="s">
        <v>1694</v>
      </c>
      <c r="C360" s="238" t="s">
        <v>806</v>
      </c>
      <c r="D360" s="238" t="s">
        <v>1723</v>
      </c>
      <c r="E360" s="239" t="s">
        <v>105</v>
      </c>
      <c r="F360" s="245" t="s">
        <v>15</v>
      </c>
      <c r="G360" s="245"/>
      <c r="H360" s="239" t="s">
        <v>751</v>
      </c>
      <c r="I360" s="246">
        <v>2819.5</v>
      </c>
      <c r="J360" s="246"/>
      <c r="K360" s="242" t="s">
        <v>8</v>
      </c>
      <c r="L360" s="243">
        <v>6968342.4500000002</v>
      </c>
    </row>
    <row r="361" spans="1:12" ht="61.2" x14ac:dyDescent="0.3">
      <c r="A361" s="237" t="s">
        <v>60</v>
      </c>
      <c r="B361" s="238" t="s">
        <v>1694</v>
      </c>
      <c r="C361" s="238" t="s">
        <v>806</v>
      </c>
      <c r="D361" s="238" t="s">
        <v>1724</v>
      </c>
      <c r="E361" s="239" t="s">
        <v>105</v>
      </c>
      <c r="F361" s="245" t="s">
        <v>15</v>
      </c>
      <c r="G361" s="245"/>
      <c r="H361" s="239" t="s">
        <v>751</v>
      </c>
      <c r="I361" s="246">
        <v>14088.4</v>
      </c>
      <c r="J361" s="246"/>
      <c r="K361" s="242" t="s">
        <v>8</v>
      </c>
      <c r="L361" s="243">
        <v>6954254.0499999998</v>
      </c>
    </row>
    <row r="362" spans="1:12" ht="61.2" x14ac:dyDescent="0.3">
      <c r="A362" s="237" t="s">
        <v>60</v>
      </c>
      <c r="B362" s="238" t="s">
        <v>1694</v>
      </c>
      <c r="C362" s="238" t="s">
        <v>806</v>
      </c>
      <c r="D362" s="238" t="s">
        <v>1725</v>
      </c>
      <c r="E362" s="239" t="s">
        <v>105</v>
      </c>
      <c r="F362" s="245" t="s">
        <v>15</v>
      </c>
      <c r="G362" s="245"/>
      <c r="H362" s="239" t="s">
        <v>751</v>
      </c>
      <c r="I362" s="246">
        <v>4268.7</v>
      </c>
      <c r="J362" s="246"/>
      <c r="K362" s="242" t="s">
        <v>8</v>
      </c>
      <c r="L362" s="243">
        <v>6949985.3499999996</v>
      </c>
    </row>
    <row r="363" spans="1:12" ht="61.2" x14ac:dyDescent="0.3">
      <c r="A363" s="237" t="s">
        <v>60</v>
      </c>
      <c r="B363" s="238" t="s">
        <v>1694</v>
      </c>
      <c r="C363" s="238" t="s">
        <v>806</v>
      </c>
      <c r="D363" s="238" t="s">
        <v>1726</v>
      </c>
      <c r="E363" s="239" t="s">
        <v>105</v>
      </c>
      <c r="F363" s="245" t="s">
        <v>15</v>
      </c>
      <c r="G363" s="245"/>
      <c r="H363" s="239" t="s">
        <v>751</v>
      </c>
      <c r="I363" s="246">
        <v>1421.9</v>
      </c>
      <c r="J363" s="246"/>
      <c r="K363" s="242" t="s">
        <v>8</v>
      </c>
      <c r="L363" s="243">
        <v>6948563.4500000002</v>
      </c>
    </row>
    <row r="364" spans="1:12" ht="61.2" x14ac:dyDescent="0.3">
      <c r="A364" s="237" t="s">
        <v>60</v>
      </c>
      <c r="B364" s="238" t="s">
        <v>1694</v>
      </c>
      <c r="C364" s="238" t="s">
        <v>806</v>
      </c>
      <c r="D364" s="238" t="s">
        <v>1727</v>
      </c>
      <c r="E364" s="239" t="s">
        <v>105</v>
      </c>
      <c r="F364" s="245" t="s">
        <v>15</v>
      </c>
      <c r="G364" s="245"/>
      <c r="H364" s="239" t="s">
        <v>751</v>
      </c>
      <c r="I364" s="246">
        <v>2726.9</v>
      </c>
      <c r="J364" s="246"/>
      <c r="K364" s="242" t="s">
        <v>8</v>
      </c>
      <c r="L364" s="243">
        <v>6945836.5499999998</v>
      </c>
    </row>
    <row r="365" spans="1:12" ht="61.2" x14ac:dyDescent="0.3">
      <c r="A365" s="237" t="s">
        <v>60</v>
      </c>
      <c r="B365" s="238" t="s">
        <v>1694</v>
      </c>
      <c r="C365" s="238" t="s">
        <v>806</v>
      </c>
      <c r="D365" s="238" t="s">
        <v>1728</v>
      </c>
      <c r="E365" s="239" t="s">
        <v>105</v>
      </c>
      <c r="F365" s="245" t="s">
        <v>15</v>
      </c>
      <c r="G365" s="245"/>
      <c r="H365" s="239" t="s">
        <v>751</v>
      </c>
      <c r="I365" s="246">
        <v>1634.2</v>
      </c>
      <c r="J365" s="246"/>
      <c r="K365" s="242" t="s">
        <v>8</v>
      </c>
      <c r="L365" s="243">
        <v>6944202.3499999996</v>
      </c>
    </row>
    <row r="366" spans="1:12" ht="61.2" x14ac:dyDescent="0.3">
      <c r="A366" s="237" t="s">
        <v>60</v>
      </c>
      <c r="B366" s="238" t="s">
        <v>1694</v>
      </c>
      <c r="C366" s="238" t="s">
        <v>806</v>
      </c>
      <c r="D366" s="238" t="s">
        <v>1729</v>
      </c>
      <c r="E366" s="239" t="s">
        <v>105</v>
      </c>
      <c r="F366" s="245" t="s">
        <v>15</v>
      </c>
      <c r="G366" s="245"/>
      <c r="H366" s="239" t="s">
        <v>751</v>
      </c>
      <c r="I366" s="246">
        <v>3622.6</v>
      </c>
      <c r="J366" s="246"/>
      <c r="K366" s="242" t="s">
        <v>8</v>
      </c>
      <c r="L366" s="243">
        <v>6940579.75</v>
      </c>
    </row>
    <row r="367" spans="1:12" ht="61.2" x14ac:dyDescent="0.3">
      <c r="A367" s="237" t="s">
        <v>60</v>
      </c>
      <c r="B367" s="238" t="s">
        <v>1694</v>
      </c>
      <c r="C367" s="238" t="s">
        <v>806</v>
      </c>
      <c r="D367" s="238" t="s">
        <v>1730</v>
      </c>
      <c r="E367" s="239" t="s">
        <v>105</v>
      </c>
      <c r="F367" s="245" t="s">
        <v>15</v>
      </c>
      <c r="G367" s="245"/>
      <c r="H367" s="239" t="s">
        <v>751</v>
      </c>
      <c r="I367" s="246">
        <v>122400</v>
      </c>
      <c r="J367" s="246"/>
      <c r="K367" s="242" t="s">
        <v>8</v>
      </c>
      <c r="L367" s="243">
        <v>6818179.75</v>
      </c>
    </row>
    <row r="368" spans="1:12" ht="61.2" x14ac:dyDescent="0.3">
      <c r="A368" s="237" t="s">
        <v>60</v>
      </c>
      <c r="B368" s="238" t="s">
        <v>1694</v>
      </c>
      <c r="C368" s="238" t="s">
        <v>806</v>
      </c>
      <c r="D368" s="238" t="s">
        <v>1731</v>
      </c>
      <c r="E368" s="239" t="s">
        <v>105</v>
      </c>
      <c r="F368" s="245" t="s">
        <v>15</v>
      </c>
      <c r="G368" s="245"/>
      <c r="H368" s="239" t="s">
        <v>751</v>
      </c>
      <c r="I368" s="246">
        <v>2638.2</v>
      </c>
      <c r="J368" s="246"/>
      <c r="K368" s="242" t="s">
        <v>8</v>
      </c>
      <c r="L368" s="243">
        <v>6815541.5499999998</v>
      </c>
    </row>
    <row r="369" spans="1:12" ht="61.2" x14ac:dyDescent="0.3">
      <c r="A369" s="237" t="s">
        <v>60</v>
      </c>
      <c r="B369" s="238" t="s">
        <v>1694</v>
      </c>
      <c r="C369" s="238" t="s">
        <v>806</v>
      </c>
      <c r="D369" s="238" t="s">
        <v>1732</v>
      </c>
      <c r="E369" s="239" t="s">
        <v>105</v>
      </c>
      <c r="F369" s="245" t="s">
        <v>15</v>
      </c>
      <c r="G369" s="245"/>
      <c r="H369" s="239" t="s">
        <v>751</v>
      </c>
      <c r="I369" s="246">
        <v>115126.8</v>
      </c>
      <c r="J369" s="246"/>
      <c r="K369" s="242" t="s">
        <v>8</v>
      </c>
      <c r="L369" s="243">
        <v>6700414.75</v>
      </c>
    </row>
    <row r="370" spans="1:12" ht="61.2" x14ac:dyDescent="0.3">
      <c r="A370" s="237" t="s">
        <v>60</v>
      </c>
      <c r="B370" s="238" t="s">
        <v>1694</v>
      </c>
      <c r="C370" s="238" t="s">
        <v>806</v>
      </c>
      <c r="D370" s="238" t="s">
        <v>1733</v>
      </c>
      <c r="E370" s="239" t="s">
        <v>105</v>
      </c>
      <c r="F370" s="245" t="s">
        <v>15</v>
      </c>
      <c r="G370" s="245"/>
      <c r="H370" s="239" t="s">
        <v>751</v>
      </c>
      <c r="I370" s="246">
        <v>5152.8999999999996</v>
      </c>
      <c r="J370" s="246"/>
      <c r="K370" s="242" t="s">
        <v>8</v>
      </c>
      <c r="L370" s="243">
        <v>6695261.8499999996</v>
      </c>
    </row>
    <row r="371" spans="1:12" ht="61.2" x14ac:dyDescent="0.3">
      <c r="A371" s="237" t="s">
        <v>60</v>
      </c>
      <c r="B371" s="238" t="s">
        <v>1694</v>
      </c>
      <c r="C371" s="238" t="s">
        <v>806</v>
      </c>
      <c r="D371" s="238" t="s">
        <v>1734</v>
      </c>
      <c r="E371" s="239" t="s">
        <v>105</v>
      </c>
      <c r="F371" s="245" t="s">
        <v>15</v>
      </c>
      <c r="G371" s="245"/>
      <c r="H371" s="239" t="s">
        <v>751</v>
      </c>
      <c r="I371" s="246">
        <v>5177.1000000000004</v>
      </c>
      <c r="J371" s="246"/>
      <c r="K371" s="242" t="s">
        <v>8</v>
      </c>
      <c r="L371" s="243">
        <v>6690084.75</v>
      </c>
    </row>
    <row r="372" spans="1:12" ht="61.2" x14ac:dyDescent="0.3">
      <c r="A372" s="237" t="s">
        <v>60</v>
      </c>
      <c r="B372" s="238" t="s">
        <v>1694</v>
      </c>
      <c r="C372" s="238" t="s">
        <v>806</v>
      </c>
      <c r="D372" s="238" t="s">
        <v>1735</v>
      </c>
      <c r="E372" s="239" t="s">
        <v>105</v>
      </c>
      <c r="F372" s="245" t="s">
        <v>15</v>
      </c>
      <c r="G372" s="245"/>
      <c r="H372" s="239" t="s">
        <v>751</v>
      </c>
      <c r="I372" s="246">
        <v>2737.6</v>
      </c>
      <c r="J372" s="246"/>
      <c r="K372" s="242" t="s">
        <v>8</v>
      </c>
      <c r="L372" s="243">
        <v>6687347.1500000004</v>
      </c>
    </row>
    <row r="373" spans="1:12" ht="61.2" x14ac:dyDescent="0.3">
      <c r="A373" s="237" t="s">
        <v>60</v>
      </c>
      <c r="B373" s="238" t="s">
        <v>1694</v>
      </c>
      <c r="C373" s="238" t="s">
        <v>806</v>
      </c>
      <c r="D373" s="238" t="s">
        <v>1736</v>
      </c>
      <c r="E373" s="239" t="s">
        <v>105</v>
      </c>
      <c r="F373" s="245" t="s">
        <v>15</v>
      </c>
      <c r="G373" s="245"/>
      <c r="H373" s="239" t="s">
        <v>751</v>
      </c>
      <c r="I373" s="246">
        <v>107896.1</v>
      </c>
      <c r="J373" s="246"/>
      <c r="K373" s="242" t="s">
        <v>8</v>
      </c>
      <c r="L373" s="243">
        <v>6579451.0499999998</v>
      </c>
    </row>
    <row r="374" spans="1:12" ht="61.2" x14ac:dyDescent="0.3">
      <c r="A374" s="237" t="s">
        <v>60</v>
      </c>
      <c r="B374" s="238" t="s">
        <v>1694</v>
      </c>
      <c r="C374" s="238" t="s">
        <v>806</v>
      </c>
      <c r="D374" s="238" t="s">
        <v>1737</v>
      </c>
      <c r="E374" s="239" t="s">
        <v>105</v>
      </c>
      <c r="F374" s="245" t="s">
        <v>15</v>
      </c>
      <c r="G374" s="245"/>
      <c r="H374" s="239" t="s">
        <v>751</v>
      </c>
      <c r="I374" s="246">
        <v>3016.7</v>
      </c>
      <c r="J374" s="246"/>
      <c r="K374" s="242" t="s">
        <v>8</v>
      </c>
      <c r="L374" s="243">
        <v>6576434.3499999996</v>
      </c>
    </row>
    <row r="375" spans="1:12" ht="61.2" x14ac:dyDescent="0.3">
      <c r="A375" s="237" t="s">
        <v>60</v>
      </c>
      <c r="B375" s="238" t="s">
        <v>1694</v>
      </c>
      <c r="C375" s="238" t="s">
        <v>806</v>
      </c>
      <c r="D375" s="238" t="s">
        <v>1738</v>
      </c>
      <c r="E375" s="239" t="s">
        <v>105</v>
      </c>
      <c r="F375" s="245" t="s">
        <v>15</v>
      </c>
      <c r="G375" s="245"/>
      <c r="H375" s="239" t="s">
        <v>751</v>
      </c>
      <c r="I375" s="246">
        <v>4013.1</v>
      </c>
      <c r="J375" s="246"/>
      <c r="K375" s="242" t="s">
        <v>8</v>
      </c>
      <c r="L375" s="243">
        <v>6572421.25</v>
      </c>
    </row>
    <row r="376" spans="1:12" ht="61.2" x14ac:dyDescent="0.3">
      <c r="A376" s="237" t="s">
        <v>60</v>
      </c>
      <c r="B376" s="238" t="s">
        <v>1694</v>
      </c>
      <c r="C376" s="238" t="s">
        <v>806</v>
      </c>
      <c r="D376" s="238" t="s">
        <v>1739</v>
      </c>
      <c r="E376" s="239" t="s">
        <v>105</v>
      </c>
      <c r="F376" s="245" t="s">
        <v>15</v>
      </c>
      <c r="G376" s="245"/>
      <c r="H376" s="239" t="s">
        <v>751</v>
      </c>
      <c r="I376" s="246">
        <v>4076.8</v>
      </c>
      <c r="J376" s="246"/>
      <c r="K376" s="242" t="s">
        <v>8</v>
      </c>
      <c r="L376" s="243">
        <v>6568344.4500000002</v>
      </c>
    </row>
    <row r="377" spans="1:12" ht="61.2" x14ac:dyDescent="0.3">
      <c r="A377" s="237" t="s">
        <v>60</v>
      </c>
      <c r="B377" s="238" t="s">
        <v>1694</v>
      </c>
      <c r="C377" s="238" t="s">
        <v>806</v>
      </c>
      <c r="D377" s="238" t="s">
        <v>1740</v>
      </c>
      <c r="E377" s="239" t="s">
        <v>105</v>
      </c>
      <c r="F377" s="245" t="s">
        <v>15</v>
      </c>
      <c r="G377" s="245"/>
      <c r="H377" s="239" t="s">
        <v>751</v>
      </c>
      <c r="I377" s="246">
        <v>4384.7</v>
      </c>
      <c r="J377" s="246"/>
      <c r="K377" s="242" t="s">
        <v>8</v>
      </c>
      <c r="L377" s="243">
        <v>6563959.75</v>
      </c>
    </row>
    <row r="378" spans="1:12" ht="61.2" x14ac:dyDescent="0.3">
      <c r="A378" s="237" t="s">
        <v>60</v>
      </c>
      <c r="B378" s="238" t="s">
        <v>1694</v>
      </c>
      <c r="C378" s="238" t="s">
        <v>806</v>
      </c>
      <c r="D378" s="238" t="s">
        <v>1741</v>
      </c>
      <c r="E378" s="239" t="s">
        <v>105</v>
      </c>
      <c r="F378" s="245" t="s">
        <v>15</v>
      </c>
      <c r="G378" s="245"/>
      <c r="H378" s="239" t="s">
        <v>751</v>
      </c>
      <c r="I378" s="246">
        <v>6070.5</v>
      </c>
      <c r="J378" s="246"/>
      <c r="K378" s="242" t="s">
        <v>8</v>
      </c>
      <c r="L378" s="243">
        <v>6557889.25</v>
      </c>
    </row>
    <row r="379" spans="1:12" ht="61.2" x14ac:dyDescent="0.3">
      <c r="A379" s="237" t="s">
        <v>60</v>
      </c>
      <c r="B379" s="238" t="s">
        <v>1694</v>
      </c>
      <c r="C379" s="238" t="s">
        <v>806</v>
      </c>
      <c r="D379" s="238" t="s">
        <v>1742</v>
      </c>
      <c r="E379" s="239" t="s">
        <v>105</v>
      </c>
      <c r="F379" s="245" t="s">
        <v>15</v>
      </c>
      <c r="G379" s="245"/>
      <c r="H379" s="239" t="s">
        <v>751</v>
      </c>
      <c r="I379" s="246">
        <v>249007.1</v>
      </c>
      <c r="J379" s="246"/>
      <c r="K379" s="242" t="s">
        <v>8</v>
      </c>
      <c r="L379" s="243">
        <v>6308882.1500000004</v>
      </c>
    </row>
    <row r="380" spans="1:12" ht="61.2" x14ac:dyDescent="0.3">
      <c r="A380" s="237" t="s">
        <v>60</v>
      </c>
      <c r="B380" s="238" t="s">
        <v>1694</v>
      </c>
      <c r="C380" s="238" t="s">
        <v>806</v>
      </c>
      <c r="D380" s="238" t="s">
        <v>1743</v>
      </c>
      <c r="E380" s="239" t="s">
        <v>105</v>
      </c>
      <c r="F380" s="245" t="s">
        <v>15</v>
      </c>
      <c r="G380" s="245"/>
      <c r="H380" s="239" t="s">
        <v>751</v>
      </c>
      <c r="I380" s="246">
        <v>5790.6</v>
      </c>
      <c r="J380" s="246"/>
      <c r="K380" s="242" t="s">
        <v>8</v>
      </c>
      <c r="L380" s="243">
        <v>6303091.5499999998</v>
      </c>
    </row>
    <row r="381" spans="1:12" ht="61.2" x14ac:dyDescent="0.3">
      <c r="A381" s="237" t="s">
        <v>60</v>
      </c>
      <c r="B381" s="238" t="s">
        <v>1694</v>
      </c>
      <c r="C381" s="238" t="s">
        <v>806</v>
      </c>
      <c r="D381" s="238" t="s">
        <v>1744</v>
      </c>
      <c r="E381" s="239" t="s">
        <v>105</v>
      </c>
      <c r="F381" s="245" t="s">
        <v>15</v>
      </c>
      <c r="G381" s="245"/>
      <c r="H381" s="239" t="s">
        <v>751</v>
      </c>
      <c r="I381" s="246">
        <v>6285.1</v>
      </c>
      <c r="J381" s="246"/>
      <c r="K381" s="242" t="s">
        <v>8</v>
      </c>
      <c r="L381" s="243">
        <v>6296806.4500000002</v>
      </c>
    </row>
    <row r="382" spans="1:12" ht="61.2" x14ac:dyDescent="0.3">
      <c r="A382" s="237" t="s">
        <v>60</v>
      </c>
      <c r="B382" s="238" t="s">
        <v>1694</v>
      </c>
      <c r="C382" s="238" t="s">
        <v>806</v>
      </c>
      <c r="D382" s="238" t="s">
        <v>1745</v>
      </c>
      <c r="E382" s="239" t="s">
        <v>105</v>
      </c>
      <c r="F382" s="245" t="s">
        <v>15</v>
      </c>
      <c r="G382" s="245"/>
      <c r="H382" s="239" t="s">
        <v>751</v>
      </c>
      <c r="I382" s="246">
        <v>3095.5</v>
      </c>
      <c r="J382" s="246"/>
      <c r="K382" s="242" t="s">
        <v>8</v>
      </c>
      <c r="L382" s="243">
        <v>6293710.9500000002</v>
      </c>
    </row>
    <row r="383" spans="1:12" ht="61.2" x14ac:dyDescent="0.3">
      <c r="A383" s="237" t="s">
        <v>60</v>
      </c>
      <c r="B383" s="238" t="s">
        <v>1694</v>
      </c>
      <c r="C383" s="238" t="s">
        <v>806</v>
      </c>
      <c r="D383" s="238" t="s">
        <v>1746</v>
      </c>
      <c r="E383" s="239" t="s">
        <v>105</v>
      </c>
      <c r="F383" s="245" t="s">
        <v>15</v>
      </c>
      <c r="G383" s="245"/>
      <c r="H383" s="239" t="s">
        <v>751</v>
      </c>
      <c r="I383" s="246">
        <v>3973.7</v>
      </c>
      <c r="J383" s="246"/>
      <c r="K383" s="242" t="s">
        <v>8</v>
      </c>
      <c r="L383" s="243">
        <v>6289737.25</v>
      </c>
    </row>
    <row r="384" spans="1:12" ht="61.2" x14ac:dyDescent="0.3">
      <c r="A384" s="237" t="s">
        <v>60</v>
      </c>
      <c r="B384" s="238" t="s">
        <v>1694</v>
      </c>
      <c r="C384" s="238" t="s">
        <v>806</v>
      </c>
      <c r="D384" s="238" t="s">
        <v>1747</v>
      </c>
      <c r="E384" s="239" t="s">
        <v>105</v>
      </c>
      <c r="F384" s="245" t="s">
        <v>15</v>
      </c>
      <c r="G384" s="245"/>
      <c r="H384" s="239" t="s">
        <v>751</v>
      </c>
      <c r="I384" s="246">
        <v>1023</v>
      </c>
      <c r="J384" s="246"/>
      <c r="K384" s="242" t="s">
        <v>8</v>
      </c>
      <c r="L384" s="243">
        <v>6288714.25</v>
      </c>
    </row>
    <row r="385" spans="1:12" ht="61.2" x14ac:dyDescent="0.3">
      <c r="A385" s="237" t="s">
        <v>60</v>
      </c>
      <c r="B385" s="238" t="s">
        <v>1694</v>
      </c>
      <c r="C385" s="238" t="s">
        <v>806</v>
      </c>
      <c r="D385" s="238" t="s">
        <v>1748</v>
      </c>
      <c r="E385" s="239" t="s">
        <v>105</v>
      </c>
      <c r="F385" s="245" t="s">
        <v>15</v>
      </c>
      <c r="G385" s="245"/>
      <c r="H385" s="239" t="s">
        <v>751</v>
      </c>
      <c r="I385" s="246">
        <v>1471.2</v>
      </c>
      <c r="J385" s="246"/>
      <c r="K385" s="242" t="s">
        <v>8</v>
      </c>
      <c r="L385" s="243">
        <v>6287243.0499999998</v>
      </c>
    </row>
    <row r="386" spans="1:12" ht="61.2" x14ac:dyDescent="0.3">
      <c r="A386" s="237" t="s">
        <v>60</v>
      </c>
      <c r="B386" s="238" t="s">
        <v>1694</v>
      </c>
      <c r="C386" s="238" t="s">
        <v>806</v>
      </c>
      <c r="D386" s="238" t="s">
        <v>1749</v>
      </c>
      <c r="E386" s="239" t="s">
        <v>105</v>
      </c>
      <c r="F386" s="245" t="s">
        <v>15</v>
      </c>
      <c r="G386" s="245"/>
      <c r="H386" s="239" t="s">
        <v>751</v>
      </c>
      <c r="I386" s="246">
        <v>1734.3</v>
      </c>
      <c r="J386" s="246"/>
      <c r="K386" s="242" t="s">
        <v>8</v>
      </c>
      <c r="L386" s="243">
        <v>6285508.75</v>
      </c>
    </row>
    <row r="387" spans="1:12" ht="61.2" x14ac:dyDescent="0.3">
      <c r="A387" s="237" t="s">
        <v>60</v>
      </c>
      <c r="B387" s="238" t="s">
        <v>1694</v>
      </c>
      <c r="C387" s="238" t="s">
        <v>806</v>
      </c>
      <c r="D387" s="238" t="s">
        <v>1750</v>
      </c>
      <c r="E387" s="239" t="s">
        <v>105</v>
      </c>
      <c r="F387" s="245" t="s">
        <v>15</v>
      </c>
      <c r="G387" s="245"/>
      <c r="H387" s="239" t="s">
        <v>751</v>
      </c>
      <c r="I387" s="247">
        <v>866.8</v>
      </c>
      <c r="J387" s="247"/>
      <c r="K387" s="242" t="s">
        <v>8</v>
      </c>
      <c r="L387" s="243">
        <v>6284641.9500000002</v>
      </c>
    </row>
    <row r="388" spans="1:12" ht="61.2" x14ac:dyDescent="0.3">
      <c r="A388" s="237" t="s">
        <v>60</v>
      </c>
      <c r="B388" s="238" t="s">
        <v>1694</v>
      </c>
      <c r="C388" s="238" t="s">
        <v>806</v>
      </c>
      <c r="D388" s="238" t="s">
        <v>1751</v>
      </c>
      <c r="E388" s="239" t="s">
        <v>105</v>
      </c>
      <c r="F388" s="245" t="s">
        <v>15</v>
      </c>
      <c r="G388" s="245"/>
      <c r="H388" s="239" t="s">
        <v>751</v>
      </c>
      <c r="I388" s="246">
        <v>1443.1</v>
      </c>
      <c r="J388" s="246"/>
      <c r="K388" s="242" t="s">
        <v>8</v>
      </c>
      <c r="L388" s="243">
        <v>6283198.8499999996</v>
      </c>
    </row>
    <row r="389" spans="1:12" ht="61.2" x14ac:dyDescent="0.3">
      <c r="A389" s="237" t="s">
        <v>60</v>
      </c>
      <c r="B389" s="238" t="s">
        <v>1694</v>
      </c>
      <c r="C389" s="238" t="s">
        <v>806</v>
      </c>
      <c r="D389" s="238" t="s">
        <v>1752</v>
      </c>
      <c r="E389" s="239" t="s">
        <v>105</v>
      </c>
      <c r="F389" s="245" t="s">
        <v>15</v>
      </c>
      <c r="G389" s="245"/>
      <c r="H389" s="239" t="s">
        <v>751</v>
      </c>
      <c r="I389" s="246">
        <v>1782.8</v>
      </c>
      <c r="J389" s="246"/>
      <c r="K389" s="242" t="s">
        <v>8</v>
      </c>
      <c r="L389" s="243">
        <v>6281416.0499999998</v>
      </c>
    </row>
    <row r="390" spans="1:12" ht="61.2" x14ac:dyDescent="0.3">
      <c r="A390" s="237" t="s">
        <v>60</v>
      </c>
      <c r="B390" s="238" t="s">
        <v>1694</v>
      </c>
      <c r="C390" s="238" t="s">
        <v>806</v>
      </c>
      <c r="D390" s="238" t="s">
        <v>1753</v>
      </c>
      <c r="E390" s="239" t="s">
        <v>105</v>
      </c>
      <c r="F390" s="245" t="s">
        <v>15</v>
      </c>
      <c r="G390" s="245"/>
      <c r="H390" s="239" t="s">
        <v>751</v>
      </c>
      <c r="I390" s="246">
        <v>3594.6</v>
      </c>
      <c r="J390" s="246"/>
      <c r="K390" s="242" t="s">
        <v>8</v>
      </c>
      <c r="L390" s="243">
        <v>6277821.4500000002</v>
      </c>
    </row>
    <row r="391" spans="1:12" ht="61.2" x14ac:dyDescent="0.3">
      <c r="A391" s="237" t="s">
        <v>60</v>
      </c>
      <c r="B391" s="238" t="s">
        <v>1694</v>
      </c>
      <c r="C391" s="238" t="s">
        <v>806</v>
      </c>
      <c r="D391" s="238" t="s">
        <v>1754</v>
      </c>
      <c r="E391" s="239" t="s">
        <v>105</v>
      </c>
      <c r="F391" s="245" t="s">
        <v>15</v>
      </c>
      <c r="G391" s="245"/>
      <c r="H391" s="239" t="s">
        <v>751</v>
      </c>
      <c r="I391" s="246">
        <v>2504.8000000000002</v>
      </c>
      <c r="J391" s="246"/>
      <c r="K391" s="242" t="s">
        <v>8</v>
      </c>
      <c r="L391" s="243">
        <v>6275316.6500000004</v>
      </c>
    </row>
    <row r="392" spans="1:12" ht="61.2" x14ac:dyDescent="0.3">
      <c r="A392" s="237" t="s">
        <v>60</v>
      </c>
      <c r="B392" s="238" t="s">
        <v>1694</v>
      </c>
      <c r="C392" s="238" t="s">
        <v>806</v>
      </c>
      <c r="D392" s="238" t="s">
        <v>1755</v>
      </c>
      <c r="E392" s="239" t="s">
        <v>105</v>
      </c>
      <c r="F392" s="245" t="s">
        <v>15</v>
      </c>
      <c r="G392" s="245"/>
      <c r="H392" s="239" t="s">
        <v>751</v>
      </c>
      <c r="I392" s="246">
        <v>3665.8</v>
      </c>
      <c r="J392" s="246"/>
      <c r="K392" s="242" t="s">
        <v>8</v>
      </c>
      <c r="L392" s="243">
        <v>6271650.8499999996</v>
      </c>
    </row>
    <row r="393" spans="1:12" ht="61.2" x14ac:dyDescent="0.3">
      <c r="A393" s="237" t="s">
        <v>60</v>
      </c>
      <c r="B393" s="238" t="s">
        <v>1694</v>
      </c>
      <c r="C393" s="238" t="s">
        <v>806</v>
      </c>
      <c r="D393" s="238" t="s">
        <v>1756</v>
      </c>
      <c r="E393" s="239" t="s">
        <v>105</v>
      </c>
      <c r="F393" s="245" t="s">
        <v>15</v>
      </c>
      <c r="G393" s="245"/>
      <c r="H393" s="239" t="s">
        <v>751</v>
      </c>
      <c r="I393" s="246">
        <v>4131.3999999999996</v>
      </c>
      <c r="J393" s="246"/>
      <c r="K393" s="242" t="s">
        <v>8</v>
      </c>
      <c r="L393" s="243">
        <v>6267519.4500000002</v>
      </c>
    </row>
    <row r="394" spans="1:12" ht="61.2" x14ac:dyDescent="0.3">
      <c r="A394" s="237" t="s">
        <v>60</v>
      </c>
      <c r="B394" s="238" t="s">
        <v>1694</v>
      </c>
      <c r="C394" s="238" t="s">
        <v>806</v>
      </c>
      <c r="D394" s="238" t="s">
        <v>1757</v>
      </c>
      <c r="E394" s="239" t="s">
        <v>105</v>
      </c>
      <c r="F394" s="245" t="s">
        <v>15</v>
      </c>
      <c r="G394" s="245"/>
      <c r="H394" s="239" t="s">
        <v>751</v>
      </c>
      <c r="I394" s="246">
        <v>4011.6</v>
      </c>
      <c r="J394" s="246"/>
      <c r="K394" s="242" t="s">
        <v>8</v>
      </c>
      <c r="L394" s="243">
        <v>6263507.8499999996</v>
      </c>
    </row>
    <row r="395" spans="1:12" ht="61.2" x14ac:dyDescent="0.3">
      <c r="A395" s="237" t="s">
        <v>60</v>
      </c>
      <c r="B395" s="238" t="s">
        <v>1694</v>
      </c>
      <c r="C395" s="238" t="s">
        <v>806</v>
      </c>
      <c r="D395" s="238" t="s">
        <v>1758</v>
      </c>
      <c r="E395" s="239" t="s">
        <v>105</v>
      </c>
      <c r="F395" s="245" t="s">
        <v>15</v>
      </c>
      <c r="G395" s="245"/>
      <c r="H395" s="239" t="s">
        <v>751</v>
      </c>
      <c r="I395" s="246">
        <v>2640.5</v>
      </c>
      <c r="J395" s="246"/>
      <c r="K395" s="242" t="s">
        <v>8</v>
      </c>
      <c r="L395" s="243">
        <v>6260867.3499999996</v>
      </c>
    </row>
    <row r="396" spans="1:12" ht="61.2" x14ac:dyDescent="0.3">
      <c r="A396" s="237" t="s">
        <v>60</v>
      </c>
      <c r="B396" s="238" t="s">
        <v>1694</v>
      </c>
      <c r="C396" s="238" t="s">
        <v>806</v>
      </c>
      <c r="D396" s="238" t="s">
        <v>1759</v>
      </c>
      <c r="E396" s="239" t="s">
        <v>105</v>
      </c>
      <c r="F396" s="245" t="s">
        <v>15</v>
      </c>
      <c r="G396" s="245"/>
      <c r="H396" s="239" t="s">
        <v>751</v>
      </c>
      <c r="I396" s="246">
        <v>3103.1</v>
      </c>
      <c r="J396" s="246"/>
      <c r="K396" s="242" t="s">
        <v>8</v>
      </c>
      <c r="L396" s="243">
        <v>6257764.25</v>
      </c>
    </row>
    <row r="397" spans="1:12" ht="61.2" x14ac:dyDescent="0.3">
      <c r="A397" s="237" t="s">
        <v>60</v>
      </c>
      <c r="B397" s="238" t="s">
        <v>1694</v>
      </c>
      <c r="C397" s="238" t="s">
        <v>806</v>
      </c>
      <c r="D397" s="238" t="s">
        <v>1760</v>
      </c>
      <c r="E397" s="239" t="s">
        <v>105</v>
      </c>
      <c r="F397" s="245" t="s">
        <v>15</v>
      </c>
      <c r="G397" s="245"/>
      <c r="H397" s="239" t="s">
        <v>751</v>
      </c>
      <c r="I397" s="246">
        <v>5623</v>
      </c>
      <c r="J397" s="246"/>
      <c r="K397" s="242" t="s">
        <v>8</v>
      </c>
      <c r="L397" s="243">
        <v>6252141.25</v>
      </c>
    </row>
    <row r="398" spans="1:12" ht="61.2" x14ac:dyDescent="0.3">
      <c r="A398" s="237" t="s">
        <v>60</v>
      </c>
      <c r="B398" s="238" t="s">
        <v>1694</v>
      </c>
      <c r="C398" s="238" t="s">
        <v>806</v>
      </c>
      <c r="D398" s="238" t="s">
        <v>1761</v>
      </c>
      <c r="E398" s="239" t="s">
        <v>105</v>
      </c>
      <c r="F398" s="245" t="s">
        <v>15</v>
      </c>
      <c r="G398" s="245"/>
      <c r="H398" s="239" t="s">
        <v>751</v>
      </c>
      <c r="I398" s="246">
        <v>3930.4</v>
      </c>
      <c r="J398" s="246"/>
      <c r="K398" s="242" t="s">
        <v>8</v>
      </c>
      <c r="L398" s="243">
        <v>6248210.8499999996</v>
      </c>
    </row>
    <row r="399" spans="1:12" ht="61.2" x14ac:dyDescent="0.3">
      <c r="A399" s="237" t="s">
        <v>60</v>
      </c>
      <c r="B399" s="238" t="s">
        <v>1694</v>
      </c>
      <c r="C399" s="238" t="s">
        <v>806</v>
      </c>
      <c r="D399" s="238" t="s">
        <v>1762</v>
      </c>
      <c r="E399" s="239" t="s">
        <v>105</v>
      </c>
      <c r="F399" s="245" t="s">
        <v>15</v>
      </c>
      <c r="G399" s="245"/>
      <c r="H399" s="239" t="s">
        <v>751</v>
      </c>
      <c r="I399" s="246">
        <v>1791.9</v>
      </c>
      <c r="J399" s="246"/>
      <c r="K399" s="242" t="s">
        <v>8</v>
      </c>
      <c r="L399" s="243">
        <v>6246418.9500000002</v>
      </c>
    </row>
    <row r="400" spans="1:12" ht="61.2" x14ac:dyDescent="0.3">
      <c r="A400" s="237" t="s">
        <v>60</v>
      </c>
      <c r="B400" s="238" t="s">
        <v>1694</v>
      </c>
      <c r="C400" s="238" t="s">
        <v>806</v>
      </c>
      <c r="D400" s="238" t="s">
        <v>1763</v>
      </c>
      <c r="E400" s="239" t="s">
        <v>105</v>
      </c>
      <c r="F400" s="245" t="s">
        <v>15</v>
      </c>
      <c r="G400" s="245"/>
      <c r="H400" s="239" t="s">
        <v>751</v>
      </c>
      <c r="I400" s="246">
        <v>5387.2</v>
      </c>
      <c r="J400" s="246"/>
      <c r="K400" s="242" t="s">
        <v>8</v>
      </c>
      <c r="L400" s="243">
        <v>6241031.75</v>
      </c>
    </row>
    <row r="401" spans="1:12" ht="61.2" x14ac:dyDescent="0.3">
      <c r="A401" s="237" t="s">
        <v>60</v>
      </c>
      <c r="B401" s="238" t="s">
        <v>1694</v>
      </c>
      <c r="C401" s="238" t="s">
        <v>806</v>
      </c>
      <c r="D401" s="238" t="s">
        <v>1764</v>
      </c>
      <c r="E401" s="239" t="s">
        <v>105</v>
      </c>
      <c r="F401" s="245" t="s">
        <v>15</v>
      </c>
      <c r="G401" s="245"/>
      <c r="H401" s="239" t="s">
        <v>751</v>
      </c>
      <c r="I401" s="246">
        <v>4009.3</v>
      </c>
      <c r="J401" s="246"/>
      <c r="K401" s="242" t="s">
        <v>8</v>
      </c>
      <c r="L401" s="243">
        <v>6237022.4500000002</v>
      </c>
    </row>
    <row r="402" spans="1:12" ht="61.2" x14ac:dyDescent="0.3">
      <c r="A402" s="237" t="s">
        <v>60</v>
      </c>
      <c r="B402" s="238" t="s">
        <v>1694</v>
      </c>
      <c r="C402" s="238" t="s">
        <v>806</v>
      </c>
      <c r="D402" s="238" t="s">
        <v>1765</v>
      </c>
      <c r="E402" s="239" t="s">
        <v>105</v>
      </c>
      <c r="F402" s="245" t="s">
        <v>15</v>
      </c>
      <c r="G402" s="245"/>
      <c r="H402" s="239" t="s">
        <v>751</v>
      </c>
      <c r="I402" s="246">
        <v>3107.7</v>
      </c>
      <c r="J402" s="246"/>
      <c r="K402" s="242" t="s">
        <v>8</v>
      </c>
      <c r="L402" s="243">
        <v>6233914.75</v>
      </c>
    </row>
    <row r="403" spans="1:12" ht="61.2" x14ac:dyDescent="0.3">
      <c r="A403" s="237" t="s">
        <v>60</v>
      </c>
      <c r="B403" s="238" t="s">
        <v>1694</v>
      </c>
      <c r="C403" s="238" t="s">
        <v>806</v>
      </c>
      <c r="D403" s="238" t="s">
        <v>1766</v>
      </c>
      <c r="E403" s="239" t="s">
        <v>105</v>
      </c>
      <c r="F403" s="245" t="s">
        <v>15</v>
      </c>
      <c r="G403" s="245"/>
      <c r="H403" s="239" t="s">
        <v>751</v>
      </c>
      <c r="I403" s="246">
        <v>6236.6</v>
      </c>
      <c r="J403" s="246"/>
      <c r="K403" s="242" t="s">
        <v>8</v>
      </c>
      <c r="L403" s="243">
        <v>6227678.1500000004</v>
      </c>
    </row>
    <row r="404" spans="1:12" ht="61.2" x14ac:dyDescent="0.3">
      <c r="A404" s="237" t="s">
        <v>60</v>
      </c>
      <c r="B404" s="238" t="s">
        <v>1694</v>
      </c>
      <c r="C404" s="238" t="s">
        <v>806</v>
      </c>
      <c r="D404" s="238" t="s">
        <v>1767</v>
      </c>
      <c r="E404" s="239" t="s">
        <v>105</v>
      </c>
      <c r="F404" s="245" t="s">
        <v>15</v>
      </c>
      <c r="G404" s="245"/>
      <c r="H404" s="239" t="s">
        <v>751</v>
      </c>
      <c r="I404" s="246">
        <v>3031.8</v>
      </c>
      <c r="J404" s="246"/>
      <c r="K404" s="242" t="s">
        <v>8</v>
      </c>
      <c r="L404" s="243">
        <v>6224646.3499999996</v>
      </c>
    </row>
    <row r="405" spans="1:12" ht="61.2" x14ac:dyDescent="0.3">
      <c r="A405" s="237" t="s">
        <v>60</v>
      </c>
      <c r="B405" s="238" t="s">
        <v>1694</v>
      </c>
      <c r="C405" s="238" t="s">
        <v>806</v>
      </c>
      <c r="D405" s="238" t="s">
        <v>1768</v>
      </c>
      <c r="E405" s="239" t="s">
        <v>105</v>
      </c>
      <c r="F405" s="245" t="s">
        <v>15</v>
      </c>
      <c r="G405" s="245"/>
      <c r="H405" s="239" t="s">
        <v>751</v>
      </c>
      <c r="I405" s="246">
        <v>3136.5</v>
      </c>
      <c r="J405" s="246"/>
      <c r="K405" s="242" t="s">
        <v>8</v>
      </c>
      <c r="L405" s="243">
        <v>6221509.8499999996</v>
      </c>
    </row>
    <row r="406" spans="1:12" ht="61.2" x14ac:dyDescent="0.3">
      <c r="A406" s="237" t="s">
        <v>60</v>
      </c>
      <c r="B406" s="238" t="s">
        <v>1694</v>
      </c>
      <c r="C406" s="238" t="s">
        <v>806</v>
      </c>
      <c r="D406" s="238" t="s">
        <v>1769</v>
      </c>
      <c r="E406" s="239" t="s">
        <v>105</v>
      </c>
      <c r="F406" s="245" t="s">
        <v>15</v>
      </c>
      <c r="G406" s="245"/>
      <c r="H406" s="239" t="s">
        <v>751</v>
      </c>
      <c r="I406" s="246">
        <v>3144.8</v>
      </c>
      <c r="J406" s="246"/>
      <c r="K406" s="242" t="s">
        <v>8</v>
      </c>
      <c r="L406" s="243">
        <v>6218365.0499999998</v>
      </c>
    </row>
    <row r="407" spans="1:12" ht="61.2" x14ac:dyDescent="0.3">
      <c r="A407" s="237" t="s">
        <v>60</v>
      </c>
      <c r="B407" s="238" t="s">
        <v>1694</v>
      </c>
      <c r="C407" s="238" t="s">
        <v>806</v>
      </c>
      <c r="D407" s="238" t="s">
        <v>1770</v>
      </c>
      <c r="E407" s="239" t="s">
        <v>105</v>
      </c>
      <c r="F407" s="245" t="s">
        <v>15</v>
      </c>
      <c r="G407" s="245"/>
      <c r="H407" s="239" t="s">
        <v>751</v>
      </c>
      <c r="I407" s="246">
        <v>3153.2</v>
      </c>
      <c r="J407" s="246"/>
      <c r="K407" s="242" t="s">
        <v>8</v>
      </c>
      <c r="L407" s="243">
        <v>6215211.8499999996</v>
      </c>
    </row>
    <row r="408" spans="1:12" ht="61.2" x14ac:dyDescent="0.3">
      <c r="A408" s="237" t="s">
        <v>60</v>
      </c>
      <c r="B408" s="238" t="s">
        <v>1694</v>
      </c>
      <c r="C408" s="238" t="s">
        <v>806</v>
      </c>
      <c r="D408" s="238" t="s">
        <v>1771</v>
      </c>
      <c r="E408" s="239" t="s">
        <v>105</v>
      </c>
      <c r="F408" s="245" t="s">
        <v>15</v>
      </c>
      <c r="G408" s="245"/>
      <c r="H408" s="239" t="s">
        <v>751</v>
      </c>
      <c r="I408" s="246">
        <v>2971.9</v>
      </c>
      <c r="J408" s="246"/>
      <c r="K408" s="242" t="s">
        <v>8</v>
      </c>
      <c r="L408" s="243">
        <v>6212239.9500000002</v>
      </c>
    </row>
    <row r="409" spans="1:12" ht="61.2" x14ac:dyDescent="0.3">
      <c r="A409" s="237" t="s">
        <v>60</v>
      </c>
      <c r="B409" s="238" t="s">
        <v>1694</v>
      </c>
      <c r="C409" s="238" t="s">
        <v>806</v>
      </c>
      <c r="D409" s="238" t="s">
        <v>1772</v>
      </c>
      <c r="E409" s="239" t="s">
        <v>105</v>
      </c>
      <c r="F409" s="245" t="s">
        <v>15</v>
      </c>
      <c r="G409" s="245"/>
      <c r="H409" s="239" t="s">
        <v>751</v>
      </c>
      <c r="I409" s="246">
        <v>2776.3</v>
      </c>
      <c r="J409" s="246"/>
      <c r="K409" s="242" t="s">
        <v>8</v>
      </c>
      <c r="L409" s="243">
        <v>6209463.6500000004</v>
      </c>
    </row>
    <row r="410" spans="1:12" ht="61.2" x14ac:dyDescent="0.3">
      <c r="A410" s="237" t="s">
        <v>60</v>
      </c>
      <c r="B410" s="238" t="s">
        <v>1694</v>
      </c>
      <c r="C410" s="238" t="s">
        <v>806</v>
      </c>
      <c r="D410" s="238" t="s">
        <v>1773</v>
      </c>
      <c r="E410" s="239" t="s">
        <v>105</v>
      </c>
      <c r="F410" s="245" t="s">
        <v>15</v>
      </c>
      <c r="G410" s="245"/>
      <c r="H410" s="239" t="s">
        <v>751</v>
      </c>
      <c r="I410" s="246">
        <v>9430.6</v>
      </c>
      <c r="J410" s="246"/>
      <c r="K410" s="242" t="s">
        <v>8</v>
      </c>
      <c r="L410" s="243">
        <v>6200033.0499999998</v>
      </c>
    </row>
    <row r="411" spans="1:12" ht="61.2" x14ac:dyDescent="0.3">
      <c r="A411" s="237" t="s">
        <v>60</v>
      </c>
      <c r="B411" s="238" t="s">
        <v>1694</v>
      </c>
      <c r="C411" s="238" t="s">
        <v>806</v>
      </c>
      <c r="D411" s="238" t="s">
        <v>1774</v>
      </c>
      <c r="E411" s="239" t="s">
        <v>105</v>
      </c>
      <c r="F411" s="245" t="s">
        <v>15</v>
      </c>
      <c r="G411" s="245"/>
      <c r="H411" s="239" t="s">
        <v>751</v>
      </c>
      <c r="I411" s="246">
        <v>1126.0999999999999</v>
      </c>
      <c r="J411" s="246"/>
      <c r="K411" s="242" t="s">
        <v>8</v>
      </c>
      <c r="L411" s="243">
        <v>6198906.9500000002</v>
      </c>
    </row>
    <row r="412" spans="1:12" ht="61.2" x14ac:dyDescent="0.3">
      <c r="A412" s="237" t="s">
        <v>60</v>
      </c>
      <c r="B412" s="238" t="s">
        <v>1694</v>
      </c>
      <c r="C412" s="238" t="s">
        <v>806</v>
      </c>
      <c r="D412" s="238" t="s">
        <v>1775</v>
      </c>
      <c r="E412" s="239" t="s">
        <v>105</v>
      </c>
      <c r="F412" s="245" t="s">
        <v>15</v>
      </c>
      <c r="G412" s="245"/>
      <c r="H412" s="239" t="s">
        <v>751</v>
      </c>
      <c r="I412" s="246">
        <v>2010.3</v>
      </c>
      <c r="J412" s="246"/>
      <c r="K412" s="242" t="s">
        <v>8</v>
      </c>
      <c r="L412" s="243">
        <v>6196896.6500000004</v>
      </c>
    </row>
    <row r="413" spans="1:12" ht="61.2" x14ac:dyDescent="0.3">
      <c r="A413" s="237" t="s">
        <v>60</v>
      </c>
      <c r="B413" s="238" t="s">
        <v>1694</v>
      </c>
      <c r="C413" s="238" t="s">
        <v>806</v>
      </c>
      <c r="D413" s="238" t="s">
        <v>1776</v>
      </c>
      <c r="E413" s="239" t="s">
        <v>105</v>
      </c>
      <c r="F413" s="245" t="s">
        <v>15</v>
      </c>
      <c r="G413" s="245"/>
      <c r="H413" s="239" t="s">
        <v>751</v>
      </c>
      <c r="I413" s="246">
        <v>5105.1000000000004</v>
      </c>
      <c r="J413" s="246"/>
      <c r="K413" s="242" t="s">
        <v>8</v>
      </c>
      <c r="L413" s="243">
        <v>6191791.5499999998</v>
      </c>
    </row>
    <row r="414" spans="1:12" ht="61.2" x14ac:dyDescent="0.3">
      <c r="A414" s="237" t="s">
        <v>60</v>
      </c>
      <c r="B414" s="238" t="s">
        <v>1694</v>
      </c>
      <c r="C414" s="238" t="s">
        <v>806</v>
      </c>
      <c r="D414" s="238" t="s">
        <v>1777</v>
      </c>
      <c r="E414" s="239" t="s">
        <v>105</v>
      </c>
      <c r="F414" s="245" t="s">
        <v>15</v>
      </c>
      <c r="G414" s="245"/>
      <c r="H414" s="239" t="s">
        <v>751</v>
      </c>
      <c r="I414" s="246">
        <v>12403.3</v>
      </c>
      <c r="J414" s="246"/>
      <c r="K414" s="242" t="s">
        <v>8</v>
      </c>
      <c r="L414" s="243">
        <v>6179388.25</v>
      </c>
    </row>
    <row r="415" spans="1:12" ht="61.2" x14ac:dyDescent="0.3">
      <c r="A415" s="237" t="s">
        <v>60</v>
      </c>
      <c r="B415" s="238" t="s">
        <v>1694</v>
      </c>
      <c r="C415" s="238" t="s">
        <v>806</v>
      </c>
      <c r="D415" s="238" t="s">
        <v>1778</v>
      </c>
      <c r="E415" s="239" t="s">
        <v>105</v>
      </c>
      <c r="F415" s="245" t="s">
        <v>15</v>
      </c>
      <c r="G415" s="245"/>
      <c r="H415" s="239" t="s">
        <v>751</v>
      </c>
      <c r="I415" s="246">
        <v>2283.3000000000002</v>
      </c>
      <c r="J415" s="246"/>
      <c r="K415" s="242" t="s">
        <v>8</v>
      </c>
      <c r="L415" s="243">
        <v>6177104.9500000002</v>
      </c>
    </row>
    <row r="416" spans="1:12" ht="61.2" x14ac:dyDescent="0.3">
      <c r="A416" s="237" t="s">
        <v>60</v>
      </c>
      <c r="B416" s="238" t="s">
        <v>1694</v>
      </c>
      <c r="C416" s="238" t="s">
        <v>806</v>
      </c>
      <c r="D416" s="238" t="s">
        <v>1779</v>
      </c>
      <c r="E416" s="239" t="s">
        <v>105</v>
      </c>
      <c r="F416" s="245" t="s">
        <v>15</v>
      </c>
      <c r="G416" s="245"/>
      <c r="H416" s="239" t="s">
        <v>751</v>
      </c>
      <c r="I416" s="246">
        <v>3512.6</v>
      </c>
      <c r="J416" s="246"/>
      <c r="K416" s="242" t="s">
        <v>8</v>
      </c>
      <c r="L416" s="243">
        <v>6173592.3499999996</v>
      </c>
    </row>
    <row r="417" spans="1:12" ht="61.2" x14ac:dyDescent="0.3">
      <c r="A417" s="237" t="s">
        <v>60</v>
      </c>
      <c r="B417" s="238" t="s">
        <v>1694</v>
      </c>
      <c r="C417" s="238" t="s">
        <v>806</v>
      </c>
      <c r="D417" s="238" t="s">
        <v>1780</v>
      </c>
      <c r="E417" s="239" t="s">
        <v>105</v>
      </c>
      <c r="F417" s="245" t="s">
        <v>15</v>
      </c>
      <c r="G417" s="245"/>
      <c r="H417" s="239" t="s">
        <v>751</v>
      </c>
      <c r="I417" s="246">
        <v>2507.8000000000002</v>
      </c>
      <c r="J417" s="246"/>
      <c r="K417" s="242" t="s">
        <v>8</v>
      </c>
      <c r="L417" s="243">
        <v>6171084.5499999998</v>
      </c>
    </row>
    <row r="418" spans="1:12" ht="61.2" x14ac:dyDescent="0.3">
      <c r="A418" s="237" t="s">
        <v>60</v>
      </c>
      <c r="B418" s="238" t="s">
        <v>1694</v>
      </c>
      <c r="C418" s="238" t="s">
        <v>806</v>
      </c>
      <c r="D418" s="238" t="s">
        <v>1781</v>
      </c>
      <c r="E418" s="239" t="s">
        <v>105</v>
      </c>
      <c r="F418" s="245" t="s">
        <v>15</v>
      </c>
      <c r="G418" s="245"/>
      <c r="H418" s="239" t="s">
        <v>751</v>
      </c>
      <c r="I418" s="246">
        <v>3057.6</v>
      </c>
      <c r="J418" s="246"/>
      <c r="K418" s="242" t="s">
        <v>8</v>
      </c>
      <c r="L418" s="243">
        <v>6168026.9500000002</v>
      </c>
    </row>
    <row r="419" spans="1:12" ht="61.2" x14ac:dyDescent="0.3">
      <c r="A419" s="237" t="s">
        <v>60</v>
      </c>
      <c r="B419" s="238" t="s">
        <v>1694</v>
      </c>
      <c r="C419" s="238" t="s">
        <v>806</v>
      </c>
      <c r="D419" s="238" t="s">
        <v>1782</v>
      </c>
      <c r="E419" s="239" t="s">
        <v>105</v>
      </c>
      <c r="F419" s="245" t="s">
        <v>15</v>
      </c>
      <c r="G419" s="245"/>
      <c r="H419" s="239" t="s">
        <v>751</v>
      </c>
      <c r="I419" s="246">
        <v>8392.5</v>
      </c>
      <c r="J419" s="246"/>
      <c r="K419" s="242" t="s">
        <v>8</v>
      </c>
      <c r="L419" s="243">
        <v>6159634.4500000002</v>
      </c>
    </row>
    <row r="420" spans="1:12" ht="61.2" x14ac:dyDescent="0.3">
      <c r="A420" s="237" t="s">
        <v>60</v>
      </c>
      <c r="B420" s="238" t="s">
        <v>1694</v>
      </c>
      <c r="C420" s="238" t="s">
        <v>806</v>
      </c>
      <c r="D420" s="238" t="s">
        <v>1783</v>
      </c>
      <c r="E420" s="239" t="s">
        <v>105</v>
      </c>
      <c r="F420" s="245" t="s">
        <v>15</v>
      </c>
      <c r="G420" s="245"/>
      <c r="H420" s="239" t="s">
        <v>751</v>
      </c>
      <c r="I420" s="246">
        <v>22380</v>
      </c>
      <c r="J420" s="246"/>
      <c r="K420" s="242" t="s">
        <v>8</v>
      </c>
      <c r="L420" s="243">
        <v>6137254.4500000002</v>
      </c>
    </row>
    <row r="421" spans="1:12" ht="61.2" x14ac:dyDescent="0.3">
      <c r="A421" s="237" t="s">
        <v>60</v>
      </c>
      <c r="B421" s="238" t="s">
        <v>1694</v>
      </c>
      <c r="C421" s="238" t="s">
        <v>806</v>
      </c>
      <c r="D421" s="238" t="s">
        <v>1784</v>
      </c>
      <c r="E421" s="239" t="s">
        <v>105</v>
      </c>
      <c r="F421" s="245" t="s">
        <v>15</v>
      </c>
      <c r="G421" s="245"/>
      <c r="H421" s="239" t="s">
        <v>751</v>
      </c>
      <c r="I421" s="246">
        <v>3490.6</v>
      </c>
      <c r="J421" s="246"/>
      <c r="K421" s="242" t="s">
        <v>8</v>
      </c>
      <c r="L421" s="243">
        <v>6133763.8499999996</v>
      </c>
    </row>
    <row r="422" spans="1:12" ht="61.2" x14ac:dyDescent="0.3">
      <c r="A422" s="237" t="s">
        <v>60</v>
      </c>
      <c r="B422" s="238" t="s">
        <v>1694</v>
      </c>
      <c r="C422" s="238" t="s">
        <v>806</v>
      </c>
      <c r="D422" s="238" t="s">
        <v>1785</v>
      </c>
      <c r="E422" s="239" t="s">
        <v>105</v>
      </c>
      <c r="F422" s="245" t="s">
        <v>15</v>
      </c>
      <c r="G422" s="245"/>
      <c r="H422" s="239" t="s">
        <v>751</v>
      </c>
      <c r="I422" s="246">
        <v>1023</v>
      </c>
      <c r="J422" s="246"/>
      <c r="K422" s="242" t="s">
        <v>8</v>
      </c>
      <c r="L422" s="243">
        <v>6132740.8499999996</v>
      </c>
    </row>
    <row r="423" spans="1:12" ht="61.2" x14ac:dyDescent="0.3">
      <c r="A423" s="237" t="s">
        <v>60</v>
      </c>
      <c r="B423" s="238" t="s">
        <v>1694</v>
      </c>
      <c r="C423" s="238" t="s">
        <v>806</v>
      </c>
      <c r="D423" s="238" t="s">
        <v>1786</v>
      </c>
      <c r="E423" s="239" t="s">
        <v>105</v>
      </c>
      <c r="F423" s="245" t="s">
        <v>15</v>
      </c>
      <c r="G423" s="245"/>
      <c r="H423" s="239" t="s">
        <v>751</v>
      </c>
      <c r="I423" s="246">
        <v>1844.3</v>
      </c>
      <c r="J423" s="246"/>
      <c r="K423" s="242" t="s">
        <v>8</v>
      </c>
      <c r="L423" s="243">
        <v>6130896.5499999998</v>
      </c>
    </row>
    <row r="424" spans="1:12" ht="61.2" x14ac:dyDescent="0.3">
      <c r="A424" s="237" t="s">
        <v>60</v>
      </c>
      <c r="B424" s="238" t="s">
        <v>1694</v>
      </c>
      <c r="C424" s="238" t="s">
        <v>806</v>
      </c>
      <c r="D424" s="238" t="s">
        <v>1787</v>
      </c>
      <c r="E424" s="239" t="s">
        <v>105</v>
      </c>
      <c r="F424" s="245" t="s">
        <v>15</v>
      </c>
      <c r="G424" s="245"/>
      <c r="H424" s="239" t="s">
        <v>751</v>
      </c>
      <c r="I424" s="246">
        <v>2039.2</v>
      </c>
      <c r="J424" s="246"/>
      <c r="K424" s="242" t="s">
        <v>8</v>
      </c>
      <c r="L424" s="243">
        <v>6128857.3499999996</v>
      </c>
    </row>
    <row r="425" spans="1:12" ht="61.2" x14ac:dyDescent="0.3">
      <c r="A425" s="237" t="s">
        <v>60</v>
      </c>
      <c r="B425" s="238" t="s">
        <v>1694</v>
      </c>
      <c r="C425" s="238" t="s">
        <v>806</v>
      </c>
      <c r="D425" s="238" t="s">
        <v>1788</v>
      </c>
      <c r="E425" s="239" t="s">
        <v>105</v>
      </c>
      <c r="F425" s="245" t="s">
        <v>15</v>
      </c>
      <c r="G425" s="245"/>
      <c r="H425" s="239" t="s">
        <v>751</v>
      </c>
      <c r="I425" s="246">
        <v>2272</v>
      </c>
      <c r="J425" s="246"/>
      <c r="K425" s="242" t="s">
        <v>8</v>
      </c>
      <c r="L425" s="243">
        <v>6126585.3499999996</v>
      </c>
    </row>
    <row r="426" spans="1:12" ht="61.2" x14ac:dyDescent="0.3">
      <c r="A426" s="237" t="s">
        <v>60</v>
      </c>
      <c r="B426" s="238" t="s">
        <v>1694</v>
      </c>
      <c r="C426" s="238" t="s">
        <v>806</v>
      </c>
      <c r="D426" s="238" t="s">
        <v>1789</v>
      </c>
      <c r="E426" s="239" t="s">
        <v>105</v>
      </c>
      <c r="F426" s="245" t="s">
        <v>15</v>
      </c>
      <c r="G426" s="245"/>
      <c r="H426" s="239" t="s">
        <v>751</v>
      </c>
      <c r="I426" s="246">
        <v>2576.1</v>
      </c>
      <c r="J426" s="246"/>
      <c r="K426" s="242" t="s">
        <v>8</v>
      </c>
      <c r="L426" s="243">
        <v>6124009.25</v>
      </c>
    </row>
    <row r="427" spans="1:12" ht="61.2" x14ac:dyDescent="0.3">
      <c r="A427" s="237" t="s">
        <v>60</v>
      </c>
      <c r="B427" s="238" t="s">
        <v>1694</v>
      </c>
      <c r="C427" s="238" t="s">
        <v>806</v>
      </c>
      <c r="D427" s="238" t="s">
        <v>1790</v>
      </c>
      <c r="E427" s="239" t="s">
        <v>105</v>
      </c>
      <c r="F427" s="245" t="s">
        <v>15</v>
      </c>
      <c r="G427" s="245"/>
      <c r="H427" s="239" t="s">
        <v>751</v>
      </c>
      <c r="I427" s="246">
        <v>2752</v>
      </c>
      <c r="J427" s="246"/>
      <c r="K427" s="242" t="s">
        <v>8</v>
      </c>
      <c r="L427" s="243">
        <v>6121257.25</v>
      </c>
    </row>
    <row r="428" spans="1:12" ht="61.2" x14ac:dyDescent="0.3">
      <c r="A428" s="237" t="s">
        <v>60</v>
      </c>
      <c r="B428" s="238" t="s">
        <v>1694</v>
      </c>
      <c r="C428" s="238" t="s">
        <v>806</v>
      </c>
      <c r="D428" s="238" t="s">
        <v>1791</v>
      </c>
      <c r="E428" s="239" t="s">
        <v>105</v>
      </c>
      <c r="F428" s="245" t="s">
        <v>15</v>
      </c>
      <c r="G428" s="245"/>
      <c r="H428" s="239" t="s">
        <v>751</v>
      </c>
      <c r="I428" s="246">
        <v>3941.8</v>
      </c>
      <c r="J428" s="246"/>
      <c r="K428" s="242" t="s">
        <v>8</v>
      </c>
      <c r="L428" s="243">
        <v>6117315.4500000002</v>
      </c>
    </row>
    <row r="429" spans="1:12" ht="61.2" x14ac:dyDescent="0.3">
      <c r="A429" s="237" t="s">
        <v>60</v>
      </c>
      <c r="B429" s="238" t="s">
        <v>1694</v>
      </c>
      <c r="C429" s="238" t="s">
        <v>806</v>
      </c>
      <c r="D429" s="238" t="s">
        <v>1792</v>
      </c>
      <c r="E429" s="239" t="s">
        <v>105</v>
      </c>
      <c r="F429" s="245" t="s">
        <v>15</v>
      </c>
      <c r="G429" s="245"/>
      <c r="H429" s="239" t="s">
        <v>751</v>
      </c>
      <c r="I429" s="246">
        <v>2806.6</v>
      </c>
      <c r="J429" s="246"/>
      <c r="K429" s="242" t="s">
        <v>8</v>
      </c>
      <c r="L429" s="243">
        <v>6114508.8499999996</v>
      </c>
    </row>
    <row r="430" spans="1:12" ht="61.2" x14ac:dyDescent="0.3">
      <c r="A430" s="237" t="s">
        <v>60</v>
      </c>
      <c r="B430" s="238" t="s">
        <v>1694</v>
      </c>
      <c r="C430" s="238" t="s">
        <v>806</v>
      </c>
      <c r="D430" s="238" t="s">
        <v>1793</v>
      </c>
      <c r="E430" s="239" t="s">
        <v>105</v>
      </c>
      <c r="F430" s="245" t="s">
        <v>15</v>
      </c>
      <c r="G430" s="245"/>
      <c r="H430" s="239" t="s">
        <v>751</v>
      </c>
      <c r="I430" s="246">
        <v>5847.5</v>
      </c>
      <c r="J430" s="246"/>
      <c r="K430" s="242" t="s">
        <v>8</v>
      </c>
      <c r="L430" s="243">
        <v>6108661.3499999996</v>
      </c>
    </row>
    <row r="431" spans="1:12" ht="61.2" x14ac:dyDescent="0.3">
      <c r="A431" s="237" t="s">
        <v>60</v>
      </c>
      <c r="B431" s="238" t="s">
        <v>1694</v>
      </c>
      <c r="C431" s="238" t="s">
        <v>806</v>
      </c>
      <c r="D431" s="238" t="s">
        <v>1794</v>
      </c>
      <c r="E431" s="239" t="s">
        <v>105</v>
      </c>
      <c r="F431" s="245" t="s">
        <v>15</v>
      </c>
      <c r="G431" s="245"/>
      <c r="H431" s="239" t="s">
        <v>751</v>
      </c>
      <c r="I431" s="246">
        <v>2108.1999999999998</v>
      </c>
      <c r="J431" s="246"/>
      <c r="K431" s="242" t="s">
        <v>8</v>
      </c>
      <c r="L431" s="243">
        <v>6106553.1500000004</v>
      </c>
    </row>
    <row r="432" spans="1:12" ht="61.2" x14ac:dyDescent="0.3">
      <c r="A432" s="237" t="s">
        <v>60</v>
      </c>
      <c r="B432" s="238" t="s">
        <v>1694</v>
      </c>
      <c r="C432" s="238" t="s">
        <v>806</v>
      </c>
      <c r="D432" s="238" t="s">
        <v>1795</v>
      </c>
      <c r="E432" s="239" t="s">
        <v>105</v>
      </c>
      <c r="F432" s="245" t="s">
        <v>15</v>
      </c>
      <c r="G432" s="245"/>
      <c r="H432" s="239" t="s">
        <v>751</v>
      </c>
      <c r="I432" s="246">
        <v>12171.3</v>
      </c>
      <c r="J432" s="246"/>
      <c r="K432" s="242" t="s">
        <v>8</v>
      </c>
      <c r="L432" s="243">
        <v>6094381.8499999996</v>
      </c>
    </row>
    <row r="433" spans="1:12" ht="61.2" x14ac:dyDescent="0.3">
      <c r="A433" s="237" t="s">
        <v>60</v>
      </c>
      <c r="B433" s="238" t="s">
        <v>1694</v>
      </c>
      <c r="C433" s="238" t="s">
        <v>806</v>
      </c>
      <c r="D433" s="238" t="s">
        <v>1796</v>
      </c>
      <c r="E433" s="239" t="s">
        <v>105</v>
      </c>
      <c r="F433" s="245" t="s">
        <v>15</v>
      </c>
      <c r="G433" s="245"/>
      <c r="H433" s="239" t="s">
        <v>751</v>
      </c>
      <c r="I433" s="246">
        <v>5683</v>
      </c>
      <c r="J433" s="246"/>
      <c r="K433" s="242" t="s">
        <v>8</v>
      </c>
      <c r="L433" s="243">
        <v>6088698.8499999996</v>
      </c>
    </row>
    <row r="434" spans="1:12" ht="61.2" x14ac:dyDescent="0.3">
      <c r="A434" s="237" t="s">
        <v>60</v>
      </c>
      <c r="B434" s="238" t="s">
        <v>1694</v>
      </c>
      <c r="C434" s="238" t="s">
        <v>806</v>
      </c>
      <c r="D434" s="238" t="s">
        <v>1797</v>
      </c>
      <c r="E434" s="239" t="s">
        <v>105</v>
      </c>
      <c r="F434" s="245" t="s">
        <v>15</v>
      </c>
      <c r="G434" s="245"/>
      <c r="H434" s="239" t="s">
        <v>751</v>
      </c>
      <c r="I434" s="246">
        <v>1513.6</v>
      </c>
      <c r="J434" s="246"/>
      <c r="K434" s="242" t="s">
        <v>8</v>
      </c>
      <c r="L434" s="243">
        <v>6087185.25</v>
      </c>
    </row>
    <row r="435" spans="1:12" ht="61.2" x14ac:dyDescent="0.3">
      <c r="A435" s="237" t="s">
        <v>60</v>
      </c>
      <c r="B435" s="238" t="s">
        <v>1694</v>
      </c>
      <c r="C435" s="238" t="s">
        <v>806</v>
      </c>
      <c r="D435" s="238" t="s">
        <v>1798</v>
      </c>
      <c r="E435" s="239" t="s">
        <v>105</v>
      </c>
      <c r="F435" s="245" t="s">
        <v>15</v>
      </c>
      <c r="G435" s="245"/>
      <c r="H435" s="239" t="s">
        <v>751</v>
      </c>
      <c r="I435" s="246">
        <v>3160</v>
      </c>
      <c r="J435" s="246"/>
      <c r="K435" s="242" t="s">
        <v>8</v>
      </c>
      <c r="L435" s="243">
        <v>6084025.25</v>
      </c>
    </row>
    <row r="436" spans="1:12" ht="61.2" x14ac:dyDescent="0.3">
      <c r="A436" s="237" t="s">
        <v>60</v>
      </c>
      <c r="B436" s="238" t="s">
        <v>1694</v>
      </c>
      <c r="C436" s="238" t="s">
        <v>806</v>
      </c>
      <c r="D436" s="238" t="s">
        <v>1799</v>
      </c>
      <c r="E436" s="239" t="s">
        <v>105</v>
      </c>
      <c r="F436" s="245" t="s">
        <v>15</v>
      </c>
      <c r="G436" s="245"/>
      <c r="H436" s="239" t="s">
        <v>751</v>
      </c>
      <c r="I436" s="246">
        <v>4405.2</v>
      </c>
      <c r="J436" s="246"/>
      <c r="K436" s="242" t="s">
        <v>8</v>
      </c>
      <c r="L436" s="243">
        <v>6079620.0499999998</v>
      </c>
    </row>
    <row r="437" spans="1:12" ht="61.2" x14ac:dyDescent="0.3">
      <c r="A437" s="237" t="s">
        <v>60</v>
      </c>
      <c r="B437" s="238" t="s">
        <v>1694</v>
      </c>
      <c r="C437" s="238" t="s">
        <v>806</v>
      </c>
      <c r="D437" s="238" t="s">
        <v>1800</v>
      </c>
      <c r="E437" s="239" t="s">
        <v>105</v>
      </c>
      <c r="F437" s="245" t="s">
        <v>15</v>
      </c>
      <c r="G437" s="245"/>
      <c r="H437" s="239" t="s">
        <v>751</v>
      </c>
      <c r="I437" s="246">
        <v>2265.9</v>
      </c>
      <c r="J437" s="246"/>
      <c r="K437" s="242" t="s">
        <v>8</v>
      </c>
      <c r="L437" s="243">
        <v>6077354.1500000004</v>
      </c>
    </row>
    <row r="438" spans="1:12" ht="61.2" x14ac:dyDescent="0.3">
      <c r="A438" s="237" t="s">
        <v>60</v>
      </c>
      <c r="B438" s="238" t="s">
        <v>1694</v>
      </c>
      <c r="C438" s="238" t="s">
        <v>806</v>
      </c>
      <c r="D438" s="238" t="s">
        <v>1801</v>
      </c>
      <c r="E438" s="239" t="s">
        <v>105</v>
      </c>
      <c r="F438" s="245" t="s">
        <v>15</v>
      </c>
      <c r="G438" s="245"/>
      <c r="H438" s="239" t="s">
        <v>751</v>
      </c>
      <c r="I438" s="246">
        <v>2356.1</v>
      </c>
      <c r="J438" s="246"/>
      <c r="K438" s="242" t="s">
        <v>8</v>
      </c>
      <c r="L438" s="243">
        <v>6074998.0499999998</v>
      </c>
    </row>
    <row r="439" spans="1:12" ht="61.2" x14ac:dyDescent="0.3">
      <c r="A439" s="237" t="s">
        <v>60</v>
      </c>
      <c r="B439" s="238" t="s">
        <v>1694</v>
      </c>
      <c r="C439" s="238" t="s">
        <v>806</v>
      </c>
      <c r="D439" s="238" t="s">
        <v>1802</v>
      </c>
      <c r="E439" s="239" t="s">
        <v>105</v>
      </c>
      <c r="F439" s="245" t="s">
        <v>15</v>
      </c>
      <c r="G439" s="245"/>
      <c r="H439" s="239" t="s">
        <v>751</v>
      </c>
      <c r="I439" s="246">
        <v>3442.8</v>
      </c>
      <c r="J439" s="246"/>
      <c r="K439" s="242" t="s">
        <v>8</v>
      </c>
      <c r="L439" s="243">
        <v>6071555.25</v>
      </c>
    </row>
    <row r="440" spans="1:12" ht="61.2" x14ac:dyDescent="0.3">
      <c r="A440" s="237" t="s">
        <v>60</v>
      </c>
      <c r="B440" s="238" t="s">
        <v>1694</v>
      </c>
      <c r="C440" s="238" t="s">
        <v>806</v>
      </c>
      <c r="D440" s="238" t="s">
        <v>1803</v>
      </c>
      <c r="E440" s="239" t="s">
        <v>105</v>
      </c>
      <c r="F440" s="245" t="s">
        <v>15</v>
      </c>
      <c r="G440" s="245"/>
      <c r="H440" s="239" t="s">
        <v>751</v>
      </c>
      <c r="I440" s="246">
        <v>4626.6000000000004</v>
      </c>
      <c r="J440" s="246"/>
      <c r="K440" s="242" t="s">
        <v>8</v>
      </c>
      <c r="L440" s="243">
        <v>6066928.6500000004</v>
      </c>
    </row>
    <row r="441" spans="1:12" ht="61.2" x14ac:dyDescent="0.3">
      <c r="A441" s="237" t="s">
        <v>60</v>
      </c>
      <c r="B441" s="238" t="s">
        <v>1694</v>
      </c>
      <c r="C441" s="238" t="s">
        <v>806</v>
      </c>
      <c r="D441" s="238" t="s">
        <v>1804</v>
      </c>
      <c r="E441" s="239" t="s">
        <v>105</v>
      </c>
      <c r="F441" s="245" t="s">
        <v>15</v>
      </c>
      <c r="G441" s="245"/>
      <c r="H441" s="239" t="s">
        <v>751</v>
      </c>
      <c r="I441" s="246">
        <v>10553</v>
      </c>
      <c r="J441" s="246"/>
      <c r="K441" s="242" t="s">
        <v>8</v>
      </c>
      <c r="L441" s="243">
        <v>6056375.6500000004</v>
      </c>
    </row>
    <row r="442" spans="1:12" ht="61.2" x14ac:dyDescent="0.3">
      <c r="A442" s="237" t="s">
        <v>60</v>
      </c>
      <c r="B442" s="238" t="s">
        <v>1694</v>
      </c>
      <c r="C442" s="238" t="s">
        <v>806</v>
      </c>
      <c r="D442" s="238" t="s">
        <v>1805</v>
      </c>
      <c r="E442" s="239" t="s">
        <v>105</v>
      </c>
      <c r="F442" s="245" t="s">
        <v>15</v>
      </c>
      <c r="G442" s="245"/>
      <c r="H442" s="239" t="s">
        <v>751</v>
      </c>
      <c r="I442" s="246">
        <v>2324.3000000000002</v>
      </c>
      <c r="J442" s="246"/>
      <c r="K442" s="242" t="s">
        <v>8</v>
      </c>
      <c r="L442" s="243">
        <v>6054051.3499999996</v>
      </c>
    </row>
    <row r="443" spans="1:12" ht="61.2" x14ac:dyDescent="0.3">
      <c r="A443" s="237" t="s">
        <v>60</v>
      </c>
      <c r="B443" s="238" t="s">
        <v>1694</v>
      </c>
      <c r="C443" s="238" t="s">
        <v>806</v>
      </c>
      <c r="D443" s="238" t="s">
        <v>1806</v>
      </c>
      <c r="E443" s="239" t="s">
        <v>105</v>
      </c>
      <c r="F443" s="245" t="s">
        <v>15</v>
      </c>
      <c r="G443" s="245"/>
      <c r="H443" s="239" t="s">
        <v>751</v>
      </c>
      <c r="I443" s="246">
        <v>2338.6999999999998</v>
      </c>
      <c r="J443" s="246"/>
      <c r="K443" s="242" t="s">
        <v>8</v>
      </c>
      <c r="L443" s="243">
        <v>6051712.6500000004</v>
      </c>
    </row>
    <row r="444" spans="1:12" ht="61.2" x14ac:dyDescent="0.3">
      <c r="A444" s="237" t="s">
        <v>60</v>
      </c>
      <c r="B444" s="238" t="s">
        <v>1694</v>
      </c>
      <c r="C444" s="238" t="s">
        <v>806</v>
      </c>
      <c r="D444" s="238" t="s">
        <v>1807</v>
      </c>
      <c r="E444" s="239" t="s">
        <v>105</v>
      </c>
      <c r="F444" s="245" t="s">
        <v>15</v>
      </c>
      <c r="G444" s="245"/>
      <c r="H444" s="239" t="s">
        <v>751</v>
      </c>
      <c r="I444" s="246">
        <v>1933.8</v>
      </c>
      <c r="J444" s="246"/>
      <c r="K444" s="242" t="s">
        <v>8</v>
      </c>
      <c r="L444" s="243">
        <v>6049778.8499999996</v>
      </c>
    </row>
    <row r="445" spans="1:12" ht="61.2" x14ac:dyDescent="0.3">
      <c r="A445" s="237" t="s">
        <v>60</v>
      </c>
      <c r="B445" s="238" t="s">
        <v>1694</v>
      </c>
      <c r="C445" s="238" t="s">
        <v>806</v>
      </c>
      <c r="D445" s="238" t="s">
        <v>1808</v>
      </c>
      <c r="E445" s="239" t="s">
        <v>105</v>
      </c>
      <c r="F445" s="245" t="s">
        <v>15</v>
      </c>
      <c r="G445" s="245"/>
      <c r="H445" s="239" t="s">
        <v>751</v>
      </c>
      <c r="I445" s="246">
        <v>26045.8</v>
      </c>
      <c r="J445" s="246"/>
      <c r="K445" s="242" t="s">
        <v>8</v>
      </c>
      <c r="L445" s="243">
        <v>6023733.0499999998</v>
      </c>
    </row>
    <row r="446" spans="1:12" ht="61.2" x14ac:dyDescent="0.3">
      <c r="A446" s="237" t="s">
        <v>60</v>
      </c>
      <c r="B446" s="238" t="s">
        <v>1694</v>
      </c>
      <c r="C446" s="238" t="s">
        <v>806</v>
      </c>
      <c r="D446" s="238" t="s">
        <v>1809</v>
      </c>
      <c r="E446" s="239" t="s">
        <v>105</v>
      </c>
      <c r="F446" s="245" t="s">
        <v>15</v>
      </c>
      <c r="G446" s="245"/>
      <c r="H446" s="239" t="s">
        <v>751</v>
      </c>
      <c r="I446" s="246">
        <v>3843.2</v>
      </c>
      <c r="J446" s="246"/>
      <c r="K446" s="242" t="s">
        <v>8</v>
      </c>
      <c r="L446" s="243">
        <v>6019889.8499999996</v>
      </c>
    </row>
    <row r="447" spans="1:12" ht="61.2" x14ac:dyDescent="0.3">
      <c r="A447" s="237" t="s">
        <v>60</v>
      </c>
      <c r="B447" s="238" t="s">
        <v>1694</v>
      </c>
      <c r="C447" s="238" t="s">
        <v>806</v>
      </c>
      <c r="D447" s="238" t="s">
        <v>1810</v>
      </c>
      <c r="E447" s="239" t="s">
        <v>105</v>
      </c>
      <c r="F447" s="245" t="s">
        <v>15</v>
      </c>
      <c r="G447" s="245"/>
      <c r="H447" s="239" t="s">
        <v>751</v>
      </c>
      <c r="I447" s="246">
        <v>5245.4</v>
      </c>
      <c r="J447" s="246"/>
      <c r="K447" s="242" t="s">
        <v>8</v>
      </c>
      <c r="L447" s="243">
        <v>6014644.4500000002</v>
      </c>
    </row>
    <row r="448" spans="1:12" ht="61.2" x14ac:dyDescent="0.3">
      <c r="A448" s="237" t="s">
        <v>60</v>
      </c>
      <c r="B448" s="238" t="s">
        <v>1694</v>
      </c>
      <c r="C448" s="238" t="s">
        <v>806</v>
      </c>
      <c r="D448" s="238" t="s">
        <v>1811</v>
      </c>
      <c r="E448" s="239" t="s">
        <v>105</v>
      </c>
      <c r="F448" s="245" t="s">
        <v>15</v>
      </c>
      <c r="G448" s="245"/>
      <c r="H448" s="239" t="s">
        <v>751</v>
      </c>
      <c r="I448" s="246">
        <v>2651.1</v>
      </c>
      <c r="J448" s="246"/>
      <c r="K448" s="242" t="s">
        <v>8</v>
      </c>
      <c r="L448" s="243">
        <v>6011993.3499999996</v>
      </c>
    </row>
    <row r="449" spans="1:12" ht="61.2" x14ac:dyDescent="0.3">
      <c r="A449" s="237" t="s">
        <v>60</v>
      </c>
      <c r="B449" s="238" t="s">
        <v>1694</v>
      </c>
      <c r="C449" s="238" t="s">
        <v>806</v>
      </c>
      <c r="D449" s="238" t="s">
        <v>1812</v>
      </c>
      <c r="E449" s="239" t="s">
        <v>105</v>
      </c>
      <c r="F449" s="245" t="s">
        <v>15</v>
      </c>
      <c r="G449" s="245"/>
      <c r="H449" s="239" t="s">
        <v>751</v>
      </c>
      <c r="I449" s="246">
        <v>2652.7</v>
      </c>
      <c r="J449" s="246"/>
      <c r="K449" s="242" t="s">
        <v>8</v>
      </c>
      <c r="L449" s="243">
        <v>6009340.6500000004</v>
      </c>
    </row>
    <row r="450" spans="1:12" ht="61.2" x14ac:dyDescent="0.3">
      <c r="A450" s="237" t="s">
        <v>60</v>
      </c>
      <c r="B450" s="238" t="s">
        <v>1694</v>
      </c>
      <c r="C450" s="238" t="s">
        <v>806</v>
      </c>
      <c r="D450" s="238" t="s">
        <v>1813</v>
      </c>
      <c r="E450" s="239" t="s">
        <v>105</v>
      </c>
      <c r="F450" s="245" t="s">
        <v>15</v>
      </c>
      <c r="G450" s="245"/>
      <c r="H450" s="239" t="s">
        <v>751</v>
      </c>
      <c r="I450" s="246">
        <v>2621.6</v>
      </c>
      <c r="J450" s="246"/>
      <c r="K450" s="242" t="s">
        <v>8</v>
      </c>
      <c r="L450" s="243">
        <v>6006719.0499999998</v>
      </c>
    </row>
    <row r="451" spans="1:12" ht="61.2" x14ac:dyDescent="0.3">
      <c r="A451" s="237" t="s">
        <v>60</v>
      </c>
      <c r="B451" s="238" t="s">
        <v>1694</v>
      </c>
      <c r="C451" s="238" t="s">
        <v>806</v>
      </c>
      <c r="D451" s="238" t="s">
        <v>1814</v>
      </c>
      <c r="E451" s="239" t="s">
        <v>105</v>
      </c>
      <c r="F451" s="245" t="s">
        <v>15</v>
      </c>
      <c r="G451" s="245"/>
      <c r="H451" s="239" t="s">
        <v>751</v>
      </c>
      <c r="I451" s="246">
        <v>2657.2</v>
      </c>
      <c r="J451" s="246"/>
      <c r="K451" s="242" t="s">
        <v>8</v>
      </c>
      <c r="L451" s="243">
        <v>6004061.8499999996</v>
      </c>
    </row>
    <row r="452" spans="1:12" ht="61.2" x14ac:dyDescent="0.3">
      <c r="A452" s="237" t="s">
        <v>60</v>
      </c>
      <c r="B452" s="238" t="s">
        <v>1694</v>
      </c>
      <c r="C452" s="238" t="s">
        <v>806</v>
      </c>
      <c r="D452" s="238" t="s">
        <v>1815</v>
      </c>
      <c r="E452" s="239" t="s">
        <v>105</v>
      </c>
      <c r="F452" s="245" t="s">
        <v>15</v>
      </c>
      <c r="G452" s="245"/>
      <c r="H452" s="239" t="s">
        <v>751</v>
      </c>
      <c r="I452" s="246">
        <v>5278.8</v>
      </c>
      <c r="J452" s="246"/>
      <c r="K452" s="242" t="s">
        <v>8</v>
      </c>
      <c r="L452" s="243">
        <v>5998783.0499999998</v>
      </c>
    </row>
    <row r="453" spans="1:12" ht="61.2" x14ac:dyDescent="0.3">
      <c r="A453" s="237" t="s">
        <v>60</v>
      </c>
      <c r="B453" s="238" t="s">
        <v>1694</v>
      </c>
      <c r="C453" s="238" t="s">
        <v>806</v>
      </c>
      <c r="D453" s="238" t="s">
        <v>1816</v>
      </c>
      <c r="E453" s="239" t="s">
        <v>105</v>
      </c>
      <c r="F453" s="245" t="s">
        <v>15</v>
      </c>
      <c r="G453" s="245"/>
      <c r="H453" s="239" t="s">
        <v>751</v>
      </c>
      <c r="I453" s="246">
        <v>2637.5</v>
      </c>
      <c r="J453" s="246"/>
      <c r="K453" s="242" t="s">
        <v>8</v>
      </c>
      <c r="L453" s="243">
        <v>5996145.5499999998</v>
      </c>
    </row>
    <row r="454" spans="1:12" ht="61.2" x14ac:dyDescent="0.3">
      <c r="A454" s="237" t="s">
        <v>60</v>
      </c>
      <c r="B454" s="238" t="s">
        <v>1694</v>
      </c>
      <c r="C454" s="238" t="s">
        <v>806</v>
      </c>
      <c r="D454" s="238" t="s">
        <v>1817</v>
      </c>
      <c r="E454" s="239" t="s">
        <v>105</v>
      </c>
      <c r="F454" s="245" t="s">
        <v>15</v>
      </c>
      <c r="G454" s="245"/>
      <c r="H454" s="239" t="s">
        <v>751</v>
      </c>
      <c r="I454" s="246">
        <v>5145.3</v>
      </c>
      <c r="J454" s="246"/>
      <c r="K454" s="242" t="s">
        <v>8</v>
      </c>
      <c r="L454" s="243">
        <v>5991000.25</v>
      </c>
    </row>
    <row r="455" spans="1:12" ht="61.2" x14ac:dyDescent="0.3">
      <c r="A455" s="237" t="s">
        <v>60</v>
      </c>
      <c r="B455" s="238" t="s">
        <v>1694</v>
      </c>
      <c r="C455" s="238" t="s">
        <v>806</v>
      </c>
      <c r="D455" s="238" t="s">
        <v>1818</v>
      </c>
      <c r="E455" s="239" t="s">
        <v>105</v>
      </c>
      <c r="F455" s="245" t="s">
        <v>15</v>
      </c>
      <c r="G455" s="245"/>
      <c r="H455" s="239" t="s">
        <v>751</v>
      </c>
      <c r="I455" s="246">
        <v>3974.4</v>
      </c>
      <c r="J455" s="246"/>
      <c r="K455" s="242" t="s">
        <v>8</v>
      </c>
      <c r="L455" s="243">
        <v>5987025.8499999996</v>
      </c>
    </row>
    <row r="456" spans="1:12" ht="61.2" x14ac:dyDescent="0.3">
      <c r="A456" s="237" t="s">
        <v>60</v>
      </c>
      <c r="B456" s="238" t="s">
        <v>1694</v>
      </c>
      <c r="C456" s="238" t="s">
        <v>806</v>
      </c>
      <c r="D456" s="238" t="s">
        <v>1819</v>
      </c>
      <c r="E456" s="239" t="s">
        <v>105</v>
      </c>
      <c r="F456" s="245" t="s">
        <v>15</v>
      </c>
      <c r="G456" s="245"/>
      <c r="H456" s="239" t="s">
        <v>751</v>
      </c>
      <c r="I456" s="246">
        <v>3890.3</v>
      </c>
      <c r="J456" s="246"/>
      <c r="K456" s="242" t="s">
        <v>8</v>
      </c>
      <c r="L456" s="243">
        <v>5983135.5499999998</v>
      </c>
    </row>
    <row r="457" spans="1:12" ht="61.2" x14ac:dyDescent="0.3">
      <c r="A457" s="237" t="s">
        <v>60</v>
      </c>
      <c r="B457" s="238" t="s">
        <v>1694</v>
      </c>
      <c r="C457" s="238" t="s">
        <v>806</v>
      </c>
      <c r="D457" s="238" t="s">
        <v>1820</v>
      </c>
      <c r="E457" s="239" t="s">
        <v>105</v>
      </c>
      <c r="F457" s="245" t="s">
        <v>15</v>
      </c>
      <c r="G457" s="245"/>
      <c r="H457" s="239" t="s">
        <v>751</v>
      </c>
      <c r="I457" s="246">
        <v>8061</v>
      </c>
      <c r="J457" s="246"/>
      <c r="K457" s="242" t="s">
        <v>8</v>
      </c>
      <c r="L457" s="243">
        <v>5975074.5499999998</v>
      </c>
    </row>
    <row r="458" spans="1:12" ht="61.2" x14ac:dyDescent="0.3">
      <c r="A458" s="237" t="s">
        <v>60</v>
      </c>
      <c r="B458" s="238" t="s">
        <v>1694</v>
      </c>
      <c r="C458" s="238" t="s">
        <v>806</v>
      </c>
      <c r="D458" s="238" t="s">
        <v>1821</v>
      </c>
      <c r="E458" s="239" t="s">
        <v>105</v>
      </c>
      <c r="F458" s="245" t="s">
        <v>15</v>
      </c>
      <c r="G458" s="245"/>
      <c r="H458" s="239" t="s">
        <v>751</v>
      </c>
      <c r="I458" s="246">
        <v>10701.6</v>
      </c>
      <c r="J458" s="246"/>
      <c r="K458" s="242" t="s">
        <v>8</v>
      </c>
      <c r="L458" s="243">
        <v>5964372.9500000002</v>
      </c>
    </row>
    <row r="459" spans="1:12" ht="61.2" x14ac:dyDescent="0.3">
      <c r="A459" s="237" t="s">
        <v>60</v>
      </c>
      <c r="B459" s="238" t="s">
        <v>1694</v>
      </c>
      <c r="C459" s="238" t="s">
        <v>806</v>
      </c>
      <c r="D459" s="238" t="s">
        <v>1822</v>
      </c>
      <c r="E459" s="239" t="s">
        <v>105</v>
      </c>
      <c r="F459" s="245" t="s">
        <v>15</v>
      </c>
      <c r="G459" s="245"/>
      <c r="H459" s="239" t="s">
        <v>751</v>
      </c>
      <c r="I459" s="246">
        <v>3269.9</v>
      </c>
      <c r="J459" s="246"/>
      <c r="K459" s="242" t="s">
        <v>8</v>
      </c>
      <c r="L459" s="243">
        <v>5961103.0499999998</v>
      </c>
    </row>
    <row r="460" spans="1:12" ht="61.2" x14ac:dyDescent="0.3">
      <c r="A460" s="237" t="s">
        <v>60</v>
      </c>
      <c r="B460" s="238" t="s">
        <v>1694</v>
      </c>
      <c r="C460" s="238" t="s">
        <v>806</v>
      </c>
      <c r="D460" s="238" t="s">
        <v>1823</v>
      </c>
      <c r="E460" s="239" t="s">
        <v>105</v>
      </c>
      <c r="F460" s="245" t="s">
        <v>15</v>
      </c>
      <c r="G460" s="245"/>
      <c r="H460" s="239" t="s">
        <v>751</v>
      </c>
      <c r="I460" s="246">
        <v>3884.2</v>
      </c>
      <c r="J460" s="246"/>
      <c r="K460" s="242" t="s">
        <v>8</v>
      </c>
      <c r="L460" s="243">
        <v>5957218.8499999996</v>
      </c>
    </row>
    <row r="461" spans="1:12" ht="61.2" x14ac:dyDescent="0.3">
      <c r="A461" s="237" t="s">
        <v>60</v>
      </c>
      <c r="B461" s="238" t="s">
        <v>1694</v>
      </c>
      <c r="C461" s="238" t="s">
        <v>806</v>
      </c>
      <c r="D461" s="238" t="s">
        <v>1824</v>
      </c>
      <c r="E461" s="239" t="s">
        <v>105</v>
      </c>
      <c r="F461" s="245" t="s">
        <v>15</v>
      </c>
      <c r="G461" s="245"/>
      <c r="H461" s="239" t="s">
        <v>751</v>
      </c>
      <c r="I461" s="246">
        <v>3297.2</v>
      </c>
      <c r="J461" s="246"/>
      <c r="K461" s="242" t="s">
        <v>8</v>
      </c>
      <c r="L461" s="243">
        <v>5953921.6500000004</v>
      </c>
    </row>
    <row r="462" spans="1:12" ht="61.2" x14ac:dyDescent="0.3">
      <c r="A462" s="237" t="s">
        <v>60</v>
      </c>
      <c r="B462" s="238" t="s">
        <v>1694</v>
      </c>
      <c r="C462" s="238" t="s">
        <v>806</v>
      </c>
      <c r="D462" s="238" t="s">
        <v>1825</v>
      </c>
      <c r="E462" s="239" t="s">
        <v>105</v>
      </c>
      <c r="F462" s="245" t="s">
        <v>15</v>
      </c>
      <c r="G462" s="245"/>
      <c r="H462" s="239" t="s">
        <v>751</v>
      </c>
      <c r="I462" s="246">
        <v>4073</v>
      </c>
      <c r="J462" s="246"/>
      <c r="K462" s="242" t="s">
        <v>8</v>
      </c>
      <c r="L462" s="243">
        <v>5949848.6500000004</v>
      </c>
    </row>
    <row r="463" spans="1:12" ht="61.2" x14ac:dyDescent="0.3">
      <c r="A463" s="237" t="s">
        <v>60</v>
      </c>
      <c r="B463" s="238" t="s">
        <v>1694</v>
      </c>
      <c r="C463" s="238" t="s">
        <v>806</v>
      </c>
      <c r="D463" s="238" t="s">
        <v>1826</v>
      </c>
      <c r="E463" s="239" t="s">
        <v>105</v>
      </c>
      <c r="F463" s="245" t="s">
        <v>15</v>
      </c>
      <c r="G463" s="245"/>
      <c r="H463" s="239" t="s">
        <v>751</v>
      </c>
      <c r="I463" s="246">
        <v>5504.7</v>
      </c>
      <c r="J463" s="246"/>
      <c r="K463" s="242" t="s">
        <v>8</v>
      </c>
      <c r="L463" s="243">
        <v>5944343.9500000002</v>
      </c>
    </row>
    <row r="464" spans="1:12" ht="61.2" x14ac:dyDescent="0.3">
      <c r="A464" s="237" t="s">
        <v>60</v>
      </c>
      <c r="B464" s="238" t="s">
        <v>1694</v>
      </c>
      <c r="C464" s="238" t="s">
        <v>806</v>
      </c>
      <c r="D464" s="238" t="s">
        <v>1827</v>
      </c>
      <c r="E464" s="239" t="s">
        <v>105</v>
      </c>
      <c r="F464" s="245" t="s">
        <v>15</v>
      </c>
      <c r="G464" s="245"/>
      <c r="H464" s="239" t="s">
        <v>751</v>
      </c>
      <c r="I464" s="246">
        <v>3324.5</v>
      </c>
      <c r="J464" s="246"/>
      <c r="K464" s="242" t="s">
        <v>8</v>
      </c>
      <c r="L464" s="243">
        <v>5941019.4500000002</v>
      </c>
    </row>
    <row r="465" spans="1:12" ht="61.2" x14ac:dyDescent="0.3">
      <c r="A465" s="237" t="s">
        <v>60</v>
      </c>
      <c r="B465" s="238" t="s">
        <v>1694</v>
      </c>
      <c r="C465" s="238" t="s">
        <v>806</v>
      </c>
      <c r="D465" s="238" t="s">
        <v>1828</v>
      </c>
      <c r="E465" s="239" t="s">
        <v>105</v>
      </c>
      <c r="F465" s="245" t="s">
        <v>15</v>
      </c>
      <c r="G465" s="245"/>
      <c r="H465" s="239" t="s">
        <v>751</v>
      </c>
      <c r="I465" s="246">
        <v>3406.4</v>
      </c>
      <c r="J465" s="246"/>
      <c r="K465" s="242" t="s">
        <v>8</v>
      </c>
      <c r="L465" s="243">
        <v>5937613.0499999998</v>
      </c>
    </row>
    <row r="466" spans="1:12" ht="61.2" x14ac:dyDescent="0.3">
      <c r="A466" s="237" t="s">
        <v>60</v>
      </c>
      <c r="B466" s="238" t="s">
        <v>1694</v>
      </c>
      <c r="C466" s="238" t="s">
        <v>806</v>
      </c>
      <c r="D466" s="238" t="s">
        <v>1829</v>
      </c>
      <c r="E466" s="239" t="s">
        <v>105</v>
      </c>
      <c r="F466" s="245" t="s">
        <v>15</v>
      </c>
      <c r="G466" s="245"/>
      <c r="H466" s="239" t="s">
        <v>751</v>
      </c>
      <c r="I466" s="246">
        <v>3341.2</v>
      </c>
      <c r="J466" s="246"/>
      <c r="K466" s="242" t="s">
        <v>8</v>
      </c>
      <c r="L466" s="243">
        <v>5934271.8499999996</v>
      </c>
    </row>
    <row r="467" spans="1:12" ht="61.2" x14ac:dyDescent="0.3">
      <c r="A467" s="237" t="s">
        <v>60</v>
      </c>
      <c r="B467" s="238" t="s">
        <v>1694</v>
      </c>
      <c r="C467" s="238" t="s">
        <v>806</v>
      </c>
      <c r="D467" s="238" t="s">
        <v>1830</v>
      </c>
      <c r="E467" s="239" t="s">
        <v>105</v>
      </c>
      <c r="F467" s="245" t="s">
        <v>15</v>
      </c>
      <c r="G467" s="245"/>
      <c r="H467" s="239" t="s">
        <v>751</v>
      </c>
      <c r="I467" s="246">
        <v>3416.3</v>
      </c>
      <c r="J467" s="246"/>
      <c r="K467" s="242" t="s">
        <v>8</v>
      </c>
      <c r="L467" s="243">
        <v>5930855.5499999998</v>
      </c>
    </row>
    <row r="468" spans="1:12" ht="61.2" x14ac:dyDescent="0.3">
      <c r="A468" s="237" t="s">
        <v>60</v>
      </c>
      <c r="B468" s="238" t="s">
        <v>1694</v>
      </c>
      <c r="C468" s="238" t="s">
        <v>806</v>
      </c>
      <c r="D468" s="238" t="s">
        <v>1831</v>
      </c>
      <c r="E468" s="239" t="s">
        <v>105</v>
      </c>
      <c r="F468" s="245" t="s">
        <v>15</v>
      </c>
      <c r="G468" s="245"/>
      <c r="H468" s="239" t="s">
        <v>751</v>
      </c>
      <c r="I468" s="246">
        <v>62971.5</v>
      </c>
      <c r="J468" s="246"/>
      <c r="K468" s="242" t="s">
        <v>8</v>
      </c>
      <c r="L468" s="243">
        <v>5867884.0499999998</v>
      </c>
    </row>
    <row r="469" spans="1:12" ht="61.2" x14ac:dyDescent="0.3">
      <c r="A469" s="237" t="s">
        <v>60</v>
      </c>
      <c r="B469" s="238" t="s">
        <v>1694</v>
      </c>
      <c r="C469" s="238" t="s">
        <v>806</v>
      </c>
      <c r="D469" s="238" t="s">
        <v>1832</v>
      </c>
      <c r="E469" s="239" t="s">
        <v>105</v>
      </c>
      <c r="F469" s="245" t="s">
        <v>15</v>
      </c>
      <c r="G469" s="245"/>
      <c r="H469" s="239" t="s">
        <v>751</v>
      </c>
      <c r="I469" s="246">
        <v>33584.800000000003</v>
      </c>
      <c r="J469" s="246"/>
      <c r="K469" s="242" t="s">
        <v>8</v>
      </c>
      <c r="L469" s="243">
        <v>5834299.25</v>
      </c>
    </row>
    <row r="470" spans="1:12" ht="61.2" x14ac:dyDescent="0.3">
      <c r="A470" s="237" t="s">
        <v>60</v>
      </c>
      <c r="B470" s="238" t="s">
        <v>1694</v>
      </c>
      <c r="C470" s="238" t="s">
        <v>806</v>
      </c>
      <c r="D470" s="238" t="s">
        <v>1833</v>
      </c>
      <c r="E470" s="239" t="s">
        <v>105</v>
      </c>
      <c r="F470" s="245" t="s">
        <v>15</v>
      </c>
      <c r="G470" s="245"/>
      <c r="H470" s="239" t="s">
        <v>751</v>
      </c>
      <c r="I470" s="246">
        <v>2871.1</v>
      </c>
      <c r="J470" s="246"/>
      <c r="K470" s="242" t="s">
        <v>8</v>
      </c>
      <c r="L470" s="243">
        <v>5831428.1500000004</v>
      </c>
    </row>
    <row r="471" spans="1:12" ht="61.2" x14ac:dyDescent="0.3">
      <c r="A471" s="237" t="s">
        <v>60</v>
      </c>
      <c r="B471" s="238" t="s">
        <v>1694</v>
      </c>
      <c r="C471" s="238" t="s">
        <v>806</v>
      </c>
      <c r="D471" s="238" t="s">
        <v>1834</v>
      </c>
      <c r="E471" s="239" t="s">
        <v>105</v>
      </c>
      <c r="F471" s="245" t="s">
        <v>15</v>
      </c>
      <c r="G471" s="245"/>
      <c r="H471" s="239" t="s">
        <v>751</v>
      </c>
      <c r="I471" s="246">
        <v>3896.3</v>
      </c>
      <c r="J471" s="246"/>
      <c r="K471" s="242" t="s">
        <v>8</v>
      </c>
      <c r="L471" s="243">
        <v>5827531.8499999996</v>
      </c>
    </row>
    <row r="472" spans="1:12" ht="61.2" x14ac:dyDescent="0.3">
      <c r="A472" s="237" t="s">
        <v>60</v>
      </c>
      <c r="B472" s="238" t="s">
        <v>1694</v>
      </c>
      <c r="C472" s="238" t="s">
        <v>806</v>
      </c>
      <c r="D472" s="238" t="s">
        <v>1835</v>
      </c>
      <c r="E472" s="239" t="s">
        <v>105</v>
      </c>
      <c r="F472" s="245" t="s">
        <v>15</v>
      </c>
      <c r="G472" s="245"/>
      <c r="H472" s="239" t="s">
        <v>751</v>
      </c>
      <c r="I472" s="246">
        <v>3901.6</v>
      </c>
      <c r="J472" s="246"/>
      <c r="K472" s="242" t="s">
        <v>8</v>
      </c>
      <c r="L472" s="243">
        <v>5823630.25</v>
      </c>
    </row>
    <row r="473" spans="1:12" ht="61.2" x14ac:dyDescent="0.3">
      <c r="A473" s="237" t="s">
        <v>60</v>
      </c>
      <c r="B473" s="238" t="s">
        <v>1694</v>
      </c>
      <c r="C473" s="238" t="s">
        <v>806</v>
      </c>
      <c r="D473" s="238" t="s">
        <v>1836</v>
      </c>
      <c r="E473" s="239" t="s">
        <v>105</v>
      </c>
      <c r="F473" s="245" t="s">
        <v>15</v>
      </c>
      <c r="G473" s="245"/>
      <c r="H473" s="239" t="s">
        <v>751</v>
      </c>
      <c r="I473" s="246">
        <v>4367.2</v>
      </c>
      <c r="J473" s="246"/>
      <c r="K473" s="242" t="s">
        <v>8</v>
      </c>
      <c r="L473" s="243">
        <v>5819263.0499999998</v>
      </c>
    </row>
    <row r="474" spans="1:12" ht="61.2" x14ac:dyDescent="0.3">
      <c r="A474" s="237" t="s">
        <v>60</v>
      </c>
      <c r="B474" s="238" t="s">
        <v>1694</v>
      </c>
      <c r="C474" s="238" t="s">
        <v>806</v>
      </c>
      <c r="D474" s="238" t="s">
        <v>1837</v>
      </c>
      <c r="E474" s="239" t="s">
        <v>105</v>
      </c>
      <c r="F474" s="245" t="s">
        <v>15</v>
      </c>
      <c r="G474" s="245"/>
      <c r="H474" s="239" t="s">
        <v>751</v>
      </c>
      <c r="I474" s="246">
        <v>2097.6</v>
      </c>
      <c r="J474" s="246"/>
      <c r="K474" s="242" t="s">
        <v>8</v>
      </c>
      <c r="L474" s="243">
        <v>5817165.4500000002</v>
      </c>
    </row>
    <row r="475" spans="1:12" ht="61.2" x14ac:dyDescent="0.3">
      <c r="A475" s="237" t="s">
        <v>60</v>
      </c>
      <c r="B475" s="238" t="s">
        <v>1694</v>
      </c>
      <c r="C475" s="238" t="s">
        <v>806</v>
      </c>
      <c r="D475" s="238" t="s">
        <v>1838</v>
      </c>
      <c r="E475" s="239" t="s">
        <v>105</v>
      </c>
      <c r="F475" s="245" t="s">
        <v>15</v>
      </c>
      <c r="G475" s="245"/>
      <c r="H475" s="239" t="s">
        <v>751</v>
      </c>
      <c r="I475" s="246">
        <v>4078.3</v>
      </c>
      <c r="J475" s="246"/>
      <c r="K475" s="242" t="s">
        <v>8</v>
      </c>
      <c r="L475" s="243">
        <v>5813087.1500000004</v>
      </c>
    </row>
    <row r="476" spans="1:12" ht="61.2" x14ac:dyDescent="0.3">
      <c r="A476" s="237" t="s">
        <v>60</v>
      </c>
      <c r="B476" s="238" t="s">
        <v>1694</v>
      </c>
      <c r="C476" s="238" t="s">
        <v>806</v>
      </c>
      <c r="D476" s="238" t="s">
        <v>1839</v>
      </c>
      <c r="E476" s="239" t="s">
        <v>105</v>
      </c>
      <c r="F476" s="245" t="s">
        <v>15</v>
      </c>
      <c r="G476" s="245"/>
      <c r="H476" s="239" t="s">
        <v>751</v>
      </c>
      <c r="I476" s="246">
        <v>17538.8</v>
      </c>
      <c r="J476" s="246"/>
      <c r="K476" s="242" t="s">
        <v>8</v>
      </c>
      <c r="L476" s="243">
        <v>5795548.3499999996</v>
      </c>
    </row>
    <row r="477" spans="1:12" ht="61.2" x14ac:dyDescent="0.3">
      <c r="A477" s="237" t="s">
        <v>60</v>
      </c>
      <c r="B477" s="238" t="s">
        <v>1694</v>
      </c>
      <c r="C477" s="238" t="s">
        <v>806</v>
      </c>
      <c r="D477" s="238" t="s">
        <v>1840</v>
      </c>
      <c r="E477" s="239" t="s">
        <v>105</v>
      </c>
      <c r="F477" s="245" t="s">
        <v>15</v>
      </c>
      <c r="G477" s="245"/>
      <c r="H477" s="239" t="s">
        <v>751</v>
      </c>
      <c r="I477" s="246">
        <v>3665</v>
      </c>
      <c r="J477" s="246"/>
      <c r="K477" s="242" t="s">
        <v>8</v>
      </c>
      <c r="L477" s="243">
        <v>5791883.3499999996</v>
      </c>
    </row>
    <row r="478" spans="1:12" ht="61.2" x14ac:dyDescent="0.3">
      <c r="A478" s="237" t="s">
        <v>60</v>
      </c>
      <c r="B478" s="238" t="s">
        <v>1694</v>
      </c>
      <c r="C478" s="238" t="s">
        <v>806</v>
      </c>
      <c r="D478" s="238" t="s">
        <v>1841</v>
      </c>
      <c r="E478" s="239" t="s">
        <v>105</v>
      </c>
      <c r="F478" s="245" t="s">
        <v>15</v>
      </c>
      <c r="G478" s="245"/>
      <c r="H478" s="239" t="s">
        <v>751</v>
      </c>
      <c r="I478" s="246">
        <v>2930.2</v>
      </c>
      <c r="J478" s="246"/>
      <c r="K478" s="242" t="s">
        <v>8</v>
      </c>
      <c r="L478" s="243">
        <v>5788953.1500000004</v>
      </c>
    </row>
    <row r="479" spans="1:12" ht="61.2" x14ac:dyDescent="0.3">
      <c r="A479" s="237" t="s">
        <v>60</v>
      </c>
      <c r="B479" s="238" t="s">
        <v>1694</v>
      </c>
      <c r="C479" s="238" t="s">
        <v>806</v>
      </c>
      <c r="D479" s="238" t="s">
        <v>1842</v>
      </c>
      <c r="E479" s="239" t="s">
        <v>105</v>
      </c>
      <c r="F479" s="245" t="s">
        <v>15</v>
      </c>
      <c r="G479" s="245"/>
      <c r="H479" s="239" t="s">
        <v>751</v>
      </c>
      <c r="I479" s="246">
        <v>8694.2999999999993</v>
      </c>
      <c r="J479" s="246"/>
      <c r="K479" s="242" t="s">
        <v>8</v>
      </c>
      <c r="L479" s="243">
        <v>5780258.8499999996</v>
      </c>
    </row>
    <row r="480" spans="1:12" ht="61.2" x14ac:dyDescent="0.3">
      <c r="A480" s="237" t="s">
        <v>60</v>
      </c>
      <c r="B480" s="238" t="s">
        <v>1694</v>
      </c>
      <c r="C480" s="238" t="s">
        <v>806</v>
      </c>
      <c r="D480" s="238" t="s">
        <v>1843</v>
      </c>
      <c r="E480" s="239" t="s">
        <v>105</v>
      </c>
      <c r="F480" s="245" t="s">
        <v>15</v>
      </c>
      <c r="G480" s="245"/>
      <c r="H480" s="239" t="s">
        <v>751</v>
      </c>
      <c r="I480" s="246">
        <v>4572.8</v>
      </c>
      <c r="J480" s="246"/>
      <c r="K480" s="242" t="s">
        <v>8</v>
      </c>
      <c r="L480" s="243">
        <v>5775686.0499999998</v>
      </c>
    </row>
    <row r="481" spans="1:12" ht="61.2" x14ac:dyDescent="0.3">
      <c r="A481" s="237" t="s">
        <v>60</v>
      </c>
      <c r="B481" s="238" t="s">
        <v>1694</v>
      </c>
      <c r="C481" s="238" t="s">
        <v>806</v>
      </c>
      <c r="D481" s="238" t="s">
        <v>1844</v>
      </c>
      <c r="E481" s="239" t="s">
        <v>105</v>
      </c>
      <c r="F481" s="245" t="s">
        <v>15</v>
      </c>
      <c r="G481" s="245"/>
      <c r="H481" s="239" t="s">
        <v>751</v>
      </c>
      <c r="I481" s="246">
        <v>4572.8</v>
      </c>
      <c r="J481" s="246"/>
      <c r="K481" s="242" t="s">
        <v>8</v>
      </c>
      <c r="L481" s="243">
        <v>5771113.25</v>
      </c>
    </row>
    <row r="482" spans="1:12" ht="61.2" x14ac:dyDescent="0.3">
      <c r="A482" s="237" t="s">
        <v>60</v>
      </c>
      <c r="B482" s="238" t="s">
        <v>1694</v>
      </c>
      <c r="C482" s="238" t="s">
        <v>806</v>
      </c>
      <c r="D482" s="238" t="s">
        <v>1845</v>
      </c>
      <c r="E482" s="239" t="s">
        <v>105</v>
      </c>
      <c r="F482" s="245" t="s">
        <v>15</v>
      </c>
      <c r="G482" s="245"/>
      <c r="H482" s="239" t="s">
        <v>751</v>
      </c>
      <c r="I482" s="246">
        <v>3819.7</v>
      </c>
      <c r="J482" s="246"/>
      <c r="K482" s="242" t="s">
        <v>8</v>
      </c>
      <c r="L482" s="243">
        <v>5767293.5499999998</v>
      </c>
    </row>
    <row r="483" spans="1:12" ht="61.2" x14ac:dyDescent="0.3">
      <c r="A483" s="237" t="s">
        <v>60</v>
      </c>
      <c r="B483" s="238" t="s">
        <v>1694</v>
      </c>
      <c r="C483" s="238" t="s">
        <v>806</v>
      </c>
      <c r="D483" s="238" t="s">
        <v>1846</v>
      </c>
      <c r="E483" s="239" t="s">
        <v>105</v>
      </c>
      <c r="F483" s="245" t="s">
        <v>15</v>
      </c>
      <c r="G483" s="245"/>
      <c r="H483" s="239" t="s">
        <v>751</v>
      </c>
      <c r="I483" s="246">
        <v>4438.5</v>
      </c>
      <c r="J483" s="246"/>
      <c r="K483" s="242" t="s">
        <v>8</v>
      </c>
      <c r="L483" s="243">
        <v>5762855.0499999998</v>
      </c>
    </row>
    <row r="484" spans="1:12" ht="61.2" x14ac:dyDescent="0.3">
      <c r="A484" s="237" t="s">
        <v>60</v>
      </c>
      <c r="B484" s="238" t="s">
        <v>1694</v>
      </c>
      <c r="C484" s="238" t="s">
        <v>806</v>
      </c>
      <c r="D484" s="238" t="s">
        <v>1847</v>
      </c>
      <c r="E484" s="239" t="s">
        <v>105</v>
      </c>
      <c r="F484" s="245" t="s">
        <v>15</v>
      </c>
      <c r="G484" s="245"/>
      <c r="H484" s="239" t="s">
        <v>751</v>
      </c>
      <c r="I484" s="246">
        <v>3912.2</v>
      </c>
      <c r="J484" s="246"/>
      <c r="K484" s="242" t="s">
        <v>8</v>
      </c>
      <c r="L484" s="243">
        <v>5758942.8499999996</v>
      </c>
    </row>
    <row r="485" spans="1:12" ht="61.2" x14ac:dyDescent="0.3">
      <c r="A485" s="237" t="s">
        <v>60</v>
      </c>
      <c r="B485" s="238" t="s">
        <v>1694</v>
      </c>
      <c r="C485" s="238" t="s">
        <v>806</v>
      </c>
      <c r="D485" s="238" t="s">
        <v>1848</v>
      </c>
      <c r="E485" s="239" t="s">
        <v>105</v>
      </c>
      <c r="F485" s="245" t="s">
        <v>15</v>
      </c>
      <c r="G485" s="245"/>
      <c r="H485" s="239" t="s">
        <v>751</v>
      </c>
      <c r="I485" s="246">
        <v>3931.2</v>
      </c>
      <c r="J485" s="246"/>
      <c r="K485" s="242" t="s">
        <v>8</v>
      </c>
      <c r="L485" s="243">
        <v>5755011.6500000004</v>
      </c>
    </row>
    <row r="486" spans="1:12" ht="61.2" x14ac:dyDescent="0.3">
      <c r="A486" s="237" t="s">
        <v>60</v>
      </c>
      <c r="B486" s="238" t="s">
        <v>1694</v>
      </c>
      <c r="C486" s="238" t="s">
        <v>806</v>
      </c>
      <c r="D486" s="238" t="s">
        <v>1849</v>
      </c>
      <c r="E486" s="239" t="s">
        <v>105</v>
      </c>
      <c r="F486" s="245" t="s">
        <v>15</v>
      </c>
      <c r="G486" s="245"/>
      <c r="H486" s="239" t="s">
        <v>751</v>
      </c>
      <c r="I486" s="246">
        <v>4125.3</v>
      </c>
      <c r="J486" s="246"/>
      <c r="K486" s="242" t="s">
        <v>8</v>
      </c>
      <c r="L486" s="243">
        <v>5750886.3499999996</v>
      </c>
    </row>
    <row r="487" spans="1:12" ht="61.2" x14ac:dyDescent="0.3">
      <c r="A487" s="237" t="s">
        <v>60</v>
      </c>
      <c r="B487" s="238" t="s">
        <v>1694</v>
      </c>
      <c r="C487" s="238" t="s">
        <v>806</v>
      </c>
      <c r="D487" s="238" t="s">
        <v>1850</v>
      </c>
      <c r="E487" s="239" t="s">
        <v>105</v>
      </c>
      <c r="F487" s="245" t="s">
        <v>15</v>
      </c>
      <c r="G487" s="245"/>
      <c r="H487" s="239" t="s">
        <v>751</v>
      </c>
      <c r="I487" s="246">
        <v>4140.5</v>
      </c>
      <c r="J487" s="246"/>
      <c r="K487" s="242" t="s">
        <v>8</v>
      </c>
      <c r="L487" s="243">
        <v>5746745.8499999996</v>
      </c>
    </row>
    <row r="488" spans="1:12" ht="61.2" x14ac:dyDescent="0.3">
      <c r="A488" s="237" t="s">
        <v>60</v>
      </c>
      <c r="B488" s="238" t="s">
        <v>1694</v>
      </c>
      <c r="C488" s="238" t="s">
        <v>806</v>
      </c>
      <c r="D488" s="238" t="s">
        <v>1851</v>
      </c>
      <c r="E488" s="239" t="s">
        <v>105</v>
      </c>
      <c r="F488" s="245" t="s">
        <v>15</v>
      </c>
      <c r="G488" s="245"/>
      <c r="H488" s="239" t="s">
        <v>751</v>
      </c>
      <c r="I488" s="246">
        <v>3965.3</v>
      </c>
      <c r="J488" s="246"/>
      <c r="K488" s="242" t="s">
        <v>8</v>
      </c>
      <c r="L488" s="243">
        <v>5742780.5499999998</v>
      </c>
    </row>
    <row r="489" spans="1:12" ht="61.2" x14ac:dyDescent="0.3">
      <c r="A489" s="237" t="s">
        <v>60</v>
      </c>
      <c r="B489" s="238" t="s">
        <v>1694</v>
      </c>
      <c r="C489" s="238" t="s">
        <v>806</v>
      </c>
      <c r="D489" s="238" t="s">
        <v>1852</v>
      </c>
      <c r="E489" s="239" t="s">
        <v>105</v>
      </c>
      <c r="F489" s="245" t="s">
        <v>15</v>
      </c>
      <c r="G489" s="245"/>
      <c r="H489" s="239" t="s">
        <v>751</v>
      </c>
      <c r="I489" s="246">
        <v>3976.7</v>
      </c>
      <c r="J489" s="246"/>
      <c r="K489" s="242" t="s">
        <v>8</v>
      </c>
      <c r="L489" s="243">
        <v>5738803.8499999996</v>
      </c>
    </row>
    <row r="490" spans="1:12" ht="61.2" x14ac:dyDescent="0.3">
      <c r="A490" s="237" t="s">
        <v>60</v>
      </c>
      <c r="B490" s="238" t="s">
        <v>1694</v>
      </c>
      <c r="C490" s="238" t="s">
        <v>806</v>
      </c>
      <c r="D490" s="238" t="s">
        <v>1853</v>
      </c>
      <c r="E490" s="239" t="s">
        <v>105</v>
      </c>
      <c r="F490" s="245" t="s">
        <v>15</v>
      </c>
      <c r="G490" s="245"/>
      <c r="H490" s="239" t="s">
        <v>751</v>
      </c>
      <c r="I490" s="246">
        <v>7961</v>
      </c>
      <c r="J490" s="246"/>
      <c r="K490" s="242" t="s">
        <v>8</v>
      </c>
      <c r="L490" s="243">
        <v>5730842.8499999996</v>
      </c>
    </row>
    <row r="491" spans="1:12" ht="61.2" x14ac:dyDescent="0.3">
      <c r="A491" s="237" t="s">
        <v>60</v>
      </c>
      <c r="B491" s="238" t="s">
        <v>1694</v>
      </c>
      <c r="C491" s="238" t="s">
        <v>806</v>
      </c>
      <c r="D491" s="238" t="s">
        <v>1854</v>
      </c>
      <c r="E491" s="239" t="s">
        <v>105</v>
      </c>
      <c r="F491" s="245" t="s">
        <v>15</v>
      </c>
      <c r="G491" s="245"/>
      <c r="H491" s="239" t="s">
        <v>751</v>
      </c>
      <c r="I491" s="246">
        <v>7980.7</v>
      </c>
      <c r="J491" s="246"/>
      <c r="K491" s="242" t="s">
        <v>8</v>
      </c>
      <c r="L491" s="243">
        <v>5722862.1500000004</v>
      </c>
    </row>
    <row r="492" spans="1:12" ht="61.2" x14ac:dyDescent="0.3">
      <c r="A492" s="237" t="s">
        <v>60</v>
      </c>
      <c r="B492" s="238" t="s">
        <v>1694</v>
      </c>
      <c r="C492" s="238" t="s">
        <v>806</v>
      </c>
      <c r="D492" s="238" t="s">
        <v>1855</v>
      </c>
      <c r="E492" s="239" t="s">
        <v>105</v>
      </c>
      <c r="F492" s="245" t="s">
        <v>15</v>
      </c>
      <c r="G492" s="245"/>
      <c r="H492" s="239" t="s">
        <v>751</v>
      </c>
      <c r="I492" s="246">
        <v>12116.7</v>
      </c>
      <c r="J492" s="246"/>
      <c r="K492" s="242" t="s">
        <v>8</v>
      </c>
      <c r="L492" s="243">
        <v>5710745.4500000002</v>
      </c>
    </row>
    <row r="493" spans="1:12" ht="61.2" x14ac:dyDescent="0.3">
      <c r="A493" s="237" t="s">
        <v>60</v>
      </c>
      <c r="B493" s="238" t="s">
        <v>1694</v>
      </c>
      <c r="C493" s="238" t="s">
        <v>806</v>
      </c>
      <c r="D493" s="238" t="s">
        <v>1856</v>
      </c>
      <c r="E493" s="239" t="s">
        <v>105</v>
      </c>
      <c r="F493" s="245" t="s">
        <v>15</v>
      </c>
      <c r="G493" s="245"/>
      <c r="H493" s="239" t="s">
        <v>751</v>
      </c>
      <c r="I493" s="246">
        <v>8027.7</v>
      </c>
      <c r="J493" s="246"/>
      <c r="K493" s="242" t="s">
        <v>8</v>
      </c>
      <c r="L493" s="243">
        <v>5702717.75</v>
      </c>
    </row>
    <row r="494" spans="1:12" ht="61.2" x14ac:dyDescent="0.3">
      <c r="A494" s="237" t="s">
        <v>60</v>
      </c>
      <c r="B494" s="238" t="s">
        <v>1694</v>
      </c>
      <c r="C494" s="238" t="s">
        <v>806</v>
      </c>
      <c r="D494" s="238" t="s">
        <v>1857</v>
      </c>
      <c r="E494" s="239" t="s">
        <v>105</v>
      </c>
      <c r="F494" s="245" t="s">
        <v>15</v>
      </c>
      <c r="G494" s="245"/>
      <c r="H494" s="239" t="s">
        <v>751</v>
      </c>
      <c r="I494" s="246">
        <v>4078.3</v>
      </c>
      <c r="J494" s="246"/>
      <c r="K494" s="242" t="s">
        <v>8</v>
      </c>
      <c r="L494" s="243">
        <v>5698639.4500000002</v>
      </c>
    </row>
    <row r="495" spans="1:12" ht="61.2" x14ac:dyDescent="0.3">
      <c r="A495" s="237" t="s">
        <v>60</v>
      </c>
      <c r="B495" s="238" t="s">
        <v>1694</v>
      </c>
      <c r="C495" s="238" t="s">
        <v>806</v>
      </c>
      <c r="D495" s="238" t="s">
        <v>1858</v>
      </c>
      <c r="E495" s="239" t="s">
        <v>105</v>
      </c>
      <c r="F495" s="245" t="s">
        <v>15</v>
      </c>
      <c r="G495" s="245"/>
      <c r="H495" s="239" t="s">
        <v>751</v>
      </c>
      <c r="I495" s="246">
        <v>3926.7</v>
      </c>
      <c r="J495" s="246"/>
      <c r="K495" s="242" t="s">
        <v>8</v>
      </c>
      <c r="L495" s="243">
        <v>5694712.75</v>
      </c>
    </row>
    <row r="496" spans="1:12" ht="61.2" x14ac:dyDescent="0.3">
      <c r="A496" s="237" t="s">
        <v>60</v>
      </c>
      <c r="B496" s="238" t="s">
        <v>1694</v>
      </c>
      <c r="C496" s="238" t="s">
        <v>806</v>
      </c>
      <c r="D496" s="238" t="s">
        <v>1859</v>
      </c>
      <c r="E496" s="239" t="s">
        <v>105</v>
      </c>
      <c r="F496" s="245" t="s">
        <v>15</v>
      </c>
      <c r="G496" s="245"/>
      <c r="H496" s="239" t="s">
        <v>751</v>
      </c>
      <c r="I496" s="247">
        <v>197.2</v>
      </c>
      <c r="J496" s="247"/>
      <c r="K496" s="242" t="s">
        <v>8</v>
      </c>
      <c r="L496" s="243">
        <v>5694515.5499999998</v>
      </c>
    </row>
    <row r="497" spans="1:12" ht="61.2" x14ac:dyDescent="0.3">
      <c r="A497" s="237" t="s">
        <v>60</v>
      </c>
      <c r="B497" s="238" t="s">
        <v>1694</v>
      </c>
      <c r="C497" s="238" t="s">
        <v>806</v>
      </c>
      <c r="D497" s="238" t="s">
        <v>1860</v>
      </c>
      <c r="E497" s="239" t="s">
        <v>105</v>
      </c>
      <c r="F497" s="245" t="s">
        <v>15</v>
      </c>
      <c r="G497" s="245"/>
      <c r="H497" s="239" t="s">
        <v>751</v>
      </c>
      <c r="I497" s="247">
        <v>310.2</v>
      </c>
      <c r="J497" s="247"/>
      <c r="K497" s="242" t="s">
        <v>8</v>
      </c>
      <c r="L497" s="243">
        <v>5694205.3499999996</v>
      </c>
    </row>
    <row r="498" spans="1:12" ht="61.2" x14ac:dyDescent="0.3">
      <c r="A498" s="237" t="s">
        <v>60</v>
      </c>
      <c r="B498" s="238" t="s">
        <v>1694</v>
      </c>
      <c r="C498" s="238" t="s">
        <v>806</v>
      </c>
      <c r="D498" s="238" t="s">
        <v>1861</v>
      </c>
      <c r="E498" s="239" t="s">
        <v>105</v>
      </c>
      <c r="F498" s="245" t="s">
        <v>15</v>
      </c>
      <c r="G498" s="245"/>
      <c r="H498" s="239" t="s">
        <v>751</v>
      </c>
      <c r="I498" s="247">
        <v>418.6</v>
      </c>
      <c r="J498" s="247"/>
      <c r="K498" s="242" t="s">
        <v>8</v>
      </c>
      <c r="L498" s="243">
        <v>5693786.75</v>
      </c>
    </row>
    <row r="499" spans="1:12" ht="61.2" x14ac:dyDescent="0.3">
      <c r="A499" s="237" t="s">
        <v>60</v>
      </c>
      <c r="B499" s="238" t="s">
        <v>1694</v>
      </c>
      <c r="C499" s="238" t="s">
        <v>806</v>
      </c>
      <c r="D499" s="238" t="s">
        <v>1862</v>
      </c>
      <c r="E499" s="239" t="s">
        <v>105</v>
      </c>
      <c r="F499" s="245" t="s">
        <v>15</v>
      </c>
      <c r="G499" s="245"/>
      <c r="H499" s="239" t="s">
        <v>751</v>
      </c>
      <c r="I499" s="247">
        <v>729.5</v>
      </c>
      <c r="J499" s="247"/>
      <c r="K499" s="242" t="s">
        <v>8</v>
      </c>
      <c r="L499" s="243">
        <v>5693057.25</v>
      </c>
    </row>
    <row r="500" spans="1:12" ht="61.2" x14ac:dyDescent="0.3">
      <c r="A500" s="237" t="s">
        <v>60</v>
      </c>
      <c r="B500" s="238" t="s">
        <v>1694</v>
      </c>
      <c r="C500" s="238" t="s">
        <v>806</v>
      </c>
      <c r="D500" s="238" t="s">
        <v>1863</v>
      </c>
      <c r="E500" s="239" t="s">
        <v>105</v>
      </c>
      <c r="F500" s="245" t="s">
        <v>15</v>
      </c>
      <c r="G500" s="245"/>
      <c r="H500" s="239" t="s">
        <v>751</v>
      </c>
      <c r="I500" s="246">
        <v>1415.8</v>
      </c>
      <c r="J500" s="246"/>
      <c r="K500" s="242" t="s">
        <v>8</v>
      </c>
      <c r="L500" s="243">
        <v>5691641.4500000002</v>
      </c>
    </row>
    <row r="501" spans="1:12" ht="61.2" x14ac:dyDescent="0.3">
      <c r="A501" s="237" t="s">
        <v>60</v>
      </c>
      <c r="B501" s="238" t="s">
        <v>1694</v>
      </c>
      <c r="C501" s="238" t="s">
        <v>806</v>
      </c>
      <c r="D501" s="238" t="s">
        <v>1864</v>
      </c>
      <c r="E501" s="239" t="s">
        <v>105</v>
      </c>
      <c r="F501" s="245" t="s">
        <v>15</v>
      </c>
      <c r="G501" s="245"/>
      <c r="H501" s="239" t="s">
        <v>751</v>
      </c>
      <c r="I501" s="246">
        <v>1678.2</v>
      </c>
      <c r="J501" s="246"/>
      <c r="K501" s="242" t="s">
        <v>8</v>
      </c>
      <c r="L501" s="243">
        <v>5689963.25</v>
      </c>
    </row>
    <row r="502" spans="1:12" ht="61.2" x14ac:dyDescent="0.3">
      <c r="A502" s="237" t="s">
        <v>60</v>
      </c>
      <c r="B502" s="238" t="s">
        <v>1694</v>
      </c>
      <c r="C502" s="238" t="s">
        <v>806</v>
      </c>
      <c r="D502" s="238" t="s">
        <v>1865</v>
      </c>
      <c r="E502" s="239" t="s">
        <v>105</v>
      </c>
      <c r="F502" s="245" t="s">
        <v>15</v>
      </c>
      <c r="G502" s="245"/>
      <c r="H502" s="239" t="s">
        <v>751</v>
      </c>
      <c r="I502" s="246">
        <v>1942.1</v>
      </c>
      <c r="J502" s="246"/>
      <c r="K502" s="242" t="s">
        <v>8</v>
      </c>
      <c r="L502" s="243">
        <v>5688021.1500000004</v>
      </c>
    </row>
    <row r="503" spans="1:12" ht="61.2" x14ac:dyDescent="0.3">
      <c r="A503" s="237" t="s">
        <v>60</v>
      </c>
      <c r="B503" s="238" t="s">
        <v>1694</v>
      </c>
      <c r="C503" s="238" t="s">
        <v>806</v>
      </c>
      <c r="D503" s="238" t="s">
        <v>1866</v>
      </c>
      <c r="E503" s="239" t="s">
        <v>105</v>
      </c>
      <c r="F503" s="245" t="s">
        <v>15</v>
      </c>
      <c r="G503" s="245"/>
      <c r="H503" s="239" t="s">
        <v>751</v>
      </c>
      <c r="I503" s="246">
        <v>1688.1</v>
      </c>
      <c r="J503" s="246"/>
      <c r="K503" s="242" t="s">
        <v>8</v>
      </c>
      <c r="L503" s="243">
        <v>5686333.0499999998</v>
      </c>
    </row>
    <row r="504" spans="1:12" ht="61.2" x14ac:dyDescent="0.3">
      <c r="A504" s="237" t="s">
        <v>60</v>
      </c>
      <c r="B504" s="238" t="s">
        <v>1694</v>
      </c>
      <c r="C504" s="238" t="s">
        <v>806</v>
      </c>
      <c r="D504" s="238" t="s">
        <v>1867</v>
      </c>
      <c r="E504" s="239" t="s">
        <v>105</v>
      </c>
      <c r="F504" s="245" t="s">
        <v>15</v>
      </c>
      <c r="G504" s="245"/>
      <c r="H504" s="239" t="s">
        <v>751</v>
      </c>
      <c r="I504" s="246">
        <v>2127.1</v>
      </c>
      <c r="J504" s="246"/>
      <c r="K504" s="242" t="s">
        <v>8</v>
      </c>
      <c r="L504" s="243">
        <v>5684205.9500000002</v>
      </c>
    </row>
    <row r="505" spans="1:12" ht="61.2" x14ac:dyDescent="0.3">
      <c r="A505" s="237" t="s">
        <v>60</v>
      </c>
      <c r="B505" s="238" t="s">
        <v>1694</v>
      </c>
      <c r="C505" s="238" t="s">
        <v>806</v>
      </c>
      <c r="D505" s="238" t="s">
        <v>1868</v>
      </c>
      <c r="E505" s="239" t="s">
        <v>105</v>
      </c>
      <c r="F505" s="245" t="s">
        <v>15</v>
      </c>
      <c r="G505" s="245"/>
      <c r="H505" s="239" t="s">
        <v>751</v>
      </c>
      <c r="I505" s="246">
        <v>1781.3</v>
      </c>
      <c r="J505" s="246"/>
      <c r="K505" s="242" t="s">
        <v>8</v>
      </c>
      <c r="L505" s="243">
        <v>5682424.6500000004</v>
      </c>
    </row>
    <row r="506" spans="1:12" ht="51" x14ac:dyDescent="0.3">
      <c r="A506" s="237" t="s">
        <v>60</v>
      </c>
      <c r="B506" s="238" t="s">
        <v>1694</v>
      </c>
      <c r="C506" s="238" t="s">
        <v>806</v>
      </c>
      <c r="D506" s="238" t="s">
        <v>1869</v>
      </c>
      <c r="E506" s="239" t="s">
        <v>105</v>
      </c>
      <c r="F506" s="245" t="s">
        <v>15</v>
      </c>
      <c r="G506" s="245"/>
      <c r="H506" s="239" t="s">
        <v>751</v>
      </c>
      <c r="I506" s="246">
        <v>113564.8</v>
      </c>
      <c r="J506" s="246"/>
      <c r="K506" s="242" t="s">
        <v>8</v>
      </c>
      <c r="L506" s="243">
        <v>5568859.8499999996</v>
      </c>
    </row>
    <row r="507" spans="1:12" ht="51" x14ac:dyDescent="0.3">
      <c r="A507" s="237" t="s">
        <v>60</v>
      </c>
      <c r="B507" s="238" t="s">
        <v>1694</v>
      </c>
      <c r="C507" s="238" t="s">
        <v>806</v>
      </c>
      <c r="D507" s="238" t="s">
        <v>1870</v>
      </c>
      <c r="E507" s="239" t="s">
        <v>105</v>
      </c>
      <c r="F507" s="245" t="s">
        <v>15</v>
      </c>
      <c r="G507" s="245"/>
      <c r="H507" s="239" t="s">
        <v>751</v>
      </c>
      <c r="I507" s="246">
        <v>58867.5</v>
      </c>
      <c r="J507" s="246"/>
      <c r="K507" s="242" t="s">
        <v>8</v>
      </c>
      <c r="L507" s="243">
        <v>5509992.3499999996</v>
      </c>
    </row>
    <row r="508" spans="1:12" ht="51" x14ac:dyDescent="0.3">
      <c r="A508" s="237" t="s">
        <v>60</v>
      </c>
      <c r="B508" s="238" t="s">
        <v>1694</v>
      </c>
      <c r="C508" s="238" t="s">
        <v>806</v>
      </c>
      <c r="D508" s="238" t="s">
        <v>1871</v>
      </c>
      <c r="E508" s="239" t="s">
        <v>105</v>
      </c>
      <c r="F508" s="245" t="s">
        <v>15</v>
      </c>
      <c r="G508" s="245"/>
      <c r="H508" s="239" t="s">
        <v>751</v>
      </c>
      <c r="I508" s="246">
        <v>8820</v>
      </c>
      <c r="J508" s="246"/>
      <c r="K508" s="242" t="s">
        <v>8</v>
      </c>
      <c r="L508" s="243">
        <v>5501172.3499999996</v>
      </c>
    </row>
    <row r="509" spans="1:12" ht="51" x14ac:dyDescent="0.3">
      <c r="A509" s="237" t="s">
        <v>60</v>
      </c>
      <c r="B509" s="238" t="s">
        <v>835</v>
      </c>
      <c r="C509" s="238" t="s">
        <v>806</v>
      </c>
      <c r="D509" s="238" t="s">
        <v>1872</v>
      </c>
      <c r="E509" s="239" t="s">
        <v>105</v>
      </c>
      <c r="F509" s="245" t="s">
        <v>15</v>
      </c>
      <c r="G509" s="245"/>
      <c r="H509" s="239" t="s">
        <v>751</v>
      </c>
      <c r="I509" s="246">
        <v>1653.33</v>
      </c>
      <c r="J509" s="246"/>
      <c r="K509" s="242" t="s">
        <v>8</v>
      </c>
      <c r="L509" s="243">
        <v>5499519.0199999996</v>
      </c>
    </row>
    <row r="510" spans="1:12" ht="51" x14ac:dyDescent="0.3">
      <c r="A510" s="237" t="s">
        <v>60</v>
      </c>
      <c r="B510" s="238" t="s">
        <v>1873</v>
      </c>
      <c r="C510" s="238" t="s">
        <v>806</v>
      </c>
      <c r="D510" s="238" t="s">
        <v>1874</v>
      </c>
      <c r="E510" s="239" t="s">
        <v>105</v>
      </c>
      <c r="F510" s="245" t="s">
        <v>15</v>
      </c>
      <c r="G510" s="245"/>
      <c r="H510" s="239" t="s">
        <v>751</v>
      </c>
      <c r="I510" s="246">
        <v>2730</v>
      </c>
      <c r="J510" s="246"/>
      <c r="K510" s="242" t="s">
        <v>8</v>
      </c>
      <c r="L510" s="243">
        <v>7529532.0199999996</v>
      </c>
    </row>
    <row r="511" spans="1:12" ht="51" hidden="1" x14ac:dyDescent="0.3">
      <c r="A511" s="237" t="s">
        <v>60</v>
      </c>
      <c r="B511" s="238" t="s">
        <v>1875</v>
      </c>
      <c r="C511" s="238" t="s">
        <v>1876</v>
      </c>
      <c r="D511" s="238" t="s">
        <v>1877</v>
      </c>
      <c r="E511" s="239" t="s">
        <v>751</v>
      </c>
      <c r="F511" s="240">
        <v>5000</v>
      </c>
      <c r="G511" s="240"/>
      <c r="H511" s="239" t="s">
        <v>14</v>
      </c>
      <c r="I511" s="241" t="s">
        <v>15</v>
      </c>
      <c r="J511" s="241"/>
      <c r="K511" s="242" t="s">
        <v>8</v>
      </c>
      <c r="L511" s="243">
        <v>357819.52</v>
      </c>
    </row>
    <row r="512" spans="1:12" ht="71.400000000000006" x14ac:dyDescent="0.3">
      <c r="A512" s="237" t="s">
        <v>60</v>
      </c>
      <c r="B512" s="238" t="s">
        <v>1878</v>
      </c>
      <c r="C512" s="238" t="s">
        <v>806</v>
      </c>
      <c r="D512" s="238" t="s">
        <v>1879</v>
      </c>
      <c r="E512" s="239" t="s">
        <v>105</v>
      </c>
      <c r="F512" s="245" t="s">
        <v>15</v>
      </c>
      <c r="G512" s="245"/>
      <c r="H512" s="239" t="s">
        <v>751</v>
      </c>
      <c r="I512" s="246">
        <v>87146</v>
      </c>
      <c r="J512" s="246"/>
      <c r="K512" s="242" t="s">
        <v>8</v>
      </c>
      <c r="L512" s="243">
        <v>270673.52</v>
      </c>
    </row>
    <row r="513" spans="1:12" ht="71.400000000000006" x14ac:dyDescent="0.3">
      <c r="A513" s="237" t="s">
        <v>60</v>
      </c>
      <c r="B513" s="238" t="s">
        <v>1878</v>
      </c>
      <c r="C513" s="238" t="s">
        <v>806</v>
      </c>
      <c r="D513" s="238" t="s">
        <v>1641</v>
      </c>
      <c r="E513" s="239" t="s">
        <v>105</v>
      </c>
      <c r="F513" s="245" t="s">
        <v>15</v>
      </c>
      <c r="G513" s="245"/>
      <c r="H513" s="239" t="s">
        <v>751</v>
      </c>
      <c r="I513" s="246">
        <v>43573</v>
      </c>
      <c r="J513" s="246"/>
      <c r="K513" s="242" t="s">
        <v>8</v>
      </c>
      <c r="L513" s="243">
        <v>227100.52</v>
      </c>
    </row>
    <row r="514" spans="1:12" ht="51" x14ac:dyDescent="0.3">
      <c r="A514" s="237" t="s">
        <v>60</v>
      </c>
      <c r="B514" s="238" t="s">
        <v>1240</v>
      </c>
      <c r="C514" s="238" t="s">
        <v>1241</v>
      </c>
      <c r="D514" s="238" t="s">
        <v>1242</v>
      </c>
      <c r="E514" s="239" t="s">
        <v>105</v>
      </c>
      <c r="F514" s="245" t="s">
        <v>15</v>
      </c>
      <c r="G514" s="245"/>
      <c r="H514" s="239" t="s">
        <v>751</v>
      </c>
      <c r="I514" s="246">
        <v>12540.37</v>
      </c>
      <c r="J514" s="246"/>
      <c r="K514" s="242" t="s">
        <v>8</v>
      </c>
      <c r="L514" s="243">
        <v>4710825.28</v>
      </c>
    </row>
    <row r="515" spans="1:12" ht="51" x14ac:dyDescent="0.3">
      <c r="A515" s="237" t="s">
        <v>60</v>
      </c>
      <c r="B515" s="238" t="s">
        <v>1240</v>
      </c>
      <c r="C515" s="238" t="s">
        <v>1241</v>
      </c>
      <c r="D515" s="238" t="s">
        <v>1243</v>
      </c>
      <c r="E515" s="239" t="s">
        <v>105</v>
      </c>
      <c r="F515" s="245" t="s">
        <v>15</v>
      </c>
      <c r="G515" s="245"/>
      <c r="H515" s="239" t="s">
        <v>751</v>
      </c>
      <c r="I515" s="247">
        <v>828.65</v>
      </c>
      <c r="J515" s="247"/>
      <c r="K515" s="242" t="s">
        <v>8</v>
      </c>
      <c r="L515" s="243">
        <v>4709996.63</v>
      </c>
    </row>
    <row r="516" spans="1:12" ht="51" x14ac:dyDescent="0.3">
      <c r="A516" s="237" t="s">
        <v>60</v>
      </c>
      <c r="B516" s="238" t="s">
        <v>1240</v>
      </c>
      <c r="C516" s="238" t="s">
        <v>1241</v>
      </c>
      <c r="D516" s="238" t="s">
        <v>1244</v>
      </c>
      <c r="E516" s="239" t="s">
        <v>105</v>
      </c>
      <c r="F516" s="245" t="s">
        <v>15</v>
      </c>
      <c r="G516" s="245"/>
      <c r="H516" s="239" t="s">
        <v>751</v>
      </c>
      <c r="I516" s="246">
        <v>29353.75</v>
      </c>
      <c r="J516" s="246"/>
      <c r="K516" s="242" t="s">
        <v>8</v>
      </c>
      <c r="L516" s="243">
        <v>4680642.88</v>
      </c>
    </row>
    <row r="517" spans="1:12" ht="51" x14ac:dyDescent="0.3">
      <c r="A517" s="237" t="s">
        <v>60</v>
      </c>
      <c r="B517" s="238" t="s">
        <v>1240</v>
      </c>
      <c r="C517" s="238" t="s">
        <v>1241</v>
      </c>
      <c r="D517" s="238" t="s">
        <v>1245</v>
      </c>
      <c r="E517" s="239" t="s">
        <v>105</v>
      </c>
      <c r="F517" s="245" t="s">
        <v>15</v>
      </c>
      <c r="G517" s="245"/>
      <c r="H517" s="239" t="s">
        <v>751</v>
      </c>
      <c r="I517" s="246">
        <v>9620.3799999999992</v>
      </c>
      <c r="J517" s="246"/>
      <c r="K517" s="242" t="s">
        <v>8</v>
      </c>
      <c r="L517" s="243">
        <v>4671022.5</v>
      </c>
    </row>
    <row r="518" spans="1:12" ht="51" x14ac:dyDescent="0.3">
      <c r="A518" s="237" t="s">
        <v>60</v>
      </c>
      <c r="B518" s="238" t="s">
        <v>1240</v>
      </c>
      <c r="C518" s="238" t="s">
        <v>1241</v>
      </c>
      <c r="D518" s="238" t="s">
        <v>1246</v>
      </c>
      <c r="E518" s="239" t="s">
        <v>105</v>
      </c>
      <c r="F518" s="245" t="s">
        <v>15</v>
      </c>
      <c r="G518" s="245"/>
      <c r="H518" s="239" t="s">
        <v>751</v>
      </c>
      <c r="I518" s="246">
        <v>6220.46</v>
      </c>
      <c r="J518" s="246"/>
      <c r="K518" s="242" t="s">
        <v>8</v>
      </c>
      <c r="L518" s="243">
        <v>4664802.04</v>
      </c>
    </row>
    <row r="519" spans="1:12" ht="51" x14ac:dyDescent="0.3">
      <c r="A519" s="237" t="s">
        <v>60</v>
      </c>
      <c r="B519" s="238" t="s">
        <v>1240</v>
      </c>
      <c r="C519" s="238" t="s">
        <v>1241</v>
      </c>
      <c r="D519" s="238" t="s">
        <v>1247</v>
      </c>
      <c r="E519" s="239" t="s">
        <v>105</v>
      </c>
      <c r="F519" s="245" t="s">
        <v>15</v>
      </c>
      <c r="G519" s="245"/>
      <c r="H519" s="239" t="s">
        <v>751</v>
      </c>
      <c r="I519" s="246">
        <v>5196.95</v>
      </c>
      <c r="J519" s="246"/>
      <c r="K519" s="242" t="s">
        <v>8</v>
      </c>
      <c r="L519" s="243">
        <v>4659605.09</v>
      </c>
    </row>
    <row r="520" spans="1:12" ht="51" x14ac:dyDescent="0.3">
      <c r="A520" s="237" t="s">
        <v>60</v>
      </c>
      <c r="B520" s="238" t="s">
        <v>1240</v>
      </c>
      <c r="C520" s="238" t="s">
        <v>1241</v>
      </c>
      <c r="D520" s="238" t="s">
        <v>1248</v>
      </c>
      <c r="E520" s="239" t="s">
        <v>105</v>
      </c>
      <c r="F520" s="245" t="s">
        <v>15</v>
      </c>
      <c r="G520" s="245"/>
      <c r="H520" s="239" t="s">
        <v>751</v>
      </c>
      <c r="I520" s="246">
        <v>6030.29</v>
      </c>
      <c r="J520" s="246"/>
      <c r="K520" s="242" t="s">
        <v>8</v>
      </c>
      <c r="L520" s="243">
        <v>4653574.8</v>
      </c>
    </row>
    <row r="521" spans="1:12" ht="51" x14ac:dyDescent="0.3">
      <c r="A521" s="237" t="s">
        <v>60</v>
      </c>
      <c r="B521" s="238" t="s">
        <v>1240</v>
      </c>
      <c r="C521" s="238" t="s">
        <v>1241</v>
      </c>
      <c r="D521" s="238" t="s">
        <v>1249</v>
      </c>
      <c r="E521" s="239" t="s">
        <v>105</v>
      </c>
      <c r="F521" s="245" t="s">
        <v>15</v>
      </c>
      <c r="G521" s="245"/>
      <c r="H521" s="239" t="s">
        <v>751</v>
      </c>
      <c r="I521" s="247">
        <v>53.47</v>
      </c>
      <c r="J521" s="247"/>
      <c r="K521" s="242" t="s">
        <v>8</v>
      </c>
      <c r="L521" s="243">
        <v>4653521.33</v>
      </c>
    </row>
    <row r="522" spans="1:12" ht="51" x14ac:dyDescent="0.3">
      <c r="A522" s="237" t="s">
        <v>60</v>
      </c>
      <c r="B522" s="238" t="s">
        <v>1240</v>
      </c>
      <c r="C522" s="238" t="s">
        <v>1241</v>
      </c>
      <c r="D522" s="238" t="s">
        <v>1250</v>
      </c>
      <c r="E522" s="239" t="s">
        <v>105</v>
      </c>
      <c r="F522" s="245" t="s">
        <v>15</v>
      </c>
      <c r="G522" s="245"/>
      <c r="H522" s="239" t="s">
        <v>751</v>
      </c>
      <c r="I522" s="246">
        <v>6578.49</v>
      </c>
      <c r="J522" s="246"/>
      <c r="K522" s="242" t="s">
        <v>8</v>
      </c>
      <c r="L522" s="243">
        <v>4646942.84</v>
      </c>
    </row>
    <row r="523" spans="1:12" ht="51" x14ac:dyDescent="0.3">
      <c r="A523" s="237" t="s">
        <v>60</v>
      </c>
      <c r="B523" s="238" t="s">
        <v>1240</v>
      </c>
      <c r="C523" s="238" t="s">
        <v>1241</v>
      </c>
      <c r="D523" s="238" t="s">
        <v>1251</v>
      </c>
      <c r="E523" s="239" t="s">
        <v>105</v>
      </c>
      <c r="F523" s="245" t="s">
        <v>15</v>
      </c>
      <c r="G523" s="245"/>
      <c r="H523" s="239" t="s">
        <v>751</v>
      </c>
      <c r="I523" s="246">
        <v>23658.32</v>
      </c>
      <c r="J523" s="246"/>
      <c r="K523" s="242" t="s">
        <v>8</v>
      </c>
      <c r="L523" s="243">
        <v>4623284.5199999996</v>
      </c>
    </row>
    <row r="524" spans="1:12" ht="51" x14ac:dyDescent="0.3">
      <c r="A524" s="237" t="s">
        <v>60</v>
      </c>
      <c r="B524" s="238" t="s">
        <v>1240</v>
      </c>
      <c r="C524" s="238" t="s">
        <v>1241</v>
      </c>
      <c r="D524" s="238" t="s">
        <v>1252</v>
      </c>
      <c r="E524" s="239" t="s">
        <v>105</v>
      </c>
      <c r="F524" s="245" t="s">
        <v>15</v>
      </c>
      <c r="G524" s="245"/>
      <c r="H524" s="239" t="s">
        <v>751</v>
      </c>
      <c r="I524" s="247">
        <v>858.13</v>
      </c>
      <c r="J524" s="247"/>
      <c r="K524" s="242" t="s">
        <v>8</v>
      </c>
      <c r="L524" s="243">
        <v>4622426.3899999997</v>
      </c>
    </row>
    <row r="525" spans="1:12" ht="61.2" x14ac:dyDescent="0.3">
      <c r="A525" s="237" t="s">
        <v>60</v>
      </c>
      <c r="B525" s="238" t="s">
        <v>1240</v>
      </c>
      <c r="C525" s="238" t="s">
        <v>1241</v>
      </c>
      <c r="D525" s="238" t="s">
        <v>1253</v>
      </c>
      <c r="E525" s="239" t="s">
        <v>105</v>
      </c>
      <c r="F525" s="245" t="s">
        <v>15</v>
      </c>
      <c r="G525" s="245"/>
      <c r="H525" s="239" t="s">
        <v>751</v>
      </c>
      <c r="I525" s="246">
        <v>9770.83</v>
      </c>
      <c r="J525" s="246"/>
      <c r="K525" s="242" t="s">
        <v>8</v>
      </c>
      <c r="L525" s="243">
        <v>4612655.5599999996</v>
      </c>
    </row>
    <row r="526" spans="1:12" ht="61.2" x14ac:dyDescent="0.3">
      <c r="A526" s="237" t="s">
        <v>60</v>
      </c>
      <c r="B526" s="238" t="s">
        <v>1240</v>
      </c>
      <c r="C526" s="238" t="s">
        <v>1241</v>
      </c>
      <c r="D526" s="238" t="s">
        <v>1254</v>
      </c>
      <c r="E526" s="239" t="s">
        <v>105</v>
      </c>
      <c r="F526" s="245" t="s">
        <v>15</v>
      </c>
      <c r="G526" s="245"/>
      <c r="H526" s="239" t="s">
        <v>751</v>
      </c>
      <c r="I526" s="246">
        <v>5790.67</v>
      </c>
      <c r="J526" s="246"/>
      <c r="K526" s="242" t="s">
        <v>8</v>
      </c>
      <c r="L526" s="243">
        <v>4606864.8899999997</v>
      </c>
    </row>
    <row r="527" spans="1:12" ht="51" x14ac:dyDescent="0.3">
      <c r="A527" s="237" t="s">
        <v>60</v>
      </c>
      <c r="B527" s="238" t="s">
        <v>1240</v>
      </c>
      <c r="C527" s="238" t="s">
        <v>1241</v>
      </c>
      <c r="D527" s="238" t="s">
        <v>1255</v>
      </c>
      <c r="E527" s="239" t="s">
        <v>105</v>
      </c>
      <c r="F527" s="245" t="s">
        <v>15</v>
      </c>
      <c r="G527" s="245"/>
      <c r="H527" s="239" t="s">
        <v>751</v>
      </c>
      <c r="I527" s="247">
        <v>107.17</v>
      </c>
      <c r="J527" s="247"/>
      <c r="K527" s="242" t="s">
        <v>8</v>
      </c>
      <c r="L527" s="243">
        <v>4606757.72</v>
      </c>
    </row>
    <row r="528" spans="1:12" ht="51" x14ac:dyDescent="0.3">
      <c r="A528" s="237" t="s">
        <v>60</v>
      </c>
      <c r="B528" s="238" t="s">
        <v>1240</v>
      </c>
      <c r="C528" s="238" t="s">
        <v>1241</v>
      </c>
      <c r="D528" s="238" t="s">
        <v>1256</v>
      </c>
      <c r="E528" s="239" t="s">
        <v>105</v>
      </c>
      <c r="F528" s="245" t="s">
        <v>15</v>
      </c>
      <c r="G528" s="245"/>
      <c r="H528" s="239" t="s">
        <v>751</v>
      </c>
      <c r="I528" s="246">
        <v>1068.8</v>
      </c>
      <c r="J528" s="246"/>
      <c r="K528" s="242" t="s">
        <v>8</v>
      </c>
      <c r="L528" s="243">
        <v>4605688.92</v>
      </c>
    </row>
    <row r="529" spans="1:12" ht="51" x14ac:dyDescent="0.3">
      <c r="A529" s="237" t="s">
        <v>60</v>
      </c>
      <c r="B529" s="238" t="s">
        <v>1240</v>
      </c>
      <c r="C529" s="238" t="s">
        <v>1241</v>
      </c>
      <c r="D529" s="238" t="s">
        <v>1257</v>
      </c>
      <c r="E529" s="239" t="s">
        <v>105</v>
      </c>
      <c r="F529" s="245" t="s">
        <v>15</v>
      </c>
      <c r="G529" s="245"/>
      <c r="H529" s="239" t="s">
        <v>751</v>
      </c>
      <c r="I529" s="246">
        <v>4726</v>
      </c>
      <c r="J529" s="246"/>
      <c r="K529" s="242" t="s">
        <v>8</v>
      </c>
      <c r="L529" s="243">
        <v>4600962.92</v>
      </c>
    </row>
    <row r="530" spans="1:12" ht="51" x14ac:dyDescent="0.3">
      <c r="A530" s="237" t="s">
        <v>60</v>
      </c>
      <c r="B530" s="238" t="s">
        <v>1240</v>
      </c>
      <c r="C530" s="238" t="s">
        <v>1241</v>
      </c>
      <c r="D530" s="238" t="s">
        <v>1258</v>
      </c>
      <c r="E530" s="239" t="s">
        <v>105</v>
      </c>
      <c r="F530" s="245" t="s">
        <v>15</v>
      </c>
      <c r="G530" s="245"/>
      <c r="H530" s="239" t="s">
        <v>751</v>
      </c>
      <c r="I530" s="246">
        <v>60288.91</v>
      </c>
      <c r="J530" s="246"/>
      <c r="K530" s="242" t="s">
        <v>8</v>
      </c>
      <c r="L530" s="243">
        <v>4540674.01</v>
      </c>
    </row>
    <row r="531" spans="1:12" ht="51" x14ac:dyDescent="0.3">
      <c r="A531" s="237" t="s">
        <v>60</v>
      </c>
      <c r="B531" s="238" t="s">
        <v>1240</v>
      </c>
      <c r="C531" s="238" t="s">
        <v>1241</v>
      </c>
      <c r="D531" s="238" t="s">
        <v>1259</v>
      </c>
      <c r="E531" s="239" t="s">
        <v>105</v>
      </c>
      <c r="F531" s="245" t="s">
        <v>15</v>
      </c>
      <c r="G531" s="245"/>
      <c r="H531" s="239" t="s">
        <v>751</v>
      </c>
      <c r="I531" s="247">
        <v>204</v>
      </c>
      <c r="J531" s="247"/>
      <c r="K531" s="242" t="s">
        <v>8</v>
      </c>
      <c r="L531" s="243">
        <v>4540470.01</v>
      </c>
    </row>
    <row r="532" spans="1:12" ht="51" hidden="1" x14ac:dyDescent="0.3">
      <c r="A532" s="237" t="s">
        <v>94</v>
      </c>
      <c r="B532" s="238" t="s">
        <v>1880</v>
      </c>
      <c r="C532" s="238" t="s">
        <v>1881</v>
      </c>
      <c r="D532" s="238" t="s">
        <v>1882</v>
      </c>
      <c r="E532" s="239" t="s">
        <v>751</v>
      </c>
      <c r="F532" s="240">
        <v>141840</v>
      </c>
      <c r="G532" s="240"/>
      <c r="H532" s="239" t="s">
        <v>14</v>
      </c>
      <c r="I532" s="241" t="s">
        <v>15</v>
      </c>
      <c r="J532" s="241"/>
      <c r="K532" s="242" t="s">
        <v>8</v>
      </c>
      <c r="L532" s="243">
        <v>906689.01</v>
      </c>
    </row>
    <row r="533" spans="1:12" ht="51" hidden="1" x14ac:dyDescent="0.3">
      <c r="A533" s="237" t="s">
        <v>94</v>
      </c>
      <c r="B533" s="238" t="s">
        <v>1880</v>
      </c>
      <c r="C533" s="238" t="s">
        <v>1883</v>
      </c>
      <c r="D533" s="238" t="s">
        <v>1882</v>
      </c>
      <c r="E533" s="239" t="s">
        <v>751</v>
      </c>
      <c r="F533" s="240">
        <v>58400</v>
      </c>
      <c r="G533" s="240"/>
      <c r="H533" s="239" t="s">
        <v>14</v>
      </c>
      <c r="I533" s="241" t="s">
        <v>15</v>
      </c>
      <c r="J533" s="241"/>
      <c r="K533" s="242" t="s">
        <v>8</v>
      </c>
      <c r="L533" s="243">
        <v>965089.01</v>
      </c>
    </row>
    <row r="534" spans="1:12" ht="51" hidden="1" x14ac:dyDescent="0.3">
      <c r="A534" s="237" t="s">
        <v>94</v>
      </c>
      <c r="B534" s="238" t="s">
        <v>1884</v>
      </c>
      <c r="C534" s="238" t="s">
        <v>1881</v>
      </c>
      <c r="D534" s="238" t="s">
        <v>1885</v>
      </c>
      <c r="E534" s="239" t="s">
        <v>751</v>
      </c>
      <c r="F534" s="240">
        <v>44795.7</v>
      </c>
      <c r="G534" s="240"/>
      <c r="H534" s="239" t="s">
        <v>14</v>
      </c>
      <c r="I534" s="241" t="s">
        <v>15</v>
      </c>
      <c r="J534" s="241"/>
      <c r="K534" s="242" t="s">
        <v>8</v>
      </c>
      <c r="L534" s="243">
        <v>1009884.71</v>
      </c>
    </row>
    <row r="535" spans="1:12" ht="51" hidden="1" x14ac:dyDescent="0.3">
      <c r="A535" s="237" t="s">
        <v>94</v>
      </c>
      <c r="B535" s="238" t="s">
        <v>1884</v>
      </c>
      <c r="C535" s="238" t="s">
        <v>1883</v>
      </c>
      <c r="D535" s="238" t="s">
        <v>1885</v>
      </c>
      <c r="E535" s="239" t="s">
        <v>751</v>
      </c>
      <c r="F535" s="240">
        <v>18443.8</v>
      </c>
      <c r="G535" s="240"/>
      <c r="H535" s="239" t="s">
        <v>14</v>
      </c>
      <c r="I535" s="241" t="s">
        <v>15</v>
      </c>
      <c r="J535" s="241"/>
      <c r="K535" s="242" t="s">
        <v>8</v>
      </c>
      <c r="L535" s="243">
        <v>1028328.51</v>
      </c>
    </row>
    <row r="536" spans="1:12" ht="51" hidden="1" x14ac:dyDescent="0.3">
      <c r="A536" s="237" t="s">
        <v>94</v>
      </c>
      <c r="B536" s="238" t="s">
        <v>1886</v>
      </c>
      <c r="C536" s="238" t="s">
        <v>1887</v>
      </c>
      <c r="D536" s="238" t="s">
        <v>1881</v>
      </c>
      <c r="E536" s="239" t="s">
        <v>751</v>
      </c>
      <c r="F536" s="240">
        <v>124423.8</v>
      </c>
      <c r="G536" s="240"/>
      <c r="H536" s="239" t="s">
        <v>751</v>
      </c>
      <c r="I536" s="241" t="s">
        <v>15</v>
      </c>
      <c r="J536" s="241"/>
      <c r="K536" s="242" t="s">
        <v>8</v>
      </c>
      <c r="L536" s="243">
        <v>5623942.8200000003</v>
      </c>
    </row>
    <row r="537" spans="1:12" ht="51" hidden="1" x14ac:dyDescent="0.3">
      <c r="A537" s="237" t="s">
        <v>94</v>
      </c>
      <c r="B537" s="238" t="s">
        <v>1886</v>
      </c>
      <c r="C537" s="238" t="s">
        <v>1887</v>
      </c>
      <c r="D537" s="238" t="s">
        <v>1881</v>
      </c>
      <c r="E537" s="239" t="s">
        <v>751</v>
      </c>
      <c r="F537" s="245" t="s">
        <v>15</v>
      </c>
      <c r="G537" s="245"/>
      <c r="H537" s="239" t="s">
        <v>751</v>
      </c>
      <c r="I537" s="246">
        <v>124423.8</v>
      </c>
      <c r="J537" s="246"/>
      <c r="K537" s="242" t="s">
        <v>8</v>
      </c>
      <c r="L537" s="243">
        <v>903904.71</v>
      </c>
    </row>
    <row r="538" spans="1:12" ht="51" hidden="1" x14ac:dyDescent="0.3">
      <c r="A538" s="237" t="s">
        <v>94</v>
      </c>
      <c r="B538" s="238" t="s">
        <v>1886</v>
      </c>
      <c r="C538" s="238" t="s">
        <v>1888</v>
      </c>
      <c r="D538" s="238" t="s">
        <v>1883</v>
      </c>
      <c r="E538" s="239" t="s">
        <v>751</v>
      </c>
      <c r="F538" s="240">
        <v>65317.23</v>
      </c>
      <c r="G538" s="240"/>
      <c r="H538" s="239" t="s">
        <v>751</v>
      </c>
      <c r="I538" s="241" t="s">
        <v>15</v>
      </c>
      <c r="J538" s="241"/>
      <c r="K538" s="242" t="s">
        <v>8</v>
      </c>
      <c r="L538" s="243">
        <v>5689260.0499999998</v>
      </c>
    </row>
    <row r="539" spans="1:12" ht="51" hidden="1" x14ac:dyDescent="0.3">
      <c r="A539" s="237" t="s">
        <v>94</v>
      </c>
      <c r="B539" s="238" t="s">
        <v>1886</v>
      </c>
      <c r="C539" s="238" t="s">
        <v>1888</v>
      </c>
      <c r="D539" s="238" t="s">
        <v>1883</v>
      </c>
      <c r="E539" s="239" t="s">
        <v>751</v>
      </c>
      <c r="F539" s="245" t="s">
        <v>15</v>
      </c>
      <c r="G539" s="245"/>
      <c r="H539" s="239" t="s">
        <v>751</v>
      </c>
      <c r="I539" s="246">
        <v>65317.23</v>
      </c>
      <c r="J539" s="246"/>
      <c r="K539" s="242" t="s">
        <v>8</v>
      </c>
      <c r="L539" s="243">
        <v>838587.48</v>
      </c>
    </row>
    <row r="540" spans="1:12" ht="51" hidden="1" x14ac:dyDescent="0.3">
      <c r="A540" s="237" t="s">
        <v>94</v>
      </c>
      <c r="B540" s="238" t="s">
        <v>1889</v>
      </c>
      <c r="C540" s="238" t="s">
        <v>1890</v>
      </c>
      <c r="D540" s="238" t="s">
        <v>1881</v>
      </c>
      <c r="E540" s="239" t="s">
        <v>751</v>
      </c>
      <c r="F540" s="240">
        <v>62211.9</v>
      </c>
      <c r="G540" s="240"/>
      <c r="H540" s="239" t="s">
        <v>751</v>
      </c>
      <c r="I540" s="241" t="s">
        <v>15</v>
      </c>
      <c r="J540" s="241"/>
      <c r="K540" s="242" t="s">
        <v>8</v>
      </c>
      <c r="L540" s="243">
        <v>1057350.4099999999</v>
      </c>
    </row>
    <row r="541" spans="1:12" ht="51" hidden="1" x14ac:dyDescent="0.3">
      <c r="A541" s="237" t="s">
        <v>94</v>
      </c>
      <c r="B541" s="238" t="s">
        <v>1889</v>
      </c>
      <c r="C541" s="238" t="s">
        <v>1890</v>
      </c>
      <c r="D541" s="238" t="s">
        <v>1881</v>
      </c>
      <c r="E541" s="239" t="s">
        <v>751</v>
      </c>
      <c r="F541" s="245" t="s">
        <v>15</v>
      </c>
      <c r="G541" s="245"/>
      <c r="H541" s="239" t="s">
        <v>751</v>
      </c>
      <c r="I541" s="246">
        <v>62211.9</v>
      </c>
      <c r="J541" s="246"/>
      <c r="K541" s="242" t="s">
        <v>8</v>
      </c>
      <c r="L541" s="243">
        <v>776375.58</v>
      </c>
    </row>
    <row r="542" spans="1:12" ht="51" hidden="1" x14ac:dyDescent="0.3">
      <c r="A542" s="237" t="s">
        <v>94</v>
      </c>
      <c r="B542" s="238" t="s">
        <v>1891</v>
      </c>
      <c r="C542" s="238" t="s">
        <v>1892</v>
      </c>
      <c r="D542" s="238" t="s">
        <v>1883</v>
      </c>
      <c r="E542" s="239" t="s">
        <v>751</v>
      </c>
      <c r="F542" s="240">
        <v>11526.57</v>
      </c>
      <c r="G542" s="240"/>
      <c r="H542" s="239" t="s">
        <v>751</v>
      </c>
      <c r="I542" s="241" t="s">
        <v>15</v>
      </c>
      <c r="J542" s="241"/>
      <c r="K542" s="242" t="s">
        <v>8</v>
      </c>
      <c r="L542" s="243">
        <v>976816.18</v>
      </c>
    </row>
    <row r="543" spans="1:12" ht="51" hidden="1" x14ac:dyDescent="0.3">
      <c r="A543" s="237" t="s">
        <v>94</v>
      </c>
      <c r="B543" s="238" t="s">
        <v>1891</v>
      </c>
      <c r="C543" s="238" t="s">
        <v>1892</v>
      </c>
      <c r="D543" s="238" t="s">
        <v>1883</v>
      </c>
      <c r="E543" s="239" t="s">
        <v>751</v>
      </c>
      <c r="F543" s="245" t="s">
        <v>15</v>
      </c>
      <c r="G543" s="245"/>
      <c r="H543" s="239" t="s">
        <v>751</v>
      </c>
      <c r="I543" s="246">
        <v>11526.57</v>
      </c>
      <c r="J543" s="246"/>
      <c r="K543" s="242" t="s">
        <v>8</v>
      </c>
      <c r="L543" s="243">
        <v>764849.01</v>
      </c>
    </row>
    <row r="544" spans="1:12" ht="51" hidden="1" x14ac:dyDescent="0.3">
      <c r="A544" s="237" t="s">
        <v>98</v>
      </c>
      <c r="B544" s="238" t="s">
        <v>1893</v>
      </c>
      <c r="C544" s="238" t="s">
        <v>1894</v>
      </c>
      <c r="D544" s="238" t="s">
        <v>1895</v>
      </c>
      <c r="E544" s="239" t="s">
        <v>751</v>
      </c>
      <c r="F544" s="240">
        <v>204300</v>
      </c>
      <c r="G544" s="240"/>
      <c r="H544" s="239" t="s">
        <v>14</v>
      </c>
      <c r="I544" s="241" t="s">
        <v>15</v>
      </c>
      <c r="J544" s="241"/>
      <c r="K544" s="242" t="s">
        <v>8</v>
      </c>
      <c r="L544" s="243">
        <v>1929839.78</v>
      </c>
    </row>
    <row r="545" spans="1:12" ht="51" hidden="1" x14ac:dyDescent="0.3">
      <c r="A545" s="237" t="s">
        <v>98</v>
      </c>
      <c r="B545" s="238" t="s">
        <v>1893</v>
      </c>
      <c r="C545" s="238" t="s">
        <v>1894</v>
      </c>
      <c r="D545" s="238" t="s">
        <v>1895</v>
      </c>
      <c r="E545" s="239" t="s">
        <v>751</v>
      </c>
      <c r="F545" s="240">
        <v>74250</v>
      </c>
      <c r="G545" s="240"/>
      <c r="H545" s="239" t="s">
        <v>14</v>
      </c>
      <c r="I545" s="241" t="s">
        <v>15</v>
      </c>
      <c r="J545" s="241"/>
      <c r="K545" s="242" t="s">
        <v>8</v>
      </c>
      <c r="L545" s="243">
        <v>2004089.78</v>
      </c>
    </row>
    <row r="546" spans="1:12" ht="51" hidden="1" x14ac:dyDescent="0.3">
      <c r="A546" s="237" t="s">
        <v>98</v>
      </c>
      <c r="B546" s="238" t="s">
        <v>1893</v>
      </c>
      <c r="C546" s="238" t="s">
        <v>1894</v>
      </c>
      <c r="D546" s="238" t="s">
        <v>1895</v>
      </c>
      <c r="E546" s="239" t="s">
        <v>751</v>
      </c>
      <c r="F546" s="240">
        <v>198450</v>
      </c>
      <c r="G546" s="240"/>
      <c r="H546" s="239" t="s">
        <v>14</v>
      </c>
      <c r="I546" s="241" t="s">
        <v>15</v>
      </c>
      <c r="J546" s="241"/>
      <c r="K546" s="242" t="s">
        <v>8</v>
      </c>
      <c r="L546" s="243">
        <v>2202539.7799999998</v>
      </c>
    </row>
    <row r="547" spans="1:12" ht="51" hidden="1" x14ac:dyDescent="0.3">
      <c r="A547" s="237" t="s">
        <v>98</v>
      </c>
      <c r="B547" s="238" t="s">
        <v>1893</v>
      </c>
      <c r="C547" s="238" t="s">
        <v>1894</v>
      </c>
      <c r="D547" s="238" t="s">
        <v>1895</v>
      </c>
      <c r="E547" s="239" t="s">
        <v>751</v>
      </c>
      <c r="F547" s="240">
        <v>128550</v>
      </c>
      <c r="G547" s="240"/>
      <c r="H547" s="239" t="s">
        <v>14</v>
      </c>
      <c r="I547" s="241" t="s">
        <v>15</v>
      </c>
      <c r="J547" s="241"/>
      <c r="K547" s="242" t="s">
        <v>8</v>
      </c>
      <c r="L547" s="243">
        <v>2331089.7799999998</v>
      </c>
    </row>
    <row r="548" spans="1:12" ht="51" hidden="1" x14ac:dyDescent="0.3">
      <c r="A548" s="237" t="s">
        <v>98</v>
      </c>
      <c r="B548" s="238" t="s">
        <v>1893</v>
      </c>
      <c r="C548" s="238" t="s">
        <v>1894</v>
      </c>
      <c r="D548" s="238" t="s">
        <v>1895</v>
      </c>
      <c r="E548" s="239" t="s">
        <v>751</v>
      </c>
      <c r="F548" s="240">
        <v>44775</v>
      </c>
      <c r="G548" s="240"/>
      <c r="H548" s="239" t="s">
        <v>14</v>
      </c>
      <c r="I548" s="241" t="s">
        <v>15</v>
      </c>
      <c r="J548" s="241"/>
      <c r="K548" s="242" t="s">
        <v>8</v>
      </c>
      <c r="L548" s="243">
        <v>2375864.7799999998</v>
      </c>
    </row>
    <row r="549" spans="1:12" ht="51" hidden="1" x14ac:dyDescent="0.3">
      <c r="A549" s="237" t="s">
        <v>98</v>
      </c>
      <c r="B549" s="238" t="s">
        <v>1893</v>
      </c>
      <c r="C549" s="238" t="s">
        <v>1896</v>
      </c>
      <c r="D549" s="238" t="s">
        <v>1895</v>
      </c>
      <c r="E549" s="239" t="s">
        <v>751</v>
      </c>
      <c r="F549" s="240">
        <v>21833.33</v>
      </c>
      <c r="G549" s="240"/>
      <c r="H549" s="239" t="s">
        <v>14</v>
      </c>
      <c r="I549" s="241" t="s">
        <v>15</v>
      </c>
      <c r="J549" s="241"/>
      <c r="K549" s="242" t="s">
        <v>8</v>
      </c>
      <c r="L549" s="243">
        <v>2397698.11</v>
      </c>
    </row>
    <row r="550" spans="1:12" ht="61.2" hidden="1" x14ac:dyDescent="0.3">
      <c r="A550" s="237" t="s">
        <v>98</v>
      </c>
      <c r="B550" s="238" t="s">
        <v>1893</v>
      </c>
      <c r="C550" s="238" t="s">
        <v>1897</v>
      </c>
      <c r="D550" s="238" t="s">
        <v>1895</v>
      </c>
      <c r="E550" s="239" t="s">
        <v>751</v>
      </c>
      <c r="F550" s="240">
        <v>98750.01</v>
      </c>
      <c r="G550" s="240"/>
      <c r="H550" s="239" t="s">
        <v>14</v>
      </c>
      <c r="I550" s="241" t="s">
        <v>15</v>
      </c>
      <c r="J550" s="241"/>
      <c r="K550" s="242" t="s">
        <v>8</v>
      </c>
      <c r="L550" s="243">
        <v>2496448.12</v>
      </c>
    </row>
    <row r="551" spans="1:12" ht="61.2" hidden="1" x14ac:dyDescent="0.3">
      <c r="A551" s="237" t="s">
        <v>98</v>
      </c>
      <c r="B551" s="238" t="s">
        <v>1893</v>
      </c>
      <c r="C551" s="238" t="s">
        <v>1898</v>
      </c>
      <c r="D551" s="238" t="s">
        <v>1895</v>
      </c>
      <c r="E551" s="239" t="s">
        <v>751</v>
      </c>
      <c r="F551" s="240">
        <v>32916.67</v>
      </c>
      <c r="G551" s="240"/>
      <c r="H551" s="239" t="s">
        <v>14</v>
      </c>
      <c r="I551" s="241" t="s">
        <v>15</v>
      </c>
      <c r="J551" s="241"/>
      <c r="K551" s="242" t="s">
        <v>8</v>
      </c>
      <c r="L551" s="243">
        <v>2529364.79</v>
      </c>
    </row>
    <row r="552" spans="1:12" ht="51" hidden="1" x14ac:dyDescent="0.3">
      <c r="A552" s="237" t="s">
        <v>98</v>
      </c>
      <c r="B552" s="238" t="s">
        <v>1899</v>
      </c>
      <c r="C552" s="238" t="s">
        <v>1900</v>
      </c>
      <c r="D552" s="238" t="s">
        <v>1901</v>
      </c>
      <c r="E552" s="239" t="s">
        <v>751</v>
      </c>
      <c r="F552" s="240">
        <v>94560</v>
      </c>
      <c r="G552" s="240"/>
      <c r="H552" s="239" t="s">
        <v>14</v>
      </c>
      <c r="I552" s="241" t="s">
        <v>15</v>
      </c>
      <c r="J552" s="241"/>
      <c r="K552" s="242" t="s">
        <v>8</v>
      </c>
      <c r="L552" s="243">
        <v>859409.01</v>
      </c>
    </row>
    <row r="553" spans="1:12" ht="51" hidden="1" x14ac:dyDescent="0.3">
      <c r="A553" s="237" t="s">
        <v>98</v>
      </c>
      <c r="B553" s="238" t="s">
        <v>1899</v>
      </c>
      <c r="C553" s="238" t="s">
        <v>1902</v>
      </c>
      <c r="D553" s="238" t="s">
        <v>1901</v>
      </c>
      <c r="E553" s="239" t="s">
        <v>751</v>
      </c>
      <c r="F553" s="240">
        <v>17520</v>
      </c>
      <c r="G553" s="240"/>
      <c r="H553" s="239" t="s">
        <v>14</v>
      </c>
      <c r="I553" s="241" t="s">
        <v>15</v>
      </c>
      <c r="J553" s="241"/>
      <c r="K553" s="242" t="s">
        <v>8</v>
      </c>
      <c r="L553" s="243">
        <v>876929.01</v>
      </c>
    </row>
    <row r="554" spans="1:12" ht="51" hidden="1" x14ac:dyDescent="0.3">
      <c r="A554" s="237" t="s">
        <v>98</v>
      </c>
      <c r="B554" s="238" t="s">
        <v>1899</v>
      </c>
      <c r="C554" s="238" t="s">
        <v>1900</v>
      </c>
      <c r="D554" s="238" t="s">
        <v>1901</v>
      </c>
      <c r="E554" s="239" t="s">
        <v>751</v>
      </c>
      <c r="F554" s="240">
        <v>67612.5</v>
      </c>
      <c r="G554" s="240"/>
      <c r="H554" s="239" t="s">
        <v>14</v>
      </c>
      <c r="I554" s="241" t="s">
        <v>15</v>
      </c>
      <c r="J554" s="241"/>
      <c r="K554" s="242" t="s">
        <v>8</v>
      </c>
      <c r="L554" s="243">
        <v>944541.51</v>
      </c>
    </row>
    <row r="555" spans="1:12" ht="51" hidden="1" x14ac:dyDescent="0.3">
      <c r="A555" s="237" t="s">
        <v>98</v>
      </c>
      <c r="B555" s="238" t="s">
        <v>1903</v>
      </c>
      <c r="C555" s="238" t="s">
        <v>1904</v>
      </c>
      <c r="D555" s="238" t="s">
        <v>1900</v>
      </c>
      <c r="E555" s="239" t="s">
        <v>751</v>
      </c>
      <c r="F555" s="240">
        <v>95220.55</v>
      </c>
      <c r="G555" s="240"/>
      <c r="H555" s="239" t="s">
        <v>751</v>
      </c>
      <c r="I555" s="241" t="s">
        <v>15</v>
      </c>
      <c r="J555" s="241"/>
      <c r="K555" s="242" t="s">
        <v>8</v>
      </c>
      <c r="L555" s="243">
        <v>1152570.96</v>
      </c>
    </row>
    <row r="556" spans="1:12" ht="51" hidden="1" x14ac:dyDescent="0.3">
      <c r="A556" s="237" t="s">
        <v>98</v>
      </c>
      <c r="B556" s="238" t="s">
        <v>1903</v>
      </c>
      <c r="C556" s="238" t="s">
        <v>1904</v>
      </c>
      <c r="D556" s="238" t="s">
        <v>1900</v>
      </c>
      <c r="E556" s="239" t="s">
        <v>751</v>
      </c>
      <c r="F556" s="245" t="s">
        <v>15</v>
      </c>
      <c r="G556" s="245"/>
      <c r="H556" s="239" t="s">
        <v>751</v>
      </c>
      <c r="I556" s="246">
        <v>95220.55</v>
      </c>
      <c r="J556" s="246"/>
      <c r="K556" s="242" t="s">
        <v>8</v>
      </c>
      <c r="L556" s="243">
        <v>849320.95999999996</v>
      </c>
    </row>
    <row r="557" spans="1:12" ht="51" hidden="1" x14ac:dyDescent="0.3">
      <c r="A557" s="237" t="s">
        <v>98</v>
      </c>
      <c r="B557" s="238" t="s">
        <v>1905</v>
      </c>
      <c r="C557" s="238" t="s">
        <v>1900</v>
      </c>
      <c r="D557" s="238" t="s">
        <v>1906</v>
      </c>
      <c r="E557" s="239" t="s">
        <v>751</v>
      </c>
      <c r="F557" s="240">
        <v>33513.11</v>
      </c>
      <c r="G557" s="240"/>
      <c r="H557" s="239" t="s">
        <v>14</v>
      </c>
      <c r="I557" s="241" t="s">
        <v>15</v>
      </c>
      <c r="J557" s="241"/>
      <c r="K557" s="242" t="s">
        <v>8</v>
      </c>
      <c r="L557" s="243">
        <v>882834.07</v>
      </c>
    </row>
    <row r="558" spans="1:12" ht="51" hidden="1" x14ac:dyDescent="0.3">
      <c r="A558" s="237" t="s">
        <v>98</v>
      </c>
      <c r="B558" s="238" t="s">
        <v>1905</v>
      </c>
      <c r="C558" s="238" t="s">
        <v>1902</v>
      </c>
      <c r="D558" s="238" t="s">
        <v>1906</v>
      </c>
      <c r="E558" s="239" t="s">
        <v>751</v>
      </c>
      <c r="F558" s="240">
        <v>6209.28</v>
      </c>
      <c r="G558" s="240"/>
      <c r="H558" s="239" t="s">
        <v>14</v>
      </c>
      <c r="I558" s="241" t="s">
        <v>15</v>
      </c>
      <c r="J558" s="241"/>
      <c r="K558" s="242" t="s">
        <v>8</v>
      </c>
      <c r="L558" s="243">
        <v>889043.35</v>
      </c>
    </row>
    <row r="559" spans="1:12" ht="51" hidden="1" x14ac:dyDescent="0.3">
      <c r="A559" s="237" t="s">
        <v>98</v>
      </c>
      <c r="B559" s="238" t="s">
        <v>1905</v>
      </c>
      <c r="C559" s="238" t="s">
        <v>1900</v>
      </c>
      <c r="D559" s="238" t="s">
        <v>1906</v>
      </c>
      <c r="E559" s="239" t="s">
        <v>751</v>
      </c>
      <c r="F559" s="240">
        <v>23962.61</v>
      </c>
      <c r="G559" s="240"/>
      <c r="H559" s="239" t="s">
        <v>14</v>
      </c>
      <c r="I559" s="241" t="s">
        <v>15</v>
      </c>
      <c r="J559" s="241"/>
      <c r="K559" s="242" t="s">
        <v>8</v>
      </c>
      <c r="L559" s="243">
        <v>913005.96</v>
      </c>
    </row>
    <row r="560" spans="1:12" ht="51" hidden="1" x14ac:dyDescent="0.3">
      <c r="A560" s="237" t="s">
        <v>98</v>
      </c>
      <c r="B560" s="238" t="s">
        <v>1907</v>
      </c>
      <c r="C560" s="238" t="s">
        <v>1908</v>
      </c>
      <c r="D560" s="238" t="s">
        <v>1902</v>
      </c>
      <c r="E560" s="239" t="s">
        <v>751</v>
      </c>
      <c r="F560" s="245" t="s">
        <v>15</v>
      </c>
      <c r="G560" s="245"/>
      <c r="H560" s="239" t="s">
        <v>751</v>
      </c>
      <c r="I560" s="246">
        <v>23729.279999999999</v>
      </c>
      <c r="J560" s="246"/>
      <c r="K560" s="242" t="s">
        <v>8</v>
      </c>
      <c r="L560" s="243">
        <v>889276.68</v>
      </c>
    </row>
    <row r="561" spans="1:12" ht="51" hidden="1" x14ac:dyDescent="0.3">
      <c r="A561" s="237" t="s">
        <v>98</v>
      </c>
      <c r="B561" s="238" t="s">
        <v>1907</v>
      </c>
      <c r="C561" s="238" t="s">
        <v>1908</v>
      </c>
      <c r="D561" s="238" t="s">
        <v>1902</v>
      </c>
      <c r="E561" s="239" t="s">
        <v>751</v>
      </c>
      <c r="F561" s="240">
        <v>23729.279999999999</v>
      </c>
      <c r="G561" s="240"/>
      <c r="H561" s="239" t="s">
        <v>751</v>
      </c>
      <c r="I561" s="241" t="s">
        <v>15</v>
      </c>
      <c r="J561" s="241"/>
      <c r="K561" s="242" t="s">
        <v>8</v>
      </c>
      <c r="L561" s="243">
        <v>1000545.46</v>
      </c>
    </row>
    <row r="562" spans="1:12" ht="51" hidden="1" x14ac:dyDescent="0.3">
      <c r="A562" s="237" t="s">
        <v>98</v>
      </c>
      <c r="B562" s="238" t="s">
        <v>1909</v>
      </c>
      <c r="C562" s="238" t="s">
        <v>1910</v>
      </c>
      <c r="D562" s="238" t="s">
        <v>1900</v>
      </c>
      <c r="E562" s="239" t="s">
        <v>751</v>
      </c>
      <c r="F562" s="245" t="s">
        <v>15</v>
      </c>
      <c r="G562" s="245"/>
      <c r="H562" s="239" t="s">
        <v>751</v>
      </c>
      <c r="I562" s="246">
        <v>124427.67</v>
      </c>
      <c r="J562" s="246"/>
      <c r="K562" s="242" t="s">
        <v>8</v>
      </c>
      <c r="L562" s="243">
        <v>764849.01</v>
      </c>
    </row>
    <row r="563" spans="1:12" ht="51" hidden="1" x14ac:dyDescent="0.3">
      <c r="A563" s="237" t="s">
        <v>98</v>
      </c>
      <c r="B563" s="238" t="s">
        <v>1909</v>
      </c>
      <c r="C563" s="238" t="s">
        <v>1910</v>
      </c>
      <c r="D563" s="238" t="s">
        <v>1900</v>
      </c>
      <c r="E563" s="239" t="s">
        <v>751</v>
      </c>
      <c r="F563" s="240">
        <v>124427.67</v>
      </c>
      <c r="G563" s="240"/>
      <c r="H563" s="239" t="s">
        <v>751</v>
      </c>
      <c r="I563" s="241" t="s">
        <v>15</v>
      </c>
      <c r="J563" s="241"/>
      <c r="K563" s="242" t="s">
        <v>8</v>
      </c>
      <c r="L563" s="243">
        <v>1124973.1299999999</v>
      </c>
    </row>
    <row r="564" spans="1:12" ht="61.2" hidden="1" x14ac:dyDescent="0.3">
      <c r="A564" s="237" t="s">
        <v>537</v>
      </c>
      <c r="B564" s="238" t="s">
        <v>1911</v>
      </c>
      <c r="C564" s="238" t="s">
        <v>1912</v>
      </c>
      <c r="D564" s="238" t="s">
        <v>1913</v>
      </c>
      <c r="E564" s="239" t="s">
        <v>751</v>
      </c>
      <c r="F564" s="240">
        <v>2268.6</v>
      </c>
      <c r="G564" s="240"/>
      <c r="H564" s="239" t="s">
        <v>14</v>
      </c>
      <c r="I564" s="241" t="s">
        <v>15</v>
      </c>
      <c r="J564" s="241"/>
      <c r="K564" s="242" t="s">
        <v>8</v>
      </c>
      <c r="L564" s="243">
        <v>5691528.6500000004</v>
      </c>
    </row>
    <row r="565" spans="1:12" ht="61.2" hidden="1" x14ac:dyDescent="0.3">
      <c r="A565" s="237" t="s">
        <v>537</v>
      </c>
      <c r="B565" s="238" t="s">
        <v>1911</v>
      </c>
      <c r="C565" s="238" t="s">
        <v>1912</v>
      </c>
      <c r="D565" s="238" t="s">
        <v>1913</v>
      </c>
      <c r="E565" s="239" t="s">
        <v>751</v>
      </c>
      <c r="F565" s="240">
        <v>2695.6</v>
      </c>
      <c r="G565" s="240"/>
      <c r="H565" s="239" t="s">
        <v>14</v>
      </c>
      <c r="I565" s="241" t="s">
        <v>15</v>
      </c>
      <c r="J565" s="241"/>
      <c r="K565" s="242" t="s">
        <v>8</v>
      </c>
      <c r="L565" s="243">
        <v>5694224.25</v>
      </c>
    </row>
    <row r="566" spans="1:12" ht="61.2" hidden="1" x14ac:dyDescent="0.3">
      <c r="A566" s="237" t="s">
        <v>537</v>
      </c>
      <c r="B566" s="238" t="s">
        <v>1911</v>
      </c>
      <c r="C566" s="238" t="s">
        <v>1912</v>
      </c>
      <c r="D566" s="238" t="s">
        <v>1913</v>
      </c>
      <c r="E566" s="239" t="s">
        <v>751</v>
      </c>
      <c r="F566" s="240">
        <v>11448.4</v>
      </c>
      <c r="G566" s="240"/>
      <c r="H566" s="239" t="s">
        <v>14</v>
      </c>
      <c r="I566" s="241" t="s">
        <v>15</v>
      </c>
      <c r="J566" s="241"/>
      <c r="K566" s="242" t="s">
        <v>8</v>
      </c>
      <c r="L566" s="243">
        <v>5705672.6500000004</v>
      </c>
    </row>
    <row r="567" spans="1:12" ht="61.2" hidden="1" x14ac:dyDescent="0.3">
      <c r="A567" s="237" t="s">
        <v>537</v>
      </c>
      <c r="B567" s="238" t="s">
        <v>1911</v>
      </c>
      <c r="C567" s="238" t="s">
        <v>1914</v>
      </c>
      <c r="D567" s="238" t="s">
        <v>1913</v>
      </c>
      <c r="E567" s="239" t="s">
        <v>751</v>
      </c>
      <c r="F567" s="240">
        <v>3380.1</v>
      </c>
      <c r="G567" s="240"/>
      <c r="H567" s="239" t="s">
        <v>14</v>
      </c>
      <c r="I567" s="241" t="s">
        <v>15</v>
      </c>
      <c r="J567" s="241"/>
      <c r="K567" s="242" t="s">
        <v>8</v>
      </c>
      <c r="L567" s="243">
        <v>5709052.75</v>
      </c>
    </row>
    <row r="568" spans="1:12" ht="61.2" hidden="1" x14ac:dyDescent="0.3">
      <c r="A568" s="237" t="s">
        <v>537</v>
      </c>
      <c r="B568" s="238" t="s">
        <v>1911</v>
      </c>
      <c r="C568" s="238" t="s">
        <v>1915</v>
      </c>
      <c r="D568" s="238" t="s">
        <v>1913</v>
      </c>
      <c r="E568" s="239" t="s">
        <v>751</v>
      </c>
      <c r="F568" s="240">
        <v>2654</v>
      </c>
      <c r="G568" s="240"/>
      <c r="H568" s="239" t="s">
        <v>14</v>
      </c>
      <c r="I568" s="241" t="s">
        <v>15</v>
      </c>
      <c r="J568" s="241"/>
      <c r="K568" s="242" t="s">
        <v>8</v>
      </c>
      <c r="L568" s="243">
        <v>5711706.75</v>
      </c>
    </row>
    <row r="569" spans="1:12" ht="61.2" hidden="1" x14ac:dyDescent="0.3">
      <c r="A569" s="237" t="s">
        <v>537</v>
      </c>
      <c r="B569" s="238" t="s">
        <v>1911</v>
      </c>
      <c r="C569" s="238" t="s">
        <v>1916</v>
      </c>
      <c r="D569" s="238" t="s">
        <v>1913</v>
      </c>
      <c r="E569" s="239" t="s">
        <v>751</v>
      </c>
      <c r="F569" s="240">
        <v>2686.4</v>
      </c>
      <c r="G569" s="240"/>
      <c r="H569" s="239" t="s">
        <v>14</v>
      </c>
      <c r="I569" s="241" t="s">
        <v>15</v>
      </c>
      <c r="J569" s="241"/>
      <c r="K569" s="242" t="s">
        <v>8</v>
      </c>
      <c r="L569" s="243">
        <v>5714393.1500000004</v>
      </c>
    </row>
    <row r="570" spans="1:12" ht="61.2" hidden="1" x14ac:dyDescent="0.3">
      <c r="A570" s="237" t="s">
        <v>537</v>
      </c>
      <c r="B570" s="238" t="s">
        <v>1911</v>
      </c>
      <c r="C570" s="238" t="s">
        <v>1917</v>
      </c>
      <c r="D570" s="238" t="s">
        <v>1913</v>
      </c>
      <c r="E570" s="239" t="s">
        <v>751</v>
      </c>
      <c r="F570" s="240">
        <v>3831</v>
      </c>
      <c r="G570" s="240"/>
      <c r="H570" s="239" t="s">
        <v>14</v>
      </c>
      <c r="I570" s="241" t="s">
        <v>15</v>
      </c>
      <c r="J570" s="241"/>
      <c r="K570" s="242" t="s">
        <v>8</v>
      </c>
      <c r="L570" s="243">
        <v>5718224.1500000004</v>
      </c>
    </row>
    <row r="571" spans="1:12" ht="61.2" hidden="1" x14ac:dyDescent="0.3">
      <c r="A571" s="237" t="s">
        <v>537</v>
      </c>
      <c r="B571" s="238" t="s">
        <v>1911</v>
      </c>
      <c r="C571" s="238" t="s">
        <v>1918</v>
      </c>
      <c r="D571" s="238" t="s">
        <v>1913</v>
      </c>
      <c r="E571" s="239" t="s">
        <v>751</v>
      </c>
      <c r="F571" s="240">
        <v>3820.3</v>
      </c>
      <c r="G571" s="240"/>
      <c r="H571" s="239" t="s">
        <v>14</v>
      </c>
      <c r="I571" s="241" t="s">
        <v>15</v>
      </c>
      <c r="J571" s="241"/>
      <c r="K571" s="242" t="s">
        <v>8</v>
      </c>
      <c r="L571" s="243">
        <v>5722044.4500000002</v>
      </c>
    </row>
    <row r="572" spans="1:12" ht="61.2" hidden="1" x14ac:dyDescent="0.3">
      <c r="A572" s="237" t="s">
        <v>537</v>
      </c>
      <c r="B572" s="238" t="s">
        <v>1911</v>
      </c>
      <c r="C572" s="238" t="s">
        <v>1919</v>
      </c>
      <c r="D572" s="238" t="s">
        <v>1913</v>
      </c>
      <c r="E572" s="239" t="s">
        <v>751</v>
      </c>
      <c r="F572" s="244">
        <v>736.1</v>
      </c>
      <c r="G572" s="244"/>
      <c r="H572" s="239" t="s">
        <v>14</v>
      </c>
      <c r="I572" s="241" t="s">
        <v>15</v>
      </c>
      <c r="J572" s="241"/>
      <c r="K572" s="242" t="s">
        <v>8</v>
      </c>
      <c r="L572" s="243">
        <v>5722780.5499999998</v>
      </c>
    </row>
    <row r="573" spans="1:12" ht="61.2" hidden="1" x14ac:dyDescent="0.3">
      <c r="A573" s="237" t="s">
        <v>537</v>
      </c>
      <c r="B573" s="238" t="s">
        <v>1911</v>
      </c>
      <c r="C573" s="238" t="s">
        <v>1920</v>
      </c>
      <c r="D573" s="238" t="s">
        <v>1913</v>
      </c>
      <c r="E573" s="239" t="s">
        <v>751</v>
      </c>
      <c r="F573" s="244">
        <v>572</v>
      </c>
      <c r="G573" s="244"/>
      <c r="H573" s="239" t="s">
        <v>14</v>
      </c>
      <c r="I573" s="241" t="s">
        <v>15</v>
      </c>
      <c r="J573" s="241"/>
      <c r="K573" s="242" t="s">
        <v>8</v>
      </c>
      <c r="L573" s="243">
        <v>5723352.5499999998</v>
      </c>
    </row>
    <row r="574" spans="1:12" ht="61.2" hidden="1" x14ac:dyDescent="0.3">
      <c r="A574" s="237" t="s">
        <v>537</v>
      </c>
      <c r="B574" s="238" t="s">
        <v>1911</v>
      </c>
      <c r="C574" s="238" t="s">
        <v>1920</v>
      </c>
      <c r="D574" s="238" t="s">
        <v>1913</v>
      </c>
      <c r="E574" s="239" t="s">
        <v>751</v>
      </c>
      <c r="F574" s="244">
        <v>537.29999999999995</v>
      </c>
      <c r="G574" s="244"/>
      <c r="H574" s="239" t="s">
        <v>14</v>
      </c>
      <c r="I574" s="241" t="s">
        <v>15</v>
      </c>
      <c r="J574" s="241"/>
      <c r="K574" s="242" t="s">
        <v>8</v>
      </c>
      <c r="L574" s="243">
        <v>5723889.8499999996</v>
      </c>
    </row>
    <row r="575" spans="1:12" ht="61.2" hidden="1" x14ac:dyDescent="0.3">
      <c r="A575" s="237" t="s">
        <v>537</v>
      </c>
      <c r="B575" s="238" t="s">
        <v>1911</v>
      </c>
      <c r="C575" s="238" t="s">
        <v>1919</v>
      </c>
      <c r="D575" s="238" t="s">
        <v>1913</v>
      </c>
      <c r="E575" s="239" t="s">
        <v>751</v>
      </c>
      <c r="F575" s="244">
        <v>736.1</v>
      </c>
      <c r="G575" s="244"/>
      <c r="H575" s="239" t="s">
        <v>14</v>
      </c>
      <c r="I575" s="241" t="s">
        <v>15</v>
      </c>
      <c r="J575" s="241"/>
      <c r="K575" s="242" t="s">
        <v>8</v>
      </c>
      <c r="L575" s="243">
        <v>5724625.9500000002</v>
      </c>
    </row>
    <row r="576" spans="1:12" ht="61.2" hidden="1" x14ac:dyDescent="0.3">
      <c r="A576" s="237" t="s">
        <v>537</v>
      </c>
      <c r="B576" s="238" t="s">
        <v>1911</v>
      </c>
      <c r="C576" s="238" t="s">
        <v>1921</v>
      </c>
      <c r="D576" s="238" t="s">
        <v>1913</v>
      </c>
      <c r="E576" s="239" t="s">
        <v>751</v>
      </c>
      <c r="F576" s="240">
        <v>3527.3</v>
      </c>
      <c r="G576" s="240"/>
      <c r="H576" s="239" t="s">
        <v>14</v>
      </c>
      <c r="I576" s="241" t="s">
        <v>15</v>
      </c>
      <c r="J576" s="241"/>
      <c r="K576" s="242" t="s">
        <v>8</v>
      </c>
      <c r="L576" s="243">
        <v>5728153.25</v>
      </c>
    </row>
    <row r="577" spans="1:12" ht="61.2" hidden="1" x14ac:dyDescent="0.3">
      <c r="A577" s="237" t="s">
        <v>537</v>
      </c>
      <c r="B577" s="238" t="s">
        <v>1911</v>
      </c>
      <c r="C577" s="238" t="s">
        <v>1922</v>
      </c>
      <c r="D577" s="238" t="s">
        <v>1913</v>
      </c>
      <c r="E577" s="239" t="s">
        <v>751</v>
      </c>
      <c r="F577" s="240">
        <v>3565.9</v>
      </c>
      <c r="G577" s="240"/>
      <c r="H577" s="239" t="s">
        <v>14</v>
      </c>
      <c r="I577" s="241" t="s">
        <v>15</v>
      </c>
      <c r="J577" s="241"/>
      <c r="K577" s="242" t="s">
        <v>8</v>
      </c>
      <c r="L577" s="243">
        <v>5731719.1500000004</v>
      </c>
    </row>
    <row r="578" spans="1:12" ht="61.2" hidden="1" x14ac:dyDescent="0.3">
      <c r="A578" s="237" t="s">
        <v>537</v>
      </c>
      <c r="B578" s="238" t="s">
        <v>1911</v>
      </c>
      <c r="C578" s="238" t="s">
        <v>1923</v>
      </c>
      <c r="D578" s="238" t="s">
        <v>1913</v>
      </c>
      <c r="E578" s="239" t="s">
        <v>751</v>
      </c>
      <c r="F578" s="240">
        <v>16030.2</v>
      </c>
      <c r="G578" s="240"/>
      <c r="H578" s="239" t="s">
        <v>14</v>
      </c>
      <c r="I578" s="241" t="s">
        <v>15</v>
      </c>
      <c r="J578" s="241"/>
      <c r="K578" s="242" t="s">
        <v>8</v>
      </c>
      <c r="L578" s="243">
        <v>5747749.3499999996</v>
      </c>
    </row>
    <row r="579" spans="1:12" ht="61.2" hidden="1" x14ac:dyDescent="0.3">
      <c r="A579" s="237" t="s">
        <v>537</v>
      </c>
      <c r="B579" s="238" t="s">
        <v>1911</v>
      </c>
      <c r="C579" s="238" t="s">
        <v>1924</v>
      </c>
      <c r="D579" s="238" t="s">
        <v>1913</v>
      </c>
      <c r="E579" s="239" t="s">
        <v>751</v>
      </c>
      <c r="F579" s="240">
        <v>3484.2</v>
      </c>
      <c r="G579" s="240"/>
      <c r="H579" s="239" t="s">
        <v>14</v>
      </c>
      <c r="I579" s="241" t="s">
        <v>15</v>
      </c>
      <c r="J579" s="241"/>
      <c r="K579" s="242" t="s">
        <v>8</v>
      </c>
      <c r="L579" s="243">
        <v>5751233.5499999998</v>
      </c>
    </row>
    <row r="580" spans="1:12" ht="61.2" hidden="1" x14ac:dyDescent="0.3">
      <c r="A580" s="237" t="s">
        <v>537</v>
      </c>
      <c r="B580" s="238" t="s">
        <v>1911</v>
      </c>
      <c r="C580" s="238" t="s">
        <v>1925</v>
      </c>
      <c r="D580" s="238" t="s">
        <v>1913</v>
      </c>
      <c r="E580" s="239" t="s">
        <v>751</v>
      </c>
      <c r="F580" s="240">
        <v>4362.1000000000004</v>
      </c>
      <c r="G580" s="240"/>
      <c r="H580" s="239" t="s">
        <v>14</v>
      </c>
      <c r="I580" s="241" t="s">
        <v>15</v>
      </c>
      <c r="J580" s="241"/>
      <c r="K580" s="242" t="s">
        <v>8</v>
      </c>
      <c r="L580" s="243">
        <v>5755595.6500000004</v>
      </c>
    </row>
    <row r="581" spans="1:12" ht="61.2" hidden="1" x14ac:dyDescent="0.3">
      <c r="A581" s="237" t="s">
        <v>537</v>
      </c>
      <c r="B581" s="238" t="s">
        <v>1911</v>
      </c>
      <c r="C581" s="238" t="s">
        <v>1926</v>
      </c>
      <c r="D581" s="238" t="s">
        <v>1913</v>
      </c>
      <c r="E581" s="239" t="s">
        <v>751</v>
      </c>
      <c r="F581" s="240">
        <v>5566.2</v>
      </c>
      <c r="G581" s="240"/>
      <c r="H581" s="239" t="s">
        <v>14</v>
      </c>
      <c r="I581" s="241" t="s">
        <v>15</v>
      </c>
      <c r="J581" s="241"/>
      <c r="K581" s="242" t="s">
        <v>8</v>
      </c>
      <c r="L581" s="243">
        <v>5761161.8499999996</v>
      </c>
    </row>
    <row r="582" spans="1:12" ht="61.2" hidden="1" x14ac:dyDescent="0.3">
      <c r="A582" s="237" t="s">
        <v>537</v>
      </c>
      <c r="B582" s="238" t="s">
        <v>1911</v>
      </c>
      <c r="C582" s="238" t="s">
        <v>1927</v>
      </c>
      <c r="D582" s="238" t="s">
        <v>1913</v>
      </c>
      <c r="E582" s="239" t="s">
        <v>751</v>
      </c>
      <c r="F582" s="240">
        <v>3811.8</v>
      </c>
      <c r="G582" s="240"/>
      <c r="H582" s="239" t="s">
        <v>14</v>
      </c>
      <c r="I582" s="241" t="s">
        <v>15</v>
      </c>
      <c r="J582" s="241"/>
      <c r="K582" s="242" t="s">
        <v>8</v>
      </c>
      <c r="L582" s="243">
        <v>5764973.6500000004</v>
      </c>
    </row>
    <row r="583" spans="1:12" ht="61.2" hidden="1" x14ac:dyDescent="0.3">
      <c r="A583" s="237" t="s">
        <v>537</v>
      </c>
      <c r="B583" s="238" t="s">
        <v>1911</v>
      </c>
      <c r="C583" s="238" t="s">
        <v>1928</v>
      </c>
      <c r="D583" s="238" t="s">
        <v>1913</v>
      </c>
      <c r="E583" s="239" t="s">
        <v>751</v>
      </c>
      <c r="F583" s="240">
        <v>1596.4</v>
      </c>
      <c r="G583" s="240"/>
      <c r="H583" s="239" t="s">
        <v>14</v>
      </c>
      <c r="I583" s="241" t="s">
        <v>15</v>
      </c>
      <c r="J583" s="241"/>
      <c r="K583" s="242" t="s">
        <v>8</v>
      </c>
      <c r="L583" s="243">
        <v>5766570.0499999998</v>
      </c>
    </row>
    <row r="584" spans="1:12" ht="61.2" hidden="1" x14ac:dyDescent="0.3">
      <c r="A584" s="237" t="s">
        <v>537</v>
      </c>
      <c r="B584" s="238" t="s">
        <v>1911</v>
      </c>
      <c r="C584" s="238" t="s">
        <v>1929</v>
      </c>
      <c r="D584" s="238" t="s">
        <v>1913</v>
      </c>
      <c r="E584" s="239" t="s">
        <v>751</v>
      </c>
      <c r="F584" s="240">
        <v>1610.3</v>
      </c>
      <c r="G584" s="240"/>
      <c r="H584" s="239" t="s">
        <v>14</v>
      </c>
      <c r="I584" s="241" t="s">
        <v>15</v>
      </c>
      <c r="J584" s="241"/>
      <c r="K584" s="242" t="s">
        <v>8</v>
      </c>
      <c r="L584" s="243">
        <v>5768180.3499999996</v>
      </c>
    </row>
    <row r="585" spans="1:12" ht="61.2" hidden="1" x14ac:dyDescent="0.3">
      <c r="A585" s="237" t="s">
        <v>537</v>
      </c>
      <c r="B585" s="238" t="s">
        <v>1911</v>
      </c>
      <c r="C585" s="238" t="s">
        <v>1930</v>
      </c>
      <c r="D585" s="238" t="s">
        <v>1913</v>
      </c>
      <c r="E585" s="239" t="s">
        <v>751</v>
      </c>
      <c r="F585" s="240">
        <v>2262.4</v>
      </c>
      <c r="G585" s="240"/>
      <c r="H585" s="239" t="s">
        <v>14</v>
      </c>
      <c r="I585" s="241" t="s">
        <v>15</v>
      </c>
      <c r="J585" s="241"/>
      <c r="K585" s="242" t="s">
        <v>8</v>
      </c>
      <c r="L585" s="243">
        <v>5770442.75</v>
      </c>
    </row>
    <row r="586" spans="1:12" ht="61.2" hidden="1" x14ac:dyDescent="0.3">
      <c r="A586" s="237" t="s">
        <v>537</v>
      </c>
      <c r="B586" s="238" t="s">
        <v>1911</v>
      </c>
      <c r="C586" s="238" t="s">
        <v>1931</v>
      </c>
      <c r="D586" s="238" t="s">
        <v>1913</v>
      </c>
      <c r="E586" s="239" t="s">
        <v>751</v>
      </c>
      <c r="F586" s="240">
        <v>1641.9</v>
      </c>
      <c r="G586" s="240"/>
      <c r="H586" s="239" t="s">
        <v>14</v>
      </c>
      <c r="I586" s="241" t="s">
        <v>15</v>
      </c>
      <c r="J586" s="241"/>
      <c r="K586" s="242" t="s">
        <v>8</v>
      </c>
      <c r="L586" s="243">
        <v>5772084.6500000004</v>
      </c>
    </row>
    <row r="587" spans="1:12" ht="61.2" hidden="1" x14ac:dyDescent="0.3">
      <c r="A587" s="237" t="s">
        <v>537</v>
      </c>
      <c r="B587" s="238" t="s">
        <v>1911</v>
      </c>
      <c r="C587" s="238" t="s">
        <v>1932</v>
      </c>
      <c r="D587" s="238" t="s">
        <v>1913</v>
      </c>
      <c r="E587" s="239" t="s">
        <v>751</v>
      </c>
      <c r="F587" s="240">
        <v>19605.599999999999</v>
      </c>
      <c r="G587" s="240"/>
      <c r="H587" s="239" t="s">
        <v>14</v>
      </c>
      <c r="I587" s="241" t="s">
        <v>15</v>
      </c>
      <c r="J587" s="241"/>
      <c r="K587" s="242" t="s">
        <v>8</v>
      </c>
      <c r="L587" s="243">
        <v>5791690.25</v>
      </c>
    </row>
    <row r="588" spans="1:12" ht="61.2" hidden="1" x14ac:dyDescent="0.3">
      <c r="A588" s="237" t="s">
        <v>537</v>
      </c>
      <c r="B588" s="238" t="s">
        <v>1911</v>
      </c>
      <c r="C588" s="238" t="s">
        <v>1933</v>
      </c>
      <c r="D588" s="238" t="s">
        <v>1913</v>
      </c>
      <c r="E588" s="239" t="s">
        <v>751</v>
      </c>
      <c r="F588" s="240">
        <v>5271.7</v>
      </c>
      <c r="G588" s="240"/>
      <c r="H588" s="239" t="s">
        <v>14</v>
      </c>
      <c r="I588" s="241" t="s">
        <v>15</v>
      </c>
      <c r="J588" s="241"/>
      <c r="K588" s="242" t="s">
        <v>8</v>
      </c>
      <c r="L588" s="243">
        <v>5796961.9500000002</v>
      </c>
    </row>
    <row r="589" spans="1:12" ht="61.2" hidden="1" x14ac:dyDescent="0.3">
      <c r="A589" s="237" t="s">
        <v>537</v>
      </c>
      <c r="B589" s="238" t="s">
        <v>1911</v>
      </c>
      <c r="C589" s="238" t="s">
        <v>1934</v>
      </c>
      <c r="D589" s="238" t="s">
        <v>1913</v>
      </c>
      <c r="E589" s="239" t="s">
        <v>751</v>
      </c>
      <c r="F589" s="240">
        <v>5556.2</v>
      </c>
      <c r="G589" s="240"/>
      <c r="H589" s="239" t="s">
        <v>14</v>
      </c>
      <c r="I589" s="241" t="s">
        <v>15</v>
      </c>
      <c r="J589" s="241"/>
      <c r="K589" s="242" t="s">
        <v>8</v>
      </c>
      <c r="L589" s="243">
        <v>5802518.1500000004</v>
      </c>
    </row>
    <row r="590" spans="1:12" ht="61.2" hidden="1" x14ac:dyDescent="0.3">
      <c r="A590" s="237" t="s">
        <v>537</v>
      </c>
      <c r="B590" s="238" t="s">
        <v>1911</v>
      </c>
      <c r="C590" s="238" t="s">
        <v>1935</v>
      </c>
      <c r="D590" s="238" t="s">
        <v>1913</v>
      </c>
      <c r="E590" s="239" t="s">
        <v>751</v>
      </c>
      <c r="F590" s="240">
        <v>3182</v>
      </c>
      <c r="G590" s="240"/>
      <c r="H590" s="239" t="s">
        <v>14</v>
      </c>
      <c r="I590" s="241" t="s">
        <v>15</v>
      </c>
      <c r="J590" s="241"/>
      <c r="K590" s="242" t="s">
        <v>8</v>
      </c>
      <c r="L590" s="243">
        <v>5805700.1500000004</v>
      </c>
    </row>
    <row r="591" spans="1:12" ht="61.2" hidden="1" x14ac:dyDescent="0.3">
      <c r="A591" s="237" t="s">
        <v>537</v>
      </c>
      <c r="B591" s="238" t="s">
        <v>1911</v>
      </c>
      <c r="C591" s="238" t="s">
        <v>1936</v>
      </c>
      <c r="D591" s="238" t="s">
        <v>1913</v>
      </c>
      <c r="E591" s="239" t="s">
        <v>751</v>
      </c>
      <c r="F591" s="240">
        <v>5002.8</v>
      </c>
      <c r="G591" s="240"/>
      <c r="H591" s="239" t="s">
        <v>14</v>
      </c>
      <c r="I591" s="241" t="s">
        <v>15</v>
      </c>
      <c r="J591" s="241"/>
      <c r="K591" s="242" t="s">
        <v>8</v>
      </c>
      <c r="L591" s="243">
        <v>5810702.9500000002</v>
      </c>
    </row>
    <row r="592" spans="1:12" ht="61.2" hidden="1" x14ac:dyDescent="0.3">
      <c r="A592" s="237" t="s">
        <v>537</v>
      </c>
      <c r="B592" s="238" t="s">
        <v>1911</v>
      </c>
      <c r="C592" s="238" t="s">
        <v>1937</v>
      </c>
      <c r="D592" s="238" t="s">
        <v>1913</v>
      </c>
      <c r="E592" s="239" t="s">
        <v>751</v>
      </c>
      <c r="F592" s="240">
        <v>4147</v>
      </c>
      <c r="G592" s="240"/>
      <c r="H592" s="239" t="s">
        <v>14</v>
      </c>
      <c r="I592" s="241" t="s">
        <v>15</v>
      </c>
      <c r="J592" s="241"/>
      <c r="K592" s="242" t="s">
        <v>8</v>
      </c>
      <c r="L592" s="243">
        <v>5814849.9500000002</v>
      </c>
    </row>
    <row r="593" spans="1:12" ht="61.2" hidden="1" x14ac:dyDescent="0.3">
      <c r="A593" s="237" t="s">
        <v>537</v>
      </c>
      <c r="B593" s="238" t="s">
        <v>1911</v>
      </c>
      <c r="C593" s="238" t="s">
        <v>1938</v>
      </c>
      <c r="D593" s="238" t="s">
        <v>1913</v>
      </c>
      <c r="E593" s="239" t="s">
        <v>751</v>
      </c>
      <c r="F593" s="240">
        <v>7358.4</v>
      </c>
      <c r="G593" s="240"/>
      <c r="H593" s="239" t="s">
        <v>14</v>
      </c>
      <c r="I593" s="241" t="s">
        <v>15</v>
      </c>
      <c r="J593" s="241"/>
      <c r="K593" s="242" t="s">
        <v>8</v>
      </c>
      <c r="L593" s="243">
        <v>5822208.3499999996</v>
      </c>
    </row>
    <row r="594" spans="1:12" ht="61.2" hidden="1" x14ac:dyDescent="0.3">
      <c r="A594" s="237" t="s">
        <v>537</v>
      </c>
      <c r="B594" s="238" t="s">
        <v>1911</v>
      </c>
      <c r="C594" s="238" t="s">
        <v>1939</v>
      </c>
      <c r="D594" s="238" t="s">
        <v>1913</v>
      </c>
      <c r="E594" s="239" t="s">
        <v>751</v>
      </c>
      <c r="F594" s="240">
        <v>6075.8</v>
      </c>
      <c r="G594" s="240"/>
      <c r="H594" s="239" t="s">
        <v>14</v>
      </c>
      <c r="I594" s="241" t="s">
        <v>15</v>
      </c>
      <c r="J594" s="241"/>
      <c r="K594" s="242" t="s">
        <v>8</v>
      </c>
      <c r="L594" s="243">
        <v>5828284.1500000004</v>
      </c>
    </row>
    <row r="595" spans="1:12" ht="61.2" hidden="1" x14ac:dyDescent="0.3">
      <c r="A595" s="237" t="s">
        <v>537</v>
      </c>
      <c r="B595" s="238" t="s">
        <v>1911</v>
      </c>
      <c r="C595" s="238" t="s">
        <v>1940</v>
      </c>
      <c r="D595" s="238" t="s">
        <v>1913</v>
      </c>
      <c r="E595" s="239" t="s">
        <v>751</v>
      </c>
      <c r="F595" s="240">
        <v>4244.2</v>
      </c>
      <c r="G595" s="240"/>
      <c r="H595" s="239" t="s">
        <v>14</v>
      </c>
      <c r="I595" s="241" t="s">
        <v>15</v>
      </c>
      <c r="J595" s="241"/>
      <c r="K595" s="242" t="s">
        <v>8</v>
      </c>
      <c r="L595" s="243">
        <v>5832528.3499999996</v>
      </c>
    </row>
    <row r="596" spans="1:12" ht="61.2" hidden="1" x14ac:dyDescent="0.3">
      <c r="A596" s="237" t="s">
        <v>537</v>
      </c>
      <c r="B596" s="238" t="s">
        <v>1911</v>
      </c>
      <c r="C596" s="238" t="s">
        <v>1941</v>
      </c>
      <c r="D596" s="238" t="s">
        <v>1913</v>
      </c>
      <c r="E596" s="239" t="s">
        <v>751</v>
      </c>
      <c r="F596" s="240">
        <v>3518</v>
      </c>
      <c r="G596" s="240"/>
      <c r="H596" s="239" t="s">
        <v>14</v>
      </c>
      <c r="I596" s="241" t="s">
        <v>15</v>
      </c>
      <c r="J596" s="241"/>
      <c r="K596" s="242" t="s">
        <v>8</v>
      </c>
      <c r="L596" s="243">
        <v>5836046.3499999996</v>
      </c>
    </row>
    <row r="597" spans="1:12" ht="61.2" hidden="1" x14ac:dyDescent="0.3">
      <c r="A597" s="237" t="s">
        <v>537</v>
      </c>
      <c r="B597" s="238" t="s">
        <v>1911</v>
      </c>
      <c r="C597" s="238" t="s">
        <v>1942</v>
      </c>
      <c r="D597" s="238" t="s">
        <v>1913</v>
      </c>
      <c r="E597" s="239" t="s">
        <v>751</v>
      </c>
      <c r="F597" s="244">
        <v>896.5</v>
      </c>
      <c r="G597" s="244"/>
      <c r="H597" s="239" t="s">
        <v>14</v>
      </c>
      <c r="I597" s="241" t="s">
        <v>15</v>
      </c>
      <c r="J597" s="241"/>
      <c r="K597" s="242" t="s">
        <v>8</v>
      </c>
      <c r="L597" s="243">
        <v>5836942.8499999996</v>
      </c>
    </row>
    <row r="598" spans="1:12" ht="61.2" hidden="1" x14ac:dyDescent="0.3">
      <c r="A598" s="237" t="s">
        <v>537</v>
      </c>
      <c r="B598" s="238" t="s">
        <v>1911</v>
      </c>
      <c r="C598" s="238" t="s">
        <v>1943</v>
      </c>
      <c r="D598" s="238" t="s">
        <v>1913</v>
      </c>
      <c r="E598" s="239" t="s">
        <v>751</v>
      </c>
      <c r="F598" s="240">
        <v>12593.7</v>
      </c>
      <c r="G598" s="240"/>
      <c r="H598" s="239" t="s">
        <v>14</v>
      </c>
      <c r="I598" s="241" t="s">
        <v>15</v>
      </c>
      <c r="J598" s="241"/>
      <c r="K598" s="242" t="s">
        <v>8</v>
      </c>
      <c r="L598" s="243">
        <v>5849536.5499999998</v>
      </c>
    </row>
    <row r="599" spans="1:12" ht="61.2" hidden="1" x14ac:dyDescent="0.3">
      <c r="A599" s="237" t="s">
        <v>537</v>
      </c>
      <c r="B599" s="238" t="s">
        <v>1911</v>
      </c>
      <c r="C599" s="238" t="s">
        <v>1944</v>
      </c>
      <c r="D599" s="238" t="s">
        <v>1913</v>
      </c>
      <c r="E599" s="239" t="s">
        <v>751</v>
      </c>
      <c r="F599" s="240">
        <v>1620.3</v>
      </c>
      <c r="G599" s="240"/>
      <c r="H599" s="239" t="s">
        <v>14</v>
      </c>
      <c r="I599" s="241" t="s">
        <v>15</v>
      </c>
      <c r="J599" s="241"/>
      <c r="K599" s="242" t="s">
        <v>8</v>
      </c>
      <c r="L599" s="243">
        <v>5851156.8499999996</v>
      </c>
    </row>
    <row r="600" spans="1:12" ht="61.2" hidden="1" x14ac:dyDescent="0.3">
      <c r="A600" s="237" t="s">
        <v>537</v>
      </c>
      <c r="B600" s="238" t="s">
        <v>1911</v>
      </c>
      <c r="C600" s="238" t="s">
        <v>1945</v>
      </c>
      <c r="D600" s="238" t="s">
        <v>1913</v>
      </c>
      <c r="E600" s="239" t="s">
        <v>751</v>
      </c>
      <c r="F600" s="240">
        <v>35081</v>
      </c>
      <c r="G600" s="240"/>
      <c r="H600" s="239" t="s">
        <v>14</v>
      </c>
      <c r="I600" s="241" t="s">
        <v>15</v>
      </c>
      <c r="J600" s="241"/>
      <c r="K600" s="242" t="s">
        <v>8</v>
      </c>
      <c r="L600" s="243">
        <v>5886237.8499999996</v>
      </c>
    </row>
    <row r="601" spans="1:12" ht="61.2" hidden="1" x14ac:dyDescent="0.3">
      <c r="A601" s="237" t="s">
        <v>537</v>
      </c>
      <c r="B601" s="238" t="s">
        <v>1911</v>
      </c>
      <c r="C601" s="238" t="s">
        <v>1945</v>
      </c>
      <c r="D601" s="238" t="s">
        <v>1913</v>
      </c>
      <c r="E601" s="239" t="s">
        <v>751</v>
      </c>
      <c r="F601" s="240">
        <v>3338.5</v>
      </c>
      <c r="G601" s="240"/>
      <c r="H601" s="239" t="s">
        <v>14</v>
      </c>
      <c r="I601" s="241" t="s">
        <v>15</v>
      </c>
      <c r="J601" s="241"/>
      <c r="K601" s="242" t="s">
        <v>8</v>
      </c>
      <c r="L601" s="243">
        <v>5889576.3499999996</v>
      </c>
    </row>
    <row r="602" spans="1:12" ht="61.2" hidden="1" x14ac:dyDescent="0.3">
      <c r="A602" s="237" t="s">
        <v>537</v>
      </c>
      <c r="B602" s="238" t="s">
        <v>1911</v>
      </c>
      <c r="C602" s="238" t="s">
        <v>1946</v>
      </c>
      <c r="D602" s="238" t="s">
        <v>1913</v>
      </c>
      <c r="E602" s="239" t="s">
        <v>751</v>
      </c>
      <c r="F602" s="240">
        <v>1571.7</v>
      </c>
      <c r="G602" s="240"/>
      <c r="H602" s="239" t="s">
        <v>14</v>
      </c>
      <c r="I602" s="241" t="s">
        <v>15</v>
      </c>
      <c r="J602" s="241"/>
      <c r="K602" s="242" t="s">
        <v>8</v>
      </c>
      <c r="L602" s="243">
        <v>5891148.0499999998</v>
      </c>
    </row>
    <row r="603" spans="1:12" ht="61.2" hidden="1" x14ac:dyDescent="0.3">
      <c r="A603" s="237" t="s">
        <v>537</v>
      </c>
      <c r="B603" s="238" t="s">
        <v>1911</v>
      </c>
      <c r="C603" s="238" t="s">
        <v>1947</v>
      </c>
      <c r="D603" s="238" t="s">
        <v>1913</v>
      </c>
      <c r="E603" s="239" t="s">
        <v>751</v>
      </c>
      <c r="F603" s="240">
        <v>61439.4</v>
      </c>
      <c r="G603" s="240"/>
      <c r="H603" s="239" t="s">
        <v>14</v>
      </c>
      <c r="I603" s="241" t="s">
        <v>15</v>
      </c>
      <c r="J603" s="241"/>
      <c r="K603" s="242" t="s">
        <v>8</v>
      </c>
      <c r="L603" s="243">
        <v>5952587.4500000002</v>
      </c>
    </row>
    <row r="604" spans="1:12" ht="61.2" hidden="1" x14ac:dyDescent="0.3">
      <c r="A604" s="237" t="s">
        <v>537</v>
      </c>
      <c r="B604" s="238" t="s">
        <v>1911</v>
      </c>
      <c r="C604" s="238" t="s">
        <v>1947</v>
      </c>
      <c r="D604" s="238" t="s">
        <v>1913</v>
      </c>
      <c r="E604" s="239" t="s">
        <v>751</v>
      </c>
      <c r="F604" s="240">
        <v>3243.7</v>
      </c>
      <c r="G604" s="240"/>
      <c r="H604" s="239" t="s">
        <v>14</v>
      </c>
      <c r="I604" s="241" t="s">
        <v>15</v>
      </c>
      <c r="J604" s="241"/>
      <c r="K604" s="242" t="s">
        <v>8</v>
      </c>
      <c r="L604" s="243">
        <v>5955831.1500000004</v>
      </c>
    </row>
    <row r="605" spans="1:12" ht="61.2" hidden="1" x14ac:dyDescent="0.3">
      <c r="A605" s="237" t="s">
        <v>537</v>
      </c>
      <c r="B605" s="238" t="s">
        <v>1911</v>
      </c>
      <c r="C605" s="238" t="s">
        <v>1946</v>
      </c>
      <c r="D605" s="238" t="s">
        <v>1913</v>
      </c>
      <c r="E605" s="239" t="s">
        <v>751</v>
      </c>
      <c r="F605" s="240">
        <v>1684.3</v>
      </c>
      <c r="G605" s="240"/>
      <c r="H605" s="239" t="s">
        <v>14</v>
      </c>
      <c r="I605" s="241" t="s">
        <v>15</v>
      </c>
      <c r="J605" s="241"/>
      <c r="K605" s="242" t="s">
        <v>8</v>
      </c>
      <c r="L605" s="243">
        <v>5957515.4500000002</v>
      </c>
    </row>
    <row r="606" spans="1:12" ht="61.2" hidden="1" x14ac:dyDescent="0.3">
      <c r="A606" s="237" t="s">
        <v>537</v>
      </c>
      <c r="B606" s="238" t="s">
        <v>1911</v>
      </c>
      <c r="C606" s="238" t="s">
        <v>1946</v>
      </c>
      <c r="D606" s="238" t="s">
        <v>1913</v>
      </c>
      <c r="E606" s="239" t="s">
        <v>751</v>
      </c>
      <c r="F606" s="240">
        <v>1526.3</v>
      </c>
      <c r="G606" s="240"/>
      <c r="H606" s="239" t="s">
        <v>14</v>
      </c>
      <c r="I606" s="241" t="s">
        <v>15</v>
      </c>
      <c r="J606" s="241"/>
      <c r="K606" s="242" t="s">
        <v>8</v>
      </c>
      <c r="L606" s="243">
        <v>5959041.75</v>
      </c>
    </row>
    <row r="607" spans="1:12" ht="61.2" hidden="1" x14ac:dyDescent="0.3">
      <c r="A607" s="237" t="s">
        <v>537</v>
      </c>
      <c r="B607" s="238" t="s">
        <v>1911</v>
      </c>
      <c r="C607" s="238" t="s">
        <v>1948</v>
      </c>
      <c r="D607" s="238" t="s">
        <v>1913</v>
      </c>
      <c r="E607" s="239" t="s">
        <v>751</v>
      </c>
      <c r="F607" s="240">
        <v>43139.199999999997</v>
      </c>
      <c r="G607" s="240"/>
      <c r="H607" s="239" t="s">
        <v>14</v>
      </c>
      <c r="I607" s="241" t="s">
        <v>15</v>
      </c>
      <c r="J607" s="241"/>
      <c r="K607" s="242" t="s">
        <v>8</v>
      </c>
      <c r="L607" s="243">
        <v>6002180.9500000002</v>
      </c>
    </row>
    <row r="608" spans="1:12" ht="61.2" hidden="1" x14ac:dyDescent="0.3">
      <c r="A608" s="237" t="s">
        <v>537</v>
      </c>
      <c r="B608" s="238" t="s">
        <v>1911</v>
      </c>
      <c r="C608" s="238" t="s">
        <v>1948</v>
      </c>
      <c r="D608" s="238" t="s">
        <v>1913</v>
      </c>
      <c r="E608" s="239" t="s">
        <v>751</v>
      </c>
      <c r="F608" s="240">
        <v>3148.9</v>
      </c>
      <c r="G608" s="240"/>
      <c r="H608" s="239" t="s">
        <v>14</v>
      </c>
      <c r="I608" s="241" t="s">
        <v>15</v>
      </c>
      <c r="J608" s="241"/>
      <c r="K608" s="242" t="s">
        <v>8</v>
      </c>
      <c r="L608" s="243">
        <v>6005329.8499999996</v>
      </c>
    </row>
    <row r="609" spans="1:12" ht="61.2" hidden="1" x14ac:dyDescent="0.3">
      <c r="A609" s="237" t="s">
        <v>537</v>
      </c>
      <c r="B609" s="238" t="s">
        <v>1911</v>
      </c>
      <c r="C609" s="238" t="s">
        <v>1949</v>
      </c>
      <c r="D609" s="238" t="s">
        <v>1913</v>
      </c>
      <c r="E609" s="239" t="s">
        <v>751</v>
      </c>
      <c r="F609" s="240">
        <v>4504</v>
      </c>
      <c r="G609" s="240"/>
      <c r="H609" s="239" t="s">
        <v>14</v>
      </c>
      <c r="I609" s="241" t="s">
        <v>15</v>
      </c>
      <c r="J609" s="241"/>
      <c r="K609" s="242" t="s">
        <v>8</v>
      </c>
      <c r="L609" s="243">
        <v>6009833.8499999996</v>
      </c>
    </row>
    <row r="610" spans="1:12" ht="61.2" hidden="1" x14ac:dyDescent="0.3">
      <c r="A610" s="237" t="s">
        <v>537</v>
      </c>
      <c r="B610" s="238" t="s">
        <v>1911</v>
      </c>
      <c r="C610" s="238" t="s">
        <v>1950</v>
      </c>
      <c r="D610" s="238" t="s">
        <v>1913</v>
      </c>
      <c r="E610" s="239" t="s">
        <v>751</v>
      </c>
      <c r="F610" s="240">
        <v>12515.2</v>
      </c>
      <c r="G610" s="240"/>
      <c r="H610" s="239" t="s">
        <v>14</v>
      </c>
      <c r="I610" s="241" t="s">
        <v>15</v>
      </c>
      <c r="J610" s="241"/>
      <c r="K610" s="242" t="s">
        <v>8</v>
      </c>
      <c r="L610" s="243">
        <v>6022349.0499999998</v>
      </c>
    </row>
    <row r="611" spans="1:12" ht="61.2" hidden="1" x14ac:dyDescent="0.3">
      <c r="A611" s="237" t="s">
        <v>537</v>
      </c>
      <c r="B611" s="238" t="s">
        <v>1911</v>
      </c>
      <c r="C611" s="238" t="s">
        <v>1950</v>
      </c>
      <c r="D611" s="238" t="s">
        <v>1913</v>
      </c>
      <c r="E611" s="239" t="s">
        <v>751</v>
      </c>
      <c r="F611" s="240">
        <v>3071.8</v>
      </c>
      <c r="G611" s="240"/>
      <c r="H611" s="239" t="s">
        <v>14</v>
      </c>
      <c r="I611" s="241" t="s">
        <v>15</v>
      </c>
      <c r="J611" s="241"/>
      <c r="K611" s="242" t="s">
        <v>8</v>
      </c>
      <c r="L611" s="243">
        <v>6025420.8499999996</v>
      </c>
    </row>
    <row r="612" spans="1:12" ht="61.2" hidden="1" x14ac:dyDescent="0.3">
      <c r="A612" s="237" t="s">
        <v>537</v>
      </c>
      <c r="B612" s="238" t="s">
        <v>1911</v>
      </c>
      <c r="C612" s="238" t="s">
        <v>1949</v>
      </c>
      <c r="D612" s="238" t="s">
        <v>1913</v>
      </c>
      <c r="E612" s="239" t="s">
        <v>751</v>
      </c>
      <c r="F612" s="240">
        <v>4585.7</v>
      </c>
      <c r="G612" s="240"/>
      <c r="H612" s="239" t="s">
        <v>14</v>
      </c>
      <c r="I612" s="241" t="s">
        <v>15</v>
      </c>
      <c r="J612" s="241"/>
      <c r="K612" s="242" t="s">
        <v>8</v>
      </c>
      <c r="L612" s="243">
        <v>6030006.5499999998</v>
      </c>
    </row>
    <row r="613" spans="1:12" ht="61.2" hidden="1" x14ac:dyDescent="0.3">
      <c r="A613" s="237" t="s">
        <v>537</v>
      </c>
      <c r="B613" s="238" t="s">
        <v>1911</v>
      </c>
      <c r="C613" s="238" t="s">
        <v>1951</v>
      </c>
      <c r="D613" s="238" t="s">
        <v>1913</v>
      </c>
      <c r="E613" s="239" t="s">
        <v>751</v>
      </c>
      <c r="F613" s="240">
        <v>6257.6</v>
      </c>
      <c r="G613" s="240"/>
      <c r="H613" s="239" t="s">
        <v>14</v>
      </c>
      <c r="I613" s="241" t="s">
        <v>15</v>
      </c>
      <c r="J613" s="241"/>
      <c r="K613" s="242" t="s">
        <v>8</v>
      </c>
      <c r="L613" s="243">
        <v>6036264.1500000004</v>
      </c>
    </row>
    <row r="614" spans="1:12" ht="61.2" hidden="1" x14ac:dyDescent="0.3">
      <c r="A614" s="237" t="s">
        <v>537</v>
      </c>
      <c r="B614" s="238" t="s">
        <v>1911</v>
      </c>
      <c r="C614" s="238" t="s">
        <v>1952</v>
      </c>
      <c r="D614" s="238" t="s">
        <v>1913</v>
      </c>
      <c r="E614" s="239" t="s">
        <v>751</v>
      </c>
      <c r="F614" s="240">
        <v>3172.8</v>
      </c>
      <c r="G614" s="240"/>
      <c r="H614" s="239" t="s">
        <v>14</v>
      </c>
      <c r="I614" s="241" t="s">
        <v>15</v>
      </c>
      <c r="J614" s="241"/>
      <c r="K614" s="242" t="s">
        <v>8</v>
      </c>
      <c r="L614" s="243">
        <v>6039436.9500000002</v>
      </c>
    </row>
    <row r="615" spans="1:12" ht="61.2" hidden="1" x14ac:dyDescent="0.3">
      <c r="A615" s="237" t="s">
        <v>537</v>
      </c>
      <c r="B615" s="238" t="s">
        <v>1911</v>
      </c>
      <c r="C615" s="238" t="s">
        <v>1953</v>
      </c>
      <c r="D615" s="238" t="s">
        <v>1913</v>
      </c>
      <c r="E615" s="239" t="s">
        <v>751</v>
      </c>
      <c r="F615" s="240">
        <v>4250.3999999999996</v>
      </c>
      <c r="G615" s="240"/>
      <c r="H615" s="239" t="s">
        <v>14</v>
      </c>
      <c r="I615" s="241" t="s">
        <v>15</v>
      </c>
      <c r="J615" s="241"/>
      <c r="K615" s="242" t="s">
        <v>8</v>
      </c>
      <c r="L615" s="243">
        <v>6043687.3499999996</v>
      </c>
    </row>
    <row r="616" spans="1:12" ht="61.2" hidden="1" x14ac:dyDescent="0.3">
      <c r="A616" s="237" t="s">
        <v>537</v>
      </c>
      <c r="B616" s="238" t="s">
        <v>1911</v>
      </c>
      <c r="C616" s="238" t="s">
        <v>1954</v>
      </c>
      <c r="D616" s="238" t="s">
        <v>1913</v>
      </c>
      <c r="E616" s="239" t="s">
        <v>751</v>
      </c>
      <c r="F616" s="240">
        <v>4248.1000000000004</v>
      </c>
      <c r="G616" s="240"/>
      <c r="H616" s="239" t="s">
        <v>14</v>
      </c>
      <c r="I616" s="241" t="s">
        <v>15</v>
      </c>
      <c r="J616" s="241"/>
      <c r="K616" s="242" t="s">
        <v>8</v>
      </c>
      <c r="L616" s="243">
        <v>6047935.4500000002</v>
      </c>
    </row>
    <row r="617" spans="1:12" ht="61.2" hidden="1" x14ac:dyDescent="0.3">
      <c r="A617" s="237" t="s">
        <v>537</v>
      </c>
      <c r="B617" s="238" t="s">
        <v>1911</v>
      </c>
      <c r="C617" s="238" t="s">
        <v>1955</v>
      </c>
      <c r="D617" s="238" t="s">
        <v>1913</v>
      </c>
      <c r="E617" s="239" t="s">
        <v>751</v>
      </c>
      <c r="F617" s="240">
        <v>4831.6000000000004</v>
      </c>
      <c r="G617" s="240"/>
      <c r="H617" s="239" t="s">
        <v>14</v>
      </c>
      <c r="I617" s="241" t="s">
        <v>15</v>
      </c>
      <c r="J617" s="241"/>
      <c r="K617" s="242" t="s">
        <v>8</v>
      </c>
      <c r="L617" s="243">
        <v>6052767.0499999998</v>
      </c>
    </row>
    <row r="618" spans="1:12" ht="61.2" hidden="1" x14ac:dyDescent="0.3">
      <c r="A618" s="237" t="s">
        <v>537</v>
      </c>
      <c r="B618" s="238" t="s">
        <v>1911</v>
      </c>
      <c r="C618" s="238" t="s">
        <v>1956</v>
      </c>
      <c r="D618" s="238" t="s">
        <v>1913</v>
      </c>
      <c r="E618" s="239" t="s">
        <v>751</v>
      </c>
      <c r="F618" s="240">
        <v>25883.9</v>
      </c>
      <c r="G618" s="240"/>
      <c r="H618" s="239" t="s">
        <v>14</v>
      </c>
      <c r="I618" s="241" t="s">
        <v>15</v>
      </c>
      <c r="J618" s="241"/>
      <c r="K618" s="242" t="s">
        <v>8</v>
      </c>
      <c r="L618" s="243">
        <v>6078650.9500000002</v>
      </c>
    </row>
    <row r="619" spans="1:12" ht="61.2" hidden="1" x14ac:dyDescent="0.3">
      <c r="A619" s="237" t="s">
        <v>537</v>
      </c>
      <c r="B619" s="238" t="s">
        <v>1911</v>
      </c>
      <c r="C619" s="238" t="s">
        <v>1957</v>
      </c>
      <c r="D619" s="238" t="s">
        <v>1913</v>
      </c>
      <c r="E619" s="239" t="s">
        <v>751</v>
      </c>
      <c r="F619" s="240">
        <v>3614.4</v>
      </c>
      <c r="G619" s="240"/>
      <c r="H619" s="239" t="s">
        <v>14</v>
      </c>
      <c r="I619" s="241" t="s">
        <v>15</v>
      </c>
      <c r="J619" s="241"/>
      <c r="K619" s="242" t="s">
        <v>8</v>
      </c>
      <c r="L619" s="243">
        <v>6082265.3499999996</v>
      </c>
    </row>
    <row r="620" spans="1:12" ht="61.2" hidden="1" x14ac:dyDescent="0.3">
      <c r="A620" s="237" t="s">
        <v>537</v>
      </c>
      <c r="B620" s="238" t="s">
        <v>1911</v>
      </c>
      <c r="C620" s="238" t="s">
        <v>1958</v>
      </c>
      <c r="D620" s="238" t="s">
        <v>1913</v>
      </c>
      <c r="E620" s="239" t="s">
        <v>751</v>
      </c>
      <c r="F620" s="240">
        <v>2810.5</v>
      </c>
      <c r="G620" s="240"/>
      <c r="H620" s="239" t="s">
        <v>14</v>
      </c>
      <c r="I620" s="241" t="s">
        <v>15</v>
      </c>
      <c r="J620" s="241"/>
      <c r="K620" s="242" t="s">
        <v>8</v>
      </c>
      <c r="L620" s="243">
        <v>6085075.8499999996</v>
      </c>
    </row>
    <row r="621" spans="1:12" ht="61.2" hidden="1" x14ac:dyDescent="0.3">
      <c r="A621" s="237" t="s">
        <v>537</v>
      </c>
      <c r="B621" s="238" t="s">
        <v>1911</v>
      </c>
      <c r="C621" s="238" t="s">
        <v>1959</v>
      </c>
      <c r="D621" s="238" t="s">
        <v>1913</v>
      </c>
      <c r="E621" s="239" t="s">
        <v>751</v>
      </c>
      <c r="F621" s="240">
        <v>2656.3</v>
      </c>
      <c r="G621" s="240"/>
      <c r="H621" s="239" t="s">
        <v>14</v>
      </c>
      <c r="I621" s="241" t="s">
        <v>15</v>
      </c>
      <c r="J621" s="241"/>
      <c r="K621" s="242" t="s">
        <v>8</v>
      </c>
      <c r="L621" s="243">
        <v>6087732.1500000004</v>
      </c>
    </row>
    <row r="622" spans="1:12" ht="61.2" hidden="1" x14ac:dyDescent="0.3">
      <c r="A622" s="237" t="s">
        <v>537</v>
      </c>
      <c r="B622" s="238" t="s">
        <v>1911</v>
      </c>
      <c r="C622" s="238" t="s">
        <v>1960</v>
      </c>
      <c r="D622" s="238" t="s">
        <v>1913</v>
      </c>
      <c r="E622" s="239" t="s">
        <v>751</v>
      </c>
      <c r="F622" s="240">
        <v>3199</v>
      </c>
      <c r="G622" s="240"/>
      <c r="H622" s="239" t="s">
        <v>14</v>
      </c>
      <c r="I622" s="241" t="s">
        <v>15</v>
      </c>
      <c r="J622" s="241"/>
      <c r="K622" s="242" t="s">
        <v>8</v>
      </c>
      <c r="L622" s="243">
        <v>6090931.1500000004</v>
      </c>
    </row>
    <row r="623" spans="1:12" ht="61.2" hidden="1" x14ac:dyDescent="0.3">
      <c r="A623" s="237" t="s">
        <v>537</v>
      </c>
      <c r="B623" s="238" t="s">
        <v>1911</v>
      </c>
      <c r="C623" s="238" t="s">
        <v>1961</v>
      </c>
      <c r="D623" s="238" t="s">
        <v>1913</v>
      </c>
      <c r="E623" s="239" t="s">
        <v>751</v>
      </c>
      <c r="F623" s="240">
        <v>2590.8000000000002</v>
      </c>
      <c r="G623" s="240"/>
      <c r="H623" s="239" t="s">
        <v>14</v>
      </c>
      <c r="I623" s="241" t="s">
        <v>15</v>
      </c>
      <c r="J623" s="241"/>
      <c r="K623" s="242" t="s">
        <v>8</v>
      </c>
      <c r="L623" s="243">
        <v>6093521.9500000002</v>
      </c>
    </row>
    <row r="624" spans="1:12" ht="61.2" hidden="1" x14ac:dyDescent="0.3">
      <c r="A624" s="237" t="s">
        <v>537</v>
      </c>
      <c r="B624" s="238" t="s">
        <v>1911</v>
      </c>
      <c r="C624" s="238" t="s">
        <v>1962</v>
      </c>
      <c r="D624" s="238" t="s">
        <v>1913</v>
      </c>
      <c r="E624" s="239" t="s">
        <v>751</v>
      </c>
      <c r="F624" s="240">
        <v>3149.6</v>
      </c>
      <c r="G624" s="240"/>
      <c r="H624" s="239" t="s">
        <v>14</v>
      </c>
      <c r="I624" s="241" t="s">
        <v>15</v>
      </c>
      <c r="J624" s="241"/>
      <c r="K624" s="242" t="s">
        <v>8</v>
      </c>
      <c r="L624" s="243">
        <v>6096671.5499999998</v>
      </c>
    </row>
    <row r="625" spans="1:12" ht="61.2" hidden="1" x14ac:dyDescent="0.3">
      <c r="A625" s="237" t="s">
        <v>537</v>
      </c>
      <c r="B625" s="238" t="s">
        <v>1911</v>
      </c>
      <c r="C625" s="238" t="s">
        <v>1963</v>
      </c>
      <c r="D625" s="238" t="s">
        <v>1913</v>
      </c>
      <c r="E625" s="239" t="s">
        <v>751</v>
      </c>
      <c r="F625" s="240">
        <v>10119.6</v>
      </c>
      <c r="G625" s="240"/>
      <c r="H625" s="239" t="s">
        <v>14</v>
      </c>
      <c r="I625" s="241" t="s">
        <v>15</v>
      </c>
      <c r="J625" s="241"/>
      <c r="K625" s="242" t="s">
        <v>8</v>
      </c>
      <c r="L625" s="243">
        <v>6106791.1500000004</v>
      </c>
    </row>
    <row r="626" spans="1:12" ht="61.2" hidden="1" x14ac:dyDescent="0.3">
      <c r="A626" s="237" t="s">
        <v>537</v>
      </c>
      <c r="B626" s="238" t="s">
        <v>1911</v>
      </c>
      <c r="C626" s="238" t="s">
        <v>1964</v>
      </c>
      <c r="D626" s="238" t="s">
        <v>1913</v>
      </c>
      <c r="E626" s="239" t="s">
        <v>751</v>
      </c>
      <c r="F626" s="240">
        <v>34992.9</v>
      </c>
      <c r="G626" s="240"/>
      <c r="H626" s="239" t="s">
        <v>14</v>
      </c>
      <c r="I626" s="241" t="s">
        <v>15</v>
      </c>
      <c r="J626" s="241"/>
      <c r="K626" s="242" t="s">
        <v>8</v>
      </c>
      <c r="L626" s="243">
        <v>6141784.0499999998</v>
      </c>
    </row>
    <row r="627" spans="1:12" ht="61.2" hidden="1" x14ac:dyDescent="0.3">
      <c r="A627" s="237" t="s">
        <v>537</v>
      </c>
      <c r="B627" s="238" t="s">
        <v>1911</v>
      </c>
      <c r="C627" s="238" t="s">
        <v>1965</v>
      </c>
      <c r="D627" s="238" t="s">
        <v>1913</v>
      </c>
      <c r="E627" s="239" t="s">
        <v>751</v>
      </c>
      <c r="F627" s="240">
        <v>5398.9</v>
      </c>
      <c r="G627" s="240"/>
      <c r="H627" s="239" t="s">
        <v>14</v>
      </c>
      <c r="I627" s="241" t="s">
        <v>15</v>
      </c>
      <c r="J627" s="241"/>
      <c r="K627" s="242" t="s">
        <v>8</v>
      </c>
      <c r="L627" s="243">
        <v>6147182.9500000002</v>
      </c>
    </row>
    <row r="628" spans="1:12" ht="61.2" hidden="1" x14ac:dyDescent="0.3">
      <c r="A628" s="237" t="s">
        <v>537</v>
      </c>
      <c r="B628" s="238" t="s">
        <v>1911</v>
      </c>
      <c r="C628" s="238" t="s">
        <v>1966</v>
      </c>
      <c r="D628" s="238" t="s">
        <v>1913</v>
      </c>
      <c r="E628" s="239" t="s">
        <v>751</v>
      </c>
      <c r="F628" s="240">
        <v>29871.1</v>
      </c>
      <c r="G628" s="240"/>
      <c r="H628" s="239" t="s">
        <v>14</v>
      </c>
      <c r="I628" s="241" t="s">
        <v>15</v>
      </c>
      <c r="J628" s="241"/>
      <c r="K628" s="242" t="s">
        <v>8</v>
      </c>
      <c r="L628" s="243">
        <v>6177054.0499999998</v>
      </c>
    </row>
    <row r="629" spans="1:12" ht="61.2" hidden="1" x14ac:dyDescent="0.3">
      <c r="A629" s="237" t="s">
        <v>537</v>
      </c>
      <c r="B629" s="238" t="s">
        <v>1911</v>
      </c>
      <c r="C629" s="238" t="s">
        <v>1967</v>
      </c>
      <c r="D629" s="238" t="s">
        <v>1913</v>
      </c>
      <c r="E629" s="239" t="s">
        <v>751</v>
      </c>
      <c r="F629" s="240">
        <v>13944.3</v>
      </c>
      <c r="G629" s="240"/>
      <c r="H629" s="239" t="s">
        <v>14</v>
      </c>
      <c r="I629" s="241" t="s">
        <v>15</v>
      </c>
      <c r="J629" s="241"/>
      <c r="K629" s="242" t="s">
        <v>8</v>
      </c>
      <c r="L629" s="243">
        <v>6190998.3499999996</v>
      </c>
    </row>
    <row r="630" spans="1:12" ht="61.2" hidden="1" x14ac:dyDescent="0.3">
      <c r="A630" s="237" t="s">
        <v>537</v>
      </c>
      <c r="B630" s="238" t="s">
        <v>1911</v>
      </c>
      <c r="C630" s="238" t="s">
        <v>1968</v>
      </c>
      <c r="D630" s="238" t="s">
        <v>1913</v>
      </c>
      <c r="E630" s="239" t="s">
        <v>751</v>
      </c>
      <c r="F630" s="240">
        <v>2640.1</v>
      </c>
      <c r="G630" s="240"/>
      <c r="H630" s="239" t="s">
        <v>14</v>
      </c>
      <c r="I630" s="241" t="s">
        <v>15</v>
      </c>
      <c r="J630" s="241"/>
      <c r="K630" s="242" t="s">
        <v>8</v>
      </c>
      <c r="L630" s="243">
        <v>6193638.4500000002</v>
      </c>
    </row>
    <row r="631" spans="1:12" ht="61.2" hidden="1" x14ac:dyDescent="0.3">
      <c r="A631" s="237" t="s">
        <v>537</v>
      </c>
      <c r="B631" s="238" t="s">
        <v>1911</v>
      </c>
      <c r="C631" s="238" t="s">
        <v>1969</v>
      </c>
      <c r="D631" s="238" t="s">
        <v>1913</v>
      </c>
      <c r="E631" s="239" t="s">
        <v>751</v>
      </c>
      <c r="F631" s="240">
        <v>2539.1</v>
      </c>
      <c r="G631" s="240"/>
      <c r="H631" s="239" t="s">
        <v>14</v>
      </c>
      <c r="I631" s="241" t="s">
        <v>15</v>
      </c>
      <c r="J631" s="241"/>
      <c r="K631" s="242" t="s">
        <v>8</v>
      </c>
      <c r="L631" s="243">
        <v>6196177.5499999998</v>
      </c>
    </row>
    <row r="632" spans="1:12" ht="61.2" hidden="1" x14ac:dyDescent="0.3">
      <c r="A632" s="237" t="s">
        <v>537</v>
      </c>
      <c r="B632" s="238" t="s">
        <v>1911</v>
      </c>
      <c r="C632" s="238" t="s">
        <v>1970</v>
      </c>
      <c r="D632" s="238" t="s">
        <v>1913</v>
      </c>
      <c r="E632" s="239" t="s">
        <v>751</v>
      </c>
      <c r="F632" s="240">
        <v>2620.1</v>
      </c>
      <c r="G632" s="240"/>
      <c r="H632" s="239" t="s">
        <v>14</v>
      </c>
      <c r="I632" s="241" t="s">
        <v>15</v>
      </c>
      <c r="J632" s="241"/>
      <c r="K632" s="242" t="s">
        <v>8</v>
      </c>
      <c r="L632" s="243">
        <v>6198797.6500000004</v>
      </c>
    </row>
    <row r="633" spans="1:12" ht="61.2" hidden="1" x14ac:dyDescent="0.3">
      <c r="A633" s="237" t="s">
        <v>537</v>
      </c>
      <c r="B633" s="238" t="s">
        <v>1911</v>
      </c>
      <c r="C633" s="238" t="s">
        <v>1971</v>
      </c>
      <c r="D633" s="238" t="s">
        <v>1913</v>
      </c>
      <c r="E633" s="239" t="s">
        <v>751</v>
      </c>
      <c r="F633" s="240">
        <v>1729.8</v>
      </c>
      <c r="G633" s="240"/>
      <c r="H633" s="239" t="s">
        <v>14</v>
      </c>
      <c r="I633" s="241" t="s">
        <v>15</v>
      </c>
      <c r="J633" s="241"/>
      <c r="K633" s="242" t="s">
        <v>8</v>
      </c>
      <c r="L633" s="243">
        <v>6200527.4500000002</v>
      </c>
    </row>
    <row r="634" spans="1:12" ht="61.2" hidden="1" x14ac:dyDescent="0.3">
      <c r="A634" s="237" t="s">
        <v>537</v>
      </c>
      <c r="B634" s="238" t="s">
        <v>1911</v>
      </c>
      <c r="C634" s="238" t="s">
        <v>1948</v>
      </c>
      <c r="D634" s="238" t="s">
        <v>1913</v>
      </c>
      <c r="E634" s="239" t="s">
        <v>751</v>
      </c>
      <c r="F634" s="240">
        <v>3192.8</v>
      </c>
      <c r="G634" s="240"/>
      <c r="H634" s="239" t="s">
        <v>14</v>
      </c>
      <c r="I634" s="241" t="s">
        <v>15</v>
      </c>
      <c r="J634" s="241"/>
      <c r="K634" s="242" t="s">
        <v>8</v>
      </c>
      <c r="L634" s="243">
        <v>6203720.25</v>
      </c>
    </row>
    <row r="635" spans="1:12" ht="61.2" hidden="1" x14ac:dyDescent="0.3">
      <c r="A635" s="237" t="s">
        <v>537</v>
      </c>
      <c r="B635" s="238" t="s">
        <v>1911</v>
      </c>
      <c r="C635" s="238" t="s">
        <v>1948</v>
      </c>
      <c r="D635" s="238" t="s">
        <v>1913</v>
      </c>
      <c r="E635" s="239" t="s">
        <v>751</v>
      </c>
      <c r="F635" s="240">
        <v>3175.1</v>
      </c>
      <c r="G635" s="240"/>
      <c r="H635" s="239" t="s">
        <v>14</v>
      </c>
      <c r="I635" s="241" t="s">
        <v>15</v>
      </c>
      <c r="J635" s="241"/>
      <c r="K635" s="242" t="s">
        <v>8</v>
      </c>
      <c r="L635" s="243">
        <v>6206895.3499999996</v>
      </c>
    </row>
    <row r="636" spans="1:12" ht="61.2" hidden="1" x14ac:dyDescent="0.3">
      <c r="A636" s="237" t="s">
        <v>537</v>
      </c>
      <c r="B636" s="238" t="s">
        <v>1911</v>
      </c>
      <c r="C636" s="238" t="s">
        <v>1972</v>
      </c>
      <c r="D636" s="238" t="s">
        <v>1913</v>
      </c>
      <c r="E636" s="239" t="s">
        <v>751</v>
      </c>
      <c r="F636" s="240">
        <v>4648.1000000000004</v>
      </c>
      <c r="G636" s="240"/>
      <c r="H636" s="239" t="s">
        <v>14</v>
      </c>
      <c r="I636" s="241" t="s">
        <v>15</v>
      </c>
      <c r="J636" s="241"/>
      <c r="K636" s="242" t="s">
        <v>8</v>
      </c>
      <c r="L636" s="243">
        <v>6211543.4500000002</v>
      </c>
    </row>
    <row r="637" spans="1:12" ht="61.2" hidden="1" x14ac:dyDescent="0.3">
      <c r="A637" s="237" t="s">
        <v>537</v>
      </c>
      <c r="B637" s="238" t="s">
        <v>1911</v>
      </c>
      <c r="C637" s="238" t="s">
        <v>1973</v>
      </c>
      <c r="D637" s="238" t="s">
        <v>1913</v>
      </c>
      <c r="E637" s="239" t="s">
        <v>751</v>
      </c>
      <c r="F637" s="240">
        <v>6417.2</v>
      </c>
      <c r="G637" s="240"/>
      <c r="H637" s="239" t="s">
        <v>14</v>
      </c>
      <c r="I637" s="241" t="s">
        <v>15</v>
      </c>
      <c r="J637" s="241"/>
      <c r="K637" s="242" t="s">
        <v>8</v>
      </c>
      <c r="L637" s="243">
        <v>6217960.6500000004</v>
      </c>
    </row>
    <row r="638" spans="1:12" ht="61.2" hidden="1" x14ac:dyDescent="0.3">
      <c r="A638" s="237" t="s">
        <v>537</v>
      </c>
      <c r="B638" s="238" t="s">
        <v>1911</v>
      </c>
      <c r="C638" s="238" t="s">
        <v>1974</v>
      </c>
      <c r="D638" s="238" t="s">
        <v>1913</v>
      </c>
      <c r="E638" s="239" t="s">
        <v>751</v>
      </c>
      <c r="F638" s="240">
        <v>2696.4</v>
      </c>
      <c r="G638" s="240"/>
      <c r="H638" s="239" t="s">
        <v>14</v>
      </c>
      <c r="I638" s="241" t="s">
        <v>15</v>
      </c>
      <c r="J638" s="241"/>
      <c r="K638" s="242" t="s">
        <v>8</v>
      </c>
      <c r="L638" s="243">
        <v>6220657.0499999998</v>
      </c>
    </row>
    <row r="639" spans="1:12" ht="61.2" hidden="1" x14ac:dyDescent="0.3">
      <c r="A639" s="237" t="s">
        <v>537</v>
      </c>
      <c r="B639" s="238" t="s">
        <v>1911</v>
      </c>
      <c r="C639" s="238" t="s">
        <v>1975</v>
      </c>
      <c r="D639" s="238" t="s">
        <v>1913</v>
      </c>
      <c r="E639" s="239" t="s">
        <v>751</v>
      </c>
      <c r="F639" s="240">
        <v>4066.1</v>
      </c>
      <c r="G639" s="240"/>
      <c r="H639" s="239" t="s">
        <v>14</v>
      </c>
      <c r="I639" s="241" t="s">
        <v>15</v>
      </c>
      <c r="J639" s="241"/>
      <c r="K639" s="242" t="s">
        <v>8</v>
      </c>
      <c r="L639" s="243">
        <v>6224723.1500000004</v>
      </c>
    </row>
    <row r="640" spans="1:12" ht="61.2" hidden="1" x14ac:dyDescent="0.3">
      <c r="A640" s="237" t="s">
        <v>537</v>
      </c>
      <c r="B640" s="238" t="s">
        <v>1911</v>
      </c>
      <c r="C640" s="238" t="s">
        <v>1976</v>
      </c>
      <c r="D640" s="238" t="s">
        <v>1913</v>
      </c>
      <c r="E640" s="239" t="s">
        <v>751</v>
      </c>
      <c r="F640" s="240">
        <v>4046.1</v>
      </c>
      <c r="G640" s="240"/>
      <c r="H640" s="239" t="s">
        <v>14</v>
      </c>
      <c r="I640" s="241" t="s">
        <v>15</v>
      </c>
      <c r="J640" s="241"/>
      <c r="K640" s="242" t="s">
        <v>8</v>
      </c>
      <c r="L640" s="243">
        <v>6228769.25</v>
      </c>
    </row>
    <row r="641" spans="1:12" ht="61.2" hidden="1" x14ac:dyDescent="0.3">
      <c r="A641" s="237" t="s">
        <v>537</v>
      </c>
      <c r="B641" s="238" t="s">
        <v>1911</v>
      </c>
      <c r="C641" s="238" t="s">
        <v>1977</v>
      </c>
      <c r="D641" s="238" t="s">
        <v>1913</v>
      </c>
      <c r="E641" s="239" t="s">
        <v>751</v>
      </c>
      <c r="F641" s="240">
        <v>3398.6</v>
      </c>
      <c r="G641" s="240"/>
      <c r="H641" s="239" t="s">
        <v>14</v>
      </c>
      <c r="I641" s="241" t="s">
        <v>15</v>
      </c>
      <c r="J641" s="241"/>
      <c r="K641" s="242" t="s">
        <v>8</v>
      </c>
      <c r="L641" s="243">
        <v>6232167.8499999996</v>
      </c>
    </row>
    <row r="642" spans="1:12" ht="61.2" hidden="1" x14ac:dyDescent="0.3">
      <c r="A642" s="237" t="s">
        <v>537</v>
      </c>
      <c r="B642" s="238" t="s">
        <v>1911</v>
      </c>
      <c r="C642" s="238" t="s">
        <v>1978</v>
      </c>
      <c r="D642" s="238" t="s">
        <v>1913</v>
      </c>
      <c r="E642" s="239" t="s">
        <v>751</v>
      </c>
      <c r="F642" s="240">
        <v>3472.6</v>
      </c>
      <c r="G642" s="240"/>
      <c r="H642" s="239" t="s">
        <v>14</v>
      </c>
      <c r="I642" s="241" t="s">
        <v>15</v>
      </c>
      <c r="J642" s="241"/>
      <c r="K642" s="242" t="s">
        <v>8</v>
      </c>
      <c r="L642" s="243">
        <v>6235640.4500000002</v>
      </c>
    </row>
    <row r="643" spans="1:12" ht="61.2" hidden="1" x14ac:dyDescent="0.3">
      <c r="A643" s="237" t="s">
        <v>537</v>
      </c>
      <c r="B643" s="238" t="s">
        <v>1911</v>
      </c>
      <c r="C643" s="238" t="s">
        <v>1979</v>
      </c>
      <c r="D643" s="238" t="s">
        <v>1913</v>
      </c>
      <c r="E643" s="239" t="s">
        <v>751</v>
      </c>
      <c r="F643" s="240">
        <v>4181.8</v>
      </c>
      <c r="G643" s="240"/>
      <c r="H643" s="239" t="s">
        <v>14</v>
      </c>
      <c r="I643" s="241" t="s">
        <v>15</v>
      </c>
      <c r="J643" s="241"/>
      <c r="K643" s="242" t="s">
        <v>8</v>
      </c>
      <c r="L643" s="243">
        <v>6239822.25</v>
      </c>
    </row>
    <row r="644" spans="1:12" ht="61.2" hidden="1" x14ac:dyDescent="0.3">
      <c r="A644" s="237" t="s">
        <v>537</v>
      </c>
      <c r="B644" s="238" t="s">
        <v>1911</v>
      </c>
      <c r="C644" s="238" t="s">
        <v>1980</v>
      </c>
      <c r="D644" s="238" t="s">
        <v>1913</v>
      </c>
      <c r="E644" s="239" t="s">
        <v>751</v>
      </c>
      <c r="F644" s="240">
        <v>4080.8</v>
      </c>
      <c r="G644" s="240"/>
      <c r="H644" s="239" t="s">
        <v>14</v>
      </c>
      <c r="I644" s="241" t="s">
        <v>15</v>
      </c>
      <c r="J644" s="241"/>
      <c r="K644" s="242" t="s">
        <v>8</v>
      </c>
      <c r="L644" s="243">
        <v>6243903.0499999998</v>
      </c>
    </row>
    <row r="645" spans="1:12" ht="61.2" hidden="1" x14ac:dyDescent="0.3">
      <c r="A645" s="237" t="s">
        <v>537</v>
      </c>
      <c r="B645" s="238" t="s">
        <v>1911</v>
      </c>
      <c r="C645" s="238" t="s">
        <v>1981</v>
      </c>
      <c r="D645" s="238" t="s">
        <v>1913</v>
      </c>
      <c r="E645" s="239" t="s">
        <v>751</v>
      </c>
      <c r="F645" s="240">
        <v>2694.8</v>
      </c>
      <c r="G645" s="240"/>
      <c r="H645" s="239" t="s">
        <v>14</v>
      </c>
      <c r="I645" s="241" t="s">
        <v>15</v>
      </c>
      <c r="J645" s="241"/>
      <c r="K645" s="242" t="s">
        <v>8</v>
      </c>
      <c r="L645" s="243">
        <v>6246597.8499999996</v>
      </c>
    </row>
    <row r="646" spans="1:12" ht="61.2" hidden="1" x14ac:dyDescent="0.3">
      <c r="A646" s="237" t="s">
        <v>537</v>
      </c>
      <c r="B646" s="238" t="s">
        <v>1911</v>
      </c>
      <c r="C646" s="238" t="s">
        <v>1982</v>
      </c>
      <c r="D646" s="238" t="s">
        <v>1913</v>
      </c>
      <c r="E646" s="239" t="s">
        <v>751</v>
      </c>
      <c r="F646" s="240">
        <v>2664.8</v>
      </c>
      <c r="G646" s="240"/>
      <c r="H646" s="239" t="s">
        <v>14</v>
      </c>
      <c r="I646" s="241" t="s">
        <v>15</v>
      </c>
      <c r="J646" s="241"/>
      <c r="K646" s="242" t="s">
        <v>8</v>
      </c>
      <c r="L646" s="243">
        <v>6249262.6500000004</v>
      </c>
    </row>
    <row r="647" spans="1:12" ht="61.2" hidden="1" x14ac:dyDescent="0.3">
      <c r="A647" s="237" t="s">
        <v>537</v>
      </c>
      <c r="B647" s="238" t="s">
        <v>1911</v>
      </c>
      <c r="C647" s="238" t="s">
        <v>1983</v>
      </c>
      <c r="D647" s="238" t="s">
        <v>1913</v>
      </c>
      <c r="E647" s="239" t="s">
        <v>751</v>
      </c>
      <c r="F647" s="240">
        <v>4125.5</v>
      </c>
      <c r="G647" s="240"/>
      <c r="H647" s="239" t="s">
        <v>14</v>
      </c>
      <c r="I647" s="241" t="s">
        <v>15</v>
      </c>
      <c r="J647" s="241"/>
      <c r="K647" s="242" t="s">
        <v>8</v>
      </c>
      <c r="L647" s="243">
        <v>6253388.1500000004</v>
      </c>
    </row>
    <row r="648" spans="1:12" ht="61.2" hidden="1" x14ac:dyDescent="0.3">
      <c r="A648" s="237" t="s">
        <v>537</v>
      </c>
      <c r="B648" s="238" t="s">
        <v>1911</v>
      </c>
      <c r="C648" s="238" t="s">
        <v>1984</v>
      </c>
      <c r="D648" s="238" t="s">
        <v>1913</v>
      </c>
      <c r="E648" s="239" t="s">
        <v>751</v>
      </c>
      <c r="F648" s="240">
        <v>3955.9</v>
      </c>
      <c r="G648" s="240"/>
      <c r="H648" s="239" t="s">
        <v>14</v>
      </c>
      <c r="I648" s="241" t="s">
        <v>15</v>
      </c>
      <c r="J648" s="241"/>
      <c r="K648" s="242" t="s">
        <v>8</v>
      </c>
      <c r="L648" s="243">
        <v>6257344.0499999998</v>
      </c>
    </row>
    <row r="649" spans="1:12" ht="61.2" hidden="1" x14ac:dyDescent="0.3">
      <c r="A649" s="237" t="s">
        <v>537</v>
      </c>
      <c r="B649" s="238" t="s">
        <v>1911</v>
      </c>
      <c r="C649" s="238" t="s">
        <v>1985</v>
      </c>
      <c r="D649" s="238" t="s">
        <v>1913</v>
      </c>
      <c r="E649" s="239" t="s">
        <v>751</v>
      </c>
      <c r="F649" s="240">
        <v>2362.6</v>
      </c>
      <c r="G649" s="240"/>
      <c r="H649" s="239" t="s">
        <v>14</v>
      </c>
      <c r="I649" s="241" t="s">
        <v>15</v>
      </c>
      <c r="J649" s="241"/>
      <c r="K649" s="242" t="s">
        <v>8</v>
      </c>
      <c r="L649" s="243">
        <v>6259706.6500000004</v>
      </c>
    </row>
    <row r="650" spans="1:12" ht="61.2" hidden="1" x14ac:dyDescent="0.3">
      <c r="A650" s="237" t="s">
        <v>537</v>
      </c>
      <c r="B650" s="238" t="s">
        <v>1911</v>
      </c>
      <c r="C650" s="238" t="s">
        <v>1986</v>
      </c>
      <c r="D650" s="238" t="s">
        <v>1913</v>
      </c>
      <c r="E650" s="239" t="s">
        <v>751</v>
      </c>
      <c r="F650" s="240">
        <v>3325.4</v>
      </c>
      <c r="G650" s="240"/>
      <c r="H650" s="239" t="s">
        <v>14</v>
      </c>
      <c r="I650" s="241" t="s">
        <v>15</v>
      </c>
      <c r="J650" s="241"/>
      <c r="K650" s="242" t="s">
        <v>8</v>
      </c>
      <c r="L650" s="243">
        <v>6263032.0499999998</v>
      </c>
    </row>
    <row r="651" spans="1:12" ht="61.2" hidden="1" x14ac:dyDescent="0.3">
      <c r="A651" s="237" t="s">
        <v>537</v>
      </c>
      <c r="B651" s="238" t="s">
        <v>1911</v>
      </c>
      <c r="C651" s="238" t="s">
        <v>1987</v>
      </c>
      <c r="D651" s="238" t="s">
        <v>1913</v>
      </c>
      <c r="E651" s="239" t="s">
        <v>751</v>
      </c>
      <c r="F651" s="240">
        <v>3128.8</v>
      </c>
      <c r="G651" s="240"/>
      <c r="H651" s="239" t="s">
        <v>14</v>
      </c>
      <c r="I651" s="241" t="s">
        <v>15</v>
      </c>
      <c r="J651" s="241"/>
      <c r="K651" s="242" t="s">
        <v>8</v>
      </c>
      <c r="L651" s="243">
        <v>6266160.8499999996</v>
      </c>
    </row>
    <row r="652" spans="1:12" ht="61.2" hidden="1" x14ac:dyDescent="0.3">
      <c r="A652" s="237" t="s">
        <v>537</v>
      </c>
      <c r="B652" s="238" t="s">
        <v>1911</v>
      </c>
      <c r="C652" s="238" t="s">
        <v>1988</v>
      </c>
      <c r="D652" s="238" t="s">
        <v>1913</v>
      </c>
      <c r="E652" s="239" t="s">
        <v>751</v>
      </c>
      <c r="F652" s="240">
        <v>1581.8</v>
      </c>
      <c r="G652" s="240"/>
      <c r="H652" s="239" t="s">
        <v>14</v>
      </c>
      <c r="I652" s="241" t="s">
        <v>15</v>
      </c>
      <c r="J652" s="241"/>
      <c r="K652" s="242" t="s">
        <v>8</v>
      </c>
      <c r="L652" s="243">
        <v>6267742.6500000004</v>
      </c>
    </row>
    <row r="653" spans="1:12" ht="61.2" hidden="1" x14ac:dyDescent="0.3">
      <c r="A653" s="237" t="s">
        <v>537</v>
      </c>
      <c r="B653" s="238" t="s">
        <v>1911</v>
      </c>
      <c r="C653" s="238" t="s">
        <v>1989</v>
      </c>
      <c r="D653" s="238" t="s">
        <v>1913</v>
      </c>
      <c r="E653" s="239" t="s">
        <v>751</v>
      </c>
      <c r="F653" s="240">
        <v>2916.8</v>
      </c>
      <c r="G653" s="240"/>
      <c r="H653" s="239" t="s">
        <v>14</v>
      </c>
      <c r="I653" s="241" t="s">
        <v>15</v>
      </c>
      <c r="J653" s="241"/>
      <c r="K653" s="242" t="s">
        <v>8</v>
      </c>
      <c r="L653" s="243">
        <v>6270659.4500000002</v>
      </c>
    </row>
    <row r="654" spans="1:12" ht="61.2" hidden="1" x14ac:dyDescent="0.3">
      <c r="A654" s="237" t="s">
        <v>537</v>
      </c>
      <c r="B654" s="238" t="s">
        <v>1911</v>
      </c>
      <c r="C654" s="238" t="s">
        <v>1990</v>
      </c>
      <c r="D654" s="238" t="s">
        <v>1913</v>
      </c>
      <c r="E654" s="239" t="s">
        <v>751</v>
      </c>
      <c r="F654" s="244">
        <v>998.2</v>
      </c>
      <c r="G654" s="244"/>
      <c r="H654" s="239" t="s">
        <v>14</v>
      </c>
      <c r="I654" s="241" t="s">
        <v>15</v>
      </c>
      <c r="J654" s="241"/>
      <c r="K654" s="242" t="s">
        <v>8</v>
      </c>
      <c r="L654" s="243">
        <v>6271657.6500000004</v>
      </c>
    </row>
    <row r="655" spans="1:12" ht="61.2" hidden="1" x14ac:dyDescent="0.3">
      <c r="A655" s="237" t="s">
        <v>537</v>
      </c>
      <c r="B655" s="238" t="s">
        <v>1991</v>
      </c>
      <c r="C655" s="238" t="s">
        <v>1992</v>
      </c>
      <c r="D655" s="238" t="s">
        <v>1913</v>
      </c>
      <c r="E655" s="239" t="s">
        <v>751</v>
      </c>
      <c r="F655" s="240">
        <v>2981.68</v>
      </c>
      <c r="G655" s="240"/>
      <c r="H655" s="239" t="s">
        <v>14</v>
      </c>
      <c r="I655" s="241" t="s">
        <v>15</v>
      </c>
      <c r="J655" s="241"/>
      <c r="K655" s="242" t="s">
        <v>8</v>
      </c>
      <c r="L655" s="243">
        <v>6274639.3300000001</v>
      </c>
    </row>
    <row r="656" spans="1:12" ht="61.2" hidden="1" x14ac:dyDescent="0.3">
      <c r="A656" s="237" t="s">
        <v>537</v>
      </c>
      <c r="B656" s="238" t="s">
        <v>1911</v>
      </c>
      <c r="C656" s="238" t="s">
        <v>1992</v>
      </c>
      <c r="D656" s="238" t="s">
        <v>1913</v>
      </c>
      <c r="E656" s="239" t="s">
        <v>751</v>
      </c>
      <c r="F656" s="240">
        <v>1039.02</v>
      </c>
      <c r="G656" s="240"/>
      <c r="H656" s="239" t="s">
        <v>14</v>
      </c>
      <c r="I656" s="241" t="s">
        <v>15</v>
      </c>
      <c r="J656" s="241"/>
      <c r="K656" s="242" t="s">
        <v>8</v>
      </c>
      <c r="L656" s="243">
        <v>6275678.3499999996</v>
      </c>
    </row>
    <row r="657" spans="1:12" ht="61.2" hidden="1" x14ac:dyDescent="0.3">
      <c r="A657" s="237" t="s">
        <v>537</v>
      </c>
      <c r="B657" s="238" t="s">
        <v>1991</v>
      </c>
      <c r="C657" s="238" t="s">
        <v>1993</v>
      </c>
      <c r="D657" s="238" t="s">
        <v>1913</v>
      </c>
      <c r="E657" s="239" t="s">
        <v>751</v>
      </c>
      <c r="F657" s="240">
        <v>1776.8</v>
      </c>
      <c r="G657" s="240"/>
      <c r="H657" s="239" t="s">
        <v>14</v>
      </c>
      <c r="I657" s="241" t="s">
        <v>15</v>
      </c>
      <c r="J657" s="241"/>
      <c r="K657" s="242" t="s">
        <v>8</v>
      </c>
      <c r="L657" s="243">
        <v>6277455.1500000004</v>
      </c>
    </row>
    <row r="658" spans="1:12" ht="61.2" hidden="1" x14ac:dyDescent="0.3">
      <c r="A658" s="237" t="s">
        <v>537</v>
      </c>
      <c r="B658" s="238" t="s">
        <v>1991</v>
      </c>
      <c r="C658" s="238" t="s">
        <v>1994</v>
      </c>
      <c r="D658" s="238" t="s">
        <v>1913</v>
      </c>
      <c r="E658" s="239" t="s">
        <v>751</v>
      </c>
      <c r="F658" s="240">
        <v>3098.8</v>
      </c>
      <c r="G658" s="240"/>
      <c r="H658" s="239" t="s">
        <v>14</v>
      </c>
      <c r="I658" s="241" t="s">
        <v>15</v>
      </c>
      <c r="J658" s="241"/>
      <c r="K658" s="242" t="s">
        <v>8</v>
      </c>
      <c r="L658" s="243">
        <v>6280553.9500000002</v>
      </c>
    </row>
    <row r="659" spans="1:12" ht="61.2" hidden="1" x14ac:dyDescent="0.3">
      <c r="A659" s="237" t="s">
        <v>537</v>
      </c>
      <c r="B659" s="238" t="s">
        <v>1991</v>
      </c>
      <c r="C659" s="238" t="s">
        <v>1995</v>
      </c>
      <c r="D659" s="238" t="s">
        <v>1913</v>
      </c>
      <c r="E659" s="239" t="s">
        <v>751</v>
      </c>
      <c r="F659" s="240">
        <v>3130.4</v>
      </c>
      <c r="G659" s="240"/>
      <c r="H659" s="239" t="s">
        <v>14</v>
      </c>
      <c r="I659" s="241" t="s">
        <v>15</v>
      </c>
      <c r="J659" s="241"/>
      <c r="K659" s="242" t="s">
        <v>8</v>
      </c>
      <c r="L659" s="243">
        <v>6283684.3499999996</v>
      </c>
    </row>
    <row r="660" spans="1:12" ht="61.2" hidden="1" x14ac:dyDescent="0.3">
      <c r="A660" s="237" t="s">
        <v>537</v>
      </c>
      <c r="B660" s="238" t="s">
        <v>1991</v>
      </c>
      <c r="C660" s="238" t="s">
        <v>1996</v>
      </c>
      <c r="D660" s="238" t="s">
        <v>1913</v>
      </c>
      <c r="E660" s="239" t="s">
        <v>751</v>
      </c>
      <c r="F660" s="240">
        <v>3350</v>
      </c>
      <c r="G660" s="240"/>
      <c r="H660" s="239" t="s">
        <v>14</v>
      </c>
      <c r="I660" s="241" t="s">
        <v>15</v>
      </c>
      <c r="J660" s="241"/>
      <c r="K660" s="242" t="s">
        <v>8</v>
      </c>
      <c r="L660" s="243">
        <v>6287034.3499999996</v>
      </c>
    </row>
    <row r="661" spans="1:12" ht="61.2" hidden="1" x14ac:dyDescent="0.3">
      <c r="A661" s="237" t="s">
        <v>537</v>
      </c>
      <c r="B661" s="238" t="s">
        <v>1991</v>
      </c>
      <c r="C661" s="238" t="s">
        <v>1997</v>
      </c>
      <c r="D661" s="238" t="s">
        <v>1913</v>
      </c>
      <c r="E661" s="239" t="s">
        <v>751</v>
      </c>
      <c r="F661" s="240">
        <v>3996</v>
      </c>
      <c r="G661" s="240"/>
      <c r="H661" s="239" t="s">
        <v>14</v>
      </c>
      <c r="I661" s="241" t="s">
        <v>15</v>
      </c>
      <c r="J661" s="241"/>
      <c r="K661" s="242" t="s">
        <v>8</v>
      </c>
      <c r="L661" s="243">
        <v>6291030.3499999996</v>
      </c>
    </row>
    <row r="662" spans="1:12" ht="61.2" hidden="1" x14ac:dyDescent="0.3">
      <c r="A662" s="237" t="s">
        <v>537</v>
      </c>
      <c r="B662" s="238" t="s">
        <v>1991</v>
      </c>
      <c r="C662" s="238" t="s">
        <v>1998</v>
      </c>
      <c r="D662" s="238" t="s">
        <v>1913</v>
      </c>
      <c r="E662" s="239" t="s">
        <v>751</v>
      </c>
      <c r="F662" s="240">
        <v>4039.2</v>
      </c>
      <c r="G662" s="240"/>
      <c r="H662" s="239" t="s">
        <v>14</v>
      </c>
      <c r="I662" s="241" t="s">
        <v>15</v>
      </c>
      <c r="J662" s="241"/>
      <c r="K662" s="242" t="s">
        <v>8</v>
      </c>
      <c r="L662" s="243">
        <v>6295069.5499999998</v>
      </c>
    </row>
    <row r="663" spans="1:12" ht="61.2" hidden="1" x14ac:dyDescent="0.3">
      <c r="A663" s="237" t="s">
        <v>537</v>
      </c>
      <c r="B663" s="238" t="s">
        <v>1991</v>
      </c>
      <c r="C663" s="238" t="s">
        <v>1999</v>
      </c>
      <c r="D663" s="238" t="s">
        <v>1913</v>
      </c>
      <c r="E663" s="239" t="s">
        <v>751</v>
      </c>
      <c r="F663" s="240">
        <v>2848.2</v>
      </c>
      <c r="G663" s="240"/>
      <c r="H663" s="239" t="s">
        <v>14</v>
      </c>
      <c r="I663" s="241" t="s">
        <v>15</v>
      </c>
      <c r="J663" s="241"/>
      <c r="K663" s="242" t="s">
        <v>8</v>
      </c>
      <c r="L663" s="243">
        <v>6297917.75</v>
      </c>
    </row>
    <row r="664" spans="1:12" ht="61.2" hidden="1" x14ac:dyDescent="0.3">
      <c r="A664" s="237" t="s">
        <v>537</v>
      </c>
      <c r="B664" s="238" t="s">
        <v>1991</v>
      </c>
      <c r="C664" s="238" t="s">
        <v>2000</v>
      </c>
      <c r="D664" s="238" t="s">
        <v>1913</v>
      </c>
      <c r="E664" s="239" t="s">
        <v>751</v>
      </c>
      <c r="F664" s="240">
        <v>3333.1</v>
      </c>
      <c r="G664" s="240"/>
      <c r="H664" s="239" t="s">
        <v>14</v>
      </c>
      <c r="I664" s="241" t="s">
        <v>15</v>
      </c>
      <c r="J664" s="241"/>
      <c r="K664" s="242" t="s">
        <v>8</v>
      </c>
      <c r="L664" s="243">
        <v>6301250.8499999996</v>
      </c>
    </row>
    <row r="665" spans="1:12" ht="61.2" hidden="1" x14ac:dyDescent="0.3">
      <c r="A665" s="237" t="s">
        <v>537</v>
      </c>
      <c r="B665" s="238" t="s">
        <v>1991</v>
      </c>
      <c r="C665" s="238" t="s">
        <v>2001</v>
      </c>
      <c r="D665" s="238" t="s">
        <v>1913</v>
      </c>
      <c r="E665" s="239" t="s">
        <v>751</v>
      </c>
      <c r="F665" s="240">
        <v>3839.5</v>
      </c>
      <c r="G665" s="240"/>
      <c r="H665" s="239" t="s">
        <v>14</v>
      </c>
      <c r="I665" s="241" t="s">
        <v>15</v>
      </c>
      <c r="J665" s="241"/>
      <c r="K665" s="242" t="s">
        <v>8</v>
      </c>
      <c r="L665" s="243">
        <v>6305090.3499999996</v>
      </c>
    </row>
    <row r="666" spans="1:12" ht="61.2" hidden="1" x14ac:dyDescent="0.3">
      <c r="A666" s="237" t="s">
        <v>537</v>
      </c>
      <c r="B666" s="238" t="s">
        <v>1991</v>
      </c>
      <c r="C666" s="238" t="s">
        <v>2002</v>
      </c>
      <c r="D666" s="238" t="s">
        <v>1913</v>
      </c>
      <c r="E666" s="239" t="s">
        <v>751</v>
      </c>
      <c r="F666" s="240">
        <v>7395.4</v>
      </c>
      <c r="G666" s="240"/>
      <c r="H666" s="239" t="s">
        <v>14</v>
      </c>
      <c r="I666" s="241" t="s">
        <v>15</v>
      </c>
      <c r="J666" s="241"/>
      <c r="K666" s="242" t="s">
        <v>8</v>
      </c>
      <c r="L666" s="243">
        <v>6312485.75</v>
      </c>
    </row>
    <row r="667" spans="1:12" ht="61.2" hidden="1" x14ac:dyDescent="0.3">
      <c r="A667" s="237" t="s">
        <v>537</v>
      </c>
      <c r="B667" s="238" t="s">
        <v>1991</v>
      </c>
      <c r="C667" s="238" t="s">
        <v>2003</v>
      </c>
      <c r="D667" s="238" t="s">
        <v>1913</v>
      </c>
      <c r="E667" s="239" t="s">
        <v>751</v>
      </c>
      <c r="F667" s="240">
        <v>3882.7</v>
      </c>
      <c r="G667" s="240"/>
      <c r="H667" s="239" t="s">
        <v>14</v>
      </c>
      <c r="I667" s="241" t="s">
        <v>15</v>
      </c>
      <c r="J667" s="241"/>
      <c r="K667" s="242" t="s">
        <v>8</v>
      </c>
      <c r="L667" s="243">
        <v>6316368.4500000002</v>
      </c>
    </row>
    <row r="668" spans="1:12" ht="61.2" hidden="1" x14ac:dyDescent="0.3">
      <c r="A668" s="237" t="s">
        <v>537</v>
      </c>
      <c r="B668" s="238" t="s">
        <v>1991</v>
      </c>
      <c r="C668" s="238" t="s">
        <v>2004</v>
      </c>
      <c r="D668" s="238" t="s">
        <v>1913</v>
      </c>
      <c r="E668" s="239" t="s">
        <v>751</v>
      </c>
      <c r="F668" s="240">
        <v>3891.2</v>
      </c>
      <c r="G668" s="240"/>
      <c r="H668" s="239" t="s">
        <v>14</v>
      </c>
      <c r="I668" s="241" t="s">
        <v>15</v>
      </c>
      <c r="J668" s="241"/>
      <c r="K668" s="242" t="s">
        <v>8</v>
      </c>
      <c r="L668" s="243">
        <v>6320259.6500000004</v>
      </c>
    </row>
    <row r="669" spans="1:12" ht="61.2" hidden="1" x14ac:dyDescent="0.3">
      <c r="A669" s="237" t="s">
        <v>537</v>
      </c>
      <c r="B669" s="238" t="s">
        <v>1991</v>
      </c>
      <c r="C669" s="238" t="s">
        <v>2005</v>
      </c>
      <c r="D669" s="238" t="s">
        <v>1913</v>
      </c>
      <c r="E669" s="239" t="s">
        <v>751</v>
      </c>
      <c r="F669" s="240">
        <v>1804.5</v>
      </c>
      <c r="G669" s="240"/>
      <c r="H669" s="239" t="s">
        <v>14</v>
      </c>
      <c r="I669" s="241" t="s">
        <v>15</v>
      </c>
      <c r="J669" s="241"/>
      <c r="K669" s="242" t="s">
        <v>8</v>
      </c>
      <c r="L669" s="243">
        <v>6322064.1500000004</v>
      </c>
    </row>
    <row r="670" spans="1:12" ht="61.2" hidden="1" x14ac:dyDescent="0.3">
      <c r="A670" s="237" t="s">
        <v>537</v>
      </c>
      <c r="B670" s="238" t="s">
        <v>1991</v>
      </c>
      <c r="C670" s="238" t="s">
        <v>2006</v>
      </c>
      <c r="D670" s="238" t="s">
        <v>1913</v>
      </c>
      <c r="E670" s="239" t="s">
        <v>751</v>
      </c>
      <c r="F670" s="240">
        <v>5991</v>
      </c>
      <c r="G670" s="240"/>
      <c r="H670" s="239" t="s">
        <v>14</v>
      </c>
      <c r="I670" s="241" t="s">
        <v>15</v>
      </c>
      <c r="J670" s="241"/>
      <c r="K670" s="242" t="s">
        <v>8</v>
      </c>
      <c r="L670" s="243">
        <v>6328055.1500000004</v>
      </c>
    </row>
    <row r="671" spans="1:12" ht="61.2" hidden="1" x14ac:dyDescent="0.3">
      <c r="A671" s="237" t="s">
        <v>537</v>
      </c>
      <c r="B671" s="238" t="s">
        <v>1991</v>
      </c>
      <c r="C671" s="238" t="s">
        <v>2007</v>
      </c>
      <c r="D671" s="238" t="s">
        <v>1913</v>
      </c>
      <c r="E671" s="239" t="s">
        <v>751</v>
      </c>
      <c r="F671" s="240">
        <v>1500.8</v>
      </c>
      <c r="G671" s="240"/>
      <c r="H671" s="239" t="s">
        <v>14</v>
      </c>
      <c r="I671" s="241" t="s">
        <v>15</v>
      </c>
      <c r="J671" s="241"/>
      <c r="K671" s="242" t="s">
        <v>8</v>
      </c>
      <c r="L671" s="243">
        <v>6329555.9500000002</v>
      </c>
    </row>
    <row r="672" spans="1:12" ht="61.2" hidden="1" x14ac:dyDescent="0.3">
      <c r="A672" s="237" t="s">
        <v>537</v>
      </c>
      <c r="B672" s="238" t="s">
        <v>1991</v>
      </c>
      <c r="C672" s="238" t="s">
        <v>2008</v>
      </c>
      <c r="D672" s="238" t="s">
        <v>1913</v>
      </c>
      <c r="E672" s="239" t="s">
        <v>751</v>
      </c>
      <c r="F672" s="240">
        <v>7054.6</v>
      </c>
      <c r="G672" s="240"/>
      <c r="H672" s="239" t="s">
        <v>14</v>
      </c>
      <c r="I672" s="241" t="s">
        <v>15</v>
      </c>
      <c r="J672" s="241"/>
      <c r="K672" s="242" t="s">
        <v>8</v>
      </c>
      <c r="L672" s="243">
        <v>6336610.5499999998</v>
      </c>
    </row>
    <row r="673" spans="1:12" ht="61.2" hidden="1" x14ac:dyDescent="0.3">
      <c r="A673" s="237" t="s">
        <v>537</v>
      </c>
      <c r="B673" s="238" t="s">
        <v>1991</v>
      </c>
      <c r="C673" s="238" t="s">
        <v>2009</v>
      </c>
      <c r="D673" s="238" t="s">
        <v>1913</v>
      </c>
      <c r="E673" s="239" t="s">
        <v>751</v>
      </c>
      <c r="F673" s="240">
        <v>1782.9</v>
      </c>
      <c r="G673" s="240"/>
      <c r="H673" s="239" t="s">
        <v>14</v>
      </c>
      <c r="I673" s="241" t="s">
        <v>15</v>
      </c>
      <c r="J673" s="241"/>
      <c r="K673" s="242" t="s">
        <v>8</v>
      </c>
      <c r="L673" s="243">
        <v>6338393.4500000002</v>
      </c>
    </row>
    <row r="674" spans="1:12" ht="61.2" hidden="1" x14ac:dyDescent="0.3">
      <c r="A674" s="237" t="s">
        <v>537</v>
      </c>
      <c r="B674" s="238" t="s">
        <v>1991</v>
      </c>
      <c r="C674" s="238" t="s">
        <v>2010</v>
      </c>
      <c r="D674" s="238" t="s">
        <v>1913</v>
      </c>
      <c r="E674" s="239" t="s">
        <v>751</v>
      </c>
      <c r="F674" s="240">
        <v>2076.6</v>
      </c>
      <c r="G674" s="240"/>
      <c r="H674" s="239" t="s">
        <v>14</v>
      </c>
      <c r="I674" s="241" t="s">
        <v>15</v>
      </c>
      <c r="J674" s="241"/>
      <c r="K674" s="242" t="s">
        <v>8</v>
      </c>
      <c r="L674" s="243">
        <v>6340470.0499999998</v>
      </c>
    </row>
    <row r="675" spans="1:12" ht="61.2" hidden="1" x14ac:dyDescent="0.3">
      <c r="A675" s="237" t="s">
        <v>537</v>
      </c>
      <c r="B675" s="238" t="s">
        <v>1991</v>
      </c>
      <c r="C675" s="238" t="s">
        <v>2011</v>
      </c>
      <c r="D675" s="238" t="s">
        <v>1913</v>
      </c>
      <c r="E675" s="239" t="s">
        <v>751</v>
      </c>
      <c r="F675" s="240">
        <v>1438.4</v>
      </c>
      <c r="G675" s="240"/>
      <c r="H675" s="239" t="s">
        <v>14</v>
      </c>
      <c r="I675" s="241" t="s">
        <v>15</v>
      </c>
      <c r="J675" s="241"/>
      <c r="K675" s="242" t="s">
        <v>8</v>
      </c>
      <c r="L675" s="243">
        <v>6341908.4500000002</v>
      </c>
    </row>
    <row r="676" spans="1:12" ht="61.2" hidden="1" x14ac:dyDescent="0.3">
      <c r="A676" s="237" t="s">
        <v>537</v>
      </c>
      <c r="B676" s="238" t="s">
        <v>1991</v>
      </c>
      <c r="C676" s="238" t="s">
        <v>2012</v>
      </c>
      <c r="D676" s="238" t="s">
        <v>1913</v>
      </c>
      <c r="E676" s="239" t="s">
        <v>751</v>
      </c>
      <c r="F676" s="240">
        <v>6675.4</v>
      </c>
      <c r="G676" s="240"/>
      <c r="H676" s="239" t="s">
        <v>14</v>
      </c>
      <c r="I676" s="241" t="s">
        <v>15</v>
      </c>
      <c r="J676" s="241"/>
      <c r="K676" s="242" t="s">
        <v>8</v>
      </c>
      <c r="L676" s="243">
        <v>6348583.8499999996</v>
      </c>
    </row>
    <row r="677" spans="1:12" ht="61.2" hidden="1" x14ac:dyDescent="0.3">
      <c r="A677" s="237" t="s">
        <v>537</v>
      </c>
      <c r="B677" s="238" t="s">
        <v>1991</v>
      </c>
      <c r="C677" s="238" t="s">
        <v>2013</v>
      </c>
      <c r="D677" s="238" t="s">
        <v>1913</v>
      </c>
      <c r="E677" s="239" t="s">
        <v>751</v>
      </c>
      <c r="F677" s="240">
        <v>1401.4</v>
      </c>
      <c r="G677" s="240"/>
      <c r="H677" s="239" t="s">
        <v>14</v>
      </c>
      <c r="I677" s="241" t="s">
        <v>15</v>
      </c>
      <c r="J677" s="241"/>
      <c r="K677" s="242" t="s">
        <v>8</v>
      </c>
      <c r="L677" s="243">
        <v>6349985.25</v>
      </c>
    </row>
    <row r="678" spans="1:12" ht="61.2" hidden="1" x14ac:dyDescent="0.3">
      <c r="A678" s="237" t="s">
        <v>537</v>
      </c>
      <c r="B678" s="238" t="s">
        <v>1991</v>
      </c>
      <c r="C678" s="238" t="s">
        <v>2014</v>
      </c>
      <c r="D678" s="238" t="s">
        <v>1913</v>
      </c>
      <c r="E678" s="239" t="s">
        <v>751</v>
      </c>
      <c r="F678" s="240">
        <v>3256</v>
      </c>
      <c r="G678" s="240"/>
      <c r="H678" s="239" t="s">
        <v>14</v>
      </c>
      <c r="I678" s="241" t="s">
        <v>15</v>
      </c>
      <c r="J678" s="241"/>
      <c r="K678" s="242" t="s">
        <v>8</v>
      </c>
      <c r="L678" s="243">
        <v>6353241.25</v>
      </c>
    </row>
    <row r="679" spans="1:12" ht="61.2" hidden="1" x14ac:dyDescent="0.3">
      <c r="A679" s="237" t="s">
        <v>537</v>
      </c>
      <c r="B679" s="238" t="s">
        <v>1991</v>
      </c>
      <c r="C679" s="238" t="s">
        <v>2015</v>
      </c>
      <c r="D679" s="238" t="s">
        <v>1913</v>
      </c>
      <c r="E679" s="239" t="s">
        <v>751</v>
      </c>
      <c r="F679" s="240">
        <v>2817.4</v>
      </c>
      <c r="G679" s="240"/>
      <c r="H679" s="239" t="s">
        <v>14</v>
      </c>
      <c r="I679" s="241" t="s">
        <v>15</v>
      </c>
      <c r="J679" s="241"/>
      <c r="K679" s="242" t="s">
        <v>8</v>
      </c>
      <c r="L679" s="243">
        <v>6356058.6500000004</v>
      </c>
    </row>
    <row r="680" spans="1:12" ht="61.2" hidden="1" x14ac:dyDescent="0.3">
      <c r="A680" s="237" t="s">
        <v>537</v>
      </c>
      <c r="B680" s="238" t="s">
        <v>1991</v>
      </c>
      <c r="C680" s="238" t="s">
        <v>2015</v>
      </c>
      <c r="D680" s="238" t="s">
        <v>1913</v>
      </c>
      <c r="E680" s="239" t="s">
        <v>751</v>
      </c>
      <c r="F680" s="240">
        <v>19226.400000000001</v>
      </c>
      <c r="G680" s="240"/>
      <c r="H680" s="239" t="s">
        <v>14</v>
      </c>
      <c r="I680" s="241" t="s">
        <v>15</v>
      </c>
      <c r="J680" s="241"/>
      <c r="K680" s="242" t="s">
        <v>8</v>
      </c>
      <c r="L680" s="243">
        <v>6375285.0499999998</v>
      </c>
    </row>
    <row r="681" spans="1:12" ht="61.2" hidden="1" x14ac:dyDescent="0.3">
      <c r="A681" s="237" t="s">
        <v>537</v>
      </c>
      <c r="B681" s="238" t="s">
        <v>1991</v>
      </c>
      <c r="C681" s="238" t="s">
        <v>2016</v>
      </c>
      <c r="D681" s="238" t="s">
        <v>1913</v>
      </c>
      <c r="E681" s="239" t="s">
        <v>751</v>
      </c>
      <c r="F681" s="240">
        <v>4021.4</v>
      </c>
      <c r="G681" s="240"/>
      <c r="H681" s="239" t="s">
        <v>14</v>
      </c>
      <c r="I681" s="241" t="s">
        <v>15</v>
      </c>
      <c r="J681" s="241"/>
      <c r="K681" s="242" t="s">
        <v>8</v>
      </c>
      <c r="L681" s="243">
        <v>6379306.4500000002</v>
      </c>
    </row>
    <row r="682" spans="1:12" ht="61.2" hidden="1" x14ac:dyDescent="0.3">
      <c r="A682" s="237" t="s">
        <v>537</v>
      </c>
      <c r="B682" s="238" t="s">
        <v>1991</v>
      </c>
      <c r="C682" s="238" t="s">
        <v>2017</v>
      </c>
      <c r="D682" s="238" t="s">
        <v>1913</v>
      </c>
      <c r="E682" s="239" t="s">
        <v>751</v>
      </c>
      <c r="F682" s="244">
        <v>908.8</v>
      </c>
      <c r="G682" s="244"/>
      <c r="H682" s="239" t="s">
        <v>14</v>
      </c>
      <c r="I682" s="241" t="s">
        <v>15</v>
      </c>
      <c r="J682" s="241"/>
      <c r="K682" s="242" t="s">
        <v>8</v>
      </c>
      <c r="L682" s="243">
        <v>6380215.25</v>
      </c>
    </row>
    <row r="683" spans="1:12" ht="61.2" hidden="1" x14ac:dyDescent="0.3">
      <c r="A683" s="237" t="s">
        <v>537</v>
      </c>
      <c r="B683" s="238" t="s">
        <v>1991</v>
      </c>
      <c r="C683" s="238" t="s">
        <v>2018</v>
      </c>
      <c r="D683" s="238" t="s">
        <v>1913</v>
      </c>
      <c r="E683" s="239" t="s">
        <v>751</v>
      </c>
      <c r="F683" s="240">
        <v>1679.6</v>
      </c>
      <c r="G683" s="240"/>
      <c r="H683" s="239" t="s">
        <v>14</v>
      </c>
      <c r="I683" s="241" t="s">
        <v>15</v>
      </c>
      <c r="J683" s="241"/>
      <c r="K683" s="242" t="s">
        <v>8</v>
      </c>
      <c r="L683" s="243">
        <v>6381894.8499999996</v>
      </c>
    </row>
    <row r="684" spans="1:12" ht="61.2" hidden="1" x14ac:dyDescent="0.3">
      <c r="A684" s="237" t="s">
        <v>537</v>
      </c>
      <c r="B684" s="238" t="s">
        <v>1991</v>
      </c>
      <c r="C684" s="238" t="s">
        <v>2019</v>
      </c>
      <c r="D684" s="238" t="s">
        <v>1913</v>
      </c>
      <c r="E684" s="239" t="s">
        <v>751</v>
      </c>
      <c r="F684" s="240">
        <v>1616.4</v>
      </c>
      <c r="G684" s="240"/>
      <c r="H684" s="239" t="s">
        <v>14</v>
      </c>
      <c r="I684" s="241" t="s">
        <v>15</v>
      </c>
      <c r="J684" s="241"/>
      <c r="K684" s="242" t="s">
        <v>8</v>
      </c>
      <c r="L684" s="243">
        <v>6383511.25</v>
      </c>
    </row>
    <row r="685" spans="1:12" ht="61.2" hidden="1" x14ac:dyDescent="0.3">
      <c r="A685" s="237" t="s">
        <v>537</v>
      </c>
      <c r="B685" s="238" t="s">
        <v>1991</v>
      </c>
      <c r="C685" s="238" t="s">
        <v>2020</v>
      </c>
      <c r="D685" s="238" t="s">
        <v>1913</v>
      </c>
      <c r="E685" s="239" t="s">
        <v>751</v>
      </c>
      <c r="F685" s="240">
        <v>20862.5</v>
      </c>
      <c r="G685" s="240"/>
      <c r="H685" s="239" t="s">
        <v>14</v>
      </c>
      <c r="I685" s="241" t="s">
        <v>15</v>
      </c>
      <c r="J685" s="241"/>
      <c r="K685" s="242" t="s">
        <v>8</v>
      </c>
      <c r="L685" s="243">
        <v>6404373.75</v>
      </c>
    </row>
    <row r="686" spans="1:12" ht="61.2" hidden="1" x14ac:dyDescent="0.3">
      <c r="A686" s="237" t="s">
        <v>537</v>
      </c>
      <c r="B686" s="238" t="s">
        <v>1991</v>
      </c>
      <c r="C686" s="238" t="s">
        <v>2021</v>
      </c>
      <c r="D686" s="238" t="s">
        <v>1913</v>
      </c>
      <c r="E686" s="239" t="s">
        <v>751</v>
      </c>
      <c r="F686" s="240">
        <v>6488.9</v>
      </c>
      <c r="G686" s="240"/>
      <c r="H686" s="239" t="s">
        <v>14</v>
      </c>
      <c r="I686" s="241" t="s">
        <v>15</v>
      </c>
      <c r="J686" s="241"/>
      <c r="K686" s="242" t="s">
        <v>8</v>
      </c>
      <c r="L686" s="243">
        <v>6410862.6500000004</v>
      </c>
    </row>
    <row r="687" spans="1:12" ht="61.2" hidden="1" x14ac:dyDescent="0.3">
      <c r="A687" s="237" t="s">
        <v>537</v>
      </c>
      <c r="B687" s="238" t="s">
        <v>1991</v>
      </c>
      <c r="C687" s="238" t="s">
        <v>1966</v>
      </c>
      <c r="D687" s="238" t="s">
        <v>1913</v>
      </c>
      <c r="E687" s="239" t="s">
        <v>751</v>
      </c>
      <c r="F687" s="240">
        <v>4175.6000000000004</v>
      </c>
      <c r="G687" s="240"/>
      <c r="H687" s="239" t="s">
        <v>14</v>
      </c>
      <c r="I687" s="241" t="s">
        <v>15</v>
      </c>
      <c r="J687" s="241"/>
      <c r="K687" s="242" t="s">
        <v>8</v>
      </c>
      <c r="L687" s="243">
        <v>6415038.25</v>
      </c>
    </row>
    <row r="688" spans="1:12" ht="61.2" hidden="1" x14ac:dyDescent="0.3">
      <c r="A688" s="237" t="s">
        <v>537</v>
      </c>
      <c r="B688" s="238" t="s">
        <v>1991</v>
      </c>
      <c r="C688" s="238" t="s">
        <v>1932</v>
      </c>
      <c r="D688" s="238" t="s">
        <v>1913</v>
      </c>
      <c r="E688" s="239" t="s">
        <v>751</v>
      </c>
      <c r="F688" s="240">
        <v>2017.3</v>
      </c>
      <c r="G688" s="240"/>
      <c r="H688" s="239" t="s">
        <v>14</v>
      </c>
      <c r="I688" s="241" t="s">
        <v>15</v>
      </c>
      <c r="J688" s="241"/>
      <c r="K688" s="242" t="s">
        <v>8</v>
      </c>
      <c r="L688" s="243">
        <v>6417055.5499999998</v>
      </c>
    </row>
    <row r="689" spans="1:12" ht="61.2" hidden="1" x14ac:dyDescent="0.3">
      <c r="A689" s="237" t="s">
        <v>537</v>
      </c>
      <c r="B689" s="238" t="s">
        <v>1991</v>
      </c>
      <c r="C689" s="238" t="s">
        <v>2022</v>
      </c>
      <c r="D689" s="238" t="s">
        <v>1913</v>
      </c>
      <c r="E689" s="239" t="s">
        <v>751</v>
      </c>
      <c r="F689" s="240">
        <v>2116.6999999999998</v>
      </c>
      <c r="G689" s="240"/>
      <c r="H689" s="239" t="s">
        <v>14</v>
      </c>
      <c r="I689" s="241" t="s">
        <v>15</v>
      </c>
      <c r="J689" s="241"/>
      <c r="K689" s="242" t="s">
        <v>8</v>
      </c>
      <c r="L689" s="243">
        <v>6419172.25</v>
      </c>
    </row>
    <row r="690" spans="1:12" ht="61.2" hidden="1" x14ac:dyDescent="0.3">
      <c r="A690" s="237" t="s">
        <v>537</v>
      </c>
      <c r="B690" s="238" t="s">
        <v>1991</v>
      </c>
      <c r="C690" s="238" t="s">
        <v>2023</v>
      </c>
      <c r="D690" s="238" t="s">
        <v>1913</v>
      </c>
      <c r="E690" s="239" t="s">
        <v>751</v>
      </c>
      <c r="F690" s="240">
        <v>5664.1</v>
      </c>
      <c r="G690" s="240"/>
      <c r="H690" s="239" t="s">
        <v>14</v>
      </c>
      <c r="I690" s="241" t="s">
        <v>15</v>
      </c>
      <c r="J690" s="241"/>
      <c r="K690" s="242" t="s">
        <v>8</v>
      </c>
      <c r="L690" s="243">
        <v>6424836.3499999996</v>
      </c>
    </row>
    <row r="691" spans="1:12" ht="61.2" hidden="1" x14ac:dyDescent="0.3">
      <c r="A691" s="237" t="s">
        <v>537</v>
      </c>
      <c r="B691" s="238" t="s">
        <v>1991</v>
      </c>
      <c r="C691" s="238" t="s">
        <v>2024</v>
      </c>
      <c r="D691" s="238" t="s">
        <v>1913</v>
      </c>
      <c r="E691" s="239" t="s">
        <v>751</v>
      </c>
      <c r="F691" s="240">
        <v>23240.5</v>
      </c>
      <c r="G691" s="240"/>
      <c r="H691" s="239" t="s">
        <v>14</v>
      </c>
      <c r="I691" s="241" t="s">
        <v>15</v>
      </c>
      <c r="J691" s="241"/>
      <c r="K691" s="242" t="s">
        <v>8</v>
      </c>
      <c r="L691" s="243">
        <v>6448076.8499999996</v>
      </c>
    </row>
    <row r="692" spans="1:12" ht="61.2" hidden="1" x14ac:dyDescent="0.3">
      <c r="A692" s="237" t="s">
        <v>537</v>
      </c>
      <c r="B692" s="238" t="s">
        <v>1991</v>
      </c>
      <c r="C692" s="238" t="s">
        <v>2025</v>
      </c>
      <c r="D692" s="238" t="s">
        <v>1913</v>
      </c>
      <c r="E692" s="239" t="s">
        <v>751</v>
      </c>
      <c r="F692" s="240">
        <v>3164.3</v>
      </c>
      <c r="G692" s="240"/>
      <c r="H692" s="239" t="s">
        <v>14</v>
      </c>
      <c r="I692" s="241" t="s">
        <v>15</v>
      </c>
      <c r="J692" s="241"/>
      <c r="K692" s="242" t="s">
        <v>8</v>
      </c>
      <c r="L692" s="243">
        <v>6451241.1500000004</v>
      </c>
    </row>
    <row r="693" spans="1:12" ht="61.2" hidden="1" x14ac:dyDescent="0.3">
      <c r="A693" s="237" t="s">
        <v>537</v>
      </c>
      <c r="B693" s="238" t="s">
        <v>1991</v>
      </c>
      <c r="C693" s="238" t="s">
        <v>2025</v>
      </c>
      <c r="D693" s="238" t="s">
        <v>1913</v>
      </c>
      <c r="E693" s="239" t="s">
        <v>751</v>
      </c>
      <c r="F693" s="240">
        <v>9897.6</v>
      </c>
      <c r="G693" s="240"/>
      <c r="H693" s="239" t="s">
        <v>14</v>
      </c>
      <c r="I693" s="241" t="s">
        <v>15</v>
      </c>
      <c r="J693" s="241"/>
      <c r="K693" s="242" t="s">
        <v>8</v>
      </c>
      <c r="L693" s="243">
        <v>6461138.75</v>
      </c>
    </row>
    <row r="694" spans="1:12" ht="61.2" hidden="1" x14ac:dyDescent="0.3">
      <c r="A694" s="237" t="s">
        <v>537</v>
      </c>
      <c r="B694" s="238" t="s">
        <v>1991</v>
      </c>
      <c r="C694" s="238" t="s">
        <v>2026</v>
      </c>
      <c r="D694" s="238" t="s">
        <v>1913</v>
      </c>
      <c r="E694" s="239" t="s">
        <v>751</v>
      </c>
      <c r="F694" s="240">
        <v>4477.8</v>
      </c>
      <c r="G694" s="240"/>
      <c r="H694" s="239" t="s">
        <v>14</v>
      </c>
      <c r="I694" s="241" t="s">
        <v>15</v>
      </c>
      <c r="J694" s="241"/>
      <c r="K694" s="242" t="s">
        <v>8</v>
      </c>
      <c r="L694" s="243">
        <v>6465616.5499999998</v>
      </c>
    </row>
    <row r="695" spans="1:12" ht="61.2" hidden="1" x14ac:dyDescent="0.3">
      <c r="A695" s="237" t="s">
        <v>537</v>
      </c>
      <c r="B695" s="238" t="s">
        <v>1991</v>
      </c>
      <c r="C695" s="238" t="s">
        <v>2027</v>
      </c>
      <c r="D695" s="238" t="s">
        <v>1913</v>
      </c>
      <c r="E695" s="239" t="s">
        <v>751</v>
      </c>
      <c r="F695" s="244">
        <v>753.1</v>
      </c>
      <c r="G695" s="244"/>
      <c r="H695" s="239" t="s">
        <v>14</v>
      </c>
      <c r="I695" s="241" t="s">
        <v>15</v>
      </c>
      <c r="J695" s="241"/>
      <c r="K695" s="242" t="s">
        <v>8</v>
      </c>
      <c r="L695" s="243">
        <v>6466369.6500000004</v>
      </c>
    </row>
    <row r="696" spans="1:12" ht="61.2" hidden="1" x14ac:dyDescent="0.3">
      <c r="A696" s="237" t="s">
        <v>537</v>
      </c>
      <c r="B696" s="238" t="s">
        <v>1991</v>
      </c>
      <c r="C696" s="238" t="s">
        <v>2028</v>
      </c>
      <c r="D696" s="238" t="s">
        <v>1913</v>
      </c>
      <c r="E696" s="239" t="s">
        <v>751</v>
      </c>
      <c r="F696" s="240">
        <v>2639.3</v>
      </c>
      <c r="G696" s="240"/>
      <c r="H696" s="239" t="s">
        <v>14</v>
      </c>
      <c r="I696" s="241" t="s">
        <v>15</v>
      </c>
      <c r="J696" s="241"/>
      <c r="K696" s="242" t="s">
        <v>8</v>
      </c>
      <c r="L696" s="243">
        <v>6469008.9500000002</v>
      </c>
    </row>
    <row r="697" spans="1:12" ht="61.2" hidden="1" x14ac:dyDescent="0.3">
      <c r="A697" s="237" t="s">
        <v>537</v>
      </c>
      <c r="B697" s="238" t="s">
        <v>1991</v>
      </c>
      <c r="C697" s="238" t="s">
        <v>2029</v>
      </c>
      <c r="D697" s="238" t="s">
        <v>1913</v>
      </c>
      <c r="E697" s="239" t="s">
        <v>751</v>
      </c>
      <c r="F697" s="240">
        <v>4953.3999999999996</v>
      </c>
      <c r="G697" s="240"/>
      <c r="H697" s="239" t="s">
        <v>14</v>
      </c>
      <c r="I697" s="241" t="s">
        <v>15</v>
      </c>
      <c r="J697" s="241"/>
      <c r="K697" s="242" t="s">
        <v>8</v>
      </c>
      <c r="L697" s="243">
        <v>6473962.3499999996</v>
      </c>
    </row>
    <row r="698" spans="1:12" ht="61.2" hidden="1" x14ac:dyDescent="0.3">
      <c r="A698" s="237" t="s">
        <v>537</v>
      </c>
      <c r="B698" s="238" t="s">
        <v>1991</v>
      </c>
      <c r="C698" s="238" t="s">
        <v>1945</v>
      </c>
      <c r="D698" s="238" t="s">
        <v>1913</v>
      </c>
      <c r="E698" s="239" t="s">
        <v>751</v>
      </c>
      <c r="F698" s="240">
        <v>3464.9</v>
      </c>
      <c r="G698" s="240"/>
      <c r="H698" s="239" t="s">
        <v>14</v>
      </c>
      <c r="I698" s="241" t="s">
        <v>15</v>
      </c>
      <c r="J698" s="241"/>
      <c r="K698" s="242" t="s">
        <v>8</v>
      </c>
      <c r="L698" s="243">
        <v>6477427.25</v>
      </c>
    </row>
    <row r="699" spans="1:12" ht="61.2" hidden="1" x14ac:dyDescent="0.3">
      <c r="A699" s="237" t="s">
        <v>537</v>
      </c>
      <c r="B699" s="238" t="s">
        <v>1991</v>
      </c>
      <c r="C699" s="238" t="s">
        <v>1947</v>
      </c>
      <c r="D699" s="238" t="s">
        <v>1913</v>
      </c>
      <c r="E699" s="239" t="s">
        <v>751</v>
      </c>
      <c r="F699" s="240">
        <v>2735.7</v>
      </c>
      <c r="G699" s="240"/>
      <c r="H699" s="239" t="s">
        <v>14</v>
      </c>
      <c r="I699" s="241" t="s">
        <v>15</v>
      </c>
      <c r="J699" s="241"/>
      <c r="K699" s="242" t="s">
        <v>8</v>
      </c>
      <c r="L699" s="243">
        <v>6480162.9500000002</v>
      </c>
    </row>
    <row r="700" spans="1:12" ht="61.2" hidden="1" x14ac:dyDescent="0.3">
      <c r="A700" s="237" t="s">
        <v>537</v>
      </c>
      <c r="B700" s="238" t="s">
        <v>1991</v>
      </c>
      <c r="C700" s="238" t="s">
        <v>2030</v>
      </c>
      <c r="D700" s="238" t="s">
        <v>1913</v>
      </c>
      <c r="E700" s="239" t="s">
        <v>751</v>
      </c>
      <c r="F700" s="240">
        <v>2391.9</v>
      </c>
      <c r="G700" s="240"/>
      <c r="H700" s="239" t="s">
        <v>14</v>
      </c>
      <c r="I700" s="241" t="s">
        <v>15</v>
      </c>
      <c r="J700" s="241"/>
      <c r="K700" s="242" t="s">
        <v>8</v>
      </c>
      <c r="L700" s="243">
        <v>6482554.8499999996</v>
      </c>
    </row>
    <row r="701" spans="1:12" ht="61.2" hidden="1" x14ac:dyDescent="0.3">
      <c r="A701" s="237" t="s">
        <v>537</v>
      </c>
      <c r="B701" s="238" t="s">
        <v>1991</v>
      </c>
      <c r="C701" s="238" t="s">
        <v>2031</v>
      </c>
      <c r="D701" s="238" t="s">
        <v>1913</v>
      </c>
      <c r="E701" s="239" t="s">
        <v>751</v>
      </c>
      <c r="F701" s="240">
        <v>8867.6</v>
      </c>
      <c r="G701" s="240"/>
      <c r="H701" s="239" t="s">
        <v>14</v>
      </c>
      <c r="I701" s="241" t="s">
        <v>15</v>
      </c>
      <c r="J701" s="241"/>
      <c r="K701" s="242" t="s">
        <v>8</v>
      </c>
      <c r="L701" s="243">
        <v>6491422.4500000002</v>
      </c>
    </row>
    <row r="702" spans="1:12" ht="61.2" hidden="1" x14ac:dyDescent="0.3">
      <c r="A702" s="237" t="s">
        <v>537</v>
      </c>
      <c r="B702" s="238" t="s">
        <v>1991</v>
      </c>
      <c r="C702" s="238" t="s">
        <v>2032</v>
      </c>
      <c r="D702" s="238" t="s">
        <v>1913</v>
      </c>
      <c r="E702" s="239" t="s">
        <v>751</v>
      </c>
      <c r="F702" s="240">
        <v>3219</v>
      </c>
      <c r="G702" s="240"/>
      <c r="H702" s="239" t="s">
        <v>14</v>
      </c>
      <c r="I702" s="241" t="s">
        <v>15</v>
      </c>
      <c r="J702" s="241"/>
      <c r="K702" s="242" t="s">
        <v>8</v>
      </c>
      <c r="L702" s="243">
        <v>6494641.4500000002</v>
      </c>
    </row>
    <row r="703" spans="1:12" ht="61.2" hidden="1" x14ac:dyDescent="0.3">
      <c r="A703" s="237" t="s">
        <v>537</v>
      </c>
      <c r="B703" s="238" t="s">
        <v>1991</v>
      </c>
      <c r="C703" s="238" t="s">
        <v>1947</v>
      </c>
      <c r="D703" s="238" t="s">
        <v>1913</v>
      </c>
      <c r="E703" s="239" t="s">
        <v>751</v>
      </c>
      <c r="F703" s="240">
        <v>2923.8</v>
      </c>
      <c r="G703" s="240"/>
      <c r="H703" s="239" t="s">
        <v>14</v>
      </c>
      <c r="I703" s="241" t="s">
        <v>15</v>
      </c>
      <c r="J703" s="241"/>
      <c r="K703" s="242" t="s">
        <v>8</v>
      </c>
      <c r="L703" s="243">
        <v>6497565.25</v>
      </c>
    </row>
    <row r="704" spans="1:12" ht="61.2" hidden="1" x14ac:dyDescent="0.3">
      <c r="A704" s="237" t="s">
        <v>537</v>
      </c>
      <c r="B704" s="238" t="s">
        <v>1991</v>
      </c>
      <c r="C704" s="238" t="s">
        <v>2033</v>
      </c>
      <c r="D704" s="238" t="s">
        <v>1913</v>
      </c>
      <c r="E704" s="239" t="s">
        <v>751</v>
      </c>
      <c r="F704" s="240">
        <v>3569</v>
      </c>
      <c r="G704" s="240"/>
      <c r="H704" s="239" t="s">
        <v>14</v>
      </c>
      <c r="I704" s="241" t="s">
        <v>15</v>
      </c>
      <c r="J704" s="241"/>
      <c r="K704" s="242" t="s">
        <v>8</v>
      </c>
      <c r="L704" s="243">
        <v>6501134.25</v>
      </c>
    </row>
    <row r="705" spans="1:12" ht="61.2" hidden="1" x14ac:dyDescent="0.3">
      <c r="A705" s="237" t="s">
        <v>537</v>
      </c>
      <c r="B705" s="238" t="s">
        <v>1991</v>
      </c>
      <c r="C705" s="238" t="s">
        <v>2034</v>
      </c>
      <c r="D705" s="238" t="s">
        <v>1913</v>
      </c>
      <c r="E705" s="239" t="s">
        <v>751</v>
      </c>
      <c r="F705" s="240">
        <v>3872.7</v>
      </c>
      <c r="G705" s="240"/>
      <c r="H705" s="239" t="s">
        <v>14</v>
      </c>
      <c r="I705" s="241" t="s">
        <v>15</v>
      </c>
      <c r="J705" s="241"/>
      <c r="K705" s="242" t="s">
        <v>8</v>
      </c>
      <c r="L705" s="243">
        <v>6505006.9500000002</v>
      </c>
    </row>
    <row r="706" spans="1:12" ht="61.2" hidden="1" x14ac:dyDescent="0.3">
      <c r="A706" s="237" t="s">
        <v>537</v>
      </c>
      <c r="B706" s="238" t="s">
        <v>1991</v>
      </c>
      <c r="C706" s="238" t="s">
        <v>2035</v>
      </c>
      <c r="D706" s="238" t="s">
        <v>1913</v>
      </c>
      <c r="E706" s="239" t="s">
        <v>751</v>
      </c>
      <c r="F706" s="240">
        <v>2187.6</v>
      </c>
      <c r="G706" s="240"/>
      <c r="H706" s="239" t="s">
        <v>14</v>
      </c>
      <c r="I706" s="241" t="s">
        <v>15</v>
      </c>
      <c r="J706" s="241"/>
      <c r="K706" s="242" t="s">
        <v>8</v>
      </c>
      <c r="L706" s="243">
        <v>6507194.5499999998</v>
      </c>
    </row>
    <row r="707" spans="1:12" ht="61.2" hidden="1" x14ac:dyDescent="0.3">
      <c r="A707" s="237" t="s">
        <v>537</v>
      </c>
      <c r="B707" s="238" t="s">
        <v>1991</v>
      </c>
      <c r="C707" s="238" t="s">
        <v>2035</v>
      </c>
      <c r="D707" s="238" t="s">
        <v>1913</v>
      </c>
      <c r="E707" s="239" t="s">
        <v>751</v>
      </c>
      <c r="F707" s="240">
        <v>11844</v>
      </c>
      <c r="G707" s="240"/>
      <c r="H707" s="239" t="s">
        <v>14</v>
      </c>
      <c r="I707" s="241" t="s">
        <v>15</v>
      </c>
      <c r="J707" s="241"/>
      <c r="K707" s="242" t="s">
        <v>8</v>
      </c>
      <c r="L707" s="243">
        <v>6519038.5499999998</v>
      </c>
    </row>
    <row r="708" spans="1:12" ht="61.2" hidden="1" x14ac:dyDescent="0.3">
      <c r="A708" s="237" t="s">
        <v>537</v>
      </c>
      <c r="B708" s="238" t="s">
        <v>1991</v>
      </c>
      <c r="C708" s="238" t="s">
        <v>2036</v>
      </c>
      <c r="D708" s="238" t="s">
        <v>1913</v>
      </c>
      <c r="E708" s="239" t="s">
        <v>751</v>
      </c>
      <c r="F708" s="240">
        <v>2342.6</v>
      </c>
      <c r="G708" s="240"/>
      <c r="H708" s="239" t="s">
        <v>14</v>
      </c>
      <c r="I708" s="241" t="s">
        <v>15</v>
      </c>
      <c r="J708" s="241"/>
      <c r="K708" s="242" t="s">
        <v>8</v>
      </c>
      <c r="L708" s="243">
        <v>6521381.1500000004</v>
      </c>
    </row>
    <row r="709" spans="1:12" ht="61.2" hidden="1" x14ac:dyDescent="0.3">
      <c r="A709" s="237" t="s">
        <v>537</v>
      </c>
      <c r="B709" s="238" t="s">
        <v>1991</v>
      </c>
      <c r="C709" s="238" t="s">
        <v>2037</v>
      </c>
      <c r="D709" s="238" t="s">
        <v>1913</v>
      </c>
      <c r="E709" s="239" t="s">
        <v>751</v>
      </c>
      <c r="F709" s="240">
        <v>4568.7</v>
      </c>
      <c r="G709" s="240"/>
      <c r="H709" s="239" t="s">
        <v>14</v>
      </c>
      <c r="I709" s="241" t="s">
        <v>15</v>
      </c>
      <c r="J709" s="241"/>
      <c r="K709" s="242" t="s">
        <v>8</v>
      </c>
      <c r="L709" s="243">
        <v>6525949.8499999996</v>
      </c>
    </row>
    <row r="710" spans="1:12" ht="61.2" hidden="1" x14ac:dyDescent="0.3">
      <c r="A710" s="237" t="s">
        <v>537</v>
      </c>
      <c r="B710" s="238" t="s">
        <v>1991</v>
      </c>
      <c r="C710" s="238" t="s">
        <v>1964</v>
      </c>
      <c r="D710" s="238" t="s">
        <v>1913</v>
      </c>
      <c r="E710" s="239" t="s">
        <v>751</v>
      </c>
      <c r="F710" s="240">
        <v>3537.4</v>
      </c>
      <c r="G710" s="240"/>
      <c r="H710" s="239" t="s">
        <v>14</v>
      </c>
      <c r="I710" s="241" t="s">
        <v>15</v>
      </c>
      <c r="J710" s="241"/>
      <c r="K710" s="242" t="s">
        <v>8</v>
      </c>
      <c r="L710" s="243">
        <v>6529487.25</v>
      </c>
    </row>
    <row r="711" spans="1:12" ht="61.2" hidden="1" x14ac:dyDescent="0.3">
      <c r="A711" s="237" t="s">
        <v>537</v>
      </c>
      <c r="B711" s="238" t="s">
        <v>1991</v>
      </c>
      <c r="C711" s="238" t="s">
        <v>2038</v>
      </c>
      <c r="D711" s="238" t="s">
        <v>1913</v>
      </c>
      <c r="E711" s="239" t="s">
        <v>751</v>
      </c>
      <c r="F711" s="240">
        <v>1988.8</v>
      </c>
      <c r="G711" s="240"/>
      <c r="H711" s="239" t="s">
        <v>14</v>
      </c>
      <c r="I711" s="241" t="s">
        <v>15</v>
      </c>
      <c r="J711" s="241"/>
      <c r="K711" s="242" t="s">
        <v>8</v>
      </c>
      <c r="L711" s="243">
        <v>6531476.0499999998</v>
      </c>
    </row>
    <row r="712" spans="1:12" ht="51" hidden="1" x14ac:dyDescent="0.3">
      <c r="A712" s="237" t="s">
        <v>537</v>
      </c>
      <c r="B712" s="238" t="s">
        <v>1991</v>
      </c>
      <c r="C712" s="238" t="s">
        <v>2039</v>
      </c>
      <c r="D712" s="238" t="s">
        <v>1913</v>
      </c>
      <c r="E712" s="239" t="s">
        <v>751</v>
      </c>
      <c r="F712" s="240">
        <v>53065.599999999999</v>
      </c>
      <c r="G712" s="240"/>
      <c r="H712" s="239" t="s">
        <v>14</v>
      </c>
      <c r="I712" s="241" t="s">
        <v>15</v>
      </c>
      <c r="J712" s="241"/>
      <c r="K712" s="242" t="s">
        <v>8</v>
      </c>
      <c r="L712" s="243">
        <v>6584541.6500000004</v>
      </c>
    </row>
    <row r="713" spans="1:12" ht="51" hidden="1" x14ac:dyDescent="0.3">
      <c r="A713" s="237" t="s">
        <v>537</v>
      </c>
      <c r="B713" s="238" t="s">
        <v>1991</v>
      </c>
      <c r="C713" s="238" t="s">
        <v>2040</v>
      </c>
      <c r="D713" s="238" t="s">
        <v>1913</v>
      </c>
      <c r="E713" s="239" t="s">
        <v>751</v>
      </c>
      <c r="F713" s="244">
        <v>537.29999999999995</v>
      </c>
      <c r="G713" s="244"/>
      <c r="H713" s="239" t="s">
        <v>14</v>
      </c>
      <c r="I713" s="241" t="s">
        <v>15</v>
      </c>
      <c r="J713" s="241"/>
      <c r="K713" s="242" t="s">
        <v>8</v>
      </c>
      <c r="L713" s="243">
        <v>6585078.9500000002</v>
      </c>
    </row>
    <row r="714" spans="1:12" ht="61.2" hidden="1" x14ac:dyDescent="0.3">
      <c r="A714" s="237" t="s">
        <v>537</v>
      </c>
      <c r="B714" s="238" t="s">
        <v>1991</v>
      </c>
      <c r="C714" s="238" t="s">
        <v>1945</v>
      </c>
      <c r="D714" s="238" t="s">
        <v>1913</v>
      </c>
      <c r="E714" s="239" t="s">
        <v>751</v>
      </c>
      <c r="F714" s="240">
        <v>77178.2</v>
      </c>
      <c r="G714" s="240"/>
      <c r="H714" s="239" t="s">
        <v>14</v>
      </c>
      <c r="I714" s="241" t="s">
        <v>15</v>
      </c>
      <c r="J714" s="241"/>
      <c r="K714" s="242" t="s">
        <v>8</v>
      </c>
      <c r="L714" s="243">
        <v>6662257.1500000004</v>
      </c>
    </row>
    <row r="715" spans="1:12" ht="61.2" hidden="1" x14ac:dyDescent="0.3">
      <c r="A715" s="237" t="s">
        <v>537</v>
      </c>
      <c r="B715" s="238" t="s">
        <v>1991</v>
      </c>
      <c r="C715" s="238" t="s">
        <v>2041</v>
      </c>
      <c r="D715" s="238" t="s">
        <v>1913</v>
      </c>
      <c r="E715" s="239" t="s">
        <v>751</v>
      </c>
      <c r="F715" s="240">
        <v>1993.4</v>
      </c>
      <c r="G715" s="240"/>
      <c r="H715" s="239" t="s">
        <v>14</v>
      </c>
      <c r="I715" s="241" t="s">
        <v>15</v>
      </c>
      <c r="J715" s="241"/>
      <c r="K715" s="242" t="s">
        <v>8</v>
      </c>
      <c r="L715" s="243">
        <v>6664250.5499999998</v>
      </c>
    </row>
    <row r="716" spans="1:12" ht="61.2" hidden="1" x14ac:dyDescent="0.3">
      <c r="A716" s="237" t="s">
        <v>537</v>
      </c>
      <c r="B716" s="238" t="s">
        <v>1991</v>
      </c>
      <c r="C716" s="238" t="s">
        <v>2042</v>
      </c>
      <c r="D716" s="238" t="s">
        <v>1913</v>
      </c>
      <c r="E716" s="239" t="s">
        <v>751</v>
      </c>
      <c r="F716" s="240">
        <v>2644.7</v>
      </c>
      <c r="G716" s="240"/>
      <c r="H716" s="239" t="s">
        <v>14</v>
      </c>
      <c r="I716" s="241" t="s">
        <v>15</v>
      </c>
      <c r="J716" s="241"/>
      <c r="K716" s="242" t="s">
        <v>8</v>
      </c>
      <c r="L716" s="243">
        <v>6666895.25</v>
      </c>
    </row>
    <row r="717" spans="1:12" ht="61.2" hidden="1" x14ac:dyDescent="0.3">
      <c r="A717" s="237" t="s">
        <v>537</v>
      </c>
      <c r="B717" s="238" t="s">
        <v>1991</v>
      </c>
      <c r="C717" s="238" t="s">
        <v>2043</v>
      </c>
      <c r="D717" s="238" t="s">
        <v>1913</v>
      </c>
      <c r="E717" s="239" t="s">
        <v>751</v>
      </c>
      <c r="F717" s="240">
        <v>2678.6</v>
      </c>
      <c r="G717" s="240"/>
      <c r="H717" s="239" t="s">
        <v>14</v>
      </c>
      <c r="I717" s="241" t="s">
        <v>15</v>
      </c>
      <c r="J717" s="241"/>
      <c r="K717" s="242" t="s">
        <v>8</v>
      </c>
      <c r="L717" s="243">
        <v>6669573.8499999996</v>
      </c>
    </row>
    <row r="718" spans="1:12" ht="61.2" hidden="1" x14ac:dyDescent="0.3">
      <c r="A718" s="237" t="s">
        <v>537</v>
      </c>
      <c r="B718" s="238" t="s">
        <v>1991</v>
      </c>
      <c r="C718" s="238" t="s">
        <v>2044</v>
      </c>
      <c r="D718" s="238" t="s">
        <v>1913</v>
      </c>
      <c r="E718" s="239" t="s">
        <v>751</v>
      </c>
      <c r="F718" s="240">
        <v>3849.6</v>
      </c>
      <c r="G718" s="240"/>
      <c r="H718" s="239" t="s">
        <v>14</v>
      </c>
      <c r="I718" s="241" t="s">
        <v>15</v>
      </c>
      <c r="J718" s="241"/>
      <c r="K718" s="242" t="s">
        <v>8</v>
      </c>
      <c r="L718" s="243">
        <v>6673423.4500000002</v>
      </c>
    </row>
    <row r="719" spans="1:12" ht="61.2" hidden="1" x14ac:dyDescent="0.3">
      <c r="A719" s="237" t="s">
        <v>537</v>
      </c>
      <c r="B719" s="238" t="s">
        <v>1991</v>
      </c>
      <c r="C719" s="238" t="s">
        <v>1964</v>
      </c>
      <c r="D719" s="238" t="s">
        <v>1913</v>
      </c>
      <c r="E719" s="239" t="s">
        <v>751</v>
      </c>
      <c r="F719" s="240">
        <v>38881</v>
      </c>
      <c r="G719" s="240"/>
      <c r="H719" s="239" t="s">
        <v>14</v>
      </c>
      <c r="I719" s="241" t="s">
        <v>15</v>
      </c>
      <c r="J719" s="241"/>
      <c r="K719" s="242" t="s">
        <v>8</v>
      </c>
      <c r="L719" s="243">
        <v>6712304.4500000002</v>
      </c>
    </row>
    <row r="720" spans="1:12" ht="61.2" hidden="1" x14ac:dyDescent="0.3">
      <c r="A720" s="237" t="s">
        <v>537</v>
      </c>
      <c r="B720" s="238" t="s">
        <v>1991</v>
      </c>
      <c r="C720" s="238" t="s">
        <v>2045</v>
      </c>
      <c r="D720" s="238" t="s">
        <v>1913</v>
      </c>
      <c r="E720" s="239" t="s">
        <v>751</v>
      </c>
      <c r="F720" s="240">
        <v>11890.8</v>
      </c>
      <c r="G720" s="240"/>
      <c r="H720" s="239" t="s">
        <v>14</v>
      </c>
      <c r="I720" s="241" t="s">
        <v>15</v>
      </c>
      <c r="J720" s="241"/>
      <c r="K720" s="242" t="s">
        <v>8</v>
      </c>
      <c r="L720" s="243">
        <v>6724195.25</v>
      </c>
    </row>
    <row r="721" spans="1:12" ht="61.2" hidden="1" x14ac:dyDescent="0.3">
      <c r="A721" s="237" t="s">
        <v>537</v>
      </c>
      <c r="B721" s="238" t="s">
        <v>1991</v>
      </c>
      <c r="C721" s="238" t="s">
        <v>1964</v>
      </c>
      <c r="D721" s="238" t="s">
        <v>1913</v>
      </c>
      <c r="E721" s="239" t="s">
        <v>751</v>
      </c>
      <c r="F721" s="240">
        <v>3684.6</v>
      </c>
      <c r="G721" s="240"/>
      <c r="H721" s="239" t="s">
        <v>14</v>
      </c>
      <c r="I721" s="241" t="s">
        <v>15</v>
      </c>
      <c r="J721" s="241"/>
      <c r="K721" s="242" t="s">
        <v>8</v>
      </c>
      <c r="L721" s="243">
        <v>6727879.8499999996</v>
      </c>
    </row>
    <row r="722" spans="1:12" ht="61.2" hidden="1" x14ac:dyDescent="0.3">
      <c r="A722" s="237" t="s">
        <v>537</v>
      </c>
      <c r="B722" s="238" t="s">
        <v>1991</v>
      </c>
      <c r="C722" s="238" t="s">
        <v>1956</v>
      </c>
      <c r="D722" s="238" t="s">
        <v>1913</v>
      </c>
      <c r="E722" s="239" t="s">
        <v>751</v>
      </c>
      <c r="F722" s="240">
        <v>7395.4</v>
      </c>
      <c r="G722" s="240"/>
      <c r="H722" s="239" t="s">
        <v>14</v>
      </c>
      <c r="I722" s="241" t="s">
        <v>15</v>
      </c>
      <c r="J722" s="241"/>
      <c r="K722" s="242" t="s">
        <v>8</v>
      </c>
      <c r="L722" s="243">
        <v>6735275.25</v>
      </c>
    </row>
    <row r="723" spans="1:12" ht="61.2" hidden="1" x14ac:dyDescent="0.3">
      <c r="A723" s="237" t="s">
        <v>537</v>
      </c>
      <c r="B723" s="238" t="s">
        <v>1991</v>
      </c>
      <c r="C723" s="238" t="s">
        <v>2032</v>
      </c>
      <c r="D723" s="238" t="s">
        <v>1913</v>
      </c>
      <c r="E723" s="239" t="s">
        <v>751</v>
      </c>
      <c r="F723" s="240">
        <v>1609.5</v>
      </c>
      <c r="G723" s="240"/>
      <c r="H723" s="239" t="s">
        <v>14</v>
      </c>
      <c r="I723" s="241" t="s">
        <v>15</v>
      </c>
      <c r="J723" s="241"/>
      <c r="K723" s="242" t="s">
        <v>8</v>
      </c>
      <c r="L723" s="243">
        <v>6736884.75</v>
      </c>
    </row>
    <row r="724" spans="1:12" ht="61.2" hidden="1" x14ac:dyDescent="0.3">
      <c r="A724" s="237" t="s">
        <v>537</v>
      </c>
      <c r="B724" s="238" t="s">
        <v>1991</v>
      </c>
      <c r="C724" s="238" t="s">
        <v>2046</v>
      </c>
      <c r="D724" s="238" t="s">
        <v>1913</v>
      </c>
      <c r="E724" s="239" t="s">
        <v>751</v>
      </c>
      <c r="F724" s="240">
        <v>2213.8000000000002</v>
      </c>
      <c r="G724" s="240"/>
      <c r="H724" s="239" t="s">
        <v>14</v>
      </c>
      <c r="I724" s="241" t="s">
        <v>15</v>
      </c>
      <c r="J724" s="241"/>
      <c r="K724" s="242" t="s">
        <v>8</v>
      </c>
      <c r="L724" s="243">
        <v>6739098.5499999998</v>
      </c>
    </row>
    <row r="725" spans="1:12" ht="61.2" hidden="1" x14ac:dyDescent="0.3">
      <c r="A725" s="237" t="s">
        <v>537</v>
      </c>
      <c r="B725" s="238" t="s">
        <v>1991</v>
      </c>
      <c r="C725" s="238" t="s">
        <v>2047</v>
      </c>
      <c r="D725" s="238" t="s">
        <v>1913</v>
      </c>
      <c r="E725" s="239" t="s">
        <v>751</v>
      </c>
      <c r="F725" s="240">
        <v>10239.9</v>
      </c>
      <c r="G725" s="240"/>
      <c r="H725" s="239" t="s">
        <v>14</v>
      </c>
      <c r="I725" s="241" t="s">
        <v>15</v>
      </c>
      <c r="J725" s="241"/>
      <c r="K725" s="242" t="s">
        <v>8</v>
      </c>
      <c r="L725" s="243">
        <v>6749338.4500000002</v>
      </c>
    </row>
    <row r="726" spans="1:12" ht="61.2" hidden="1" x14ac:dyDescent="0.3">
      <c r="A726" s="237" t="s">
        <v>537</v>
      </c>
      <c r="B726" s="238" t="s">
        <v>1991</v>
      </c>
      <c r="C726" s="238" t="s">
        <v>1950</v>
      </c>
      <c r="D726" s="238" t="s">
        <v>1913</v>
      </c>
      <c r="E726" s="239" t="s">
        <v>751</v>
      </c>
      <c r="F726" s="240">
        <v>21901.599999999999</v>
      </c>
      <c r="G726" s="240"/>
      <c r="H726" s="239" t="s">
        <v>14</v>
      </c>
      <c r="I726" s="241" t="s">
        <v>15</v>
      </c>
      <c r="J726" s="241"/>
      <c r="K726" s="242" t="s">
        <v>8</v>
      </c>
      <c r="L726" s="243">
        <v>6771240.0499999998</v>
      </c>
    </row>
    <row r="727" spans="1:12" ht="61.2" hidden="1" x14ac:dyDescent="0.3">
      <c r="A727" s="237" t="s">
        <v>537</v>
      </c>
      <c r="B727" s="238" t="s">
        <v>1991</v>
      </c>
      <c r="C727" s="238" t="s">
        <v>2048</v>
      </c>
      <c r="D727" s="238" t="s">
        <v>1913</v>
      </c>
      <c r="E727" s="239" t="s">
        <v>751</v>
      </c>
      <c r="F727" s="240">
        <v>3787.8</v>
      </c>
      <c r="G727" s="240"/>
      <c r="H727" s="239" t="s">
        <v>14</v>
      </c>
      <c r="I727" s="241" t="s">
        <v>15</v>
      </c>
      <c r="J727" s="241"/>
      <c r="K727" s="242" t="s">
        <v>8</v>
      </c>
      <c r="L727" s="243">
        <v>6775027.8499999996</v>
      </c>
    </row>
    <row r="728" spans="1:12" ht="61.2" hidden="1" x14ac:dyDescent="0.3">
      <c r="A728" s="237" t="s">
        <v>537</v>
      </c>
      <c r="B728" s="238" t="s">
        <v>1991</v>
      </c>
      <c r="C728" s="238" t="s">
        <v>2049</v>
      </c>
      <c r="D728" s="238" t="s">
        <v>1913</v>
      </c>
      <c r="E728" s="239" t="s">
        <v>751</v>
      </c>
      <c r="F728" s="240">
        <v>3114.9</v>
      </c>
      <c r="G728" s="240"/>
      <c r="H728" s="239" t="s">
        <v>14</v>
      </c>
      <c r="I728" s="241" t="s">
        <v>15</v>
      </c>
      <c r="J728" s="241"/>
      <c r="K728" s="242" t="s">
        <v>8</v>
      </c>
      <c r="L728" s="243">
        <v>6778142.75</v>
      </c>
    </row>
    <row r="729" spans="1:12" ht="61.2" hidden="1" x14ac:dyDescent="0.3">
      <c r="A729" s="237" t="s">
        <v>537</v>
      </c>
      <c r="B729" s="238" t="s">
        <v>1991</v>
      </c>
      <c r="C729" s="238" t="s">
        <v>2050</v>
      </c>
      <c r="D729" s="238" t="s">
        <v>1913</v>
      </c>
      <c r="E729" s="239" t="s">
        <v>751</v>
      </c>
      <c r="F729" s="240">
        <v>2748.8</v>
      </c>
      <c r="G729" s="240"/>
      <c r="H729" s="239" t="s">
        <v>14</v>
      </c>
      <c r="I729" s="241" t="s">
        <v>15</v>
      </c>
      <c r="J729" s="241"/>
      <c r="K729" s="242" t="s">
        <v>8</v>
      </c>
      <c r="L729" s="243">
        <v>6780891.5499999998</v>
      </c>
    </row>
    <row r="730" spans="1:12" ht="61.2" hidden="1" x14ac:dyDescent="0.3">
      <c r="A730" s="237" t="s">
        <v>537</v>
      </c>
      <c r="B730" s="238" t="s">
        <v>1991</v>
      </c>
      <c r="C730" s="238" t="s">
        <v>1947</v>
      </c>
      <c r="D730" s="238" t="s">
        <v>1913</v>
      </c>
      <c r="E730" s="239" t="s">
        <v>751</v>
      </c>
      <c r="F730" s="240">
        <v>6826.6</v>
      </c>
      <c r="G730" s="240"/>
      <c r="H730" s="239" t="s">
        <v>14</v>
      </c>
      <c r="I730" s="241" t="s">
        <v>15</v>
      </c>
      <c r="J730" s="241"/>
      <c r="K730" s="242" t="s">
        <v>8</v>
      </c>
      <c r="L730" s="243">
        <v>6787718.1500000004</v>
      </c>
    </row>
    <row r="731" spans="1:12" ht="61.2" hidden="1" x14ac:dyDescent="0.3">
      <c r="A731" s="237" t="s">
        <v>537</v>
      </c>
      <c r="B731" s="238" t="s">
        <v>1991</v>
      </c>
      <c r="C731" s="238" t="s">
        <v>1948</v>
      </c>
      <c r="D731" s="238" t="s">
        <v>1913</v>
      </c>
      <c r="E731" s="239" t="s">
        <v>751</v>
      </c>
      <c r="F731" s="240">
        <v>9955.2000000000007</v>
      </c>
      <c r="G731" s="240"/>
      <c r="H731" s="239" t="s">
        <v>14</v>
      </c>
      <c r="I731" s="241" t="s">
        <v>15</v>
      </c>
      <c r="J731" s="241"/>
      <c r="K731" s="242" t="s">
        <v>8</v>
      </c>
      <c r="L731" s="243">
        <v>6797673.3499999996</v>
      </c>
    </row>
    <row r="732" spans="1:12" ht="61.2" hidden="1" x14ac:dyDescent="0.3">
      <c r="A732" s="237" t="s">
        <v>537</v>
      </c>
      <c r="B732" s="238" t="s">
        <v>1991</v>
      </c>
      <c r="C732" s="238" t="s">
        <v>2051</v>
      </c>
      <c r="D732" s="238" t="s">
        <v>1913</v>
      </c>
      <c r="E732" s="239" t="s">
        <v>751</v>
      </c>
      <c r="F732" s="240">
        <v>10979.7</v>
      </c>
      <c r="G732" s="240"/>
      <c r="H732" s="239" t="s">
        <v>14</v>
      </c>
      <c r="I732" s="241" t="s">
        <v>15</v>
      </c>
      <c r="J732" s="241"/>
      <c r="K732" s="242" t="s">
        <v>8</v>
      </c>
      <c r="L732" s="243">
        <v>6808653.0499999998</v>
      </c>
    </row>
    <row r="733" spans="1:12" ht="61.2" hidden="1" x14ac:dyDescent="0.3">
      <c r="A733" s="237" t="s">
        <v>537</v>
      </c>
      <c r="B733" s="238" t="s">
        <v>1991</v>
      </c>
      <c r="C733" s="238" t="s">
        <v>2052</v>
      </c>
      <c r="D733" s="238" t="s">
        <v>1913</v>
      </c>
      <c r="E733" s="239" t="s">
        <v>751</v>
      </c>
      <c r="F733" s="240">
        <v>12233.1</v>
      </c>
      <c r="G733" s="240"/>
      <c r="H733" s="239" t="s">
        <v>14</v>
      </c>
      <c r="I733" s="241" t="s">
        <v>15</v>
      </c>
      <c r="J733" s="241"/>
      <c r="K733" s="242" t="s">
        <v>8</v>
      </c>
      <c r="L733" s="243">
        <v>6820886.1500000004</v>
      </c>
    </row>
    <row r="734" spans="1:12" ht="61.2" hidden="1" x14ac:dyDescent="0.3">
      <c r="A734" s="237" t="s">
        <v>537</v>
      </c>
      <c r="B734" s="238" t="s">
        <v>1991</v>
      </c>
      <c r="C734" s="238" t="s">
        <v>2053</v>
      </c>
      <c r="D734" s="238" t="s">
        <v>1913</v>
      </c>
      <c r="E734" s="239" t="s">
        <v>751</v>
      </c>
      <c r="F734" s="240">
        <v>8345</v>
      </c>
      <c r="G734" s="240"/>
      <c r="H734" s="239" t="s">
        <v>14</v>
      </c>
      <c r="I734" s="241" t="s">
        <v>15</v>
      </c>
      <c r="J734" s="241"/>
      <c r="K734" s="242" t="s">
        <v>8</v>
      </c>
      <c r="L734" s="243">
        <v>6829231.1500000004</v>
      </c>
    </row>
    <row r="735" spans="1:12" ht="61.2" hidden="1" x14ac:dyDescent="0.3">
      <c r="A735" s="237" t="s">
        <v>537</v>
      </c>
      <c r="B735" s="238" t="s">
        <v>1991</v>
      </c>
      <c r="C735" s="238" t="s">
        <v>2054</v>
      </c>
      <c r="D735" s="238" t="s">
        <v>1913</v>
      </c>
      <c r="E735" s="239" t="s">
        <v>751</v>
      </c>
      <c r="F735" s="240">
        <v>1473.8</v>
      </c>
      <c r="G735" s="240"/>
      <c r="H735" s="239" t="s">
        <v>14</v>
      </c>
      <c r="I735" s="241" t="s">
        <v>15</v>
      </c>
      <c r="J735" s="241"/>
      <c r="K735" s="242" t="s">
        <v>8</v>
      </c>
      <c r="L735" s="243">
        <v>6830704.9500000002</v>
      </c>
    </row>
    <row r="736" spans="1:12" ht="61.2" hidden="1" x14ac:dyDescent="0.3">
      <c r="A736" s="237" t="s">
        <v>537</v>
      </c>
      <c r="B736" s="238" t="s">
        <v>1991</v>
      </c>
      <c r="C736" s="238" t="s">
        <v>2055</v>
      </c>
      <c r="D736" s="238" t="s">
        <v>1913</v>
      </c>
      <c r="E736" s="239" t="s">
        <v>751</v>
      </c>
      <c r="F736" s="240">
        <v>11602.4</v>
      </c>
      <c r="G736" s="240"/>
      <c r="H736" s="239" t="s">
        <v>14</v>
      </c>
      <c r="I736" s="241" t="s">
        <v>15</v>
      </c>
      <c r="J736" s="241"/>
      <c r="K736" s="242" t="s">
        <v>8</v>
      </c>
      <c r="L736" s="243">
        <v>6842307.3499999996</v>
      </c>
    </row>
    <row r="737" spans="1:12" ht="61.2" hidden="1" x14ac:dyDescent="0.3">
      <c r="A737" s="237" t="s">
        <v>537</v>
      </c>
      <c r="B737" s="238" t="s">
        <v>1991</v>
      </c>
      <c r="C737" s="238" t="s">
        <v>2056</v>
      </c>
      <c r="D737" s="238" t="s">
        <v>1913</v>
      </c>
      <c r="E737" s="239" t="s">
        <v>751</v>
      </c>
      <c r="F737" s="240">
        <v>167983.8</v>
      </c>
      <c r="G737" s="240"/>
      <c r="H737" s="239" t="s">
        <v>14</v>
      </c>
      <c r="I737" s="241" t="s">
        <v>15</v>
      </c>
      <c r="J737" s="241"/>
      <c r="K737" s="242" t="s">
        <v>8</v>
      </c>
      <c r="L737" s="243">
        <v>7010291.1500000004</v>
      </c>
    </row>
    <row r="738" spans="1:12" ht="61.2" hidden="1" x14ac:dyDescent="0.3">
      <c r="A738" s="237" t="s">
        <v>537</v>
      </c>
      <c r="B738" s="238" t="s">
        <v>1991</v>
      </c>
      <c r="C738" s="238" t="s">
        <v>2057</v>
      </c>
      <c r="D738" s="238" t="s">
        <v>1913</v>
      </c>
      <c r="E738" s="239" t="s">
        <v>751</v>
      </c>
      <c r="F738" s="240">
        <v>2258.5</v>
      </c>
      <c r="G738" s="240"/>
      <c r="H738" s="239" t="s">
        <v>14</v>
      </c>
      <c r="I738" s="241" t="s">
        <v>15</v>
      </c>
      <c r="J738" s="241"/>
      <c r="K738" s="242" t="s">
        <v>8</v>
      </c>
      <c r="L738" s="243">
        <v>7012549.6500000004</v>
      </c>
    </row>
    <row r="739" spans="1:12" ht="61.2" hidden="1" x14ac:dyDescent="0.3">
      <c r="A739" s="237" t="s">
        <v>537</v>
      </c>
      <c r="B739" s="238" t="s">
        <v>1991</v>
      </c>
      <c r="C739" s="238" t="s">
        <v>2058</v>
      </c>
      <c r="D739" s="238" t="s">
        <v>1913</v>
      </c>
      <c r="E739" s="239" t="s">
        <v>751</v>
      </c>
      <c r="F739" s="240">
        <v>61165.5</v>
      </c>
      <c r="G739" s="240"/>
      <c r="H739" s="239" t="s">
        <v>14</v>
      </c>
      <c r="I739" s="241" t="s">
        <v>15</v>
      </c>
      <c r="J739" s="241"/>
      <c r="K739" s="242" t="s">
        <v>8</v>
      </c>
      <c r="L739" s="243">
        <v>7073715.1500000004</v>
      </c>
    </row>
    <row r="740" spans="1:12" ht="61.2" hidden="1" x14ac:dyDescent="0.3">
      <c r="A740" s="237" t="s">
        <v>537</v>
      </c>
      <c r="B740" s="238" t="s">
        <v>1991</v>
      </c>
      <c r="C740" s="238" t="s">
        <v>2059</v>
      </c>
      <c r="D740" s="238" t="s">
        <v>1913</v>
      </c>
      <c r="E740" s="239" t="s">
        <v>751</v>
      </c>
      <c r="F740" s="240">
        <v>2028.8</v>
      </c>
      <c r="G740" s="240"/>
      <c r="H740" s="239" t="s">
        <v>14</v>
      </c>
      <c r="I740" s="241" t="s">
        <v>15</v>
      </c>
      <c r="J740" s="241"/>
      <c r="K740" s="242" t="s">
        <v>8</v>
      </c>
      <c r="L740" s="243">
        <v>7075743.9500000002</v>
      </c>
    </row>
    <row r="741" spans="1:12" ht="61.2" hidden="1" x14ac:dyDescent="0.3">
      <c r="A741" s="237" t="s">
        <v>537</v>
      </c>
      <c r="B741" s="238" t="s">
        <v>1991</v>
      </c>
      <c r="C741" s="238" t="s">
        <v>2060</v>
      </c>
      <c r="D741" s="238" t="s">
        <v>1913</v>
      </c>
      <c r="E741" s="239" t="s">
        <v>751</v>
      </c>
      <c r="F741" s="240">
        <v>51207.6</v>
      </c>
      <c r="G741" s="240"/>
      <c r="H741" s="239" t="s">
        <v>14</v>
      </c>
      <c r="I741" s="241" t="s">
        <v>15</v>
      </c>
      <c r="J741" s="241"/>
      <c r="K741" s="242" t="s">
        <v>8</v>
      </c>
      <c r="L741" s="243">
        <v>7126951.5499999998</v>
      </c>
    </row>
    <row r="742" spans="1:12" ht="51" hidden="1" x14ac:dyDescent="0.3">
      <c r="A742" s="237" t="s">
        <v>537</v>
      </c>
      <c r="B742" s="238" t="s">
        <v>2061</v>
      </c>
      <c r="C742" s="238" t="s">
        <v>2062</v>
      </c>
      <c r="D742" s="238" t="s">
        <v>2063</v>
      </c>
      <c r="E742" s="239" t="s">
        <v>751</v>
      </c>
      <c r="F742" s="240">
        <v>94560</v>
      </c>
      <c r="G742" s="240"/>
      <c r="H742" s="239" t="s">
        <v>14</v>
      </c>
      <c r="I742" s="241" t="s">
        <v>15</v>
      </c>
      <c r="J742" s="241"/>
      <c r="K742" s="242" t="s">
        <v>8</v>
      </c>
      <c r="L742" s="243">
        <v>1247130.96</v>
      </c>
    </row>
    <row r="743" spans="1:12" ht="51" hidden="1" x14ac:dyDescent="0.3">
      <c r="A743" s="237" t="s">
        <v>537</v>
      </c>
      <c r="B743" s="238" t="s">
        <v>2064</v>
      </c>
      <c r="C743" s="238" t="s">
        <v>2062</v>
      </c>
      <c r="D743" s="238" t="s">
        <v>2065</v>
      </c>
      <c r="E743" s="239" t="s">
        <v>751</v>
      </c>
      <c r="F743" s="240">
        <v>29480</v>
      </c>
      <c r="G743" s="240"/>
      <c r="H743" s="239" t="s">
        <v>14</v>
      </c>
      <c r="I743" s="241" t="s">
        <v>15</v>
      </c>
      <c r="J743" s="241"/>
      <c r="K743" s="242" t="s">
        <v>8</v>
      </c>
      <c r="L743" s="243">
        <v>1276610.96</v>
      </c>
    </row>
    <row r="744" spans="1:12" ht="61.2" hidden="1" x14ac:dyDescent="0.3">
      <c r="A744" s="237" t="s">
        <v>537</v>
      </c>
      <c r="B744" s="238" t="s">
        <v>2066</v>
      </c>
      <c r="C744" s="238" t="s">
        <v>2067</v>
      </c>
      <c r="D744" s="238" t="s">
        <v>2068</v>
      </c>
      <c r="E744" s="239" t="s">
        <v>751</v>
      </c>
      <c r="F744" s="240">
        <v>121564.54</v>
      </c>
      <c r="G744" s="240"/>
      <c r="H744" s="239" t="s">
        <v>14</v>
      </c>
      <c r="I744" s="241" t="s">
        <v>15</v>
      </c>
      <c r="J744" s="241"/>
      <c r="K744" s="242" t="s">
        <v>8</v>
      </c>
      <c r="L744" s="243">
        <v>2650929.33</v>
      </c>
    </row>
    <row r="745" spans="1:12" ht="61.2" hidden="1" x14ac:dyDescent="0.3">
      <c r="A745" s="237" t="s">
        <v>537</v>
      </c>
      <c r="B745" s="238" t="s">
        <v>2066</v>
      </c>
      <c r="C745" s="238" t="s">
        <v>2069</v>
      </c>
      <c r="D745" s="238" t="s">
        <v>2068</v>
      </c>
      <c r="E745" s="239" t="s">
        <v>751</v>
      </c>
      <c r="F745" s="240">
        <v>1351.52</v>
      </c>
      <c r="G745" s="240"/>
      <c r="H745" s="239" t="s">
        <v>14</v>
      </c>
      <c r="I745" s="241" t="s">
        <v>15</v>
      </c>
      <c r="J745" s="241"/>
      <c r="K745" s="242" t="s">
        <v>8</v>
      </c>
      <c r="L745" s="243">
        <v>2652280.85</v>
      </c>
    </row>
    <row r="746" spans="1:12" ht="61.2" hidden="1" x14ac:dyDescent="0.3">
      <c r="A746" s="237" t="s">
        <v>537</v>
      </c>
      <c r="B746" s="238" t="s">
        <v>2070</v>
      </c>
      <c r="C746" s="238" t="s">
        <v>2071</v>
      </c>
      <c r="D746" s="238" t="s">
        <v>2068</v>
      </c>
      <c r="E746" s="239" t="s">
        <v>751</v>
      </c>
      <c r="F746" s="240">
        <v>30797.31</v>
      </c>
      <c r="G746" s="240"/>
      <c r="H746" s="239" t="s">
        <v>14</v>
      </c>
      <c r="I746" s="241" t="s">
        <v>15</v>
      </c>
      <c r="J746" s="241"/>
      <c r="K746" s="242" t="s">
        <v>8</v>
      </c>
      <c r="L746" s="243">
        <v>2683078.16</v>
      </c>
    </row>
    <row r="747" spans="1:12" ht="61.2" hidden="1" x14ac:dyDescent="0.3">
      <c r="A747" s="237" t="s">
        <v>537</v>
      </c>
      <c r="B747" s="238" t="s">
        <v>2072</v>
      </c>
      <c r="C747" s="238" t="s">
        <v>2071</v>
      </c>
      <c r="D747" s="238" t="s">
        <v>2068</v>
      </c>
      <c r="E747" s="239" t="s">
        <v>751</v>
      </c>
      <c r="F747" s="240">
        <v>1639.17</v>
      </c>
      <c r="G747" s="240"/>
      <c r="H747" s="239" t="s">
        <v>14</v>
      </c>
      <c r="I747" s="241" t="s">
        <v>15</v>
      </c>
      <c r="J747" s="241"/>
      <c r="K747" s="242" t="s">
        <v>8</v>
      </c>
      <c r="L747" s="243">
        <v>2684717.33</v>
      </c>
    </row>
    <row r="748" spans="1:12" ht="51" hidden="1" x14ac:dyDescent="0.3">
      <c r="A748" s="237" t="s">
        <v>102</v>
      </c>
      <c r="B748" s="238" t="s">
        <v>2073</v>
      </c>
      <c r="C748" s="238" t="s">
        <v>2074</v>
      </c>
      <c r="D748" s="238" t="s">
        <v>2075</v>
      </c>
      <c r="E748" s="239" t="s">
        <v>751</v>
      </c>
      <c r="F748" s="240">
        <v>19837.02</v>
      </c>
      <c r="G748" s="240"/>
      <c r="H748" s="239" t="s">
        <v>14</v>
      </c>
      <c r="I748" s="241" t="s">
        <v>15</v>
      </c>
      <c r="J748" s="241"/>
      <c r="K748" s="242" t="s">
        <v>8</v>
      </c>
      <c r="L748" s="243">
        <v>1144810.1499999999</v>
      </c>
    </row>
    <row r="749" spans="1:12" ht="51" hidden="1" x14ac:dyDescent="0.3">
      <c r="A749" s="237" t="s">
        <v>102</v>
      </c>
      <c r="B749" s="238" t="s">
        <v>2073</v>
      </c>
      <c r="C749" s="238" t="s">
        <v>2076</v>
      </c>
      <c r="D749" s="238" t="s">
        <v>2075</v>
      </c>
      <c r="E749" s="239" t="s">
        <v>751</v>
      </c>
      <c r="F749" s="240">
        <v>1829.65</v>
      </c>
      <c r="G749" s="240"/>
      <c r="H749" s="239" t="s">
        <v>14</v>
      </c>
      <c r="I749" s="241" t="s">
        <v>15</v>
      </c>
      <c r="J749" s="241"/>
      <c r="K749" s="242" t="s">
        <v>8</v>
      </c>
      <c r="L749" s="243">
        <v>1146639.8</v>
      </c>
    </row>
    <row r="750" spans="1:12" ht="51" hidden="1" x14ac:dyDescent="0.3">
      <c r="A750" s="237" t="s">
        <v>102</v>
      </c>
      <c r="B750" s="238" t="s">
        <v>2077</v>
      </c>
      <c r="C750" s="238" t="s">
        <v>2074</v>
      </c>
      <c r="D750" s="238" t="s">
        <v>2075</v>
      </c>
      <c r="E750" s="239" t="s">
        <v>751</v>
      </c>
      <c r="F750" s="240">
        <v>296925</v>
      </c>
      <c r="G750" s="240"/>
      <c r="H750" s="239" t="s">
        <v>14</v>
      </c>
      <c r="I750" s="241" t="s">
        <v>15</v>
      </c>
      <c r="J750" s="241"/>
      <c r="K750" s="242" t="s">
        <v>8</v>
      </c>
      <c r="L750" s="243">
        <v>1443564.8</v>
      </c>
    </row>
    <row r="751" spans="1:12" ht="51" hidden="1" x14ac:dyDescent="0.3">
      <c r="A751" s="237" t="s">
        <v>102</v>
      </c>
      <c r="B751" s="238" t="s">
        <v>2077</v>
      </c>
      <c r="C751" s="238" t="s">
        <v>2076</v>
      </c>
      <c r="D751" s="238" t="s">
        <v>2075</v>
      </c>
      <c r="E751" s="239" t="s">
        <v>751</v>
      </c>
      <c r="F751" s="240">
        <v>27386.67</v>
      </c>
      <c r="G751" s="240"/>
      <c r="H751" s="239" t="s">
        <v>14</v>
      </c>
      <c r="I751" s="241" t="s">
        <v>15</v>
      </c>
      <c r="J751" s="241"/>
      <c r="K751" s="242" t="s">
        <v>8</v>
      </c>
      <c r="L751" s="243">
        <v>1470951.47</v>
      </c>
    </row>
    <row r="752" spans="1:12" ht="51" hidden="1" x14ac:dyDescent="0.3">
      <c r="A752" s="237" t="s">
        <v>102</v>
      </c>
      <c r="B752" s="238" t="s">
        <v>2078</v>
      </c>
      <c r="C752" s="238" t="s">
        <v>2079</v>
      </c>
      <c r="D752" s="238" t="s">
        <v>2080</v>
      </c>
      <c r="E752" s="239" t="s">
        <v>751</v>
      </c>
      <c r="F752" s="240">
        <v>4335</v>
      </c>
      <c r="G752" s="240"/>
      <c r="H752" s="239" t="s">
        <v>14</v>
      </c>
      <c r="I752" s="241" t="s">
        <v>15</v>
      </c>
      <c r="J752" s="241"/>
      <c r="K752" s="242" t="s">
        <v>8</v>
      </c>
      <c r="L752" s="243">
        <v>231435.51999999999</v>
      </c>
    </row>
    <row r="753" spans="1:12" ht="51" hidden="1" x14ac:dyDescent="0.3">
      <c r="A753" s="237" t="s">
        <v>102</v>
      </c>
      <c r="B753" s="238" t="s">
        <v>2078</v>
      </c>
      <c r="C753" s="238" t="s">
        <v>2081</v>
      </c>
      <c r="D753" s="238" t="s">
        <v>2080</v>
      </c>
      <c r="E753" s="239" t="s">
        <v>751</v>
      </c>
      <c r="F753" s="240">
        <v>8531.34</v>
      </c>
      <c r="G753" s="240"/>
      <c r="H753" s="239" t="s">
        <v>14</v>
      </c>
      <c r="I753" s="241" t="s">
        <v>15</v>
      </c>
      <c r="J753" s="241"/>
      <c r="K753" s="242" t="s">
        <v>8</v>
      </c>
      <c r="L753" s="243">
        <v>239966.86</v>
      </c>
    </row>
    <row r="754" spans="1:12" ht="51" hidden="1" x14ac:dyDescent="0.3">
      <c r="A754" s="237" t="s">
        <v>102</v>
      </c>
      <c r="B754" s="238" t="s">
        <v>2082</v>
      </c>
      <c r="C754" s="238" t="s">
        <v>2083</v>
      </c>
      <c r="D754" s="238" t="s">
        <v>2084</v>
      </c>
      <c r="E754" s="239" t="s">
        <v>751</v>
      </c>
      <c r="F754" s="240">
        <v>132975</v>
      </c>
      <c r="G754" s="240"/>
      <c r="H754" s="239" t="s">
        <v>14</v>
      </c>
      <c r="I754" s="241" t="s">
        <v>15</v>
      </c>
      <c r="J754" s="241"/>
      <c r="K754" s="242" t="s">
        <v>8</v>
      </c>
      <c r="L754" s="243">
        <v>897824.01</v>
      </c>
    </row>
    <row r="755" spans="1:12" ht="51" hidden="1" x14ac:dyDescent="0.3">
      <c r="A755" s="237" t="s">
        <v>102</v>
      </c>
      <c r="B755" s="238" t="s">
        <v>2082</v>
      </c>
      <c r="C755" s="238" t="s">
        <v>2085</v>
      </c>
      <c r="D755" s="238" t="s">
        <v>2084</v>
      </c>
      <c r="E755" s="239" t="s">
        <v>751</v>
      </c>
      <c r="F755" s="240">
        <v>26280</v>
      </c>
      <c r="G755" s="240"/>
      <c r="H755" s="239" t="s">
        <v>14</v>
      </c>
      <c r="I755" s="241" t="s">
        <v>15</v>
      </c>
      <c r="J755" s="241"/>
      <c r="K755" s="242" t="s">
        <v>8</v>
      </c>
      <c r="L755" s="243">
        <v>924104.01</v>
      </c>
    </row>
    <row r="756" spans="1:12" ht="51" hidden="1" x14ac:dyDescent="0.3">
      <c r="A756" s="237" t="s">
        <v>102</v>
      </c>
      <c r="B756" s="238" t="s">
        <v>2086</v>
      </c>
      <c r="C756" s="238" t="s">
        <v>2083</v>
      </c>
      <c r="D756" s="238" t="s">
        <v>2087</v>
      </c>
      <c r="E756" s="239" t="s">
        <v>751</v>
      </c>
      <c r="F756" s="240">
        <v>40022.76</v>
      </c>
      <c r="G756" s="240"/>
      <c r="H756" s="239" t="s">
        <v>14</v>
      </c>
      <c r="I756" s="241" t="s">
        <v>15</v>
      </c>
      <c r="J756" s="241"/>
      <c r="K756" s="242" t="s">
        <v>8</v>
      </c>
      <c r="L756" s="243">
        <v>964126.77</v>
      </c>
    </row>
    <row r="757" spans="1:12" ht="51" hidden="1" x14ac:dyDescent="0.3">
      <c r="A757" s="237" t="s">
        <v>102</v>
      </c>
      <c r="B757" s="238" t="s">
        <v>2086</v>
      </c>
      <c r="C757" s="238" t="s">
        <v>2085</v>
      </c>
      <c r="D757" s="238" t="s">
        <v>2087</v>
      </c>
      <c r="E757" s="239" t="s">
        <v>751</v>
      </c>
      <c r="F757" s="240">
        <v>7909.74</v>
      </c>
      <c r="G757" s="240"/>
      <c r="H757" s="239" t="s">
        <v>14</v>
      </c>
      <c r="I757" s="241" t="s">
        <v>15</v>
      </c>
      <c r="J757" s="241"/>
      <c r="K757" s="242" t="s">
        <v>8</v>
      </c>
      <c r="L757" s="243">
        <v>972036.51</v>
      </c>
    </row>
    <row r="758" spans="1:12" ht="51" hidden="1" x14ac:dyDescent="0.3">
      <c r="A758" s="237" t="s">
        <v>102</v>
      </c>
      <c r="B758" s="238" t="s">
        <v>2088</v>
      </c>
      <c r="C758" s="238" t="s">
        <v>2089</v>
      </c>
      <c r="D758" s="238" t="s">
        <v>2083</v>
      </c>
      <c r="E758" s="239" t="s">
        <v>751</v>
      </c>
      <c r="F758" s="240">
        <v>111487.45</v>
      </c>
      <c r="G758" s="240"/>
      <c r="H758" s="239" t="s">
        <v>751</v>
      </c>
      <c r="I758" s="241" t="s">
        <v>15</v>
      </c>
      <c r="J758" s="241"/>
      <c r="K758" s="242" t="s">
        <v>8</v>
      </c>
      <c r="L758" s="243">
        <v>7238439</v>
      </c>
    </row>
    <row r="759" spans="1:12" ht="51" hidden="1" x14ac:dyDescent="0.3">
      <c r="A759" s="237" t="s">
        <v>102</v>
      </c>
      <c r="B759" s="238" t="s">
        <v>2088</v>
      </c>
      <c r="C759" s="238" t="s">
        <v>2089</v>
      </c>
      <c r="D759" s="238" t="s">
        <v>2083</v>
      </c>
      <c r="E759" s="239" t="s">
        <v>751</v>
      </c>
      <c r="F759" s="245" t="s">
        <v>15</v>
      </c>
      <c r="G759" s="245"/>
      <c r="H759" s="239" t="s">
        <v>751</v>
      </c>
      <c r="I759" s="246">
        <v>111487.45</v>
      </c>
      <c r="J759" s="246"/>
      <c r="K759" s="242" t="s">
        <v>8</v>
      </c>
      <c r="L759" s="243">
        <v>860549.06</v>
      </c>
    </row>
    <row r="760" spans="1:12" ht="51" hidden="1" x14ac:dyDescent="0.3">
      <c r="A760" s="237" t="s">
        <v>102</v>
      </c>
      <c r="B760" s="238" t="s">
        <v>2088</v>
      </c>
      <c r="C760" s="238" t="s">
        <v>2090</v>
      </c>
      <c r="D760" s="238" t="s">
        <v>2085</v>
      </c>
      <c r="E760" s="239" t="s">
        <v>751</v>
      </c>
      <c r="F760" s="240">
        <v>34189.74</v>
      </c>
      <c r="G760" s="240"/>
      <c r="H760" s="239" t="s">
        <v>751</v>
      </c>
      <c r="I760" s="241" t="s">
        <v>15</v>
      </c>
      <c r="J760" s="241"/>
      <c r="K760" s="242" t="s">
        <v>8</v>
      </c>
      <c r="L760" s="243">
        <v>7272628.7400000002</v>
      </c>
    </row>
    <row r="761" spans="1:12" ht="51" hidden="1" x14ac:dyDescent="0.3">
      <c r="A761" s="237" t="s">
        <v>102</v>
      </c>
      <c r="B761" s="238" t="s">
        <v>2088</v>
      </c>
      <c r="C761" s="238" t="s">
        <v>2090</v>
      </c>
      <c r="D761" s="238" t="s">
        <v>2085</v>
      </c>
      <c r="E761" s="239" t="s">
        <v>751</v>
      </c>
      <c r="F761" s="245" t="s">
        <v>15</v>
      </c>
      <c r="G761" s="245"/>
      <c r="H761" s="239" t="s">
        <v>751</v>
      </c>
      <c r="I761" s="246">
        <v>34189.74</v>
      </c>
      <c r="J761" s="246"/>
      <c r="K761" s="242" t="s">
        <v>8</v>
      </c>
      <c r="L761" s="243">
        <v>826359.32</v>
      </c>
    </row>
    <row r="762" spans="1:12" ht="51" hidden="1" x14ac:dyDescent="0.3">
      <c r="A762" s="237" t="s">
        <v>102</v>
      </c>
      <c r="B762" s="238" t="s">
        <v>2091</v>
      </c>
      <c r="C762" s="238" t="s">
        <v>2092</v>
      </c>
      <c r="D762" s="238" t="s">
        <v>2083</v>
      </c>
      <c r="E762" s="239" t="s">
        <v>751</v>
      </c>
      <c r="F762" s="245" t="s">
        <v>15</v>
      </c>
      <c r="G762" s="245"/>
      <c r="H762" s="239" t="s">
        <v>751</v>
      </c>
      <c r="I762" s="246">
        <v>61510.31</v>
      </c>
      <c r="J762" s="246"/>
      <c r="K762" s="242" t="s">
        <v>8</v>
      </c>
      <c r="L762" s="243">
        <v>764849.01</v>
      </c>
    </row>
    <row r="763" spans="1:12" ht="51" hidden="1" x14ac:dyDescent="0.3">
      <c r="A763" s="237" t="s">
        <v>102</v>
      </c>
      <c r="B763" s="238" t="s">
        <v>2091</v>
      </c>
      <c r="C763" s="238" t="s">
        <v>2092</v>
      </c>
      <c r="D763" s="238" t="s">
        <v>2083</v>
      </c>
      <c r="E763" s="239" t="s">
        <v>751</v>
      </c>
      <c r="F763" s="240">
        <v>61510.31</v>
      </c>
      <c r="G763" s="240"/>
      <c r="H763" s="239" t="s">
        <v>751</v>
      </c>
      <c r="I763" s="241" t="s">
        <v>15</v>
      </c>
      <c r="J763" s="241"/>
      <c r="K763" s="242" t="s">
        <v>8</v>
      </c>
      <c r="L763" s="243">
        <v>1338121.27</v>
      </c>
    </row>
    <row r="764" spans="1:12" ht="51" hidden="1" x14ac:dyDescent="0.3">
      <c r="A764" s="237" t="s">
        <v>644</v>
      </c>
      <c r="B764" s="238" t="s">
        <v>2093</v>
      </c>
      <c r="C764" s="238" t="s">
        <v>2094</v>
      </c>
      <c r="D764" s="238" t="s">
        <v>2095</v>
      </c>
      <c r="E764" s="239" t="s">
        <v>751</v>
      </c>
      <c r="F764" s="244">
        <v>376.03</v>
      </c>
      <c r="G764" s="244"/>
      <c r="H764" s="239" t="s">
        <v>751</v>
      </c>
      <c r="I764" s="241" t="s">
        <v>15</v>
      </c>
      <c r="J764" s="241"/>
      <c r="K764" s="242" t="s">
        <v>8</v>
      </c>
      <c r="L764" s="243">
        <v>7273004.7699999996</v>
      </c>
    </row>
    <row r="765" spans="1:12" ht="51" hidden="1" x14ac:dyDescent="0.3">
      <c r="A765" s="237" t="s">
        <v>644</v>
      </c>
      <c r="B765" s="238" t="s">
        <v>2093</v>
      </c>
      <c r="C765" s="238" t="s">
        <v>2094</v>
      </c>
      <c r="D765" s="238" t="s">
        <v>2095</v>
      </c>
      <c r="E765" s="239" t="s">
        <v>751</v>
      </c>
      <c r="F765" s="245" t="s">
        <v>15</v>
      </c>
      <c r="G765" s="245"/>
      <c r="H765" s="239" t="s">
        <v>751</v>
      </c>
      <c r="I765" s="247">
        <v>376.03</v>
      </c>
      <c r="J765" s="247"/>
      <c r="K765" s="242" t="s">
        <v>8</v>
      </c>
      <c r="L765" s="243">
        <v>764472.98</v>
      </c>
    </row>
    <row r="766" spans="1:12" ht="61.2" hidden="1" x14ac:dyDescent="0.3">
      <c r="A766" s="237" t="s">
        <v>644</v>
      </c>
      <c r="B766" s="238" t="s">
        <v>2096</v>
      </c>
      <c r="C766" s="238" t="s">
        <v>2097</v>
      </c>
      <c r="D766" s="238" t="s">
        <v>2098</v>
      </c>
      <c r="E766" s="239" t="s">
        <v>751</v>
      </c>
      <c r="F766" s="244">
        <v>151.44</v>
      </c>
      <c r="G766" s="244"/>
      <c r="H766" s="239" t="s">
        <v>751</v>
      </c>
      <c r="I766" s="241" t="s">
        <v>15</v>
      </c>
      <c r="J766" s="241"/>
      <c r="K766" s="242" t="s">
        <v>8</v>
      </c>
      <c r="L766" s="243">
        <v>7273156.21</v>
      </c>
    </row>
    <row r="767" spans="1:12" ht="61.2" hidden="1" x14ac:dyDescent="0.3">
      <c r="A767" s="237" t="s">
        <v>644</v>
      </c>
      <c r="B767" s="238" t="s">
        <v>2096</v>
      </c>
      <c r="C767" s="238" t="s">
        <v>2097</v>
      </c>
      <c r="D767" s="238" t="s">
        <v>2098</v>
      </c>
      <c r="E767" s="239" t="s">
        <v>751</v>
      </c>
      <c r="F767" s="245" t="s">
        <v>15</v>
      </c>
      <c r="G767" s="245"/>
      <c r="H767" s="239" t="s">
        <v>751</v>
      </c>
      <c r="I767" s="247">
        <v>151.44</v>
      </c>
      <c r="J767" s="247"/>
      <c r="K767" s="242" t="s">
        <v>8</v>
      </c>
      <c r="L767" s="243">
        <v>141477.66</v>
      </c>
    </row>
    <row r="768" spans="1:12" ht="51" hidden="1" x14ac:dyDescent="0.3">
      <c r="A768" s="237" t="s">
        <v>644</v>
      </c>
      <c r="B768" s="238" t="s">
        <v>2099</v>
      </c>
      <c r="C768" s="238" t="s">
        <v>2100</v>
      </c>
      <c r="D768" s="238" t="s">
        <v>2101</v>
      </c>
      <c r="E768" s="239" t="s">
        <v>751</v>
      </c>
      <c r="F768" s="240">
        <v>1351.72</v>
      </c>
      <c r="G768" s="240"/>
      <c r="H768" s="239" t="s">
        <v>751</v>
      </c>
      <c r="I768" s="241" t="s">
        <v>15</v>
      </c>
      <c r="J768" s="241"/>
      <c r="K768" s="242" t="s">
        <v>8</v>
      </c>
      <c r="L768" s="243">
        <v>7530883.7400000002</v>
      </c>
    </row>
    <row r="769" spans="1:12" ht="51" hidden="1" x14ac:dyDescent="0.3">
      <c r="A769" s="237" t="s">
        <v>644</v>
      </c>
      <c r="B769" s="238" t="s">
        <v>2099</v>
      </c>
      <c r="C769" s="238" t="s">
        <v>2100</v>
      </c>
      <c r="D769" s="238" t="s">
        <v>2101</v>
      </c>
      <c r="E769" s="239" t="s">
        <v>751</v>
      </c>
      <c r="F769" s="245" t="s">
        <v>15</v>
      </c>
      <c r="G769" s="245"/>
      <c r="H769" s="239" t="s">
        <v>751</v>
      </c>
      <c r="I769" s="246">
        <v>1351.72</v>
      </c>
      <c r="J769" s="246"/>
      <c r="K769" s="242" t="s">
        <v>8</v>
      </c>
      <c r="L769" s="243">
        <v>80924.61</v>
      </c>
    </row>
    <row r="770" spans="1:12" ht="51" hidden="1" x14ac:dyDescent="0.3">
      <c r="A770" s="237" t="s">
        <v>644</v>
      </c>
      <c r="B770" s="238" t="s">
        <v>2102</v>
      </c>
      <c r="C770" s="238" t="s">
        <v>2103</v>
      </c>
      <c r="D770" s="238" t="s">
        <v>1690</v>
      </c>
      <c r="E770" s="239" t="s">
        <v>751</v>
      </c>
      <c r="F770" s="245" t="s">
        <v>15</v>
      </c>
      <c r="G770" s="245"/>
      <c r="H770" s="239" t="s">
        <v>751</v>
      </c>
      <c r="I770" s="247">
        <v>804</v>
      </c>
      <c r="J770" s="247"/>
      <c r="K770" s="242" t="s">
        <v>8</v>
      </c>
      <c r="L770" s="243">
        <v>1470147.47</v>
      </c>
    </row>
    <row r="771" spans="1:12" ht="51" hidden="1" x14ac:dyDescent="0.3">
      <c r="A771" s="237" t="s">
        <v>644</v>
      </c>
      <c r="B771" s="238" t="s">
        <v>2102</v>
      </c>
      <c r="C771" s="238" t="s">
        <v>2103</v>
      </c>
      <c r="D771" s="238" t="s">
        <v>1690</v>
      </c>
      <c r="E771" s="239" t="s">
        <v>751</v>
      </c>
      <c r="F771" s="244">
        <v>804</v>
      </c>
      <c r="G771" s="244"/>
      <c r="H771" s="239" t="s">
        <v>751</v>
      </c>
      <c r="I771" s="241" t="s">
        <v>15</v>
      </c>
      <c r="J771" s="241"/>
      <c r="K771" s="242" t="s">
        <v>8</v>
      </c>
      <c r="L771" s="243">
        <v>7531687.7400000002</v>
      </c>
    </row>
    <row r="772" spans="1:12" ht="61.2" hidden="1" x14ac:dyDescent="0.3">
      <c r="A772" s="237" t="s">
        <v>644</v>
      </c>
      <c r="B772" s="238" t="s">
        <v>2104</v>
      </c>
      <c r="C772" s="238" t="s">
        <v>2105</v>
      </c>
      <c r="D772" s="238" t="s">
        <v>2106</v>
      </c>
      <c r="E772" s="239" t="s">
        <v>751</v>
      </c>
      <c r="F772" s="245" t="s">
        <v>15</v>
      </c>
      <c r="G772" s="245"/>
      <c r="H772" s="239" t="s">
        <v>751</v>
      </c>
      <c r="I772" s="247">
        <v>567</v>
      </c>
      <c r="J772" s="247"/>
      <c r="K772" s="242" t="s">
        <v>8</v>
      </c>
      <c r="L772" s="243">
        <v>274140.76</v>
      </c>
    </row>
    <row r="773" spans="1:12" ht="61.2" hidden="1" x14ac:dyDescent="0.3">
      <c r="A773" s="237" t="s">
        <v>644</v>
      </c>
      <c r="B773" s="238" t="s">
        <v>2104</v>
      </c>
      <c r="C773" s="238" t="s">
        <v>2105</v>
      </c>
      <c r="D773" s="238" t="s">
        <v>2106</v>
      </c>
      <c r="E773" s="239" t="s">
        <v>751</v>
      </c>
      <c r="F773" s="244">
        <v>567</v>
      </c>
      <c r="G773" s="244"/>
      <c r="H773" s="239" t="s">
        <v>751</v>
      </c>
      <c r="I773" s="241" t="s">
        <v>15</v>
      </c>
      <c r="J773" s="241"/>
      <c r="K773" s="242" t="s">
        <v>8</v>
      </c>
      <c r="L773" s="243">
        <v>7532254.7400000002</v>
      </c>
    </row>
    <row r="774" spans="1:12" ht="51" hidden="1" x14ac:dyDescent="0.3">
      <c r="A774" s="237" t="s">
        <v>644</v>
      </c>
      <c r="B774" s="238" t="s">
        <v>2107</v>
      </c>
      <c r="C774" s="238" t="s">
        <v>2108</v>
      </c>
      <c r="D774" s="238" t="s">
        <v>2109</v>
      </c>
      <c r="E774" s="239" t="s">
        <v>751</v>
      </c>
      <c r="F774" s="240">
        <v>224580</v>
      </c>
      <c r="G774" s="240"/>
      <c r="H774" s="239" t="s">
        <v>14</v>
      </c>
      <c r="I774" s="241" t="s">
        <v>15</v>
      </c>
      <c r="J774" s="241"/>
      <c r="K774" s="242" t="s">
        <v>8</v>
      </c>
      <c r="L774" s="243">
        <v>989052.98</v>
      </c>
    </row>
    <row r="775" spans="1:12" ht="51" hidden="1" x14ac:dyDescent="0.3">
      <c r="A775" s="237" t="s">
        <v>644</v>
      </c>
      <c r="B775" s="238" t="s">
        <v>2110</v>
      </c>
      <c r="C775" s="238" t="s">
        <v>2108</v>
      </c>
      <c r="D775" s="238" t="s">
        <v>2111</v>
      </c>
      <c r="E775" s="239" t="s">
        <v>751</v>
      </c>
      <c r="F775" s="240">
        <v>69138</v>
      </c>
      <c r="G775" s="240"/>
      <c r="H775" s="239" t="s">
        <v>14</v>
      </c>
      <c r="I775" s="241" t="s">
        <v>15</v>
      </c>
      <c r="J775" s="241"/>
      <c r="K775" s="242" t="s">
        <v>8</v>
      </c>
      <c r="L775" s="243">
        <v>1058190.98</v>
      </c>
    </row>
    <row r="776" spans="1:12" ht="51" hidden="1" x14ac:dyDescent="0.3">
      <c r="A776" s="237" t="s">
        <v>644</v>
      </c>
      <c r="B776" s="238" t="s">
        <v>2112</v>
      </c>
      <c r="C776" s="238" t="s">
        <v>2113</v>
      </c>
      <c r="D776" s="238" t="s">
        <v>2108</v>
      </c>
      <c r="E776" s="239" t="s">
        <v>751</v>
      </c>
      <c r="F776" s="245" t="s">
        <v>15</v>
      </c>
      <c r="G776" s="245"/>
      <c r="H776" s="239" t="s">
        <v>751</v>
      </c>
      <c r="I776" s="246">
        <v>123670.74</v>
      </c>
      <c r="J776" s="246"/>
      <c r="K776" s="242" t="s">
        <v>8</v>
      </c>
      <c r="L776" s="243">
        <v>934520.24</v>
      </c>
    </row>
    <row r="777" spans="1:12" ht="51" hidden="1" x14ac:dyDescent="0.3">
      <c r="A777" s="237" t="s">
        <v>644</v>
      </c>
      <c r="B777" s="238" t="s">
        <v>2112</v>
      </c>
      <c r="C777" s="238" t="s">
        <v>2113</v>
      </c>
      <c r="D777" s="238" t="s">
        <v>2108</v>
      </c>
      <c r="E777" s="239" t="s">
        <v>751</v>
      </c>
      <c r="F777" s="240">
        <v>123670.74</v>
      </c>
      <c r="G777" s="240"/>
      <c r="H777" s="239" t="s">
        <v>751</v>
      </c>
      <c r="I777" s="241" t="s">
        <v>15</v>
      </c>
      <c r="J777" s="241"/>
      <c r="K777" s="242" t="s">
        <v>8</v>
      </c>
      <c r="L777" s="243">
        <v>1461792.01</v>
      </c>
    </row>
    <row r="778" spans="1:12" ht="51" hidden="1" x14ac:dyDescent="0.3">
      <c r="A778" s="237" t="s">
        <v>644</v>
      </c>
      <c r="B778" s="238" t="s">
        <v>2114</v>
      </c>
      <c r="C778" s="238" t="s">
        <v>2115</v>
      </c>
      <c r="D778" s="238" t="s">
        <v>2108</v>
      </c>
      <c r="E778" s="239" t="s">
        <v>751</v>
      </c>
      <c r="F778" s="240">
        <v>170047.26</v>
      </c>
      <c r="G778" s="240"/>
      <c r="H778" s="239" t="s">
        <v>751</v>
      </c>
      <c r="I778" s="241" t="s">
        <v>15</v>
      </c>
      <c r="J778" s="241"/>
      <c r="K778" s="242" t="s">
        <v>8</v>
      </c>
      <c r="L778" s="243">
        <v>7443203.4699999997</v>
      </c>
    </row>
    <row r="779" spans="1:12" ht="51" hidden="1" x14ac:dyDescent="0.3">
      <c r="A779" s="237" t="s">
        <v>644</v>
      </c>
      <c r="B779" s="238" t="s">
        <v>2114</v>
      </c>
      <c r="C779" s="238" t="s">
        <v>2115</v>
      </c>
      <c r="D779" s="238" t="s">
        <v>2108</v>
      </c>
      <c r="E779" s="239" t="s">
        <v>751</v>
      </c>
      <c r="F779" s="245" t="s">
        <v>15</v>
      </c>
      <c r="G779" s="245"/>
      <c r="H779" s="239" t="s">
        <v>751</v>
      </c>
      <c r="I779" s="246">
        <v>170047.26</v>
      </c>
      <c r="J779" s="246"/>
      <c r="K779" s="242" t="s">
        <v>8</v>
      </c>
      <c r="L779" s="243">
        <v>764472.98</v>
      </c>
    </row>
    <row r="780" spans="1:12" ht="51" hidden="1" x14ac:dyDescent="0.3">
      <c r="A780" s="237" t="s">
        <v>644</v>
      </c>
      <c r="B780" s="238" t="s">
        <v>2116</v>
      </c>
      <c r="C780" s="238" t="s">
        <v>2117</v>
      </c>
      <c r="D780" s="238" t="s">
        <v>2075</v>
      </c>
      <c r="E780" s="239" t="s">
        <v>751</v>
      </c>
      <c r="F780" s="240">
        <v>6544.2</v>
      </c>
      <c r="G780" s="240"/>
      <c r="H780" s="239" t="s">
        <v>14</v>
      </c>
      <c r="I780" s="241" t="s">
        <v>15</v>
      </c>
      <c r="J780" s="241"/>
      <c r="K780" s="242" t="s">
        <v>8</v>
      </c>
      <c r="L780" s="243">
        <v>1476691.67</v>
      </c>
    </row>
    <row r="781" spans="1:12" ht="51" hidden="1" x14ac:dyDescent="0.3">
      <c r="A781" s="237" t="s">
        <v>644</v>
      </c>
      <c r="B781" s="238" t="s">
        <v>2118</v>
      </c>
      <c r="C781" s="238" t="s">
        <v>2117</v>
      </c>
      <c r="D781" s="238" t="s">
        <v>2075</v>
      </c>
      <c r="E781" s="239" t="s">
        <v>751</v>
      </c>
      <c r="F781" s="240">
        <v>92430.8</v>
      </c>
      <c r="G781" s="240"/>
      <c r="H781" s="239" t="s">
        <v>14</v>
      </c>
      <c r="I781" s="241" t="s">
        <v>15</v>
      </c>
      <c r="J781" s="241"/>
      <c r="K781" s="242" t="s">
        <v>8</v>
      </c>
      <c r="L781" s="243">
        <v>1569122.47</v>
      </c>
    </row>
    <row r="782" spans="1:12" ht="51" hidden="1" x14ac:dyDescent="0.3">
      <c r="A782" s="237" t="s">
        <v>644</v>
      </c>
      <c r="B782" s="238" t="s">
        <v>2116</v>
      </c>
      <c r="C782" s="238" t="s">
        <v>2119</v>
      </c>
      <c r="D782" s="238" t="s">
        <v>2075</v>
      </c>
      <c r="E782" s="239" t="s">
        <v>751</v>
      </c>
      <c r="F782" s="240">
        <v>54773.33</v>
      </c>
      <c r="G782" s="240"/>
      <c r="H782" s="239" t="s">
        <v>14</v>
      </c>
      <c r="I782" s="241" t="s">
        <v>15</v>
      </c>
      <c r="J782" s="241"/>
      <c r="K782" s="242" t="s">
        <v>8</v>
      </c>
      <c r="L782" s="243">
        <v>1623895.8</v>
      </c>
    </row>
    <row r="783" spans="1:12" ht="51" hidden="1" x14ac:dyDescent="0.3">
      <c r="A783" s="237" t="s">
        <v>644</v>
      </c>
      <c r="B783" s="238" t="s">
        <v>2116</v>
      </c>
      <c r="C783" s="238" t="s">
        <v>2120</v>
      </c>
      <c r="D783" s="238" t="s">
        <v>2075</v>
      </c>
      <c r="E783" s="239" t="s">
        <v>751</v>
      </c>
      <c r="F783" s="240">
        <v>4700</v>
      </c>
      <c r="G783" s="240"/>
      <c r="H783" s="239" t="s">
        <v>14</v>
      </c>
      <c r="I783" s="241" t="s">
        <v>15</v>
      </c>
      <c r="J783" s="241"/>
      <c r="K783" s="242" t="s">
        <v>8</v>
      </c>
      <c r="L783" s="243">
        <v>1628595.8</v>
      </c>
    </row>
    <row r="784" spans="1:12" ht="51" hidden="1" x14ac:dyDescent="0.3">
      <c r="A784" s="237" t="s">
        <v>644</v>
      </c>
      <c r="B784" s="238" t="s">
        <v>2116</v>
      </c>
      <c r="C784" s="238" t="s">
        <v>2121</v>
      </c>
      <c r="D784" s="238" t="s">
        <v>2075</v>
      </c>
      <c r="E784" s="239" t="s">
        <v>751</v>
      </c>
      <c r="F784" s="240">
        <v>2350</v>
      </c>
      <c r="G784" s="240"/>
      <c r="H784" s="239" t="s">
        <v>14</v>
      </c>
      <c r="I784" s="241" t="s">
        <v>15</v>
      </c>
      <c r="J784" s="241"/>
      <c r="K784" s="242" t="s">
        <v>8</v>
      </c>
      <c r="L784" s="243">
        <v>1630945.8</v>
      </c>
    </row>
    <row r="785" spans="1:12" ht="51" hidden="1" x14ac:dyDescent="0.3">
      <c r="A785" s="237" t="s">
        <v>644</v>
      </c>
      <c r="B785" s="238" t="s">
        <v>2116</v>
      </c>
      <c r="C785" s="238" t="s">
        <v>2122</v>
      </c>
      <c r="D785" s="238" t="s">
        <v>2075</v>
      </c>
      <c r="E785" s="239" t="s">
        <v>751</v>
      </c>
      <c r="F785" s="240">
        <v>11145</v>
      </c>
      <c r="G785" s="240"/>
      <c r="H785" s="239" t="s">
        <v>14</v>
      </c>
      <c r="I785" s="241" t="s">
        <v>15</v>
      </c>
      <c r="J785" s="241"/>
      <c r="K785" s="242" t="s">
        <v>8</v>
      </c>
      <c r="L785" s="243">
        <v>1642090.8</v>
      </c>
    </row>
    <row r="786" spans="1:12" ht="61.2" hidden="1" x14ac:dyDescent="0.3">
      <c r="A786" s="237" t="s">
        <v>644</v>
      </c>
      <c r="B786" s="238" t="s">
        <v>2123</v>
      </c>
      <c r="C786" s="238" t="s">
        <v>2124</v>
      </c>
      <c r="D786" s="238" t="s">
        <v>2125</v>
      </c>
      <c r="E786" s="239" t="s">
        <v>751</v>
      </c>
      <c r="F786" s="240">
        <v>36299.54</v>
      </c>
      <c r="G786" s="240"/>
      <c r="H786" s="239" t="s">
        <v>14</v>
      </c>
      <c r="I786" s="241" t="s">
        <v>15</v>
      </c>
      <c r="J786" s="241"/>
      <c r="K786" s="242" t="s">
        <v>8</v>
      </c>
      <c r="L786" s="243">
        <v>278612.57</v>
      </c>
    </row>
    <row r="787" spans="1:12" ht="61.2" hidden="1" x14ac:dyDescent="0.3">
      <c r="A787" s="237" t="s">
        <v>644</v>
      </c>
      <c r="B787" s="238" t="s">
        <v>2126</v>
      </c>
      <c r="C787" s="238" t="s">
        <v>2127</v>
      </c>
      <c r="D787" s="238" t="s">
        <v>2128</v>
      </c>
      <c r="E787" s="239" t="s">
        <v>751</v>
      </c>
      <c r="F787" s="240">
        <v>28809.16</v>
      </c>
      <c r="G787" s="240"/>
      <c r="H787" s="239" t="s">
        <v>14</v>
      </c>
      <c r="I787" s="241" t="s">
        <v>15</v>
      </c>
      <c r="J787" s="241"/>
      <c r="K787" s="242" t="s">
        <v>8</v>
      </c>
      <c r="L787" s="243">
        <v>307421.73</v>
      </c>
    </row>
    <row r="788" spans="1:12" ht="51" hidden="1" x14ac:dyDescent="0.3">
      <c r="A788" s="237" t="s">
        <v>644</v>
      </c>
      <c r="B788" s="238" t="s">
        <v>2129</v>
      </c>
      <c r="C788" s="238" t="s">
        <v>2130</v>
      </c>
      <c r="D788" s="238" t="s">
        <v>2131</v>
      </c>
      <c r="E788" s="239" t="s">
        <v>751</v>
      </c>
      <c r="F788" s="240">
        <v>6313.51</v>
      </c>
      <c r="G788" s="240"/>
      <c r="H788" s="239" t="s">
        <v>14</v>
      </c>
      <c r="I788" s="241" t="s">
        <v>15</v>
      </c>
      <c r="J788" s="241"/>
      <c r="K788" s="242" t="s">
        <v>8</v>
      </c>
      <c r="L788" s="243">
        <v>1648404.31</v>
      </c>
    </row>
    <row r="789" spans="1:12" ht="51" hidden="1" x14ac:dyDescent="0.3">
      <c r="A789" s="237" t="s">
        <v>644</v>
      </c>
      <c r="B789" s="238" t="s">
        <v>2129</v>
      </c>
      <c r="C789" s="238" t="s">
        <v>2132</v>
      </c>
      <c r="D789" s="238" t="s">
        <v>2131</v>
      </c>
      <c r="E789" s="239" t="s">
        <v>751</v>
      </c>
      <c r="F789" s="244">
        <v>432.92</v>
      </c>
      <c r="G789" s="244"/>
      <c r="H789" s="239" t="s">
        <v>14</v>
      </c>
      <c r="I789" s="241" t="s">
        <v>15</v>
      </c>
      <c r="J789" s="241"/>
      <c r="K789" s="242" t="s">
        <v>8</v>
      </c>
      <c r="L789" s="243">
        <v>1648837.23</v>
      </c>
    </row>
    <row r="790" spans="1:12" ht="51" hidden="1" x14ac:dyDescent="0.3">
      <c r="A790" s="237" t="s">
        <v>644</v>
      </c>
      <c r="B790" s="238" t="s">
        <v>2129</v>
      </c>
      <c r="C790" s="238" t="s">
        <v>2133</v>
      </c>
      <c r="D790" s="238" t="s">
        <v>2131</v>
      </c>
      <c r="E790" s="239" t="s">
        <v>751</v>
      </c>
      <c r="F790" s="240">
        <v>9231.2999999999993</v>
      </c>
      <c r="G790" s="240"/>
      <c r="H790" s="239" t="s">
        <v>14</v>
      </c>
      <c r="I790" s="241" t="s">
        <v>15</v>
      </c>
      <c r="J790" s="241"/>
      <c r="K790" s="242" t="s">
        <v>8</v>
      </c>
      <c r="L790" s="243">
        <v>1658068.53</v>
      </c>
    </row>
    <row r="791" spans="1:12" ht="51" hidden="1" x14ac:dyDescent="0.3">
      <c r="A791" s="237" t="s">
        <v>644</v>
      </c>
      <c r="B791" s="238" t="s">
        <v>2129</v>
      </c>
      <c r="C791" s="238" t="s">
        <v>2134</v>
      </c>
      <c r="D791" s="238" t="s">
        <v>2131</v>
      </c>
      <c r="E791" s="239" t="s">
        <v>751</v>
      </c>
      <c r="F791" s="240">
        <v>11220.01</v>
      </c>
      <c r="G791" s="240"/>
      <c r="H791" s="239" t="s">
        <v>14</v>
      </c>
      <c r="I791" s="241" t="s">
        <v>15</v>
      </c>
      <c r="J791" s="241"/>
      <c r="K791" s="242" t="s">
        <v>8</v>
      </c>
      <c r="L791" s="243">
        <v>1669288.54</v>
      </c>
    </row>
    <row r="792" spans="1:12" ht="61.2" hidden="1" x14ac:dyDescent="0.3">
      <c r="A792" s="237" t="s">
        <v>644</v>
      </c>
      <c r="B792" s="238" t="s">
        <v>2129</v>
      </c>
      <c r="C792" s="238" t="s">
        <v>2135</v>
      </c>
      <c r="D792" s="238" t="s">
        <v>2131</v>
      </c>
      <c r="E792" s="239" t="s">
        <v>751</v>
      </c>
      <c r="F792" s="240">
        <v>1676.6</v>
      </c>
      <c r="G792" s="240"/>
      <c r="H792" s="239" t="s">
        <v>14</v>
      </c>
      <c r="I792" s="241" t="s">
        <v>15</v>
      </c>
      <c r="J792" s="241"/>
      <c r="K792" s="242" t="s">
        <v>8</v>
      </c>
      <c r="L792" s="243">
        <v>1670965.14</v>
      </c>
    </row>
    <row r="793" spans="1:12" ht="61.2" hidden="1" x14ac:dyDescent="0.3">
      <c r="A793" s="237" t="s">
        <v>644</v>
      </c>
      <c r="B793" s="238" t="s">
        <v>2136</v>
      </c>
      <c r="C793" s="238" t="s">
        <v>2137</v>
      </c>
      <c r="D793" s="238" t="s">
        <v>2138</v>
      </c>
      <c r="E793" s="239" t="s">
        <v>751</v>
      </c>
      <c r="F793" s="240">
        <v>7371</v>
      </c>
      <c r="G793" s="240"/>
      <c r="H793" s="239" t="s">
        <v>14</v>
      </c>
      <c r="I793" s="241" t="s">
        <v>15</v>
      </c>
      <c r="J793" s="241"/>
      <c r="K793" s="242" t="s">
        <v>8</v>
      </c>
      <c r="L793" s="243">
        <v>771843.98</v>
      </c>
    </row>
    <row r="794" spans="1:12" ht="51" hidden="1" x14ac:dyDescent="0.3">
      <c r="A794" s="237" t="s">
        <v>644</v>
      </c>
      <c r="B794" s="238" t="s">
        <v>2136</v>
      </c>
      <c r="C794" s="238" t="s">
        <v>2139</v>
      </c>
      <c r="D794" s="238" t="s">
        <v>2138</v>
      </c>
      <c r="E794" s="239" t="s">
        <v>751</v>
      </c>
      <c r="F794" s="240">
        <v>3160.44</v>
      </c>
      <c r="G794" s="240"/>
      <c r="H794" s="239" t="s">
        <v>14</v>
      </c>
      <c r="I794" s="241" t="s">
        <v>15</v>
      </c>
      <c r="J794" s="241"/>
      <c r="K794" s="242" t="s">
        <v>8</v>
      </c>
      <c r="L794" s="243">
        <v>775004.42</v>
      </c>
    </row>
    <row r="795" spans="1:12" ht="51" hidden="1" x14ac:dyDescent="0.3">
      <c r="A795" s="237" t="s">
        <v>644</v>
      </c>
      <c r="B795" s="238" t="s">
        <v>2136</v>
      </c>
      <c r="C795" s="238" t="s">
        <v>2140</v>
      </c>
      <c r="D795" s="238" t="s">
        <v>2138</v>
      </c>
      <c r="E795" s="239" t="s">
        <v>751</v>
      </c>
      <c r="F795" s="244">
        <v>237.06</v>
      </c>
      <c r="G795" s="244"/>
      <c r="H795" s="239" t="s">
        <v>14</v>
      </c>
      <c r="I795" s="241" t="s">
        <v>15</v>
      </c>
      <c r="J795" s="241"/>
      <c r="K795" s="242" t="s">
        <v>8</v>
      </c>
      <c r="L795" s="243">
        <v>775241.48</v>
      </c>
    </row>
    <row r="796" spans="1:12" ht="51" hidden="1" x14ac:dyDescent="0.3">
      <c r="A796" s="237" t="s">
        <v>644</v>
      </c>
      <c r="B796" s="238" t="s">
        <v>2136</v>
      </c>
      <c r="C796" s="238" t="s">
        <v>2141</v>
      </c>
      <c r="D796" s="238" t="s">
        <v>2138</v>
      </c>
      <c r="E796" s="239" t="s">
        <v>751</v>
      </c>
      <c r="F796" s="244">
        <v>680</v>
      </c>
      <c r="G796" s="244"/>
      <c r="H796" s="239" t="s">
        <v>14</v>
      </c>
      <c r="I796" s="241" t="s">
        <v>15</v>
      </c>
      <c r="J796" s="241"/>
      <c r="K796" s="242" t="s">
        <v>8</v>
      </c>
      <c r="L796" s="243">
        <v>775921.48</v>
      </c>
    </row>
    <row r="797" spans="1:12" ht="51" x14ac:dyDescent="0.3">
      <c r="A797" s="237" t="s">
        <v>644</v>
      </c>
      <c r="B797" s="238" t="s">
        <v>2142</v>
      </c>
      <c r="C797" s="238" t="s">
        <v>806</v>
      </c>
      <c r="D797" s="238" t="s">
        <v>2143</v>
      </c>
      <c r="E797" s="239" t="s">
        <v>105</v>
      </c>
      <c r="F797" s="245" t="s">
        <v>15</v>
      </c>
      <c r="G797" s="245"/>
      <c r="H797" s="239" t="s">
        <v>751</v>
      </c>
      <c r="I797" s="246">
        <v>3837.17</v>
      </c>
      <c r="J797" s="246"/>
      <c r="K797" s="242" t="s">
        <v>8</v>
      </c>
      <c r="L797" s="243">
        <v>7439366.2999999998</v>
      </c>
    </row>
    <row r="798" spans="1:12" ht="51" x14ac:dyDescent="0.3">
      <c r="A798" s="237" t="s">
        <v>644</v>
      </c>
      <c r="B798" s="238" t="s">
        <v>2142</v>
      </c>
      <c r="C798" s="238" t="s">
        <v>806</v>
      </c>
      <c r="D798" s="238" t="s">
        <v>2144</v>
      </c>
      <c r="E798" s="239" t="s">
        <v>105</v>
      </c>
      <c r="F798" s="245" t="s">
        <v>15</v>
      </c>
      <c r="G798" s="245"/>
      <c r="H798" s="239" t="s">
        <v>751</v>
      </c>
      <c r="I798" s="246">
        <v>11264.29</v>
      </c>
      <c r="J798" s="246"/>
      <c r="K798" s="242" t="s">
        <v>8</v>
      </c>
      <c r="L798" s="243">
        <v>7428102.0099999998</v>
      </c>
    </row>
    <row r="799" spans="1:12" ht="51" x14ac:dyDescent="0.3">
      <c r="A799" s="237" t="s">
        <v>644</v>
      </c>
      <c r="B799" s="238" t="s">
        <v>2142</v>
      </c>
      <c r="C799" s="238" t="s">
        <v>806</v>
      </c>
      <c r="D799" s="238" t="s">
        <v>1503</v>
      </c>
      <c r="E799" s="239" t="s">
        <v>105</v>
      </c>
      <c r="F799" s="245" t="s">
        <v>15</v>
      </c>
      <c r="G799" s="245"/>
      <c r="H799" s="239" t="s">
        <v>751</v>
      </c>
      <c r="I799" s="246">
        <v>24823.52</v>
      </c>
      <c r="J799" s="246"/>
      <c r="K799" s="242" t="s">
        <v>8</v>
      </c>
      <c r="L799" s="243">
        <v>7403278.4900000002</v>
      </c>
    </row>
    <row r="800" spans="1:12" ht="51" x14ac:dyDescent="0.3">
      <c r="A800" s="237" t="s">
        <v>644</v>
      </c>
      <c r="B800" s="238" t="s">
        <v>2142</v>
      </c>
      <c r="C800" s="238" t="s">
        <v>806</v>
      </c>
      <c r="D800" s="238" t="s">
        <v>2145</v>
      </c>
      <c r="E800" s="239" t="s">
        <v>105</v>
      </c>
      <c r="F800" s="245" t="s">
        <v>15</v>
      </c>
      <c r="G800" s="245"/>
      <c r="H800" s="239" t="s">
        <v>751</v>
      </c>
      <c r="I800" s="246">
        <v>1887.25</v>
      </c>
      <c r="J800" s="246"/>
      <c r="K800" s="242" t="s">
        <v>8</v>
      </c>
      <c r="L800" s="243">
        <v>7401391.2400000002</v>
      </c>
    </row>
    <row r="801" spans="1:12" ht="51" x14ac:dyDescent="0.3">
      <c r="A801" s="237" t="s">
        <v>644</v>
      </c>
      <c r="B801" s="238" t="s">
        <v>2142</v>
      </c>
      <c r="C801" s="238" t="s">
        <v>806</v>
      </c>
      <c r="D801" s="238" t="s">
        <v>1503</v>
      </c>
      <c r="E801" s="239" t="s">
        <v>105</v>
      </c>
      <c r="F801" s="245" t="s">
        <v>15</v>
      </c>
      <c r="G801" s="245"/>
      <c r="H801" s="239" t="s">
        <v>751</v>
      </c>
      <c r="I801" s="246">
        <v>1718.55</v>
      </c>
      <c r="J801" s="246"/>
      <c r="K801" s="242" t="s">
        <v>8</v>
      </c>
      <c r="L801" s="243">
        <v>7399672.6900000004</v>
      </c>
    </row>
    <row r="802" spans="1:12" ht="51" x14ac:dyDescent="0.3">
      <c r="A802" s="237" t="s">
        <v>644</v>
      </c>
      <c r="B802" s="238" t="s">
        <v>2142</v>
      </c>
      <c r="C802" s="238" t="s">
        <v>806</v>
      </c>
      <c r="D802" s="238" t="s">
        <v>2094</v>
      </c>
      <c r="E802" s="239" t="s">
        <v>105</v>
      </c>
      <c r="F802" s="245" t="s">
        <v>15</v>
      </c>
      <c r="G802" s="245"/>
      <c r="H802" s="239" t="s">
        <v>751</v>
      </c>
      <c r="I802" s="247">
        <v>376.03</v>
      </c>
      <c r="J802" s="247"/>
      <c r="K802" s="242" t="s">
        <v>8</v>
      </c>
      <c r="L802" s="243">
        <v>7399296.6600000001</v>
      </c>
    </row>
    <row r="803" spans="1:12" ht="61.2" x14ac:dyDescent="0.3">
      <c r="A803" s="237" t="s">
        <v>644</v>
      </c>
      <c r="B803" s="238" t="s">
        <v>2142</v>
      </c>
      <c r="C803" s="238" t="s">
        <v>806</v>
      </c>
      <c r="D803" s="238" t="s">
        <v>2097</v>
      </c>
      <c r="E803" s="239" t="s">
        <v>105</v>
      </c>
      <c r="F803" s="245" t="s">
        <v>15</v>
      </c>
      <c r="G803" s="245"/>
      <c r="H803" s="239" t="s">
        <v>751</v>
      </c>
      <c r="I803" s="247">
        <v>151.44</v>
      </c>
      <c r="J803" s="247"/>
      <c r="K803" s="242" t="s">
        <v>8</v>
      </c>
      <c r="L803" s="243">
        <v>7399145.2199999997</v>
      </c>
    </row>
    <row r="804" spans="1:12" ht="61.2" hidden="1" x14ac:dyDescent="0.3">
      <c r="A804" s="237" t="s">
        <v>644</v>
      </c>
      <c r="B804" s="238" t="s">
        <v>2146</v>
      </c>
      <c r="C804" s="238" t="s">
        <v>2147</v>
      </c>
      <c r="D804" s="238" t="s">
        <v>2137</v>
      </c>
      <c r="E804" s="239" t="s">
        <v>751</v>
      </c>
      <c r="F804" s="245" t="s">
        <v>15</v>
      </c>
      <c r="G804" s="245"/>
      <c r="H804" s="239" t="s">
        <v>751</v>
      </c>
      <c r="I804" s="246">
        <v>7371</v>
      </c>
      <c r="J804" s="246"/>
      <c r="K804" s="242" t="s">
        <v>8</v>
      </c>
      <c r="L804" s="243">
        <v>768550.48</v>
      </c>
    </row>
    <row r="805" spans="1:12" ht="61.2" hidden="1" x14ac:dyDescent="0.3">
      <c r="A805" s="237" t="s">
        <v>644</v>
      </c>
      <c r="B805" s="238" t="s">
        <v>2146</v>
      </c>
      <c r="C805" s="238" t="s">
        <v>2147</v>
      </c>
      <c r="D805" s="238" t="s">
        <v>2137</v>
      </c>
      <c r="E805" s="239" t="s">
        <v>751</v>
      </c>
      <c r="F805" s="240">
        <v>7371</v>
      </c>
      <c r="G805" s="240"/>
      <c r="H805" s="239" t="s">
        <v>751</v>
      </c>
      <c r="I805" s="241" t="s">
        <v>15</v>
      </c>
      <c r="J805" s="241"/>
      <c r="K805" s="242" t="s">
        <v>8</v>
      </c>
      <c r="L805" s="243">
        <v>148848.66</v>
      </c>
    </row>
    <row r="806" spans="1:12" ht="51" hidden="1" x14ac:dyDescent="0.3">
      <c r="A806" s="237" t="s">
        <v>644</v>
      </c>
      <c r="B806" s="238" t="s">
        <v>2146</v>
      </c>
      <c r="C806" s="238" t="s">
        <v>2148</v>
      </c>
      <c r="D806" s="238" t="s">
        <v>2141</v>
      </c>
      <c r="E806" s="239" t="s">
        <v>751</v>
      </c>
      <c r="F806" s="245" t="s">
        <v>15</v>
      </c>
      <c r="G806" s="245"/>
      <c r="H806" s="239" t="s">
        <v>751</v>
      </c>
      <c r="I806" s="247">
        <v>680</v>
      </c>
      <c r="J806" s="247"/>
      <c r="K806" s="242" t="s">
        <v>8</v>
      </c>
      <c r="L806" s="243">
        <v>767870.48</v>
      </c>
    </row>
    <row r="807" spans="1:12" ht="51" hidden="1" x14ac:dyDescent="0.3">
      <c r="A807" s="237" t="s">
        <v>644</v>
      </c>
      <c r="B807" s="238" t="s">
        <v>2146</v>
      </c>
      <c r="C807" s="238" t="s">
        <v>2148</v>
      </c>
      <c r="D807" s="238" t="s">
        <v>2141</v>
      </c>
      <c r="E807" s="239" t="s">
        <v>751</v>
      </c>
      <c r="F807" s="244">
        <v>680</v>
      </c>
      <c r="G807" s="244"/>
      <c r="H807" s="239" t="s">
        <v>751</v>
      </c>
      <c r="I807" s="241" t="s">
        <v>15</v>
      </c>
      <c r="J807" s="241"/>
      <c r="K807" s="242" t="s">
        <v>8</v>
      </c>
      <c r="L807" s="243">
        <v>149528.66</v>
      </c>
    </row>
    <row r="808" spans="1:12" ht="51" hidden="1" x14ac:dyDescent="0.3">
      <c r="A808" s="237" t="s">
        <v>644</v>
      </c>
      <c r="B808" s="238" t="s">
        <v>2149</v>
      </c>
      <c r="C808" s="238" t="s">
        <v>2150</v>
      </c>
      <c r="D808" s="238" t="s">
        <v>2139</v>
      </c>
      <c r="E808" s="239" t="s">
        <v>751</v>
      </c>
      <c r="F808" s="245" t="s">
        <v>15</v>
      </c>
      <c r="G808" s="245"/>
      <c r="H808" s="239" t="s">
        <v>751</v>
      </c>
      <c r="I808" s="246">
        <v>3160.44</v>
      </c>
      <c r="J808" s="246"/>
      <c r="K808" s="242" t="s">
        <v>8</v>
      </c>
      <c r="L808" s="243">
        <v>764710.04</v>
      </c>
    </row>
    <row r="809" spans="1:12" ht="51" hidden="1" x14ac:dyDescent="0.3">
      <c r="A809" s="237" t="s">
        <v>644</v>
      </c>
      <c r="B809" s="238" t="s">
        <v>2149</v>
      </c>
      <c r="C809" s="238" t="s">
        <v>2150</v>
      </c>
      <c r="D809" s="238" t="s">
        <v>2139</v>
      </c>
      <c r="E809" s="239" t="s">
        <v>751</v>
      </c>
      <c r="F809" s="240">
        <v>3160.44</v>
      </c>
      <c r="G809" s="240"/>
      <c r="H809" s="239" t="s">
        <v>751</v>
      </c>
      <c r="I809" s="241" t="s">
        <v>15</v>
      </c>
      <c r="J809" s="241"/>
      <c r="K809" s="242" t="s">
        <v>8</v>
      </c>
      <c r="L809" s="243">
        <v>7535415.1799999997</v>
      </c>
    </row>
    <row r="810" spans="1:12" ht="51" hidden="1" x14ac:dyDescent="0.3">
      <c r="A810" s="237" t="s">
        <v>644</v>
      </c>
      <c r="B810" s="238" t="s">
        <v>2149</v>
      </c>
      <c r="C810" s="238" t="s">
        <v>2151</v>
      </c>
      <c r="D810" s="238" t="s">
        <v>2140</v>
      </c>
      <c r="E810" s="239" t="s">
        <v>751</v>
      </c>
      <c r="F810" s="245" t="s">
        <v>15</v>
      </c>
      <c r="G810" s="245"/>
      <c r="H810" s="239" t="s">
        <v>751</v>
      </c>
      <c r="I810" s="247">
        <v>237.06</v>
      </c>
      <c r="J810" s="247"/>
      <c r="K810" s="242" t="s">
        <v>8</v>
      </c>
      <c r="L810" s="243">
        <v>764472.98</v>
      </c>
    </row>
    <row r="811" spans="1:12" ht="51" hidden="1" x14ac:dyDescent="0.3">
      <c r="A811" s="237" t="s">
        <v>644</v>
      </c>
      <c r="B811" s="238" t="s">
        <v>2149</v>
      </c>
      <c r="C811" s="238" t="s">
        <v>2151</v>
      </c>
      <c r="D811" s="238" t="s">
        <v>2140</v>
      </c>
      <c r="E811" s="239" t="s">
        <v>751</v>
      </c>
      <c r="F811" s="244">
        <v>237.06</v>
      </c>
      <c r="G811" s="244"/>
      <c r="H811" s="239" t="s">
        <v>751</v>
      </c>
      <c r="I811" s="241" t="s">
        <v>15</v>
      </c>
      <c r="J811" s="241"/>
      <c r="K811" s="242" t="s">
        <v>8</v>
      </c>
      <c r="L811" s="243">
        <v>7535652.2400000002</v>
      </c>
    </row>
    <row r="812" spans="1:12" ht="51" hidden="1" x14ac:dyDescent="0.3">
      <c r="A812" s="237" t="s">
        <v>644</v>
      </c>
      <c r="B812" s="238" t="s">
        <v>2152</v>
      </c>
      <c r="C812" s="238" t="s">
        <v>2117</v>
      </c>
      <c r="D812" s="238" t="s">
        <v>2075</v>
      </c>
      <c r="E812" s="239" t="s">
        <v>751</v>
      </c>
      <c r="F812" s="240">
        <v>6235.95</v>
      </c>
      <c r="G812" s="240"/>
      <c r="H812" s="239" t="s">
        <v>14</v>
      </c>
      <c r="I812" s="241" t="s">
        <v>15</v>
      </c>
      <c r="J812" s="241"/>
      <c r="K812" s="242" t="s">
        <v>8</v>
      </c>
      <c r="L812" s="243">
        <v>1677201.09</v>
      </c>
    </row>
    <row r="813" spans="1:12" ht="51" hidden="1" x14ac:dyDescent="0.3">
      <c r="A813" s="237" t="s">
        <v>644</v>
      </c>
      <c r="B813" s="238" t="s">
        <v>2152</v>
      </c>
      <c r="C813" s="238" t="s">
        <v>2119</v>
      </c>
      <c r="D813" s="238" t="s">
        <v>2075</v>
      </c>
      <c r="E813" s="239" t="s">
        <v>751</v>
      </c>
      <c r="F813" s="240">
        <v>3451.01</v>
      </c>
      <c r="G813" s="240"/>
      <c r="H813" s="239" t="s">
        <v>14</v>
      </c>
      <c r="I813" s="241" t="s">
        <v>15</v>
      </c>
      <c r="J813" s="241"/>
      <c r="K813" s="242" t="s">
        <v>8</v>
      </c>
      <c r="L813" s="243">
        <v>1680652.1</v>
      </c>
    </row>
    <row r="814" spans="1:12" ht="51" hidden="1" x14ac:dyDescent="0.3">
      <c r="A814" s="237" t="s">
        <v>644</v>
      </c>
      <c r="B814" s="238" t="s">
        <v>2152</v>
      </c>
      <c r="C814" s="238" t="s">
        <v>2120</v>
      </c>
      <c r="D814" s="238" t="s">
        <v>2075</v>
      </c>
      <c r="E814" s="239" t="s">
        <v>751</v>
      </c>
      <c r="F814" s="244">
        <v>296.12</v>
      </c>
      <c r="G814" s="244"/>
      <c r="H814" s="239" t="s">
        <v>14</v>
      </c>
      <c r="I814" s="241" t="s">
        <v>15</v>
      </c>
      <c r="J814" s="241"/>
      <c r="K814" s="242" t="s">
        <v>8</v>
      </c>
      <c r="L814" s="243">
        <v>1680948.22</v>
      </c>
    </row>
    <row r="815" spans="1:12" ht="51" hidden="1" x14ac:dyDescent="0.3">
      <c r="A815" s="237" t="s">
        <v>644</v>
      </c>
      <c r="B815" s="238" t="s">
        <v>2152</v>
      </c>
      <c r="C815" s="238" t="s">
        <v>2121</v>
      </c>
      <c r="D815" s="238" t="s">
        <v>2075</v>
      </c>
      <c r="E815" s="239" t="s">
        <v>751</v>
      </c>
      <c r="F815" s="244">
        <v>148.06</v>
      </c>
      <c r="G815" s="244"/>
      <c r="H815" s="239" t="s">
        <v>14</v>
      </c>
      <c r="I815" s="241" t="s">
        <v>15</v>
      </c>
      <c r="J815" s="241"/>
      <c r="K815" s="242" t="s">
        <v>8</v>
      </c>
      <c r="L815" s="243">
        <v>1681096.28</v>
      </c>
    </row>
    <row r="816" spans="1:12" ht="51" hidden="1" x14ac:dyDescent="0.3">
      <c r="A816" s="237" t="s">
        <v>644</v>
      </c>
      <c r="B816" s="238" t="s">
        <v>2152</v>
      </c>
      <c r="C816" s="238" t="s">
        <v>2122</v>
      </c>
      <c r="D816" s="238" t="s">
        <v>2075</v>
      </c>
      <c r="E816" s="239" t="s">
        <v>751</v>
      </c>
      <c r="F816" s="244">
        <v>702.19</v>
      </c>
      <c r="G816" s="244"/>
      <c r="H816" s="239" t="s">
        <v>14</v>
      </c>
      <c r="I816" s="241" t="s">
        <v>15</v>
      </c>
      <c r="J816" s="241"/>
      <c r="K816" s="242" t="s">
        <v>8</v>
      </c>
      <c r="L816" s="243">
        <v>1681798.47</v>
      </c>
    </row>
    <row r="817" spans="1:12" ht="51" x14ac:dyDescent="0.3">
      <c r="A817" s="237" t="s">
        <v>644</v>
      </c>
      <c r="B817" s="238" t="s">
        <v>2153</v>
      </c>
      <c r="C817" s="238" t="s">
        <v>806</v>
      </c>
      <c r="D817" s="238" t="s">
        <v>2154</v>
      </c>
      <c r="E817" s="239" t="s">
        <v>105</v>
      </c>
      <c r="F817" s="245" t="s">
        <v>15</v>
      </c>
      <c r="G817" s="245"/>
      <c r="H817" s="239" t="s">
        <v>751</v>
      </c>
      <c r="I817" s="246">
        <v>52920</v>
      </c>
      <c r="J817" s="246"/>
      <c r="K817" s="242" t="s">
        <v>8</v>
      </c>
      <c r="L817" s="243">
        <v>7346225.2199999997</v>
      </c>
    </row>
    <row r="818" spans="1:12" ht="51" x14ac:dyDescent="0.3">
      <c r="A818" s="237" t="s">
        <v>644</v>
      </c>
      <c r="B818" s="238" t="s">
        <v>2153</v>
      </c>
      <c r="C818" s="238" t="s">
        <v>806</v>
      </c>
      <c r="D818" s="238" t="s">
        <v>2155</v>
      </c>
      <c r="E818" s="239" t="s">
        <v>105</v>
      </c>
      <c r="F818" s="245" t="s">
        <v>15</v>
      </c>
      <c r="G818" s="245"/>
      <c r="H818" s="239" t="s">
        <v>751</v>
      </c>
      <c r="I818" s="246">
        <v>27600</v>
      </c>
      <c r="J818" s="246"/>
      <c r="K818" s="242" t="s">
        <v>8</v>
      </c>
      <c r="L818" s="243">
        <v>7318625.2199999997</v>
      </c>
    </row>
    <row r="819" spans="1:12" ht="51" x14ac:dyDescent="0.3">
      <c r="A819" s="237" t="s">
        <v>644</v>
      </c>
      <c r="B819" s="238" t="s">
        <v>2153</v>
      </c>
      <c r="C819" s="238" t="s">
        <v>806</v>
      </c>
      <c r="D819" s="238" t="s">
        <v>2156</v>
      </c>
      <c r="E819" s="239" t="s">
        <v>105</v>
      </c>
      <c r="F819" s="245" t="s">
        <v>15</v>
      </c>
      <c r="G819" s="245"/>
      <c r="H819" s="239" t="s">
        <v>751</v>
      </c>
      <c r="I819" s="246">
        <v>4240</v>
      </c>
      <c r="J819" s="246"/>
      <c r="K819" s="242" t="s">
        <v>8</v>
      </c>
      <c r="L819" s="243">
        <v>7314385.2199999997</v>
      </c>
    </row>
    <row r="820" spans="1:12" ht="51" x14ac:dyDescent="0.3">
      <c r="A820" s="237" t="s">
        <v>644</v>
      </c>
      <c r="B820" s="238" t="s">
        <v>2153</v>
      </c>
      <c r="C820" s="238" t="s">
        <v>806</v>
      </c>
      <c r="D820" s="238" t="s">
        <v>2157</v>
      </c>
      <c r="E820" s="239" t="s">
        <v>105</v>
      </c>
      <c r="F820" s="245" t="s">
        <v>15</v>
      </c>
      <c r="G820" s="245"/>
      <c r="H820" s="239" t="s">
        <v>751</v>
      </c>
      <c r="I820" s="246">
        <v>12276</v>
      </c>
      <c r="J820" s="246"/>
      <c r="K820" s="242" t="s">
        <v>8</v>
      </c>
      <c r="L820" s="243">
        <v>7302109.2199999997</v>
      </c>
    </row>
    <row r="821" spans="1:12" ht="61.2" x14ac:dyDescent="0.3">
      <c r="A821" s="237" t="s">
        <v>644</v>
      </c>
      <c r="B821" s="238" t="s">
        <v>2153</v>
      </c>
      <c r="C821" s="238" t="s">
        <v>806</v>
      </c>
      <c r="D821" s="238" t="s">
        <v>2158</v>
      </c>
      <c r="E821" s="239" t="s">
        <v>105</v>
      </c>
      <c r="F821" s="245" t="s">
        <v>15</v>
      </c>
      <c r="G821" s="245"/>
      <c r="H821" s="239" t="s">
        <v>751</v>
      </c>
      <c r="I821" s="246">
        <v>4906.8</v>
      </c>
      <c r="J821" s="246"/>
      <c r="K821" s="242" t="s">
        <v>8</v>
      </c>
      <c r="L821" s="243">
        <v>7297202.4199999999</v>
      </c>
    </row>
    <row r="822" spans="1:12" ht="51" x14ac:dyDescent="0.3">
      <c r="A822" s="237" t="s">
        <v>644</v>
      </c>
      <c r="B822" s="238" t="s">
        <v>2153</v>
      </c>
      <c r="C822" s="238" t="s">
        <v>806</v>
      </c>
      <c r="D822" s="238" t="s">
        <v>2159</v>
      </c>
      <c r="E822" s="239" t="s">
        <v>105</v>
      </c>
      <c r="F822" s="245" t="s">
        <v>15</v>
      </c>
      <c r="G822" s="245"/>
      <c r="H822" s="239" t="s">
        <v>751</v>
      </c>
      <c r="I822" s="246">
        <v>1242</v>
      </c>
      <c r="J822" s="246"/>
      <c r="K822" s="242" t="s">
        <v>8</v>
      </c>
      <c r="L822" s="243">
        <v>7295960.4199999999</v>
      </c>
    </row>
    <row r="823" spans="1:12" ht="51" x14ac:dyDescent="0.3">
      <c r="A823" s="237" t="s">
        <v>644</v>
      </c>
      <c r="B823" s="238" t="s">
        <v>2153</v>
      </c>
      <c r="C823" s="238" t="s">
        <v>806</v>
      </c>
      <c r="D823" s="238" t="s">
        <v>2160</v>
      </c>
      <c r="E823" s="239" t="s">
        <v>105</v>
      </c>
      <c r="F823" s="245" t="s">
        <v>15</v>
      </c>
      <c r="G823" s="245"/>
      <c r="H823" s="239" t="s">
        <v>751</v>
      </c>
      <c r="I823" s="246">
        <v>1062</v>
      </c>
      <c r="J823" s="246"/>
      <c r="K823" s="242" t="s">
        <v>8</v>
      </c>
      <c r="L823" s="243">
        <v>7294898.4199999999</v>
      </c>
    </row>
    <row r="824" spans="1:12" ht="51" x14ac:dyDescent="0.3">
      <c r="A824" s="237" t="s">
        <v>644</v>
      </c>
      <c r="B824" s="238" t="s">
        <v>2153</v>
      </c>
      <c r="C824" s="238" t="s">
        <v>806</v>
      </c>
      <c r="D824" s="238" t="s">
        <v>2161</v>
      </c>
      <c r="E824" s="239" t="s">
        <v>105</v>
      </c>
      <c r="F824" s="245" t="s">
        <v>15</v>
      </c>
      <c r="G824" s="245"/>
      <c r="H824" s="239" t="s">
        <v>751</v>
      </c>
      <c r="I824" s="246">
        <v>2502</v>
      </c>
      <c r="J824" s="246"/>
      <c r="K824" s="242" t="s">
        <v>8</v>
      </c>
      <c r="L824" s="243">
        <v>7292396.4199999999</v>
      </c>
    </row>
    <row r="825" spans="1:12" ht="51" x14ac:dyDescent="0.3">
      <c r="A825" s="237" t="s">
        <v>644</v>
      </c>
      <c r="B825" s="238" t="s">
        <v>2153</v>
      </c>
      <c r="C825" s="238" t="s">
        <v>806</v>
      </c>
      <c r="D825" s="238" t="s">
        <v>2162</v>
      </c>
      <c r="E825" s="239" t="s">
        <v>105</v>
      </c>
      <c r="F825" s="245" t="s">
        <v>15</v>
      </c>
      <c r="G825" s="245"/>
      <c r="H825" s="239" t="s">
        <v>751</v>
      </c>
      <c r="I825" s="246">
        <v>8550</v>
      </c>
      <c r="J825" s="246"/>
      <c r="K825" s="242" t="s">
        <v>8</v>
      </c>
      <c r="L825" s="243">
        <v>7283846.4199999999</v>
      </c>
    </row>
    <row r="826" spans="1:12" ht="51" x14ac:dyDescent="0.3">
      <c r="A826" s="237" t="s">
        <v>644</v>
      </c>
      <c r="B826" s="238" t="s">
        <v>2153</v>
      </c>
      <c r="C826" s="238" t="s">
        <v>806</v>
      </c>
      <c r="D826" s="238" t="s">
        <v>2163</v>
      </c>
      <c r="E826" s="239" t="s">
        <v>105</v>
      </c>
      <c r="F826" s="245" t="s">
        <v>15</v>
      </c>
      <c r="G826" s="245"/>
      <c r="H826" s="239" t="s">
        <v>751</v>
      </c>
      <c r="I826" s="247">
        <v>521.88</v>
      </c>
      <c r="J826" s="247"/>
      <c r="K826" s="242" t="s">
        <v>8</v>
      </c>
      <c r="L826" s="243">
        <v>7283324.54</v>
      </c>
    </row>
    <row r="827" spans="1:12" ht="51" x14ac:dyDescent="0.3">
      <c r="A827" s="237" t="s">
        <v>644</v>
      </c>
      <c r="B827" s="238" t="s">
        <v>2153</v>
      </c>
      <c r="C827" s="238" t="s">
        <v>806</v>
      </c>
      <c r="D827" s="238" t="s">
        <v>2164</v>
      </c>
      <c r="E827" s="239" t="s">
        <v>105</v>
      </c>
      <c r="F827" s="245" t="s">
        <v>15</v>
      </c>
      <c r="G827" s="245"/>
      <c r="H827" s="239" t="s">
        <v>751</v>
      </c>
      <c r="I827" s="246">
        <v>3600</v>
      </c>
      <c r="J827" s="246"/>
      <c r="K827" s="242" t="s">
        <v>8</v>
      </c>
      <c r="L827" s="243">
        <v>7279724.54</v>
      </c>
    </row>
    <row r="828" spans="1:12" ht="61.2" x14ac:dyDescent="0.3">
      <c r="A828" s="237" t="s">
        <v>644</v>
      </c>
      <c r="B828" s="238" t="s">
        <v>2153</v>
      </c>
      <c r="C828" s="238" t="s">
        <v>806</v>
      </c>
      <c r="D828" s="238" t="s">
        <v>2165</v>
      </c>
      <c r="E828" s="239" t="s">
        <v>105</v>
      </c>
      <c r="F828" s="245" t="s">
        <v>15</v>
      </c>
      <c r="G828" s="245"/>
      <c r="H828" s="239" t="s">
        <v>751</v>
      </c>
      <c r="I828" s="246">
        <v>1877.3</v>
      </c>
      <c r="J828" s="246"/>
      <c r="K828" s="242" t="s">
        <v>8</v>
      </c>
      <c r="L828" s="243">
        <v>7277847.2400000002</v>
      </c>
    </row>
    <row r="829" spans="1:12" ht="61.2" x14ac:dyDescent="0.3">
      <c r="A829" s="237" t="s">
        <v>644</v>
      </c>
      <c r="B829" s="238" t="s">
        <v>2153</v>
      </c>
      <c r="C829" s="238" t="s">
        <v>806</v>
      </c>
      <c r="D829" s="238" t="s">
        <v>2166</v>
      </c>
      <c r="E829" s="239" t="s">
        <v>105</v>
      </c>
      <c r="F829" s="245" t="s">
        <v>15</v>
      </c>
      <c r="G829" s="245"/>
      <c r="H829" s="239" t="s">
        <v>751</v>
      </c>
      <c r="I829" s="246">
        <v>1733.2</v>
      </c>
      <c r="J829" s="246"/>
      <c r="K829" s="242" t="s">
        <v>8</v>
      </c>
      <c r="L829" s="243">
        <v>7276114.04</v>
      </c>
    </row>
    <row r="830" spans="1:12" ht="61.2" x14ac:dyDescent="0.3">
      <c r="A830" s="237" t="s">
        <v>644</v>
      </c>
      <c r="B830" s="238" t="s">
        <v>2153</v>
      </c>
      <c r="C830" s="238" t="s">
        <v>806</v>
      </c>
      <c r="D830" s="238" t="s">
        <v>2167</v>
      </c>
      <c r="E830" s="239" t="s">
        <v>105</v>
      </c>
      <c r="F830" s="245" t="s">
        <v>15</v>
      </c>
      <c r="G830" s="245"/>
      <c r="H830" s="239" t="s">
        <v>751</v>
      </c>
      <c r="I830" s="246">
        <v>2119.8000000000002</v>
      </c>
      <c r="J830" s="246"/>
      <c r="K830" s="242" t="s">
        <v>8</v>
      </c>
      <c r="L830" s="243">
        <v>7273994.2400000002</v>
      </c>
    </row>
    <row r="831" spans="1:12" ht="61.2" x14ac:dyDescent="0.3">
      <c r="A831" s="237" t="s">
        <v>644</v>
      </c>
      <c r="B831" s="238" t="s">
        <v>2153</v>
      </c>
      <c r="C831" s="238" t="s">
        <v>806</v>
      </c>
      <c r="D831" s="238" t="s">
        <v>2168</v>
      </c>
      <c r="E831" s="239" t="s">
        <v>105</v>
      </c>
      <c r="F831" s="245" t="s">
        <v>15</v>
      </c>
      <c r="G831" s="245"/>
      <c r="H831" s="239" t="s">
        <v>751</v>
      </c>
      <c r="I831" s="246">
        <v>2908.9</v>
      </c>
      <c r="J831" s="246"/>
      <c r="K831" s="242" t="s">
        <v>8</v>
      </c>
      <c r="L831" s="243">
        <v>7271085.3399999999</v>
      </c>
    </row>
    <row r="832" spans="1:12" ht="61.2" x14ac:dyDescent="0.3">
      <c r="A832" s="237" t="s">
        <v>644</v>
      </c>
      <c r="B832" s="238" t="s">
        <v>2153</v>
      </c>
      <c r="C832" s="238" t="s">
        <v>806</v>
      </c>
      <c r="D832" s="238" t="s">
        <v>2169</v>
      </c>
      <c r="E832" s="239" t="s">
        <v>105</v>
      </c>
      <c r="F832" s="245" t="s">
        <v>15</v>
      </c>
      <c r="G832" s="245"/>
      <c r="H832" s="239" t="s">
        <v>751</v>
      </c>
      <c r="I832" s="246">
        <v>5633</v>
      </c>
      <c r="J832" s="246"/>
      <c r="K832" s="242" t="s">
        <v>8</v>
      </c>
      <c r="L832" s="243">
        <v>7265452.3399999999</v>
      </c>
    </row>
    <row r="833" spans="1:12" ht="61.2" x14ac:dyDescent="0.3">
      <c r="A833" s="237" t="s">
        <v>644</v>
      </c>
      <c r="B833" s="238" t="s">
        <v>2153</v>
      </c>
      <c r="C833" s="238" t="s">
        <v>806</v>
      </c>
      <c r="D833" s="238" t="s">
        <v>2170</v>
      </c>
      <c r="E833" s="239" t="s">
        <v>105</v>
      </c>
      <c r="F833" s="245" t="s">
        <v>15</v>
      </c>
      <c r="G833" s="245"/>
      <c r="H833" s="239" t="s">
        <v>751</v>
      </c>
      <c r="I833" s="246">
        <v>3033.2</v>
      </c>
      <c r="J833" s="246"/>
      <c r="K833" s="242" t="s">
        <v>8</v>
      </c>
      <c r="L833" s="243">
        <v>7262419.1399999997</v>
      </c>
    </row>
    <row r="834" spans="1:12" ht="61.2" x14ac:dyDescent="0.3">
      <c r="A834" s="237" t="s">
        <v>644</v>
      </c>
      <c r="B834" s="238" t="s">
        <v>2153</v>
      </c>
      <c r="C834" s="238" t="s">
        <v>806</v>
      </c>
      <c r="D834" s="238" t="s">
        <v>2171</v>
      </c>
      <c r="E834" s="239" t="s">
        <v>105</v>
      </c>
      <c r="F834" s="245" t="s">
        <v>15</v>
      </c>
      <c r="G834" s="245"/>
      <c r="H834" s="239" t="s">
        <v>751</v>
      </c>
      <c r="I834" s="246">
        <v>2822.8</v>
      </c>
      <c r="J834" s="246"/>
      <c r="K834" s="242" t="s">
        <v>8</v>
      </c>
      <c r="L834" s="243">
        <v>7259596.3399999999</v>
      </c>
    </row>
    <row r="835" spans="1:12" ht="61.2" x14ac:dyDescent="0.3">
      <c r="A835" s="237" t="s">
        <v>644</v>
      </c>
      <c r="B835" s="238" t="s">
        <v>2153</v>
      </c>
      <c r="C835" s="238" t="s">
        <v>806</v>
      </c>
      <c r="D835" s="238" t="s">
        <v>2172</v>
      </c>
      <c r="E835" s="239" t="s">
        <v>105</v>
      </c>
      <c r="F835" s="245" t="s">
        <v>15</v>
      </c>
      <c r="G835" s="245"/>
      <c r="H835" s="239" t="s">
        <v>751</v>
      </c>
      <c r="I835" s="246">
        <v>9805</v>
      </c>
      <c r="J835" s="246"/>
      <c r="K835" s="242" t="s">
        <v>8</v>
      </c>
      <c r="L835" s="243">
        <v>7249791.3399999999</v>
      </c>
    </row>
    <row r="836" spans="1:12" ht="61.2" x14ac:dyDescent="0.3">
      <c r="A836" s="237" t="s">
        <v>644</v>
      </c>
      <c r="B836" s="238" t="s">
        <v>2153</v>
      </c>
      <c r="C836" s="238" t="s">
        <v>806</v>
      </c>
      <c r="D836" s="238" t="s">
        <v>2173</v>
      </c>
      <c r="E836" s="239" t="s">
        <v>105</v>
      </c>
      <c r="F836" s="245" t="s">
        <v>15</v>
      </c>
      <c r="G836" s="245"/>
      <c r="H836" s="239" t="s">
        <v>751</v>
      </c>
      <c r="I836" s="246">
        <v>3980.3</v>
      </c>
      <c r="J836" s="246"/>
      <c r="K836" s="242" t="s">
        <v>8</v>
      </c>
      <c r="L836" s="243">
        <v>7245811.04</v>
      </c>
    </row>
    <row r="837" spans="1:12" ht="61.2" x14ac:dyDescent="0.3">
      <c r="A837" s="237" t="s">
        <v>644</v>
      </c>
      <c r="B837" s="238" t="s">
        <v>2153</v>
      </c>
      <c r="C837" s="238" t="s">
        <v>806</v>
      </c>
      <c r="D837" s="238" t="s">
        <v>2174</v>
      </c>
      <c r="E837" s="239" t="s">
        <v>105</v>
      </c>
      <c r="F837" s="245" t="s">
        <v>15</v>
      </c>
      <c r="G837" s="245"/>
      <c r="H837" s="239" t="s">
        <v>751</v>
      </c>
      <c r="I837" s="246">
        <v>2027.5</v>
      </c>
      <c r="J837" s="246"/>
      <c r="K837" s="242" t="s">
        <v>8</v>
      </c>
      <c r="L837" s="243">
        <v>7243783.54</v>
      </c>
    </row>
    <row r="838" spans="1:12" ht="61.2" x14ac:dyDescent="0.3">
      <c r="A838" s="237" t="s">
        <v>644</v>
      </c>
      <c r="B838" s="238" t="s">
        <v>2153</v>
      </c>
      <c r="C838" s="238" t="s">
        <v>806</v>
      </c>
      <c r="D838" s="238" t="s">
        <v>2175</v>
      </c>
      <c r="E838" s="239" t="s">
        <v>105</v>
      </c>
      <c r="F838" s="245" t="s">
        <v>15</v>
      </c>
      <c r="G838" s="245"/>
      <c r="H838" s="239" t="s">
        <v>751</v>
      </c>
      <c r="I838" s="246">
        <v>1573.8</v>
      </c>
      <c r="J838" s="246"/>
      <c r="K838" s="242" t="s">
        <v>8</v>
      </c>
      <c r="L838" s="243">
        <v>7242209.7400000002</v>
      </c>
    </row>
    <row r="839" spans="1:12" ht="61.2" x14ac:dyDescent="0.3">
      <c r="A839" s="237" t="s">
        <v>644</v>
      </c>
      <c r="B839" s="238" t="s">
        <v>2153</v>
      </c>
      <c r="C839" s="238" t="s">
        <v>806</v>
      </c>
      <c r="D839" s="238" t="s">
        <v>2176</v>
      </c>
      <c r="E839" s="239" t="s">
        <v>105</v>
      </c>
      <c r="F839" s="245" t="s">
        <v>15</v>
      </c>
      <c r="G839" s="245"/>
      <c r="H839" s="239" t="s">
        <v>751</v>
      </c>
      <c r="I839" s="246">
        <v>3216.2</v>
      </c>
      <c r="J839" s="246"/>
      <c r="K839" s="242" t="s">
        <v>8</v>
      </c>
      <c r="L839" s="243">
        <v>7238993.54</v>
      </c>
    </row>
    <row r="840" spans="1:12" ht="61.2" x14ac:dyDescent="0.3">
      <c r="A840" s="237" t="s">
        <v>644</v>
      </c>
      <c r="B840" s="238" t="s">
        <v>2153</v>
      </c>
      <c r="C840" s="238" t="s">
        <v>806</v>
      </c>
      <c r="D840" s="238" t="s">
        <v>2177</v>
      </c>
      <c r="E840" s="239" t="s">
        <v>105</v>
      </c>
      <c r="F840" s="245" t="s">
        <v>15</v>
      </c>
      <c r="G840" s="245"/>
      <c r="H840" s="239" t="s">
        <v>751</v>
      </c>
      <c r="I840" s="246">
        <v>1807.9</v>
      </c>
      <c r="J840" s="246"/>
      <c r="K840" s="242" t="s">
        <v>8</v>
      </c>
      <c r="L840" s="243">
        <v>7237185.6399999997</v>
      </c>
    </row>
    <row r="841" spans="1:12" ht="61.2" x14ac:dyDescent="0.3">
      <c r="A841" s="237" t="s">
        <v>644</v>
      </c>
      <c r="B841" s="238" t="s">
        <v>2153</v>
      </c>
      <c r="C841" s="238" t="s">
        <v>806</v>
      </c>
      <c r="D841" s="238" t="s">
        <v>2178</v>
      </c>
      <c r="E841" s="239" t="s">
        <v>105</v>
      </c>
      <c r="F841" s="245" t="s">
        <v>15</v>
      </c>
      <c r="G841" s="245"/>
      <c r="H841" s="239" t="s">
        <v>751</v>
      </c>
      <c r="I841" s="246">
        <v>1918.5</v>
      </c>
      <c r="J841" s="246"/>
      <c r="K841" s="242" t="s">
        <v>8</v>
      </c>
      <c r="L841" s="243">
        <v>7235267.1399999997</v>
      </c>
    </row>
    <row r="842" spans="1:12" ht="61.2" x14ac:dyDescent="0.3">
      <c r="A842" s="237" t="s">
        <v>644</v>
      </c>
      <c r="B842" s="238" t="s">
        <v>2153</v>
      </c>
      <c r="C842" s="238" t="s">
        <v>806</v>
      </c>
      <c r="D842" s="238" t="s">
        <v>2179</v>
      </c>
      <c r="E842" s="239" t="s">
        <v>105</v>
      </c>
      <c r="F842" s="245" t="s">
        <v>15</v>
      </c>
      <c r="G842" s="245"/>
      <c r="H842" s="239" t="s">
        <v>751</v>
      </c>
      <c r="I842" s="246">
        <v>6627.6</v>
      </c>
      <c r="J842" s="246"/>
      <c r="K842" s="242" t="s">
        <v>8</v>
      </c>
      <c r="L842" s="243">
        <v>7228639.54</v>
      </c>
    </row>
    <row r="843" spans="1:12" ht="61.2" x14ac:dyDescent="0.3">
      <c r="A843" s="237" t="s">
        <v>644</v>
      </c>
      <c r="B843" s="238" t="s">
        <v>2153</v>
      </c>
      <c r="C843" s="238" t="s">
        <v>806</v>
      </c>
      <c r="D843" s="238" t="s">
        <v>2180</v>
      </c>
      <c r="E843" s="239" t="s">
        <v>105</v>
      </c>
      <c r="F843" s="245" t="s">
        <v>15</v>
      </c>
      <c r="G843" s="245"/>
      <c r="H843" s="239" t="s">
        <v>751</v>
      </c>
      <c r="I843" s="246">
        <v>3411.4</v>
      </c>
      <c r="J843" s="246"/>
      <c r="K843" s="242" t="s">
        <v>8</v>
      </c>
      <c r="L843" s="243">
        <v>7225228.1399999997</v>
      </c>
    </row>
    <row r="844" spans="1:12" ht="61.2" x14ac:dyDescent="0.3">
      <c r="A844" s="237" t="s">
        <v>644</v>
      </c>
      <c r="B844" s="238" t="s">
        <v>2153</v>
      </c>
      <c r="C844" s="238" t="s">
        <v>806</v>
      </c>
      <c r="D844" s="238" t="s">
        <v>2181</v>
      </c>
      <c r="E844" s="239" t="s">
        <v>105</v>
      </c>
      <c r="F844" s="245" t="s">
        <v>15</v>
      </c>
      <c r="G844" s="245"/>
      <c r="H844" s="239" t="s">
        <v>751</v>
      </c>
      <c r="I844" s="246">
        <v>3614.3</v>
      </c>
      <c r="J844" s="246"/>
      <c r="K844" s="242" t="s">
        <v>8</v>
      </c>
      <c r="L844" s="243">
        <v>7221613.8399999999</v>
      </c>
    </row>
    <row r="845" spans="1:12" ht="61.2" x14ac:dyDescent="0.3">
      <c r="A845" s="237" t="s">
        <v>644</v>
      </c>
      <c r="B845" s="238" t="s">
        <v>2153</v>
      </c>
      <c r="C845" s="238" t="s">
        <v>806</v>
      </c>
      <c r="D845" s="238" t="s">
        <v>2182</v>
      </c>
      <c r="E845" s="239" t="s">
        <v>105</v>
      </c>
      <c r="F845" s="245" t="s">
        <v>15</v>
      </c>
      <c r="G845" s="245"/>
      <c r="H845" s="239" t="s">
        <v>751</v>
      </c>
      <c r="I845" s="246">
        <v>3269.2</v>
      </c>
      <c r="J845" s="246"/>
      <c r="K845" s="242" t="s">
        <v>8</v>
      </c>
      <c r="L845" s="243">
        <v>7218344.6399999997</v>
      </c>
    </row>
    <row r="846" spans="1:12" ht="61.2" x14ac:dyDescent="0.3">
      <c r="A846" s="237" t="s">
        <v>644</v>
      </c>
      <c r="B846" s="238" t="s">
        <v>2153</v>
      </c>
      <c r="C846" s="238" t="s">
        <v>806</v>
      </c>
      <c r="D846" s="238" t="s">
        <v>2183</v>
      </c>
      <c r="E846" s="239" t="s">
        <v>105</v>
      </c>
      <c r="F846" s="245" t="s">
        <v>15</v>
      </c>
      <c r="G846" s="245"/>
      <c r="H846" s="239" t="s">
        <v>751</v>
      </c>
      <c r="I846" s="246">
        <v>4651.6000000000004</v>
      </c>
      <c r="J846" s="246"/>
      <c r="K846" s="242" t="s">
        <v>8</v>
      </c>
      <c r="L846" s="243">
        <v>7213693.04</v>
      </c>
    </row>
    <row r="847" spans="1:12" ht="61.2" x14ac:dyDescent="0.3">
      <c r="A847" s="237" t="s">
        <v>644</v>
      </c>
      <c r="B847" s="238" t="s">
        <v>2153</v>
      </c>
      <c r="C847" s="238" t="s">
        <v>806</v>
      </c>
      <c r="D847" s="238" t="s">
        <v>2184</v>
      </c>
      <c r="E847" s="239" t="s">
        <v>105</v>
      </c>
      <c r="F847" s="245" t="s">
        <v>15</v>
      </c>
      <c r="G847" s="245"/>
      <c r="H847" s="239" t="s">
        <v>751</v>
      </c>
      <c r="I847" s="246">
        <v>10454.4</v>
      </c>
      <c r="J847" s="246"/>
      <c r="K847" s="242" t="s">
        <v>8</v>
      </c>
      <c r="L847" s="243">
        <v>7203238.6399999997</v>
      </c>
    </row>
    <row r="848" spans="1:12" ht="61.2" x14ac:dyDescent="0.3">
      <c r="A848" s="237" t="s">
        <v>644</v>
      </c>
      <c r="B848" s="238" t="s">
        <v>2153</v>
      </c>
      <c r="C848" s="238" t="s">
        <v>806</v>
      </c>
      <c r="D848" s="238" t="s">
        <v>2185</v>
      </c>
      <c r="E848" s="239" t="s">
        <v>105</v>
      </c>
      <c r="F848" s="245" t="s">
        <v>15</v>
      </c>
      <c r="G848" s="245"/>
      <c r="H848" s="239" t="s">
        <v>751</v>
      </c>
      <c r="I848" s="246">
        <v>3893.3</v>
      </c>
      <c r="J848" s="246"/>
      <c r="K848" s="242" t="s">
        <v>8</v>
      </c>
      <c r="L848" s="243">
        <v>7199345.3399999999</v>
      </c>
    </row>
    <row r="849" spans="1:12" ht="61.2" x14ac:dyDescent="0.3">
      <c r="A849" s="237" t="s">
        <v>644</v>
      </c>
      <c r="B849" s="238" t="s">
        <v>2153</v>
      </c>
      <c r="C849" s="238" t="s">
        <v>806</v>
      </c>
      <c r="D849" s="238" t="s">
        <v>2186</v>
      </c>
      <c r="E849" s="239" t="s">
        <v>105</v>
      </c>
      <c r="F849" s="245" t="s">
        <v>15</v>
      </c>
      <c r="G849" s="245"/>
      <c r="H849" s="239" t="s">
        <v>751</v>
      </c>
      <c r="I849" s="246">
        <v>4498</v>
      </c>
      <c r="J849" s="246"/>
      <c r="K849" s="242" t="s">
        <v>8</v>
      </c>
      <c r="L849" s="243">
        <v>7194847.3399999999</v>
      </c>
    </row>
    <row r="850" spans="1:12" ht="61.2" x14ac:dyDescent="0.3">
      <c r="A850" s="237" t="s">
        <v>644</v>
      </c>
      <c r="B850" s="238" t="s">
        <v>2153</v>
      </c>
      <c r="C850" s="238" t="s">
        <v>806</v>
      </c>
      <c r="D850" s="238" t="s">
        <v>2187</v>
      </c>
      <c r="E850" s="239" t="s">
        <v>105</v>
      </c>
      <c r="F850" s="245" t="s">
        <v>15</v>
      </c>
      <c r="G850" s="245"/>
      <c r="H850" s="239" t="s">
        <v>751</v>
      </c>
      <c r="I850" s="246">
        <v>5026.2</v>
      </c>
      <c r="J850" s="246"/>
      <c r="K850" s="242" t="s">
        <v>8</v>
      </c>
      <c r="L850" s="243">
        <v>7189821.1399999997</v>
      </c>
    </row>
    <row r="851" spans="1:12" ht="61.2" x14ac:dyDescent="0.3">
      <c r="A851" s="237" t="s">
        <v>644</v>
      </c>
      <c r="B851" s="238" t="s">
        <v>2153</v>
      </c>
      <c r="C851" s="238" t="s">
        <v>806</v>
      </c>
      <c r="D851" s="238" t="s">
        <v>2188</v>
      </c>
      <c r="E851" s="239" t="s">
        <v>105</v>
      </c>
      <c r="F851" s="245" t="s">
        <v>15</v>
      </c>
      <c r="G851" s="245"/>
      <c r="H851" s="239" t="s">
        <v>751</v>
      </c>
      <c r="I851" s="246">
        <v>3527.3</v>
      </c>
      <c r="J851" s="246"/>
      <c r="K851" s="242" t="s">
        <v>8</v>
      </c>
      <c r="L851" s="243">
        <v>7186293.8399999999</v>
      </c>
    </row>
    <row r="852" spans="1:12" ht="61.2" x14ac:dyDescent="0.3">
      <c r="A852" s="237" t="s">
        <v>644</v>
      </c>
      <c r="B852" s="238" t="s">
        <v>2153</v>
      </c>
      <c r="C852" s="238" t="s">
        <v>806</v>
      </c>
      <c r="D852" s="238" t="s">
        <v>2189</v>
      </c>
      <c r="E852" s="239" t="s">
        <v>105</v>
      </c>
      <c r="F852" s="245" t="s">
        <v>15</v>
      </c>
      <c r="G852" s="245"/>
      <c r="H852" s="239" t="s">
        <v>751</v>
      </c>
      <c r="I852" s="246">
        <v>3416.8</v>
      </c>
      <c r="J852" s="246"/>
      <c r="K852" s="242" t="s">
        <v>8</v>
      </c>
      <c r="L852" s="243">
        <v>7182877.04</v>
      </c>
    </row>
    <row r="853" spans="1:12" ht="61.2" x14ac:dyDescent="0.3">
      <c r="A853" s="237" t="s">
        <v>644</v>
      </c>
      <c r="B853" s="238" t="s">
        <v>2153</v>
      </c>
      <c r="C853" s="238" t="s">
        <v>806</v>
      </c>
      <c r="D853" s="238" t="s">
        <v>2190</v>
      </c>
      <c r="E853" s="239" t="s">
        <v>105</v>
      </c>
      <c r="F853" s="245" t="s">
        <v>15</v>
      </c>
      <c r="G853" s="245"/>
      <c r="H853" s="239" t="s">
        <v>751</v>
      </c>
      <c r="I853" s="246">
        <v>4801.5</v>
      </c>
      <c r="J853" s="246"/>
      <c r="K853" s="242" t="s">
        <v>8</v>
      </c>
      <c r="L853" s="243">
        <v>7178075.54</v>
      </c>
    </row>
    <row r="854" spans="1:12" ht="61.2" x14ac:dyDescent="0.3">
      <c r="A854" s="237" t="s">
        <v>644</v>
      </c>
      <c r="B854" s="238" t="s">
        <v>2153</v>
      </c>
      <c r="C854" s="238" t="s">
        <v>806</v>
      </c>
      <c r="D854" s="238" t="s">
        <v>2191</v>
      </c>
      <c r="E854" s="239" t="s">
        <v>105</v>
      </c>
      <c r="F854" s="245" t="s">
        <v>15</v>
      </c>
      <c r="G854" s="245"/>
      <c r="H854" s="239" t="s">
        <v>751</v>
      </c>
      <c r="I854" s="246">
        <v>5305.5</v>
      </c>
      <c r="J854" s="246"/>
      <c r="K854" s="242" t="s">
        <v>8</v>
      </c>
      <c r="L854" s="243">
        <v>7172770.04</v>
      </c>
    </row>
    <row r="855" spans="1:12" ht="61.2" x14ac:dyDescent="0.3">
      <c r="A855" s="237" t="s">
        <v>644</v>
      </c>
      <c r="B855" s="238" t="s">
        <v>2153</v>
      </c>
      <c r="C855" s="238" t="s">
        <v>806</v>
      </c>
      <c r="D855" s="238" t="s">
        <v>2192</v>
      </c>
      <c r="E855" s="239" t="s">
        <v>105</v>
      </c>
      <c r="F855" s="245" t="s">
        <v>15</v>
      </c>
      <c r="G855" s="245"/>
      <c r="H855" s="239" t="s">
        <v>751</v>
      </c>
      <c r="I855" s="246">
        <v>5763</v>
      </c>
      <c r="J855" s="246"/>
      <c r="K855" s="242" t="s">
        <v>8</v>
      </c>
      <c r="L855" s="243">
        <v>7167007.04</v>
      </c>
    </row>
    <row r="856" spans="1:12" ht="61.2" x14ac:dyDescent="0.3">
      <c r="A856" s="237" t="s">
        <v>644</v>
      </c>
      <c r="B856" s="238" t="s">
        <v>2153</v>
      </c>
      <c r="C856" s="238" t="s">
        <v>806</v>
      </c>
      <c r="D856" s="238" t="s">
        <v>2193</v>
      </c>
      <c r="E856" s="239" t="s">
        <v>105</v>
      </c>
      <c r="F856" s="245" t="s">
        <v>15</v>
      </c>
      <c r="G856" s="245"/>
      <c r="H856" s="239" t="s">
        <v>751</v>
      </c>
      <c r="I856" s="246">
        <v>11094.4</v>
      </c>
      <c r="J856" s="246"/>
      <c r="K856" s="242" t="s">
        <v>8</v>
      </c>
      <c r="L856" s="243">
        <v>7155912.6399999997</v>
      </c>
    </row>
    <row r="857" spans="1:12" ht="61.2" x14ac:dyDescent="0.3">
      <c r="A857" s="237" t="s">
        <v>644</v>
      </c>
      <c r="B857" s="238" t="s">
        <v>2153</v>
      </c>
      <c r="C857" s="238" t="s">
        <v>806</v>
      </c>
      <c r="D857" s="238" t="s">
        <v>2194</v>
      </c>
      <c r="E857" s="239" t="s">
        <v>105</v>
      </c>
      <c r="F857" s="245" t="s">
        <v>15</v>
      </c>
      <c r="G857" s="245"/>
      <c r="H857" s="239" t="s">
        <v>751</v>
      </c>
      <c r="I857" s="246">
        <v>4097.7</v>
      </c>
      <c r="J857" s="246"/>
      <c r="K857" s="242" t="s">
        <v>8</v>
      </c>
      <c r="L857" s="243">
        <v>7151814.9400000004</v>
      </c>
    </row>
    <row r="858" spans="1:12" ht="61.2" x14ac:dyDescent="0.3">
      <c r="A858" s="237" t="s">
        <v>644</v>
      </c>
      <c r="B858" s="238" t="s">
        <v>2153</v>
      </c>
      <c r="C858" s="238" t="s">
        <v>806</v>
      </c>
      <c r="D858" s="238" t="s">
        <v>2195</v>
      </c>
      <c r="E858" s="239" t="s">
        <v>105</v>
      </c>
      <c r="F858" s="245" t="s">
        <v>15</v>
      </c>
      <c r="G858" s="245"/>
      <c r="H858" s="239" t="s">
        <v>751</v>
      </c>
      <c r="I858" s="246">
        <v>4988.3</v>
      </c>
      <c r="J858" s="246"/>
      <c r="K858" s="242" t="s">
        <v>8</v>
      </c>
      <c r="L858" s="243">
        <v>7146826.6399999997</v>
      </c>
    </row>
    <row r="859" spans="1:12" ht="61.2" x14ac:dyDescent="0.3">
      <c r="A859" s="237" t="s">
        <v>644</v>
      </c>
      <c r="B859" s="238" t="s">
        <v>2153</v>
      </c>
      <c r="C859" s="238" t="s">
        <v>806</v>
      </c>
      <c r="D859" s="238" t="s">
        <v>2196</v>
      </c>
      <c r="E859" s="239" t="s">
        <v>105</v>
      </c>
      <c r="F859" s="245" t="s">
        <v>15</v>
      </c>
      <c r="G859" s="245"/>
      <c r="H859" s="239" t="s">
        <v>751</v>
      </c>
      <c r="I859" s="246">
        <v>3926.7</v>
      </c>
      <c r="J859" s="246"/>
      <c r="K859" s="242" t="s">
        <v>8</v>
      </c>
      <c r="L859" s="243">
        <v>7142899.9400000004</v>
      </c>
    </row>
    <row r="860" spans="1:12" ht="61.2" x14ac:dyDescent="0.3">
      <c r="A860" s="237" t="s">
        <v>644</v>
      </c>
      <c r="B860" s="238" t="s">
        <v>2153</v>
      </c>
      <c r="C860" s="238" t="s">
        <v>806</v>
      </c>
      <c r="D860" s="238" t="s">
        <v>2197</v>
      </c>
      <c r="E860" s="239" t="s">
        <v>105</v>
      </c>
      <c r="F860" s="245" t="s">
        <v>15</v>
      </c>
      <c r="G860" s="245"/>
      <c r="H860" s="239" t="s">
        <v>751</v>
      </c>
      <c r="I860" s="246">
        <v>14160</v>
      </c>
      <c r="J860" s="246"/>
      <c r="K860" s="242" t="s">
        <v>8</v>
      </c>
      <c r="L860" s="243">
        <v>7128739.9400000004</v>
      </c>
    </row>
    <row r="861" spans="1:12" ht="61.2" x14ac:dyDescent="0.3">
      <c r="A861" s="237" t="s">
        <v>644</v>
      </c>
      <c r="B861" s="238" t="s">
        <v>2153</v>
      </c>
      <c r="C861" s="238" t="s">
        <v>806</v>
      </c>
      <c r="D861" s="238" t="s">
        <v>2198</v>
      </c>
      <c r="E861" s="239" t="s">
        <v>105</v>
      </c>
      <c r="F861" s="245" t="s">
        <v>15</v>
      </c>
      <c r="G861" s="245"/>
      <c r="H861" s="239" t="s">
        <v>751</v>
      </c>
      <c r="I861" s="246">
        <v>1795</v>
      </c>
      <c r="J861" s="246"/>
      <c r="K861" s="242" t="s">
        <v>8</v>
      </c>
      <c r="L861" s="243">
        <v>7126944.9400000004</v>
      </c>
    </row>
    <row r="862" spans="1:12" ht="61.2" x14ac:dyDescent="0.3">
      <c r="A862" s="237" t="s">
        <v>644</v>
      </c>
      <c r="B862" s="238" t="s">
        <v>2153</v>
      </c>
      <c r="C862" s="238" t="s">
        <v>806</v>
      </c>
      <c r="D862" s="238" t="s">
        <v>2199</v>
      </c>
      <c r="E862" s="239" t="s">
        <v>105</v>
      </c>
      <c r="F862" s="245" t="s">
        <v>15</v>
      </c>
      <c r="G862" s="245"/>
      <c r="H862" s="239" t="s">
        <v>751</v>
      </c>
      <c r="I862" s="246">
        <v>1910.1</v>
      </c>
      <c r="J862" s="246"/>
      <c r="K862" s="242" t="s">
        <v>8</v>
      </c>
      <c r="L862" s="243">
        <v>7125034.8399999999</v>
      </c>
    </row>
    <row r="863" spans="1:12" ht="61.2" x14ac:dyDescent="0.3">
      <c r="A863" s="237" t="s">
        <v>644</v>
      </c>
      <c r="B863" s="238" t="s">
        <v>2153</v>
      </c>
      <c r="C863" s="238" t="s">
        <v>806</v>
      </c>
      <c r="D863" s="238" t="s">
        <v>2200</v>
      </c>
      <c r="E863" s="239" t="s">
        <v>105</v>
      </c>
      <c r="F863" s="245" t="s">
        <v>15</v>
      </c>
      <c r="G863" s="245"/>
      <c r="H863" s="239" t="s">
        <v>751</v>
      </c>
      <c r="I863" s="246">
        <v>2129.6999999999998</v>
      </c>
      <c r="J863" s="246"/>
      <c r="K863" s="242" t="s">
        <v>8</v>
      </c>
      <c r="L863" s="243">
        <v>7122905.1399999997</v>
      </c>
    </row>
    <row r="864" spans="1:12" ht="61.2" x14ac:dyDescent="0.3">
      <c r="A864" s="237" t="s">
        <v>644</v>
      </c>
      <c r="B864" s="238" t="s">
        <v>2153</v>
      </c>
      <c r="C864" s="238" t="s">
        <v>806</v>
      </c>
      <c r="D864" s="238" t="s">
        <v>2201</v>
      </c>
      <c r="E864" s="239" t="s">
        <v>105</v>
      </c>
      <c r="F864" s="245" t="s">
        <v>15</v>
      </c>
      <c r="G864" s="245"/>
      <c r="H864" s="239" t="s">
        <v>751</v>
      </c>
      <c r="I864" s="246">
        <v>1983.3</v>
      </c>
      <c r="J864" s="246"/>
      <c r="K864" s="242" t="s">
        <v>8</v>
      </c>
      <c r="L864" s="243">
        <v>7120921.8399999999</v>
      </c>
    </row>
    <row r="865" spans="1:12" ht="61.2" x14ac:dyDescent="0.3">
      <c r="A865" s="237" t="s">
        <v>644</v>
      </c>
      <c r="B865" s="238" t="s">
        <v>2153</v>
      </c>
      <c r="C865" s="238" t="s">
        <v>806</v>
      </c>
      <c r="D865" s="238" t="s">
        <v>2202</v>
      </c>
      <c r="E865" s="239" t="s">
        <v>105</v>
      </c>
      <c r="F865" s="245" t="s">
        <v>15</v>
      </c>
      <c r="G865" s="245"/>
      <c r="H865" s="239" t="s">
        <v>751</v>
      </c>
      <c r="I865" s="246">
        <v>1956.5</v>
      </c>
      <c r="J865" s="246"/>
      <c r="K865" s="242" t="s">
        <v>8</v>
      </c>
      <c r="L865" s="243">
        <v>7118965.3399999999</v>
      </c>
    </row>
    <row r="866" spans="1:12" ht="61.2" x14ac:dyDescent="0.3">
      <c r="A866" s="237" t="s">
        <v>644</v>
      </c>
      <c r="B866" s="238" t="s">
        <v>2153</v>
      </c>
      <c r="C866" s="238" t="s">
        <v>806</v>
      </c>
      <c r="D866" s="238" t="s">
        <v>2203</v>
      </c>
      <c r="E866" s="239" t="s">
        <v>105</v>
      </c>
      <c r="F866" s="245" t="s">
        <v>15</v>
      </c>
      <c r="G866" s="245"/>
      <c r="H866" s="239" t="s">
        <v>751</v>
      </c>
      <c r="I866" s="246">
        <v>3121.3</v>
      </c>
      <c r="J866" s="246"/>
      <c r="K866" s="242" t="s">
        <v>8</v>
      </c>
      <c r="L866" s="243">
        <v>7115844.04</v>
      </c>
    </row>
    <row r="867" spans="1:12" ht="61.2" x14ac:dyDescent="0.3">
      <c r="A867" s="237" t="s">
        <v>644</v>
      </c>
      <c r="B867" s="238" t="s">
        <v>2153</v>
      </c>
      <c r="C867" s="238" t="s">
        <v>806</v>
      </c>
      <c r="D867" s="238" t="s">
        <v>2204</v>
      </c>
      <c r="E867" s="239" t="s">
        <v>105</v>
      </c>
      <c r="F867" s="245" t="s">
        <v>15</v>
      </c>
      <c r="G867" s="245"/>
      <c r="H867" s="239" t="s">
        <v>751</v>
      </c>
      <c r="I867" s="246">
        <v>3140</v>
      </c>
      <c r="J867" s="246"/>
      <c r="K867" s="242" t="s">
        <v>8</v>
      </c>
      <c r="L867" s="243">
        <v>7112704.04</v>
      </c>
    </row>
    <row r="868" spans="1:12" ht="61.2" x14ac:dyDescent="0.3">
      <c r="A868" s="237" t="s">
        <v>644</v>
      </c>
      <c r="B868" s="238" t="s">
        <v>2153</v>
      </c>
      <c r="C868" s="238" t="s">
        <v>806</v>
      </c>
      <c r="D868" s="238" t="s">
        <v>2205</v>
      </c>
      <c r="E868" s="239" t="s">
        <v>105</v>
      </c>
      <c r="F868" s="245" t="s">
        <v>15</v>
      </c>
      <c r="G868" s="245"/>
      <c r="H868" s="239" t="s">
        <v>751</v>
      </c>
      <c r="I868" s="246">
        <v>1409.1</v>
      </c>
      <c r="J868" s="246"/>
      <c r="K868" s="242" t="s">
        <v>8</v>
      </c>
      <c r="L868" s="243">
        <v>7111294.9400000004</v>
      </c>
    </row>
    <row r="869" spans="1:12" ht="61.2" x14ac:dyDescent="0.3">
      <c r="A869" s="237" t="s">
        <v>644</v>
      </c>
      <c r="B869" s="238" t="s">
        <v>2153</v>
      </c>
      <c r="C869" s="238" t="s">
        <v>806</v>
      </c>
      <c r="D869" s="238" t="s">
        <v>2206</v>
      </c>
      <c r="E869" s="239" t="s">
        <v>105</v>
      </c>
      <c r="F869" s="245" t="s">
        <v>15</v>
      </c>
      <c r="G869" s="245"/>
      <c r="H869" s="239" t="s">
        <v>751</v>
      </c>
      <c r="I869" s="246">
        <v>1473.9</v>
      </c>
      <c r="J869" s="246"/>
      <c r="K869" s="242" t="s">
        <v>8</v>
      </c>
      <c r="L869" s="243">
        <v>7109821.04</v>
      </c>
    </row>
    <row r="870" spans="1:12" ht="61.2" x14ac:dyDescent="0.3">
      <c r="A870" s="237" t="s">
        <v>644</v>
      </c>
      <c r="B870" s="238" t="s">
        <v>2153</v>
      </c>
      <c r="C870" s="238" t="s">
        <v>806</v>
      </c>
      <c r="D870" s="238" t="s">
        <v>2207</v>
      </c>
      <c r="E870" s="239" t="s">
        <v>105</v>
      </c>
      <c r="F870" s="245" t="s">
        <v>15</v>
      </c>
      <c r="G870" s="245"/>
      <c r="H870" s="239" t="s">
        <v>751</v>
      </c>
      <c r="I870" s="246">
        <v>1794.2</v>
      </c>
      <c r="J870" s="246"/>
      <c r="K870" s="242" t="s">
        <v>8</v>
      </c>
      <c r="L870" s="243">
        <v>7108026.8399999999</v>
      </c>
    </row>
    <row r="871" spans="1:12" ht="61.2" x14ac:dyDescent="0.3">
      <c r="A871" s="237" t="s">
        <v>644</v>
      </c>
      <c r="B871" s="238" t="s">
        <v>2153</v>
      </c>
      <c r="C871" s="238" t="s">
        <v>806</v>
      </c>
      <c r="D871" s="238" t="s">
        <v>2208</v>
      </c>
      <c r="E871" s="239" t="s">
        <v>105</v>
      </c>
      <c r="F871" s="245" t="s">
        <v>15</v>
      </c>
      <c r="G871" s="245"/>
      <c r="H871" s="239" t="s">
        <v>751</v>
      </c>
      <c r="I871" s="246">
        <v>2013</v>
      </c>
      <c r="J871" s="246"/>
      <c r="K871" s="242" t="s">
        <v>8</v>
      </c>
      <c r="L871" s="243">
        <v>7106013.8399999999</v>
      </c>
    </row>
    <row r="872" spans="1:12" ht="61.2" x14ac:dyDescent="0.3">
      <c r="A872" s="237" t="s">
        <v>644</v>
      </c>
      <c r="B872" s="238" t="s">
        <v>2153</v>
      </c>
      <c r="C872" s="238" t="s">
        <v>806</v>
      </c>
      <c r="D872" s="238" t="s">
        <v>2209</v>
      </c>
      <c r="E872" s="239" t="s">
        <v>105</v>
      </c>
      <c r="F872" s="245" t="s">
        <v>15</v>
      </c>
      <c r="G872" s="245"/>
      <c r="H872" s="239" t="s">
        <v>751</v>
      </c>
      <c r="I872" s="246">
        <v>2030.8</v>
      </c>
      <c r="J872" s="246"/>
      <c r="K872" s="242" t="s">
        <v>8</v>
      </c>
      <c r="L872" s="243">
        <v>7103983.04</v>
      </c>
    </row>
    <row r="873" spans="1:12" ht="61.2" x14ac:dyDescent="0.3">
      <c r="A873" s="237" t="s">
        <v>644</v>
      </c>
      <c r="B873" s="238" t="s">
        <v>2153</v>
      </c>
      <c r="C873" s="238" t="s">
        <v>806</v>
      </c>
      <c r="D873" s="238" t="s">
        <v>2210</v>
      </c>
      <c r="E873" s="239" t="s">
        <v>105</v>
      </c>
      <c r="F873" s="245" t="s">
        <v>15</v>
      </c>
      <c r="G873" s="245"/>
      <c r="H873" s="239" t="s">
        <v>751</v>
      </c>
      <c r="I873" s="246">
        <v>1710.8</v>
      </c>
      <c r="J873" s="246"/>
      <c r="K873" s="242" t="s">
        <v>8</v>
      </c>
      <c r="L873" s="243">
        <v>7102272.2400000002</v>
      </c>
    </row>
    <row r="874" spans="1:12" ht="61.2" x14ac:dyDescent="0.3">
      <c r="A874" s="237" t="s">
        <v>644</v>
      </c>
      <c r="B874" s="238" t="s">
        <v>2153</v>
      </c>
      <c r="C874" s="238" t="s">
        <v>806</v>
      </c>
      <c r="D874" s="238" t="s">
        <v>2211</v>
      </c>
      <c r="E874" s="239" t="s">
        <v>105</v>
      </c>
      <c r="F874" s="245" t="s">
        <v>15</v>
      </c>
      <c r="G874" s="245"/>
      <c r="H874" s="239" t="s">
        <v>751</v>
      </c>
      <c r="I874" s="246">
        <v>3176.6</v>
      </c>
      <c r="J874" s="246"/>
      <c r="K874" s="242" t="s">
        <v>8</v>
      </c>
      <c r="L874" s="243">
        <v>7099095.6399999997</v>
      </c>
    </row>
    <row r="875" spans="1:12" ht="61.2" x14ac:dyDescent="0.3">
      <c r="A875" s="237" t="s">
        <v>644</v>
      </c>
      <c r="B875" s="238" t="s">
        <v>2153</v>
      </c>
      <c r="C875" s="238" t="s">
        <v>806</v>
      </c>
      <c r="D875" s="238" t="s">
        <v>2212</v>
      </c>
      <c r="E875" s="239" t="s">
        <v>105</v>
      </c>
      <c r="F875" s="245" t="s">
        <v>15</v>
      </c>
      <c r="G875" s="245"/>
      <c r="H875" s="239" t="s">
        <v>751</v>
      </c>
      <c r="I875" s="246">
        <v>1977.2</v>
      </c>
      <c r="J875" s="246"/>
      <c r="K875" s="242" t="s">
        <v>8</v>
      </c>
      <c r="L875" s="243">
        <v>7097118.4400000004</v>
      </c>
    </row>
    <row r="876" spans="1:12" ht="61.2" x14ac:dyDescent="0.3">
      <c r="A876" s="237" t="s">
        <v>644</v>
      </c>
      <c r="B876" s="238" t="s">
        <v>2153</v>
      </c>
      <c r="C876" s="238" t="s">
        <v>806</v>
      </c>
      <c r="D876" s="238" t="s">
        <v>2213</v>
      </c>
      <c r="E876" s="239" t="s">
        <v>105</v>
      </c>
      <c r="F876" s="245" t="s">
        <v>15</v>
      </c>
      <c r="G876" s="245"/>
      <c r="H876" s="239" t="s">
        <v>751</v>
      </c>
      <c r="I876" s="246">
        <v>2090</v>
      </c>
      <c r="J876" s="246"/>
      <c r="K876" s="242" t="s">
        <v>8</v>
      </c>
      <c r="L876" s="243">
        <v>7095028.4400000004</v>
      </c>
    </row>
    <row r="877" spans="1:12" ht="61.2" x14ac:dyDescent="0.3">
      <c r="A877" s="237" t="s">
        <v>644</v>
      </c>
      <c r="B877" s="238" t="s">
        <v>2153</v>
      </c>
      <c r="C877" s="238" t="s">
        <v>806</v>
      </c>
      <c r="D877" s="238" t="s">
        <v>2214</v>
      </c>
      <c r="E877" s="239" t="s">
        <v>105</v>
      </c>
      <c r="F877" s="245" t="s">
        <v>15</v>
      </c>
      <c r="G877" s="245"/>
      <c r="H877" s="239" t="s">
        <v>751</v>
      </c>
      <c r="I877" s="246">
        <v>1963.4</v>
      </c>
      <c r="J877" s="246"/>
      <c r="K877" s="242" t="s">
        <v>8</v>
      </c>
      <c r="L877" s="243">
        <v>7093065.04</v>
      </c>
    </row>
    <row r="878" spans="1:12" ht="61.2" x14ac:dyDescent="0.3">
      <c r="A878" s="237" t="s">
        <v>644</v>
      </c>
      <c r="B878" s="238" t="s">
        <v>2153</v>
      </c>
      <c r="C878" s="238" t="s">
        <v>806</v>
      </c>
      <c r="D878" s="238" t="s">
        <v>2215</v>
      </c>
      <c r="E878" s="239" t="s">
        <v>105</v>
      </c>
      <c r="F878" s="245" t="s">
        <v>15</v>
      </c>
      <c r="G878" s="245"/>
      <c r="H878" s="239" t="s">
        <v>751</v>
      </c>
      <c r="I878" s="246">
        <v>2040.5</v>
      </c>
      <c r="J878" s="246"/>
      <c r="K878" s="242" t="s">
        <v>8</v>
      </c>
      <c r="L878" s="243">
        <v>7091024.54</v>
      </c>
    </row>
    <row r="879" spans="1:12" ht="61.2" x14ac:dyDescent="0.3">
      <c r="A879" s="237" t="s">
        <v>644</v>
      </c>
      <c r="B879" s="238" t="s">
        <v>2153</v>
      </c>
      <c r="C879" s="238" t="s">
        <v>806</v>
      </c>
      <c r="D879" s="238" t="s">
        <v>2216</v>
      </c>
      <c r="E879" s="239" t="s">
        <v>105</v>
      </c>
      <c r="F879" s="245" t="s">
        <v>15</v>
      </c>
      <c r="G879" s="245"/>
      <c r="H879" s="239" t="s">
        <v>751</v>
      </c>
      <c r="I879" s="246">
        <v>1383.9</v>
      </c>
      <c r="J879" s="246"/>
      <c r="K879" s="242" t="s">
        <v>8</v>
      </c>
      <c r="L879" s="243">
        <v>7089640.6399999997</v>
      </c>
    </row>
    <row r="880" spans="1:12" ht="61.2" x14ac:dyDescent="0.3">
      <c r="A880" s="237" t="s">
        <v>644</v>
      </c>
      <c r="B880" s="238" t="s">
        <v>2153</v>
      </c>
      <c r="C880" s="238" t="s">
        <v>806</v>
      </c>
      <c r="D880" s="238" t="s">
        <v>2217</v>
      </c>
      <c r="E880" s="239" t="s">
        <v>105</v>
      </c>
      <c r="F880" s="245" t="s">
        <v>15</v>
      </c>
      <c r="G880" s="245"/>
      <c r="H880" s="239" t="s">
        <v>751</v>
      </c>
      <c r="I880" s="246">
        <v>3185</v>
      </c>
      <c r="J880" s="246"/>
      <c r="K880" s="242" t="s">
        <v>8</v>
      </c>
      <c r="L880" s="243">
        <v>7086455.6399999997</v>
      </c>
    </row>
    <row r="881" spans="1:12" ht="61.2" x14ac:dyDescent="0.3">
      <c r="A881" s="237" t="s">
        <v>644</v>
      </c>
      <c r="B881" s="238" t="s">
        <v>2153</v>
      </c>
      <c r="C881" s="238" t="s">
        <v>806</v>
      </c>
      <c r="D881" s="238" t="s">
        <v>2218</v>
      </c>
      <c r="E881" s="239" t="s">
        <v>105</v>
      </c>
      <c r="F881" s="245" t="s">
        <v>15</v>
      </c>
      <c r="G881" s="245"/>
      <c r="H881" s="239" t="s">
        <v>751</v>
      </c>
      <c r="I881" s="246">
        <v>2511.6999999999998</v>
      </c>
      <c r="J881" s="246"/>
      <c r="K881" s="242" t="s">
        <v>8</v>
      </c>
      <c r="L881" s="243">
        <v>7083943.9400000004</v>
      </c>
    </row>
    <row r="882" spans="1:12" ht="61.2" x14ac:dyDescent="0.3">
      <c r="A882" s="237" t="s">
        <v>644</v>
      </c>
      <c r="B882" s="238" t="s">
        <v>2153</v>
      </c>
      <c r="C882" s="238" t="s">
        <v>806</v>
      </c>
      <c r="D882" s="238" t="s">
        <v>2219</v>
      </c>
      <c r="E882" s="239" t="s">
        <v>105</v>
      </c>
      <c r="F882" s="245" t="s">
        <v>15</v>
      </c>
      <c r="G882" s="245"/>
      <c r="H882" s="239" t="s">
        <v>751</v>
      </c>
      <c r="I882" s="246">
        <v>2498</v>
      </c>
      <c r="J882" s="246"/>
      <c r="K882" s="242" t="s">
        <v>8</v>
      </c>
      <c r="L882" s="243">
        <v>7081445.9400000004</v>
      </c>
    </row>
    <row r="883" spans="1:12" ht="61.2" x14ac:dyDescent="0.3">
      <c r="A883" s="237" t="s">
        <v>644</v>
      </c>
      <c r="B883" s="238" t="s">
        <v>2153</v>
      </c>
      <c r="C883" s="238" t="s">
        <v>806</v>
      </c>
      <c r="D883" s="238" t="s">
        <v>2220</v>
      </c>
      <c r="E883" s="239" t="s">
        <v>105</v>
      </c>
      <c r="F883" s="245" t="s">
        <v>15</v>
      </c>
      <c r="G883" s="245"/>
      <c r="H883" s="239" t="s">
        <v>751</v>
      </c>
      <c r="I883" s="246">
        <v>1775.1</v>
      </c>
      <c r="J883" s="246"/>
      <c r="K883" s="242" t="s">
        <v>8</v>
      </c>
      <c r="L883" s="243">
        <v>7079670.8399999999</v>
      </c>
    </row>
    <row r="884" spans="1:12" ht="61.2" x14ac:dyDescent="0.3">
      <c r="A884" s="237" t="s">
        <v>644</v>
      </c>
      <c r="B884" s="238" t="s">
        <v>2153</v>
      </c>
      <c r="C884" s="238" t="s">
        <v>806</v>
      </c>
      <c r="D884" s="238" t="s">
        <v>2221</v>
      </c>
      <c r="E884" s="239" t="s">
        <v>105</v>
      </c>
      <c r="F884" s="245" t="s">
        <v>15</v>
      </c>
      <c r="G884" s="245"/>
      <c r="H884" s="239" t="s">
        <v>751</v>
      </c>
      <c r="I884" s="246">
        <v>2626.1</v>
      </c>
      <c r="J884" s="246"/>
      <c r="K884" s="242" t="s">
        <v>8</v>
      </c>
      <c r="L884" s="243">
        <v>7077044.7400000002</v>
      </c>
    </row>
    <row r="885" spans="1:12" ht="61.2" x14ac:dyDescent="0.3">
      <c r="A885" s="237" t="s">
        <v>644</v>
      </c>
      <c r="B885" s="238" t="s">
        <v>2153</v>
      </c>
      <c r="C885" s="238" t="s">
        <v>806</v>
      </c>
      <c r="D885" s="238" t="s">
        <v>2222</v>
      </c>
      <c r="E885" s="239" t="s">
        <v>105</v>
      </c>
      <c r="F885" s="245" t="s">
        <v>15</v>
      </c>
      <c r="G885" s="245"/>
      <c r="H885" s="239" t="s">
        <v>751</v>
      </c>
      <c r="I885" s="246">
        <v>2726.2</v>
      </c>
      <c r="J885" s="246"/>
      <c r="K885" s="242" t="s">
        <v>8</v>
      </c>
      <c r="L885" s="243">
        <v>7074318.54</v>
      </c>
    </row>
    <row r="886" spans="1:12" ht="61.2" x14ac:dyDescent="0.3">
      <c r="A886" s="237" t="s">
        <v>644</v>
      </c>
      <c r="B886" s="238" t="s">
        <v>2153</v>
      </c>
      <c r="C886" s="238" t="s">
        <v>806</v>
      </c>
      <c r="D886" s="238" t="s">
        <v>2223</v>
      </c>
      <c r="E886" s="239" t="s">
        <v>105</v>
      </c>
      <c r="F886" s="245" t="s">
        <v>15</v>
      </c>
      <c r="G886" s="245"/>
      <c r="H886" s="239" t="s">
        <v>751</v>
      </c>
      <c r="I886" s="246">
        <v>2361.5</v>
      </c>
      <c r="J886" s="246"/>
      <c r="K886" s="242" t="s">
        <v>8</v>
      </c>
      <c r="L886" s="243">
        <v>7071957.04</v>
      </c>
    </row>
    <row r="887" spans="1:12" ht="61.2" x14ac:dyDescent="0.3">
      <c r="A887" s="237" t="s">
        <v>644</v>
      </c>
      <c r="B887" s="238" t="s">
        <v>2153</v>
      </c>
      <c r="C887" s="238" t="s">
        <v>806</v>
      </c>
      <c r="D887" s="238" t="s">
        <v>2224</v>
      </c>
      <c r="E887" s="239" t="s">
        <v>105</v>
      </c>
      <c r="F887" s="245" t="s">
        <v>15</v>
      </c>
      <c r="G887" s="245"/>
      <c r="H887" s="239" t="s">
        <v>751</v>
      </c>
      <c r="I887" s="246">
        <v>2570.8000000000002</v>
      </c>
      <c r="J887" s="246"/>
      <c r="K887" s="242" t="s">
        <v>8</v>
      </c>
      <c r="L887" s="243">
        <v>7069386.2400000002</v>
      </c>
    </row>
    <row r="888" spans="1:12" ht="61.2" x14ac:dyDescent="0.3">
      <c r="A888" s="237" t="s">
        <v>644</v>
      </c>
      <c r="B888" s="238" t="s">
        <v>2153</v>
      </c>
      <c r="C888" s="238" t="s">
        <v>806</v>
      </c>
      <c r="D888" s="238" t="s">
        <v>2225</v>
      </c>
      <c r="E888" s="239" t="s">
        <v>105</v>
      </c>
      <c r="F888" s="245" t="s">
        <v>15</v>
      </c>
      <c r="G888" s="245"/>
      <c r="H888" s="239" t="s">
        <v>751</v>
      </c>
      <c r="I888" s="246">
        <v>2760.3</v>
      </c>
      <c r="J888" s="246"/>
      <c r="K888" s="242" t="s">
        <v>8</v>
      </c>
      <c r="L888" s="243">
        <v>7066625.9400000004</v>
      </c>
    </row>
    <row r="889" spans="1:12" ht="61.2" x14ac:dyDescent="0.3">
      <c r="A889" s="237" t="s">
        <v>644</v>
      </c>
      <c r="B889" s="238" t="s">
        <v>2153</v>
      </c>
      <c r="C889" s="238" t="s">
        <v>806</v>
      </c>
      <c r="D889" s="238" t="s">
        <v>2226</v>
      </c>
      <c r="E889" s="239" t="s">
        <v>105</v>
      </c>
      <c r="F889" s="245" t="s">
        <v>15</v>
      </c>
      <c r="G889" s="245"/>
      <c r="H889" s="239" t="s">
        <v>751</v>
      </c>
      <c r="I889" s="246">
        <v>3522.8</v>
      </c>
      <c r="J889" s="246"/>
      <c r="K889" s="242" t="s">
        <v>8</v>
      </c>
      <c r="L889" s="243">
        <v>7063103.1399999997</v>
      </c>
    </row>
    <row r="890" spans="1:12" ht="61.2" x14ac:dyDescent="0.3">
      <c r="A890" s="237" t="s">
        <v>644</v>
      </c>
      <c r="B890" s="238" t="s">
        <v>2153</v>
      </c>
      <c r="C890" s="238" t="s">
        <v>806</v>
      </c>
      <c r="D890" s="238" t="s">
        <v>2227</v>
      </c>
      <c r="E890" s="239" t="s">
        <v>105</v>
      </c>
      <c r="F890" s="245" t="s">
        <v>15</v>
      </c>
      <c r="G890" s="245"/>
      <c r="H890" s="239" t="s">
        <v>751</v>
      </c>
      <c r="I890" s="246">
        <v>2579.5</v>
      </c>
      <c r="J890" s="246"/>
      <c r="K890" s="242" t="s">
        <v>8</v>
      </c>
      <c r="L890" s="243">
        <v>7060523.6399999997</v>
      </c>
    </row>
    <row r="891" spans="1:12" ht="61.2" x14ac:dyDescent="0.3">
      <c r="A891" s="237" t="s">
        <v>644</v>
      </c>
      <c r="B891" s="238" t="s">
        <v>2153</v>
      </c>
      <c r="C891" s="238" t="s">
        <v>806</v>
      </c>
      <c r="D891" s="238" t="s">
        <v>2228</v>
      </c>
      <c r="E891" s="239" t="s">
        <v>105</v>
      </c>
      <c r="F891" s="245" t="s">
        <v>15</v>
      </c>
      <c r="G891" s="245"/>
      <c r="H891" s="239" t="s">
        <v>751</v>
      </c>
      <c r="I891" s="246">
        <v>5369.6</v>
      </c>
      <c r="J891" s="246"/>
      <c r="K891" s="242" t="s">
        <v>8</v>
      </c>
      <c r="L891" s="243">
        <v>7055154.04</v>
      </c>
    </row>
    <row r="892" spans="1:12" ht="61.2" x14ac:dyDescent="0.3">
      <c r="A892" s="237" t="s">
        <v>644</v>
      </c>
      <c r="B892" s="238" t="s">
        <v>2153</v>
      </c>
      <c r="C892" s="238" t="s">
        <v>806</v>
      </c>
      <c r="D892" s="238" t="s">
        <v>2229</v>
      </c>
      <c r="E892" s="239" t="s">
        <v>105</v>
      </c>
      <c r="F892" s="245" t="s">
        <v>15</v>
      </c>
      <c r="G892" s="245"/>
      <c r="H892" s="239" t="s">
        <v>751</v>
      </c>
      <c r="I892" s="246">
        <v>2896.8</v>
      </c>
      <c r="J892" s="246"/>
      <c r="K892" s="242" t="s">
        <v>8</v>
      </c>
      <c r="L892" s="243">
        <v>7052257.2400000002</v>
      </c>
    </row>
    <row r="893" spans="1:12" ht="61.2" x14ac:dyDescent="0.3">
      <c r="A893" s="237" t="s">
        <v>644</v>
      </c>
      <c r="B893" s="238" t="s">
        <v>2153</v>
      </c>
      <c r="C893" s="238" t="s">
        <v>806</v>
      </c>
      <c r="D893" s="238" t="s">
        <v>2230</v>
      </c>
      <c r="E893" s="239" t="s">
        <v>105</v>
      </c>
      <c r="F893" s="245" t="s">
        <v>15</v>
      </c>
      <c r="G893" s="245"/>
      <c r="H893" s="239" t="s">
        <v>751</v>
      </c>
      <c r="I893" s="246">
        <v>31556</v>
      </c>
      <c r="J893" s="246"/>
      <c r="K893" s="242" t="s">
        <v>8</v>
      </c>
      <c r="L893" s="243">
        <v>7020701.2400000002</v>
      </c>
    </row>
    <row r="894" spans="1:12" ht="61.2" x14ac:dyDescent="0.3">
      <c r="A894" s="237" t="s">
        <v>644</v>
      </c>
      <c r="B894" s="238" t="s">
        <v>2153</v>
      </c>
      <c r="C894" s="238" t="s">
        <v>806</v>
      </c>
      <c r="D894" s="238" t="s">
        <v>2231</v>
      </c>
      <c r="E894" s="239" t="s">
        <v>105</v>
      </c>
      <c r="F894" s="245" t="s">
        <v>15</v>
      </c>
      <c r="G894" s="245"/>
      <c r="H894" s="239" t="s">
        <v>751</v>
      </c>
      <c r="I894" s="246">
        <v>3393.9</v>
      </c>
      <c r="J894" s="246"/>
      <c r="K894" s="242" t="s">
        <v>8</v>
      </c>
      <c r="L894" s="243">
        <v>7017307.3399999999</v>
      </c>
    </row>
    <row r="895" spans="1:12" ht="61.2" x14ac:dyDescent="0.3">
      <c r="A895" s="237" t="s">
        <v>644</v>
      </c>
      <c r="B895" s="238" t="s">
        <v>2153</v>
      </c>
      <c r="C895" s="238" t="s">
        <v>806</v>
      </c>
      <c r="D895" s="238" t="s">
        <v>2232</v>
      </c>
      <c r="E895" s="239" t="s">
        <v>105</v>
      </c>
      <c r="F895" s="245" t="s">
        <v>15</v>
      </c>
      <c r="G895" s="245"/>
      <c r="H895" s="239" t="s">
        <v>751</v>
      </c>
      <c r="I895" s="246">
        <v>1331.3</v>
      </c>
      <c r="J895" s="246"/>
      <c r="K895" s="242" t="s">
        <v>8</v>
      </c>
      <c r="L895" s="243">
        <v>7015976.04</v>
      </c>
    </row>
    <row r="896" spans="1:12" ht="61.2" x14ac:dyDescent="0.3">
      <c r="A896" s="237" t="s">
        <v>644</v>
      </c>
      <c r="B896" s="238" t="s">
        <v>2153</v>
      </c>
      <c r="C896" s="238" t="s">
        <v>806</v>
      </c>
      <c r="D896" s="238" t="s">
        <v>2233</v>
      </c>
      <c r="E896" s="239" t="s">
        <v>105</v>
      </c>
      <c r="F896" s="245" t="s">
        <v>15</v>
      </c>
      <c r="G896" s="245"/>
      <c r="H896" s="239" t="s">
        <v>751</v>
      </c>
      <c r="I896" s="246">
        <v>2500.1999999999998</v>
      </c>
      <c r="J896" s="246"/>
      <c r="K896" s="242" t="s">
        <v>8</v>
      </c>
      <c r="L896" s="243">
        <v>7013475.8399999999</v>
      </c>
    </row>
    <row r="897" spans="1:12" ht="61.2" x14ac:dyDescent="0.3">
      <c r="A897" s="237" t="s">
        <v>644</v>
      </c>
      <c r="B897" s="238" t="s">
        <v>2153</v>
      </c>
      <c r="C897" s="238" t="s">
        <v>806</v>
      </c>
      <c r="D897" s="238" t="s">
        <v>2234</v>
      </c>
      <c r="E897" s="239" t="s">
        <v>105</v>
      </c>
      <c r="F897" s="245" t="s">
        <v>15</v>
      </c>
      <c r="G897" s="245"/>
      <c r="H897" s="239" t="s">
        <v>751</v>
      </c>
      <c r="I897" s="246">
        <v>3117.9</v>
      </c>
      <c r="J897" s="246"/>
      <c r="K897" s="242" t="s">
        <v>8</v>
      </c>
      <c r="L897" s="243">
        <v>7010357.9400000004</v>
      </c>
    </row>
    <row r="898" spans="1:12" ht="61.2" x14ac:dyDescent="0.3">
      <c r="A898" s="237" t="s">
        <v>644</v>
      </c>
      <c r="B898" s="238" t="s">
        <v>2153</v>
      </c>
      <c r="C898" s="238" t="s">
        <v>806</v>
      </c>
      <c r="D898" s="238" t="s">
        <v>2235</v>
      </c>
      <c r="E898" s="239" t="s">
        <v>105</v>
      </c>
      <c r="F898" s="245" t="s">
        <v>15</v>
      </c>
      <c r="G898" s="245"/>
      <c r="H898" s="239" t="s">
        <v>751</v>
      </c>
      <c r="I898" s="246">
        <v>1775.1</v>
      </c>
      <c r="J898" s="246"/>
      <c r="K898" s="242" t="s">
        <v>8</v>
      </c>
      <c r="L898" s="243">
        <v>7008582.8399999999</v>
      </c>
    </row>
    <row r="899" spans="1:12" ht="61.2" x14ac:dyDescent="0.3">
      <c r="A899" s="237" t="s">
        <v>644</v>
      </c>
      <c r="B899" s="238" t="s">
        <v>2153</v>
      </c>
      <c r="C899" s="238" t="s">
        <v>806</v>
      </c>
      <c r="D899" s="238" t="s">
        <v>2236</v>
      </c>
      <c r="E899" s="239" t="s">
        <v>105</v>
      </c>
      <c r="F899" s="245" t="s">
        <v>15</v>
      </c>
      <c r="G899" s="245"/>
      <c r="H899" s="239" t="s">
        <v>751</v>
      </c>
      <c r="I899" s="246">
        <v>2852.5</v>
      </c>
      <c r="J899" s="246"/>
      <c r="K899" s="242" t="s">
        <v>8</v>
      </c>
      <c r="L899" s="243">
        <v>7005730.3399999999</v>
      </c>
    </row>
    <row r="900" spans="1:12" ht="61.2" x14ac:dyDescent="0.3">
      <c r="A900" s="237" t="s">
        <v>644</v>
      </c>
      <c r="B900" s="238" t="s">
        <v>2153</v>
      </c>
      <c r="C900" s="238" t="s">
        <v>806</v>
      </c>
      <c r="D900" s="238" t="s">
        <v>2237</v>
      </c>
      <c r="E900" s="239" t="s">
        <v>105</v>
      </c>
      <c r="F900" s="245" t="s">
        <v>15</v>
      </c>
      <c r="G900" s="245"/>
      <c r="H900" s="239" t="s">
        <v>751</v>
      </c>
      <c r="I900" s="246">
        <v>3214.7</v>
      </c>
      <c r="J900" s="246"/>
      <c r="K900" s="242" t="s">
        <v>8</v>
      </c>
      <c r="L900" s="243">
        <v>7002515.6399999997</v>
      </c>
    </row>
    <row r="901" spans="1:12" ht="61.2" x14ac:dyDescent="0.3">
      <c r="A901" s="237" t="s">
        <v>644</v>
      </c>
      <c r="B901" s="238" t="s">
        <v>2153</v>
      </c>
      <c r="C901" s="238" t="s">
        <v>806</v>
      </c>
      <c r="D901" s="238" t="s">
        <v>2238</v>
      </c>
      <c r="E901" s="239" t="s">
        <v>105</v>
      </c>
      <c r="F901" s="245" t="s">
        <v>15</v>
      </c>
      <c r="G901" s="245"/>
      <c r="H901" s="239" t="s">
        <v>751</v>
      </c>
      <c r="I901" s="246">
        <v>6029.8</v>
      </c>
      <c r="J901" s="246"/>
      <c r="K901" s="242" t="s">
        <v>8</v>
      </c>
      <c r="L901" s="243">
        <v>6996485.8399999999</v>
      </c>
    </row>
    <row r="902" spans="1:12" ht="61.2" x14ac:dyDescent="0.3">
      <c r="A902" s="237" t="s">
        <v>644</v>
      </c>
      <c r="B902" s="238" t="s">
        <v>2153</v>
      </c>
      <c r="C902" s="238" t="s">
        <v>806</v>
      </c>
      <c r="D902" s="238" t="s">
        <v>2239</v>
      </c>
      <c r="E902" s="239" t="s">
        <v>105</v>
      </c>
      <c r="F902" s="245" t="s">
        <v>15</v>
      </c>
      <c r="G902" s="245"/>
      <c r="H902" s="239" t="s">
        <v>751</v>
      </c>
      <c r="I902" s="246">
        <v>4395.1000000000004</v>
      </c>
      <c r="J902" s="246"/>
      <c r="K902" s="242" t="s">
        <v>8</v>
      </c>
      <c r="L902" s="243">
        <v>6992090.7400000002</v>
      </c>
    </row>
    <row r="903" spans="1:12" ht="61.2" x14ac:dyDescent="0.3">
      <c r="A903" s="237" t="s">
        <v>644</v>
      </c>
      <c r="B903" s="238" t="s">
        <v>2153</v>
      </c>
      <c r="C903" s="238" t="s">
        <v>806</v>
      </c>
      <c r="D903" s="238" t="s">
        <v>2240</v>
      </c>
      <c r="E903" s="239" t="s">
        <v>105</v>
      </c>
      <c r="F903" s="245" t="s">
        <v>15</v>
      </c>
      <c r="G903" s="245"/>
      <c r="H903" s="239" t="s">
        <v>751</v>
      </c>
      <c r="I903" s="246">
        <v>3635.6</v>
      </c>
      <c r="J903" s="246"/>
      <c r="K903" s="242" t="s">
        <v>8</v>
      </c>
      <c r="L903" s="243">
        <v>6988455.1399999997</v>
      </c>
    </row>
    <row r="904" spans="1:12" ht="61.2" x14ac:dyDescent="0.3">
      <c r="A904" s="237" t="s">
        <v>644</v>
      </c>
      <c r="B904" s="238" t="s">
        <v>2153</v>
      </c>
      <c r="C904" s="238" t="s">
        <v>806</v>
      </c>
      <c r="D904" s="238" t="s">
        <v>2241</v>
      </c>
      <c r="E904" s="239" t="s">
        <v>105</v>
      </c>
      <c r="F904" s="245" t="s">
        <v>15</v>
      </c>
      <c r="G904" s="245"/>
      <c r="H904" s="239" t="s">
        <v>751</v>
      </c>
      <c r="I904" s="246">
        <v>3115.6</v>
      </c>
      <c r="J904" s="246"/>
      <c r="K904" s="242" t="s">
        <v>8</v>
      </c>
      <c r="L904" s="243">
        <v>6985339.54</v>
      </c>
    </row>
    <row r="905" spans="1:12" ht="61.2" x14ac:dyDescent="0.3">
      <c r="A905" s="237" t="s">
        <v>644</v>
      </c>
      <c r="B905" s="238" t="s">
        <v>2153</v>
      </c>
      <c r="C905" s="238" t="s">
        <v>806</v>
      </c>
      <c r="D905" s="238" t="s">
        <v>2242</v>
      </c>
      <c r="E905" s="239" t="s">
        <v>105</v>
      </c>
      <c r="F905" s="245" t="s">
        <v>15</v>
      </c>
      <c r="G905" s="245"/>
      <c r="H905" s="239" t="s">
        <v>751</v>
      </c>
      <c r="I905" s="246">
        <v>1438.8</v>
      </c>
      <c r="J905" s="246"/>
      <c r="K905" s="242" t="s">
        <v>8</v>
      </c>
      <c r="L905" s="243">
        <v>6983900.7400000002</v>
      </c>
    </row>
    <row r="906" spans="1:12" ht="61.2" x14ac:dyDescent="0.3">
      <c r="A906" s="237" t="s">
        <v>644</v>
      </c>
      <c r="B906" s="238" t="s">
        <v>2153</v>
      </c>
      <c r="C906" s="238" t="s">
        <v>806</v>
      </c>
      <c r="D906" s="238" t="s">
        <v>2243</v>
      </c>
      <c r="E906" s="239" t="s">
        <v>105</v>
      </c>
      <c r="F906" s="245" t="s">
        <v>15</v>
      </c>
      <c r="G906" s="245"/>
      <c r="H906" s="239" t="s">
        <v>751</v>
      </c>
      <c r="I906" s="246">
        <v>6392</v>
      </c>
      <c r="J906" s="246"/>
      <c r="K906" s="242" t="s">
        <v>8</v>
      </c>
      <c r="L906" s="243">
        <v>6977508.7400000002</v>
      </c>
    </row>
    <row r="907" spans="1:12" ht="61.2" x14ac:dyDescent="0.3">
      <c r="A907" s="237" t="s">
        <v>644</v>
      </c>
      <c r="B907" s="238" t="s">
        <v>2153</v>
      </c>
      <c r="C907" s="238" t="s">
        <v>806</v>
      </c>
      <c r="D907" s="238" t="s">
        <v>2244</v>
      </c>
      <c r="E907" s="239" t="s">
        <v>105</v>
      </c>
      <c r="F907" s="245" t="s">
        <v>15</v>
      </c>
      <c r="G907" s="245"/>
      <c r="H907" s="239" t="s">
        <v>751</v>
      </c>
      <c r="I907" s="246">
        <v>3246.4</v>
      </c>
      <c r="J907" s="246"/>
      <c r="K907" s="242" t="s">
        <v>8</v>
      </c>
      <c r="L907" s="243">
        <v>6974262.3399999999</v>
      </c>
    </row>
    <row r="908" spans="1:12" ht="61.2" x14ac:dyDescent="0.3">
      <c r="A908" s="237" t="s">
        <v>644</v>
      </c>
      <c r="B908" s="238" t="s">
        <v>2153</v>
      </c>
      <c r="C908" s="238" t="s">
        <v>806</v>
      </c>
      <c r="D908" s="238" t="s">
        <v>2244</v>
      </c>
      <c r="E908" s="239" t="s">
        <v>105</v>
      </c>
      <c r="F908" s="245" t="s">
        <v>15</v>
      </c>
      <c r="G908" s="245"/>
      <c r="H908" s="239" t="s">
        <v>751</v>
      </c>
      <c r="I908" s="246">
        <v>6492.8</v>
      </c>
      <c r="J908" s="246"/>
      <c r="K908" s="242" t="s">
        <v>8</v>
      </c>
      <c r="L908" s="243">
        <v>6967769.54</v>
      </c>
    </row>
    <row r="909" spans="1:12" ht="61.2" x14ac:dyDescent="0.3">
      <c r="A909" s="237" t="s">
        <v>644</v>
      </c>
      <c r="B909" s="238" t="s">
        <v>2153</v>
      </c>
      <c r="C909" s="238" t="s">
        <v>806</v>
      </c>
      <c r="D909" s="238" t="s">
        <v>2243</v>
      </c>
      <c r="E909" s="239" t="s">
        <v>105</v>
      </c>
      <c r="F909" s="245" t="s">
        <v>15</v>
      </c>
      <c r="G909" s="245"/>
      <c r="H909" s="239" t="s">
        <v>751</v>
      </c>
      <c r="I909" s="246">
        <v>6236.5</v>
      </c>
      <c r="J909" s="246"/>
      <c r="K909" s="242" t="s">
        <v>8</v>
      </c>
      <c r="L909" s="243">
        <v>6961533.04</v>
      </c>
    </row>
    <row r="910" spans="1:12" ht="61.2" x14ac:dyDescent="0.3">
      <c r="A910" s="237" t="s">
        <v>644</v>
      </c>
      <c r="B910" s="238" t="s">
        <v>2153</v>
      </c>
      <c r="C910" s="238" t="s">
        <v>806</v>
      </c>
      <c r="D910" s="238" t="s">
        <v>2245</v>
      </c>
      <c r="E910" s="239" t="s">
        <v>105</v>
      </c>
      <c r="F910" s="245" t="s">
        <v>15</v>
      </c>
      <c r="G910" s="245"/>
      <c r="H910" s="239" t="s">
        <v>751</v>
      </c>
      <c r="I910" s="246">
        <v>3901.6</v>
      </c>
      <c r="J910" s="246"/>
      <c r="K910" s="242" t="s">
        <v>8</v>
      </c>
      <c r="L910" s="243">
        <v>6957631.4400000004</v>
      </c>
    </row>
    <row r="911" spans="1:12" ht="61.2" x14ac:dyDescent="0.3">
      <c r="A911" s="237" t="s">
        <v>644</v>
      </c>
      <c r="B911" s="238" t="s">
        <v>2153</v>
      </c>
      <c r="C911" s="238" t="s">
        <v>806</v>
      </c>
      <c r="D911" s="238" t="s">
        <v>2246</v>
      </c>
      <c r="E911" s="239" t="s">
        <v>105</v>
      </c>
      <c r="F911" s="245" t="s">
        <v>15</v>
      </c>
      <c r="G911" s="245"/>
      <c r="H911" s="239" t="s">
        <v>751</v>
      </c>
      <c r="I911" s="246">
        <v>2945.5</v>
      </c>
      <c r="J911" s="246"/>
      <c r="K911" s="242" t="s">
        <v>8</v>
      </c>
      <c r="L911" s="243">
        <v>6954685.9400000004</v>
      </c>
    </row>
    <row r="912" spans="1:12" ht="61.2" x14ac:dyDescent="0.3">
      <c r="A912" s="237" t="s">
        <v>644</v>
      </c>
      <c r="B912" s="238" t="s">
        <v>2153</v>
      </c>
      <c r="C912" s="238" t="s">
        <v>806</v>
      </c>
      <c r="D912" s="238" t="s">
        <v>2247</v>
      </c>
      <c r="E912" s="239" t="s">
        <v>105</v>
      </c>
      <c r="F912" s="245" t="s">
        <v>15</v>
      </c>
      <c r="G912" s="245"/>
      <c r="H912" s="239" t="s">
        <v>751</v>
      </c>
      <c r="I912" s="246">
        <v>3042.4</v>
      </c>
      <c r="J912" s="246"/>
      <c r="K912" s="242" t="s">
        <v>8</v>
      </c>
      <c r="L912" s="243">
        <v>6951643.54</v>
      </c>
    </row>
    <row r="913" spans="1:12" ht="61.2" x14ac:dyDescent="0.3">
      <c r="A913" s="237" t="s">
        <v>644</v>
      </c>
      <c r="B913" s="238" t="s">
        <v>2153</v>
      </c>
      <c r="C913" s="238" t="s">
        <v>806</v>
      </c>
      <c r="D913" s="238" t="s">
        <v>2248</v>
      </c>
      <c r="E913" s="239" t="s">
        <v>105</v>
      </c>
      <c r="F913" s="245" t="s">
        <v>15</v>
      </c>
      <c r="G913" s="245"/>
      <c r="H913" s="239" t="s">
        <v>751</v>
      </c>
      <c r="I913" s="246">
        <v>2286.6999999999998</v>
      </c>
      <c r="J913" s="246"/>
      <c r="K913" s="242" t="s">
        <v>8</v>
      </c>
      <c r="L913" s="243">
        <v>6949356.8399999999</v>
      </c>
    </row>
    <row r="914" spans="1:12" ht="61.2" x14ac:dyDescent="0.3">
      <c r="A914" s="237" t="s">
        <v>644</v>
      </c>
      <c r="B914" s="238" t="s">
        <v>2153</v>
      </c>
      <c r="C914" s="238" t="s">
        <v>806</v>
      </c>
      <c r="D914" s="238" t="s">
        <v>2249</v>
      </c>
      <c r="E914" s="239" t="s">
        <v>105</v>
      </c>
      <c r="F914" s="245" t="s">
        <v>15</v>
      </c>
      <c r="G914" s="245"/>
      <c r="H914" s="239" t="s">
        <v>751</v>
      </c>
      <c r="I914" s="246">
        <v>2783.9</v>
      </c>
      <c r="J914" s="246"/>
      <c r="K914" s="242" t="s">
        <v>8</v>
      </c>
      <c r="L914" s="243">
        <v>6946572.9400000004</v>
      </c>
    </row>
    <row r="915" spans="1:12" ht="61.2" x14ac:dyDescent="0.3">
      <c r="A915" s="237" t="s">
        <v>644</v>
      </c>
      <c r="B915" s="238" t="s">
        <v>2153</v>
      </c>
      <c r="C915" s="238" t="s">
        <v>806</v>
      </c>
      <c r="D915" s="238" t="s">
        <v>2250</v>
      </c>
      <c r="E915" s="239" t="s">
        <v>105</v>
      </c>
      <c r="F915" s="245" t="s">
        <v>15</v>
      </c>
      <c r="G915" s="245"/>
      <c r="H915" s="239" t="s">
        <v>751</v>
      </c>
      <c r="I915" s="246">
        <v>1511.3</v>
      </c>
      <c r="J915" s="246"/>
      <c r="K915" s="242" t="s">
        <v>8</v>
      </c>
      <c r="L915" s="243">
        <v>6945061.6399999997</v>
      </c>
    </row>
    <row r="916" spans="1:12" ht="61.2" x14ac:dyDescent="0.3">
      <c r="A916" s="237" t="s">
        <v>644</v>
      </c>
      <c r="B916" s="238" t="s">
        <v>2153</v>
      </c>
      <c r="C916" s="238" t="s">
        <v>806</v>
      </c>
      <c r="D916" s="238" t="s">
        <v>2251</v>
      </c>
      <c r="E916" s="239" t="s">
        <v>105</v>
      </c>
      <c r="F916" s="245" t="s">
        <v>15</v>
      </c>
      <c r="G916" s="245"/>
      <c r="H916" s="239" t="s">
        <v>751</v>
      </c>
      <c r="I916" s="246">
        <v>2864.7</v>
      </c>
      <c r="J916" s="246"/>
      <c r="K916" s="242" t="s">
        <v>8</v>
      </c>
      <c r="L916" s="243">
        <v>6942196.9400000004</v>
      </c>
    </row>
    <row r="917" spans="1:12" ht="61.2" x14ac:dyDescent="0.3">
      <c r="A917" s="237" t="s">
        <v>644</v>
      </c>
      <c r="B917" s="238" t="s">
        <v>2153</v>
      </c>
      <c r="C917" s="238" t="s">
        <v>806</v>
      </c>
      <c r="D917" s="238" t="s">
        <v>2252</v>
      </c>
      <c r="E917" s="239" t="s">
        <v>105</v>
      </c>
      <c r="F917" s="245" t="s">
        <v>15</v>
      </c>
      <c r="G917" s="245"/>
      <c r="H917" s="239" t="s">
        <v>751</v>
      </c>
      <c r="I917" s="246">
        <v>3546.26</v>
      </c>
      <c r="J917" s="246"/>
      <c r="K917" s="242" t="s">
        <v>8</v>
      </c>
      <c r="L917" s="243">
        <v>6938650.6799999997</v>
      </c>
    </row>
    <row r="918" spans="1:12" ht="61.2" x14ac:dyDescent="0.3">
      <c r="A918" s="237" t="s">
        <v>644</v>
      </c>
      <c r="B918" s="238" t="s">
        <v>2153</v>
      </c>
      <c r="C918" s="238" t="s">
        <v>806</v>
      </c>
      <c r="D918" s="238" t="s">
        <v>2252</v>
      </c>
      <c r="E918" s="239" t="s">
        <v>105</v>
      </c>
      <c r="F918" s="245" t="s">
        <v>15</v>
      </c>
      <c r="G918" s="245"/>
      <c r="H918" s="239" t="s">
        <v>751</v>
      </c>
      <c r="I918" s="246">
        <v>39008.839999999997</v>
      </c>
      <c r="J918" s="246"/>
      <c r="K918" s="242" t="s">
        <v>8</v>
      </c>
      <c r="L918" s="243">
        <v>6899641.8399999999</v>
      </c>
    </row>
    <row r="919" spans="1:12" ht="61.2" x14ac:dyDescent="0.3">
      <c r="A919" s="237" t="s">
        <v>644</v>
      </c>
      <c r="B919" s="238" t="s">
        <v>2153</v>
      </c>
      <c r="C919" s="238" t="s">
        <v>806</v>
      </c>
      <c r="D919" s="238" t="s">
        <v>2253</v>
      </c>
      <c r="E919" s="239" t="s">
        <v>105</v>
      </c>
      <c r="F919" s="245" t="s">
        <v>15</v>
      </c>
      <c r="G919" s="245"/>
      <c r="H919" s="239" t="s">
        <v>751</v>
      </c>
      <c r="I919" s="246">
        <v>3637.7</v>
      </c>
      <c r="J919" s="246"/>
      <c r="K919" s="242" t="s">
        <v>8</v>
      </c>
      <c r="L919" s="243">
        <v>6896004.1399999997</v>
      </c>
    </row>
    <row r="920" spans="1:12" ht="61.2" x14ac:dyDescent="0.3">
      <c r="A920" s="237" t="s">
        <v>644</v>
      </c>
      <c r="B920" s="238" t="s">
        <v>2153</v>
      </c>
      <c r="C920" s="238" t="s">
        <v>806</v>
      </c>
      <c r="D920" s="238" t="s">
        <v>2254</v>
      </c>
      <c r="E920" s="239" t="s">
        <v>105</v>
      </c>
      <c r="F920" s="245" t="s">
        <v>15</v>
      </c>
      <c r="G920" s="245"/>
      <c r="H920" s="239" t="s">
        <v>751</v>
      </c>
      <c r="I920" s="246">
        <v>2913.5</v>
      </c>
      <c r="J920" s="246"/>
      <c r="K920" s="242" t="s">
        <v>8</v>
      </c>
      <c r="L920" s="243">
        <v>6893090.6399999997</v>
      </c>
    </row>
    <row r="921" spans="1:12" ht="61.2" x14ac:dyDescent="0.3">
      <c r="A921" s="237" t="s">
        <v>644</v>
      </c>
      <c r="B921" s="238" t="s">
        <v>2153</v>
      </c>
      <c r="C921" s="238" t="s">
        <v>806</v>
      </c>
      <c r="D921" s="238" t="s">
        <v>2255</v>
      </c>
      <c r="E921" s="239" t="s">
        <v>105</v>
      </c>
      <c r="F921" s="245" t="s">
        <v>15</v>
      </c>
      <c r="G921" s="245"/>
      <c r="H921" s="239" t="s">
        <v>751</v>
      </c>
      <c r="I921" s="246">
        <v>3625.7</v>
      </c>
      <c r="J921" s="246"/>
      <c r="K921" s="242" t="s">
        <v>8</v>
      </c>
      <c r="L921" s="243">
        <v>6889464.9400000004</v>
      </c>
    </row>
    <row r="922" spans="1:12" ht="61.2" x14ac:dyDescent="0.3">
      <c r="A922" s="237" t="s">
        <v>644</v>
      </c>
      <c r="B922" s="238" t="s">
        <v>2153</v>
      </c>
      <c r="C922" s="238" t="s">
        <v>806</v>
      </c>
      <c r="D922" s="238" t="s">
        <v>2256</v>
      </c>
      <c r="E922" s="239" t="s">
        <v>105</v>
      </c>
      <c r="F922" s="245" t="s">
        <v>15</v>
      </c>
      <c r="G922" s="245"/>
      <c r="H922" s="239" t="s">
        <v>751</v>
      </c>
      <c r="I922" s="246">
        <v>3570</v>
      </c>
      <c r="J922" s="246"/>
      <c r="K922" s="242" t="s">
        <v>8</v>
      </c>
      <c r="L922" s="243">
        <v>6885894.9400000004</v>
      </c>
    </row>
    <row r="923" spans="1:12" ht="61.2" x14ac:dyDescent="0.3">
      <c r="A923" s="237" t="s">
        <v>644</v>
      </c>
      <c r="B923" s="238" t="s">
        <v>2153</v>
      </c>
      <c r="C923" s="238" t="s">
        <v>806</v>
      </c>
      <c r="D923" s="238" t="s">
        <v>2257</v>
      </c>
      <c r="E923" s="239" t="s">
        <v>105</v>
      </c>
      <c r="F923" s="245" t="s">
        <v>15</v>
      </c>
      <c r="G923" s="245"/>
      <c r="H923" s="239" t="s">
        <v>751</v>
      </c>
      <c r="I923" s="246">
        <v>3403.8</v>
      </c>
      <c r="J923" s="246"/>
      <c r="K923" s="242" t="s">
        <v>8</v>
      </c>
      <c r="L923" s="243">
        <v>6882491.1399999997</v>
      </c>
    </row>
    <row r="924" spans="1:12" ht="61.2" x14ac:dyDescent="0.3">
      <c r="A924" s="237" t="s">
        <v>644</v>
      </c>
      <c r="B924" s="238" t="s">
        <v>2153</v>
      </c>
      <c r="C924" s="238" t="s">
        <v>806</v>
      </c>
      <c r="D924" s="238" t="s">
        <v>2258</v>
      </c>
      <c r="E924" s="239" t="s">
        <v>105</v>
      </c>
      <c r="F924" s="245" t="s">
        <v>15</v>
      </c>
      <c r="G924" s="245"/>
      <c r="H924" s="239" t="s">
        <v>751</v>
      </c>
      <c r="I924" s="246">
        <v>22535.1</v>
      </c>
      <c r="J924" s="246"/>
      <c r="K924" s="242" t="s">
        <v>8</v>
      </c>
      <c r="L924" s="243">
        <v>6859956.04</v>
      </c>
    </row>
    <row r="925" spans="1:12" ht="61.2" x14ac:dyDescent="0.3">
      <c r="A925" s="237" t="s">
        <v>644</v>
      </c>
      <c r="B925" s="238" t="s">
        <v>2153</v>
      </c>
      <c r="C925" s="238" t="s">
        <v>806</v>
      </c>
      <c r="D925" s="238" t="s">
        <v>2259</v>
      </c>
      <c r="E925" s="239" t="s">
        <v>105</v>
      </c>
      <c r="F925" s="245" t="s">
        <v>15</v>
      </c>
      <c r="G925" s="245"/>
      <c r="H925" s="239" t="s">
        <v>751</v>
      </c>
      <c r="I925" s="246">
        <v>3170.5</v>
      </c>
      <c r="J925" s="246"/>
      <c r="K925" s="242" t="s">
        <v>8</v>
      </c>
      <c r="L925" s="243">
        <v>6856785.54</v>
      </c>
    </row>
    <row r="926" spans="1:12" ht="61.2" x14ac:dyDescent="0.3">
      <c r="A926" s="237" t="s">
        <v>644</v>
      </c>
      <c r="B926" s="238" t="s">
        <v>2153</v>
      </c>
      <c r="C926" s="238" t="s">
        <v>806</v>
      </c>
      <c r="D926" s="238" t="s">
        <v>2260</v>
      </c>
      <c r="E926" s="239" t="s">
        <v>105</v>
      </c>
      <c r="F926" s="245" t="s">
        <v>15</v>
      </c>
      <c r="G926" s="245"/>
      <c r="H926" s="239" t="s">
        <v>751</v>
      </c>
      <c r="I926" s="246">
        <v>3588.3</v>
      </c>
      <c r="J926" s="246"/>
      <c r="K926" s="242" t="s">
        <v>8</v>
      </c>
      <c r="L926" s="243">
        <v>6853197.2400000002</v>
      </c>
    </row>
    <row r="927" spans="1:12" ht="61.2" x14ac:dyDescent="0.3">
      <c r="A927" s="237" t="s">
        <v>644</v>
      </c>
      <c r="B927" s="238" t="s">
        <v>2153</v>
      </c>
      <c r="C927" s="238" t="s">
        <v>806</v>
      </c>
      <c r="D927" s="238" t="s">
        <v>2261</v>
      </c>
      <c r="E927" s="239" t="s">
        <v>105</v>
      </c>
      <c r="F927" s="245" t="s">
        <v>15</v>
      </c>
      <c r="G927" s="245"/>
      <c r="H927" s="239" t="s">
        <v>751</v>
      </c>
      <c r="I927" s="246">
        <v>3456.4</v>
      </c>
      <c r="J927" s="246"/>
      <c r="K927" s="242" t="s">
        <v>8</v>
      </c>
      <c r="L927" s="243">
        <v>6849740.8399999999</v>
      </c>
    </row>
    <row r="928" spans="1:12" ht="61.2" x14ac:dyDescent="0.3">
      <c r="A928" s="237" t="s">
        <v>644</v>
      </c>
      <c r="B928" s="238" t="s">
        <v>2153</v>
      </c>
      <c r="C928" s="238" t="s">
        <v>806</v>
      </c>
      <c r="D928" s="238" t="s">
        <v>2262</v>
      </c>
      <c r="E928" s="239" t="s">
        <v>105</v>
      </c>
      <c r="F928" s="245" t="s">
        <v>15</v>
      </c>
      <c r="G928" s="245"/>
      <c r="H928" s="239" t="s">
        <v>751</v>
      </c>
      <c r="I928" s="246">
        <v>243456</v>
      </c>
      <c r="J928" s="246"/>
      <c r="K928" s="242" t="s">
        <v>8</v>
      </c>
      <c r="L928" s="243">
        <v>6606284.8399999999</v>
      </c>
    </row>
    <row r="929" spans="1:12" ht="61.2" x14ac:dyDescent="0.3">
      <c r="A929" s="237" t="s">
        <v>644</v>
      </c>
      <c r="B929" s="238" t="s">
        <v>2153</v>
      </c>
      <c r="C929" s="238" t="s">
        <v>806</v>
      </c>
      <c r="D929" s="238" t="s">
        <v>2263</v>
      </c>
      <c r="E929" s="239" t="s">
        <v>105</v>
      </c>
      <c r="F929" s="245" t="s">
        <v>15</v>
      </c>
      <c r="G929" s="245"/>
      <c r="H929" s="239" t="s">
        <v>751</v>
      </c>
      <c r="I929" s="246">
        <v>29681.9</v>
      </c>
      <c r="J929" s="246"/>
      <c r="K929" s="242" t="s">
        <v>8</v>
      </c>
      <c r="L929" s="243">
        <v>6576602.9400000004</v>
      </c>
    </row>
    <row r="930" spans="1:12" ht="61.2" x14ac:dyDescent="0.3">
      <c r="A930" s="237" t="s">
        <v>644</v>
      </c>
      <c r="B930" s="238" t="s">
        <v>2153</v>
      </c>
      <c r="C930" s="238" t="s">
        <v>806</v>
      </c>
      <c r="D930" s="238" t="s">
        <v>2264</v>
      </c>
      <c r="E930" s="239" t="s">
        <v>105</v>
      </c>
      <c r="F930" s="245" t="s">
        <v>15</v>
      </c>
      <c r="G930" s="245"/>
      <c r="H930" s="239" t="s">
        <v>751</v>
      </c>
      <c r="I930" s="246">
        <v>4675.7</v>
      </c>
      <c r="J930" s="246"/>
      <c r="K930" s="242" t="s">
        <v>8</v>
      </c>
      <c r="L930" s="243">
        <v>6571927.2400000002</v>
      </c>
    </row>
    <row r="931" spans="1:12" ht="61.2" x14ac:dyDescent="0.3">
      <c r="A931" s="237" t="s">
        <v>644</v>
      </c>
      <c r="B931" s="238" t="s">
        <v>2153</v>
      </c>
      <c r="C931" s="238" t="s">
        <v>806</v>
      </c>
      <c r="D931" s="238" t="s">
        <v>2265</v>
      </c>
      <c r="E931" s="239" t="s">
        <v>105</v>
      </c>
      <c r="F931" s="245" t="s">
        <v>15</v>
      </c>
      <c r="G931" s="245"/>
      <c r="H931" s="239" t="s">
        <v>751</v>
      </c>
      <c r="I931" s="246">
        <v>9622.7999999999993</v>
      </c>
      <c r="J931" s="246"/>
      <c r="K931" s="242" t="s">
        <v>8</v>
      </c>
      <c r="L931" s="243">
        <v>6562304.4400000004</v>
      </c>
    </row>
    <row r="932" spans="1:12" ht="61.2" x14ac:dyDescent="0.3">
      <c r="A932" s="237" t="s">
        <v>644</v>
      </c>
      <c r="B932" s="238" t="s">
        <v>2153</v>
      </c>
      <c r="C932" s="238" t="s">
        <v>806</v>
      </c>
      <c r="D932" s="238" t="s">
        <v>2266</v>
      </c>
      <c r="E932" s="239" t="s">
        <v>105</v>
      </c>
      <c r="F932" s="245" t="s">
        <v>15</v>
      </c>
      <c r="G932" s="245"/>
      <c r="H932" s="239" t="s">
        <v>751</v>
      </c>
      <c r="I932" s="246">
        <v>10511.8</v>
      </c>
      <c r="J932" s="246"/>
      <c r="K932" s="242" t="s">
        <v>8</v>
      </c>
      <c r="L932" s="243">
        <v>6551792.6399999997</v>
      </c>
    </row>
    <row r="933" spans="1:12" ht="61.2" x14ac:dyDescent="0.3">
      <c r="A933" s="237" t="s">
        <v>644</v>
      </c>
      <c r="B933" s="238" t="s">
        <v>2153</v>
      </c>
      <c r="C933" s="238" t="s">
        <v>806</v>
      </c>
      <c r="D933" s="238" t="s">
        <v>2267</v>
      </c>
      <c r="E933" s="239" t="s">
        <v>105</v>
      </c>
      <c r="F933" s="245" t="s">
        <v>15</v>
      </c>
      <c r="G933" s="245"/>
      <c r="H933" s="239" t="s">
        <v>751</v>
      </c>
      <c r="I933" s="246">
        <v>10527.2</v>
      </c>
      <c r="J933" s="246"/>
      <c r="K933" s="242" t="s">
        <v>8</v>
      </c>
      <c r="L933" s="243">
        <v>6541265.4400000004</v>
      </c>
    </row>
    <row r="934" spans="1:12" ht="61.2" x14ac:dyDescent="0.3">
      <c r="A934" s="237" t="s">
        <v>644</v>
      </c>
      <c r="B934" s="238" t="s">
        <v>2153</v>
      </c>
      <c r="C934" s="238" t="s">
        <v>806</v>
      </c>
      <c r="D934" s="238" t="s">
        <v>2268</v>
      </c>
      <c r="E934" s="239" t="s">
        <v>105</v>
      </c>
      <c r="F934" s="245" t="s">
        <v>15</v>
      </c>
      <c r="G934" s="245"/>
      <c r="H934" s="239" t="s">
        <v>751</v>
      </c>
      <c r="I934" s="246">
        <v>16386.900000000001</v>
      </c>
      <c r="J934" s="246"/>
      <c r="K934" s="242" t="s">
        <v>8</v>
      </c>
      <c r="L934" s="243">
        <v>6524878.54</v>
      </c>
    </row>
    <row r="935" spans="1:12" ht="61.2" x14ac:dyDescent="0.3">
      <c r="A935" s="237" t="s">
        <v>644</v>
      </c>
      <c r="B935" s="238" t="s">
        <v>2153</v>
      </c>
      <c r="C935" s="238" t="s">
        <v>806</v>
      </c>
      <c r="D935" s="238" t="s">
        <v>2269</v>
      </c>
      <c r="E935" s="239" t="s">
        <v>105</v>
      </c>
      <c r="F935" s="245" t="s">
        <v>15</v>
      </c>
      <c r="G935" s="245"/>
      <c r="H935" s="239" t="s">
        <v>751</v>
      </c>
      <c r="I935" s="246">
        <v>2601.8000000000002</v>
      </c>
      <c r="J935" s="246"/>
      <c r="K935" s="242" t="s">
        <v>8</v>
      </c>
      <c r="L935" s="243">
        <v>6522276.7400000002</v>
      </c>
    </row>
    <row r="936" spans="1:12" ht="61.2" x14ac:dyDescent="0.3">
      <c r="A936" s="237" t="s">
        <v>644</v>
      </c>
      <c r="B936" s="238" t="s">
        <v>2153</v>
      </c>
      <c r="C936" s="238" t="s">
        <v>806</v>
      </c>
      <c r="D936" s="238" t="s">
        <v>2270</v>
      </c>
      <c r="E936" s="239" t="s">
        <v>105</v>
      </c>
      <c r="F936" s="245" t="s">
        <v>15</v>
      </c>
      <c r="G936" s="245"/>
      <c r="H936" s="239" t="s">
        <v>751</v>
      </c>
      <c r="I936" s="246">
        <v>2986</v>
      </c>
      <c r="J936" s="246"/>
      <c r="K936" s="242" t="s">
        <v>8</v>
      </c>
      <c r="L936" s="243">
        <v>6519290.7400000002</v>
      </c>
    </row>
    <row r="937" spans="1:12" ht="61.2" x14ac:dyDescent="0.3">
      <c r="A937" s="237" t="s">
        <v>644</v>
      </c>
      <c r="B937" s="238" t="s">
        <v>2153</v>
      </c>
      <c r="C937" s="238" t="s">
        <v>806</v>
      </c>
      <c r="D937" s="238" t="s">
        <v>2270</v>
      </c>
      <c r="E937" s="239" t="s">
        <v>105</v>
      </c>
      <c r="F937" s="245" t="s">
        <v>15</v>
      </c>
      <c r="G937" s="245"/>
      <c r="H937" s="239" t="s">
        <v>751</v>
      </c>
      <c r="I937" s="246">
        <v>2986</v>
      </c>
      <c r="J937" s="246"/>
      <c r="K937" s="242" t="s">
        <v>8</v>
      </c>
      <c r="L937" s="243">
        <v>6516304.7400000002</v>
      </c>
    </row>
    <row r="938" spans="1:12" ht="61.2" x14ac:dyDescent="0.3">
      <c r="A938" s="237" t="s">
        <v>644</v>
      </c>
      <c r="B938" s="238" t="s">
        <v>2153</v>
      </c>
      <c r="C938" s="238" t="s">
        <v>806</v>
      </c>
      <c r="D938" s="238" t="s">
        <v>2271</v>
      </c>
      <c r="E938" s="239" t="s">
        <v>105</v>
      </c>
      <c r="F938" s="245" t="s">
        <v>15</v>
      </c>
      <c r="G938" s="245"/>
      <c r="H938" s="239" t="s">
        <v>751</v>
      </c>
      <c r="I938" s="246">
        <v>13722</v>
      </c>
      <c r="J938" s="246"/>
      <c r="K938" s="242" t="s">
        <v>8</v>
      </c>
      <c r="L938" s="243">
        <v>6502582.7400000002</v>
      </c>
    </row>
    <row r="939" spans="1:12" ht="61.2" x14ac:dyDescent="0.3">
      <c r="A939" s="237" t="s">
        <v>644</v>
      </c>
      <c r="B939" s="238" t="s">
        <v>2153</v>
      </c>
      <c r="C939" s="238" t="s">
        <v>806</v>
      </c>
      <c r="D939" s="238" t="s">
        <v>2272</v>
      </c>
      <c r="E939" s="239" t="s">
        <v>105</v>
      </c>
      <c r="F939" s="245" t="s">
        <v>15</v>
      </c>
      <c r="G939" s="245"/>
      <c r="H939" s="239" t="s">
        <v>751</v>
      </c>
      <c r="I939" s="246">
        <v>3788.1</v>
      </c>
      <c r="J939" s="246"/>
      <c r="K939" s="242" t="s">
        <v>8</v>
      </c>
      <c r="L939" s="243">
        <v>6498794.6399999997</v>
      </c>
    </row>
    <row r="940" spans="1:12" ht="61.2" x14ac:dyDescent="0.3">
      <c r="A940" s="237" t="s">
        <v>644</v>
      </c>
      <c r="B940" s="238" t="s">
        <v>2153</v>
      </c>
      <c r="C940" s="238" t="s">
        <v>806</v>
      </c>
      <c r="D940" s="238" t="s">
        <v>2273</v>
      </c>
      <c r="E940" s="239" t="s">
        <v>105</v>
      </c>
      <c r="F940" s="245" t="s">
        <v>15</v>
      </c>
      <c r="G940" s="245"/>
      <c r="H940" s="239" t="s">
        <v>751</v>
      </c>
      <c r="I940" s="246">
        <v>3683.6</v>
      </c>
      <c r="J940" s="246"/>
      <c r="K940" s="242" t="s">
        <v>8</v>
      </c>
      <c r="L940" s="243">
        <v>6495111.04</v>
      </c>
    </row>
    <row r="941" spans="1:12" ht="61.2" x14ac:dyDescent="0.3">
      <c r="A941" s="237" t="s">
        <v>644</v>
      </c>
      <c r="B941" s="238" t="s">
        <v>2153</v>
      </c>
      <c r="C941" s="238" t="s">
        <v>806</v>
      </c>
      <c r="D941" s="238" t="s">
        <v>2274</v>
      </c>
      <c r="E941" s="239" t="s">
        <v>105</v>
      </c>
      <c r="F941" s="245" t="s">
        <v>15</v>
      </c>
      <c r="G941" s="245"/>
      <c r="H941" s="239" t="s">
        <v>751</v>
      </c>
      <c r="I941" s="246">
        <v>7441.3</v>
      </c>
      <c r="J941" s="246"/>
      <c r="K941" s="242" t="s">
        <v>8</v>
      </c>
      <c r="L941" s="243">
        <v>6487669.7400000002</v>
      </c>
    </row>
    <row r="942" spans="1:12" ht="61.2" x14ac:dyDescent="0.3">
      <c r="A942" s="237" t="s">
        <v>644</v>
      </c>
      <c r="B942" s="238" t="s">
        <v>2153</v>
      </c>
      <c r="C942" s="238" t="s">
        <v>806</v>
      </c>
      <c r="D942" s="238" t="s">
        <v>2275</v>
      </c>
      <c r="E942" s="239" t="s">
        <v>105</v>
      </c>
      <c r="F942" s="245" t="s">
        <v>15</v>
      </c>
      <c r="G942" s="245"/>
      <c r="H942" s="239" t="s">
        <v>751</v>
      </c>
      <c r="I942" s="246">
        <v>19540.7</v>
      </c>
      <c r="J942" s="246"/>
      <c r="K942" s="242" t="s">
        <v>8</v>
      </c>
      <c r="L942" s="243">
        <v>6468129.04</v>
      </c>
    </row>
    <row r="943" spans="1:12" ht="61.2" x14ac:dyDescent="0.3">
      <c r="A943" s="237" t="s">
        <v>644</v>
      </c>
      <c r="B943" s="238" t="s">
        <v>2153</v>
      </c>
      <c r="C943" s="238" t="s">
        <v>806</v>
      </c>
      <c r="D943" s="238" t="s">
        <v>2276</v>
      </c>
      <c r="E943" s="239" t="s">
        <v>105</v>
      </c>
      <c r="F943" s="245" t="s">
        <v>15</v>
      </c>
      <c r="G943" s="245"/>
      <c r="H943" s="239" t="s">
        <v>751</v>
      </c>
      <c r="I943" s="246">
        <v>3382.5</v>
      </c>
      <c r="J943" s="246"/>
      <c r="K943" s="242" t="s">
        <v>8</v>
      </c>
      <c r="L943" s="243">
        <v>6464746.54</v>
      </c>
    </row>
    <row r="944" spans="1:12" ht="61.2" x14ac:dyDescent="0.3">
      <c r="A944" s="237" t="s">
        <v>644</v>
      </c>
      <c r="B944" s="238" t="s">
        <v>2153</v>
      </c>
      <c r="C944" s="238" t="s">
        <v>806</v>
      </c>
      <c r="D944" s="238" t="s">
        <v>2277</v>
      </c>
      <c r="E944" s="239" t="s">
        <v>105</v>
      </c>
      <c r="F944" s="245" t="s">
        <v>15</v>
      </c>
      <c r="G944" s="245"/>
      <c r="H944" s="239" t="s">
        <v>751</v>
      </c>
      <c r="I944" s="246">
        <v>6838.6</v>
      </c>
      <c r="J944" s="246"/>
      <c r="K944" s="242" t="s">
        <v>8</v>
      </c>
      <c r="L944" s="243">
        <v>6457907.9400000004</v>
      </c>
    </row>
    <row r="945" spans="1:12" ht="61.2" x14ac:dyDescent="0.3">
      <c r="A945" s="237" t="s">
        <v>644</v>
      </c>
      <c r="B945" s="238" t="s">
        <v>2153</v>
      </c>
      <c r="C945" s="238" t="s">
        <v>806</v>
      </c>
      <c r="D945" s="238" t="s">
        <v>2278</v>
      </c>
      <c r="E945" s="239" t="s">
        <v>105</v>
      </c>
      <c r="F945" s="245" t="s">
        <v>15</v>
      </c>
      <c r="G945" s="245"/>
      <c r="H945" s="239" t="s">
        <v>751</v>
      </c>
      <c r="I945" s="246">
        <v>3359.6</v>
      </c>
      <c r="J945" s="246"/>
      <c r="K945" s="242" t="s">
        <v>8</v>
      </c>
      <c r="L945" s="243">
        <v>6454548.3399999999</v>
      </c>
    </row>
    <row r="946" spans="1:12" ht="61.2" x14ac:dyDescent="0.3">
      <c r="A946" s="237" t="s">
        <v>644</v>
      </c>
      <c r="B946" s="238" t="s">
        <v>2153</v>
      </c>
      <c r="C946" s="238" t="s">
        <v>806</v>
      </c>
      <c r="D946" s="238" t="s">
        <v>2279</v>
      </c>
      <c r="E946" s="239" t="s">
        <v>105</v>
      </c>
      <c r="F946" s="245" t="s">
        <v>15</v>
      </c>
      <c r="G946" s="245"/>
      <c r="H946" s="239" t="s">
        <v>751</v>
      </c>
      <c r="I946" s="246">
        <v>3370.3</v>
      </c>
      <c r="J946" s="246"/>
      <c r="K946" s="242" t="s">
        <v>8</v>
      </c>
      <c r="L946" s="243">
        <v>6451178.04</v>
      </c>
    </row>
    <row r="947" spans="1:12" ht="61.2" x14ac:dyDescent="0.3">
      <c r="A947" s="237" t="s">
        <v>644</v>
      </c>
      <c r="B947" s="238" t="s">
        <v>2153</v>
      </c>
      <c r="C947" s="238" t="s">
        <v>806</v>
      </c>
      <c r="D947" s="238" t="s">
        <v>2280</v>
      </c>
      <c r="E947" s="239" t="s">
        <v>105</v>
      </c>
      <c r="F947" s="245" t="s">
        <v>15</v>
      </c>
      <c r="G947" s="245"/>
      <c r="H947" s="239" t="s">
        <v>751</v>
      </c>
      <c r="I947" s="246">
        <v>6883.8</v>
      </c>
      <c r="J947" s="246"/>
      <c r="K947" s="242" t="s">
        <v>8</v>
      </c>
      <c r="L947" s="243">
        <v>6444294.2400000002</v>
      </c>
    </row>
    <row r="948" spans="1:12" ht="61.2" x14ac:dyDescent="0.3">
      <c r="A948" s="237" t="s">
        <v>644</v>
      </c>
      <c r="B948" s="238" t="s">
        <v>2153</v>
      </c>
      <c r="C948" s="238" t="s">
        <v>806</v>
      </c>
      <c r="D948" s="238" t="s">
        <v>2281</v>
      </c>
      <c r="E948" s="239" t="s">
        <v>105</v>
      </c>
      <c r="F948" s="245" t="s">
        <v>15</v>
      </c>
      <c r="G948" s="245"/>
      <c r="H948" s="239" t="s">
        <v>751</v>
      </c>
      <c r="I948" s="246">
        <v>2652.7</v>
      </c>
      <c r="J948" s="246"/>
      <c r="K948" s="242" t="s">
        <v>8</v>
      </c>
      <c r="L948" s="243">
        <v>6441641.54</v>
      </c>
    </row>
    <row r="949" spans="1:12" ht="61.2" x14ac:dyDescent="0.3">
      <c r="A949" s="237" t="s">
        <v>644</v>
      </c>
      <c r="B949" s="238" t="s">
        <v>2153</v>
      </c>
      <c r="C949" s="238" t="s">
        <v>806</v>
      </c>
      <c r="D949" s="238" t="s">
        <v>2282</v>
      </c>
      <c r="E949" s="239" t="s">
        <v>105</v>
      </c>
      <c r="F949" s="245" t="s">
        <v>15</v>
      </c>
      <c r="G949" s="245"/>
      <c r="H949" s="239" t="s">
        <v>751</v>
      </c>
      <c r="I949" s="246">
        <v>3941.4</v>
      </c>
      <c r="J949" s="246"/>
      <c r="K949" s="242" t="s">
        <v>8</v>
      </c>
      <c r="L949" s="243">
        <v>6437700.1399999997</v>
      </c>
    </row>
    <row r="950" spans="1:12" ht="61.2" x14ac:dyDescent="0.3">
      <c r="A950" s="237" t="s">
        <v>644</v>
      </c>
      <c r="B950" s="238" t="s">
        <v>2153</v>
      </c>
      <c r="C950" s="238" t="s">
        <v>806</v>
      </c>
      <c r="D950" s="238" t="s">
        <v>2282</v>
      </c>
      <c r="E950" s="239" t="s">
        <v>105</v>
      </c>
      <c r="F950" s="245" t="s">
        <v>15</v>
      </c>
      <c r="G950" s="245"/>
      <c r="H950" s="239" t="s">
        <v>751</v>
      </c>
      <c r="I950" s="246">
        <v>15765.6</v>
      </c>
      <c r="J950" s="246"/>
      <c r="K950" s="242" t="s">
        <v>8</v>
      </c>
      <c r="L950" s="243">
        <v>6421934.54</v>
      </c>
    </row>
    <row r="951" spans="1:12" ht="61.2" x14ac:dyDescent="0.3">
      <c r="A951" s="237" t="s">
        <v>644</v>
      </c>
      <c r="B951" s="238" t="s">
        <v>2153</v>
      </c>
      <c r="C951" s="238" t="s">
        <v>806</v>
      </c>
      <c r="D951" s="238" t="s">
        <v>2283</v>
      </c>
      <c r="E951" s="239" t="s">
        <v>105</v>
      </c>
      <c r="F951" s="245" t="s">
        <v>15</v>
      </c>
      <c r="G951" s="245"/>
      <c r="H951" s="239" t="s">
        <v>751</v>
      </c>
      <c r="I951" s="246">
        <v>4198.1000000000004</v>
      </c>
      <c r="J951" s="246"/>
      <c r="K951" s="242" t="s">
        <v>8</v>
      </c>
      <c r="L951" s="243">
        <v>6417736.4400000004</v>
      </c>
    </row>
    <row r="952" spans="1:12" ht="61.2" x14ac:dyDescent="0.3">
      <c r="A952" s="237" t="s">
        <v>644</v>
      </c>
      <c r="B952" s="238" t="s">
        <v>2153</v>
      </c>
      <c r="C952" s="238" t="s">
        <v>806</v>
      </c>
      <c r="D952" s="238" t="s">
        <v>2284</v>
      </c>
      <c r="E952" s="239" t="s">
        <v>105</v>
      </c>
      <c r="F952" s="245" t="s">
        <v>15</v>
      </c>
      <c r="G952" s="245"/>
      <c r="H952" s="239" t="s">
        <v>751</v>
      </c>
      <c r="I952" s="246">
        <v>4486.6000000000004</v>
      </c>
      <c r="J952" s="246"/>
      <c r="K952" s="242" t="s">
        <v>8</v>
      </c>
      <c r="L952" s="243">
        <v>6413249.8399999999</v>
      </c>
    </row>
    <row r="953" spans="1:12" ht="61.2" x14ac:dyDescent="0.3">
      <c r="A953" s="237" t="s">
        <v>644</v>
      </c>
      <c r="B953" s="238" t="s">
        <v>2153</v>
      </c>
      <c r="C953" s="238" t="s">
        <v>806</v>
      </c>
      <c r="D953" s="238" t="s">
        <v>2285</v>
      </c>
      <c r="E953" s="239" t="s">
        <v>105</v>
      </c>
      <c r="F953" s="245" t="s">
        <v>15</v>
      </c>
      <c r="G953" s="245"/>
      <c r="H953" s="239" t="s">
        <v>751</v>
      </c>
      <c r="I953" s="246">
        <v>5933.8</v>
      </c>
      <c r="J953" s="246"/>
      <c r="K953" s="242" t="s">
        <v>8</v>
      </c>
      <c r="L953" s="243">
        <v>6407316.04</v>
      </c>
    </row>
    <row r="954" spans="1:12" ht="61.2" x14ac:dyDescent="0.3">
      <c r="A954" s="237" t="s">
        <v>644</v>
      </c>
      <c r="B954" s="238" t="s">
        <v>2153</v>
      </c>
      <c r="C954" s="238" t="s">
        <v>806</v>
      </c>
      <c r="D954" s="238" t="s">
        <v>2286</v>
      </c>
      <c r="E954" s="239" t="s">
        <v>105</v>
      </c>
      <c r="F954" s="245" t="s">
        <v>15</v>
      </c>
      <c r="G954" s="245"/>
      <c r="H954" s="239" t="s">
        <v>751</v>
      </c>
      <c r="I954" s="246">
        <v>3779.7</v>
      </c>
      <c r="J954" s="246"/>
      <c r="K954" s="242" t="s">
        <v>8</v>
      </c>
      <c r="L954" s="243">
        <v>6403536.3399999999</v>
      </c>
    </row>
    <row r="955" spans="1:12" ht="61.2" x14ac:dyDescent="0.3">
      <c r="A955" s="237" t="s">
        <v>644</v>
      </c>
      <c r="B955" s="238" t="s">
        <v>2153</v>
      </c>
      <c r="C955" s="238" t="s">
        <v>806</v>
      </c>
      <c r="D955" s="238" t="s">
        <v>2287</v>
      </c>
      <c r="E955" s="239" t="s">
        <v>105</v>
      </c>
      <c r="F955" s="245" t="s">
        <v>15</v>
      </c>
      <c r="G955" s="245"/>
      <c r="H955" s="239" t="s">
        <v>751</v>
      </c>
      <c r="I955" s="246">
        <v>4442.3</v>
      </c>
      <c r="J955" s="246"/>
      <c r="K955" s="242" t="s">
        <v>8</v>
      </c>
      <c r="L955" s="243">
        <v>6399094.04</v>
      </c>
    </row>
    <row r="956" spans="1:12" ht="61.2" x14ac:dyDescent="0.3">
      <c r="A956" s="237" t="s">
        <v>644</v>
      </c>
      <c r="B956" s="238" t="s">
        <v>2153</v>
      </c>
      <c r="C956" s="238" t="s">
        <v>806</v>
      </c>
      <c r="D956" s="238" t="s">
        <v>2288</v>
      </c>
      <c r="E956" s="239" t="s">
        <v>105</v>
      </c>
      <c r="F956" s="245" t="s">
        <v>15</v>
      </c>
      <c r="G956" s="245"/>
      <c r="H956" s="239" t="s">
        <v>751</v>
      </c>
      <c r="I956" s="246">
        <v>4013.8</v>
      </c>
      <c r="J956" s="246"/>
      <c r="K956" s="242" t="s">
        <v>8</v>
      </c>
      <c r="L956" s="243">
        <v>6395080.2400000002</v>
      </c>
    </row>
    <row r="957" spans="1:12" ht="61.2" x14ac:dyDescent="0.3">
      <c r="A957" s="237" t="s">
        <v>644</v>
      </c>
      <c r="B957" s="238" t="s">
        <v>2153</v>
      </c>
      <c r="C957" s="238" t="s">
        <v>806</v>
      </c>
      <c r="D957" s="238" t="s">
        <v>2289</v>
      </c>
      <c r="E957" s="239" t="s">
        <v>105</v>
      </c>
      <c r="F957" s="245" t="s">
        <v>15</v>
      </c>
      <c r="G957" s="245"/>
      <c r="H957" s="239" t="s">
        <v>751</v>
      </c>
      <c r="I957" s="246">
        <v>4241</v>
      </c>
      <c r="J957" s="246"/>
      <c r="K957" s="242" t="s">
        <v>8</v>
      </c>
      <c r="L957" s="243">
        <v>6390839.2400000002</v>
      </c>
    </row>
    <row r="958" spans="1:12" ht="61.2" x14ac:dyDescent="0.3">
      <c r="A958" s="237" t="s">
        <v>644</v>
      </c>
      <c r="B958" s="238" t="s">
        <v>2153</v>
      </c>
      <c r="C958" s="238" t="s">
        <v>806</v>
      </c>
      <c r="D958" s="238" t="s">
        <v>2290</v>
      </c>
      <c r="E958" s="239" t="s">
        <v>105</v>
      </c>
      <c r="F958" s="245" t="s">
        <v>15</v>
      </c>
      <c r="G958" s="245"/>
      <c r="H958" s="239" t="s">
        <v>751</v>
      </c>
      <c r="I958" s="246">
        <v>4231.5</v>
      </c>
      <c r="J958" s="246"/>
      <c r="K958" s="242" t="s">
        <v>8</v>
      </c>
      <c r="L958" s="243">
        <v>6386607.7400000002</v>
      </c>
    </row>
    <row r="959" spans="1:12" ht="61.2" x14ac:dyDescent="0.3">
      <c r="A959" s="237" t="s">
        <v>644</v>
      </c>
      <c r="B959" s="238" t="s">
        <v>2153</v>
      </c>
      <c r="C959" s="238" t="s">
        <v>806</v>
      </c>
      <c r="D959" s="238" t="s">
        <v>2290</v>
      </c>
      <c r="E959" s="239" t="s">
        <v>105</v>
      </c>
      <c r="F959" s="245" t="s">
        <v>15</v>
      </c>
      <c r="G959" s="245"/>
      <c r="H959" s="239" t="s">
        <v>751</v>
      </c>
      <c r="I959" s="246">
        <v>4231.5</v>
      </c>
      <c r="J959" s="246"/>
      <c r="K959" s="242" t="s">
        <v>8</v>
      </c>
      <c r="L959" s="243">
        <v>6382376.2400000002</v>
      </c>
    </row>
    <row r="960" spans="1:12" ht="61.2" x14ac:dyDescent="0.3">
      <c r="A960" s="237" t="s">
        <v>644</v>
      </c>
      <c r="B960" s="238" t="s">
        <v>2153</v>
      </c>
      <c r="C960" s="238" t="s">
        <v>806</v>
      </c>
      <c r="D960" s="238" t="s">
        <v>2291</v>
      </c>
      <c r="E960" s="239" t="s">
        <v>105</v>
      </c>
      <c r="F960" s="245" t="s">
        <v>15</v>
      </c>
      <c r="G960" s="245"/>
      <c r="H960" s="239" t="s">
        <v>751</v>
      </c>
      <c r="I960" s="246">
        <v>4365</v>
      </c>
      <c r="J960" s="246"/>
      <c r="K960" s="242" t="s">
        <v>8</v>
      </c>
      <c r="L960" s="243">
        <v>6378011.2400000002</v>
      </c>
    </row>
    <row r="961" spans="1:12" ht="61.2" x14ac:dyDescent="0.3">
      <c r="A961" s="237" t="s">
        <v>644</v>
      </c>
      <c r="B961" s="238" t="s">
        <v>2153</v>
      </c>
      <c r="C961" s="238" t="s">
        <v>806</v>
      </c>
      <c r="D961" s="238" t="s">
        <v>2292</v>
      </c>
      <c r="E961" s="239" t="s">
        <v>105</v>
      </c>
      <c r="F961" s="245" t="s">
        <v>15</v>
      </c>
      <c r="G961" s="245"/>
      <c r="H961" s="239" t="s">
        <v>751</v>
      </c>
      <c r="I961" s="246">
        <v>4382.8999999999996</v>
      </c>
      <c r="J961" s="246"/>
      <c r="K961" s="242" t="s">
        <v>8</v>
      </c>
      <c r="L961" s="243">
        <v>6373628.3399999999</v>
      </c>
    </row>
    <row r="962" spans="1:12" ht="61.2" x14ac:dyDescent="0.3">
      <c r="A962" s="237" t="s">
        <v>644</v>
      </c>
      <c r="B962" s="238" t="s">
        <v>2153</v>
      </c>
      <c r="C962" s="238" t="s">
        <v>806</v>
      </c>
      <c r="D962" s="238" t="s">
        <v>2293</v>
      </c>
      <c r="E962" s="239" t="s">
        <v>105</v>
      </c>
      <c r="F962" s="245" t="s">
        <v>15</v>
      </c>
      <c r="G962" s="245"/>
      <c r="H962" s="239" t="s">
        <v>751</v>
      </c>
      <c r="I962" s="246">
        <v>4669.8</v>
      </c>
      <c r="J962" s="246"/>
      <c r="K962" s="242" t="s">
        <v>8</v>
      </c>
      <c r="L962" s="243">
        <v>6368958.54</v>
      </c>
    </row>
    <row r="963" spans="1:12" ht="61.2" x14ac:dyDescent="0.3">
      <c r="A963" s="237" t="s">
        <v>644</v>
      </c>
      <c r="B963" s="238" t="s">
        <v>2153</v>
      </c>
      <c r="C963" s="238" t="s">
        <v>806</v>
      </c>
      <c r="D963" s="238" t="s">
        <v>2294</v>
      </c>
      <c r="E963" s="239" t="s">
        <v>105</v>
      </c>
      <c r="F963" s="245" t="s">
        <v>15</v>
      </c>
      <c r="G963" s="245"/>
      <c r="H963" s="239" t="s">
        <v>751</v>
      </c>
      <c r="I963" s="246">
        <v>3095.5</v>
      </c>
      <c r="J963" s="246"/>
      <c r="K963" s="242" t="s">
        <v>8</v>
      </c>
      <c r="L963" s="243">
        <v>6365863.04</v>
      </c>
    </row>
    <row r="964" spans="1:12" ht="61.2" x14ac:dyDescent="0.3">
      <c r="A964" s="237" t="s">
        <v>644</v>
      </c>
      <c r="B964" s="238" t="s">
        <v>2153</v>
      </c>
      <c r="C964" s="238" t="s">
        <v>806</v>
      </c>
      <c r="D964" s="238" t="s">
        <v>2295</v>
      </c>
      <c r="E964" s="239" t="s">
        <v>105</v>
      </c>
      <c r="F964" s="245" t="s">
        <v>15</v>
      </c>
      <c r="G964" s="245"/>
      <c r="H964" s="239" t="s">
        <v>751</v>
      </c>
      <c r="I964" s="246">
        <v>6152.6</v>
      </c>
      <c r="J964" s="246"/>
      <c r="K964" s="242" t="s">
        <v>8</v>
      </c>
      <c r="L964" s="243">
        <v>6359710.4400000004</v>
      </c>
    </row>
    <row r="965" spans="1:12" ht="61.2" x14ac:dyDescent="0.3">
      <c r="A965" s="237" t="s">
        <v>644</v>
      </c>
      <c r="B965" s="238" t="s">
        <v>2153</v>
      </c>
      <c r="C965" s="238" t="s">
        <v>806</v>
      </c>
      <c r="D965" s="238" t="s">
        <v>2296</v>
      </c>
      <c r="E965" s="239" t="s">
        <v>105</v>
      </c>
      <c r="F965" s="245" t="s">
        <v>15</v>
      </c>
      <c r="G965" s="245"/>
      <c r="H965" s="239" t="s">
        <v>751</v>
      </c>
      <c r="I965" s="246">
        <v>9230.7999999999993</v>
      </c>
      <c r="J965" s="246"/>
      <c r="K965" s="242" t="s">
        <v>8</v>
      </c>
      <c r="L965" s="243">
        <v>6350479.6399999997</v>
      </c>
    </row>
    <row r="966" spans="1:12" ht="61.2" x14ac:dyDescent="0.3">
      <c r="A966" s="237" t="s">
        <v>644</v>
      </c>
      <c r="B966" s="238" t="s">
        <v>2153</v>
      </c>
      <c r="C966" s="238" t="s">
        <v>806</v>
      </c>
      <c r="D966" s="238" t="s">
        <v>2297</v>
      </c>
      <c r="E966" s="239" t="s">
        <v>105</v>
      </c>
      <c r="F966" s="245" t="s">
        <v>15</v>
      </c>
      <c r="G966" s="245"/>
      <c r="H966" s="239" t="s">
        <v>751</v>
      </c>
      <c r="I966" s="246">
        <v>2151</v>
      </c>
      <c r="J966" s="246"/>
      <c r="K966" s="242" t="s">
        <v>8</v>
      </c>
      <c r="L966" s="243">
        <v>6348328.6399999997</v>
      </c>
    </row>
    <row r="967" spans="1:12" ht="61.2" x14ac:dyDescent="0.3">
      <c r="A967" s="237" t="s">
        <v>644</v>
      </c>
      <c r="B967" s="238" t="s">
        <v>2153</v>
      </c>
      <c r="C967" s="238" t="s">
        <v>806</v>
      </c>
      <c r="D967" s="238" t="s">
        <v>2298</v>
      </c>
      <c r="E967" s="239" t="s">
        <v>105</v>
      </c>
      <c r="F967" s="245" t="s">
        <v>15</v>
      </c>
      <c r="G967" s="245"/>
      <c r="H967" s="239" t="s">
        <v>751</v>
      </c>
      <c r="I967" s="246">
        <v>2333.3000000000002</v>
      </c>
      <c r="J967" s="246"/>
      <c r="K967" s="242" t="s">
        <v>8</v>
      </c>
      <c r="L967" s="243">
        <v>6345995.3399999999</v>
      </c>
    </row>
    <row r="968" spans="1:12" ht="61.2" x14ac:dyDescent="0.3">
      <c r="A968" s="237" t="s">
        <v>644</v>
      </c>
      <c r="B968" s="238" t="s">
        <v>2153</v>
      </c>
      <c r="C968" s="238" t="s">
        <v>806</v>
      </c>
      <c r="D968" s="238" t="s">
        <v>2299</v>
      </c>
      <c r="E968" s="239" t="s">
        <v>105</v>
      </c>
      <c r="F968" s="245" t="s">
        <v>15</v>
      </c>
      <c r="G968" s="245"/>
      <c r="H968" s="239" t="s">
        <v>751</v>
      </c>
      <c r="I968" s="246">
        <v>4472.1000000000004</v>
      </c>
      <c r="J968" s="246"/>
      <c r="K968" s="242" t="s">
        <v>8</v>
      </c>
      <c r="L968" s="243">
        <v>6341523.2400000002</v>
      </c>
    </row>
    <row r="969" spans="1:12" ht="61.2" x14ac:dyDescent="0.3">
      <c r="A969" s="237" t="s">
        <v>644</v>
      </c>
      <c r="B969" s="238" t="s">
        <v>2153</v>
      </c>
      <c r="C969" s="238" t="s">
        <v>806</v>
      </c>
      <c r="D969" s="238" t="s">
        <v>2300</v>
      </c>
      <c r="E969" s="239" t="s">
        <v>105</v>
      </c>
      <c r="F969" s="245" t="s">
        <v>15</v>
      </c>
      <c r="G969" s="245"/>
      <c r="H969" s="239" t="s">
        <v>751</v>
      </c>
      <c r="I969" s="246">
        <v>4524.7</v>
      </c>
      <c r="J969" s="246"/>
      <c r="K969" s="242" t="s">
        <v>8</v>
      </c>
      <c r="L969" s="243">
        <v>6336998.54</v>
      </c>
    </row>
    <row r="970" spans="1:12" ht="61.2" x14ac:dyDescent="0.3">
      <c r="A970" s="237" t="s">
        <v>644</v>
      </c>
      <c r="B970" s="238" t="s">
        <v>2153</v>
      </c>
      <c r="C970" s="238" t="s">
        <v>806</v>
      </c>
      <c r="D970" s="238" t="s">
        <v>2301</v>
      </c>
      <c r="E970" s="239" t="s">
        <v>105</v>
      </c>
      <c r="F970" s="245" t="s">
        <v>15</v>
      </c>
      <c r="G970" s="245"/>
      <c r="H970" s="239" t="s">
        <v>751</v>
      </c>
      <c r="I970" s="246">
        <v>3853.7</v>
      </c>
      <c r="J970" s="246"/>
      <c r="K970" s="242" t="s">
        <v>8</v>
      </c>
      <c r="L970" s="243">
        <v>6333144.8399999999</v>
      </c>
    </row>
    <row r="971" spans="1:12" ht="61.2" x14ac:dyDescent="0.3">
      <c r="A971" s="237" t="s">
        <v>644</v>
      </c>
      <c r="B971" s="238" t="s">
        <v>2153</v>
      </c>
      <c r="C971" s="238" t="s">
        <v>806</v>
      </c>
      <c r="D971" s="238" t="s">
        <v>2302</v>
      </c>
      <c r="E971" s="239" t="s">
        <v>105</v>
      </c>
      <c r="F971" s="245" t="s">
        <v>15</v>
      </c>
      <c r="G971" s="245"/>
      <c r="H971" s="239" t="s">
        <v>751</v>
      </c>
      <c r="I971" s="246">
        <v>3773.6</v>
      </c>
      <c r="J971" s="246"/>
      <c r="K971" s="242" t="s">
        <v>8</v>
      </c>
      <c r="L971" s="243">
        <v>6329371.2400000002</v>
      </c>
    </row>
    <row r="972" spans="1:12" ht="61.2" x14ac:dyDescent="0.3">
      <c r="A972" s="237" t="s">
        <v>644</v>
      </c>
      <c r="B972" s="238" t="s">
        <v>2153</v>
      </c>
      <c r="C972" s="238" t="s">
        <v>806</v>
      </c>
      <c r="D972" s="238" t="s">
        <v>2303</v>
      </c>
      <c r="E972" s="239" t="s">
        <v>105</v>
      </c>
      <c r="F972" s="245" t="s">
        <v>15</v>
      </c>
      <c r="G972" s="245"/>
      <c r="H972" s="239" t="s">
        <v>751</v>
      </c>
      <c r="I972" s="246">
        <v>3979.5</v>
      </c>
      <c r="J972" s="246"/>
      <c r="K972" s="242" t="s">
        <v>8</v>
      </c>
      <c r="L972" s="243">
        <v>6325391.7400000002</v>
      </c>
    </row>
    <row r="973" spans="1:12" ht="61.2" x14ac:dyDescent="0.3">
      <c r="A973" s="237" t="s">
        <v>644</v>
      </c>
      <c r="B973" s="238" t="s">
        <v>2153</v>
      </c>
      <c r="C973" s="238" t="s">
        <v>806</v>
      </c>
      <c r="D973" s="238" t="s">
        <v>2304</v>
      </c>
      <c r="E973" s="239" t="s">
        <v>105</v>
      </c>
      <c r="F973" s="245" t="s">
        <v>15</v>
      </c>
      <c r="G973" s="245"/>
      <c r="H973" s="239" t="s">
        <v>751</v>
      </c>
      <c r="I973" s="246">
        <v>8349.2000000000007</v>
      </c>
      <c r="J973" s="246"/>
      <c r="K973" s="242" t="s">
        <v>8</v>
      </c>
      <c r="L973" s="243">
        <v>6317042.54</v>
      </c>
    </row>
    <row r="974" spans="1:12" ht="61.2" x14ac:dyDescent="0.3">
      <c r="A974" s="237" t="s">
        <v>644</v>
      </c>
      <c r="B974" s="238" t="s">
        <v>2153</v>
      </c>
      <c r="C974" s="238" t="s">
        <v>806</v>
      </c>
      <c r="D974" s="238" t="s">
        <v>2305</v>
      </c>
      <c r="E974" s="239" t="s">
        <v>105</v>
      </c>
      <c r="F974" s="245" t="s">
        <v>15</v>
      </c>
      <c r="G974" s="245"/>
      <c r="H974" s="239" t="s">
        <v>751</v>
      </c>
      <c r="I974" s="246">
        <v>4010.1</v>
      </c>
      <c r="J974" s="246"/>
      <c r="K974" s="242" t="s">
        <v>8</v>
      </c>
      <c r="L974" s="243">
        <v>6313032.4400000004</v>
      </c>
    </row>
    <row r="975" spans="1:12" ht="61.2" x14ac:dyDescent="0.3">
      <c r="A975" s="237" t="s">
        <v>644</v>
      </c>
      <c r="B975" s="238" t="s">
        <v>2153</v>
      </c>
      <c r="C975" s="238" t="s">
        <v>806</v>
      </c>
      <c r="D975" s="238" t="s">
        <v>2306</v>
      </c>
      <c r="E975" s="239" t="s">
        <v>105</v>
      </c>
      <c r="F975" s="245" t="s">
        <v>15</v>
      </c>
      <c r="G975" s="245"/>
      <c r="H975" s="239" t="s">
        <v>751</v>
      </c>
      <c r="I975" s="246">
        <v>1923.1</v>
      </c>
      <c r="J975" s="246"/>
      <c r="K975" s="242" t="s">
        <v>8</v>
      </c>
      <c r="L975" s="243">
        <v>6311109.3399999999</v>
      </c>
    </row>
    <row r="976" spans="1:12" ht="61.2" x14ac:dyDescent="0.3">
      <c r="A976" s="237" t="s">
        <v>644</v>
      </c>
      <c r="B976" s="238" t="s">
        <v>2153</v>
      </c>
      <c r="C976" s="238" t="s">
        <v>806</v>
      </c>
      <c r="D976" s="238" t="s">
        <v>2307</v>
      </c>
      <c r="E976" s="239" t="s">
        <v>105</v>
      </c>
      <c r="F976" s="245" t="s">
        <v>15</v>
      </c>
      <c r="G976" s="245"/>
      <c r="H976" s="239" t="s">
        <v>751</v>
      </c>
      <c r="I976" s="246">
        <v>1471.2</v>
      </c>
      <c r="J976" s="246"/>
      <c r="K976" s="242" t="s">
        <v>8</v>
      </c>
      <c r="L976" s="243">
        <v>6309638.1399999997</v>
      </c>
    </row>
    <row r="977" spans="1:12" ht="61.2" x14ac:dyDescent="0.3">
      <c r="A977" s="237" t="s">
        <v>644</v>
      </c>
      <c r="B977" s="238" t="s">
        <v>2153</v>
      </c>
      <c r="C977" s="238" t="s">
        <v>806</v>
      </c>
      <c r="D977" s="238" t="s">
        <v>2308</v>
      </c>
      <c r="E977" s="239" t="s">
        <v>105</v>
      </c>
      <c r="F977" s="245" t="s">
        <v>15</v>
      </c>
      <c r="G977" s="245"/>
      <c r="H977" s="239" t="s">
        <v>751</v>
      </c>
      <c r="I977" s="246">
        <v>1227.7</v>
      </c>
      <c r="J977" s="246"/>
      <c r="K977" s="242" t="s">
        <v>8</v>
      </c>
      <c r="L977" s="243">
        <v>6308410.4400000004</v>
      </c>
    </row>
    <row r="978" spans="1:12" ht="61.2" x14ac:dyDescent="0.3">
      <c r="A978" s="237" t="s">
        <v>644</v>
      </c>
      <c r="B978" s="238" t="s">
        <v>2153</v>
      </c>
      <c r="C978" s="238" t="s">
        <v>806</v>
      </c>
      <c r="D978" s="238" t="s">
        <v>2309</v>
      </c>
      <c r="E978" s="239" t="s">
        <v>105</v>
      </c>
      <c r="F978" s="245" t="s">
        <v>15</v>
      </c>
      <c r="G978" s="245"/>
      <c r="H978" s="239" t="s">
        <v>751</v>
      </c>
      <c r="I978" s="246">
        <v>1612.7</v>
      </c>
      <c r="J978" s="246"/>
      <c r="K978" s="242" t="s">
        <v>8</v>
      </c>
      <c r="L978" s="243">
        <v>6306797.7400000002</v>
      </c>
    </row>
    <row r="979" spans="1:12" ht="61.2" x14ac:dyDescent="0.3">
      <c r="A979" s="237" t="s">
        <v>644</v>
      </c>
      <c r="B979" s="238" t="s">
        <v>2153</v>
      </c>
      <c r="C979" s="238" t="s">
        <v>806</v>
      </c>
      <c r="D979" s="238" t="s">
        <v>2310</v>
      </c>
      <c r="E979" s="239" t="s">
        <v>105</v>
      </c>
      <c r="F979" s="245" t="s">
        <v>15</v>
      </c>
      <c r="G979" s="245"/>
      <c r="H979" s="239" t="s">
        <v>751</v>
      </c>
      <c r="I979" s="246">
        <v>1810.9</v>
      </c>
      <c r="J979" s="246"/>
      <c r="K979" s="242" t="s">
        <v>8</v>
      </c>
      <c r="L979" s="243">
        <v>6304986.8399999999</v>
      </c>
    </row>
    <row r="980" spans="1:12" ht="61.2" x14ac:dyDescent="0.3">
      <c r="A980" s="237" t="s">
        <v>644</v>
      </c>
      <c r="B980" s="238" t="s">
        <v>2153</v>
      </c>
      <c r="C980" s="238" t="s">
        <v>806</v>
      </c>
      <c r="D980" s="238" t="s">
        <v>2311</v>
      </c>
      <c r="E980" s="239" t="s">
        <v>105</v>
      </c>
      <c r="F980" s="245" t="s">
        <v>15</v>
      </c>
      <c r="G980" s="245"/>
      <c r="H980" s="239" t="s">
        <v>751</v>
      </c>
      <c r="I980" s="246">
        <v>2019.1</v>
      </c>
      <c r="J980" s="246"/>
      <c r="K980" s="242" t="s">
        <v>8</v>
      </c>
      <c r="L980" s="243">
        <v>6302967.7400000002</v>
      </c>
    </row>
    <row r="981" spans="1:12" ht="61.2" x14ac:dyDescent="0.3">
      <c r="A981" s="237" t="s">
        <v>644</v>
      </c>
      <c r="B981" s="238" t="s">
        <v>2153</v>
      </c>
      <c r="C981" s="238" t="s">
        <v>806</v>
      </c>
      <c r="D981" s="238" t="s">
        <v>2312</v>
      </c>
      <c r="E981" s="239" t="s">
        <v>105</v>
      </c>
      <c r="F981" s="245" t="s">
        <v>15</v>
      </c>
      <c r="G981" s="245"/>
      <c r="H981" s="239" t="s">
        <v>751</v>
      </c>
      <c r="I981" s="246">
        <v>1007.3</v>
      </c>
      <c r="J981" s="246"/>
      <c r="K981" s="242" t="s">
        <v>8</v>
      </c>
      <c r="L981" s="243">
        <v>6301960.4400000004</v>
      </c>
    </row>
    <row r="982" spans="1:12" ht="61.2" x14ac:dyDescent="0.3">
      <c r="A982" s="237" t="s">
        <v>644</v>
      </c>
      <c r="B982" s="238" t="s">
        <v>2153</v>
      </c>
      <c r="C982" s="238" t="s">
        <v>806</v>
      </c>
      <c r="D982" s="238" t="s">
        <v>2313</v>
      </c>
      <c r="E982" s="239" t="s">
        <v>105</v>
      </c>
      <c r="F982" s="245" t="s">
        <v>15</v>
      </c>
      <c r="G982" s="245"/>
      <c r="H982" s="239" t="s">
        <v>751</v>
      </c>
      <c r="I982" s="246">
        <v>1563.9</v>
      </c>
      <c r="J982" s="246"/>
      <c r="K982" s="242" t="s">
        <v>8</v>
      </c>
      <c r="L982" s="243">
        <v>6300396.54</v>
      </c>
    </row>
    <row r="983" spans="1:12" ht="61.2" x14ac:dyDescent="0.3">
      <c r="A983" s="237" t="s">
        <v>644</v>
      </c>
      <c r="B983" s="238" t="s">
        <v>2153</v>
      </c>
      <c r="C983" s="238" t="s">
        <v>806</v>
      </c>
      <c r="D983" s="238" t="s">
        <v>2314</v>
      </c>
      <c r="E983" s="239" t="s">
        <v>105</v>
      </c>
      <c r="F983" s="245" t="s">
        <v>15</v>
      </c>
      <c r="G983" s="245"/>
      <c r="H983" s="239" t="s">
        <v>751</v>
      </c>
      <c r="I983" s="246">
        <v>1490.7</v>
      </c>
      <c r="J983" s="246"/>
      <c r="K983" s="242" t="s">
        <v>8</v>
      </c>
      <c r="L983" s="243">
        <v>6298905.8399999999</v>
      </c>
    </row>
    <row r="984" spans="1:12" ht="61.2" x14ac:dyDescent="0.3">
      <c r="A984" s="237" t="s">
        <v>644</v>
      </c>
      <c r="B984" s="238" t="s">
        <v>2153</v>
      </c>
      <c r="C984" s="238" t="s">
        <v>806</v>
      </c>
      <c r="D984" s="238" t="s">
        <v>2315</v>
      </c>
      <c r="E984" s="239" t="s">
        <v>105</v>
      </c>
      <c r="F984" s="245" t="s">
        <v>15</v>
      </c>
      <c r="G984" s="245"/>
      <c r="H984" s="239" t="s">
        <v>751</v>
      </c>
      <c r="I984" s="246">
        <v>2869.3</v>
      </c>
      <c r="J984" s="246"/>
      <c r="K984" s="242" t="s">
        <v>8</v>
      </c>
      <c r="L984" s="243">
        <v>6296036.54</v>
      </c>
    </row>
    <row r="985" spans="1:12" ht="61.2" x14ac:dyDescent="0.3">
      <c r="A985" s="237" t="s">
        <v>644</v>
      </c>
      <c r="B985" s="238" t="s">
        <v>2153</v>
      </c>
      <c r="C985" s="238" t="s">
        <v>806</v>
      </c>
      <c r="D985" s="238" t="s">
        <v>2316</v>
      </c>
      <c r="E985" s="239" t="s">
        <v>105</v>
      </c>
      <c r="F985" s="245" t="s">
        <v>15</v>
      </c>
      <c r="G985" s="245"/>
      <c r="H985" s="239" t="s">
        <v>751</v>
      </c>
      <c r="I985" s="246">
        <v>3492.3</v>
      </c>
      <c r="J985" s="246"/>
      <c r="K985" s="242" t="s">
        <v>8</v>
      </c>
      <c r="L985" s="243">
        <v>6292544.2400000002</v>
      </c>
    </row>
    <row r="986" spans="1:12" ht="61.2" x14ac:dyDescent="0.3">
      <c r="A986" s="237" t="s">
        <v>644</v>
      </c>
      <c r="B986" s="238" t="s">
        <v>2153</v>
      </c>
      <c r="C986" s="238" t="s">
        <v>806</v>
      </c>
      <c r="D986" s="238" t="s">
        <v>2317</v>
      </c>
      <c r="E986" s="239" t="s">
        <v>105</v>
      </c>
      <c r="F986" s="245" t="s">
        <v>15</v>
      </c>
      <c r="G986" s="245"/>
      <c r="H986" s="239" t="s">
        <v>751</v>
      </c>
      <c r="I986" s="246">
        <v>3795.5</v>
      </c>
      <c r="J986" s="246"/>
      <c r="K986" s="242" t="s">
        <v>8</v>
      </c>
      <c r="L986" s="243">
        <v>6288748.7400000002</v>
      </c>
    </row>
    <row r="987" spans="1:12" ht="61.2" x14ac:dyDescent="0.3">
      <c r="A987" s="237" t="s">
        <v>644</v>
      </c>
      <c r="B987" s="238" t="s">
        <v>2153</v>
      </c>
      <c r="C987" s="238" t="s">
        <v>806</v>
      </c>
      <c r="D987" s="238" t="s">
        <v>2318</v>
      </c>
      <c r="E987" s="239" t="s">
        <v>105</v>
      </c>
      <c r="F987" s="245" t="s">
        <v>15</v>
      </c>
      <c r="G987" s="245"/>
      <c r="H987" s="239" t="s">
        <v>751</v>
      </c>
      <c r="I987" s="246">
        <v>1108.7</v>
      </c>
      <c r="J987" s="246"/>
      <c r="K987" s="242" t="s">
        <v>8</v>
      </c>
      <c r="L987" s="243">
        <v>6287640.04</v>
      </c>
    </row>
    <row r="988" spans="1:12" ht="61.2" x14ac:dyDescent="0.3">
      <c r="A988" s="237" t="s">
        <v>644</v>
      </c>
      <c r="B988" s="238" t="s">
        <v>2153</v>
      </c>
      <c r="C988" s="238" t="s">
        <v>806</v>
      </c>
      <c r="D988" s="238" t="s">
        <v>2319</v>
      </c>
      <c r="E988" s="239" t="s">
        <v>105</v>
      </c>
      <c r="F988" s="245" t="s">
        <v>15</v>
      </c>
      <c r="G988" s="245"/>
      <c r="H988" s="239" t="s">
        <v>751</v>
      </c>
      <c r="I988" s="246">
        <v>1788.8</v>
      </c>
      <c r="J988" s="246"/>
      <c r="K988" s="242" t="s">
        <v>8</v>
      </c>
      <c r="L988" s="243">
        <v>6285851.2400000002</v>
      </c>
    </row>
    <row r="989" spans="1:12" ht="61.2" x14ac:dyDescent="0.3">
      <c r="A989" s="237" t="s">
        <v>644</v>
      </c>
      <c r="B989" s="238" t="s">
        <v>2153</v>
      </c>
      <c r="C989" s="238" t="s">
        <v>806</v>
      </c>
      <c r="D989" s="238" t="s">
        <v>2320</v>
      </c>
      <c r="E989" s="239" t="s">
        <v>105</v>
      </c>
      <c r="F989" s="245" t="s">
        <v>15</v>
      </c>
      <c r="G989" s="245"/>
      <c r="H989" s="239" t="s">
        <v>751</v>
      </c>
      <c r="I989" s="246">
        <v>2973</v>
      </c>
      <c r="J989" s="246"/>
      <c r="K989" s="242" t="s">
        <v>8</v>
      </c>
      <c r="L989" s="243">
        <v>6282878.2400000002</v>
      </c>
    </row>
    <row r="990" spans="1:12" ht="61.2" x14ac:dyDescent="0.3">
      <c r="A990" s="237" t="s">
        <v>644</v>
      </c>
      <c r="B990" s="238" t="s">
        <v>2153</v>
      </c>
      <c r="C990" s="238" t="s">
        <v>806</v>
      </c>
      <c r="D990" s="238" t="s">
        <v>2321</v>
      </c>
      <c r="E990" s="239" t="s">
        <v>105</v>
      </c>
      <c r="F990" s="245" t="s">
        <v>15</v>
      </c>
      <c r="G990" s="245"/>
      <c r="H990" s="239" t="s">
        <v>751</v>
      </c>
      <c r="I990" s="246">
        <v>2483.5</v>
      </c>
      <c r="J990" s="246"/>
      <c r="K990" s="242" t="s">
        <v>8</v>
      </c>
      <c r="L990" s="243">
        <v>6280394.7400000002</v>
      </c>
    </row>
    <row r="991" spans="1:12" ht="61.2" x14ac:dyDescent="0.3">
      <c r="A991" s="237" t="s">
        <v>644</v>
      </c>
      <c r="B991" s="238" t="s">
        <v>2153</v>
      </c>
      <c r="C991" s="238" t="s">
        <v>806</v>
      </c>
      <c r="D991" s="238" t="s">
        <v>2322</v>
      </c>
      <c r="E991" s="239" t="s">
        <v>105</v>
      </c>
      <c r="F991" s="245" t="s">
        <v>15</v>
      </c>
      <c r="G991" s="245"/>
      <c r="H991" s="239" t="s">
        <v>751</v>
      </c>
      <c r="I991" s="246">
        <v>9930.7999999999993</v>
      </c>
      <c r="J991" s="246"/>
      <c r="K991" s="242" t="s">
        <v>8</v>
      </c>
      <c r="L991" s="243">
        <v>6270463.9400000004</v>
      </c>
    </row>
    <row r="992" spans="1:12" ht="61.2" x14ac:dyDescent="0.3">
      <c r="A992" s="237" t="s">
        <v>644</v>
      </c>
      <c r="B992" s="238" t="s">
        <v>2153</v>
      </c>
      <c r="C992" s="238" t="s">
        <v>806</v>
      </c>
      <c r="D992" s="238" t="s">
        <v>2323</v>
      </c>
      <c r="E992" s="239" t="s">
        <v>105</v>
      </c>
      <c r="F992" s="245" t="s">
        <v>15</v>
      </c>
      <c r="G992" s="245"/>
      <c r="H992" s="239" t="s">
        <v>751</v>
      </c>
      <c r="I992" s="246">
        <v>5461.8</v>
      </c>
      <c r="J992" s="246"/>
      <c r="K992" s="242" t="s">
        <v>8</v>
      </c>
      <c r="L992" s="243">
        <v>6265002.1399999997</v>
      </c>
    </row>
    <row r="993" spans="1:12" ht="61.2" x14ac:dyDescent="0.3">
      <c r="A993" s="237" t="s">
        <v>644</v>
      </c>
      <c r="B993" s="238" t="s">
        <v>2153</v>
      </c>
      <c r="C993" s="238" t="s">
        <v>806</v>
      </c>
      <c r="D993" s="238" t="s">
        <v>2324</v>
      </c>
      <c r="E993" s="239" t="s">
        <v>105</v>
      </c>
      <c r="F993" s="245" t="s">
        <v>15</v>
      </c>
      <c r="G993" s="245"/>
      <c r="H993" s="239" t="s">
        <v>751</v>
      </c>
      <c r="I993" s="246">
        <v>3403</v>
      </c>
      <c r="J993" s="246"/>
      <c r="K993" s="242" t="s">
        <v>8</v>
      </c>
      <c r="L993" s="243">
        <v>6261599.1399999997</v>
      </c>
    </row>
    <row r="994" spans="1:12" ht="61.2" x14ac:dyDescent="0.3">
      <c r="A994" s="237" t="s">
        <v>644</v>
      </c>
      <c r="B994" s="238" t="s">
        <v>2153</v>
      </c>
      <c r="C994" s="238" t="s">
        <v>806</v>
      </c>
      <c r="D994" s="238" t="s">
        <v>2325</v>
      </c>
      <c r="E994" s="239" t="s">
        <v>105</v>
      </c>
      <c r="F994" s="245" t="s">
        <v>15</v>
      </c>
      <c r="G994" s="245"/>
      <c r="H994" s="239" t="s">
        <v>751</v>
      </c>
      <c r="I994" s="246">
        <v>1498.3</v>
      </c>
      <c r="J994" s="246"/>
      <c r="K994" s="242" t="s">
        <v>8</v>
      </c>
      <c r="L994" s="243">
        <v>6260100.8399999999</v>
      </c>
    </row>
    <row r="995" spans="1:12" ht="61.2" x14ac:dyDescent="0.3">
      <c r="A995" s="237" t="s">
        <v>644</v>
      </c>
      <c r="B995" s="238" t="s">
        <v>2153</v>
      </c>
      <c r="C995" s="238" t="s">
        <v>806</v>
      </c>
      <c r="D995" s="238" t="s">
        <v>2326</v>
      </c>
      <c r="E995" s="239" t="s">
        <v>105</v>
      </c>
      <c r="F995" s="245" t="s">
        <v>15</v>
      </c>
      <c r="G995" s="245"/>
      <c r="H995" s="239" t="s">
        <v>751</v>
      </c>
      <c r="I995" s="246">
        <v>1130.8</v>
      </c>
      <c r="J995" s="246"/>
      <c r="K995" s="242" t="s">
        <v>8</v>
      </c>
      <c r="L995" s="243">
        <v>6258970.04</v>
      </c>
    </row>
    <row r="996" spans="1:12" ht="61.2" x14ac:dyDescent="0.3">
      <c r="A996" s="237" t="s">
        <v>644</v>
      </c>
      <c r="B996" s="238" t="s">
        <v>2153</v>
      </c>
      <c r="C996" s="238" t="s">
        <v>806</v>
      </c>
      <c r="D996" s="238" t="s">
        <v>2327</v>
      </c>
      <c r="E996" s="239" t="s">
        <v>105</v>
      </c>
      <c r="F996" s="245" t="s">
        <v>15</v>
      </c>
      <c r="G996" s="245"/>
      <c r="H996" s="239" t="s">
        <v>751</v>
      </c>
      <c r="I996" s="246">
        <v>2049.6</v>
      </c>
      <c r="J996" s="246"/>
      <c r="K996" s="242" t="s">
        <v>8</v>
      </c>
      <c r="L996" s="243">
        <v>6256920.4400000004</v>
      </c>
    </row>
    <row r="997" spans="1:12" ht="61.2" x14ac:dyDescent="0.3">
      <c r="A997" s="237" t="s">
        <v>644</v>
      </c>
      <c r="B997" s="238" t="s">
        <v>2153</v>
      </c>
      <c r="C997" s="238" t="s">
        <v>806</v>
      </c>
      <c r="D997" s="238" t="s">
        <v>2328</v>
      </c>
      <c r="E997" s="239" t="s">
        <v>105</v>
      </c>
      <c r="F997" s="245" t="s">
        <v>15</v>
      </c>
      <c r="G997" s="245"/>
      <c r="H997" s="239" t="s">
        <v>751</v>
      </c>
      <c r="I997" s="246">
        <v>2236.3000000000002</v>
      </c>
      <c r="J997" s="246"/>
      <c r="K997" s="242" t="s">
        <v>8</v>
      </c>
      <c r="L997" s="243">
        <v>6254684.1399999997</v>
      </c>
    </row>
    <row r="998" spans="1:12" ht="61.2" x14ac:dyDescent="0.3">
      <c r="A998" s="237" t="s">
        <v>644</v>
      </c>
      <c r="B998" s="238" t="s">
        <v>2153</v>
      </c>
      <c r="C998" s="238" t="s">
        <v>806</v>
      </c>
      <c r="D998" s="238" t="s">
        <v>2329</v>
      </c>
      <c r="E998" s="239" t="s">
        <v>105</v>
      </c>
      <c r="F998" s="245" t="s">
        <v>15</v>
      </c>
      <c r="G998" s="245"/>
      <c r="H998" s="239" t="s">
        <v>751</v>
      </c>
      <c r="I998" s="246">
        <v>3345.9</v>
      </c>
      <c r="J998" s="246"/>
      <c r="K998" s="242" t="s">
        <v>8</v>
      </c>
      <c r="L998" s="243">
        <v>6251338.2400000002</v>
      </c>
    </row>
    <row r="999" spans="1:12" ht="61.2" x14ac:dyDescent="0.3">
      <c r="A999" s="237" t="s">
        <v>644</v>
      </c>
      <c r="B999" s="238" t="s">
        <v>2153</v>
      </c>
      <c r="C999" s="238" t="s">
        <v>806</v>
      </c>
      <c r="D999" s="238" t="s">
        <v>2330</v>
      </c>
      <c r="E999" s="239" t="s">
        <v>105</v>
      </c>
      <c r="F999" s="245" t="s">
        <v>15</v>
      </c>
      <c r="G999" s="245"/>
      <c r="H999" s="239" t="s">
        <v>751</v>
      </c>
      <c r="I999" s="246">
        <v>2189.9</v>
      </c>
      <c r="J999" s="246"/>
      <c r="K999" s="242" t="s">
        <v>8</v>
      </c>
      <c r="L999" s="243">
        <v>6249148.3399999999</v>
      </c>
    </row>
    <row r="1000" spans="1:12" ht="61.2" x14ac:dyDescent="0.3">
      <c r="A1000" s="237" t="s">
        <v>644</v>
      </c>
      <c r="B1000" s="238" t="s">
        <v>2153</v>
      </c>
      <c r="C1000" s="238" t="s">
        <v>806</v>
      </c>
      <c r="D1000" s="238" t="s">
        <v>2331</v>
      </c>
      <c r="E1000" s="239" t="s">
        <v>105</v>
      </c>
      <c r="F1000" s="245" t="s">
        <v>15</v>
      </c>
      <c r="G1000" s="245"/>
      <c r="H1000" s="239" t="s">
        <v>751</v>
      </c>
      <c r="I1000" s="246">
        <v>2840.3</v>
      </c>
      <c r="J1000" s="246"/>
      <c r="K1000" s="242" t="s">
        <v>8</v>
      </c>
      <c r="L1000" s="243">
        <v>6246308.04</v>
      </c>
    </row>
    <row r="1001" spans="1:12" ht="61.2" x14ac:dyDescent="0.3">
      <c r="A1001" s="237" t="s">
        <v>644</v>
      </c>
      <c r="B1001" s="238" t="s">
        <v>2153</v>
      </c>
      <c r="C1001" s="238" t="s">
        <v>806</v>
      </c>
      <c r="D1001" s="238" t="s">
        <v>2332</v>
      </c>
      <c r="E1001" s="239" t="s">
        <v>105</v>
      </c>
      <c r="F1001" s="245" t="s">
        <v>15</v>
      </c>
      <c r="G1001" s="245"/>
      <c r="H1001" s="239" t="s">
        <v>751</v>
      </c>
      <c r="I1001" s="246">
        <v>3897.1</v>
      </c>
      <c r="J1001" s="246"/>
      <c r="K1001" s="242" t="s">
        <v>8</v>
      </c>
      <c r="L1001" s="243">
        <v>6242410.9400000004</v>
      </c>
    </row>
    <row r="1002" spans="1:12" ht="61.2" x14ac:dyDescent="0.3">
      <c r="A1002" s="237" t="s">
        <v>644</v>
      </c>
      <c r="B1002" s="238" t="s">
        <v>2153</v>
      </c>
      <c r="C1002" s="238" t="s">
        <v>806</v>
      </c>
      <c r="D1002" s="238" t="s">
        <v>2333</v>
      </c>
      <c r="E1002" s="239" t="s">
        <v>105</v>
      </c>
      <c r="F1002" s="245" t="s">
        <v>15</v>
      </c>
      <c r="G1002" s="245"/>
      <c r="H1002" s="239" t="s">
        <v>751</v>
      </c>
      <c r="I1002" s="246">
        <v>4036.7</v>
      </c>
      <c r="J1002" s="246"/>
      <c r="K1002" s="242" t="s">
        <v>8</v>
      </c>
      <c r="L1002" s="243">
        <v>6238374.2400000002</v>
      </c>
    </row>
    <row r="1003" spans="1:12" ht="61.2" x14ac:dyDescent="0.3">
      <c r="A1003" s="237" t="s">
        <v>644</v>
      </c>
      <c r="B1003" s="238" t="s">
        <v>2153</v>
      </c>
      <c r="C1003" s="238" t="s">
        <v>806</v>
      </c>
      <c r="D1003" s="238" t="s">
        <v>2334</v>
      </c>
      <c r="E1003" s="239" t="s">
        <v>105</v>
      </c>
      <c r="F1003" s="245" t="s">
        <v>15</v>
      </c>
      <c r="G1003" s="245"/>
      <c r="H1003" s="239" t="s">
        <v>751</v>
      </c>
      <c r="I1003" s="246">
        <v>2828.9</v>
      </c>
      <c r="J1003" s="246"/>
      <c r="K1003" s="242" t="s">
        <v>8</v>
      </c>
      <c r="L1003" s="243">
        <v>6235545.3399999999</v>
      </c>
    </row>
    <row r="1004" spans="1:12" ht="61.2" x14ac:dyDescent="0.3">
      <c r="A1004" s="237" t="s">
        <v>644</v>
      </c>
      <c r="B1004" s="238" t="s">
        <v>2153</v>
      </c>
      <c r="C1004" s="238" t="s">
        <v>806</v>
      </c>
      <c r="D1004" s="238" t="s">
        <v>2335</v>
      </c>
      <c r="E1004" s="239" t="s">
        <v>105</v>
      </c>
      <c r="F1004" s="245" t="s">
        <v>15</v>
      </c>
      <c r="G1004" s="245"/>
      <c r="H1004" s="239" t="s">
        <v>751</v>
      </c>
      <c r="I1004" s="246">
        <v>3682.9</v>
      </c>
      <c r="J1004" s="246"/>
      <c r="K1004" s="242" t="s">
        <v>8</v>
      </c>
      <c r="L1004" s="243">
        <v>6231862.4400000004</v>
      </c>
    </row>
    <row r="1005" spans="1:12" ht="61.2" x14ac:dyDescent="0.3">
      <c r="A1005" s="237" t="s">
        <v>644</v>
      </c>
      <c r="B1005" s="238" t="s">
        <v>2153</v>
      </c>
      <c r="C1005" s="238" t="s">
        <v>806</v>
      </c>
      <c r="D1005" s="238" t="s">
        <v>2336</v>
      </c>
      <c r="E1005" s="239" t="s">
        <v>105</v>
      </c>
      <c r="F1005" s="245" t="s">
        <v>15</v>
      </c>
      <c r="G1005" s="245"/>
      <c r="H1005" s="239" t="s">
        <v>751</v>
      </c>
      <c r="I1005" s="246">
        <v>1290.9000000000001</v>
      </c>
      <c r="J1005" s="246"/>
      <c r="K1005" s="242" t="s">
        <v>8</v>
      </c>
      <c r="L1005" s="243">
        <v>6230571.54</v>
      </c>
    </row>
    <row r="1006" spans="1:12" ht="61.2" x14ac:dyDescent="0.3">
      <c r="A1006" s="237" t="s">
        <v>644</v>
      </c>
      <c r="B1006" s="238" t="s">
        <v>2153</v>
      </c>
      <c r="C1006" s="238" t="s">
        <v>806</v>
      </c>
      <c r="D1006" s="238" t="s">
        <v>2337</v>
      </c>
      <c r="E1006" s="239" t="s">
        <v>105</v>
      </c>
      <c r="F1006" s="245" t="s">
        <v>15</v>
      </c>
      <c r="G1006" s="245"/>
      <c r="H1006" s="239" t="s">
        <v>751</v>
      </c>
      <c r="I1006" s="246">
        <v>2234.1</v>
      </c>
      <c r="J1006" s="246"/>
      <c r="K1006" s="242" t="s">
        <v>8</v>
      </c>
      <c r="L1006" s="243">
        <v>6228337.4400000004</v>
      </c>
    </row>
    <row r="1007" spans="1:12" ht="61.2" x14ac:dyDescent="0.3">
      <c r="A1007" s="237" t="s">
        <v>644</v>
      </c>
      <c r="B1007" s="238" t="s">
        <v>2153</v>
      </c>
      <c r="C1007" s="238" t="s">
        <v>806</v>
      </c>
      <c r="D1007" s="238" t="s">
        <v>2338</v>
      </c>
      <c r="E1007" s="239" t="s">
        <v>105</v>
      </c>
      <c r="F1007" s="245" t="s">
        <v>15</v>
      </c>
      <c r="G1007" s="245"/>
      <c r="H1007" s="239" t="s">
        <v>751</v>
      </c>
      <c r="I1007" s="246">
        <v>1826.2</v>
      </c>
      <c r="J1007" s="246"/>
      <c r="K1007" s="242" t="s">
        <v>8</v>
      </c>
      <c r="L1007" s="243">
        <v>6226511.2400000002</v>
      </c>
    </row>
    <row r="1008" spans="1:12" ht="61.2" x14ac:dyDescent="0.3">
      <c r="A1008" s="237" t="s">
        <v>644</v>
      </c>
      <c r="B1008" s="238" t="s">
        <v>2153</v>
      </c>
      <c r="C1008" s="238" t="s">
        <v>806</v>
      </c>
      <c r="D1008" s="238" t="s">
        <v>2339</v>
      </c>
      <c r="E1008" s="239" t="s">
        <v>105</v>
      </c>
      <c r="F1008" s="245" t="s">
        <v>15</v>
      </c>
      <c r="G1008" s="245"/>
      <c r="H1008" s="239" t="s">
        <v>751</v>
      </c>
      <c r="I1008" s="246">
        <v>1195.5999999999999</v>
      </c>
      <c r="J1008" s="246"/>
      <c r="K1008" s="242" t="s">
        <v>8</v>
      </c>
      <c r="L1008" s="243">
        <v>6225315.6399999997</v>
      </c>
    </row>
    <row r="1009" spans="1:12" ht="61.2" x14ac:dyDescent="0.3">
      <c r="A1009" s="237" t="s">
        <v>644</v>
      </c>
      <c r="B1009" s="238" t="s">
        <v>2153</v>
      </c>
      <c r="C1009" s="238" t="s">
        <v>806</v>
      </c>
      <c r="D1009" s="238" t="s">
        <v>2340</v>
      </c>
      <c r="E1009" s="239" t="s">
        <v>105</v>
      </c>
      <c r="F1009" s="245" t="s">
        <v>15</v>
      </c>
      <c r="G1009" s="245"/>
      <c r="H1009" s="239" t="s">
        <v>751</v>
      </c>
      <c r="I1009" s="246">
        <v>3422.2</v>
      </c>
      <c r="J1009" s="246"/>
      <c r="K1009" s="242" t="s">
        <v>8</v>
      </c>
      <c r="L1009" s="243">
        <v>6221893.4400000004</v>
      </c>
    </row>
    <row r="1010" spans="1:12" ht="61.2" x14ac:dyDescent="0.3">
      <c r="A1010" s="237" t="s">
        <v>644</v>
      </c>
      <c r="B1010" s="238" t="s">
        <v>2153</v>
      </c>
      <c r="C1010" s="238" t="s">
        <v>806</v>
      </c>
      <c r="D1010" s="238" t="s">
        <v>2341</v>
      </c>
      <c r="E1010" s="239" t="s">
        <v>105</v>
      </c>
      <c r="F1010" s="245" t="s">
        <v>15</v>
      </c>
      <c r="G1010" s="245"/>
      <c r="H1010" s="239" t="s">
        <v>751</v>
      </c>
      <c r="I1010" s="246">
        <v>2481.1999999999998</v>
      </c>
      <c r="J1010" s="246"/>
      <c r="K1010" s="242" t="s">
        <v>8</v>
      </c>
      <c r="L1010" s="243">
        <v>6219412.2400000002</v>
      </c>
    </row>
    <row r="1011" spans="1:12" ht="61.2" x14ac:dyDescent="0.3">
      <c r="A1011" s="237" t="s">
        <v>644</v>
      </c>
      <c r="B1011" s="238" t="s">
        <v>2153</v>
      </c>
      <c r="C1011" s="238" t="s">
        <v>806</v>
      </c>
      <c r="D1011" s="238" t="s">
        <v>2342</v>
      </c>
      <c r="E1011" s="239" t="s">
        <v>105</v>
      </c>
      <c r="F1011" s="245" t="s">
        <v>15</v>
      </c>
      <c r="G1011" s="245"/>
      <c r="H1011" s="239" t="s">
        <v>751</v>
      </c>
      <c r="I1011" s="246">
        <v>2590.1999999999998</v>
      </c>
      <c r="J1011" s="246"/>
      <c r="K1011" s="242" t="s">
        <v>8</v>
      </c>
      <c r="L1011" s="243">
        <v>6216822.04</v>
      </c>
    </row>
    <row r="1012" spans="1:12" ht="61.2" x14ac:dyDescent="0.3">
      <c r="A1012" s="237" t="s">
        <v>644</v>
      </c>
      <c r="B1012" s="238" t="s">
        <v>2153</v>
      </c>
      <c r="C1012" s="238" t="s">
        <v>806</v>
      </c>
      <c r="D1012" s="238" t="s">
        <v>2343</v>
      </c>
      <c r="E1012" s="239" t="s">
        <v>105</v>
      </c>
      <c r="F1012" s="245" t="s">
        <v>15</v>
      </c>
      <c r="G1012" s="245"/>
      <c r="H1012" s="239" t="s">
        <v>751</v>
      </c>
      <c r="I1012" s="246">
        <v>2576.1</v>
      </c>
      <c r="J1012" s="246"/>
      <c r="K1012" s="242" t="s">
        <v>8</v>
      </c>
      <c r="L1012" s="243">
        <v>6214245.9400000004</v>
      </c>
    </row>
    <row r="1013" spans="1:12" ht="61.2" x14ac:dyDescent="0.3">
      <c r="A1013" s="237" t="s">
        <v>644</v>
      </c>
      <c r="B1013" s="238" t="s">
        <v>2153</v>
      </c>
      <c r="C1013" s="238" t="s">
        <v>806</v>
      </c>
      <c r="D1013" s="238" t="s">
        <v>2344</v>
      </c>
      <c r="E1013" s="239" t="s">
        <v>105</v>
      </c>
      <c r="F1013" s="245" t="s">
        <v>15</v>
      </c>
      <c r="G1013" s="245"/>
      <c r="H1013" s="239" t="s">
        <v>751</v>
      </c>
      <c r="I1013" s="246">
        <v>2806.6</v>
      </c>
      <c r="J1013" s="246"/>
      <c r="K1013" s="242" t="s">
        <v>8</v>
      </c>
      <c r="L1013" s="243">
        <v>6211439.3399999999</v>
      </c>
    </row>
    <row r="1014" spans="1:12" ht="61.2" x14ac:dyDescent="0.3">
      <c r="A1014" s="237" t="s">
        <v>644</v>
      </c>
      <c r="B1014" s="238" t="s">
        <v>2153</v>
      </c>
      <c r="C1014" s="238" t="s">
        <v>806</v>
      </c>
      <c r="D1014" s="238" t="s">
        <v>2345</v>
      </c>
      <c r="E1014" s="239" t="s">
        <v>105</v>
      </c>
      <c r="F1014" s="245" t="s">
        <v>15</v>
      </c>
      <c r="G1014" s="245"/>
      <c r="H1014" s="239" t="s">
        <v>751</v>
      </c>
      <c r="I1014" s="246">
        <v>2988.2</v>
      </c>
      <c r="J1014" s="246"/>
      <c r="K1014" s="242" t="s">
        <v>8</v>
      </c>
      <c r="L1014" s="243">
        <v>6208451.1399999997</v>
      </c>
    </row>
    <row r="1015" spans="1:12" ht="61.2" x14ac:dyDescent="0.3">
      <c r="A1015" s="237" t="s">
        <v>644</v>
      </c>
      <c r="B1015" s="238" t="s">
        <v>2153</v>
      </c>
      <c r="C1015" s="238" t="s">
        <v>806</v>
      </c>
      <c r="D1015" s="238" t="s">
        <v>2346</v>
      </c>
      <c r="E1015" s="239" t="s">
        <v>105</v>
      </c>
      <c r="F1015" s="245" t="s">
        <v>15</v>
      </c>
      <c r="G1015" s="245"/>
      <c r="H1015" s="239" t="s">
        <v>751</v>
      </c>
      <c r="I1015" s="246">
        <v>6662</v>
      </c>
      <c r="J1015" s="246"/>
      <c r="K1015" s="242" t="s">
        <v>8</v>
      </c>
      <c r="L1015" s="243">
        <v>6201789.1399999997</v>
      </c>
    </row>
    <row r="1016" spans="1:12" ht="61.2" x14ac:dyDescent="0.3">
      <c r="A1016" s="237" t="s">
        <v>644</v>
      </c>
      <c r="B1016" s="238" t="s">
        <v>2153</v>
      </c>
      <c r="C1016" s="238" t="s">
        <v>806</v>
      </c>
      <c r="D1016" s="238" t="s">
        <v>2347</v>
      </c>
      <c r="E1016" s="239" t="s">
        <v>105</v>
      </c>
      <c r="F1016" s="245" t="s">
        <v>15</v>
      </c>
      <c r="G1016" s="245"/>
      <c r="H1016" s="239" t="s">
        <v>751</v>
      </c>
      <c r="I1016" s="246">
        <v>3367.2</v>
      </c>
      <c r="J1016" s="246"/>
      <c r="K1016" s="242" t="s">
        <v>8</v>
      </c>
      <c r="L1016" s="243">
        <v>6198421.9400000004</v>
      </c>
    </row>
    <row r="1017" spans="1:12" ht="61.2" x14ac:dyDescent="0.3">
      <c r="A1017" s="237" t="s">
        <v>644</v>
      </c>
      <c r="B1017" s="238" t="s">
        <v>2153</v>
      </c>
      <c r="C1017" s="238" t="s">
        <v>806</v>
      </c>
      <c r="D1017" s="238" t="s">
        <v>2348</v>
      </c>
      <c r="E1017" s="239" t="s">
        <v>105</v>
      </c>
      <c r="F1017" s="245" t="s">
        <v>15</v>
      </c>
      <c r="G1017" s="245"/>
      <c r="H1017" s="239" t="s">
        <v>751</v>
      </c>
      <c r="I1017" s="246">
        <v>2209</v>
      </c>
      <c r="J1017" s="246"/>
      <c r="K1017" s="242" t="s">
        <v>8</v>
      </c>
      <c r="L1017" s="243">
        <v>6196212.9400000004</v>
      </c>
    </row>
    <row r="1018" spans="1:12" ht="61.2" x14ac:dyDescent="0.3">
      <c r="A1018" s="237" t="s">
        <v>644</v>
      </c>
      <c r="B1018" s="238" t="s">
        <v>2153</v>
      </c>
      <c r="C1018" s="238" t="s">
        <v>806</v>
      </c>
      <c r="D1018" s="238" t="s">
        <v>2349</v>
      </c>
      <c r="E1018" s="239" t="s">
        <v>105</v>
      </c>
      <c r="F1018" s="245" t="s">
        <v>15</v>
      </c>
      <c r="G1018" s="245"/>
      <c r="H1018" s="239" t="s">
        <v>751</v>
      </c>
      <c r="I1018" s="246">
        <v>4477.3999999999996</v>
      </c>
      <c r="J1018" s="246"/>
      <c r="K1018" s="242" t="s">
        <v>8</v>
      </c>
      <c r="L1018" s="243">
        <v>6191735.54</v>
      </c>
    </row>
    <row r="1019" spans="1:12" ht="61.2" x14ac:dyDescent="0.3">
      <c r="A1019" s="237" t="s">
        <v>644</v>
      </c>
      <c r="B1019" s="238" t="s">
        <v>2153</v>
      </c>
      <c r="C1019" s="238" t="s">
        <v>806</v>
      </c>
      <c r="D1019" s="238" t="s">
        <v>2350</v>
      </c>
      <c r="E1019" s="239" t="s">
        <v>105</v>
      </c>
      <c r="F1019" s="245" t="s">
        <v>15</v>
      </c>
      <c r="G1019" s="245"/>
      <c r="H1019" s="239" t="s">
        <v>751</v>
      </c>
      <c r="I1019" s="246">
        <v>3132.4</v>
      </c>
      <c r="J1019" s="246"/>
      <c r="K1019" s="242" t="s">
        <v>8</v>
      </c>
      <c r="L1019" s="243">
        <v>6188603.1399999997</v>
      </c>
    </row>
    <row r="1020" spans="1:12" ht="61.2" x14ac:dyDescent="0.3">
      <c r="A1020" s="237" t="s">
        <v>644</v>
      </c>
      <c r="B1020" s="238" t="s">
        <v>2153</v>
      </c>
      <c r="C1020" s="238" t="s">
        <v>806</v>
      </c>
      <c r="D1020" s="238" t="s">
        <v>2351</v>
      </c>
      <c r="E1020" s="239" t="s">
        <v>105</v>
      </c>
      <c r="F1020" s="245" t="s">
        <v>15</v>
      </c>
      <c r="G1020" s="245"/>
      <c r="H1020" s="239" t="s">
        <v>751</v>
      </c>
      <c r="I1020" s="246">
        <v>10324</v>
      </c>
      <c r="J1020" s="246"/>
      <c r="K1020" s="242" t="s">
        <v>8</v>
      </c>
      <c r="L1020" s="243">
        <v>6178279.1399999997</v>
      </c>
    </row>
    <row r="1021" spans="1:12" ht="61.2" x14ac:dyDescent="0.3">
      <c r="A1021" s="237" t="s">
        <v>644</v>
      </c>
      <c r="B1021" s="238" t="s">
        <v>2153</v>
      </c>
      <c r="C1021" s="238" t="s">
        <v>806</v>
      </c>
      <c r="D1021" s="238" t="s">
        <v>2352</v>
      </c>
      <c r="E1021" s="239" t="s">
        <v>105</v>
      </c>
      <c r="F1021" s="245" t="s">
        <v>15</v>
      </c>
      <c r="G1021" s="245"/>
      <c r="H1021" s="239" t="s">
        <v>751</v>
      </c>
      <c r="I1021" s="246">
        <v>3106.4</v>
      </c>
      <c r="J1021" s="246"/>
      <c r="K1021" s="242" t="s">
        <v>8</v>
      </c>
      <c r="L1021" s="243">
        <v>6175172.7400000002</v>
      </c>
    </row>
    <row r="1022" spans="1:12" ht="61.2" x14ac:dyDescent="0.3">
      <c r="A1022" s="237" t="s">
        <v>644</v>
      </c>
      <c r="B1022" s="238" t="s">
        <v>2153</v>
      </c>
      <c r="C1022" s="238" t="s">
        <v>806</v>
      </c>
      <c r="D1022" s="238" t="s">
        <v>2353</v>
      </c>
      <c r="E1022" s="239" t="s">
        <v>105</v>
      </c>
      <c r="F1022" s="245" t="s">
        <v>15</v>
      </c>
      <c r="G1022" s="245"/>
      <c r="H1022" s="239" t="s">
        <v>751</v>
      </c>
      <c r="I1022" s="246">
        <v>7519.6</v>
      </c>
      <c r="J1022" s="246"/>
      <c r="K1022" s="242" t="s">
        <v>8</v>
      </c>
      <c r="L1022" s="243">
        <v>6167653.1399999997</v>
      </c>
    </row>
    <row r="1023" spans="1:12" ht="61.2" x14ac:dyDescent="0.3">
      <c r="A1023" s="237" t="s">
        <v>644</v>
      </c>
      <c r="B1023" s="238" t="s">
        <v>2153</v>
      </c>
      <c r="C1023" s="238" t="s">
        <v>806</v>
      </c>
      <c r="D1023" s="238" t="s">
        <v>2354</v>
      </c>
      <c r="E1023" s="239" t="s">
        <v>105</v>
      </c>
      <c r="F1023" s="245" t="s">
        <v>15</v>
      </c>
      <c r="G1023" s="245"/>
      <c r="H1023" s="239" t="s">
        <v>751</v>
      </c>
      <c r="I1023" s="246">
        <v>23076.6</v>
      </c>
      <c r="J1023" s="246"/>
      <c r="K1023" s="242" t="s">
        <v>8</v>
      </c>
      <c r="L1023" s="243">
        <v>6144576.54</v>
      </c>
    </row>
    <row r="1024" spans="1:12" ht="61.2" x14ac:dyDescent="0.3">
      <c r="A1024" s="237" t="s">
        <v>644</v>
      </c>
      <c r="B1024" s="238" t="s">
        <v>2153</v>
      </c>
      <c r="C1024" s="238" t="s">
        <v>806</v>
      </c>
      <c r="D1024" s="238" t="s">
        <v>2355</v>
      </c>
      <c r="E1024" s="239" t="s">
        <v>105</v>
      </c>
      <c r="F1024" s="245" t="s">
        <v>15</v>
      </c>
      <c r="G1024" s="245"/>
      <c r="H1024" s="239" t="s">
        <v>751</v>
      </c>
      <c r="I1024" s="246">
        <v>3850.6</v>
      </c>
      <c r="J1024" s="246"/>
      <c r="K1024" s="242" t="s">
        <v>8</v>
      </c>
      <c r="L1024" s="243">
        <v>6140725.9400000004</v>
      </c>
    </row>
    <row r="1025" spans="1:12" ht="61.2" x14ac:dyDescent="0.3">
      <c r="A1025" s="237" t="s">
        <v>644</v>
      </c>
      <c r="B1025" s="238" t="s">
        <v>2153</v>
      </c>
      <c r="C1025" s="238" t="s">
        <v>806</v>
      </c>
      <c r="D1025" s="238" t="s">
        <v>2356</v>
      </c>
      <c r="E1025" s="239" t="s">
        <v>105</v>
      </c>
      <c r="F1025" s="245" t="s">
        <v>15</v>
      </c>
      <c r="G1025" s="245"/>
      <c r="H1025" s="239" t="s">
        <v>751</v>
      </c>
      <c r="I1025" s="246">
        <v>5592</v>
      </c>
      <c r="J1025" s="246"/>
      <c r="K1025" s="242" t="s">
        <v>8</v>
      </c>
      <c r="L1025" s="243">
        <v>6135133.9400000004</v>
      </c>
    </row>
    <row r="1026" spans="1:12" ht="61.2" x14ac:dyDescent="0.3">
      <c r="A1026" s="237" t="s">
        <v>644</v>
      </c>
      <c r="B1026" s="238" t="s">
        <v>2153</v>
      </c>
      <c r="C1026" s="238" t="s">
        <v>806</v>
      </c>
      <c r="D1026" s="238" t="s">
        <v>2357</v>
      </c>
      <c r="E1026" s="239" t="s">
        <v>105</v>
      </c>
      <c r="F1026" s="245" t="s">
        <v>15</v>
      </c>
      <c r="G1026" s="245"/>
      <c r="H1026" s="239" t="s">
        <v>751</v>
      </c>
      <c r="I1026" s="246">
        <v>5337.6</v>
      </c>
      <c r="J1026" s="246"/>
      <c r="K1026" s="242" t="s">
        <v>8</v>
      </c>
      <c r="L1026" s="243">
        <v>6129796.3399999999</v>
      </c>
    </row>
    <row r="1027" spans="1:12" ht="61.2" x14ac:dyDescent="0.3">
      <c r="A1027" s="237" t="s">
        <v>644</v>
      </c>
      <c r="B1027" s="238" t="s">
        <v>2153</v>
      </c>
      <c r="C1027" s="238" t="s">
        <v>806</v>
      </c>
      <c r="D1027" s="238" t="s">
        <v>2358</v>
      </c>
      <c r="E1027" s="239" t="s">
        <v>105</v>
      </c>
      <c r="F1027" s="245" t="s">
        <v>15</v>
      </c>
      <c r="G1027" s="245"/>
      <c r="H1027" s="239" t="s">
        <v>751</v>
      </c>
      <c r="I1027" s="246">
        <v>2815.9</v>
      </c>
      <c r="J1027" s="246"/>
      <c r="K1027" s="242" t="s">
        <v>8</v>
      </c>
      <c r="L1027" s="243">
        <v>6126980.4400000004</v>
      </c>
    </row>
    <row r="1028" spans="1:12" ht="61.2" x14ac:dyDescent="0.3">
      <c r="A1028" s="237" t="s">
        <v>644</v>
      </c>
      <c r="B1028" s="238" t="s">
        <v>2153</v>
      </c>
      <c r="C1028" s="238" t="s">
        <v>806</v>
      </c>
      <c r="D1028" s="238" t="s">
        <v>2359</v>
      </c>
      <c r="E1028" s="239" t="s">
        <v>105</v>
      </c>
      <c r="F1028" s="245" t="s">
        <v>15</v>
      </c>
      <c r="G1028" s="245"/>
      <c r="H1028" s="239" t="s">
        <v>751</v>
      </c>
      <c r="I1028" s="246">
        <v>10785</v>
      </c>
      <c r="J1028" s="246"/>
      <c r="K1028" s="242" t="s">
        <v>8</v>
      </c>
      <c r="L1028" s="243">
        <v>6116195.4400000004</v>
      </c>
    </row>
    <row r="1029" spans="1:12" ht="61.2" x14ac:dyDescent="0.3">
      <c r="A1029" s="237" t="s">
        <v>644</v>
      </c>
      <c r="B1029" s="238" t="s">
        <v>2153</v>
      </c>
      <c r="C1029" s="238" t="s">
        <v>806</v>
      </c>
      <c r="D1029" s="238" t="s">
        <v>2360</v>
      </c>
      <c r="E1029" s="239" t="s">
        <v>105</v>
      </c>
      <c r="F1029" s="245" t="s">
        <v>15</v>
      </c>
      <c r="G1029" s="245"/>
      <c r="H1029" s="239" t="s">
        <v>751</v>
      </c>
      <c r="I1029" s="246">
        <v>3849.9</v>
      </c>
      <c r="J1029" s="246"/>
      <c r="K1029" s="242" t="s">
        <v>8</v>
      </c>
      <c r="L1029" s="243">
        <v>6112345.54</v>
      </c>
    </row>
    <row r="1030" spans="1:12" ht="61.2" x14ac:dyDescent="0.3">
      <c r="A1030" s="237" t="s">
        <v>644</v>
      </c>
      <c r="B1030" s="238" t="s">
        <v>2153</v>
      </c>
      <c r="C1030" s="238" t="s">
        <v>806</v>
      </c>
      <c r="D1030" s="238" t="s">
        <v>2361</v>
      </c>
      <c r="E1030" s="239" t="s">
        <v>105</v>
      </c>
      <c r="F1030" s="245" t="s">
        <v>15</v>
      </c>
      <c r="G1030" s="245"/>
      <c r="H1030" s="239" t="s">
        <v>751</v>
      </c>
      <c r="I1030" s="246">
        <v>10557.6</v>
      </c>
      <c r="J1030" s="246"/>
      <c r="K1030" s="242" t="s">
        <v>8</v>
      </c>
      <c r="L1030" s="243">
        <v>6101787.9400000004</v>
      </c>
    </row>
    <row r="1031" spans="1:12" ht="61.2" x14ac:dyDescent="0.3">
      <c r="A1031" s="237" t="s">
        <v>644</v>
      </c>
      <c r="B1031" s="238" t="s">
        <v>2153</v>
      </c>
      <c r="C1031" s="238" t="s">
        <v>806</v>
      </c>
      <c r="D1031" s="238" t="s">
        <v>2362</v>
      </c>
      <c r="E1031" s="239" t="s">
        <v>105</v>
      </c>
      <c r="F1031" s="245" t="s">
        <v>15</v>
      </c>
      <c r="G1031" s="245"/>
      <c r="H1031" s="239" t="s">
        <v>751</v>
      </c>
      <c r="I1031" s="246">
        <v>3324.5</v>
      </c>
      <c r="J1031" s="246"/>
      <c r="K1031" s="242" t="s">
        <v>8</v>
      </c>
      <c r="L1031" s="243">
        <v>6098463.4400000004</v>
      </c>
    </row>
    <row r="1032" spans="1:12" ht="61.2" x14ac:dyDescent="0.3">
      <c r="A1032" s="237" t="s">
        <v>644</v>
      </c>
      <c r="B1032" s="238" t="s">
        <v>2153</v>
      </c>
      <c r="C1032" s="238" t="s">
        <v>806</v>
      </c>
      <c r="D1032" s="238" t="s">
        <v>2363</v>
      </c>
      <c r="E1032" s="239" t="s">
        <v>105</v>
      </c>
      <c r="F1032" s="245" t="s">
        <v>15</v>
      </c>
      <c r="G1032" s="245"/>
      <c r="H1032" s="239" t="s">
        <v>751</v>
      </c>
      <c r="I1032" s="246">
        <v>20862</v>
      </c>
      <c r="J1032" s="246"/>
      <c r="K1032" s="242" t="s">
        <v>8</v>
      </c>
      <c r="L1032" s="243">
        <v>6077601.4400000004</v>
      </c>
    </row>
    <row r="1033" spans="1:12" ht="61.2" x14ac:dyDescent="0.3">
      <c r="A1033" s="237" t="s">
        <v>644</v>
      </c>
      <c r="B1033" s="238" t="s">
        <v>2153</v>
      </c>
      <c r="C1033" s="238" t="s">
        <v>806</v>
      </c>
      <c r="D1033" s="238" t="s">
        <v>2364</v>
      </c>
      <c r="E1033" s="239" t="s">
        <v>105</v>
      </c>
      <c r="F1033" s="245" t="s">
        <v>15</v>
      </c>
      <c r="G1033" s="245"/>
      <c r="H1033" s="239" t="s">
        <v>751</v>
      </c>
      <c r="I1033" s="246">
        <v>4639.5</v>
      </c>
      <c r="J1033" s="246"/>
      <c r="K1033" s="242" t="s">
        <v>8</v>
      </c>
      <c r="L1033" s="243">
        <v>6072961.9400000004</v>
      </c>
    </row>
    <row r="1034" spans="1:12" ht="61.2" x14ac:dyDescent="0.3">
      <c r="A1034" s="237" t="s">
        <v>644</v>
      </c>
      <c r="B1034" s="238" t="s">
        <v>2153</v>
      </c>
      <c r="C1034" s="238" t="s">
        <v>806</v>
      </c>
      <c r="D1034" s="238" t="s">
        <v>2365</v>
      </c>
      <c r="E1034" s="239" t="s">
        <v>105</v>
      </c>
      <c r="F1034" s="245" t="s">
        <v>15</v>
      </c>
      <c r="G1034" s="245"/>
      <c r="H1034" s="239" t="s">
        <v>751</v>
      </c>
      <c r="I1034" s="246">
        <v>95565.4</v>
      </c>
      <c r="J1034" s="246"/>
      <c r="K1034" s="242" t="s">
        <v>8</v>
      </c>
      <c r="L1034" s="243">
        <v>5977396.54</v>
      </c>
    </row>
    <row r="1035" spans="1:12" ht="61.2" x14ac:dyDescent="0.3">
      <c r="A1035" s="237" t="s">
        <v>644</v>
      </c>
      <c r="B1035" s="238" t="s">
        <v>2153</v>
      </c>
      <c r="C1035" s="238" t="s">
        <v>806</v>
      </c>
      <c r="D1035" s="238" t="s">
        <v>2366</v>
      </c>
      <c r="E1035" s="239" t="s">
        <v>105</v>
      </c>
      <c r="F1035" s="245" t="s">
        <v>15</v>
      </c>
      <c r="G1035" s="245"/>
      <c r="H1035" s="239" t="s">
        <v>751</v>
      </c>
      <c r="I1035" s="246">
        <v>4365</v>
      </c>
      <c r="J1035" s="246"/>
      <c r="K1035" s="242" t="s">
        <v>8</v>
      </c>
      <c r="L1035" s="243">
        <v>5973031.54</v>
      </c>
    </row>
    <row r="1036" spans="1:12" ht="61.2" x14ac:dyDescent="0.3">
      <c r="A1036" s="237" t="s">
        <v>644</v>
      </c>
      <c r="B1036" s="238" t="s">
        <v>2153</v>
      </c>
      <c r="C1036" s="238" t="s">
        <v>806</v>
      </c>
      <c r="D1036" s="238" t="s">
        <v>2367</v>
      </c>
      <c r="E1036" s="239" t="s">
        <v>105</v>
      </c>
      <c r="F1036" s="245" t="s">
        <v>15</v>
      </c>
      <c r="G1036" s="245"/>
      <c r="H1036" s="239" t="s">
        <v>751</v>
      </c>
      <c r="I1036" s="246">
        <v>2869.5</v>
      </c>
      <c r="J1036" s="246"/>
      <c r="K1036" s="242" t="s">
        <v>8</v>
      </c>
      <c r="L1036" s="243">
        <v>5970162.04</v>
      </c>
    </row>
    <row r="1037" spans="1:12" ht="61.2" x14ac:dyDescent="0.3">
      <c r="A1037" s="237" t="s">
        <v>644</v>
      </c>
      <c r="B1037" s="238" t="s">
        <v>2153</v>
      </c>
      <c r="C1037" s="238" t="s">
        <v>806</v>
      </c>
      <c r="D1037" s="238" t="s">
        <v>2368</v>
      </c>
      <c r="E1037" s="239" t="s">
        <v>105</v>
      </c>
      <c r="F1037" s="245" t="s">
        <v>15</v>
      </c>
      <c r="G1037" s="245"/>
      <c r="H1037" s="239" t="s">
        <v>751</v>
      </c>
      <c r="I1037" s="246">
        <v>4088.9</v>
      </c>
      <c r="J1037" s="246"/>
      <c r="K1037" s="242" t="s">
        <v>8</v>
      </c>
      <c r="L1037" s="243">
        <v>5966073.1399999997</v>
      </c>
    </row>
    <row r="1038" spans="1:12" ht="61.2" x14ac:dyDescent="0.3">
      <c r="A1038" s="237" t="s">
        <v>644</v>
      </c>
      <c r="B1038" s="238" t="s">
        <v>2153</v>
      </c>
      <c r="C1038" s="238" t="s">
        <v>806</v>
      </c>
      <c r="D1038" s="238" t="s">
        <v>2369</v>
      </c>
      <c r="E1038" s="239" t="s">
        <v>105</v>
      </c>
      <c r="F1038" s="245" t="s">
        <v>15</v>
      </c>
      <c r="G1038" s="245"/>
      <c r="H1038" s="239" t="s">
        <v>751</v>
      </c>
      <c r="I1038" s="246">
        <v>4110.6000000000004</v>
      </c>
      <c r="J1038" s="246"/>
      <c r="K1038" s="242" t="s">
        <v>8</v>
      </c>
      <c r="L1038" s="243">
        <v>5961962.54</v>
      </c>
    </row>
    <row r="1039" spans="1:12" ht="61.2" x14ac:dyDescent="0.3">
      <c r="A1039" s="237" t="s">
        <v>644</v>
      </c>
      <c r="B1039" s="238" t="s">
        <v>2153</v>
      </c>
      <c r="C1039" s="238" t="s">
        <v>806</v>
      </c>
      <c r="D1039" s="238" t="s">
        <v>2370</v>
      </c>
      <c r="E1039" s="239" t="s">
        <v>105</v>
      </c>
      <c r="F1039" s="245" t="s">
        <v>15</v>
      </c>
      <c r="G1039" s="245"/>
      <c r="H1039" s="239" t="s">
        <v>751</v>
      </c>
      <c r="I1039" s="246">
        <v>4572.8</v>
      </c>
      <c r="J1039" s="246"/>
      <c r="K1039" s="242" t="s">
        <v>8</v>
      </c>
      <c r="L1039" s="243">
        <v>5957389.7400000002</v>
      </c>
    </row>
    <row r="1040" spans="1:12" ht="61.2" x14ac:dyDescent="0.3">
      <c r="A1040" s="237" t="s">
        <v>644</v>
      </c>
      <c r="B1040" s="238" t="s">
        <v>2153</v>
      </c>
      <c r="C1040" s="238" t="s">
        <v>806</v>
      </c>
      <c r="D1040" s="238" t="s">
        <v>2371</v>
      </c>
      <c r="E1040" s="239" t="s">
        <v>105</v>
      </c>
      <c r="F1040" s="245" t="s">
        <v>15</v>
      </c>
      <c r="G1040" s="245"/>
      <c r="H1040" s="239" t="s">
        <v>751</v>
      </c>
      <c r="I1040" s="246">
        <v>6313.1</v>
      </c>
      <c r="J1040" s="246"/>
      <c r="K1040" s="242" t="s">
        <v>8</v>
      </c>
      <c r="L1040" s="243">
        <v>5951076.6399999997</v>
      </c>
    </row>
    <row r="1041" spans="1:12" ht="61.2" x14ac:dyDescent="0.3">
      <c r="A1041" s="237" t="s">
        <v>644</v>
      </c>
      <c r="B1041" s="238" t="s">
        <v>2153</v>
      </c>
      <c r="C1041" s="238" t="s">
        <v>806</v>
      </c>
      <c r="D1041" s="238" t="s">
        <v>2372</v>
      </c>
      <c r="E1041" s="239" t="s">
        <v>105</v>
      </c>
      <c r="F1041" s="245" t="s">
        <v>15</v>
      </c>
      <c r="G1041" s="245"/>
      <c r="H1041" s="239" t="s">
        <v>751</v>
      </c>
      <c r="I1041" s="246">
        <v>4572.8</v>
      </c>
      <c r="J1041" s="246"/>
      <c r="K1041" s="242" t="s">
        <v>8</v>
      </c>
      <c r="L1041" s="243">
        <v>5946503.8399999999</v>
      </c>
    </row>
    <row r="1042" spans="1:12" ht="61.2" x14ac:dyDescent="0.3">
      <c r="A1042" s="237" t="s">
        <v>644</v>
      </c>
      <c r="B1042" s="238" t="s">
        <v>2153</v>
      </c>
      <c r="C1042" s="238" t="s">
        <v>806</v>
      </c>
      <c r="D1042" s="238" t="s">
        <v>2373</v>
      </c>
      <c r="E1042" s="239" t="s">
        <v>105</v>
      </c>
      <c r="F1042" s="245" t="s">
        <v>15</v>
      </c>
      <c r="G1042" s="245"/>
      <c r="H1042" s="239" t="s">
        <v>751</v>
      </c>
      <c r="I1042" s="246">
        <v>15748.6</v>
      </c>
      <c r="J1042" s="246"/>
      <c r="K1042" s="242" t="s">
        <v>8</v>
      </c>
      <c r="L1042" s="243">
        <v>5930755.2400000002</v>
      </c>
    </row>
    <row r="1043" spans="1:12" ht="61.2" x14ac:dyDescent="0.3">
      <c r="A1043" s="237" t="s">
        <v>644</v>
      </c>
      <c r="B1043" s="238" t="s">
        <v>2153</v>
      </c>
      <c r="C1043" s="238" t="s">
        <v>806</v>
      </c>
      <c r="D1043" s="238" t="s">
        <v>2374</v>
      </c>
      <c r="E1043" s="239" t="s">
        <v>105</v>
      </c>
      <c r="F1043" s="245" t="s">
        <v>15</v>
      </c>
      <c r="G1043" s="245"/>
      <c r="H1043" s="239" t="s">
        <v>751</v>
      </c>
      <c r="I1043" s="246">
        <v>3348.9</v>
      </c>
      <c r="J1043" s="246"/>
      <c r="K1043" s="242" t="s">
        <v>8</v>
      </c>
      <c r="L1043" s="243">
        <v>5927406.3399999999</v>
      </c>
    </row>
    <row r="1044" spans="1:12" ht="61.2" x14ac:dyDescent="0.3">
      <c r="A1044" s="237" t="s">
        <v>644</v>
      </c>
      <c r="B1044" s="238" t="s">
        <v>2153</v>
      </c>
      <c r="C1044" s="238" t="s">
        <v>806</v>
      </c>
      <c r="D1044" s="238" t="s">
        <v>2375</v>
      </c>
      <c r="E1044" s="239" t="s">
        <v>105</v>
      </c>
      <c r="F1044" s="245" t="s">
        <v>15</v>
      </c>
      <c r="G1044" s="245"/>
      <c r="H1044" s="239" t="s">
        <v>751</v>
      </c>
      <c r="I1044" s="246">
        <v>7823</v>
      </c>
      <c r="J1044" s="246"/>
      <c r="K1044" s="242" t="s">
        <v>8</v>
      </c>
      <c r="L1044" s="243">
        <v>5919583.3399999999</v>
      </c>
    </row>
    <row r="1045" spans="1:12" ht="61.2" x14ac:dyDescent="0.3">
      <c r="A1045" s="237" t="s">
        <v>644</v>
      </c>
      <c r="B1045" s="238" t="s">
        <v>2153</v>
      </c>
      <c r="C1045" s="238" t="s">
        <v>806</v>
      </c>
      <c r="D1045" s="238" t="s">
        <v>2376</v>
      </c>
      <c r="E1045" s="239" t="s">
        <v>105</v>
      </c>
      <c r="F1045" s="245" t="s">
        <v>15</v>
      </c>
      <c r="G1045" s="245"/>
      <c r="H1045" s="239" t="s">
        <v>751</v>
      </c>
      <c r="I1045" s="246">
        <v>16348</v>
      </c>
      <c r="J1045" s="246"/>
      <c r="K1045" s="242" t="s">
        <v>8</v>
      </c>
      <c r="L1045" s="243">
        <v>5903235.3399999999</v>
      </c>
    </row>
    <row r="1046" spans="1:12" ht="61.2" x14ac:dyDescent="0.3">
      <c r="A1046" s="237" t="s">
        <v>644</v>
      </c>
      <c r="B1046" s="238" t="s">
        <v>2153</v>
      </c>
      <c r="C1046" s="238" t="s">
        <v>806</v>
      </c>
      <c r="D1046" s="238" t="s">
        <v>2377</v>
      </c>
      <c r="E1046" s="239" t="s">
        <v>105</v>
      </c>
      <c r="F1046" s="245" t="s">
        <v>15</v>
      </c>
      <c r="G1046" s="245"/>
      <c r="H1046" s="239" t="s">
        <v>751</v>
      </c>
      <c r="I1046" s="246">
        <v>28211.1</v>
      </c>
      <c r="J1046" s="246"/>
      <c r="K1046" s="242" t="s">
        <v>8</v>
      </c>
      <c r="L1046" s="243">
        <v>5875024.2400000002</v>
      </c>
    </row>
    <row r="1047" spans="1:12" ht="61.2" x14ac:dyDescent="0.3">
      <c r="A1047" s="237" t="s">
        <v>644</v>
      </c>
      <c r="B1047" s="238" t="s">
        <v>2153</v>
      </c>
      <c r="C1047" s="238" t="s">
        <v>806</v>
      </c>
      <c r="D1047" s="238" t="s">
        <v>2378</v>
      </c>
      <c r="E1047" s="239" t="s">
        <v>105</v>
      </c>
      <c r="F1047" s="245" t="s">
        <v>15</v>
      </c>
      <c r="G1047" s="245"/>
      <c r="H1047" s="239" t="s">
        <v>751</v>
      </c>
      <c r="I1047" s="246">
        <v>8137</v>
      </c>
      <c r="J1047" s="246"/>
      <c r="K1047" s="242" t="s">
        <v>8</v>
      </c>
      <c r="L1047" s="243">
        <v>5866887.2400000002</v>
      </c>
    </row>
    <row r="1048" spans="1:12" ht="61.2" x14ac:dyDescent="0.3">
      <c r="A1048" s="237" t="s">
        <v>644</v>
      </c>
      <c r="B1048" s="238" t="s">
        <v>2153</v>
      </c>
      <c r="C1048" s="238" t="s">
        <v>806</v>
      </c>
      <c r="D1048" s="238" t="s">
        <v>2379</v>
      </c>
      <c r="E1048" s="239" t="s">
        <v>105</v>
      </c>
      <c r="F1048" s="245" t="s">
        <v>15</v>
      </c>
      <c r="G1048" s="245"/>
      <c r="H1048" s="239" t="s">
        <v>751</v>
      </c>
      <c r="I1048" s="246">
        <v>5532.8</v>
      </c>
      <c r="J1048" s="246"/>
      <c r="K1048" s="242" t="s">
        <v>8</v>
      </c>
      <c r="L1048" s="243">
        <v>5861354.4400000004</v>
      </c>
    </row>
    <row r="1049" spans="1:12" ht="61.2" x14ac:dyDescent="0.3">
      <c r="A1049" s="237" t="s">
        <v>644</v>
      </c>
      <c r="B1049" s="238" t="s">
        <v>2153</v>
      </c>
      <c r="C1049" s="238" t="s">
        <v>806</v>
      </c>
      <c r="D1049" s="238" t="s">
        <v>2380</v>
      </c>
      <c r="E1049" s="239" t="s">
        <v>105</v>
      </c>
      <c r="F1049" s="245" t="s">
        <v>15</v>
      </c>
      <c r="G1049" s="245"/>
      <c r="H1049" s="239" t="s">
        <v>751</v>
      </c>
      <c r="I1049" s="246">
        <v>2185.3000000000002</v>
      </c>
      <c r="J1049" s="246"/>
      <c r="K1049" s="242" t="s">
        <v>8</v>
      </c>
      <c r="L1049" s="243">
        <v>5859169.1399999997</v>
      </c>
    </row>
    <row r="1050" spans="1:12" ht="61.2" x14ac:dyDescent="0.3">
      <c r="A1050" s="237" t="s">
        <v>644</v>
      </c>
      <c r="B1050" s="238" t="s">
        <v>2153</v>
      </c>
      <c r="C1050" s="238" t="s">
        <v>806</v>
      </c>
      <c r="D1050" s="238" t="s">
        <v>2381</v>
      </c>
      <c r="E1050" s="239" t="s">
        <v>105</v>
      </c>
      <c r="F1050" s="245" t="s">
        <v>15</v>
      </c>
      <c r="G1050" s="245"/>
      <c r="H1050" s="239" t="s">
        <v>751</v>
      </c>
      <c r="I1050" s="246">
        <v>3511.3</v>
      </c>
      <c r="J1050" s="246"/>
      <c r="K1050" s="242" t="s">
        <v>8</v>
      </c>
      <c r="L1050" s="243">
        <v>5855657.8399999999</v>
      </c>
    </row>
    <row r="1051" spans="1:12" ht="61.2" x14ac:dyDescent="0.3">
      <c r="A1051" s="237" t="s">
        <v>644</v>
      </c>
      <c r="B1051" s="238" t="s">
        <v>2153</v>
      </c>
      <c r="C1051" s="238" t="s">
        <v>806</v>
      </c>
      <c r="D1051" s="238" t="s">
        <v>2382</v>
      </c>
      <c r="E1051" s="239" t="s">
        <v>105</v>
      </c>
      <c r="F1051" s="245" t="s">
        <v>15</v>
      </c>
      <c r="G1051" s="245"/>
      <c r="H1051" s="239" t="s">
        <v>751</v>
      </c>
      <c r="I1051" s="246">
        <v>2678.7</v>
      </c>
      <c r="J1051" s="246"/>
      <c r="K1051" s="242" t="s">
        <v>8</v>
      </c>
      <c r="L1051" s="243">
        <v>5852979.1399999997</v>
      </c>
    </row>
    <row r="1052" spans="1:12" ht="61.2" x14ac:dyDescent="0.3">
      <c r="A1052" s="237" t="s">
        <v>644</v>
      </c>
      <c r="B1052" s="238" t="s">
        <v>2153</v>
      </c>
      <c r="C1052" s="238" t="s">
        <v>806</v>
      </c>
      <c r="D1052" s="238" t="s">
        <v>2383</v>
      </c>
      <c r="E1052" s="239" t="s">
        <v>105</v>
      </c>
      <c r="F1052" s="245" t="s">
        <v>15</v>
      </c>
      <c r="G1052" s="245"/>
      <c r="H1052" s="239" t="s">
        <v>751</v>
      </c>
      <c r="I1052" s="246">
        <v>3632.6</v>
      </c>
      <c r="J1052" s="246"/>
      <c r="K1052" s="242" t="s">
        <v>8</v>
      </c>
      <c r="L1052" s="243">
        <v>5849346.54</v>
      </c>
    </row>
    <row r="1053" spans="1:12" ht="61.2" x14ac:dyDescent="0.3">
      <c r="A1053" s="237" t="s">
        <v>644</v>
      </c>
      <c r="B1053" s="238" t="s">
        <v>2153</v>
      </c>
      <c r="C1053" s="238" t="s">
        <v>806</v>
      </c>
      <c r="D1053" s="238" t="s">
        <v>2384</v>
      </c>
      <c r="E1053" s="239" t="s">
        <v>105</v>
      </c>
      <c r="F1053" s="245" t="s">
        <v>15</v>
      </c>
      <c r="G1053" s="245"/>
      <c r="H1053" s="239" t="s">
        <v>751</v>
      </c>
      <c r="I1053" s="246">
        <v>4657.3999999999996</v>
      </c>
      <c r="J1053" s="246"/>
      <c r="K1053" s="242" t="s">
        <v>8</v>
      </c>
      <c r="L1053" s="243">
        <v>5844689.1399999997</v>
      </c>
    </row>
    <row r="1054" spans="1:12" ht="61.2" x14ac:dyDescent="0.3">
      <c r="A1054" s="237" t="s">
        <v>644</v>
      </c>
      <c r="B1054" s="238" t="s">
        <v>2153</v>
      </c>
      <c r="C1054" s="238" t="s">
        <v>806</v>
      </c>
      <c r="D1054" s="238" t="s">
        <v>2385</v>
      </c>
      <c r="E1054" s="239" t="s">
        <v>105</v>
      </c>
      <c r="F1054" s="245" t="s">
        <v>15</v>
      </c>
      <c r="G1054" s="245"/>
      <c r="H1054" s="239" t="s">
        <v>751</v>
      </c>
      <c r="I1054" s="246">
        <v>1336.7</v>
      </c>
      <c r="J1054" s="246"/>
      <c r="K1054" s="242" t="s">
        <v>8</v>
      </c>
      <c r="L1054" s="243">
        <v>5843352.4400000004</v>
      </c>
    </row>
    <row r="1055" spans="1:12" ht="61.2" x14ac:dyDescent="0.3">
      <c r="A1055" s="237" t="s">
        <v>644</v>
      </c>
      <c r="B1055" s="238" t="s">
        <v>2153</v>
      </c>
      <c r="C1055" s="238" t="s">
        <v>806</v>
      </c>
      <c r="D1055" s="238" t="s">
        <v>2386</v>
      </c>
      <c r="E1055" s="239" t="s">
        <v>105</v>
      </c>
      <c r="F1055" s="245" t="s">
        <v>15</v>
      </c>
      <c r="G1055" s="245"/>
      <c r="H1055" s="239" t="s">
        <v>751</v>
      </c>
      <c r="I1055" s="246">
        <v>1849.1</v>
      </c>
      <c r="J1055" s="246"/>
      <c r="K1055" s="242" t="s">
        <v>8</v>
      </c>
      <c r="L1055" s="243">
        <v>5841503.3399999999</v>
      </c>
    </row>
    <row r="1056" spans="1:12" ht="61.2" x14ac:dyDescent="0.3">
      <c r="A1056" s="237" t="s">
        <v>644</v>
      </c>
      <c r="B1056" s="238" t="s">
        <v>2153</v>
      </c>
      <c r="C1056" s="238" t="s">
        <v>806</v>
      </c>
      <c r="D1056" s="238" t="s">
        <v>2387</v>
      </c>
      <c r="E1056" s="239" t="s">
        <v>105</v>
      </c>
      <c r="F1056" s="245" t="s">
        <v>15</v>
      </c>
      <c r="G1056" s="245"/>
      <c r="H1056" s="239" t="s">
        <v>751</v>
      </c>
      <c r="I1056" s="246">
        <v>4450</v>
      </c>
      <c r="J1056" s="246"/>
      <c r="K1056" s="242" t="s">
        <v>8</v>
      </c>
      <c r="L1056" s="243">
        <v>5837053.3399999999</v>
      </c>
    </row>
    <row r="1057" spans="1:12" ht="61.2" x14ac:dyDescent="0.3">
      <c r="A1057" s="237" t="s">
        <v>644</v>
      </c>
      <c r="B1057" s="238" t="s">
        <v>2153</v>
      </c>
      <c r="C1057" s="238" t="s">
        <v>806</v>
      </c>
      <c r="D1057" s="238" t="s">
        <v>2388</v>
      </c>
      <c r="E1057" s="239" t="s">
        <v>105</v>
      </c>
      <c r="F1057" s="245" t="s">
        <v>15</v>
      </c>
      <c r="G1057" s="245"/>
      <c r="H1057" s="239" t="s">
        <v>751</v>
      </c>
      <c r="I1057" s="246">
        <v>3440.4</v>
      </c>
      <c r="J1057" s="246"/>
      <c r="K1057" s="242" t="s">
        <v>8</v>
      </c>
      <c r="L1057" s="243">
        <v>5833612.9400000004</v>
      </c>
    </row>
    <row r="1058" spans="1:12" ht="61.2" x14ac:dyDescent="0.3">
      <c r="A1058" s="237" t="s">
        <v>644</v>
      </c>
      <c r="B1058" s="238" t="s">
        <v>2153</v>
      </c>
      <c r="C1058" s="238" t="s">
        <v>806</v>
      </c>
      <c r="D1058" s="238" t="s">
        <v>2389</v>
      </c>
      <c r="E1058" s="239" t="s">
        <v>105</v>
      </c>
      <c r="F1058" s="245" t="s">
        <v>15</v>
      </c>
      <c r="G1058" s="245"/>
      <c r="H1058" s="239" t="s">
        <v>751</v>
      </c>
      <c r="I1058" s="246">
        <v>3007.3</v>
      </c>
      <c r="J1058" s="246"/>
      <c r="K1058" s="242" t="s">
        <v>8</v>
      </c>
      <c r="L1058" s="243">
        <v>5830605.6399999997</v>
      </c>
    </row>
    <row r="1059" spans="1:12" ht="61.2" x14ac:dyDescent="0.3">
      <c r="A1059" s="237" t="s">
        <v>644</v>
      </c>
      <c r="B1059" s="238" t="s">
        <v>2153</v>
      </c>
      <c r="C1059" s="238" t="s">
        <v>806</v>
      </c>
      <c r="D1059" s="238" t="s">
        <v>2390</v>
      </c>
      <c r="E1059" s="239" t="s">
        <v>105</v>
      </c>
      <c r="F1059" s="245" t="s">
        <v>15</v>
      </c>
      <c r="G1059" s="245"/>
      <c r="H1059" s="239" t="s">
        <v>751</v>
      </c>
      <c r="I1059" s="246">
        <v>3576.3</v>
      </c>
      <c r="J1059" s="246"/>
      <c r="K1059" s="242" t="s">
        <v>8</v>
      </c>
      <c r="L1059" s="243">
        <v>5827029.3399999999</v>
      </c>
    </row>
    <row r="1060" spans="1:12" ht="61.2" x14ac:dyDescent="0.3">
      <c r="A1060" s="237" t="s">
        <v>644</v>
      </c>
      <c r="B1060" s="238" t="s">
        <v>2153</v>
      </c>
      <c r="C1060" s="238" t="s">
        <v>806</v>
      </c>
      <c r="D1060" s="238" t="s">
        <v>2391</v>
      </c>
      <c r="E1060" s="239" t="s">
        <v>105</v>
      </c>
      <c r="F1060" s="245" t="s">
        <v>15</v>
      </c>
      <c r="G1060" s="245"/>
      <c r="H1060" s="239" t="s">
        <v>751</v>
      </c>
      <c r="I1060" s="246">
        <v>3081.1</v>
      </c>
      <c r="J1060" s="246"/>
      <c r="K1060" s="242" t="s">
        <v>8</v>
      </c>
      <c r="L1060" s="243">
        <v>5823948.2400000002</v>
      </c>
    </row>
    <row r="1061" spans="1:12" ht="51" x14ac:dyDescent="0.3">
      <c r="A1061" s="237" t="s">
        <v>644</v>
      </c>
      <c r="B1061" s="238" t="s">
        <v>2153</v>
      </c>
      <c r="C1061" s="238" t="s">
        <v>806</v>
      </c>
      <c r="D1061" s="238" t="s">
        <v>2392</v>
      </c>
      <c r="E1061" s="239" t="s">
        <v>105</v>
      </c>
      <c r="F1061" s="245" t="s">
        <v>15</v>
      </c>
      <c r="G1061" s="245"/>
      <c r="H1061" s="239" t="s">
        <v>751</v>
      </c>
      <c r="I1061" s="246">
        <v>73600</v>
      </c>
      <c r="J1061" s="246"/>
      <c r="K1061" s="242" t="s">
        <v>8</v>
      </c>
      <c r="L1061" s="243">
        <v>5750348.2400000002</v>
      </c>
    </row>
    <row r="1062" spans="1:12" ht="51" x14ac:dyDescent="0.3">
      <c r="A1062" s="237" t="s">
        <v>644</v>
      </c>
      <c r="B1062" s="238" t="s">
        <v>2153</v>
      </c>
      <c r="C1062" s="238" t="s">
        <v>806</v>
      </c>
      <c r="D1062" s="238" t="s">
        <v>2393</v>
      </c>
      <c r="E1062" s="239" t="s">
        <v>105</v>
      </c>
      <c r="F1062" s="245" t="s">
        <v>15</v>
      </c>
      <c r="G1062" s="245"/>
      <c r="H1062" s="239" t="s">
        <v>751</v>
      </c>
      <c r="I1062" s="246">
        <v>9984</v>
      </c>
      <c r="J1062" s="246"/>
      <c r="K1062" s="242" t="s">
        <v>8</v>
      </c>
      <c r="L1062" s="243">
        <v>5740364.2400000002</v>
      </c>
    </row>
    <row r="1063" spans="1:12" ht="51" x14ac:dyDescent="0.3">
      <c r="A1063" s="237" t="s">
        <v>644</v>
      </c>
      <c r="B1063" s="238" t="s">
        <v>2394</v>
      </c>
      <c r="C1063" s="238" t="s">
        <v>806</v>
      </c>
      <c r="D1063" s="238" t="s">
        <v>1457</v>
      </c>
      <c r="E1063" s="239" t="s">
        <v>105</v>
      </c>
      <c r="F1063" s="245" t="s">
        <v>15</v>
      </c>
      <c r="G1063" s="245"/>
      <c r="H1063" s="239" t="s">
        <v>751</v>
      </c>
      <c r="I1063" s="247">
        <v>372</v>
      </c>
      <c r="J1063" s="247"/>
      <c r="K1063" s="242" t="s">
        <v>8</v>
      </c>
      <c r="L1063" s="243">
        <v>764100.98</v>
      </c>
    </row>
    <row r="1064" spans="1:12" ht="51" x14ac:dyDescent="0.3">
      <c r="A1064" s="237" t="s">
        <v>644</v>
      </c>
      <c r="B1064" s="238" t="s">
        <v>843</v>
      </c>
      <c r="C1064" s="238" t="s">
        <v>806</v>
      </c>
      <c r="D1064" s="238" t="s">
        <v>1872</v>
      </c>
      <c r="E1064" s="239" t="s">
        <v>105</v>
      </c>
      <c r="F1064" s="245" t="s">
        <v>15</v>
      </c>
      <c r="G1064" s="245"/>
      <c r="H1064" s="239" t="s">
        <v>751</v>
      </c>
      <c r="I1064" s="246">
        <v>2133.33</v>
      </c>
      <c r="J1064" s="246"/>
      <c r="K1064" s="242" t="s">
        <v>8</v>
      </c>
      <c r="L1064" s="243">
        <v>5738230.9100000001</v>
      </c>
    </row>
    <row r="1065" spans="1:12" ht="61.2" x14ac:dyDescent="0.3">
      <c r="A1065" s="237" t="s">
        <v>644</v>
      </c>
      <c r="B1065" s="238" t="s">
        <v>2395</v>
      </c>
      <c r="C1065" s="238" t="s">
        <v>806</v>
      </c>
      <c r="D1065" s="238" t="s">
        <v>2396</v>
      </c>
      <c r="E1065" s="239" t="s">
        <v>105</v>
      </c>
      <c r="F1065" s="245" t="s">
        <v>15</v>
      </c>
      <c r="G1065" s="245"/>
      <c r="H1065" s="239" t="s">
        <v>751</v>
      </c>
      <c r="I1065" s="246">
        <v>9151.33</v>
      </c>
      <c r="J1065" s="246"/>
      <c r="K1065" s="242" t="s">
        <v>8</v>
      </c>
      <c r="L1065" s="243">
        <v>264989.43</v>
      </c>
    </row>
    <row r="1066" spans="1:12" ht="61.2" x14ac:dyDescent="0.3">
      <c r="A1066" s="237" t="s">
        <v>644</v>
      </c>
      <c r="B1066" s="238" t="s">
        <v>2395</v>
      </c>
      <c r="C1066" s="238" t="s">
        <v>806</v>
      </c>
      <c r="D1066" s="238" t="s">
        <v>2397</v>
      </c>
      <c r="E1066" s="239" t="s">
        <v>105</v>
      </c>
      <c r="F1066" s="245" t="s">
        <v>15</v>
      </c>
      <c r="G1066" s="245"/>
      <c r="H1066" s="239" t="s">
        <v>751</v>
      </c>
      <c r="I1066" s="246">
        <v>9404.17</v>
      </c>
      <c r="J1066" s="246"/>
      <c r="K1066" s="242" t="s">
        <v>8</v>
      </c>
      <c r="L1066" s="243">
        <v>255585.26</v>
      </c>
    </row>
    <row r="1067" spans="1:12" ht="61.2" x14ac:dyDescent="0.3">
      <c r="A1067" s="237" t="s">
        <v>644</v>
      </c>
      <c r="B1067" s="238" t="s">
        <v>2395</v>
      </c>
      <c r="C1067" s="238" t="s">
        <v>806</v>
      </c>
      <c r="D1067" s="238" t="s">
        <v>2397</v>
      </c>
      <c r="E1067" s="239" t="s">
        <v>105</v>
      </c>
      <c r="F1067" s="245" t="s">
        <v>15</v>
      </c>
      <c r="G1067" s="245"/>
      <c r="H1067" s="239" t="s">
        <v>751</v>
      </c>
      <c r="I1067" s="246">
        <v>1646.5</v>
      </c>
      <c r="J1067" s="246"/>
      <c r="K1067" s="242" t="s">
        <v>8</v>
      </c>
      <c r="L1067" s="243">
        <v>253938.76</v>
      </c>
    </row>
    <row r="1068" spans="1:12" ht="61.2" x14ac:dyDescent="0.3">
      <c r="A1068" s="237" t="s">
        <v>644</v>
      </c>
      <c r="B1068" s="238" t="s">
        <v>2395</v>
      </c>
      <c r="C1068" s="238" t="s">
        <v>806</v>
      </c>
      <c r="D1068" s="238" t="s">
        <v>2398</v>
      </c>
      <c r="E1068" s="239" t="s">
        <v>105</v>
      </c>
      <c r="F1068" s="245" t="s">
        <v>15</v>
      </c>
      <c r="G1068" s="245"/>
      <c r="H1068" s="239" t="s">
        <v>751</v>
      </c>
      <c r="I1068" s="246">
        <v>17753.830000000002</v>
      </c>
      <c r="J1068" s="246"/>
      <c r="K1068" s="242" t="s">
        <v>8</v>
      </c>
      <c r="L1068" s="243">
        <v>236184.93</v>
      </c>
    </row>
    <row r="1069" spans="1:12" ht="51" x14ac:dyDescent="0.3">
      <c r="A1069" s="237" t="s">
        <v>644</v>
      </c>
      <c r="B1069" s="238" t="s">
        <v>2399</v>
      </c>
      <c r="C1069" s="238" t="s">
        <v>806</v>
      </c>
      <c r="D1069" s="238" t="s">
        <v>2400</v>
      </c>
      <c r="E1069" s="239" t="s">
        <v>105</v>
      </c>
      <c r="F1069" s="245" t="s">
        <v>15</v>
      </c>
      <c r="G1069" s="245"/>
      <c r="H1069" s="239" t="s">
        <v>751</v>
      </c>
      <c r="I1069" s="246">
        <v>258552.75</v>
      </c>
      <c r="J1069" s="246"/>
      <c r="K1069" s="242" t="s">
        <v>8</v>
      </c>
      <c r="L1069" s="243">
        <v>7277099.4900000002</v>
      </c>
    </row>
    <row r="1070" spans="1:12" ht="51" x14ac:dyDescent="0.3">
      <c r="A1070" s="237" t="s">
        <v>644</v>
      </c>
      <c r="B1070" s="238" t="s">
        <v>2399</v>
      </c>
      <c r="C1070" s="238" t="s">
        <v>806</v>
      </c>
      <c r="D1070" s="238" t="s">
        <v>1505</v>
      </c>
      <c r="E1070" s="239" t="s">
        <v>105</v>
      </c>
      <c r="F1070" s="245" t="s">
        <v>15</v>
      </c>
      <c r="G1070" s="245"/>
      <c r="H1070" s="239" t="s">
        <v>751</v>
      </c>
      <c r="I1070" s="246">
        <v>1909.5</v>
      </c>
      <c r="J1070" s="246"/>
      <c r="K1070" s="242" t="s">
        <v>8</v>
      </c>
      <c r="L1070" s="243">
        <v>7275189.9900000002</v>
      </c>
    </row>
    <row r="1071" spans="1:12" ht="51" x14ac:dyDescent="0.3">
      <c r="A1071" s="237" t="s">
        <v>644</v>
      </c>
      <c r="B1071" s="238" t="s">
        <v>2399</v>
      </c>
      <c r="C1071" s="238" t="s">
        <v>806</v>
      </c>
      <c r="D1071" s="238" t="s">
        <v>2100</v>
      </c>
      <c r="E1071" s="239" t="s">
        <v>105</v>
      </c>
      <c r="F1071" s="245" t="s">
        <v>15</v>
      </c>
      <c r="G1071" s="245"/>
      <c r="H1071" s="239" t="s">
        <v>751</v>
      </c>
      <c r="I1071" s="246">
        <v>1351.72</v>
      </c>
      <c r="J1071" s="246"/>
      <c r="K1071" s="242" t="s">
        <v>8</v>
      </c>
      <c r="L1071" s="243">
        <v>7273838.2699999996</v>
      </c>
    </row>
    <row r="1072" spans="1:12" ht="51" x14ac:dyDescent="0.3">
      <c r="A1072" s="237" t="s">
        <v>644</v>
      </c>
      <c r="B1072" s="238" t="s">
        <v>2399</v>
      </c>
      <c r="C1072" s="238" t="s">
        <v>806</v>
      </c>
      <c r="D1072" s="238" t="s">
        <v>2103</v>
      </c>
      <c r="E1072" s="239" t="s">
        <v>105</v>
      </c>
      <c r="F1072" s="245" t="s">
        <v>15</v>
      </c>
      <c r="G1072" s="245"/>
      <c r="H1072" s="239" t="s">
        <v>751</v>
      </c>
      <c r="I1072" s="247">
        <v>804</v>
      </c>
      <c r="J1072" s="247"/>
      <c r="K1072" s="242" t="s">
        <v>8</v>
      </c>
      <c r="L1072" s="243">
        <v>7273034.2699999996</v>
      </c>
    </row>
    <row r="1073" spans="1:12" ht="51" x14ac:dyDescent="0.3">
      <c r="A1073" s="237" t="s">
        <v>644</v>
      </c>
      <c r="B1073" s="238" t="s">
        <v>2399</v>
      </c>
      <c r="C1073" s="238" t="s">
        <v>806</v>
      </c>
      <c r="D1073" s="238" t="s">
        <v>2401</v>
      </c>
      <c r="E1073" s="239" t="s">
        <v>105</v>
      </c>
      <c r="F1073" s="245" t="s">
        <v>15</v>
      </c>
      <c r="G1073" s="245"/>
      <c r="H1073" s="239" t="s">
        <v>751</v>
      </c>
      <c r="I1073" s="246">
        <v>4961.25</v>
      </c>
      <c r="J1073" s="246"/>
      <c r="K1073" s="242" t="s">
        <v>8</v>
      </c>
      <c r="L1073" s="243">
        <v>7268073.0199999996</v>
      </c>
    </row>
    <row r="1074" spans="1:12" ht="51" x14ac:dyDescent="0.3">
      <c r="A1074" s="237" t="s">
        <v>644</v>
      </c>
      <c r="B1074" s="238" t="s">
        <v>2399</v>
      </c>
      <c r="C1074" s="238" t="s">
        <v>806</v>
      </c>
      <c r="D1074" s="238" t="s">
        <v>2105</v>
      </c>
      <c r="E1074" s="239" t="s">
        <v>105</v>
      </c>
      <c r="F1074" s="245" t="s">
        <v>15</v>
      </c>
      <c r="G1074" s="245"/>
      <c r="H1074" s="239" t="s">
        <v>751</v>
      </c>
      <c r="I1074" s="247">
        <v>567</v>
      </c>
      <c r="J1074" s="247"/>
      <c r="K1074" s="242" t="s">
        <v>8</v>
      </c>
      <c r="L1074" s="243">
        <v>7267506.0199999996</v>
      </c>
    </row>
    <row r="1075" spans="1:12" ht="51" x14ac:dyDescent="0.3">
      <c r="A1075" s="237" t="s">
        <v>644</v>
      </c>
      <c r="B1075" s="238" t="s">
        <v>2402</v>
      </c>
      <c r="C1075" s="238" t="s">
        <v>806</v>
      </c>
      <c r="D1075" s="238" t="s">
        <v>2403</v>
      </c>
      <c r="E1075" s="239" t="s">
        <v>105</v>
      </c>
      <c r="F1075" s="245" t="s">
        <v>15</v>
      </c>
      <c r="G1075" s="245"/>
      <c r="H1075" s="239" t="s">
        <v>751</v>
      </c>
      <c r="I1075" s="246">
        <v>2300</v>
      </c>
      <c r="J1075" s="246"/>
      <c r="K1075" s="242" t="s">
        <v>8</v>
      </c>
      <c r="L1075" s="243">
        <v>7265206.0199999996</v>
      </c>
    </row>
    <row r="1076" spans="1:12" ht="51" x14ac:dyDescent="0.3">
      <c r="A1076" s="237" t="s">
        <v>644</v>
      </c>
      <c r="B1076" s="238" t="s">
        <v>2404</v>
      </c>
      <c r="C1076" s="238" t="s">
        <v>806</v>
      </c>
      <c r="D1076" s="238" t="s">
        <v>2405</v>
      </c>
      <c r="E1076" s="239" t="s">
        <v>105</v>
      </c>
      <c r="F1076" s="245" t="s">
        <v>15</v>
      </c>
      <c r="G1076" s="245"/>
      <c r="H1076" s="239" t="s">
        <v>751</v>
      </c>
      <c r="I1076" s="246">
        <v>62346.66</v>
      </c>
      <c r="J1076" s="246"/>
      <c r="K1076" s="242" t="s">
        <v>8</v>
      </c>
      <c r="L1076" s="243">
        <v>1619451.81</v>
      </c>
    </row>
    <row r="1077" spans="1:12" ht="51" hidden="1" x14ac:dyDescent="0.3">
      <c r="A1077" s="237" t="s">
        <v>644</v>
      </c>
      <c r="B1077" s="238" t="s">
        <v>1260</v>
      </c>
      <c r="C1077" s="238" t="s">
        <v>1261</v>
      </c>
      <c r="D1077" s="238" t="s">
        <v>1262</v>
      </c>
      <c r="E1077" s="239" t="s">
        <v>751</v>
      </c>
      <c r="F1077" s="240">
        <v>21893.119999999999</v>
      </c>
      <c r="G1077" s="240"/>
      <c r="H1077" s="239" t="s">
        <v>14</v>
      </c>
      <c r="I1077" s="241" t="s">
        <v>15</v>
      </c>
      <c r="J1077" s="241"/>
      <c r="K1077" s="242" t="s">
        <v>8</v>
      </c>
      <c r="L1077" s="243">
        <v>4562363.13</v>
      </c>
    </row>
    <row r="1078" spans="1:12" ht="51" hidden="1" x14ac:dyDescent="0.3">
      <c r="A1078" s="237" t="s">
        <v>1075</v>
      </c>
      <c r="B1078" s="238" t="s">
        <v>2406</v>
      </c>
      <c r="C1078" s="238" t="s">
        <v>2407</v>
      </c>
      <c r="D1078" s="238" t="s">
        <v>2408</v>
      </c>
      <c r="E1078" s="239" t="s">
        <v>751</v>
      </c>
      <c r="F1078" s="240">
        <v>193552.5</v>
      </c>
      <c r="G1078" s="240"/>
      <c r="H1078" s="239" t="s">
        <v>14</v>
      </c>
      <c r="I1078" s="241" t="s">
        <v>15</v>
      </c>
      <c r="J1078" s="241"/>
      <c r="K1078" s="242" t="s">
        <v>8</v>
      </c>
      <c r="L1078" s="243">
        <v>957653.48</v>
      </c>
    </row>
    <row r="1079" spans="1:12" ht="61.2" hidden="1" x14ac:dyDescent="0.3">
      <c r="A1079" s="237" t="s">
        <v>1075</v>
      </c>
      <c r="B1079" s="238" t="s">
        <v>2409</v>
      </c>
      <c r="C1079" s="238" t="s">
        <v>2410</v>
      </c>
      <c r="D1079" s="238" t="s">
        <v>2411</v>
      </c>
      <c r="E1079" s="239" t="s">
        <v>751</v>
      </c>
      <c r="F1079" s="240">
        <v>265320</v>
      </c>
      <c r="G1079" s="240"/>
      <c r="H1079" s="239" t="s">
        <v>14</v>
      </c>
      <c r="I1079" s="241" t="s">
        <v>15</v>
      </c>
      <c r="J1079" s="241"/>
      <c r="K1079" s="242" t="s">
        <v>8</v>
      </c>
      <c r="L1079" s="243">
        <v>505286.86</v>
      </c>
    </row>
    <row r="1080" spans="1:12" ht="51" hidden="1" x14ac:dyDescent="0.3">
      <c r="A1080" s="237" t="s">
        <v>1075</v>
      </c>
      <c r="B1080" s="238" t="s">
        <v>2412</v>
      </c>
      <c r="C1080" s="238" t="s">
        <v>2407</v>
      </c>
      <c r="D1080" s="238" t="s">
        <v>2413</v>
      </c>
      <c r="E1080" s="239" t="s">
        <v>751</v>
      </c>
      <c r="F1080" s="240">
        <v>62227</v>
      </c>
      <c r="G1080" s="240"/>
      <c r="H1080" s="239" t="s">
        <v>14</v>
      </c>
      <c r="I1080" s="241" t="s">
        <v>15</v>
      </c>
      <c r="J1080" s="241"/>
      <c r="K1080" s="242" t="s">
        <v>8</v>
      </c>
      <c r="L1080" s="243">
        <v>1019880.48</v>
      </c>
    </row>
    <row r="1081" spans="1:12" ht="51" hidden="1" x14ac:dyDescent="0.3">
      <c r="A1081" s="237" t="s">
        <v>1075</v>
      </c>
      <c r="B1081" s="238" t="s">
        <v>2414</v>
      </c>
      <c r="C1081" s="238" t="s">
        <v>2415</v>
      </c>
      <c r="D1081" s="238" t="s">
        <v>2407</v>
      </c>
      <c r="E1081" s="239" t="s">
        <v>751</v>
      </c>
      <c r="F1081" s="240">
        <v>99578.28</v>
      </c>
      <c r="G1081" s="240"/>
      <c r="H1081" s="239" t="s">
        <v>751</v>
      </c>
      <c r="I1081" s="241" t="s">
        <v>15</v>
      </c>
      <c r="J1081" s="241"/>
      <c r="K1081" s="242" t="s">
        <v>8</v>
      </c>
      <c r="L1081" s="243">
        <v>5837809.1900000004</v>
      </c>
    </row>
    <row r="1082" spans="1:12" ht="51" hidden="1" x14ac:dyDescent="0.3">
      <c r="A1082" s="237" t="s">
        <v>1075</v>
      </c>
      <c r="B1082" s="238" t="s">
        <v>2414</v>
      </c>
      <c r="C1082" s="238" t="s">
        <v>2415</v>
      </c>
      <c r="D1082" s="238" t="s">
        <v>2407</v>
      </c>
      <c r="E1082" s="239" t="s">
        <v>751</v>
      </c>
      <c r="F1082" s="245" t="s">
        <v>15</v>
      </c>
      <c r="G1082" s="245"/>
      <c r="H1082" s="239" t="s">
        <v>751</v>
      </c>
      <c r="I1082" s="246">
        <v>99578.28</v>
      </c>
      <c r="J1082" s="246"/>
      <c r="K1082" s="242" t="s">
        <v>8</v>
      </c>
      <c r="L1082" s="243">
        <v>920302.2</v>
      </c>
    </row>
    <row r="1083" spans="1:12" ht="51" hidden="1" x14ac:dyDescent="0.3">
      <c r="A1083" s="237" t="s">
        <v>1075</v>
      </c>
      <c r="B1083" s="238" t="s">
        <v>2416</v>
      </c>
      <c r="C1083" s="238" t="s">
        <v>2417</v>
      </c>
      <c r="D1083" s="238" t="s">
        <v>2407</v>
      </c>
      <c r="E1083" s="239" t="s">
        <v>751</v>
      </c>
      <c r="F1083" s="240">
        <v>156201.22</v>
      </c>
      <c r="G1083" s="240"/>
      <c r="H1083" s="239" t="s">
        <v>751</v>
      </c>
      <c r="I1083" s="241" t="s">
        <v>15</v>
      </c>
      <c r="J1083" s="241"/>
      <c r="K1083" s="242" t="s">
        <v>8</v>
      </c>
      <c r="L1083" s="243">
        <v>1617993.23</v>
      </c>
    </row>
    <row r="1084" spans="1:12" ht="51" hidden="1" x14ac:dyDescent="0.3">
      <c r="A1084" s="237" t="s">
        <v>1075</v>
      </c>
      <c r="B1084" s="238" t="s">
        <v>2416</v>
      </c>
      <c r="C1084" s="238" t="s">
        <v>2417</v>
      </c>
      <c r="D1084" s="238" t="s">
        <v>2407</v>
      </c>
      <c r="E1084" s="239" t="s">
        <v>751</v>
      </c>
      <c r="F1084" s="245" t="s">
        <v>15</v>
      </c>
      <c r="G1084" s="245"/>
      <c r="H1084" s="239" t="s">
        <v>751</v>
      </c>
      <c r="I1084" s="246">
        <v>156201.22</v>
      </c>
      <c r="J1084" s="246"/>
      <c r="K1084" s="242" t="s">
        <v>8</v>
      </c>
      <c r="L1084" s="243">
        <v>764100.98</v>
      </c>
    </row>
    <row r="1085" spans="1:12" ht="61.2" hidden="1" x14ac:dyDescent="0.3">
      <c r="A1085" s="237" t="s">
        <v>1075</v>
      </c>
      <c r="B1085" s="238" t="s">
        <v>2418</v>
      </c>
      <c r="C1085" s="238" t="s">
        <v>2419</v>
      </c>
      <c r="D1085" s="238" t="s">
        <v>1644</v>
      </c>
      <c r="E1085" s="239" t="s">
        <v>751</v>
      </c>
      <c r="F1085" s="240">
        <v>49370</v>
      </c>
      <c r="G1085" s="240"/>
      <c r="H1085" s="239" t="s">
        <v>751</v>
      </c>
      <c r="I1085" s="241" t="s">
        <v>15</v>
      </c>
      <c r="J1085" s="241"/>
      <c r="K1085" s="242" t="s">
        <v>8</v>
      </c>
      <c r="L1085" s="243">
        <v>813470.98</v>
      </c>
    </row>
    <row r="1086" spans="1:12" ht="61.2" hidden="1" x14ac:dyDescent="0.3">
      <c r="A1086" s="237" t="s">
        <v>1075</v>
      </c>
      <c r="B1086" s="238" t="s">
        <v>2418</v>
      </c>
      <c r="C1086" s="238" t="s">
        <v>2419</v>
      </c>
      <c r="D1086" s="238" t="s">
        <v>1644</v>
      </c>
      <c r="E1086" s="239" t="s">
        <v>751</v>
      </c>
      <c r="F1086" s="245" t="s">
        <v>15</v>
      </c>
      <c r="G1086" s="245"/>
      <c r="H1086" s="239" t="s">
        <v>751</v>
      </c>
      <c r="I1086" s="246">
        <v>49370</v>
      </c>
      <c r="J1086" s="246"/>
      <c r="K1086" s="242" t="s">
        <v>8</v>
      </c>
      <c r="L1086" s="243">
        <v>3781727.42</v>
      </c>
    </row>
    <row r="1087" spans="1:12" ht="71.400000000000006" hidden="1" x14ac:dyDescent="0.3">
      <c r="A1087" s="237" t="s">
        <v>1075</v>
      </c>
      <c r="B1087" s="238" t="s">
        <v>2418</v>
      </c>
      <c r="C1087" s="238" t="s">
        <v>2420</v>
      </c>
      <c r="D1087" s="238" t="s">
        <v>1647</v>
      </c>
      <c r="E1087" s="239" t="s">
        <v>751</v>
      </c>
      <c r="F1087" s="240">
        <v>1439100</v>
      </c>
      <c r="G1087" s="240"/>
      <c r="H1087" s="239" t="s">
        <v>751</v>
      </c>
      <c r="I1087" s="241" t="s">
        <v>15</v>
      </c>
      <c r="J1087" s="241"/>
      <c r="K1087" s="242" t="s">
        <v>8</v>
      </c>
      <c r="L1087" s="243">
        <v>2252570.98</v>
      </c>
    </row>
    <row r="1088" spans="1:12" ht="71.400000000000006" hidden="1" x14ac:dyDescent="0.3">
      <c r="A1088" s="237" t="s">
        <v>1075</v>
      </c>
      <c r="B1088" s="238" t="s">
        <v>2418</v>
      </c>
      <c r="C1088" s="238" t="s">
        <v>2420</v>
      </c>
      <c r="D1088" s="238" t="s">
        <v>1647</v>
      </c>
      <c r="E1088" s="239" t="s">
        <v>751</v>
      </c>
      <c r="F1088" s="245" t="s">
        <v>15</v>
      </c>
      <c r="G1088" s="245"/>
      <c r="H1088" s="239" t="s">
        <v>751</v>
      </c>
      <c r="I1088" s="246">
        <v>1439100</v>
      </c>
      <c r="J1088" s="246"/>
      <c r="K1088" s="242" t="s">
        <v>8</v>
      </c>
      <c r="L1088" s="243">
        <v>2342627.42</v>
      </c>
    </row>
    <row r="1089" spans="1:12" ht="61.2" hidden="1" x14ac:dyDescent="0.3">
      <c r="A1089" s="237" t="s">
        <v>1075</v>
      </c>
      <c r="B1089" s="238" t="s">
        <v>2418</v>
      </c>
      <c r="C1089" s="238" t="s">
        <v>2421</v>
      </c>
      <c r="D1089" s="238" t="s">
        <v>1646</v>
      </c>
      <c r="E1089" s="239" t="s">
        <v>751</v>
      </c>
      <c r="F1089" s="240">
        <v>1007496</v>
      </c>
      <c r="G1089" s="240"/>
      <c r="H1089" s="239" t="s">
        <v>751</v>
      </c>
      <c r="I1089" s="241" t="s">
        <v>15</v>
      </c>
      <c r="J1089" s="241"/>
      <c r="K1089" s="242" t="s">
        <v>8</v>
      </c>
      <c r="L1089" s="243">
        <v>3260066.98</v>
      </c>
    </row>
    <row r="1090" spans="1:12" ht="61.2" hidden="1" x14ac:dyDescent="0.3">
      <c r="A1090" s="237" t="s">
        <v>1075</v>
      </c>
      <c r="B1090" s="238" t="s">
        <v>2418</v>
      </c>
      <c r="C1090" s="238" t="s">
        <v>2421</v>
      </c>
      <c r="D1090" s="238" t="s">
        <v>1646</v>
      </c>
      <c r="E1090" s="239" t="s">
        <v>751</v>
      </c>
      <c r="F1090" s="245" t="s">
        <v>15</v>
      </c>
      <c r="G1090" s="245"/>
      <c r="H1090" s="239" t="s">
        <v>751</v>
      </c>
      <c r="I1090" s="246">
        <v>1007496</v>
      </c>
      <c r="J1090" s="246"/>
      <c r="K1090" s="242" t="s">
        <v>8</v>
      </c>
      <c r="L1090" s="243">
        <v>1335131.42</v>
      </c>
    </row>
    <row r="1091" spans="1:12" ht="51" x14ac:dyDescent="0.3">
      <c r="A1091" s="237" t="s">
        <v>1122</v>
      </c>
      <c r="B1091" s="238" t="s">
        <v>1263</v>
      </c>
      <c r="C1091" s="238" t="s">
        <v>806</v>
      </c>
      <c r="D1091" s="238" t="s">
        <v>1238</v>
      </c>
      <c r="E1091" s="239" t="s">
        <v>105</v>
      </c>
      <c r="F1091" s="245" t="s">
        <v>15</v>
      </c>
      <c r="G1091" s="245"/>
      <c r="H1091" s="239" t="s">
        <v>751</v>
      </c>
      <c r="I1091" s="246">
        <v>2119.5</v>
      </c>
      <c r="J1091" s="246"/>
      <c r="K1091" s="242" t="s">
        <v>8</v>
      </c>
      <c r="L1091" s="243">
        <v>4560243.63</v>
      </c>
    </row>
    <row r="1092" spans="1:12" ht="51" x14ac:dyDescent="0.3">
      <c r="A1092" s="237" t="s">
        <v>1122</v>
      </c>
      <c r="B1092" s="238" t="s">
        <v>1264</v>
      </c>
      <c r="C1092" s="238" t="s">
        <v>1241</v>
      </c>
      <c r="D1092" s="238" t="s">
        <v>1244</v>
      </c>
      <c r="E1092" s="239" t="s">
        <v>105</v>
      </c>
      <c r="F1092" s="245" t="s">
        <v>15</v>
      </c>
      <c r="G1092" s="245"/>
      <c r="H1092" s="239" t="s">
        <v>751</v>
      </c>
      <c r="I1092" s="246">
        <v>43843.75</v>
      </c>
      <c r="J1092" s="246"/>
      <c r="K1092" s="242" t="s">
        <v>8</v>
      </c>
      <c r="L1092" s="243">
        <v>4516399.88</v>
      </c>
    </row>
    <row r="1093" spans="1:12" ht="51" x14ac:dyDescent="0.3">
      <c r="A1093" s="237" t="s">
        <v>1122</v>
      </c>
      <c r="B1093" s="238" t="s">
        <v>1264</v>
      </c>
      <c r="C1093" s="238" t="s">
        <v>1241</v>
      </c>
      <c r="D1093" s="238" t="s">
        <v>1245</v>
      </c>
      <c r="E1093" s="239" t="s">
        <v>105</v>
      </c>
      <c r="F1093" s="245" t="s">
        <v>15</v>
      </c>
      <c r="G1093" s="245"/>
      <c r="H1093" s="239" t="s">
        <v>751</v>
      </c>
      <c r="I1093" s="246">
        <v>20947.599999999999</v>
      </c>
      <c r="J1093" s="246"/>
      <c r="K1093" s="242" t="s">
        <v>8</v>
      </c>
      <c r="L1093" s="243">
        <v>4495452.28</v>
      </c>
    </row>
    <row r="1094" spans="1:12" ht="51" x14ac:dyDescent="0.3">
      <c r="A1094" s="237" t="s">
        <v>1122</v>
      </c>
      <c r="B1094" s="238" t="s">
        <v>1264</v>
      </c>
      <c r="C1094" s="238" t="s">
        <v>1241</v>
      </c>
      <c r="D1094" s="238" t="s">
        <v>1251</v>
      </c>
      <c r="E1094" s="239" t="s">
        <v>105</v>
      </c>
      <c r="F1094" s="245" t="s">
        <v>15</v>
      </c>
      <c r="G1094" s="245"/>
      <c r="H1094" s="239" t="s">
        <v>751</v>
      </c>
      <c r="I1094" s="246">
        <v>22052.82</v>
      </c>
      <c r="J1094" s="246"/>
      <c r="K1094" s="242" t="s">
        <v>8</v>
      </c>
      <c r="L1094" s="243">
        <v>4473399.46</v>
      </c>
    </row>
    <row r="1095" spans="1:12" ht="51" x14ac:dyDescent="0.3">
      <c r="A1095" s="237" t="s">
        <v>1122</v>
      </c>
      <c r="B1095" s="238" t="s">
        <v>1264</v>
      </c>
      <c r="C1095" s="238" t="s">
        <v>1241</v>
      </c>
      <c r="D1095" s="238" t="s">
        <v>1242</v>
      </c>
      <c r="E1095" s="239" t="s">
        <v>105</v>
      </c>
      <c r="F1095" s="245" t="s">
        <v>15</v>
      </c>
      <c r="G1095" s="245"/>
      <c r="H1095" s="239" t="s">
        <v>751</v>
      </c>
      <c r="I1095" s="246">
        <v>4952.25</v>
      </c>
      <c r="J1095" s="246"/>
      <c r="K1095" s="242" t="s">
        <v>8</v>
      </c>
      <c r="L1095" s="243">
        <v>4468447.21</v>
      </c>
    </row>
    <row r="1096" spans="1:12" ht="51" x14ac:dyDescent="0.3">
      <c r="A1096" s="237" t="s">
        <v>1122</v>
      </c>
      <c r="B1096" s="238" t="s">
        <v>1264</v>
      </c>
      <c r="C1096" s="238" t="s">
        <v>1241</v>
      </c>
      <c r="D1096" s="238" t="s">
        <v>1252</v>
      </c>
      <c r="E1096" s="239" t="s">
        <v>105</v>
      </c>
      <c r="F1096" s="245" t="s">
        <v>15</v>
      </c>
      <c r="G1096" s="245"/>
      <c r="H1096" s="239" t="s">
        <v>751</v>
      </c>
      <c r="I1096" s="246">
        <v>1260.3800000000001</v>
      </c>
      <c r="J1096" s="246"/>
      <c r="K1096" s="242" t="s">
        <v>8</v>
      </c>
      <c r="L1096" s="243">
        <v>4467186.83</v>
      </c>
    </row>
    <row r="1097" spans="1:12" ht="51" x14ac:dyDescent="0.3">
      <c r="A1097" s="237" t="s">
        <v>1122</v>
      </c>
      <c r="B1097" s="238" t="s">
        <v>1264</v>
      </c>
      <c r="C1097" s="238" t="s">
        <v>1241</v>
      </c>
      <c r="D1097" s="238" t="s">
        <v>1248</v>
      </c>
      <c r="E1097" s="239" t="s">
        <v>105</v>
      </c>
      <c r="F1097" s="245" t="s">
        <v>15</v>
      </c>
      <c r="G1097" s="245"/>
      <c r="H1097" s="239" t="s">
        <v>751</v>
      </c>
      <c r="I1097" s="246">
        <v>3948.08</v>
      </c>
      <c r="J1097" s="246"/>
      <c r="K1097" s="242" t="s">
        <v>8</v>
      </c>
      <c r="L1097" s="243">
        <v>4463238.75</v>
      </c>
    </row>
    <row r="1098" spans="1:12" ht="51" x14ac:dyDescent="0.3">
      <c r="A1098" s="237" t="s">
        <v>1122</v>
      </c>
      <c r="B1098" s="238" t="s">
        <v>1264</v>
      </c>
      <c r="C1098" s="238" t="s">
        <v>1241</v>
      </c>
      <c r="D1098" s="238" t="s">
        <v>1246</v>
      </c>
      <c r="E1098" s="239" t="s">
        <v>105</v>
      </c>
      <c r="F1098" s="245" t="s">
        <v>15</v>
      </c>
      <c r="G1098" s="245"/>
      <c r="H1098" s="239" t="s">
        <v>751</v>
      </c>
      <c r="I1098" s="246">
        <v>9870.2099999999991</v>
      </c>
      <c r="J1098" s="246"/>
      <c r="K1098" s="242" t="s">
        <v>8</v>
      </c>
      <c r="L1098" s="243">
        <v>4453368.54</v>
      </c>
    </row>
    <row r="1099" spans="1:12" ht="61.2" x14ac:dyDescent="0.3">
      <c r="A1099" s="237" t="s">
        <v>1122</v>
      </c>
      <c r="B1099" s="238" t="s">
        <v>1264</v>
      </c>
      <c r="C1099" s="238" t="s">
        <v>1241</v>
      </c>
      <c r="D1099" s="238" t="s">
        <v>1253</v>
      </c>
      <c r="E1099" s="239" t="s">
        <v>105</v>
      </c>
      <c r="F1099" s="245" t="s">
        <v>15</v>
      </c>
      <c r="G1099" s="245"/>
      <c r="H1099" s="239" t="s">
        <v>751</v>
      </c>
      <c r="I1099" s="246">
        <v>19133.34</v>
      </c>
      <c r="J1099" s="246"/>
      <c r="K1099" s="242" t="s">
        <v>8</v>
      </c>
      <c r="L1099" s="243">
        <v>4434235.2</v>
      </c>
    </row>
    <row r="1100" spans="1:12" ht="61.2" x14ac:dyDescent="0.3">
      <c r="A1100" s="237" t="s">
        <v>1122</v>
      </c>
      <c r="B1100" s="238" t="s">
        <v>1264</v>
      </c>
      <c r="C1100" s="238" t="s">
        <v>1241</v>
      </c>
      <c r="D1100" s="238" t="s">
        <v>1254</v>
      </c>
      <c r="E1100" s="239" t="s">
        <v>105</v>
      </c>
      <c r="F1100" s="245" t="s">
        <v>15</v>
      </c>
      <c r="G1100" s="245"/>
      <c r="H1100" s="239" t="s">
        <v>751</v>
      </c>
      <c r="I1100" s="246">
        <v>16196.67</v>
      </c>
      <c r="J1100" s="246"/>
      <c r="K1100" s="242" t="s">
        <v>8</v>
      </c>
      <c r="L1100" s="243">
        <v>4418038.53</v>
      </c>
    </row>
    <row r="1101" spans="1:12" ht="51" hidden="1" x14ac:dyDescent="0.3">
      <c r="A1101" s="237" t="s">
        <v>1122</v>
      </c>
      <c r="B1101" s="238" t="s">
        <v>2422</v>
      </c>
      <c r="C1101" s="238" t="s">
        <v>2423</v>
      </c>
      <c r="D1101" s="238" t="s">
        <v>2424</v>
      </c>
      <c r="E1101" s="239" t="s">
        <v>751</v>
      </c>
      <c r="F1101" s="240">
        <v>141840</v>
      </c>
      <c r="G1101" s="240"/>
      <c r="H1101" s="239" t="s">
        <v>14</v>
      </c>
      <c r="I1101" s="241" t="s">
        <v>15</v>
      </c>
      <c r="J1101" s="241"/>
      <c r="K1101" s="242" t="s">
        <v>8</v>
      </c>
      <c r="L1101" s="243">
        <v>1759833.23</v>
      </c>
    </row>
    <row r="1102" spans="1:12" ht="51" hidden="1" x14ac:dyDescent="0.3">
      <c r="A1102" s="237" t="s">
        <v>1122</v>
      </c>
      <c r="B1102" s="238" t="s">
        <v>2425</v>
      </c>
      <c r="C1102" s="238" t="s">
        <v>2426</v>
      </c>
      <c r="D1102" s="238" t="s">
        <v>2427</v>
      </c>
      <c r="E1102" s="239" t="s">
        <v>751</v>
      </c>
      <c r="F1102" s="240">
        <v>67612.5</v>
      </c>
      <c r="G1102" s="240"/>
      <c r="H1102" s="239" t="s">
        <v>14</v>
      </c>
      <c r="I1102" s="241" t="s">
        <v>15</v>
      </c>
      <c r="J1102" s="241"/>
      <c r="K1102" s="242" t="s">
        <v>8</v>
      </c>
      <c r="L1102" s="243">
        <v>1687064.31</v>
      </c>
    </row>
    <row r="1103" spans="1:12" ht="51" hidden="1" x14ac:dyDescent="0.3">
      <c r="A1103" s="237" t="s">
        <v>1122</v>
      </c>
      <c r="B1103" s="238" t="s">
        <v>2428</v>
      </c>
      <c r="C1103" s="238" t="s">
        <v>2426</v>
      </c>
      <c r="D1103" s="238" t="s">
        <v>2429</v>
      </c>
      <c r="E1103" s="239" t="s">
        <v>751</v>
      </c>
      <c r="F1103" s="240">
        <v>27064.5</v>
      </c>
      <c r="G1103" s="240"/>
      <c r="H1103" s="239" t="s">
        <v>14</v>
      </c>
      <c r="I1103" s="241" t="s">
        <v>15</v>
      </c>
      <c r="J1103" s="241"/>
      <c r="K1103" s="242" t="s">
        <v>8</v>
      </c>
      <c r="L1103" s="243">
        <v>1714128.81</v>
      </c>
    </row>
    <row r="1104" spans="1:12" ht="51" hidden="1" x14ac:dyDescent="0.3">
      <c r="A1104" s="237" t="s">
        <v>1122</v>
      </c>
      <c r="B1104" s="238" t="s">
        <v>2430</v>
      </c>
      <c r="C1104" s="238" t="s">
        <v>2423</v>
      </c>
      <c r="D1104" s="238" t="s">
        <v>2431</v>
      </c>
      <c r="E1104" s="239" t="s">
        <v>751</v>
      </c>
      <c r="F1104" s="240">
        <v>44557.5</v>
      </c>
      <c r="G1104" s="240"/>
      <c r="H1104" s="239" t="s">
        <v>14</v>
      </c>
      <c r="I1104" s="241" t="s">
        <v>15</v>
      </c>
      <c r="J1104" s="241"/>
      <c r="K1104" s="242" t="s">
        <v>8</v>
      </c>
      <c r="L1104" s="243">
        <v>1804390.73</v>
      </c>
    </row>
    <row r="1105" spans="1:12" ht="61.2" x14ac:dyDescent="0.3">
      <c r="A1105" s="237" t="s">
        <v>135</v>
      </c>
      <c r="B1105" s="238" t="s">
        <v>2432</v>
      </c>
      <c r="C1105" s="238" t="s">
        <v>1150</v>
      </c>
      <c r="D1105" s="238" t="s">
        <v>1671</v>
      </c>
      <c r="E1105" s="239" t="s">
        <v>1151</v>
      </c>
      <c r="F1105" s="245" t="s">
        <v>15</v>
      </c>
      <c r="G1105" s="245"/>
      <c r="H1105" s="239" t="s">
        <v>751</v>
      </c>
      <c r="I1105" s="246">
        <v>582555</v>
      </c>
      <c r="J1105" s="246"/>
      <c r="K1105" s="242" t="s">
        <v>8</v>
      </c>
      <c r="L1105" s="243">
        <v>2677511.98</v>
      </c>
    </row>
    <row r="1106" spans="1:12" ht="61.2" x14ac:dyDescent="0.3">
      <c r="A1106" s="237" t="s">
        <v>135</v>
      </c>
      <c r="B1106" s="238" t="s">
        <v>2432</v>
      </c>
      <c r="C1106" s="238" t="s">
        <v>1150</v>
      </c>
      <c r="D1106" s="238" t="s">
        <v>1673</v>
      </c>
      <c r="E1106" s="239" t="s">
        <v>1151</v>
      </c>
      <c r="F1106" s="245" t="s">
        <v>15</v>
      </c>
      <c r="G1106" s="245"/>
      <c r="H1106" s="239" t="s">
        <v>751</v>
      </c>
      <c r="I1106" s="246">
        <v>90404</v>
      </c>
      <c r="J1106" s="246"/>
      <c r="K1106" s="242" t="s">
        <v>8</v>
      </c>
      <c r="L1106" s="243">
        <v>2587107.98</v>
      </c>
    </row>
    <row r="1107" spans="1:12" ht="61.2" x14ac:dyDescent="0.3">
      <c r="A1107" s="237" t="s">
        <v>135</v>
      </c>
      <c r="B1107" s="238" t="s">
        <v>2432</v>
      </c>
      <c r="C1107" s="238" t="s">
        <v>1150</v>
      </c>
      <c r="D1107" s="238" t="s">
        <v>2419</v>
      </c>
      <c r="E1107" s="239" t="s">
        <v>1151</v>
      </c>
      <c r="F1107" s="245" t="s">
        <v>15</v>
      </c>
      <c r="G1107" s="245"/>
      <c r="H1107" s="239" t="s">
        <v>751</v>
      </c>
      <c r="I1107" s="246">
        <v>49370</v>
      </c>
      <c r="J1107" s="246"/>
      <c r="K1107" s="242" t="s">
        <v>8</v>
      </c>
      <c r="L1107" s="243">
        <v>2537737.98</v>
      </c>
    </row>
    <row r="1108" spans="1:12" ht="71.400000000000006" x14ac:dyDescent="0.3">
      <c r="A1108" s="237" t="s">
        <v>135</v>
      </c>
      <c r="B1108" s="238" t="s">
        <v>2432</v>
      </c>
      <c r="C1108" s="238" t="s">
        <v>1150</v>
      </c>
      <c r="D1108" s="238" t="s">
        <v>2420</v>
      </c>
      <c r="E1108" s="239" t="s">
        <v>1151</v>
      </c>
      <c r="F1108" s="245" t="s">
        <v>15</v>
      </c>
      <c r="G1108" s="245"/>
      <c r="H1108" s="239" t="s">
        <v>751</v>
      </c>
      <c r="I1108" s="246">
        <v>1439100</v>
      </c>
      <c r="J1108" s="246"/>
      <c r="K1108" s="242" t="s">
        <v>8</v>
      </c>
      <c r="L1108" s="243">
        <v>1098637.98</v>
      </c>
    </row>
    <row r="1109" spans="1:12" ht="61.2" x14ac:dyDescent="0.3">
      <c r="A1109" s="237" t="s">
        <v>135</v>
      </c>
      <c r="B1109" s="238" t="s">
        <v>2432</v>
      </c>
      <c r="C1109" s="238" t="s">
        <v>1150</v>
      </c>
      <c r="D1109" s="238" t="s">
        <v>2421</v>
      </c>
      <c r="E1109" s="239" t="s">
        <v>1151</v>
      </c>
      <c r="F1109" s="245" t="s">
        <v>15</v>
      </c>
      <c r="G1109" s="245"/>
      <c r="H1109" s="239" t="s">
        <v>751</v>
      </c>
      <c r="I1109" s="246">
        <v>1007496</v>
      </c>
      <c r="J1109" s="246"/>
      <c r="K1109" s="242" t="s">
        <v>8</v>
      </c>
      <c r="L1109" s="243">
        <v>91141.98</v>
      </c>
    </row>
    <row r="1110" spans="1:12" ht="51" x14ac:dyDescent="0.3">
      <c r="A1110" s="237" t="s">
        <v>135</v>
      </c>
      <c r="B1110" s="238" t="s">
        <v>1265</v>
      </c>
      <c r="C1110" s="238" t="s">
        <v>1266</v>
      </c>
      <c r="D1110" s="238" t="s">
        <v>1238</v>
      </c>
      <c r="E1110" s="239" t="s">
        <v>105</v>
      </c>
      <c r="F1110" s="245" t="s">
        <v>15</v>
      </c>
      <c r="G1110" s="245"/>
      <c r="H1110" s="239" t="s">
        <v>751</v>
      </c>
      <c r="I1110" s="246">
        <v>2826</v>
      </c>
      <c r="J1110" s="246"/>
      <c r="K1110" s="242" t="s">
        <v>8</v>
      </c>
      <c r="L1110" s="243">
        <v>4415212.53</v>
      </c>
    </row>
    <row r="1111" spans="1:12" ht="51" hidden="1" x14ac:dyDescent="0.3">
      <c r="A1111" s="237" t="s">
        <v>135</v>
      </c>
      <c r="B1111" s="238" t="s">
        <v>2433</v>
      </c>
      <c r="C1111" s="238" t="s">
        <v>2434</v>
      </c>
      <c r="D1111" s="238" t="s">
        <v>2435</v>
      </c>
      <c r="E1111" s="239" t="s">
        <v>751</v>
      </c>
      <c r="F1111" s="240">
        <v>118200</v>
      </c>
      <c r="G1111" s="240"/>
      <c r="H1111" s="239" t="s">
        <v>14</v>
      </c>
      <c r="I1111" s="241" t="s">
        <v>15</v>
      </c>
      <c r="J1111" s="241"/>
      <c r="K1111" s="242" t="s">
        <v>8</v>
      </c>
      <c r="L1111" s="243">
        <v>1922590.73</v>
      </c>
    </row>
    <row r="1112" spans="1:12" ht="51" hidden="1" x14ac:dyDescent="0.3">
      <c r="A1112" s="237" t="s">
        <v>135</v>
      </c>
      <c r="B1112" s="238" t="s">
        <v>2436</v>
      </c>
      <c r="C1112" s="238" t="s">
        <v>2437</v>
      </c>
      <c r="D1112" s="238" t="s">
        <v>2438</v>
      </c>
      <c r="E1112" s="239" t="s">
        <v>751</v>
      </c>
      <c r="F1112" s="240">
        <v>14800</v>
      </c>
      <c r="G1112" s="240"/>
      <c r="H1112" s="239" t="s">
        <v>14</v>
      </c>
      <c r="I1112" s="241" t="s">
        <v>15</v>
      </c>
      <c r="J1112" s="241"/>
      <c r="K1112" s="242" t="s">
        <v>8</v>
      </c>
      <c r="L1112" s="243">
        <v>520086.86</v>
      </c>
    </row>
    <row r="1113" spans="1:12" ht="61.2" hidden="1" x14ac:dyDescent="0.3">
      <c r="A1113" s="237" t="s">
        <v>135</v>
      </c>
      <c r="B1113" s="238" t="s">
        <v>2439</v>
      </c>
      <c r="C1113" s="238" t="s">
        <v>2440</v>
      </c>
      <c r="D1113" s="238" t="s">
        <v>2441</v>
      </c>
      <c r="E1113" s="239" t="s">
        <v>751</v>
      </c>
      <c r="F1113" s="240">
        <v>2975</v>
      </c>
      <c r="G1113" s="240"/>
      <c r="H1113" s="239" t="s">
        <v>14</v>
      </c>
      <c r="I1113" s="241" t="s">
        <v>15</v>
      </c>
      <c r="J1113" s="241"/>
      <c r="K1113" s="242" t="s">
        <v>8</v>
      </c>
      <c r="L1113" s="243">
        <v>5840784.1900000004</v>
      </c>
    </row>
    <row r="1114" spans="1:12" ht="61.2" hidden="1" x14ac:dyDescent="0.3">
      <c r="A1114" s="237" t="s">
        <v>135</v>
      </c>
      <c r="B1114" s="238" t="s">
        <v>2439</v>
      </c>
      <c r="C1114" s="238" t="s">
        <v>2442</v>
      </c>
      <c r="D1114" s="238" t="s">
        <v>2441</v>
      </c>
      <c r="E1114" s="239" t="s">
        <v>751</v>
      </c>
      <c r="F1114" s="240">
        <v>7475</v>
      </c>
      <c r="G1114" s="240"/>
      <c r="H1114" s="239" t="s">
        <v>14</v>
      </c>
      <c r="I1114" s="241" t="s">
        <v>15</v>
      </c>
      <c r="J1114" s="241"/>
      <c r="K1114" s="242" t="s">
        <v>8</v>
      </c>
      <c r="L1114" s="243">
        <v>5848259.1900000004</v>
      </c>
    </row>
    <row r="1115" spans="1:12" ht="61.2" hidden="1" x14ac:dyDescent="0.3">
      <c r="A1115" s="237" t="s">
        <v>135</v>
      </c>
      <c r="B1115" s="238" t="s">
        <v>2439</v>
      </c>
      <c r="C1115" s="238" t="s">
        <v>2443</v>
      </c>
      <c r="D1115" s="238" t="s">
        <v>2441</v>
      </c>
      <c r="E1115" s="239" t="s">
        <v>751</v>
      </c>
      <c r="F1115" s="240">
        <v>8456</v>
      </c>
      <c r="G1115" s="240"/>
      <c r="H1115" s="239" t="s">
        <v>14</v>
      </c>
      <c r="I1115" s="241" t="s">
        <v>15</v>
      </c>
      <c r="J1115" s="241"/>
      <c r="K1115" s="242" t="s">
        <v>8</v>
      </c>
      <c r="L1115" s="243">
        <v>5856715.1900000004</v>
      </c>
    </row>
    <row r="1116" spans="1:12" ht="61.2" hidden="1" x14ac:dyDescent="0.3">
      <c r="A1116" s="237" t="s">
        <v>135</v>
      </c>
      <c r="B1116" s="238" t="s">
        <v>2439</v>
      </c>
      <c r="C1116" s="238" t="s">
        <v>2444</v>
      </c>
      <c r="D1116" s="238" t="s">
        <v>2441</v>
      </c>
      <c r="E1116" s="239" t="s">
        <v>751</v>
      </c>
      <c r="F1116" s="240">
        <v>1208</v>
      </c>
      <c r="G1116" s="240"/>
      <c r="H1116" s="239" t="s">
        <v>14</v>
      </c>
      <c r="I1116" s="241" t="s">
        <v>15</v>
      </c>
      <c r="J1116" s="241"/>
      <c r="K1116" s="242" t="s">
        <v>8</v>
      </c>
      <c r="L1116" s="243">
        <v>5857923.1900000004</v>
      </c>
    </row>
    <row r="1117" spans="1:12" ht="71.400000000000006" hidden="1" x14ac:dyDescent="0.3">
      <c r="A1117" s="237" t="s">
        <v>135</v>
      </c>
      <c r="B1117" s="238" t="s">
        <v>2439</v>
      </c>
      <c r="C1117" s="238" t="s">
        <v>2445</v>
      </c>
      <c r="D1117" s="238" t="s">
        <v>2441</v>
      </c>
      <c r="E1117" s="239" t="s">
        <v>751</v>
      </c>
      <c r="F1117" s="240">
        <v>22498.6</v>
      </c>
      <c r="G1117" s="240"/>
      <c r="H1117" s="239" t="s">
        <v>14</v>
      </c>
      <c r="I1117" s="241" t="s">
        <v>15</v>
      </c>
      <c r="J1117" s="241"/>
      <c r="K1117" s="242" t="s">
        <v>8</v>
      </c>
      <c r="L1117" s="243">
        <v>5880421.79</v>
      </c>
    </row>
    <row r="1118" spans="1:12" ht="71.400000000000006" hidden="1" x14ac:dyDescent="0.3">
      <c r="A1118" s="237" t="s">
        <v>135</v>
      </c>
      <c r="B1118" s="238" t="s">
        <v>2439</v>
      </c>
      <c r="C1118" s="238" t="s">
        <v>2446</v>
      </c>
      <c r="D1118" s="238" t="s">
        <v>2441</v>
      </c>
      <c r="E1118" s="239" t="s">
        <v>751</v>
      </c>
      <c r="F1118" s="240">
        <v>19784.599999999999</v>
      </c>
      <c r="G1118" s="240"/>
      <c r="H1118" s="239" t="s">
        <v>14</v>
      </c>
      <c r="I1118" s="241" t="s">
        <v>15</v>
      </c>
      <c r="J1118" s="241"/>
      <c r="K1118" s="242" t="s">
        <v>8</v>
      </c>
      <c r="L1118" s="243">
        <v>5900206.3899999997</v>
      </c>
    </row>
    <row r="1119" spans="1:12" ht="71.400000000000006" hidden="1" x14ac:dyDescent="0.3">
      <c r="A1119" s="237" t="s">
        <v>135</v>
      </c>
      <c r="B1119" s="238" t="s">
        <v>2439</v>
      </c>
      <c r="C1119" s="238" t="s">
        <v>2447</v>
      </c>
      <c r="D1119" s="238" t="s">
        <v>2441</v>
      </c>
      <c r="E1119" s="239" t="s">
        <v>751</v>
      </c>
      <c r="F1119" s="240">
        <v>56830.7</v>
      </c>
      <c r="G1119" s="240"/>
      <c r="H1119" s="239" t="s">
        <v>14</v>
      </c>
      <c r="I1119" s="241" t="s">
        <v>15</v>
      </c>
      <c r="J1119" s="241"/>
      <c r="K1119" s="242" t="s">
        <v>8</v>
      </c>
      <c r="L1119" s="243">
        <v>5957037.0899999999</v>
      </c>
    </row>
    <row r="1120" spans="1:12" ht="71.400000000000006" hidden="1" x14ac:dyDescent="0.3">
      <c r="A1120" s="237" t="s">
        <v>135</v>
      </c>
      <c r="B1120" s="238" t="s">
        <v>2439</v>
      </c>
      <c r="C1120" s="238" t="s">
        <v>2448</v>
      </c>
      <c r="D1120" s="238" t="s">
        <v>2441</v>
      </c>
      <c r="E1120" s="239" t="s">
        <v>751</v>
      </c>
      <c r="F1120" s="240">
        <v>213741.3</v>
      </c>
      <c r="G1120" s="240"/>
      <c r="H1120" s="239" t="s">
        <v>14</v>
      </c>
      <c r="I1120" s="241" t="s">
        <v>15</v>
      </c>
      <c r="J1120" s="241"/>
      <c r="K1120" s="242" t="s">
        <v>8</v>
      </c>
      <c r="L1120" s="243">
        <v>6170778.3899999997</v>
      </c>
    </row>
    <row r="1121" spans="1:12" ht="71.400000000000006" hidden="1" x14ac:dyDescent="0.3">
      <c r="A1121" s="237" t="s">
        <v>135</v>
      </c>
      <c r="B1121" s="238" t="s">
        <v>2439</v>
      </c>
      <c r="C1121" s="238" t="s">
        <v>2449</v>
      </c>
      <c r="D1121" s="238" t="s">
        <v>2441</v>
      </c>
      <c r="E1121" s="239" t="s">
        <v>751</v>
      </c>
      <c r="F1121" s="240">
        <v>10149.9</v>
      </c>
      <c r="G1121" s="240"/>
      <c r="H1121" s="239" t="s">
        <v>14</v>
      </c>
      <c r="I1121" s="241" t="s">
        <v>15</v>
      </c>
      <c r="J1121" s="241"/>
      <c r="K1121" s="242" t="s">
        <v>8</v>
      </c>
      <c r="L1121" s="243">
        <v>6180928.29</v>
      </c>
    </row>
    <row r="1122" spans="1:12" ht="71.400000000000006" hidden="1" x14ac:dyDescent="0.3">
      <c r="A1122" s="237" t="s">
        <v>135</v>
      </c>
      <c r="B1122" s="238" t="s">
        <v>2439</v>
      </c>
      <c r="C1122" s="238" t="s">
        <v>2450</v>
      </c>
      <c r="D1122" s="238" t="s">
        <v>2441</v>
      </c>
      <c r="E1122" s="239" t="s">
        <v>751</v>
      </c>
      <c r="F1122" s="240">
        <v>108815.3</v>
      </c>
      <c r="G1122" s="240"/>
      <c r="H1122" s="239" t="s">
        <v>14</v>
      </c>
      <c r="I1122" s="241" t="s">
        <v>15</v>
      </c>
      <c r="J1122" s="241"/>
      <c r="K1122" s="242" t="s">
        <v>8</v>
      </c>
      <c r="L1122" s="243">
        <v>6289743.5899999999</v>
      </c>
    </row>
    <row r="1123" spans="1:12" ht="71.400000000000006" hidden="1" x14ac:dyDescent="0.3">
      <c r="A1123" s="237" t="s">
        <v>135</v>
      </c>
      <c r="B1123" s="238" t="s">
        <v>2451</v>
      </c>
      <c r="C1123" s="238" t="s">
        <v>2452</v>
      </c>
      <c r="D1123" s="238" t="s">
        <v>2441</v>
      </c>
      <c r="E1123" s="239" t="s">
        <v>751</v>
      </c>
      <c r="F1123" s="240">
        <v>14375.07</v>
      </c>
      <c r="G1123" s="240"/>
      <c r="H1123" s="239" t="s">
        <v>14</v>
      </c>
      <c r="I1123" s="241" t="s">
        <v>15</v>
      </c>
      <c r="J1123" s="241"/>
      <c r="K1123" s="242" t="s">
        <v>8</v>
      </c>
      <c r="L1123" s="243">
        <v>6304118.6600000001</v>
      </c>
    </row>
    <row r="1124" spans="1:12" ht="71.400000000000006" hidden="1" x14ac:dyDescent="0.3">
      <c r="A1124" s="237" t="s">
        <v>135</v>
      </c>
      <c r="B1124" s="238" t="s">
        <v>2439</v>
      </c>
      <c r="C1124" s="238" t="s">
        <v>2452</v>
      </c>
      <c r="D1124" s="238" t="s">
        <v>2441</v>
      </c>
      <c r="E1124" s="239" t="s">
        <v>751</v>
      </c>
      <c r="F1124" s="240">
        <v>4568.88</v>
      </c>
      <c r="G1124" s="240"/>
      <c r="H1124" s="239" t="s">
        <v>14</v>
      </c>
      <c r="I1124" s="241" t="s">
        <v>15</v>
      </c>
      <c r="J1124" s="241"/>
      <c r="K1124" s="242" t="s">
        <v>8</v>
      </c>
      <c r="L1124" s="243">
        <v>6308687.54</v>
      </c>
    </row>
    <row r="1125" spans="1:12" ht="51" hidden="1" x14ac:dyDescent="0.3">
      <c r="A1125" s="237" t="s">
        <v>135</v>
      </c>
      <c r="B1125" s="238" t="s">
        <v>2453</v>
      </c>
      <c r="C1125" s="238" t="s">
        <v>2434</v>
      </c>
      <c r="D1125" s="238" t="s">
        <v>2454</v>
      </c>
      <c r="E1125" s="239" t="s">
        <v>751</v>
      </c>
      <c r="F1125" s="240">
        <v>36850</v>
      </c>
      <c r="G1125" s="240"/>
      <c r="H1125" s="239" t="s">
        <v>14</v>
      </c>
      <c r="I1125" s="241" t="s">
        <v>15</v>
      </c>
      <c r="J1125" s="241"/>
      <c r="K1125" s="242" t="s">
        <v>8</v>
      </c>
      <c r="L1125" s="243">
        <v>1959440.73</v>
      </c>
    </row>
    <row r="1126" spans="1:12" ht="51" hidden="1" x14ac:dyDescent="0.3">
      <c r="A1126" s="237" t="s">
        <v>703</v>
      </c>
      <c r="B1126" s="238" t="s">
        <v>2455</v>
      </c>
      <c r="C1126" s="238" t="s">
        <v>2456</v>
      </c>
      <c r="D1126" s="238" t="s">
        <v>2457</v>
      </c>
      <c r="E1126" s="239" t="s">
        <v>751</v>
      </c>
      <c r="F1126" s="240">
        <v>94560</v>
      </c>
      <c r="G1126" s="240"/>
      <c r="H1126" s="239" t="s">
        <v>14</v>
      </c>
      <c r="I1126" s="241" t="s">
        <v>15</v>
      </c>
      <c r="J1126" s="241"/>
      <c r="K1126" s="242" t="s">
        <v>8</v>
      </c>
      <c r="L1126" s="243">
        <v>2054000.73</v>
      </c>
    </row>
    <row r="1127" spans="1:12" ht="51" hidden="1" x14ac:dyDescent="0.3">
      <c r="A1127" s="237" t="s">
        <v>703</v>
      </c>
      <c r="B1127" s="238" t="s">
        <v>2458</v>
      </c>
      <c r="C1127" s="238" t="s">
        <v>2459</v>
      </c>
      <c r="D1127" s="238" t="s">
        <v>2460</v>
      </c>
      <c r="E1127" s="239" t="s">
        <v>751</v>
      </c>
      <c r="F1127" s="240">
        <v>6120</v>
      </c>
      <c r="G1127" s="240"/>
      <c r="H1127" s="239" t="s">
        <v>14</v>
      </c>
      <c r="I1127" s="241" t="s">
        <v>15</v>
      </c>
      <c r="J1127" s="241"/>
      <c r="K1127" s="242" t="s">
        <v>8</v>
      </c>
      <c r="L1127" s="243">
        <v>526206.86</v>
      </c>
    </row>
    <row r="1128" spans="1:12" ht="61.2" hidden="1" x14ac:dyDescent="0.3">
      <c r="A1128" s="237" t="s">
        <v>703</v>
      </c>
      <c r="B1128" s="238" t="s">
        <v>2461</v>
      </c>
      <c r="C1128" s="238" t="s">
        <v>2462</v>
      </c>
      <c r="D1128" s="238" t="s">
        <v>2463</v>
      </c>
      <c r="E1128" s="239" t="s">
        <v>751</v>
      </c>
      <c r="F1128" s="240">
        <v>85346</v>
      </c>
      <c r="G1128" s="240"/>
      <c r="H1128" s="239" t="s">
        <v>14</v>
      </c>
      <c r="I1128" s="241" t="s">
        <v>15</v>
      </c>
      <c r="J1128" s="241"/>
      <c r="K1128" s="242" t="s">
        <v>8</v>
      </c>
      <c r="L1128" s="243">
        <v>6394033.54</v>
      </c>
    </row>
    <row r="1129" spans="1:12" ht="61.2" hidden="1" x14ac:dyDescent="0.3">
      <c r="A1129" s="237" t="s">
        <v>703</v>
      </c>
      <c r="B1129" s="238" t="s">
        <v>2461</v>
      </c>
      <c r="C1129" s="238" t="s">
        <v>2464</v>
      </c>
      <c r="D1129" s="238" t="s">
        <v>2463</v>
      </c>
      <c r="E1129" s="239" t="s">
        <v>751</v>
      </c>
      <c r="F1129" s="240">
        <v>2886</v>
      </c>
      <c r="G1129" s="240"/>
      <c r="H1129" s="239" t="s">
        <v>14</v>
      </c>
      <c r="I1129" s="241" t="s">
        <v>15</v>
      </c>
      <c r="J1129" s="241"/>
      <c r="K1129" s="242" t="s">
        <v>8</v>
      </c>
      <c r="L1129" s="243">
        <v>6396919.54</v>
      </c>
    </row>
    <row r="1130" spans="1:12" ht="61.2" hidden="1" x14ac:dyDescent="0.3">
      <c r="A1130" s="237" t="s">
        <v>703</v>
      </c>
      <c r="B1130" s="238" t="s">
        <v>2461</v>
      </c>
      <c r="C1130" s="238" t="s">
        <v>2465</v>
      </c>
      <c r="D1130" s="238" t="s">
        <v>2463</v>
      </c>
      <c r="E1130" s="239" t="s">
        <v>751</v>
      </c>
      <c r="F1130" s="240">
        <v>89140</v>
      </c>
      <c r="G1130" s="240"/>
      <c r="H1130" s="239" t="s">
        <v>14</v>
      </c>
      <c r="I1130" s="241" t="s">
        <v>15</v>
      </c>
      <c r="J1130" s="241"/>
      <c r="K1130" s="242" t="s">
        <v>8</v>
      </c>
      <c r="L1130" s="243">
        <v>6486059.54</v>
      </c>
    </row>
    <row r="1131" spans="1:12" ht="61.2" hidden="1" x14ac:dyDescent="0.3">
      <c r="A1131" s="237" t="s">
        <v>703</v>
      </c>
      <c r="B1131" s="238" t="s">
        <v>2461</v>
      </c>
      <c r="C1131" s="238" t="s">
        <v>2466</v>
      </c>
      <c r="D1131" s="238" t="s">
        <v>2463</v>
      </c>
      <c r="E1131" s="239" t="s">
        <v>751</v>
      </c>
      <c r="F1131" s="240">
        <v>3025.5</v>
      </c>
      <c r="G1131" s="240"/>
      <c r="H1131" s="239" t="s">
        <v>14</v>
      </c>
      <c r="I1131" s="241" t="s">
        <v>15</v>
      </c>
      <c r="J1131" s="241"/>
      <c r="K1131" s="242" t="s">
        <v>8</v>
      </c>
      <c r="L1131" s="243">
        <v>6489085.04</v>
      </c>
    </row>
    <row r="1132" spans="1:12" ht="61.2" hidden="1" x14ac:dyDescent="0.3">
      <c r="A1132" s="237" t="s">
        <v>703</v>
      </c>
      <c r="B1132" s="238" t="s">
        <v>2467</v>
      </c>
      <c r="C1132" s="238" t="s">
        <v>2468</v>
      </c>
      <c r="D1132" s="238" t="s">
        <v>2463</v>
      </c>
      <c r="E1132" s="239" t="s">
        <v>751</v>
      </c>
      <c r="F1132" s="240">
        <v>28442.1</v>
      </c>
      <c r="G1132" s="240"/>
      <c r="H1132" s="239" t="s">
        <v>14</v>
      </c>
      <c r="I1132" s="241" t="s">
        <v>15</v>
      </c>
      <c r="J1132" s="241"/>
      <c r="K1132" s="242" t="s">
        <v>8</v>
      </c>
      <c r="L1132" s="243">
        <v>6517527.1399999997</v>
      </c>
    </row>
    <row r="1133" spans="1:12" ht="61.2" hidden="1" x14ac:dyDescent="0.3">
      <c r="A1133" s="237" t="s">
        <v>703</v>
      </c>
      <c r="B1133" s="238" t="s">
        <v>2461</v>
      </c>
      <c r="C1133" s="238" t="s">
        <v>2468</v>
      </c>
      <c r="D1133" s="238" t="s">
        <v>2463</v>
      </c>
      <c r="E1133" s="239" t="s">
        <v>751</v>
      </c>
      <c r="F1133" s="240">
        <v>56903.9</v>
      </c>
      <c r="G1133" s="240"/>
      <c r="H1133" s="239" t="s">
        <v>14</v>
      </c>
      <c r="I1133" s="241" t="s">
        <v>15</v>
      </c>
      <c r="J1133" s="241"/>
      <c r="K1133" s="242" t="s">
        <v>8</v>
      </c>
      <c r="L1133" s="243">
        <v>6574431.04</v>
      </c>
    </row>
    <row r="1134" spans="1:12" ht="61.2" hidden="1" x14ac:dyDescent="0.3">
      <c r="A1134" s="237" t="s">
        <v>703</v>
      </c>
      <c r="B1134" s="238" t="s">
        <v>2467</v>
      </c>
      <c r="C1134" s="238" t="s">
        <v>2469</v>
      </c>
      <c r="D1134" s="238" t="s">
        <v>2463</v>
      </c>
      <c r="E1134" s="239" t="s">
        <v>751</v>
      </c>
      <c r="F1134" s="240">
        <v>2905.3</v>
      </c>
      <c r="G1134" s="240"/>
      <c r="H1134" s="239" t="s">
        <v>14</v>
      </c>
      <c r="I1134" s="241" t="s">
        <v>15</v>
      </c>
      <c r="J1134" s="241"/>
      <c r="K1134" s="242" t="s">
        <v>8</v>
      </c>
      <c r="L1134" s="243">
        <v>6577336.3399999999</v>
      </c>
    </row>
    <row r="1135" spans="1:12" ht="61.2" hidden="1" x14ac:dyDescent="0.3">
      <c r="A1135" s="237" t="s">
        <v>703</v>
      </c>
      <c r="B1135" s="238" t="s">
        <v>2467</v>
      </c>
      <c r="C1135" s="238" t="s">
        <v>2470</v>
      </c>
      <c r="D1135" s="238" t="s">
        <v>2463</v>
      </c>
      <c r="E1135" s="239" t="s">
        <v>751</v>
      </c>
      <c r="F1135" s="240">
        <v>38264</v>
      </c>
      <c r="G1135" s="240"/>
      <c r="H1135" s="239" t="s">
        <v>14</v>
      </c>
      <c r="I1135" s="241" t="s">
        <v>15</v>
      </c>
      <c r="J1135" s="241"/>
      <c r="K1135" s="242" t="s">
        <v>8</v>
      </c>
      <c r="L1135" s="243">
        <v>6615600.3399999999</v>
      </c>
    </row>
    <row r="1136" spans="1:12" ht="61.2" hidden="1" x14ac:dyDescent="0.3">
      <c r="A1136" s="237" t="s">
        <v>703</v>
      </c>
      <c r="B1136" s="238" t="s">
        <v>2467</v>
      </c>
      <c r="C1136" s="238" t="s">
        <v>2471</v>
      </c>
      <c r="D1136" s="238" t="s">
        <v>2463</v>
      </c>
      <c r="E1136" s="239" t="s">
        <v>751</v>
      </c>
      <c r="F1136" s="240">
        <v>1299.5999999999999</v>
      </c>
      <c r="G1136" s="240"/>
      <c r="H1136" s="239" t="s">
        <v>14</v>
      </c>
      <c r="I1136" s="241" t="s">
        <v>15</v>
      </c>
      <c r="J1136" s="241"/>
      <c r="K1136" s="242" t="s">
        <v>8</v>
      </c>
      <c r="L1136" s="243">
        <v>6616899.9400000004</v>
      </c>
    </row>
    <row r="1137" spans="1:12" ht="61.2" hidden="1" x14ac:dyDescent="0.3">
      <c r="A1137" s="237" t="s">
        <v>703</v>
      </c>
      <c r="B1137" s="238" t="s">
        <v>2467</v>
      </c>
      <c r="C1137" s="238" t="s">
        <v>2472</v>
      </c>
      <c r="D1137" s="238" t="s">
        <v>2463</v>
      </c>
      <c r="E1137" s="239" t="s">
        <v>751</v>
      </c>
      <c r="F1137" s="240">
        <v>2881.4</v>
      </c>
      <c r="G1137" s="240"/>
      <c r="H1137" s="239" t="s">
        <v>14</v>
      </c>
      <c r="I1137" s="241" t="s">
        <v>15</v>
      </c>
      <c r="J1137" s="241"/>
      <c r="K1137" s="242" t="s">
        <v>8</v>
      </c>
      <c r="L1137" s="243">
        <v>6619781.3399999999</v>
      </c>
    </row>
    <row r="1138" spans="1:12" ht="61.2" hidden="1" x14ac:dyDescent="0.3">
      <c r="A1138" s="237" t="s">
        <v>703</v>
      </c>
      <c r="B1138" s="238" t="s">
        <v>2467</v>
      </c>
      <c r="C1138" s="238" t="s">
        <v>2473</v>
      </c>
      <c r="D1138" s="238" t="s">
        <v>2463</v>
      </c>
      <c r="E1138" s="239" t="s">
        <v>751</v>
      </c>
      <c r="F1138" s="240">
        <v>4547.1000000000004</v>
      </c>
      <c r="G1138" s="240"/>
      <c r="H1138" s="239" t="s">
        <v>14</v>
      </c>
      <c r="I1138" s="241" t="s">
        <v>15</v>
      </c>
      <c r="J1138" s="241"/>
      <c r="K1138" s="242" t="s">
        <v>8</v>
      </c>
      <c r="L1138" s="243">
        <v>6624328.4400000004</v>
      </c>
    </row>
    <row r="1139" spans="1:12" ht="61.2" hidden="1" x14ac:dyDescent="0.3">
      <c r="A1139" s="237" t="s">
        <v>703</v>
      </c>
      <c r="B1139" s="238" t="s">
        <v>2467</v>
      </c>
      <c r="C1139" s="238" t="s">
        <v>2473</v>
      </c>
      <c r="D1139" s="238" t="s">
        <v>2463</v>
      </c>
      <c r="E1139" s="239" t="s">
        <v>751</v>
      </c>
      <c r="F1139" s="240">
        <v>9714</v>
      </c>
      <c r="G1139" s="240"/>
      <c r="H1139" s="239" t="s">
        <v>14</v>
      </c>
      <c r="I1139" s="241" t="s">
        <v>15</v>
      </c>
      <c r="J1139" s="241"/>
      <c r="K1139" s="242" t="s">
        <v>8</v>
      </c>
      <c r="L1139" s="243">
        <v>6634042.4400000004</v>
      </c>
    </row>
    <row r="1140" spans="1:12" ht="61.2" hidden="1" x14ac:dyDescent="0.3">
      <c r="A1140" s="237" t="s">
        <v>703</v>
      </c>
      <c r="B1140" s="238" t="s">
        <v>2467</v>
      </c>
      <c r="C1140" s="238" t="s">
        <v>2474</v>
      </c>
      <c r="D1140" s="238" t="s">
        <v>2463</v>
      </c>
      <c r="E1140" s="239" t="s">
        <v>751</v>
      </c>
      <c r="F1140" s="240">
        <v>4932.6000000000004</v>
      </c>
      <c r="G1140" s="240"/>
      <c r="H1140" s="239" t="s">
        <v>14</v>
      </c>
      <c r="I1140" s="241" t="s">
        <v>15</v>
      </c>
      <c r="J1140" s="241"/>
      <c r="K1140" s="242" t="s">
        <v>8</v>
      </c>
      <c r="L1140" s="243">
        <v>6638975.04</v>
      </c>
    </row>
    <row r="1141" spans="1:12" ht="61.2" hidden="1" x14ac:dyDescent="0.3">
      <c r="A1141" s="237" t="s">
        <v>703</v>
      </c>
      <c r="B1141" s="238" t="s">
        <v>2467</v>
      </c>
      <c r="C1141" s="238" t="s">
        <v>2474</v>
      </c>
      <c r="D1141" s="238" t="s">
        <v>2463</v>
      </c>
      <c r="E1141" s="239" t="s">
        <v>751</v>
      </c>
      <c r="F1141" s="240">
        <v>4907.1000000000004</v>
      </c>
      <c r="G1141" s="240"/>
      <c r="H1141" s="239" t="s">
        <v>14</v>
      </c>
      <c r="I1141" s="241" t="s">
        <v>15</v>
      </c>
      <c r="J1141" s="241"/>
      <c r="K1141" s="242" t="s">
        <v>8</v>
      </c>
      <c r="L1141" s="243">
        <v>6643882.1399999997</v>
      </c>
    </row>
    <row r="1142" spans="1:12" ht="61.2" hidden="1" x14ac:dyDescent="0.3">
      <c r="A1142" s="237" t="s">
        <v>703</v>
      </c>
      <c r="B1142" s="238" t="s">
        <v>2467</v>
      </c>
      <c r="C1142" s="238" t="s">
        <v>2475</v>
      </c>
      <c r="D1142" s="238" t="s">
        <v>2463</v>
      </c>
      <c r="E1142" s="239" t="s">
        <v>751</v>
      </c>
      <c r="F1142" s="240">
        <v>5047.3999999999996</v>
      </c>
      <c r="G1142" s="240"/>
      <c r="H1142" s="239" t="s">
        <v>14</v>
      </c>
      <c r="I1142" s="241" t="s">
        <v>15</v>
      </c>
      <c r="J1142" s="241"/>
      <c r="K1142" s="242" t="s">
        <v>8</v>
      </c>
      <c r="L1142" s="243">
        <v>6648929.54</v>
      </c>
    </row>
    <row r="1143" spans="1:12" ht="61.2" hidden="1" x14ac:dyDescent="0.3">
      <c r="A1143" s="237" t="s">
        <v>703</v>
      </c>
      <c r="B1143" s="238" t="s">
        <v>2467</v>
      </c>
      <c r="C1143" s="238" t="s">
        <v>2476</v>
      </c>
      <c r="D1143" s="238" t="s">
        <v>2463</v>
      </c>
      <c r="E1143" s="239" t="s">
        <v>751</v>
      </c>
      <c r="F1143" s="240">
        <v>3264.5</v>
      </c>
      <c r="G1143" s="240"/>
      <c r="H1143" s="239" t="s">
        <v>14</v>
      </c>
      <c r="I1143" s="241" t="s">
        <v>15</v>
      </c>
      <c r="J1143" s="241"/>
      <c r="K1143" s="242" t="s">
        <v>8</v>
      </c>
      <c r="L1143" s="243">
        <v>6652194.04</v>
      </c>
    </row>
    <row r="1144" spans="1:12" ht="61.2" hidden="1" x14ac:dyDescent="0.3">
      <c r="A1144" s="237" t="s">
        <v>703</v>
      </c>
      <c r="B1144" s="238" t="s">
        <v>2467</v>
      </c>
      <c r="C1144" s="238" t="s">
        <v>2477</v>
      </c>
      <c r="D1144" s="238" t="s">
        <v>2463</v>
      </c>
      <c r="E1144" s="239" t="s">
        <v>751</v>
      </c>
      <c r="F1144" s="240">
        <v>1211.8</v>
      </c>
      <c r="G1144" s="240"/>
      <c r="H1144" s="239" t="s">
        <v>14</v>
      </c>
      <c r="I1144" s="241" t="s">
        <v>15</v>
      </c>
      <c r="J1144" s="241"/>
      <c r="K1144" s="242" t="s">
        <v>8</v>
      </c>
      <c r="L1144" s="243">
        <v>6653405.8399999999</v>
      </c>
    </row>
    <row r="1145" spans="1:12" ht="61.2" hidden="1" x14ac:dyDescent="0.3">
      <c r="A1145" s="237" t="s">
        <v>703</v>
      </c>
      <c r="B1145" s="238" t="s">
        <v>2467</v>
      </c>
      <c r="C1145" s="238" t="s">
        <v>2478</v>
      </c>
      <c r="D1145" s="238" t="s">
        <v>2463</v>
      </c>
      <c r="E1145" s="239" t="s">
        <v>751</v>
      </c>
      <c r="F1145" s="240">
        <v>9637</v>
      </c>
      <c r="G1145" s="240"/>
      <c r="H1145" s="239" t="s">
        <v>14</v>
      </c>
      <c r="I1145" s="241" t="s">
        <v>15</v>
      </c>
      <c r="J1145" s="241"/>
      <c r="K1145" s="242" t="s">
        <v>8</v>
      </c>
      <c r="L1145" s="243">
        <v>6663042.8399999999</v>
      </c>
    </row>
    <row r="1146" spans="1:12" ht="61.2" hidden="1" x14ac:dyDescent="0.3">
      <c r="A1146" s="237" t="s">
        <v>703</v>
      </c>
      <c r="B1146" s="238" t="s">
        <v>2467</v>
      </c>
      <c r="C1146" s="238" t="s">
        <v>2478</v>
      </c>
      <c r="D1146" s="238" t="s">
        <v>2463</v>
      </c>
      <c r="E1146" s="239" t="s">
        <v>751</v>
      </c>
      <c r="F1146" s="240">
        <v>4021.4</v>
      </c>
      <c r="G1146" s="240"/>
      <c r="H1146" s="239" t="s">
        <v>14</v>
      </c>
      <c r="I1146" s="241" t="s">
        <v>15</v>
      </c>
      <c r="J1146" s="241"/>
      <c r="K1146" s="242" t="s">
        <v>8</v>
      </c>
      <c r="L1146" s="243">
        <v>6667064.2400000002</v>
      </c>
    </row>
    <row r="1147" spans="1:12" ht="61.2" hidden="1" x14ac:dyDescent="0.3">
      <c r="A1147" s="237" t="s">
        <v>703</v>
      </c>
      <c r="B1147" s="238" t="s">
        <v>2467</v>
      </c>
      <c r="C1147" s="238" t="s">
        <v>2479</v>
      </c>
      <c r="D1147" s="238" t="s">
        <v>2463</v>
      </c>
      <c r="E1147" s="239" t="s">
        <v>751</v>
      </c>
      <c r="F1147" s="240">
        <v>3233.6</v>
      </c>
      <c r="G1147" s="240"/>
      <c r="H1147" s="239" t="s">
        <v>14</v>
      </c>
      <c r="I1147" s="241" t="s">
        <v>15</v>
      </c>
      <c r="J1147" s="241"/>
      <c r="K1147" s="242" t="s">
        <v>8</v>
      </c>
      <c r="L1147" s="243">
        <v>6670297.8399999999</v>
      </c>
    </row>
    <row r="1148" spans="1:12" ht="61.2" hidden="1" x14ac:dyDescent="0.3">
      <c r="A1148" s="237" t="s">
        <v>703</v>
      </c>
      <c r="B1148" s="238" t="s">
        <v>2467</v>
      </c>
      <c r="C1148" s="238" t="s">
        <v>2478</v>
      </c>
      <c r="D1148" s="238" t="s">
        <v>2463</v>
      </c>
      <c r="E1148" s="239" t="s">
        <v>751</v>
      </c>
      <c r="F1148" s="240">
        <v>3800.2</v>
      </c>
      <c r="G1148" s="240"/>
      <c r="H1148" s="239" t="s">
        <v>14</v>
      </c>
      <c r="I1148" s="241" t="s">
        <v>15</v>
      </c>
      <c r="J1148" s="241"/>
      <c r="K1148" s="242" t="s">
        <v>8</v>
      </c>
      <c r="L1148" s="243">
        <v>6674098.04</v>
      </c>
    </row>
    <row r="1149" spans="1:12" ht="61.2" hidden="1" x14ac:dyDescent="0.3">
      <c r="A1149" s="237" t="s">
        <v>703</v>
      </c>
      <c r="B1149" s="238" t="s">
        <v>2467</v>
      </c>
      <c r="C1149" s="238" t="s">
        <v>2479</v>
      </c>
      <c r="D1149" s="238" t="s">
        <v>2463</v>
      </c>
      <c r="E1149" s="239" t="s">
        <v>751</v>
      </c>
      <c r="F1149" s="240">
        <v>5030.5</v>
      </c>
      <c r="G1149" s="240"/>
      <c r="H1149" s="239" t="s">
        <v>14</v>
      </c>
      <c r="I1149" s="241" t="s">
        <v>15</v>
      </c>
      <c r="J1149" s="241"/>
      <c r="K1149" s="242" t="s">
        <v>8</v>
      </c>
      <c r="L1149" s="243">
        <v>6679128.54</v>
      </c>
    </row>
    <row r="1150" spans="1:12" ht="61.2" hidden="1" x14ac:dyDescent="0.3">
      <c r="A1150" s="237" t="s">
        <v>703</v>
      </c>
      <c r="B1150" s="238" t="s">
        <v>2467</v>
      </c>
      <c r="C1150" s="238" t="s">
        <v>2480</v>
      </c>
      <c r="D1150" s="238" t="s">
        <v>2463</v>
      </c>
      <c r="E1150" s="239" t="s">
        <v>751</v>
      </c>
      <c r="F1150" s="240">
        <v>2368.8000000000002</v>
      </c>
      <c r="G1150" s="240"/>
      <c r="H1150" s="239" t="s">
        <v>14</v>
      </c>
      <c r="I1150" s="241" t="s">
        <v>15</v>
      </c>
      <c r="J1150" s="241"/>
      <c r="K1150" s="242" t="s">
        <v>8</v>
      </c>
      <c r="L1150" s="243">
        <v>6681497.3399999999</v>
      </c>
    </row>
    <row r="1151" spans="1:12" ht="61.2" hidden="1" x14ac:dyDescent="0.3">
      <c r="A1151" s="237" t="s">
        <v>703</v>
      </c>
      <c r="B1151" s="238" t="s">
        <v>2467</v>
      </c>
      <c r="C1151" s="238" t="s">
        <v>2481</v>
      </c>
      <c r="D1151" s="238" t="s">
        <v>2463</v>
      </c>
      <c r="E1151" s="239" t="s">
        <v>751</v>
      </c>
      <c r="F1151" s="240">
        <v>1478.5</v>
      </c>
      <c r="G1151" s="240"/>
      <c r="H1151" s="239" t="s">
        <v>14</v>
      </c>
      <c r="I1151" s="241" t="s">
        <v>15</v>
      </c>
      <c r="J1151" s="241"/>
      <c r="K1151" s="242" t="s">
        <v>8</v>
      </c>
      <c r="L1151" s="243">
        <v>6682975.8399999999</v>
      </c>
    </row>
    <row r="1152" spans="1:12" ht="61.2" hidden="1" x14ac:dyDescent="0.3">
      <c r="A1152" s="237" t="s">
        <v>703</v>
      </c>
      <c r="B1152" s="238" t="s">
        <v>2467</v>
      </c>
      <c r="C1152" s="238" t="s">
        <v>2482</v>
      </c>
      <c r="D1152" s="238" t="s">
        <v>2463</v>
      </c>
      <c r="E1152" s="239" t="s">
        <v>751</v>
      </c>
      <c r="F1152" s="240">
        <v>4107.8</v>
      </c>
      <c r="G1152" s="240"/>
      <c r="H1152" s="239" t="s">
        <v>14</v>
      </c>
      <c r="I1152" s="241" t="s">
        <v>15</v>
      </c>
      <c r="J1152" s="241"/>
      <c r="K1152" s="242" t="s">
        <v>8</v>
      </c>
      <c r="L1152" s="243">
        <v>6687083.6399999997</v>
      </c>
    </row>
    <row r="1153" spans="1:12" ht="61.2" hidden="1" x14ac:dyDescent="0.3">
      <c r="A1153" s="237" t="s">
        <v>703</v>
      </c>
      <c r="B1153" s="238" t="s">
        <v>2467</v>
      </c>
      <c r="C1153" s="238" t="s">
        <v>2482</v>
      </c>
      <c r="D1153" s="238" t="s">
        <v>2463</v>
      </c>
      <c r="E1153" s="239" t="s">
        <v>751</v>
      </c>
      <c r="F1153" s="240">
        <v>25719.599999999999</v>
      </c>
      <c r="G1153" s="240"/>
      <c r="H1153" s="239" t="s">
        <v>14</v>
      </c>
      <c r="I1153" s="241" t="s">
        <v>15</v>
      </c>
      <c r="J1153" s="241"/>
      <c r="K1153" s="242" t="s">
        <v>8</v>
      </c>
      <c r="L1153" s="243">
        <v>6712803.2400000002</v>
      </c>
    </row>
    <row r="1154" spans="1:12" ht="61.2" hidden="1" x14ac:dyDescent="0.3">
      <c r="A1154" s="237" t="s">
        <v>703</v>
      </c>
      <c r="B1154" s="238" t="s">
        <v>2467</v>
      </c>
      <c r="C1154" s="238" t="s">
        <v>2483</v>
      </c>
      <c r="D1154" s="238" t="s">
        <v>2463</v>
      </c>
      <c r="E1154" s="239" t="s">
        <v>751</v>
      </c>
      <c r="F1154" s="240">
        <v>2489.8000000000002</v>
      </c>
      <c r="G1154" s="240"/>
      <c r="H1154" s="239" t="s">
        <v>14</v>
      </c>
      <c r="I1154" s="241" t="s">
        <v>15</v>
      </c>
      <c r="J1154" s="241"/>
      <c r="K1154" s="242" t="s">
        <v>8</v>
      </c>
      <c r="L1154" s="243">
        <v>6715293.04</v>
      </c>
    </row>
    <row r="1155" spans="1:12" ht="61.2" hidden="1" x14ac:dyDescent="0.3">
      <c r="A1155" s="237" t="s">
        <v>703</v>
      </c>
      <c r="B1155" s="238" t="s">
        <v>2467</v>
      </c>
      <c r="C1155" s="238" t="s">
        <v>2484</v>
      </c>
      <c r="D1155" s="238" t="s">
        <v>2463</v>
      </c>
      <c r="E1155" s="239" t="s">
        <v>751</v>
      </c>
      <c r="F1155" s="240">
        <v>2967.7</v>
      </c>
      <c r="G1155" s="240"/>
      <c r="H1155" s="239" t="s">
        <v>14</v>
      </c>
      <c r="I1155" s="241" t="s">
        <v>15</v>
      </c>
      <c r="J1155" s="241"/>
      <c r="K1155" s="242" t="s">
        <v>8</v>
      </c>
      <c r="L1155" s="243">
        <v>6718260.7400000002</v>
      </c>
    </row>
    <row r="1156" spans="1:12" ht="61.2" hidden="1" x14ac:dyDescent="0.3">
      <c r="A1156" s="237" t="s">
        <v>703</v>
      </c>
      <c r="B1156" s="238" t="s">
        <v>2467</v>
      </c>
      <c r="C1156" s="238" t="s">
        <v>2484</v>
      </c>
      <c r="D1156" s="238" t="s">
        <v>2463</v>
      </c>
      <c r="E1156" s="239" t="s">
        <v>751</v>
      </c>
      <c r="F1156" s="240">
        <v>12589.2</v>
      </c>
      <c r="G1156" s="240"/>
      <c r="H1156" s="239" t="s">
        <v>14</v>
      </c>
      <c r="I1156" s="241" t="s">
        <v>15</v>
      </c>
      <c r="J1156" s="241"/>
      <c r="K1156" s="242" t="s">
        <v>8</v>
      </c>
      <c r="L1156" s="243">
        <v>6730849.9400000004</v>
      </c>
    </row>
    <row r="1157" spans="1:12" ht="61.2" hidden="1" x14ac:dyDescent="0.3">
      <c r="A1157" s="237" t="s">
        <v>703</v>
      </c>
      <c r="B1157" s="238" t="s">
        <v>2467</v>
      </c>
      <c r="C1157" s="238" t="s">
        <v>2485</v>
      </c>
      <c r="D1157" s="238" t="s">
        <v>2463</v>
      </c>
      <c r="E1157" s="239" t="s">
        <v>751</v>
      </c>
      <c r="F1157" s="240">
        <v>3224.4</v>
      </c>
      <c r="G1157" s="240"/>
      <c r="H1157" s="239" t="s">
        <v>14</v>
      </c>
      <c r="I1157" s="241" t="s">
        <v>15</v>
      </c>
      <c r="J1157" s="241"/>
      <c r="K1157" s="242" t="s">
        <v>8</v>
      </c>
      <c r="L1157" s="243">
        <v>6734074.3399999999</v>
      </c>
    </row>
    <row r="1158" spans="1:12" ht="61.2" hidden="1" x14ac:dyDescent="0.3">
      <c r="A1158" s="237" t="s">
        <v>703</v>
      </c>
      <c r="B1158" s="238" t="s">
        <v>2467</v>
      </c>
      <c r="C1158" s="238" t="s">
        <v>2485</v>
      </c>
      <c r="D1158" s="238" t="s">
        <v>2463</v>
      </c>
      <c r="E1158" s="239" t="s">
        <v>751</v>
      </c>
      <c r="F1158" s="240">
        <v>3197.4</v>
      </c>
      <c r="G1158" s="240"/>
      <c r="H1158" s="239" t="s">
        <v>14</v>
      </c>
      <c r="I1158" s="241" t="s">
        <v>15</v>
      </c>
      <c r="J1158" s="241"/>
      <c r="K1158" s="242" t="s">
        <v>8</v>
      </c>
      <c r="L1158" s="243">
        <v>6737271.7400000002</v>
      </c>
    </row>
    <row r="1159" spans="1:12" ht="61.2" hidden="1" x14ac:dyDescent="0.3">
      <c r="A1159" s="237" t="s">
        <v>703</v>
      </c>
      <c r="B1159" s="238" t="s">
        <v>2467</v>
      </c>
      <c r="C1159" s="238" t="s">
        <v>2486</v>
      </c>
      <c r="D1159" s="238" t="s">
        <v>2463</v>
      </c>
      <c r="E1159" s="239" t="s">
        <v>751</v>
      </c>
      <c r="F1159" s="240">
        <v>1773.7</v>
      </c>
      <c r="G1159" s="240"/>
      <c r="H1159" s="239" t="s">
        <v>14</v>
      </c>
      <c r="I1159" s="241" t="s">
        <v>15</v>
      </c>
      <c r="J1159" s="241"/>
      <c r="K1159" s="242" t="s">
        <v>8</v>
      </c>
      <c r="L1159" s="243">
        <v>6739045.4400000004</v>
      </c>
    </row>
    <row r="1160" spans="1:12" ht="61.2" hidden="1" x14ac:dyDescent="0.3">
      <c r="A1160" s="237" t="s">
        <v>703</v>
      </c>
      <c r="B1160" s="238" t="s">
        <v>2467</v>
      </c>
      <c r="C1160" s="238" t="s">
        <v>2487</v>
      </c>
      <c r="D1160" s="238" t="s">
        <v>2463</v>
      </c>
      <c r="E1160" s="239" t="s">
        <v>751</v>
      </c>
      <c r="F1160" s="240">
        <v>18894.8</v>
      </c>
      <c r="G1160" s="240"/>
      <c r="H1160" s="239" t="s">
        <v>14</v>
      </c>
      <c r="I1160" s="241" t="s">
        <v>15</v>
      </c>
      <c r="J1160" s="241"/>
      <c r="K1160" s="242" t="s">
        <v>8</v>
      </c>
      <c r="L1160" s="243">
        <v>6757940.2400000002</v>
      </c>
    </row>
    <row r="1161" spans="1:12" ht="61.2" hidden="1" x14ac:dyDescent="0.3">
      <c r="A1161" s="237" t="s">
        <v>703</v>
      </c>
      <c r="B1161" s="238" t="s">
        <v>2467</v>
      </c>
      <c r="C1161" s="238" t="s">
        <v>2487</v>
      </c>
      <c r="D1161" s="238" t="s">
        <v>2463</v>
      </c>
      <c r="E1161" s="239" t="s">
        <v>751</v>
      </c>
      <c r="F1161" s="240">
        <v>3926.6</v>
      </c>
      <c r="G1161" s="240"/>
      <c r="H1161" s="239" t="s">
        <v>14</v>
      </c>
      <c r="I1161" s="241" t="s">
        <v>15</v>
      </c>
      <c r="J1161" s="241"/>
      <c r="K1161" s="242" t="s">
        <v>8</v>
      </c>
      <c r="L1161" s="243">
        <v>6761866.8399999999</v>
      </c>
    </row>
    <row r="1162" spans="1:12" ht="61.2" hidden="1" x14ac:dyDescent="0.3">
      <c r="A1162" s="237" t="s">
        <v>703</v>
      </c>
      <c r="B1162" s="238" t="s">
        <v>2467</v>
      </c>
      <c r="C1162" s="238" t="s">
        <v>2488</v>
      </c>
      <c r="D1162" s="238" t="s">
        <v>2463</v>
      </c>
      <c r="E1162" s="239" t="s">
        <v>751</v>
      </c>
      <c r="F1162" s="240">
        <v>3135.8</v>
      </c>
      <c r="G1162" s="240"/>
      <c r="H1162" s="239" t="s">
        <v>14</v>
      </c>
      <c r="I1162" s="241" t="s">
        <v>15</v>
      </c>
      <c r="J1162" s="241"/>
      <c r="K1162" s="242" t="s">
        <v>8</v>
      </c>
      <c r="L1162" s="243">
        <v>6765002.6399999997</v>
      </c>
    </row>
    <row r="1163" spans="1:12" ht="61.2" hidden="1" x14ac:dyDescent="0.3">
      <c r="A1163" s="237" t="s">
        <v>703</v>
      </c>
      <c r="B1163" s="238" t="s">
        <v>2467</v>
      </c>
      <c r="C1163" s="238" t="s">
        <v>2487</v>
      </c>
      <c r="D1163" s="238" t="s">
        <v>2463</v>
      </c>
      <c r="E1163" s="239" t="s">
        <v>751</v>
      </c>
      <c r="F1163" s="240">
        <v>3705.4</v>
      </c>
      <c r="G1163" s="240"/>
      <c r="H1163" s="239" t="s">
        <v>14</v>
      </c>
      <c r="I1163" s="241" t="s">
        <v>15</v>
      </c>
      <c r="J1163" s="241"/>
      <c r="K1163" s="242" t="s">
        <v>8</v>
      </c>
      <c r="L1163" s="243">
        <v>6768708.04</v>
      </c>
    </row>
    <row r="1164" spans="1:12" ht="61.2" hidden="1" x14ac:dyDescent="0.3">
      <c r="A1164" s="237" t="s">
        <v>703</v>
      </c>
      <c r="B1164" s="238" t="s">
        <v>2467</v>
      </c>
      <c r="C1164" s="238" t="s">
        <v>2489</v>
      </c>
      <c r="D1164" s="238" t="s">
        <v>2463</v>
      </c>
      <c r="E1164" s="239" t="s">
        <v>751</v>
      </c>
      <c r="F1164" s="240">
        <v>2969.3</v>
      </c>
      <c r="G1164" s="240"/>
      <c r="H1164" s="239" t="s">
        <v>14</v>
      </c>
      <c r="I1164" s="241" t="s">
        <v>15</v>
      </c>
      <c r="J1164" s="241"/>
      <c r="K1164" s="242" t="s">
        <v>8</v>
      </c>
      <c r="L1164" s="243">
        <v>6771677.3399999999</v>
      </c>
    </row>
    <row r="1165" spans="1:12" ht="61.2" hidden="1" x14ac:dyDescent="0.3">
      <c r="A1165" s="237" t="s">
        <v>703</v>
      </c>
      <c r="B1165" s="238" t="s">
        <v>2467</v>
      </c>
      <c r="C1165" s="238" t="s">
        <v>2490</v>
      </c>
      <c r="D1165" s="238" t="s">
        <v>2463</v>
      </c>
      <c r="E1165" s="239" t="s">
        <v>751</v>
      </c>
      <c r="F1165" s="240">
        <v>27216.7</v>
      </c>
      <c r="G1165" s="240"/>
      <c r="H1165" s="239" t="s">
        <v>14</v>
      </c>
      <c r="I1165" s="241" t="s">
        <v>15</v>
      </c>
      <c r="J1165" s="241"/>
      <c r="K1165" s="242" t="s">
        <v>8</v>
      </c>
      <c r="L1165" s="243">
        <v>6798894.04</v>
      </c>
    </row>
    <row r="1166" spans="1:12" ht="61.2" hidden="1" x14ac:dyDescent="0.3">
      <c r="A1166" s="237" t="s">
        <v>703</v>
      </c>
      <c r="B1166" s="238" t="s">
        <v>2467</v>
      </c>
      <c r="C1166" s="238" t="s">
        <v>2491</v>
      </c>
      <c r="D1166" s="238" t="s">
        <v>2463</v>
      </c>
      <c r="E1166" s="239" t="s">
        <v>751</v>
      </c>
      <c r="F1166" s="240">
        <v>2452.8000000000002</v>
      </c>
      <c r="G1166" s="240"/>
      <c r="H1166" s="239" t="s">
        <v>14</v>
      </c>
      <c r="I1166" s="241" t="s">
        <v>15</v>
      </c>
      <c r="J1166" s="241"/>
      <c r="K1166" s="242" t="s">
        <v>8</v>
      </c>
      <c r="L1166" s="243">
        <v>6801346.8399999999</v>
      </c>
    </row>
    <row r="1167" spans="1:12" ht="61.2" hidden="1" x14ac:dyDescent="0.3">
      <c r="A1167" s="237" t="s">
        <v>703</v>
      </c>
      <c r="B1167" s="238" t="s">
        <v>2467</v>
      </c>
      <c r="C1167" s="238" t="s">
        <v>2492</v>
      </c>
      <c r="D1167" s="238" t="s">
        <v>2463</v>
      </c>
      <c r="E1167" s="239" t="s">
        <v>751</v>
      </c>
      <c r="F1167" s="240">
        <v>1734.4</v>
      </c>
      <c r="G1167" s="240"/>
      <c r="H1167" s="239" t="s">
        <v>14</v>
      </c>
      <c r="I1167" s="241" t="s">
        <v>15</v>
      </c>
      <c r="J1167" s="241"/>
      <c r="K1167" s="242" t="s">
        <v>8</v>
      </c>
      <c r="L1167" s="243">
        <v>6803081.2400000002</v>
      </c>
    </row>
    <row r="1168" spans="1:12" ht="61.2" hidden="1" x14ac:dyDescent="0.3">
      <c r="A1168" s="237" t="s">
        <v>703</v>
      </c>
      <c r="B1168" s="238" t="s">
        <v>2467</v>
      </c>
      <c r="C1168" s="238" t="s">
        <v>2492</v>
      </c>
      <c r="D1168" s="238" t="s">
        <v>2463</v>
      </c>
      <c r="E1168" s="239" t="s">
        <v>751</v>
      </c>
      <c r="F1168" s="240">
        <v>13392.4</v>
      </c>
      <c r="G1168" s="240"/>
      <c r="H1168" s="239" t="s">
        <v>14</v>
      </c>
      <c r="I1168" s="241" t="s">
        <v>15</v>
      </c>
      <c r="J1168" s="241"/>
      <c r="K1168" s="242" t="s">
        <v>8</v>
      </c>
      <c r="L1168" s="243">
        <v>6816473.6399999997</v>
      </c>
    </row>
    <row r="1169" spans="1:12" ht="61.2" hidden="1" x14ac:dyDescent="0.3">
      <c r="A1169" s="237" t="s">
        <v>703</v>
      </c>
      <c r="B1169" s="238" t="s">
        <v>2467</v>
      </c>
      <c r="C1169" s="238" t="s">
        <v>2493</v>
      </c>
      <c r="D1169" s="238" t="s">
        <v>2463</v>
      </c>
      <c r="E1169" s="239" t="s">
        <v>751</v>
      </c>
      <c r="F1169" s="244">
        <v>998.2</v>
      </c>
      <c r="G1169" s="244"/>
      <c r="H1169" s="239" t="s">
        <v>14</v>
      </c>
      <c r="I1169" s="241" t="s">
        <v>15</v>
      </c>
      <c r="J1169" s="241"/>
      <c r="K1169" s="242" t="s">
        <v>8</v>
      </c>
      <c r="L1169" s="243">
        <v>6817471.8399999999</v>
      </c>
    </row>
    <row r="1170" spans="1:12" ht="61.2" hidden="1" x14ac:dyDescent="0.3">
      <c r="A1170" s="237" t="s">
        <v>703</v>
      </c>
      <c r="B1170" s="238" t="s">
        <v>2467</v>
      </c>
      <c r="C1170" s="238" t="s">
        <v>2494</v>
      </c>
      <c r="D1170" s="238" t="s">
        <v>2463</v>
      </c>
      <c r="E1170" s="239" t="s">
        <v>751</v>
      </c>
      <c r="F1170" s="240">
        <v>3010.1</v>
      </c>
      <c r="G1170" s="240"/>
      <c r="H1170" s="239" t="s">
        <v>14</v>
      </c>
      <c r="I1170" s="241" t="s">
        <v>15</v>
      </c>
      <c r="J1170" s="241"/>
      <c r="K1170" s="242" t="s">
        <v>8</v>
      </c>
      <c r="L1170" s="243">
        <v>6820481.9400000004</v>
      </c>
    </row>
    <row r="1171" spans="1:12" ht="61.2" hidden="1" x14ac:dyDescent="0.3">
      <c r="A1171" s="237" t="s">
        <v>703</v>
      </c>
      <c r="B1171" s="238" t="s">
        <v>2467</v>
      </c>
      <c r="C1171" s="238" t="s">
        <v>2495</v>
      </c>
      <c r="D1171" s="238" t="s">
        <v>2463</v>
      </c>
      <c r="E1171" s="239" t="s">
        <v>751</v>
      </c>
      <c r="F1171" s="240">
        <v>21617.4</v>
      </c>
      <c r="G1171" s="240"/>
      <c r="H1171" s="239" t="s">
        <v>14</v>
      </c>
      <c r="I1171" s="241" t="s">
        <v>15</v>
      </c>
      <c r="J1171" s="241"/>
      <c r="K1171" s="242" t="s">
        <v>8</v>
      </c>
      <c r="L1171" s="243">
        <v>6842099.3399999999</v>
      </c>
    </row>
    <row r="1172" spans="1:12" ht="61.2" hidden="1" x14ac:dyDescent="0.3">
      <c r="A1172" s="237" t="s">
        <v>703</v>
      </c>
      <c r="B1172" s="238" t="s">
        <v>2467</v>
      </c>
      <c r="C1172" s="238" t="s">
        <v>2496</v>
      </c>
      <c r="D1172" s="238" t="s">
        <v>2463</v>
      </c>
      <c r="E1172" s="239" t="s">
        <v>751</v>
      </c>
      <c r="F1172" s="240">
        <v>2076.6</v>
      </c>
      <c r="G1172" s="240"/>
      <c r="H1172" s="239" t="s">
        <v>14</v>
      </c>
      <c r="I1172" s="241" t="s">
        <v>15</v>
      </c>
      <c r="J1172" s="241"/>
      <c r="K1172" s="242" t="s">
        <v>8</v>
      </c>
      <c r="L1172" s="243">
        <v>6844175.9400000004</v>
      </c>
    </row>
    <row r="1173" spans="1:12" ht="61.2" hidden="1" x14ac:dyDescent="0.3">
      <c r="A1173" s="237" t="s">
        <v>703</v>
      </c>
      <c r="B1173" s="238" t="s">
        <v>2467</v>
      </c>
      <c r="C1173" s="238" t="s">
        <v>2497</v>
      </c>
      <c r="D1173" s="238" t="s">
        <v>2463</v>
      </c>
      <c r="E1173" s="239" t="s">
        <v>751</v>
      </c>
      <c r="F1173" s="240">
        <v>7022.2</v>
      </c>
      <c r="G1173" s="240"/>
      <c r="H1173" s="239" t="s">
        <v>14</v>
      </c>
      <c r="I1173" s="241" t="s">
        <v>15</v>
      </c>
      <c r="J1173" s="241"/>
      <c r="K1173" s="242" t="s">
        <v>8</v>
      </c>
      <c r="L1173" s="243">
        <v>6851198.1399999997</v>
      </c>
    </row>
    <row r="1174" spans="1:12" ht="61.2" hidden="1" x14ac:dyDescent="0.3">
      <c r="A1174" s="237" t="s">
        <v>703</v>
      </c>
      <c r="B1174" s="238" t="s">
        <v>2467</v>
      </c>
      <c r="C1174" s="238" t="s">
        <v>2498</v>
      </c>
      <c r="D1174" s="238" t="s">
        <v>2463</v>
      </c>
      <c r="E1174" s="239" t="s">
        <v>751</v>
      </c>
      <c r="F1174" s="240">
        <v>28543.9</v>
      </c>
      <c r="G1174" s="240"/>
      <c r="H1174" s="239" t="s">
        <v>14</v>
      </c>
      <c r="I1174" s="241" t="s">
        <v>15</v>
      </c>
      <c r="J1174" s="241"/>
      <c r="K1174" s="242" t="s">
        <v>8</v>
      </c>
      <c r="L1174" s="243">
        <v>6879742.04</v>
      </c>
    </row>
    <row r="1175" spans="1:12" ht="61.2" hidden="1" x14ac:dyDescent="0.3">
      <c r="A1175" s="237" t="s">
        <v>703</v>
      </c>
      <c r="B1175" s="238" t="s">
        <v>2467</v>
      </c>
      <c r="C1175" s="238" t="s">
        <v>2498</v>
      </c>
      <c r="D1175" s="238" t="s">
        <v>2463</v>
      </c>
      <c r="E1175" s="239" t="s">
        <v>751</v>
      </c>
      <c r="F1175" s="240">
        <v>2332.5</v>
      </c>
      <c r="G1175" s="240"/>
      <c r="H1175" s="239" t="s">
        <v>14</v>
      </c>
      <c r="I1175" s="241" t="s">
        <v>15</v>
      </c>
      <c r="J1175" s="241"/>
      <c r="K1175" s="242" t="s">
        <v>8</v>
      </c>
      <c r="L1175" s="243">
        <v>6882074.54</v>
      </c>
    </row>
    <row r="1176" spans="1:12" ht="61.2" hidden="1" x14ac:dyDescent="0.3">
      <c r="A1176" s="237" t="s">
        <v>703</v>
      </c>
      <c r="B1176" s="238" t="s">
        <v>2467</v>
      </c>
      <c r="C1176" s="238" t="s">
        <v>2498</v>
      </c>
      <c r="D1176" s="238" t="s">
        <v>2463</v>
      </c>
      <c r="E1176" s="239" t="s">
        <v>751</v>
      </c>
      <c r="F1176" s="240">
        <v>3050.2</v>
      </c>
      <c r="G1176" s="240"/>
      <c r="H1176" s="239" t="s">
        <v>14</v>
      </c>
      <c r="I1176" s="241" t="s">
        <v>15</v>
      </c>
      <c r="J1176" s="241"/>
      <c r="K1176" s="242" t="s">
        <v>8</v>
      </c>
      <c r="L1176" s="243">
        <v>6885124.7400000002</v>
      </c>
    </row>
    <row r="1177" spans="1:12" ht="61.2" hidden="1" x14ac:dyDescent="0.3">
      <c r="A1177" s="237" t="s">
        <v>703</v>
      </c>
      <c r="B1177" s="238" t="s">
        <v>2467</v>
      </c>
      <c r="C1177" s="238" t="s">
        <v>2499</v>
      </c>
      <c r="D1177" s="238" t="s">
        <v>2463</v>
      </c>
      <c r="E1177" s="239" t="s">
        <v>751</v>
      </c>
      <c r="F1177" s="240">
        <v>5144.6000000000004</v>
      </c>
      <c r="G1177" s="240"/>
      <c r="H1177" s="239" t="s">
        <v>14</v>
      </c>
      <c r="I1177" s="241" t="s">
        <v>15</v>
      </c>
      <c r="J1177" s="241"/>
      <c r="K1177" s="242" t="s">
        <v>8</v>
      </c>
      <c r="L1177" s="243">
        <v>6890269.3399999999</v>
      </c>
    </row>
    <row r="1178" spans="1:12" ht="61.2" hidden="1" x14ac:dyDescent="0.3">
      <c r="A1178" s="237" t="s">
        <v>703</v>
      </c>
      <c r="B1178" s="238" t="s">
        <v>2467</v>
      </c>
      <c r="C1178" s="238" t="s">
        <v>2498</v>
      </c>
      <c r="D1178" s="238" t="s">
        <v>2463</v>
      </c>
      <c r="E1178" s="239" t="s">
        <v>751</v>
      </c>
      <c r="F1178" s="240">
        <v>3288.4</v>
      </c>
      <c r="G1178" s="240"/>
      <c r="H1178" s="239" t="s">
        <v>14</v>
      </c>
      <c r="I1178" s="241" t="s">
        <v>15</v>
      </c>
      <c r="J1178" s="241"/>
      <c r="K1178" s="242" t="s">
        <v>8</v>
      </c>
      <c r="L1178" s="243">
        <v>6893557.7400000002</v>
      </c>
    </row>
    <row r="1179" spans="1:12" ht="61.2" hidden="1" x14ac:dyDescent="0.3">
      <c r="A1179" s="237" t="s">
        <v>703</v>
      </c>
      <c r="B1179" s="238" t="s">
        <v>2467</v>
      </c>
      <c r="C1179" s="238" t="s">
        <v>2500</v>
      </c>
      <c r="D1179" s="238" t="s">
        <v>2463</v>
      </c>
      <c r="E1179" s="239" t="s">
        <v>751</v>
      </c>
      <c r="F1179" s="240">
        <v>4306.6000000000004</v>
      </c>
      <c r="G1179" s="240"/>
      <c r="H1179" s="239" t="s">
        <v>14</v>
      </c>
      <c r="I1179" s="241" t="s">
        <v>15</v>
      </c>
      <c r="J1179" s="241"/>
      <c r="K1179" s="242" t="s">
        <v>8</v>
      </c>
      <c r="L1179" s="243">
        <v>6897864.3399999999</v>
      </c>
    </row>
    <row r="1180" spans="1:12" ht="61.2" hidden="1" x14ac:dyDescent="0.3">
      <c r="A1180" s="237" t="s">
        <v>703</v>
      </c>
      <c r="B1180" s="238" t="s">
        <v>2467</v>
      </c>
      <c r="C1180" s="238" t="s">
        <v>2501</v>
      </c>
      <c r="D1180" s="238" t="s">
        <v>2463</v>
      </c>
      <c r="E1180" s="239" t="s">
        <v>751</v>
      </c>
      <c r="F1180" s="240">
        <v>4137.8</v>
      </c>
      <c r="G1180" s="240"/>
      <c r="H1180" s="239" t="s">
        <v>14</v>
      </c>
      <c r="I1180" s="241" t="s">
        <v>15</v>
      </c>
      <c r="J1180" s="241"/>
      <c r="K1180" s="242" t="s">
        <v>8</v>
      </c>
      <c r="L1180" s="243">
        <v>6902002.1399999997</v>
      </c>
    </row>
    <row r="1181" spans="1:12" ht="61.2" hidden="1" x14ac:dyDescent="0.3">
      <c r="A1181" s="237" t="s">
        <v>703</v>
      </c>
      <c r="B1181" s="238" t="s">
        <v>2467</v>
      </c>
      <c r="C1181" s="238" t="s">
        <v>2502</v>
      </c>
      <c r="D1181" s="238" t="s">
        <v>2463</v>
      </c>
      <c r="E1181" s="239" t="s">
        <v>751</v>
      </c>
      <c r="F1181" s="240">
        <v>1672.7</v>
      </c>
      <c r="G1181" s="240"/>
      <c r="H1181" s="239" t="s">
        <v>14</v>
      </c>
      <c r="I1181" s="241" t="s">
        <v>15</v>
      </c>
      <c r="J1181" s="241"/>
      <c r="K1181" s="242" t="s">
        <v>8</v>
      </c>
      <c r="L1181" s="243">
        <v>6903674.8399999999</v>
      </c>
    </row>
    <row r="1182" spans="1:12" ht="61.2" hidden="1" x14ac:dyDescent="0.3">
      <c r="A1182" s="237" t="s">
        <v>703</v>
      </c>
      <c r="B1182" s="238" t="s">
        <v>2467</v>
      </c>
      <c r="C1182" s="238" t="s">
        <v>2503</v>
      </c>
      <c r="D1182" s="238" t="s">
        <v>2463</v>
      </c>
      <c r="E1182" s="239" t="s">
        <v>751</v>
      </c>
      <c r="F1182" s="240">
        <v>10418</v>
      </c>
      <c r="G1182" s="240"/>
      <c r="H1182" s="239" t="s">
        <v>14</v>
      </c>
      <c r="I1182" s="241" t="s">
        <v>15</v>
      </c>
      <c r="J1182" s="241"/>
      <c r="K1182" s="242" t="s">
        <v>8</v>
      </c>
      <c r="L1182" s="243">
        <v>6914092.8399999999</v>
      </c>
    </row>
    <row r="1183" spans="1:12" ht="61.2" hidden="1" x14ac:dyDescent="0.3">
      <c r="A1183" s="237" t="s">
        <v>703</v>
      </c>
      <c r="B1183" s="238" t="s">
        <v>2467</v>
      </c>
      <c r="C1183" s="238" t="s">
        <v>2504</v>
      </c>
      <c r="D1183" s="238" t="s">
        <v>2463</v>
      </c>
      <c r="E1183" s="239" t="s">
        <v>751</v>
      </c>
      <c r="F1183" s="240">
        <v>1006.7</v>
      </c>
      <c r="G1183" s="240"/>
      <c r="H1183" s="239" t="s">
        <v>14</v>
      </c>
      <c r="I1183" s="241" t="s">
        <v>15</v>
      </c>
      <c r="J1183" s="241"/>
      <c r="K1183" s="242" t="s">
        <v>8</v>
      </c>
      <c r="L1183" s="243">
        <v>6915099.54</v>
      </c>
    </row>
    <row r="1184" spans="1:12" ht="61.2" hidden="1" x14ac:dyDescent="0.3">
      <c r="A1184" s="237" t="s">
        <v>703</v>
      </c>
      <c r="B1184" s="238" t="s">
        <v>2467</v>
      </c>
      <c r="C1184" s="238" t="s">
        <v>2505</v>
      </c>
      <c r="D1184" s="238" t="s">
        <v>2463</v>
      </c>
      <c r="E1184" s="239" t="s">
        <v>751</v>
      </c>
      <c r="F1184" s="240">
        <v>4354.3999999999996</v>
      </c>
      <c r="G1184" s="240"/>
      <c r="H1184" s="239" t="s">
        <v>14</v>
      </c>
      <c r="I1184" s="241" t="s">
        <v>15</v>
      </c>
      <c r="J1184" s="241"/>
      <c r="K1184" s="242" t="s">
        <v>8</v>
      </c>
      <c r="L1184" s="243">
        <v>6919453.9400000004</v>
      </c>
    </row>
    <row r="1185" spans="1:12" ht="61.2" hidden="1" x14ac:dyDescent="0.3">
      <c r="A1185" s="237" t="s">
        <v>703</v>
      </c>
      <c r="B1185" s="238" t="s">
        <v>2467</v>
      </c>
      <c r="C1185" s="238" t="s">
        <v>2506</v>
      </c>
      <c r="D1185" s="238" t="s">
        <v>2463</v>
      </c>
      <c r="E1185" s="239" t="s">
        <v>751</v>
      </c>
      <c r="F1185" s="240">
        <v>2399.6</v>
      </c>
      <c r="G1185" s="240"/>
      <c r="H1185" s="239" t="s">
        <v>14</v>
      </c>
      <c r="I1185" s="241" t="s">
        <v>15</v>
      </c>
      <c r="J1185" s="241"/>
      <c r="K1185" s="242" t="s">
        <v>8</v>
      </c>
      <c r="L1185" s="243">
        <v>6921853.54</v>
      </c>
    </row>
    <row r="1186" spans="1:12" ht="61.2" hidden="1" x14ac:dyDescent="0.3">
      <c r="A1186" s="237" t="s">
        <v>703</v>
      </c>
      <c r="B1186" s="238" t="s">
        <v>2467</v>
      </c>
      <c r="C1186" s="238" t="s">
        <v>2507</v>
      </c>
      <c r="D1186" s="238" t="s">
        <v>2463</v>
      </c>
      <c r="E1186" s="239" t="s">
        <v>751</v>
      </c>
      <c r="F1186" s="240">
        <v>9401.2000000000007</v>
      </c>
      <c r="G1186" s="240"/>
      <c r="H1186" s="239" t="s">
        <v>14</v>
      </c>
      <c r="I1186" s="241" t="s">
        <v>15</v>
      </c>
      <c r="J1186" s="241"/>
      <c r="K1186" s="242" t="s">
        <v>8</v>
      </c>
      <c r="L1186" s="243">
        <v>6931254.7400000002</v>
      </c>
    </row>
    <row r="1187" spans="1:12" ht="61.2" hidden="1" x14ac:dyDescent="0.3">
      <c r="A1187" s="237" t="s">
        <v>703</v>
      </c>
      <c r="B1187" s="238" t="s">
        <v>2467</v>
      </c>
      <c r="C1187" s="238" t="s">
        <v>2507</v>
      </c>
      <c r="D1187" s="238" t="s">
        <v>2463</v>
      </c>
      <c r="E1187" s="239" t="s">
        <v>751</v>
      </c>
      <c r="F1187" s="240">
        <v>2334.1</v>
      </c>
      <c r="G1187" s="240"/>
      <c r="H1187" s="239" t="s">
        <v>14</v>
      </c>
      <c r="I1187" s="241" t="s">
        <v>15</v>
      </c>
      <c r="J1187" s="241"/>
      <c r="K1187" s="242" t="s">
        <v>8</v>
      </c>
      <c r="L1187" s="243">
        <v>6933588.8399999999</v>
      </c>
    </row>
    <row r="1188" spans="1:12" ht="61.2" hidden="1" x14ac:dyDescent="0.3">
      <c r="A1188" s="237" t="s">
        <v>703</v>
      </c>
      <c r="B1188" s="238" t="s">
        <v>2467</v>
      </c>
      <c r="C1188" s="238" t="s">
        <v>2507</v>
      </c>
      <c r="D1188" s="238" t="s">
        <v>2463</v>
      </c>
      <c r="E1188" s="239" t="s">
        <v>751</v>
      </c>
      <c r="F1188" s="240">
        <v>2200</v>
      </c>
      <c r="G1188" s="240"/>
      <c r="H1188" s="239" t="s">
        <v>14</v>
      </c>
      <c r="I1188" s="241" t="s">
        <v>15</v>
      </c>
      <c r="J1188" s="241"/>
      <c r="K1188" s="242" t="s">
        <v>8</v>
      </c>
      <c r="L1188" s="243">
        <v>6935788.8399999999</v>
      </c>
    </row>
    <row r="1189" spans="1:12" ht="61.2" hidden="1" x14ac:dyDescent="0.3">
      <c r="A1189" s="237" t="s">
        <v>703</v>
      </c>
      <c r="B1189" s="238" t="s">
        <v>2467</v>
      </c>
      <c r="C1189" s="238" t="s">
        <v>2508</v>
      </c>
      <c r="D1189" s="238" t="s">
        <v>2463</v>
      </c>
      <c r="E1189" s="239" t="s">
        <v>751</v>
      </c>
      <c r="F1189" s="240">
        <v>3749.4</v>
      </c>
      <c r="G1189" s="240"/>
      <c r="H1189" s="239" t="s">
        <v>14</v>
      </c>
      <c r="I1189" s="241" t="s">
        <v>15</v>
      </c>
      <c r="J1189" s="241"/>
      <c r="K1189" s="242" t="s">
        <v>8</v>
      </c>
      <c r="L1189" s="243">
        <v>6939538.2400000002</v>
      </c>
    </row>
    <row r="1190" spans="1:12" ht="61.2" hidden="1" x14ac:dyDescent="0.3">
      <c r="A1190" s="237" t="s">
        <v>703</v>
      </c>
      <c r="B1190" s="238" t="s">
        <v>2467</v>
      </c>
      <c r="C1190" s="238" t="s">
        <v>2509</v>
      </c>
      <c r="D1190" s="238" t="s">
        <v>2463</v>
      </c>
      <c r="E1190" s="239" t="s">
        <v>751</v>
      </c>
      <c r="F1190" s="240">
        <v>3105</v>
      </c>
      <c r="G1190" s="240"/>
      <c r="H1190" s="239" t="s">
        <v>14</v>
      </c>
      <c r="I1190" s="241" t="s">
        <v>15</v>
      </c>
      <c r="J1190" s="241"/>
      <c r="K1190" s="242" t="s">
        <v>8</v>
      </c>
      <c r="L1190" s="243">
        <v>6942643.2400000002</v>
      </c>
    </row>
    <row r="1191" spans="1:12" ht="61.2" hidden="1" x14ac:dyDescent="0.3">
      <c r="A1191" s="237" t="s">
        <v>703</v>
      </c>
      <c r="B1191" s="238" t="s">
        <v>2467</v>
      </c>
      <c r="C1191" s="238" t="s">
        <v>2510</v>
      </c>
      <c r="D1191" s="238" t="s">
        <v>2463</v>
      </c>
      <c r="E1191" s="239" t="s">
        <v>751</v>
      </c>
      <c r="F1191" s="240">
        <v>4016</v>
      </c>
      <c r="G1191" s="240"/>
      <c r="H1191" s="239" t="s">
        <v>14</v>
      </c>
      <c r="I1191" s="241" t="s">
        <v>15</v>
      </c>
      <c r="J1191" s="241"/>
      <c r="K1191" s="242" t="s">
        <v>8</v>
      </c>
      <c r="L1191" s="243">
        <v>6946659.2400000002</v>
      </c>
    </row>
    <row r="1192" spans="1:12" ht="61.2" hidden="1" x14ac:dyDescent="0.3">
      <c r="A1192" s="237" t="s">
        <v>703</v>
      </c>
      <c r="B1192" s="238" t="s">
        <v>2467</v>
      </c>
      <c r="C1192" s="238" t="s">
        <v>2511</v>
      </c>
      <c r="D1192" s="238" t="s">
        <v>2463</v>
      </c>
      <c r="E1192" s="239" t="s">
        <v>751</v>
      </c>
      <c r="F1192" s="240">
        <v>5318.8</v>
      </c>
      <c r="G1192" s="240"/>
      <c r="H1192" s="239" t="s">
        <v>14</v>
      </c>
      <c r="I1192" s="241" t="s">
        <v>15</v>
      </c>
      <c r="J1192" s="241"/>
      <c r="K1192" s="242" t="s">
        <v>8</v>
      </c>
      <c r="L1192" s="243">
        <v>6951978.04</v>
      </c>
    </row>
    <row r="1193" spans="1:12" ht="61.2" hidden="1" x14ac:dyDescent="0.3">
      <c r="A1193" s="237" t="s">
        <v>703</v>
      </c>
      <c r="B1193" s="238" t="s">
        <v>2467</v>
      </c>
      <c r="C1193" s="238" t="s">
        <v>2512</v>
      </c>
      <c r="D1193" s="238" t="s">
        <v>2463</v>
      </c>
      <c r="E1193" s="239" t="s">
        <v>751</v>
      </c>
      <c r="F1193" s="240">
        <v>6590.6</v>
      </c>
      <c r="G1193" s="240"/>
      <c r="H1193" s="239" t="s">
        <v>14</v>
      </c>
      <c r="I1193" s="241" t="s">
        <v>15</v>
      </c>
      <c r="J1193" s="241"/>
      <c r="K1193" s="242" t="s">
        <v>8</v>
      </c>
      <c r="L1193" s="243">
        <v>6958568.6399999997</v>
      </c>
    </row>
    <row r="1194" spans="1:12" ht="61.2" hidden="1" x14ac:dyDescent="0.3">
      <c r="A1194" s="237" t="s">
        <v>703</v>
      </c>
      <c r="B1194" s="238" t="s">
        <v>2467</v>
      </c>
      <c r="C1194" s="238" t="s">
        <v>2513</v>
      </c>
      <c r="D1194" s="238" t="s">
        <v>2463</v>
      </c>
      <c r="E1194" s="239" t="s">
        <v>751</v>
      </c>
      <c r="F1194" s="240">
        <v>1290.4000000000001</v>
      </c>
      <c r="G1194" s="240"/>
      <c r="H1194" s="239" t="s">
        <v>14</v>
      </c>
      <c r="I1194" s="241" t="s">
        <v>15</v>
      </c>
      <c r="J1194" s="241"/>
      <c r="K1194" s="242" t="s">
        <v>8</v>
      </c>
      <c r="L1194" s="243">
        <v>6959859.04</v>
      </c>
    </row>
    <row r="1195" spans="1:12" ht="61.2" hidden="1" x14ac:dyDescent="0.3">
      <c r="A1195" s="237" t="s">
        <v>703</v>
      </c>
      <c r="B1195" s="238" t="s">
        <v>2467</v>
      </c>
      <c r="C1195" s="238" t="s">
        <v>2514</v>
      </c>
      <c r="D1195" s="238" t="s">
        <v>2463</v>
      </c>
      <c r="E1195" s="239" t="s">
        <v>751</v>
      </c>
      <c r="F1195" s="240">
        <v>4745.2</v>
      </c>
      <c r="G1195" s="240"/>
      <c r="H1195" s="239" t="s">
        <v>14</v>
      </c>
      <c r="I1195" s="241" t="s">
        <v>15</v>
      </c>
      <c r="J1195" s="241"/>
      <c r="K1195" s="242" t="s">
        <v>8</v>
      </c>
      <c r="L1195" s="243">
        <v>6964604.2400000002</v>
      </c>
    </row>
    <row r="1196" spans="1:12" ht="61.2" hidden="1" x14ac:dyDescent="0.3">
      <c r="A1196" s="237" t="s">
        <v>703</v>
      </c>
      <c r="B1196" s="238" t="s">
        <v>2467</v>
      </c>
      <c r="C1196" s="238" t="s">
        <v>2515</v>
      </c>
      <c r="D1196" s="238" t="s">
        <v>2463</v>
      </c>
      <c r="E1196" s="239" t="s">
        <v>751</v>
      </c>
      <c r="F1196" s="240">
        <v>3993</v>
      </c>
      <c r="G1196" s="240"/>
      <c r="H1196" s="239" t="s">
        <v>14</v>
      </c>
      <c r="I1196" s="241" t="s">
        <v>15</v>
      </c>
      <c r="J1196" s="241"/>
      <c r="K1196" s="242" t="s">
        <v>8</v>
      </c>
      <c r="L1196" s="243">
        <v>6968597.2400000002</v>
      </c>
    </row>
    <row r="1197" spans="1:12" ht="61.2" hidden="1" x14ac:dyDescent="0.3">
      <c r="A1197" s="237" t="s">
        <v>703</v>
      </c>
      <c r="B1197" s="238" t="s">
        <v>2467</v>
      </c>
      <c r="C1197" s="238" t="s">
        <v>2516</v>
      </c>
      <c r="D1197" s="238" t="s">
        <v>2463</v>
      </c>
      <c r="E1197" s="239" t="s">
        <v>751</v>
      </c>
      <c r="F1197" s="240">
        <v>4870.2</v>
      </c>
      <c r="G1197" s="240"/>
      <c r="H1197" s="239" t="s">
        <v>14</v>
      </c>
      <c r="I1197" s="241" t="s">
        <v>15</v>
      </c>
      <c r="J1197" s="241"/>
      <c r="K1197" s="242" t="s">
        <v>8</v>
      </c>
      <c r="L1197" s="243">
        <v>6973467.4400000004</v>
      </c>
    </row>
    <row r="1198" spans="1:12" ht="61.2" hidden="1" x14ac:dyDescent="0.3">
      <c r="A1198" s="237" t="s">
        <v>703</v>
      </c>
      <c r="B1198" s="238" t="s">
        <v>2467</v>
      </c>
      <c r="C1198" s="238" t="s">
        <v>2517</v>
      </c>
      <c r="D1198" s="238" t="s">
        <v>2463</v>
      </c>
      <c r="E1198" s="239" t="s">
        <v>751</v>
      </c>
      <c r="F1198" s="240">
        <v>3370.9</v>
      </c>
      <c r="G1198" s="240"/>
      <c r="H1198" s="239" t="s">
        <v>14</v>
      </c>
      <c r="I1198" s="241" t="s">
        <v>15</v>
      </c>
      <c r="J1198" s="241"/>
      <c r="K1198" s="242" t="s">
        <v>8</v>
      </c>
      <c r="L1198" s="243">
        <v>6976838.3399999999</v>
      </c>
    </row>
    <row r="1199" spans="1:12" ht="61.2" hidden="1" x14ac:dyDescent="0.3">
      <c r="A1199" s="237" t="s">
        <v>703</v>
      </c>
      <c r="B1199" s="238" t="s">
        <v>2467</v>
      </c>
      <c r="C1199" s="238" t="s">
        <v>2518</v>
      </c>
      <c r="D1199" s="238" t="s">
        <v>2463</v>
      </c>
      <c r="E1199" s="239" t="s">
        <v>751</v>
      </c>
      <c r="F1199" s="240">
        <v>14881</v>
      </c>
      <c r="G1199" s="240"/>
      <c r="H1199" s="239" t="s">
        <v>14</v>
      </c>
      <c r="I1199" s="241" t="s">
        <v>15</v>
      </c>
      <c r="J1199" s="241"/>
      <c r="K1199" s="242" t="s">
        <v>8</v>
      </c>
      <c r="L1199" s="243">
        <v>6991719.3399999999</v>
      </c>
    </row>
    <row r="1200" spans="1:12" ht="61.2" hidden="1" x14ac:dyDescent="0.3">
      <c r="A1200" s="237" t="s">
        <v>703</v>
      </c>
      <c r="B1200" s="238" t="s">
        <v>2467</v>
      </c>
      <c r="C1200" s="238" t="s">
        <v>2518</v>
      </c>
      <c r="D1200" s="238" t="s">
        <v>2463</v>
      </c>
      <c r="E1200" s="239" t="s">
        <v>751</v>
      </c>
      <c r="F1200" s="240">
        <v>2961.5</v>
      </c>
      <c r="G1200" s="240"/>
      <c r="H1200" s="239" t="s">
        <v>14</v>
      </c>
      <c r="I1200" s="241" t="s">
        <v>15</v>
      </c>
      <c r="J1200" s="241"/>
      <c r="K1200" s="242" t="s">
        <v>8</v>
      </c>
      <c r="L1200" s="243">
        <v>6994680.8399999999</v>
      </c>
    </row>
    <row r="1201" spans="1:12" ht="61.2" hidden="1" x14ac:dyDescent="0.3">
      <c r="A1201" s="237" t="s">
        <v>703</v>
      </c>
      <c r="B1201" s="238" t="s">
        <v>2467</v>
      </c>
      <c r="C1201" s="238" t="s">
        <v>2513</v>
      </c>
      <c r="D1201" s="238" t="s">
        <v>2463</v>
      </c>
      <c r="E1201" s="239" t="s">
        <v>751</v>
      </c>
      <c r="F1201" s="240">
        <v>1296.5</v>
      </c>
      <c r="G1201" s="240"/>
      <c r="H1201" s="239" t="s">
        <v>14</v>
      </c>
      <c r="I1201" s="241" t="s">
        <v>15</v>
      </c>
      <c r="J1201" s="241"/>
      <c r="K1201" s="242" t="s">
        <v>8</v>
      </c>
      <c r="L1201" s="243">
        <v>6995977.3399999999</v>
      </c>
    </row>
    <row r="1202" spans="1:12" ht="61.2" hidden="1" x14ac:dyDescent="0.3">
      <c r="A1202" s="237" t="s">
        <v>703</v>
      </c>
      <c r="B1202" s="238" t="s">
        <v>2467</v>
      </c>
      <c r="C1202" s="238" t="s">
        <v>2519</v>
      </c>
      <c r="D1202" s="238" t="s">
        <v>2463</v>
      </c>
      <c r="E1202" s="239" t="s">
        <v>751</v>
      </c>
      <c r="F1202" s="240">
        <v>2317.9</v>
      </c>
      <c r="G1202" s="240"/>
      <c r="H1202" s="239" t="s">
        <v>14</v>
      </c>
      <c r="I1202" s="241" t="s">
        <v>15</v>
      </c>
      <c r="J1202" s="241"/>
      <c r="K1202" s="242" t="s">
        <v>8</v>
      </c>
      <c r="L1202" s="243">
        <v>6998295.2400000002</v>
      </c>
    </row>
    <row r="1203" spans="1:12" ht="61.2" hidden="1" x14ac:dyDescent="0.3">
      <c r="A1203" s="237" t="s">
        <v>703</v>
      </c>
      <c r="B1203" s="238" t="s">
        <v>2467</v>
      </c>
      <c r="C1203" s="238" t="s">
        <v>2520</v>
      </c>
      <c r="D1203" s="238" t="s">
        <v>2463</v>
      </c>
      <c r="E1203" s="239" t="s">
        <v>751</v>
      </c>
      <c r="F1203" s="240">
        <v>11181</v>
      </c>
      <c r="G1203" s="240"/>
      <c r="H1203" s="239" t="s">
        <v>14</v>
      </c>
      <c r="I1203" s="241" t="s">
        <v>15</v>
      </c>
      <c r="J1203" s="241"/>
      <c r="K1203" s="242" t="s">
        <v>8</v>
      </c>
      <c r="L1203" s="243">
        <v>7009476.2400000002</v>
      </c>
    </row>
    <row r="1204" spans="1:12" ht="61.2" hidden="1" x14ac:dyDescent="0.3">
      <c r="A1204" s="237" t="s">
        <v>703</v>
      </c>
      <c r="B1204" s="238" t="s">
        <v>2467</v>
      </c>
      <c r="C1204" s="238" t="s">
        <v>2520</v>
      </c>
      <c r="D1204" s="238" t="s">
        <v>2463</v>
      </c>
      <c r="E1204" s="239" t="s">
        <v>751</v>
      </c>
      <c r="F1204" s="240">
        <v>2105.1</v>
      </c>
      <c r="G1204" s="240"/>
      <c r="H1204" s="239" t="s">
        <v>14</v>
      </c>
      <c r="I1204" s="241" t="s">
        <v>15</v>
      </c>
      <c r="J1204" s="241"/>
      <c r="K1204" s="242" t="s">
        <v>8</v>
      </c>
      <c r="L1204" s="243">
        <v>7011581.3399999999</v>
      </c>
    </row>
    <row r="1205" spans="1:12" ht="51" hidden="1" x14ac:dyDescent="0.3">
      <c r="A1205" s="237" t="s">
        <v>703</v>
      </c>
      <c r="B1205" s="238" t="s">
        <v>2467</v>
      </c>
      <c r="C1205" s="238" t="s">
        <v>2521</v>
      </c>
      <c r="D1205" s="238" t="s">
        <v>2463</v>
      </c>
      <c r="E1205" s="239" t="s">
        <v>751</v>
      </c>
      <c r="F1205" s="240">
        <v>34960</v>
      </c>
      <c r="G1205" s="240"/>
      <c r="H1205" s="239" t="s">
        <v>14</v>
      </c>
      <c r="I1205" s="241" t="s">
        <v>15</v>
      </c>
      <c r="J1205" s="241"/>
      <c r="K1205" s="242" t="s">
        <v>8</v>
      </c>
      <c r="L1205" s="243">
        <v>7046541.3399999999</v>
      </c>
    </row>
    <row r="1206" spans="1:12" ht="51" hidden="1" x14ac:dyDescent="0.3">
      <c r="A1206" s="237" t="s">
        <v>703</v>
      </c>
      <c r="B1206" s="238" t="s">
        <v>2467</v>
      </c>
      <c r="C1206" s="238" t="s">
        <v>2522</v>
      </c>
      <c r="D1206" s="238" t="s">
        <v>2463</v>
      </c>
      <c r="E1206" s="239" t="s">
        <v>751</v>
      </c>
      <c r="F1206" s="240">
        <v>21060</v>
      </c>
      <c r="G1206" s="240"/>
      <c r="H1206" s="239" t="s">
        <v>14</v>
      </c>
      <c r="I1206" s="241" t="s">
        <v>15</v>
      </c>
      <c r="J1206" s="241"/>
      <c r="K1206" s="242" t="s">
        <v>8</v>
      </c>
      <c r="L1206" s="243">
        <v>7067601.3399999999</v>
      </c>
    </row>
    <row r="1207" spans="1:12" ht="51" hidden="1" x14ac:dyDescent="0.3">
      <c r="A1207" s="237" t="s">
        <v>703</v>
      </c>
      <c r="B1207" s="238" t="s">
        <v>2467</v>
      </c>
      <c r="C1207" s="238" t="s">
        <v>2523</v>
      </c>
      <c r="D1207" s="238" t="s">
        <v>2463</v>
      </c>
      <c r="E1207" s="239" t="s">
        <v>751</v>
      </c>
      <c r="F1207" s="244">
        <v>477.6</v>
      </c>
      <c r="G1207" s="244"/>
      <c r="H1207" s="239" t="s">
        <v>14</v>
      </c>
      <c r="I1207" s="241" t="s">
        <v>15</v>
      </c>
      <c r="J1207" s="241"/>
      <c r="K1207" s="242" t="s">
        <v>8</v>
      </c>
      <c r="L1207" s="243">
        <v>7068078.9400000004</v>
      </c>
    </row>
    <row r="1208" spans="1:12" ht="61.2" hidden="1" x14ac:dyDescent="0.3">
      <c r="A1208" s="237" t="s">
        <v>703</v>
      </c>
      <c r="B1208" s="238" t="s">
        <v>2524</v>
      </c>
      <c r="C1208" s="238" t="s">
        <v>2525</v>
      </c>
      <c r="D1208" s="238" t="s">
        <v>1913</v>
      </c>
      <c r="E1208" s="239" t="s">
        <v>751</v>
      </c>
      <c r="F1208" s="240">
        <v>1687.4</v>
      </c>
      <c r="G1208" s="240"/>
      <c r="H1208" s="239" t="s">
        <v>14</v>
      </c>
      <c r="I1208" s="241" t="s">
        <v>15</v>
      </c>
      <c r="J1208" s="241"/>
      <c r="K1208" s="242" t="s">
        <v>8</v>
      </c>
      <c r="L1208" s="243">
        <v>7069766.3399999999</v>
      </c>
    </row>
    <row r="1209" spans="1:12" ht="61.2" hidden="1" x14ac:dyDescent="0.3">
      <c r="A1209" s="237" t="s">
        <v>703</v>
      </c>
      <c r="B1209" s="238" t="s">
        <v>2524</v>
      </c>
      <c r="C1209" s="238" t="s">
        <v>2526</v>
      </c>
      <c r="D1209" s="238" t="s">
        <v>1913</v>
      </c>
      <c r="E1209" s="239" t="s">
        <v>751</v>
      </c>
      <c r="F1209" s="240">
        <v>2547.6</v>
      </c>
      <c r="G1209" s="240"/>
      <c r="H1209" s="239" t="s">
        <v>14</v>
      </c>
      <c r="I1209" s="241" t="s">
        <v>15</v>
      </c>
      <c r="J1209" s="241"/>
      <c r="K1209" s="242" t="s">
        <v>8</v>
      </c>
      <c r="L1209" s="243">
        <v>7072313.9400000004</v>
      </c>
    </row>
    <row r="1210" spans="1:12" ht="61.2" hidden="1" x14ac:dyDescent="0.3">
      <c r="A1210" s="237" t="s">
        <v>703</v>
      </c>
      <c r="B1210" s="238" t="s">
        <v>2524</v>
      </c>
      <c r="C1210" s="238" t="s">
        <v>2527</v>
      </c>
      <c r="D1210" s="238" t="s">
        <v>1913</v>
      </c>
      <c r="E1210" s="239" t="s">
        <v>751</v>
      </c>
      <c r="F1210" s="240">
        <v>3455.6</v>
      </c>
      <c r="G1210" s="240"/>
      <c r="H1210" s="239" t="s">
        <v>14</v>
      </c>
      <c r="I1210" s="241" t="s">
        <v>15</v>
      </c>
      <c r="J1210" s="241"/>
      <c r="K1210" s="242" t="s">
        <v>8</v>
      </c>
      <c r="L1210" s="243">
        <v>7075769.54</v>
      </c>
    </row>
    <row r="1211" spans="1:12" ht="61.2" hidden="1" x14ac:dyDescent="0.3">
      <c r="A1211" s="237" t="s">
        <v>703</v>
      </c>
      <c r="B1211" s="238" t="s">
        <v>2524</v>
      </c>
      <c r="C1211" s="238" t="s">
        <v>2527</v>
      </c>
      <c r="D1211" s="238" t="s">
        <v>1913</v>
      </c>
      <c r="E1211" s="239" t="s">
        <v>751</v>
      </c>
      <c r="F1211" s="240">
        <v>3492.6</v>
      </c>
      <c r="G1211" s="240"/>
      <c r="H1211" s="239" t="s">
        <v>14</v>
      </c>
      <c r="I1211" s="241" t="s">
        <v>15</v>
      </c>
      <c r="J1211" s="241"/>
      <c r="K1211" s="242" t="s">
        <v>8</v>
      </c>
      <c r="L1211" s="243">
        <v>7079262.1399999997</v>
      </c>
    </row>
    <row r="1212" spans="1:12" ht="61.2" hidden="1" x14ac:dyDescent="0.3">
      <c r="A1212" s="237" t="s">
        <v>703</v>
      </c>
      <c r="B1212" s="238" t="s">
        <v>2524</v>
      </c>
      <c r="C1212" s="238" t="s">
        <v>2528</v>
      </c>
      <c r="D1212" s="238" t="s">
        <v>1913</v>
      </c>
      <c r="E1212" s="239" t="s">
        <v>751</v>
      </c>
      <c r="F1212" s="240">
        <v>3374.7</v>
      </c>
      <c r="G1212" s="240"/>
      <c r="H1212" s="239" t="s">
        <v>14</v>
      </c>
      <c r="I1212" s="241" t="s">
        <v>15</v>
      </c>
      <c r="J1212" s="241"/>
      <c r="K1212" s="242" t="s">
        <v>8</v>
      </c>
      <c r="L1212" s="243">
        <v>7082636.8399999999</v>
      </c>
    </row>
    <row r="1213" spans="1:12" ht="61.2" hidden="1" x14ac:dyDescent="0.3">
      <c r="A1213" s="237" t="s">
        <v>703</v>
      </c>
      <c r="B1213" s="238" t="s">
        <v>2524</v>
      </c>
      <c r="C1213" s="238" t="s">
        <v>2529</v>
      </c>
      <c r="D1213" s="238" t="s">
        <v>1913</v>
      </c>
      <c r="E1213" s="239" t="s">
        <v>751</v>
      </c>
      <c r="F1213" s="240">
        <v>3935.1</v>
      </c>
      <c r="G1213" s="240"/>
      <c r="H1213" s="239" t="s">
        <v>14</v>
      </c>
      <c r="I1213" s="241" t="s">
        <v>15</v>
      </c>
      <c r="J1213" s="241"/>
      <c r="K1213" s="242" t="s">
        <v>8</v>
      </c>
      <c r="L1213" s="243">
        <v>7086571.9400000004</v>
      </c>
    </row>
    <row r="1214" spans="1:12" ht="61.2" hidden="1" x14ac:dyDescent="0.3">
      <c r="A1214" s="237" t="s">
        <v>703</v>
      </c>
      <c r="B1214" s="238" t="s">
        <v>2524</v>
      </c>
      <c r="C1214" s="238" t="s">
        <v>2529</v>
      </c>
      <c r="D1214" s="238" t="s">
        <v>1913</v>
      </c>
      <c r="E1214" s="239" t="s">
        <v>751</v>
      </c>
      <c r="F1214" s="240">
        <v>3873.4</v>
      </c>
      <c r="G1214" s="240"/>
      <c r="H1214" s="239" t="s">
        <v>14</v>
      </c>
      <c r="I1214" s="241" t="s">
        <v>15</v>
      </c>
      <c r="J1214" s="241"/>
      <c r="K1214" s="242" t="s">
        <v>8</v>
      </c>
      <c r="L1214" s="243">
        <v>7090445.3399999999</v>
      </c>
    </row>
    <row r="1215" spans="1:12" ht="61.2" hidden="1" x14ac:dyDescent="0.3">
      <c r="A1215" s="237" t="s">
        <v>703</v>
      </c>
      <c r="B1215" s="238" t="s">
        <v>2524</v>
      </c>
      <c r="C1215" s="238" t="s">
        <v>2530</v>
      </c>
      <c r="D1215" s="238" t="s">
        <v>1913</v>
      </c>
      <c r="E1215" s="239" t="s">
        <v>751</v>
      </c>
      <c r="F1215" s="240">
        <v>1569.4</v>
      </c>
      <c r="G1215" s="240"/>
      <c r="H1215" s="239" t="s">
        <v>14</v>
      </c>
      <c r="I1215" s="241" t="s">
        <v>15</v>
      </c>
      <c r="J1215" s="241"/>
      <c r="K1215" s="242" t="s">
        <v>8</v>
      </c>
      <c r="L1215" s="243">
        <v>7092014.7400000002</v>
      </c>
    </row>
    <row r="1216" spans="1:12" ht="61.2" hidden="1" x14ac:dyDescent="0.3">
      <c r="A1216" s="237" t="s">
        <v>703</v>
      </c>
      <c r="B1216" s="238" t="s">
        <v>2524</v>
      </c>
      <c r="C1216" s="238" t="s">
        <v>2531</v>
      </c>
      <c r="D1216" s="238" t="s">
        <v>1913</v>
      </c>
      <c r="E1216" s="239" t="s">
        <v>751</v>
      </c>
      <c r="F1216" s="240">
        <v>1924.8</v>
      </c>
      <c r="G1216" s="240"/>
      <c r="H1216" s="239" t="s">
        <v>14</v>
      </c>
      <c r="I1216" s="241" t="s">
        <v>15</v>
      </c>
      <c r="J1216" s="241"/>
      <c r="K1216" s="242" t="s">
        <v>8</v>
      </c>
      <c r="L1216" s="243">
        <v>7093939.54</v>
      </c>
    </row>
    <row r="1217" spans="1:12" ht="61.2" hidden="1" x14ac:dyDescent="0.3">
      <c r="A1217" s="237" t="s">
        <v>703</v>
      </c>
      <c r="B1217" s="238" t="s">
        <v>2524</v>
      </c>
      <c r="C1217" s="238" t="s">
        <v>2532</v>
      </c>
      <c r="D1217" s="238" t="s">
        <v>1913</v>
      </c>
      <c r="E1217" s="239" t="s">
        <v>751</v>
      </c>
      <c r="F1217" s="240">
        <v>66097.7</v>
      </c>
      <c r="G1217" s="240"/>
      <c r="H1217" s="239" t="s">
        <v>14</v>
      </c>
      <c r="I1217" s="241" t="s">
        <v>15</v>
      </c>
      <c r="J1217" s="241"/>
      <c r="K1217" s="242" t="s">
        <v>8</v>
      </c>
      <c r="L1217" s="243">
        <v>7160037.2400000002</v>
      </c>
    </row>
    <row r="1218" spans="1:12" ht="61.2" hidden="1" x14ac:dyDescent="0.3">
      <c r="A1218" s="237" t="s">
        <v>703</v>
      </c>
      <c r="B1218" s="238" t="s">
        <v>2524</v>
      </c>
      <c r="C1218" s="238" t="s">
        <v>2533</v>
      </c>
      <c r="D1218" s="238" t="s">
        <v>1913</v>
      </c>
      <c r="E1218" s="239" t="s">
        <v>751</v>
      </c>
      <c r="F1218" s="240">
        <v>3273.7</v>
      </c>
      <c r="G1218" s="240"/>
      <c r="H1218" s="239" t="s">
        <v>14</v>
      </c>
      <c r="I1218" s="241" t="s">
        <v>15</v>
      </c>
      <c r="J1218" s="241"/>
      <c r="K1218" s="242" t="s">
        <v>8</v>
      </c>
      <c r="L1218" s="243">
        <v>7163310.9400000004</v>
      </c>
    </row>
    <row r="1219" spans="1:12" ht="61.2" hidden="1" x14ac:dyDescent="0.3">
      <c r="A1219" s="237" t="s">
        <v>703</v>
      </c>
      <c r="B1219" s="238" t="s">
        <v>2524</v>
      </c>
      <c r="C1219" s="238" t="s">
        <v>2534</v>
      </c>
      <c r="D1219" s="238" t="s">
        <v>1913</v>
      </c>
      <c r="E1219" s="239" t="s">
        <v>751</v>
      </c>
      <c r="F1219" s="240">
        <v>1554</v>
      </c>
      <c r="G1219" s="240"/>
      <c r="H1219" s="239" t="s">
        <v>14</v>
      </c>
      <c r="I1219" s="241" t="s">
        <v>15</v>
      </c>
      <c r="J1219" s="241"/>
      <c r="K1219" s="242" t="s">
        <v>8</v>
      </c>
      <c r="L1219" s="243">
        <v>7164864.9400000004</v>
      </c>
    </row>
    <row r="1220" spans="1:12" ht="61.2" hidden="1" x14ac:dyDescent="0.3">
      <c r="A1220" s="237" t="s">
        <v>703</v>
      </c>
      <c r="B1220" s="238" t="s">
        <v>2524</v>
      </c>
      <c r="C1220" s="238" t="s">
        <v>2535</v>
      </c>
      <c r="D1220" s="238" t="s">
        <v>1913</v>
      </c>
      <c r="E1220" s="239" t="s">
        <v>751</v>
      </c>
      <c r="F1220" s="240">
        <v>3076.4</v>
      </c>
      <c r="G1220" s="240"/>
      <c r="H1220" s="239" t="s">
        <v>14</v>
      </c>
      <c r="I1220" s="241" t="s">
        <v>15</v>
      </c>
      <c r="J1220" s="241"/>
      <c r="K1220" s="242" t="s">
        <v>8</v>
      </c>
      <c r="L1220" s="243">
        <v>7167941.3399999999</v>
      </c>
    </row>
    <row r="1221" spans="1:12" ht="61.2" hidden="1" x14ac:dyDescent="0.3">
      <c r="A1221" s="237" t="s">
        <v>703</v>
      </c>
      <c r="B1221" s="238" t="s">
        <v>2524</v>
      </c>
      <c r="C1221" s="238" t="s">
        <v>2536</v>
      </c>
      <c r="D1221" s="238" t="s">
        <v>1913</v>
      </c>
      <c r="E1221" s="239" t="s">
        <v>751</v>
      </c>
      <c r="F1221" s="240">
        <v>1101.5</v>
      </c>
      <c r="G1221" s="240"/>
      <c r="H1221" s="239" t="s">
        <v>14</v>
      </c>
      <c r="I1221" s="241" t="s">
        <v>15</v>
      </c>
      <c r="J1221" s="241"/>
      <c r="K1221" s="242" t="s">
        <v>8</v>
      </c>
      <c r="L1221" s="243">
        <v>7169042.8399999999</v>
      </c>
    </row>
    <row r="1222" spans="1:12" ht="61.2" hidden="1" x14ac:dyDescent="0.3">
      <c r="A1222" s="237" t="s">
        <v>703</v>
      </c>
      <c r="B1222" s="238" t="s">
        <v>2524</v>
      </c>
      <c r="C1222" s="238" t="s">
        <v>2537</v>
      </c>
      <c r="D1222" s="238" t="s">
        <v>1913</v>
      </c>
      <c r="E1222" s="239" t="s">
        <v>751</v>
      </c>
      <c r="F1222" s="240">
        <v>1537</v>
      </c>
      <c r="G1222" s="240"/>
      <c r="H1222" s="239" t="s">
        <v>14</v>
      </c>
      <c r="I1222" s="241" t="s">
        <v>15</v>
      </c>
      <c r="J1222" s="241"/>
      <c r="K1222" s="242" t="s">
        <v>8</v>
      </c>
      <c r="L1222" s="243">
        <v>7170579.8399999999</v>
      </c>
    </row>
    <row r="1223" spans="1:12" ht="61.2" hidden="1" x14ac:dyDescent="0.3">
      <c r="A1223" s="237" t="s">
        <v>703</v>
      </c>
      <c r="B1223" s="238" t="s">
        <v>2524</v>
      </c>
      <c r="C1223" s="238" t="s">
        <v>2537</v>
      </c>
      <c r="D1223" s="238" t="s">
        <v>1913</v>
      </c>
      <c r="E1223" s="239" t="s">
        <v>751</v>
      </c>
      <c r="F1223" s="240">
        <v>1609.5</v>
      </c>
      <c r="G1223" s="240"/>
      <c r="H1223" s="239" t="s">
        <v>14</v>
      </c>
      <c r="I1223" s="241" t="s">
        <v>15</v>
      </c>
      <c r="J1223" s="241"/>
      <c r="K1223" s="242" t="s">
        <v>8</v>
      </c>
      <c r="L1223" s="243">
        <v>7172189.3399999999</v>
      </c>
    </row>
    <row r="1224" spans="1:12" ht="61.2" hidden="1" x14ac:dyDescent="0.3">
      <c r="A1224" s="237" t="s">
        <v>703</v>
      </c>
      <c r="B1224" s="238" t="s">
        <v>2524</v>
      </c>
      <c r="C1224" s="238" t="s">
        <v>2538</v>
      </c>
      <c r="D1224" s="238" t="s">
        <v>1913</v>
      </c>
      <c r="E1224" s="239" t="s">
        <v>751</v>
      </c>
      <c r="F1224" s="240">
        <v>6257.6</v>
      </c>
      <c r="G1224" s="240"/>
      <c r="H1224" s="239" t="s">
        <v>14</v>
      </c>
      <c r="I1224" s="241" t="s">
        <v>15</v>
      </c>
      <c r="J1224" s="241"/>
      <c r="K1224" s="242" t="s">
        <v>8</v>
      </c>
      <c r="L1224" s="243">
        <v>7178446.9400000004</v>
      </c>
    </row>
    <row r="1225" spans="1:12" ht="61.2" hidden="1" x14ac:dyDescent="0.3">
      <c r="A1225" s="237" t="s">
        <v>703</v>
      </c>
      <c r="B1225" s="238" t="s">
        <v>2524</v>
      </c>
      <c r="C1225" s="238" t="s">
        <v>2539</v>
      </c>
      <c r="D1225" s="238" t="s">
        <v>1913</v>
      </c>
      <c r="E1225" s="239" t="s">
        <v>751</v>
      </c>
      <c r="F1225" s="240">
        <v>2781.9</v>
      </c>
      <c r="G1225" s="240"/>
      <c r="H1225" s="239" t="s">
        <v>14</v>
      </c>
      <c r="I1225" s="241" t="s">
        <v>15</v>
      </c>
      <c r="J1225" s="241"/>
      <c r="K1225" s="242" t="s">
        <v>8</v>
      </c>
      <c r="L1225" s="243">
        <v>7181228.8399999999</v>
      </c>
    </row>
    <row r="1226" spans="1:12" ht="61.2" hidden="1" x14ac:dyDescent="0.3">
      <c r="A1226" s="237" t="s">
        <v>703</v>
      </c>
      <c r="B1226" s="238" t="s">
        <v>2524</v>
      </c>
      <c r="C1226" s="238" t="s">
        <v>2540</v>
      </c>
      <c r="D1226" s="238" t="s">
        <v>1913</v>
      </c>
      <c r="E1226" s="239" t="s">
        <v>751</v>
      </c>
      <c r="F1226" s="240">
        <v>2549.9</v>
      </c>
      <c r="G1226" s="240"/>
      <c r="H1226" s="239" t="s">
        <v>14</v>
      </c>
      <c r="I1226" s="241" t="s">
        <v>15</v>
      </c>
      <c r="J1226" s="241"/>
      <c r="K1226" s="242" t="s">
        <v>8</v>
      </c>
      <c r="L1226" s="243">
        <v>7183778.7400000002</v>
      </c>
    </row>
    <row r="1227" spans="1:12" ht="61.2" hidden="1" x14ac:dyDescent="0.3">
      <c r="A1227" s="237" t="s">
        <v>703</v>
      </c>
      <c r="B1227" s="238" t="s">
        <v>2524</v>
      </c>
      <c r="C1227" s="238" t="s">
        <v>2541</v>
      </c>
      <c r="D1227" s="238" t="s">
        <v>1913</v>
      </c>
      <c r="E1227" s="239" t="s">
        <v>751</v>
      </c>
      <c r="F1227" s="240">
        <v>1893.9</v>
      </c>
      <c r="G1227" s="240"/>
      <c r="H1227" s="239" t="s">
        <v>14</v>
      </c>
      <c r="I1227" s="241" t="s">
        <v>15</v>
      </c>
      <c r="J1227" s="241"/>
      <c r="K1227" s="242" t="s">
        <v>8</v>
      </c>
      <c r="L1227" s="243">
        <v>7185672.6399999997</v>
      </c>
    </row>
    <row r="1228" spans="1:12" ht="61.2" hidden="1" x14ac:dyDescent="0.3">
      <c r="A1228" s="237" t="s">
        <v>703</v>
      </c>
      <c r="B1228" s="238" t="s">
        <v>2524</v>
      </c>
      <c r="C1228" s="238" t="s">
        <v>2542</v>
      </c>
      <c r="D1228" s="238" t="s">
        <v>1913</v>
      </c>
      <c r="E1228" s="239" t="s">
        <v>751</v>
      </c>
      <c r="F1228" s="240">
        <v>1378.3</v>
      </c>
      <c r="G1228" s="240"/>
      <c r="H1228" s="239" t="s">
        <v>14</v>
      </c>
      <c r="I1228" s="241" t="s">
        <v>15</v>
      </c>
      <c r="J1228" s="241"/>
      <c r="K1228" s="242" t="s">
        <v>8</v>
      </c>
      <c r="L1228" s="243">
        <v>7187050.9400000004</v>
      </c>
    </row>
    <row r="1229" spans="1:12" ht="61.2" hidden="1" x14ac:dyDescent="0.3">
      <c r="A1229" s="237" t="s">
        <v>703</v>
      </c>
      <c r="B1229" s="238" t="s">
        <v>2524</v>
      </c>
      <c r="C1229" s="238" t="s">
        <v>2531</v>
      </c>
      <c r="D1229" s="238" t="s">
        <v>1913</v>
      </c>
      <c r="E1229" s="239" t="s">
        <v>751</v>
      </c>
      <c r="F1229" s="240">
        <v>1741.3</v>
      </c>
      <c r="G1229" s="240"/>
      <c r="H1229" s="239" t="s">
        <v>14</v>
      </c>
      <c r="I1229" s="241" t="s">
        <v>15</v>
      </c>
      <c r="J1229" s="241"/>
      <c r="K1229" s="242" t="s">
        <v>8</v>
      </c>
      <c r="L1229" s="243">
        <v>7188792.2400000002</v>
      </c>
    </row>
    <row r="1230" spans="1:12" ht="61.2" hidden="1" x14ac:dyDescent="0.3">
      <c r="A1230" s="237" t="s">
        <v>703</v>
      </c>
      <c r="B1230" s="238" t="s">
        <v>2524</v>
      </c>
      <c r="C1230" s="238" t="s">
        <v>2543</v>
      </c>
      <c r="D1230" s="238" t="s">
        <v>1913</v>
      </c>
      <c r="E1230" s="239" t="s">
        <v>751</v>
      </c>
      <c r="F1230" s="240">
        <v>6897.4</v>
      </c>
      <c r="G1230" s="240"/>
      <c r="H1230" s="239" t="s">
        <v>14</v>
      </c>
      <c r="I1230" s="241" t="s">
        <v>15</v>
      </c>
      <c r="J1230" s="241"/>
      <c r="K1230" s="242" t="s">
        <v>8</v>
      </c>
      <c r="L1230" s="243">
        <v>7195689.6399999997</v>
      </c>
    </row>
    <row r="1231" spans="1:12" ht="61.2" hidden="1" x14ac:dyDescent="0.3">
      <c r="A1231" s="237" t="s">
        <v>703</v>
      </c>
      <c r="B1231" s="238" t="s">
        <v>2524</v>
      </c>
      <c r="C1231" s="238" t="s">
        <v>2527</v>
      </c>
      <c r="D1231" s="238" t="s">
        <v>1913</v>
      </c>
      <c r="E1231" s="239" t="s">
        <v>751</v>
      </c>
      <c r="F1231" s="240">
        <v>3521.2</v>
      </c>
      <c r="G1231" s="240"/>
      <c r="H1231" s="239" t="s">
        <v>14</v>
      </c>
      <c r="I1231" s="241" t="s">
        <v>15</v>
      </c>
      <c r="J1231" s="241"/>
      <c r="K1231" s="242" t="s">
        <v>8</v>
      </c>
      <c r="L1231" s="243">
        <v>7199210.8399999999</v>
      </c>
    </row>
    <row r="1232" spans="1:12" ht="61.2" hidden="1" x14ac:dyDescent="0.3">
      <c r="A1232" s="237" t="s">
        <v>703</v>
      </c>
      <c r="B1232" s="238" t="s">
        <v>2524</v>
      </c>
      <c r="C1232" s="238" t="s">
        <v>2544</v>
      </c>
      <c r="D1232" s="238" t="s">
        <v>1913</v>
      </c>
      <c r="E1232" s="239" t="s">
        <v>751</v>
      </c>
      <c r="F1232" s="240">
        <v>1788.3</v>
      </c>
      <c r="G1232" s="240"/>
      <c r="H1232" s="239" t="s">
        <v>14</v>
      </c>
      <c r="I1232" s="241" t="s">
        <v>15</v>
      </c>
      <c r="J1232" s="241"/>
      <c r="K1232" s="242" t="s">
        <v>8</v>
      </c>
      <c r="L1232" s="243">
        <v>7200999.1399999997</v>
      </c>
    </row>
    <row r="1233" spans="1:12" ht="61.2" hidden="1" x14ac:dyDescent="0.3">
      <c r="A1233" s="237" t="s">
        <v>703</v>
      </c>
      <c r="B1233" s="238" t="s">
        <v>2524</v>
      </c>
      <c r="C1233" s="238" t="s">
        <v>2545</v>
      </c>
      <c r="D1233" s="238" t="s">
        <v>1913</v>
      </c>
      <c r="E1233" s="239" t="s">
        <v>751</v>
      </c>
      <c r="F1233" s="240">
        <v>8534.6</v>
      </c>
      <c r="G1233" s="240"/>
      <c r="H1233" s="239" t="s">
        <v>14</v>
      </c>
      <c r="I1233" s="241" t="s">
        <v>15</v>
      </c>
      <c r="J1233" s="241"/>
      <c r="K1233" s="242" t="s">
        <v>8</v>
      </c>
      <c r="L1233" s="243">
        <v>7209533.7400000002</v>
      </c>
    </row>
    <row r="1234" spans="1:12" ht="61.2" hidden="1" x14ac:dyDescent="0.3">
      <c r="A1234" s="237" t="s">
        <v>703</v>
      </c>
      <c r="B1234" s="238" t="s">
        <v>2524</v>
      </c>
      <c r="C1234" s="238" t="s">
        <v>2546</v>
      </c>
      <c r="D1234" s="238" t="s">
        <v>1913</v>
      </c>
      <c r="E1234" s="239" t="s">
        <v>751</v>
      </c>
      <c r="F1234" s="240">
        <v>2447.4</v>
      </c>
      <c r="G1234" s="240"/>
      <c r="H1234" s="239" t="s">
        <v>14</v>
      </c>
      <c r="I1234" s="241" t="s">
        <v>15</v>
      </c>
      <c r="J1234" s="241"/>
      <c r="K1234" s="242" t="s">
        <v>8</v>
      </c>
      <c r="L1234" s="243">
        <v>7211981.1399999997</v>
      </c>
    </row>
    <row r="1235" spans="1:12" ht="61.2" hidden="1" x14ac:dyDescent="0.3">
      <c r="A1235" s="237" t="s">
        <v>703</v>
      </c>
      <c r="B1235" s="238" t="s">
        <v>2524</v>
      </c>
      <c r="C1235" s="238" t="s">
        <v>2547</v>
      </c>
      <c r="D1235" s="238" t="s">
        <v>1913</v>
      </c>
      <c r="E1235" s="239" t="s">
        <v>751</v>
      </c>
      <c r="F1235" s="240">
        <v>5497.6</v>
      </c>
      <c r="G1235" s="240"/>
      <c r="H1235" s="239" t="s">
        <v>14</v>
      </c>
      <c r="I1235" s="241" t="s">
        <v>15</v>
      </c>
      <c r="J1235" s="241"/>
      <c r="K1235" s="242" t="s">
        <v>8</v>
      </c>
      <c r="L1235" s="243">
        <v>7217478.7400000002</v>
      </c>
    </row>
    <row r="1236" spans="1:12" ht="61.2" hidden="1" x14ac:dyDescent="0.3">
      <c r="A1236" s="237" t="s">
        <v>703</v>
      </c>
      <c r="B1236" s="238" t="s">
        <v>2524</v>
      </c>
      <c r="C1236" s="238" t="s">
        <v>2547</v>
      </c>
      <c r="D1236" s="238" t="s">
        <v>1913</v>
      </c>
      <c r="E1236" s="239" t="s">
        <v>751</v>
      </c>
      <c r="F1236" s="240">
        <v>2761.1</v>
      </c>
      <c r="G1236" s="240"/>
      <c r="H1236" s="239" t="s">
        <v>14</v>
      </c>
      <c r="I1236" s="241" t="s">
        <v>15</v>
      </c>
      <c r="J1236" s="241"/>
      <c r="K1236" s="242" t="s">
        <v>8</v>
      </c>
      <c r="L1236" s="243">
        <v>7220239.8399999999</v>
      </c>
    </row>
    <row r="1237" spans="1:12" ht="61.2" hidden="1" x14ac:dyDescent="0.3">
      <c r="A1237" s="237" t="s">
        <v>703</v>
      </c>
      <c r="B1237" s="238" t="s">
        <v>2524</v>
      </c>
      <c r="C1237" s="238" t="s">
        <v>2548</v>
      </c>
      <c r="D1237" s="238" t="s">
        <v>1913</v>
      </c>
      <c r="E1237" s="239" t="s">
        <v>751</v>
      </c>
      <c r="F1237" s="240">
        <v>1761.4</v>
      </c>
      <c r="G1237" s="240"/>
      <c r="H1237" s="239" t="s">
        <v>14</v>
      </c>
      <c r="I1237" s="241" t="s">
        <v>15</v>
      </c>
      <c r="J1237" s="241"/>
      <c r="K1237" s="242" t="s">
        <v>8</v>
      </c>
      <c r="L1237" s="243">
        <v>7222001.2400000002</v>
      </c>
    </row>
    <row r="1238" spans="1:12" ht="61.2" hidden="1" x14ac:dyDescent="0.3">
      <c r="A1238" s="237" t="s">
        <v>703</v>
      </c>
      <c r="B1238" s="238" t="s">
        <v>2524</v>
      </c>
      <c r="C1238" s="238" t="s">
        <v>2549</v>
      </c>
      <c r="D1238" s="238" t="s">
        <v>1913</v>
      </c>
      <c r="E1238" s="239" t="s">
        <v>751</v>
      </c>
      <c r="F1238" s="240">
        <v>9944</v>
      </c>
      <c r="G1238" s="240"/>
      <c r="H1238" s="239" t="s">
        <v>14</v>
      </c>
      <c r="I1238" s="241" t="s">
        <v>15</v>
      </c>
      <c r="J1238" s="241"/>
      <c r="K1238" s="242" t="s">
        <v>8</v>
      </c>
      <c r="L1238" s="243">
        <v>7231945.2400000002</v>
      </c>
    </row>
    <row r="1239" spans="1:12" ht="61.2" hidden="1" x14ac:dyDescent="0.3">
      <c r="A1239" s="237" t="s">
        <v>703</v>
      </c>
      <c r="B1239" s="238" t="s">
        <v>2524</v>
      </c>
      <c r="C1239" s="238" t="s">
        <v>2549</v>
      </c>
      <c r="D1239" s="238" t="s">
        <v>1913</v>
      </c>
      <c r="E1239" s="239" t="s">
        <v>751</v>
      </c>
      <c r="F1239" s="240">
        <v>1954.8</v>
      </c>
      <c r="G1239" s="240"/>
      <c r="H1239" s="239" t="s">
        <v>14</v>
      </c>
      <c r="I1239" s="241" t="s">
        <v>15</v>
      </c>
      <c r="J1239" s="241"/>
      <c r="K1239" s="242" t="s">
        <v>8</v>
      </c>
      <c r="L1239" s="243">
        <v>7233900.04</v>
      </c>
    </row>
    <row r="1240" spans="1:12" ht="61.2" hidden="1" x14ac:dyDescent="0.3">
      <c r="A1240" s="237" t="s">
        <v>703</v>
      </c>
      <c r="B1240" s="238" t="s">
        <v>2524</v>
      </c>
      <c r="C1240" s="238" t="s">
        <v>2550</v>
      </c>
      <c r="D1240" s="238" t="s">
        <v>1913</v>
      </c>
      <c r="E1240" s="239" t="s">
        <v>751</v>
      </c>
      <c r="F1240" s="240">
        <v>2609.3000000000002</v>
      </c>
      <c r="G1240" s="240"/>
      <c r="H1240" s="239" t="s">
        <v>14</v>
      </c>
      <c r="I1240" s="241" t="s">
        <v>15</v>
      </c>
      <c r="J1240" s="241"/>
      <c r="K1240" s="242" t="s">
        <v>8</v>
      </c>
      <c r="L1240" s="243">
        <v>7236509.3399999999</v>
      </c>
    </row>
    <row r="1241" spans="1:12" ht="61.2" hidden="1" x14ac:dyDescent="0.3">
      <c r="A1241" s="237" t="s">
        <v>703</v>
      </c>
      <c r="B1241" s="238" t="s">
        <v>2524</v>
      </c>
      <c r="C1241" s="238" t="s">
        <v>2551</v>
      </c>
      <c r="D1241" s="238" t="s">
        <v>1913</v>
      </c>
      <c r="E1241" s="239" t="s">
        <v>751</v>
      </c>
      <c r="F1241" s="240">
        <v>8914</v>
      </c>
      <c r="G1241" s="240"/>
      <c r="H1241" s="239" t="s">
        <v>14</v>
      </c>
      <c r="I1241" s="241" t="s">
        <v>15</v>
      </c>
      <c r="J1241" s="241"/>
      <c r="K1241" s="242" t="s">
        <v>8</v>
      </c>
      <c r="L1241" s="243">
        <v>7245423.3399999999</v>
      </c>
    </row>
    <row r="1242" spans="1:12" ht="61.2" hidden="1" x14ac:dyDescent="0.3">
      <c r="A1242" s="237" t="s">
        <v>703</v>
      </c>
      <c r="B1242" s="238" t="s">
        <v>2524</v>
      </c>
      <c r="C1242" s="238" t="s">
        <v>2552</v>
      </c>
      <c r="D1242" s="238" t="s">
        <v>1913</v>
      </c>
      <c r="E1242" s="239" t="s">
        <v>751</v>
      </c>
      <c r="F1242" s="240">
        <v>2273.1999999999998</v>
      </c>
      <c r="G1242" s="240"/>
      <c r="H1242" s="239" t="s">
        <v>14</v>
      </c>
      <c r="I1242" s="241" t="s">
        <v>15</v>
      </c>
      <c r="J1242" s="241"/>
      <c r="K1242" s="242" t="s">
        <v>8</v>
      </c>
      <c r="L1242" s="243">
        <v>7247696.54</v>
      </c>
    </row>
    <row r="1243" spans="1:12" ht="61.2" hidden="1" x14ac:dyDescent="0.3">
      <c r="A1243" s="237" t="s">
        <v>703</v>
      </c>
      <c r="B1243" s="238" t="s">
        <v>2524</v>
      </c>
      <c r="C1243" s="238" t="s">
        <v>2553</v>
      </c>
      <c r="D1243" s="238" t="s">
        <v>1913</v>
      </c>
      <c r="E1243" s="239" t="s">
        <v>751</v>
      </c>
      <c r="F1243" s="240">
        <v>2444.3000000000002</v>
      </c>
      <c r="G1243" s="240"/>
      <c r="H1243" s="239" t="s">
        <v>14</v>
      </c>
      <c r="I1243" s="241" t="s">
        <v>15</v>
      </c>
      <c r="J1243" s="241"/>
      <c r="K1243" s="242" t="s">
        <v>8</v>
      </c>
      <c r="L1243" s="243">
        <v>7250140.8399999999</v>
      </c>
    </row>
    <row r="1244" spans="1:12" ht="61.2" hidden="1" x14ac:dyDescent="0.3">
      <c r="A1244" s="237" t="s">
        <v>703</v>
      </c>
      <c r="B1244" s="238" t="s">
        <v>2524</v>
      </c>
      <c r="C1244" s="238" t="s">
        <v>2554</v>
      </c>
      <c r="D1244" s="238" t="s">
        <v>1913</v>
      </c>
      <c r="E1244" s="239" t="s">
        <v>751</v>
      </c>
      <c r="F1244" s="240">
        <v>3615.2</v>
      </c>
      <c r="G1244" s="240"/>
      <c r="H1244" s="239" t="s">
        <v>14</v>
      </c>
      <c r="I1244" s="241" t="s">
        <v>15</v>
      </c>
      <c r="J1244" s="241"/>
      <c r="K1244" s="242" t="s">
        <v>8</v>
      </c>
      <c r="L1244" s="243">
        <v>7253756.04</v>
      </c>
    </row>
    <row r="1245" spans="1:12" ht="61.2" hidden="1" x14ac:dyDescent="0.3">
      <c r="A1245" s="237" t="s">
        <v>703</v>
      </c>
      <c r="B1245" s="238" t="s">
        <v>2524</v>
      </c>
      <c r="C1245" s="238" t="s">
        <v>2555</v>
      </c>
      <c r="D1245" s="238" t="s">
        <v>1913</v>
      </c>
      <c r="E1245" s="239" t="s">
        <v>751</v>
      </c>
      <c r="F1245" s="240">
        <v>3162</v>
      </c>
      <c r="G1245" s="240"/>
      <c r="H1245" s="239" t="s">
        <v>14</v>
      </c>
      <c r="I1245" s="241" t="s">
        <v>15</v>
      </c>
      <c r="J1245" s="241"/>
      <c r="K1245" s="242" t="s">
        <v>8</v>
      </c>
      <c r="L1245" s="243">
        <v>7256918.04</v>
      </c>
    </row>
    <row r="1246" spans="1:12" ht="61.2" hidden="1" x14ac:dyDescent="0.3">
      <c r="A1246" s="237" t="s">
        <v>703</v>
      </c>
      <c r="B1246" s="238" t="s">
        <v>2524</v>
      </c>
      <c r="C1246" s="238" t="s">
        <v>2556</v>
      </c>
      <c r="D1246" s="238" t="s">
        <v>1913</v>
      </c>
      <c r="E1246" s="239" t="s">
        <v>751</v>
      </c>
      <c r="F1246" s="240">
        <v>4465.3999999999996</v>
      </c>
      <c r="G1246" s="240"/>
      <c r="H1246" s="239" t="s">
        <v>14</v>
      </c>
      <c r="I1246" s="241" t="s">
        <v>15</v>
      </c>
      <c r="J1246" s="241"/>
      <c r="K1246" s="242" t="s">
        <v>8</v>
      </c>
      <c r="L1246" s="243">
        <v>7261383.4400000004</v>
      </c>
    </row>
    <row r="1247" spans="1:12" ht="61.2" hidden="1" x14ac:dyDescent="0.3">
      <c r="A1247" s="237" t="s">
        <v>703</v>
      </c>
      <c r="B1247" s="238" t="s">
        <v>2524</v>
      </c>
      <c r="C1247" s="238" t="s">
        <v>2557</v>
      </c>
      <c r="D1247" s="238" t="s">
        <v>1913</v>
      </c>
      <c r="E1247" s="239" t="s">
        <v>751</v>
      </c>
      <c r="F1247" s="240">
        <v>1136.2</v>
      </c>
      <c r="G1247" s="240"/>
      <c r="H1247" s="239" t="s">
        <v>14</v>
      </c>
      <c r="I1247" s="241" t="s">
        <v>15</v>
      </c>
      <c r="J1247" s="241"/>
      <c r="K1247" s="242" t="s">
        <v>8</v>
      </c>
      <c r="L1247" s="243">
        <v>7262519.6399999997</v>
      </c>
    </row>
    <row r="1248" spans="1:12" ht="61.2" hidden="1" x14ac:dyDescent="0.3">
      <c r="A1248" s="237" t="s">
        <v>703</v>
      </c>
      <c r="B1248" s="238" t="s">
        <v>2524</v>
      </c>
      <c r="C1248" s="238" t="s">
        <v>2558</v>
      </c>
      <c r="D1248" s="238" t="s">
        <v>1913</v>
      </c>
      <c r="E1248" s="239" t="s">
        <v>751</v>
      </c>
      <c r="F1248" s="240">
        <v>2052.6999999999998</v>
      </c>
      <c r="G1248" s="240"/>
      <c r="H1248" s="239" t="s">
        <v>14</v>
      </c>
      <c r="I1248" s="241" t="s">
        <v>15</v>
      </c>
      <c r="J1248" s="241"/>
      <c r="K1248" s="242" t="s">
        <v>8</v>
      </c>
      <c r="L1248" s="243">
        <v>7264572.3399999999</v>
      </c>
    </row>
    <row r="1249" spans="1:12" ht="61.2" hidden="1" x14ac:dyDescent="0.3">
      <c r="A1249" s="237" t="s">
        <v>703</v>
      </c>
      <c r="B1249" s="238" t="s">
        <v>2524</v>
      </c>
      <c r="C1249" s="238" t="s">
        <v>2559</v>
      </c>
      <c r="D1249" s="238" t="s">
        <v>1913</v>
      </c>
      <c r="E1249" s="239" t="s">
        <v>751</v>
      </c>
      <c r="F1249" s="240">
        <v>2509.8000000000002</v>
      </c>
      <c r="G1249" s="240"/>
      <c r="H1249" s="239" t="s">
        <v>14</v>
      </c>
      <c r="I1249" s="241" t="s">
        <v>15</v>
      </c>
      <c r="J1249" s="241"/>
      <c r="K1249" s="242" t="s">
        <v>8</v>
      </c>
      <c r="L1249" s="243">
        <v>7267082.1399999997</v>
      </c>
    </row>
    <row r="1250" spans="1:12" ht="61.2" hidden="1" x14ac:dyDescent="0.3">
      <c r="A1250" s="237" t="s">
        <v>703</v>
      </c>
      <c r="B1250" s="238" t="s">
        <v>2524</v>
      </c>
      <c r="C1250" s="238" t="s">
        <v>2560</v>
      </c>
      <c r="D1250" s="238" t="s">
        <v>1913</v>
      </c>
      <c r="E1250" s="239" t="s">
        <v>751</v>
      </c>
      <c r="F1250" s="240">
        <v>2516.8000000000002</v>
      </c>
      <c r="G1250" s="240"/>
      <c r="H1250" s="239" t="s">
        <v>14</v>
      </c>
      <c r="I1250" s="241" t="s">
        <v>15</v>
      </c>
      <c r="J1250" s="241"/>
      <c r="K1250" s="242" t="s">
        <v>8</v>
      </c>
      <c r="L1250" s="243">
        <v>7269598.9400000004</v>
      </c>
    </row>
    <row r="1251" spans="1:12" ht="61.2" hidden="1" x14ac:dyDescent="0.3">
      <c r="A1251" s="237" t="s">
        <v>703</v>
      </c>
      <c r="B1251" s="238" t="s">
        <v>2524</v>
      </c>
      <c r="C1251" s="238" t="s">
        <v>2561</v>
      </c>
      <c r="D1251" s="238" t="s">
        <v>1913</v>
      </c>
      <c r="E1251" s="239" t="s">
        <v>751</v>
      </c>
      <c r="F1251" s="240">
        <v>2063.5</v>
      </c>
      <c r="G1251" s="240"/>
      <c r="H1251" s="239" t="s">
        <v>14</v>
      </c>
      <c r="I1251" s="241" t="s">
        <v>15</v>
      </c>
      <c r="J1251" s="241"/>
      <c r="K1251" s="242" t="s">
        <v>8</v>
      </c>
      <c r="L1251" s="243">
        <v>7271662.4400000004</v>
      </c>
    </row>
    <row r="1252" spans="1:12" ht="61.2" hidden="1" x14ac:dyDescent="0.3">
      <c r="A1252" s="237" t="s">
        <v>703</v>
      </c>
      <c r="B1252" s="238" t="s">
        <v>2524</v>
      </c>
      <c r="C1252" s="238" t="s">
        <v>2562</v>
      </c>
      <c r="D1252" s="238" t="s">
        <v>1913</v>
      </c>
      <c r="E1252" s="239" t="s">
        <v>751</v>
      </c>
      <c r="F1252" s="240">
        <v>1970.3</v>
      </c>
      <c r="G1252" s="240"/>
      <c r="H1252" s="239" t="s">
        <v>14</v>
      </c>
      <c r="I1252" s="241" t="s">
        <v>15</v>
      </c>
      <c r="J1252" s="241"/>
      <c r="K1252" s="242" t="s">
        <v>8</v>
      </c>
      <c r="L1252" s="243">
        <v>7273632.7400000002</v>
      </c>
    </row>
    <row r="1253" spans="1:12" ht="61.2" hidden="1" x14ac:dyDescent="0.3">
      <c r="A1253" s="237" t="s">
        <v>703</v>
      </c>
      <c r="B1253" s="238" t="s">
        <v>2524</v>
      </c>
      <c r="C1253" s="238" t="s">
        <v>2563</v>
      </c>
      <c r="D1253" s="238" t="s">
        <v>1913</v>
      </c>
      <c r="E1253" s="239" t="s">
        <v>751</v>
      </c>
      <c r="F1253" s="240">
        <v>1266.5</v>
      </c>
      <c r="G1253" s="240"/>
      <c r="H1253" s="239" t="s">
        <v>14</v>
      </c>
      <c r="I1253" s="241" t="s">
        <v>15</v>
      </c>
      <c r="J1253" s="241"/>
      <c r="K1253" s="242" t="s">
        <v>8</v>
      </c>
      <c r="L1253" s="243">
        <v>7274899.2400000002</v>
      </c>
    </row>
    <row r="1254" spans="1:12" ht="61.2" hidden="1" x14ac:dyDescent="0.3">
      <c r="A1254" s="237" t="s">
        <v>703</v>
      </c>
      <c r="B1254" s="238" t="s">
        <v>2524</v>
      </c>
      <c r="C1254" s="238" t="s">
        <v>2564</v>
      </c>
      <c r="D1254" s="238" t="s">
        <v>1913</v>
      </c>
      <c r="E1254" s="239" t="s">
        <v>751</v>
      </c>
      <c r="F1254" s="240">
        <v>2122.9</v>
      </c>
      <c r="G1254" s="240"/>
      <c r="H1254" s="239" t="s">
        <v>14</v>
      </c>
      <c r="I1254" s="241" t="s">
        <v>15</v>
      </c>
      <c r="J1254" s="241"/>
      <c r="K1254" s="242" t="s">
        <v>8</v>
      </c>
      <c r="L1254" s="243">
        <v>7277022.1399999997</v>
      </c>
    </row>
    <row r="1255" spans="1:12" ht="61.2" hidden="1" x14ac:dyDescent="0.3">
      <c r="A1255" s="237" t="s">
        <v>703</v>
      </c>
      <c r="B1255" s="238" t="s">
        <v>2524</v>
      </c>
      <c r="C1255" s="238" t="s">
        <v>2565</v>
      </c>
      <c r="D1255" s="238" t="s">
        <v>1913</v>
      </c>
      <c r="E1255" s="239" t="s">
        <v>751</v>
      </c>
      <c r="F1255" s="240">
        <v>2173</v>
      </c>
      <c r="G1255" s="240"/>
      <c r="H1255" s="239" t="s">
        <v>14</v>
      </c>
      <c r="I1255" s="241" t="s">
        <v>15</v>
      </c>
      <c r="J1255" s="241"/>
      <c r="K1255" s="242" t="s">
        <v>8</v>
      </c>
      <c r="L1255" s="243">
        <v>7279195.1399999997</v>
      </c>
    </row>
    <row r="1256" spans="1:12" ht="61.2" hidden="1" x14ac:dyDescent="0.3">
      <c r="A1256" s="237" t="s">
        <v>703</v>
      </c>
      <c r="B1256" s="238" t="s">
        <v>2524</v>
      </c>
      <c r="C1256" s="238" t="s">
        <v>2566</v>
      </c>
      <c r="D1256" s="238" t="s">
        <v>1913</v>
      </c>
      <c r="E1256" s="239" t="s">
        <v>751</v>
      </c>
      <c r="F1256" s="240">
        <v>1467.7</v>
      </c>
      <c r="G1256" s="240"/>
      <c r="H1256" s="239" t="s">
        <v>14</v>
      </c>
      <c r="I1256" s="241" t="s">
        <v>15</v>
      </c>
      <c r="J1256" s="241"/>
      <c r="K1256" s="242" t="s">
        <v>8</v>
      </c>
      <c r="L1256" s="243">
        <v>7280662.8399999999</v>
      </c>
    </row>
    <row r="1257" spans="1:12" ht="61.2" hidden="1" x14ac:dyDescent="0.3">
      <c r="A1257" s="237" t="s">
        <v>703</v>
      </c>
      <c r="B1257" s="238" t="s">
        <v>2524</v>
      </c>
      <c r="C1257" s="238" t="s">
        <v>2567</v>
      </c>
      <c r="D1257" s="238" t="s">
        <v>1913</v>
      </c>
      <c r="E1257" s="239" t="s">
        <v>751</v>
      </c>
      <c r="F1257" s="240">
        <v>4447.7</v>
      </c>
      <c r="G1257" s="240"/>
      <c r="H1257" s="239" t="s">
        <v>14</v>
      </c>
      <c r="I1257" s="241" t="s">
        <v>15</v>
      </c>
      <c r="J1257" s="241"/>
      <c r="K1257" s="242" t="s">
        <v>8</v>
      </c>
      <c r="L1257" s="243">
        <v>7285110.54</v>
      </c>
    </row>
    <row r="1258" spans="1:12" ht="61.2" hidden="1" x14ac:dyDescent="0.3">
      <c r="A1258" s="237" t="s">
        <v>703</v>
      </c>
      <c r="B1258" s="238" t="s">
        <v>2524</v>
      </c>
      <c r="C1258" s="238" t="s">
        <v>2568</v>
      </c>
      <c r="D1258" s="238" t="s">
        <v>1913</v>
      </c>
      <c r="E1258" s="239" t="s">
        <v>751</v>
      </c>
      <c r="F1258" s="240">
        <v>2223.1</v>
      </c>
      <c r="G1258" s="240"/>
      <c r="H1258" s="239" t="s">
        <v>14</v>
      </c>
      <c r="I1258" s="241" t="s">
        <v>15</v>
      </c>
      <c r="J1258" s="241"/>
      <c r="K1258" s="242" t="s">
        <v>8</v>
      </c>
      <c r="L1258" s="243">
        <v>7287333.6399999997</v>
      </c>
    </row>
    <row r="1259" spans="1:12" ht="61.2" hidden="1" x14ac:dyDescent="0.3">
      <c r="A1259" s="237" t="s">
        <v>703</v>
      </c>
      <c r="B1259" s="238" t="s">
        <v>2524</v>
      </c>
      <c r="C1259" s="238" t="s">
        <v>2569</v>
      </c>
      <c r="D1259" s="238" t="s">
        <v>1913</v>
      </c>
      <c r="E1259" s="239" t="s">
        <v>751</v>
      </c>
      <c r="F1259" s="240">
        <v>1392.1</v>
      </c>
      <c r="G1259" s="240"/>
      <c r="H1259" s="239" t="s">
        <v>14</v>
      </c>
      <c r="I1259" s="241" t="s">
        <v>15</v>
      </c>
      <c r="J1259" s="241"/>
      <c r="K1259" s="242" t="s">
        <v>8</v>
      </c>
      <c r="L1259" s="243">
        <v>7288725.7400000002</v>
      </c>
    </row>
    <row r="1260" spans="1:12" ht="61.2" hidden="1" x14ac:dyDescent="0.3">
      <c r="A1260" s="237" t="s">
        <v>703</v>
      </c>
      <c r="B1260" s="238" t="s">
        <v>2524</v>
      </c>
      <c r="C1260" s="238" t="s">
        <v>2570</v>
      </c>
      <c r="D1260" s="238" t="s">
        <v>1913</v>
      </c>
      <c r="E1260" s="239" t="s">
        <v>751</v>
      </c>
      <c r="F1260" s="240">
        <v>6826.6</v>
      </c>
      <c r="G1260" s="240"/>
      <c r="H1260" s="239" t="s">
        <v>14</v>
      </c>
      <c r="I1260" s="241" t="s">
        <v>15</v>
      </c>
      <c r="J1260" s="241"/>
      <c r="K1260" s="242" t="s">
        <v>8</v>
      </c>
      <c r="L1260" s="243">
        <v>7295552.3399999999</v>
      </c>
    </row>
    <row r="1261" spans="1:12" ht="61.2" hidden="1" x14ac:dyDescent="0.3">
      <c r="A1261" s="237" t="s">
        <v>703</v>
      </c>
      <c r="B1261" s="238" t="s">
        <v>2524</v>
      </c>
      <c r="C1261" s="238" t="s">
        <v>2571</v>
      </c>
      <c r="D1261" s="238" t="s">
        <v>1913</v>
      </c>
      <c r="E1261" s="239" t="s">
        <v>751</v>
      </c>
      <c r="F1261" s="240">
        <v>1231.8</v>
      </c>
      <c r="G1261" s="240"/>
      <c r="H1261" s="239" t="s">
        <v>14</v>
      </c>
      <c r="I1261" s="241" t="s">
        <v>15</v>
      </c>
      <c r="J1261" s="241"/>
      <c r="K1261" s="242" t="s">
        <v>8</v>
      </c>
      <c r="L1261" s="243">
        <v>7296784.1399999997</v>
      </c>
    </row>
    <row r="1262" spans="1:12" ht="61.2" hidden="1" x14ac:dyDescent="0.3">
      <c r="A1262" s="237" t="s">
        <v>703</v>
      </c>
      <c r="B1262" s="238" t="s">
        <v>2524</v>
      </c>
      <c r="C1262" s="238" t="s">
        <v>2572</v>
      </c>
      <c r="D1262" s="238" t="s">
        <v>1913</v>
      </c>
      <c r="E1262" s="239" t="s">
        <v>751</v>
      </c>
      <c r="F1262" s="240">
        <v>3318.4</v>
      </c>
      <c r="G1262" s="240"/>
      <c r="H1262" s="239" t="s">
        <v>14</v>
      </c>
      <c r="I1262" s="241" t="s">
        <v>15</v>
      </c>
      <c r="J1262" s="241"/>
      <c r="K1262" s="242" t="s">
        <v>8</v>
      </c>
      <c r="L1262" s="243">
        <v>7300102.54</v>
      </c>
    </row>
    <row r="1263" spans="1:12" ht="61.2" hidden="1" x14ac:dyDescent="0.3">
      <c r="A1263" s="237" t="s">
        <v>703</v>
      </c>
      <c r="B1263" s="238" t="s">
        <v>2524</v>
      </c>
      <c r="C1263" s="238" t="s">
        <v>2573</v>
      </c>
      <c r="D1263" s="238" t="s">
        <v>1913</v>
      </c>
      <c r="E1263" s="239" t="s">
        <v>751</v>
      </c>
      <c r="F1263" s="240">
        <v>3360.8</v>
      </c>
      <c r="G1263" s="240"/>
      <c r="H1263" s="239" t="s">
        <v>14</v>
      </c>
      <c r="I1263" s="241" t="s">
        <v>15</v>
      </c>
      <c r="J1263" s="241"/>
      <c r="K1263" s="242" t="s">
        <v>8</v>
      </c>
      <c r="L1263" s="243">
        <v>7303463.3399999999</v>
      </c>
    </row>
    <row r="1264" spans="1:12" ht="61.2" hidden="1" x14ac:dyDescent="0.3">
      <c r="A1264" s="237" t="s">
        <v>703</v>
      </c>
      <c r="B1264" s="238" t="s">
        <v>2524</v>
      </c>
      <c r="C1264" s="238" t="s">
        <v>2574</v>
      </c>
      <c r="D1264" s="238" t="s">
        <v>1913</v>
      </c>
      <c r="E1264" s="239" t="s">
        <v>751</v>
      </c>
      <c r="F1264" s="240">
        <v>4266.6000000000004</v>
      </c>
      <c r="G1264" s="240"/>
      <c r="H1264" s="239" t="s">
        <v>14</v>
      </c>
      <c r="I1264" s="241" t="s">
        <v>15</v>
      </c>
      <c r="J1264" s="241"/>
      <c r="K1264" s="242" t="s">
        <v>8</v>
      </c>
      <c r="L1264" s="243">
        <v>7307729.9400000004</v>
      </c>
    </row>
    <row r="1265" spans="1:12" ht="61.2" hidden="1" x14ac:dyDescent="0.3">
      <c r="A1265" s="237" t="s">
        <v>703</v>
      </c>
      <c r="B1265" s="238" t="s">
        <v>2524</v>
      </c>
      <c r="C1265" s="238" t="s">
        <v>2574</v>
      </c>
      <c r="D1265" s="238" t="s">
        <v>1913</v>
      </c>
      <c r="E1265" s="239" t="s">
        <v>751</v>
      </c>
      <c r="F1265" s="240">
        <v>10093.200000000001</v>
      </c>
      <c r="G1265" s="240"/>
      <c r="H1265" s="239" t="s">
        <v>14</v>
      </c>
      <c r="I1265" s="241" t="s">
        <v>15</v>
      </c>
      <c r="J1265" s="241"/>
      <c r="K1265" s="242" t="s">
        <v>8</v>
      </c>
      <c r="L1265" s="243">
        <v>7317823.1399999997</v>
      </c>
    </row>
    <row r="1266" spans="1:12" ht="61.2" hidden="1" x14ac:dyDescent="0.3">
      <c r="A1266" s="237" t="s">
        <v>703</v>
      </c>
      <c r="B1266" s="238" t="s">
        <v>2524</v>
      </c>
      <c r="C1266" s="238" t="s">
        <v>2575</v>
      </c>
      <c r="D1266" s="238" t="s">
        <v>1913</v>
      </c>
      <c r="E1266" s="239" t="s">
        <v>751</v>
      </c>
      <c r="F1266" s="240">
        <v>2824.3</v>
      </c>
      <c r="G1266" s="240"/>
      <c r="H1266" s="239" t="s">
        <v>14</v>
      </c>
      <c r="I1266" s="241" t="s">
        <v>15</v>
      </c>
      <c r="J1266" s="241"/>
      <c r="K1266" s="242" t="s">
        <v>8</v>
      </c>
      <c r="L1266" s="243">
        <v>7320647.4400000004</v>
      </c>
    </row>
    <row r="1267" spans="1:12" ht="61.2" hidden="1" x14ac:dyDescent="0.3">
      <c r="A1267" s="237" t="s">
        <v>703</v>
      </c>
      <c r="B1267" s="238" t="s">
        <v>2524</v>
      </c>
      <c r="C1267" s="238" t="s">
        <v>2576</v>
      </c>
      <c r="D1267" s="238" t="s">
        <v>1913</v>
      </c>
      <c r="E1267" s="239" t="s">
        <v>751</v>
      </c>
      <c r="F1267" s="240">
        <v>2654</v>
      </c>
      <c r="G1267" s="240"/>
      <c r="H1267" s="239" t="s">
        <v>14</v>
      </c>
      <c r="I1267" s="241" t="s">
        <v>15</v>
      </c>
      <c r="J1267" s="241"/>
      <c r="K1267" s="242" t="s">
        <v>8</v>
      </c>
      <c r="L1267" s="243">
        <v>7323301.4400000004</v>
      </c>
    </row>
    <row r="1268" spans="1:12" ht="61.2" hidden="1" x14ac:dyDescent="0.3">
      <c r="A1268" s="237" t="s">
        <v>703</v>
      </c>
      <c r="B1268" s="238" t="s">
        <v>2524</v>
      </c>
      <c r="C1268" s="238" t="s">
        <v>2577</v>
      </c>
      <c r="D1268" s="238" t="s">
        <v>1913</v>
      </c>
      <c r="E1268" s="239" t="s">
        <v>751</v>
      </c>
      <c r="F1268" s="240">
        <v>1917.8</v>
      </c>
      <c r="G1268" s="240"/>
      <c r="H1268" s="239" t="s">
        <v>14</v>
      </c>
      <c r="I1268" s="241" t="s">
        <v>15</v>
      </c>
      <c r="J1268" s="241"/>
      <c r="K1268" s="242" t="s">
        <v>8</v>
      </c>
      <c r="L1268" s="243">
        <v>7325219.2400000002</v>
      </c>
    </row>
    <row r="1269" spans="1:12" ht="61.2" hidden="1" x14ac:dyDescent="0.3">
      <c r="A1269" s="237" t="s">
        <v>703</v>
      </c>
      <c r="B1269" s="238" t="s">
        <v>2524</v>
      </c>
      <c r="C1269" s="238" t="s">
        <v>2578</v>
      </c>
      <c r="D1269" s="238" t="s">
        <v>1913</v>
      </c>
      <c r="E1269" s="239" t="s">
        <v>751</v>
      </c>
      <c r="F1269" s="240">
        <v>2152.1999999999998</v>
      </c>
      <c r="G1269" s="240"/>
      <c r="H1269" s="239" t="s">
        <v>14</v>
      </c>
      <c r="I1269" s="241" t="s">
        <v>15</v>
      </c>
      <c r="J1269" s="241"/>
      <c r="K1269" s="242" t="s">
        <v>8</v>
      </c>
      <c r="L1269" s="243">
        <v>7327371.4400000004</v>
      </c>
    </row>
    <row r="1270" spans="1:12" ht="61.2" hidden="1" x14ac:dyDescent="0.3">
      <c r="A1270" s="237" t="s">
        <v>703</v>
      </c>
      <c r="B1270" s="238" t="s">
        <v>2524</v>
      </c>
      <c r="C1270" s="238" t="s">
        <v>2579</v>
      </c>
      <c r="D1270" s="238" t="s">
        <v>1913</v>
      </c>
      <c r="E1270" s="239" t="s">
        <v>751</v>
      </c>
      <c r="F1270" s="240">
        <v>1380.6</v>
      </c>
      <c r="G1270" s="240"/>
      <c r="H1270" s="239" t="s">
        <v>14</v>
      </c>
      <c r="I1270" s="241" t="s">
        <v>15</v>
      </c>
      <c r="J1270" s="241"/>
      <c r="K1270" s="242" t="s">
        <v>8</v>
      </c>
      <c r="L1270" s="243">
        <v>7328752.04</v>
      </c>
    </row>
    <row r="1271" spans="1:12" ht="61.2" hidden="1" x14ac:dyDescent="0.3">
      <c r="A1271" s="237" t="s">
        <v>703</v>
      </c>
      <c r="B1271" s="238" t="s">
        <v>2524</v>
      </c>
      <c r="C1271" s="238" t="s">
        <v>2580</v>
      </c>
      <c r="D1271" s="238" t="s">
        <v>1913</v>
      </c>
      <c r="E1271" s="239" t="s">
        <v>751</v>
      </c>
      <c r="F1271" s="240">
        <v>3851.1</v>
      </c>
      <c r="G1271" s="240"/>
      <c r="H1271" s="239" t="s">
        <v>14</v>
      </c>
      <c r="I1271" s="241" t="s">
        <v>15</v>
      </c>
      <c r="J1271" s="241"/>
      <c r="K1271" s="242" t="s">
        <v>8</v>
      </c>
      <c r="L1271" s="243">
        <v>7332603.1399999997</v>
      </c>
    </row>
    <row r="1272" spans="1:12" ht="61.2" hidden="1" x14ac:dyDescent="0.3">
      <c r="A1272" s="237" t="s">
        <v>703</v>
      </c>
      <c r="B1272" s="238" t="s">
        <v>2524</v>
      </c>
      <c r="C1272" s="238" t="s">
        <v>2581</v>
      </c>
      <c r="D1272" s="238" t="s">
        <v>1913</v>
      </c>
      <c r="E1272" s="239" t="s">
        <v>751</v>
      </c>
      <c r="F1272" s="240">
        <v>11664.3</v>
      </c>
      <c r="G1272" s="240"/>
      <c r="H1272" s="239" t="s">
        <v>14</v>
      </c>
      <c r="I1272" s="241" t="s">
        <v>15</v>
      </c>
      <c r="J1272" s="241"/>
      <c r="K1272" s="242" t="s">
        <v>8</v>
      </c>
      <c r="L1272" s="243">
        <v>7344267.4400000004</v>
      </c>
    </row>
    <row r="1273" spans="1:12" ht="61.2" hidden="1" x14ac:dyDescent="0.3">
      <c r="A1273" s="237" t="s">
        <v>703</v>
      </c>
      <c r="B1273" s="238" t="s">
        <v>2524</v>
      </c>
      <c r="C1273" s="238" t="s">
        <v>2532</v>
      </c>
      <c r="D1273" s="238" t="s">
        <v>1913</v>
      </c>
      <c r="E1273" s="239" t="s">
        <v>751</v>
      </c>
      <c r="F1273" s="240">
        <v>3663.8</v>
      </c>
      <c r="G1273" s="240"/>
      <c r="H1273" s="239" t="s">
        <v>14</v>
      </c>
      <c r="I1273" s="241" t="s">
        <v>15</v>
      </c>
      <c r="J1273" s="241"/>
      <c r="K1273" s="242" t="s">
        <v>8</v>
      </c>
      <c r="L1273" s="243">
        <v>7347931.2400000002</v>
      </c>
    </row>
    <row r="1274" spans="1:12" ht="61.2" hidden="1" x14ac:dyDescent="0.3">
      <c r="A1274" s="237" t="s">
        <v>703</v>
      </c>
      <c r="B1274" s="238" t="s">
        <v>2524</v>
      </c>
      <c r="C1274" s="238" t="s">
        <v>2582</v>
      </c>
      <c r="D1274" s="238" t="s">
        <v>1913</v>
      </c>
      <c r="E1274" s="239" t="s">
        <v>751</v>
      </c>
      <c r="F1274" s="240">
        <v>1293.5</v>
      </c>
      <c r="G1274" s="240"/>
      <c r="H1274" s="239" t="s">
        <v>14</v>
      </c>
      <c r="I1274" s="241" t="s">
        <v>15</v>
      </c>
      <c r="J1274" s="241"/>
      <c r="K1274" s="242" t="s">
        <v>8</v>
      </c>
      <c r="L1274" s="243">
        <v>7349224.7400000002</v>
      </c>
    </row>
    <row r="1275" spans="1:12" ht="61.2" hidden="1" x14ac:dyDescent="0.3">
      <c r="A1275" s="237" t="s">
        <v>703</v>
      </c>
      <c r="B1275" s="238" t="s">
        <v>2524</v>
      </c>
      <c r="C1275" s="238" t="s">
        <v>2583</v>
      </c>
      <c r="D1275" s="238" t="s">
        <v>1913</v>
      </c>
      <c r="E1275" s="239" t="s">
        <v>751</v>
      </c>
      <c r="F1275" s="240">
        <v>9324</v>
      </c>
      <c r="G1275" s="240"/>
      <c r="H1275" s="239" t="s">
        <v>14</v>
      </c>
      <c r="I1275" s="241" t="s">
        <v>15</v>
      </c>
      <c r="J1275" s="241"/>
      <c r="K1275" s="242" t="s">
        <v>8</v>
      </c>
      <c r="L1275" s="243">
        <v>7358548.7400000002</v>
      </c>
    </row>
    <row r="1276" spans="1:12" ht="61.2" hidden="1" x14ac:dyDescent="0.3">
      <c r="A1276" s="237" t="s">
        <v>703</v>
      </c>
      <c r="B1276" s="238" t="s">
        <v>2524</v>
      </c>
      <c r="C1276" s="238" t="s">
        <v>2584</v>
      </c>
      <c r="D1276" s="238" t="s">
        <v>1913</v>
      </c>
      <c r="E1276" s="239" t="s">
        <v>751</v>
      </c>
      <c r="F1276" s="240">
        <v>2250.8000000000002</v>
      </c>
      <c r="G1276" s="240"/>
      <c r="H1276" s="239" t="s">
        <v>14</v>
      </c>
      <c r="I1276" s="241" t="s">
        <v>15</v>
      </c>
      <c r="J1276" s="241"/>
      <c r="K1276" s="242" t="s">
        <v>8</v>
      </c>
      <c r="L1276" s="243">
        <v>7360799.54</v>
      </c>
    </row>
    <row r="1277" spans="1:12" ht="61.2" hidden="1" x14ac:dyDescent="0.3">
      <c r="A1277" s="237" t="s">
        <v>703</v>
      </c>
      <c r="B1277" s="238" t="s">
        <v>2524</v>
      </c>
      <c r="C1277" s="238" t="s">
        <v>2585</v>
      </c>
      <c r="D1277" s="238" t="s">
        <v>1913</v>
      </c>
      <c r="E1277" s="239" t="s">
        <v>751</v>
      </c>
      <c r="F1277" s="240">
        <v>15401.2</v>
      </c>
      <c r="G1277" s="240"/>
      <c r="H1277" s="239" t="s">
        <v>14</v>
      </c>
      <c r="I1277" s="241" t="s">
        <v>15</v>
      </c>
      <c r="J1277" s="241"/>
      <c r="K1277" s="242" t="s">
        <v>8</v>
      </c>
      <c r="L1277" s="243">
        <v>7376200.7400000002</v>
      </c>
    </row>
    <row r="1278" spans="1:12" ht="61.2" hidden="1" x14ac:dyDescent="0.3">
      <c r="A1278" s="237" t="s">
        <v>703</v>
      </c>
      <c r="B1278" s="238" t="s">
        <v>2524</v>
      </c>
      <c r="C1278" s="238" t="s">
        <v>2586</v>
      </c>
      <c r="D1278" s="238" t="s">
        <v>1913</v>
      </c>
      <c r="E1278" s="239" t="s">
        <v>751</v>
      </c>
      <c r="F1278" s="240">
        <v>3716.2</v>
      </c>
      <c r="G1278" s="240"/>
      <c r="H1278" s="239" t="s">
        <v>14</v>
      </c>
      <c r="I1278" s="241" t="s">
        <v>15</v>
      </c>
      <c r="J1278" s="241"/>
      <c r="K1278" s="242" t="s">
        <v>8</v>
      </c>
      <c r="L1278" s="243">
        <v>7379916.9400000004</v>
      </c>
    </row>
    <row r="1279" spans="1:12" ht="61.2" hidden="1" x14ac:dyDescent="0.3">
      <c r="A1279" s="237" t="s">
        <v>703</v>
      </c>
      <c r="B1279" s="238" t="s">
        <v>2524</v>
      </c>
      <c r="C1279" s="238" t="s">
        <v>2549</v>
      </c>
      <c r="D1279" s="238" t="s">
        <v>1913</v>
      </c>
      <c r="E1279" s="239" t="s">
        <v>751</v>
      </c>
      <c r="F1279" s="240">
        <v>1819.2</v>
      </c>
      <c r="G1279" s="240"/>
      <c r="H1279" s="239" t="s">
        <v>14</v>
      </c>
      <c r="I1279" s="241" t="s">
        <v>15</v>
      </c>
      <c r="J1279" s="241"/>
      <c r="K1279" s="242" t="s">
        <v>8</v>
      </c>
      <c r="L1279" s="243">
        <v>7381736.1399999997</v>
      </c>
    </row>
    <row r="1280" spans="1:12" ht="61.2" hidden="1" x14ac:dyDescent="0.3">
      <c r="A1280" s="237" t="s">
        <v>703</v>
      </c>
      <c r="B1280" s="238" t="s">
        <v>2524</v>
      </c>
      <c r="C1280" s="238" t="s">
        <v>2587</v>
      </c>
      <c r="D1280" s="238" t="s">
        <v>1913</v>
      </c>
      <c r="E1280" s="239" t="s">
        <v>751</v>
      </c>
      <c r="F1280" s="240">
        <v>2011.9</v>
      </c>
      <c r="G1280" s="240"/>
      <c r="H1280" s="239" t="s">
        <v>14</v>
      </c>
      <c r="I1280" s="241" t="s">
        <v>15</v>
      </c>
      <c r="J1280" s="241"/>
      <c r="K1280" s="242" t="s">
        <v>8</v>
      </c>
      <c r="L1280" s="243">
        <v>7383748.04</v>
      </c>
    </row>
    <row r="1281" spans="1:12" ht="61.2" hidden="1" x14ac:dyDescent="0.3">
      <c r="A1281" s="237" t="s">
        <v>703</v>
      </c>
      <c r="B1281" s="238" t="s">
        <v>2524</v>
      </c>
      <c r="C1281" s="238" t="s">
        <v>2588</v>
      </c>
      <c r="D1281" s="238" t="s">
        <v>1913</v>
      </c>
      <c r="E1281" s="239" t="s">
        <v>751</v>
      </c>
      <c r="F1281" s="240">
        <v>1086.9000000000001</v>
      </c>
      <c r="G1281" s="240"/>
      <c r="H1281" s="239" t="s">
        <v>14</v>
      </c>
      <c r="I1281" s="241" t="s">
        <v>15</v>
      </c>
      <c r="J1281" s="241"/>
      <c r="K1281" s="242" t="s">
        <v>8</v>
      </c>
      <c r="L1281" s="243">
        <v>7384834.9400000004</v>
      </c>
    </row>
    <row r="1282" spans="1:12" ht="61.2" hidden="1" x14ac:dyDescent="0.3">
      <c r="A1282" s="237" t="s">
        <v>703</v>
      </c>
      <c r="B1282" s="238" t="s">
        <v>2524</v>
      </c>
      <c r="C1282" s="238" t="s">
        <v>2589</v>
      </c>
      <c r="D1282" s="238" t="s">
        <v>1913</v>
      </c>
      <c r="E1282" s="239" t="s">
        <v>751</v>
      </c>
      <c r="F1282" s="240">
        <v>2309.4</v>
      </c>
      <c r="G1282" s="240"/>
      <c r="H1282" s="239" t="s">
        <v>14</v>
      </c>
      <c r="I1282" s="241" t="s">
        <v>15</v>
      </c>
      <c r="J1282" s="241"/>
      <c r="K1282" s="242" t="s">
        <v>8</v>
      </c>
      <c r="L1282" s="243">
        <v>7387144.3399999999</v>
      </c>
    </row>
    <row r="1283" spans="1:12" ht="61.2" hidden="1" x14ac:dyDescent="0.3">
      <c r="A1283" s="237" t="s">
        <v>703</v>
      </c>
      <c r="B1283" s="238" t="s">
        <v>2524</v>
      </c>
      <c r="C1283" s="238" t="s">
        <v>2590</v>
      </c>
      <c r="D1283" s="238" t="s">
        <v>1913</v>
      </c>
      <c r="E1283" s="239" t="s">
        <v>751</v>
      </c>
      <c r="F1283" s="240">
        <v>3235.2</v>
      </c>
      <c r="G1283" s="240"/>
      <c r="H1283" s="239" t="s">
        <v>14</v>
      </c>
      <c r="I1283" s="241" t="s">
        <v>15</v>
      </c>
      <c r="J1283" s="241"/>
      <c r="K1283" s="242" t="s">
        <v>8</v>
      </c>
      <c r="L1283" s="243">
        <v>7390379.54</v>
      </c>
    </row>
    <row r="1284" spans="1:12" ht="61.2" hidden="1" x14ac:dyDescent="0.3">
      <c r="A1284" s="237" t="s">
        <v>703</v>
      </c>
      <c r="B1284" s="238" t="s">
        <v>2524</v>
      </c>
      <c r="C1284" s="238" t="s">
        <v>2591</v>
      </c>
      <c r="D1284" s="238" t="s">
        <v>1913</v>
      </c>
      <c r="E1284" s="239" t="s">
        <v>751</v>
      </c>
      <c r="F1284" s="240">
        <v>1214.0999999999999</v>
      </c>
      <c r="G1284" s="240"/>
      <c r="H1284" s="239" t="s">
        <v>14</v>
      </c>
      <c r="I1284" s="241" t="s">
        <v>15</v>
      </c>
      <c r="J1284" s="241"/>
      <c r="K1284" s="242" t="s">
        <v>8</v>
      </c>
      <c r="L1284" s="243">
        <v>7391593.6399999997</v>
      </c>
    </row>
    <row r="1285" spans="1:12" ht="61.2" hidden="1" x14ac:dyDescent="0.3">
      <c r="A1285" s="237" t="s">
        <v>703</v>
      </c>
      <c r="B1285" s="238" t="s">
        <v>2524</v>
      </c>
      <c r="C1285" s="238" t="s">
        <v>2592</v>
      </c>
      <c r="D1285" s="238" t="s">
        <v>1913</v>
      </c>
      <c r="E1285" s="239" t="s">
        <v>751</v>
      </c>
      <c r="F1285" s="240">
        <v>2849</v>
      </c>
      <c r="G1285" s="240"/>
      <c r="H1285" s="239" t="s">
        <v>14</v>
      </c>
      <c r="I1285" s="241" t="s">
        <v>15</v>
      </c>
      <c r="J1285" s="241"/>
      <c r="K1285" s="242" t="s">
        <v>8</v>
      </c>
      <c r="L1285" s="243">
        <v>7394442.6399999997</v>
      </c>
    </row>
    <row r="1286" spans="1:12" ht="61.2" hidden="1" x14ac:dyDescent="0.3">
      <c r="A1286" s="237" t="s">
        <v>703</v>
      </c>
      <c r="B1286" s="238" t="s">
        <v>2524</v>
      </c>
      <c r="C1286" s="238" t="s">
        <v>2593</v>
      </c>
      <c r="D1286" s="238" t="s">
        <v>1913</v>
      </c>
      <c r="E1286" s="239" t="s">
        <v>751</v>
      </c>
      <c r="F1286" s="240">
        <v>4474.7</v>
      </c>
      <c r="G1286" s="240"/>
      <c r="H1286" s="239" t="s">
        <v>14</v>
      </c>
      <c r="I1286" s="241" t="s">
        <v>15</v>
      </c>
      <c r="J1286" s="241"/>
      <c r="K1286" s="242" t="s">
        <v>8</v>
      </c>
      <c r="L1286" s="243">
        <v>7398917.3399999999</v>
      </c>
    </row>
    <row r="1287" spans="1:12" ht="61.2" hidden="1" x14ac:dyDescent="0.3">
      <c r="A1287" s="237" t="s">
        <v>703</v>
      </c>
      <c r="B1287" s="238" t="s">
        <v>2524</v>
      </c>
      <c r="C1287" s="238" t="s">
        <v>2594</v>
      </c>
      <c r="D1287" s="238" t="s">
        <v>1913</v>
      </c>
      <c r="E1287" s="239" t="s">
        <v>751</v>
      </c>
      <c r="F1287" s="240">
        <v>4046.1</v>
      </c>
      <c r="G1287" s="240"/>
      <c r="H1287" s="239" t="s">
        <v>14</v>
      </c>
      <c r="I1287" s="241" t="s">
        <v>15</v>
      </c>
      <c r="J1287" s="241"/>
      <c r="K1287" s="242" t="s">
        <v>8</v>
      </c>
      <c r="L1287" s="243">
        <v>7402963.4400000004</v>
      </c>
    </row>
    <row r="1288" spans="1:12" ht="61.2" hidden="1" x14ac:dyDescent="0.3">
      <c r="A1288" s="237" t="s">
        <v>703</v>
      </c>
      <c r="B1288" s="238" t="s">
        <v>2524</v>
      </c>
      <c r="C1288" s="238" t="s">
        <v>2595</v>
      </c>
      <c r="D1288" s="238" t="s">
        <v>1913</v>
      </c>
      <c r="E1288" s="239" t="s">
        <v>751</v>
      </c>
      <c r="F1288" s="240">
        <v>3910.4</v>
      </c>
      <c r="G1288" s="240"/>
      <c r="H1288" s="239" t="s">
        <v>14</v>
      </c>
      <c r="I1288" s="241" t="s">
        <v>15</v>
      </c>
      <c r="J1288" s="241"/>
      <c r="K1288" s="242" t="s">
        <v>8</v>
      </c>
      <c r="L1288" s="243">
        <v>7406873.8399999999</v>
      </c>
    </row>
    <row r="1289" spans="1:12" ht="61.2" hidden="1" x14ac:dyDescent="0.3">
      <c r="A1289" s="237" t="s">
        <v>703</v>
      </c>
      <c r="B1289" s="238" t="s">
        <v>2524</v>
      </c>
      <c r="C1289" s="238" t="s">
        <v>2595</v>
      </c>
      <c r="D1289" s="238" t="s">
        <v>1913</v>
      </c>
      <c r="E1289" s="239" t="s">
        <v>751</v>
      </c>
      <c r="F1289" s="240">
        <v>7947.2</v>
      </c>
      <c r="G1289" s="240"/>
      <c r="H1289" s="239" t="s">
        <v>14</v>
      </c>
      <c r="I1289" s="241" t="s">
        <v>15</v>
      </c>
      <c r="J1289" s="241"/>
      <c r="K1289" s="242" t="s">
        <v>8</v>
      </c>
      <c r="L1289" s="243">
        <v>7414821.04</v>
      </c>
    </row>
    <row r="1290" spans="1:12" ht="61.2" hidden="1" x14ac:dyDescent="0.3">
      <c r="A1290" s="237" t="s">
        <v>703</v>
      </c>
      <c r="B1290" s="238" t="s">
        <v>2524</v>
      </c>
      <c r="C1290" s="238" t="s">
        <v>2595</v>
      </c>
      <c r="D1290" s="238" t="s">
        <v>1913</v>
      </c>
      <c r="E1290" s="239" t="s">
        <v>751</v>
      </c>
      <c r="F1290" s="240">
        <v>3952.1</v>
      </c>
      <c r="G1290" s="240"/>
      <c r="H1290" s="239" t="s">
        <v>14</v>
      </c>
      <c r="I1290" s="241" t="s">
        <v>15</v>
      </c>
      <c r="J1290" s="241"/>
      <c r="K1290" s="242" t="s">
        <v>8</v>
      </c>
      <c r="L1290" s="243">
        <v>7418773.1399999997</v>
      </c>
    </row>
    <row r="1291" spans="1:12" ht="61.2" hidden="1" x14ac:dyDescent="0.3">
      <c r="A1291" s="237" t="s">
        <v>703</v>
      </c>
      <c r="B1291" s="238" t="s">
        <v>2524</v>
      </c>
      <c r="C1291" s="238" t="s">
        <v>2595</v>
      </c>
      <c r="D1291" s="238" t="s">
        <v>1913</v>
      </c>
      <c r="E1291" s="239" t="s">
        <v>751</v>
      </c>
      <c r="F1291" s="240">
        <v>3952.1</v>
      </c>
      <c r="G1291" s="240"/>
      <c r="H1291" s="239" t="s">
        <v>14</v>
      </c>
      <c r="I1291" s="241" t="s">
        <v>15</v>
      </c>
      <c r="J1291" s="241"/>
      <c r="K1291" s="242" t="s">
        <v>8</v>
      </c>
      <c r="L1291" s="243">
        <v>7422725.2400000002</v>
      </c>
    </row>
    <row r="1292" spans="1:12" ht="61.2" hidden="1" x14ac:dyDescent="0.3">
      <c r="A1292" s="237" t="s">
        <v>703</v>
      </c>
      <c r="B1292" s="238" t="s">
        <v>2524</v>
      </c>
      <c r="C1292" s="238" t="s">
        <v>2596</v>
      </c>
      <c r="D1292" s="238" t="s">
        <v>1913</v>
      </c>
      <c r="E1292" s="239" t="s">
        <v>751</v>
      </c>
      <c r="F1292" s="240">
        <v>2028.8</v>
      </c>
      <c r="G1292" s="240"/>
      <c r="H1292" s="239" t="s">
        <v>14</v>
      </c>
      <c r="I1292" s="241" t="s">
        <v>15</v>
      </c>
      <c r="J1292" s="241"/>
      <c r="K1292" s="242" t="s">
        <v>8</v>
      </c>
      <c r="L1292" s="243">
        <v>7424754.04</v>
      </c>
    </row>
    <row r="1293" spans="1:12" ht="61.2" hidden="1" x14ac:dyDescent="0.3">
      <c r="A1293" s="237" t="s">
        <v>703</v>
      </c>
      <c r="B1293" s="238" t="s">
        <v>2524</v>
      </c>
      <c r="C1293" s="238" t="s">
        <v>2597</v>
      </c>
      <c r="D1293" s="238" t="s">
        <v>1913</v>
      </c>
      <c r="E1293" s="239" t="s">
        <v>751</v>
      </c>
      <c r="F1293" s="240">
        <v>3965.2</v>
      </c>
      <c r="G1293" s="240"/>
      <c r="H1293" s="239" t="s">
        <v>14</v>
      </c>
      <c r="I1293" s="241" t="s">
        <v>15</v>
      </c>
      <c r="J1293" s="241"/>
      <c r="K1293" s="242" t="s">
        <v>8</v>
      </c>
      <c r="L1293" s="243">
        <v>7428719.2400000002</v>
      </c>
    </row>
    <row r="1294" spans="1:12" ht="61.2" hidden="1" x14ac:dyDescent="0.3">
      <c r="A1294" s="237" t="s">
        <v>703</v>
      </c>
      <c r="B1294" s="238" t="s">
        <v>2524</v>
      </c>
      <c r="C1294" s="238" t="s">
        <v>2598</v>
      </c>
      <c r="D1294" s="238" t="s">
        <v>1913</v>
      </c>
      <c r="E1294" s="239" t="s">
        <v>751</v>
      </c>
      <c r="F1294" s="240">
        <v>4111.6000000000004</v>
      </c>
      <c r="G1294" s="240"/>
      <c r="H1294" s="239" t="s">
        <v>14</v>
      </c>
      <c r="I1294" s="241" t="s">
        <v>15</v>
      </c>
      <c r="J1294" s="241"/>
      <c r="K1294" s="242" t="s">
        <v>8</v>
      </c>
      <c r="L1294" s="243">
        <v>7432830.8399999999</v>
      </c>
    </row>
    <row r="1295" spans="1:12" ht="61.2" hidden="1" x14ac:dyDescent="0.3">
      <c r="A1295" s="237" t="s">
        <v>703</v>
      </c>
      <c r="B1295" s="238" t="s">
        <v>2524</v>
      </c>
      <c r="C1295" s="238" t="s">
        <v>2599</v>
      </c>
      <c r="D1295" s="238" t="s">
        <v>1913</v>
      </c>
      <c r="E1295" s="239" t="s">
        <v>751</v>
      </c>
      <c r="F1295" s="240">
        <v>12801.9</v>
      </c>
      <c r="G1295" s="240"/>
      <c r="H1295" s="239" t="s">
        <v>14</v>
      </c>
      <c r="I1295" s="241" t="s">
        <v>15</v>
      </c>
      <c r="J1295" s="241"/>
      <c r="K1295" s="242" t="s">
        <v>8</v>
      </c>
      <c r="L1295" s="243">
        <v>7445632.7400000002</v>
      </c>
    </row>
    <row r="1296" spans="1:12" ht="61.2" hidden="1" x14ac:dyDescent="0.3">
      <c r="A1296" s="237" t="s">
        <v>703</v>
      </c>
      <c r="B1296" s="238" t="s">
        <v>2524</v>
      </c>
      <c r="C1296" s="238" t="s">
        <v>2599</v>
      </c>
      <c r="D1296" s="238" t="s">
        <v>1913</v>
      </c>
      <c r="E1296" s="239" t="s">
        <v>751</v>
      </c>
      <c r="F1296" s="240">
        <v>4021.4</v>
      </c>
      <c r="G1296" s="240"/>
      <c r="H1296" s="239" t="s">
        <v>14</v>
      </c>
      <c r="I1296" s="241" t="s">
        <v>15</v>
      </c>
      <c r="J1296" s="241"/>
      <c r="K1296" s="242" t="s">
        <v>8</v>
      </c>
      <c r="L1296" s="243">
        <v>7449654.1399999997</v>
      </c>
    </row>
    <row r="1297" spans="1:12" ht="61.2" hidden="1" x14ac:dyDescent="0.3">
      <c r="A1297" s="237" t="s">
        <v>703</v>
      </c>
      <c r="B1297" s="238" t="s">
        <v>2524</v>
      </c>
      <c r="C1297" s="238" t="s">
        <v>2599</v>
      </c>
      <c r="D1297" s="238" t="s">
        <v>1913</v>
      </c>
      <c r="E1297" s="239" t="s">
        <v>751</v>
      </c>
      <c r="F1297" s="240">
        <v>8257.2000000000007</v>
      </c>
      <c r="G1297" s="240"/>
      <c r="H1297" s="239" t="s">
        <v>14</v>
      </c>
      <c r="I1297" s="241" t="s">
        <v>15</v>
      </c>
      <c r="J1297" s="241"/>
      <c r="K1297" s="242" t="s">
        <v>8</v>
      </c>
      <c r="L1297" s="243">
        <v>7457911.3399999999</v>
      </c>
    </row>
    <row r="1298" spans="1:12" ht="61.2" hidden="1" x14ac:dyDescent="0.3">
      <c r="A1298" s="237" t="s">
        <v>703</v>
      </c>
      <c r="B1298" s="238" t="s">
        <v>2524</v>
      </c>
      <c r="C1298" s="238" t="s">
        <v>2599</v>
      </c>
      <c r="D1298" s="238" t="s">
        <v>1913</v>
      </c>
      <c r="E1298" s="239" t="s">
        <v>751</v>
      </c>
      <c r="F1298" s="240">
        <v>8206.2000000000007</v>
      </c>
      <c r="G1298" s="240"/>
      <c r="H1298" s="239" t="s">
        <v>14</v>
      </c>
      <c r="I1298" s="241" t="s">
        <v>15</v>
      </c>
      <c r="J1298" s="241"/>
      <c r="K1298" s="242" t="s">
        <v>8</v>
      </c>
      <c r="L1298" s="243">
        <v>7466117.54</v>
      </c>
    </row>
    <row r="1299" spans="1:12" ht="61.2" hidden="1" x14ac:dyDescent="0.3">
      <c r="A1299" s="237" t="s">
        <v>703</v>
      </c>
      <c r="B1299" s="238" t="s">
        <v>2524</v>
      </c>
      <c r="C1299" s="238" t="s">
        <v>2600</v>
      </c>
      <c r="D1299" s="238" t="s">
        <v>1913</v>
      </c>
      <c r="E1299" s="239" t="s">
        <v>751</v>
      </c>
      <c r="F1299" s="240">
        <v>3643.7</v>
      </c>
      <c r="G1299" s="240"/>
      <c r="H1299" s="239" t="s">
        <v>14</v>
      </c>
      <c r="I1299" s="241" t="s">
        <v>15</v>
      </c>
      <c r="J1299" s="241"/>
      <c r="K1299" s="242" t="s">
        <v>8</v>
      </c>
      <c r="L1299" s="243">
        <v>7469761.2400000002</v>
      </c>
    </row>
    <row r="1300" spans="1:12" ht="61.2" hidden="1" x14ac:dyDescent="0.3">
      <c r="A1300" s="237" t="s">
        <v>703</v>
      </c>
      <c r="B1300" s="238" t="s">
        <v>2524</v>
      </c>
      <c r="C1300" s="238" t="s">
        <v>2538</v>
      </c>
      <c r="D1300" s="238" t="s">
        <v>1913</v>
      </c>
      <c r="E1300" s="239" t="s">
        <v>751</v>
      </c>
      <c r="F1300" s="240">
        <v>2765</v>
      </c>
      <c r="G1300" s="240"/>
      <c r="H1300" s="239" t="s">
        <v>14</v>
      </c>
      <c r="I1300" s="241" t="s">
        <v>15</v>
      </c>
      <c r="J1300" s="241"/>
      <c r="K1300" s="242" t="s">
        <v>8</v>
      </c>
      <c r="L1300" s="243">
        <v>7472526.2400000002</v>
      </c>
    </row>
    <row r="1301" spans="1:12" ht="61.2" hidden="1" x14ac:dyDescent="0.3">
      <c r="A1301" s="237" t="s">
        <v>703</v>
      </c>
      <c r="B1301" s="238" t="s">
        <v>2524</v>
      </c>
      <c r="C1301" s="238" t="s">
        <v>2601</v>
      </c>
      <c r="D1301" s="238" t="s">
        <v>1913</v>
      </c>
      <c r="E1301" s="239" t="s">
        <v>751</v>
      </c>
      <c r="F1301" s="240">
        <v>21617.4</v>
      </c>
      <c r="G1301" s="240"/>
      <c r="H1301" s="239" t="s">
        <v>14</v>
      </c>
      <c r="I1301" s="241" t="s">
        <v>15</v>
      </c>
      <c r="J1301" s="241"/>
      <c r="K1301" s="242" t="s">
        <v>8</v>
      </c>
      <c r="L1301" s="243">
        <v>7494143.6399999997</v>
      </c>
    </row>
    <row r="1302" spans="1:12" ht="61.2" hidden="1" x14ac:dyDescent="0.3">
      <c r="A1302" s="237" t="s">
        <v>703</v>
      </c>
      <c r="B1302" s="238" t="s">
        <v>2524</v>
      </c>
      <c r="C1302" s="238" t="s">
        <v>2602</v>
      </c>
      <c r="D1302" s="238" t="s">
        <v>1913</v>
      </c>
      <c r="E1302" s="239" t="s">
        <v>751</v>
      </c>
      <c r="F1302" s="240">
        <v>10679.4</v>
      </c>
      <c r="G1302" s="240"/>
      <c r="H1302" s="239" t="s">
        <v>14</v>
      </c>
      <c r="I1302" s="241" t="s">
        <v>15</v>
      </c>
      <c r="J1302" s="241"/>
      <c r="K1302" s="242" t="s">
        <v>8</v>
      </c>
      <c r="L1302" s="243">
        <v>7504823.04</v>
      </c>
    </row>
    <row r="1303" spans="1:12" ht="61.2" hidden="1" x14ac:dyDescent="0.3">
      <c r="A1303" s="237" t="s">
        <v>703</v>
      </c>
      <c r="B1303" s="238" t="s">
        <v>2524</v>
      </c>
      <c r="C1303" s="238" t="s">
        <v>2603</v>
      </c>
      <c r="D1303" s="238" t="s">
        <v>1913</v>
      </c>
      <c r="E1303" s="239" t="s">
        <v>751</v>
      </c>
      <c r="F1303" s="240">
        <v>4026.8</v>
      </c>
      <c r="G1303" s="240"/>
      <c r="H1303" s="239" t="s">
        <v>14</v>
      </c>
      <c r="I1303" s="241" t="s">
        <v>15</v>
      </c>
      <c r="J1303" s="241"/>
      <c r="K1303" s="242" t="s">
        <v>8</v>
      </c>
      <c r="L1303" s="243">
        <v>7508849.8399999999</v>
      </c>
    </row>
    <row r="1304" spans="1:12" ht="61.2" hidden="1" x14ac:dyDescent="0.3">
      <c r="A1304" s="237" t="s">
        <v>703</v>
      </c>
      <c r="B1304" s="238" t="s">
        <v>2524</v>
      </c>
      <c r="C1304" s="238" t="s">
        <v>2527</v>
      </c>
      <c r="D1304" s="238" t="s">
        <v>1913</v>
      </c>
      <c r="E1304" s="239" t="s">
        <v>751</v>
      </c>
      <c r="F1304" s="240">
        <v>3157.3</v>
      </c>
      <c r="G1304" s="240"/>
      <c r="H1304" s="239" t="s">
        <v>14</v>
      </c>
      <c r="I1304" s="241" t="s">
        <v>15</v>
      </c>
      <c r="J1304" s="241"/>
      <c r="K1304" s="242" t="s">
        <v>8</v>
      </c>
      <c r="L1304" s="243">
        <v>7512007.1399999997</v>
      </c>
    </row>
    <row r="1305" spans="1:12" ht="51" hidden="1" x14ac:dyDescent="0.3">
      <c r="A1305" s="237" t="s">
        <v>703</v>
      </c>
      <c r="B1305" s="238" t="s">
        <v>2524</v>
      </c>
      <c r="C1305" s="238" t="s">
        <v>2604</v>
      </c>
      <c r="D1305" s="238" t="s">
        <v>1913</v>
      </c>
      <c r="E1305" s="239" t="s">
        <v>751</v>
      </c>
      <c r="F1305" s="244">
        <v>373.6</v>
      </c>
      <c r="G1305" s="244"/>
      <c r="H1305" s="239" t="s">
        <v>14</v>
      </c>
      <c r="I1305" s="241" t="s">
        <v>15</v>
      </c>
      <c r="J1305" s="241"/>
      <c r="K1305" s="242" t="s">
        <v>8</v>
      </c>
      <c r="L1305" s="243">
        <v>7512380.7400000002</v>
      </c>
    </row>
    <row r="1306" spans="1:12" ht="51" hidden="1" x14ac:dyDescent="0.3">
      <c r="A1306" s="237" t="s">
        <v>703</v>
      </c>
      <c r="B1306" s="238" t="s">
        <v>2524</v>
      </c>
      <c r="C1306" s="238" t="s">
        <v>2605</v>
      </c>
      <c r="D1306" s="238" t="s">
        <v>1913</v>
      </c>
      <c r="E1306" s="239" t="s">
        <v>751</v>
      </c>
      <c r="F1306" s="244">
        <v>835.8</v>
      </c>
      <c r="G1306" s="244"/>
      <c r="H1306" s="239" t="s">
        <v>14</v>
      </c>
      <c r="I1306" s="241" t="s">
        <v>15</v>
      </c>
      <c r="J1306" s="241"/>
      <c r="K1306" s="242" t="s">
        <v>8</v>
      </c>
      <c r="L1306" s="243">
        <v>7513216.54</v>
      </c>
    </row>
    <row r="1307" spans="1:12" ht="51" hidden="1" x14ac:dyDescent="0.3">
      <c r="A1307" s="237" t="s">
        <v>703</v>
      </c>
      <c r="B1307" s="238" t="s">
        <v>2524</v>
      </c>
      <c r="C1307" s="238" t="s">
        <v>2606</v>
      </c>
      <c r="D1307" s="238" t="s">
        <v>1913</v>
      </c>
      <c r="E1307" s="239" t="s">
        <v>751</v>
      </c>
      <c r="F1307" s="240">
        <v>61382.400000000001</v>
      </c>
      <c r="G1307" s="240"/>
      <c r="H1307" s="239" t="s">
        <v>14</v>
      </c>
      <c r="I1307" s="241" t="s">
        <v>15</v>
      </c>
      <c r="J1307" s="241"/>
      <c r="K1307" s="242" t="s">
        <v>8</v>
      </c>
      <c r="L1307" s="243">
        <v>7574598.9400000004</v>
      </c>
    </row>
    <row r="1308" spans="1:12" ht="51" hidden="1" x14ac:dyDescent="0.3">
      <c r="A1308" s="237" t="s">
        <v>703</v>
      </c>
      <c r="B1308" s="238" t="s">
        <v>2607</v>
      </c>
      <c r="C1308" s="238" t="s">
        <v>2608</v>
      </c>
      <c r="D1308" s="238" t="s">
        <v>2609</v>
      </c>
      <c r="E1308" s="239" t="s">
        <v>751</v>
      </c>
      <c r="F1308" s="240">
        <v>40414.03</v>
      </c>
      <c r="G1308" s="240"/>
      <c r="H1308" s="239" t="s">
        <v>14</v>
      </c>
      <c r="I1308" s="241" t="s">
        <v>15</v>
      </c>
      <c r="J1308" s="241"/>
      <c r="K1308" s="242" t="s">
        <v>8</v>
      </c>
      <c r="L1308" s="243">
        <v>7305620.0499999998</v>
      </c>
    </row>
    <row r="1309" spans="1:12" ht="51" hidden="1" x14ac:dyDescent="0.3">
      <c r="A1309" s="237" t="s">
        <v>703</v>
      </c>
      <c r="B1309" s="238" t="s">
        <v>2610</v>
      </c>
      <c r="C1309" s="238" t="s">
        <v>2608</v>
      </c>
      <c r="D1309" s="238" t="s">
        <v>2609</v>
      </c>
      <c r="E1309" s="239" t="s">
        <v>751</v>
      </c>
      <c r="F1309" s="240">
        <v>27793.37</v>
      </c>
      <c r="G1309" s="240"/>
      <c r="H1309" s="239" t="s">
        <v>14</v>
      </c>
      <c r="I1309" s="241" t="s">
        <v>15</v>
      </c>
      <c r="J1309" s="241"/>
      <c r="K1309" s="242" t="s">
        <v>8</v>
      </c>
      <c r="L1309" s="243">
        <v>7333413.4199999999</v>
      </c>
    </row>
    <row r="1310" spans="1:12" ht="51" hidden="1" x14ac:dyDescent="0.3">
      <c r="A1310" s="237" t="s">
        <v>703</v>
      </c>
      <c r="B1310" s="238" t="s">
        <v>2607</v>
      </c>
      <c r="C1310" s="238" t="s">
        <v>2611</v>
      </c>
      <c r="D1310" s="238" t="s">
        <v>2609</v>
      </c>
      <c r="E1310" s="239" t="s">
        <v>751</v>
      </c>
      <c r="F1310" s="240">
        <v>8996.4</v>
      </c>
      <c r="G1310" s="240"/>
      <c r="H1310" s="239" t="s">
        <v>14</v>
      </c>
      <c r="I1310" s="241" t="s">
        <v>15</v>
      </c>
      <c r="J1310" s="241"/>
      <c r="K1310" s="242" t="s">
        <v>8</v>
      </c>
      <c r="L1310" s="243">
        <v>7342409.8200000003</v>
      </c>
    </row>
    <row r="1311" spans="1:12" ht="51" hidden="1" x14ac:dyDescent="0.3">
      <c r="A1311" s="237" t="s">
        <v>703</v>
      </c>
      <c r="B1311" s="238" t="s">
        <v>2612</v>
      </c>
      <c r="C1311" s="238" t="s">
        <v>2613</v>
      </c>
      <c r="D1311" s="238" t="s">
        <v>2614</v>
      </c>
      <c r="E1311" s="239" t="s">
        <v>751</v>
      </c>
      <c r="F1311" s="240">
        <v>2625</v>
      </c>
      <c r="G1311" s="240"/>
      <c r="H1311" s="239" t="s">
        <v>14</v>
      </c>
      <c r="I1311" s="241" t="s">
        <v>15</v>
      </c>
      <c r="J1311" s="241"/>
      <c r="K1311" s="242" t="s">
        <v>8</v>
      </c>
      <c r="L1311" s="243">
        <v>152153.66</v>
      </c>
    </row>
    <row r="1312" spans="1:12" ht="51" hidden="1" x14ac:dyDescent="0.3">
      <c r="A1312" s="237" t="s">
        <v>703</v>
      </c>
      <c r="B1312" s="238" t="s">
        <v>2615</v>
      </c>
      <c r="C1312" s="238" t="s">
        <v>2456</v>
      </c>
      <c r="D1312" s="238" t="s">
        <v>2616</v>
      </c>
      <c r="E1312" s="239" t="s">
        <v>751</v>
      </c>
      <c r="F1312" s="240">
        <v>32072</v>
      </c>
      <c r="G1312" s="240"/>
      <c r="H1312" s="239" t="s">
        <v>14</v>
      </c>
      <c r="I1312" s="241" t="s">
        <v>15</v>
      </c>
      <c r="J1312" s="241"/>
      <c r="K1312" s="242" t="s">
        <v>8</v>
      </c>
      <c r="L1312" s="243">
        <v>2086072.73</v>
      </c>
    </row>
    <row r="1313" spans="1:12" ht="51" hidden="1" x14ac:dyDescent="0.3">
      <c r="A1313" s="237" t="s">
        <v>167</v>
      </c>
      <c r="B1313" s="238" t="s">
        <v>2617</v>
      </c>
      <c r="C1313" s="238" t="s">
        <v>2618</v>
      </c>
      <c r="D1313" s="238" t="s">
        <v>2619</v>
      </c>
      <c r="E1313" s="239" t="s">
        <v>751</v>
      </c>
      <c r="F1313" s="240">
        <v>23640</v>
      </c>
      <c r="G1313" s="240"/>
      <c r="H1313" s="239" t="s">
        <v>14</v>
      </c>
      <c r="I1313" s="241" t="s">
        <v>15</v>
      </c>
      <c r="J1313" s="241"/>
      <c r="K1313" s="242" t="s">
        <v>8</v>
      </c>
      <c r="L1313" s="243">
        <v>2109712.73</v>
      </c>
    </row>
    <row r="1314" spans="1:12" ht="51" hidden="1" x14ac:dyDescent="0.3">
      <c r="A1314" s="237" t="s">
        <v>167</v>
      </c>
      <c r="B1314" s="238" t="s">
        <v>2620</v>
      </c>
      <c r="C1314" s="238" t="s">
        <v>2621</v>
      </c>
      <c r="D1314" s="238" t="s">
        <v>2622</v>
      </c>
      <c r="E1314" s="239" t="s">
        <v>751</v>
      </c>
      <c r="F1314" s="240">
        <v>359402.4</v>
      </c>
      <c r="G1314" s="240"/>
      <c r="H1314" s="239" t="s">
        <v>14</v>
      </c>
      <c r="I1314" s="241" t="s">
        <v>15</v>
      </c>
      <c r="J1314" s="241"/>
      <c r="K1314" s="242" t="s">
        <v>8</v>
      </c>
      <c r="L1314" s="243">
        <v>7701812.2199999997</v>
      </c>
    </row>
    <row r="1315" spans="1:12" ht="51" hidden="1" x14ac:dyDescent="0.3">
      <c r="A1315" s="237" t="s">
        <v>167</v>
      </c>
      <c r="B1315" s="238" t="s">
        <v>2623</v>
      </c>
      <c r="C1315" s="238" t="s">
        <v>2621</v>
      </c>
      <c r="D1315" s="238" t="s">
        <v>2622</v>
      </c>
      <c r="E1315" s="239" t="s">
        <v>751</v>
      </c>
      <c r="F1315" s="240">
        <v>215157.6</v>
      </c>
      <c r="G1315" s="240"/>
      <c r="H1315" s="239" t="s">
        <v>14</v>
      </c>
      <c r="I1315" s="241" t="s">
        <v>15</v>
      </c>
      <c r="J1315" s="241"/>
      <c r="K1315" s="242" t="s">
        <v>8</v>
      </c>
      <c r="L1315" s="243">
        <v>7916969.8200000003</v>
      </c>
    </row>
    <row r="1316" spans="1:12" ht="51" hidden="1" x14ac:dyDescent="0.3">
      <c r="A1316" s="237" t="s">
        <v>167</v>
      </c>
      <c r="B1316" s="238" t="s">
        <v>2624</v>
      </c>
      <c r="C1316" s="238" t="s">
        <v>2618</v>
      </c>
      <c r="D1316" s="238" t="s">
        <v>2625</v>
      </c>
      <c r="E1316" s="239" t="s">
        <v>751</v>
      </c>
      <c r="F1316" s="240">
        <v>7370</v>
      </c>
      <c r="G1316" s="240"/>
      <c r="H1316" s="239" t="s">
        <v>14</v>
      </c>
      <c r="I1316" s="241" t="s">
        <v>15</v>
      </c>
      <c r="J1316" s="241"/>
      <c r="K1316" s="242" t="s">
        <v>8</v>
      </c>
      <c r="L1316" s="243">
        <v>2117082.73</v>
      </c>
    </row>
    <row r="1317" spans="1:12" ht="51" hidden="1" x14ac:dyDescent="0.3">
      <c r="A1317" s="237" t="s">
        <v>167</v>
      </c>
      <c r="B1317" s="238" t="s">
        <v>2626</v>
      </c>
      <c r="C1317" s="238" t="s">
        <v>2621</v>
      </c>
      <c r="D1317" s="238" t="s">
        <v>2622</v>
      </c>
      <c r="E1317" s="239" t="s">
        <v>751</v>
      </c>
      <c r="F1317" s="240">
        <v>15000</v>
      </c>
      <c r="G1317" s="240"/>
      <c r="H1317" s="239" t="s">
        <v>14</v>
      </c>
      <c r="I1317" s="241" t="s">
        <v>15</v>
      </c>
      <c r="J1317" s="241"/>
      <c r="K1317" s="242" t="s">
        <v>8</v>
      </c>
      <c r="L1317" s="243">
        <v>7931969.8200000003</v>
      </c>
    </row>
    <row r="1318" spans="1:12" ht="51" x14ac:dyDescent="0.3">
      <c r="A1318" s="237" t="s">
        <v>167</v>
      </c>
      <c r="B1318" s="238" t="s">
        <v>2627</v>
      </c>
      <c r="C1318" s="238" t="s">
        <v>1150</v>
      </c>
      <c r="D1318" s="238" t="s">
        <v>1493</v>
      </c>
      <c r="E1318" s="239" t="s">
        <v>1151</v>
      </c>
      <c r="F1318" s="245" t="s">
        <v>15</v>
      </c>
      <c r="G1318" s="245"/>
      <c r="H1318" s="239" t="s">
        <v>751</v>
      </c>
      <c r="I1318" s="246">
        <v>28517.77</v>
      </c>
      <c r="J1318" s="246"/>
      <c r="K1318" s="242" t="s">
        <v>8</v>
      </c>
      <c r="L1318" s="243">
        <v>7546081.1699999999</v>
      </c>
    </row>
    <row r="1319" spans="1:12" ht="61.2" x14ac:dyDescent="0.3">
      <c r="A1319" s="237" t="s">
        <v>167</v>
      </c>
      <c r="B1319" s="238" t="s">
        <v>2627</v>
      </c>
      <c r="C1319" s="238" t="s">
        <v>1150</v>
      </c>
      <c r="D1319" s="238" t="s">
        <v>1495</v>
      </c>
      <c r="E1319" s="239" t="s">
        <v>1151</v>
      </c>
      <c r="F1319" s="245" t="s">
        <v>15</v>
      </c>
      <c r="G1319" s="245"/>
      <c r="H1319" s="239" t="s">
        <v>751</v>
      </c>
      <c r="I1319" s="246">
        <v>123216.41</v>
      </c>
      <c r="J1319" s="246"/>
      <c r="K1319" s="242" t="s">
        <v>8</v>
      </c>
      <c r="L1319" s="243">
        <v>7422864.7599999998</v>
      </c>
    </row>
    <row r="1320" spans="1:12" ht="61.2" x14ac:dyDescent="0.3">
      <c r="A1320" s="237" t="s">
        <v>167</v>
      </c>
      <c r="B1320" s="238" t="s">
        <v>2627</v>
      </c>
      <c r="C1320" s="238" t="s">
        <v>1150</v>
      </c>
      <c r="D1320" s="238" t="s">
        <v>1496</v>
      </c>
      <c r="E1320" s="239" t="s">
        <v>1151</v>
      </c>
      <c r="F1320" s="245" t="s">
        <v>15</v>
      </c>
      <c r="G1320" s="245"/>
      <c r="H1320" s="239" t="s">
        <v>751</v>
      </c>
      <c r="I1320" s="246">
        <v>320228.03000000003</v>
      </c>
      <c r="J1320" s="246"/>
      <c r="K1320" s="242" t="s">
        <v>8</v>
      </c>
      <c r="L1320" s="243">
        <v>7102636.7300000004</v>
      </c>
    </row>
    <row r="1321" spans="1:12" ht="61.2" x14ac:dyDescent="0.3">
      <c r="A1321" s="237" t="s">
        <v>167</v>
      </c>
      <c r="B1321" s="238" t="s">
        <v>2627</v>
      </c>
      <c r="C1321" s="238" t="s">
        <v>1150</v>
      </c>
      <c r="D1321" s="238" t="s">
        <v>1497</v>
      </c>
      <c r="E1321" s="239" t="s">
        <v>1151</v>
      </c>
      <c r="F1321" s="245" t="s">
        <v>15</v>
      </c>
      <c r="G1321" s="245"/>
      <c r="H1321" s="239" t="s">
        <v>751</v>
      </c>
      <c r="I1321" s="246">
        <v>1001880.35</v>
      </c>
      <c r="J1321" s="246"/>
      <c r="K1321" s="242" t="s">
        <v>8</v>
      </c>
      <c r="L1321" s="243">
        <v>6100756.3799999999</v>
      </c>
    </row>
    <row r="1322" spans="1:12" ht="51" hidden="1" x14ac:dyDescent="0.3">
      <c r="A1322" s="237" t="s">
        <v>256</v>
      </c>
      <c r="B1322" s="238" t="s">
        <v>2628</v>
      </c>
      <c r="C1322" s="238" t="s">
        <v>2629</v>
      </c>
      <c r="D1322" s="238" t="s">
        <v>2630</v>
      </c>
      <c r="E1322" s="239" t="s">
        <v>751</v>
      </c>
      <c r="F1322" s="240">
        <v>124110</v>
      </c>
      <c r="G1322" s="240"/>
      <c r="H1322" s="239" t="s">
        <v>14</v>
      </c>
      <c r="I1322" s="241" t="s">
        <v>15</v>
      </c>
      <c r="J1322" s="241"/>
      <c r="K1322" s="242" t="s">
        <v>8</v>
      </c>
      <c r="L1322" s="243">
        <v>215251.98</v>
      </c>
    </row>
    <row r="1323" spans="1:12" ht="51" hidden="1" x14ac:dyDescent="0.3">
      <c r="A1323" s="237" t="s">
        <v>256</v>
      </c>
      <c r="B1323" s="238" t="s">
        <v>2631</v>
      </c>
      <c r="C1323" s="238" t="s">
        <v>2629</v>
      </c>
      <c r="D1323" s="238" t="s">
        <v>2632</v>
      </c>
      <c r="E1323" s="239" t="s">
        <v>751</v>
      </c>
      <c r="F1323" s="240">
        <v>38092</v>
      </c>
      <c r="G1323" s="240"/>
      <c r="H1323" s="239" t="s">
        <v>14</v>
      </c>
      <c r="I1323" s="241" t="s">
        <v>15</v>
      </c>
      <c r="J1323" s="241"/>
      <c r="K1323" s="242" t="s">
        <v>8</v>
      </c>
      <c r="L1323" s="243">
        <v>253343.98</v>
      </c>
    </row>
    <row r="1324" spans="1:12" ht="51" hidden="1" x14ac:dyDescent="0.3">
      <c r="A1324" s="237" t="s">
        <v>256</v>
      </c>
      <c r="B1324" s="238" t="s">
        <v>2633</v>
      </c>
      <c r="C1324" s="238" t="s">
        <v>2634</v>
      </c>
      <c r="D1324" s="238" t="s">
        <v>2629</v>
      </c>
      <c r="E1324" s="239" t="s">
        <v>751</v>
      </c>
      <c r="F1324" s="245" t="s">
        <v>15</v>
      </c>
      <c r="G1324" s="245"/>
      <c r="H1324" s="239" t="s">
        <v>751</v>
      </c>
      <c r="I1324" s="246">
        <v>154478.1</v>
      </c>
      <c r="J1324" s="246"/>
      <c r="K1324" s="242" t="s">
        <v>8</v>
      </c>
      <c r="L1324" s="243">
        <v>98865.88</v>
      </c>
    </row>
    <row r="1325" spans="1:12" ht="51" hidden="1" x14ac:dyDescent="0.3">
      <c r="A1325" s="237" t="s">
        <v>256</v>
      </c>
      <c r="B1325" s="238" t="s">
        <v>2633</v>
      </c>
      <c r="C1325" s="238" t="s">
        <v>2634</v>
      </c>
      <c r="D1325" s="238" t="s">
        <v>2629</v>
      </c>
      <c r="E1325" s="239" t="s">
        <v>751</v>
      </c>
      <c r="F1325" s="240">
        <v>154478.1</v>
      </c>
      <c r="G1325" s="240"/>
      <c r="H1325" s="239" t="s">
        <v>751</v>
      </c>
      <c r="I1325" s="241" t="s">
        <v>15</v>
      </c>
      <c r="J1325" s="241"/>
      <c r="K1325" s="242" t="s">
        <v>8</v>
      </c>
      <c r="L1325" s="243">
        <v>2271560.83</v>
      </c>
    </row>
    <row r="1326" spans="1:12" ht="51" hidden="1" x14ac:dyDescent="0.3">
      <c r="A1326" s="237" t="s">
        <v>256</v>
      </c>
      <c r="B1326" s="238" t="s">
        <v>2635</v>
      </c>
      <c r="C1326" s="238" t="s">
        <v>2636</v>
      </c>
      <c r="D1326" s="238" t="s">
        <v>2629</v>
      </c>
      <c r="E1326" s="239" t="s">
        <v>751</v>
      </c>
      <c r="F1326" s="240">
        <v>7723.9</v>
      </c>
      <c r="G1326" s="240"/>
      <c r="H1326" s="239" t="s">
        <v>751</v>
      </c>
      <c r="I1326" s="241" t="s">
        <v>15</v>
      </c>
      <c r="J1326" s="241"/>
      <c r="K1326" s="242" t="s">
        <v>8</v>
      </c>
      <c r="L1326" s="243">
        <v>1721852.71</v>
      </c>
    </row>
    <row r="1327" spans="1:12" ht="51" hidden="1" x14ac:dyDescent="0.3">
      <c r="A1327" s="237" t="s">
        <v>256</v>
      </c>
      <c r="B1327" s="238" t="s">
        <v>2635</v>
      </c>
      <c r="C1327" s="238" t="s">
        <v>2636</v>
      </c>
      <c r="D1327" s="238" t="s">
        <v>2629</v>
      </c>
      <c r="E1327" s="239" t="s">
        <v>751</v>
      </c>
      <c r="F1327" s="245" t="s">
        <v>15</v>
      </c>
      <c r="G1327" s="245"/>
      <c r="H1327" s="239" t="s">
        <v>751</v>
      </c>
      <c r="I1327" s="246">
        <v>7723.9</v>
      </c>
      <c r="J1327" s="246"/>
      <c r="K1327" s="242" t="s">
        <v>8</v>
      </c>
      <c r="L1327" s="243">
        <v>91141.98</v>
      </c>
    </row>
    <row r="1328" spans="1:12" ht="51" hidden="1" x14ac:dyDescent="0.3">
      <c r="A1328" s="237" t="s">
        <v>1145</v>
      </c>
      <c r="B1328" s="238" t="s">
        <v>2637</v>
      </c>
      <c r="C1328" s="238" t="s">
        <v>2638</v>
      </c>
      <c r="D1328" s="238" t="s">
        <v>1455</v>
      </c>
      <c r="E1328" s="239" t="s">
        <v>751</v>
      </c>
      <c r="F1328" s="244">
        <v>302</v>
      </c>
      <c r="G1328" s="244"/>
      <c r="H1328" s="239" t="s">
        <v>51</v>
      </c>
      <c r="I1328" s="241" t="s">
        <v>15</v>
      </c>
      <c r="J1328" s="241"/>
      <c r="K1328" s="242" t="s">
        <v>8</v>
      </c>
      <c r="L1328" s="243">
        <v>91443.98</v>
      </c>
    </row>
    <row r="1329" spans="1:12" ht="51" hidden="1" x14ac:dyDescent="0.3">
      <c r="A1329" s="237" t="s">
        <v>1145</v>
      </c>
      <c r="B1329" s="238" t="s">
        <v>2637</v>
      </c>
      <c r="C1329" s="238" t="s">
        <v>2639</v>
      </c>
      <c r="D1329" s="238" t="s">
        <v>1455</v>
      </c>
      <c r="E1329" s="239" t="s">
        <v>751</v>
      </c>
      <c r="F1329" s="244">
        <v>908</v>
      </c>
      <c r="G1329" s="244"/>
      <c r="H1329" s="239" t="s">
        <v>51</v>
      </c>
      <c r="I1329" s="241" t="s">
        <v>15</v>
      </c>
      <c r="J1329" s="241"/>
      <c r="K1329" s="242" t="s">
        <v>8</v>
      </c>
      <c r="L1329" s="243">
        <v>92351.98</v>
      </c>
    </row>
    <row r="1330" spans="1:12" ht="51" hidden="1" x14ac:dyDescent="0.3">
      <c r="A1330" s="237" t="s">
        <v>1145</v>
      </c>
      <c r="B1330" s="238" t="s">
        <v>2637</v>
      </c>
      <c r="C1330" s="238" t="s">
        <v>2640</v>
      </c>
      <c r="D1330" s="238" t="s">
        <v>1455</v>
      </c>
      <c r="E1330" s="239" t="s">
        <v>751</v>
      </c>
      <c r="F1330" s="244">
        <v>115</v>
      </c>
      <c r="G1330" s="244"/>
      <c r="H1330" s="239" t="s">
        <v>51</v>
      </c>
      <c r="I1330" s="241" t="s">
        <v>15</v>
      </c>
      <c r="J1330" s="241"/>
      <c r="K1330" s="242" t="s">
        <v>8</v>
      </c>
      <c r="L1330" s="243">
        <v>92466.98</v>
      </c>
    </row>
    <row r="1331" spans="1:12" ht="51" hidden="1" x14ac:dyDescent="0.3">
      <c r="A1331" s="237" t="s">
        <v>1145</v>
      </c>
      <c r="B1331" s="238" t="s">
        <v>2637</v>
      </c>
      <c r="C1331" s="238" t="s">
        <v>2641</v>
      </c>
      <c r="D1331" s="238" t="s">
        <v>1455</v>
      </c>
      <c r="E1331" s="239" t="s">
        <v>751</v>
      </c>
      <c r="F1331" s="244">
        <v>200</v>
      </c>
      <c r="G1331" s="244"/>
      <c r="H1331" s="239" t="s">
        <v>51</v>
      </c>
      <c r="I1331" s="241" t="s">
        <v>15</v>
      </c>
      <c r="J1331" s="241"/>
      <c r="K1331" s="242" t="s">
        <v>8</v>
      </c>
      <c r="L1331" s="243">
        <v>92666.98</v>
      </c>
    </row>
    <row r="1332" spans="1:12" ht="51" hidden="1" x14ac:dyDescent="0.3">
      <c r="A1332" s="237" t="s">
        <v>1145</v>
      </c>
      <c r="B1332" s="238" t="s">
        <v>2642</v>
      </c>
      <c r="C1332" s="238" t="s">
        <v>2643</v>
      </c>
      <c r="D1332" s="238" t="s">
        <v>2644</v>
      </c>
      <c r="E1332" s="239" t="s">
        <v>751</v>
      </c>
      <c r="F1332" s="240">
        <v>118200</v>
      </c>
      <c r="G1332" s="240"/>
      <c r="H1332" s="239" t="s">
        <v>14</v>
      </c>
      <c r="I1332" s="241" t="s">
        <v>15</v>
      </c>
      <c r="J1332" s="241"/>
      <c r="K1332" s="242" t="s">
        <v>8</v>
      </c>
      <c r="L1332" s="243">
        <v>2389760.83</v>
      </c>
    </row>
    <row r="1333" spans="1:12" ht="51" hidden="1" x14ac:dyDescent="0.3">
      <c r="A1333" s="237" t="s">
        <v>1145</v>
      </c>
      <c r="B1333" s="238" t="s">
        <v>2645</v>
      </c>
      <c r="C1333" s="238" t="s">
        <v>2643</v>
      </c>
      <c r="D1333" s="238" t="s">
        <v>2646</v>
      </c>
      <c r="E1333" s="239" t="s">
        <v>751</v>
      </c>
      <c r="F1333" s="240">
        <v>38200</v>
      </c>
      <c r="G1333" s="240"/>
      <c r="H1333" s="239" t="s">
        <v>14</v>
      </c>
      <c r="I1333" s="241" t="s">
        <v>15</v>
      </c>
      <c r="J1333" s="241"/>
      <c r="K1333" s="242" t="s">
        <v>8</v>
      </c>
      <c r="L1333" s="243">
        <v>2427960.83</v>
      </c>
    </row>
    <row r="1334" spans="1:12" ht="51" hidden="1" x14ac:dyDescent="0.3">
      <c r="A1334" s="237" t="s">
        <v>1145</v>
      </c>
      <c r="B1334" s="238" t="s">
        <v>1267</v>
      </c>
      <c r="C1334" s="238" t="s">
        <v>1268</v>
      </c>
      <c r="D1334" s="238" t="s">
        <v>1269</v>
      </c>
      <c r="E1334" s="239" t="s">
        <v>751</v>
      </c>
      <c r="F1334" s="240">
        <v>97364.800000000003</v>
      </c>
      <c r="G1334" s="240"/>
      <c r="H1334" s="239" t="s">
        <v>14</v>
      </c>
      <c r="I1334" s="241" t="s">
        <v>15</v>
      </c>
      <c r="J1334" s="241"/>
      <c r="K1334" s="242" t="s">
        <v>8</v>
      </c>
      <c r="L1334" s="243">
        <v>4512577.33</v>
      </c>
    </row>
    <row r="1335" spans="1:12" ht="51" hidden="1" x14ac:dyDescent="0.3">
      <c r="A1335" s="237" t="s">
        <v>1145</v>
      </c>
      <c r="B1335" s="238" t="s">
        <v>1270</v>
      </c>
      <c r="C1335" s="238" t="s">
        <v>1268</v>
      </c>
      <c r="D1335" s="238" t="s">
        <v>1269</v>
      </c>
      <c r="E1335" s="239" t="s">
        <v>751</v>
      </c>
      <c r="F1335" s="240">
        <v>58048.94</v>
      </c>
      <c r="G1335" s="240"/>
      <c r="H1335" s="239" t="s">
        <v>14</v>
      </c>
      <c r="I1335" s="241" t="s">
        <v>15</v>
      </c>
      <c r="J1335" s="241"/>
      <c r="K1335" s="242" t="s">
        <v>8</v>
      </c>
      <c r="L1335" s="243">
        <v>4570626.2699999996</v>
      </c>
    </row>
    <row r="1336" spans="1:12" ht="51" hidden="1" x14ac:dyDescent="0.3">
      <c r="A1336" s="237" t="s">
        <v>1145</v>
      </c>
      <c r="B1336" s="238" t="s">
        <v>1271</v>
      </c>
      <c r="C1336" s="238" t="s">
        <v>1268</v>
      </c>
      <c r="D1336" s="238" t="s">
        <v>1269</v>
      </c>
      <c r="E1336" s="239" t="s">
        <v>751</v>
      </c>
      <c r="F1336" s="240">
        <v>5833.33</v>
      </c>
      <c r="G1336" s="240"/>
      <c r="H1336" s="239" t="s">
        <v>14</v>
      </c>
      <c r="I1336" s="241" t="s">
        <v>15</v>
      </c>
      <c r="J1336" s="241"/>
      <c r="K1336" s="242" t="s">
        <v>8</v>
      </c>
      <c r="L1336" s="243">
        <v>4576459.5999999996</v>
      </c>
    </row>
    <row r="1337" spans="1:12" ht="51" hidden="1" x14ac:dyDescent="0.3">
      <c r="A1337" s="237" t="s">
        <v>2647</v>
      </c>
      <c r="B1337" s="238" t="s">
        <v>2648</v>
      </c>
      <c r="C1337" s="238" t="s">
        <v>2649</v>
      </c>
      <c r="D1337" s="238" t="s">
        <v>2650</v>
      </c>
      <c r="E1337" s="239" t="s">
        <v>751</v>
      </c>
      <c r="F1337" s="240">
        <v>88650</v>
      </c>
      <c r="G1337" s="240"/>
      <c r="H1337" s="239" t="s">
        <v>14</v>
      </c>
      <c r="I1337" s="241" t="s">
        <v>15</v>
      </c>
      <c r="J1337" s="241"/>
      <c r="K1337" s="242" t="s">
        <v>8</v>
      </c>
      <c r="L1337" s="243">
        <v>2516610.83</v>
      </c>
    </row>
    <row r="1338" spans="1:12" ht="51" hidden="1" x14ac:dyDescent="0.3">
      <c r="A1338" s="237" t="s">
        <v>2647</v>
      </c>
      <c r="B1338" s="238" t="s">
        <v>2651</v>
      </c>
      <c r="C1338" s="238" t="s">
        <v>2649</v>
      </c>
      <c r="D1338" s="238" t="s">
        <v>2652</v>
      </c>
      <c r="E1338" s="239" t="s">
        <v>751</v>
      </c>
      <c r="F1338" s="240">
        <v>30600.5</v>
      </c>
      <c r="G1338" s="240"/>
      <c r="H1338" s="239" t="s">
        <v>14</v>
      </c>
      <c r="I1338" s="241" t="s">
        <v>15</v>
      </c>
      <c r="J1338" s="241"/>
      <c r="K1338" s="242" t="s">
        <v>8</v>
      </c>
      <c r="L1338" s="243">
        <v>2547211.33</v>
      </c>
    </row>
    <row r="1339" spans="1:12" ht="51" hidden="1" x14ac:dyDescent="0.3">
      <c r="A1339" s="237" t="s">
        <v>2653</v>
      </c>
      <c r="B1339" s="238" t="s">
        <v>2654</v>
      </c>
      <c r="C1339" s="238" t="s">
        <v>2655</v>
      </c>
      <c r="D1339" s="238" t="s">
        <v>2656</v>
      </c>
      <c r="E1339" s="239" t="s">
        <v>751</v>
      </c>
      <c r="F1339" s="240">
        <v>88650</v>
      </c>
      <c r="G1339" s="240"/>
      <c r="H1339" s="239" t="s">
        <v>14</v>
      </c>
      <c r="I1339" s="241" t="s">
        <v>15</v>
      </c>
      <c r="J1339" s="241"/>
      <c r="K1339" s="242" t="s">
        <v>8</v>
      </c>
      <c r="L1339" s="243">
        <v>2635861.33</v>
      </c>
    </row>
    <row r="1340" spans="1:12" ht="51" hidden="1" x14ac:dyDescent="0.3">
      <c r="A1340" s="237" t="s">
        <v>2653</v>
      </c>
      <c r="B1340" s="238" t="s">
        <v>2657</v>
      </c>
      <c r="C1340" s="238" t="s">
        <v>2655</v>
      </c>
      <c r="D1340" s="238" t="s">
        <v>2658</v>
      </c>
      <c r="E1340" s="239" t="s">
        <v>751</v>
      </c>
      <c r="F1340" s="240">
        <v>30384.5</v>
      </c>
      <c r="G1340" s="240"/>
      <c r="H1340" s="239" t="s">
        <v>14</v>
      </c>
      <c r="I1340" s="241" t="s">
        <v>15</v>
      </c>
      <c r="J1340" s="241"/>
      <c r="K1340" s="242" t="s">
        <v>8</v>
      </c>
      <c r="L1340" s="243">
        <v>2666245.83</v>
      </c>
    </row>
    <row r="1341" spans="1:12" ht="51" x14ac:dyDescent="0.3">
      <c r="A1341" s="237" t="s">
        <v>739</v>
      </c>
      <c r="B1341" s="238" t="s">
        <v>1272</v>
      </c>
      <c r="C1341" s="238" t="s">
        <v>1241</v>
      </c>
      <c r="D1341" s="238" t="s">
        <v>1273</v>
      </c>
      <c r="E1341" s="239" t="s">
        <v>105</v>
      </c>
      <c r="F1341" s="245" t="s">
        <v>15</v>
      </c>
      <c r="G1341" s="245"/>
      <c r="H1341" s="239" t="s">
        <v>751</v>
      </c>
      <c r="I1341" s="246">
        <v>8942.33</v>
      </c>
      <c r="J1341" s="246"/>
      <c r="K1341" s="242" t="s">
        <v>8</v>
      </c>
      <c r="L1341" s="243">
        <v>4567517.2699999996</v>
      </c>
    </row>
    <row r="1342" spans="1:12" ht="51" x14ac:dyDescent="0.3">
      <c r="A1342" s="237" t="s">
        <v>739</v>
      </c>
      <c r="B1342" s="238" t="s">
        <v>1272</v>
      </c>
      <c r="C1342" s="238" t="s">
        <v>1241</v>
      </c>
      <c r="D1342" s="238" t="s">
        <v>1257</v>
      </c>
      <c r="E1342" s="239" t="s">
        <v>105</v>
      </c>
      <c r="F1342" s="245" t="s">
        <v>15</v>
      </c>
      <c r="G1342" s="245"/>
      <c r="H1342" s="239" t="s">
        <v>751</v>
      </c>
      <c r="I1342" s="246">
        <v>3150.67</v>
      </c>
      <c r="J1342" s="246"/>
      <c r="K1342" s="242" t="s">
        <v>8</v>
      </c>
      <c r="L1342" s="243">
        <v>4564366.5999999996</v>
      </c>
    </row>
    <row r="1343" spans="1:12" ht="51" x14ac:dyDescent="0.3">
      <c r="A1343" s="237" t="s">
        <v>739</v>
      </c>
      <c r="B1343" s="238" t="s">
        <v>1272</v>
      </c>
      <c r="C1343" s="238" t="s">
        <v>1241</v>
      </c>
      <c r="D1343" s="238" t="s">
        <v>1274</v>
      </c>
      <c r="E1343" s="239" t="s">
        <v>105</v>
      </c>
      <c r="F1343" s="245" t="s">
        <v>15</v>
      </c>
      <c r="G1343" s="245"/>
      <c r="H1343" s="239" t="s">
        <v>751</v>
      </c>
      <c r="I1343" s="246">
        <v>46904.69</v>
      </c>
      <c r="J1343" s="246"/>
      <c r="K1343" s="242" t="s">
        <v>8</v>
      </c>
      <c r="L1343" s="243">
        <v>4517461.91</v>
      </c>
    </row>
    <row r="1344" spans="1:12" ht="51" x14ac:dyDescent="0.3">
      <c r="A1344" s="237" t="s">
        <v>739</v>
      </c>
      <c r="B1344" s="238" t="s">
        <v>1272</v>
      </c>
      <c r="C1344" s="238" t="s">
        <v>1241</v>
      </c>
      <c r="D1344" s="238" t="s">
        <v>1275</v>
      </c>
      <c r="E1344" s="239" t="s">
        <v>105</v>
      </c>
      <c r="F1344" s="245" t="s">
        <v>15</v>
      </c>
      <c r="G1344" s="245"/>
      <c r="H1344" s="239" t="s">
        <v>751</v>
      </c>
      <c r="I1344" s="246">
        <v>14052.92</v>
      </c>
      <c r="J1344" s="246"/>
      <c r="K1344" s="242" t="s">
        <v>8</v>
      </c>
      <c r="L1344" s="243">
        <v>4503408.99</v>
      </c>
    </row>
    <row r="1345" spans="1:12" ht="51" x14ac:dyDescent="0.3">
      <c r="A1345" s="237" t="s">
        <v>739</v>
      </c>
      <c r="B1345" s="238" t="s">
        <v>1272</v>
      </c>
      <c r="C1345" s="238" t="s">
        <v>1241</v>
      </c>
      <c r="D1345" s="238" t="s">
        <v>1242</v>
      </c>
      <c r="E1345" s="239" t="s">
        <v>105</v>
      </c>
      <c r="F1345" s="245" t="s">
        <v>15</v>
      </c>
      <c r="G1345" s="245"/>
      <c r="H1345" s="239" t="s">
        <v>751</v>
      </c>
      <c r="I1345" s="246">
        <v>3860.63</v>
      </c>
      <c r="J1345" s="246"/>
      <c r="K1345" s="242" t="s">
        <v>8</v>
      </c>
      <c r="L1345" s="243">
        <v>4499548.3600000003</v>
      </c>
    </row>
    <row r="1346" spans="1:12" ht="51" x14ac:dyDescent="0.3">
      <c r="A1346" s="237" t="s">
        <v>739</v>
      </c>
      <c r="B1346" s="238" t="s">
        <v>1272</v>
      </c>
      <c r="C1346" s="238" t="s">
        <v>1241</v>
      </c>
      <c r="D1346" s="238" t="s">
        <v>1248</v>
      </c>
      <c r="E1346" s="239" t="s">
        <v>105</v>
      </c>
      <c r="F1346" s="245" t="s">
        <v>15</v>
      </c>
      <c r="G1346" s="245"/>
      <c r="H1346" s="239" t="s">
        <v>751</v>
      </c>
      <c r="I1346" s="246">
        <v>7166.05</v>
      </c>
      <c r="J1346" s="246"/>
      <c r="K1346" s="242" t="s">
        <v>8</v>
      </c>
      <c r="L1346" s="243">
        <v>4492382.3099999996</v>
      </c>
    </row>
    <row r="1347" spans="1:12" ht="51" x14ac:dyDescent="0.3">
      <c r="A1347" s="237" t="s">
        <v>739</v>
      </c>
      <c r="B1347" s="238" t="s">
        <v>1272</v>
      </c>
      <c r="C1347" s="238" t="s">
        <v>1241</v>
      </c>
      <c r="D1347" s="238" t="s">
        <v>1276</v>
      </c>
      <c r="E1347" s="239" t="s">
        <v>105</v>
      </c>
      <c r="F1347" s="245" t="s">
        <v>15</v>
      </c>
      <c r="G1347" s="245"/>
      <c r="H1347" s="239" t="s">
        <v>751</v>
      </c>
      <c r="I1347" s="246">
        <v>2760.09</v>
      </c>
      <c r="J1347" s="246"/>
      <c r="K1347" s="242" t="s">
        <v>8</v>
      </c>
      <c r="L1347" s="243">
        <v>4489622.22</v>
      </c>
    </row>
    <row r="1348" spans="1:12" ht="51" x14ac:dyDescent="0.3">
      <c r="A1348" s="237" t="s">
        <v>739</v>
      </c>
      <c r="B1348" s="238" t="s">
        <v>1272</v>
      </c>
      <c r="C1348" s="238" t="s">
        <v>1241</v>
      </c>
      <c r="D1348" s="238" t="s">
        <v>1277</v>
      </c>
      <c r="E1348" s="239" t="s">
        <v>105</v>
      </c>
      <c r="F1348" s="245" t="s">
        <v>15</v>
      </c>
      <c r="G1348" s="245"/>
      <c r="H1348" s="239" t="s">
        <v>751</v>
      </c>
      <c r="I1348" s="246">
        <v>3165.42</v>
      </c>
      <c r="J1348" s="246"/>
      <c r="K1348" s="242" t="s">
        <v>8</v>
      </c>
      <c r="L1348" s="243">
        <v>4486456.8</v>
      </c>
    </row>
    <row r="1349" spans="1:12" ht="51" x14ac:dyDescent="0.3">
      <c r="A1349" s="237" t="s">
        <v>739</v>
      </c>
      <c r="B1349" s="238" t="s">
        <v>1272</v>
      </c>
      <c r="C1349" s="238" t="s">
        <v>1241</v>
      </c>
      <c r="D1349" s="238" t="s">
        <v>1278</v>
      </c>
      <c r="E1349" s="239" t="s">
        <v>105</v>
      </c>
      <c r="F1349" s="245" t="s">
        <v>15</v>
      </c>
      <c r="G1349" s="245"/>
      <c r="H1349" s="239" t="s">
        <v>751</v>
      </c>
      <c r="I1349" s="247">
        <v>907.2</v>
      </c>
      <c r="J1349" s="247"/>
      <c r="K1349" s="242" t="s">
        <v>8</v>
      </c>
      <c r="L1349" s="243">
        <v>4485549.5999999996</v>
      </c>
    </row>
    <row r="1350" spans="1:12" ht="51" x14ac:dyDescent="0.3">
      <c r="A1350" s="237" t="s">
        <v>739</v>
      </c>
      <c r="B1350" s="238" t="s">
        <v>1272</v>
      </c>
      <c r="C1350" s="238" t="s">
        <v>1241</v>
      </c>
      <c r="D1350" s="238" t="s">
        <v>1255</v>
      </c>
      <c r="E1350" s="239" t="s">
        <v>105</v>
      </c>
      <c r="F1350" s="245" t="s">
        <v>15</v>
      </c>
      <c r="G1350" s="245"/>
      <c r="H1350" s="239" t="s">
        <v>751</v>
      </c>
      <c r="I1350" s="246">
        <v>1821.91</v>
      </c>
      <c r="J1350" s="246"/>
      <c r="K1350" s="242" t="s">
        <v>8</v>
      </c>
      <c r="L1350" s="243">
        <v>4483727.6900000004</v>
      </c>
    </row>
    <row r="1351" spans="1:12" ht="51" x14ac:dyDescent="0.3">
      <c r="A1351" s="237" t="s">
        <v>739</v>
      </c>
      <c r="B1351" s="238" t="s">
        <v>1272</v>
      </c>
      <c r="C1351" s="238" t="s">
        <v>1241</v>
      </c>
      <c r="D1351" s="238" t="s">
        <v>1259</v>
      </c>
      <c r="E1351" s="239" t="s">
        <v>105</v>
      </c>
      <c r="F1351" s="245" t="s">
        <v>15</v>
      </c>
      <c r="G1351" s="245"/>
      <c r="H1351" s="239" t="s">
        <v>751</v>
      </c>
      <c r="I1351" s="247">
        <v>127.5</v>
      </c>
      <c r="J1351" s="247"/>
      <c r="K1351" s="242" t="s">
        <v>8</v>
      </c>
      <c r="L1351" s="243">
        <v>4483600.1900000004</v>
      </c>
    </row>
    <row r="1352" spans="1:12" ht="51" x14ac:dyDescent="0.3">
      <c r="A1352" s="237" t="s">
        <v>739</v>
      </c>
      <c r="B1352" s="238" t="s">
        <v>1272</v>
      </c>
      <c r="C1352" s="238" t="s">
        <v>1241</v>
      </c>
      <c r="D1352" s="238" t="s">
        <v>1251</v>
      </c>
      <c r="E1352" s="239" t="s">
        <v>105</v>
      </c>
      <c r="F1352" s="245" t="s">
        <v>15</v>
      </c>
      <c r="G1352" s="245"/>
      <c r="H1352" s="239" t="s">
        <v>751</v>
      </c>
      <c r="I1352" s="246">
        <v>8996.82</v>
      </c>
      <c r="J1352" s="246"/>
      <c r="K1352" s="242" t="s">
        <v>8</v>
      </c>
      <c r="L1352" s="243">
        <v>4474603.37</v>
      </c>
    </row>
    <row r="1353" spans="1:12" ht="61.2" x14ac:dyDescent="0.3">
      <c r="A1353" s="237" t="s">
        <v>739</v>
      </c>
      <c r="B1353" s="238" t="s">
        <v>1272</v>
      </c>
      <c r="C1353" s="238" t="s">
        <v>1241</v>
      </c>
      <c r="D1353" s="238" t="s">
        <v>1254</v>
      </c>
      <c r="E1353" s="239" t="s">
        <v>105</v>
      </c>
      <c r="F1353" s="245" t="s">
        <v>15</v>
      </c>
      <c r="G1353" s="245"/>
      <c r="H1353" s="239" t="s">
        <v>751</v>
      </c>
      <c r="I1353" s="246">
        <v>18805.34</v>
      </c>
      <c r="J1353" s="246"/>
      <c r="K1353" s="242" t="s">
        <v>8</v>
      </c>
      <c r="L1353" s="243">
        <v>4455798.03</v>
      </c>
    </row>
    <row r="1354" spans="1:12" ht="51" hidden="1" x14ac:dyDescent="0.3">
      <c r="A1354" s="237" t="s">
        <v>739</v>
      </c>
      <c r="B1354" s="238" t="s">
        <v>2659</v>
      </c>
      <c r="C1354" s="238" t="s">
        <v>2660</v>
      </c>
      <c r="D1354" s="238" t="s">
        <v>2661</v>
      </c>
      <c r="E1354" s="239" t="s">
        <v>751</v>
      </c>
      <c r="F1354" s="240">
        <v>180750</v>
      </c>
      <c r="G1354" s="240"/>
      <c r="H1354" s="239" t="s">
        <v>14</v>
      </c>
      <c r="I1354" s="241" t="s">
        <v>15</v>
      </c>
      <c r="J1354" s="241"/>
      <c r="K1354" s="242" t="s">
        <v>8</v>
      </c>
      <c r="L1354" s="243">
        <v>2865467.33</v>
      </c>
    </row>
    <row r="1355" spans="1:12" ht="51" hidden="1" x14ac:dyDescent="0.3">
      <c r="A1355" s="237" t="s">
        <v>739</v>
      </c>
      <c r="B1355" s="238" t="s">
        <v>2662</v>
      </c>
      <c r="C1355" s="238" t="s">
        <v>2663</v>
      </c>
      <c r="D1355" s="238" t="s">
        <v>2661</v>
      </c>
      <c r="E1355" s="239" t="s">
        <v>751</v>
      </c>
      <c r="F1355" s="240">
        <v>47663</v>
      </c>
      <c r="G1355" s="240"/>
      <c r="H1355" s="239" t="s">
        <v>14</v>
      </c>
      <c r="I1355" s="241" t="s">
        <v>15</v>
      </c>
      <c r="J1355" s="241"/>
      <c r="K1355" s="242" t="s">
        <v>8</v>
      </c>
      <c r="L1355" s="243">
        <v>2913130.33</v>
      </c>
    </row>
    <row r="1356" spans="1:12" ht="51" hidden="1" x14ac:dyDescent="0.3">
      <c r="A1356" s="237" t="s">
        <v>739</v>
      </c>
      <c r="B1356" s="238" t="s">
        <v>2659</v>
      </c>
      <c r="C1356" s="238" t="s">
        <v>2663</v>
      </c>
      <c r="D1356" s="238" t="s">
        <v>2661</v>
      </c>
      <c r="E1356" s="239" t="s">
        <v>751</v>
      </c>
      <c r="F1356" s="240">
        <v>59412</v>
      </c>
      <c r="G1356" s="240"/>
      <c r="H1356" s="239" t="s">
        <v>14</v>
      </c>
      <c r="I1356" s="241" t="s">
        <v>15</v>
      </c>
      <c r="J1356" s="241"/>
      <c r="K1356" s="242" t="s">
        <v>8</v>
      </c>
      <c r="L1356" s="243">
        <v>2972542.33</v>
      </c>
    </row>
    <row r="1357" spans="1:12" ht="51" x14ac:dyDescent="0.3">
      <c r="A1357" s="237" t="s">
        <v>739</v>
      </c>
      <c r="B1357" s="238" t="s">
        <v>1279</v>
      </c>
      <c r="C1357" s="238" t="s">
        <v>1241</v>
      </c>
      <c r="D1357" s="238" t="s">
        <v>1280</v>
      </c>
      <c r="E1357" s="239" t="s">
        <v>105</v>
      </c>
      <c r="F1357" s="245" t="s">
        <v>15</v>
      </c>
      <c r="G1357" s="245"/>
      <c r="H1357" s="239" t="s">
        <v>751</v>
      </c>
      <c r="I1357" s="246">
        <v>3187.5</v>
      </c>
      <c r="J1357" s="246"/>
      <c r="K1357" s="242" t="s">
        <v>8</v>
      </c>
      <c r="L1357" s="243">
        <v>4452610.53</v>
      </c>
    </row>
    <row r="1358" spans="1:12" ht="51" x14ac:dyDescent="0.3">
      <c r="A1358" s="237" t="s">
        <v>739</v>
      </c>
      <c r="B1358" s="238" t="s">
        <v>1279</v>
      </c>
      <c r="C1358" s="238" t="s">
        <v>1241</v>
      </c>
      <c r="D1358" s="238" t="s">
        <v>1281</v>
      </c>
      <c r="E1358" s="239" t="s">
        <v>105</v>
      </c>
      <c r="F1358" s="245" t="s">
        <v>15</v>
      </c>
      <c r="G1358" s="245"/>
      <c r="H1358" s="239" t="s">
        <v>751</v>
      </c>
      <c r="I1358" s="247">
        <v>267.58999999999997</v>
      </c>
      <c r="J1358" s="247"/>
      <c r="K1358" s="242" t="s">
        <v>8</v>
      </c>
      <c r="L1358" s="243">
        <v>4452342.9400000004</v>
      </c>
    </row>
    <row r="1359" spans="1:12" ht="51" x14ac:dyDescent="0.3">
      <c r="A1359" s="237" t="s">
        <v>739</v>
      </c>
      <c r="B1359" s="238" t="s">
        <v>1279</v>
      </c>
      <c r="C1359" s="238" t="s">
        <v>1241</v>
      </c>
      <c r="D1359" s="238" t="s">
        <v>1282</v>
      </c>
      <c r="E1359" s="239" t="s">
        <v>105</v>
      </c>
      <c r="F1359" s="245" t="s">
        <v>15</v>
      </c>
      <c r="G1359" s="245"/>
      <c r="H1359" s="239" t="s">
        <v>751</v>
      </c>
      <c r="I1359" s="247">
        <v>982.92</v>
      </c>
      <c r="J1359" s="247"/>
      <c r="K1359" s="242" t="s">
        <v>8</v>
      </c>
      <c r="L1359" s="243">
        <v>4451360.0199999996</v>
      </c>
    </row>
    <row r="1360" spans="1:12" ht="51" x14ac:dyDescent="0.3">
      <c r="A1360" s="237" t="s">
        <v>739</v>
      </c>
      <c r="B1360" s="238" t="s">
        <v>1279</v>
      </c>
      <c r="C1360" s="238" t="s">
        <v>1241</v>
      </c>
      <c r="D1360" s="238" t="s">
        <v>1283</v>
      </c>
      <c r="E1360" s="239" t="s">
        <v>105</v>
      </c>
      <c r="F1360" s="245" t="s">
        <v>15</v>
      </c>
      <c r="G1360" s="245"/>
      <c r="H1360" s="239" t="s">
        <v>751</v>
      </c>
      <c r="I1360" s="246">
        <v>1672.5</v>
      </c>
      <c r="J1360" s="246"/>
      <c r="K1360" s="242" t="s">
        <v>8</v>
      </c>
      <c r="L1360" s="243">
        <v>4449687.5199999996</v>
      </c>
    </row>
    <row r="1361" spans="1:12" ht="51" x14ac:dyDescent="0.3">
      <c r="A1361" s="237" t="s">
        <v>739</v>
      </c>
      <c r="B1361" s="238" t="s">
        <v>1279</v>
      </c>
      <c r="C1361" s="238" t="s">
        <v>1241</v>
      </c>
      <c r="D1361" s="238" t="s">
        <v>1284</v>
      </c>
      <c r="E1361" s="239" t="s">
        <v>105</v>
      </c>
      <c r="F1361" s="245" t="s">
        <v>15</v>
      </c>
      <c r="G1361" s="245"/>
      <c r="H1361" s="239" t="s">
        <v>751</v>
      </c>
      <c r="I1361" s="246">
        <v>1757.25</v>
      </c>
      <c r="J1361" s="246"/>
      <c r="K1361" s="242" t="s">
        <v>8</v>
      </c>
      <c r="L1361" s="243">
        <v>4447930.2699999996</v>
      </c>
    </row>
    <row r="1362" spans="1:12" ht="51" x14ac:dyDescent="0.3">
      <c r="A1362" s="237" t="s">
        <v>739</v>
      </c>
      <c r="B1362" s="238" t="s">
        <v>1279</v>
      </c>
      <c r="C1362" s="238" t="s">
        <v>1241</v>
      </c>
      <c r="D1362" s="238" t="s">
        <v>1242</v>
      </c>
      <c r="E1362" s="239" t="s">
        <v>105</v>
      </c>
      <c r="F1362" s="245" t="s">
        <v>15</v>
      </c>
      <c r="G1362" s="245"/>
      <c r="H1362" s="239" t="s">
        <v>751</v>
      </c>
      <c r="I1362" s="247">
        <v>26.62</v>
      </c>
      <c r="J1362" s="247"/>
      <c r="K1362" s="242" t="s">
        <v>8</v>
      </c>
      <c r="L1362" s="243">
        <v>4447903.6500000004</v>
      </c>
    </row>
    <row r="1363" spans="1:12" ht="61.2" hidden="1" x14ac:dyDescent="0.3">
      <c r="A1363" s="237" t="s">
        <v>172</v>
      </c>
      <c r="B1363" s="238" t="s">
        <v>2664</v>
      </c>
      <c r="C1363" s="238" t="s">
        <v>2665</v>
      </c>
      <c r="D1363" s="238" t="s">
        <v>2666</v>
      </c>
      <c r="E1363" s="239" t="s">
        <v>751</v>
      </c>
      <c r="F1363" s="240">
        <v>7698.1</v>
      </c>
      <c r="G1363" s="240"/>
      <c r="H1363" s="239" t="s">
        <v>14</v>
      </c>
      <c r="I1363" s="241" t="s">
        <v>15</v>
      </c>
      <c r="J1363" s="241"/>
      <c r="K1363" s="242" t="s">
        <v>8</v>
      </c>
      <c r="L1363" s="243">
        <v>1729550.81</v>
      </c>
    </row>
    <row r="1364" spans="1:12" ht="51" hidden="1" x14ac:dyDescent="0.3">
      <c r="A1364" s="237" t="s">
        <v>172</v>
      </c>
      <c r="B1364" s="238" t="s">
        <v>2664</v>
      </c>
      <c r="C1364" s="238" t="s">
        <v>2667</v>
      </c>
      <c r="D1364" s="238" t="s">
        <v>2666</v>
      </c>
      <c r="E1364" s="239" t="s">
        <v>751</v>
      </c>
      <c r="F1364" s="240">
        <v>15750</v>
      </c>
      <c r="G1364" s="240"/>
      <c r="H1364" s="239" t="s">
        <v>14</v>
      </c>
      <c r="I1364" s="241" t="s">
        <v>15</v>
      </c>
      <c r="J1364" s="241"/>
      <c r="K1364" s="242" t="s">
        <v>8</v>
      </c>
      <c r="L1364" s="243">
        <v>1745300.81</v>
      </c>
    </row>
    <row r="1365" spans="1:12" ht="51" hidden="1" x14ac:dyDescent="0.3">
      <c r="A1365" s="237" t="s">
        <v>172</v>
      </c>
      <c r="B1365" s="238" t="s">
        <v>2664</v>
      </c>
      <c r="C1365" s="238" t="s">
        <v>2668</v>
      </c>
      <c r="D1365" s="238" t="s">
        <v>2666</v>
      </c>
      <c r="E1365" s="239" t="s">
        <v>751</v>
      </c>
      <c r="F1365" s="240">
        <v>20217</v>
      </c>
      <c r="G1365" s="240"/>
      <c r="H1365" s="239" t="s">
        <v>14</v>
      </c>
      <c r="I1365" s="241" t="s">
        <v>15</v>
      </c>
      <c r="J1365" s="241"/>
      <c r="K1365" s="242" t="s">
        <v>8</v>
      </c>
      <c r="L1365" s="243">
        <v>1765517.81</v>
      </c>
    </row>
    <row r="1366" spans="1:12" ht="51" hidden="1" x14ac:dyDescent="0.3">
      <c r="A1366" s="237" t="s">
        <v>172</v>
      </c>
      <c r="B1366" s="238" t="s">
        <v>2664</v>
      </c>
      <c r="C1366" s="238" t="s">
        <v>2669</v>
      </c>
      <c r="D1366" s="238" t="s">
        <v>2666</v>
      </c>
      <c r="E1366" s="239" t="s">
        <v>751</v>
      </c>
      <c r="F1366" s="244">
        <v>902.5</v>
      </c>
      <c r="G1366" s="244"/>
      <c r="H1366" s="239" t="s">
        <v>14</v>
      </c>
      <c r="I1366" s="241" t="s">
        <v>15</v>
      </c>
      <c r="J1366" s="241"/>
      <c r="K1366" s="242" t="s">
        <v>8</v>
      </c>
      <c r="L1366" s="243">
        <v>1766420.31</v>
      </c>
    </row>
    <row r="1367" spans="1:12" ht="51" hidden="1" x14ac:dyDescent="0.3">
      <c r="A1367" s="237" t="s">
        <v>172</v>
      </c>
      <c r="B1367" s="238" t="s">
        <v>2670</v>
      </c>
      <c r="C1367" s="238" t="s">
        <v>2671</v>
      </c>
      <c r="D1367" s="238" t="s">
        <v>2672</v>
      </c>
      <c r="E1367" s="239" t="s">
        <v>751</v>
      </c>
      <c r="F1367" s="240">
        <v>7211.69</v>
      </c>
      <c r="G1367" s="240"/>
      <c r="H1367" s="239" t="s">
        <v>14</v>
      </c>
      <c r="I1367" s="241" t="s">
        <v>15</v>
      </c>
      <c r="J1367" s="241"/>
      <c r="K1367" s="242" t="s">
        <v>8</v>
      </c>
      <c r="L1367" s="243">
        <v>1773632</v>
      </c>
    </row>
    <row r="1368" spans="1:12" ht="51" hidden="1" x14ac:dyDescent="0.3">
      <c r="A1368" s="237" t="s">
        <v>172</v>
      </c>
      <c r="B1368" s="238" t="s">
        <v>2673</v>
      </c>
      <c r="C1368" s="238" t="s">
        <v>2674</v>
      </c>
      <c r="D1368" s="238" t="s">
        <v>2672</v>
      </c>
      <c r="E1368" s="239" t="s">
        <v>751</v>
      </c>
      <c r="F1368" s="240">
        <v>24909.99</v>
      </c>
      <c r="G1368" s="240"/>
      <c r="H1368" s="239" t="s">
        <v>14</v>
      </c>
      <c r="I1368" s="241" t="s">
        <v>15</v>
      </c>
      <c r="J1368" s="241"/>
      <c r="K1368" s="242" t="s">
        <v>8</v>
      </c>
      <c r="L1368" s="243">
        <v>1798541.99</v>
      </c>
    </row>
    <row r="1369" spans="1:12" ht="61.2" hidden="1" x14ac:dyDescent="0.3">
      <c r="A1369" s="237" t="s">
        <v>172</v>
      </c>
      <c r="B1369" s="238" t="s">
        <v>2675</v>
      </c>
      <c r="C1369" s="238" t="s">
        <v>2676</v>
      </c>
      <c r="D1369" s="238" t="s">
        <v>2677</v>
      </c>
      <c r="E1369" s="239" t="s">
        <v>751</v>
      </c>
      <c r="F1369" s="240">
        <v>1724.33</v>
      </c>
      <c r="G1369" s="240"/>
      <c r="H1369" s="239" t="s">
        <v>14</v>
      </c>
      <c r="I1369" s="241" t="s">
        <v>15</v>
      </c>
      <c r="J1369" s="241"/>
      <c r="K1369" s="242" t="s">
        <v>8</v>
      </c>
      <c r="L1369" s="243">
        <v>6102480.71</v>
      </c>
    </row>
    <row r="1370" spans="1:12" ht="51" hidden="1" x14ac:dyDescent="0.3">
      <c r="A1370" s="237" t="s">
        <v>172</v>
      </c>
      <c r="B1370" s="238" t="s">
        <v>2678</v>
      </c>
      <c r="C1370" s="238" t="s">
        <v>2679</v>
      </c>
      <c r="D1370" s="238" t="s">
        <v>2680</v>
      </c>
      <c r="E1370" s="239" t="s">
        <v>751</v>
      </c>
      <c r="F1370" s="240">
        <v>1335</v>
      </c>
      <c r="G1370" s="240"/>
      <c r="H1370" s="239" t="s">
        <v>14</v>
      </c>
      <c r="I1370" s="241" t="s">
        <v>15</v>
      </c>
      <c r="J1370" s="241"/>
      <c r="K1370" s="242" t="s">
        <v>8</v>
      </c>
      <c r="L1370" s="243">
        <v>94001.98</v>
      </c>
    </row>
    <row r="1371" spans="1:12" ht="51" hidden="1" x14ac:dyDescent="0.3">
      <c r="A1371" s="237" t="s">
        <v>172</v>
      </c>
      <c r="B1371" s="238" t="s">
        <v>2678</v>
      </c>
      <c r="C1371" s="238" t="s">
        <v>2681</v>
      </c>
      <c r="D1371" s="238" t="s">
        <v>2680</v>
      </c>
      <c r="E1371" s="239" t="s">
        <v>751</v>
      </c>
      <c r="F1371" s="240">
        <v>1335</v>
      </c>
      <c r="G1371" s="240"/>
      <c r="H1371" s="239" t="s">
        <v>14</v>
      </c>
      <c r="I1371" s="241" t="s">
        <v>15</v>
      </c>
      <c r="J1371" s="241"/>
      <c r="K1371" s="242" t="s">
        <v>8</v>
      </c>
      <c r="L1371" s="243">
        <v>95336.98</v>
      </c>
    </row>
    <row r="1372" spans="1:12" ht="51" hidden="1" x14ac:dyDescent="0.3">
      <c r="A1372" s="237" t="s">
        <v>172</v>
      </c>
      <c r="B1372" s="238" t="s">
        <v>2678</v>
      </c>
      <c r="C1372" s="238" t="s">
        <v>2682</v>
      </c>
      <c r="D1372" s="238" t="s">
        <v>2680</v>
      </c>
      <c r="E1372" s="239" t="s">
        <v>751</v>
      </c>
      <c r="F1372" s="240">
        <v>1100</v>
      </c>
      <c r="G1372" s="240"/>
      <c r="H1372" s="239" t="s">
        <v>14</v>
      </c>
      <c r="I1372" s="241" t="s">
        <v>15</v>
      </c>
      <c r="J1372" s="241"/>
      <c r="K1372" s="242" t="s">
        <v>8</v>
      </c>
      <c r="L1372" s="243">
        <v>96436.98</v>
      </c>
    </row>
    <row r="1373" spans="1:12" ht="71.400000000000006" hidden="1" x14ac:dyDescent="0.3">
      <c r="A1373" s="237" t="s">
        <v>172</v>
      </c>
      <c r="B1373" s="238" t="s">
        <v>2683</v>
      </c>
      <c r="C1373" s="238" t="s">
        <v>2684</v>
      </c>
      <c r="D1373" s="238" t="s">
        <v>2685</v>
      </c>
      <c r="E1373" s="239" t="s">
        <v>751</v>
      </c>
      <c r="F1373" s="240">
        <v>6513.6</v>
      </c>
      <c r="G1373" s="240"/>
      <c r="H1373" s="239" t="s">
        <v>14</v>
      </c>
      <c r="I1373" s="241" t="s">
        <v>15</v>
      </c>
      <c r="J1373" s="241"/>
      <c r="K1373" s="242" t="s">
        <v>8</v>
      </c>
      <c r="L1373" s="243">
        <v>6108994.3099999996</v>
      </c>
    </row>
    <row r="1374" spans="1:12" ht="71.400000000000006" hidden="1" x14ac:dyDescent="0.3">
      <c r="A1374" s="237" t="s">
        <v>172</v>
      </c>
      <c r="B1374" s="238" t="s">
        <v>2683</v>
      </c>
      <c r="C1374" s="238" t="s">
        <v>2686</v>
      </c>
      <c r="D1374" s="238" t="s">
        <v>2685</v>
      </c>
      <c r="E1374" s="239" t="s">
        <v>751</v>
      </c>
      <c r="F1374" s="240">
        <v>38267.4</v>
      </c>
      <c r="G1374" s="240"/>
      <c r="H1374" s="239" t="s">
        <v>14</v>
      </c>
      <c r="I1374" s="241" t="s">
        <v>15</v>
      </c>
      <c r="J1374" s="241"/>
      <c r="K1374" s="242" t="s">
        <v>8</v>
      </c>
      <c r="L1374" s="243">
        <v>6147261.71</v>
      </c>
    </row>
    <row r="1375" spans="1:12" ht="71.400000000000006" hidden="1" x14ac:dyDescent="0.3">
      <c r="A1375" s="237" t="s">
        <v>172</v>
      </c>
      <c r="B1375" s="238" t="s">
        <v>2683</v>
      </c>
      <c r="C1375" s="238" t="s">
        <v>2687</v>
      </c>
      <c r="D1375" s="238" t="s">
        <v>2685</v>
      </c>
      <c r="E1375" s="239" t="s">
        <v>751</v>
      </c>
      <c r="F1375" s="240">
        <v>102589.2</v>
      </c>
      <c r="G1375" s="240"/>
      <c r="H1375" s="239" t="s">
        <v>14</v>
      </c>
      <c r="I1375" s="241" t="s">
        <v>15</v>
      </c>
      <c r="J1375" s="241"/>
      <c r="K1375" s="242" t="s">
        <v>8</v>
      </c>
      <c r="L1375" s="243">
        <v>6249850.9100000001</v>
      </c>
    </row>
    <row r="1376" spans="1:12" ht="71.400000000000006" hidden="1" x14ac:dyDescent="0.3">
      <c r="A1376" s="237" t="s">
        <v>172</v>
      </c>
      <c r="B1376" s="238" t="s">
        <v>2683</v>
      </c>
      <c r="C1376" s="238" t="s">
        <v>2688</v>
      </c>
      <c r="D1376" s="238" t="s">
        <v>2685</v>
      </c>
      <c r="E1376" s="239" t="s">
        <v>751</v>
      </c>
      <c r="F1376" s="240">
        <v>23611.8</v>
      </c>
      <c r="G1376" s="240"/>
      <c r="H1376" s="239" t="s">
        <v>14</v>
      </c>
      <c r="I1376" s="241" t="s">
        <v>15</v>
      </c>
      <c r="J1376" s="241"/>
      <c r="K1376" s="242" t="s">
        <v>8</v>
      </c>
      <c r="L1376" s="243">
        <v>6273462.71</v>
      </c>
    </row>
    <row r="1377" spans="1:12" ht="71.400000000000006" hidden="1" x14ac:dyDescent="0.3">
      <c r="A1377" s="237" t="s">
        <v>172</v>
      </c>
      <c r="B1377" s="238" t="s">
        <v>2683</v>
      </c>
      <c r="C1377" s="238" t="s">
        <v>2689</v>
      </c>
      <c r="D1377" s="238" t="s">
        <v>2685</v>
      </c>
      <c r="E1377" s="239" t="s">
        <v>751</v>
      </c>
      <c r="F1377" s="240">
        <v>19540.8</v>
      </c>
      <c r="G1377" s="240"/>
      <c r="H1377" s="239" t="s">
        <v>14</v>
      </c>
      <c r="I1377" s="241" t="s">
        <v>15</v>
      </c>
      <c r="J1377" s="241"/>
      <c r="K1377" s="242" t="s">
        <v>8</v>
      </c>
      <c r="L1377" s="243">
        <v>6293003.5099999998</v>
      </c>
    </row>
    <row r="1378" spans="1:12" ht="61.2" hidden="1" x14ac:dyDescent="0.3">
      <c r="A1378" s="237" t="s">
        <v>172</v>
      </c>
      <c r="B1378" s="238" t="s">
        <v>2683</v>
      </c>
      <c r="C1378" s="238" t="s">
        <v>2690</v>
      </c>
      <c r="D1378" s="238" t="s">
        <v>2685</v>
      </c>
      <c r="E1378" s="239" t="s">
        <v>751</v>
      </c>
      <c r="F1378" s="240">
        <v>3850</v>
      </c>
      <c r="G1378" s="240"/>
      <c r="H1378" s="239" t="s">
        <v>14</v>
      </c>
      <c r="I1378" s="241" t="s">
        <v>15</v>
      </c>
      <c r="J1378" s="241"/>
      <c r="K1378" s="242" t="s">
        <v>8</v>
      </c>
      <c r="L1378" s="243">
        <v>6296853.5099999998</v>
      </c>
    </row>
    <row r="1379" spans="1:12" ht="61.2" hidden="1" x14ac:dyDescent="0.3">
      <c r="A1379" s="237" t="s">
        <v>172</v>
      </c>
      <c r="B1379" s="238" t="s">
        <v>2683</v>
      </c>
      <c r="C1379" s="238" t="s">
        <v>2691</v>
      </c>
      <c r="D1379" s="238" t="s">
        <v>2685</v>
      </c>
      <c r="E1379" s="239" t="s">
        <v>751</v>
      </c>
      <c r="F1379" s="244">
        <v>975</v>
      </c>
      <c r="G1379" s="244"/>
      <c r="H1379" s="239" t="s">
        <v>14</v>
      </c>
      <c r="I1379" s="241" t="s">
        <v>15</v>
      </c>
      <c r="J1379" s="241"/>
      <c r="K1379" s="242" t="s">
        <v>8</v>
      </c>
      <c r="L1379" s="243">
        <v>6297828.5099999998</v>
      </c>
    </row>
    <row r="1380" spans="1:12" ht="61.2" hidden="1" x14ac:dyDescent="0.3">
      <c r="A1380" s="237" t="s">
        <v>172</v>
      </c>
      <c r="B1380" s="238" t="s">
        <v>2683</v>
      </c>
      <c r="C1380" s="238" t="s">
        <v>2692</v>
      </c>
      <c r="D1380" s="238" t="s">
        <v>2685</v>
      </c>
      <c r="E1380" s="239" t="s">
        <v>751</v>
      </c>
      <c r="F1380" s="240">
        <v>8456</v>
      </c>
      <c r="G1380" s="240"/>
      <c r="H1380" s="239" t="s">
        <v>14</v>
      </c>
      <c r="I1380" s="241" t="s">
        <v>15</v>
      </c>
      <c r="J1380" s="241"/>
      <c r="K1380" s="242" t="s">
        <v>8</v>
      </c>
      <c r="L1380" s="243">
        <v>6306284.5099999998</v>
      </c>
    </row>
    <row r="1381" spans="1:12" ht="61.2" hidden="1" x14ac:dyDescent="0.3">
      <c r="A1381" s="237" t="s">
        <v>172</v>
      </c>
      <c r="B1381" s="238" t="s">
        <v>2683</v>
      </c>
      <c r="C1381" s="238" t="s">
        <v>2693</v>
      </c>
      <c r="D1381" s="238" t="s">
        <v>2685</v>
      </c>
      <c r="E1381" s="239" t="s">
        <v>751</v>
      </c>
      <c r="F1381" s="240">
        <v>1208</v>
      </c>
      <c r="G1381" s="240"/>
      <c r="H1381" s="239" t="s">
        <v>14</v>
      </c>
      <c r="I1381" s="241" t="s">
        <v>15</v>
      </c>
      <c r="J1381" s="241"/>
      <c r="K1381" s="242" t="s">
        <v>8</v>
      </c>
      <c r="L1381" s="243">
        <v>6307492.5099999998</v>
      </c>
    </row>
    <row r="1382" spans="1:12" ht="71.400000000000006" hidden="1" x14ac:dyDescent="0.3">
      <c r="A1382" s="237" t="s">
        <v>172</v>
      </c>
      <c r="B1382" s="238" t="s">
        <v>2694</v>
      </c>
      <c r="C1382" s="238" t="s">
        <v>2695</v>
      </c>
      <c r="D1382" s="238" t="s">
        <v>2441</v>
      </c>
      <c r="E1382" s="239" t="s">
        <v>751</v>
      </c>
      <c r="F1382" s="240">
        <v>9894.6</v>
      </c>
      <c r="G1382" s="240"/>
      <c r="H1382" s="239" t="s">
        <v>14</v>
      </c>
      <c r="I1382" s="241" t="s">
        <v>15</v>
      </c>
      <c r="J1382" s="241"/>
      <c r="K1382" s="242" t="s">
        <v>8</v>
      </c>
      <c r="L1382" s="243">
        <v>6317387.1100000003</v>
      </c>
    </row>
    <row r="1383" spans="1:12" ht="71.400000000000006" hidden="1" x14ac:dyDescent="0.3">
      <c r="A1383" s="237" t="s">
        <v>172</v>
      </c>
      <c r="B1383" s="238" t="s">
        <v>2694</v>
      </c>
      <c r="C1383" s="238" t="s">
        <v>2696</v>
      </c>
      <c r="D1383" s="238" t="s">
        <v>2441</v>
      </c>
      <c r="E1383" s="239" t="s">
        <v>751</v>
      </c>
      <c r="F1383" s="240">
        <v>68203.05</v>
      </c>
      <c r="G1383" s="240"/>
      <c r="H1383" s="239" t="s">
        <v>14</v>
      </c>
      <c r="I1383" s="241" t="s">
        <v>15</v>
      </c>
      <c r="J1383" s="241"/>
      <c r="K1383" s="242" t="s">
        <v>8</v>
      </c>
      <c r="L1383" s="243">
        <v>6385590.1600000001</v>
      </c>
    </row>
    <row r="1384" spans="1:12" ht="71.400000000000006" hidden="1" x14ac:dyDescent="0.3">
      <c r="A1384" s="237" t="s">
        <v>172</v>
      </c>
      <c r="B1384" s="238" t="s">
        <v>2694</v>
      </c>
      <c r="C1384" s="238" t="s">
        <v>2697</v>
      </c>
      <c r="D1384" s="238" t="s">
        <v>2441</v>
      </c>
      <c r="E1384" s="239" t="s">
        <v>751</v>
      </c>
      <c r="F1384" s="240">
        <v>340986.5</v>
      </c>
      <c r="G1384" s="240"/>
      <c r="H1384" s="239" t="s">
        <v>14</v>
      </c>
      <c r="I1384" s="241" t="s">
        <v>15</v>
      </c>
      <c r="J1384" s="241"/>
      <c r="K1384" s="242" t="s">
        <v>8</v>
      </c>
      <c r="L1384" s="243">
        <v>6726576.6600000001</v>
      </c>
    </row>
    <row r="1385" spans="1:12" ht="71.400000000000006" hidden="1" x14ac:dyDescent="0.3">
      <c r="A1385" s="237" t="s">
        <v>172</v>
      </c>
      <c r="B1385" s="238" t="s">
        <v>2694</v>
      </c>
      <c r="C1385" s="238" t="s">
        <v>2698</v>
      </c>
      <c r="D1385" s="238" t="s">
        <v>2441</v>
      </c>
      <c r="E1385" s="239" t="s">
        <v>751</v>
      </c>
      <c r="F1385" s="240">
        <v>6785</v>
      </c>
      <c r="G1385" s="240"/>
      <c r="H1385" s="239" t="s">
        <v>14</v>
      </c>
      <c r="I1385" s="241" t="s">
        <v>15</v>
      </c>
      <c r="J1385" s="241"/>
      <c r="K1385" s="242" t="s">
        <v>8</v>
      </c>
      <c r="L1385" s="243">
        <v>6733361.6600000001</v>
      </c>
    </row>
    <row r="1386" spans="1:12" ht="71.400000000000006" hidden="1" x14ac:dyDescent="0.3">
      <c r="A1386" s="237" t="s">
        <v>172</v>
      </c>
      <c r="B1386" s="238" t="s">
        <v>2694</v>
      </c>
      <c r="C1386" s="238" t="s">
        <v>2699</v>
      </c>
      <c r="D1386" s="238" t="s">
        <v>2441</v>
      </c>
      <c r="E1386" s="239" t="s">
        <v>751</v>
      </c>
      <c r="F1386" s="240">
        <v>6078.9</v>
      </c>
      <c r="G1386" s="240"/>
      <c r="H1386" s="239" t="s">
        <v>14</v>
      </c>
      <c r="I1386" s="241" t="s">
        <v>15</v>
      </c>
      <c r="J1386" s="241"/>
      <c r="K1386" s="242" t="s">
        <v>8</v>
      </c>
      <c r="L1386" s="243">
        <v>6739440.5599999996</v>
      </c>
    </row>
    <row r="1387" spans="1:12" ht="71.400000000000006" hidden="1" x14ac:dyDescent="0.3">
      <c r="A1387" s="237" t="s">
        <v>172</v>
      </c>
      <c r="B1387" s="238" t="s">
        <v>2694</v>
      </c>
      <c r="C1387" s="238" t="s">
        <v>2700</v>
      </c>
      <c r="D1387" s="238" t="s">
        <v>2441</v>
      </c>
      <c r="E1387" s="239" t="s">
        <v>751</v>
      </c>
      <c r="F1387" s="240">
        <v>8657.2000000000007</v>
      </c>
      <c r="G1387" s="240"/>
      <c r="H1387" s="239" t="s">
        <v>14</v>
      </c>
      <c r="I1387" s="241" t="s">
        <v>15</v>
      </c>
      <c r="J1387" s="241"/>
      <c r="K1387" s="242" t="s">
        <v>8</v>
      </c>
      <c r="L1387" s="243">
        <v>6748097.7599999998</v>
      </c>
    </row>
    <row r="1388" spans="1:12" ht="51" hidden="1" x14ac:dyDescent="0.3">
      <c r="A1388" s="237" t="s">
        <v>172</v>
      </c>
      <c r="B1388" s="238" t="s">
        <v>2701</v>
      </c>
      <c r="C1388" s="238" t="s">
        <v>2702</v>
      </c>
      <c r="D1388" s="238" t="s">
        <v>2703</v>
      </c>
      <c r="E1388" s="239" t="s">
        <v>751</v>
      </c>
      <c r="F1388" s="240">
        <v>4900</v>
      </c>
      <c r="G1388" s="240"/>
      <c r="H1388" s="239" t="s">
        <v>14</v>
      </c>
      <c r="I1388" s="241" t="s">
        <v>15</v>
      </c>
      <c r="J1388" s="241"/>
      <c r="K1388" s="242" t="s">
        <v>8</v>
      </c>
      <c r="L1388" s="243">
        <v>1340031.42</v>
      </c>
    </row>
    <row r="1389" spans="1:12" ht="51" hidden="1" x14ac:dyDescent="0.3">
      <c r="A1389" s="237" t="s">
        <v>2704</v>
      </c>
      <c r="B1389" s="238" t="s">
        <v>2705</v>
      </c>
      <c r="C1389" s="238" t="s">
        <v>2706</v>
      </c>
      <c r="D1389" s="238" t="s">
        <v>2707</v>
      </c>
      <c r="E1389" s="239" t="s">
        <v>751</v>
      </c>
      <c r="F1389" s="240">
        <v>17500</v>
      </c>
      <c r="G1389" s="240"/>
      <c r="H1389" s="239" t="s">
        <v>14</v>
      </c>
      <c r="I1389" s="241" t="s">
        <v>15</v>
      </c>
      <c r="J1389" s="241"/>
      <c r="K1389" s="242" t="s">
        <v>8</v>
      </c>
      <c r="L1389" s="243">
        <v>1816041.99</v>
      </c>
    </row>
    <row r="1390" spans="1:12" ht="51" hidden="1" x14ac:dyDescent="0.3">
      <c r="A1390" s="237" t="s">
        <v>2704</v>
      </c>
      <c r="B1390" s="238" t="s">
        <v>2708</v>
      </c>
      <c r="C1390" s="238" t="s">
        <v>2709</v>
      </c>
      <c r="D1390" s="238" t="s">
        <v>2710</v>
      </c>
      <c r="E1390" s="239" t="s">
        <v>751</v>
      </c>
      <c r="F1390" s="240">
        <v>12848</v>
      </c>
      <c r="G1390" s="240"/>
      <c r="H1390" s="239" t="s">
        <v>14</v>
      </c>
      <c r="I1390" s="241" t="s">
        <v>15</v>
      </c>
      <c r="J1390" s="241"/>
      <c r="K1390" s="242" t="s">
        <v>8</v>
      </c>
      <c r="L1390" s="243">
        <v>1828889.99</v>
      </c>
    </row>
    <row r="1391" spans="1:12" ht="51" hidden="1" x14ac:dyDescent="0.3">
      <c r="A1391" s="237" t="s">
        <v>2704</v>
      </c>
      <c r="B1391" s="238" t="s">
        <v>2711</v>
      </c>
      <c r="C1391" s="238" t="s">
        <v>2709</v>
      </c>
      <c r="D1391" s="238" t="s">
        <v>2710</v>
      </c>
      <c r="E1391" s="239" t="s">
        <v>751</v>
      </c>
      <c r="F1391" s="240">
        <v>14666.67</v>
      </c>
      <c r="G1391" s="240"/>
      <c r="H1391" s="239" t="s">
        <v>14</v>
      </c>
      <c r="I1391" s="241" t="s">
        <v>15</v>
      </c>
      <c r="J1391" s="241"/>
      <c r="K1391" s="242" t="s">
        <v>8</v>
      </c>
      <c r="L1391" s="243">
        <v>1843556.66</v>
      </c>
    </row>
    <row r="1392" spans="1:12" ht="51" x14ac:dyDescent="0.3">
      <c r="A1392" s="237" t="s">
        <v>328</v>
      </c>
      <c r="B1392" s="238" t="s">
        <v>2712</v>
      </c>
      <c r="C1392" s="238" t="s">
        <v>806</v>
      </c>
      <c r="D1392" s="238" t="s">
        <v>1456</v>
      </c>
      <c r="E1392" s="239" t="s">
        <v>105</v>
      </c>
      <c r="F1392" s="245" t="s">
        <v>15</v>
      </c>
      <c r="G1392" s="245"/>
      <c r="H1392" s="239" t="s">
        <v>751</v>
      </c>
      <c r="I1392" s="247">
        <v>69</v>
      </c>
      <c r="J1392" s="247"/>
      <c r="K1392" s="242" t="s">
        <v>8</v>
      </c>
      <c r="L1392" s="243">
        <v>96367.98</v>
      </c>
    </row>
    <row r="1393" spans="1:12" ht="51" x14ac:dyDescent="0.3">
      <c r="A1393" s="237" t="s">
        <v>328</v>
      </c>
      <c r="B1393" s="238" t="s">
        <v>2713</v>
      </c>
      <c r="C1393" s="238" t="s">
        <v>806</v>
      </c>
      <c r="D1393" s="238" t="s">
        <v>2714</v>
      </c>
      <c r="E1393" s="239" t="s">
        <v>105</v>
      </c>
      <c r="F1393" s="245" t="s">
        <v>15</v>
      </c>
      <c r="G1393" s="245"/>
      <c r="H1393" s="239" t="s">
        <v>751</v>
      </c>
      <c r="I1393" s="246">
        <v>2682.4</v>
      </c>
      <c r="J1393" s="246"/>
      <c r="K1393" s="242" t="s">
        <v>8</v>
      </c>
      <c r="L1393" s="243">
        <v>93685.58</v>
      </c>
    </row>
    <row r="1394" spans="1:12" ht="61.2" hidden="1" x14ac:dyDescent="0.3">
      <c r="A1394" s="237" t="s">
        <v>328</v>
      </c>
      <c r="B1394" s="238" t="s">
        <v>2715</v>
      </c>
      <c r="C1394" s="238" t="s">
        <v>2716</v>
      </c>
      <c r="D1394" s="238" t="s">
        <v>1514</v>
      </c>
      <c r="E1394" s="239" t="s">
        <v>751</v>
      </c>
      <c r="F1394" s="240">
        <v>16170</v>
      </c>
      <c r="G1394" s="240"/>
      <c r="H1394" s="239" t="s">
        <v>751</v>
      </c>
      <c r="I1394" s="241" t="s">
        <v>15</v>
      </c>
      <c r="J1394" s="241"/>
      <c r="K1394" s="242" t="s">
        <v>8</v>
      </c>
      <c r="L1394" s="243">
        <v>1859726.66</v>
      </c>
    </row>
    <row r="1395" spans="1:12" ht="61.2" hidden="1" x14ac:dyDescent="0.3">
      <c r="A1395" s="237" t="s">
        <v>328</v>
      </c>
      <c r="B1395" s="238" t="s">
        <v>2715</v>
      </c>
      <c r="C1395" s="238" t="s">
        <v>2716</v>
      </c>
      <c r="D1395" s="238" t="s">
        <v>1514</v>
      </c>
      <c r="E1395" s="239" t="s">
        <v>751</v>
      </c>
      <c r="F1395" s="245" t="s">
        <v>15</v>
      </c>
      <c r="G1395" s="245"/>
      <c r="H1395" s="239" t="s">
        <v>751</v>
      </c>
      <c r="I1395" s="246">
        <v>16170</v>
      </c>
      <c r="J1395" s="246"/>
      <c r="K1395" s="242" t="s">
        <v>8</v>
      </c>
      <c r="L1395" s="243">
        <v>291251.73</v>
      </c>
    </row>
    <row r="1396" spans="1:12" ht="51" hidden="1" x14ac:dyDescent="0.3">
      <c r="A1396" s="237" t="s">
        <v>328</v>
      </c>
      <c r="B1396" s="238" t="s">
        <v>2717</v>
      </c>
      <c r="C1396" s="238" t="s">
        <v>2718</v>
      </c>
      <c r="D1396" s="238" t="s">
        <v>2719</v>
      </c>
      <c r="E1396" s="239" t="s">
        <v>751</v>
      </c>
      <c r="F1396" s="245" t="s">
        <v>15</v>
      </c>
      <c r="G1396" s="245"/>
      <c r="H1396" s="239" t="s">
        <v>751</v>
      </c>
      <c r="I1396" s="247">
        <v>345.72</v>
      </c>
      <c r="J1396" s="247"/>
      <c r="K1396" s="242" t="s">
        <v>8</v>
      </c>
      <c r="L1396" s="243">
        <v>2972196.61</v>
      </c>
    </row>
    <row r="1397" spans="1:12" ht="51" hidden="1" x14ac:dyDescent="0.3">
      <c r="A1397" s="237" t="s">
        <v>328</v>
      </c>
      <c r="B1397" s="238" t="s">
        <v>2717</v>
      </c>
      <c r="C1397" s="238" t="s">
        <v>2718</v>
      </c>
      <c r="D1397" s="238" t="s">
        <v>2719</v>
      </c>
      <c r="E1397" s="239" t="s">
        <v>751</v>
      </c>
      <c r="F1397" s="244">
        <v>345.72</v>
      </c>
      <c r="G1397" s="244"/>
      <c r="H1397" s="239" t="s">
        <v>751</v>
      </c>
      <c r="I1397" s="241" t="s">
        <v>15</v>
      </c>
      <c r="J1397" s="241"/>
      <c r="K1397" s="242" t="s">
        <v>8</v>
      </c>
      <c r="L1397" s="243">
        <v>1860072.38</v>
      </c>
    </row>
    <row r="1398" spans="1:12" ht="51" hidden="1" x14ac:dyDescent="0.3">
      <c r="A1398" s="237" t="s">
        <v>328</v>
      </c>
      <c r="B1398" s="238" t="s">
        <v>2717</v>
      </c>
      <c r="C1398" s="238" t="s">
        <v>2720</v>
      </c>
      <c r="D1398" s="238" t="s">
        <v>2721</v>
      </c>
      <c r="E1398" s="239" t="s">
        <v>751</v>
      </c>
      <c r="F1398" s="244">
        <v>181</v>
      </c>
      <c r="G1398" s="244"/>
      <c r="H1398" s="239" t="s">
        <v>751</v>
      </c>
      <c r="I1398" s="241" t="s">
        <v>15</v>
      </c>
      <c r="J1398" s="241"/>
      <c r="K1398" s="242" t="s">
        <v>8</v>
      </c>
      <c r="L1398" s="243">
        <v>1860253.38</v>
      </c>
    </row>
    <row r="1399" spans="1:12" ht="51" hidden="1" x14ac:dyDescent="0.3">
      <c r="A1399" s="237" t="s">
        <v>328</v>
      </c>
      <c r="B1399" s="238" t="s">
        <v>2717</v>
      </c>
      <c r="C1399" s="238" t="s">
        <v>2720</v>
      </c>
      <c r="D1399" s="238" t="s">
        <v>2721</v>
      </c>
      <c r="E1399" s="239" t="s">
        <v>751</v>
      </c>
      <c r="F1399" s="245" t="s">
        <v>15</v>
      </c>
      <c r="G1399" s="245"/>
      <c r="H1399" s="239" t="s">
        <v>751</v>
      </c>
      <c r="I1399" s="247">
        <v>181</v>
      </c>
      <c r="J1399" s="247"/>
      <c r="K1399" s="242" t="s">
        <v>8</v>
      </c>
      <c r="L1399" s="243">
        <v>2972015.61</v>
      </c>
    </row>
    <row r="1400" spans="1:12" ht="51" hidden="1" x14ac:dyDescent="0.3">
      <c r="A1400" s="237" t="s">
        <v>328</v>
      </c>
      <c r="B1400" s="238" t="s">
        <v>2722</v>
      </c>
      <c r="C1400" s="238" t="s">
        <v>2723</v>
      </c>
      <c r="D1400" s="238" t="s">
        <v>2724</v>
      </c>
      <c r="E1400" s="239" t="s">
        <v>751</v>
      </c>
      <c r="F1400" s="245" t="s">
        <v>15</v>
      </c>
      <c r="G1400" s="245"/>
      <c r="H1400" s="239" t="s">
        <v>751</v>
      </c>
      <c r="I1400" s="247">
        <v>560.33000000000004</v>
      </c>
      <c r="J1400" s="247"/>
      <c r="K1400" s="242" t="s">
        <v>8</v>
      </c>
      <c r="L1400" s="243">
        <v>6747537.4299999997</v>
      </c>
    </row>
    <row r="1401" spans="1:12" ht="51" hidden="1" x14ac:dyDescent="0.3">
      <c r="A1401" s="237" t="s">
        <v>328</v>
      </c>
      <c r="B1401" s="238" t="s">
        <v>2722</v>
      </c>
      <c r="C1401" s="238" t="s">
        <v>2723</v>
      </c>
      <c r="D1401" s="238" t="s">
        <v>2724</v>
      </c>
      <c r="E1401" s="239" t="s">
        <v>751</v>
      </c>
      <c r="F1401" s="244">
        <v>560.33000000000004</v>
      </c>
      <c r="G1401" s="244"/>
      <c r="H1401" s="239" t="s">
        <v>751</v>
      </c>
      <c r="I1401" s="241" t="s">
        <v>15</v>
      </c>
      <c r="J1401" s="241"/>
      <c r="K1401" s="242" t="s">
        <v>8</v>
      </c>
      <c r="L1401" s="243">
        <v>1860813.71</v>
      </c>
    </row>
    <row r="1402" spans="1:12" ht="61.2" hidden="1" x14ac:dyDescent="0.3">
      <c r="A1402" s="237" t="s">
        <v>328</v>
      </c>
      <c r="B1402" s="238" t="s">
        <v>2725</v>
      </c>
      <c r="C1402" s="238" t="s">
        <v>2726</v>
      </c>
      <c r="D1402" s="238" t="s">
        <v>1514</v>
      </c>
      <c r="E1402" s="239" t="s">
        <v>751</v>
      </c>
      <c r="F1402" s="240">
        <v>33687.5</v>
      </c>
      <c r="G1402" s="240"/>
      <c r="H1402" s="239" t="s">
        <v>751</v>
      </c>
      <c r="I1402" s="241" t="s">
        <v>15</v>
      </c>
      <c r="J1402" s="241"/>
      <c r="K1402" s="242" t="s">
        <v>8</v>
      </c>
      <c r="L1402" s="243">
        <v>6781224.9299999997</v>
      </c>
    </row>
    <row r="1403" spans="1:12" ht="61.2" hidden="1" x14ac:dyDescent="0.3">
      <c r="A1403" s="237" t="s">
        <v>328</v>
      </c>
      <c r="B1403" s="238" t="s">
        <v>2725</v>
      </c>
      <c r="C1403" s="238" t="s">
        <v>2726</v>
      </c>
      <c r="D1403" s="238" t="s">
        <v>1514</v>
      </c>
      <c r="E1403" s="239" t="s">
        <v>751</v>
      </c>
      <c r="F1403" s="245" t="s">
        <v>15</v>
      </c>
      <c r="G1403" s="245"/>
      <c r="H1403" s="239" t="s">
        <v>751</v>
      </c>
      <c r="I1403" s="246">
        <v>33687.5</v>
      </c>
      <c r="J1403" s="246"/>
      <c r="K1403" s="242" t="s">
        <v>8</v>
      </c>
      <c r="L1403" s="243">
        <v>257564.23</v>
      </c>
    </row>
    <row r="1404" spans="1:12" ht="61.2" hidden="1" x14ac:dyDescent="0.3">
      <c r="A1404" s="237" t="s">
        <v>328</v>
      </c>
      <c r="B1404" s="238" t="s">
        <v>2727</v>
      </c>
      <c r="C1404" s="238" t="s">
        <v>2728</v>
      </c>
      <c r="D1404" s="238" t="s">
        <v>2098</v>
      </c>
      <c r="E1404" s="239" t="s">
        <v>751</v>
      </c>
      <c r="F1404" s="245" t="s">
        <v>15</v>
      </c>
      <c r="G1404" s="245"/>
      <c r="H1404" s="239" t="s">
        <v>751</v>
      </c>
      <c r="I1404" s="247">
        <v>795.07</v>
      </c>
      <c r="J1404" s="247"/>
      <c r="K1404" s="242" t="s">
        <v>8</v>
      </c>
      <c r="L1404" s="243">
        <v>151358.59</v>
      </c>
    </row>
    <row r="1405" spans="1:12" ht="61.2" hidden="1" x14ac:dyDescent="0.3">
      <c r="A1405" s="237" t="s">
        <v>328</v>
      </c>
      <c r="B1405" s="238" t="s">
        <v>2727</v>
      </c>
      <c r="C1405" s="238" t="s">
        <v>2728</v>
      </c>
      <c r="D1405" s="238" t="s">
        <v>2098</v>
      </c>
      <c r="E1405" s="239" t="s">
        <v>751</v>
      </c>
      <c r="F1405" s="244">
        <v>795.07</v>
      </c>
      <c r="G1405" s="244"/>
      <c r="H1405" s="239" t="s">
        <v>751</v>
      </c>
      <c r="I1405" s="241" t="s">
        <v>15</v>
      </c>
      <c r="J1405" s="241"/>
      <c r="K1405" s="242" t="s">
        <v>8</v>
      </c>
      <c r="L1405" s="243">
        <v>6782020</v>
      </c>
    </row>
    <row r="1406" spans="1:12" ht="51" hidden="1" x14ac:dyDescent="0.3">
      <c r="A1406" s="237" t="s">
        <v>328</v>
      </c>
      <c r="B1406" s="238" t="s">
        <v>2729</v>
      </c>
      <c r="C1406" s="238" t="s">
        <v>2730</v>
      </c>
      <c r="D1406" s="238" t="s">
        <v>2731</v>
      </c>
      <c r="E1406" s="239" t="s">
        <v>751</v>
      </c>
      <c r="F1406" s="245" t="s">
        <v>15</v>
      </c>
      <c r="G1406" s="245"/>
      <c r="H1406" s="239" t="s">
        <v>751</v>
      </c>
      <c r="I1406" s="246">
        <v>4129.8500000000004</v>
      </c>
      <c r="J1406" s="246"/>
      <c r="K1406" s="242" t="s">
        <v>8</v>
      </c>
      <c r="L1406" s="243">
        <v>522077.01</v>
      </c>
    </row>
    <row r="1407" spans="1:12" ht="51" hidden="1" x14ac:dyDescent="0.3">
      <c r="A1407" s="237" t="s">
        <v>328</v>
      </c>
      <c r="B1407" s="238" t="s">
        <v>2729</v>
      </c>
      <c r="C1407" s="238" t="s">
        <v>2730</v>
      </c>
      <c r="D1407" s="238" t="s">
        <v>2731</v>
      </c>
      <c r="E1407" s="239" t="s">
        <v>751</v>
      </c>
      <c r="F1407" s="240">
        <v>4129.8500000000004</v>
      </c>
      <c r="G1407" s="240"/>
      <c r="H1407" s="239" t="s">
        <v>751</v>
      </c>
      <c r="I1407" s="241" t="s">
        <v>15</v>
      </c>
      <c r="J1407" s="241"/>
      <c r="K1407" s="242" t="s">
        <v>8</v>
      </c>
      <c r="L1407" s="243">
        <v>7936099.6699999999</v>
      </c>
    </row>
    <row r="1408" spans="1:12" ht="51" hidden="1" x14ac:dyDescent="0.3">
      <c r="A1408" s="237" t="s">
        <v>328</v>
      </c>
      <c r="B1408" s="238" t="s">
        <v>2732</v>
      </c>
      <c r="C1408" s="238" t="s">
        <v>2733</v>
      </c>
      <c r="D1408" s="238" t="s">
        <v>1910</v>
      </c>
      <c r="E1408" s="239" t="s">
        <v>751</v>
      </c>
      <c r="F1408" s="245" t="s">
        <v>15</v>
      </c>
      <c r="G1408" s="245"/>
      <c r="H1408" s="239" t="s">
        <v>751</v>
      </c>
      <c r="I1408" s="246">
        <v>31521.68</v>
      </c>
      <c r="J1408" s="246"/>
      <c r="K1408" s="242" t="s">
        <v>8</v>
      </c>
      <c r="L1408" s="243">
        <v>1829292.03</v>
      </c>
    </row>
    <row r="1409" spans="1:12" ht="51" hidden="1" x14ac:dyDescent="0.3">
      <c r="A1409" s="237" t="s">
        <v>328</v>
      </c>
      <c r="B1409" s="238" t="s">
        <v>2732</v>
      </c>
      <c r="C1409" s="238" t="s">
        <v>2733</v>
      </c>
      <c r="D1409" s="238" t="s">
        <v>1910</v>
      </c>
      <c r="E1409" s="239" t="s">
        <v>751</v>
      </c>
      <c r="F1409" s="240">
        <v>31521.68</v>
      </c>
      <c r="G1409" s="240"/>
      <c r="H1409" s="239" t="s">
        <v>751</v>
      </c>
      <c r="I1409" s="241" t="s">
        <v>15</v>
      </c>
      <c r="J1409" s="241"/>
      <c r="K1409" s="242" t="s">
        <v>8</v>
      </c>
      <c r="L1409" s="243">
        <v>7967621.3499999996</v>
      </c>
    </row>
    <row r="1410" spans="1:12" ht="51" hidden="1" x14ac:dyDescent="0.3">
      <c r="A1410" s="237" t="s">
        <v>328</v>
      </c>
      <c r="B1410" s="238" t="s">
        <v>2734</v>
      </c>
      <c r="C1410" s="238" t="s">
        <v>2735</v>
      </c>
      <c r="D1410" s="238" t="s">
        <v>1460</v>
      </c>
      <c r="E1410" s="239" t="s">
        <v>751</v>
      </c>
      <c r="F1410" s="245" t="s">
        <v>15</v>
      </c>
      <c r="G1410" s="245"/>
      <c r="H1410" s="239" t="s">
        <v>751</v>
      </c>
      <c r="I1410" s="246">
        <v>101767.5</v>
      </c>
      <c r="J1410" s="246"/>
      <c r="K1410" s="242" t="s">
        <v>8</v>
      </c>
      <c r="L1410" s="243">
        <v>2564478.33</v>
      </c>
    </row>
    <row r="1411" spans="1:12" ht="51" hidden="1" x14ac:dyDescent="0.3">
      <c r="A1411" s="237" t="s">
        <v>328</v>
      </c>
      <c r="B1411" s="238" t="s">
        <v>2734</v>
      </c>
      <c r="C1411" s="238" t="s">
        <v>2735</v>
      </c>
      <c r="D1411" s="238" t="s">
        <v>1460</v>
      </c>
      <c r="E1411" s="239" t="s">
        <v>751</v>
      </c>
      <c r="F1411" s="240">
        <v>101767.5</v>
      </c>
      <c r="G1411" s="240"/>
      <c r="H1411" s="239" t="s">
        <v>751</v>
      </c>
      <c r="I1411" s="241" t="s">
        <v>15</v>
      </c>
      <c r="J1411" s="241"/>
      <c r="K1411" s="242" t="s">
        <v>8</v>
      </c>
      <c r="L1411" s="243">
        <v>6883787.5</v>
      </c>
    </row>
    <row r="1412" spans="1:12" ht="51" hidden="1" x14ac:dyDescent="0.3">
      <c r="A1412" s="237" t="s">
        <v>328</v>
      </c>
      <c r="B1412" s="238" t="s">
        <v>2734</v>
      </c>
      <c r="C1412" s="238" t="s">
        <v>2735</v>
      </c>
      <c r="D1412" s="238" t="s">
        <v>1485</v>
      </c>
      <c r="E1412" s="239" t="s">
        <v>751</v>
      </c>
      <c r="F1412" s="240">
        <v>12610.25</v>
      </c>
      <c r="G1412" s="240"/>
      <c r="H1412" s="239" t="s">
        <v>751</v>
      </c>
      <c r="I1412" s="241" t="s">
        <v>15</v>
      </c>
      <c r="J1412" s="241"/>
      <c r="K1412" s="242" t="s">
        <v>8</v>
      </c>
      <c r="L1412" s="243">
        <v>6896397.75</v>
      </c>
    </row>
    <row r="1413" spans="1:12" ht="51" hidden="1" x14ac:dyDescent="0.3">
      <c r="A1413" s="237" t="s">
        <v>328</v>
      </c>
      <c r="B1413" s="238" t="s">
        <v>2734</v>
      </c>
      <c r="C1413" s="238" t="s">
        <v>2735</v>
      </c>
      <c r="D1413" s="238" t="s">
        <v>1485</v>
      </c>
      <c r="E1413" s="239" t="s">
        <v>751</v>
      </c>
      <c r="F1413" s="245" t="s">
        <v>15</v>
      </c>
      <c r="G1413" s="245"/>
      <c r="H1413" s="239" t="s">
        <v>751</v>
      </c>
      <c r="I1413" s="246">
        <v>12610.25</v>
      </c>
      <c r="J1413" s="246"/>
      <c r="K1413" s="242" t="s">
        <v>8</v>
      </c>
      <c r="L1413" s="243">
        <v>2551868.08</v>
      </c>
    </row>
    <row r="1414" spans="1:12" ht="51" hidden="1" x14ac:dyDescent="0.3">
      <c r="A1414" s="237" t="s">
        <v>328</v>
      </c>
      <c r="B1414" s="238" t="s">
        <v>2736</v>
      </c>
      <c r="C1414" s="238" t="s">
        <v>2737</v>
      </c>
      <c r="D1414" s="238" t="s">
        <v>2095</v>
      </c>
      <c r="E1414" s="239" t="s">
        <v>751</v>
      </c>
      <c r="F1414" s="240">
        <v>1558.97</v>
      </c>
      <c r="G1414" s="240"/>
      <c r="H1414" s="239" t="s">
        <v>751</v>
      </c>
      <c r="I1414" s="241" t="s">
        <v>15</v>
      </c>
      <c r="J1414" s="241"/>
      <c r="K1414" s="242" t="s">
        <v>8</v>
      </c>
      <c r="L1414" s="243">
        <v>6897956.7199999997</v>
      </c>
    </row>
    <row r="1415" spans="1:12" ht="51" hidden="1" x14ac:dyDescent="0.3">
      <c r="A1415" s="237" t="s">
        <v>328</v>
      </c>
      <c r="B1415" s="238" t="s">
        <v>2736</v>
      </c>
      <c r="C1415" s="238" t="s">
        <v>2737</v>
      </c>
      <c r="D1415" s="238" t="s">
        <v>2095</v>
      </c>
      <c r="E1415" s="239" t="s">
        <v>751</v>
      </c>
      <c r="F1415" s="245" t="s">
        <v>15</v>
      </c>
      <c r="G1415" s="245"/>
      <c r="H1415" s="239" t="s">
        <v>751</v>
      </c>
      <c r="I1415" s="246">
        <v>1558.97</v>
      </c>
      <c r="J1415" s="246"/>
      <c r="K1415" s="242" t="s">
        <v>8</v>
      </c>
      <c r="L1415" s="243">
        <v>92126.61</v>
      </c>
    </row>
    <row r="1416" spans="1:12" ht="51" hidden="1" x14ac:dyDescent="0.3">
      <c r="A1416" s="237" t="s">
        <v>328</v>
      </c>
      <c r="B1416" s="238" t="s">
        <v>2738</v>
      </c>
      <c r="C1416" s="238" t="s">
        <v>2739</v>
      </c>
      <c r="D1416" s="238" t="s">
        <v>1693</v>
      </c>
      <c r="E1416" s="239" t="s">
        <v>751</v>
      </c>
      <c r="F1416" s="244">
        <v>971.33</v>
      </c>
      <c r="G1416" s="244"/>
      <c r="H1416" s="239" t="s">
        <v>751</v>
      </c>
      <c r="I1416" s="241" t="s">
        <v>15</v>
      </c>
      <c r="J1416" s="241"/>
      <c r="K1416" s="242" t="s">
        <v>8</v>
      </c>
      <c r="L1416" s="243">
        <v>6898928.0499999998</v>
      </c>
    </row>
    <row r="1417" spans="1:12" ht="51" hidden="1" x14ac:dyDescent="0.3">
      <c r="A1417" s="237" t="s">
        <v>328</v>
      </c>
      <c r="B1417" s="238" t="s">
        <v>2738</v>
      </c>
      <c r="C1417" s="238" t="s">
        <v>2739</v>
      </c>
      <c r="D1417" s="238" t="s">
        <v>1693</v>
      </c>
      <c r="E1417" s="239" t="s">
        <v>751</v>
      </c>
      <c r="F1417" s="245" t="s">
        <v>15</v>
      </c>
      <c r="G1417" s="245"/>
      <c r="H1417" s="239" t="s">
        <v>751</v>
      </c>
      <c r="I1417" s="247">
        <v>971.33</v>
      </c>
      <c r="J1417" s="247"/>
      <c r="K1417" s="242" t="s">
        <v>8</v>
      </c>
      <c r="L1417" s="243">
        <v>172233.15</v>
      </c>
    </row>
    <row r="1418" spans="1:12" ht="61.2" hidden="1" x14ac:dyDescent="0.3">
      <c r="A1418" s="237" t="s">
        <v>328</v>
      </c>
      <c r="B1418" s="238" t="s">
        <v>2740</v>
      </c>
      <c r="C1418" s="238" t="s">
        <v>2741</v>
      </c>
      <c r="D1418" s="238" t="s">
        <v>2098</v>
      </c>
      <c r="E1418" s="239" t="s">
        <v>751</v>
      </c>
      <c r="F1418" s="245" t="s">
        <v>15</v>
      </c>
      <c r="G1418" s="245"/>
      <c r="H1418" s="239" t="s">
        <v>751</v>
      </c>
      <c r="I1418" s="246">
        <v>1022.23</v>
      </c>
      <c r="J1418" s="246"/>
      <c r="K1418" s="242" t="s">
        <v>8</v>
      </c>
      <c r="L1418" s="243">
        <v>150336.35999999999</v>
      </c>
    </row>
    <row r="1419" spans="1:12" ht="61.2" hidden="1" x14ac:dyDescent="0.3">
      <c r="A1419" s="237" t="s">
        <v>328</v>
      </c>
      <c r="B1419" s="238" t="s">
        <v>2740</v>
      </c>
      <c r="C1419" s="238" t="s">
        <v>2741</v>
      </c>
      <c r="D1419" s="238" t="s">
        <v>2098</v>
      </c>
      <c r="E1419" s="239" t="s">
        <v>751</v>
      </c>
      <c r="F1419" s="240">
        <v>1022.23</v>
      </c>
      <c r="G1419" s="240"/>
      <c r="H1419" s="239" t="s">
        <v>751</v>
      </c>
      <c r="I1419" s="241" t="s">
        <v>15</v>
      </c>
      <c r="J1419" s="241"/>
      <c r="K1419" s="242" t="s">
        <v>8</v>
      </c>
      <c r="L1419" s="243">
        <v>6899950.2800000003</v>
      </c>
    </row>
    <row r="1420" spans="1:12" ht="51" hidden="1" x14ac:dyDescent="0.3">
      <c r="A1420" s="237" t="s">
        <v>328</v>
      </c>
      <c r="B1420" s="238" t="s">
        <v>2742</v>
      </c>
      <c r="C1420" s="238" t="s">
        <v>2743</v>
      </c>
      <c r="D1420" s="238" t="s">
        <v>1378</v>
      </c>
      <c r="E1420" s="239" t="s">
        <v>751</v>
      </c>
      <c r="F1420" s="240">
        <v>1177.1600000000001</v>
      </c>
      <c r="G1420" s="240"/>
      <c r="H1420" s="239" t="s">
        <v>751</v>
      </c>
      <c r="I1420" s="241" t="s">
        <v>15</v>
      </c>
      <c r="J1420" s="241"/>
      <c r="K1420" s="242" t="s">
        <v>8</v>
      </c>
      <c r="L1420" s="243">
        <v>6901127.4400000004</v>
      </c>
    </row>
    <row r="1421" spans="1:12" ht="51" hidden="1" x14ac:dyDescent="0.3">
      <c r="A1421" s="237" t="s">
        <v>328</v>
      </c>
      <c r="B1421" s="238" t="s">
        <v>2742</v>
      </c>
      <c r="C1421" s="238" t="s">
        <v>2743</v>
      </c>
      <c r="D1421" s="238" t="s">
        <v>1378</v>
      </c>
      <c r="E1421" s="239" t="s">
        <v>751</v>
      </c>
      <c r="F1421" s="245" t="s">
        <v>15</v>
      </c>
      <c r="G1421" s="245"/>
      <c r="H1421" s="239" t="s">
        <v>751</v>
      </c>
      <c r="I1421" s="246">
        <v>1177.1600000000001</v>
      </c>
      <c r="J1421" s="246"/>
      <c r="K1421" s="242" t="s">
        <v>8</v>
      </c>
      <c r="L1421" s="243">
        <v>2970838.45</v>
      </c>
    </row>
    <row r="1422" spans="1:12" ht="51" hidden="1" x14ac:dyDescent="0.3">
      <c r="A1422" s="237" t="s">
        <v>328</v>
      </c>
      <c r="B1422" s="238" t="s">
        <v>2744</v>
      </c>
      <c r="C1422" s="238" t="s">
        <v>2745</v>
      </c>
      <c r="D1422" s="238" t="s">
        <v>1381</v>
      </c>
      <c r="E1422" s="239" t="s">
        <v>751</v>
      </c>
      <c r="F1422" s="240">
        <v>1167.44</v>
      </c>
      <c r="G1422" s="240"/>
      <c r="H1422" s="239" t="s">
        <v>751</v>
      </c>
      <c r="I1422" s="241" t="s">
        <v>15</v>
      </c>
      <c r="J1422" s="241"/>
      <c r="K1422" s="242" t="s">
        <v>8</v>
      </c>
      <c r="L1422" s="243">
        <v>2972005.89</v>
      </c>
    </row>
    <row r="1423" spans="1:12" ht="51" hidden="1" x14ac:dyDescent="0.3">
      <c r="A1423" s="237" t="s">
        <v>328</v>
      </c>
      <c r="B1423" s="238" t="s">
        <v>2744</v>
      </c>
      <c r="C1423" s="238" t="s">
        <v>2745</v>
      </c>
      <c r="D1423" s="238" t="s">
        <v>1381</v>
      </c>
      <c r="E1423" s="239" t="s">
        <v>751</v>
      </c>
      <c r="F1423" s="245" t="s">
        <v>15</v>
      </c>
      <c r="G1423" s="245"/>
      <c r="H1423" s="239" t="s">
        <v>751</v>
      </c>
      <c r="I1423" s="246">
        <v>1167.44</v>
      </c>
      <c r="J1423" s="246"/>
      <c r="K1423" s="242" t="s">
        <v>8</v>
      </c>
      <c r="L1423" s="243">
        <v>1828124.59</v>
      </c>
    </row>
    <row r="1424" spans="1:12" ht="51" hidden="1" x14ac:dyDescent="0.3">
      <c r="A1424" s="237" t="s">
        <v>328</v>
      </c>
      <c r="B1424" s="238" t="s">
        <v>2746</v>
      </c>
      <c r="C1424" s="238" t="s">
        <v>2747</v>
      </c>
      <c r="D1424" s="238" t="s">
        <v>1381</v>
      </c>
      <c r="E1424" s="239" t="s">
        <v>751</v>
      </c>
      <c r="F1424" s="240">
        <v>1167.45</v>
      </c>
      <c r="G1424" s="240"/>
      <c r="H1424" s="239" t="s">
        <v>751</v>
      </c>
      <c r="I1424" s="241" t="s">
        <v>15</v>
      </c>
      <c r="J1424" s="241"/>
      <c r="K1424" s="242" t="s">
        <v>8</v>
      </c>
      <c r="L1424" s="243">
        <v>2973173.34</v>
      </c>
    </row>
    <row r="1425" spans="1:12" ht="51" hidden="1" x14ac:dyDescent="0.3">
      <c r="A1425" s="237" t="s">
        <v>328</v>
      </c>
      <c r="B1425" s="238" t="s">
        <v>2746</v>
      </c>
      <c r="C1425" s="238" t="s">
        <v>2747</v>
      </c>
      <c r="D1425" s="238" t="s">
        <v>1381</v>
      </c>
      <c r="E1425" s="239" t="s">
        <v>751</v>
      </c>
      <c r="F1425" s="245" t="s">
        <v>15</v>
      </c>
      <c r="G1425" s="245"/>
      <c r="H1425" s="239" t="s">
        <v>751</v>
      </c>
      <c r="I1425" s="246">
        <v>1167.45</v>
      </c>
      <c r="J1425" s="246"/>
      <c r="K1425" s="242" t="s">
        <v>8</v>
      </c>
      <c r="L1425" s="243">
        <v>1826957.14</v>
      </c>
    </row>
    <row r="1426" spans="1:12" ht="51" hidden="1" x14ac:dyDescent="0.3">
      <c r="A1426" s="237" t="s">
        <v>328</v>
      </c>
      <c r="B1426" s="238" t="s">
        <v>2748</v>
      </c>
      <c r="C1426" s="238" t="s">
        <v>2749</v>
      </c>
      <c r="D1426" s="238" t="s">
        <v>2750</v>
      </c>
      <c r="E1426" s="239" t="s">
        <v>751</v>
      </c>
      <c r="F1426" s="240">
        <v>5044.05</v>
      </c>
      <c r="G1426" s="240"/>
      <c r="H1426" s="239" t="s">
        <v>751</v>
      </c>
      <c r="I1426" s="241" t="s">
        <v>15</v>
      </c>
      <c r="J1426" s="241"/>
      <c r="K1426" s="242" t="s">
        <v>8</v>
      </c>
      <c r="L1426" s="243">
        <v>2978217.39</v>
      </c>
    </row>
    <row r="1427" spans="1:12" ht="51" hidden="1" x14ac:dyDescent="0.3">
      <c r="A1427" s="237" t="s">
        <v>328</v>
      </c>
      <c r="B1427" s="238" t="s">
        <v>2748</v>
      </c>
      <c r="C1427" s="238" t="s">
        <v>2749</v>
      </c>
      <c r="D1427" s="238" t="s">
        <v>2750</v>
      </c>
      <c r="E1427" s="239" t="s">
        <v>751</v>
      </c>
      <c r="F1427" s="245" t="s">
        <v>15</v>
      </c>
      <c r="G1427" s="245"/>
      <c r="H1427" s="239" t="s">
        <v>751</v>
      </c>
      <c r="I1427" s="246">
        <v>5044.05</v>
      </c>
      <c r="J1427" s="246"/>
      <c r="K1427" s="242" t="s">
        <v>8</v>
      </c>
      <c r="L1427" s="243">
        <v>1980</v>
      </c>
    </row>
    <row r="1428" spans="1:12" ht="51" hidden="1" x14ac:dyDescent="0.3">
      <c r="A1428" s="237" t="s">
        <v>328</v>
      </c>
      <c r="B1428" s="238" t="s">
        <v>2748</v>
      </c>
      <c r="C1428" s="238" t="s">
        <v>2749</v>
      </c>
      <c r="D1428" s="238" t="s">
        <v>2751</v>
      </c>
      <c r="E1428" s="239" t="s">
        <v>751</v>
      </c>
      <c r="F1428" s="240">
        <v>1126.95</v>
      </c>
      <c r="G1428" s="240"/>
      <c r="H1428" s="239" t="s">
        <v>751</v>
      </c>
      <c r="I1428" s="241" t="s">
        <v>15</v>
      </c>
      <c r="J1428" s="241"/>
      <c r="K1428" s="242" t="s">
        <v>8</v>
      </c>
      <c r="L1428" s="243">
        <v>2979344.34</v>
      </c>
    </row>
    <row r="1429" spans="1:12" ht="51" hidden="1" x14ac:dyDescent="0.3">
      <c r="A1429" s="237" t="s">
        <v>328</v>
      </c>
      <c r="B1429" s="238" t="s">
        <v>2748</v>
      </c>
      <c r="C1429" s="238" t="s">
        <v>2749</v>
      </c>
      <c r="D1429" s="238" t="s">
        <v>2751</v>
      </c>
      <c r="E1429" s="239" t="s">
        <v>751</v>
      </c>
      <c r="F1429" s="245" t="s">
        <v>15</v>
      </c>
      <c r="G1429" s="245"/>
      <c r="H1429" s="239" t="s">
        <v>751</v>
      </c>
      <c r="I1429" s="246">
        <v>1126.95</v>
      </c>
      <c r="J1429" s="246"/>
      <c r="K1429" s="242" t="s">
        <v>8</v>
      </c>
      <c r="L1429" s="248">
        <v>853.05</v>
      </c>
    </row>
    <row r="1430" spans="1:12" ht="51" hidden="1" x14ac:dyDescent="0.3">
      <c r="A1430" s="237" t="s">
        <v>328</v>
      </c>
      <c r="B1430" s="238" t="s">
        <v>2752</v>
      </c>
      <c r="C1430" s="238" t="s">
        <v>2753</v>
      </c>
      <c r="D1430" s="238" t="s">
        <v>2754</v>
      </c>
      <c r="E1430" s="239" t="s">
        <v>751</v>
      </c>
      <c r="F1430" s="240">
        <v>4374.0200000000004</v>
      </c>
      <c r="G1430" s="240"/>
      <c r="H1430" s="239" t="s">
        <v>751</v>
      </c>
      <c r="I1430" s="241" t="s">
        <v>15</v>
      </c>
      <c r="J1430" s="241"/>
      <c r="K1430" s="242" t="s">
        <v>8</v>
      </c>
      <c r="L1430" s="243">
        <v>7971995.3700000001</v>
      </c>
    </row>
    <row r="1431" spans="1:12" ht="51" hidden="1" x14ac:dyDescent="0.3">
      <c r="A1431" s="237" t="s">
        <v>328</v>
      </c>
      <c r="B1431" s="238" t="s">
        <v>2752</v>
      </c>
      <c r="C1431" s="238" t="s">
        <v>2753</v>
      </c>
      <c r="D1431" s="238" t="s">
        <v>2754</v>
      </c>
      <c r="E1431" s="239" t="s">
        <v>751</v>
      </c>
      <c r="F1431" s="245" t="s">
        <v>15</v>
      </c>
      <c r="G1431" s="245"/>
      <c r="H1431" s="239" t="s">
        <v>751</v>
      </c>
      <c r="I1431" s="246">
        <v>4374.0200000000004</v>
      </c>
      <c r="J1431" s="246"/>
      <c r="K1431" s="242" t="s">
        <v>8</v>
      </c>
      <c r="L1431" s="243">
        <v>1335657.3999999999</v>
      </c>
    </row>
    <row r="1432" spans="1:12" ht="51" hidden="1" x14ac:dyDescent="0.3">
      <c r="A1432" s="237" t="s">
        <v>328</v>
      </c>
      <c r="B1432" s="238" t="s">
        <v>748</v>
      </c>
      <c r="C1432" s="238" t="s">
        <v>749</v>
      </c>
      <c r="D1432" s="238" t="s">
        <v>750</v>
      </c>
      <c r="E1432" s="239" t="s">
        <v>751</v>
      </c>
      <c r="F1432" s="240">
        <v>3010.1</v>
      </c>
      <c r="G1432" s="240"/>
      <c r="H1432" s="239" t="s">
        <v>13</v>
      </c>
      <c r="I1432" s="241" t="s">
        <v>15</v>
      </c>
      <c r="J1432" s="241"/>
      <c r="K1432" s="242" t="s">
        <v>8</v>
      </c>
      <c r="L1432" s="243">
        <v>6904137.54</v>
      </c>
    </row>
    <row r="1433" spans="1:12" ht="61.2" hidden="1" x14ac:dyDescent="0.3">
      <c r="A1433" s="237" t="s">
        <v>328</v>
      </c>
      <c r="B1433" s="238" t="s">
        <v>2755</v>
      </c>
      <c r="C1433" s="238" t="s">
        <v>2756</v>
      </c>
      <c r="D1433" s="238" t="s">
        <v>2757</v>
      </c>
      <c r="E1433" s="239" t="s">
        <v>751</v>
      </c>
      <c r="F1433" s="244">
        <v>960</v>
      </c>
      <c r="G1433" s="244"/>
      <c r="H1433" s="239" t="s">
        <v>14</v>
      </c>
      <c r="I1433" s="241" t="s">
        <v>15</v>
      </c>
      <c r="J1433" s="241"/>
      <c r="K1433" s="242" t="s">
        <v>8</v>
      </c>
      <c r="L1433" s="243">
        <v>237144.93</v>
      </c>
    </row>
    <row r="1434" spans="1:12" ht="51" hidden="1" x14ac:dyDescent="0.3">
      <c r="A1434" s="237" t="s">
        <v>328</v>
      </c>
      <c r="B1434" s="238" t="s">
        <v>2758</v>
      </c>
      <c r="C1434" s="238" t="s">
        <v>2759</v>
      </c>
      <c r="D1434" s="238" t="s">
        <v>2760</v>
      </c>
      <c r="E1434" s="239" t="s">
        <v>751</v>
      </c>
      <c r="F1434" s="240">
        <v>29200</v>
      </c>
      <c r="G1434" s="240"/>
      <c r="H1434" s="239" t="s">
        <v>14</v>
      </c>
      <c r="I1434" s="241" t="s">
        <v>15</v>
      </c>
      <c r="J1434" s="241"/>
      <c r="K1434" s="242" t="s">
        <v>8</v>
      </c>
      <c r="L1434" s="243">
        <v>1856157.14</v>
      </c>
    </row>
    <row r="1435" spans="1:12" ht="51" hidden="1" x14ac:dyDescent="0.3">
      <c r="A1435" s="237" t="s">
        <v>328</v>
      </c>
      <c r="B1435" s="238" t="s">
        <v>2761</v>
      </c>
      <c r="C1435" s="238" t="s">
        <v>2759</v>
      </c>
      <c r="D1435" s="238" t="s">
        <v>2762</v>
      </c>
      <c r="E1435" s="239" t="s">
        <v>751</v>
      </c>
      <c r="F1435" s="240">
        <v>9624.5</v>
      </c>
      <c r="G1435" s="240"/>
      <c r="H1435" s="239" t="s">
        <v>14</v>
      </c>
      <c r="I1435" s="241" t="s">
        <v>15</v>
      </c>
      <c r="J1435" s="241"/>
      <c r="K1435" s="242" t="s">
        <v>8</v>
      </c>
      <c r="L1435" s="243">
        <v>1865781.64</v>
      </c>
    </row>
    <row r="1436" spans="1:12" ht="51" x14ac:dyDescent="0.3">
      <c r="A1436" s="237" t="s">
        <v>328</v>
      </c>
      <c r="B1436" s="238" t="s">
        <v>2763</v>
      </c>
      <c r="C1436" s="238" t="s">
        <v>806</v>
      </c>
      <c r="D1436" s="238" t="s">
        <v>1624</v>
      </c>
      <c r="E1436" s="239" t="s">
        <v>105</v>
      </c>
      <c r="F1436" s="245" t="s">
        <v>15</v>
      </c>
      <c r="G1436" s="245"/>
      <c r="H1436" s="239" t="s">
        <v>751</v>
      </c>
      <c r="I1436" s="246">
        <v>108368.08</v>
      </c>
      <c r="J1436" s="246"/>
      <c r="K1436" s="242" t="s">
        <v>8</v>
      </c>
      <c r="L1436" s="243">
        <v>6795769.46</v>
      </c>
    </row>
    <row r="1437" spans="1:12" ht="51" x14ac:dyDescent="0.3">
      <c r="A1437" s="237" t="s">
        <v>328</v>
      </c>
      <c r="B1437" s="238" t="s">
        <v>2763</v>
      </c>
      <c r="C1437" s="238" t="s">
        <v>806</v>
      </c>
      <c r="D1437" s="238" t="s">
        <v>1659</v>
      </c>
      <c r="E1437" s="239" t="s">
        <v>105</v>
      </c>
      <c r="F1437" s="245" t="s">
        <v>15</v>
      </c>
      <c r="G1437" s="245"/>
      <c r="H1437" s="239" t="s">
        <v>751</v>
      </c>
      <c r="I1437" s="246">
        <v>65709.279999999999</v>
      </c>
      <c r="J1437" s="246"/>
      <c r="K1437" s="242" t="s">
        <v>8</v>
      </c>
      <c r="L1437" s="243">
        <v>6730060.1799999997</v>
      </c>
    </row>
    <row r="1438" spans="1:12" ht="51" x14ac:dyDescent="0.3">
      <c r="A1438" s="237" t="s">
        <v>328</v>
      </c>
      <c r="B1438" s="238" t="s">
        <v>2763</v>
      </c>
      <c r="C1438" s="238" t="s">
        <v>806</v>
      </c>
      <c r="D1438" s="238" t="s">
        <v>1659</v>
      </c>
      <c r="E1438" s="239" t="s">
        <v>105</v>
      </c>
      <c r="F1438" s="245" t="s">
        <v>15</v>
      </c>
      <c r="G1438" s="245"/>
      <c r="H1438" s="239" t="s">
        <v>751</v>
      </c>
      <c r="I1438" s="246">
        <v>32854.639999999999</v>
      </c>
      <c r="J1438" s="246"/>
      <c r="K1438" s="242" t="s">
        <v>8</v>
      </c>
      <c r="L1438" s="243">
        <v>6697205.54</v>
      </c>
    </row>
    <row r="1439" spans="1:12" ht="51" x14ac:dyDescent="0.3">
      <c r="A1439" s="237" t="s">
        <v>328</v>
      </c>
      <c r="B1439" s="238" t="s">
        <v>2763</v>
      </c>
      <c r="C1439" s="238" t="s">
        <v>806</v>
      </c>
      <c r="D1439" s="238" t="s">
        <v>1887</v>
      </c>
      <c r="E1439" s="239" t="s">
        <v>105</v>
      </c>
      <c r="F1439" s="245" t="s">
        <v>15</v>
      </c>
      <c r="G1439" s="245"/>
      <c r="H1439" s="239" t="s">
        <v>751</v>
      </c>
      <c r="I1439" s="246">
        <v>47669.87</v>
      </c>
      <c r="J1439" s="246"/>
      <c r="K1439" s="242" t="s">
        <v>8</v>
      </c>
      <c r="L1439" s="243">
        <v>6649535.6699999999</v>
      </c>
    </row>
    <row r="1440" spans="1:12" ht="51" x14ac:dyDescent="0.3">
      <c r="A1440" s="237" t="s">
        <v>328</v>
      </c>
      <c r="B1440" s="238" t="s">
        <v>2763</v>
      </c>
      <c r="C1440" s="238" t="s">
        <v>806</v>
      </c>
      <c r="D1440" s="238" t="s">
        <v>749</v>
      </c>
      <c r="E1440" s="239" t="s">
        <v>105</v>
      </c>
      <c r="F1440" s="245" t="s">
        <v>15</v>
      </c>
      <c r="G1440" s="245"/>
      <c r="H1440" s="239" t="s">
        <v>751</v>
      </c>
      <c r="I1440" s="246">
        <v>3010.1</v>
      </c>
      <c r="J1440" s="246"/>
      <c r="K1440" s="242" t="s">
        <v>8</v>
      </c>
      <c r="L1440" s="243">
        <v>6646525.5700000003</v>
      </c>
    </row>
    <row r="1441" spans="1:12" ht="51" x14ac:dyDescent="0.3">
      <c r="A1441" s="237" t="s">
        <v>328</v>
      </c>
      <c r="B1441" s="238" t="s">
        <v>2763</v>
      </c>
      <c r="C1441" s="238" t="s">
        <v>806</v>
      </c>
      <c r="D1441" s="238" t="s">
        <v>2764</v>
      </c>
      <c r="E1441" s="239" t="s">
        <v>105</v>
      </c>
      <c r="F1441" s="245" t="s">
        <v>15</v>
      </c>
      <c r="G1441" s="245"/>
      <c r="H1441" s="239" t="s">
        <v>751</v>
      </c>
      <c r="I1441" s="246">
        <v>1608.07</v>
      </c>
      <c r="J1441" s="246"/>
      <c r="K1441" s="242" t="s">
        <v>8</v>
      </c>
      <c r="L1441" s="243">
        <v>6644917.5</v>
      </c>
    </row>
    <row r="1442" spans="1:12" ht="51" x14ac:dyDescent="0.3">
      <c r="A1442" s="237" t="s">
        <v>328</v>
      </c>
      <c r="B1442" s="238" t="s">
        <v>2763</v>
      </c>
      <c r="C1442" s="238" t="s">
        <v>806</v>
      </c>
      <c r="D1442" s="238" t="s">
        <v>2765</v>
      </c>
      <c r="E1442" s="239" t="s">
        <v>105</v>
      </c>
      <c r="F1442" s="245" t="s">
        <v>15</v>
      </c>
      <c r="G1442" s="245"/>
      <c r="H1442" s="239" t="s">
        <v>751</v>
      </c>
      <c r="I1442" s="247">
        <v>305.5</v>
      </c>
      <c r="J1442" s="247"/>
      <c r="K1442" s="242" t="s">
        <v>8</v>
      </c>
      <c r="L1442" s="243">
        <v>6644612</v>
      </c>
    </row>
    <row r="1443" spans="1:12" ht="61.2" x14ac:dyDescent="0.3">
      <c r="A1443" s="237" t="s">
        <v>328</v>
      </c>
      <c r="B1443" s="238" t="s">
        <v>2763</v>
      </c>
      <c r="C1443" s="238" t="s">
        <v>806</v>
      </c>
      <c r="D1443" s="238" t="s">
        <v>2728</v>
      </c>
      <c r="E1443" s="239" t="s">
        <v>105</v>
      </c>
      <c r="F1443" s="245" t="s">
        <v>15</v>
      </c>
      <c r="G1443" s="245"/>
      <c r="H1443" s="239" t="s">
        <v>751</v>
      </c>
      <c r="I1443" s="247">
        <v>795.07</v>
      </c>
      <c r="J1443" s="247"/>
      <c r="K1443" s="242" t="s">
        <v>8</v>
      </c>
      <c r="L1443" s="243">
        <v>6643816.9299999997</v>
      </c>
    </row>
    <row r="1444" spans="1:12" ht="51" x14ac:dyDescent="0.3">
      <c r="A1444" s="237" t="s">
        <v>328</v>
      </c>
      <c r="B1444" s="238" t="s">
        <v>2763</v>
      </c>
      <c r="C1444" s="238" t="s">
        <v>806</v>
      </c>
      <c r="D1444" s="238" t="s">
        <v>2766</v>
      </c>
      <c r="E1444" s="239" t="s">
        <v>105</v>
      </c>
      <c r="F1444" s="245" t="s">
        <v>15</v>
      </c>
      <c r="G1444" s="245"/>
      <c r="H1444" s="239" t="s">
        <v>751</v>
      </c>
      <c r="I1444" s="246">
        <v>37120.39</v>
      </c>
      <c r="J1444" s="246"/>
      <c r="K1444" s="242" t="s">
        <v>8</v>
      </c>
      <c r="L1444" s="243">
        <v>6606696.54</v>
      </c>
    </row>
    <row r="1445" spans="1:12" ht="61.2" x14ac:dyDescent="0.3">
      <c r="A1445" s="237" t="s">
        <v>328</v>
      </c>
      <c r="B1445" s="238" t="s">
        <v>2763</v>
      </c>
      <c r="C1445" s="238" t="s">
        <v>806</v>
      </c>
      <c r="D1445" s="238" t="s">
        <v>2767</v>
      </c>
      <c r="E1445" s="239" t="s">
        <v>105</v>
      </c>
      <c r="F1445" s="245" t="s">
        <v>15</v>
      </c>
      <c r="G1445" s="245"/>
      <c r="H1445" s="239" t="s">
        <v>751</v>
      </c>
      <c r="I1445" s="246">
        <v>79362.63</v>
      </c>
      <c r="J1445" s="246"/>
      <c r="K1445" s="242" t="s">
        <v>8</v>
      </c>
      <c r="L1445" s="243">
        <v>6527333.9100000001</v>
      </c>
    </row>
    <row r="1446" spans="1:12" ht="51" x14ac:dyDescent="0.3">
      <c r="A1446" s="237" t="s">
        <v>328</v>
      </c>
      <c r="B1446" s="238" t="s">
        <v>2768</v>
      </c>
      <c r="C1446" s="238" t="s">
        <v>806</v>
      </c>
      <c r="D1446" s="238" t="s">
        <v>2769</v>
      </c>
      <c r="E1446" s="239" t="s">
        <v>105</v>
      </c>
      <c r="F1446" s="245" t="s">
        <v>15</v>
      </c>
      <c r="G1446" s="245"/>
      <c r="H1446" s="239" t="s">
        <v>751</v>
      </c>
      <c r="I1446" s="246">
        <v>1407.49</v>
      </c>
      <c r="J1446" s="246"/>
      <c r="K1446" s="242" t="s">
        <v>8</v>
      </c>
      <c r="L1446" s="243">
        <v>2977936.85</v>
      </c>
    </row>
    <row r="1447" spans="1:12" ht="51" x14ac:dyDescent="0.3">
      <c r="A1447" s="237" t="s">
        <v>328</v>
      </c>
      <c r="B1447" s="238" t="s">
        <v>2768</v>
      </c>
      <c r="C1447" s="238" t="s">
        <v>806</v>
      </c>
      <c r="D1447" s="238" t="s">
        <v>2770</v>
      </c>
      <c r="E1447" s="239" t="s">
        <v>105</v>
      </c>
      <c r="F1447" s="245" t="s">
        <v>15</v>
      </c>
      <c r="G1447" s="245"/>
      <c r="H1447" s="239" t="s">
        <v>751</v>
      </c>
      <c r="I1447" s="246">
        <v>2345.81</v>
      </c>
      <c r="J1447" s="246"/>
      <c r="K1447" s="242" t="s">
        <v>8</v>
      </c>
      <c r="L1447" s="243">
        <v>2975591.04</v>
      </c>
    </row>
    <row r="1448" spans="1:12" ht="51" x14ac:dyDescent="0.3">
      <c r="A1448" s="237" t="s">
        <v>328</v>
      </c>
      <c r="B1448" s="238" t="s">
        <v>2768</v>
      </c>
      <c r="C1448" s="238" t="s">
        <v>806</v>
      </c>
      <c r="D1448" s="238" t="s">
        <v>2771</v>
      </c>
      <c r="E1448" s="239" t="s">
        <v>105</v>
      </c>
      <c r="F1448" s="245" t="s">
        <v>15</v>
      </c>
      <c r="G1448" s="245"/>
      <c r="H1448" s="239" t="s">
        <v>751</v>
      </c>
      <c r="I1448" s="246">
        <v>4455.33</v>
      </c>
      <c r="J1448" s="246"/>
      <c r="K1448" s="242" t="s">
        <v>8</v>
      </c>
      <c r="L1448" s="243">
        <v>2971135.71</v>
      </c>
    </row>
    <row r="1449" spans="1:12" ht="61.2" x14ac:dyDescent="0.3">
      <c r="A1449" s="237" t="s">
        <v>328</v>
      </c>
      <c r="B1449" s="238" t="s">
        <v>2768</v>
      </c>
      <c r="C1449" s="238" t="s">
        <v>806</v>
      </c>
      <c r="D1449" s="238" t="s">
        <v>1379</v>
      </c>
      <c r="E1449" s="239" t="s">
        <v>105</v>
      </c>
      <c r="F1449" s="245" t="s">
        <v>15</v>
      </c>
      <c r="G1449" s="245"/>
      <c r="H1449" s="239" t="s">
        <v>751</v>
      </c>
      <c r="I1449" s="246">
        <v>2414.41</v>
      </c>
      <c r="J1449" s="246"/>
      <c r="K1449" s="242" t="s">
        <v>8</v>
      </c>
      <c r="L1449" s="243">
        <v>2968721.3</v>
      </c>
    </row>
    <row r="1450" spans="1:12" ht="51" x14ac:dyDescent="0.3">
      <c r="A1450" s="237" t="s">
        <v>328</v>
      </c>
      <c r="B1450" s="238" t="s">
        <v>2768</v>
      </c>
      <c r="C1450" s="238" t="s">
        <v>806</v>
      </c>
      <c r="D1450" s="238" t="s">
        <v>2772</v>
      </c>
      <c r="E1450" s="239" t="s">
        <v>105</v>
      </c>
      <c r="F1450" s="245" t="s">
        <v>15</v>
      </c>
      <c r="G1450" s="245"/>
      <c r="H1450" s="239" t="s">
        <v>751</v>
      </c>
      <c r="I1450" s="246">
        <v>1630</v>
      </c>
      <c r="J1450" s="246"/>
      <c r="K1450" s="242" t="s">
        <v>8</v>
      </c>
      <c r="L1450" s="243">
        <v>2967091.3</v>
      </c>
    </row>
    <row r="1451" spans="1:12" ht="51" x14ac:dyDescent="0.3">
      <c r="A1451" s="237" t="s">
        <v>328</v>
      </c>
      <c r="B1451" s="238" t="s">
        <v>2773</v>
      </c>
      <c r="C1451" s="238" t="s">
        <v>806</v>
      </c>
      <c r="D1451" s="238" t="s">
        <v>1485</v>
      </c>
      <c r="E1451" s="239" t="s">
        <v>105</v>
      </c>
      <c r="F1451" s="245" t="s">
        <v>15</v>
      </c>
      <c r="G1451" s="245"/>
      <c r="H1451" s="239" t="s">
        <v>751</v>
      </c>
      <c r="I1451" s="246">
        <v>61890.79</v>
      </c>
      <c r="J1451" s="246"/>
      <c r="K1451" s="242" t="s">
        <v>8</v>
      </c>
      <c r="L1451" s="243">
        <v>2489977.29</v>
      </c>
    </row>
    <row r="1452" spans="1:12" ht="51" x14ac:dyDescent="0.3">
      <c r="A1452" s="237" t="s">
        <v>328</v>
      </c>
      <c r="B1452" s="238" t="s">
        <v>2773</v>
      </c>
      <c r="C1452" s="238" t="s">
        <v>806</v>
      </c>
      <c r="D1452" s="238" t="s">
        <v>1485</v>
      </c>
      <c r="E1452" s="239" t="s">
        <v>105</v>
      </c>
      <c r="F1452" s="245" t="s">
        <v>15</v>
      </c>
      <c r="G1452" s="245"/>
      <c r="H1452" s="239" t="s">
        <v>751</v>
      </c>
      <c r="I1452" s="246">
        <v>118907.68</v>
      </c>
      <c r="J1452" s="246"/>
      <c r="K1452" s="242" t="s">
        <v>8</v>
      </c>
      <c r="L1452" s="243">
        <v>2371069.61</v>
      </c>
    </row>
    <row r="1453" spans="1:12" ht="51" x14ac:dyDescent="0.3">
      <c r="A1453" s="237" t="s">
        <v>328</v>
      </c>
      <c r="B1453" s="238" t="s">
        <v>2773</v>
      </c>
      <c r="C1453" s="238" t="s">
        <v>806</v>
      </c>
      <c r="D1453" s="238" t="s">
        <v>1501</v>
      </c>
      <c r="E1453" s="239" t="s">
        <v>105</v>
      </c>
      <c r="F1453" s="245" t="s">
        <v>15</v>
      </c>
      <c r="G1453" s="245"/>
      <c r="H1453" s="239" t="s">
        <v>751</v>
      </c>
      <c r="I1453" s="246">
        <v>4869.62</v>
      </c>
      <c r="J1453" s="246"/>
      <c r="K1453" s="242" t="s">
        <v>8</v>
      </c>
      <c r="L1453" s="243">
        <v>2366199.9900000002</v>
      </c>
    </row>
    <row r="1454" spans="1:12" ht="51" x14ac:dyDescent="0.3">
      <c r="A1454" s="237" t="s">
        <v>328</v>
      </c>
      <c r="B1454" s="238" t="s">
        <v>2773</v>
      </c>
      <c r="C1454" s="238" t="s">
        <v>806</v>
      </c>
      <c r="D1454" s="238" t="s">
        <v>1501</v>
      </c>
      <c r="E1454" s="239" t="s">
        <v>105</v>
      </c>
      <c r="F1454" s="245" t="s">
        <v>15</v>
      </c>
      <c r="G1454" s="245"/>
      <c r="H1454" s="239" t="s">
        <v>751</v>
      </c>
      <c r="I1454" s="246">
        <v>91749.85</v>
      </c>
      <c r="J1454" s="246"/>
      <c r="K1454" s="242" t="s">
        <v>8</v>
      </c>
      <c r="L1454" s="243">
        <v>2274450.14</v>
      </c>
    </row>
    <row r="1455" spans="1:12" ht="51" x14ac:dyDescent="0.3">
      <c r="A1455" s="237" t="s">
        <v>328</v>
      </c>
      <c r="B1455" s="238" t="s">
        <v>2773</v>
      </c>
      <c r="C1455" s="238" t="s">
        <v>806</v>
      </c>
      <c r="D1455" s="238" t="s">
        <v>1507</v>
      </c>
      <c r="E1455" s="239" t="s">
        <v>105</v>
      </c>
      <c r="F1455" s="245" t="s">
        <v>15</v>
      </c>
      <c r="G1455" s="245"/>
      <c r="H1455" s="239" t="s">
        <v>751</v>
      </c>
      <c r="I1455" s="246">
        <v>32226.91</v>
      </c>
      <c r="J1455" s="246"/>
      <c r="K1455" s="242" t="s">
        <v>8</v>
      </c>
      <c r="L1455" s="243">
        <v>2242223.23</v>
      </c>
    </row>
    <row r="1456" spans="1:12" ht="51" x14ac:dyDescent="0.3">
      <c r="A1456" s="237" t="s">
        <v>328</v>
      </c>
      <c r="B1456" s="238" t="s">
        <v>2773</v>
      </c>
      <c r="C1456" s="238" t="s">
        <v>806</v>
      </c>
      <c r="D1456" s="238" t="s">
        <v>1507</v>
      </c>
      <c r="E1456" s="239" t="s">
        <v>105</v>
      </c>
      <c r="F1456" s="245" t="s">
        <v>15</v>
      </c>
      <c r="G1456" s="245"/>
      <c r="H1456" s="239" t="s">
        <v>751</v>
      </c>
      <c r="I1456" s="246">
        <v>123835.59</v>
      </c>
      <c r="J1456" s="246"/>
      <c r="K1456" s="242" t="s">
        <v>8</v>
      </c>
      <c r="L1456" s="243">
        <v>2118387.64</v>
      </c>
    </row>
    <row r="1457" spans="1:12" ht="51" x14ac:dyDescent="0.3">
      <c r="A1457" s="237" t="s">
        <v>328</v>
      </c>
      <c r="B1457" s="238" t="s">
        <v>2773</v>
      </c>
      <c r="C1457" s="238" t="s">
        <v>806</v>
      </c>
      <c r="D1457" s="238" t="s">
        <v>1622</v>
      </c>
      <c r="E1457" s="239" t="s">
        <v>105</v>
      </c>
      <c r="F1457" s="245" t="s">
        <v>15</v>
      </c>
      <c r="G1457" s="245"/>
      <c r="H1457" s="239" t="s">
        <v>751</v>
      </c>
      <c r="I1457" s="246">
        <v>1006.27</v>
      </c>
      <c r="J1457" s="246"/>
      <c r="K1457" s="242" t="s">
        <v>8</v>
      </c>
      <c r="L1457" s="243">
        <v>2117381.37</v>
      </c>
    </row>
    <row r="1458" spans="1:12" ht="51" x14ac:dyDescent="0.3">
      <c r="A1458" s="237" t="s">
        <v>328</v>
      </c>
      <c r="B1458" s="238" t="s">
        <v>2773</v>
      </c>
      <c r="C1458" s="238" t="s">
        <v>806</v>
      </c>
      <c r="D1458" s="238" t="s">
        <v>1622</v>
      </c>
      <c r="E1458" s="239" t="s">
        <v>105</v>
      </c>
      <c r="F1458" s="245" t="s">
        <v>15</v>
      </c>
      <c r="G1458" s="245"/>
      <c r="H1458" s="239" t="s">
        <v>751</v>
      </c>
      <c r="I1458" s="246">
        <v>91880.65</v>
      </c>
      <c r="J1458" s="246"/>
      <c r="K1458" s="242" t="s">
        <v>8</v>
      </c>
      <c r="L1458" s="243">
        <v>2025500.72</v>
      </c>
    </row>
    <row r="1459" spans="1:12" ht="51" x14ac:dyDescent="0.3">
      <c r="A1459" s="237" t="s">
        <v>328</v>
      </c>
      <c r="B1459" s="238" t="s">
        <v>2773</v>
      </c>
      <c r="C1459" s="238" t="s">
        <v>806</v>
      </c>
      <c r="D1459" s="238" t="s">
        <v>1662</v>
      </c>
      <c r="E1459" s="239" t="s">
        <v>105</v>
      </c>
      <c r="F1459" s="245" t="s">
        <v>15</v>
      </c>
      <c r="G1459" s="245"/>
      <c r="H1459" s="239" t="s">
        <v>751</v>
      </c>
      <c r="I1459" s="246">
        <v>59179.42</v>
      </c>
      <c r="J1459" s="246"/>
      <c r="K1459" s="242" t="s">
        <v>8</v>
      </c>
      <c r="L1459" s="243">
        <v>1966321.3</v>
      </c>
    </row>
    <row r="1460" spans="1:12" ht="51" x14ac:dyDescent="0.3">
      <c r="A1460" s="237" t="s">
        <v>328</v>
      </c>
      <c r="B1460" s="238" t="s">
        <v>2774</v>
      </c>
      <c r="C1460" s="238" t="s">
        <v>806</v>
      </c>
      <c r="D1460" s="238" t="s">
        <v>1289</v>
      </c>
      <c r="E1460" s="239" t="s">
        <v>105</v>
      </c>
      <c r="F1460" s="245" t="s">
        <v>15</v>
      </c>
      <c r="G1460" s="245"/>
      <c r="H1460" s="239" t="s">
        <v>751</v>
      </c>
      <c r="I1460" s="246">
        <v>72066.66</v>
      </c>
      <c r="J1460" s="246"/>
      <c r="K1460" s="242" t="s">
        <v>8</v>
      </c>
      <c r="L1460" s="243">
        <v>1793714.98</v>
      </c>
    </row>
    <row r="1461" spans="1:12" ht="51" x14ac:dyDescent="0.3">
      <c r="A1461" s="237" t="s">
        <v>328</v>
      </c>
      <c r="B1461" s="238" t="s">
        <v>2774</v>
      </c>
      <c r="C1461" s="238" t="s">
        <v>806</v>
      </c>
      <c r="D1461" s="238" t="s">
        <v>1291</v>
      </c>
      <c r="E1461" s="239" t="s">
        <v>105</v>
      </c>
      <c r="F1461" s="245" t="s">
        <v>15</v>
      </c>
      <c r="G1461" s="245"/>
      <c r="H1461" s="239" t="s">
        <v>751</v>
      </c>
      <c r="I1461" s="246">
        <v>3036</v>
      </c>
      <c r="J1461" s="246"/>
      <c r="K1461" s="242" t="s">
        <v>8</v>
      </c>
      <c r="L1461" s="243">
        <v>1790678.98</v>
      </c>
    </row>
    <row r="1462" spans="1:12" ht="51" x14ac:dyDescent="0.3">
      <c r="A1462" s="237" t="s">
        <v>328</v>
      </c>
      <c r="B1462" s="238" t="s">
        <v>2774</v>
      </c>
      <c r="C1462" s="238" t="s">
        <v>806</v>
      </c>
      <c r="D1462" s="238" t="s">
        <v>2716</v>
      </c>
      <c r="E1462" s="239" t="s">
        <v>105</v>
      </c>
      <c r="F1462" s="245" t="s">
        <v>15</v>
      </c>
      <c r="G1462" s="245"/>
      <c r="H1462" s="239" t="s">
        <v>751</v>
      </c>
      <c r="I1462" s="246">
        <v>16170</v>
      </c>
      <c r="J1462" s="246"/>
      <c r="K1462" s="242" t="s">
        <v>8</v>
      </c>
      <c r="L1462" s="243">
        <v>1774508.98</v>
      </c>
    </row>
    <row r="1463" spans="1:12" ht="51" x14ac:dyDescent="0.3">
      <c r="A1463" s="237" t="s">
        <v>328</v>
      </c>
      <c r="B1463" s="238" t="s">
        <v>2775</v>
      </c>
      <c r="C1463" s="238" t="s">
        <v>806</v>
      </c>
      <c r="D1463" s="238" t="s">
        <v>1289</v>
      </c>
      <c r="E1463" s="239" t="s">
        <v>105</v>
      </c>
      <c r="F1463" s="245" t="s">
        <v>15</v>
      </c>
      <c r="G1463" s="245"/>
      <c r="H1463" s="239" t="s">
        <v>751</v>
      </c>
      <c r="I1463" s="246">
        <v>46373.33</v>
      </c>
      <c r="J1463" s="246"/>
      <c r="K1463" s="242" t="s">
        <v>8</v>
      </c>
      <c r="L1463" s="243">
        <v>1728135.65</v>
      </c>
    </row>
    <row r="1464" spans="1:12" ht="51" x14ac:dyDescent="0.3">
      <c r="A1464" s="237" t="s">
        <v>328</v>
      </c>
      <c r="B1464" s="238" t="s">
        <v>2775</v>
      </c>
      <c r="C1464" s="238" t="s">
        <v>806</v>
      </c>
      <c r="D1464" s="238" t="s">
        <v>1293</v>
      </c>
      <c r="E1464" s="239" t="s">
        <v>105</v>
      </c>
      <c r="F1464" s="245" t="s">
        <v>15</v>
      </c>
      <c r="G1464" s="245"/>
      <c r="H1464" s="239" t="s">
        <v>751</v>
      </c>
      <c r="I1464" s="246">
        <v>72066.66</v>
      </c>
      <c r="J1464" s="246"/>
      <c r="K1464" s="242" t="s">
        <v>8</v>
      </c>
      <c r="L1464" s="243">
        <v>1656068.99</v>
      </c>
    </row>
    <row r="1465" spans="1:12" ht="51" x14ac:dyDescent="0.3">
      <c r="A1465" s="237" t="s">
        <v>328</v>
      </c>
      <c r="B1465" s="238" t="s">
        <v>2775</v>
      </c>
      <c r="C1465" s="238" t="s">
        <v>806</v>
      </c>
      <c r="D1465" s="238" t="s">
        <v>1293</v>
      </c>
      <c r="E1465" s="239" t="s">
        <v>105</v>
      </c>
      <c r="F1465" s="245" t="s">
        <v>15</v>
      </c>
      <c r="G1465" s="245"/>
      <c r="H1465" s="239" t="s">
        <v>751</v>
      </c>
      <c r="I1465" s="246">
        <v>38226.660000000003</v>
      </c>
      <c r="J1465" s="246"/>
      <c r="K1465" s="242" t="s">
        <v>8</v>
      </c>
      <c r="L1465" s="243">
        <v>1617842.33</v>
      </c>
    </row>
    <row r="1466" spans="1:12" ht="51" x14ac:dyDescent="0.3">
      <c r="A1466" s="237" t="s">
        <v>328</v>
      </c>
      <c r="B1466" s="238" t="s">
        <v>2775</v>
      </c>
      <c r="C1466" s="238" t="s">
        <v>806</v>
      </c>
      <c r="D1466" s="238" t="s">
        <v>1291</v>
      </c>
      <c r="E1466" s="239" t="s">
        <v>105</v>
      </c>
      <c r="F1466" s="245" t="s">
        <v>15</v>
      </c>
      <c r="G1466" s="245"/>
      <c r="H1466" s="239" t="s">
        <v>751</v>
      </c>
      <c r="I1466" s="246">
        <v>1364</v>
      </c>
      <c r="J1466" s="246"/>
      <c r="K1466" s="242" t="s">
        <v>8</v>
      </c>
      <c r="L1466" s="243">
        <v>1616478.33</v>
      </c>
    </row>
    <row r="1467" spans="1:12" ht="51" x14ac:dyDescent="0.3">
      <c r="A1467" s="237" t="s">
        <v>328</v>
      </c>
      <c r="B1467" s="238" t="s">
        <v>2775</v>
      </c>
      <c r="C1467" s="238" t="s">
        <v>806</v>
      </c>
      <c r="D1467" s="238" t="s">
        <v>1294</v>
      </c>
      <c r="E1467" s="239" t="s">
        <v>105</v>
      </c>
      <c r="F1467" s="245" t="s">
        <v>15</v>
      </c>
      <c r="G1467" s="245"/>
      <c r="H1467" s="239" t="s">
        <v>751</v>
      </c>
      <c r="I1467" s="246">
        <v>3388</v>
      </c>
      <c r="J1467" s="246"/>
      <c r="K1467" s="242" t="s">
        <v>8</v>
      </c>
      <c r="L1467" s="243">
        <v>1613090.33</v>
      </c>
    </row>
    <row r="1468" spans="1:12" ht="51" x14ac:dyDescent="0.3">
      <c r="A1468" s="237" t="s">
        <v>328</v>
      </c>
      <c r="B1468" s="238" t="s">
        <v>2775</v>
      </c>
      <c r="C1468" s="238" t="s">
        <v>806</v>
      </c>
      <c r="D1468" s="238" t="s">
        <v>2723</v>
      </c>
      <c r="E1468" s="239" t="s">
        <v>105</v>
      </c>
      <c r="F1468" s="245" t="s">
        <v>15</v>
      </c>
      <c r="G1468" s="245"/>
      <c r="H1468" s="239" t="s">
        <v>751</v>
      </c>
      <c r="I1468" s="247">
        <v>560.33000000000004</v>
      </c>
      <c r="J1468" s="247"/>
      <c r="K1468" s="242" t="s">
        <v>8</v>
      </c>
      <c r="L1468" s="243">
        <v>1612530</v>
      </c>
    </row>
    <row r="1469" spans="1:12" ht="51" x14ac:dyDescent="0.3">
      <c r="A1469" s="237" t="s">
        <v>328</v>
      </c>
      <c r="B1469" s="238" t="s">
        <v>2775</v>
      </c>
      <c r="C1469" s="238" t="s">
        <v>806</v>
      </c>
      <c r="D1469" s="238" t="s">
        <v>2718</v>
      </c>
      <c r="E1469" s="239" t="s">
        <v>105</v>
      </c>
      <c r="F1469" s="245" t="s">
        <v>15</v>
      </c>
      <c r="G1469" s="245"/>
      <c r="H1469" s="239" t="s">
        <v>751</v>
      </c>
      <c r="I1469" s="247">
        <v>345.72</v>
      </c>
      <c r="J1469" s="247"/>
      <c r="K1469" s="242" t="s">
        <v>8</v>
      </c>
      <c r="L1469" s="243">
        <v>1612184.28</v>
      </c>
    </row>
    <row r="1470" spans="1:12" ht="51" x14ac:dyDescent="0.3">
      <c r="A1470" s="237" t="s">
        <v>328</v>
      </c>
      <c r="B1470" s="238" t="s">
        <v>2775</v>
      </c>
      <c r="C1470" s="238" t="s">
        <v>806</v>
      </c>
      <c r="D1470" s="238" t="s">
        <v>2720</v>
      </c>
      <c r="E1470" s="239" t="s">
        <v>105</v>
      </c>
      <c r="F1470" s="245" t="s">
        <v>15</v>
      </c>
      <c r="G1470" s="245"/>
      <c r="H1470" s="239" t="s">
        <v>751</v>
      </c>
      <c r="I1470" s="247">
        <v>181</v>
      </c>
      <c r="J1470" s="247"/>
      <c r="K1470" s="242" t="s">
        <v>8</v>
      </c>
      <c r="L1470" s="243">
        <v>1612003.28</v>
      </c>
    </row>
    <row r="1471" spans="1:12" ht="51" x14ac:dyDescent="0.3">
      <c r="A1471" s="237" t="s">
        <v>328</v>
      </c>
      <c r="B1471" s="238" t="s">
        <v>2776</v>
      </c>
      <c r="C1471" s="238" t="s">
        <v>806</v>
      </c>
      <c r="D1471" s="238" t="s">
        <v>2726</v>
      </c>
      <c r="E1471" s="239" t="s">
        <v>105</v>
      </c>
      <c r="F1471" s="245" t="s">
        <v>15</v>
      </c>
      <c r="G1471" s="245"/>
      <c r="H1471" s="239" t="s">
        <v>751</v>
      </c>
      <c r="I1471" s="246">
        <v>33687.5</v>
      </c>
      <c r="J1471" s="246"/>
      <c r="K1471" s="242" t="s">
        <v>8</v>
      </c>
      <c r="L1471" s="243">
        <v>6493646.4100000001</v>
      </c>
    </row>
    <row r="1472" spans="1:12" ht="71.400000000000006" x14ac:dyDescent="0.3">
      <c r="A1472" s="237" t="s">
        <v>328</v>
      </c>
      <c r="B1472" s="238" t="s">
        <v>2777</v>
      </c>
      <c r="C1472" s="238" t="s">
        <v>806</v>
      </c>
      <c r="D1472" s="238" t="s">
        <v>2778</v>
      </c>
      <c r="E1472" s="239" t="s">
        <v>105</v>
      </c>
      <c r="F1472" s="245" t="s">
        <v>15</v>
      </c>
      <c r="G1472" s="245"/>
      <c r="H1472" s="239" t="s">
        <v>751</v>
      </c>
      <c r="I1472" s="246">
        <v>47866.87</v>
      </c>
      <c r="J1472" s="246"/>
      <c r="K1472" s="242" t="s">
        <v>8</v>
      </c>
      <c r="L1472" s="243">
        <v>1287790.53</v>
      </c>
    </row>
    <row r="1473" spans="1:12" ht="71.400000000000006" x14ac:dyDescent="0.3">
      <c r="A1473" s="237" t="s">
        <v>328</v>
      </c>
      <c r="B1473" s="238" t="s">
        <v>2777</v>
      </c>
      <c r="C1473" s="238" t="s">
        <v>806</v>
      </c>
      <c r="D1473" s="238" t="s">
        <v>2779</v>
      </c>
      <c r="E1473" s="239" t="s">
        <v>105</v>
      </c>
      <c r="F1473" s="245" t="s">
        <v>15</v>
      </c>
      <c r="G1473" s="245"/>
      <c r="H1473" s="239" t="s">
        <v>751</v>
      </c>
      <c r="I1473" s="246">
        <v>23746.19</v>
      </c>
      <c r="J1473" s="246"/>
      <c r="K1473" s="242" t="s">
        <v>8</v>
      </c>
      <c r="L1473" s="243">
        <v>1264044.3400000001</v>
      </c>
    </row>
    <row r="1474" spans="1:12" ht="71.400000000000006" x14ac:dyDescent="0.3">
      <c r="A1474" s="237" t="s">
        <v>328</v>
      </c>
      <c r="B1474" s="238" t="s">
        <v>2777</v>
      </c>
      <c r="C1474" s="238" t="s">
        <v>806</v>
      </c>
      <c r="D1474" s="238" t="s">
        <v>2780</v>
      </c>
      <c r="E1474" s="239" t="s">
        <v>105</v>
      </c>
      <c r="F1474" s="245" t="s">
        <v>15</v>
      </c>
      <c r="G1474" s="245"/>
      <c r="H1474" s="239" t="s">
        <v>751</v>
      </c>
      <c r="I1474" s="246">
        <v>33660.33</v>
      </c>
      <c r="J1474" s="246"/>
      <c r="K1474" s="242" t="s">
        <v>8</v>
      </c>
      <c r="L1474" s="243">
        <v>1230384.01</v>
      </c>
    </row>
    <row r="1475" spans="1:12" ht="71.400000000000006" x14ac:dyDescent="0.3">
      <c r="A1475" s="237" t="s">
        <v>328</v>
      </c>
      <c r="B1475" s="238" t="s">
        <v>2777</v>
      </c>
      <c r="C1475" s="238" t="s">
        <v>806</v>
      </c>
      <c r="D1475" s="238" t="s">
        <v>2781</v>
      </c>
      <c r="E1475" s="239" t="s">
        <v>105</v>
      </c>
      <c r="F1475" s="245" t="s">
        <v>15</v>
      </c>
      <c r="G1475" s="245"/>
      <c r="H1475" s="239" t="s">
        <v>751</v>
      </c>
      <c r="I1475" s="246">
        <v>66439.820000000007</v>
      </c>
      <c r="J1475" s="246"/>
      <c r="K1475" s="242" t="s">
        <v>8</v>
      </c>
      <c r="L1475" s="243">
        <v>1163944.19</v>
      </c>
    </row>
    <row r="1476" spans="1:12" ht="71.400000000000006" x14ac:dyDescent="0.3">
      <c r="A1476" s="237" t="s">
        <v>328</v>
      </c>
      <c r="B1476" s="238" t="s">
        <v>2777</v>
      </c>
      <c r="C1476" s="238" t="s">
        <v>806</v>
      </c>
      <c r="D1476" s="238" t="s">
        <v>2782</v>
      </c>
      <c r="E1476" s="239" t="s">
        <v>105</v>
      </c>
      <c r="F1476" s="245" t="s">
        <v>15</v>
      </c>
      <c r="G1476" s="245"/>
      <c r="H1476" s="239" t="s">
        <v>751</v>
      </c>
      <c r="I1476" s="246">
        <v>8405.64</v>
      </c>
      <c r="J1476" s="246"/>
      <c r="K1476" s="242" t="s">
        <v>8</v>
      </c>
      <c r="L1476" s="243">
        <v>1155538.55</v>
      </c>
    </row>
    <row r="1477" spans="1:12" ht="71.400000000000006" x14ac:dyDescent="0.3">
      <c r="A1477" s="237" t="s">
        <v>328</v>
      </c>
      <c r="B1477" s="238" t="s">
        <v>2777</v>
      </c>
      <c r="C1477" s="238" t="s">
        <v>806</v>
      </c>
      <c r="D1477" s="238" t="s">
        <v>2783</v>
      </c>
      <c r="E1477" s="239" t="s">
        <v>105</v>
      </c>
      <c r="F1477" s="245" t="s">
        <v>15</v>
      </c>
      <c r="G1477" s="245"/>
      <c r="H1477" s="239" t="s">
        <v>751</v>
      </c>
      <c r="I1477" s="246">
        <v>7675.81</v>
      </c>
      <c r="J1477" s="246"/>
      <c r="K1477" s="242" t="s">
        <v>8</v>
      </c>
      <c r="L1477" s="243">
        <v>1147862.74</v>
      </c>
    </row>
    <row r="1478" spans="1:12" ht="71.400000000000006" x14ac:dyDescent="0.3">
      <c r="A1478" s="237" t="s">
        <v>328</v>
      </c>
      <c r="B1478" s="238" t="s">
        <v>2777</v>
      </c>
      <c r="C1478" s="238" t="s">
        <v>806</v>
      </c>
      <c r="D1478" s="238" t="s">
        <v>2779</v>
      </c>
      <c r="E1478" s="239" t="s">
        <v>105</v>
      </c>
      <c r="F1478" s="245" t="s">
        <v>15</v>
      </c>
      <c r="G1478" s="245"/>
      <c r="H1478" s="239" t="s">
        <v>751</v>
      </c>
      <c r="I1478" s="246">
        <v>7915.4</v>
      </c>
      <c r="J1478" s="246"/>
      <c r="K1478" s="242" t="s">
        <v>8</v>
      </c>
      <c r="L1478" s="243">
        <v>1139947.3400000001</v>
      </c>
    </row>
    <row r="1479" spans="1:12" ht="71.400000000000006" x14ac:dyDescent="0.3">
      <c r="A1479" s="237" t="s">
        <v>328</v>
      </c>
      <c r="B1479" s="238" t="s">
        <v>2777</v>
      </c>
      <c r="C1479" s="238" t="s">
        <v>806</v>
      </c>
      <c r="D1479" s="238" t="s">
        <v>2784</v>
      </c>
      <c r="E1479" s="239" t="s">
        <v>105</v>
      </c>
      <c r="F1479" s="245" t="s">
        <v>15</v>
      </c>
      <c r="G1479" s="245"/>
      <c r="H1479" s="239" t="s">
        <v>751</v>
      </c>
      <c r="I1479" s="246">
        <v>7802.07</v>
      </c>
      <c r="J1479" s="246"/>
      <c r="K1479" s="242" t="s">
        <v>8</v>
      </c>
      <c r="L1479" s="243">
        <v>1132145.27</v>
      </c>
    </row>
    <row r="1480" spans="1:12" ht="71.400000000000006" x14ac:dyDescent="0.3">
      <c r="A1480" s="237" t="s">
        <v>328</v>
      </c>
      <c r="B1480" s="238" t="s">
        <v>2777</v>
      </c>
      <c r="C1480" s="238" t="s">
        <v>806</v>
      </c>
      <c r="D1480" s="238" t="s">
        <v>2785</v>
      </c>
      <c r="E1480" s="239" t="s">
        <v>105</v>
      </c>
      <c r="F1480" s="245" t="s">
        <v>15</v>
      </c>
      <c r="G1480" s="245"/>
      <c r="H1480" s="239" t="s">
        <v>751</v>
      </c>
      <c r="I1480" s="246">
        <v>15399.96</v>
      </c>
      <c r="J1480" s="246"/>
      <c r="K1480" s="242" t="s">
        <v>8</v>
      </c>
      <c r="L1480" s="243">
        <v>1116745.31</v>
      </c>
    </row>
    <row r="1481" spans="1:12" ht="71.400000000000006" x14ac:dyDescent="0.3">
      <c r="A1481" s="237" t="s">
        <v>328</v>
      </c>
      <c r="B1481" s="238" t="s">
        <v>2777</v>
      </c>
      <c r="C1481" s="238" t="s">
        <v>806</v>
      </c>
      <c r="D1481" s="238" t="s">
        <v>2786</v>
      </c>
      <c r="E1481" s="239" t="s">
        <v>105</v>
      </c>
      <c r="F1481" s="245" t="s">
        <v>15</v>
      </c>
      <c r="G1481" s="245"/>
      <c r="H1481" s="239" t="s">
        <v>751</v>
      </c>
      <c r="I1481" s="246">
        <v>9624.98</v>
      </c>
      <c r="J1481" s="246"/>
      <c r="K1481" s="242" t="s">
        <v>8</v>
      </c>
      <c r="L1481" s="243">
        <v>1107120.33</v>
      </c>
    </row>
    <row r="1482" spans="1:12" ht="71.400000000000006" x14ac:dyDescent="0.3">
      <c r="A1482" s="237" t="s">
        <v>328</v>
      </c>
      <c r="B1482" s="238" t="s">
        <v>2777</v>
      </c>
      <c r="C1482" s="238" t="s">
        <v>806</v>
      </c>
      <c r="D1482" s="238" t="s">
        <v>2787</v>
      </c>
      <c r="E1482" s="239" t="s">
        <v>105</v>
      </c>
      <c r="F1482" s="245" t="s">
        <v>15</v>
      </c>
      <c r="G1482" s="245"/>
      <c r="H1482" s="239" t="s">
        <v>751</v>
      </c>
      <c r="I1482" s="246">
        <v>4593.74</v>
      </c>
      <c r="J1482" s="246"/>
      <c r="K1482" s="242" t="s">
        <v>8</v>
      </c>
      <c r="L1482" s="243">
        <v>1102526.5900000001</v>
      </c>
    </row>
    <row r="1483" spans="1:12" ht="71.400000000000006" x14ac:dyDescent="0.3">
      <c r="A1483" s="237" t="s">
        <v>328</v>
      </c>
      <c r="B1483" s="238" t="s">
        <v>2777</v>
      </c>
      <c r="C1483" s="238" t="s">
        <v>806</v>
      </c>
      <c r="D1483" s="238" t="s">
        <v>2788</v>
      </c>
      <c r="E1483" s="239" t="s">
        <v>105</v>
      </c>
      <c r="F1483" s="245" t="s">
        <v>15</v>
      </c>
      <c r="G1483" s="245"/>
      <c r="H1483" s="239" t="s">
        <v>751</v>
      </c>
      <c r="I1483" s="246">
        <v>6329.15</v>
      </c>
      <c r="J1483" s="246"/>
      <c r="K1483" s="242" t="s">
        <v>8</v>
      </c>
      <c r="L1483" s="243">
        <v>1096197.44</v>
      </c>
    </row>
    <row r="1484" spans="1:12" ht="71.400000000000006" x14ac:dyDescent="0.3">
      <c r="A1484" s="237" t="s">
        <v>328</v>
      </c>
      <c r="B1484" s="238" t="s">
        <v>2777</v>
      </c>
      <c r="C1484" s="238" t="s">
        <v>806</v>
      </c>
      <c r="D1484" s="238" t="s">
        <v>2789</v>
      </c>
      <c r="E1484" s="239" t="s">
        <v>105</v>
      </c>
      <c r="F1484" s="245" t="s">
        <v>15</v>
      </c>
      <c r="G1484" s="245"/>
      <c r="H1484" s="239" t="s">
        <v>751</v>
      </c>
      <c r="I1484" s="246">
        <v>4870.82</v>
      </c>
      <c r="J1484" s="246"/>
      <c r="K1484" s="242" t="s">
        <v>8</v>
      </c>
      <c r="L1484" s="243">
        <v>1091326.6200000001</v>
      </c>
    </row>
    <row r="1485" spans="1:12" ht="71.400000000000006" x14ac:dyDescent="0.3">
      <c r="A1485" s="237" t="s">
        <v>328</v>
      </c>
      <c r="B1485" s="238" t="s">
        <v>2777</v>
      </c>
      <c r="C1485" s="238" t="s">
        <v>806</v>
      </c>
      <c r="D1485" s="238" t="s">
        <v>2790</v>
      </c>
      <c r="E1485" s="239" t="s">
        <v>105</v>
      </c>
      <c r="F1485" s="245" t="s">
        <v>15</v>
      </c>
      <c r="G1485" s="245"/>
      <c r="H1485" s="239" t="s">
        <v>751</v>
      </c>
      <c r="I1485" s="246">
        <v>4686.99</v>
      </c>
      <c r="J1485" s="246"/>
      <c r="K1485" s="242" t="s">
        <v>8</v>
      </c>
      <c r="L1485" s="243">
        <v>1086639.6299999999</v>
      </c>
    </row>
    <row r="1486" spans="1:12" ht="61.2" x14ac:dyDescent="0.3">
      <c r="A1486" s="237" t="s">
        <v>328</v>
      </c>
      <c r="B1486" s="238" t="s">
        <v>2777</v>
      </c>
      <c r="C1486" s="238" t="s">
        <v>806</v>
      </c>
      <c r="D1486" s="238" t="s">
        <v>2791</v>
      </c>
      <c r="E1486" s="239" t="s">
        <v>105</v>
      </c>
      <c r="F1486" s="245" t="s">
        <v>15</v>
      </c>
      <c r="G1486" s="245"/>
      <c r="H1486" s="239" t="s">
        <v>751</v>
      </c>
      <c r="I1486" s="246">
        <v>1050</v>
      </c>
      <c r="J1486" s="246"/>
      <c r="K1486" s="242" t="s">
        <v>8</v>
      </c>
      <c r="L1486" s="243">
        <v>1085589.6299999999</v>
      </c>
    </row>
    <row r="1487" spans="1:12" ht="51" x14ac:dyDescent="0.3">
      <c r="A1487" s="237" t="s">
        <v>328</v>
      </c>
      <c r="B1487" s="238" t="s">
        <v>2777</v>
      </c>
      <c r="C1487" s="238" t="s">
        <v>806</v>
      </c>
      <c r="D1487" s="238" t="s">
        <v>2792</v>
      </c>
      <c r="E1487" s="239" t="s">
        <v>105</v>
      </c>
      <c r="F1487" s="245" t="s">
        <v>15</v>
      </c>
      <c r="G1487" s="245"/>
      <c r="H1487" s="239" t="s">
        <v>751</v>
      </c>
      <c r="I1487" s="246">
        <v>4225</v>
      </c>
      <c r="J1487" s="246"/>
      <c r="K1487" s="242" t="s">
        <v>8</v>
      </c>
      <c r="L1487" s="243">
        <v>1081364.6299999999</v>
      </c>
    </row>
    <row r="1488" spans="1:12" ht="61.2" x14ac:dyDescent="0.3">
      <c r="A1488" s="237" t="s">
        <v>328</v>
      </c>
      <c r="B1488" s="238" t="s">
        <v>2777</v>
      </c>
      <c r="C1488" s="238" t="s">
        <v>806</v>
      </c>
      <c r="D1488" s="238" t="s">
        <v>2793</v>
      </c>
      <c r="E1488" s="239" t="s">
        <v>105</v>
      </c>
      <c r="F1488" s="245" t="s">
        <v>15</v>
      </c>
      <c r="G1488" s="245"/>
      <c r="H1488" s="239" t="s">
        <v>751</v>
      </c>
      <c r="I1488" s="246">
        <v>3225</v>
      </c>
      <c r="J1488" s="246"/>
      <c r="K1488" s="242" t="s">
        <v>8</v>
      </c>
      <c r="L1488" s="243">
        <v>1078139.6299999999</v>
      </c>
    </row>
    <row r="1489" spans="1:12" ht="61.2" x14ac:dyDescent="0.3">
      <c r="A1489" s="237" t="s">
        <v>328</v>
      </c>
      <c r="B1489" s="238" t="s">
        <v>2777</v>
      </c>
      <c r="C1489" s="238" t="s">
        <v>806</v>
      </c>
      <c r="D1489" s="238" t="s">
        <v>2794</v>
      </c>
      <c r="E1489" s="239" t="s">
        <v>105</v>
      </c>
      <c r="F1489" s="245" t="s">
        <v>15</v>
      </c>
      <c r="G1489" s="245"/>
      <c r="H1489" s="239" t="s">
        <v>751</v>
      </c>
      <c r="I1489" s="246">
        <v>1075</v>
      </c>
      <c r="J1489" s="246"/>
      <c r="K1489" s="242" t="s">
        <v>8</v>
      </c>
      <c r="L1489" s="243">
        <v>1077064.6299999999</v>
      </c>
    </row>
    <row r="1490" spans="1:12" ht="71.400000000000006" x14ac:dyDescent="0.3">
      <c r="A1490" s="237" t="s">
        <v>328</v>
      </c>
      <c r="B1490" s="238" t="s">
        <v>2777</v>
      </c>
      <c r="C1490" s="238" t="s">
        <v>806</v>
      </c>
      <c r="D1490" s="238" t="s">
        <v>2795</v>
      </c>
      <c r="E1490" s="239" t="s">
        <v>105</v>
      </c>
      <c r="F1490" s="245" t="s">
        <v>15</v>
      </c>
      <c r="G1490" s="245"/>
      <c r="H1490" s="239" t="s">
        <v>751</v>
      </c>
      <c r="I1490" s="246">
        <v>203205.52</v>
      </c>
      <c r="J1490" s="246"/>
      <c r="K1490" s="242" t="s">
        <v>8</v>
      </c>
      <c r="L1490" s="243">
        <v>873859.11</v>
      </c>
    </row>
    <row r="1491" spans="1:12" ht="61.2" x14ac:dyDescent="0.3">
      <c r="A1491" s="237" t="s">
        <v>328</v>
      </c>
      <c r="B1491" s="238" t="s">
        <v>2777</v>
      </c>
      <c r="C1491" s="238" t="s">
        <v>806</v>
      </c>
      <c r="D1491" s="238" t="s">
        <v>2791</v>
      </c>
      <c r="E1491" s="239" t="s">
        <v>105</v>
      </c>
      <c r="F1491" s="245" t="s">
        <v>15</v>
      </c>
      <c r="G1491" s="245"/>
      <c r="H1491" s="239" t="s">
        <v>751</v>
      </c>
      <c r="I1491" s="247">
        <v>175</v>
      </c>
      <c r="J1491" s="247"/>
      <c r="K1491" s="242" t="s">
        <v>8</v>
      </c>
      <c r="L1491" s="243">
        <v>873684.11</v>
      </c>
    </row>
    <row r="1492" spans="1:12" ht="61.2" x14ac:dyDescent="0.3">
      <c r="A1492" s="237" t="s">
        <v>328</v>
      </c>
      <c r="B1492" s="238" t="s">
        <v>2777</v>
      </c>
      <c r="C1492" s="238" t="s">
        <v>806</v>
      </c>
      <c r="D1492" s="238" t="s">
        <v>2796</v>
      </c>
      <c r="E1492" s="239" t="s">
        <v>105</v>
      </c>
      <c r="F1492" s="245" t="s">
        <v>15</v>
      </c>
      <c r="G1492" s="245"/>
      <c r="H1492" s="239" t="s">
        <v>751</v>
      </c>
      <c r="I1492" s="246">
        <v>1050</v>
      </c>
      <c r="J1492" s="246"/>
      <c r="K1492" s="242" t="s">
        <v>8</v>
      </c>
      <c r="L1492" s="243">
        <v>872634.11</v>
      </c>
    </row>
    <row r="1493" spans="1:12" ht="61.2" x14ac:dyDescent="0.3">
      <c r="A1493" s="237" t="s">
        <v>328</v>
      </c>
      <c r="B1493" s="238" t="s">
        <v>2777</v>
      </c>
      <c r="C1493" s="238" t="s">
        <v>806</v>
      </c>
      <c r="D1493" s="238" t="s">
        <v>2797</v>
      </c>
      <c r="E1493" s="239" t="s">
        <v>105</v>
      </c>
      <c r="F1493" s="245" t="s">
        <v>15</v>
      </c>
      <c r="G1493" s="245"/>
      <c r="H1493" s="239" t="s">
        <v>751</v>
      </c>
      <c r="I1493" s="247">
        <v>562.5</v>
      </c>
      <c r="J1493" s="247"/>
      <c r="K1493" s="242" t="s">
        <v>8</v>
      </c>
      <c r="L1493" s="243">
        <v>872071.61</v>
      </c>
    </row>
    <row r="1494" spans="1:12" ht="61.2" x14ac:dyDescent="0.3">
      <c r="A1494" s="237" t="s">
        <v>328</v>
      </c>
      <c r="B1494" s="238" t="s">
        <v>2777</v>
      </c>
      <c r="C1494" s="238" t="s">
        <v>806</v>
      </c>
      <c r="D1494" s="238" t="s">
        <v>2798</v>
      </c>
      <c r="E1494" s="239" t="s">
        <v>105</v>
      </c>
      <c r="F1494" s="245" t="s">
        <v>15</v>
      </c>
      <c r="G1494" s="245"/>
      <c r="H1494" s="239" t="s">
        <v>751</v>
      </c>
      <c r="I1494" s="246">
        <v>1950</v>
      </c>
      <c r="J1494" s="246"/>
      <c r="K1494" s="242" t="s">
        <v>8</v>
      </c>
      <c r="L1494" s="243">
        <v>870121.61</v>
      </c>
    </row>
    <row r="1495" spans="1:12" ht="51" x14ac:dyDescent="0.3">
      <c r="A1495" s="237" t="s">
        <v>328</v>
      </c>
      <c r="B1495" s="238" t="s">
        <v>2777</v>
      </c>
      <c r="C1495" s="238" t="s">
        <v>806</v>
      </c>
      <c r="D1495" s="238" t="s">
        <v>2799</v>
      </c>
      <c r="E1495" s="239" t="s">
        <v>105</v>
      </c>
      <c r="F1495" s="245" t="s">
        <v>15</v>
      </c>
      <c r="G1495" s="245"/>
      <c r="H1495" s="239" t="s">
        <v>751</v>
      </c>
      <c r="I1495" s="247">
        <v>690</v>
      </c>
      <c r="J1495" s="247"/>
      <c r="K1495" s="242" t="s">
        <v>8</v>
      </c>
      <c r="L1495" s="243">
        <v>869431.61</v>
      </c>
    </row>
    <row r="1496" spans="1:12" ht="61.2" x14ac:dyDescent="0.3">
      <c r="A1496" s="237" t="s">
        <v>328</v>
      </c>
      <c r="B1496" s="238" t="s">
        <v>2777</v>
      </c>
      <c r="C1496" s="238" t="s">
        <v>806</v>
      </c>
      <c r="D1496" s="238" t="s">
        <v>2800</v>
      </c>
      <c r="E1496" s="239" t="s">
        <v>105</v>
      </c>
      <c r="F1496" s="245" t="s">
        <v>15</v>
      </c>
      <c r="G1496" s="245"/>
      <c r="H1496" s="239" t="s">
        <v>751</v>
      </c>
      <c r="I1496" s="246">
        <v>7140</v>
      </c>
      <c r="J1496" s="246"/>
      <c r="K1496" s="242" t="s">
        <v>8</v>
      </c>
      <c r="L1496" s="243">
        <v>862291.61</v>
      </c>
    </row>
    <row r="1497" spans="1:12" ht="61.2" x14ac:dyDescent="0.3">
      <c r="A1497" s="237" t="s">
        <v>328</v>
      </c>
      <c r="B1497" s="238" t="s">
        <v>2777</v>
      </c>
      <c r="C1497" s="238" t="s">
        <v>806</v>
      </c>
      <c r="D1497" s="238" t="s">
        <v>2801</v>
      </c>
      <c r="E1497" s="239" t="s">
        <v>105</v>
      </c>
      <c r="F1497" s="245" t="s">
        <v>15</v>
      </c>
      <c r="G1497" s="245"/>
      <c r="H1497" s="239" t="s">
        <v>751</v>
      </c>
      <c r="I1497" s="247">
        <v>860</v>
      </c>
      <c r="J1497" s="247"/>
      <c r="K1497" s="242" t="s">
        <v>8</v>
      </c>
      <c r="L1497" s="243">
        <v>861431.61</v>
      </c>
    </row>
    <row r="1498" spans="1:12" ht="51" x14ac:dyDescent="0.3">
      <c r="A1498" s="237" t="s">
        <v>328</v>
      </c>
      <c r="B1498" s="238" t="s">
        <v>2802</v>
      </c>
      <c r="C1498" s="238" t="s">
        <v>806</v>
      </c>
      <c r="D1498" s="238" t="s">
        <v>1487</v>
      </c>
      <c r="E1498" s="239" t="s">
        <v>105</v>
      </c>
      <c r="F1498" s="245" t="s">
        <v>15</v>
      </c>
      <c r="G1498" s="245"/>
      <c r="H1498" s="239" t="s">
        <v>751</v>
      </c>
      <c r="I1498" s="246">
        <v>139254.28</v>
      </c>
      <c r="J1498" s="246"/>
      <c r="K1498" s="242" t="s">
        <v>8</v>
      </c>
      <c r="L1498" s="243">
        <v>7832741.0899999999</v>
      </c>
    </row>
    <row r="1499" spans="1:12" ht="51" x14ac:dyDescent="0.3">
      <c r="A1499" s="237" t="s">
        <v>328</v>
      </c>
      <c r="B1499" s="238" t="s">
        <v>2802</v>
      </c>
      <c r="C1499" s="238" t="s">
        <v>806</v>
      </c>
      <c r="D1499" s="238" t="s">
        <v>2730</v>
      </c>
      <c r="E1499" s="239" t="s">
        <v>105</v>
      </c>
      <c r="F1499" s="245" t="s">
        <v>15</v>
      </c>
      <c r="G1499" s="245"/>
      <c r="H1499" s="239" t="s">
        <v>751</v>
      </c>
      <c r="I1499" s="246">
        <v>4129.8500000000004</v>
      </c>
      <c r="J1499" s="246"/>
      <c r="K1499" s="242" t="s">
        <v>8</v>
      </c>
      <c r="L1499" s="243">
        <v>7828611.2400000002</v>
      </c>
    </row>
    <row r="1500" spans="1:12" ht="51" x14ac:dyDescent="0.3">
      <c r="A1500" s="237" t="s">
        <v>328</v>
      </c>
      <c r="B1500" s="238" t="s">
        <v>2802</v>
      </c>
      <c r="C1500" s="238" t="s">
        <v>806</v>
      </c>
      <c r="D1500" s="238" t="s">
        <v>2733</v>
      </c>
      <c r="E1500" s="239" t="s">
        <v>105</v>
      </c>
      <c r="F1500" s="245" t="s">
        <v>15</v>
      </c>
      <c r="G1500" s="245"/>
      <c r="H1500" s="239" t="s">
        <v>751</v>
      </c>
      <c r="I1500" s="246">
        <v>31521.68</v>
      </c>
      <c r="J1500" s="246"/>
      <c r="K1500" s="242" t="s">
        <v>8</v>
      </c>
      <c r="L1500" s="243">
        <v>7797089.5599999996</v>
      </c>
    </row>
    <row r="1501" spans="1:12" ht="51" x14ac:dyDescent="0.3">
      <c r="A1501" s="237" t="s">
        <v>328</v>
      </c>
      <c r="B1501" s="238" t="s">
        <v>2803</v>
      </c>
      <c r="C1501" s="238" t="s">
        <v>806</v>
      </c>
      <c r="D1501" s="238" t="s">
        <v>2714</v>
      </c>
      <c r="E1501" s="239" t="s">
        <v>105</v>
      </c>
      <c r="F1501" s="245" t="s">
        <v>15</v>
      </c>
      <c r="G1501" s="245"/>
      <c r="H1501" s="239" t="s">
        <v>751</v>
      </c>
      <c r="I1501" s="246">
        <v>4513.6499999999996</v>
      </c>
      <c r="J1501" s="246"/>
      <c r="K1501" s="242" t="s">
        <v>8</v>
      </c>
      <c r="L1501" s="243">
        <v>87612.96</v>
      </c>
    </row>
    <row r="1502" spans="1:12" ht="51" x14ac:dyDescent="0.3">
      <c r="A1502" s="237" t="s">
        <v>328</v>
      </c>
      <c r="B1502" s="238" t="s">
        <v>2804</v>
      </c>
      <c r="C1502" s="238" t="s">
        <v>806</v>
      </c>
      <c r="D1502" s="238" t="s">
        <v>2805</v>
      </c>
      <c r="E1502" s="239" t="s">
        <v>105</v>
      </c>
      <c r="F1502" s="245" t="s">
        <v>15</v>
      </c>
      <c r="G1502" s="245"/>
      <c r="H1502" s="239" t="s">
        <v>751</v>
      </c>
      <c r="I1502" s="246">
        <v>40520.83</v>
      </c>
      <c r="J1502" s="246"/>
      <c r="K1502" s="242" t="s">
        <v>8</v>
      </c>
      <c r="L1502" s="243">
        <v>7756568.7300000004</v>
      </c>
    </row>
    <row r="1503" spans="1:12" ht="51" x14ac:dyDescent="0.3">
      <c r="A1503" s="237" t="s">
        <v>328</v>
      </c>
      <c r="B1503" s="238" t="s">
        <v>2804</v>
      </c>
      <c r="C1503" s="238" t="s">
        <v>806</v>
      </c>
      <c r="D1503" s="238" t="s">
        <v>2806</v>
      </c>
      <c r="E1503" s="239" t="s">
        <v>105</v>
      </c>
      <c r="F1503" s="245" t="s">
        <v>15</v>
      </c>
      <c r="G1503" s="245"/>
      <c r="H1503" s="239" t="s">
        <v>751</v>
      </c>
      <c r="I1503" s="246">
        <v>1284.8399999999999</v>
      </c>
      <c r="J1503" s="246"/>
      <c r="K1503" s="242" t="s">
        <v>8</v>
      </c>
      <c r="L1503" s="243">
        <v>7755283.8899999997</v>
      </c>
    </row>
    <row r="1504" spans="1:12" ht="51" x14ac:dyDescent="0.3">
      <c r="A1504" s="237" t="s">
        <v>328</v>
      </c>
      <c r="B1504" s="238" t="s">
        <v>2804</v>
      </c>
      <c r="C1504" s="238" t="s">
        <v>806</v>
      </c>
      <c r="D1504" s="238" t="s">
        <v>2807</v>
      </c>
      <c r="E1504" s="239" t="s">
        <v>105</v>
      </c>
      <c r="F1504" s="245" t="s">
        <v>15</v>
      </c>
      <c r="G1504" s="245"/>
      <c r="H1504" s="239" t="s">
        <v>751</v>
      </c>
      <c r="I1504" s="246">
        <v>10820.36</v>
      </c>
      <c r="J1504" s="246"/>
      <c r="K1504" s="242" t="s">
        <v>8</v>
      </c>
      <c r="L1504" s="243">
        <v>7744463.5300000003</v>
      </c>
    </row>
    <row r="1505" spans="1:12" ht="51" x14ac:dyDescent="0.3">
      <c r="A1505" s="237" t="s">
        <v>328</v>
      </c>
      <c r="B1505" s="238" t="s">
        <v>2804</v>
      </c>
      <c r="C1505" s="238" t="s">
        <v>806</v>
      </c>
      <c r="D1505" s="238" t="s">
        <v>2808</v>
      </c>
      <c r="E1505" s="239" t="s">
        <v>105</v>
      </c>
      <c r="F1505" s="245" t="s">
        <v>15</v>
      </c>
      <c r="G1505" s="245"/>
      <c r="H1505" s="239" t="s">
        <v>751</v>
      </c>
      <c r="I1505" s="246">
        <v>137760.22</v>
      </c>
      <c r="J1505" s="246"/>
      <c r="K1505" s="242" t="s">
        <v>8</v>
      </c>
      <c r="L1505" s="243">
        <v>7606703.3099999996</v>
      </c>
    </row>
    <row r="1506" spans="1:12" ht="51" x14ac:dyDescent="0.3">
      <c r="A1506" s="237" t="s">
        <v>328</v>
      </c>
      <c r="B1506" s="238" t="s">
        <v>2804</v>
      </c>
      <c r="C1506" s="238" t="s">
        <v>806</v>
      </c>
      <c r="D1506" s="238" t="s">
        <v>2809</v>
      </c>
      <c r="E1506" s="239" t="s">
        <v>105</v>
      </c>
      <c r="F1506" s="245" t="s">
        <v>15</v>
      </c>
      <c r="G1506" s="245"/>
      <c r="H1506" s="239" t="s">
        <v>751</v>
      </c>
      <c r="I1506" s="246">
        <v>127368.6</v>
      </c>
      <c r="J1506" s="246"/>
      <c r="K1506" s="242" t="s">
        <v>8</v>
      </c>
      <c r="L1506" s="243">
        <v>7479334.71</v>
      </c>
    </row>
    <row r="1507" spans="1:12" ht="61.2" x14ac:dyDescent="0.3">
      <c r="A1507" s="237" t="s">
        <v>328</v>
      </c>
      <c r="B1507" s="238" t="s">
        <v>2804</v>
      </c>
      <c r="C1507" s="238" t="s">
        <v>806</v>
      </c>
      <c r="D1507" s="238" t="s">
        <v>2810</v>
      </c>
      <c r="E1507" s="239" t="s">
        <v>105</v>
      </c>
      <c r="F1507" s="245" t="s">
        <v>15</v>
      </c>
      <c r="G1507" s="245"/>
      <c r="H1507" s="239" t="s">
        <v>751</v>
      </c>
      <c r="I1507" s="246">
        <v>58623.99</v>
      </c>
      <c r="J1507" s="246"/>
      <c r="K1507" s="242" t="s">
        <v>8</v>
      </c>
      <c r="L1507" s="243">
        <v>7420710.7199999997</v>
      </c>
    </row>
    <row r="1508" spans="1:12" ht="51" x14ac:dyDescent="0.3">
      <c r="A1508" s="237" t="s">
        <v>328</v>
      </c>
      <c r="B1508" s="238" t="s">
        <v>2804</v>
      </c>
      <c r="C1508" s="238" t="s">
        <v>806</v>
      </c>
      <c r="D1508" s="238" t="s">
        <v>2811</v>
      </c>
      <c r="E1508" s="239" t="s">
        <v>105</v>
      </c>
      <c r="F1508" s="245" t="s">
        <v>15</v>
      </c>
      <c r="G1508" s="245"/>
      <c r="H1508" s="239" t="s">
        <v>751</v>
      </c>
      <c r="I1508" s="247">
        <v>740.36</v>
      </c>
      <c r="J1508" s="247"/>
      <c r="K1508" s="242" t="s">
        <v>8</v>
      </c>
      <c r="L1508" s="243">
        <v>7419970.3600000003</v>
      </c>
    </row>
    <row r="1509" spans="1:12" ht="51" x14ac:dyDescent="0.3">
      <c r="A1509" s="237" t="s">
        <v>328</v>
      </c>
      <c r="B1509" s="238" t="s">
        <v>2804</v>
      </c>
      <c r="C1509" s="238" t="s">
        <v>806</v>
      </c>
      <c r="D1509" s="238" t="s">
        <v>2812</v>
      </c>
      <c r="E1509" s="239" t="s">
        <v>105</v>
      </c>
      <c r="F1509" s="245" t="s">
        <v>15</v>
      </c>
      <c r="G1509" s="245"/>
      <c r="H1509" s="239" t="s">
        <v>751</v>
      </c>
      <c r="I1509" s="247">
        <v>193.2</v>
      </c>
      <c r="J1509" s="247"/>
      <c r="K1509" s="242" t="s">
        <v>8</v>
      </c>
      <c r="L1509" s="243">
        <v>7419777.1600000001</v>
      </c>
    </row>
    <row r="1510" spans="1:12" ht="51" x14ac:dyDescent="0.3">
      <c r="A1510" s="237" t="s">
        <v>328</v>
      </c>
      <c r="B1510" s="238" t="s">
        <v>2804</v>
      </c>
      <c r="C1510" s="238" t="s">
        <v>806</v>
      </c>
      <c r="D1510" s="238" t="s">
        <v>2813</v>
      </c>
      <c r="E1510" s="239" t="s">
        <v>105</v>
      </c>
      <c r="F1510" s="245" t="s">
        <v>15</v>
      </c>
      <c r="G1510" s="245"/>
      <c r="H1510" s="239" t="s">
        <v>751</v>
      </c>
      <c r="I1510" s="246">
        <v>2061</v>
      </c>
      <c r="J1510" s="246"/>
      <c r="K1510" s="242" t="s">
        <v>8</v>
      </c>
      <c r="L1510" s="243">
        <v>7417716.1600000001</v>
      </c>
    </row>
    <row r="1511" spans="1:12" ht="51" x14ac:dyDescent="0.3">
      <c r="A1511" s="237" t="s">
        <v>328</v>
      </c>
      <c r="B1511" s="238" t="s">
        <v>2804</v>
      </c>
      <c r="C1511" s="238" t="s">
        <v>806</v>
      </c>
      <c r="D1511" s="238" t="s">
        <v>2814</v>
      </c>
      <c r="E1511" s="239" t="s">
        <v>105</v>
      </c>
      <c r="F1511" s="245" t="s">
        <v>15</v>
      </c>
      <c r="G1511" s="245"/>
      <c r="H1511" s="239" t="s">
        <v>751</v>
      </c>
      <c r="I1511" s="246">
        <v>5651.04</v>
      </c>
      <c r="J1511" s="246"/>
      <c r="K1511" s="242" t="s">
        <v>8</v>
      </c>
      <c r="L1511" s="243">
        <v>7412065.1200000001</v>
      </c>
    </row>
    <row r="1512" spans="1:12" ht="51" x14ac:dyDescent="0.3">
      <c r="A1512" s="237" t="s">
        <v>328</v>
      </c>
      <c r="B1512" s="238" t="s">
        <v>2804</v>
      </c>
      <c r="C1512" s="238" t="s">
        <v>806</v>
      </c>
      <c r="D1512" s="238" t="s">
        <v>2815</v>
      </c>
      <c r="E1512" s="239" t="s">
        <v>105</v>
      </c>
      <c r="F1512" s="245" t="s">
        <v>15</v>
      </c>
      <c r="G1512" s="245"/>
      <c r="H1512" s="239" t="s">
        <v>751</v>
      </c>
      <c r="I1512" s="246">
        <v>11942</v>
      </c>
      <c r="J1512" s="246"/>
      <c r="K1512" s="242" t="s">
        <v>8</v>
      </c>
      <c r="L1512" s="243">
        <v>7400123.1200000001</v>
      </c>
    </row>
    <row r="1513" spans="1:12" ht="51" x14ac:dyDescent="0.3">
      <c r="A1513" s="237" t="s">
        <v>328</v>
      </c>
      <c r="B1513" s="238" t="s">
        <v>2804</v>
      </c>
      <c r="C1513" s="238" t="s">
        <v>806</v>
      </c>
      <c r="D1513" s="238" t="s">
        <v>2816</v>
      </c>
      <c r="E1513" s="239" t="s">
        <v>105</v>
      </c>
      <c r="F1513" s="245" t="s">
        <v>15</v>
      </c>
      <c r="G1513" s="245"/>
      <c r="H1513" s="239" t="s">
        <v>751</v>
      </c>
      <c r="I1513" s="246">
        <v>11240.95</v>
      </c>
      <c r="J1513" s="246"/>
      <c r="K1513" s="242" t="s">
        <v>8</v>
      </c>
      <c r="L1513" s="243">
        <v>7388882.1699999999</v>
      </c>
    </row>
    <row r="1514" spans="1:12" ht="51" x14ac:dyDescent="0.3">
      <c r="A1514" s="237" t="s">
        <v>328</v>
      </c>
      <c r="B1514" s="238" t="s">
        <v>2804</v>
      </c>
      <c r="C1514" s="238" t="s">
        <v>806</v>
      </c>
      <c r="D1514" s="238" t="s">
        <v>2817</v>
      </c>
      <c r="E1514" s="239" t="s">
        <v>105</v>
      </c>
      <c r="F1514" s="245" t="s">
        <v>15</v>
      </c>
      <c r="G1514" s="245"/>
      <c r="H1514" s="239" t="s">
        <v>751</v>
      </c>
      <c r="I1514" s="247">
        <v>442</v>
      </c>
      <c r="J1514" s="247"/>
      <c r="K1514" s="242" t="s">
        <v>8</v>
      </c>
      <c r="L1514" s="243">
        <v>7388440.1699999999</v>
      </c>
    </row>
    <row r="1515" spans="1:12" ht="51" x14ac:dyDescent="0.3">
      <c r="A1515" s="237" t="s">
        <v>328</v>
      </c>
      <c r="B1515" s="238" t="s">
        <v>2804</v>
      </c>
      <c r="C1515" s="238" t="s">
        <v>806</v>
      </c>
      <c r="D1515" s="238" t="s">
        <v>2818</v>
      </c>
      <c r="E1515" s="239" t="s">
        <v>105</v>
      </c>
      <c r="F1515" s="245" t="s">
        <v>15</v>
      </c>
      <c r="G1515" s="245"/>
      <c r="H1515" s="239" t="s">
        <v>751</v>
      </c>
      <c r="I1515" s="247">
        <v>603.20000000000005</v>
      </c>
      <c r="J1515" s="247"/>
      <c r="K1515" s="242" t="s">
        <v>8</v>
      </c>
      <c r="L1515" s="243">
        <v>7387836.9699999997</v>
      </c>
    </row>
    <row r="1516" spans="1:12" ht="51" x14ac:dyDescent="0.3">
      <c r="A1516" s="237" t="s">
        <v>328</v>
      </c>
      <c r="B1516" s="238" t="s">
        <v>2804</v>
      </c>
      <c r="C1516" s="238" t="s">
        <v>806</v>
      </c>
      <c r="D1516" s="238" t="s">
        <v>2819</v>
      </c>
      <c r="E1516" s="239" t="s">
        <v>105</v>
      </c>
      <c r="F1516" s="245" t="s">
        <v>15</v>
      </c>
      <c r="G1516" s="245"/>
      <c r="H1516" s="239" t="s">
        <v>751</v>
      </c>
      <c r="I1516" s="246">
        <v>12364.02</v>
      </c>
      <c r="J1516" s="246"/>
      <c r="K1516" s="242" t="s">
        <v>8</v>
      </c>
      <c r="L1516" s="243">
        <v>7375472.9500000002</v>
      </c>
    </row>
    <row r="1517" spans="1:12" ht="51" x14ac:dyDescent="0.3">
      <c r="A1517" s="237" t="s">
        <v>328</v>
      </c>
      <c r="B1517" s="238" t="s">
        <v>2804</v>
      </c>
      <c r="C1517" s="238" t="s">
        <v>806</v>
      </c>
      <c r="D1517" s="238" t="s">
        <v>2820</v>
      </c>
      <c r="E1517" s="239" t="s">
        <v>105</v>
      </c>
      <c r="F1517" s="245" t="s">
        <v>15</v>
      </c>
      <c r="G1517" s="245"/>
      <c r="H1517" s="239" t="s">
        <v>751</v>
      </c>
      <c r="I1517" s="247">
        <v>150</v>
      </c>
      <c r="J1517" s="247"/>
      <c r="K1517" s="242" t="s">
        <v>8</v>
      </c>
      <c r="L1517" s="243">
        <v>7375322.9500000002</v>
      </c>
    </row>
    <row r="1518" spans="1:12" ht="51" x14ac:dyDescent="0.3">
      <c r="A1518" s="237" t="s">
        <v>328</v>
      </c>
      <c r="B1518" s="238" t="s">
        <v>2804</v>
      </c>
      <c r="C1518" s="238" t="s">
        <v>806</v>
      </c>
      <c r="D1518" s="238" t="s">
        <v>2821</v>
      </c>
      <c r="E1518" s="239" t="s">
        <v>105</v>
      </c>
      <c r="F1518" s="245" t="s">
        <v>15</v>
      </c>
      <c r="G1518" s="245"/>
      <c r="H1518" s="239" t="s">
        <v>751</v>
      </c>
      <c r="I1518" s="246">
        <v>2922</v>
      </c>
      <c r="J1518" s="246"/>
      <c r="K1518" s="242" t="s">
        <v>8</v>
      </c>
      <c r="L1518" s="243">
        <v>7372400.9500000002</v>
      </c>
    </row>
    <row r="1519" spans="1:12" ht="51" x14ac:dyDescent="0.3">
      <c r="A1519" s="237" t="s">
        <v>328</v>
      </c>
      <c r="B1519" s="238" t="s">
        <v>2804</v>
      </c>
      <c r="C1519" s="238" t="s">
        <v>806</v>
      </c>
      <c r="D1519" s="238" t="s">
        <v>1608</v>
      </c>
      <c r="E1519" s="239" t="s">
        <v>105</v>
      </c>
      <c r="F1519" s="245" t="s">
        <v>15</v>
      </c>
      <c r="G1519" s="245"/>
      <c r="H1519" s="239" t="s">
        <v>751</v>
      </c>
      <c r="I1519" s="246">
        <v>11604.99</v>
      </c>
      <c r="J1519" s="246"/>
      <c r="K1519" s="242" t="s">
        <v>8</v>
      </c>
      <c r="L1519" s="243">
        <v>7360795.96</v>
      </c>
    </row>
    <row r="1520" spans="1:12" ht="51" x14ac:dyDescent="0.3">
      <c r="A1520" s="237" t="s">
        <v>328</v>
      </c>
      <c r="B1520" s="238" t="s">
        <v>2804</v>
      </c>
      <c r="C1520" s="238" t="s">
        <v>806</v>
      </c>
      <c r="D1520" s="238" t="s">
        <v>2822</v>
      </c>
      <c r="E1520" s="239" t="s">
        <v>105</v>
      </c>
      <c r="F1520" s="245" t="s">
        <v>15</v>
      </c>
      <c r="G1520" s="245"/>
      <c r="H1520" s="239" t="s">
        <v>751</v>
      </c>
      <c r="I1520" s="246">
        <v>1681.15</v>
      </c>
      <c r="J1520" s="246"/>
      <c r="K1520" s="242" t="s">
        <v>8</v>
      </c>
      <c r="L1520" s="243">
        <v>7359114.8099999996</v>
      </c>
    </row>
    <row r="1521" spans="1:12" ht="51" x14ac:dyDescent="0.3">
      <c r="A1521" s="237" t="s">
        <v>328</v>
      </c>
      <c r="B1521" s="238" t="s">
        <v>2823</v>
      </c>
      <c r="C1521" s="238" t="s">
        <v>806</v>
      </c>
      <c r="D1521" s="238" t="s">
        <v>1887</v>
      </c>
      <c r="E1521" s="239" t="s">
        <v>105</v>
      </c>
      <c r="F1521" s="245" t="s">
        <v>15</v>
      </c>
      <c r="G1521" s="245"/>
      <c r="H1521" s="239" t="s">
        <v>751</v>
      </c>
      <c r="I1521" s="246">
        <v>76753.929999999993</v>
      </c>
      <c r="J1521" s="246"/>
      <c r="K1521" s="242" t="s">
        <v>8</v>
      </c>
      <c r="L1521" s="243">
        <v>6416892.4800000004</v>
      </c>
    </row>
    <row r="1522" spans="1:12" ht="51" x14ac:dyDescent="0.3">
      <c r="A1522" s="237" t="s">
        <v>328</v>
      </c>
      <c r="B1522" s="238" t="s">
        <v>2823</v>
      </c>
      <c r="C1522" s="238" t="s">
        <v>806</v>
      </c>
      <c r="D1522" s="238" t="s">
        <v>2089</v>
      </c>
      <c r="E1522" s="239" t="s">
        <v>105</v>
      </c>
      <c r="F1522" s="245" t="s">
        <v>15</v>
      </c>
      <c r="G1522" s="245"/>
      <c r="H1522" s="239" t="s">
        <v>751</v>
      </c>
      <c r="I1522" s="246">
        <v>31754.7</v>
      </c>
      <c r="J1522" s="246"/>
      <c r="K1522" s="242" t="s">
        <v>8</v>
      </c>
      <c r="L1522" s="243">
        <v>6385137.7800000003</v>
      </c>
    </row>
    <row r="1523" spans="1:12" ht="51" x14ac:dyDescent="0.3">
      <c r="A1523" s="237" t="s">
        <v>328</v>
      </c>
      <c r="B1523" s="238" t="s">
        <v>2823</v>
      </c>
      <c r="C1523" s="238" t="s">
        <v>806</v>
      </c>
      <c r="D1523" s="238" t="s">
        <v>2089</v>
      </c>
      <c r="E1523" s="239" t="s">
        <v>105</v>
      </c>
      <c r="F1523" s="245" t="s">
        <v>15</v>
      </c>
      <c r="G1523" s="245"/>
      <c r="H1523" s="239" t="s">
        <v>751</v>
      </c>
      <c r="I1523" s="246">
        <v>79732.75</v>
      </c>
      <c r="J1523" s="246"/>
      <c r="K1523" s="242" t="s">
        <v>8</v>
      </c>
      <c r="L1523" s="243">
        <v>6305405.0300000003</v>
      </c>
    </row>
    <row r="1524" spans="1:12" ht="51" x14ac:dyDescent="0.3">
      <c r="A1524" s="237" t="s">
        <v>328</v>
      </c>
      <c r="B1524" s="238" t="s">
        <v>2823</v>
      </c>
      <c r="C1524" s="238" t="s">
        <v>806</v>
      </c>
      <c r="D1524" s="238" t="s">
        <v>2115</v>
      </c>
      <c r="E1524" s="239" t="s">
        <v>105</v>
      </c>
      <c r="F1524" s="245" t="s">
        <v>15</v>
      </c>
      <c r="G1524" s="245"/>
      <c r="H1524" s="239" t="s">
        <v>751</v>
      </c>
      <c r="I1524" s="246">
        <v>43516.639999999999</v>
      </c>
      <c r="J1524" s="246"/>
      <c r="K1524" s="242" t="s">
        <v>8</v>
      </c>
      <c r="L1524" s="243">
        <v>6261888.3899999997</v>
      </c>
    </row>
    <row r="1525" spans="1:12" ht="51" x14ac:dyDescent="0.3">
      <c r="A1525" s="237" t="s">
        <v>328</v>
      </c>
      <c r="B1525" s="238" t="s">
        <v>2823</v>
      </c>
      <c r="C1525" s="238" t="s">
        <v>806</v>
      </c>
      <c r="D1525" s="238" t="s">
        <v>2115</v>
      </c>
      <c r="E1525" s="239" t="s">
        <v>105</v>
      </c>
      <c r="F1525" s="245" t="s">
        <v>15</v>
      </c>
      <c r="G1525" s="245"/>
      <c r="H1525" s="239" t="s">
        <v>751</v>
      </c>
      <c r="I1525" s="246">
        <v>92753.05</v>
      </c>
      <c r="J1525" s="246"/>
      <c r="K1525" s="242" t="s">
        <v>8</v>
      </c>
      <c r="L1525" s="243">
        <v>6169135.3399999999</v>
      </c>
    </row>
    <row r="1526" spans="1:12" ht="51" x14ac:dyDescent="0.3">
      <c r="A1526" s="237" t="s">
        <v>328</v>
      </c>
      <c r="B1526" s="238" t="s">
        <v>2823</v>
      </c>
      <c r="C1526" s="238" t="s">
        <v>806</v>
      </c>
      <c r="D1526" s="238" t="s">
        <v>2115</v>
      </c>
      <c r="E1526" s="239" t="s">
        <v>105</v>
      </c>
      <c r="F1526" s="245" t="s">
        <v>15</v>
      </c>
      <c r="G1526" s="245"/>
      <c r="H1526" s="239" t="s">
        <v>751</v>
      </c>
      <c r="I1526" s="246">
        <v>20251.080000000002</v>
      </c>
      <c r="J1526" s="246"/>
      <c r="K1526" s="242" t="s">
        <v>8</v>
      </c>
      <c r="L1526" s="243">
        <v>6148884.2599999998</v>
      </c>
    </row>
    <row r="1527" spans="1:12" ht="51" x14ac:dyDescent="0.3">
      <c r="A1527" s="237" t="s">
        <v>328</v>
      </c>
      <c r="B1527" s="238" t="s">
        <v>2823</v>
      </c>
      <c r="C1527" s="238" t="s">
        <v>806</v>
      </c>
      <c r="D1527" s="238" t="s">
        <v>2115</v>
      </c>
      <c r="E1527" s="239" t="s">
        <v>105</v>
      </c>
      <c r="F1527" s="245" t="s">
        <v>15</v>
      </c>
      <c r="G1527" s="245"/>
      <c r="H1527" s="239" t="s">
        <v>751</v>
      </c>
      <c r="I1527" s="246">
        <v>13526.49</v>
      </c>
      <c r="J1527" s="246"/>
      <c r="K1527" s="242" t="s">
        <v>8</v>
      </c>
      <c r="L1527" s="243">
        <v>6135357.7699999996</v>
      </c>
    </row>
    <row r="1528" spans="1:12" ht="51" x14ac:dyDescent="0.3">
      <c r="A1528" s="237" t="s">
        <v>328</v>
      </c>
      <c r="B1528" s="238" t="s">
        <v>2823</v>
      </c>
      <c r="C1528" s="238" t="s">
        <v>806</v>
      </c>
      <c r="D1528" s="238" t="s">
        <v>2415</v>
      </c>
      <c r="E1528" s="239" t="s">
        <v>105</v>
      </c>
      <c r="F1528" s="245" t="s">
        <v>15</v>
      </c>
      <c r="G1528" s="245"/>
      <c r="H1528" s="239" t="s">
        <v>751</v>
      </c>
      <c r="I1528" s="246">
        <v>99578.28</v>
      </c>
      <c r="J1528" s="246"/>
      <c r="K1528" s="242" t="s">
        <v>8</v>
      </c>
      <c r="L1528" s="243">
        <v>6035779.4900000002</v>
      </c>
    </row>
    <row r="1529" spans="1:12" ht="51" x14ac:dyDescent="0.3">
      <c r="A1529" s="237" t="s">
        <v>328</v>
      </c>
      <c r="B1529" s="238" t="s">
        <v>2823</v>
      </c>
      <c r="C1529" s="238" t="s">
        <v>806</v>
      </c>
      <c r="D1529" s="238" t="s">
        <v>2735</v>
      </c>
      <c r="E1529" s="239" t="s">
        <v>105</v>
      </c>
      <c r="F1529" s="245" t="s">
        <v>15</v>
      </c>
      <c r="G1529" s="245"/>
      <c r="H1529" s="239" t="s">
        <v>751</v>
      </c>
      <c r="I1529" s="246">
        <v>114377.75</v>
      </c>
      <c r="J1529" s="246"/>
      <c r="K1529" s="242" t="s">
        <v>8</v>
      </c>
      <c r="L1529" s="243">
        <v>5921401.7400000002</v>
      </c>
    </row>
    <row r="1530" spans="1:12" ht="51" x14ac:dyDescent="0.3">
      <c r="A1530" s="237" t="s">
        <v>328</v>
      </c>
      <c r="B1530" s="238" t="s">
        <v>2823</v>
      </c>
      <c r="C1530" s="238" t="s">
        <v>806</v>
      </c>
      <c r="D1530" s="238" t="s">
        <v>2737</v>
      </c>
      <c r="E1530" s="239" t="s">
        <v>105</v>
      </c>
      <c r="F1530" s="245" t="s">
        <v>15</v>
      </c>
      <c r="G1530" s="245"/>
      <c r="H1530" s="239" t="s">
        <v>751</v>
      </c>
      <c r="I1530" s="246">
        <v>1558.97</v>
      </c>
      <c r="J1530" s="246"/>
      <c r="K1530" s="242" t="s">
        <v>8</v>
      </c>
      <c r="L1530" s="243">
        <v>5919842.7699999996</v>
      </c>
    </row>
    <row r="1531" spans="1:12" ht="51" x14ac:dyDescent="0.3">
      <c r="A1531" s="237" t="s">
        <v>328</v>
      </c>
      <c r="B1531" s="238" t="s">
        <v>2823</v>
      </c>
      <c r="C1531" s="238" t="s">
        <v>806</v>
      </c>
      <c r="D1531" s="238" t="s">
        <v>2739</v>
      </c>
      <c r="E1531" s="239" t="s">
        <v>105</v>
      </c>
      <c r="F1531" s="245" t="s">
        <v>15</v>
      </c>
      <c r="G1531" s="245"/>
      <c r="H1531" s="239" t="s">
        <v>751</v>
      </c>
      <c r="I1531" s="247">
        <v>971.33</v>
      </c>
      <c r="J1531" s="247"/>
      <c r="K1531" s="242" t="s">
        <v>8</v>
      </c>
      <c r="L1531" s="243">
        <v>5918871.4400000004</v>
      </c>
    </row>
    <row r="1532" spans="1:12" ht="51" x14ac:dyDescent="0.3">
      <c r="A1532" s="237" t="s">
        <v>328</v>
      </c>
      <c r="B1532" s="238" t="s">
        <v>2823</v>
      </c>
      <c r="C1532" s="238" t="s">
        <v>806</v>
      </c>
      <c r="D1532" s="238" t="s">
        <v>2764</v>
      </c>
      <c r="E1532" s="239" t="s">
        <v>105</v>
      </c>
      <c r="F1532" s="245" t="s">
        <v>15</v>
      </c>
      <c r="G1532" s="245"/>
      <c r="H1532" s="239" t="s">
        <v>751</v>
      </c>
      <c r="I1532" s="247">
        <v>217.35</v>
      </c>
      <c r="J1532" s="247"/>
      <c r="K1532" s="242" t="s">
        <v>8</v>
      </c>
      <c r="L1532" s="243">
        <v>5918654.0899999999</v>
      </c>
    </row>
    <row r="1533" spans="1:12" ht="51" x14ac:dyDescent="0.3">
      <c r="A1533" s="237" t="s">
        <v>328</v>
      </c>
      <c r="B1533" s="238" t="s">
        <v>2823</v>
      </c>
      <c r="C1533" s="238" t="s">
        <v>806</v>
      </c>
      <c r="D1533" s="238" t="s">
        <v>2765</v>
      </c>
      <c r="E1533" s="239" t="s">
        <v>105</v>
      </c>
      <c r="F1533" s="245" t="s">
        <v>15</v>
      </c>
      <c r="G1533" s="245"/>
      <c r="H1533" s="239" t="s">
        <v>751</v>
      </c>
      <c r="I1533" s="247">
        <v>41.38</v>
      </c>
      <c r="J1533" s="247"/>
      <c r="K1533" s="242" t="s">
        <v>8</v>
      </c>
      <c r="L1533" s="243">
        <v>5918612.71</v>
      </c>
    </row>
    <row r="1534" spans="1:12" ht="61.2" x14ac:dyDescent="0.3">
      <c r="A1534" s="237" t="s">
        <v>328</v>
      </c>
      <c r="B1534" s="238" t="s">
        <v>2823</v>
      </c>
      <c r="C1534" s="238" t="s">
        <v>806</v>
      </c>
      <c r="D1534" s="238" t="s">
        <v>2741</v>
      </c>
      <c r="E1534" s="239" t="s">
        <v>105</v>
      </c>
      <c r="F1534" s="245" t="s">
        <v>15</v>
      </c>
      <c r="G1534" s="245"/>
      <c r="H1534" s="239" t="s">
        <v>751</v>
      </c>
      <c r="I1534" s="246">
        <v>1022.23</v>
      </c>
      <c r="J1534" s="246"/>
      <c r="K1534" s="242" t="s">
        <v>8</v>
      </c>
      <c r="L1534" s="243">
        <v>5917590.4800000004</v>
      </c>
    </row>
    <row r="1535" spans="1:12" ht="51" x14ac:dyDescent="0.3">
      <c r="A1535" s="237" t="s">
        <v>328</v>
      </c>
      <c r="B1535" s="238" t="s">
        <v>2823</v>
      </c>
      <c r="C1535" s="238" t="s">
        <v>806</v>
      </c>
      <c r="D1535" s="238" t="s">
        <v>2766</v>
      </c>
      <c r="E1535" s="239" t="s">
        <v>105</v>
      </c>
      <c r="F1535" s="245" t="s">
        <v>15</v>
      </c>
      <c r="G1535" s="245"/>
      <c r="H1535" s="239" t="s">
        <v>751</v>
      </c>
      <c r="I1535" s="246">
        <v>41215.370000000003</v>
      </c>
      <c r="J1535" s="246"/>
      <c r="K1535" s="242" t="s">
        <v>8</v>
      </c>
      <c r="L1535" s="243">
        <v>5876375.1100000003</v>
      </c>
    </row>
    <row r="1536" spans="1:12" ht="61.2" x14ac:dyDescent="0.3">
      <c r="A1536" s="237" t="s">
        <v>328</v>
      </c>
      <c r="B1536" s="238" t="s">
        <v>2823</v>
      </c>
      <c r="C1536" s="238" t="s">
        <v>806</v>
      </c>
      <c r="D1536" s="238" t="s">
        <v>2767</v>
      </c>
      <c r="E1536" s="239" t="s">
        <v>105</v>
      </c>
      <c r="F1536" s="245" t="s">
        <v>15</v>
      </c>
      <c r="G1536" s="245"/>
      <c r="H1536" s="239" t="s">
        <v>751</v>
      </c>
      <c r="I1536" s="246">
        <v>88117.79</v>
      </c>
      <c r="J1536" s="246"/>
      <c r="K1536" s="242" t="s">
        <v>8</v>
      </c>
      <c r="L1536" s="243">
        <v>5788257.3200000003</v>
      </c>
    </row>
    <row r="1537" spans="1:12" ht="51" x14ac:dyDescent="0.3">
      <c r="A1537" s="237" t="s">
        <v>328</v>
      </c>
      <c r="B1537" s="238" t="s">
        <v>2823</v>
      </c>
      <c r="C1537" s="238" t="s">
        <v>806</v>
      </c>
      <c r="D1537" s="238" t="s">
        <v>2743</v>
      </c>
      <c r="E1537" s="239" t="s">
        <v>105</v>
      </c>
      <c r="F1537" s="245" t="s">
        <v>15</v>
      </c>
      <c r="G1537" s="245"/>
      <c r="H1537" s="239" t="s">
        <v>751</v>
      </c>
      <c r="I1537" s="246">
        <v>1177.1600000000001</v>
      </c>
      <c r="J1537" s="246"/>
      <c r="K1537" s="242" t="s">
        <v>8</v>
      </c>
      <c r="L1537" s="243">
        <v>5787080.1600000001</v>
      </c>
    </row>
    <row r="1538" spans="1:12" ht="61.2" x14ac:dyDescent="0.3">
      <c r="A1538" s="237" t="s">
        <v>328</v>
      </c>
      <c r="B1538" s="238" t="s">
        <v>2824</v>
      </c>
      <c r="C1538" s="238" t="s">
        <v>806</v>
      </c>
      <c r="D1538" s="238" t="s">
        <v>2825</v>
      </c>
      <c r="E1538" s="239" t="s">
        <v>105</v>
      </c>
      <c r="F1538" s="245" t="s">
        <v>15</v>
      </c>
      <c r="G1538" s="245"/>
      <c r="H1538" s="239" t="s">
        <v>751</v>
      </c>
      <c r="I1538" s="246">
        <v>454255.2</v>
      </c>
      <c r="J1538" s="246"/>
      <c r="K1538" s="242" t="s">
        <v>8</v>
      </c>
      <c r="L1538" s="243">
        <v>2512836.1</v>
      </c>
    </row>
    <row r="1539" spans="1:12" ht="51" x14ac:dyDescent="0.3">
      <c r="A1539" s="237" t="s">
        <v>328</v>
      </c>
      <c r="B1539" s="238" t="s">
        <v>2824</v>
      </c>
      <c r="C1539" s="238" t="s">
        <v>806</v>
      </c>
      <c r="D1539" s="238" t="s">
        <v>2826</v>
      </c>
      <c r="E1539" s="239" t="s">
        <v>105</v>
      </c>
      <c r="F1539" s="245" t="s">
        <v>15</v>
      </c>
      <c r="G1539" s="245"/>
      <c r="H1539" s="239" t="s">
        <v>751</v>
      </c>
      <c r="I1539" s="246">
        <v>24227.15</v>
      </c>
      <c r="J1539" s="246"/>
      <c r="K1539" s="242" t="s">
        <v>8</v>
      </c>
      <c r="L1539" s="243">
        <v>2488608.9500000002</v>
      </c>
    </row>
    <row r="1540" spans="1:12" ht="51" x14ac:dyDescent="0.3">
      <c r="A1540" s="237" t="s">
        <v>328</v>
      </c>
      <c r="B1540" s="238" t="s">
        <v>2824</v>
      </c>
      <c r="C1540" s="238" t="s">
        <v>806</v>
      </c>
      <c r="D1540" s="238" t="s">
        <v>2827</v>
      </c>
      <c r="E1540" s="239" t="s">
        <v>105</v>
      </c>
      <c r="F1540" s="245" t="s">
        <v>15</v>
      </c>
      <c r="G1540" s="245"/>
      <c r="H1540" s="239" t="s">
        <v>751</v>
      </c>
      <c r="I1540" s="247">
        <v>172.17</v>
      </c>
      <c r="J1540" s="247"/>
      <c r="K1540" s="242" t="s">
        <v>8</v>
      </c>
      <c r="L1540" s="243">
        <v>2488436.7799999998</v>
      </c>
    </row>
    <row r="1541" spans="1:12" ht="51" x14ac:dyDescent="0.3">
      <c r="A1541" s="237" t="s">
        <v>328</v>
      </c>
      <c r="B1541" s="238" t="s">
        <v>2824</v>
      </c>
      <c r="C1541" s="238" t="s">
        <v>806</v>
      </c>
      <c r="D1541" s="238" t="s">
        <v>2828</v>
      </c>
      <c r="E1541" s="239" t="s">
        <v>105</v>
      </c>
      <c r="F1541" s="245" t="s">
        <v>15</v>
      </c>
      <c r="G1541" s="245"/>
      <c r="H1541" s="239" t="s">
        <v>751</v>
      </c>
      <c r="I1541" s="247">
        <v>230.91</v>
      </c>
      <c r="J1541" s="247"/>
      <c r="K1541" s="242" t="s">
        <v>8</v>
      </c>
      <c r="L1541" s="243">
        <v>2488205.87</v>
      </c>
    </row>
    <row r="1542" spans="1:12" ht="51" x14ac:dyDescent="0.3">
      <c r="A1542" s="237" t="s">
        <v>328</v>
      </c>
      <c r="B1542" s="238" t="s">
        <v>2824</v>
      </c>
      <c r="C1542" s="238" t="s">
        <v>806</v>
      </c>
      <c r="D1542" s="238" t="s">
        <v>2829</v>
      </c>
      <c r="E1542" s="239" t="s">
        <v>105</v>
      </c>
      <c r="F1542" s="245" t="s">
        <v>15</v>
      </c>
      <c r="G1542" s="245"/>
      <c r="H1542" s="239" t="s">
        <v>751</v>
      </c>
      <c r="I1542" s="246">
        <v>3693.8</v>
      </c>
      <c r="J1542" s="246"/>
      <c r="K1542" s="242" t="s">
        <v>8</v>
      </c>
      <c r="L1542" s="243">
        <v>2484512.0699999998</v>
      </c>
    </row>
    <row r="1543" spans="1:12" ht="51" x14ac:dyDescent="0.3">
      <c r="A1543" s="237" t="s">
        <v>328</v>
      </c>
      <c r="B1543" s="238" t="s">
        <v>2824</v>
      </c>
      <c r="C1543" s="238" t="s">
        <v>806</v>
      </c>
      <c r="D1543" s="238" t="s">
        <v>2745</v>
      </c>
      <c r="E1543" s="239" t="s">
        <v>105</v>
      </c>
      <c r="F1543" s="245" t="s">
        <v>15</v>
      </c>
      <c r="G1543" s="245"/>
      <c r="H1543" s="239" t="s">
        <v>751</v>
      </c>
      <c r="I1543" s="246">
        <v>1167.44</v>
      </c>
      <c r="J1543" s="246"/>
      <c r="K1543" s="242" t="s">
        <v>8</v>
      </c>
      <c r="L1543" s="243">
        <v>2483344.63</v>
      </c>
    </row>
    <row r="1544" spans="1:12" ht="51" x14ac:dyDescent="0.3">
      <c r="A1544" s="237" t="s">
        <v>328</v>
      </c>
      <c r="B1544" s="238" t="s">
        <v>2824</v>
      </c>
      <c r="C1544" s="238" t="s">
        <v>806</v>
      </c>
      <c r="D1544" s="238" t="s">
        <v>1296</v>
      </c>
      <c r="E1544" s="239" t="s">
        <v>105</v>
      </c>
      <c r="F1544" s="245" t="s">
        <v>15</v>
      </c>
      <c r="G1544" s="245"/>
      <c r="H1544" s="239" t="s">
        <v>751</v>
      </c>
      <c r="I1544" s="246">
        <v>37425.79</v>
      </c>
      <c r="J1544" s="246"/>
      <c r="K1544" s="242" t="s">
        <v>8</v>
      </c>
      <c r="L1544" s="243">
        <v>2445918.84</v>
      </c>
    </row>
    <row r="1545" spans="1:12" ht="51" x14ac:dyDescent="0.3">
      <c r="A1545" s="237" t="s">
        <v>328</v>
      </c>
      <c r="B1545" s="238" t="s">
        <v>2824</v>
      </c>
      <c r="C1545" s="238" t="s">
        <v>806</v>
      </c>
      <c r="D1545" s="238" t="s">
        <v>2830</v>
      </c>
      <c r="E1545" s="239" t="s">
        <v>105</v>
      </c>
      <c r="F1545" s="245" t="s">
        <v>15</v>
      </c>
      <c r="G1545" s="245"/>
      <c r="H1545" s="239" t="s">
        <v>751</v>
      </c>
      <c r="I1545" s="247">
        <v>620</v>
      </c>
      <c r="J1545" s="247"/>
      <c r="K1545" s="242" t="s">
        <v>8</v>
      </c>
      <c r="L1545" s="243">
        <v>2445298.84</v>
      </c>
    </row>
    <row r="1546" spans="1:12" ht="51" x14ac:dyDescent="0.3">
      <c r="A1546" s="237" t="s">
        <v>328</v>
      </c>
      <c r="B1546" s="238" t="s">
        <v>2824</v>
      </c>
      <c r="C1546" s="238" t="s">
        <v>806</v>
      </c>
      <c r="D1546" s="238" t="s">
        <v>2749</v>
      </c>
      <c r="E1546" s="239" t="s">
        <v>105</v>
      </c>
      <c r="F1546" s="245" t="s">
        <v>15</v>
      </c>
      <c r="G1546" s="245"/>
      <c r="H1546" s="239" t="s">
        <v>751</v>
      </c>
      <c r="I1546" s="246">
        <v>5044.05</v>
      </c>
      <c r="J1546" s="246"/>
      <c r="K1546" s="242" t="s">
        <v>8</v>
      </c>
      <c r="L1546" s="243">
        <v>2440254.79</v>
      </c>
    </row>
    <row r="1547" spans="1:12" ht="51" x14ac:dyDescent="0.3">
      <c r="A1547" s="237" t="s">
        <v>328</v>
      </c>
      <c r="B1547" s="238" t="s">
        <v>2824</v>
      </c>
      <c r="C1547" s="238" t="s">
        <v>806</v>
      </c>
      <c r="D1547" s="238" t="s">
        <v>2749</v>
      </c>
      <c r="E1547" s="239" t="s">
        <v>105</v>
      </c>
      <c r="F1547" s="245" t="s">
        <v>15</v>
      </c>
      <c r="G1547" s="245"/>
      <c r="H1547" s="239" t="s">
        <v>751</v>
      </c>
      <c r="I1547" s="246">
        <v>1126.95</v>
      </c>
      <c r="J1547" s="246"/>
      <c r="K1547" s="242" t="s">
        <v>8</v>
      </c>
      <c r="L1547" s="243">
        <v>2439127.84</v>
      </c>
    </row>
    <row r="1548" spans="1:12" ht="51" x14ac:dyDescent="0.3">
      <c r="A1548" s="237" t="s">
        <v>328</v>
      </c>
      <c r="B1548" s="238" t="s">
        <v>2824</v>
      </c>
      <c r="C1548" s="238" t="s">
        <v>806</v>
      </c>
      <c r="D1548" s="238" t="s">
        <v>2831</v>
      </c>
      <c r="E1548" s="239" t="s">
        <v>105</v>
      </c>
      <c r="F1548" s="245" t="s">
        <v>15</v>
      </c>
      <c r="G1548" s="245"/>
      <c r="H1548" s="239" t="s">
        <v>751</v>
      </c>
      <c r="I1548" s="246">
        <v>10000.01</v>
      </c>
      <c r="J1548" s="246"/>
      <c r="K1548" s="242" t="s">
        <v>8</v>
      </c>
      <c r="L1548" s="243">
        <v>2429127.83</v>
      </c>
    </row>
    <row r="1549" spans="1:12" ht="51" x14ac:dyDescent="0.3">
      <c r="A1549" s="237" t="s">
        <v>328</v>
      </c>
      <c r="B1549" s="238" t="s">
        <v>2824</v>
      </c>
      <c r="C1549" s="238" t="s">
        <v>806</v>
      </c>
      <c r="D1549" s="238" t="s">
        <v>2832</v>
      </c>
      <c r="E1549" s="239" t="s">
        <v>105</v>
      </c>
      <c r="F1549" s="245" t="s">
        <v>15</v>
      </c>
      <c r="G1549" s="245"/>
      <c r="H1549" s="239" t="s">
        <v>751</v>
      </c>
      <c r="I1549" s="246">
        <v>3333.34</v>
      </c>
      <c r="J1549" s="246"/>
      <c r="K1549" s="242" t="s">
        <v>8</v>
      </c>
      <c r="L1549" s="243">
        <v>2425794.4900000002</v>
      </c>
    </row>
    <row r="1550" spans="1:12" ht="51" x14ac:dyDescent="0.3">
      <c r="A1550" s="237" t="s">
        <v>328</v>
      </c>
      <c r="B1550" s="238" t="s">
        <v>2824</v>
      </c>
      <c r="C1550" s="238" t="s">
        <v>806</v>
      </c>
      <c r="D1550" s="238" t="s">
        <v>2833</v>
      </c>
      <c r="E1550" s="239" t="s">
        <v>105</v>
      </c>
      <c r="F1550" s="245" t="s">
        <v>15</v>
      </c>
      <c r="G1550" s="245"/>
      <c r="H1550" s="239" t="s">
        <v>751</v>
      </c>
      <c r="I1550" s="246">
        <v>10600</v>
      </c>
      <c r="J1550" s="246"/>
      <c r="K1550" s="242" t="s">
        <v>8</v>
      </c>
      <c r="L1550" s="243">
        <v>2415194.4900000002</v>
      </c>
    </row>
    <row r="1551" spans="1:12" ht="51" x14ac:dyDescent="0.3">
      <c r="A1551" s="237" t="s">
        <v>328</v>
      </c>
      <c r="B1551" s="238" t="s">
        <v>2824</v>
      </c>
      <c r="C1551" s="238" t="s">
        <v>806</v>
      </c>
      <c r="D1551" s="238" t="s">
        <v>2834</v>
      </c>
      <c r="E1551" s="239" t="s">
        <v>105</v>
      </c>
      <c r="F1551" s="245" t="s">
        <v>15</v>
      </c>
      <c r="G1551" s="245"/>
      <c r="H1551" s="239" t="s">
        <v>751</v>
      </c>
      <c r="I1551" s="246">
        <v>1648.69</v>
      </c>
      <c r="J1551" s="246"/>
      <c r="K1551" s="242" t="s">
        <v>8</v>
      </c>
      <c r="L1551" s="243">
        <v>2413545.7999999998</v>
      </c>
    </row>
    <row r="1552" spans="1:12" ht="51" x14ac:dyDescent="0.3">
      <c r="A1552" s="237" t="s">
        <v>328</v>
      </c>
      <c r="B1552" s="238" t="s">
        <v>2835</v>
      </c>
      <c r="C1552" s="238" t="s">
        <v>806</v>
      </c>
      <c r="D1552" s="238" t="s">
        <v>2836</v>
      </c>
      <c r="E1552" s="239" t="s">
        <v>105</v>
      </c>
      <c r="F1552" s="245" t="s">
        <v>15</v>
      </c>
      <c r="G1552" s="245"/>
      <c r="H1552" s="239" t="s">
        <v>751</v>
      </c>
      <c r="I1552" s="246">
        <v>4968.09</v>
      </c>
      <c r="J1552" s="246"/>
      <c r="K1552" s="242" t="s">
        <v>8</v>
      </c>
      <c r="L1552" s="243">
        <v>7354146.7199999997</v>
      </c>
    </row>
    <row r="1553" spans="1:12" ht="51" x14ac:dyDescent="0.3">
      <c r="A1553" s="237" t="s">
        <v>328</v>
      </c>
      <c r="B1553" s="238" t="s">
        <v>2835</v>
      </c>
      <c r="C1553" s="238" t="s">
        <v>806</v>
      </c>
      <c r="D1553" s="238" t="s">
        <v>2753</v>
      </c>
      <c r="E1553" s="239" t="s">
        <v>105</v>
      </c>
      <c r="F1553" s="245" t="s">
        <v>15</v>
      </c>
      <c r="G1553" s="245"/>
      <c r="H1553" s="239" t="s">
        <v>751</v>
      </c>
      <c r="I1553" s="246">
        <v>4374.0200000000004</v>
      </c>
      <c r="J1553" s="246"/>
      <c r="K1553" s="242" t="s">
        <v>8</v>
      </c>
      <c r="L1553" s="243">
        <v>7349772.7000000002</v>
      </c>
    </row>
    <row r="1554" spans="1:12" ht="51" x14ac:dyDescent="0.3">
      <c r="A1554" s="237" t="s">
        <v>328</v>
      </c>
      <c r="B1554" s="238" t="s">
        <v>2835</v>
      </c>
      <c r="C1554" s="238" t="s">
        <v>806</v>
      </c>
      <c r="D1554" s="238" t="s">
        <v>2806</v>
      </c>
      <c r="E1554" s="239" t="s">
        <v>105</v>
      </c>
      <c r="F1554" s="245" t="s">
        <v>15</v>
      </c>
      <c r="G1554" s="245"/>
      <c r="H1554" s="239" t="s">
        <v>751</v>
      </c>
      <c r="I1554" s="247">
        <v>642.41999999999996</v>
      </c>
      <c r="J1554" s="247"/>
      <c r="K1554" s="242" t="s">
        <v>8</v>
      </c>
      <c r="L1554" s="243">
        <v>7349130.2800000003</v>
      </c>
    </row>
    <row r="1555" spans="1:12" ht="51" x14ac:dyDescent="0.3">
      <c r="A1555" s="237" t="s">
        <v>328</v>
      </c>
      <c r="B1555" s="238" t="s">
        <v>2835</v>
      </c>
      <c r="C1555" s="238" t="s">
        <v>806</v>
      </c>
      <c r="D1555" s="238" t="s">
        <v>2807</v>
      </c>
      <c r="E1555" s="239" t="s">
        <v>105</v>
      </c>
      <c r="F1555" s="245" t="s">
        <v>15</v>
      </c>
      <c r="G1555" s="245"/>
      <c r="H1555" s="239" t="s">
        <v>751</v>
      </c>
      <c r="I1555" s="246">
        <v>24463.42</v>
      </c>
      <c r="J1555" s="246"/>
      <c r="K1555" s="242" t="s">
        <v>8</v>
      </c>
      <c r="L1555" s="243">
        <v>7324666.8600000003</v>
      </c>
    </row>
    <row r="1556" spans="1:12" ht="51" x14ac:dyDescent="0.3">
      <c r="A1556" s="237" t="s">
        <v>328</v>
      </c>
      <c r="B1556" s="238" t="s">
        <v>2835</v>
      </c>
      <c r="C1556" s="238" t="s">
        <v>806</v>
      </c>
      <c r="D1556" s="238" t="s">
        <v>2837</v>
      </c>
      <c r="E1556" s="239" t="s">
        <v>105</v>
      </c>
      <c r="F1556" s="245" t="s">
        <v>15</v>
      </c>
      <c r="G1556" s="245"/>
      <c r="H1556" s="239" t="s">
        <v>751</v>
      </c>
      <c r="I1556" s="246">
        <v>3178.25</v>
      </c>
      <c r="J1556" s="246"/>
      <c r="K1556" s="242" t="s">
        <v>8</v>
      </c>
      <c r="L1556" s="243">
        <v>7321488.6100000003</v>
      </c>
    </row>
    <row r="1557" spans="1:12" ht="61.2" x14ac:dyDescent="0.3">
      <c r="A1557" s="237" t="s">
        <v>328</v>
      </c>
      <c r="B1557" s="238" t="s">
        <v>2835</v>
      </c>
      <c r="C1557" s="238" t="s">
        <v>806</v>
      </c>
      <c r="D1557" s="238" t="s">
        <v>2838</v>
      </c>
      <c r="E1557" s="239" t="s">
        <v>105</v>
      </c>
      <c r="F1557" s="245" t="s">
        <v>15</v>
      </c>
      <c r="G1557" s="245"/>
      <c r="H1557" s="239" t="s">
        <v>751</v>
      </c>
      <c r="I1557" s="246">
        <v>4314.37</v>
      </c>
      <c r="J1557" s="246"/>
      <c r="K1557" s="242" t="s">
        <v>8</v>
      </c>
      <c r="L1557" s="243">
        <v>7317174.2400000002</v>
      </c>
    </row>
    <row r="1558" spans="1:12" ht="51" x14ac:dyDescent="0.3">
      <c r="A1558" s="237" t="s">
        <v>328</v>
      </c>
      <c r="B1558" s="238" t="s">
        <v>2839</v>
      </c>
      <c r="C1558" s="238" t="s">
        <v>806</v>
      </c>
      <c r="D1558" s="238" t="s">
        <v>2403</v>
      </c>
      <c r="E1558" s="239" t="s">
        <v>105</v>
      </c>
      <c r="F1558" s="245" t="s">
        <v>15</v>
      </c>
      <c r="G1558" s="245"/>
      <c r="H1558" s="239" t="s">
        <v>751</v>
      </c>
      <c r="I1558" s="246">
        <v>2300</v>
      </c>
      <c r="J1558" s="246"/>
      <c r="K1558" s="242" t="s">
        <v>8</v>
      </c>
      <c r="L1558" s="243">
        <v>7314874.2400000002</v>
      </c>
    </row>
    <row r="1559" spans="1:12" ht="51" x14ac:dyDescent="0.3">
      <c r="A1559" s="237" t="s">
        <v>328</v>
      </c>
      <c r="B1559" s="238" t="s">
        <v>2840</v>
      </c>
      <c r="C1559" s="238" t="s">
        <v>806</v>
      </c>
      <c r="D1559" s="238" t="s">
        <v>1662</v>
      </c>
      <c r="E1559" s="239" t="s">
        <v>105</v>
      </c>
      <c r="F1559" s="245" t="s">
        <v>15</v>
      </c>
      <c r="G1559" s="245"/>
      <c r="H1559" s="239" t="s">
        <v>751</v>
      </c>
      <c r="I1559" s="246">
        <v>72239.13</v>
      </c>
      <c r="J1559" s="246"/>
      <c r="K1559" s="242" t="s">
        <v>8</v>
      </c>
      <c r="L1559" s="243">
        <v>1894082.17</v>
      </c>
    </row>
    <row r="1560" spans="1:12" ht="51" x14ac:dyDescent="0.3">
      <c r="A1560" s="237" t="s">
        <v>328</v>
      </c>
      <c r="B1560" s="238" t="s">
        <v>2840</v>
      </c>
      <c r="C1560" s="238" t="s">
        <v>806</v>
      </c>
      <c r="D1560" s="238" t="s">
        <v>1890</v>
      </c>
      <c r="E1560" s="239" t="s">
        <v>105</v>
      </c>
      <c r="F1560" s="245" t="s">
        <v>15</v>
      </c>
      <c r="G1560" s="245"/>
      <c r="H1560" s="239" t="s">
        <v>751</v>
      </c>
      <c r="I1560" s="246">
        <v>62211.9</v>
      </c>
      <c r="J1560" s="246"/>
      <c r="K1560" s="242" t="s">
        <v>8</v>
      </c>
      <c r="L1560" s="243">
        <v>1831870.27</v>
      </c>
    </row>
    <row r="1561" spans="1:12" ht="51" x14ac:dyDescent="0.3">
      <c r="A1561" s="237" t="s">
        <v>328</v>
      </c>
      <c r="B1561" s="238" t="s">
        <v>2840</v>
      </c>
      <c r="C1561" s="238" t="s">
        <v>806</v>
      </c>
      <c r="D1561" s="238" t="s">
        <v>1904</v>
      </c>
      <c r="E1561" s="239" t="s">
        <v>105</v>
      </c>
      <c r="F1561" s="245" t="s">
        <v>15</v>
      </c>
      <c r="G1561" s="245"/>
      <c r="H1561" s="239" t="s">
        <v>751</v>
      </c>
      <c r="I1561" s="246">
        <v>42879</v>
      </c>
      <c r="J1561" s="246"/>
      <c r="K1561" s="242" t="s">
        <v>8</v>
      </c>
      <c r="L1561" s="243">
        <v>1788991.27</v>
      </c>
    </row>
    <row r="1562" spans="1:12" ht="51" x14ac:dyDescent="0.3">
      <c r="A1562" s="237" t="s">
        <v>328</v>
      </c>
      <c r="B1562" s="238" t="s">
        <v>2840</v>
      </c>
      <c r="C1562" s="238" t="s">
        <v>806</v>
      </c>
      <c r="D1562" s="238" t="s">
        <v>1904</v>
      </c>
      <c r="E1562" s="239" t="s">
        <v>105</v>
      </c>
      <c r="F1562" s="245" t="s">
        <v>15</v>
      </c>
      <c r="G1562" s="245"/>
      <c r="H1562" s="239" t="s">
        <v>751</v>
      </c>
      <c r="I1562" s="246">
        <v>52341.55</v>
      </c>
      <c r="J1562" s="246"/>
      <c r="K1562" s="242" t="s">
        <v>8</v>
      </c>
      <c r="L1562" s="243">
        <v>1736649.72</v>
      </c>
    </row>
    <row r="1563" spans="1:12" ht="51" x14ac:dyDescent="0.3">
      <c r="A1563" s="237" t="s">
        <v>328</v>
      </c>
      <c r="B1563" s="238" t="s">
        <v>2840</v>
      </c>
      <c r="C1563" s="238" t="s">
        <v>806</v>
      </c>
      <c r="D1563" s="238" t="s">
        <v>2062</v>
      </c>
      <c r="E1563" s="239" t="s">
        <v>105</v>
      </c>
      <c r="F1563" s="245" t="s">
        <v>15</v>
      </c>
      <c r="G1563" s="245"/>
      <c r="H1563" s="239" t="s">
        <v>751</v>
      </c>
      <c r="I1563" s="246">
        <v>55856.76</v>
      </c>
      <c r="J1563" s="246"/>
      <c r="K1563" s="242" t="s">
        <v>8</v>
      </c>
      <c r="L1563" s="243">
        <v>1680792.96</v>
      </c>
    </row>
    <row r="1564" spans="1:12" ht="51" x14ac:dyDescent="0.3">
      <c r="A1564" s="237" t="s">
        <v>328</v>
      </c>
      <c r="B1564" s="238" t="s">
        <v>2840</v>
      </c>
      <c r="C1564" s="238" t="s">
        <v>806</v>
      </c>
      <c r="D1564" s="238" t="s">
        <v>2062</v>
      </c>
      <c r="E1564" s="239" t="s">
        <v>105</v>
      </c>
      <c r="F1564" s="245" t="s">
        <v>15</v>
      </c>
      <c r="G1564" s="245"/>
      <c r="H1564" s="239" t="s">
        <v>751</v>
      </c>
      <c r="I1564" s="246">
        <v>68183.240000000005</v>
      </c>
      <c r="J1564" s="246"/>
      <c r="K1564" s="242" t="s">
        <v>8</v>
      </c>
      <c r="L1564" s="243">
        <v>1612609.72</v>
      </c>
    </row>
    <row r="1565" spans="1:12" ht="51" x14ac:dyDescent="0.3">
      <c r="A1565" s="237" t="s">
        <v>328</v>
      </c>
      <c r="B1565" s="238" t="s">
        <v>2840</v>
      </c>
      <c r="C1565" s="238" t="s">
        <v>806</v>
      </c>
      <c r="D1565" s="238" t="s">
        <v>2092</v>
      </c>
      <c r="E1565" s="239" t="s">
        <v>105</v>
      </c>
      <c r="F1565" s="245" t="s">
        <v>15</v>
      </c>
      <c r="G1565" s="245"/>
      <c r="H1565" s="239" t="s">
        <v>751</v>
      </c>
      <c r="I1565" s="246">
        <v>61510.31</v>
      </c>
      <c r="J1565" s="246"/>
      <c r="K1565" s="242" t="s">
        <v>8</v>
      </c>
      <c r="L1565" s="243">
        <v>1551099.41</v>
      </c>
    </row>
    <row r="1566" spans="1:12" ht="51" x14ac:dyDescent="0.3">
      <c r="A1566" s="237" t="s">
        <v>328</v>
      </c>
      <c r="B1566" s="238" t="s">
        <v>2840</v>
      </c>
      <c r="C1566" s="238" t="s">
        <v>806</v>
      </c>
      <c r="D1566" s="238" t="s">
        <v>2113</v>
      </c>
      <c r="E1566" s="239" t="s">
        <v>105</v>
      </c>
      <c r="F1566" s="245" t="s">
        <v>15</v>
      </c>
      <c r="G1566" s="245"/>
      <c r="H1566" s="239" t="s">
        <v>751</v>
      </c>
      <c r="I1566" s="246">
        <v>2512.06</v>
      </c>
      <c r="J1566" s="246"/>
      <c r="K1566" s="242" t="s">
        <v>8</v>
      </c>
      <c r="L1566" s="243">
        <v>1548587.35</v>
      </c>
    </row>
    <row r="1567" spans="1:12" ht="61.2" x14ac:dyDescent="0.3">
      <c r="A1567" s="237" t="s">
        <v>328</v>
      </c>
      <c r="B1567" s="238" t="s">
        <v>2841</v>
      </c>
      <c r="C1567" s="238" t="s">
        <v>806</v>
      </c>
      <c r="D1567" s="238" t="s">
        <v>2410</v>
      </c>
      <c r="E1567" s="239" t="s">
        <v>105</v>
      </c>
      <c r="F1567" s="245" t="s">
        <v>15</v>
      </c>
      <c r="G1567" s="245"/>
      <c r="H1567" s="239" t="s">
        <v>751</v>
      </c>
      <c r="I1567" s="246">
        <v>265320</v>
      </c>
      <c r="J1567" s="246"/>
      <c r="K1567" s="242" t="s">
        <v>8</v>
      </c>
      <c r="L1567" s="243">
        <v>256757.01</v>
      </c>
    </row>
    <row r="1568" spans="1:12" ht="61.2" x14ac:dyDescent="0.3">
      <c r="A1568" s="237" t="s">
        <v>328</v>
      </c>
      <c r="B1568" s="238" t="s">
        <v>2842</v>
      </c>
      <c r="C1568" s="238" t="s">
        <v>806</v>
      </c>
      <c r="D1568" s="238" t="s">
        <v>1940</v>
      </c>
      <c r="E1568" s="239" t="s">
        <v>105</v>
      </c>
      <c r="F1568" s="245" t="s">
        <v>15</v>
      </c>
      <c r="G1568" s="245"/>
      <c r="H1568" s="239" t="s">
        <v>751</v>
      </c>
      <c r="I1568" s="246">
        <v>4244.2</v>
      </c>
      <c r="J1568" s="246"/>
      <c r="K1568" s="242" t="s">
        <v>8</v>
      </c>
      <c r="L1568" s="243">
        <v>5782835.96</v>
      </c>
    </row>
    <row r="1569" spans="1:12" ht="61.2" x14ac:dyDescent="0.3">
      <c r="A1569" s="237" t="s">
        <v>328</v>
      </c>
      <c r="B1569" s="238" t="s">
        <v>2842</v>
      </c>
      <c r="C1569" s="238" t="s">
        <v>806</v>
      </c>
      <c r="D1569" s="238" t="s">
        <v>1941</v>
      </c>
      <c r="E1569" s="239" t="s">
        <v>105</v>
      </c>
      <c r="F1569" s="245" t="s">
        <v>15</v>
      </c>
      <c r="G1569" s="245"/>
      <c r="H1569" s="239" t="s">
        <v>751</v>
      </c>
      <c r="I1569" s="246">
        <v>3518</v>
      </c>
      <c r="J1569" s="246"/>
      <c r="K1569" s="242" t="s">
        <v>8</v>
      </c>
      <c r="L1569" s="243">
        <v>5779317.96</v>
      </c>
    </row>
    <row r="1570" spans="1:12" ht="61.2" x14ac:dyDescent="0.3">
      <c r="A1570" s="237" t="s">
        <v>328</v>
      </c>
      <c r="B1570" s="238" t="s">
        <v>2842</v>
      </c>
      <c r="C1570" s="238" t="s">
        <v>806</v>
      </c>
      <c r="D1570" s="238" t="s">
        <v>2057</v>
      </c>
      <c r="E1570" s="239" t="s">
        <v>105</v>
      </c>
      <c r="F1570" s="245" t="s">
        <v>15</v>
      </c>
      <c r="G1570" s="245"/>
      <c r="H1570" s="239" t="s">
        <v>751</v>
      </c>
      <c r="I1570" s="246">
        <v>2258.5</v>
      </c>
      <c r="J1570" s="246"/>
      <c r="K1570" s="242" t="s">
        <v>8</v>
      </c>
      <c r="L1570" s="243">
        <v>5777059.46</v>
      </c>
    </row>
    <row r="1571" spans="1:12" ht="61.2" x14ac:dyDescent="0.3">
      <c r="A1571" s="237" t="s">
        <v>328</v>
      </c>
      <c r="B1571" s="238" t="s">
        <v>2842</v>
      </c>
      <c r="C1571" s="238" t="s">
        <v>806</v>
      </c>
      <c r="D1571" s="238" t="s">
        <v>2588</v>
      </c>
      <c r="E1571" s="239" t="s">
        <v>105</v>
      </c>
      <c r="F1571" s="245" t="s">
        <v>15</v>
      </c>
      <c r="G1571" s="245"/>
      <c r="H1571" s="239" t="s">
        <v>751</v>
      </c>
      <c r="I1571" s="246">
        <v>1086.9000000000001</v>
      </c>
      <c r="J1571" s="246"/>
      <c r="K1571" s="242" t="s">
        <v>8</v>
      </c>
      <c r="L1571" s="243">
        <v>5775972.5599999996</v>
      </c>
    </row>
    <row r="1572" spans="1:12" ht="61.2" x14ac:dyDescent="0.3">
      <c r="A1572" s="237" t="s">
        <v>328</v>
      </c>
      <c r="B1572" s="238" t="s">
        <v>2842</v>
      </c>
      <c r="C1572" s="238" t="s">
        <v>806</v>
      </c>
      <c r="D1572" s="238" t="s">
        <v>2036</v>
      </c>
      <c r="E1572" s="239" t="s">
        <v>105</v>
      </c>
      <c r="F1572" s="245" t="s">
        <v>15</v>
      </c>
      <c r="G1572" s="245"/>
      <c r="H1572" s="239" t="s">
        <v>751</v>
      </c>
      <c r="I1572" s="246">
        <v>2342.6</v>
      </c>
      <c r="J1572" s="246"/>
      <c r="K1572" s="242" t="s">
        <v>8</v>
      </c>
      <c r="L1572" s="243">
        <v>5773629.96</v>
      </c>
    </row>
    <row r="1573" spans="1:12" ht="61.2" x14ac:dyDescent="0.3">
      <c r="A1573" s="237" t="s">
        <v>328</v>
      </c>
      <c r="B1573" s="238" t="s">
        <v>2842</v>
      </c>
      <c r="C1573" s="238" t="s">
        <v>806</v>
      </c>
      <c r="D1573" s="238" t="s">
        <v>2559</v>
      </c>
      <c r="E1573" s="239" t="s">
        <v>105</v>
      </c>
      <c r="F1573" s="245" t="s">
        <v>15</v>
      </c>
      <c r="G1573" s="245"/>
      <c r="H1573" s="239" t="s">
        <v>751</v>
      </c>
      <c r="I1573" s="246">
        <v>2509.8000000000002</v>
      </c>
      <c r="J1573" s="246"/>
      <c r="K1573" s="242" t="s">
        <v>8</v>
      </c>
      <c r="L1573" s="243">
        <v>5771120.1600000001</v>
      </c>
    </row>
    <row r="1574" spans="1:12" ht="61.2" x14ac:dyDescent="0.3">
      <c r="A1574" s="237" t="s">
        <v>328</v>
      </c>
      <c r="B1574" s="238" t="s">
        <v>2842</v>
      </c>
      <c r="C1574" s="238" t="s">
        <v>806</v>
      </c>
      <c r="D1574" s="238" t="s">
        <v>2557</v>
      </c>
      <c r="E1574" s="239" t="s">
        <v>105</v>
      </c>
      <c r="F1574" s="245" t="s">
        <v>15</v>
      </c>
      <c r="G1574" s="245"/>
      <c r="H1574" s="239" t="s">
        <v>751</v>
      </c>
      <c r="I1574" s="246">
        <v>1136.2</v>
      </c>
      <c r="J1574" s="246"/>
      <c r="K1574" s="242" t="s">
        <v>8</v>
      </c>
      <c r="L1574" s="243">
        <v>5769983.96</v>
      </c>
    </row>
    <row r="1575" spans="1:12" ht="61.2" x14ac:dyDescent="0.3">
      <c r="A1575" s="237" t="s">
        <v>328</v>
      </c>
      <c r="B1575" s="238" t="s">
        <v>2842</v>
      </c>
      <c r="C1575" s="238" t="s">
        <v>806</v>
      </c>
      <c r="D1575" s="238" t="s">
        <v>2558</v>
      </c>
      <c r="E1575" s="239" t="s">
        <v>105</v>
      </c>
      <c r="F1575" s="245" t="s">
        <v>15</v>
      </c>
      <c r="G1575" s="245"/>
      <c r="H1575" s="239" t="s">
        <v>751</v>
      </c>
      <c r="I1575" s="246">
        <v>2052.6999999999998</v>
      </c>
      <c r="J1575" s="246"/>
      <c r="K1575" s="242" t="s">
        <v>8</v>
      </c>
      <c r="L1575" s="243">
        <v>5767931.2599999998</v>
      </c>
    </row>
    <row r="1576" spans="1:12" ht="61.2" x14ac:dyDescent="0.3">
      <c r="A1576" s="237" t="s">
        <v>328</v>
      </c>
      <c r="B1576" s="238" t="s">
        <v>2842</v>
      </c>
      <c r="C1576" s="238" t="s">
        <v>806</v>
      </c>
      <c r="D1576" s="238" t="s">
        <v>2564</v>
      </c>
      <c r="E1576" s="239" t="s">
        <v>105</v>
      </c>
      <c r="F1576" s="245" t="s">
        <v>15</v>
      </c>
      <c r="G1576" s="245"/>
      <c r="H1576" s="239" t="s">
        <v>751</v>
      </c>
      <c r="I1576" s="246">
        <v>2122.9</v>
      </c>
      <c r="J1576" s="246"/>
      <c r="K1576" s="242" t="s">
        <v>8</v>
      </c>
      <c r="L1576" s="243">
        <v>5765808.3600000003</v>
      </c>
    </row>
    <row r="1577" spans="1:12" ht="61.2" x14ac:dyDescent="0.3">
      <c r="A1577" s="237" t="s">
        <v>328</v>
      </c>
      <c r="B1577" s="238" t="s">
        <v>2842</v>
      </c>
      <c r="C1577" s="238" t="s">
        <v>806</v>
      </c>
      <c r="D1577" s="238" t="s">
        <v>2014</v>
      </c>
      <c r="E1577" s="239" t="s">
        <v>105</v>
      </c>
      <c r="F1577" s="245" t="s">
        <v>15</v>
      </c>
      <c r="G1577" s="245"/>
      <c r="H1577" s="239" t="s">
        <v>751</v>
      </c>
      <c r="I1577" s="246">
        <v>3256</v>
      </c>
      <c r="J1577" s="246"/>
      <c r="K1577" s="242" t="s">
        <v>8</v>
      </c>
      <c r="L1577" s="243">
        <v>5762552.3600000003</v>
      </c>
    </row>
    <row r="1578" spans="1:12" ht="61.2" x14ac:dyDescent="0.3">
      <c r="A1578" s="237" t="s">
        <v>328</v>
      </c>
      <c r="B1578" s="238" t="s">
        <v>2842</v>
      </c>
      <c r="C1578" s="238" t="s">
        <v>806</v>
      </c>
      <c r="D1578" s="238" t="s">
        <v>2576</v>
      </c>
      <c r="E1578" s="239" t="s">
        <v>105</v>
      </c>
      <c r="F1578" s="245" t="s">
        <v>15</v>
      </c>
      <c r="G1578" s="245"/>
      <c r="H1578" s="239" t="s">
        <v>751</v>
      </c>
      <c r="I1578" s="246">
        <v>2654</v>
      </c>
      <c r="J1578" s="246"/>
      <c r="K1578" s="242" t="s">
        <v>8</v>
      </c>
      <c r="L1578" s="243">
        <v>5759898.3600000003</v>
      </c>
    </row>
    <row r="1579" spans="1:12" ht="61.2" x14ac:dyDescent="0.3">
      <c r="A1579" s="237" t="s">
        <v>328</v>
      </c>
      <c r="B1579" s="238" t="s">
        <v>2842</v>
      </c>
      <c r="C1579" s="238" t="s">
        <v>806</v>
      </c>
      <c r="D1579" s="238" t="s">
        <v>2579</v>
      </c>
      <c r="E1579" s="239" t="s">
        <v>105</v>
      </c>
      <c r="F1579" s="245" t="s">
        <v>15</v>
      </c>
      <c r="G1579" s="245"/>
      <c r="H1579" s="239" t="s">
        <v>751</v>
      </c>
      <c r="I1579" s="246">
        <v>1380.6</v>
      </c>
      <c r="J1579" s="246"/>
      <c r="K1579" s="242" t="s">
        <v>8</v>
      </c>
      <c r="L1579" s="243">
        <v>5758517.7599999998</v>
      </c>
    </row>
    <row r="1580" spans="1:12" ht="61.2" x14ac:dyDescent="0.3">
      <c r="A1580" s="237" t="s">
        <v>328</v>
      </c>
      <c r="B1580" s="238" t="s">
        <v>2842</v>
      </c>
      <c r="C1580" s="238" t="s">
        <v>806</v>
      </c>
      <c r="D1580" s="238" t="s">
        <v>2577</v>
      </c>
      <c r="E1580" s="239" t="s">
        <v>105</v>
      </c>
      <c r="F1580" s="245" t="s">
        <v>15</v>
      </c>
      <c r="G1580" s="245"/>
      <c r="H1580" s="239" t="s">
        <v>751</v>
      </c>
      <c r="I1580" s="246">
        <v>1917.8</v>
      </c>
      <c r="J1580" s="246"/>
      <c r="K1580" s="242" t="s">
        <v>8</v>
      </c>
      <c r="L1580" s="243">
        <v>5756599.96</v>
      </c>
    </row>
    <row r="1581" spans="1:12" ht="61.2" x14ac:dyDescent="0.3">
      <c r="A1581" s="237" t="s">
        <v>328</v>
      </c>
      <c r="B1581" s="238" t="s">
        <v>2842</v>
      </c>
      <c r="C1581" s="238" t="s">
        <v>806</v>
      </c>
      <c r="D1581" s="238" t="s">
        <v>2578</v>
      </c>
      <c r="E1581" s="239" t="s">
        <v>105</v>
      </c>
      <c r="F1581" s="245" t="s">
        <v>15</v>
      </c>
      <c r="G1581" s="245"/>
      <c r="H1581" s="239" t="s">
        <v>751</v>
      </c>
      <c r="I1581" s="246">
        <v>2152.1999999999998</v>
      </c>
      <c r="J1581" s="246"/>
      <c r="K1581" s="242" t="s">
        <v>8</v>
      </c>
      <c r="L1581" s="243">
        <v>5754447.7599999998</v>
      </c>
    </row>
    <row r="1582" spans="1:12" ht="61.2" x14ac:dyDescent="0.3">
      <c r="A1582" s="237" t="s">
        <v>328</v>
      </c>
      <c r="B1582" s="238" t="s">
        <v>2842</v>
      </c>
      <c r="C1582" s="238" t="s">
        <v>806</v>
      </c>
      <c r="D1582" s="238" t="s">
        <v>1958</v>
      </c>
      <c r="E1582" s="239" t="s">
        <v>105</v>
      </c>
      <c r="F1582" s="245" t="s">
        <v>15</v>
      </c>
      <c r="G1582" s="245"/>
      <c r="H1582" s="239" t="s">
        <v>751</v>
      </c>
      <c r="I1582" s="246">
        <v>2810.5</v>
      </c>
      <c r="J1582" s="246"/>
      <c r="K1582" s="242" t="s">
        <v>8</v>
      </c>
      <c r="L1582" s="243">
        <v>5751637.2599999998</v>
      </c>
    </row>
    <row r="1583" spans="1:12" ht="61.2" x14ac:dyDescent="0.3">
      <c r="A1583" s="237" t="s">
        <v>328</v>
      </c>
      <c r="B1583" s="238" t="s">
        <v>2842</v>
      </c>
      <c r="C1583" s="238" t="s">
        <v>806</v>
      </c>
      <c r="D1583" s="238" t="s">
        <v>1957</v>
      </c>
      <c r="E1583" s="239" t="s">
        <v>105</v>
      </c>
      <c r="F1583" s="245" t="s">
        <v>15</v>
      </c>
      <c r="G1583" s="245"/>
      <c r="H1583" s="239" t="s">
        <v>751</v>
      </c>
      <c r="I1583" s="246">
        <v>3614.4</v>
      </c>
      <c r="J1583" s="246"/>
      <c r="K1583" s="242" t="s">
        <v>8</v>
      </c>
      <c r="L1583" s="243">
        <v>5748022.8600000003</v>
      </c>
    </row>
    <row r="1584" spans="1:12" ht="61.2" x14ac:dyDescent="0.3">
      <c r="A1584" s="237" t="s">
        <v>328</v>
      </c>
      <c r="B1584" s="238" t="s">
        <v>2842</v>
      </c>
      <c r="C1584" s="238" t="s">
        <v>806</v>
      </c>
      <c r="D1584" s="238" t="s">
        <v>2055</v>
      </c>
      <c r="E1584" s="239" t="s">
        <v>105</v>
      </c>
      <c r="F1584" s="245" t="s">
        <v>15</v>
      </c>
      <c r="G1584" s="245"/>
      <c r="H1584" s="239" t="s">
        <v>751</v>
      </c>
      <c r="I1584" s="246">
        <v>11602.4</v>
      </c>
      <c r="J1584" s="246"/>
      <c r="K1584" s="242" t="s">
        <v>8</v>
      </c>
      <c r="L1584" s="243">
        <v>5736420.46</v>
      </c>
    </row>
    <row r="1585" spans="1:12" ht="61.2" x14ac:dyDescent="0.3">
      <c r="A1585" s="237" t="s">
        <v>328</v>
      </c>
      <c r="B1585" s="238" t="s">
        <v>2842</v>
      </c>
      <c r="C1585" s="238" t="s">
        <v>806</v>
      </c>
      <c r="D1585" s="238" t="s">
        <v>2047</v>
      </c>
      <c r="E1585" s="239" t="s">
        <v>105</v>
      </c>
      <c r="F1585" s="245" t="s">
        <v>15</v>
      </c>
      <c r="G1585" s="245"/>
      <c r="H1585" s="239" t="s">
        <v>751</v>
      </c>
      <c r="I1585" s="246">
        <v>10239.9</v>
      </c>
      <c r="J1585" s="246"/>
      <c r="K1585" s="242" t="s">
        <v>8</v>
      </c>
      <c r="L1585" s="243">
        <v>5726180.5599999996</v>
      </c>
    </row>
    <row r="1586" spans="1:12" ht="61.2" x14ac:dyDescent="0.3">
      <c r="A1586" s="237" t="s">
        <v>328</v>
      </c>
      <c r="B1586" s="238" t="s">
        <v>2842</v>
      </c>
      <c r="C1586" s="238" t="s">
        <v>806</v>
      </c>
      <c r="D1586" s="238" t="s">
        <v>2539</v>
      </c>
      <c r="E1586" s="239" t="s">
        <v>105</v>
      </c>
      <c r="F1586" s="245" t="s">
        <v>15</v>
      </c>
      <c r="G1586" s="245"/>
      <c r="H1586" s="239" t="s">
        <v>751</v>
      </c>
      <c r="I1586" s="246">
        <v>2781.9</v>
      </c>
      <c r="J1586" s="246"/>
      <c r="K1586" s="242" t="s">
        <v>8</v>
      </c>
      <c r="L1586" s="243">
        <v>5723398.6600000001</v>
      </c>
    </row>
    <row r="1587" spans="1:12" ht="61.2" x14ac:dyDescent="0.3">
      <c r="A1587" s="237" t="s">
        <v>328</v>
      </c>
      <c r="B1587" s="238" t="s">
        <v>2842</v>
      </c>
      <c r="C1587" s="238" t="s">
        <v>806</v>
      </c>
      <c r="D1587" s="238" t="s">
        <v>1947</v>
      </c>
      <c r="E1587" s="239" t="s">
        <v>105</v>
      </c>
      <c r="F1587" s="245" t="s">
        <v>15</v>
      </c>
      <c r="G1587" s="245"/>
      <c r="H1587" s="239" t="s">
        <v>751</v>
      </c>
      <c r="I1587" s="246">
        <v>77169.2</v>
      </c>
      <c r="J1587" s="246"/>
      <c r="K1587" s="242" t="s">
        <v>8</v>
      </c>
      <c r="L1587" s="243">
        <v>5646229.46</v>
      </c>
    </row>
    <row r="1588" spans="1:12" ht="61.2" x14ac:dyDescent="0.3">
      <c r="A1588" s="237" t="s">
        <v>328</v>
      </c>
      <c r="B1588" s="238" t="s">
        <v>2842</v>
      </c>
      <c r="C1588" s="238" t="s">
        <v>806</v>
      </c>
      <c r="D1588" s="238" t="s">
        <v>2570</v>
      </c>
      <c r="E1588" s="239" t="s">
        <v>105</v>
      </c>
      <c r="F1588" s="245" t="s">
        <v>15</v>
      </c>
      <c r="G1588" s="245"/>
      <c r="H1588" s="239" t="s">
        <v>751</v>
      </c>
      <c r="I1588" s="246">
        <v>6826.6</v>
      </c>
      <c r="J1588" s="246"/>
      <c r="K1588" s="242" t="s">
        <v>8</v>
      </c>
      <c r="L1588" s="243">
        <v>5639402.8600000003</v>
      </c>
    </row>
    <row r="1589" spans="1:12" ht="61.2" x14ac:dyDescent="0.3">
      <c r="A1589" s="237" t="s">
        <v>328</v>
      </c>
      <c r="B1589" s="238" t="s">
        <v>2842</v>
      </c>
      <c r="C1589" s="238" t="s">
        <v>806</v>
      </c>
      <c r="D1589" s="238" t="s">
        <v>2033</v>
      </c>
      <c r="E1589" s="239" t="s">
        <v>105</v>
      </c>
      <c r="F1589" s="245" t="s">
        <v>15</v>
      </c>
      <c r="G1589" s="245"/>
      <c r="H1589" s="239" t="s">
        <v>751</v>
      </c>
      <c r="I1589" s="246">
        <v>3569</v>
      </c>
      <c r="J1589" s="246"/>
      <c r="K1589" s="242" t="s">
        <v>8</v>
      </c>
      <c r="L1589" s="243">
        <v>5635833.8600000003</v>
      </c>
    </row>
    <row r="1590" spans="1:12" ht="61.2" x14ac:dyDescent="0.3">
      <c r="A1590" s="237" t="s">
        <v>328</v>
      </c>
      <c r="B1590" s="238" t="s">
        <v>2842</v>
      </c>
      <c r="C1590" s="238" t="s">
        <v>806</v>
      </c>
      <c r="D1590" s="238" t="s">
        <v>1946</v>
      </c>
      <c r="E1590" s="239" t="s">
        <v>105</v>
      </c>
      <c r="F1590" s="245" t="s">
        <v>15</v>
      </c>
      <c r="G1590" s="245"/>
      <c r="H1590" s="239" t="s">
        <v>751</v>
      </c>
      <c r="I1590" s="246">
        <v>4782.3</v>
      </c>
      <c r="J1590" s="246"/>
      <c r="K1590" s="242" t="s">
        <v>8</v>
      </c>
      <c r="L1590" s="243">
        <v>5631051.5599999996</v>
      </c>
    </row>
    <row r="1591" spans="1:12" ht="61.2" x14ac:dyDescent="0.3">
      <c r="A1591" s="237" t="s">
        <v>328</v>
      </c>
      <c r="B1591" s="238" t="s">
        <v>2842</v>
      </c>
      <c r="C1591" s="238" t="s">
        <v>806</v>
      </c>
      <c r="D1591" s="238" t="s">
        <v>2528</v>
      </c>
      <c r="E1591" s="239" t="s">
        <v>105</v>
      </c>
      <c r="F1591" s="245" t="s">
        <v>15</v>
      </c>
      <c r="G1591" s="245"/>
      <c r="H1591" s="239" t="s">
        <v>751</v>
      </c>
      <c r="I1591" s="246">
        <v>3374.7</v>
      </c>
      <c r="J1591" s="246"/>
      <c r="K1591" s="242" t="s">
        <v>8</v>
      </c>
      <c r="L1591" s="243">
        <v>5627676.8600000003</v>
      </c>
    </row>
    <row r="1592" spans="1:12" ht="61.2" x14ac:dyDescent="0.3">
      <c r="A1592" s="237" t="s">
        <v>328</v>
      </c>
      <c r="B1592" s="238" t="s">
        <v>2842</v>
      </c>
      <c r="C1592" s="238" t="s">
        <v>806</v>
      </c>
      <c r="D1592" s="238" t="s">
        <v>2042</v>
      </c>
      <c r="E1592" s="239" t="s">
        <v>105</v>
      </c>
      <c r="F1592" s="245" t="s">
        <v>15</v>
      </c>
      <c r="G1592" s="245"/>
      <c r="H1592" s="239" t="s">
        <v>751</v>
      </c>
      <c r="I1592" s="246">
        <v>2644.7</v>
      </c>
      <c r="J1592" s="246"/>
      <c r="K1592" s="242" t="s">
        <v>8</v>
      </c>
      <c r="L1592" s="243">
        <v>5625032.1600000001</v>
      </c>
    </row>
    <row r="1593" spans="1:12" ht="61.2" x14ac:dyDescent="0.3">
      <c r="A1593" s="237" t="s">
        <v>328</v>
      </c>
      <c r="B1593" s="238" t="s">
        <v>2842</v>
      </c>
      <c r="C1593" s="238" t="s">
        <v>806</v>
      </c>
      <c r="D1593" s="238" t="s">
        <v>2043</v>
      </c>
      <c r="E1593" s="239" t="s">
        <v>105</v>
      </c>
      <c r="F1593" s="245" t="s">
        <v>15</v>
      </c>
      <c r="G1593" s="245"/>
      <c r="H1593" s="239" t="s">
        <v>751</v>
      </c>
      <c r="I1593" s="246">
        <v>2678.6</v>
      </c>
      <c r="J1593" s="246"/>
      <c r="K1593" s="242" t="s">
        <v>8</v>
      </c>
      <c r="L1593" s="243">
        <v>5622353.5599999996</v>
      </c>
    </row>
    <row r="1594" spans="1:12" ht="61.2" x14ac:dyDescent="0.3">
      <c r="A1594" s="237" t="s">
        <v>328</v>
      </c>
      <c r="B1594" s="238" t="s">
        <v>2842</v>
      </c>
      <c r="C1594" s="238" t="s">
        <v>806</v>
      </c>
      <c r="D1594" s="238" t="s">
        <v>1945</v>
      </c>
      <c r="E1594" s="239" t="s">
        <v>105</v>
      </c>
      <c r="F1594" s="245" t="s">
        <v>15</v>
      </c>
      <c r="G1594" s="245"/>
      <c r="H1594" s="239" t="s">
        <v>751</v>
      </c>
      <c r="I1594" s="246">
        <v>14007.36</v>
      </c>
      <c r="J1594" s="246"/>
      <c r="K1594" s="242" t="s">
        <v>8</v>
      </c>
      <c r="L1594" s="243">
        <v>5608346.2000000002</v>
      </c>
    </row>
    <row r="1595" spans="1:12" ht="61.2" x14ac:dyDescent="0.3">
      <c r="A1595" s="237" t="s">
        <v>328</v>
      </c>
      <c r="B1595" s="238" t="s">
        <v>2842</v>
      </c>
      <c r="C1595" s="238" t="s">
        <v>806</v>
      </c>
      <c r="D1595" s="238" t="s">
        <v>1945</v>
      </c>
      <c r="E1595" s="239" t="s">
        <v>105</v>
      </c>
      <c r="F1595" s="245" t="s">
        <v>15</v>
      </c>
      <c r="G1595" s="245"/>
      <c r="H1595" s="239" t="s">
        <v>751</v>
      </c>
      <c r="I1595" s="246">
        <v>105055.24</v>
      </c>
      <c r="J1595" s="246"/>
      <c r="K1595" s="242" t="s">
        <v>8</v>
      </c>
      <c r="L1595" s="243">
        <v>5503290.96</v>
      </c>
    </row>
    <row r="1596" spans="1:12" ht="61.2" x14ac:dyDescent="0.3">
      <c r="A1596" s="237" t="s">
        <v>328</v>
      </c>
      <c r="B1596" s="238" t="s">
        <v>2842</v>
      </c>
      <c r="C1596" s="238" t="s">
        <v>806</v>
      </c>
      <c r="D1596" s="238" t="s">
        <v>2527</v>
      </c>
      <c r="E1596" s="239" t="s">
        <v>105</v>
      </c>
      <c r="F1596" s="245" t="s">
        <v>15</v>
      </c>
      <c r="G1596" s="245"/>
      <c r="H1596" s="239" t="s">
        <v>751</v>
      </c>
      <c r="I1596" s="246">
        <v>13626.7</v>
      </c>
      <c r="J1596" s="246"/>
      <c r="K1596" s="242" t="s">
        <v>8</v>
      </c>
      <c r="L1596" s="243">
        <v>5489664.2599999998</v>
      </c>
    </row>
    <row r="1597" spans="1:12" ht="61.2" x14ac:dyDescent="0.3">
      <c r="A1597" s="237" t="s">
        <v>328</v>
      </c>
      <c r="B1597" s="238" t="s">
        <v>2842</v>
      </c>
      <c r="C1597" s="238" t="s">
        <v>806</v>
      </c>
      <c r="D1597" s="238" t="s">
        <v>2603</v>
      </c>
      <c r="E1597" s="239" t="s">
        <v>105</v>
      </c>
      <c r="F1597" s="245" t="s">
        <v>15</v>
      </c>
      <c r="G1597" s="245"/>
      <c r="H1597" s="239" t="s">
        <v>751</v>
      </c>
      <c r="I1597" s="246">
        <v>4026.8</v>
      </c>
      <c r="J1597" s="246"/>
      <c r="K1597" s="242" t="s">
        <v>8</v>
      </c>
      <c r="L1597" s="243">
        <v>5485637.46</v>
      </c>
    </row>
    <row r="1598" spans="1:12" ht="61.2" x14ac:dyDescent="0.3">
      <c r="A1598" s="237" t="s">
        <v>328</v>
      </c>
      <c r="B1598" s="238" t="s">
        <v>2842</v>
      </c>
      <c r="C1598" s="238" t="s">
        <v>806</v>
      </c>
      <c r="D1598" s="238" t="s">
        <v>1949</v>
      </c>
      <c r="E1598" s="239" t="s">
        <v>105</v>
      </c>
      <c r="F1598" s="245" t="s">
        <v>15</v>
      </c>
      <c r="G1598" s="245"/>
      <c r="H1598" s="239" t="s">
        <v>751</v>
      </c>
      <c r="I1598" s="246">
        <v>9089.7000000000007</v>
      </c>
      <c r="J1598" s="246"/>
      <c r="K1598" s="242" t="s">
        <v>8</v>
      </c>
      <c r="L1598" s="243">
        <v>5476547.7599999998</v>
      </c>
    </row>
    <row r="1599" spans="1:12" ht="61.2" x14ac:dyDescent="0.3">
      <c r="A1599" s="237" t="s">
        <v>328</v>
      </c>
      <c r="B1599" s="238" t="s">
        <v>2842</v>
      </c>
      <c r="C1599" s="238" t="s">
        <v>806</v>
      </c>
      <c r="D1599" s="238" t="s">
        <v>1933</v>
      </c>
      <c r="E1599" s="239" t="s">
        <v>105</v>
      </c>
      <c r="F1599" s="245" t="s">
        <v>15</v>
      </c>
      <c r="G1599" s="245"/>
      <c r="H1599" s="239" t="s">
        <v>751</v>
      </c>
      <c r="I1599" s="246">
        <v>5271.7</v>
      </c>
      <c r="J1599" s="246"/>
      <c r="K1599" s="242" t="s">
        <v>8</v>
      </c>
      <c r="L1599" s="243">
        <v>5471276.0599999996</v>
      </c>
    </row>
    <row r="1600" spans="1:12" ht="61.2" x14ac:dyDescent="0.3">
      <c r="A1600" s="237" t="s">
        <v>328</v>
      </c>
      <c r="B1600" s="238" t="s">
        <v>2842</v>
      </c>
      <c r="C1600" s="238" t="s">
        <v>806</v>
      </c>
      <c r="D1600" s="238" t="s">
        <v>1944</v>
      </c>
      <c r="E1600" s="239" t="s">
        <v>105</v>
      </c>
      <c r="F1600" s="245" t="s">
        <v>15</v>
      </c>
      <c r="G1600" s="245"/>
      <c r="H1600" s="239" t="s">
        <v>751</v>
      </c>
      <c r="I1600" s="246">
        <v>1620.3</v>
      </c>
      <c r="J1600" s="246"/>
      <c r="K1600" s="242" t="s">
        <v>8</v>
      </c>
      <c r="L1600" s="243">
        <v>5469655.7599999998</v>
      </c>
    </row>
    <row r="1601" spans="1:12" ht="61.2" x14ac:dyDescent="0.3">
      <c r="A1601" s="237" t="s">
        <v>328</v>
      </c>
      <c r="B1601" s="238" t="s">
        <v>2842</v>
      </c>
      <c r="C1601" s="238" t="s">
        <v>806</v>
      </c>
      <c r="D1601" s="238" t="s">
        <v>2525</v>
      </c>
      <c r="E1601" s="239" t="s">
        <v>105</v>
      </c>
      <c r="F1601" s="245" t="s">
        <v>15</v>
      </c>
      <c r="G1601" s="245"/>
      <c r="H1601" s="239" t="s">
        <v>751</v>
      </c>
      <c r="I1601" s="246">
        <v>1687.4</v>
      </c>
      <c r="J1601" s="246"/>
      <c r="K1601" s="242" t="s">
        <v>8</v>
      </c>
      <c r="L1601" s="243">
        <v>5467968.3600000003</v>
      </c>
    </row>
    <row r="1602" spans="1:12" ht="61.2" x14ac:dyDescent="0.3">
      <c r="A1602" s="237" t="s">
        <v>328</v>
      </c>
      <c r="B1602" s="238" t="s">
        <v>2842</v>
      </c>
      <c r="C1602" s="238" t="s">
        <v>806</v>
      </c>
      <c r="D1602" s="238" t="s">
        <v>2041</v>
      </c>
      <c r="E1602" s="239" t="s">
        <v>105</v>
      </c>
      <c r="F1602" s="245" t="s">
        <v>15</v>
      </c>
      <c r="G1602" s="245"/>
      <c r="H1602" s="239" t="s">
        <v>751</v>
      </c>
      <c r="I1602" s="246">
        <v>1993.4</v>
      </c>
      <c r="J1602" s="246"/>
      <c r="K1602" s="242" t="s">
        <v>8</v>
      </c>
      <c r="L1602" s="243">
        <v>5465974.96</v>
      </c>
    </row>
    <row r="1603" spans="1:12" ht="61.2" x14ac:dyDescent="0.3">
      <c r="A1603" s="237" t="s">
        <v>328</v>
      </c>
      <c r="B1603" s="238" t="s">
        <v>2842</v>
      </c>
      <c r="C1603" s="238" t="s">
        <v>806</v>
      </c>
      <c r="D1603" s="238" t="s">
        <v>2046</v>
      </c>
      <c r="E1603" s="239" t="s">
        <v>105</v>
      </c>
      <c r="F1603" s="245" t="s">
        <v>15</v>
      </c>
      <c r="G1603" s="245"/>
      <c r="H1603" s="239" t="s">
        <v>751</v>
      </c>
      <c r="I1603" s="246">
        <v>2213.8000000000002</v>
      </c>
      <c r="J1603" s="246"/>
      <c r="K1603" s="242" t="s">
        <v>8</v>
      </c>
      <c r="L1603" s="243">
        <v>5463761.1600000001</v>
      </c>
    </row>
    <row r="1604" spans="1:12" ht="61.2" x14ac:dyDescent="0.3">
      <c r="A1604" s="237" t="s">
        <v>328</v>
      </c>
      <c r="B1604" s="238" t="s">
        <v>2842</v>
      </c>
      <c r="C1604" s="238" t="s">
        <v>806</v>
      </c>
      <c r="D1604" s="238" t="s">
        <v>2526</v>
      </c>
      <c r="E1604" s="239" t="s">
        <v>105</v>
      </c>
      <c r="F1604" s="245" t="s">
        <v>15</v>
      </c>
      <c r="G1604" s="245"/>
      <c r="H1604" s="239" t="s">
        <v>751</v>
      </c>
      <c r="I1604" s="246">
        <v>2547.6</v>
      </c>
      <c r="J1604" s="246"/>
      <c r="K1604" s="242" t="s">
        <v>8</v>
      </c>
      <c r="L1604" s="243">
        <v>5461213.5599999996</v>
      </c>
    </row>
    <row r="1605" spans="1:12" ht="61.2" x14ac:dyDescent="0.3">
      <c r="A1605" s="237" t="s">
        <v>328</v>
      </c>
      <c r="B1605" s="238" t="s">
        <v>2842</v>
      </c>
      <c r="C1605" s="238" t="s">
        <v>806</v>
      </c>
      <c r="D1605" s="238" t="s">
        <v>2049</v>
      </c>
      <c r="E1605" s="239" t="s">
        <v>105</v>
      </c>
      <c r="F1605" s="245" t="s">
        <v>15</v>
      </c>
      <c r="G1605" s="245"/>
      <c r="H1605" s="239" t="s">
        <v>751</v>
      </c>
      <c r="I1605" s="246">
        <v>3114.9</v>
      </c>
      <c r="J1605" s="246"/>
      <c r="K1605" s="242" t="s">
        <v>8</v>
      </c>
      <c r="L1605" s="243">
        <v>5458098.6600000001</v>
      </c>
    </row>
    <row r="1606" spans="1:12" ht="61.2" x14ac:dyDescent="0.3">
      <c r="A1606" s="237" t="s">
        <v>328</v>
      </c>
      <c r="B1606" s="238" t="s">
        <v>2842</v>
      </c>
      <c r="C1606" s="238" t="s">
        <v>806</v>
      </c>
      <c r="D1606" s="238" t="s">
        <v>1938</v>
      </c>
      <c r="E1606" s="239" t="s">
        <v>105</v>
      </c>
      <c r="F1606" s="245" t="s">
        <v>15</v>
      </c>
      <c r="G1606" s="245"/>
      <c r="H1606" s="239" t="s">
        <v>751</v>
      </c>
      <c r="I1606" s="246">
        <v>7358.4</v>
      </c>
      <c r="J1606" s="246"/>
      <c r="K1606" s="242" t="s">
        <v>8</v>
      </c>
      <c r="L1606" s="243">
        <v>5450740.2599999998</v>
      </c>
    </row>
    <row r="1607" spans="1:12" ht="61.2" x14ac:dyDescent="0.3">
      <c r="A1607" s="237" t="s">
        <v>328</v>
      </c>
      <c r="B1607" s="238" t="s">
        <v>2842</v>
      </c>
      <c r="C1607" s="238" t="s">
        <v>806</v>
      </c>
      <c r="D1607" s="238" t="s">
        <v>1939</v>
      </c>
      <c r="E1607" s="239" t="s">
        <v>105</v>
      </c>
      <c r="F1607" s="245" t="s">
        <v>15</v>
      </c>
      <c r="G1607" s="245"/>
      <c r="H1607" s="239" t="s">
        <v>751</v>
      </c>
      <c r="I1607" s="246">
        <v>6075.8</v>
      </c>
      <c r="J1607" s="246"/>
      <c r="K1607" s="242" t="s">
        <v>8</v>
      </c>
      <c r="L1607" s="243">
        <v>5444664.46</v>
      </c>
    </row>
    <row r="1608" spans="1:12" ht="61.2" x14ac:dyDescent="0.3">
      <c r="A1608" s="237" t="s">
        <v>328</v>
      </c>
      <c r="B1608" s="238" t="s">
        <v>2842</v>
      </c>
      <c r="C1608" s="238" t="s">
        <v>806</v>
      </c>
      <c r="D1608" s="238" t="s">
        <v>2034</v>
      </c>
      <c r="E1608" s="239" t="s">
        <v>105</v>
      </c>
      <c r="F1608" s="245" t="s">
        <v>15</v>
      </c>
      <c r="G1608" s="245"/>
      <c r="H1608" s="239" t="s">
        <v>751</v>
      </c>
      <c r="I1608" s="246">
        <v>3872.7</v>
      </c>
      <c r="J1608" s="246"/>
      <c r="K1608" s="242" t="s">
        <v>8</v>
      </c>
      <c r="L1608" s="243">
        <v>5440791.7599999998</v>
      </c>
    </row>
    <row r="1609" spans="1:12" ht="61.2" x14ac:dyDescent="0.3">
      <c r="A1609" s="237" t="s">
        <v>328</v>
      </c>
      <c r="B1609" s="238" t="s">
        <v>2842</v>
      </c>
      <c r="C1609" s="238" t="s">
        <v>806</v>
      </c>
      <c r="D1609" s="238" t="s">
        <v>1955</v>
      </c>
      <c r="E1609" s="239" t="s">
        <v>105</v>
      </c>
      <c r="F1609" s="245" t="s">
        <v>15</v>
      </c>
      <c r="G1609" s="245"/>
      <c r="H1609" s="239" t="s">
        <v>751</v>
      </c>
      <c r="I1609" s="246">
        <v>4831.6000000000004</v>
      </c>
      <c r="J1609" s="246"/>
      <c r="K1609" s="242" t="s">
        <v>8</v>
      </c>
      <c r="L1609" s="243">
        <v>5435960.1600000001</v>
      </c>
    </row>
    <row r="1610" spans="1:12" ht="61.2" x14ac:dyDescent="0.3">
      <c r="A1610" s="237" t="s">
        <v>328</v>
      </c>
      <c r="B1610" s="238" t="s">
        <v>2842</v>
      </c>
      <c r="C1610" s="238" t="s">
        <v>806</v>
      </c>
      <c r="D1610" s="238" t="s">
        <v>1927</v>
      </c>
      <c r="E1610" s="239" t="s">
        <v>105</v>
      </c>
      <c r="F1610" s="245" t="s">
        <v>15</v>
      </c>
      <c r="G1610" s="245"/>
      <c r="H1610" s="239" t="s">
        <v>751</v>
      </c>
      <c r="I1610" s="246">
        <v>3811.8</v>
      </c>
      <c r="J1610" s="246"/>
      <c r="K1610" s="242" t="s">
        <v>8</v>
      </c>
      <c r="L1610" s="243">
        <v>5432148.3600000003</v>
      </c>
    </row>
    <row r="1611" spans="1:12" ht="61.2" x14ac:dyDescent="0.3">
      <c r="A1611" s="237" t="s">
        <v>328</v>
      </c>
      <c r="B1611" s="238" t="s">
        <v>2842</v>
      </c>
      <c r="C1611" s="238" t="s">
        <v>806</v>
      </c>
      <c r="D1611" s="238" t="s">
        <v>2581</v>
      </c>
      <c r="E1611" s="239" t="s">
        <v>105</v>
      </c>
      <c r="F1611" s="245" t="s">
        <v>15</v>
      </c>
      <c r="G1611" s="245"/>
      <c r="H1611" s="239" t="s">
        <v>751</v>
      </c>
      <c r="I1611" s="246">
        <v>11664.3</v>
      </c>
      <c r="J1611" s="246"/>
      <c r="K1611" s="242" t="s">
        <v>8</v>
      </c>
      <c r="L1611" s="243">
        <v>5420484.0599999996</v>
      </c>
    </row>
    <row r="1612" spans="1:12" ht="61.2" x14ac:dyDescent="0.3">
      <c r="A1612" s="237" t="s">
        <v>328</v>
      </c>
      <c r="B1612" s="238" t="s">
        <v>2842</v>
      </c>
      <c r="C1612" s="238" t="s">
        <v>806</v>
      </c>
      <c r="D1612" s="238" t="s">
        <v>2004</v>
      </c>
      <c r="E1612" s="239" t="s">
        <v>105</v>
      </c>
      <c r="F1612" s="245" t="s">
        <v>15</v>
      </c>
      <c r="G1612" s="245"/>
      <c r="H1612" s="239" t="s">
        <v>751</v>
      </c>
      <c r="I1612" s="246">
        <v>3891.2</v>
      </c>
      <c r="J1612" s="246"/>
      <c r="K1612" s="242" t="s">
        <v>8</v>
      </c>
      <c r="L1612" s="243">
        <v>5416592.8600000003</v>
      </c>
    </row>
    <row r="1613" spans="1:12" ht="61.2" x14ac:dyDescent="0.3">
      <c r="A1613" s="237" t="s">
        <v>328</v>
      </c>
      <c r="B1613" s="238" t="s">
        <v>2842</v>
      </c>
      <c r="C1613" s="238" t="s">
        <v>806</v>
      </c>
      <c r="D1613" s="238" t="s">
        <v>2005</v>
      </c>
      <c r="E1613" s="239" t="s">
        <v>105</v>
      </c>
      <c r="F1613" s="245" t="s">
        <v>15</v>
      </c>
      <c r="G1613" s="245"/>
      <c r="H1613" s="239" t="s">
        <v>751</v>
      </c>
      <c r="I1613" s="246">
        <v>1804.5</v>
      </c>
      <c r="J1613" s="246"/>
      <c r="K1613" s="242" t="s">
        <v>8</v>
      </c>
      <c r="L1613" s="243">
        <v>5414788.3600000003</v>
      </c>
    </row>
    <row r="1614" spans="1:12" ht="61.2" x14ac:dyDescent="0.3">
      <c r="A1614" s="237" t="s">
        <v>328</v>
      </c>
      <c r="B1614" s="238" t="s">
        <v>2842</v>
      </c>
      <c r="C1614" s="238" t="s">
        <v>806</v>
      </c>
      <c r="D1614" s="238" t="s">
        <v>2056</v>
      </c>
      <c r="E1614" s="239" t="s">
        <v>105</v>
      </c>
      <c r="F1614" s="245" t="s">
        <v>15</v>
      </c>
      <c r="G1614" s="245"/>
      <c r="H1614" s="239" t="s">
        <v>751</v>
      </c>
      <c r="I1614" s="246">
        <v>167983.8</v>
      </c>
      <c r="J1614" s="246"/>
      <c r="K1614" s="242" t="s">
        <v>8</v>
      </c>
      <c r="L1614" s="243">
        <v>5246804.5599999996</v>
      </c>
    </row>
    <row r="1615" spans="1:12" ht="61.2" x14ac:dyDescent="0.3">
      <c r="A1615" s="237" t="s">
        <v>328</v>
      </c>
      <c r="B1615" s="238" t="s">
        <v>2842</v>
      </c>
      <c r="C1615" s="238" t="s">
        <v>806</v>
      </c>
      <c r="D1615" s="238" t="s">
        <v>2597</v>
      </c>
      <c r="E1615" s="239" t="s">
        <v>105</v>
      </c>
      <c r="F1615" s="245" t="s">
        <v>15</v>
      </c>
      <c r="G1615" s="245"/>
      <c r="H1615" s="239" t="s">
        <v>751</v>
      </c>
      <c r="I1615" s="246">
        <v>3965.2</v>
      </c>
      <c r="J1615" s="246"/>
      <c r="K1615" s="242" t="s">
        <v>8</v>
      </c>
      <c r="L1615" s="243">
        <v>5242839.3600000003</v>
      </c>
    </row>
    <row r="1616" spans="1:12" ht="61.2" x14ac:dyDescent="0.3">
      <c r="A1616" s="237" t="s">
        <v>328</v>
      </c>
      <c r="B1616" s="238" t="s">
        <v>2842</v>
      </c>
      <c r="C1616" s="238" t="s">
        <v>806</v>
      </c>
      <c r="D1616" s="238" t="s">
        <v>2560</v>
      </c>
      <c r="E1616" s="239" t="s">
        <v>105</v>
      </c>
      <c r="F1616" s="245" t="s">
        <v>15</v>
      </c>
      <c r="G1616" s="245"/>
      <c r="H1616" s="239" t="s">
        <v>751</v>
      </c>
      <c r="I1616" s="246">
        <v>2516.8000000000002</v>
      </c>
      <c r="J1616" s="246"/>
      <c r="K1616" s="242" t="s">
        <v>8</v>
      </c>
      <c r="L1616" s="243">
        <v>5240322.5599999996</v>
      </c>
    </row>
    <row r="1617" spans="1:12" ht="61.2" x14ac:dyDescent="0.3">
      <c r="A1617" s="237" t="s">
        <v>328</v>
      </c>
      <c r="B1617" s="238" t="s">
        <v>2842</v>
      </c>
      <c r="C1617" s="238" t="s">
        <v>806</v>
      </c>
      <c r="D1617" s="238" t="s">
        <v>2515</v>
      </c>
      <c r="E1617" s="239" t="s">
        <v>105</v>
      </c>
      <c r="F1617" s="245" t="s">
        <v>15</v>
      </c>
      <c r="G1617" s="245"/>
      <c r="H1617" s="239" t="s">
        <v>751</v>
      </c>
      <c r="I1617" s="246">
        <v>3993</v>
      </c>
      <c r="J1617" s="246"/>
      <c r="K1617" s="242" t="s">
        <v>8</v>
      </c>
      <c r="L1617" s="243">
        <v>5236329.5599999996</v>
      </c>
    </row>
    <row r="1618" spans="1:12" ht="61.2" x14ac:dyDescent="0.3">
      <c r="A1618" s="237" t="s">
        <v>328</v>
      </c>
      <c r="B1618" s="238" t="s">
        <v>2842</v>
      </c>
      <c r="C1618" s="238" t="s">
        <v>806</v>
      </c>
      <c r="D1618" s="238" t="s">
        <v>2591</v>
      </c>
      <c r="E1618" s="239" t="s">
        <v>105</v>
      </c>
      <c r="F1618" s="245" t="s">
        <v>15</v>
      </c>
      <c r="G1618" s="245"/>
      <c r="H1618" s="239" t="s">
        <v>751</v>
      </c>
      <c r="I1618" s="246">
        <v>1214.0999999999999</v>
      </c>
      <c r="J1618" s="246"/>
      <c r="K1618" s="242" t="s">
        <v>8</v>
      </c>
      <c r="L1618" s="243">
        <v>5235115.46</v>
      </c>
    </row>
    <row r="1619" spans="1:12" ht="61.2" x14ac:dyDescent="0.3">
      <c r="A1619" s="237" t="s">
        <v>328</v>
      </c>
      <c r="B1619" s="238" t="s">
        <v>2842</v>
      </c>
      <c r="C1619" s="238" t="s">
        <v>806</v>
      </c>
      <c r="D1619" s="238" t="s">
        <v>2589</v>
      </c>
      <c r="E1619" s="239" t="s">
        <v>105</v>
      </c>
      <c r="F1619" s="245" t="s">
        <v>15</v>
      </c>
      <c r="G1619" s="245"/>
      <c r="H1619" s="239" t="s">
        <v>751</v>
      </c>
      <c r="I1619" s="246">
        <v>2309.4</v>
      </c>
      <c r="J1619" s="246"/>
      <c r="K1619" s="242" t="s">
        <v>8</v>
      </c>
      <c r="L1619" s="243">
        <v>5232806.0599999996</v>
      </c>
    </row>
    <row r="1620" spans="1:12" ht="61.2" x14ac:dyDescent="0.3">
      <c r="A1620" s="237" t="s">
        <v>328</v>
      </c>
      <c r="B1620" s="238" t="s">
        <v>2842</v>
      </c>
      <c r="C1620" s="238" t="s">
        <v>806</v>
      </c>
      <c r="D1620" s="238" t="s">
        <v>2590</v>
      </c>
      <c r="E1620" s="239" t="s">
        <v>105</v>
      </c>
      <c r="F1620" s="245" t="s">
        <v>15</v>
      </c>
      <c r="G1620" s="245"/>
      <c r="H1620" s="239" t="s">
        <v>751</v>
      </c>
      <c r="I1620" s="246">
        <v>3235.2</v>
      </c>
      <c r="J1620" s="246"/>
      <c r="K1620" s="242" t="s">
        <v>8</v>
      </c>
      <c r="L1620" s="243">
        <v>5229570.8600000003</v>
      </c>
    </row>
    <row r="1621" spans="1:12" ht="61.2" x14ac:dyDescent="0.3">
      <c r="A1621" s="237" t="s">
        <v>328</v>
      </c>
      <c r="B1621" s="238" t="s">
        <v>2842</v>
      </c>
      <c r="C1621" s="238" t="s">
        <v>806</v>
      </c>
      <c r="D1621" s="238" t="s">
        <v>2058</v>
      </c>
      <c r="E1621" s="239" t="s">
        <v>105</v>
      </c>
      <c r="F1621" s="245" t="s">
        <v>15</v>
      </c>
      <c r="G1621" s="245"/>
      <c r="H1621" s="239" t="s">
        <v>751</v>
      </c>
      <c r="I1621" s="246">
        <v>61165.5</v>
      </c>
      <c r="J1621" s="246"/>
      <c r="K1621" s="242" t="s">
        <v>8</v>
      </c>
      <c r="L1621" s="243">
        <v>5168405.3600000003</v>
      </c>
    </row>
    <row r="1622" spans="1:12" ht="61.2" x14ac:dyDescent="0.3">
      <c r="A1622" s="237" t="s">
        <v>328</v>
      </c>
      <c r="B1622" s="238" t="s">
        <v>2842</v>
      </c>
      <c r="C1622" s="238" t="s">
        <v>806</v>
      </c>
      <c r="D1622" s="238" t="s">
        <v>2595</v>
      </c>
      <c r="E1622" s="239" t="s">
        <v>105</v>
      </c>
      <c r="F1622" s="245" t="s">
        <v>15</v>
      </c>
      <c r="G1622" s="245"/>
      <c r="H1622" s="239" t="s">
        <v>751</v>
      </c>
      <c r="I1622" s="246">
        <v>19761.8</v>
      </c>
      <c r="J1622" s="246"/>
      <c r="K1622" s="242" t="s">
        <v>8</v>
      </c>
      <c r="L1622" s="243">
        <v>5148643.5599999996</v>
      </c>
    </row>
    <row r="1623" spans="1:12" ht="61.2" x14ac:dyDescent="0.3">
      <c r="A1623" s="237" t="s">
        <v>328</v>
      </c>
      <c r="B1623" s="238" t="s">
        <v>2842</v>
      </c>
      <c r="C1623" s="238" t="s">
        <v>806</v>
      </c>
      <c r="D1623" s="238" t="s">
        <v>2594</v>
      </c>
      <c r="E1623" s="239" t="s">
        <v>105</v>
      </c>
      <c r="F1623" s="245" t="s">
        <v>15</v>
      </c>
      <c r="G1623" s="245"/>
      <c r="H1623" s="239" t="s">
        <v>751</v>
      </c>
      <c r="I1623" s="246">
        <v>4046.1</v>
      </c>
      <c r="J1623" s="246"/>
      <c r="K1623" s="242" t="s">
        <v>8</v>
      </c>
      <c r="L1623" s="243">
        <v>5144597.46</v>
      </c>
    </row>
    <row r="1624" spans="1:12" ht="61.2" x14ac:dyDescent="0.3">
      <c r="A1624" s="237" t="s">
        <v>328</v>
      </c>
      <c r="B1624" s="238" t="s">
        <v>2842</v>
      </c>
      <c r="C1624" s="238" t="s">
        <v>806</v>
      </c>
      <c r="D1624" s="238" t="s">
        <v>2053</v>
      </c>
      <c r="E1624" s="239" t="s">
        <v>105</v>
      </c>
      <c r="F1624" s="245" t="s">
        <v>15</v>
      </c>
      <c r="G1624" s="245"/>
      <c r="H1624" s="239" t="s">
        <v>751</v>
      </c>
      <c r="I1624" s="246">
        <v>4172.5</v>
      </c>
      <c r="J1624" s="246"/>
      <c r="K1624" s="242" t="s">
        <v>8</v>
      </c>
      <c r="L1624" s="243">
        <v>5140424.96</v>
      </c>
    </row>
    <row r="1625" spans="1:12" ht="61.2" x14ac:dyDescent="0.3">
      <c r="A1625" s="237" t="s">
        <v>328</v>
      </c>
      <c r="B1625" s="238" t="s">
        <v>2842</v>
      </c>
      <c r="C1625" s="238" t="s">
        <v>806</v>
      </c>
      <c r="D1625" s="238" t="s">
        <v>2053</v>
      </c>
      <c r="E1625" s="239" t="s">
        <v>105</v>
      </c>
      <c r="F1625" s="245" t="s">
        <v>15</v>
      </c>
      <c r="G1625" s="245"/>
      <c r="H1625" s="239" t="s">
        <v>751</v>
      </c>
      <c r="I1625" s="246">
        <v>4172.5</v>
      </c>
      <c r="J1625" s="246"/>
      <c r="K1625" s="242" t="s">
        <v>8</v>
      </c>
      <c r="L1625" s="243">
        <v>5136252.46</v>
      </c>
    </row>
    <row r="1626" spans="1:12" ht="61.2" x14ac:dyDescent="0.3">
      <c r="A1626" s="237" t="s">
        <v>328</v>
      </c>
      <c r="B1626" s="238" t="s">
        <v>2842</v>
      </c>
      <c r="C1626" s="238" t="s">
        <v>806</v>
      </c>
      <c r="D1626" s="238" t="s">
        <v>2580</v>
      </c>
      <c r="E1626" s="239" t="s">
        <v>105</v>
      </c>
      <c r="F1626" s="245" t="s">
        <v>15</v>
      </c>
      <c r="G1626" s="245"/>
      <c r="H1626" s="239" t="s">
        <v>751</v>
      </c>
      <c r="I1626" s="246">
        <v>3851.1</v>
      </c>
      <c r="J1626" s="246"/>
      <c r="K1626" s="242" t="s">
        <v>8</v>
      </c>
      <c r="L1626" s="243">
        <v>5132401.3600000003</v>
      </c>
    </row>
    <row r="1627" spans="1:12" ht="61.2" x14ac:dyDescent="0.3">
      <c r="A1627" s="237" t="s">
        <v>328</v>
      </c>
      <c r="B1627" s="238" t="s">
        <v>2842</v>
      </c>
      <c r="C1627" s="238" t="s">
        <v>806</v>
      </c>
      <c r="D1627" s="238" t="s">
        <v>2020</v>
      </c>
      <c r="E1627" s="239" t="s">
        <v>105</v>
      </c>
      <c r="F1627" s="245" t="s">
        <v>15</v>
      </c>
      <c r="G1627" s="245"/>
      <c r="H1627" s="239" t="s">
        <v>751</v>
      </c>
      <c r="I1627" s="246">
        <v>20862.5</v>
      </c>
      <c r="J1627" s="246"/>
      <c r="K1627" s="242" t="s">
        <v>8</v>
      </c>
      <c r="L1627" s="243">
        <v>5111538.8600000003</v>
      </c>
    </row>
    <row r="1628" spans="1:12" ht="61.2" x14ac:dyDescent="0.3">
      <c r="A1628" s="237" t="s">
        <v>328</v>
      </c>
      <c r="B1628" s="238" t="s">
        <v>2842</v>
      </c>
      <c r="C1628" s="238" t="s">
        <v>806</v>
      </c>
      <c r="D1628" s="238" t="s">
        <v>2545</v>
      </c>
      <c r="E1628" s="239" t="s">
        <v>105</v>
      </c>
      <c r="F1628" s="245" t="s">
        <v>15</v>
      </c>
      <c r="G1628" s="245"/>
      <c r="H1628" s="239" t="s">
        <v>751</v>
      </c>
      <c r="I1628" s="246">
        <v>8534.6</v>
      </c>
      <c r="J1628" s="246"/>
      <c r="K1628" s="242" t="s">
        <v>8</v>
      </c>
      <c r="L1628" s="243">
        <v>5103004.26</v>
      </c>
    </row>
    <row r="1629" spans="1:12" ht="61.2" x14ac:dyDescent="0.3">
      <c r="A1629" s="237" t="s">
        <v>328</v>
      </c>
      <c r="B1629" s="238" t="s">
        <v>2842</v>
      </c>
      <c r="C1629" s="238" t="s">
        <v>806</v>
      </c>
      <c r="D1629" s="238" t="s">
        <v>2593</v>
      </c>
      <c r="E1629" s="239" t="s">
        <v>105</v>
      </c>
      <c r="F1629" s="245" t="s">
        <v>15</v>
      </c>
      <c r="G1629" s="245"/>
      <c r="H1629" s="239" t="s">
        <v>751</v>
      </c>
      <c r="I1629" s="246">
        <v>4474.7</v>
      </c>
      <c r="J1629" s="246"/>
      <c r="K1629" s="242" t="s">
        <v>8</v>
      </c>
      <c r="L1629" s="243">
        <v>5098529.5599999996</v>
      </c>
    </row>
    <row r="1630" spans="1:12" ht="61.2" x14ac:dyDescent="0.3">
      <c r="A1630" s="237" t="s">
        <v>328</v>
      </c>
      <c r="B1630" s="238" t="s">
        <v>2842</v>
      </c>
      <c r="C1630" s="238" t="s">
        <v>806</v>
      </c>
      <c r="D1630" s="238" t="s">
        <v>2592</v>
      </c>
      <c r="E1630" s="239" t="s">
        <v>105</v>
      </c>
      <c r="F1630" s="245" t="s">
        <v>15</v>
      </c>
      <c r="G1630" s="245"/>
      <c r="H1630" s="239" t="s">
        <v>751</v>
      </c>
      <c r="I1630" s="246">
        <v>2849</v>
      </c>
      <c r="J1630" s="246"/>
      <c r="K1630" s="242" t="s">
        <v>8</v>
      </c>
      <c r="L1630" s="243">
        <v>5095680.5599999996</v>
      </c>
    </row>
    <row r="1631" spans="1:12" ht="61.2" x14ac:dyDescent="0.3">
      <c r="A1631" s="237" t="s">
        <v>328</v>
      </c>
      <c r="B1631" s="238" t="s">
        <v>2842</v>
      </c>
      <c r="C1631" s="238" t="s">
        <v>806</v>
      </c>
      <c r="D1631" s="238" t="s">
        <v>2516</v>
      </c>
      <c r="E1631" s="239" t="s">
        <v>105</v>
      </c>
      <c r="F1631" s="245" t="s">
        <v>15</v>
      </c>
      <c r="G1631" s="245"/>
      <c r="H1631" s="239" t="s">
        <v>751</v>
      </c>
      <c r="I1631" s="246">
        <v>4870.2</v>
      </c>
      <c r="J1631" s="246"/>
      <c r="K1631" s="242" t="s">
        <v>8</v>
      </c>
      <c r="L1631" s="243">
        <v>5090810.3600000003</v>
      </c>
    </row>
    <row r="1632" spans="1:12" ht="61.2" x14ac:dyDescent="0.3">
      <c r="A1632" s="237" t="s">
        <v>328</v>
      </c>
      <c r="B1632" s="238" t="s">
        <v>2842</v>
      </c>
      <c r="C1632" s="238" t="s">
        <v>806</v>
      </c>
      <c r="D1632" s="238" t="s">
        <v>2001</v>
      </c>
      <c r="E1632" s="239" t="s">
        <v>105</v>
      </c>
      <c r="F1632" s="245" t="s">
        <v>15</v>
      </c>
      <c r="G1632" s="245"/>
      <c r="H1632" s="239" t="s">
        <v>751</v>
      </c>
      <c r="I1632" s="246">
        <v>3839.5</v>
      </c>
      <c r="J1632" s="246"/>
      <c r="K1632" s="242" t="s">
        <v>8</v>
      </c>
      <c r="L1632" s="243">
        <v>5086970.8600000003</v>
      </c>
    </row>
    <row r="1633" spans="1:12" ht="61.2" x14ac:dyDescent="0.3">
      <c r="A1633" s="237" t="s">
        <v>328</v>
      </c>
      <c r="B1633" s="238" t="s">
        <v>2842</v>
      </c>
      <c r="C1633" s="238" t="s">
        <v>806</v>
      </c>
      <c r="D1633" s="238" t="s">
        <v>2029</v>
      </c>
      <c r="E1633" s="239" t="s">
        <v>105</v>
      </c>
      <c r="F1633" s="245" t="s">
        <v>15</v>
      </c>
      <c r="G1633" s="245"/>
      <c r="H1633" s="239" t="s">
        <v>751</v>
      </c>
      <c r="I1633" s="246">
        <v>4953.3999999999996</v>
      </c>
      <c r="J1633" s="246"/>
      <c r="K1633" s="242" t="s">
        <v>8</v>
      </c>
      <c r="L1633" s="243">
        <v>5082017.46</v>
      </c>
    </row>
    <row r="1634" spans="1:12" ht="61.2" x14ac:dyDescent="0.3">
      <c r="A1634" s="237" t="s">
        <v>328</v>
      </c>
      <c r="B1634" s="238" t="s">
        <v>2842</v>
      </c>
      <c r="C1634" s="238" t="s">
        <v>806</v>
      </c>
      <c r="D1634" s="238" t="s">
        <v>2032</v>
      </c>
      <c r="E1634" s="239" t="s">
        <v>105</v>
      </c>
      <c r="F1634" s="245" t="s">
        <v>15</v>
      </c>
      <c r="G1634" s="245"/>
      <c r="H1634" s="239" t="s">
        <v>751</v>
      </c>
      <c r="I1634" s="246">
        <v>1609.5</v>
      </c>
      <c r="J1634" s="246"/>
      <c r="K1634" s="242" t="s">
        <v>8</v>
      </c>
      <c r="L1634" s="243">
        <v>5080407.96</v>
      </c>
    </row>
    <row r="1635" spans="1:12" ht="61.2" x14ac:dyDescent="0.3">
      <c r="A1635" s="237" t="s">
        <v>328</v>
      </c>
      <c r="B1635" s="238" t="s">
        <v>2842</v>
      </c>
      <c r="C1635" s="238" t="s">
        <v>806</v>
      </c>
      <c r="D1635" s="238" t="s">
        <v>2032</v>
      </c>
      <c r="E1635" s="239" t="s">
        <v>105</v>
      </c>
      <c r="F1635" s="245" t="s">
        <v>15</v>
      </c>
      <c r="G1635" s="245"/>
      <c r="H1635" s="239" t="s">
        <v>751</v>
      </c>
      <c r="I1635" s="246">
        <v>3219</v>
      </c>
      <c r="J1635" s="246"/>
      <c r="K1635" s="242" t="s">
        <v>8</v>
      </c>
      <c r="L1635" s="243">
        <v>5077188.96</v>
      </c>
    </row>
    <row r="1636" spans="1:12" ht="61.2" x14ac:dyDescent="0.3">
      <c r="A1636" s="237" t="s">
        <v>328</v>
      </c>
      <c r="B1636" s="238" t="s">
        <v>2842</v>
      </c>
      <c r="C1636" s="238" t="s">
        <v>806</v>
      </c>
      <c r="D1636" s="238" t="s">
        <v>2537</v>
      </c>
      <c r="E1636" s="239" t="s">
        <v>105</v>
      </c>
      <c r="F1636" s="245" t="s">
        <v>15</v>
      </c>
      <c r="G1636" s="245"/>
      <c r="H1636" s="239" t="s">
        <v>751</v>
      </c>
      <c r="I1636" s="246">
        <v>3146.5</v>
      </c>
      <c r="J1636" s="246"/>
      <c r="K1636" s="242" t="s">
        <v>8</v>
      </c>
      <c r="L1636" s="243">
        <v>5074042.46</v>
      </c>
    </row>
    <row r="1637" spans="1:12" ht="51" x14ac:dyDescent="0.3">
      <c r="A1637" s="237" t="s">
        <v>328</v>
      </c>
      <c r="B1637" s="238" t="s">
        <v>2842</v>
      </c>
      <c r="C1637" s="238" t="s">
        <v>806</v>
      </c>
      <c r="D1637" s="238" t="s">
        <v>1523</v>
      </c>
      <c r="E1637" s="239" t="s">
        <v>105</v>
      </c>
      <c r="F1637" s="245" t="s">
        <v>15</v>
      </c>
      <c r="G1637" s="245"/>
      <c r="H1637" s="239" t="s">
        <v>751</v>
      </c>
      <c r="I1637" s="246">
        <v>274167</v>
      </c>
      <c r="J1637" s="246"/>
      <c r="K1637" s="242" t="s">
        <v>8</v>
      </c>
      <c r="L1637" s="243">
        <v>4799875.46</v>
      </c>
    </row>
    <row r="1638" spans="1:12" ht="51" x14ac:dyDescent="0.3">
      <c r="A1638" s="237" t="s">
        <v>328</v>
      </c>
      <c r="B1638" s="238" t="s">
        <v>2842</v>
      </c>
      <c r="C1638" s="238" t="s">
        <v>806</v>
      </c>
      <c r="D1638" s="238" t="s">
        <v>1526</v>
      </c>
      <c r="E1638" s="239" t="s">
        <v>105</v>
      </c>
      <c r="F1638" s="245" t="s">
        <v>15</v>
      </c>
      <c r="G1638" s="245"/>
      <c r="H1638" s="239" t="s">
        <v>751</v>
      </c>
      <c r="I1638" s="246">
        <v>36162</v>
      </c>
      <c r="J1638" s="246"/>
      <c r="K1638" s="242" t="s">
        <v>8</v>
      </c>
      <c r="L1638" s="243">
        <v>4763713.46</v>
      </c>
    </row>
    <row r="1639" spans="1:12" ht="51" x14ac:dyDescent="0.3">
      <c r="A1639" s="237" t="s">
        <v>328</v>
      </c>
      <c r="B1639" s="238" t="s">
        <v>2843</v>
      </c>
      <c r="C1639" s="238" t="s">
        <v>806</v>
      </c>
      <c r="D1639" s="238" t="s">
        <v>1598</v>
      </c>
      <c r="E1639" s="239" t="s">
        <v>105</v>
      </c>
      <c r="F1639" s="245" t="s">
        <v>15</v>
      </c>
      <c r="G1639" s="245"/>
      <c r="H1639" s="239" t="s">
        <v>751</v>
      </c>
      <c r="I1639" s="246">
        <v>25392</v>
      </c>
      <c r="J1639" s="246"/>
      <c r="K1639" s="242" t="s">
        <v>8</v>
      </c>
      <c r="L1639" s="243">
        <v>4738321.46</v>
      </c>
    </row>
    <row r="1640" spans="1:12" ht="51" x14ac:dyDescent="0.3">
      <c r="A1640" s="237" t="s">
        <v>328</v>
      </c>
      <c r="B1640" s="238" t="s">
        <v>2843</v>
      </c>
      <c r="C1640" s="238" t="s">
        <v>806</v>
      </c>
      <c r="D1640" s="238" t="s">
        <v>2039</v>
      </c>
      <c r="E1640" s="239" t="s">
        <v>105</v>
      </c>
      <c r="F1640" s="245" t="s">
        <v>15</v>
      </c>
      <c r="G1640" s="245"/>
      <c r="H1640" s="239" t="s">
        <v>751</v>
      </c>
      <c r="I1640" s="246">
        <v>53065.599999999999</v>
      </c>
      <c r="J1640" s="246"/>
      <c r="K1640" s="242" t="s">
        <v>8</v>
      </c>
      <c r="L1640" s="243">
        <v>4685255.8600000003</v>
      </c>
    </row>
    <row r="1641" spans="1:12" ht="51" x14ac:dyDescent="0.3">
      <c r="A1641" s="237" t="s">
        <v>328</v>
      </c>
      <c r="B1641" s="238" t="s">
        <v>2843</v>
      </c>
      <c r="C1641" s="238" t="s">
        <v>806</v>
      </c>
      <c r="D1641" s="238" t="s">
        <v>2521</v>
      </c>
      <c r="E1641" s="239" t="s">
        <v>105</v>
      </c>
      <c r="F1641" s="245" t="s">
        <v>15</v>
      </c>
      <c r="G1641" s="245"/>
      <c r="H1641" s="239" t="s">
        <v>751</v>
      </c>
      <c r="I1641" s="246">
        <v>34960</v>
      </c>
      <c r="J1641" s="246"/>
      <c r="K1641" s="242" t="s">
        <v>8</v>
      </c>
      <c r="L1641" s="243">
        <v>4650295.8600000003</v>
      </c>
    </row>
    <row r="1642" spans="1:12" ht="51" x14ac:dyDescent="0.3">
      <c r="A1642" s="237" t="s">
        <v>328</v>
      </c>
      <c r="B1642" s="238" t="s">
        <v>2843</v>
      </c>
      <c r="C1642" s="238" t="s">
        <v>806</v>
      </c>
      <c r="D1642" s="238" t="s">
        <v>2606</v>
      </c>
      <c r="E1642" s="239" t="s">
        <v>105</v>
      </c>
      <c r="F1642" s="245" t="s">
        <v>15</v>
      </c>
      <c r="G1642" s="245"/>
      <c r="H1642" s="239" t="s">
        <v>751</v>
      </c>
      <c r="I1642" s="246">
        <v>1030.4000000000001</v>
      </c>
      <c r="J1642" s="246"/>
      <c r="K1642" s="242" t="s">
        <v>8</v>
      </c>
      <c r="L1642" s="243">
        <v>4649265.46</v>
      </c>
    </row>
    <row r="1643" spans="1:12" ht="51" x14ac:dyDescent="0.3">
      <c r="A1643" s="237" t="s">
        <v>328</v>
      </c>
      <c r="B1643" s="238" t="s">
        <v>2843</v>
      </c>
      <c r="C1643" s="238" t="s">
        <v>806</v>
      </c>
      <c r="D1643" s="238" t="s">
        <v>2040</v>
      </c>
      <c r="E1643" s="239" t="s">
        <v>105</v>
      </c>
      <c r="F1643" s="245" t="s">
        <v>15</v>
      </c>
      <c r="G1643" s="245"/>
      <c r="H1643" s="239" t="s">
        <v>751</v>
      </c>
      <c r="I1643" s="247">
        <v>537.29999999999995</v>
      </c>
      <c r="J1643" s="247"/>
      <c r="K1643" s="242" t="s">
        <v>8</v>
      </c>
      <c r="L1643" s="243">
        <v>4648728.16</v>
      </c>
    </row>
    <row r="1644" spans="1:12" ht="51" x14ac:dyDescent="0.3">
      <c r="A1644" s="237" t="s">
        <v>328</v>
      </c>
      <c r="B1644" s="238" t="s">
        <v>2843</v>
      </c>
      <c r="C1644" s="238" t="s">
        <v>806</v>
      </c>
      <c r="D1644" s="238" t="s">
        <v>2523</v>
      </c>
      <c r="E1644" s="239" t="s">
        <v>105</v>
      </c>
      <c r="F1644" s="245" t="s">
        <v>15</v>
      </c>
      <c r="G1644" s="245"/>
      <c r="H1644" s="239" t="s">
        <v>751</v>
      </c>
      <c r="I1644" s="247">
        <v>298.5</v>
      </c>
      <c r="J1644" s="247"/>
      <c r="K1644" s="242" t="s">
        <v>8</v>
      </c>
      <c r="L1644" s="243">
        <v>4648429.66</v>
      </c>
    </row>
    <row r="1645" spans="1:12" ht="51" x14ac:dyDescent="0.3">
      <c r="A1645" s="237" t="s">
        <v>328</v>
      </c>
      <c r="B1645" s="238" t="s">
        <v>2843</v>
      </c>
      <c r="C1645" s="238" t="s">
        <v>806</v>
      </c>
      <c r="D1645" s="238" t="s">
        <v>2523</v>
      </c>
      <c r="E1645" s="239" t="s">
        <v>105</v>
      </c>
      <c r="F1645" s="245" t="s">
        <v>15</v>
      </c>
      <c r="G1645" s="245"/>
      <c r="H1645" s="239" t="s">
        <v>751</v>
      </c>
      <c r="I1645" s="247">
        <v>179.1</v>
      </c>
      <c r="J1645" s="247"/>
      <c r="K1645" s="242" t="s">
        <v>8</v>
      </c>
      <c r="L1645" s="243">
        <v>4648250.5599999996</v>
      </c>
    </row>
    <row r="1646" spans="1:12" ht="51" x14ac:dyDescent="0.3">
      <c r="A1646" s="237" t="s">
        <v>328</v>
      </c>
      <c r="B1646" s="238" t="s">
        <v>2843</v>
      </c>
      <c r="C1646" s="238" t="s">
        <v>806</v>
      </c>
      <c r="D1646" s="238" t="s">
        <v>2605</v>
      </c>
      <c r="E1646" s="239" t="s">
        <v>105</v>
      </c>
      <c r="F1646" s="245" t="s">
        <v>15</v>
      </c>
      <c r="G1646" s="245"/>
      <c r="H1646" s="239" t="s">
        <v>751</v>
      </c>
      <c r="I1646" s="247">
        <v>358.2</v>
      </c>
      <c r="J1646" s="247"/>
      <c r="K1646" s="242" t="s">
        <v>8</v>
      </c>
      <c r="L1646" s="243">
        <v>4647892.3600000003</v>
      </c>
    </row>
    <row r="1647" spans="1:12" ht="51" x14ac:dyDescent="0.3">
      <c r="A1647" s="237" t="s">
        <v>328</v>
      </c>
      <c r="B1647" s="238" t="s">
        <v>2843</v>
      </c>
      <c r="C1647" s="238" t="s">
        <v>806</v>
      </c>
      <c r="D1647" s="238" t="s">
        <v>2604</v>
      </c>
      <c r="E1647" s="239" t="s">
        <v>105</v>
      </c>
      <c r="F1647" s="245" t="s">
        <v>15</v>
      </c>
      <c r="G1647" s="245"/>
      <c r="H1647" s="239" t="s">
        <v>751</v>
      </c>
      <c r="I1647" s="247">
        <v>373.6</v>
      </c>
      <c r="J1647" s="247"/>
      <c r="K1647" s="242" t="s">
        <v>8</v>
      </c>
      <c r="L1647" s="243">
        <v>4647518.76</v>
      </c>
    </row>
    <row r="1648" spans="1:12" ht="61.2" x14ac:dyDescent="0.3">
      <c r="A1648" s="237" t="s">
        <v>328</v>
      </c>
      <c r="B1648" s="238" t="s">
        <v>2843</v>
      </c>
      <c r="C1648" s="238" t="s">
        <v>806</v>
      </c>
      <c r="D1648" s="238" t="s">
        <v>1943</v>
      </c>
      <c r="E1648" s="239" t="s">
        <v>105</v>
      </c>
      <c r="F1648" s="245" t="s">
        <v>15</v>
      </c>
      <c r="G1648" s="245"/>
      <c r="H1648" s="239" t="s">
        <v>751</v>
      </c>
      <c r="I1648" s="246">
        <v>12593.7</v>
      </c>
      <c r="J1648" s="246"/>
      <c r="K1648" s="242" t="s">
        <v>8</v>
      </c>
      <c r="L1648" s="243">
        <v>4634925.0599999996</v>
      </c>
    </row>
    <row r="1649" spans="1:12" ht="61.2" x14ac:dyDescent="0.3">
      <c r="A1649" s="237" t="s">
        <v>328</v>
      </c>
      <c r="B1649" s="238" t="s">
        <v>2843</v>
      </c>
      <c r="C1649" s="238" t="s">
        <v>806</v>
      </c>
      <c r="D1649" s="238" t="s">
        <v>2038</v>
      </c>
      <c r="E1649" s="239" t="s">
        <v>105</v>
      </c>
      <c r="F1649" s="245" t="s">
        <v>15</v>
      </c>
      <c r="G1649" s="245"/>
      <c r="H1649" s="239" t="s">
        <v>751</v>
      </c>
      <c r="I1649" s="246">
        <v>1988.8</v>
      </c>
      <c r="J1649" s="246"/>
      <c r="K1649" s="242" t="s">
        <v>8</v>
      </c>
      <c r="L1649" s="243">
        <v>4632936.26</v>
      </c>
    </row>
    <row r="1650" spans="1:12" ht="61.2" x14ac:dyDescent="0.3">
      <c r="A1650" s="237" t="s">
        <v>328</v>
      </c>
      <c r="B1650" s="238" t="s">
        <v>2843</v>
      </c>
      <c r="C1650" s="238" t="s">
        <v>806</v>
      </c>
      <c r="D1650" s="238" t="s">
        <v>2549</v>
      </c>
      <c r="E1650" s="239" t="s">
        <v>105</v>
      </c>
      <c r="F1650" s="245" t="s">
        <v>15</v>
      </c>
      <c r="G1650" s="245"/>
      <c r="H1650" s="239" t="s">
        <v>751</v>
      </c>
      <c r="I1650" s="246">
        <v>11758.29</v>
      </c>
      <c r="J1650" s="246"/>
      <c r="K1650" s="242" t="s">
        <v>8</v>
      </c>
      <c r="L1650" s="243">
        <v>4621177.97</v>
      </c>
    </row>
    <row r="1651" spans="1:12" ht="61.2" x14ac:dyDescent="0.3">
      <c r="A1651" s="237" t="s">
        <v>328</v>
      </c>
      <c r="B1651" s="238" t="s">
        <v>2843</v>
      </c>
      <c r="C1651" s="238" t="s">
        <v>806</v>
      </c>
      <c r="D1651" s="238" t="s">
        <v>2549</v>
      </c>
      <c r="E1651" s="239" t="s">
        <v>105</v>
      </c>
      <c r="F1651" s="245" t="s">
        <v>15</v>
      </c>
      <c r="G1651" s="245"/>
      <c r="H1651" s="239" t="s">
        <v>751</v>
      </c>
      <c r="I1651" s="246">
        <v>1959.71</v>
      </c>
      <c r="J1651" s="246"/>
      <c r="K1651" s="242" t="s">
        <v>8</v>
      </c>
      <c r="L1651" s="243">
        <v>4619218.26</v>
      </c>
    </row>
    <row r="1652" spans="1:12" ht="61.2" x14ac:dyDescent="0.3">
      <c r="A1652" s="237" t="s">
        <v>328</v>
      </c>
      <c r="B1652" s="238" t="s">
        <v>2843</v>
      </c>
      <c r="C1652" s="238" t="s">
        <v>806</v>
      </c>
      <c r="D1652" s="238" t="s">
        <v>2596</v>
      </c>
      <c r="E1652" s="239" t="s">
        <v>105</v>
      </c>
      <c r="F1652" s="245" t="s">
        <v>15</v>
      </c>
      <c r="G1652" s="245"/>
      <c r="H1652" s="239" t="s">
        <v>751</v>
      </c>
      <c r="I1652" s="246">
        <v>2028.8</v>
      </c>
      <c r="J1652" s="246"/>
      <c r="K1652" s="242" t="s">
        <v>8</v>
      </c>
      <c r="L1652" s="243">
        <v>4617189.46</v>
      </c>
    </row>
    <row r="1653" spans="1:12" ht="61.2" x14ac:dyDescent="0.3">
      <c r="A1653" s="237" t="s">
        <v>328</v>
      </c>
      <c r="B1653" s="238" t="s">
        <v>2843</v>
      </c>
      <c r="C1653" s="238" t="s">
        <v>806</v>
      </c>
      <c r="D1653" s="238" t="s">
        <v>1962</v>
      </c>
      <c r="E1653" s="239" t="s">
        <v>105</v>
      </c>
      <c r="F1653" s="245" t="s">
        <v>15</v>
      </c>
      <c r="G1653" s="245"/>
      <c r="H1653" s="239" t="s">
        <v>751</v>
      </c>
      <c r="I1653" s="246">
        <v>3149.6</v>
      </c>
      <c r="J1653" s="246"/>
      <c r="K1653" s="242" t="s">
        <v>8</v>
      </c>
      <c r="L1653" s="243">
        <v>4614039.8600000003</v>
      </c>
    </row>
    <row r="1654" spans="1:12" ht="61.2" x14ac:dyDescent="0.3">
      <c r="A1654" s="237" t="s">
        <v>328</v>
      </c>
      <c r="B1654" s="238" t="s">
        <v>2843</v>
      </c>
      <c r="C1654" s="238" t="s">
        <v>806</v>
      </c>
      <c r="D1654" s="238" t="s">
        <v>1990</v>
      </c>
      <c r="E1654" s="239" t="s">
        <v>105</v>
      </c>
      <c r="F1654" s="245" t="s">
        <v>15</v>
      </c>
      <c r="G1654" s="245"/>
      <c r="H1654" s="239" t="s">
        <v>751</v>
      </c>
      <c r="I1654" s="247">
        <v>998.2</v>
      </c>
      <c r="J1654" s="247"/>
      <c r="K1654" s="242" t="s">
        <v>8</v>
      </c>
      <c r="L1654" s="243">
        <v>4613041.66</v>
      </c>
    </row>
    <row r="1655" spans="1:12" ht="61.2" x14ac:dyDescent="0.3">
      <c r="A1655" s="237" t="s">
        <v>328</v>
      </c>
      <c r="B1655" s="238" t="s">
        <v>2843</v>
      </c>
      <c r="C1655" s="238" t="s">
        <v>806</v>
      </c>
      <c r="D1655" s="238" t="s">
        <v>2059</v>
      </c>
      <c r="E1655" s="239" t="s">
        <v>105</v>
      </c>
      <c r="F1655" s="245" t="s">
        <v>15</v>
      </c>
      <c r="G1655" s="245"/>
      <c r="H1655" s="239" t="s">
        <v>751</v>
      </c>
      <c r="I1655" s="246">
        <v>2028.8</v>
      </c>
      <c r="J1655" s="246"/>
      <c r="K1655" s="242" t="s">
        <v>8</v>
      </c>
      <c r="L1655" s="243">
        <v>4611012.8600000003</v>
      </c>
    </row>
    <row r="1656" spans="1:12" ht="61.2" x14ac:dyDescent="0.3">
      <c r="A1656" s="237" t="s">
        <v>328</v>
      </c>
      <c r="B1656" s="238" t="s">
        <v>2843</v>
      </c>
      <c r="C1656" s="238" t="s">
        <v>806</v>
      </c>
      <c r="D1656" s="238" t="s">
        <v>2503</v>
      </c>
      <c r="E1656" s="239" t="s">
        <v>105</v>
      </c>
      <c r="F1656" s="245" t="s">
        <v>15</v>
      </c>
      <c r="G1656" s="245"/>
      <c r="H1656" s="239" t="s">
        <v>751</v>
      </c>
      <c r="I1656" s="246">
        <v>10418</v>
      </c>
      <c r="J1656" s="246"/>
      <c r="K1656" s="242" t="s">
        <v>8</v>
      </c>
      <c r="L1656" s="243">
        <v>4600594.8600000003</v>
      </c>
    </row>
    <row r="1657" spans="1:12" ht="61.2" x14ac:dyDescent="0.3">
      <c r="A1657" s="237" t="s">
        <v>328</v>
      </c>
      <c r="B1657" s="238" t="s">
        <v>2843</v>
      </c>
      <c r="C1657" s="238" t="s">
        <v>806</v>
      </c>
      <c r="D1657" s="238" t="s">
        <v>2017</v>
      </c>
      <c r="E1657" s="239" t="s">
        <v>105</v>
      </c>
      <c r="F1657" s="245" t="s">
        <v>15</v>
      </c>
      <c r="G1657" s="245"/>
      <c r="H1657" s="239" t="s">
        <v>751</v>
      </c>
      <c r="I1657" s="247">
        <v>908.8</v>
      </c>
      <c r="J1657" s="247"/>
      <c r="K1657" s="242" t="s">
        <v>8</v>
      </c>
      <c r="L1657" s="243">
        <v>4599686.0599999996</v>
      </c>
    </row>
    <row r="1658" spans="1:12" ht="61.2" x14ac:dyDescent="0.3">
      <c r="A1658" s="237" t="s">
        <v>328</v>
      </c>
      <c r="B1658" s="238" t="s">
        <v>2843</v>
      </c>
      <c r="C1658" s="238" t="s">
        <v>806</v>
      </c>
      <c r="D1658" s="238" t="s">
        <v>2019</v>
      </c>
      <c r="E1658" s="239" t="s">
        <v>105</v>
      </c>
      <c r="F1658" s="245" t="s">
        <v>15</v>
      </c>
      <c r="G1658" s="245"/>
      <c r="H1658" s="239" t="s">
        <v>751</v>
      </c>
      <c r="I1658" s="246">
        <v>1616.4</v>
      </c>
      <c r="J1658" s="246"/>
      <c r="K1658" s="242" t="s">
        <v>8</v>
      </c>
      <c r="L1658" s="243">
        <v>4598069.66</v>
      </c>
    </row>
    <row r="1659" spans="1:12" ht="61.2" x14ac:dyDescent="0.3">
      <c r="A1659" s="237" t="s">
        <v>328</v>
      </c>
      <c r="B1659" s="238" t="s">
        <v>2843</v>
      </c>
      <c r="C1659" s="238" t="s">
        <v>806</v>
      </c>
      <c r="D1659" s="238" t="s">
        <v>2018</v>
      </c>
      <c r="E1659" s="239" t="s">
        <v>105</v>
      </c>
      <c r="F1659" s="245" t="s">
        <v>15</v>
      </c>
      <c r="G1659" s="245"/>
      <c r="H1659" s="239" t="s">
        <v>751</v>
      </c>
      <c r="I1659" s="246">
        <v>1679.6</v>
      </c>
      <c r="J1659" s="246"/>
      <c r="K1659" s="242" t="s">
        <v>8</v>
      </c>
      <c r="L1659" s="243">
        <v>4596390.0599999996</v>
      </c>
    </row>
    <row r="1660" spans="1:12" ht="61.2" x14ac:dyDescent="0.3">
      <c r="A1660" s="237" t="s">
        <v>328</v>
      </c>
      <c r="B1660" s="238" t="s">
        <v>2843</v>
      </c>
      <c r="C1660" s="238" t="s">
        <v>806</v>
      </c>
      <c r="D1660" s="238" t="s">
        <v>2502</v>
      </c>
      <c r="E1660" s="239" t="s">
        <v>105</v>
      </c>
      <c r="F1660" s="245" t="s">
        <v>15</v>
      </c>
      <c r="G1660" s="245"/>
      <c r="H1660" s="239" t="s">
        <v>751</v>
      </c>
      <c r="I1660" s="246">
        <v>1672.7</v>
      </c>
      <c r="J1660" s="246"/>
      <c r="K1660" s="242" t="s">
        <v>8</v>
      </c>
      <c r="L1660" s="243">
        <v>4594717.3600000003</v>
      </c>
    </row>
    <row r="1661" spans="1:12" ht="61.2" x14ac:dyDescent="0.3">
      <c r="A1661" s="237" t="s">
        <v>328</v>
      </c>
      <c r="B1661" s="238" t="s">
        <v>2843</v>
      </c>
      <c r="C1661" s="238" t="s">
        <v>806</v>
      </c>
      <c r="D1661" s="238" t="s">
        <v>2010</v>
      </c>
      <c r="E1661" s="239" t="s">
        <v>105</v>
      </c>
      <c r="F1661" s="245" t="s">
        <v>15</v>
      </c>
      <c r="G1661" s="245"/>
      <c r="H1661" s="239" t="s">
        <v>751</v>
      </c>
      <c r="I1661" s="246">
        <v>2076.6</v>
      </c>
      <c r="J1661" s="246"/>
      <c r="K1661" s="242" t="s">
        <v>8</v>
      </c>
      <c r="L1661" s="243">
        <v>4592640.76</v>
      </c>
    </row>
    <row r="1662" spans="1:12" ht="61.2" x14ac:dyDescent="0.3">
      <c r="A1662" s="237" t="s">
        <v>328</v>
      </c>
      <c r="B1662" s="238" t="s">
        <v>2843</v>
      </c>
      <c r="C1662" s="238" t="s">
        <v>806</v>
      </c>
      <c r="D1662" s="238" t="s">
        <v>2011</v>
      </c>
      <c r="E1662" s="239" t="s">
        <v>105</v>
      </c>
      <c r="F1662" s="245" t="s">
        <v>15</v>
      </c>
      <c r="G1662" s="245"/>
      <c r="H1662" s="239" t="s">
        <v>751</v>
      </c>
      <c r="I1662" s="246">
        <v>1438.4</v>
      </c>
      <c r="J1662" s="246"/>
      <c r="K1662" s="242" t="s">
        <v>8</v>
      </c>
      <c r="L1662" s="243">
        <v>4591202.3600000003</v>
      </c>
    </row>
    <row r="1663" spans="1:12" ht="61.2" x14ac:dyDescent="0.3">
      <c r="A1663" s="237" t="s">
        <v>328</v>
      </c>
      <c r="B1663" s="238" t="s">
        <v>2843</v>
      </c>
      <c r="C1663" s="238" t="s">
        <v>806</v>
      </c>
      <c r="D1663" s="238" t="s">
        <v>1932</v>
      </c>
      <c r="E1663" s="239" t="s">
        <v>105</v>
      </c>
      <c r="F1663" s="245" t="s">
        <v>15</v>
      </c>
      <c r="G1663" s="245"/>
      <c r="H1663" s="239" t="s">
        <v>751</v>
      </c>
      <c r="I1663" s="246">
        <v>21622.9</v>
      </c>
      <c r="J1663" s="246"/>
      <c r="K1663" s="242" t="s">
        <v>8</v>
      </c>
      <c r="L1663" s="243">
        <v>4569579.46</v>
      </c>
    </row>
    <row r="1664" spans="1:12" ht="61.2" x14ac:dyDescent="0.3">
      <c r="A1664" s="237" t="s">
        <v>328</v>
      </c>
      <c r="B1664" s="238" t="s">
        <v>2843</v>
      </c>
      <c r="C1664" s="238" t="s">
        <v>806</v>
      </c>
      <c r="D1664" s="238" t="s">
        <v>2031</v>
      </c>
      <c r="E1664" s="239" t="s">
        <v>105</v>
      </c>
      <c r="F1664" s="245" t="s">
        <v>15</v>
      </c>
      <c r="G1664" s="245"/>
      <c r="H1664" s="239" t="s">
        <v>751</v>
      </c>
      <c r="I1664" s="246">
        <v>8867.6</v>
      </c>
      <c r="J1664" s="246"/>
      <c r="K1664" s="242" t="s">
        <v>8</v>
      </c>
      <c r="L1664" s="243">
        <v>4560711.8600000003</v>
      </c>
    </row>
    <row r="1665" spans="1:12" ht="61.2" x14ac:dyDescent="0.3">
      <c r="A1665" s="237" t="s">
        <v>328</v>
      </c>
      <c r="B1665" s="238" t="s">
        <v>2843</v>
      </c>
      <c r="C1665" s="238" t="s">
        <v>806</v>
      </c>
      <c r="D1665" s="238" t="s">
        <v>2520</v>
      </c>
      <c r="E1665" s="239" t="s">
        <v>105</v>
      </c>
      <c r="F1665" s="245" t="s">
        <v>15</v>
      </c>
      <c r="G1665" s="245"/>
      <c r="H1665" s="239" t="s">
        <v>751</v>
      </c>
      <c r="I1665" s="246">
        <v>13286.1</v>
      </c>
      <c r="J1665" s="246"/>
      <c r="K1665" s="242" t="s">
        <v>8</v>
      </c>
      <c r="L1665" s="243">
        <v>4547425.76</v>
      </c>
    </row>
    <row r="1666" spans="1:12" ht="61.2" x14ac:dyDescent="0.3">
      <c r="A1666" s="237" t="s">
        <v>328</v>
      </c>
      <c r="B1666" s="238" t="s">
        <v>2843</v>
      </c>
      <c r="C1666" s="238" t="s">
        <v>806</v>
      </c>
      <c r="D1666" s="238" t="s">
        <v>2519</v>
      </c>
      <c r="E1666" s="239" t="s">
        <v>105</v>
      </c>
      <c r="F1666" s="245" t="s">
        <v>15</v>
      </c>
      <c r="G1666" s="245"/>
      <c r="H1666" s="239" t="s">
        <v>751</v>
      </c>
      <c r="I1666" s="246">
        <v>2317.9</v>
      </c>
      <c r="J1666" s="246"/>
      <c r="K1666" s="242" t="s">
        <v>8</v>
      </c>
      <c r="L1666" s="243">
        <v>4545107.8600000003</v>
      </c>
    </row>
    <row r="1667" spans="1:12" ht="61.2" x14ac:dyDescent="0.3">
      <c r="A1667" s="237" t="s">
        <v>328</v>
      </c>
      <c r="B1667" s="238" t="s">
        <v>2843</v>
      </c>
      <c r="C1667" s="238" t="s">
        <v>806</v>
      </c>
      <c r="D1667" s="238" t="s">
        <v>2552</v>
      </c>
      <c r="E1667" s="239" t="s">
        <v>105</v>
      </c>
      <c r="F1667" s="245" t="s">
        <v>15</v>
      </c>
      <c r="G1667" s="245"/>
      <c r="H1667" s="239" t="s">
        <v>751</v>
      </c>
      <c r="I1667" s="246">
        <v>2273.1999999999998</v>
      </c>
      <c r="J1667" s="246"/>
      <c r="K1667" s="242" t="s">
        <v>8</v>
      </c>
      <c r="L1667" s="243">
        <v>4542834.66</v>
      </c>
    </row>
    <row r="1668" spans="1:12" ht="61.2" x14ac:dyDescent="0.3">
      <c r="A1668" s="237" t="s">
        <v>328</v>
      </c>
      <c r="B1668" s="238" t="s">
        <v>2843</v>
      </c>
      <c r="C1668" s="238" t="s">
        <v>806</v>
      </c>
      <c r="D1668" s="238" t="s">
        <v>2030</v>
      </c>
      <c r="E1668" s="239" t="s">
        <v>105</v>
      </c>
      <c r="F1668" s="245" t="s">
        <v>15</v>
      </c>
      <c r="G1668" s="245"/>
      <c r="H1668" s="239" t="s">
        <v>751</v>
      </c>
      <c r="I1668" s="246">
        <v>2391.9</v>
      </c>
      <c r="J1668" s="246"/>
      <c r="K1668" s="242" t="s">
        <v>8</v>
      </c>
      <c r="L1668" s="243">
        <v>4540442.76</v>
      </c>
    </row>
    <row r="1669" spans="1:12" ht="61.2" x14ac:dyDescent="0.3">
      <c r="A1669" s="237" t="s">
        <v>328</v>
      </c>
      <c r="B1669" s="238" t="s">
        <v>2843</v>
      </c>
      <c r="C1669" s="238" t="s">
        <v>806</v>
      </c>
      <c r="D1669" s="238" t="s">
        <v>2553</v>
      </c>
      <c r="E1669" s="239" t="s">
        <v>105</v>
      </c>
      <c r="F1669" s="245" t="s">
        <v>15</v>
      </c>
      <c r="G1669" s="245"/>
      <c r="H1669" s="239" t="s">
        <v>751</v>
      </c>
      <c r="I1669" s="246">
        <v>2444.3000000000002</v>
      </c>
      <c r="J1669" s="246"/>
      <c r="K1669" s="242" t="s">
        <v>8</v>
      </c>
      <c r="L1669" s="243">
        <v>4537998.46</v>
      </c>
    </row>
    <row r="1670" spans="1:12" ht="61.2" x14ac:dyDescent="0.3">
      <c r="A1670" s="237" t="s">
        <v>328</v>
      </c>
      <c r="B1670" s="238" t="s">
        <v>2843</v>
      </c>
      <c r="C1670" s="238" t="s">
        <v>806</v>
      </c>
      <c r="D1670" s="238" t="s">
        <v>1936</v>
      </c>
      <c r="E1670" s="239" t="s">
        <v>105</v>
      </c>
      <c r="F1670" s="245" t="s">
        <v>15</v>
      </c>
      <c r="G1670" s="245"/>
      <c r="H1670" s="239" t="s">
        <v>751</v>
      </c>
      <c r="I1670" s="246">
        <v>5002.8</v>
      </c>
      <c r="J1670" s="246"/>
      <c r="K1670" s="242" t="s">
        <v>8</v>
      </c>
      <c r="L1670" s="243">
        <v>4532995.66</v>
      </c>
    </row>
    <row r="1671" spans="1:12" ht="61.2" x14ac:dyDescent="0.3">
      <c r="A1671" s="237" t="s">
        <v>328</v>
      </c>
      <c r="B1671" s="238" t="s">
        <v>2843</v>
      </c>
      <c r="C1671" s="238" t="s">
        <v>806</v>
      </c>
      <c r="D1671" s="238" t="s">
        <v>1937</v>
      </c>
      <c r="E1671" s="239" t="s">
        <v>105</v>
      </c>
      <c r="F1671" s="245" t="s">
        <v>15</v>
      </c>
      <c r="G1671" s="245"/>
      <c r="H1671" s="239" t="s">
        <v>751</v>
      </c>
      <c r="I1671" s="246">
        <v>4147</v>
      </c>
      <c r="J1671" s="246"/>
      <c r="K1671" s="242" t="s">
        <v>8</v>
      </c>
      <c r="L1671" s="243">
        <v>4528848.66</v>
      </c>
    </row>
    <row r="1672" spans="1:12" ht="61.2" x14ac:dyDescent="0.3">
      <c r="A1672" s="237" t="s">
        <v>328</v>
      </c>
      <c r="B1672" s="238" t="s">
        <v>2843</v>
      </c>
      <c r="C1672" s="238" t="s">
        <v>806</v>
      </c>
      <c r="D1672" s="238" t="s">
        <v>1961</v>
      </c>
      <c r="E1672" s="239" t="s">
        <v>105</v>
      </c>
      <c r="F1672" s="245" t="s">
        <v>15</v>
      </c>
      <c r="G1672" s="245"/>
      <c r="H1672" s="239" t="s">
        <v>751</v>
      </c>
      <c r="I1672" s="246">
        <v>2590.8000000000002</v>
      </c>
      <c r="J1672" s="246"/>
      <c r="K1672" s="242" t="s">
        <v>8</v>
      </c>
      <c r="L1672" s="243">
        <v>4526257.8600000003</v>
      </c>
    </row>
    <row r="1673" spans="1:12" ht="61.2" x14ac:dyDescent="0.3">
      <c r="A1673" s="237" t="s">
        <v>328</v>
      </c>
      <c r="B1673" s="238" t="s">
        <v>2843</v>
      </c>
      <c r="C1673" s="238" t="s">
        <v>806</v>
      </c>
      <c r="D1673" s="238" t="s">
        <v>2566</v>
      </c>
      <c r="E1673" s="239" t="s">
        <v>105</v>
      </c>
      <c r="F1673" s="245" t="s">
        <v>15</v>
      </c>
      <c r="G1673" s="245"/>
      <c r="H1673" s="239" t="s">
        <v>751</v>
      </c>
      <c r="I1673" s="246">
        <v>1467.7</v>
      </c>
      <c r="J1673" s="246"/>
      <c r="K1673" s="242" t="s">
        <v>8</v>
      </c>
      <c r="L1673" s="243">
        <v>4524790.16</v>
      </c>
    </row>
    <row r="1674" spans="1:12" ht="61.2" x14ac:dyDescent="0.3">
      <c r="A1674" s="237" t="s">
        <v>328</v>
      </c>
      <c r="B1674" s="238" t="s">
        <v>2843</v>
      </c>
      <c r="C1674" s="238" t="s">
        <v>806</v>
      </c>
      <c r="D1674" s="238" t="s">
        <v>1969</v>
      </c>
      <c r="E1674" s="239" t="s">
        <v>105</v>
      </c>
      <c r="F1674" s="245" t="s">
        <v>15</v>
      </c>
      <c r="G1674" s="245"/>
      <c r="H1674" s="239" t="s">
        <v>751</v>
      </c>
      <c r="I1674" s="246">
        <v>2539.1</v>
      </c>
      <c r="J1674" s="246"/>
      <c r="K1674" s="242" t="s">
        <v>8</v>
      </c>
      <c r="L1674" s="243">
        <v>4522251.0599999996</v>
      </c>
    </row>
    <row r="1675" spans="1:12" ht="61.2" x14ac:dyDescent="0.3">
      <c r="A1675" s="237" t="s">
        <v>328</v>
      </c>
      <c r="B1675" s="238" t="s">
        <v>2843</v>
      </c>
      <c r="C1675" s="238" t="s">
        <v>806</v>
      </c>
      <c r="D1675" s="238" t="s">
        <v>1924</v>
      </c>
      <c r="E1675" s="239" t="s">
        <v>105</v>
      </c>
      <c r="F1675" s="245" t="s">
        <v>15</v>
      </c>
      <c r="G1675" s="245"/>
      <c r="H1675" s="239" t="s">
        <v>751</v>
      </c>
      <c r="I1675" s="246">
        <v>3484.2</v>
      </c>
      <c r="J1675" s="246"/>
      <c r="K1675" s="242" t="s">
        <v>8</v>
      </c>
      <c r="L1675" s="243">
        <v>4518766.8600000003</v>
      </c>
    </row>
    <row r="1676" spans="1:12" ht="61.2" x14ac:dyDescent="0.3">
      <c r="A1676" s="237" t="s">
        <v>328</v>
      </c>
      <c r="B1676" s="238" t="s">
        <v>2843</v>
      </c>
      <c r="C1676" s="238" t="s">
        <v>806</v>
      </c>
      <c r="D1676" s="238" t="s">
        <v>2050</v>
      </c>
      <c r="E1676" s="239" t="s">
        <v>105</v>
      </c>
      <c r="F1676" s="245" t="s">
        <v>15</v>
      </c>
      <c r="G1676" s="245"/>
      <c r="H1676" s="239" t="s">
        <v>751</v>
      </c>
      <c r="I1676" s="246">
        <v>2748.8</v>
      </c>
      <c r="J1676" s="246"/>
      <c r="K1676" s="242" t="s">
        <v>8</v>
      </c>
      <c r="L1676" s="243">
        <v>4516018.0599999996</v>
      </c>
    </row>
    <row r="1677" spans="1:12" ht="61.2" x14ac:dyDescent="0.3">
      <c r="A1677" s="237" t="s">
        <v>328</v>
      </c>
      <c r="B1677" s="238" t="s">
        <v>2843</v>
      </c>
      <c r="C1677" s="238" t="s">
        <v>806</v>
      </c>
      <c r="D1677" s="238" t="s">
        <v>2547</v>
      </c>
      <c r="E1677" s="239" t="s">
        <v>105</v>
      </c>
      <c r="F1677" s="245" t="s">
        <v>15</v>
      </c>
      <c r="G1677" s="245"/>
      <c r="H1677" s="239" t="s">
        <v>751</v>
      </c>
      <c r="I1677" s="246">
        <v>8258.7000000000007</v>
      </c>
      <c r="J1677" s="246"/>
      <c r="K1677" s="242" t="s">
        <v>8</v>
      </c>
      <c r="L1677" s="243">
        <v>4507759.3600000003</v>
      </c>
    </row>
    <row r="1678" spans="1:12" ht="61.2" x14ac:dyDescent="0.3">
      <c r="A1678" s="237" t="s">
        <v>328</v>
      </c>
      <c r="B1678" s="238" t="s">
        <v>2843</v>
      </c>
      <c r="C1678" s="238" t="s">
        <v>806</v>
      </c>
      <c r="D1678" s="238" t="s">
        <v>2546</v>
      </c>
      <c r="E1678" s="239" t="s">
        <v>105</v>
      </c>
      <c r="F1678" s="245" t="s">
        <v>15</v>
      </c>
      <c r="G1678" s="245"/>
      <c r="H1678" s="239" t="s">
        <v>751</v>
      </c>
      <c r="I1678" s="246">
        <v>2447.4</v>
      </c>
      <c r="J1678" s="246"/>
      <c r="K1678" s="242" t="s">
        <v>8</v>
      </c>
      <c r="L1678" s="243">
        <v>4505311.96</v>
      </c>
    </row>
    <row r="1679" spans="1:12" ht="61.2" x14ac:dyDescent="0.3">
      <c r="A1679" s="237" t="s">
        <v>328</v>
      </c>
      <c r="B1679" s="238" t="s">
        <v>2843</v>
      </c>
      <c r="C1679" s="238" t="s">
        <v>806</v>
      </c>
      <c r="D1679" s="238" t="s">
        <v>2476</v>
      </c>
      <c r="E1679" s="239" t="s">
        <v>105</v>
      </c>
      <c r="F1679" s="245" t="s">
        <v>15</v>
      </c>
      <c r="G1679" s="245"/>
      <c r="H1679" s="239" t="s">
        <v>751</v>
      </c>
      <c r="I1679" s="246">
        <v>3264.5</v>
      </c>
      <c r="J1679" s="246"/>
      <c r="K1679" s="242" t="s">
        <v>8</v>
      </c>
      <c r="L1679" s="243">
        <v>4502047.46</v>
      </c>
    </row>
    <row r="1680" spans="1:12" ht="61.2" x14ac:dyDescent="0.3">
      <c r="A1680" s="237" t="s">
        <v>328</v>
      </c>
      <c r="B1680" s="238" t="s">
        <v>2843</v>
      </c>
      <c r="C1680" s="238" t="s">
        <v>806</v>
      </c>
      <c r="D1680" s="238" t="s">
        <v>2505</v>
      </c>
      <c r="E1680" s="239" t="s">
        <v>105</v>
      </c>
      <c r="F1680" s="245" t="s">
        <v>15</v>
      </c>
      <c r="G1680" s="245"/>
      <c r="H1680" s="239" t="s">
        <v>751</v>
      </c>
      <c r="I1680" s="246">
        <v>4354.3999999999996</v>
      </c>
      <c r="J1680" s="246"/>
      <c r="K1680" s="242" t="s">
        <v>8</v>
      </c>
      <c r="L1680" s="243">
        <v>4497693.0599999996</v>
      </c>
    </row>
    <row r="1681" spans="1:12" ht="61.2" x14ac:dyDescent="0.3">
      <c r="A1681" s="237" t="s">
        <v>328</v>
      </c>
      <c r="B1681" s="238" t="s">
        <v>2843</v>
      </c>
      <c r="C1681" s="238" t="s">
        <v>806</v>
      </c>
      <c r="D1681" s="238" t="s">
        <v>2518</v>
      </c>
      <c r="E1681" s="239" t="s">
        <v>105</v>
      </c>
      <c r="F1681" s="245" t="s">
        <v>15</v>
      </c>
      <c r="G1681" s="245"/>
      <c r="H1681" s="239" t="s">
        <v>751</v>
      </c>
      <c r="I1681" s="246">
        <v>17842.5</v>
      </c>
      <c r="J1681" s="246"/>
      <c r="K1681" s="242" t="s">
        <v>8</v>
      </c>
      <c r="L1681" s="243">
        <v>4479850.5599999996</v>
      </c>
    </row>
    <row r="1682" spans="1:12" ht="61.2" x14ac:dyDescent="0.3">
      <c r="A1682" s="237" t="s">
        <v>328</v>
      </c>
      <c r="B1682" s="238" t="s">
        <v>2843</v>
      </c>
      <c r="C1682" s="238" t="s">
        <v>806</v>
      </c>
      <c r="D1682" s="238" t="s">
        <v>2517</v>
      </c>
      <c r="E1682" s="239" t="s">
        <v>105</v>
      </c>
      <c r="F1682" s="245" t="s">
        <v>15</v>
      </c>
      <c r="G1682" s="245"/>
      <c r="H1682" s="239" t="s">
        <v>751</v>
      </c>
      <c r="I1682" s="246">
        <v>3370.9</v>
      </c>
      <c r="J1682" s="246"/>
      <c r="K1682" s="242" t="s">
        <v>8</v>
      </c>
      <c r="L1682" s="243">
        <v>4476479.66</v>
      </c>
    </row>
    <row r="1683" spans="1:12" ht="61.2" x14ac:dyDescent="0.3">
      <c r="A1683" s="237" t="s">
        <v>328</v>
      </c>
      <c r="B1683" s="238" t="s">
        <v>2843</v>
      </c>
      <c r="C1683" s="238" t="s">
        <v>806</v>
      </c>
      <c r="D1683" s="238" t="s">
        <v>2000</v>
      </c>
      <c r="E1683" s="239" t="s">
        <v>105</v>
      </c>
      <c r="F1683" s="245" t="s">
        <v>15</v>
      </c>
      <c r="G1683" s="245"/>
      <c r="H1683" s="239" t="s">
        <v>751</v>
      </c>
      <c r="I1683" s="246">
        <v>3333.1</v>
      </c>
      <c r="J1683" s="246"/>
      <c r="K1683" s="242" t="s">
        <v>8</v>
      </c>
      <c r="L1683" s="243">
        <v>4473146.5599999996</v>
      </c>
    </row>
    <row r="1684" spans="1:12" ht="61.2" x14ac:dyDescent="0.3">
      <c r="A1684" s="237" t="s">
        <v>328</v>
      </c>
      <c r="B1684" s="238" t="s">
        <v>2843</v>
      </c>
      <c r="C1684" s="238" t="s">
        <v>806</v>
      </c>
      <c r="D1684" s="238" t="s">
        <v>2565</v>
      </c>
      <c r="E1684" s="239" t="s">
        <v>105</v>
      </c>
      <c r="F1684" s="245" t="s">
        <v>15</v>
      </c>
      <c r="G1684" s="245"/>
      <c r="H1684" s="239" t="s">
        <v>751</v>
      </c>
      <c r="I1684" s="246">
        <v>2173</v>
      </c>
      <c r="J1684" s="246"/>
      <c r="K1684" s="242" t="s">
        <v>8</v>
      </c>
      <c r="L1684" s="243">
        <v>4470973.5599999996</v>
      </c>
    </row>
    <row r="1685" spans="1:12" ht="61.2" x14ac:dyDescent="0.3">
      <c r="A1685" s="237" t="s">
        <v>328</v>
      </c>
      <c r="B1685" s="238" t="s">
        <v>2843</v>
      </c>
      <c r="C1685" s="238" t="s">
        <v>806</v>
      </c>
      <c r="D1685" s="238" t="s">
        <v>1950</v>
      </c>
      <c r="E1685" s="239" t="s">
        <v>105</v>
      </c>
      <c r="F1685" s="245" t="s">
        <v>15</v>
      </c>
      <c r="G1685" s="245"/>
      <c r="H1685" s="239" t="s">
        <v>751</v>
      </c>
      <c r="I1685" s="246">
        <v>9372.15</v>
      </c>
      <c r="J1685" s="246"/>
      <c r="K1685" s="242" t="s">
        <v>8</v>
      </c>
      <c r="L1685" s="243">
        <v>4461601.41</v>
      </c>
    </row>
    <row r="1686" spans="1:12" ht="61.2" x14ac:dyDescent="0.3">
      <c r="A1686" s="237" t="s">
        <v>328</v>
      </c>
      <c r="B1686" s="238" t="s">
        <v>2843</v>
      </c>
      <c r="C1686" s="238" t="s">
        <v>806</v>
      </c>
      <c r="D1686" s="238" t="s">
        <v>1950</v>
      </c>
      <c r="E1686" s="239" t="s">
        <v>105</v>
      </c>
      <c r="F1686" s="245" t="s">
        <v>15</v>
      </c>
      <c r="G1686" s="245"/>
      <c r="H1686" s="239" t="s">
        <v>751</v>
      </c>
      <c r="I1686" s="246">
        <v>28116.45</v>
      </c>
      <c r="J1686" s="246"/>
      <c r="K1686" s="242" t="s">
        <v>8</v>
      </c>
      <c r="L1686" s="243">
        <v>4433484.96</v>
      </c>
    </row>
    <row r="1687" spans="1:12" ht="61.2" x14ac:dyDescent="0.3">
      <c r="A1687" s="237" t="s">
        <v>328</v>
      </c>
      <c r="B1687" s="238" t="s">
        <v>2843</v>
      </c>
      <c r="C1687" s="238" t="s">
        <v>806</v>
      </c>
      <c r="D1687" s="238" t="s">
        <v>2538</v>
      </c>
      <c r="E1687" s="239" t="s">
        <v>105</v>
      </c>
      <c r="F1687" s="245" t="s">
        <v>15</v>
      </c>
      <c r="G1687" s="245"/>
      <c r="H1687" s="239" t="s">
        <v>751</v>
      </c>
      <c r="I1687" s="246">
        <v>9022.6</v>
      </c>
      <c r="J1687" s="246"/>
      <c r="K1687" s="242" t="s">
        <v>8</v>
      </c>
      <c r="L1687" s="243">
        <v>4424462.3600000003</v>
      </c>
    </row>
    <row r="1688" spans="1:12" ht="61.2" x14ac:dyDescent="0.3">
      <c r="A1688" s="237" t="s">
        <v>328</v>
      </c>
      <c r="B1688" s="238" t="s">
        <v>2843</v>
      </c>
      <c r="C1688" s="238" t="s">
        <v>806</v>
      </c>
      <c r="D1688" s="238" t="s">
        <v>2600</v>
      </c>
      <c r="E1688" s="239" t="s">
        <v>105</v>
      </c>
      <c r="F1688" s="245" t="s">
        <v>15</v>
      </c>
      <c r="G1688" s="245"/>
      <c r="H1688" s="239" t="s">
        <v>751</v>
      </c>
      <c r="I1688" s="246">
        <v>3643.7</v>
      </c>
      <c r="J1688" s="246"/>
      <c r="K1688" s="242" t="s">
        <v>8</v>
      </c>
      <c r="L1688" s="243">
        <v>4420818.66</v>
      </c>
    </row>
    <row r="1689" spans="1:12" ht="61.2" x14ac:dyDescent="0.3">
      <c r="A1689" s="237" t="s">
        <v>328</v>
      </c>
      <c r="B1689" s="238" t="s">
        <v>2843</v>
      </c>
      <c r="C1689" s="238" t="s">
        <v>806</v>
      </c>
      <c r="D1689" s="238" t="s">
        <v>2540</v>
      </c>
      <c r="E1689" s="239" t="s">
        <v>105</v>
      </c>
      <c r="F1689" s="245" t="s">
        <v>15</v>
      </c>
      <c r="G1689" s="245"/>
      <c r="H1689" s="239" t="s">
        <v>751</v>
      </c>
      <c r="I1689" s="246">
        <v>2549.9</v>
      </c>
      <c r="J1689" s="246"/>
      <c r="K1689" s="242" t="s">
        <v>8</v>
      </c>
      <c r="L1689" s="243">
        <v>4418268.76</v>
      </c>
    </row>
    <row r="1690" spans="1:12" ht="61.2" x14ac:dyDescent="0.3">
      <c r="A1690" s="237" t="s">
        <v>328</v>
      </c>
      <c r="B1690" s="238" t="s">
        <v>2843</v>
      </c>
      <c r="C1690" s="238" t="s">
        <v>806</v>
      </c>
      <c r="D1690" s="238" t="s">
        <v>2529</v>
      </c>
      <c r="E1690" s="239" t="s">
        <v>105</v>
      </c>
      <c r="F1690" s="245" t="s">
        <v>15</v>
      </c>
      <c r="G1690" s="245"/>
      <c r="H1690" s="239" t="s">
        <v>751</v>
      </c>
      <c r="I1690" s="246">
        <v>7808.5</v>
      </c>
      <c r="J1690" s="246"/>
      <c r="K1690" s="242" t="s">
        <v>8</v>
      </c>
      <c r="L1690" s="243">
        <v>4410460.26</v>
      </c>
    </row>
    <row r="1691" spans="1:12" ht="61.2" x14ac:dyDescent="0.3">
      <c r="A1691" s="237" t="s">
        <v>328</v>
      </c>
      <c r="B1691" s="238" t="s">
        <v>2843</v>
      </c>
      <c r="C1691" s="238" t="s">
        <v>806</v>
      </c>
      <c r="D1691" s="238" t="s">
        <v>2530</v>
      </c>
      <c r="E1691" s="239" t="s">
        <v>105</v>
      </c>
      <c r="F1691" s="245" t="s">
        <v>15</v>
      </c>
      <c r="G1691" s="245"/>
      <c r="H1691" s="239" t="s">
        <v>751</v>
      </c>
      <c r="I1691" s="246">
        <v>1569.4</v>
      </c>
      <c r="J1691" s="246"/>
      <c r="K1691" s="242" t="s">
        <v>8</v>
      </c>
      <c r="L1691" s="243">
        <v>4408890.8600000003</v>
      </c>
    </row>
    <row r="1692" spans="1:12" ht="61.2" x14ac:dyDescent="0.3">
      <c r="A1692" s="237" t="s">
        <v>328</v>
      </c>
      <c r="B1692" s="238" t="s">
        <v>2843</v>
      </c>
      <c r="C1692" s="238" t="s">
        <v>806</v>
      </c>
      <c r="D1692" s="238" t="s">
        <v>2485</v>
      </c>
      <c r="E1692" s="239" t="s">
        <v>105</v>
      </c>
      <c r="F1692" s="245" t="s">
        <v>15</v>
      </c>
      <c r="G1692" s="245"/>
      <c r="H1692" s="239" t="s">
        <v>751</v>
      </c>
      <c r="I1692" s="246">
        <v>6421.8</v>
      </c>
      <c r="J1692" s="246"/>
      <c r="K1692" s="242" t="s">
        <v>8</v>
      </c>
      <c r="L1692" s="243">
        <v>4402469.0599999996</v>
      </c>
    </row>
    <row r="1693" spans="1:12" ht="61.2" x14ac:dyDescent="0.3">
      <c r="A1693" s="237" t="s">
        <v>328</v>
      </c>
      <c r="B1693" s="238" t="s">
        <v>2843</v>
      </c>
      <c r="C1693" s="238" t="s">
        <v>806</v>
      </c>
      <c r="D1693" s="238" t="s">
        <v>2025</v>
      </c>
      <c r="E1693" s="239" t="s">
        <v>105</v>
      </c>
      <c r="F1693" s="245" t="s">
        <v>15</v>
      </c>
      <c r="G1693" s="245"/>
      <c r="H1693" s="239" t="s">
        <v>751</v>
      </c>
      <c r="I1693" s="246">
        <v>13061.9</v>
      </c>
      <c r="J1693" s="246"/>
      <c r="K1693" s="242" t="s">
        <v>8</v>
      </c>
      <c r="L1693" s="243">
        <v>4389407.16</v>
      </c>
    </row>
    <row r="1694" spans="1:12" ht="61.2" x14ac:dyDescent="0.3">
      <c r="A1694" s="237" t="s">
        <v>328</v>
      </c>
      <c r="B1694" s="238" t="s">
        <v>2843</v>
      </c>
      <c r="C1694" s="238" t="s">
        <v>806</v>
      </c>
      <c r="D1694" s="238" t="s">
        <v>2026</v>
      </c>
      <c r="E1694" s="239" t="s">
        <v>105</v>
      </c>
      <c r="F1694" s="245" t="s">
        <v>15</v>
      </c>
      <c r="G1694" s="245"/>
      <c r="H1694" s="239" t="s">
        <v>751</v>
      </c>
      <c r="I1694" s="246">
        <v>4477.8</v>
      </c>
      <c r="J1694" s="246"/>
      <c r="K1694" s="242" t="s">
        <v>8</v>
      </c>
      <c r="L1694" s="243">
        <v>4384929.3600000003</v>
      </c>
    </row>
    <row r="1695" spans="1:12" ht="61.2" x14ac:dyDescent="0.3">
      <c r="A1695" s="237" t="s">
        <v>328</v>
      </c>
      <c r="B1695" s="238" t="s">
        <v>2843</v>
      </c>
      <c r="C1695" s="238" t="s">
        <v>806</v>
      </c>
      <c r="D1695" s="238" t="s">
        <v>1948</v>
      </c>
      <c r="E1695" s="239" t="s">
        <v>105</v>
      </c>
      <c r="F1695" s="245" t="s">
        <v>15</v>
      </c>
      <c r="G1695" s="245"/>
      <c r="H1695" s="239" t="s">
        <v>751</v>
      </c>
      <c r="I1695" s="246">
        <v>3295.33</v>
      </c>
      <c r="J1695" s="246"/>
      <c r="K1695" s="242" t="s">
        <v>8</v>
      </c>
      <c r="L1695" s="243">
        <v>4381634.03</v>
      </c>
    </row>
    <row r="1696" spans="1:12" ht="61.2" x14ac:dyDescent="0.3">
      <c r="A1696" s="237" t="s">
        <v>328</v>
      </c>
      <c r="B1696" s="238" t="s">
        <v>2843</v>
      </c>
      <c r="C1696" s="238" t="s">
        <v>806</v>
      </c>
      <c r="D1696" s="238" t="s">
        <v>1948</v>
      </c>
      <c r="E1696" s="239" t="s">
        <v>105</v>
      </c>
      <c r="F1696" s="245" t="s">
        <v>15</v>
      </c>
      <c r="G1696" s="245"/>
      <c r="H1696" s="239" t="s">
        <v>751</v>
      </c>
      <c r="I1696" s="246">
        <v>59315.87</v>
      </c>
      <c r="J1696" s="246"/>
      <c r="K1696" s="242" t="s">
        <v>8</v>
      </c>
      <c r="L1696" s="243">
        <v>4322318.16</v>
      </c>
    </row>
    <row r="1697" spans="1:12" ht="61.2" x14ac:dyDescent="0.3">
      <c r="A1697" s="237" t="s">
        <v>328</v>
      </c>
      <c r="B1697" s="238" t="s">
        <v>2843</v>
      </c>
      <c r="C1697" s="238" t="s">
        <v>806</v>
      </c>
      <c r="D1697" s="238" t="s">
        <v>2572</v>
      </c>
      <c r="E1697" s="239" t="s">
        <v>105</v>
      </c>
      <c r="F1697" s="245" t="s">
        <v>15</v>
      </c>
      <c r="G1697" s="245"/>
      <c r="H1697" s="239" t="s">
        <v>751</v>
      </c>
      <c r="I1697" s="246">
        <v>3318.4</v>
      </c>
      <c r="J1697" s="246"/>
      <c r="K1697" s="242" t="s">
        <v>8</v>
      </c>
      <c r="L1697" s="243">
        <v>4318999.76</v>
      </c>
    </row>
    <row r="1698" spans="1:12" ht="61.2" x14ac:dyDescent="0.3">
      <c r="A1698" s="237" t="s">
        <v>328</v>
      </c>
      <c r="B1698" s="238" t="s">
        <v>2843</v>
      </c>
      <c r="C1698" s="238" t="s">
        <v>806</v>
      </c>
      <c r="D1698" s="238" t="s">
        <v>2571</v>
      </c>
      <c r="E1698" s="239" t="s">
        <v>105</v>
      </c>
      <c r="F1698" s="245" t="s">
        <v>15</v>
      </c>
      <c r="G1698" s="245"/>
      <c r="H1698" s="239" t="s">
        <v>751</v>
      </c>
      <c r="I1698" s="246">
        <v>1231.8</v>
      </c>
      <c r="J1698" s="246"/>
      <c r="K1698" s="242" t="s">
        <v>8</v>
      </c>
      <c r="L1698" s="243">
        <v>4317767.96</v>
      </c>
    </row>
    <row r="1699" spans="1:12" ht="61.2" x14ac:dyDescent="0.3">
      <c r="A1699" s="237" t="s">
        <v>328</v>
      </c>
      <c r="B1699" s="238" t="s">
        <v>2843</v>
      </c>
      <c r="C1699" s="238" t="s">
        <v>806</v>
      </c>
      <c r="D1699" s="238" t="s">
        <v>2012</v>
      </c>
      <c r="E1699" s="239" t="s">
        <v>105</v>
      </c>
      <c r="F1699" s="245" t="s">
        <v>15</v>
      </c>
      <c r="G1699" s="245"/>
      <c r="H1699" s="239" t="s">
        <v>751</v>
      </c>
      <c r="I1699" s="246">
        <v>6675.4</v>
      </c>
      <c r="J1699" s="246"/>
      <c r="K1699" s="242" t="s">
        <v>8</v>
      </c>
      <c r="L1699" s="243">
        <v>4311092.5599999996</v>
      </c>
    </row>
    <row r="1700" spans="1:12" ht="61.2" x14ac:dyDescent="0.3">
      <c r="A1700" s="237" t="s">
        <v>328</v>
      </c>
      <c r="B1700" s="238" t="s">
        <v>2843</v>
      </c>
      <c r="C1700" s="238" t="s">
        <v>806</v>
      </c>
      <c r="D1700" s="238" t="s">
        <v>2013</v>
      </c>
      <c r="E1700" s="239" t="s">
        <v>105</v>
      </c>
      <c r="F1700" s="245" t="s">
        <v>15</v>
      </c>
      <c r="G1700" s="245"/>
      <c r="H1700" s="239" t="s">
        <v>751</v>
      </c>
      <c r="I1700" s="246">
        <v>1401.4</v>
      </c>
      <c r="J1700" s="246"/>
      <c r="K1700" s="242" t="s">
        <v>8</v>
      </c>
      <c r="L1700" s="243">
        <v>4309691.16</v>
      </c>
    </row>
    <row r="1701" spans="1:12" ht="61.2" x14ac:dyDescent="0.3">
      <c r="A1701" s="237" t="s">
        <v>328</v>
      </c>
      <c r="B1701" s="238" t="s">
        <v>2843</v>
      </c>
      <c r="C1701" s="238" t="s">
        <v>806</v>
      </c>
      <c r="D1701" s="238" t="s">
        <v>2514</v>
      </c>
      <c r="E1701" s="239" t="s">
        <v>105</v>
      </c>
      <c r="F1701" s="245" t="s">
        <v>15</v>
      </c>
      <c r="G1701" s="245"/>
      <c r="H1701" s="239" t="s">
        <v>751</v>
      </c>
      <c r="I1701" s="246">
        <v>4745.2</v>
      </c>
      <c r="J1701" s="246"/>
      <c r="K1701" s="242" t="s">
        <v>8</v>
      </c>
      <c r="L1701" s="243">
        <v>4304945.96</v>
      </c>
    </row>
    <row r="1702" spans="1:12" ht="61.2" x14ac:dyDescent="0.3">
      <c r="A1702" s="237" t="s">
        <v>328</v>
      </c>
      <c r="B1702" s="238" t="s">
        <v>2843</v>
      </c>
      <c r="C1702" s="238" t="s">
        <v>806</v>
      </c>
      <c r="D1702" s="238" t="s">
        <v>1952</v>
      </c>
      <c r="E1702" s="239" t="s">
        <v>105</v>
      </c>
      <c r="F1702" s="245" t="s">
        <v>15</v>
      </c>
      <c r="G1702" s="245"/>
      <c r="H1702" s="239" t="s">
        <v>751</v>
      </c>
      <c r="I1702" s="246">
        <v>3172.8</v>
      </c>
      <c r="J1702" s="246"/>
      <c r="K1702" s="242" t="s">
        <v>8</v>
      </c>
      <c r="L1702" s="243">
        <v>4301773.16</v>
      </c>
    </row>
    <row r="1703" spans="1:12" ht="61.2" x14ac:dyDescent="0.3">
      <c r="A1703" s="237" t="s">
        <v>328</v>
      </c>
      <c r="B1703" s="238" t="s">
        <v>2843</v>
      </c>
      <c r="C1703" s="238" t="s">
        <v>806</v>
      </c>
      <c r="D1703" s="238" t="s">
        <v>2534</v>
      </c>
      <c r="E1703" s="239" t="s">
        <v>105</v>
      </c>
      <c r="F1703" s="245" t="s">
        <v>15</v>
      </c>
      <c r="G1703" s="245"/>
      <c r="H1703" s="239" t="s">
        <v>751</v>
      </c>
      <c r="I1703" s="246">
        <v>1554</v>
      </c>
      <c r="J1703" s="246"/>
      <c r="K1703" s="242" t="s">
        <v>8</v>
      </c>
      <c r="L1703" s="243">
        <v>4300219.16</v>
      </c>
    </row>
    <row r="1704" spans="1:12" ht="61.2" x14ac:dyDescent="0.3">
      <c r="A1704" s="237" t="s">
        <v>328</v>
      </c>
      <c r="B1704" s="238" t="s">
        <v>2843</v>
      </c>
      <c r="C1704" s="238" t="s">
        <v>806</v>
      </c>
      <c r="D1704" s="238" t="s">
        <v>2495</v>
      </c>
      <c r="E1704" s="239" t="s">
        <v>105</v>
      </c>
      <c r="F1704" s="245" t="s">
        <v>15</v>
      </c>
      <c r="G1704" s="245"/>
      <c r="H1704" s="239" t="s">
        <v>751</v>
      </c>
      <c r="I1704" s="246">
        <v>21617.4</v>
      </c>
      <c r="J1704" s="246"/>
      <c r="K1704" s="242" t="s">
        <v>8</v>
      </c>
      <c r="L1704" s="243">
        <v>4278601.76</v>
      </c>
    </row>
    <row r="1705" spans="1:12" ht="61.2" x14ac:dyDescent="0.3">
      <c r="A1705" s="237" t="s">
        <v>328</v>
      </c>
      <c r="B1705" s="238" t="s">
        <v>2843</v>
      </c>
      <c r="C1705" s="238" t="s">
        <v>806</v>
      </c>
      <c r="D1705" s="238" t="s">
        <v>2496</v>
      </c>
      <c r="E1705" s="239" t="s">
        <v>105</v>
      </c>
      <c r="F1705" s="245" t="s">
        <v>15</v>
      </c>
      <c r="G1705" s="245"/>
      <c r="H1705" s="239" t="s">
        <v>751</v>
      </c>
      <c r="I1705" s="246">
        <v>2076.6</v>
      </c>
      <c r="J1705" s="246"/>
      <c r="K1705" s="242" t="s">
        <v>8</v>
      </c>
      <c r="L1705" s="243">
        <v>4276525.16</v>
      </c>
    </row>
    <row r="1706" spans="1:12" ht="61.2" x14ac:dyDescent="0.3">
      <c r="A1706" s="237" t="s">
        <v>328</v>
      </c>
      <c r="B1706" s="238" t="s">
        <v>2843</v>
      </c>
      <c r="C1706" s="238" t="s">
        <v>806</v>
      </c>
      <c r="D1706" s="238" t="s">
        <v>2494</v>
      </c>
      <c r="E1706" s="239" t="s">
        <v>105</v>
      </c>
      <c r="F1706" s="245" t="s">
        <v>15</v>
      </c>
      <c r="G1706" s="245"/>
      <c r="H1706" s="239" t="s">
        <v>751</v>
      </c>
      <c r="I1706" s="246">
        <v>3010.1</v>
      </c>
      <c r="J1706" s="246"/>
      <c r="K1706" s="242" t="s">
        <v>8</v>
      </c>
      <c r="L1706" s="243">
        <v>4273515.0599999996</v>
      </c>
    </row>
    <row r="1707" spans="1:12" ht="61.2" x14ac:dyDescent="0.3">
      <c r="A1707" s="237" t="s">
        <v>328</v>
      </c>
      <c r="B1707" s="238" t="s">
        <v>2843</v>
      </c>
      <c r="C1707" s="238" t="s">
        <v>806</v>
      </c>
      <c r="D1707" s="238" t="s">
        <v>2601</v>
      </c>
      <c r="E1707" s="239" t="s">
        <v>105</v>
      </c>
      <c r="F1707" s="245" t="s">
        <v>15</v>
      </c>
      <c r="G1707" s="245"/>
      <c r="H1707" s="239" t="s">
        <v>751</v>
      </c>
      <c r="I1707" s="246">
        <v>21617.4</v>
      </c>
      <c r="J1707" s="246"/>
      <c r="K1707" s="242" t="s">
        <v>8</v>
      </c>
      <c r="L1707" s="243">
        <v>4251897.66</v>
      </c>
    </row>
    <row r="1708" spans="1:12" ht="61.2" x14ac:dyDescent="0.3">
      <c r="A1708" s="237" t="s">
        <v>328</v>
      </c>
      <c r="B1708" s="238" t="s">
        <v>2843</v>
      </c>
      <c r="C1708" s="238" t="s">
        <v>806</v>
      </c>
      <c r="D1708" s="238" t="s">
        <v>2051</v>
      </c>
      <c r="E1708" s="239" t="s">
        <v>105</v>
      </c>
      <c r="F1708" s="245" t="s">
        <v>15</v>
      </c>
      <c r="G1708" s="245"/>
      <c r="H1708" s="239" t="s">
        <v>751</v>
      </c>
      <c r="I1708" s="246">
        <v>10979.7</v>
      </c>
      <c r="J1708" s="246"/>
      <c r="K1708" s="242" t="s">
        <v>8</v>
      </c>
      <c r="L1708" s="243">
        <v>4240917.96</v>
      </c>
    </row>
    <row r="1709" spans="1:12" ht="61.2" x14ac:dyDescent="0.3">
      <c r="A1709" s="237" t="s">
        <v>328</v>
      </c>
      <c r="B1709" s="238" t="s">
        <v>2843</v>
      </c>
      <c r="C1709" s="238" t="s">
        <v>806</v>
      </c>
      <c r="D1709" s="238" t="s">
        <v>2573</v>
      </c>
      <c r="E1709" s="239" t="s">
        <v>105</v>
      </c>
      <c r="F1709" s="245" t="s">
        <v>15</v>
      </c>
      <c r="G1709" s="245"/>
      <c r="H1709" s="239" t="s">
        <v>751</v>
      </c>
      <c r="I1709" s="246">
        <v>3360.8</v>
      </c>
      <c r="J1709" s="246"/>
      <c r="K1709" s="242" t="s">
        <v>8</v>
      </c>
      <c r="L1709" s="243">
        <v>4237557.16</v>
      </c>
    </row>
    <row r="1710" spans="1:12" ht="61.2" x14ac:dyDescent="0.3">
      <c r="A1710" s="237" t="s">
        <v>328</v>
      </c>
      <c r="B1710" s="238" t="s">
        <v>2843</v>
      </c>
      <c r="C1710" s="238" t="s">
        <v>806</v>
      </c>
      <c r="D1710" s="238" t="s">
        <v>1956</v>
      </c>
      <c r="E1710" s="239" t="s">
        <v>105</v>
      </c>
      <c r="F1710" s="245" t="s">
        <v>15</v>
      </c>
      <c r="G1710" s="245"/>
      <c r="H1710" s="239" t="s">
        <v>751</v>
      </c>
      <c r="I1710" s="246">
        <v>33279.300000000003</v>
      </c>
      <c r="J1710" s="246"/>
      <c r="K1710" s="242" t="s">
        <v>8</v>
      </c>
      <c r="L1710" s="243">
        <v>4204277.8600000003</v>
      </c>
    </row>
    <row r="1711" spans="1:12" ht="61.2" x14ac:dyDescent="0.3">
      <c r="A1711" s="237" t="s">
        <v>328</v>
      </c>
      <c r="B1711" s="238" t="s">
        <v>2843</v>
      </c>
      <c r="C1711" s="238" t="s">
        <v>806</v>
      </c>
      <c r="D1711" s="238" t="s">
        <v>1934</v>
      </c>
      <c r="E1711" s="239" t="s">
        <v>105</v>
      </c>
      <c r="F1711" s="245" t="s">
        <v>15</v>
      </c>
      <c r="G1711" s="245"/>
      <c r="H1711" s="239" t="s">
        <v>751</v>
      </c>
      <c r="I1711" s="246">
        <v>5556.2</v>
      </c>
      <c r="J1711" s="246"/>
      <c r="K1711" s="242" t="s">
        <v>8</v>
      </c>
      <c r="L1711" s="243">
        <v>4198721.66</v>
      </c>
    </row>
    <row r="1712" spans="1:12" ht="61.2" x14ac:dyDescent="0.3">
      <c r="A1712" s="237" t="s">
        <v>328</v>
      </c>
      <c r="B1712" s="238" t="s">
        <v>2843</v>
      </c>
      <c r="C1712" s="238" t="s">
        <v>806</v>
      </c>
      <c r="D1712" s="238" t="s">
        <v>2587</v>
      </c>
      <c r="E1712" s="239" t="s">
        <v>105</v>
      </c>
      <c r="F1712" s="245" t="s">
        <v>15</v>
      </c>
      <c r="G1712" s="245"/>
      <c r="H1712" s="239" t="s">
        <v>751</v>
      </c>
      <c r="I1712" s="246">
        <v>2011.9</v>
      </c>
      <c r="J1712" s="246"/>
      <c r="K1712" s="242" t="s">
        <v>8</v>
      </c>
      <c r="L1712" s="243">
        <v>4196709.76</v>
      </c>
    </row>
    <row r="1713" spans="1:12" ht="61.2" x14ac:dyDescent="0.3">
      <c r="A1713" s="237" t="s">
        <v>328</v>
      </c>
      <c r="B1713" s="238" t="s">
        <v>2843</v>
      </c>
      <c r="C1713" s="238" t="s">
        <v>806</v>
      </c>
      <c r="D1713" s="238" t="s">
        <v>2535</v>
      </c>
      <c r="E1713" s="239" t="s">
        <v>105</v>
      </c>
      <c r="F1713" s="245" t="s">
        <v>15</v>
      </c>
      <c r="G1713" s="245"/>
      <c r="H1713" s="239" t="s">
        <v>751</v>
      </c>
      <c r="I1713" s="246">
        <v>3076.4</v>
      </c>
      <c r="J1713" s="246"/>
      <c r="K1713" s="242" t="s">
        <v>8</v>
      </c>
      <c r="L1713" s="243">
        <v>4193633.36</v>
      </c>
    </row>
    <row r="1714" spans="1:12" ht="61.2" x14ac:dyDescent="0.3">
      <c r="A1714" s="237" t="s">
        <v>328</v>
      </c>
      <c r="B1714" s="238" t="s">
        <v>2843</v>
      </c>
      <c r="C1714" s="238" t="s">
        <v>806</v>
      </c>
      <c r="D1714" s="238" t="s">
        <v>2554</v>
      </c>
      <c r="E1714" s="239" t="s">
        <v>105</v>
      </c>
      <c r="F1714" s="245" t="s">
        <v>15</v>
      </c>
      <c r="G1714" s="245"/>
      <c r="H1714" s="239" t="s">
        <v>751</v>
      </c>
      <c r="I1714" s="246">
        <v>3615.2</v>
      </c>
      <c r="J1714" s="246"/>
      <c r="K1714" s="242" t="s">
        <v>8</v>
      </c>
      <c r="L1714" s="243">
        <v>4190018.16</v>
      </c>
    </row>
    <row r="1715" spans="1:12" ht="61.2" x14ac:dyDescent="0.3">
      <c r="A1715" s="237" t="s">
        <v>328</v>
      </c>
      <c r="B1715" s="238" t="s">
        <v>2843</v>
      </c>
      <c r="C1715" s="238" t="s">
        <v>806</v>
      </c>
      <c r="D1715" s="238" t="s">
        <v>2555</v>
      </c>
      <c r="E1715" s="239" t="s">
        <v>105</v>
      </c>
      <c r="F1715" s="245" t="s">
        <v>15</v>
      </c>
      <c r="G1715" s="245"/>
      <c r="H1715" s="239" t="s">
        <v>751</v>
      </c>
      <c r="I1715" s="246">
        <v>3162</v>
      </c>
      <c r="J1715" s="246"/>
      <c r="K1715" s="242" t="s">
        <v>8</v>
      </c>
      <c r="L1715" s="243">
        <v>4186856.16</v>
      </c>
    </row>
    <row r="1716" spans="1:12" ht="61.2" x14ac:dyDescent="0.3">
      <c r="A1716" s="237" t="s">
        <v>328</v>
      </c>
      <c r="B1716" s="238" t="s">
        <v>2843</v>
      </c>
      <c r="C1716" s="238" t="s">
        <v>806</v>
      </c>
      <c r="D1716" s="238" t="s">
        <v>2568</v>
      </c>
      <c r="E1716" s="239" t="s">
        <v>105</v>
      </c>
      <c r="F1716" s="245" t="s">
        <v>15</v>
      </c>
      <c r="G1716" s="245"/>
      <c r="H1716" s="239" t="s">
        <v>751</v>
      </c>
      <c r="I1716" s="246">
        <v>2223.1</v>
      </c>
      <c r="J1716" s="246"/>
      <c r="K1716" s="242" t="s">
        <v>8</v>
      </c>
      <c r="L1716" s="243">
        <v>4184633.06</v>
      </c>
    </row>
    <row r="1717" spans="1:12" ht="61.2" x14ac:dyDescent="0.3">
      <c r="A1717" s="237" t="s">
        <v>328</v>
      </c>
      <c r="B1717" s="238" t="s">
        <v>2843</v>
      </c>
      <c r="C1717" s="238" t="s">
        <v>806</v>
      </c>
      <c r="D1717" s="238" t="s">
        <v>2585</v>
      </c>
      <c r="E1717" s="239" t="s">
        <v>105</v>
      </c>
      <c r="F1717" s="245" t="s">
        <v>15</v>
      </c>
      <c r="G1717" s="245"/>
      <c r="H1717" s="239" t="s">
        <v>751</v>
      </c>
      <c r="I1717" s="246">
        <v>15401.2</v>
      </c>
      <c r="J1717" s="246"/>
      <c r="K1717" s="242" t="s">
        <v>8</v>
      </c>
      <c r="L1717" s="243">
        <v>4169231.86</v>
      </c>
    </row>
    <row r="1718" spans="1:12" ht="61.2" x14ac:dyDescent="0.3">
      <c r="A1718" s="237" t="s">
        <v>328</v>
      </c>
      <c r="B1718" s="238" t="s">
        <v>2843</v>
      </c>
      <c r="C1718" s="238" t="s">
        <v>806</v>
      </c>
      <c r="D1718" s="238" t="s">
        <v>2584</v>
      </c>
      <c r="E1718" s="239" t="s">
        <v>105</v>
      </c>
      <c r="F1718" s="245" t="s">
        <v>15</v>
      </c>
      <c r="G1718" s="245"/>
      <c r="H1718" s="239" t="s">
        <v>751</v>
      </c>
      <c r="I1718" s="246">
        <v>2250.8000000000002</v>
      </c>
      <c r="J1718" s="246"/>
      <c r="K1718" s="242" t="s">
        <v>8</v>
      </c>
      <c r="L1718" s="243">
        <v>4166981.06</v>
      </c>
    </row>
    <row r="1719" spans="1:12" ht="61.2" x14ac:dyDescent="0.3">
      <c r="A1719" s="237" t="s">
        <v>328</v>
      </c>
      <c r="B1719" s="238" t="s">
        <v>2843</v>
      </c>
      <c r="C1719" s="238" t="s">
        <v>806</v>
      </c>
      <c r="D1719" s="238" t="s">
        <v>1964</v>
      </c>
      <c r="E1719" s="239" t="s">
        <v>105</v>
      </c>
      <c r="F1719" s="245" t="s">
        <v>15</v>
      </c>
      <c r="G1719" s="245"/>
      <c r="H1719" s="239" t="s">
        <v>751</v>
      </c>
      <c r="I1719" s="246">
        <v>81095.899999999994</v>
      </c>
      <c r="J1719" s="246"/>
      <c r="K1719" s="242" t="s">
        <v>8</v>
      </c>
      <c r="L1719" s="243">
        <v>4085885.16</v>
      </c>
    </row>
    <row r="1720" spans="1:12" ht="61.2" x14ac:dyDescent="0.3">
      <c r="A1720" s="237" t="s">
        <v>328</v>
      </c>
      <c r="B1720" s="238" t="s">
        <v>2843</v>
      </c>
      <c r="C1720" s="238" t="s">
        <v>806</v>
      </c>
      <c r="D1720" s="238" t="s">
        <v>2490</v>
      </c>
      <c r="E1720" s="239" t="s">
        <v>105</v>
      </c>
      <c r="F1720" s="245" t="s">
        <v>15</v>
      </c>
      <c r="G1720" s="245"/>
      <c r="H1720" s="239" t="s">
        <v>751</v>
      </c>
      <c r="I1720" s="246">
        <v>27216.7</v>
      </c>
      <c r="J1720" s="246"/>
      <c r="K1720" s="242" t="s">
        <v>8</v>
      </c>
      <c r="L1720" s="243">
        <v>4058668.46</v>
      </c>
    </row>
    <row r="1721" spans="1:12" ht="61.2" x14ac:dyDescent="0.3">
      <c r="A1721" s="237" t="s">
        <v>328</v>
      </c>
      <c r="B1721" s="238" t="s">
        <v>2843</v>
      </c>
      <c r="C1721" s="238" t="s">
        <v>806</v>
      </c>
      <c r="D1721" s="238" t="s">
        <v>2532</v>
      </c>
      <c r="E1721" s="239" t="s">
        <v>105</v>
      </c>
      <c r="F1721" s="245" t="s">
        <v>15</v>
      </c>
      <c r="G1721" s="245"/>
      <c r="H1721" s="239" t="s">
        <v>751</v>
      </c>
      <c r="I1721" s="246">
        <v>42632.03</v>
      </c>
      <c r="J1721" s="246"/>
      <c r="K1721" s="242" t="s">
        <v>8</v>
      </c>
      <c r="L1721" s="243">
        <v>4016036.43</v>
      </c>
    </row>
    <row r="1722" spans="1:12" ht="61.2" x14ac:dyDescent="0.3">
      <c r="A1722" s="237" t="s">
        <v>328</v>
      </c>
      <c r="B1722" s="238" t="s">
        <v>2843</v>
      </c>
      <c r="C1722" s="238" t="s">
        <v>806</v>
      </c>
      <c r="D1722" s="238" t="s">
        <v>2532</v>
      </c>
      <c r="E1722" s="239" t="s">
        <v>105</v>
      </c>
      <c r="F1722" s="245" t="s">
        <v>15</v>
      </c>
      <c r="G1722" s="245"/>
      <c r="H1722" s="239" t="s">
        <v>751</v>
      </c>
      <c r="I1722" s="246">
        <v>27129.47</v>
      </c>
      <c r="J1722" s="246"/>
      <c r="K1722" s="242" t="s">
        <v>8</v>
      </c>
      <c r="L1722" s="243">
        <v>3988906.96</v>
      </c>
    </row>
    <row r="1723" spans="1:12" ht="61.2" x14ac:dyDescent="0.3">
      <c r="A1723" s="237" t="s">
        <v>328</v>
      </c>
      <c r="B1723" s="238" t="s">
        <v>2843</v>
      </c>
      <c r="C1723" s="238" t="s">
        <v>806</v>
      </c>
      <c r="D1723" s="238" t="s">
        <v>2028</v>
      </c>
      <c r="E1723" s="239" t="s">
        <v>105</v>
      </c>
      <c r="F1723" s="245" t="s">
        <v>15</v>
      </c>
      <c r="G1723" s="245"/>
      <c r="H1723" s="239" t="s">
        <v>751</v>
      </c>
      <c r="I1723" s="246">
        <v>2639.3</v>
      </c>
      <c r="J1723" s="246"/>
      <c r="K1723" s="242" t="s">
        <v>8</v>
      </c>
      <c r="L1723" s="243">
        <v>3986267.66</v>
      </c>
    </row>
    <row r="1724" spans="1:12" ht="61.2" x14ac:dyDescent="0.3">
      <c r="A1724" s="237" t="s">
        <v>328</v>
      </c>
      <c r="B1724" s="238" t="s">
        <v>2843</v>
      </c>
      <c r="C1724" s="238" t="s">
        <v>806</v>
      </c>
      <c r="D1724" s="238" t="s">
        <v>1963</v>
      </c>
      <c r="E1724" s="239" t="s">
        <v>105</v>
      </c>
      <c r="F1724" s="245" t="s">
        <v>15</v>
      </c>
      <c r="G1724" s="245"/>
      <c r="H1724" s="239" t="s">
        <v>751</v>
      </c>
      <c r="I1724" s="246">
        <v>10119.6</v>
      </c>
      <c r="J1724" s="246"/>
      <c r="K1724" s="242" t="s">
        <v>8</v>
      </c>
      <c r="L1724" s="243">
        <v>3976148.06</v>
      </c>
    </row>
    <row r="1725" spans="1:12" ht="61.2" x14ac:dyDescent="0.3">
      <c r="A1725" s="237" t="s">
        <v>328</v>
      </c>
      <c r="B1725" s="238" t="s">
        <v>2843</v>
      </c>
      <c r="C1725" s="238" t="s">
        <v>806</v>
      </c>
      <c r="D1725" s="238" t="s">
        <v>2044</v>
      </c>
      <c r="E1725" s="239" t="s">
        <v>105</v>
      </c>
      <c r="F1725" s="245" t="s">
        <v>15</v>
      </c>
      <c r="G1725" s="245"/>
      <c r="H1725" s="239" t="s">
        <v>751</v>
      </c>
      <c r="I1725" s="246">
        <v>3849.6</v>
      </c>
      <c r="J1725" s="246"/>
      <c r="K1725" s="242" t="s">
        <v>8</v>
      </c>
      <c r="L1725" s="243">
        <v>3972298.46</v>
      </c>
    </row>
    <row r="1726" spans="1:12" ht="61.2" x14ac:dyDescent="0.3">
      <c r="A1726" s="237" t="s">
        <v>328</v>
      </c>
      <c r="B1726" s="238" t="s">
        <v>2843</v>
      </c>
      <c r="C1726" s="238" t="s">
        <v>806</v>
      </c>
      <c r="D1726" s="238" t="s">
        <v>2531</v>
      </c>
      <c r="E1726" s="239" t="s">
        <v>105</v>
      </c>
      <c r="F1726" s="245" t="s">
        <v>15</v>
      </c>
      <c r="G1726" s="245"/>
      <c r="H1726" s="239" t="s">
        <v>751</v>
      </c>
      <c r="I1726" s="246">
        <v>3666.1</v>
      </c>
      <c r="J1726" s="246"/>
      <c r="K1726" s="242" t="s">
        <v>8</v>
      </c>
      <c r="L1726" s="243">
        <v>3968632.36</v>
      </c>
    </row>
    <row r="1727" spans="1:12" ht="61.2" x14ac:dyDescent="0.3">
      <c r="A1727" s="237" t="s">
        <v>328</v>
      </c>
      <c r="B1727" s="238" t="s">
        <v>2843</v>
      </c>
      <c r="C1727" s="238" t="s">
        <v>806</v>
      </c>
      <c r="D1727" s="238" t="s">
        <v>2491</v>
      </c>
      <c r="E1727" s="239" t="s">
        <v>105</v>
      </c>
      <c r="F1727" s="245" t="s">
        <v>15</v>
      </c>
      <c r="G1727" s="245"/>
      <c r="H1727" s="239" t="s">
        <v>751</v>
      </c>
      <c r="I1727" s="246">
        <v>2452.8000000000002</v>
      </c>
      <c r="J1727" s="246"/>
      <c r="K1727" s="242" t="s">
        <v>8</v>
      </c>
      <c r="L1727" s="243">
        <v>3966179.56</v>
      </c>
    </row>
    <row r="1728" spans="1:12" ht="61.2" x14ac:dyDescent="0.3">
      <c r="A1728" s="237" t="s">
        <v>328</v>
      </c>
      <c r="B1728" s="238" t="s">
        <v>2843</v>
      </c>
      <c r="C1728" s="238" t="s">
        <v>806</v>
      </c>
      <c r="D1728" s="238" t="s">
        <v>2543</v>
      </c>
      <c r="E1728" s="239" t="s">
        <v>105</v>
      </c>
      <c r="F1728" s="245" t="s">
        <v>15</v>
      </c>
      <c r="G1728" s="245"/>
      <c r="H1728" s="239" t="s">
        <v>751</v>
      </c>
      <c r="I1728" s="246">
        <v>6897.4</v>
      </c>
      <c r="J1728" s="246"/>
      <c r="K1728" s="242" t="s">
        <v>8</v>
      </c>
      <c r="L1728" s="243">
        <v>3959282.16</v>
      </c>
    </row>
    <row r="1729" spans="1:12" ht="61.2" x14ac:dyDescent="0.3">
      <c r="A1729" s="237" t="s">
        <v>328</v>
      </c>
      <c r="B1729" s="238" t="s">
        <v>2843</v>
      </c>
      <c r="C1729" s="238" t="s">
        <v>806</v>
      </c>
      <c r="D1729" s="238" t="s">
        <v>2586</v>
      </c>
      <c r="E1729" s="239" t="s">
        <v>105</v>
      </c>
      <c r="F1729" s="245" t="s">
        <v>15</v>
      </c>
      <c r="G1729" s="245"/>
      <c r="H1729" s="239" t="s">
        <v>751</v>
      </c>
      <c r="I1729" s="246">
        <v>3716.2</v>
      </c>
      <c r="J1729" s="246"/>
      <c r="K1729" s="242" t="s">
        <v>8</v>
      </c>
      <c r="L1729" s="243">
        <v>3955565.96</v>
      </c>
    </row>
    <row r="1730" spans="1:12" ht="61.2" x14ac:dyDescent="0.3">
      <c r="A1730" s="237" t="s">
        <v>328</v>
      </c>
      <c r="B1730" s="238" t="s">
        <v>2843</v>
      </c>
      <c r="C1730" s="238" t="s">
        <v>806</v>
      </c>
      <c r="D1730" s="238" t="s">
        <v>2045</v>
      </c>
      <c r="E1730" s="239" t="s">
        <v>105</v>
      </c>
      <c r="F1730" s="245" t="s">
        <v>15</v>
      </c>
      <c r="G1730" s="245"/>
      <c r="H1730" s="239" t="s">
        <v>751</v>
      </c>
      <c r="I1730" s="246">
        <v>11890.8</v>
      </c>
      <c r="J1730" s="246"/>
      <c r="K1730" s="242" t="s">
        <v>8</v>
      </c>
      <c r="L1730" s="243">
        <v>3943675.16</v>
      </c>
    </row>
    <row r="1731" spans="1:12" ht="61.2" x14ac:dyDescent="0.3">
      <c r="A1731" s="237" t="s">
        <v>328</v>
      </c>
      <c r="B1731" s="238" t="s">
        <v>2843</v>
      </c>
      <c r="C1731" s="238" t="s">
        <v>806</v>
      </c>
      <c r="D1731" s="238" t="s">
        <v>2533</v>
      </c>
      <c r="E1731" s="239" t="s">
        <v>105</v>
      </c>
      <c r="F1731" s="245" t="s">
        <v>15</v>
      </c>
      <c r="G1731" s="245"/>
      <c r="H1731" s="239" t="s">
        <v>751</v>
      </c>
      <c r="I1731" s="246">
        <v>3273.7</v>
      </c>
      <c r="J1731" s="246"/>
      <c r="K1731" s="242" t="s">
        <v>8</v>
      </c>
      <c r="L1731" s="243">
        <v>3940401.46</v>
      </c>
    </row>
    <row r="1732" spans="1:12" ht="61.2" x14ac:dyDescent="0.3">
      <c r="A1732" s="237" t="s">
        <v>328</v>
      </c>
      <c r="B1732" s="238" t="s">
        <v>2843</v>
      </c>
      <c r="C1732" s="238" t="s">
        <v>806</v>
      </c>
      <c r="D1732" s="238" t="s">
        <v>2052</v>
      </c>
      <c r="E1732" s="239" t="s">
        <v>105</v>
      </c>
      <c r="F1732" s="245" t="s">
        <v>15</v>
      </c>
      <c r="G1732" s="245"/>
      <c r="H1732" s="239" t="s">
        <v>751</v>
      </c>
      <c r="I1732" s="246">
        <v>12233.1</v>
      </c>
      <c r="J1732" s="246"/>
      <c r="K1732" s="242" t="s">
        <v>8</v>
      </c>
      <c r="L1732" s="243">
        <v>3928168.36</v>
      </c>
    </row>
    <row r="1733" spans="1:12" ht="61.2" x14ac:dyDescent="0.3">
      <c r="A1733" s="237" t="s">
        <v>328</v>
      </c>
      <c r="B1733" s="238" t="s">
        <v>2843</v>
      </c>
      <c r="C1733" s="238" t="s">
        <v>806</v>
      </c>
      <c r="D1733" s="238" t="s">
        <v>2498</v>
      </c>
      <c r="E1733" s="239" t="s">
        <v>105</v>
      </c>
      <c r="F1733" s="245" t="s">
        <v>15</v>
      </c>
      <c r="G1733" s="245"/>
      <c r="H1733" s="239" t="s">
        <v>751</v>
      </c>
      <c r="I1733" s="246">
        <v>26050.5</v>
      </c>
      <c r="J1733" s="246"/>
      <c r="K1733" s="242" t="s">
        <v>8</v>
      </c>
      <c r="L1733" s="243">
        <v>3902117.86</v>
      </c>
    </row>
    <row r="1734" spans="1:12" ht="61.2" x14ac:dyDescent="0.3">
      <c r="A1734" s="237" t="s">
        <v>328</v>
      </c>
      <c r="B1734" s="238" t="s">
        <v>2843</v>
      </c>
      <c r="C1734" s="238" t="s">
        <v>806</v>
      </c>
      <c r="D1734" s="238" t="s">
        <v>2498</v>
      </c>
      <c r="E1734" s="239" t="s">
        <v>105</v>
      </c>
      <c r="F1734" s="245" t="s">
        <v>15</v>
      </c>
      <c r="G1734" s="245"/>
      <c r="H1734" s="239" t="s">
        <v>751</v>
      </c>
      <c r="I1734" s="246">
        <v>11164.5</v>
      </c>
      <c r="J1734" s="246"/>
      <c r="K1734" s="242" t="s">
        <v>8</v>
      </c>
      <c r="L1734" s="243">
        <v>3890953.36</v>
      </c>
    </row>
    <row r="1735" spans="1:12" ht="61.2" x14ac:dyDescent="0.3">
      <c r="A1735" s="237" t="s">
        <v>328</v>
      </c>
      <c r="B1735" s="238" t="s">
        <v>2843</v>
      </c>
      <c r="C1735" s="238" t="s">
        <v>806</v>
      </c>
      <c r="D1735" s="238" t="s">
        <v>2499</v>
      </c>
      <c r="E1735" s="239" t="s">
        <v>105</v>
      </c>
      <c r="F1735" s="245" t="s">
        <v>15</v>
      </c>
      <c r="G1735" s="245"/>
      <c r="H1735" s="239" t="s">
        <v>751</v>
      </c>
      <c r="I1735" s="246">
        <v>5144.6000000000004</v>
      </c>
      <c r="J1735" s="246"/>
      <c r="K1735" s="242" t="s">
        <v>8</v>
      </c>
      <c r="L1735" s="243">
        <v>3885808.76</v>
      </c>
    </row>
    <row r="1736" spans="1:12" ht="61.2" x14ac:dyDescent="0.3">
      <c r="A1736" s="237" t="s">
        <v>328</v>
      </c>
      <c r="B1736" s="238" t="s">
        <v>2843</v>
      </c>
      <c r="C1736" s="238" t="s">
        <v>806</v>
      </c>
      <c r="D1736" s="238" t="s">
        <v>2501</v>
      </c>
      <c r="E1736" s="239" t="s">
        <v>105</v>
      </c>
      <c r="F1736" s="245" t="s">
        <v>15</v>
      </c>
      <c r="G1736" s="245"/>
      <c r="H1736" s="239" t="s">
        <v>751</v>
      </c>
      <c r="I1736" s="246">
        <v>4137.8</v>
      </c>
      <c r="J1736" s="246"/>
      <c r="K1736" s="242" t="s">
        <v>8</v>
      </c>
      <c r="L1736" s="243">
        <v>3881670.96</v>
      </c>
    </row>
    <row r="1737" spans="1:12" ht="61.2" x14ac:dyDescent="0.3">
      <c r="A1737" s="237" t="s">
        <v>328</v>
      </c>
      <c r="B1737" s="238" t="s">
        <v>2843</v>
      </c>
      <c r="C1737" s="238" t="s">
        <v>806</v>
      </c>
      <c r="D1737" s="238" t="s">
        <v>2500</v>
      </c>
      <c r="E1737" s="239" t="s">
        <v>105</v>
      </c>
      <c r="F1737" s="245" t="s">
        <v>15</v>
      </c>
      <c r="G1737" s="245"/>
      <c r="H1737" s="239" t="s">
        <v>751</v>
      </c>
      <c r="I1737" s="246">
        <v>4306.6000000000004</v>
      </c>
      <c r="J1737" s="246"/>
      <c r="K1737" s="242" t="s">
        <v>8</v>
      </c>
      <c r="L1737" s="243">
        <v>3877364.36</v>
      </c>
    </row>
    <row r="1738" spans="1:12" ht="61.2" x14ac:dyDescent="0.3">
      <c r="A1738" s="237" t="s">
        <v>328</v>
      </c>
      <c r="B1738" s="238" t="s">
        <v>2843</v>
      </c>
      <c r="C1738" s="238" t="s">
        <v>806</v>
      </c>
      <c r="D1738" s="238" t="s">
        <v>2462</v>
      </c>
      <c r="E1738" s="239" t="s">
        <v>105</v>
      </c>
      <c r="F1738" s="245" t="s">
        <v>15</v>
      </c>
      <c r="G1738" s="245"/>
      <c r="H1738" s="239" t="s">
        <v>751</v>
      </c>
      <c r="I1738" s="246">
        <v>85346</v>
      </c>
      <c r="J1738" s="246"/>
      <c r="K1738" s="242" t="s">
        <v>8</v>
      </c>
      <c r="L1738" s="243">
        <v>3792018.36</v>
      </c>
    </row>
    <row r="1739" spans="1:12" ht="61.2" x14ac:dyDescent="0.3">
      <c r="A1739" s="237" t="s">
        <v>328</v>
      </c>
      <c r="B1739" s="238" t="s">
        <v>2843</v>
      </c>
      <c r="C1739" s="238" t="s">
        <v>806</v>
      </c>
      <c r="D1739" s="238" t="s">
        <v>2464</v>
      </c>
      <c r="E1739" s="239" t="s">
        <v>105</v>
      </c>
      <c r="F1739" s="245" t="s">
        <v>15</v>
      </c>
      <c r="G1739" s="245"/>
      <c r="H1739" s="239" t="s">
        <v>751</v>
      </c>
      <c r="I1739" s="246">
        <v>2886</v>
      </c>
      <c r="J1739" s="246"/>
      <c r="K1739" s="242" t="s">
        <v>8</v>
      </c>
      <c r="L1739" s="243">
        <v>3789132.36</v>
      </c>
    </row>
    <row r="1740" spans="1:12" ht="61.2" x14ac:dyDescent="0.3">
      <c r="A1740" s="237" t="s">
        <v>328</v>
      </c>
      <c r="B1740" s="238" t="s">
        <v>2843</v>
      </c>
      <c r="C1740" s="238" t="s">
        <v>806</v>
      </c>
      <c r="D1740" s="238" t="s">
        <v>2060</v>
      </c>
      <c r="E1740" s="239" t="s">
        <v>105</v>
      </c>
      <c r="F1740" s="245" t="s">
        <v>15</v>
      </c>
      <c r="G1740" s="245"/>
      <c r="H1740" s="239" t="s">
        <v>751</v>
      </c>
      <c r="I1740" s="246">
        <v>34138.400000000001</v>
      </c>
      <c r="J1740" s="246"/>
      <c r="K1740" s="242" t="s">
        <v>8</v>
      </c>
      <c r="L1740" s="243">
        <v>3754993.96</v>
      </c>
    </row>
    <row r="1741" spans="1:12" ht="61.2" x14ac:dyDescent="0.3">
      <c r="A1741" s="237" t="s">
        <v>328</v>
      </c>
      <c r="B1741" s="238" t="s">
        <v>2843</v>
      </c>
      <c r="C1741" s="238" t="s">
        <v>806</v>
      </c>
      <c r="D1741" s="238" t="s">
        <v>2060</v>
      </c>
      <c r="E1741" s="239" t="s">
        <v>105</v>
      </c>
      <c r="F1741" s="245" t="s">
        <v>15</v>
      </c>
      <c r="G1741" s="245"/>
      <c r="H1741" s="239" t="s">
        <v>751</v>
      </c>
      <c r="I1741" s="246">
        <v>17069.2</v>
      </c>
      <c r="J1741" s="246"/>
      <c r="K1741" s="242" t="s">
        <v>8</v>
      </c>
      <c r="L1741" s="243">
        <v>3737924.76</v>
      </c>
    </row>
    <row r="1742" spans="1:12" ht="61.2" x14ac:dyDescent="0.3">
      <c r="A1742" s="237" t="s">
        <v>328</v>
      </c>
      <c r="B1742" s="238" t="s">
        <v>2843</v>
      </c>
      <c r="C1742" s="238" t="s">
        <v>806</v>
      </c>
      <c r="D1742" s="238" t="s">
        <v>2599</v>
      </c>
      <c r="E1742" s="239" t="s">
        <v>105</v>
      </c>
      <c r="F1742" s="245" t="s">
        <v>15</v>
      </c>
      <c r="G1742" s="245"/>
      <c r="H1742" s="239" t="s">
        <v>751</v>
      </c>
      <c r="I1742" s="246">
        <v>33286.699999999997</v>
      </c>
      <c r="J1742" s="246"/>
      <c r="K1742" s="242" t="s">
        <v>8</v>
      </c>
      <c r="L1742" s="243">
        <v>3704638.06</v>
      </c>
    </row>
    <row r="1743" spans="1:12" ht="61.2" x14ac:dyDescent="0.3">
      <c r="A1743" s="237" t="s">
        <v>328</v>
      </c>
      <c r="B1743" s="238" t="s">
        <v>2843</v>
      </c>
      <c r="C1743" s="238" t="s">
        <v>806</v>
      </c>
      <c r="D1743" s="238" t="s">
        <v>2598</v>
      </c>
      <c r="E1743" s="239" t="s">
        <v>105</v>
      </c>
      <c r="F1743" s="245" t="s">
        <v>15</v>
      </c>
      <c r="G1743" s="245"/>
      <c r="H1743" s="239" t="s">
        <v>751</v>
      </c>
      <c r="I1743" s="246">
        <v>4111.6000000000004</v>
      </c>
      <c r="J1743" s="246"/>
      <c r="K1743" s="242" t="s">
        <v>8</v>
      </c>
      <c r="L1743" s="243">
        <v>3700526.46</v>
      </c>
    </row>
    <row r="1744" spans="1:12" ht="61.2" x14ac:dyDescent="0.3">
      <c r="A1744" s="237" t="s">
        <v>328</v>
      </c>
      <c r="B1744" s="238" t="s">
        <v>2843</v>
      </c>
      <c r="C1744" s="238" t="s">
        <v>806</v>
      </c>
      <c r="D1744" s="238" t="s">
        <v>1966</v>
      </c>
      <c r="E1744" s="239" t="s">
        <v>105</v>
      </c>
      <c r="F1744" s="245" t="s">
        <v>15</v>
      </c>
      <c r="G1744" s="245"/>
      <c r="H1744" s="239" t="s">
        <v>751</v>
      </c>
      <c r="I1744" s="246">
        <v>34046.699999999997</v>
      </c>
      <c r="J1744" s="246"/>
      <c r="K1744" s="242" t="s">
        <v>8</v>
      </c>
      <c r="L1744" s="243">
        <v>3666479.76</v>
      </c>
    </row>
    <row r="1745" spans="1:12" ht="61.2" x14ac:dyDescent="0.3">
      <c r="A1745" s="237" t="s">
        <v>328</v>
      </c>
      <c r="B1745" s="238" t="s">
        <v>2843</v>
      </c>
      <c r="C1745" s="238" t="s">
        <v>806</v>
      </c>
      <c r="D1745" s="238" t="s">
        <v>2468</v>
      </c>
      <c r="E1745" s="239" t="s">
        <v>105</v>
      </c>
      <c r="F1745" s="245" t="s">
        <v>15</v>
      </c>
      <c r="G1745" s="245"/>
      <c r="H1745" s="239" t="s">
        <v>751</v>
      </c>
      <c r="I1745" s="246">
        <v>51207.6</v>
      </c>
      <c r="J1745" s="246"/>
      <c r="K1745" s="242" t="s">
        <v>8</v>
      </c>
      <c r="L1745" s="243">
        <v>3615272.16</v>
      </c>
    </row>
    <row r="1746" spans="1:12" ht="61.2" x14ac:dyDescent="0.3">
      <c r="A1746" s="237" t="s">
        <v>328</v>
      </c>
      <c r="B1746" s="238" t="s">
        <v>2843</v>
      </c>
      <c r="C1746" s="238" t="s">
        <v>806</v>
      </c>
      <c r="D1746" s="238" t="s">
        <v>2468</v>
      </c>
      <c r="E1746" s="239" t="s">
        <v>105</v>
      </c>
      <c r="F1746" s="245" t="s">
        <v>15</v>
      </c>
      <c r="G1746" s="245"/>
      <c r="H1746" s="239" t="s">
        <v>751</v>
      </c>
      <c r="I1746" s="246">
        <v>34138.400000000001</v>
      </c>
      <c r="J1746" s="246"/>
      <c r="K1746" s="242" t="s">
        <v>8</v>
      </c>
      <c r="L1746" s="243">
        <v>3581133.76</v>
      </c>
    </row>
    <row r="1747" spans="1:12" ht="61.2" x14ac:dyDescent="0.3">
      <c r="A1747" s="237" t="s">
        <v>328</v>
      </c>
      <c r="B1747" s="238" t="s">
        <v>2843</v>
      </c>
      <c r="C1747" s="238" t="s">
        <v>806</v>
      </c>
      <c r="D1747" s="238" t="s">
        <v>1965</v>
      </c>
      <c r="E1747" s="239" t="s">
        <v>105</v>
      </c>
      <c r="F1747" s="245" t="s">
        <v>15</v>
      </c>
      <c r="G1747" s="245"/>
      <c r="H1747" s="239" t="s">
        <v>751</v>
      </c>
      <c r="I1747" s="246">
        <v>5398.9</v>
      </c>
      <c r="J1747" s="246"/>
      <c r="K1747" s="242" t="s">
        <v>8</v>
      </c>
      <c r="L1747" s="243">
        <v>3575734.86</v>
      </c>
    </row>
    <row r="1748" spans="1:12" ht="61.2" x14ac:dyDescent="0.3">
      <c r="A1748" s="237" t="s">
        <v>328</v>
      </c>
      <c r="B1748" s="238" t="s">
        <v>2843</v>
      </c>
      <c r="C1748" s="238" t="s">
        <v>806</v>
      </c>
      <c r="D1748" s="238" t="s">
        <v>2544</v>
      </c>
      <c r="E1748" s="239" t="s">
        <v>105</v>
      </c>
      <c r="F1748" s="245" t="s">
        <v>15</v>
      </c>
      <c r="G1748" s="245"/>
      <c r="H1748" s="239" t="s">
        <v>751</v>
      </c>
      <c r="I1748" s="246">
        <v>1788.3</v>
      </c>
      <c r="J1748" s="246"/>
      <c r="K1748" s="242" t="s">
        <v>8</v>
      </c>
      <c r="L1748" s="243">
        <v>3573946.56</v>
      </c>
    </row>
    <row r="1749" spans="1:12" ht="61.2" x14ac:dyDescent="0.3">
      <c r="A1749" s="237" t="s">
        <v>328</v>
      </c>
      <c r="B1749" s="238" t="s">
        <v>2843</v>
      </c>
      <c r="C1749" s="238" t="s">
        <v>806</v>
      </c>
      <c r="D1749" s="238" t="s">
        <v>2469</v>
      </c>
      <c r="E1749" s="239" t="s">
        <v>105</v>
      </c>
      <c r="F1749" s="245" t="s">
        <v>15</v>
      </c>
      <c r="G1749" s="245"/>
      <c r="H1749" s="239" t="s">
        <v>751</v>
      </c>
      <c r="I1749" s="246">
        <v>2905.3</v>
      </c>
      <c r="J1749" s="246"/>
      <c r="K1749" s="242" t="s">
        <v>8</v>
      </c>
      <c r="L1749" s="243">
        <v>3571041.26</v>
      </c>
    </row>
    <row r="1750" spans="1:12" ht="61.2" x14ac:dyDescent="0.3">
      <c r="A1750" s="237" t="s">
        <v>328</v>
      </c>
      <c r="B1750" s="238" t="s">
        <v>2843</v>
      </c>
      <c r="C1750" s="238" t="s">
        <v>806</v>
      </c>
      <c r="D1750" s="238" t="s">
        <v>2482</v>
      </c>
      <c r="E1750" s="239" t="s">
        <v>105</v>
      </c>
      <c r="F1750" s="245" t="s">
        <v>15</v>
      </c>
      <c r="G1750" s="245"/>
      <c r="H1750" s="239" t="s">
        <v>751</v>
      </c>
      <c r="I1750" s="246">
        <v>29827.4</v>
      </c>
      <c r="J1750" s="246"/>
      <c r="K1750" s="242" t="s">
        <v>8</v>
      </c>
      <c r="L1750" s="243">
        <v>3541213.86</v>
      </c>
    </row>
    <row r="1751" spans="1:12" ht="61.2" x14ac:dyDescent="0.3">
      <c r="A1751" s="237" t="s">
        <v>328</v>
      </c>
      <c r="B1751" s="238" t="s">
        <v>2843</v>
      </c>
      <c r="C1751" s="238" t="s">
        <v>806</v>
      </c>
      <c r="D1751" s="238" t="s">
        <v>2483</v>
      </c>
      <c r="E1751" s="239" t="s">
        <v>105</v>
      </c>
      <c r="F1751" s="245" t="s">
        <v>15</v>
      </c>
      <c r="G1751" s="245"/>
      <c r="H1751" s="239" t="s">
        <v>751</v>
      </c>
      <c r="I1751" s="246">
        <v>2489.8000000000002</v>
      </c>
      <c r="J1751" s="246"/>
      <c r="K1751" s="242" t="s">
        <v>8</v>
      </c>
      <c r="L1751" s="243">
        <v>3538724.06</v>
      </c>
    </row>
    <row r="1752" spans="1:12" ht="61.2" x14ac:dyDescent="0.3">
      <c r="A1752" s="237" t="s">
        <v>328</v>
      </c>
      <c r="B1752" s="238" t="s">
        <v>2843</v>
      </c>
      <c r="C1752" s="238" t="s">
        <v>806</v>
      </c>
      <c r="D1752" s="238" t="s">
        <v>2465</v>
      </c>
      <c r="E1752" s="239" t="s">
        <v>105</v>
      </c>
      <c r="F1752" s="245" t="s">
        <v>15</v>
      </c>
      <c r="G1752" s="245"/>
      <c r="H1752" s="239" t="s">
        <v>751</v>
      </c>
      <c r="I1752" s="246">
        <v>89140</v>
      </c>
      <c r="J1752" s="246"/>
      <c r="K1752" s="242" t="s">
        <v>8</v>
      </c>
      <c r="L1752" s="243">
        <v>3449584.06</v>
      </c>
    </row>
    <row r="1753" spans="1:12" ht="61.2" x14ac:dyDescent="0.3">
      <c r="A1753" s="237" t="s">
        <v>328</v>
      </c>
      <c r="B1753" s="238" t="s">
        <v>2843</v>
      </c>
      <c r="C1753" s="238" t="s">
        <v>806</v>
      </c>
      <c r="D1753" s="238" t="s">
        <v>2551</v>
      </c>
      <c r="E1753" s="239" t="s">
        <v>105</v>
      </c>
      <c r="F1753" s="245" t="s">
        <v>15</v>
      </c>
      <c r="G1753" s="245"/>
      <c r="H1753" s="239" t="s">
        <v>751</v>
      </c>
      <c r="I1753" s="246">
        <v>8914</v>
      </c>
      <c r="J1753" s="246"/>
      <c r="K1753" s="242" t="s">
        <v>8</v>
      </c>
      <c r="L1753" s="243">
        <v>3440670.06</v>
      </c>
    </row>
    <row r="1754" spans="1:12" ht="61.2" x14ac:dyDescent="0.3">
      <c r="A1754" s="237" t="s">
        <v>328</v>
      </c>
      <c r="B1754" s="238" t="s">
        <v>2843</v>
      </c>
      <c r="C1754" s="238" t="s">
        <v>806</v>
      </c>
      <c r="D1754" s="238" t="s">
        <v>2550</v>
      </c>
      <c r="E1754" s="239" t="s">
        <v>105</v>
      </c>
      <c r="F1754" s="245" t="s">
        <v>15</v>
      </c>
      <c r="G1754" s="245"/>
      <c r="H1754" s="239" t="s">
        <v>751</v>
      </c>
      <c r="I1754" s="246">
        <v>2609.3000000000002</v>
      </c>
      <c r="J1754" s="246"/>
      <c r="K1754" s="242" t="s">
        <v>8</v>
      </c>
      <c r="L1754" s="243">
        <v>3438060.76</v>
      </c>
    </row>
    <row r="1755" spans="1:12" ht="61.2" x14ac:dyDescent="0.3">
      <c r="A1755" s="237" t="s">
        <v>328</v>
      </c>
      <c r="B1755" s="238" t="s">
        <v>2843</v>
      </c>
      <c r="C1755" s="238" t="s">
        <v>806</v>
      </c>
      <c r="D1755" s="238" t="s">
        <v>2466</v>
      </c>
      <c r="E1755" s="239" t="s">
        <v>105</v>
      </c>
      <c r="F1755" s="245" t="s">
        <v>15</v>
      </c>
      <c r="G1755" s="245"/>
      <c r="H1755" s="239" t="s">
        <v>751</v>
      </c>
      <c r="I1755" s="246">
        <v>3025.5</v>
      </c>
      <c r="J1755" s="246"/>
      <c r="K1755" s="242" t="s">
        <v>8</v>
      </c>
      <c r="L1755" s="243">
        <v>3435035.26</v>
      </c>
    </row>
    <row r="1756" spans="1:12" ht="61.2" x14ac:dyDescent="0.3">
      <c r="A1756" s="237" t="s">
        <v>328</v>
      </c>
      <c r="B1756" s="238" t="s">
        <v>2843</v>
      </c>
      <c r="C1756" s="238" t="s">
        <v>806</v>
      </c>
      <c r="D1756" s="238" t="s">
        <v>2567</v>
      </c>
      <c r="E1756" s="239" t="s">
        <v>105</v>
      </c>
      <c r="F1756" s="245" t="s">
        <v>15</v>
      </c>
      <c r="G1756" s="245"/>
      <c r="H1756" s="239" t="s">
        <v>751</v>
      </c>
      <c r="I1756" s="246">
        <v>4447.7</v>
      </c>
      <c r="J1756" s="246"/>
      <c r="K1756" s="242" t="s">
        <v>8</v>
      </c>
      <c r="L1756" s="243">
        <v>3430587.56</v>
      </c>
    </row>
    <row r="1757" spans="1:12" ht="61.2" x14ac:dyDescent="0.3">
      <c r="A1757" s="237" t="s">
        <v>328</v>
      </c>
      <c r="B1757" s="238" t="s">
        <v>2843</v>
      </c>
      <c r="C1757" s="238" t="s">
        <v>806</v>
      </c>
      <c r="D1757" s="238" t="s">
        <v>1998</v>
      </c>
      <c r="E1757" s="239" t="s">
        <v>105</v>
      </c>
      <c r="F1757" s="245" t="s">
        <v>15</v>
      </c>
      <c r="G1757" s="245"/>
      <c r="H1757" s="239" t="s">
        <v>751</v>
      </c>
      <c r="I1757" s="246">
        <v>4039.2</v>
      </c>
      <c r="J1757" s="246"/>
      <c r="K1757" s="242" t="s">
        <v>8</v>
      </c>
      <c r="L1757" s="243">
        <v>3426548.36</v>
      </c>
    </row>
    <row r="1758" spans="1:12" ht="61.2" x14ac:dyDescent="0.3">
      <c r="A1758" s="237" t="s">
        <v>328</v>
      </c>
      <c r="B1758" s="238" t="s">
        <v>2843</v>
      </c>
      <c r="C1758" s="238" t="s">
        <v>806</v>
      </c>
      <c r="D1758" s="238" t="s">
        <v>2563</v>
      </c>
      <c r="E1758" s="239" t="s">
        <v>105</v>
      </c>
      <c r="F1758" s="245" t="s">
        <v>15</v>
      </c>
      <c r="G1758" s="245"/>
      <c r="H1758" s="239" t="s">
        <v>751</v>
      </c>
      <c r="I1758" s="246">
        <v>1266.5</v>
      </c>
      <c r="J1758" s="246"/>
      <c r="K1758" s="242" t="s">
        <v>8</v>
      </c>
      <c r="L1758" s="243">
        <v>3425281.86</v>
      </c>
    </row>
    <row r="1759" spans="1:12" ht="61.2" x14ac:dyDescent="0.3">
      <c r="A1759" s="237" t="s">
        <v>328</v>
      </c>
      <c r="B1759" s="238" t="s">
        <v>2843</v>
      </c>
      <c r="C1759" s="238" t="s">
        <v>806</v>
      </c>
      <c r="D1759" s="238" t="s">
        <v>2027</v>
      </c>
      <c r="E1759" s="239" t="s">
        <v>105</v>
      </c>
      <c r="F1759" s="245" t="s">
        <v>15</v>
      </c>
      <c r="G1759" s="245"/>
      <c r="H1759" s="239" t="s">
        <v>751</v>
      </c>
      <c r="I1759" s="247">
        <v>753.1</v>
      </c>
      <c r="J1759" s="247"/>
      <c r="K1759" s="242" t="s">
        <v>8</v>
      </c>
      <c r="L1759" s="243">
        <v>3424528.76</v>
      </c>
    </row>
    <row r="1760" spans="1:12" ht="61.2" x14ac:dyDescent="0.3">
      <c r="A1760" s="237" t="s">
        <v>328</v>
      </c>
      <c r="B1760" s="238" t="s">
        <v>2843</v>
      </c>
      <c r="C1760" s="238" t="s">
        <v>806</v>
      </c>
      <c r="D1760" s="238" t="s">
        <v>2536</v>
      </c>
      <c r="E1760" s="239" t="s">
        <v>105</v>
      </c>
      <c r="F1760" s="245" t="s">
        <v>15</v>
      </c>
      <c r="G1760" s="245"/>
      <c r="H1760" s="239" t="s">
        <v>751</v>
      </c>
      <c r="I1760" s="246">
        <v>1101.5</v>
      </c>
      <c r="J1760" s="246"/>
      <c r="K1760" s="242" t="s">
        <v>8</v>
      </c>
      <c r="L1760" s="243">
        <v>3423427.26</v>
      </c>
    </row>
    <row r="1761" spans="1:12" ht="61.2" x14ac:dyDescent="0.3">
      <c r="A1761" s="237" t="s">
        <v>328</v>
      </c>
      <c r="B1761" s="238" t="s">
        <v>2843</v>
      </c>
      <c r="C1761" s="238" t="s">
        <v>806</v>
      </c>
      <c r="D1761" s="238" t="s">
        <v>2602</v>
      </c>
      <c r="E1761" s="239" t="s">
        <v>105</v>
      </c>
      <c r="F1761" s="245" t="s">
        <v>15</v>
      </c>
      <c r="G1761" s="245"/>
      <c r="H1761" s="239" t="s">
        <v>751</v>
      </c>
      <c r="I1761" s="246">
        <v>10679.4</v>
      </c>
      <c r="J1761" s="246"/>
      <c r="K1761" s="242" t="s">
        <v>8</v>
      </c>
      <c r="L1761" s="243">
        <v>3412747.86</v>
      </c>
    </row>
    <row r="1762" spans="1:12" ht="61.2" x14ac:dyDescent="0.3">
      <c r="A1762" s="237" t="s">
        <v>328</v>
      </c>
      <c r="B1762" s="238" t="s">
        <v>2843</v>
      </c>
      <c r="C1762" s="238" t="s">
        <v>806</v>
      </c>
      <c r="D1762" s="238" t="s">
        <v>1942</v>
      </c>
      <c r="E1762" s="239" t="s">
        <v>105</v>
      </c>
      <c r="F1762" s="245" t="s">
        <v>15</v>
      </c>
      <c r="G1762" s="245"/>
      <c r="H1762" s="239" t="s">
        <v>751</v>
      </c>
      <c r="I1762" s="247">
        <v>896.5</v>
      </c>
      <c r="J1762" s="247"/>
      <c r="K1762" s="242" t="s">
        <v>8</v>
      </c>
      <c r="L1762" s="243">
        <v>3411851.36</v>
      </c>
    </row>
    <row r="1763" spans="1:12" ht="61.2" x14ac:dyDescent="0.3">
      <c r="A1763" s="237" t="s">
        <v>328</v>
      </c>
      <c r="B1763" s="238" t="s">
        <v>2843</v>
      </c>
      <c r="C1763" s="238" t="s">
        <v>806</v>
      </c>
      <c r="D1763" s="238" t="s">
        <v>2048</v>
      </c>
      <c r="E1763" s="239" t="s">
        <v>105</v>
      </c>
      <c r="F1763" s="245" t="s">
        <v>15</v>
      </c>
      <c r="G1763" s="245"/>
      <c r="H1763" s="239" t="s">
        <v>751</v>
      </c>
      <c r="I1763" s="246">
        <v>1893.9</v>
      </c>
      <c r="J1763" s="246"/>
      <c r="K1763" s="242" t="s">
        <v>8</v>
      </c>
      <c r="L1763" s="243">
        <v>3409957.46</v>
      </c>
    </row>
    <row r="1764" spans="1:12" ht="61.2" x14ac:dyDescent="0.3">
      <c r="A1764" s="237" t="s">
        <v>328</v>
      </c>
      <c r="B1764" s="238" t="s">
        <v>2843</v>
      </c>
      <c r="C1764" s="238" t="s">
        <v>806</v>
      </c>
      <c r="D1764" s="238" t="s">
        <v>2048</v>
      </c>
      <c r="E1764" s="239" t="s">
        <v>105</v>
      </c>
      <c r="F1764" s="245" t="s">
        <v>15</v>
      </c>
      <c r="G1764" s="245"/>
      <c r="H1764" s="239" t="s">
        <v>751</v>
      </c>
      <c r="I1764" s="246">
        <v>1893.9</v>
      </c>
      <c r="J1764" s="246"/>
      <c r="K1764" s="242" t="s">
        <v>8</v>
      </c>
      <c r="L1764" s="243">
        <v>3408063.56</v>
      </c>
    </row>
    <row r="1765" spans="1:12" ht="61.2" x14ac:dyDescent="0.3">
      <c r="A1765" s="237" t="s">
        <v>328</v>
      </c>
      <c r="B1765" s="238" t="s">
        <v>2843</v>
      </c>
      <c r="C1765" s="238" t="s">
        <v>806</v>
      </c>
      <c r="D1765" s="238" t="s">
        <v>2541</v>
      </c>
      <c r="E1765" s="239" t="s">
        <v>105</v>
      </c>
      <c r="F1765" s="245" t="s">
        <v>15</v>
      </c>
      <c r="G1765" s="245"/>
      <c r="H1765" s="239" t="s">
        <v>751</v>
      </c>
      <c r="I1765" s="246">
        <v>1893.9</v>
      </c>
      <c r="J1765" s="246"/>
      <c r="K1765" s="242" t="s">
        <v>8</v>
      </c>
      <c r="L1765" s="243">
        <v>3406169.66</v>
      </c>
    </row>
    <row r="1766" spans="1:12" ht="61.2" x14ac:dyDescent="0.3">
      <c r="A1766" s="237" t="s">
        <v>328</v>
      </c>
      <c r="B1766" s="238" t="s">
        <v>2843</v>
      </c>
      <c r="C1766" s="238" t="s">
        <v>806</v>
      </c>
      <c r="D1766" s="238" t="s">
        <v>2542</v>
      </c>
      <c r="E1766" s="239" t="s">
        <v>105</v>
      </c>
      <c r="F1766" s="245" t="s">
        <v>15</v>
      </c>
      <c r="G1766" s="245"/>
      <c r="H1766" s="239" t="s">
        <v>751</v>
      </c>
      <c r="I1766" s="246">
        <v>1378.3</v>
      </c>
      <c r="J1766" s="246"/>
      <c r="K1766" s="242" t="s">
        <v>8</v>
      </c>
      <c r="L1766" s="243">
        <v>3404791.36</v>
      </c>
    </row>
    <row r="1767" spans="1:12" ht="61.2" x14ac:dyDescent="0.3">
      <c r="A1767" s="237" t="s">
        <v>328</v>
      </c>
      <c r="B1767" s="238" t="s">
        <v>2843</v>
      </c>
      <c r="C1767" s="238" t="s">
        <v>806</v>
      </c>
      <c r="D1767" s="238" t="s">
        <v>2492</v>
      </c>
      <c r="E1767" s="239" t="s">
        <v>105</v>
      </c>
      <c r="F1767" s="245" t="s">
        <v>15</v>
      </c>
      <c r="G1767" s="245"/>
      <c r="H1767" s="239" t="s">
        <v>751</v>
      </c>
      <c r="I1767" s="246">
        <v>15126.8</v>
      </c>
      <c r="J1767" s="246"/>
      <c r="K1767" s="242" t="s">
        <v>8</v>
      </c>
      <c r="L1767" s="243">
        <v>3389664.56</v>
      </c>
    </row>
    <row r="1768" spans="1:12" ht="61.2" x14ac:dyDescent="0.3">
      <c r="A1768" s="237" t="s">
        <v>328</v>
      </c>
      <c r="B1768" s="238" t="s">
        <v>2843</v>
      </c>
      <c r="C1768" s="238" t="s">
        <v>806</v>
      </c>
      <c r="D1768" s="238" t="s">
        <v>2493</v>
      </c>
      <c r="E1768" s="239" t="s">
        <v>105</v>
      </c>
      <c r="F1768" s="245" t="s">
        <v>15</v>
      </c>
      <c r="G1768" s="245"/>
      <c r="H1768" s="239" t="s">
        <v>751</v>
      </c>
      <c r="I1768" s="247">
        <v>998.2</v>
      </c>
      <c r="J1768" s="247"/>
      <c r="K1768" s="242" t="s">
        <v>8</v>
      </c>
      <c r="L1768" s="243">
        <v>3388666.36</v>
      </c>
    </row>
    <row r="1769" spans="1:12" ht="61.2" x14ac:dyDescent="0.3">
      <c r="A1769" s="237" t="s">
        <v>328</v>
      </c>
      <c r="B1769" s="238" t="s">
        <v>2843</v>
      </c>
      <c r="C1769" s="238" t="s">
        <v>806</v>
      </c>
      <c r="D1769" s="238" t="s">
        <v>2504</v>
      </c>
      <c r="E1769" s="239" t="s">
        <v>105</v>
      </c>
      <c r="F1769" s="245" t="s">
        <v>15</v>
      </c>
      <c r="G1769" s="245"/>
      <c r="H1769" s="239" t="s">
        <v>751</v>
      </c>
      <c r="I1769" s="246">
        <v>1006.7</v>
      </c>
      <c r="J1769" s="246"/>
      <c r="K1769" s="242" t="s">
        <v>8</v>
      </c>
      <c r="L1769" s="243">
        <v>3387659.66</v>
      </c>
    </row>
    <row r="1770" spans="1:12" ht="61.2" x14ac:dyDescent="0.3">
      <c r="A1770" s="237" t="s">
        <v>328</v>
      </c>
      <c r="B1770" s="238" t="s">
        <v>2843</v>
      </c>
      <c r="C1770" s="238" t="s">
        <v>806</v>
      </c>
      <c r="D1770" s="238" t="s">
        <v>2470</v>
      </c>
      <c r="E1770" s="239" t="s">
        <v>105</v>
      </c>
      <c r="F1770" s="245" t="s">
        <v>15</v>
      </c>
      <c r="G1770" s="245"/>
      <c r="H1770" s="239" t="s">
        <v>751</v>
      </c>
      <c r="I1770" s="246">
        <v>38264</v>
      </c>
      <c r="J1770" s="246"/>
      <c r="K1770" s="242" t="s">
        <v>8</v>
      </c>
      <c r="L1770" s="243">
        <v>3349395.66</v>
      </c>
    </row>
    <row r="1771" spans="1:12" ht="61.2" x14ac:dyDescent="0.3">
      <c r="A1771" s="237" t="s">
        <v>328</v>
      </c>
      <c r="B1771" s="238" t="s">
        <v>2843</v>
      </c>
      <c r="C1771" s="238" t="s">
        <v>806</v>
      </c>
      <c r="D1771" s="238" t="s">
        <v>2471</v>
      </c>
      <c r="E1771" s="239" t="s">
        <v>105</v>
      </c>
      <c r="F1771" s="245" t="s">
        <v>15</v>
      </c>
      <c r="G1771" s="245"/>
      <c r="H1771" s="239" t="s">
        <v>751</v>
      </c>
      <c r="I1771" s="246">
        <v>1299.5999999999999</v>
      </c>
      <c r="J1771" s="246"/>
      <c r="K1771" s="242" t="s">
        <v>8</v>
      </c>
      <c r="L1771" s="243">
        <v>3348096.06</v>
      </c>
    </row>
    <row r="1772" spans="1:12" ht="61.2" x14ac:dyDescent="0.3">
      <c r="A1772" s="237" t="s">
        <v>328</v>
      </c>
      <c r="B1772" s="238" t="s">
        <v>2843</v>
      </c>
      <c r="C1772" s="238" t="s">
        <v>806</v>
      </c>
      <c r="D1772" s="238" t="s">
        <v>2569</v>
      </c>
      <c r="E1772" s="239" t="s">
        <v>105</v>
      </c>
      <c r="F1772" s="245" t="s">
        <v>15</v>
      </c>
      <c r="G1772" s="245"/>
      <c r="H1772" s="239" t="s">
        <v>751</v>
      </c>
      <c r="I1772" s="246">
        <v>1392.1</v>
      </c>
      <c r="J1772" s="246"/>
      <c r="K1772" s="242" t="s">
        <v>8</v>
      </c>
      <c r="L1772" s="243">
        <v>3346703.96</v>
      </c>
    </row>
    <row r="1773" spans="1:12" ht="61.2" x14ac:dyDescent="0.3">
      <c r="A1773" s="237" t="s">
        <v>328</v>
      </c>
      <c r="B1773" s="238" t="s">
        <v>2843</v>
      </c>
      <c r="C1773" s="238" t="s">
        <v>806</v>
      </c>
      <c r="D1773" s="238" t="s">
        <v>1548</v>
      </c>
      <c r="E1773" s="239" t="s">
        <v>105</v>
      </c>
      <c r="F1773" s="245" t="s">
        <v>15</v>
      </c>
      <c r="G1773" s="245"/>
      <c r="H1773" s="239" t="s">
        <v>751</v>
      </c>
      <c r="I1773" s="246">
        <v>11803.8</v>
      </c>
      <c r="J1773" s="246"/>
      <c r="K1773" s="242" t="s">
        <v>8</v>
      </c>
      <c r="L1773" s="243">
        <v>3334900.16</v>
      </c>
    </row>
    <row r="1774" spans="1:12" ht="61.2" x14ac:dyDescent="0.3">
      <c r="A1774" s="237" t="s">
        <v>328</v>
      </c>
      <c r="B1774" s="238" t="s">
        <v>2843</v>
      </c>
      <c r="C1774" s="238" t="s">
        <v>806</v>
      </c>
      <c r="D1774" s="238" t="s">
        <v>1549</v>
      </c>
      <c r="E1774" s="239" t="s">
        <v>105</v>
      </c>
      <c r="F1774" s="245" t="s">
        <v>15</v>
      </c>
      <c r="G1774" s="245"/>
      <c r="H1774" s="239" t="s">
        <v>751</v>
      </c>
      <c r="I1774" s="246">
        <v>5482.4</v>
      </c>
      <c r="J1774" s="246"/>
      <c r="K1774" s="242" t="s">
        <v>8</v>
      </c>
      <c r="L1774" s="243">
        <v>3329417.76</v>
      </c>
    </row>
    <row r="1775" spans="1:12" ht="61.2" x14ac:dyDescent="0.3">
      <c r="A1775" s="237" t="s">
        <v>328</v>
      </c>
      <c r="B1775" s="238" t="s">
        <v>2843</v>
      </c>
      <c r="C1775" s="238" t="s">
        <v>806</v>
      </c>
      <c r="D1775" s="238" t="s">
        <v>1564</v>
      </c>
      <c r="E1775" s="239" t="s">
        <v>105</v>
      </c>
      <c r="F1775" s="245" t="s">
        <v>15</v>
      </c>
      <c r="G1775" s="245"/>
      <c r="H1775" s="239" t="s">
        <v>751</v>
      </c>
      <c r="I1775" s="246">
        <v>2766.4</v>
      </c>
      <c r="J1775" s="246"/>
      <c r="K1775" s="242" t="s">
        <v>8</v>
      </c>
      <c r="L1775" s="243">
        <v>3326651.36</v>
      </c>
    </row>
    <row r="1776" spans="1:12" ht="61.2" x14ac:dyDescent="0.3">
      <c r="A1776" s="237" t="s">
        <v>328</v>
      </c>
      <c r="B1776" s="238" t="s">
        <v>2843</v>
      </c>
      <c r="C1776" s="238" t="s">
        <v>806</v>
      </c>
      <c r="D1776" s="238" t="s">
        <v>1596</v>
      </c>
      <c r="E1776" s="239" t="s">
        <v>105</v>
      </c>
      <c r="F1776" s="245" t="s">
        <v>15</v>
      </c>
      <c r="G1776" s="245"/>
      <c r="H1776" s="239" t="s">
        <v>751</v>
      </c>
      <c r="I1776" s="246">
        <v>1762.9</v>
      </c>
      <c r="J1776" s="246"/>
      <c r="K1776" s="242" t="s">
        <v>8</v>
      </c>
      <c r="L1776" s="243">
        <v>3324888.46</v>
      </c>
    </row>
    <row r="1777" spans="1:12" ht="61.2" x14ac:dyDescent="0.3">
      <c r="A1777" s="237" t="s">
        <v>328</v>
      </c>
      <c r="B1777" s="238" t="s">
        <v>2843</v>
      </c>
      <c r="C1777" s="238" t="s">
        <v>806</v>
      </c>
      <c r="D1777" s="238" t="s">
        <v>2510</v>
      </c>
      <c r="E1777" s="239" t="s">
        <v>105</v>
      </c>
      <c r="F1777" s="245" t="s">
        <v>15</v>
      </c>
      <c r="G1777" s="245"/>
      <c r="H1777" s="239" t="s">
        <v>751</v>
      </c>
      <c r="I1777" s="246">
        <v>4016</v>
      </c>
      <c r="J1777" s="246"/>
      <c r="K1777" s="242" t="s">
        <v>8</v>
      </c>
      <c r="L1777" s="243">
        <v>3320872.46</v>
      </c>
    </row>
    <row r="1778" spans="1:12" ht="61.2" x14ac:dyDescent="0.3">
      <c r="A1778" s="237" t="s">
        <v>328</v>
      </c>
      <c r="B1778" s="238" t="s">
        <v>2843</v>
      </c>
      <c r="C1778" s="238" t="s">
        <v>806</v>
      </c>
      <c r="D1778" s="238" t="s">
        <v>1561</v>
      </c>
      <c r="E1778" s="239" t="s">
        <v>105</v>
      </c>
      <c r="F1778" s="245" t="s">
        <v>15</v>
      </c>
      <c r="G1778" s="245"/>
      <c r="H1778" s="239" t="s">
        <v>751</v>
      </c>
      <c r="I1778" s="246">
        <v>4084</v>
      </c>
      <c r="J1778" s="246"/>
      <c r="K1778" s="242" t="s">
        <v>8</v>
      </c>
      <c r="L1778" s="243">
        <v>3316788.46</v>
      </c>
    </row>
    <row r="1779" spans="1:12" ht="61.2" x14ac:dyDescent="0.3">
      <c r="A1779" s="237" t="s">
        <v>328</v>
      </c>
      <c r="B1779" s="238" t="s">
        <v>2843</v>
      </c>
      <c r="C1779" s="238" t="s">
        <v>806</v>
      </c>
      <c r="D1779" s="238" t="s">
        <v>1587</v>
      </c>
      <c r="E1779" s="239" t="s">
        <v>105</v>
      </c>
      <c r="F1779" s="245" t="s">
        <v>15</v>
      </c>
      <c r="G1779" s="245"/>
      <c r="H1779" s="239" t="s">
        <v>751</v>
      </c>
      <c r="I1779" s="246">
        <v>4160.2</v>
      </c>
      <c r="J1779" s="246"/>
      <c r="K1779" s="242" t="s">
        <v>8</v>
      </c>
      <c r="L1779" s="243">
        <v>3312628.26</v>
      </c>
    </row>
    <row r="1780" spans="1:12" ht="61.2" x14ac:dyDescent="0.3">
      <c r="A1780" s="237" t="s">
        <v>328</v>
      </c>
      <c r="B1780" s="238" t="s">
        <v>2843</v>
      </c>
      <c r="C1780" s="238" t="s">
        <v>806</v>
      </c>
      <c r="D1780" s="238" t="s">
        <v>1959</v>
      </c>
      <c r="E1780" s="239" t="s">
        <v>105</v>
      </c>
      <c r="F1780" s="245" t="s">
        <v>15</v>
      </c>
      <c r="G1780" s="245"/>
      <c r="H1780" s="239" t="s">
        <v>751</v>
      </c>
      <c r="I1780" s="246">
        <v>2656.3</v>
      </c>
      <c r="J1780" s="246"/>
      <c r="K1780" s="242" t="s">
        <v>8</v>
      </c>
      <c r="L1780" s="243">
        <v>3309971.96</v>
      </c>
    </row>
    <row r="1781" spans="1:12" ht="61.2" x14ac:dyDescent="0.3">
      <c r="A1781" s="237" t="s">
        <v>328</v>
      </c>
      <c r="B1781" s="238" t="s">
        <v>2843</v>
      </c>
      <c r="C1781" s="238" t="s">
        <v>806</v>
      </c>
      <c r="D1781" s="238" t="s">
        <v>1960</v>
      </c>
      <c r="E1781" s="239" t="s">
        <v>105</v>
      </c>
      <c r="F1781" s="245" t="s">
        <v>15</v>
      </c>
      <c r="G1781" s="245"/>
      <c r="H1781" s="239" t="s">
        <v>751</v>
      </c>
      <c r="I1781" s="246">
        <v>3199</v>
      </c>
      <c r="J1781" s="246"/>
      <c r="K1781" s="242" t="s">
        <v>8</v>
      </c>
      <c r="L1781" s="243">
        <v>3306772.96</v>
      </c>
    </row>
    <row r="1782" spans="1:12" ht="61.2" x14ac:dyDescent="0.3">
      <c r="A1782" s="237" t="s">
        <v>328</v>
      </c>
      <c r="B1782" s="238" t="s">
        <v>2843</v>
      </c>
      <c r="C1782" s="238" t="s">
        <v>806</v>
      </c>
      <c r="D1782" s="238" t="s">
        <v>1557</v>
      </c>
      <c r="E1782" s="239" t="s">
        <v>105</v>
      </c>
      <c r="F1782" s="245" t="s">
        <v>15</v>
      </c>
      <c r="G1782" s="245"/>
      <c r="H1782" s="239" t="s">
        <v>751</v>
      </c>
      <c r="I1782" s="246">
        <v>2159.4</v>
      </c>
      <c r="J1782" s="246"/>
      <c r="K1782" s="242" t="s">
        <v>8</v>
      </c>
      <c r="L1782" s="243">
        <v>3304613.56</v>
      </c>
    </row>
    <row r="1783" spans="1:12" ht="61.2" x14ac:dyDescent="0.3">
      <c r="A1783" s="237" t="s">
        <v>328</v>
      </c>
      <c r="B1783" s="238" t="s">
        <v>2843</v>
      </c>
      <c r="C1783" s="238" t="s">
        <v>806</v>
      </c>
      <c r="D1783" s="238" t="s">
        <v>1576</v>
      </c>
      <c r="E1783" s="239" t="s">
        <v>105</v>
      </c>
      <c r="F1783" s="245" t="s">
        <v>15</v>
      </c>
      <c r="G1783" s="245"/>
      <c r="H1783" s="239" t="s">
        <v>751</v>
      </c>
      <c r="I1783" s="246">
        <v>2101.5</v>
      </c>
      <c r="J1783" s="246"/>
      <c r="K1783" s="242" t="s">
        <v>8</v>
      </c>
      <c r="L1783" s="243">
        <v>3302512.06</v>
      </c>
    </row>
    <row r="1784" spans="1:12" ht="61.2" x14ac:dyDescent="0.3">
      <c r="A1784" s="237" t="s">
        <v>328</v>
      </c>
      <c r="B1784" s="238" t="s">
        <v>2843</v>
      </c>
      <c r="C1784" s="238" t="s">
        <v>806</v>
      </c>
      <c r="D1784" s="238" t="s">
        <v>1577</v>
      </c>
      <c r="E1784" s="239" t="s">
        <v>105</v>
      </c>
      <c r="F1784" s="245" t="s">
        <v>15</v>
      </c>
      <c r="G1784" s="245"/>
      <c r="H1784" s="239" t="s">
        <v>751</v>
      </c>
      <c r="I1784" s="246">
        <v>2624.5</v>
      </c>
      <c r="J1784" s="246"/>
      <c r="K1784" s="242" t="s">
        <v>8</v>
      </c>
      <c r="L1784" s="243">
        <v>3299887.56</v>
      </c>
    </row>
    <row r="1785" spans="1:12" ht="61.2" x14ac:dyDescent="0.3">
      <c r="A1785" s="237" t="s">
        <v>328</v>
      </c>
      <c r="B1785" s="238" t="s">
        <v>2843</v>
      </c>
      <c r="C1785" s="238" t="s">
        <v>806</v>
      </c>
      <c r="D1785" s="238" t="s">
        <v>2022</v>
      </c>
      <c r="E1785" s="239" t="s">
        <v>105</v>
      </c>
      <c r="F1785" s="245" t="s">
        <v>15</v>
      </c>
      <c r="G1785" s="245"/>
      <c r="H1785" s="239" t="s">
        <v>751</v>
      </c>
      <c r="I1785" s="246">
        <v>2116.6999999999998</v>
      </c>
      <c r="J1785" s="246"/>
      <c r="K1785" s="242" t="s">
        <v>8</v>
      </c>
      <c r="L1785" s="243">
        <v>3297770.86</v>
      </c>
    </row>
    <row r="1786" spans="1:12" ht="61.2" x14ac:dyDescent="0.3">
      <c r="A1786" s="237" t="s">
        <v>328</v>
      </c>
      <c r="B1786" s="238" t="s">
        <v>2843</v>
      </c>
      <c r="C1786" s="238" t="s">
        <v>806</v>
      </c>
      <c r="D1786" s="238" t="s">
        <v>1935</v>
      </c>
      <c r="E1786" s="239" t="s">
        <v>105</v>
      </c>
      <c r="F1786" s="245" t="s">
        <v>15</v>
      </c>
      <c r="G1786" s="245"/>
      <c r="H1786" s="239" t="s">
        <v>751</v>
      </c>
      <c r="I1786" s="246">
        <v>3182</v>
      </c>
      <c r="J1786" s="246"/>
      <c r="K1786" s="242" t="s">
        <v>8</v>
      </c>
      <c r="L1786" s="243">
        <v>3294588.86</v>
      </c>
    </row>
    <row r="1787" spans="1:12" ht="61.2" x14ac:dyDescent="0.3">
      <c r="A1787" s="237" t="s">
        <v>328</v>
      </c>
      <c r="B1787" s="238" t="s">
        <v>2843</v>
      </c>
      <c r="C1787" s="238" t="s">
        <v>806</v>
      </c>
      <c r="D1787" s="238" t="s">
        <v>2480</v>
      </c>
      <c r="E1787" s="239" t="s">
        <v>105</v>
      </c>
      <c r="F1787" s="245" t="s">
        <v>15</v>
      </c>
      <c r="G1787" s="245"/>
      <c r="H1787" s="239" t="s">
        <v>751</v>
      </c>
      <c r="I1787" s="246">
        <v>2368.8000000000002</v>
      </c>
      <c r="J1787" s="246"/>
      <c r="K1787" s="242" t="s">
        <v>8</v>
      </c>
      <c r="L1787" s="243">
        <v>3292220.06</v>
      </c>
    </row>
    <row r="1788" spans="1:12" ht="61.2" x14ac:dyDescent="0.3">
      <c r="A1788" s="237" t="s">
        <v>328</v>
      </c>
      <c r="B1788" s="238" t="s">
        <v>2843</v>
      </c>
      <c r="C1788" s="238" t="s">
        <v>806</v>
      </c>
      <c r="D1788" s="238" t="s">
        <v>2481</v>
      </c>
      <c r="E1788" s="239" t="s">
        <v>105</v>
      </c>
      <c r="F1788" s="245" t="s">
        <v>15</v>
      </c>
      <c r="G1788" s="245"/>
      <c r="H1788" s="239" t="s">
        <v>751</v>
      </c>
      <c r="I1788" s="246">
        <v>1478.5</v>
      </c>
      <c r="J1788" s="246"/>
      <c r="K1788" s="242" t="s">
        <v>8</v>
      </c>
      <c r="L1788" s="243">
        <v>3290741.56</v>
      </c>
    </row>
    <row r="1789" spans="1:12" ht="61.2" x14ac:dyDescent="0.3">
      <c r="A1789" s="237" t="s">
        <v>328</v>
      </c>
      <c r="B1789" s="238" t="s">
        <v>2843</v>
      </c>
      <c r="C1789" s="238" t="s">
        <v>806</v>
      </c>
      <c r="D1789" s="238" t="s">
        <v>2035</v>
      </c>
      <c r="E1789" s="239" t="s">
        <v>105</v>
      </c>
      <c r="F1789" s="245" t="s">
        <v>15</v>
      </c>
      <c r="G1789" s="245"/>
      <c r="H1789" s="239" t="s">
        <v>751</v>
      </c>
      <c r="I1789" s="246">
        <v>14031.6</v>
      </c>
      <c r="J1789" s="246"/>
      <c r="K1789" s="242" t="s">
        <v>8</v>
      </c>
      <c r="L1789" s="243">
        <v>3276709.96</v>
      </c>
    </row>
    <row r="1790" spans="1:12" ht="61.2" x14ac:dyDescent="0.3">
      <c r="A1790" s="237" t="s">
        <v>328</v>
      </c>
      <c r="B1790" s="238" t="s">
        <v>2843</v>
      </c>
      <c r="C1790" s="238" t="s">
        <v>806</v>
      </c>
      <c r="D1790" s="238" t="s">
        <v>2472</v>
      </c>
      <c r="E1790" s="239" t="s">
        <v>105</v>
      </c>
      <c r="F1790" s="245" t="s">
        <v>15</v>
      </c>
      <c r="G1790" s="245"/>
      <c r="H1790" s="239" t="s">
        <v>751</v>
      </c>
      <c r="I1790" s="246">
        <v>2881.4</v>
      </c>
      <c r="J1790" s="246"/>
      <c r="K1790" s="242" t="s">
        <v>8</v>
      </c>
      <c r="L1790" s="243">
        <v>3273828.56</v>
      </c>
    </row>
    <row r="1791" spans="1:12" ht="61.2" x14ac:dyDescent="0.3">
      <c r="A1791" s="237" t="s">
        <v>328</v>
      </c>
      <c r="B1791" s="238" t="s">
        <v>2843</v>
      </c>
      <c r="C1791" s="238" t="s">
        <v>806</v>
      </c>
      <c r="D1791" s="238" t="s">
        <v>1971</v>
      </c>
      <c r="E1791" s="239" t="s">
        <v>105</v>
      </c>
      <c r="F1791" s="245" t="s">
        <v>15</v>
      </c>
      <c r="G1791" s="245"/>
      <c r="H1791" s="239" t="s">
        <v>751</v>
      </c>
      <c r="I1791" s="246">
        <v>1729.8</v>
      </c>
      <c r="J1791" s="246"/>
      <c r="K1791" s="242" t="s">
        <v>8</v>
      </c>
      <c r="L1791" s="243">
        <v>3272098.76</v>
      </c>
    </row>
    <row r="1792" spans="1:12" ht="61.2" x14ac:dyDescent="0.3">
      <c r="A1792" s="237" t="s">
        <v>328</v>
      </c>
      <c r="B1792" s="238" t="s">
        <v>2843</v>
      </c>
      <c r="C1792" s="238" t="s">
        <v>806</v>
      </c>
      <c r="D1792" s="238" t="s">
        <v>2561</v>
      </c>
      <c r="E1792" s="239" t="s">
        <v>105</v>
      </c>
      <c r="F1792" s="245" t="s">
        <v>15</v>
      </c>
      <c r="G1792" s="245"/>
      <c r="H1792" s="239" t="s">
        <v>751</v>
      </c>
      <c r="I1792" s="246">
        <v>2063.5</v>
      </c>
      <c r="J1792" s="246"/>
      <c r="K1792" s="242" t="s">
        <v>8</v>
      </c>
      <c r="L1792" s="243">
        <v>3270035.26</v>
      </c>
    </row>
    <row r="1793" spans="1:12" ht="61.2" x14ac:dyDescent="0.3">
      <c r="A1793" s="237" t="s">
        <v>328</v>
      </c>
      <c r="B1793" s="238" t="s">
        <v>2843</v>
      </c>
      <c r="C1793" s="238" t="s">
        <v>806</v>
      </c>
      <c r="D1793" s="238" t="s">
        <v>1916</v>
      </c>
      <c r="E1793" s="239" t="s">
        <v>105</v>
      </c>
      <c r="F1793" s="245" t="s">
        <v>15</v>
      </c>
      <c r="G1793" s="245"/>
      <c r="H1793" s="239" t="s">
        <v>751</v>
      </c>
      <c r="I1793" s="246">
        <v>2686.4</v>
      </c>
      <c r="J1793" s="246"/>
      <c r="K1793" s="242" t="s">
        <v>8</v>
      </c>
      <c r="L1793" s="243">
        <v>3267348.86</v>
      </c>
    </row>
    <row r="1794" spans="1:12" ht="61.2" x14ac:dyDescent="0.3">
      <c r="A1794" s="237" t="s">
        <v>328</v>
      </c>
      <c r="B1794" s="238" t="s">
        <v>2843</v>
      </c>
      <c r="C1794" s="238" t="s">
        <v>806</v>
      </c>
      <c r="D1794" s="238" t="s">
        <v>1915</v>
      </c>
      <c r="E1794" s="239" t="s">
        <v>105</v>
      </c>
      <c r="F1794" s="245" t="s">
        <v>15</v>
      </c>
      <c r="G1794" s="245"/>
      <c r="H1794" s="239" t="s">
        <v>751</v>
      </c>
      <c r="I1794" s="246">
        <v>2654</v>
      </c>
      <c r="J1794" s="246"/>
      <c r="K1794" s="242" t="s">
        <v>8</v>
      </c>
      <c r="L1794" s="243">
        <v>3264694.86</v>
      </c>
    </row>
    <row r="1795" spans="1:12" ht="61.2" x14ac:dyDescent="0.3">
      <c r="A1795" s="237" t="s">
        <v>328</v>
      </c>
      <c r="B1795" s="238" t="s">
        <v>2843</v>
      </c>
      <c r="C1795" s="238" t="s">
        <v>806</v>
      </c>
      <c r="D1795" s="238" t="s">
        <v>1917</v>
      </c>
      <c r="E1795" s="239" t="s">
        <v>105</v>
      </c>
      <c r="F1795" s="245" t="s">
        <v>15</v>
      </c>
      <c r="G1795" s="245"/>
      <c r="H1795" s="239" t="s">
        <v>751</v>
      </c>
      <c r="I1795" s="246">
        <v>3831</v>
      </c>
      <c r="J1795" s="246"/>
      <c r="K1795" s="242" t="s">
        <v>8</v>
      </c>
      <c r="L1795" s="243">
        <v>3260863.86</v>
      </c>
    </row>
    <row r="1796" spans="1:12" ht="61.2" x14ac:dyDescent="0.3">
      <c r="A1796" s="237" t="s">
        <v>328</v>
      </c>
      <c r="B1796" s="238" t="s">
        <v>2843</v>
      </c>
      <c r="C1796" s="238" t="s">
        <v>806</v>
      </c>
      <c r="D1796" s="238" t="s">
        <v>1918</v>
      </c>
      <c r="E1796" s="239" t="s">
        <v>105</v>
      </c>
      <c r="F1796" s="245" t="s">
        <v>15</v>
      </c>
      <c r="G1796" s="245"/>
      <c r="H1796" s="239" t="s">
        <v>751</v>
      </c>
      <c r="I1796" s="246">
        <v>3820.3</v>
      </c>
      <c r="J1796" s="246"/>
      <c r="K1796" s="242" t="s">
        <v>8</v>
      </c>
      <c r="L1796" s="243">
        <v>3257043.56</v>
      </c>
    </row>
    <row r="1797" spans="1:12" ht="51" x14ac:dyDescent="0.3">
      <c r="A1797" s="237" t="s">
        <v>328</v>
      </c>
      <c r="B1797" s="238" t="s">
        <v>2844</v>
      </c>
      <c r="C1797" s="238" t="s">
        <v>806</v>
      </c>
      <c r="D1797" s="238" t="s">
        <v>1328</v>
      </c>
      <c r="E1797" s="239" t="s">
        <v>105</v>
      </c>
      <c r="F1797" s="245" t="s">
        <v>15</v>
      </c>
      <c r="G1797" s="245"/>
      <c r="H1797" s="239" t="s">
        <v>751</v>
      </c>
      <c r="I1797" s="246">
        <v>16920</v>
      </c>
      <c r="J1797" s="246"/>
      <c r="K1797" s="242" t="s">
        <v>8</v>
      </c>
      <c r="L1797" s="243">
        <v>3240123.56</v>
      </c>
    </row>
    <row r="1798" spans="1:12" ht="51" x14ac:dyDescent="0.3">
      <c r="A1798" s="237" t="s">
        <v>328</v>
      </c>
      <c r="B1798" s="238" t="s">
        <v>2844</v>
      </c>
      <c r="C1798" s="238" t="s">
        <v>806</v>
      </c>
      <c r="D1798" s="238" t="s">
        <v>1329</v>
      </c>
      <c r="E1798" s="239" t="s">
        <v>105</v>
      </c>
      <c r="F1798" s="245" t="s">
        <v>15</v>
      </c>
      <c r="G1798" s="245"/>
      <c r="H1798" s="239" t="s">
        <v>751</v>
      </c>
      <c r="I1798" s="247">
        <v>712.8</v>
      </c>
      <c r="J1798" s="247"/>
      <c r="K1798" s="242" t="s">
        <v>8</v>
      </c>
      <c r="L1798" s="243">
        <v>3239410.76</v>
      </c>
    </row>
    <row r="1799" spans="1:12" ht="51" x14ac:dyDescent="0.3">
      <c r="A1799" s="237" t="s">
        <v>328</v>
      </c>
      <c r="B1799" s="238" t="s">
        <v>2844</v>
      </c>
      <c r="C1799" s="238" t="s">
        <v>806</v>
      </c>
      <c r="D1799" s="238" t="s">
        <v>2845</v>
      </c>
      <c r="E1799" s="239" t="s">
        <v>105</v>
      </c>
      <c r="F1799" s="245" t="s">
        <v>15</v>
      </c>
      <c r="G1799" s="245"/>
      <c r="H1799" s="239" t="s">
        <v>751</v>
      </c>
      <c r="I1799" s="247">
        <v>683.33</v>
      </c>
      <c r="J1799" s="247"/>
      <c r="K1799" s="242" t="s">
        <v>8</v>
      </c>
      <c r="L1799" s="243">
        <v>3238727.43</v>
      </c>
    </row>
    <row r="1800" spans="1:12" ht="51" x14ac:dyDescent="0.3">
      <c r="A1800" s="237" t="s">
        <v>328</v>
      </c>
      <c r="B1800" s="238" t="s">
        <v>2846</v>
      </c>
      <c r="C1800" s="238" t="s">
        <v>806</v>
      </c>
      <c r="D1800" s="238" t="s">
        <v>1341</v>
      </c>
      <c r="E1800" s="239" t="s">
        <v>105</v>
      </c>
      <c r="F1800" s="245" t="s">
        <v>15</v>
      </c>
      <c r="G1800" s="245"/>
      <c r="H1800" s="239" t="s">
        <v>751</v>
      </c>
      <c r="I1800" s="246">
        <v>2901.83</v>
      </c>
      <c r="J1800" s="246"/>
      <c r="K1800" s="242" t="s">
        <v>8</v>
      </c>
      <c r="L1800" s="243">
        <v>7311972.4100000001</v>
      </c>
    </row>
    <row r="1801" spans="1:12" ht="51" x14ac:dyDescent="0.3">
      <c r="A1801" s="237" t="s">
        <v>328</v>
      </c>
      <c r="B1801" s="238" t="s">
        <v>2846</v>
      </c>
      <c r="C1801" s="238" t="s">
        <v>806</v>
      </c>
      <c r="D1801" s="238" t="s">
        <v>1366</v>
      </c>
      <c r="E1801" s="239" t="s">
        <v>105</v>
      </c>
      <c r="F1801" s="245" t="s">
        <v>15</v>
      </c>
      <c r="G1801" s="245"/>
      <c r="H1801" s="239" t="s">
        <v>751</v>
      </c>
      <c r="I1801" s="246">
        <v>25622.45</v>
      </c>
      <c r="J1801" s="246"/>
      <c r="K1801" s="242" t="s">
        <v>8</v>
      </c>
      <c r="L1801" s="243">
        <v>7286349.96</v>
      </c>
    </row>
    <row r="1802" spans="1:12" ht="51" x14ac:dyDescent="0.3">
      <c r="A1802" s="237" t="s">
        <v>328</v>
      </c>
      <c r="B1802" s="238" t="s">
        <v>2846</v>
      </c>
      <c r="C1802" s="238" t="s">
        <v>806</v>
      </c>
      <c r="D1802" s="238" t="s">
        <v>2821</v>
      </c>
      <c r="E1802" s="239" t="s">
        <v>105</v>
      </c>
      <c r="F1802" s="245" t="s">
        <v>15</v>
      </c>
      <c r="G1802" s="245"/>
      <c r="H1802" s="239" t="s">
        <v>751</v>
      </c>
      <c r="I1802" s="247">
        <v>722.16</v>
      </c>
      <c r="J1802" s="247"/>
      <c r="K1802" s="242" t="s">
        <v>8</v>
      </c>
      <c r="L1802" s="243">
        <v>7285627.7999999998</v>
      </c>
    </row>
    <row r="1803" spans="1:12" ht="51" x14ac:dyDescent="0.3">
      <c r="A1803" s="237" t="s">
        <v>328</v>
      </c>
      <c r="B1803" s="238" t="s">
        <v>2846</v>
      </c>
      <c r="C1803" s="238" t="s">
        <v>806</v>
      </c>
      <c r="D1803" s="238" t="s">
        <v>1608</v>
      </c>
      <c r="E1803" s="239" t="s">
        <v>105</v>
      </c>
      <c r="F1803" s="245" t="s">
        <v>15</v>
      </c>
      <c r="G1803" s="245"/>
      <c r="H1803" s="239" t="s">
        <v>751</v>
      </c>
      <c r="I1803" s="246">
        <v>3069.09</v>
      </c>
      <c r="J1803" s="246"/>
      <c r="K1803" s="242" t="s">
        <v>8</v>
      </c>
      <c r="L1803" s="243">
        <v>7282558.71</v>
      </c>
    </row>
    <row r="1804" spans="1:12" ht="51" x14ac:dyDescent="0.3">
      <c r="A1804" s="237" t="s">
        <v>328</v>
      </c>
      <c r="B1804" s="238" t="s">
        <v>2846</v>
      </c>
      <c r="C1804" s="238" t="s">
        <v>806</v>
      </c>
      <c r="D1804" s="238" t="s">
        <v>1676</v>
      </c>
      <c r="E1804" s="239" t="s">
        <v>105</v>
      </c>
      <c r="F1804" s="245" t="s">
        <v>15</v>
      </c>
      <c r="G1804" s="245"/>
      <c r="H1804" s="239" t="s">
        <v>751</v>
      </c>
      <c r="I1804" s="247">
        <v>168.12</v>
      </c>
      <c r="J1804" s="247"/>
      <c r="K1804" s="242" t="s">
        <v>8</v>
      </c>
      <c r="L1804" s="243">
        <v>7282390.5899999999</v>
      </c>
    </row>
    <row r="1805" spans="1:12" ht="51" x14ac:dyDescent="0.3">
      <c r="A1805" s="237" t="s">
        <v>328</v>
      </c>
      <c r="B1805" s="238" t="s">
        <v>2847</v>
      </c>
      <c r="C1805" s="238" t="s">
        <v>806</v>
      </c>
      <c r="D1805" s="238" t="s">
        <v>1341</v>
      </c>
      <c r="E1805" s="239" t="s">
        <v>105</v>
      </c>
      <c r="F1805" s="245" t="s">
        <v>15</v>
      </c>
      <c r="G1805" s="245"/>
      <c r="H1805" s="239" t="s">
        <v>751</v>
      </c>
      <c r="I1805" s="246">
        <v>5456.71</v>
      </c>
      <c r="J1805" s="246"/>
      <c r="K1805" s="242" t="s">
        <v>8</v>
      </c>
      <c r="L1805" s="243">
        <v>7276933.8799999999</v>
      </c>
    </row>
    <row r="1806" spans="1:12" ht="51" x14ac:dyDescent="0.3">
      <c r="A1806" s="237" t="s">
        <v>328</v>
      </c>
      <c r="B1806" s="238" t="s">
        <v>2847</v>
      </c>
      <c r="C1806" s="238" t="s">
        <v>806</v>
      </c>
      <c r="D1806" s="238" t="s">
        <v>1365</v>
      </c>
      <c r="E1806" s="239" t="s">
        <v>105</v>
      </c>
      <c r="F1806" s="245" t="s">
        <v>15</v>
      </c>
      <c r="G1806" s="245"/>
      <c r="H1806" s="239" t="s">
        <v>751</v>
      </c>
      <c r="I1806" s="246">
        <v>9108.1</v>
      </c>
      <c r="J1806" s="246"/>
      <c r="K1806" s="242" t="s">
        <v>8</v>
      </c>
      <c r="L1806" s="243">
        <v>7267825.7800000003</v>
      </c>
    </row>
    <row r="1807" spans="1:12" ht="51" x14ac:dyDescent="0.3">
      <c r="A1807" s="237" t="s">
        <v>328</v>
      </c>
      <c r="B1807" s="238" t="s">
        <v>2847</v>
      </c>
      <c r="C1807" s="238" t="s">
        <v>806</v>
      </c>
      <c r="D1807" s="238" t="s">
        <v>1366</v>
      </c>
      <c r="E1807" s="239" t="s">
        <v>105</v>
      </c>
      <c r="F1807" s="245" t="s">
        <v>15</v>
      </c>
      <c r="G1807" s="245"/>
      <c r="H1807" s="239" t="s">
        <v>751</v>
      </c>
      <c r="I1807" s="246">
        <v>29777.439999999999</v>
      </c>
      <c r="J1807" s="246"/>
      <c r="K1807" s="242" t="s">
        <v>8</v>
      </c>
      <c r="L1807" s="243">
        <v>7238048.3399999999</v>
      </c>
    </row>
    <row r="1808" spans="1:12" ht="51" x14ac:dyDescent="0.3">
      <c r="A1808" s="237" t="s">
        <v>328</v>
      </c>
      <c r="B1808" s="238" t="s">
        <v>2847</v>
      </c>
      <c r="C1808" s="238" t="s">
        <v>806</v>
      </c>
      <c r="D1808" s="238" t="s">
        <v>1348</v>
      </c>
      <c r="E1808" s="239" t="s">
        <v>105</v>
      </c>
      <c r="F1808" s="245" t="s">
        <v>15</v>
      </c>
      <c r="G1808" s="245"/>
      <c r="H1808" s="239" t="s">
        <v>751</v>
      </c>
      <c r="I1808" s="246">
        <v>63412.5</v>
      </c>
      <c r="J1808" s="246"/>
      <c r="K1808" s="242" t="s">
        <v>8</v>
      </c>
      <c r="L1808" s="243">
        <v>7174635.8399999999</v>
      </c>
    </row>
    <row r="1809" spans="1:12" ht="51" x14ac:dyDescent="0.3">
      <c r="A1809" s="237" t="s">
        <v>328</v>
      </c>
      <c r="B1809" s="238" t="s">
        <v>2847</v>
      </c>
      <c r="C1809" s="238" t="s">
        <v>806</v>
      </c>
      <c r="D1809" s="238" t="s">
        <v>2808</v>
      </c>
      <c r="E1809" s="239" t="s">
        <v>105</v>
      </c>
      <c r="F1809" s="245" t="s">
        <v>15</v>
      </c>
      <c r="G1809" s="245"/>
      <c r="H1809" s="239" t="s">
        <v>751</v>
      </c>
      <c r="I1809" s="246">
        <v>67688.42</v>
      </c>
      <c r="J1809" s="246"/>
      <c r="K1809" s="242" t="s">
        <v>8</v>
      </c>
      <c r="L1809" s="243">
        <v>7106947.4199999999</v>
      </c>
    </row>
    <row r="1810" spans="1:12" ht="61.2" x14ac:dyDescent="0.3">
      <c r="A1810" s="237" t="s">
        <v>328</v>
      </c>
      <c r="B1810" s="238" t="s">
        <v>2847</v>
      </c>
      <c r="C1810" s="238" t="s">
        <v>806</v>
      </c>
      <c r="D1810" s="238" t="s">
        <v>2810</v>
      </c>
      <c r="E1810" s="239" t="s">
        <v>105</v>
      </c>
      <c r="F1810" s="245" t="s">
        <v>15</v>
      </c>
      <c r="G1810" s="245"/>
      <c r="H1810" s="239" t="s">
        <v>751</v>
      </c>
      <c r="I1810" s="246">
        <v>52578.39</v>
      </c>
      <c r="J1810" s="246"/>
      <c r="K1810" s="242" t="s">
        <v>8</v>
      </c>
      <c r="L1810" s="243">
        <v>7054369.0300000003</v>
      </c>
    </row>
    <row r="1811" spans="1:12" ht="61.2" x14ac:dyDescent="0.3">
      <c r="A1811" s="237" t="s">
        <v>328</v>
      </c>
      <c r="B1811" s="238" t="s">
        <v>2847</v>
      </c>
      <c r="C1811" s="238" t="s">
        <v>806</v>
      </c>
      <c r="D1811" s="238" t="s">
        <v>2848</v>
      </c>
      <c r="E1811" s="239" t="s">
        <v>105</v>
      </c>
      <c r="F1811" s="245" t="s">
        <v>15</v>
      </c>
      <c r="G1811" s="245"/>
      <c r="H1811" s="239" t="s">
        <v>751</v>
      </c>
      <c r="I1811" s="246">
        <v>204023.71</v>
      </c>
      <c r="J1811" s="246"/>
      <c r="K1811" s="242" t="s">
        <v>8</v>
      </c>
      <c r="L1811" s="243">
        <v>6850345.3200000003</v>
      </c>
    </row>
    <row r="1812" spans="1:12" ht="61.2" x14ac:dyDescent="0.3">
      <c r="A1812" s="237" t="s">
        <v>328</v>
      </c>
      <c r="B1812" s="238" t="s">
        <v>2847</v>
      </c>
      <c r="C1812" s="238" t="s">
        <v>806</v>
      </c>
      <c r="D1812" s="238" t="s">
        <v>2848</v>
      </c>
      <c r="E1812" s="239" t="s">
        <v>105</v>
      </c>
      <c r="F1812" s="245" t="s">
        <v>15</v>
      </c>
      <c r="G1812" s="245"/>
      <c r="H1812" s="239" t="s">
        <v>751</v>
      </c>
      <c r="I1812" s="246">
        <v>46105.33</v>
      </c>
      <c r="J1812" s="246"/>
      <c r="K1812" s="242" t="s">
        <v>8</v>
      </c>
      <c r="L1812" s="243">
        <v>6804239.9900000002</v>
      </c>
    </row>
    <row r="1813" spans="1:12" ht="61.2" x14ac:dyDescent="0.3">
      <c r="A1813" s="237" t="s">
        <v>328</v>
      </c>
      <c r="B1813" s="238" t="s">
        <v>2847</v>
      </c>
      <c r="C1813" s="238" t="s">
        <v>806</v>
      </c>
      <c r="D1813" s="238" t="s">
        <v>1345</v>
      </c>
      <c r="E1813" s="239" t="s">
        <v>105</v>
      </c>
      <c r="F1813" s="245" t="s">
        <v>15</v>
      </c>
      <c r="G1813" s="245"/>
      <c r="H1813" s="239" t="s">
        <v>751</v>
      </c>
      <c r="I1813" s="246">
        <v>254331.47</v>
      </c>
      <c r="J1813" s="246"/>
      <c r="K1813" s="242" t="s">
        <v>8</v>
      </c>
      <c r="L1813" s="243">
        <v>6549908.5199999996</v>
      </c>
    </row>
    <row r="1814" spans="1:12" ht="51" x14ac:dyDescent="0.3">
      <c r="A1814" s="237" t="s">
        <v>328</v>
      </c>
      <c r="B1814" s="238" t="s">
        <v>2847</v>
      </c>
      <c r="C1814" s="238" t="s">
        <v>806</v>
      </c>
      <c r="D1814" s="238" t="s">
        <v>2821</v>
      </c>
      <c r="E1814" s="239" t="s">
        <v>105</v>
      </c>
      <c r="F1814" s="245" t="s">
        <v>15</v>
      </c>
      <c r="G1814" s="245"/>
      <c r="H1814" s="239" t="s">
        <v>751</v>
      </c>
      <c r="I1814" s="246">
        <v>5355.84</v>
      </c>
      <c r="J1814" s="246"/>
      <c r="K1814" s="242" t="s">
        <v>8</v>
      </c>
      <c r="L1814" s="243">
        <v>6544552.6799999997</v>
      </c>
    </row>
    <row r="1815" spans="1:12" ht="51" x14ac:dyDescent="0.3">
      <c r="A1815" s="237" t="s">
        <v>328</v>
      </c>
      <c r="B1815" s="238" t="s">
        <v>2847</v>
      </c>
      <c r="C1815" s="238" t="s">
        <v>806</v>
      </c>
      <c r="D1815" s="238" t="s">
        <v>2849</v>
      </c>
      <c r="E1815" s="239" t="s">
        <v>105</v>
      </c>
      <c r="F1815" s="245" t="s">
        <v>15</v>
      </c>
      <c r="G1815" s="245"/>
      <c r="H1815" s="239" t="s">
        <v>751</v>
      </c>
      <c r="I1815" s="246">
        <v>3774</v>
      </c>
      <c r="J1815" s="246"/>
      <c r="K1815" s="242" t="s">
        <v>8</v>
      </c>
      <c r="L1815" s="243">
        <v>6540778.6799999997</v>
      </c>
    </row>
    <row r="1816" spans="1:12" ht="51" x14ac:dyDescent="0.3">
      <c r="A1816" s="237" t="s">
        <v>328</v>
      </c>
      <c r="B1816" s="238" t="s">
        <v>2847</v>
      </c>
      <c r="C1816" s="238" t="s">
        <v>806</v>
      </c>
      <c r="D1816" s="238" t="s">
        <v>1608</v>
      </c>
      <c r="E1816" s="239" t="s">
        <v>105</v>
      </c>
      <c r="F1816" s="245" t="s">
        <v>15</v>
      </c>
      <c r="G1816" s="245"/>
      <c r="H1816" s="239" t="s">
        <v>751</v>
      </c>
      <c r="I1816" s="246">
        <v>32772.32</v>
      </c>
      <c r="J1816" s="246"/>
      <c r="K1816" s="242" t="s">
        <v>8</v>
      </c>
      <c r="L1816" s="243">
        <v>6508006.3600000003</v>
      </c>
    </row>
    <row r="1817" spans="1:12" ht="51" x14ac:dyDescent="0.3">
      <c r="A1817" s="237" t="s">
        <v>328</v>
      </c>
      <c r="B1817" s="238" t="s">
        <v>2847</v>
      </c>
      <c r="C1817" s="238" t="s">
        <v>806</v>
      </c>
      <c r="D1817" s="238" t="s">
        <v>2822</v>
      </c>
      <c r="E1817" s="239" t="s">
        <v>105</v>
      </c>
      <c r="F1817" s="245" t="s">
        <v>15</v>
      </c>
      <c r="G1817" s="245"/>
      <c r="H1817" s="239" t="s">
        <v>751</v>
      </c>
      <c r="I1817" s="246">
        <v>1599.39</v>
      </c>
      <c r="J1817" s="246"/>
      <c r="K1817" s="242" t="s">
        <v>8</v>
      </c>
      <c r="L1817" s="243">
        <v>6506406.9699999997</v>
      </c>
    </row>
    <row r="1818" spans="1:12" ht="51" x14ac:dyDescent="0.3">
      <c r="A1818" s="237" t="s">
        <v>328</v>
      </c>
      <c r="B1818" s="238" t="s">
        <v>2847</v>
      </c>
      <c r="C1818" s="238" t="s">
        <v>806</v>
      </c>
      <c r="D1818" s="238" t="s">
        <v>1609</v>
      </c>
      <c r="E1818" s="239" t="s">
        <v>105</v>
      </c>
      <c r="F1818" s="245" t="s">
        <v>15</v>
      </c>
      <c r="G1818" s="245"/>
      <c r="H1818" s="239" t="s">
        <v>751</v>
      </c>
      <c r="I1818" s="246">
        <v>3147.67</v>
      </c>
      <c r="J1818" s="246"/>
      <c r="K1818" s="242" t="s">
        <v>8</v>
      </c>
      <c r="L1818" s="243">
        <v>6503259.2999999998</v>
      </c>
    </row>
    <row r="1819" spans="1:12" hidden="1" x14ac:dyDescent="0.3">
      <c r="A1819" s="249" t="s">
        <v>193</v>
      </c>
      <c r="B1819" s="249"/>
      <c r="C1819" s="249"/>
      <c r="D1819" s="249"/>
      <c r="E1819" s="250">
        <v>37749757.799999997</v>
      </c>
      <c r="F1819" s="250"/>
      <c r="G1819" s="250"/>
      <c r="H1819" s="250">
        <v>43672300.840000004</v>
      </c>
      <c r="I1819" s="250"/>
      <c r="J1819" s="250"/>
      <c r="K1819" s="251" t="s">
        <v>8</v>
      </c>
      <c r="L1819" s="252">
        <v>21987812.109999999</v>
      </c>
    </row>
    <row r="1821" spans="1:12" x14ac:dyDescent="0.3">
      <c r="J1821" s="29">
        <f>SUBTOTAL(9,I129:J1818)</f>
        <v>28021156.939999983</v>
      </c>
    </row>
    <row r="1822" spans="1:12" x14ac:dyDescent="0.3">
      <c r="J1822" s="29">
        <f>J1821*1.2</f>
        <v>33625388.327999979</v>
      </c>
    </row>
    <row r="1823" spans="1:12" x14ac:dyDescent="0.3">
      <c r="J1823" s="29"/>
    </row>
    <row r="1824" spans="1:12" x14ac:dyDescent="0.3">
      <c r="J1824" s="29">
        <f>J1822-Глобино_Цех!J60</f>
        <v>33075065.699999981</v>
      </c>
    </row>
  </sheetData>
  <autoFilter ref="A1:L1819" xr:uid="{E13FAC26-A798-45E3-AFD4-B40038D0E9A5}">
    <filterColumn colId="1">
      <filters>
        <filter val="Вимога-накладна ІБ00-000856 від 10.10.2025 20:00:00_x000a_Списаны ТМЦ"/>
        <filter val="Вимога-накладна ІБ00-000902 від 27.10.2025 00:00:00_x000a_Списаны ТМЦ"/>
        <filter val="Вимога-накладна ІБ00-000927 від 10.10.2025 18:22:31_x000a_Списаны ТМЦ"/>
        <filter val="Вимога-накладна ІБ00-000928 від 10.10.2025 18:22:34_x000a_Списаны ТМЦ"/>
        <filter val="Вимога-накладна ІБ00-000929 від 10.10.2025 18:22:35_x000a_Списаны ТМЦ"/>
        <filter val="Вимога-накладна ІБ00-000931 від 10.10.2025 18:22:41_x000a_Списаны ТМЦ"/>
        <filter val="Вимога-накладна ІБ00-000935 від 10.10.2025 15:17:20_x000a_Списаны ТМЦ"/>
        <filter val="Вимога-накладна ІБ00-000936 від 10.10.2025 15:22:12_x000a_Списаны ТМЦ"/>
        <filter val="Вимога-накладна ІБ00-000941 від 10.10.2025 18:22:44_x000a_Списаны ТМЦ"/>
        <filter val="Вимога-накладна ІБ00-000948 від 16.10.2025 11:00:57_x000a_Списаны ТМЦ"/>
        <filter val="Вимога-накладна ІБ00-000949 від 16.10.2025 11:18:34_x000a_Списаны ТМЦ"/>
        <filter val="Вимога-накладна ІБ00-000950 від 16.10.2025 14:02:51_x000a_Списаны ТМЦ"/>
        <filter val="Вимога-накладна ІБ00-000952 від 16.10.2025 14:16:37_x000a_Списаны ТМЦ"/>
        <filter val="Вимога-накладна ІБ00-000953 від 16.10.2025 14:26:25_x000a_Списаны ТМЦ"/>
        <filter val="Вимога-накладна ІБ00-000954 від 16.10.2025 14:35:48_x000a_Списаны ТМЦ"/>
        <filter val="Вимога-накладна ІБ00-000994 від 18.10.2025 00:00:00_x000a_Списаны ТМЦ"/>
        <filter val="Вимога-накладна ІБ00-000998 від 27.10.2025 17:24:13_x000a_Списаны ТМЦ"/>
        <filter val="Вимога-накладна ІБ00-001001 від 18.10.2025 00:00:00_x000a_Списаны ТМЦ"/>
        <filter val="Вимога-накладна ІБ00-001002 від 10.10.2025 20:00:06_x000a_Списаны ТМЦ"/>
        <filter val="Вимога-накладна ІБ00-001003 від 31.10.2025 19:29:28_x000a_Списаны ТМЦ"/>
        <filter val="Вимога-накладна ІБ00-001004 від 31.10.2025 19:29:29_x000a_Списаны ТМЦ"/>
        <filter val="Вимога-накладна ІБ00-001005 від 31.10.2025 19:29:30_x000a_Списаны ТМЦ"/>
        <filter val="Вимога-накладна ІБ00-001006 від 31.10.2025 19:29:35_x000a_Списаны ТМЦ"/>
        <filter val="Вимога-накладна ІБ00-001007 від 31.10.2025 12:00:00_x000a_Списаны ТМЦ"/>
        <filter val="Вимога-накладна ІБ00-001008 від 31.10.2025 19:29:37_x000a_Списаны ТМЦ"/>
        <filter val="Вимога-накладна ІБ00-001009 від 31.10.2025 19:29:46_x000a_Списаны ТМЦ"/>
        <filter val="Вимога-накладна ІБ00-001010 від 31.10.2025 19:29:49_x000a_Списаны ТМЦ"/>
        <filter val="Вимога-накладна ІБ00-001011 від 31.10.2025 19:29:54_x000a_Списаны ТМЦ"/>
        <filter val="Вимога-накладна ІБ00-001012 від 31.10.2025 20:00:02_x000a_Списаны ТМЦ"/>
        <filter val="Вимога-накладна ІБ00-001013 від 31.10.2025 20:00:05_x000a_Списаны ТМЦ"/>
        <filter val="Вимога-накладна ІБ00-001017 від 31.10.2025 21:00:00_x000a_Списаны ТМЦ"/>
        <filter val="Вимога-накладна ІБ00-001018 від 31.10.2025 21:00:00_x000a_Списаны ТМЦ"/>
        <filter val="Вимога-накладна ІБ00-001019 від 31.10.2025 21:00:00_x000a_Списаны ТМЦ"/>
        <filter val="Вимога-накладна ІБ00-001020 від 31.10.2025 21:00:00_x000a_Списаны ТМЦ"/>
        <filter val="Вимога-накладна ІБ00-001024 від 31.10.2025 21:00:00_x000a_Списаны ТМЦ"/>
        <filter val="Вимога-накладна ІБ00-001025 від 31.10.2025 21:00:00_x000a_Списаны ТМЦ"/>
        <filter val="Вимога-накладна ІБ00-001026 від 31.10.2025 21:00:00_x000a_Списаны ТМЦ"/>
        <filter val="Реалізація товарів і послуг ІБ00-000058 від 02.10.2025 12:35:30_x000a_Списаны ТМЦ"/>
        <filter val="Реалізація товарів і послуг ІБ00-000059 від 03.10.2025 14:24:06_x000a_Списаны ТМЦ"/>
        <filter val="Реалізація товарів і послуг ІБ00-000063 від 20.10.2025 00:00:00_x000a_Списаны ТМЦ"/>
        <filter val="Реалізація товарів і послуг ІБ00-000065 від 22.10.2025 11:13:52_x000a_Списаны ТМЦ"/>
        <filter val="Списання товарів ІБ00-000583 від 10.10.2025 11:40:17_x000a_Списаны ТМЦ"/>
        <filter val="Списання товарів ІБ00-000585 від 16.10.2025 11:19:52_x000a_Списаны ТМЦ"/>
        <filter val="Списання товарів ІБ00-000587 від 16.10.2025 14:27:22_x000a_Списаны ТМЦ"/>
        <filter val="Списання товарів ІБ00-000602 від 20.10.2025 00:00:00_x000a_Списаны ТМЦ"/>
        <filter val="Списання товарів ІБ00-000607 від 31.10.2025 00:00:00_x000a_Списаны ТМЦ"/>
        <filter val="Списання товарів ІБ00-000608 від 31.10.2025 00:00:00_x000a_Списаны ТМЦ"/>
        <filter val="Списання товарів ІБ00-000610 від 31.10.2025 19:29:47_x000a_Списаны ТМЦ"/>
        <filter val="Списання товарів ІБ00-000611 від 31.10.2025 19:00:00_x000a_Списаны ТМЦ"/>
        <filter val="Списання товарів ІБ00-000650 від 31.10.2025 21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644">
    <mergeCell ref="A1819:D1819"/>
    <mergeCell ref="E1819:G1819"/>
    <mergeCell ref="H1819:J1819"/>
    <mergeCell ref="F1816:G1816"/>
    <mergeCell ref="I1816:J1816"/>
    <mergeCell ref="F1817:G1817"/>
    <mergeCell ref="I1817:J1817"/>
    <mergeCell ref="F1818:G1818"/>
    <mergeCell ref="I1818:J1818"/>
    <mergeCell ref="F1813:G1813"/>
    <mergeCell ref="I1813:J1813"/>
    <mergeCell ref="F1814:G1814"/>
    <mergeCell ref="I1814:J1814"/>
    <mergeCell ref="F1815:G1815"/>
    <mergeCell ref="I1815:J1815"/>
    <mergeCell ref="F1810:G1810"/>
    <mergeCell ref="I1810:J1810"/>
    <mergeCell ref="F1811:G1811"/>
    <mergeCell ref="I1811:J1811"/>
    <mergeCell ref="F1812:G1812"/>
    <mergeCell ref="I1812:J1812"/>
    <mergeCell ref="F1807:G1807"/>
    <mergeCell ref="I1807:J1807"/>
    <mergeCell ref="F1808:G1808"/>
    <mergeCell ref="I1808:J1808"/>
    <mergeCell ref="F1809:G1809"/>
    <mergeCell ref="I1809:J1809"/>
    <mergeCell ref="F1804:G1804"/>
    <mergeCell ref="I1804:J1804"/>
    <mergeCell ref="F1805:G1805"/>
    <mergeCell ref="I1805:J1805"/>
    <mergeCell ref="F1806:G1806"/>
    <mergeCell ref="I1806:J1806"/>
    <mergeCell ref="F1801:G1801"/>
    <mergeCell ref="I1801:J1801"/>
    <mergeCell ref="F1802:G1802"/>
    <mergeCell ref="I1802:J1802"/>
    <mergeCell ref="F1803:G1803"/>
    <mergeCell ref="I1803:J1803"/>
    <mergeCell ref="F1798:G1798"/>
    <mergeCell ref="I1798:J1798"/>
    <mergeCell ref="F1799:G1799"/>
    <mergeCell ref="I1799:J1799"/>
    <mergeCell ref="F1800:G1800"/>
    <mergeCell ref="I1800:J1800"/>
    <mergeCell ref="F1795:G1795"/>
    <mergeCell ref="I1795:J1795"/>
    <mergeCell ref="F1796:G1796"/>
    <mergeCell ref="I1796:J1796"/>
    <mergeCell ref="F1797:G1797"/>
    <mergeCell ref="I1797:J1797"/>
    <mergeCell ref="F1792:G1792"/>
    <mergeCell ref="I1792:J1792"/>
    <mergeCell ref="F1793:G1793"/>
    <mergeCell ref="I1793:J1793"/>
    <mergeCell ref="F1794:G1794"/>
    <mergeCell ref="I1794:J1794"/>
    <mergeCell ref="F1789:G1789"/>
    <mergeCell ref="I1789:J1789"/>
    <mergeCell ref="F1790:G1790"/>
    <mergeCell ref="I1790:J1790"/>
    <mergeCell ref="F1791:G1791"/>
    <mergeCell ref="I1791:J1791"/>
    <mergeCell ref="F1786:G1786"/>
    <mergeCell ref="I1786:J1786"/>
    <mergeCell ref="F1787:G1787"/>
    <mergeCell ref="I1787:J1787"/>
    <mergeCell ref="F1788:G1788"/>
    <mergeCell ref="I1788:J1788"/>
    <mergeCell ref="F1783:G1783"/>
    <mergeCell ref="I1783:J1783"/>
    <mergeCell ref="F1784:G1784"/>
    <mergeCell ref="I1784:J1784"/>
    <mergeCell ref="F1785:G1785"/>
    <mergeCell ref="I1785:J1785"/>
    <mergeCell ref="F1780:G1780"/>
    <mergeCell ref="I1780:J1780"/>
    <mergeCell ref="F1781:G1781"/>
    <mergeCell ref="I1781:J1781"/>
    <mergeCell ref="F1782:G1782"/>
    <mergeCell ref="I1782:J1782"/>
    <mergeCell ref="F1777:G1777"/>
    <mergeCell ref="I1777:J1777"/>
    <mergeCell ref="F1778:G1778"/>
    <mergeCell ref="I1778:J1778"/>
    <mergeCell ref="F1779:G1779"/>
    <mergeCell ref="I1779:J1779"/>
    <mergeCell ref="F1774:G1774"/>
    <mergeCell ref="I1774:J1774"/>
    <mergeCell ref="F1775:G1775"/>
    <mergeCell ref="I1775:J1775"/>
    <mergeCell ref="F1776:G1776"/>
    <mergeCell ref="I1776:J1776"/>
    <mergeCell ref="F1771:G1771"/>
    <mergeCell ref="I1771:J1771"/>
    <mergeCell ref="F1772:G1772"/>
    <mergeCell ref="I1772:J1772"/>
    <mergeCell ref="F1773:G1773"/>
    <mergeCell ref="I1773:J1773"/>
    <mergeCell ref="F1768:G1768"/>
    <mergeCell ref="I1768:J1768"/>
    <mergeCell ref="F1769:G1769"/>
    <mergeCell ref="I1769:J1769"/>
    <mergeCell ref="F1770:G1770"/>
    <mergeCell ref="I1770:J1770"/>
    <mergeCell ref="F1765:G1765"/>
    <mergeCell ref="I1765:J1765"/>
    <mergeCell ref="F1766:G1766"/>
    <mergeCell ref="I1766:J1766"/>
    <mergeCell ref="F1767:G1767"/>
    <mergeCell ref="I1767:J1767"/>
    <mergeCell ref="F1762:G1762"/>
    <mergeCell ref="I1762:J1762"/>
    <mergeCell ref="F1763:G1763"/>
    <mergeCell ref="I1763:J1763"/>
    <mergeCell ref="F1764:G1764"/>
    <mergeCell ref="I1764:J1764"/>
    <mergeCell ref="F1759:G1759"/>
    <mergeCell ref="I1759:J1759"/>
    <mergeCell ref="F1760:G1760"/>
    <mergeCell ref="I1760:J1760"/>
    <mergeCell ref="F1761:G1761"/>
    <mergeCell ref="I1761:J1761"/>
    <mergeCell ref="F1756:G1756"/>
    <mergeCell ref="I1756:J1756"/>
    <mergeCell ref="F1757:G1757"/>
    <mergeCell ref="I1757:J1757"/>
    <mergeCell ref="F1758:G1758"/>
    <mergeCell ref="I1758:J1758"/>
    <mergeCell ref="F1753:G1753"/>
    <mergeCell ref="I1753:J1753"/>
    <mergeCell ref="F1754:G1754"/>
    <mergeCell ref="I1754:J1754"/>
    <mergeCell ref="F1755:G1755"/>
    <mergeCell ref="I1755:J1755"/>
    <mergeCell ref="F1750:G1750"/>
    <mergeCell ref="I1750:J1750"/>
    <mergeCell ref="F1751:G1751"/>
    <mergeCell ref="I1751:J1751"/>
    <mergeCell ref="F1752:G1752"/>
    <mergeCell ref="I1752:J1752"/>
    <mergeCell ref="F1747:G1747"/>
    <mergeCell ref="I1747:J1747"/>
    <mergeCell ref="F1748:G1748"/>
    <mergeCell ref="I1748:J1748"/>
    <mergeCell ref="F1749:G1749"/>
    <mergeCell ref="I1749:J1749"/>
    <mergeCell ref="F1744:G1744"/>
    <mergeCell ref="I1744:J1744"/>
    <mergeCell ref="F1745:G1745"/>
    <mergeCell ref="I1745:J1745"/>
    <mergeCell ref="F1746:G1746"/>
    <mergeCell ref="I1746:J1746"/>
    <mergeCell ref="F1741:G1741"/>
    <mergeCell ref="I1741:J1741"/>
    <mergeCell ref="F1742:G1742"/>
    <mergeCell ref="I1742:J1742"/>
    <mergeCell ref="F1743:G1743"/>
    <mergeCell ref="I1743:J1743"/>
    <mergeCell ref="F1738:G1738"/>
    <mergeCell ref="I1738:J1738"/>
    <mergeCell ref="F1739:G1739"/>
    <mergeCell ref="I1739:J1739"/>
    <mergeCell ref="F1740:G1740"/>
    <mergeCell ref="I1740:J1740"/>
    <mergeCell ref="F1735:G1735"/>
    <mergeCell ref="I1735:J1735"/>
    <mergeCell ref="F1736:G1736"/>
    <mergeCell ref="I1736:J1736"/>
    <mergeCell ref="F1737:G1737"/>
    <mergeCell ref="I1737:J1737"/>
    <mergeCell ref="F1732:G1732"/>
    <mergeCell ref="I1732:J1732"/>
    <mergeCell ref="F1733:G1733"/>
    <mergeCell ref="I1733:J1733"/>
    <mergeCell ref="F1734:G1734"/>
    <mergeCell ref="I1734:J1734"/>
    <mergeCell ref="F1729:G1729"/>
    <mergeCell ref="I1729:J1729"/>
    <mergeCell ref="F1730:G1730"/>
    <mergeCell ref="I1730:J1730"/>
    <mergeCell ref="F1731:G1731"/>
    <mergeCell ref="I1731:J1731"/>
    <mergeCell ref="F1726:G1726"/>
    <mergeCell ref="I1726:J1726"/>
    <mergeCell ref="F1727:G1727"/>
    <mergeCell ref="I1727:J1727"/>
    <mergeCell ref="F1728:G1728"/>
    <mergeCell ref="I1728:J1728"/>
    <mergeCell ref="F1723:G1723"/>
    <mergeCell ref="I1723:J1723"/>
    <mergeCell ref="F1724:G1724"/>
    <mergeCell ref="I1724:J1724"/>
    <mergeCell ref="F1725:G1725"/>
    <mergeCell ref="I1725:J1725"/>
    <mergeCell ref="F1720:G1720"/>
    <mergeCell ref="I1720:J1720"/>
    <mergeCell ref="F1721:G1721"/>
    <mergeCell ref="I1721:J1721"/>
    <mergeCell ref="F1722:G1722"/>
    <mergeCell ref="I1722:J1722"/>
    <mergeCell ref="F1717:G1717"/>
    <mergeCell ref="I1717:J1717"/>
    <mergeCell ref="F1718:G1718"/>
    <mergeCell ref="I1718:J1718"/>
    <mergeCell ref="F1719:G1719"/>
    <mergeCell ref="I1719:J1719"/>
    <mergeCell ref="F1714:G1714"/>
    <mergeCell ref="I1714:J1714"/>
    <mergeCell ref="F1715:G1715"/>
    <mergeCell ref="I1715:J1715"/>
    <mergeCell ref="F1716:G1716"/>
    <mergeCell ref="I1716:J1716"/>
    <mergeCell ref="F1711:G1711"/>
    <mergeCell ref="I1711:J1711"/>
    <mergeCell ref="F1712:G1712"/>
    <mergeCell ref="I1712:J1712"/>
    <mergeCell ref="F1713:G1713"/>
    <mergeCell ref="I1713:J1713"/>
    <mergeCell ref="F1708:G1708"/>
    <mergeCell ref="I1708:J1708"/>
    <mergeCell ref="F1709:G1709"/>
    <mergeCell ref="I1709:J1709"/>
    <mergeCell ref="F1710:G1710"/>
    <mergeCell ref="I1710:J1710"/>
    <mergeCell ref="F1705:G1705"/>
    <mergeCell ref="I1705:J1705"/>
    <mergeCell ref="F1706:G1706"/>
    <mergeCell ref="I1706:J1706"/>
    <mergeCell ref="F1707:G1707"/>
    <mergeCell ref="I1707:J1707"/>
    <mergeCell ref="F1702:G1702"/>
    <mergeCell ref="I1702:J1702"/>
    <mergeCell ref="F1703:G1703"/>
    <mergeCell ref="I1703:J1703"/>
    <mergeCell ref="F1704:G1704"/>
    <mergeCell ref="I1704:J1704"/>
    <mergeCell ref="F1699:G1699"/>
    <mergeCell ref="I1699:J1699"/>
    <mergeCell ref="F1700:G1700"/>
    <mergeCell ref="I1700:J1700"/>
    <mergeCell ref="F1701:G1701"/>
    <mergeCell ref="I1701:J1701"/>
    <mergeCell ref="F1696:G1696"/>
    <mergeCell ref="I1696:J1696"/>
    <mergeCell ref="F1697:G1697"/>
    <mergeCell ref="I1697:J1697"/>
    <mergeCell ref="F1698:G1698"/>
    <mergeCell ref="I1698:J1698"/>
    <mergeCell ref="F1693:G1693"/>
    <mergeCell ref="I1693:J1693"/>
    <mergeCell ref="F1694:G1694"/>
    <mergeCell ref="I1694:J1694"/>
    <mergeCell ref="F1695:G1695"/>
    <mergeCell ref="I1695:J1695"/>
    <mergeCell ref="F1690:G1690"/>
    <mergeCell ref="I1690:J1690"/>
    <mergeCell ref="F1691:G1691"/>
    <mergeCell ref="I1691:J1691"/>
    <mergeCell ref="F1692:G1692"/>
    <mergeCell ref="I1692:J1692"/>
    <mergeCell ref="F1687:G1687"/>
    <mergeCell ref="I1687:J1687"/>
    <mergeCell ref="F1688:G1688"/>
    <mergeCell ref="I1688:J1688"/>
    <mergeCell ref="F1689:G1689"/>
    <mergeCell ref="I1689:J1689"/>
    <mergeCell ref="F1684:G1684"/>
    <mergeCell ref="I1684:J1684"/>
    <mergeCell ref="F1685:G1685"/>
    <mergeCell ref="I1685:J1685"/>
    <mergeCell ref="F1686:G1686"/>
    <mergeCell ref="I1686:J1686"/>
    <mergeCell ref="F1681:G1681"/>
    <mergeCell ref="I1681:J1681"/>
    <mergeCell ref="F1682:G1682"/>
    <mergeCell ref="I1682:J1682"/>
    <mergeCell ref="F1683:G1683"/>
    <mergeCell ref="I1683:J1683"/>
    <mergeCell ref="F1678:G1678"/>
    <mergeCell ref="I1678:J1678"/>
    <mergeCell ref="F1679:G1679"/>
    <mergeCell ref="I1679:J1679"/>
    <mergeCell ref="F1680:G1680"/>
    <mergeCell ref="I1680:J1680"/>
    <mergeCell ref="F1675:G1675"/>
    <mergeCell ref="I1675:J1675"/>
    <mergeCell ref="F1676:G1676"/>
    <mergeCell ref="I1676:J1676"/>
    <mergeCell ref="F1677:G1677"/>
    <mergeCell ref="I1677:J1677"/>
    <mergeCell ref="F1672:G1672"/>
    <mergeCell ref="I1672:J1672"/>
    <mergeCell ref="F1673:G1673"/>
    <mergeCell ref="I1673:J1673"/>
    <mergeCell ref="F1674:G1674"/>
    <mergeCell ref="I1674:J1674"/>
    <mergeCell ref="F1669:G1669"/>
    <mergeCell ref="I1669:J1669"/>
    <mergeCell ref="F1670:G1670"/>
    <mergeCell ref="I1670:J1670"/>
    <mergeCell ref="F1671:G1671"/>
    <mergeCell ref="I1671:J1671"/>
    <mergeCell ref="F1666:G1666"/>
    <mergeCell ref="I1666:J1666"/>
    <mergeCell ref="F1667:G1667"/>
    <mergeCell ref="I1667:J1667"/>
    <mergeCell ref="F1668:G1668"/>
    <mergeCell ref="I1668:J1668"/>
    <mergeCell ref="F1663:G1663"/>
    <mergeCell ref="I1663:J1663"/>
    <mergeCell ref="F1664:G1664"/>
    <mergeCell ref="I1664:J1664"/>
    <mergeCell ref="F1665:G1665"/>
    <mergeCell ref="I1665:J1665"/>
    <mergeCell ref="F1660:G1660"/>
    <mergeCell ref="I1660:J1660"/>
    <mergeCell ref="F1661:G1661"/>
    <mergeCell ref="I1661:J1661"/>
    <mergeCell ref="F1662:G1662"/>
    <mergeCell ref="I1662:J1662"/>
    <mergeCell ref="F1657:G1657"/>
    <mergeCell ref="I1657:J1657"/>
    <mergeCell ref="F1658:G1658"/>
    <mergeCell ref="I1658:J1658"/>
    <mergeCell ref="F1659:G1659"/>
    <mergeCell ref="I1659:J1659"/>
    <mergeCell ref="F1654:G1654"/>
    <mergeCell ref="I1654:J1654"/>
    <mergeCell ref="F1655:G1655"/>
    <mergeCell ref="I1655:J1655"/>
    <mergeCell ref="F1656:G1656"/>
    <mergeCell ref="I1656:J1656"/>
    <mergeCell ref="F1651:G1651"/>
    <mergeCell ref="I1651:J1651"/>
    <mergeCell ref="F1652:G1652"/>
    <mergeCell ref="I1652:J1652"/>
    <mergeCell ref="F1653:G1653"/>
    <mergeCell ref="I1653:J1653"/>
    <mergeCell ref="F1648:G1648"/>
    <mergeCell ref="I1648:J1648"/>
    <mergeCell ref="F1649:G1649"/>
    <mergeCell ref="I1649:J1649"/>
    <mergeCell ref="F1650:G1650"/>
    <mergeCell ref="I1650:J1650"/>
    <mergeCell ref="F1645:G1645"/>
    <mergeCell ref="I1645:J1645"/>
    <mergeCell ref="F1646:G1646"/>
    <mergeCell ref="I1646:J1646"/>
    <mergeCell ref="F1647:G1647"/>
    <mergeCell ref="I1647:J1647"/>
    <mergeCell ref="F1642:G1642"/>
    <mergeCell ref="I1642:J1642"/>
    <mergeCell ref="F1643:G1643"/>
    <mergeCell ref="I1643:J1643"/>
    <mergeCell ref="F1644:G1644"/>
    <mergeCell ref="I1644:J1644"/>
    <mergeCell ref="F1639:G1639"/>
    <mergeCell ref="I1639:J1639"/>
    <mergeCell ref="F1640:G1640"/>
    <mergeCell ref="I1640:J1640"/>
    <mergeCell ref="F1641:G1641"/>
    <mergeCell ref="I1641:J1641"/>
    <mergeCell ref="F1636:G1636"/>
    <mergeCell ref="I1636:J1636"/>
    <mergeCell ref="F1637:G1637"/>
    <mergeCell ref="I1637:J1637"/>
    <mergeCell ref="F1638:G1638"/>
    <mergeCell ref="I1638:J1638"/>
    <mergeCell ref="F1633:G1633"/>
    <mergeCell ref="I1633:J1633"/>
    <mergeCell ref="F1634:G1634"/>
    <mergeCell ref="I1634:J1634"/>
    <mergeCell ref="F1635:G1635"/>
    <mergeCell ref="I1635:J1635"/>
    <mergeCell ref="F1630:G1630"/>
    <mergeCell ref="I1630:J1630"/>
    <mergeCell ref="F1631:G1631"/>
    <mergeCell ref="I1631:J1631"/>
    <mergeCell ref="F1632:G1632"/>
    <mergeCell ref="I1632:J1632"/>
    <mergeCell ref="F1627:G1627"/>
    <mergeCell ref="I1627:J1627"/>
    <mergeCell ref="F1628:G1628"/>
    <mergeCell ref="I1628:J1628"/>
    <mergeCell ref="F1629:G1629"/>
    <mergeCell ref="I1629:J1629"/>
    <mergeCell ref="F1624:G1624"/>
    <mergeCell ref="I1624:J1624"/>
    <mergeCell ref="F1625:G1625"/>
    <mergeCell ref="I1625:J1625"/>
    <mergeCell ref="F1626:G1626"/>
    <mergeCell ref="I1626:J1626"/>
    <mergeCell ref="F1621:G1621"/>
    <mergeCell ref="I1621:J1621"/>
    <mergeCell ref="F1622:G1622"/>
    <mergeCell ref="I1622:J1622"/>
    <mergeCell ref="F1623:G1623"/>
    <mergeCell ref="I1623:J1623"/>
    <mergeCell ref="F1618:G1618"/>
    <mergeCell ref="I1618:J1618"/>
    <mergeCell ref="F1619:G1619"/>
    <mergeCell ref="I1619:J1619"/>
    <mergeCell ref="F1620:G1620"/>
    <mergeCell ref="I1620:J1620"/>
    <mergeCell ref="F1615:G1615"/>
    <mergeCell ref="I1615:J1615"/>
    <mergeCell ref="F1616:G1616"/>
    <mergeCell ref="I1616:J1616"/>
    <mergeCell ref="F1617:G1617"/>
    <mergeCell ref="I1617:J1617"/>
    <mergeCell ref="F1612:G1612"/>
    <mergeCell ref="I1612:J1612"/>
    <mergeCell ref="F1613:G1613"/>
    <mergeCell ref="I1613:J1613"/>
    <mergeCell ref="F1614:G1614"/>
    <mergeCell ref="I1614:J1614"/>
    <mergeCell ref="F1609:G1609"/>
    <mergeCell ref="I1609:J1609"/>
    <mergeCell ref="F1610:G1610"/>
    <mergeCell ref="I1610:J1610"/>
    <mergeCell ref="F1611:G1611"/>
    <mergeCell ref="I1611:J1611"/>
    <mergeCell ref="F1606:G1606"/>
    <mergeCell ref="I1606:J1606"/>
    <mergeCell ref="F1607:G1607"/>
    <mergeCell ref="I1607:J1607"/>
    <mergeCell ref="F1608:G1608"/>
    <mergeCell ref="I1608:J1608"/>
    <mergeCell ref="F1603:G1603"/>
    <mergeCell ref="I1603:J1603"/>
    <mergeCell ref="F1604:G1604"/>
    <mergeCell ref="I1604:J1604"/>
    <mergeCell ref="F1605:G1605"/>
    <mergeCell ref="I1605:J1605"/>
    <mergeCell ref="F1600:G1600"/>
    <mergeCell ref="I1600:J1600"/>
    <mergeCell ref="F1601:G1601"/>
    <mergeCell ref="I1601:J1601"/>
    <mergeCell ref="F1602:G1602"/>
    <mergeCell ref="I1602:J1602"/>
    <mergeCell ref="F1597:G1597"/>
    <mergeCell ref="I1597:J1597"/>
    <mergeCell ref="F1598:G1598"/>
    <mergeCell ref="I1598:J1598"/>
    <mergeCell ref="F1599:G1599"/>
    <mergeCell ref="I1599:J1599"/>
    <mergeCell ref="F1594:G1594"/>
    <mergeCell ref="I1594:J1594"/>
    <mergeCell ref="F1595:G1595"/>
    <mergeCell ref="I1595:J1595"/>
    <mergeCell ref="F1596:G1596"/>
    <mergeCell ref="I1596:J1596"/>
    <mergeCell ref="F1591:G1591"/>
    <mergeCell ref="I1591:J1591"/>
    <mergeCell ref="F1592:G1592"/>
    <mergeCell ref="I1592:J1592"/>
    <mergeCell ref="F1593:G1593"/>
    <mergeCell ref="I1593:J1593"/>
    <mergeCell ref="F1588:G1588"/>
    <mergeCell ref="I1588:J1588"/>
    <mergeCell ref="F1589:G1589"/>
    <mergeCell ref="I1589:J1589"/>
    <mergeCell ref="F1590:G1590"/>
    <mergeCell ref="I1590:J1590"/>
    <mergeCell ref="F1585:G1585"/>
    <mergeCell ref="I1585:J1585"/>
    <mergeCell ref="F1586:G1586"/>
    <mergeCell ref="I1586:J1586"/>
    <mergeCell ref="F1587:G1587"/>
    <mergeCell ref="I1587:J1587"/>
    <mergeCell ref="F1582:G1582"/>
    <mergeCell ref="I1582:J1582"/>
    <mergeCell ref="F1583:G1583"/>
    <mergeCell ref="I1583:J1583"/>
    <mergeCell ref="F1584:G1584"/>
    <mergeCell ref="I1584:J1584"/>
    <mergeCell ref="F1579:G1579"/>
    <mergeCell ref="I1579:J1579"/>
    <mergeCell ref="F1580:G1580"/>
    <mergeCell ref="I1580:J1580"/>
    <mergeCell ref="F1581:G1581"/>
    <mergeCell ref="I1581:J1581"/>
    <mergeCell ref="F1576:G1576"/>
    <mergeCell ref="I1576:J1576"/>
    <mergeCell ref="F1577:G1577"/>
    <mergeCell ref="I1577:J1577"/>
    <mergeCell ref="F1578:G1578"/>
    <mergeCell ref="I1578:J1578"/>
    <mergeCell ref="F1573:G1573"/>
    <mergeCell ref="I1573:J1573"/>
    <mergeCell ref="F1574:G1574"/>
    <mergeCell ref="I1574:J1574"/>
    <mergeCell ref="F1575:G1575"/>
    <mergeCell ref="I1575:J1575"/>
    <mergeCell ref="F1570:G1570"/>
    <mergeCell ref="I1570:J1570"/>
    <mergeCell ref="F1571:G1571"/>
    <mergeCell ref="I1571:J1571"/>
    <mergeCell ref="F1572:G1572"/>
    <mergeCell ref="I1572:J1572"/>
    <mergeCell ref="F1567:G1567"/>
    <mergeCell ref="I1567:J1567"/>
    <mergeCell ref="F1568:G1568"/>
    <mergeCell ref="I1568:J1568"/>
    <mergeCell ref="F1569:G1569"/>
    <mergeCell ref="I1569:J1569"/>
    <mergeCell ref="F1564:G1564"/>
    <mergeCell ref="I1564:J1564"/>
    <mergeCell ref="F1565:G1565"/>
    <mergeCell ref="I1565:J1565"/>
    <mergeCell ref="F1566:G1566"/>
    <mergeCell ref="I1566:J1566"/>
    <mergeCell ref="F1561:G1561"/>
    <mergeCell ref="I1561:J1561"/>
    <mergeCell ref="F1562:G1562"/>
    <mergeCell ref="I1562:J1562"/>
    <mergeCell ref="F1563:G1563"/>
    <mergeCell ref="I1563:J1563"/>
    <mergeCell ref="F1558:G1558"/>
    <mergeCell ref="I1558:J1558"/>
    <mergeCell ref="F1559:G1559"/>
    <mergeCell ref="I1559:J1559"/>
    <mergeCell ref="F1560:G1560"/>
    <mergeCell ref="I1560:J1560"/>
    <mergeCell ref="F1555:G1555"/>
    <mergeCell ref="I1555:J1555"/>
    <mergeCell ref="F1556:G1556"/>
    <mergeCell ref="I1556:J1556"/>
    <mergeCell ref="F1557:G1557"/>
    <mergeCell ref="I1557:J1557"/>
    <mergeCell ref="F1552:G1552"/>
    <mergeCell ref="I1552:J1552"/>
    <mergeCell ref="F1553:G1553"/>
    <mergeCell ref="I1553:J1553"/>
    <mergeCell ref="F1554:G1554"/>
    <mergeCell ref="I1554:J1554"/>
    <mergeCell ref="F1549:G1549"/>
    <mergeCell ref="I1549:J1549"/>
    <mergeCell ref="F1550:G1550"/>
    <mergeCell ref="I1550:J1550"/>
    <mergeCell ref="F1551:G1551"/>
    <mergeCell ref="I1551:J1551"/>
    <mergeCell ref="F1546:G1546"/>
    <mergeCell ref="I1546:J1546"/>
    <mergeCell ref="F1547:G1547"/>
    <mergeCell ref="I1547:J1547"/>
    <mergeCell ref="F1548:G1548"/>
    <mergeCell ref="I1548:J1548"/>
    <mergeCell ref="F1543:G1543"/>
    <mergeCell ref="I1543:J1543"/>
    <mergeCell ref="F1544:G1544"/>
    <mergeCell ref="I1544:J1544"/>
    <mergeCell ref="F1545:G1545"/>
    <mergeCell ref="I1545:J1545"/>
    <mergeCell ref="F1540:G1540"/>
    <mergeCell ref="I1540:J1540"/>
    <mergeCell ref="F1541:G1541"/>
    <mergeCell ref="I1541:J1541"/>
    <mergeCell ref="F1542:G1542"/>
    <mergeCell ref="I1542:J1542"/>
    <mergeCell ref="F1537:G1537"/>
    <mergeCell ref="I1537:J1537"/>
    <mergeCell ref="F1538:G1538"/>
    <mergeCell ref="I1538:J1538"/>
    <mergeCell ref="F1539:G1539"/>
    <mergeCell ref="I1539:J1539"/>
    <mergeCell ref="F1534:G1534"/>
    <mergeCell ref="I1534:J1534"/>
    <mergeCell ref="F1535:G1535"/>
    <mergeCell ref="I1535:J1535"/>
    <mergeCell ref="F1536:G1536"/>
    <mergeCell ref="I1536:J1536"/>
    <mergeCell ref="F1531:G1531"/>
    <mergeCell ref="I1531:J1531"/>
    <mergeCell ref="F1532:G1532"/>
    <mergeCell ref="I1532:J1532"/>
    <mergeCell ref="F1533:G1533"/>
    <mergeCell ref="I1533:J1533"/>
    <mergeCell ref="F1528:G1528"/>
    <mergeCell ref="I1528:J1528"/>
    <mergeCell ref="F1529:G1529"/>
    <mergeCell ref="I1529:J1529"/>
    <mergeCell ref="F1530:G1530"/>
    <mergeCell ref="I1530:J1530"/>
    <mergeCell ref="F1525:G1525"/>
    <mergeCell ref="I1525:J1525"/>
    <mergeCell ref="F1526:G1526"/>
    <mergeCell ref="I1526:J1526"/>
    <mergeCell ref="F1527:G1527"/>
    <mergeCell ref="I1527:J1527"/>
    <mergeCell ref="F1522:G1522"/>
    <mergeCell ref="I1522:J1522"/>
    <mergeCell ref="F1523:G1523"/>
    <mergeCell ref="I1523:J1523"/>
    <mergeCell ref="F1524:G1524"/>
    <mergeCell ref="I1524:J1524"/>
    <mergeCell ref="F1519:G1519"/>
    <mergeCell ref="I1519:J1519"/>
    <mergeCell ref="F1520:G1520"/>
    <mergeCell ref="I1520:J1520"/>
    <mergeCell ref="F1521:G1521"/>
    <mergeCell ref="I1521:J1521"/>
    <mergeCell ref="F1516:G1516"/>
    <mergeCell ref="I1516:J1516"/>
    <mergeCell ref="F1517:G1517"/>
    <mergeCell ref="I1517:J1517"/>
    <mergeCell ref="F1518:G1518"/>
    <mergeCell ref="I1518:J1518"/>
    <mergeCell ref="F1513:G1513"/>
    <mergeCell ref="I1513:J1513"/>
    <mergeCell ref="F1514:G1514"/>
    <mergeCell ref="I1514:J1514"/>
    <mergeCell ref="F1515:G1515"/>
    <mergeCell ref="I1515:J1515"/>
    <mergeCell ref="F1510:G1510"/>
    <mergeCell ref="I1510:J1510"/>
    <mergeCell ref="F1511:G1511"/>
    <mergeCell ref="I1511:J1511"/>
    <mergeCell ref="F1512:G1512"/>
    <mergeCell ref="I1512:J1512"/>
    <mergeCell ref="F1507:G1507"/>
    <mergeCell ref="I1507:J1507"/>
    <mergeCell ref="F1508:G1508"/>
    <mergeCell ref="I1508:J1508"/>
    <mergeCell ref="F1509:G1509"/>
    <mergeCell ref="I1509:J1509"/>
    <mergeCell ref="F1504:G1504"/>
    <mergeCell ref="I1504:J1504"/>
    <mergeCell ref="F1505:G1505"/>
    <mergeCell ref="I1505:J1505"/>
    <mergeCell ref="F1506:G1506"/>
    <mergeCell ref="I1506:J1506"/>
    <mergeCell ref="F1501:G1501"/>
    <mergeCell ref="I1501:J1501"/>
    <mergeCell ref="F1502:G1502"/>
    <mergeCell ref="I1502:J1502"/>
    <mergeCell ref="F1503:G1503"/>
    <mergeCell ref="I1503:J1503"/>
    <mergeCell ref="F1498:G1498"/>
    <mergeCell ref="I1498:J1498"/>
    <mergeCell ref="F1499:G1499"/>
    <mergeCell ref="I1499:J1499"/>
    <mergeCell ref="F1500:G1500"/>
    <mergeCell ref="I1500:J1500"/>
    <mergeCell ref="F1495:G1495"/>
    <mergeCell ref="I1495:J1495"/>
    <mergeCell ref="F1496:G1496"/>
    <mergeCell ref="I1496:J1496"/>
    <mergeCell ref="F1497:G1497"/>
    <mergeCell ref="I1497:J1497"/>
    <mergeCell ref="F1492:G1492"/>
    <mergeCell ref="I1492:J1492"/>
    <mergeCell ref="F1493:G1493"/>
    <mergeCell ref="I1493:J1493"/>
    <mergeCell ref="F1494:G1494"/>
    <mergeCell ref="I1494:J1494"/>
    <mergeCell ref="F1489:G1489"/>
    <mergeCell ref="I1489:J1489"/>
    <mergeCell ref="F1490:G1490"/>
    <mergeCell ref="I1490:J1490"/>
    <mergeCell ref="F1491:G1491"/>
    <mergeCell ref="I1491:J1491"/>
    <mergeCell ref="F1486:G1486"/>
    <mergeCell ref="I1486:J1486"/>
    <mergeCell ref="F1487:G1487"/>
    <mergeCell ref="I1487:J1487"/>
    <mergeCell ref="F1488:G1488"/>
    <mergeCell ref="I1488:J1488"/>
    <mergeCell ref="F1483:G1483"/>
    <mergeCell ref="I1483:J1483"/>
    <mergeCell ref="F1484:G1484"/>
    <mergeCell ref="I1484:J1484"/>
    <mergeCell ref="F1485:G1485"/>
    <mergeCell ref="I1485:J1485"/>
    <mergeCell ref="F1480:G1480"/>
    <mergeCell ref="I1480:J1480"/>
    <mergeCell ref="F1481:G1481"/>
    <mergeCell ref="I1481:J1481"/>
    <mergeCell ref="F1482:G1482"/>
    <mergeCell ref="I1482:J1482"/>
    <mergeCell ref="F1477:G1477"/>
    <mergeCell ref="I1477:J1477"/>
    <mergeCell ref="F1478:G1478"/>
    <mergeCell ref="I1478:J1478"/>
    <mergeCell ref="F1479:G1479"/>
    <mergeCell ref="I1479:J1479"/>
    <mergeCell ref="F1474:G1474"/>
    <mergeCell ref="I1474:J1474"/>
    <mergeCell ref="F1475:G1475"/>
    <mergeCell ref="I1475:J1475"/>
    <mergeCell ref="F1476:G1476"/>
    <mergeCell ref="I1476:J1476"/>
    <mergeCell ref="F1471:G1471"/>
    <mergeCell ref="I1471:J1471"/>
    <mergeCell ref="F1472:G1472"/>
    <mergeCell ref="I1472:J1472"/>
    <mergeCell ref="F1473:G1473"/>
    <mergeCell ref="I1473:J1473"/>
    <mergeCell ref="F1468:G1468"/>
    <mergeCell ref="I1468:J1468"/>
    <mergeCell ref="F1469:G1469"/>
    <mergeCell ref="I1469:J1469"/>
    <mergeCell ref="F1470:G1470"/>
    <mergeCell ref="I1470:J1470"/>
    <mergeCell ref="F1465:G1465"/>
    <mergeCell ref="I1465:J1465"/>
    <mergeCell ref="F1466:G1466"/>
    <mergeCell ref="I1466:J1466"/>
    <mergeCell ref="F1467:G1467"/>
    <mergeCell ref="I1467:J1467"/>
    <mergeCell ref="F1462:G1462"/>
    <mergeCell ref="I1462:J1462"/>
    <mergeCell ref="F1463:G1463"/>
    <mergeCell ref="I1463:J1463"/>
    <mergeCell ref="F1464:G1464"/>
    <mergeCell ref="I1464:J1464"/>
    <mergeCell ref="F1459:G1459"/>
    <mergeCell ref="I1459:J1459"/>
    <mergeCell ref="F1460:G1460"/>
    <mergeCell ref="I1460:J1460"/>
    <mergeCell ref="F1461:G1461"/>
    <mergeCell ref="I1461:J1461"/>
    <mergeCell ref="F1456:G1456"/>
    <mergeCell ref="I1456:J1456"/>
    <mergeCell ref="F1457:G1457"/>
    <mergeCell ref="I1457:J1457"/>
    <mergeCell ref="F1458:G1458"/>
    <mergeCell ref="I1458:J1458"/>
    <mergeCell ref="F1453:G1453"/>
    <mergeCell ref="I1453:J1453"/>
    <mergeCell ref="F1454:G1454"/>
    <mergeCell ref="I1454:J1454"/>
    <mergeCell ref="F1455:G1455"/>
    <mergeCell ref="I1455:J1455"/>
    <mergeCell ref="F1450:G1450"/>
    <mergeCell ref="I1450:J1450"/>
    <mergeCell ref="F1451:G1451"/>
    <mergeCell ref="I1451:J1451"/>
    <mergeCell ref="F1452:G1452"/>
    <mergeCell ref="I1452:J1452"/>
    <mergeCell ref="F1447:G1447"/>
    <mergeCell ref="I1447:J1447"/>
    <mergeCell ref="F1448:G1448"/>
    <mergeCell ref="I1448:J1448"/>
    <mergeCell ref="F1449:G1449"/>
    <mergeCell ref="I1449:J1449"/>
    <mergeCell ref="F1444:G1444"/>
    <mergeCell ref="I1444:J1444"/>
    <mergeCell ref="F1445:G1445"/>
    <mergeCell ref="I1445:J1445"/>
    <mergeCell ref="F1446:G1446"/>
    <mergeCell ref="I1446:J1446"/>
    <mergeCell ref="F1441:G1441"/>
    <mergeCell ref="I1441:J1441"/>
    <mergeCell ref="F1442:G1442"/>
    <mergeCell ref="I1442:J1442"/>
    <mergeCell ref="F1443:G1443"/>
    <mergeCell ref="I1443:J1443"/>
    <mergeCell ref="F1438:G1438"/>
    <mergeCell ref="I1438:J1438"/>
    <mergeCell ref="F1439:G1439"/>
    <mergeCell ref="I1439:J1439"/>
    <mergeCell ref="F1440:G1440"/>
    <mergeCell ref="I1440:J1440"/>
    <mergeCell ref="F1435:G1435"/>
    <mergeCell ref="I1435:J1435"/>
    <mergeCell ref="F1436:G1436"/>
    <mergeCell ref="I1436:J1436"/>
    <mergeCell ref="F1437:G1437"/>
    <mergeCell ref="I1437:J1437"/>
    <mergeCell ref="F1432:G1432"/>
    <mergeCell ref="I1432:J1432"/>
    <mergeCell ref="F1433:G1433"/>
    <mergeCell ref="I1433:J1433"/>
    <mergeCell ref="F1434:G1434"/>
    <mergeCell ref="I1434:J1434"/>
    <mergeCell ref="F1429:G1429"/>
    <mergeCell ref="I1429:J1429"/>
    <mergeCell ref="F1430:G1430"/>
    <mergeCell ref="I1430:J1430"/>
    <mergeCell ref="F1431:G1431"/>
    <mergeCell ref="I1431:J1431"/>
    <mergeCell ref="F1426:G1426"/>
    <mergeCell ref="I1426:J1426"/>
    <mergeCell ref="F1427:G1427"/>
    <mergeCell ref="I1427:J1427"/>
    <mergeCell ref="F1428:G1428"/>
    <mergeCell ref="I1428:J1428"/>
    <mergeCell ref="F1423:G1423"/>
    <mergeCell ref="I1423:J1423"/>
    <mergeCell ref="F1424:G1424"/>
    <mergeCell ref="I1424:J1424"/>
    <mergeCell ref="F1425:G1425"/>
    <mergeCell ref="I1425:J1425"/>
    <mergeCell ref="F1420:G1420"/>
    <mergeCell ref="I1420:J1420"/>
    <mergeCell ref="F1421:G1421"/>
    <mergeCell ref="I1421:J1421"/>
    <mergeCell ref="F1422:G1422"/>
    <mergeCell ref="I1422:J1422"/>
    <mergeCell ref="F1417:G1417"/>
    <mergeCell ref="I1417:J1417"/>
    <mergeCell ref="F1418:G1418"/>
    <mergeCell ref="I1418:J1418"/>
    <mergeCell ref="F1419:G1419"/>
    <mergeCell ref="I1419:J1419"/>
    <mergeCell ref="F1414:G1414"/>
    <mergeCell ref="I1414:J1414"/>
    <mergeCell ref="F1415:G1415"/>
    <mergeCell ref="I1415:J1415"/>
    <mergeCell ref="F1416:G1416"/>
    <mergeCell ref="I1416:J1416"/>
    <mergeCell ref="F1411:G1411"/>
    <mergeCell ref="I1411:J1411"/>
    <mergeCell ref="F1412:G1412"/>
    <mergeCell ref="I1412:J1412"/>
    <mergeCell ref="F1413:G1413"/>
    <mergeCell ref="I1413:J1413"/>
    <mergeCell ref="F1408:G1408"/>
    <mergeCell ref="I1408:J1408"/>
    <mergeCell ref="F1409:G1409"/>
    <mergeCell ref="I1409:J1409"/>
    <mergeCell ref="F1410:G1410"/>
    <mergeCell ref="I1410:J1410"/>
    <mergeCell ref="F1405:G1405"/>
    <mergeCell ref="I1405:J1405"/>
    <mergeCell ref="F1406:G1406"/>
    <mergeCell ref="I1406:J1406"/>
    <mergeCell ref="F1407:G1407"/>
    <mergeCell ref="I1407:J1407"/>
    <mergeCell ref="F1402:G1402"/>
    <mergeCell ref="I1402:J1402"/>
    <mergeCell ref="F1403:G1403"/>
    <mergeCell ref="I1403:J1403"/>
    <mergeCell ref="F1404:G1404"/>
    <mergeCell ref="I1404:J1404"/>
    <mergeCell ref="F1399:G1399"/>
    <mergeCell ref="I1399:J1399"/>
    <mergeCell ref="F1400:G1400"/>
    <mergeCell ref="I1400:J1400"/>
    <mergeCell ref="F1401:G1401"/>
    <mergeCell ref="I1401:J1401"/>
    <mergeCell ref="F1396:G1396"/>
    <mergeCell ref="I1396:J1396"/>
    <mergeCell ref="F1397:G1397"/>
    <mergeCell ref="I1397:J1397"/>
    <mergeCell ref="F1398:G1398"/>
    <mergeCell ref="I1398:J1398"/>
    <mergeCell ref="F1393:G1393"/>
    <mergeCell ref="I1393:J1393"/>
    <mergeCell ref="F1394:G1394"/>
    <mergeCell ref="I1394:J1394"/>
    <mergeCell ref="F1395:G1395"/>
    <mergeCell ref="I1395:J1395"/>
    <mergeCell ref="F1390:G1390"/>
    <mergeCell ref="I1390:J1390"/>
    <mergeCell ref="F1391:G1391"/>
    <mergeCell ref="I1391:J1391"/>
    <mergeCell ref="F1392:G1392"/>
    <mergeCell ref="I1392:J1392"/>
    <mergeCell ref="F1387:G1387"/>
    <mergeCell ref="I1387:J1387"/>
    <mergeCell ref="F1388:G1388"/>
    <mergeCell ref="I1388:J1388"/>
    <mergeCell ref="F1389:G1389"/>
    <mergeCell ref="I1389:J1389"/>
    <mergeCell ref="F1384:G1384"/>
    <mergeCell ref="I1384:J1384"/>
    <mergeCell ref="F1385:G1385"/>
    <mergeCell ref="I1385:J1385"/>
    <mergeCell ref="F1386:G1386"/>
    <mergeCell ref="I1386:J1386"/>
    <mergeCell ref="F1381:G1381"/>
    <mergeCell ref="I1381:J1381"/>
    <mergeCell ref="F1382:G1382"/>
    <mergeCell ref="I1382:J1382"/>
    <mergeCell ref="F1383:G1383"/>
    <mergeCell ref="I1383:J1383"/>
    <mergeCell ref="F1378:G1378"/>
    <mergeCell ref="I1378:J1378"/>
    <mergeCell ref="F1379:G1379"/>
    <mergeCell ref="I1379:J1379"/>
    <mergeCell ref="F1380:G1380"/>
    <mergeCell ref="I1380:J1380"/>
    <mergeCell ref="F1375:G1375"/>
    <mergeCell ref="I1375:J1375"/>
    <mergeCell ref="F1376:G1376"/>
    <mergeCell ref="I1376:J1376"/>
    <mergeCell ref="F1377:G1377"/>
    <mergeCell ref="I1377:J1377"/>
    <mergeCell ref="F1372:G1372"/>
    <mergeCell ref="I1372:J1372"/>
    <mergeCell ref="F1373:G1373"/>
    <mergeCell ref="I1373:J1373"/>
    <mergeCell ref="F1374:G1374"/>
    <mergeCell ref="I1374:J1374"/>
    <mergeCell ref="F1369:G1369"/>
    <mergeCell ref="I1369:J1369"/>
    <mergeCell ref="F1370:G1370"/>
    <mergeCell ref="I1370:J1370"/>
    <mergeCell ref="F1371:G1371"/>
    <mergeCell ref="I1371:J1371"/>
    <mergeCell ref="F1366:G1366"/>
    <mergeCell ref="I1366:J1366"/>
    <mergeCell ref="F1367:G1367"/>
    <mergeCell ref="I1367:J1367"/>
    <mergeCell ref="F1368:G1368"/>
    <mergeCell ref="I1368:J1368"/>
    <mergeCell ref="F1363:G1363"/>
    <mergeCell ref="I1363:J1363"/>
    <mergeCell ref="F1364:G1364"/>
    <mergeCell ref="I1364:J1364"/>
    <mergeCell ref="F1365:G1365"/>
    <mergeCell ref="I1365:J1365"/>
    <mergeCell ref="F1360:G1360"/>
    <mergeCell ref="I1360:J1360"/>
    <mergeCell ref="F1361:G1361"/>
    <mergeCell ref="I1361:J1361"/>
    <mergeCell ref="F1362:G1362"/>
    <mergeCell ref="I1362:J1362"/>
    <mergeCell ref="F1357:G1357"/>
    <mergeCell ref="I1357:J1357"/>
    <mergeCell ref="F1358:G1358"/>
    <mergeCell ref="I1358:J1358"/>
    <mergeCell ref="F1359:G1359"/>
    <mergeCell ref="I1359:J1359"/>
    <mergeCell ref="F1354:G1354"/>
    <mergeCell ref="I1354:J1354"/>
    <mergeCell ref="F1355:G1355"/>
    <mergeCell ref="I1355:J1355"/>
    <mergeCell ref="F1356:G1356"/>
    <mergeCell ref="I1356:J1356"/>
    <mergeCell ref="F1351:G1351"/>
    <mergeCell ref="I1351:J1351"/>
    <mergeCell ref="F1352:G1352"/>
    <mergeCell ref="I1352:J1352"/>
    <mergeCell ref="F1353:G1353"/>
    <mergeCell ref="I1353:J1353"/>
    <mergeCell ref="F1348:G1348"/>
    <mergeCell ref="I1348:J1348"/>
    <mergeCell ref="F1349:G1349"/>
    <mergeCell ref="I1349:J1349"/>
    <mergeCell ref="F1350:G1350"/>
    <mergeCell ref="I1350:J1350"/>
    <mergeCell ref="F1345:G1345"/>
    <mergeCell ref="I1345:J1345"/>
    <mergeCell ref="F1346:G1346"/>
    <mergeCell ref="I1346:J1346"/>
    <mergeCell ref="F1347:G1347"/>
    <mergeCell ref="I1347:J1347"/>
    <mergeCell ref="F1342:G1342"/>
    <mergeCell ref="I1342:J1342"/>
    <mergeCell ref="F1343:G1343"/>
    <mergeCell ref="I1343:J1343"/>
    <mergeCell ref="F1344:G1344"/>
    <mergeCell ref="I1344:J1344"/>
    <mergeCell ref="F1339:G1339"/>
    <mergeCell ref="I1339:J1339"/>
    <mergeCell ref="F1340:G1340"/>
    <mergeCell ref="I1340:J1340"/>
    <mergeCell ref="F1341:G1341"/>
    <mergeCell ref="I1341:J1341"/>
    <mergeCell ref="F1336:G1336"/>
    <mergeCell ref="I1336:J1336"/>
    <mergeCell ref="F1337:G1337"/>
    <mergeCell ref="I1337:J1337"/>
    <mergeCell ref="F1338:G1338"/>
    <mergeCell ref="I1338:J1338"/>
    <mergeCell ref="F1333:G1333"/>
    <mergeCell ref="I1333:J1333"/>
    <mergeCell ref="F1334:G1334"/>
    <mergeCell ref="I1334:J1334"/>
    <mergeCell ref="F1335:G1335"/>
    <mergeCell ref="I1335:J1335"/>
    <mergeCell ref="F1330:G1330"/>
    <mergeCell ref="I1330:J1330"/>
    <mergeCell ref="F1331:G1331"/>
    <mergeCell ref="I1331:J1331"/>
    <mergeCell ref="F1332:G1332"/>
    <mergeCell ref="I1332:J1332"/>
    <mergeCell ref="F1327:G1327"/>
    <mergeCell ref="I1327:J1327"/>
    <mergeCell ref="F1328:G1328"/>
    <mergeCell ref="I1328:J1328"/>
    <mergeCell ref="F1329:G1329"/>
    <mergeCell ref="I1329:J1329"/>
    <mergeCell ref="F1324:G1324"/>
    <mergeCell ref="I1324:J1324"/>
    <mergeCell ref="F1325:G1325"/>
    <mergeCell ref="I1325:J1325"/>
    <mergeCell ref="F1326:G1326"/>
    <mergeCell ref="I1326:J1326"/>
    <mergeCell ref="F1321:G1321"/>
    <mergeCell ref="I1321:J1321"/>
    <mergeCell ref="F1322:G1322"/>
    <mergeCell ref="I1322:J1322"/>
    <mergeCell ref="F1323:G1323"/>
    <mergeCell ref="I1323:J1323"/>
    <mergeCell ref="F1318:G1318"/>
    <mergeCell ref="I1318:J1318"/>
    <mergeCell ref="F1319:G1319"/>
    <mergeCell ref="I1319:J1319"/>
    <mergeCell ref="F1320:G1320"/>
    <mergeCell ref="I1320:J1320"/>
    <mergeCell ref="F1315:G1315"/>
    <mergeCell ref="I1315:J1315"/>
    <mergeCell ref="F1316:G1316"/>
    <mergeCell ref="I1316:J1316"/>
    <mergeCell ref="F1317:G1317"/>
    <mergeCell ref="I1317:J1317"/>
    <mergeCell ref="F1312:G1312"/>
    <mergeCell ref="I1312:J1312"/>
    <mergeCell ref="F1313:G1313"/>
    <mergeCell ref="I1313:J1313"/>
    <mergeCell ref="F1314:G1314"/>
    <mergeCell ref="I1314:J1314"/>
    <mergeCell ref="F1309:G1309"/>
    <mergeCell ref="I1309:J1309"/>
    <mergeCell ref="F1310:G1310"/>
    <mergeCell ref="I1310:J1310"/>
    <mergeCell ref="F1311:G1311"/>
    <mergeCell ref="I1311:J1311"/>
    <mergeCell ref="F1306:G1306"/>
    <mergeCell ref="I1306:J1306"/>
    <mergeCell ref="F1307:G1307"/>
    <mergeCell ref="I1307:J1307"/>
    <mergeCell ref="F1308:G1308"/>
    <mergeCell ref="I1308:J1308"/>
    <mergeCell ref="F1303:G1303"/>
    <mergeCell ref="I1303:J1303"/>
    <mergeCell ref="F1304:G1304"/>
    <mergeCell ref="I1304:J1304"/>
    <mergeCell ref="F1305:G1305"/>
    <mergeCell ref="I1305:J1305"/>
    <mergeCell ref="F1300:G1300"/>
    <mergeCell ref="I1300:J1300"/>
    <mergeCell ref="F1301:G1301"/>
    <mergeCell ref="I1301:J1301"/>
    <mergeCell ref="F1302:G1302"/>
    <mergeCell ref="I1302:J1302"/>
    <mergeCell ref="F1297:G1297"/>
    <mergeCell ref="I1297:J1297"/>
    <mergeCell ref="F1298:G1298"/>
    <mergeCell ref="I1298:J1298"/>
    <mergeCell ref="F1299:G1299"/>
    <mergeCell ref="I1299:J1299"/>
    <mergeCell ref="F1294:G1294"/>
    <mergeCell ref="I1294:J1294"/>
    <mergeCell ref="F1295:G1295"/>
    <mergeCell ref="I1295:J1295"/>
    <mergeCell ref="F1296:G1296"/>
    <mergeCell ref="I1296:J1296"/>
    <mergeCell ref="F1291:G1291"/>
    <mergeCell ref="I1291:J1291"/>
    <mergeCell ref="F1292:G1292"/>
    <mergeCell ref="I1292:J1292"/>
    <mergeCell ref="F1293:G1293"/>
    <mergeCell ref="I1293:J1293"/>
    <mergeCell ref="F1288:G1288"/>
    <mergeCell ref="I1288:J1288"/>
    <mergeCell ref="F1289:G1289"/>
    <mergeCell ref="I1289:J1289"/>
    <mergeCell ref="F1290:G1290"/>
    <mergeCell ref="I1290:J1290"/>
    <mergeCell ref="F1285:G1285"/>
    <mergeCell ref="I1285:J1285"/>
    <mergeCell ref="F1286:G1286"/>
    <mergeCell ref="I1286:J1286"/>
    <mergeCell ref="F1287:G1287"/>
    <mergeCell ref="I1287:J1287"/>
    <mergeCell ref="F1282:G1282"/>
    <mergeCell ref="I1282:J1282"/>
    <mergeCell ref="F1283:G1283"/>
    <mergeCell ref="I1283:J1283"/>
    <mergeCell ref="F1284:G1284"/>
    <mergeCell ref="I1284:J1284"/>
    <mergeCell ref="F1279:G1279"/>
    <mergeCell ref="I1279:J1279"/>
    <mergeCell ref="F1280:G1280"/>
    <mergeCell ref="I1280:J1280"/>
    <mergeCell ref="F1281:G1281"/>
    <mergeCell ref="I1281:J1281"/>
    <mergeCell ref="F1276:G1276"/>
    <mergeCell ref="I1276:J1276"/>
    <mergeCell ref="F1277:G1277"/>
    <mergeCell ref="I1277:J1277"/>
    <mergeCell ref="F1278:G1278"/>
    <mergeCell ref="I1278:J1278"/>
    <mergeCell ref="F1273:G1273"/>
    <mergeCell ref="I1273:J1273"/>
    <mergeCell ref="F1274:G1274"/>
    <mergeCell ref="I1274:J1274"/>
    <mergeCell ref="F1275:G1275"/>
    <mergeCell ref="I1275:J1275"/>
    <mergeCell ref="F1270:G1270"/>
    <mergeCell ref="I1270:J1270"/>
    <mergeCell ref="F1271:G1271"/>
    <mergeCell ref="I1271:J1271"/>
    <mergeCell ref="F1272:G1272"/>
    <mergeCell ref="I1272:J1272"/>
    <mergeCell ref="F1267:G1267"/>
    <mergeCell ref="I1267:J1267"/>
    <mergeCell ref="F1268:G1268"/>
    <mergeCell ref="I1268:J1268"/>
    <mergeCell ref="F1269:G1269"/>
    <mergeCell ref="I1269:J1269"/>
    <mergeCell ref="F1264:G1264"/>
    <mergeCell ref="I1264:J1264"/>
    <mergeCell ref="F1265:G1265"/>
    <mergeCell ref="I1265:J1265"/>
    <mergeCell ref="F1266:G1266"/>
    <mergeCell ref="I1266:J1266"/>
    <mergeCell ref="F1261:G1261"/>
    <mergeCell ref="I1261:J1261"/>
    <mergeCell ref="F1262:G1262"/>
    <mergeCell ref="I1262:J1262"/>
    <mergeCell ref="F1263:G1263"/>
    <mergeCell ref="I1263:J1263"/>
    <mergeCell ref="F1258:G1258"/>
    <mergeCell ref="I1258:J1258"/>
    <mergeCell ref="F1259:G1259"/>
    <mergeCell ref="I1259:J1259"/>
    <mergeCell ref="F1260:G1260"/>
    <mergeCell ref="I1260:J1260"/>
    <mergeCell ref="F1255:G1255"/>
    <mergeCell ref="I1255:J1255"/>
    <mergeCell ref="F1256:G1256"/>
    <mergeCell ref="I1256:J1256"/>
    <mergeCell ref="F1257:G1257"/>
    <mergeCell ref="I1257:J1257"/>
    <mergeCell ref="F1252:G1252"/>
    <mergeCell ref="I1252:J1252"/>
    <mergeCell ref="F1253:G1253"/>
    <mergeCell ref="I1253:J1253"/>
    <mergeCell ref="F1254:G1254"/>
    <mergeCell ref="I1254:J1254"/>
    <mergeCell ref="F1249:G1249"/>
    <mergeCell ref="I1249:J1249"/>
    <mergeCell ref="F1250:G1250"/>
    <mergeCell ref="I1250:J1250"/>
    <mergeCell ref="F1251:G1251"/>
    <mergeCell ref="I1251:J1251"/>
    <mergeCell ref="F1246:G1246"/>
    <mergeCell ref="I1246:J1246"/>
    <mergeCell ref="F1247:G1247"/>
    <mergeCell ref="I1247:J1247"/>
    <mergeCell ref="F1248:G1248"/>
    <mergeCell ref="I1248:J1248"/>
    <mergeCell ref="F1243:G1243"/>
    <mergeCell ref="I1243:J1243"/>
    <mergeCell ref="F1244:G1244"/>
    <mergeCell ref="I1244:J1244"/>
    <mergeCell ref="F1245:G1245"/>
    <mergeCell ref="I1245:J1245"/>
    <mergeCell ref="F1240:G1240"/>
    <mergeCell ref="I1240:J1240"/>
    <mergeCell ref="F1241:G1241"/>
    <mergeCell ref="I1241:J1241"/>
    <mergeCell ref="F1242:G1242"/>
    <mergeCell ref="I1242:J1242"/>
    <mergeCell ref="F1237:G1237"/>
    <mergeCell ref="I1237:J1237"/>
    <mergeCell ref="F1238:G1238"/>
    <mergeCell ref="I1238:J1238"/>
    <mergeCell ref="F1239:G1239"/>
    <mergeCell ref="I1239:J1239"/>
    <mergeCell ref="F1234:G1234"/>
    <mergeCell ref="I1234:J1234"/>
    <mergeCell ref="F1235:G1235"/>
    <mergeCell ref="I1235:J1235"/>
    <mergeCell ref="F1236:G1236"/>
    <mergeCell ref="I1236:J1236"/>
    <mergeCell ref="F1231:G1231"/>
    <mergeCell ref="I1231:J1231"/>
    <mergeCell ref="F1232:G1232"/>
    <mergeCell ref="I1232:J1232"/>
    <mergeCell ref="F1233:G1233"/>
    <mergeCell ref="I1233:J1233"/>
    <mergeCell ref="F1228:G1228"/>
    <mergeCell ref="I1228:J1228"/>
    <mergeCell ref="F1229:G1229"/>
    <mergeCell ref="I1229:J1229"/>
    <mergeCell ref="F1230:G1230"/>
    <mergeCell ref="I1230:J1230"/>
    <mergeCell ref="F1225:G1225"/>
    <mergeCell ref="I1225:J1225"/>
    <mergeCell ref="F1226:G1226"/>
    <mergeCell ref="I1226:J1226"/>
    <mergeCell ref="F1227:G1227"/>
    <mergeCell ref="I1227:J1227"/>
    <mergeCell ref="F1222:G1222"/>
    <mergeCell ref="I1222:J1222"/>
    <mergeCell ref="F1223:G1223"/>
    <mergeCell ref="I1223:J1223"/>
    <mergeCell ref="F1224:G1224"/>
    <mergeCell ref="I1224:J1224"/>
    <mergeCell ref="F1219:G1219"/>
    <mergeCell ref="I1219:J1219"/>
    <mergeCell ref="F1220:G1220"/>
    <mergeCell ref="I1220:J1220"/>
    <mergeCell ref="F1221:G1221"/>
    <mergeCell ref="I1221:J1221"/>
    <mergeCell ref="F1216:G1216"/>
    <mergeCell ref="I1216:J1216"/>
    <mergeCell ref="F1217:G1217"/>
    <mergeCell ref="I1217:J1217"/>
    <mergeCell ref="F1218:G1218"/>
    <mergeCell ref="I1218:J1218"/>
    <mergeCell ref="F1213:G1213"/>
    <mergeCell ref="I1213:J1213"/>
    <mergeCell ref="F1214:G1214"/>
    <mergeCell ref="I1214:J1214"/>
    <mergeCell ref="F1215:G1215"/>
    <mergeCell ref="I1215:J1215"/>
    <mergeCell ref="F1210:G1210"/>
    <mergeCell ref="I1210:J1210"/>
    <mergeCell ref="F1211:G1211"/>
    <mergeCell ref="I1211:J1211"/>
    <mergeCell ref="F1212:G1212"/>
    <mergeCell ref="I1212:J1212"/>
    <mergeCell ref="F1207:G1207"/>
    <mergeCell ref="I1207:J1207"/>
    <mergeCell ref="F1208:G1208"/>
    <mergeCell ref="I1208:J1208"/>
    <mergeCell ref="F1209:G1209"/>
    <mergeCell ref="I1209:J1209"/>
    <mergeCell ref="F1204:G1204"/>
    <mergeCell ref="I1204:J1204"/>
    <mergeCell ref="F1205:G1205"/>
    <mergeCell ref="I1205:J1205"/>
    <mergeCell ref="F1206:G1206"/>
    <mergeCell ref="I1206:J1206"/>
    <mergeCell ref="F1201:G1201"/>
    <mergeCell ref="I1201:J1201"/>
    <mergeCell ref="F1202:G1202"/>
    <mergeCell ref="I1202:J1202"/>
    <mergeCell ref="F1203:G1203"/>
    <mergeCell ref="I1203:J1203"/>
    <mergeCell ref="F1198:G1198"/>
    <mergeCell ref="I1198:J1198"/>
    <mergeCell ref="F1199:G1199"/>
    <mergeCell ref="I1199:J1199"/>
    <mergeCell ref="F1200:G1200"/>
    <mergeCell ref="I1200:J1200"/>
    <mergeCell ref="F1195:G1195"/>
    <mergeCell ref="I1195:J1195"/>
    <mergeCell ref="F1196:G1196"/>
    <mergeCell ref="I1196:J1196"/>
    <mergeCell ref="F1197:G1197"/>
    <mergeCell ref="I1197:J1197"/>
    <mergeCell ref="F1192:G1192"/>
    <mergeCell ref="I1192:J1192"/>
    <mergeCell ref="F1193:G1193"/>
    <mergeCell ref="I1193:J1193"/>
    <mergeCell ref="F1194:G1194"/>
    <mergeCell ref="I1194:J1194"/>
    <mergeCell ref="F1189:G1189"/>
    <mergeCell ref="I1189:J1189"/>
    <mergeCell ref="F1190:G1190"/>
    <mergeCell ref="I1190:J1190"/>
    <mergeCell ref="F1191:G1191"/>
    <mergeCell ref="I1191:J1191"/>
    <mergeCell ref="F1186:G1186"/>
    <mergeCell ref="I1186:J1186"/>
    <mergeCell ref="F1187:G1187"/>
    <mergeCell ref="I1187:J1187"/>
    <mergeCell ref="F1188:G1188"/>
    <mergeCell ref="I1188:J1188"/>
    <mergeCell ref="F1183:G1183"/>
    <mergeCell ref="I1183:J1183"/>
    <mergeCell ref="F1184:G1184"/>
    <mergeCell ref="I1184:J1184"/>
    <mergeCell ref="F1185:G1185"/>
    <mergeCell ref="I1185:J1185"/>
    <mergeCell ref="F1180:G1180"/>
    <mergeCell ref="I1180:J1180"/>
    <mergeCell ref="F1181:G1181"/>
    <mergeCell ref="I1181:J1181"/>
    <mergeCell ref="F1182:G1182"/>
    <mergeCell ref="I1182:J1182"/>
    <mergeCell ref="F1177:G1177"/>
    <mergeCell ref="I1177:J1177"/>
    <mergeCell ref="F1178:G1178"/>
    <mergeCell ref="I1178:J1178"/>
    <mergeCell ref="F1179:G1179"/>
    <mergeCell ref="I1179:J1179"/>
    <mergeCell ref="F1174:G1174"/>
    <mergeCell ref="I1174:J1174"/>
    <mergeCell ref="F1175:G1175"/>
    <mergeCell ref="I1175:J1175"/>
    <mergeCell ref="F1176:G1176"/>
    <mergeCell ref="I1176:J1176"/>
    <mergeCell ref="F1171:G1171"/>
    <mergeCell ref="I1171:J1171"/>
    <mergeCell ref="F1172:G1172"/>
    <mergeCell ref="I1172:J1172"/>
    <mergeCell ref="F1173:G1173"/>
    <mergeCell ref="I1173:J1173"/>
    <mergeCell ref="F1168:G1168"/>
    <mergeCell ref="I1168:J1168"/>
    <mergeCell ref="F1169:G1169"/>
    <mergeCell ref="I1169:J1169"/>
    <mergeCell ref="F1170:G1170"/>
    <mergeCell ref="I1170:J1170"/>
    <mergeCell ref="F1165:G1165"/>
    <mergeCell ref="I1165:J1165"/>
    <mergeCell ref="F1166:G1166"/>
    <mergeCell ref="I1166:J1166"/>
    <mergeCell ref="F1167:G1167"/>
    <mergeCell ref="I1167:J1167"/>
    <mergeCell ref="F1162:G1162"/>
    <mergeCell ref="I1162:J1162"/>
    <mergeCell ref="F1163:G1163"/>
    <mergeCell ref="I1163:J1163"/>
    <mergeCell ref="F1164:G1164"/>
    <mergeCell ref="I1164:J1164"/>
    <mergeCell ref="F1159:G1159"/>
    <mergeCell ref="I1159:J1159"/>
    <mergeCell ref="F1160:G1160"/>
    <mergeCell ref="I1160:J1160"/>
    <mergeCell ref="F1161:G1161"/>
    <mergeCell ref="I1161:J1161"/>
    <mergeCell ref="F1156:G1156"/>
    <mergeCell ref="I1156:J1156"/>
    <mergeCell ref="F1157:G1157"/>
    <mergeCell ref="I1157:J1157"/>
    <mergeCell ref="F1158:G1158"/>
    <mergeCell ref="I1158:J1158"/>
    <mergeCell ref="F1153:G1153"/>
    <mergeCell ref="I1153:J1153"/>
    <mergeCell ref="F1154:G1154"/>
    <mergeCell ref="I1154:J1154"/>
    <mergeCell ref="F1155:G1155"/>
    <mergeCell ref="I1155:J1155"/>
    <mergeCell ref="F1150:G1150"/>
    <mergeCell ref="I1150:J1150"/>
    <mergeCell ref="F1151:G1151"/>
    <mergeCell ref="I1151:J1151"/>
    <mergeCell ref="F1152:G1152"/>
    <mergeCell ref="I1152:J1152"/>
    <mergeCell ref="F1147:G1147"/>
    <mergeCell ref="I1147:J1147"/>
    <mergeCell ref="F1148:G1148"/>
    <mergeCell ref="I1148:J1148"/>
    <mergeCell ref="F1149:G1149"/>
    <mergeCell ref="I1149:J1149"/>
    <mergeCell ref="F1144:G1144"/>
    <mergeCell ref="I1144:J1144"/>
    <mergeCell ref="F1145:G1145"/>
    <mergeCell ref="I1145:J1145"/>
    <mergeCell ref="F1146:G1146"/>
    <mergeCell ref="I1146:J1146"/>
    <mergeCell ref="F1141:G1141"/>
    <mergeCell ref="I1141:J1141"/>
    <mergeCell ref="F1142:G1142"/>
    <mergeCell ref="I1142:J1142"/>
    <mergeCell ref="F1143:G1143"/>
    <mergeCell ref="I1143:J1143"/>
    <mergeCell ref="F1138:G1138"/>
    <mergeCell ref="I1138:J1138"/>
    <mergeCell ref="F1139:G1139"/>
    <mergeCell ref="I1139:J1139"/>
    <mergeCell ref="F1140:G1140"/>
    <mergeCell ref="I1140:J1140"/>
    <mergeCell ref="F1135:G1135"/>
    <mergeCell ref="I1135:J1135"/>
    <mergeCell ref="F1136:G1136"/>
    <mergeCell ref="I1136:J1136"/>
    <mergeCell ref="F1137:G1137"/>
    <mergeCell ref="I1137:J1137"/>
    <mergeCell ref="F1132:G1132"/>
    <mergeCell ref="I1132:J1132"/>
    <mergeCell ref="F1133:G1133"/>
    <mergeCell ref="I1133:J1133"/>
    <mergeCell ref="F1134:G1134"/>
    <mergeCell ref="I1134:J1134"/>
    <mergeCell ref="F1129:G1129"/>
    <mergeCell ref="I1129:J1129"/>
    <mergeCell ref="F1130:G1130"/>
    <mergeCell ref="I1130:J1130"/>
    <mergeCell ref="F1131:G1131"/>
    <mergeCell ref="I1131:J1131"/>
    <mergeCell ref="F1126:G1126"/>
    <mergeCell ref="I1126:J1126"/>
    <mergeCell ref="F1127:G1127"/>
    <mergeCell ref="I1127:J1127"/>
    <mergeCell ref="F1128:G1128"/>
    <mergeCell ref="I1128:J1128"/>
    <mergeCell ref="F1123:G1123"/>
    <mergeCell ref="I1123:J1123"/>
    <mergeCell ref="F1124:G1124"/>
    <mergeCell ref="I1124:J1124"/>
    <mergeCell ref="F1125:G1125"/>
    <mergeCell ref="I1125:J1125"/>
    <mergeCell ref="F1120:G1120"/>
    <mergeCell ref="I1120:J1120"/>
    <mergeCell ref="F1121:G1121"/>
    <mergeCell ref="I1121:J1121"/>
    <mergeCell ref="F1122:G1122"/>
    <mergeCell ref="I1122:J1122"/>
    <mergeCell ref="F1117:G1117"/>
    <mergeCell ref="I1117:J1117"/>
    <mergeCell ref="F1118:G1118"/>
    <mergeCell ref="I1118:J1118"/>
    <mergeCell ref="F1119:G1119"/>
    <mergeCell ref="I1119:J1119"/>
    <mergeCell ref="F1114:G1114"/>
    <mergeCell ref="I1114:J1114"/>
    <mergeCell ref="F1115:G1115"/>
    <mergeCell ref="I1115:J1115"/>
    <mergeCell ref="F1116:G1116"/>
    <mergeCell ref="I1116:J1116"/>
    <mergeCell ref="F1111:G1111"/>
    <mergeCell ref="I1111:J1111"/>
    <mergeCell ref="F1112:G1112"/>
    <mergeCell ref="I1112:J1112"/>
    <mergeCell ref="F1113:G1113"/>
    <mergeCell ref="I1113:J1113"/>
    <mergeCell ref="F1108:G1108"/>
    <mergeCell ref="I1108:J1108"/>
    <mergeCell ref="F1109:G1109"/>
    <mergeCell ref="I1109:J1109"/>
    <mergeCell ref="F1110:G1110"/>
    <mergeCell ref="I1110:J1110"/>
    <mergeCell ref="F1105:G1105"/>
    <mergeCell ref="I1105:J1105"/>
    <mergeCell ref="F1106:G1106"/>
    <mergeCell ref="I1106:J1106"/>
    <mergeCell ref="F1107:G1107"/>
    <mergeCell ref="I1107:J1107"/>
    <mergeCell ref="F1102:G1102"/>
    <mergeCell ref="I1102:J1102"/>
    <mergeCell ref="F1103:G1103"/>
    <mergeCell ref="I1103:J1103"/>
    <mergeCell ref="F1104:G1104"/>
    <mergeCell ref="I1104:J1104"/>
    <mergeCell ref="F1099:G1099"/>
    <mergeCell ref="I1099:J1099"/>
    <mergeCell ref="F1100:G1100"/>
    <mergeCell ref="I1100:J1100"/>
    <mergeCell ref="F1101:G1101"/>
    <mergeCell ref="I1101:J1101"/>
    <mergeCell ref="F1096:G1096"/>
    <mergeCell ref="I1096:J1096"/>
    <mergeCell ref="F1097:G1097"/>
    <mergeCell ref="I1097:J1097"/>
    <mergeCell ref="F1098:G1098"/>
    <mergeCell ref="I1098:J1098"/>
    <mergeCell ref="F1093:G1093"/>
    <mergeCell ref="I1093:J1093"/>
    <mergeCell ref="F1094:G1094"/>
    <mergeCell ref="I1094:J1094"/>
    <mergeCell ref="F1095:G1095"/>
    <mergeCell ref="I1095:J1095"/>
    <mergeCell ref="F1090:G1090"/>
    <mergeCell ref="I1090:J1090"/>
    <mergeCell ref="F1091:G1091"/>
    <mergeCell ref="I1091:J1091"/>
    <mergeCell ref="F1092:G1092"/>
    <mergeCell ref="I1092:J1092"/>
    <mergeCell ref="F1087:G1087"/>
    <mergeCell ref="I1087:J1087"/>
    <mergeCell ref="F1088:G1088"/>
    <mergeCell ref="I1088:J1088"/>
    <mergeCell ref="F1089:G1089"/>
    <mergeCell ref="I1089:J1089"/>
    <mergeCell ref="F1084:G1084"/>
    <mergeCell ref="I1084:J1084"/>
    <mergeCell ref="F1085:G1085"/>
    <mergeCell ref="I1085:J1085"/>
    <mergeCell ref="F1086:G1086"/>
    <mergeCell ref="I1086:J1086"/>
    <mergeCell ref="F1081:G1081"/>
    <mergeCell ref="I1081:J1081"/>
    <mergeCell ref="F1082:G1082"/>
    <mergeCell ref="I1082:J1082"/>
    <mergeCell ref="F1083:G1083"/>
    <mergeCell ref="I1083:J1083"/>
    <mergeCell ref="F1078:G1078"/>
    <mergeCell ref="I1078:J1078"/>
    <mergeCell ref="F1079:G1079"/>
    <mergeCell ref="I1079:J1079"/>
    <mergeCell ref="F1080:G1080"/>
    <mergeCell ref="I1080:J1080"/>
    <mergeCell ref="F1075:G1075"/>
    <mergeCell ref="I1075:J1075"/>
    <mergeCell ref="F1076:G1076"/>
    <mergeCell ref="I1076:J1076"/>
    <mergeCell ref="F1077:G1077"/>
    <mergeCell ref="I1077:J1077"/>
    <mergeCell ref="F1072:G1072"/>
    <mergeCell ref="I1072:J1072"/>
    <mergeCell ref="F1073:G1073"/>
    <mergeCell ref="I1073:J1073"/>
    <mergeCell ref="F1074:G1074"/>
    <mergeCell ref="I1074:J1074"/>
    <mergeCell ref="F1069:G1069"/>
    <mergeCell ref="I1069:J1069"/>
    <mergeCell ref="F1070:G1070"/>
    <mergeCell ref="I1070:J1070"/>
    <mergeCell ref="F1071:G1071"/>
    <mergeCell ref="I1071:J1071"/>
    <mergeCell ref="F1066:G1066"/>
    <mergeCell ref="I1066:J1066"/>
    <mergeCell ref="F1067:G1067"/>
    <mergeCell ref="I1067:J1067"/>
    <mergeCell ref="F1068:G1068"/>
    <mergeCell ref="I1068:J1068"/>
    <mergeCell ref="F1063:G1063"/>
    <mergeCell ref="I1063:J1063"/>
    <mergeCell ref="F1064:G1064"/>
    <mergeCell ref="I1064:J1064"/>
    <mergeCell ref="F1065:G1065"/>
    <mergeCell ref="I1065:J1065"/>
    <mergeCell ref="F1060:G1060"/>
    <mergeCell ref="I1060:J1060"/>
    <mergeCell ref="F1061:G1061"/>
    <mergeCell ref="I1061:J1061"/>
    <mergeCell ref="F1062:G1062"/>
    <mergeCell ref="I1062:J1062"/>
    <mergeCell ref="F1057:G1057"/>
    <mergeCell ref="I1057:J1057"/>
    <mergeCell ref="F1058:G1058"/>
    <mergeCell ref="I1058:J1058"/>
    <mergeCell ref="F1059:G1059"/>
    <mergeCell ref="I1059:J1059"/>
    <mergeCell ref="F1054:G1054"/>
    <mergeCell ref="I1054:J1054"/>
    <mergeCell ref="F1055:G1055"/>
    <mergeCell ref="I1055:J1055"/>
    <mergeCell ref="F1056:G1056"/>
    <mergeCell ref="I1056:J1056"/>
    <mergeCell ref="F1051:G1051"/>
    <mergeCell ref="I1051:J1051"/>
    <mergeCell ref="F1052:G1052"/>
    <mergeCell ref="I1052:J1052"/>
    <mergeCell ref="F1053:G1053"/>
    <mergeCell ref="I1053:J1053"/>
    <mergeCell ref="F1048:G1048"/>
    <mergeCell ref="I1048:J1048"/>
    <mergeCell ref="F1049:G1049"/>
    <mergeCell ref="I1049:J1049"/>
    <mergeCell ref="F1050:G1050"/>
    <mergeCell ref="I1050:J1050"/>
    <mergeCell ref="F1045:G1045"/>
    <mergeCell ref="I1045:J1045"/>
    <mergeCell ref="F1046:G1046"/>
    <mergeCell ref="I1046:J1046"/>
    <mergeCell ref="F1047:G1047"/>
    <mergeCell ref="I1047:J1047"/>
    <mergeCell ref="F1042:G1042"/>
    <mergeCell ref="I1042:J1042"/>
    <mergeCell ref="F1043:G1043"/>
    <mergeCell ref="I1043:J1043"/>
    <mergeCell ref="F1044:G1044"/>
    <mergeCell ref="I1044:J1044"/>
    <mergeCell ref="F1039:G1039"/>
    <mergeCell ref="I1039:J1039"/>
    <mergeCell ref="F1040:G1040"/>
    <mergeCell ref="I1040:J1040"/>
    <mergeCell ref="F1041:G1041"/>
    <mergeCell ref="I1041:J1041"/>
    <mergeCell ref="F1036:G1036"/>
    <mergeCell ref="I1036:J1036"/>
    <mergeCell ref="F1037:G1037"/>
    <mergeCell ref="I1037:J1037"/>
    <mergeCell ref="F1038:G1038"/>
    <mergeCell ref="I1038:J1038"/>
    <mergeCell ref="F1033:G1033"/>
    <mergeCell ref="I1033:J1033"/>
    <mergeCell ref="F1034:G1034"/>
    <mergeCell ref="I1034:J1034"/>
    <mergeCell ref="F1035:G1035"/>
    <mergeCell ref="I1035:J1035"/>
    <mergeCell ref="F1030:G1030"/>
    <mergeCell ref="I1030:J1030"/>
    <mergeCell ref="F1031:G1031"/>
    <mergeCell ref="I1031:J1031"/>
    <mergeCell ref="F1032:G1032"/>
    <mergeCell ref="I1032:J1032"/>
    <mergeCell ref="F1027:G1027"/>
    <mergeCell ref="I1027:J1027"/>
    <mergeCell ref="F1028:G1028"/>
    <mergeCell ref="I1028:J1028"/>
    <mergeCell ref="F1029:G1029"/>
    <mergeCell ref="I1029:J1029"/>
    <mergeCell ref="F1024:G1024"/>
    <mergeCell ref="I1024:J1024"/>
    <mergeCell ref="F1025:G1025"/>
    <mergeCell ref="I1025:J1025"/>
    <mergeCell ref="F1026:G1026"/>
    <mergeCell ref="I1026:J1026"/>
    <mergeCell ref="F1021:G1021"/>
    <mergeCell ref="I1021:J1021"/>
    <mergeCell ref="F1022:G1022"/>
    <mergeCell ref="I1022:J1022"/>
    <mergeCell ref="F1023:G1023"/>
    <mergeCell ref="I1023:J1023"/>
    <mergeCell ref="F1018:G1018"/>
    <mergeCell ref="I1018:J1018"/>
    <mergeCell ref="F1019:G1019"/>
    <mergeCell ref="I1019:J1019"/>
    <mergeCell ref="F1020:G1020"/>
    <mergeCell ref="I1020:J1020"/>
    <mergeCell ref="F1015:G1015"/>
    <mergeCell ref="I1015:J1015"/>
    <mergeCell ref="F1016:G1016"/>
    <mergeCell ref="I1016:J1016"/>
    <mergeCell ref="F1017:G1017"/>
    <mergeCell ref="I1017:J1017"/>
    <mergeCell ref="F1012:G1012"/>
    <mergeCell ref="I1012:J1012"/>
    <mergeCell ref="F1013:G1013"/>
    <mergeCell ref="I1013:J1013"/>
    <mergeCell ref="F1014:G1014"/>
    <mergeCell ref="I1014:J1014"/>
    <mergeCell ref="F1009:G1009"/>
    <mergeCell ref="I1009:J1009"/>
    <mergeCell ref="F1010:G1010"/>
    <mergeCell ref="I1010:J1010"/>
    <mergeCell ref="F1011:G1011"/>
    <mergeCell ref="I1011:J1011"/>
    <mergeCell ref="F1006:G1006"/>
    <mergeCell ref="I1006:J1006"/>
    <mergeCell ref="F1007:G1007"/>
    <mergeCell ref="I1007:J1007"/>
    <mergeCell ref="F1008:G1008"/>
    <mergeCell ref="I1008:J1008"/>
    <mergeCell ref="F1003:G1003"/>
    <mergeCell ref="I1003:J1003"/>
    <mergeCell ref="F1004:G1004"/>
    <mergeCell ref="I1004:J1004"/>
    <mergeCell ref="F1005:G1005"/>
    <mergeCell ref="I1005:J1005"/>
    <mergeCell ref="F1000:G1000"/>
    <mergeCell ref="I1000:J1000"/>
    <mergeCell ref="F1001:G1001"/>
    <mergeCell ref="I1001:J1001"/>
    <mergeCell ref="F1002:G1002"/>
    <mergeCell ref="I1002:J1002"/>
    <mergeCell ref="F997:G997"/>
    <mergeCell ref="I997:J997"/>
    <mergeCell ref="F998:G998"/>
    <mergeCell ref="I998:J998"/>
    <mergeCell ref="F999:G999"/>
    <mergeCell ref="I999:J999"/>
    <mergeCell ref="F994:G994"/>
    <mergeCell ref="I994:J994"/>
    <mergeCell ref="F995:G995"/>
    <mergeCell ref="I995:J995"/>
    <mergeCell ref="F996:G996"/>
    <mergeCell ref="I996:J996"/>
    <mergeCell ref="F991:G991"/>
    <mergeCell ref="I991:J991"/>
    <mergeCell ref="F992:G992"/>
    <mergeCell ref="I992:J992"/>
    <mergeCell ref="F993:G993"/>
    <mergeCell ref="I993:J993"/>
    <mergeCell ref="F988:G988"/>
    <mergeCell ref="I988:J988"/>
    <mergeCell ref="F989:G989"/>
    <mergeCell ref="I989:J989"/>
    <mergeCell ref="F990:G990"/>
    <mergeCell ref="I990:J990"/>
    <mergeCell ref="F985:G985"/>
    <mergeCell ref="I985:J985"/>
    <mergeCell ref="F986:G986"/>
    <mergeCell ref="I986:J986"/>
    <mergeCell ref="F987:G987"/>
    <mergeCell ref="I987:J987"/>
    <mergeCell ref="F982:G982"/>
    <mergeCell ref="I982:J982"/>
    <mergeCell ref="F983:G983"/>
    <mergeCell ref="I983:J983"/>
    <mergeCell ref="F984:G984"/>
    <mergeCell ref="I984:J984"/>
    <mergeCell ref="F979:G979"/>
    <mergeCell ref="I979:J979"/>
    <mergeCell ref="F980:G980"/>
    <mergeCell ref="I980:J980"/>
    <mergeCell ref="F981:G981"/>
    <mergeCell ref="I981:J981"/>
    <mergeCell ref="F976:G976"/>
    <mergeCell ref="I976:J976"/>
    <mergeCell ref="F977:G977"/>
    <mergeCell ref="I977:J977"/>
    <mergeCell ref="F978:G978"/>
    <mergeCell ref="I978:J978"/>
    <mergeCell ref="F973:G973"/>
    <mergeCell ref="I973:J973"/>
    <mergeCell ref="F974:G974"/>
    <mergeCell ref="I974:J974"/>
    <mergeCell ref="F975:G975"/>
    <mergeCell ref="I975:J975"/>
    <mergeCell ref="F970:G970"/>
    <mergeCell ref="I970:J970"/>
    <mergeCell ref="F971:G971"/>
    <mergeCell ref="I971:J971"/>
    <mergeCell ref="F972:G972"/>
    <mergeCell ref="I972:J972"/>
    <mergeCell ref="F967:G967"/>
    <mergeCell ref="I967:J967"/>
    <mergeCell ref="F968:G968"/>
    <mergeCell ref="I968:J968"/>
    <mergeCell ref="F969:G969"/>
    <mergeCell ref="I969:J969"/>
    <mergeCell ref="F964:G964"/>
    <mergeCell ref="I964:J964"/>
    <mergeCell ref="F965:G965"/>
    <mergeCell ref="I965:J965"/>
    <mergeCell ref="F966:G966"/>
    <mergeCell ref="I966:J966"/>
    <mergeCell ref="F961:G961"/>
    <mergeCell ref="I961:J961"/>
    <mergeCell ref="F962:G962"/>
    <mergeCell ref="I962:J962"/>
    <mergeCell ref="F963:G963"/>
    <mergeCell ref="I963:J963"/>
    <mergeCell ref="F958:G958"/>
    <mergeCell ref="I958:J958"/>
    <mergeCell ref="F959:G959"/>
    <mergeCell ref="I959:J959"/>
    <mergeCell ref="F960:G960"/>
    <mergeCell ref="I960:J960"/>
    <mergeCell ref="F955:G955"/>
    <mergeCell ref="I955:J955"/>
    <mergeCell ref="F956:G956"/>
    <mergeCell ref="I956:J956"/>
    <mergeCell ref="F957:G957"/>
    <mergeCell ref="I957:J957"/>
    <mergeCell ref="F952:G952"/>
    <mergeCell ref="I952:J952"/>
    <mergeCell ref="F953:G953"/>
    <mergeCell ref="I953:J953"/>
    <mergeCell ref="F954:G954"/>
    <mergeCell ref="I954:J954"/>
    <mergeCell ref="F949:G949"/>
    <mergeCell ref="I949:J949"/>
    <mergeCell ref="F950:G950"/>
    <mergeCell ref="I950:J950"/>
    <mergeCell ref="F951:G951"/>
    <mergeCell ref="I951:J951"/>
    <mergeCell ref="F946:G946"/>
    <mergeCell ref="I946:J946"/>
    <mergeCell ref="F947:G947"/>
    <mergeCell ref="I947:J947"/>
    <mergeCell ref="F948:G948"/>
    <mergeCell ref="I948:J948"/>
    <mergeCell ref="F943:G943"/>
    <mergeCell ref="I943:J943"/>
    <mergeCell ref="F944:G944"/>
    <mergeCell ref="I944:J944"/>
    <mergeCell ref="F945:G945"/>
    <mergeCell ref="I945:J945"/>
    <mergeCell ref="F940:G940"/>
    <mergeCell ref="I940:J940"/>
    <mergeCell ref="F941:G941"/>
    <mergeCell ref="I941:J941"/>
    <mergeCell ref="F942:G942"/>
    <mergeCell ref="I942:J942"/>
    <mergeCell ref="F937:G937"/>
    <mergeCell ref="I937:J937"/>
    <mergeCell ref="F938:G938"/>
    <mergeCell ref="I938:J938"/>
    <mergeCell ref="F939:G939"/>
    <mergeCell ref="I939:J939"/>
    <mergeCell ref="F934:G934"/>
    <mergeCell ref="I934:J934"/>
    <mergeCell ref="F935:G935"/>
    <mergeCell ref="I935:J935"/>
    <mergeCell ref="F936:G936"/>
    <mergeCell ref="I936:J936"/>
    <mergeCell ref="F931:G931"/>
    <mergeCell ref="I931:J931"/>
    <mergeCell ref="F932:G932"/>
    <mergeCell ref="I932:J932"/>
    <mergeCell ref="F933:G933"/>
    <mergeCell ref="I933:J933"/>
    <mergeCell ref="F928:G928"/>
    <mergeCell ref="I928:J928"/>
    <mergeCell ref="F929:G929"/>
    <mergeCell ref="I929:J929"/>
    <mergeCell ref="F930:G930"/>
    <mergeCell ref="I930:J930"/>
    <mergeCell ref="F925:G925"/>
    <mergeCell ref="I925:J925"/>
    <mergeCell ref="F926:G926"/>
    <mergeCell ref="I926:J926"/>
    <mergeCell ref="F927:G927"/>
    <mergeCell ref="I927:J927"/>
    <mergeCell ref="F922:G922"/>
    <mergeCell ref="I922:J922"/>
    <mergeCell ref="F923:G923"/>
    <mergeCell ref="I923:J923"/>
    <mergeCell ref="F924:G924"/>
    <mergeCell ref="I924:J924"/>
    <mergeCell ref="F919:G919"/>
    <mergeCell ref="I919:J919"/>
    <mergeCell ref="F920:G920"/>
    <mergeCell ref="I920:J920"/>
    <mergeCell ref="F921:G921"/>
    <mergeCell ref="I921:J921"/>
    <mergeCell ref="F916:G916"/>
    <mergeCell ref="I916:J916"/>
    <mergeCell ref="F917:G917"/>
    <mergeCell ref="I917:J917"/>
    <mergeCell ref="F918:G918"/>
    <mergeCell ref="I918:J918"/>
    <mergeCell ref="F913:G913"/>
    <mergeCell ref="I913:J913"/>
    <mergeCell ref="F914:G914"/>
    <mergeCell ref="I914:J914"/>
    <mergeCell ref="F915:G915"/>
    <mergeCell ref="I915:J915"/>
    <mergeCell ref="F910:G910"/>
    <mergeCell ref="I910:J910"/>
    <mergeCell ref="F911:G911"/>
    <mergeCell ref="I911:J911"/>
    <mergeCell ref="F912:G912"/>
    <mergeCell ref="I912:J912"/>
    <mergeCell ref="F907:G907"/>
    <mergeCell ref="I907:J907"/>
    <mergeCell ref="F908:G908"/>
    <mergeCell ref="I908:J908"/>
    <mergeCell ref="F909:G909"/>
    <mergeCell ref="I909:J909"/>
    <mergeCell ref="F904:G904"/>
    <mergeCell ref="I904:J904"/>
    <mergeCell ref="F905:G905"/>
    <mergeCell ref="I905:J905"/>
    <mergeCell ref="F906:G906"/>
    <mergeCell ref="I906:J906"/>
    <mergeCell ref="F901:G901"/>
    <mergeCell ref="I901:J901"/>
    <mergeCell ref="F902:G902"/>
    <mergeCell ref="I902:J902"/>
    <mergeCell ref="F903:G903"/>
    <mergeCell ref="I903:J903"/>
    <mergeCell ref="F898:G898"/>
    <mergeCell ref="I898:J898"/>
    <mergeCell ref="F899:G899"/>
    <mergeCell ref="I899:J899"/>
    <mergeCell ref="F900:G900"/>
    <mergeCell ref="I900:J900"/>
    <mergeCell ref="F895:G895"/>
    <mergeCell ref="I895:J895"/>
    <mergeCell ref="F896:G896"/>
    <mergeCell ref="I896:J896"/>
    <mergeCell ref="F897:G897"/>
    <mergeCell ref="I897:J897"/>
    <mergeCell ref="F892:G892"/>
    <mergeCell ref="I892:J892"/>
    <mergeCell ref="F893:G893"/>
    <mergeCell ref="I893:J893"/>
    <mergeCell ref="F894:G894"/>
    <mergeCell ref="I894:J894"/>
    <mergeCell ref="F889:G889"/>
    <mergeCell ref="I889:J889"/>
    <mergeCell ref="F890:G890"/>
    <mergeCell ref="I890:J890"/>
    <mergeCell ref="F891:G891"/>
    <mergeCell ref="I891:J891"/>
    <mergeCell ref="F886:G886"/>
    <mergeCell ref="I886:J886"/>
    <mergeCell ref="F887:G887"/>
    <mergeCell ref="I887:J887"/>
    <mergeCell ref="F888:G888"/>
    <mergeCell ref="I888:J888"/>
    <mergeCell ref="F883:G883"/>
    <mergeCell ref="I883:J883"/>
    <mergeCell ref="F884:G884"/>
    <mergeCell ref="I884:J884"/>
    <mergeCell ref="F885:G885"/>
    <mergeCell ref="I885:J885"/>
    <mergeCell ref="F880:G880"/>
    <mergeCell ref="I880:J880"/>
    <mergeCell ref="F881:G881"/>
    <mergeCell ref="I881:J881"/>
    <mergeCell ref="F882:G882"/>
    <mergeCell ref="I882:J882"/>
    <mergeCell ref="F877:G877"/>
    <mergeCell ref="I877:J877"/>
    <mergeCell ref="F878:G878"/>
    <mergeCell ref="I878:J878"/>
    <mergeCell ref="F879:G879"/>
    <mergeCell ref="I879:J879"/>
    <mergeCell ref="F874:G874"/>
    <mergeCell ref="I874:J874"/>
    <mergeCell ref="F875:G875"/>
    <mergeCell ref="I875:J875"/>
    <mergeCell ref="F876:G876"/>
    <mergeCell ref="I876:J876"/>
    <mergeCell ref="F871:G871"/>
    <mergeCell ref="I871:J871"/>
    <mergeCell ref="F872:G872"/>
    <mergeCell ref="I872:J872"/>
    <mergeCell ref="F873:G873"/>
    <mergeCell ref="I873:J873"/>
    <mergeCell ref="F868:G868"/>
    <mergeCell ref="I868:J868"/>
    <mergeCell ref="F869:G869"/>
    <mergeCell ref="I869:J869"/>
    <mergeCell ref="F870:G870"/>
    <mergeCell ref="I870:J870"/>
    <mergeCell ref="F865:G865"/>
    <mergeCell ref="I865:J865"/>
    <mergeCell ref="F866:G866"/>
    <mergeCell ref="I866:J866"/>
    <mergeCell ref="F867:G867"/>
    <mergeCell ref="I867:J867"/>
    <mergeCell ref="F862:G862"/>
    <mergeCell ref="I862:J862"/>
    <mergeCell ref="F863:G863"/>
    <mergeCell ref="I863:J863"/>
    <mergeCell ref="F864:G864"/>
    <mergeCell ref="I864:J864"/>
    <mergeCell ref="F859:G859"/>
    <mergeCell ref="I859:J859"/>
    <mergeCell ref="F860:G860"/>
    <mergeCell ref="I860:J860"/>
    <mergeCell ref="F861:G861"/>
    <mergeCell ref="I861:J861"/>
    <mergeCell ref="F856:G856"/>
    <mergeCell ref="I856:J856"/>
    <mergeCell ref="F857:G857"/>
    <mergeCell ref="I857:J857"/>
    <mergeCell ref="F858:G858"/>
    <mergeCell ref="I858:J858"/>
    <mergeCell ref="F853:G853"/>
    <mergeCell ref="I853:J853"/>
    <mergeCell ref="F854:G854"/>
    <mergeCell ref="I854:J854"/>
    <mergeCell ref="F855:G855"/>
    <mergeCell ref="I855:J855"/>
    <mergeCell ref="F850:G850"/>
    <mergeCell ref="I850:J850"/>
    <mergeCell ref="F851:G851"/>
    <mergeCell ref="I851:J851"/>
    <mergeCell ref="F852:G852"/>
    <mergeCell ref="I852:J852"/>
    <mergeCell ref="F847:G847"/>
    <mergeCell ref="I847:J847"/>
    <mergeCell ref="F848:G848"/>
    <mergeCell ref="I848:J848"/>
    <mergeCell ref="F849:G849"/>
    <mergeCell ref="I849:J849"/>
    <mergeCell ref="F844:G844"/>
    <mergeCell ref="I844:J844"/>
    <mergeCell ref="F845:G845"/>
    <mergeCell ref="I845:J845"/>
    <mergeCell ref="F846:G846"/>
    <mergeCell ref="I846:J846"/>
    <mergeCell ref="F841:G841"/>
    <mergeCell ref="I841:J841"/>
    <mergeCell ref="F842:G842"/>
    <mergeCell ref="I842:J842"/>
    <mergeCell ref="F843:G843"/>
    <mergeCell ref="I843:J843"/>
    <mergeCell ref="F838:G838"/>
    <mergeCell ref="I838:J838"/>
    <mergeCell ref="F839:G839"/>
    <mergeCell ref="I839:J839"/>
    <mergeCell ref="F840:G840"/>
    <mergeCell ref="I840:J840"/>
    <mergeCell ref="F835:G835"/>
    <mergeCell ref="I835:J835"/>
    <mergeCell ref="F836:G836"/>
    <mergeCell ref="I836:J836"/>
    <mergeCell ref="F837:G837"/>
    <mergeCell ref="I837:J837"/>
    <mergeCell ref="F832:G832"/>
    <mergeCell ref="I832:J832"/>
    <mergeCell ref="F833:G833"/>
    <mergeCell ref="I833:J833"/>
    <mergeCell ref="F834:G834"/>
    <mergeCell ref="I834:J834"/>
    <mergeCell ref="F829:G829"/>
    <mergeCell ref="I829:J829"/>
    <mergeCell ref="F830:G830"/>
    <mergeCell ref="I830:J830"/>
    <mergeCell ref="F831:G831"/>
    <mergeCell ref="I831:J831"/>
    <mergeCell ref="F826:G826"/>
    <mergeCell ref="I826:J826"/>
    <mergeCell ref="F827:G827"/>
    <mergeCell ref="I827:J827"/>
    <mergeCell ref="F828:G828"/>
    <mergeCell ref="I828:J828"/>
    <mergeCell ref="F823:G823"/>
    <mergeCell ref="I823:J823"/>
    <mergeCell ref="F824:G824"/>
    <mergeCell ref="I824:J824"/>
    <mergeCell ref="F825:G825"/>
    <mergeCell ref="I825:J825"/>
    <mergeCell ref="F820:G820"/>
    <mergeCell ref="I820:J820"/>
    <mergeCell ref="F821:G821"/>
    <mergeCell ref="I821:J821"/>
    <mergeCell ref="F822:G822"/>
    <mergeCell ref="I822:J822"/>
    <mergeCell ref="F817:G817"/>
    <mergeCell ref="I817:J817"/>
    <mergeCell ref="F818:G818"/>
    <mergeCell ref="I818:J818"/>
    <mergeCell ref="F819:G819"/>
    <mergeCell ref="I819:J819"/>
    <mergeCell ref="F814:G814"/>
    <mergeCell ref="I814:J814"/>
    <mergeCell ref="F815:G815"/>
    <mergeCell ref="I815:J815"/>
    <mergeCell ref="F816:G816"/>
    <mergeCell ref="I816:J816"/>
    <mergeCell ref="F811:G811"/>
    <mergeCell ref="I811:J811"/>
    <mergeCell ref="F812:G812"/>
    <mergeCell ref="I812:J812"/>
    <mergeCell ref="F813:G813"/>
    <mergeCell ref="I813:J813"/>
    <mergeCell ref="F808:G808"/>
    <mergeCell ref="I808:J808"/>
    <mergeCell ref="F809:G809"/>
    <mergeCell ref="I809:J809"/>
    <mergeCell ref="F810:G810"/>
    <mergeCell ref="I810:J810"/>
    <mergeCell ref="F805:G805"/>
    <mergeCell ref="I805:J805"/>
    <mergeCell ref="F806:G806"/>
    <mergeCell ref="I806:J806"/>
    <mergeCell ref="F807:G807"/>
    <mergeCell ref="I807:J807"/>
    <mergeCell ref="F802:G802"/>
    <mergeCell ref="I802:J802"/>
    <mergeCell ref="F803:G803"/>
    <mergeCell ref="I803:J803"/>
    <mergeCell ref="F804:G804"/>
    <mergeCell ref="I804:J804"/>
    <mergeCell ref="F799:G799"/>
    <mergeCell ref="I799:J799"/>
    <mergeCell ref="F800:G800"/>
    <mergeCell ref="I800:J800"/>
    <mergeCell ref="F801:G801"/>
    <mergeCell ref="I801:J801"/>
    <mergeCell ref="F796:G796"/>
    <mergeCell ref="I796:J796"/>
    <mergeCell ref="F797:G797"/>
    <mergeCell ref="I797:J797"/>
    <mergeCell ref="F798:G798"/>
    <mergeCell ref="I798:J798"/>
    <mergeCell ref="F793:G793"/>
    <mergeCell ref="I793:J793"/>
    <mergeCell ref="F794:G794"/>
    <mergeCell ref="I794:J794"/>
    <mergeCell ref="F795:G795"/>
    <mergeCell ref="I795:J795"/>
    <mergeCell ref="F790:G790"/>
    <mergeCell ref="I790:J790"/>
    <mergeCell ref="F791:G791"/>
    <mergeCell ref="I791:J791"/>
    <mergeCell ref="F792:G792"/>
    <mergeCell ref="I792:J792"/>
    <mergeCell ref="F787:G787"/>
    <mergeCell ref="I787:J787"/>
    <mergeCell ref="F788:G788"/>
    <mergeCell ref="I788:J788"/>
    <mergeCell ref="F789:G789"/>
    <mergeCell ref="I789:J789"/>
    <mergeCell ref="F784:G784"/>
    <mergeCell ref="I784:J784"/>
    <mergeCell ref="F785:G785"/>
    <mergeCell ref="I785:J785"/>
    <mergeCell ref="F786:G786"/>
    <mergeCell ref="I786:J786"/>
    <mergeCell ref="F781:G781"/>
    <mergeCell ref="I781:J781"/>
    <mergeCell ref="F782:G782"/>
    <mergeCell ref="I782:J782"/>
    <mergeCell ref="F783:G783"/>
    <mergeCell ref="I783:J783"/>
    <mergeCell ref="F778:G778"/>
    <mergeCell ref="I778:J778"/>
    <mergeCell ref="F779:G779"/>
    <mergeCell ref="I779:J779"/>
    <mergeCell ref="F780:G780"/>
    <mergeCell ref="I780:J780"/>
    <mergeCell ref="F775:G775"/>
    <mergeCell ref="I775:J775"/>
    <mergeCell ref="F776:G776"/>
    <mergeCell ref="I776:J776"/>
    <mergeCell ref="F777:G777"/>
    <mergeCell ref="I777:J777"/>
    <mergeCell ref="F772:G772"/>
    <mergeCell ref="I772:J772"/>
    <mergeCell ref="F773:G773"/>
    <mergeCell ref="I773:J773"/>
    <mergeCell ref="F774:G774"/>
    <mergeCell ref="I774:J774"/>
    <mergeCell ref="F769:G769"/>
    <mergeCell ref="I769:J769"/>
    <mergeCell ref="F770:G770"/>
    <mergeCell ref="I770:J770"/>
    <mergeCell ref="F771:G771"/>
    <mergeCell ref="I771:J771"/>
    <mergeCell ref="F766:G766"/>
    <mergeCell ref="I766:J766"/>
    <mergeCell ref="F767:G767"/>
    <mergeCell ref="I767:J767"/>
    <mergeCell ref="F768:G768"/>
    <mergeCell ref="I768:J768"/>
    <mergeCell ref="F763:G763"/>
    <mergeCell ref="I763:J763"/>
    <mergeCell ref="F764:G764"/>
    <mergeCell ref="I764:J764"/>
    <mergeCell ref="F765:G765"/>
    <mergeCell ref="I765:J765"/>
    <mergeCell ref="F760:G760"/>
    <mergeCell ref="I760:J760"/>
    <mergeCell ref="F761:G761"/>
    <mergeCell ref="I761:J761"/>
    <mergeCell ref="F762:G762"/>
    <mergeCell ref="I762:J762"/>
    <mergeCell ref="F757:G757"/>
    <mergeCell ref="I757:J757"/>
    <mergeCell ref="F758:G758"/>
    <mergeCell ref="I758:J758"/>
    <mergeCell ref="F759:G759"/>
    <mergeCell ref="I759:J759"/>
    <mergeCell ref="F754:G754"/>
    <mergeCell ref="I754:J754"/>
    <mergeCell ref="F755:G755"/>
    <mergeCell ref="I755:J755"/>
    <mergeCell ref="F756:G756"/>
    <mergeCell ref="I756:J756"/>
    <mergeCell ref="F751:G751"/>
    <mergeCell ref="I751:J751"/>
    <mergeCell ref="F752:G752"/>
    <mergeCell ref="I752:J752"/>
    <mergeCell ref="F753:G753"/>
    <mergeCell ref="I753:J753"/>
    <mergeCell ref="F748:G748"/>
    <mergeCell ref="I748:J748"/>
    <mergeCell ref="F749:G749"/>
    <mergeCell ref="I749:J749"/>
    <mergeCell ref="F750:G750"/>
    <mergeCell ref="I750:J750"/>
    <mergeCell ref="F745:G745"/>
    <mergeCell ref="I745:J745"/>
    <mergeCell ref="F746:G746"/>
    <mergeCell ref="I746:J746"/>
    <mergeCell ref="F747:G747"/>
    <mergeCell ref="I747:J747"/>
    <mergeCell ref="F742:G742"/>
    <mergeCell ref="I742:J742"/>
    <mergeCell ref="F743:G743"/>
    <mergeCell ref="I743:J743"/>
    <mergeCell ref="F744:G744"/>
    <mergeCell ref="I744:J744"/>
    <mergeCell ref="F739:G739"/>
    <mergeCell ref="I739:J739"/>
    <mergeCell ref="F740:G740"/>
    <mergeCell ref="I740:J740"/>
    <mergeCell ref="F741:G741"/>
    <mergeCell ref="I741:J741"/>
    <mergeCell ref="F736:G736"/>
    <mergeCell ref="I736:J736"/>
    <mergeCell ref="F737:G737"/>
    <mergeCell ref="I737:J737"/>
    <mergeCell ref="F738:G738"/>
    <mergeCell ref="I738:J738"/>
    <mergeCell ref="F733:G733"/>
    <mergeCell ref="I733:J733"/>
    <mergeCell ref="F734:G734"/>
    <mergeCell ref="I734:J734"/>
    <mergeCell ref="F735:G735"/>
    <mergeCell ref="I735:J735"/>
    <mergeCell ref="F730:G730"/>
    <mergeCell ref="I730:J730"/>
    <mergeCell ref="F731:G731"/>
    <mergeCell ref="I731:J731"/>
    <mergeCell ref="F732:G732"/>
    <mergeCell ref="I732:J732"/>
    <mergeCell ref="F727:G727"/>
    <mergeCell ref="I727:J727"/>
    <mergeCell ref="F728:G728"/>
    <mergeCell ref="I728:J728"/>
    <mergeCell ref="F729:G729"/>
    <mergeCell ref="I729:J729"/>
    <mergeCell ref="F724:G724"/>
    <mergeCell ref="I724:J724"/>
    <mergeCell ref="F725:G725"/>
    <mergeCell ref="I725:J725"/>
    <mergeCell ref="F726:G726"/>
    <mergeCell ref="I726:J726"/>
    <mergeCell ref="F721:G721"/>
    <mergeCell ref="I721:J721"/>
    <mergeCell ref="F722:G722"/>
    <mergeCell ref="I722:J722"/>
    <mergeCell ref="F723:G723"/>
    <mergeCell ref="I723:J723"/>
    <mergeCell ref="F718:G718"/>
    <mergeCell ref="I718:J718"/>
    <mergeCell ref="F719:G719"/>
    <mergeCell ref="I719:J719"/>
    <mergeCell ref="F720:G720"/>
    <mergeCell ref="I720:J720"/>
    <mergeCell ref="F715:G715"/>
    <mergeCell ref="I715:J715"/>
    <mergeCell ref="F716:G716"/>
    <mergeCell ref="I716:J716"/>
    <mergeCell ref="F717:G717"/>
    <mergeCell ref="I717:J717"/>
    <mergeCell ref="F712:G712"/>
    <mergeCell ref="I712:J712"/>
    <mergeCell ref="F713:G713"/>
    <mergeCell ref="I713:J713"/>
    <mergeCell ref="F714:G714"/>
    <mergeCell ref="I714:J714"/>
    <mergeCell ref="F709:G709"/>
    <mergeCell ref="I709:J709"/>
    <mergeCell ref="F710:G710"/>
    <mergeCell ref="I710:J710"/>
    <mergeCell ref="F711:G711"/>
    <mergeCell ref="I711:J711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00:G700"/>
    <mergeCell ref="I700:J700"/>
    <mergeCell ref="F701:G701"/>
    <mergeCell ref="I701:J701"/>
    <mergeCell ref="F702:G702"/>
    <mergeCell ref="I702:J702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691:G691"/>
    <mergeCell ref="I691:J691"/>
    <mergeCell ref="F692:G692"/>
    <mergeCell ref="I692:J692"/>
    <mergeCell ref="F693:G693"/>
    <mergeCell ref="I693:J693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682:G682"/>
    <mergeCell ref="I682:J682"/>
    <mergeCell ref="F683:G683"/>
    <mergeCell ref="I683:J683"/>
    <mergeCell ref="F684:G684"/>
    <mergeCell ref="I684:J684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73:G673"/>
    <mergeCell ref="I673:J673"/>
    <mergeCell ref="F674:G674"/>
    <mergeCell ref="I674:J674"/>
    <mergeCell ref="F675:G675"/>
    <mergeCell ref="I675:J675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64:G664"/>
    <mergeCell ref="I664:J664"/>
    <mergeCell ref="F665:G665"/>
    <mergeCell ref="I665:J665"/>
    <mergeCell ref="F666:G666"/>
    <mergeCell ref="I666:J666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55:G655"/>
    <mergeCell ref="I655:J655"/>
    <mergeCell ref="F656:G656"/>
    <mergeCell ref="I656:J656"/>
    <mergeCell ref="F657:G657"/>
    <mergeCell ref="I657:J657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46:G646"/>
    <mergeCell ref="I646:J646"/>
    <mergeCell ref="F647:G647"/>
    <mergeCell ref="I647:J647"/>
    <mergeCell ref="F648:G648"/>
    <mergeCell ref="I648:J648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37:G637"/>
    <mergeCell ref="I637:J637"/>
    <mergeCell ref="F638:G638"/>
    <mergeCell ref="I638:J638"/>
    <mergeCell ref="F639:G639"/>
    <mergeCell ref="I639:J639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28:G628"/>
    <mergeCell ref="I628:J628"/>
    <mergeCell ref="F629:G629"/>
    <mergeCell ref="I629:J629"/>
    <mergeCell ref="F630:G630"/>
    <mergeCell ref="I630:J630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19:G619"/>
    <mergeCell ref="I619:J619"/>
    <mergeCell ref="F620:G620"/>
    <mergeCell ref="I620:J620"/>
    <mergeCell ref="F621:G621"/>
    <mergeCell ref="I621:J621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10:G610"/>
    <mergeCell ref="I610:J610"/>
    <mergeCell ref="F611:G611"/>
    <mergeCell ref="I611:J611"/>
    <mergeCell ref="F612:G612"/>
    <mergeCell ref="I612:J612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5B0B-A44C-465F-AB56-680E0B3EBF9C}">
  <sheetPr filterMode="1"/>
  <dimension ref="A1:L233"/>
  <sheetViews>
    <sheetView topLeftCell="A139" workbookViewId="0">
      <selection activeCell="J231" sqref="J231:J235"/>
    </sheetView>
  </sheetViews>
  <sheetFormatPr defaultRowHeight="14.4" x14ac:dyDescent="0.3"/>
  <cols>
    <col min="2" max="4" width="22.88671875" customWidth="1"/>
    <col min="10" max="10" width="11.33203125" bestFit="1" customWidth="1"/>
  </cols>
  <sheetData>
    <row r="1" spans="1:12" x14ac:dyDescent="0.3">
      <c r="A1" s="141" t="s">
        <v>0</v>
      </c>
      <c r="B1" s="142" t="s">
        <v>1</v>
      </c>
      <c r="C1" s="142" t="s">
        <v>2</v>
      </c>
      <c r="D1" s="143" t="s">
        <v>3</v>
      </c>
      <c r="E1" s="144" t="s">
        <v>4</v>
      </c>
      <c r="F1" s="144"/>
      <c r="G1" s="144"/>
      <c r="H1" s="145" t="s">
        <v>5</v>
      </c>
      <c r="I1" s="145"/>
      <c r="J1" s="145"/>
      <c r="K1" s="142" t="s">
        <v>6</v>
      </c>
      <c r="L1" s="142"/>
    </row>
    <row r="2" spans="1:12" hidden="1" x14ac:dyDescent="0.3">
      <c r="A2" s="146"/>
      <c r="B2" s="147"/>
      <c r="C2" s="147"/>
      <c r="D2" s="148"/>
      <c r="E2" s="149" t="s">
        <v>7</v>
      </c>
      <c r="F2" s="150"/>
      <c r="G2" s="150"/>
      <c r="H2" s="151" t="s">
        <v>7</v>
      </c>
      <c r="I2" s="152"/>
      <c r="J2" s="152"/>
      <c r="K2" s="146"/>
      <c r="L2" s="153"/>
    </row>
    <row r="3" spans="1:12" ht="61.2" hidden="1" x14ac:dyDescent="0.3">
      <c r="A3" s="154" t="s">
        <v>9</v>
      </c>
      <c r="B3" s="155" t="s">
        <v>868</v>
      </c>
      <c r="C3" s="155" t="s">
        <v>869</v>
      </c>
      <c r="D3" s="155" t="s">
        <v>870</v>
      </c>
      <c r="E3" s="156" t="s">
        <v>751</v>
      </c>
      <c r="F3" s="157">
        <v>11138.87</v>
      </c>
      <c r="G3" s="157"/>
      <c r="H3" s="156" t="s">
        <v>14</v>
      </c>
      <c r="I3" s="158" t="s">
        <v>15</v>
      </c>
      <c r="J3" s="158"/>
      <c r="K3" s="159" t="s">
        <v>8</v>
      </c>
      <c r="L3" s="160">
        <v>5481174.9699999997</v>
      </c>
    </row>
    <row r="4" spans="1:12" ht="61.2" hidden="1" x14ac:dyDescent="0.3">
      <c r="A4" s="154" t="s">
        <v>9</v>
      </c>
      <c r="B4" s="155" t="s">
        <v>871</v>
      </c>
      <c r="C4" s="155" t="s">
        <v>872</v>
      </c>
      <c r="D4" s="155" t="s">
        <v>873</v>
      </c>
      <c r="E4" s="156" t="s">
        <v>751</v>
      </c>
      <c r="F4" s="157">
        <v>30216.87</v>
      </c>
      <c r="G4" s="157"/>
      <c r="H4" s="156" t="s">
        <v>14</v>
      </c>
      <c r="I4" s="158" t="s">
        <v>15</v>
      </c>
      <c r="J4" s="158"/>
      <c r="K4" s="159" t="s">
        <v>8</v>
      </c>
      <c r="L4" s="160">
        <v>5511391.8399999999</v>
      </c>
    </row>
    <row r="5" spans="1:12" ht="61.2" hidden="1" x14ac:dyDescent="0.3">
      <c r="A5" s="154" t="s">
        <v>9</v>
      </c>
      <c r="B5" s="155" t="s">
        <v>874</v>
      </c>
      <c r="C5" s="155" t="s">
        <v>875</v>
      </c>
      <c r="D5" s="155" t="s">
        <v>876</v>
      </c>
      <c r="E5" s="156" t="s">
        <v>751</v>
      </c>
      <c r="F5" s="157">
        <v>30216.87</v>
      </c>
      <c r="G5" s="157"/>
      <c r="H5" s="156" t="s">
        <v>14</v>
      </c>
      <c r="I5" s="158" t="s">
        <v>15</v>
      </c>
      <c r="J5" s="158"/>
      <c r="K5" s="159" t="s">
        <v>8</v>
      </c>
      <c r="L5" s="160">
        <v>5541608.71</v>
      </c>
    </row>
    <row r="6" spans="1:12" ht="61.2" hidden="1" x14ac:dyDescent="0.3">
      <c r="A6" s="154" t="s">
        <v>9</v>
      </c>
      <c r="B6" s="155" t="s">
        <v>877</v>
      </c>
      <c r="C6" s="155" t="s">
        <v>878</v>
      </c>
      <c r="D6" s="155" t="s">
        <v>879</v>
      </c>
      <c r="E6" s="156" t="s">
        <v>751</v>
      </c>
      <c r="F6" s="157">
        <v>35070</v>
      </c>
      <c r="G6" s="157"/>
      <c r="H6" s="156" t="s">
        <v>14</v>
      </c>
      <c r="I6" s="158" t="s">
        <v>15</v>
      </c>
      <c r="J6" s="158"/>
      <c r="K6" s="159" t="s">
        <v>8</v>
      </c>
      <c r="L6" s="160">
        <v>5576678.71</v>
      </c>
    </row>
    <row r="7" spans="1:12" ht="61.2" hidden="1" x14ac:dyDescent="0.3">
      <c r="A7" s="154" t="s">
        <v>9</v>
      </c>
      <c r="B7" s="155" t="s">
        <v>880</v>
      </c>
      <c r="C7" s="155" t="s">
        <v>881</v>
      </c>
      <c r="D7" s="155" t="s">
        <v>882</v>
      </c>
      <c r="E7" s="156" t="s">
        <v>751</v>
      </c>
      <c r="F7" s="157">
        <v>61749.599999999999</v>
      </c>
      <c r="G7" s="157"/>
      <c r="H7" s="156" t="s">
        <v>14</v>
      </c>
      <c r="I7" s="158" t="s">
        <v>15</v>
      </c>
      <c r="J7" s="158"/>
      <c r="K7" s="159" t="s">
        <v>8</v>
      </c>
      <c r="L7" s="160">
        <v>5638428.3099999996</v>
      </c>
    </row>
    <row r="8" spans="1:12" ht="61.2" hidden="1" x14ac:dyDescent="0.3">
      <c r="A8" s="154" t="s">
        <v>9</v>
      </c>
      <c r="B8" s="155" t="s">
        <v>880</v>
      </c>
      <c r="C8" s="155" t="s">
        <v>881</v>
      </c>
      <c r="D8" s="155" t="s">
        <v>883</v>
      </c>
      <c r="E8" s="156" t="s">
        <v>751</v>
      </c>
      <c r="F8" s="157">
        <v>100000</v>
      </c>
      <c r="G8" s="157"/>
      <c r="H8" s="156" t="s">
        <v>14</v>
      </c>
      <c r="I8" s="158" t="s">
        <v>15</v>
      </c>
      <c r="J8" s="158"/>
      <c r="K8" s="159" t="s">
        <v>8</v>
      </c>
      <c r="L8" s="160">
        <v>5738428.3099999996</v>
      </c>
    </row>
    <row r="9" spans="1:12" ht="61.2" hidden="1" x14ac:dyDescent="0.3">
      <c r="A9" s="154" t="s">
        <v>9</v>
      </c>
      <c r="B9" s="155" t="s">
        <v>880</v>
      </c>
      <c r="C9" s="155" t="s">
        <v>881</v>
      </c>
      <c r="D9" s="155" t="s">
        <v>884</v>
      </c>
      <c r="E9" s="156" t="s">
        <v>751</v>
      </c>
      <c r="F9" s="157">
        <v>16466.400000000001</v>
      </c>
      <c r="G9" s="157"/>
      <c r="H9" s="156" t="s">
        <v>14</v>
      </c>
      <c r="I9" s="158" t="s">
        <v>15</v>
      </c>
      <c r="J9" s="158"/>
      <c r="K9" s="159" t="s">
        <v>8</v>
      </c>
      <c r="L9" s="160">
        <v>5754894.71</v>
      </c>
    </row>
    <row r="10" spans="1:12" ht="61.2" hidden="1" x14ac:dyDescent="0.3">
      <c r="A10" s="154" t="s">
        <v>9</v>
      </c>
      <c r="B10" s="155" t="s">
        <v>19</v>
      </c>
      <c r="C10" s="155" t="s">
        <v>885</v>
      </c>
      <c r="D10" s="155" t="s">
        <v>21</v>
      </c>
      <c r="E10" s="156" t="s">
        <v>751</v>
      </c>
      <c r="F10" s="161">
        <v>155.1</v>
      </c>
      <c r="G10" s="161"/>
      <c r="H10" s="156" t="s">
        <v>14</v>
      </c>
      <c r="I10" s="158" t="s">
        <v>15</v>
      </c>
      <c r="J10" s="158"/>
      <c r="K10" s="159" t="s">
        <v>8</v>
      </c>
      <c r="L10" s="160">
        <v>5755049.8099999996</v>
      </c>
    </row>
    <row r="11" spans="1:12" ht="71.400000000000006" hidden="1" x14ac:dyDescent="0.3">
      <c r="A11" s="154" t="s">
        <v>9</v>
      </c>
      <c r="B11" s="155" t="s">
        <v>19</v>
      </c>
      <c r="C11" s="155" t="s">
        <v>886</v>
      </c>
      <c r="D11" s="155" t="s">
        <v>21</v>
      </c>
      <c r="E11" s="156" t="s">
        <v>751</v>
      </c>
      <c r="F11" s="161">
        <v>427.5</v>
      </c>
      <c r="G11" s="161"/>
      <c r="H11" s="156" t="s">
        <v>14</v>
      </c>
      <c r="I11" s="158" t="s">
        <v>15</v>
      </c>
      <c r="J11" s="158"/>
      <c r="K11" s="159" t="s">
        <v>8</v>
      </c>
      <c r="L11" s="160">
        <v>5755477.3099999996</v>
      </c>
    </row>
    <row r="12" spans="1:12" ht="61.2" hidden="1" x14ac:dyDescent="0.3">
      <c r="A12" s="154" t="s">
        <v>9</v>
      </c>
      <c r="B12" s="155" t="s">
        <v>887</v>
      </c>
      <c r="C12" s="155" t="s">
        <v>888</v>
      </c>
      <c r="D12" s="155" t="s">
        <v>889</v>
      </c>
      <c r="E12" s="156" t="s">
        <v>751</v>
      </c>
      <c r="F12" s="157">
        <v>41905.599999999999</v>
      </c>
      <c r="G12" s="157"/>
      <c r="H12" s="156" t="s">
        <v>14</v>
      </c>
      <c r="I12" s="158" t="s">
        <v>15</v>
      </c>
      <c r="J12" s="158"/>
      <c r="K12" s="159" t="s">
        <v>8</v>
      </c>
      <c r="L12" s="160">
        <v>5797382.9100000001</v>
      </c>
    </row>
    <row r="13" spans="1:12" ht="61.2" hidden="1" x14ac:dyDescent="0.3">
      <c r="A13" s="154" t="s">
        <v>9</v>
      </c>
      <c r="B13" s="155" t="s">
        <v>890</v>
      </c>
      <c r="C13" s="155" t="s">
        <v>888</v>
      </c>
      <c r="D13" s="155" t="s">
        <v>891</v>
      </c>
      <c r="E13" s="156" t="s">
        <v>751</v>
      </c>
      <c r="F13" s="157">
        <v>82887.199999999997</v>
      </c>
      <c r="G13" s="157"/>
      <c r="H13" s="156" t="s">
        <v>14</v>
      </c>
      <c r="I13" s="158" t="s">
        <v>15</v>
      </c>
      <c r="J13" s="158"/>
      <c r="K13" s="159" t="s">
        <v>8</v>
      </c>
      <c r="L13" s="160">
        <v>5880270.1100000003</v>
      </c>
    </row>
    <row r="14" spans="1:12" ht="61.2" hidden="1" x14ac:dyDescent="0.3">
      <c r="A14" s="154" t="s">
        <v>9</v>
      </c>
      <c r="B14" s="155" t="s">
        <v>890</v>
      </c>
      <c r="C14" s="155" t="s">
        <v>888</v>
      </c>
      <c r="D14" s="155" t="s">
        <v>882</v>
      </c>
      <c r="E14" s="156" t="s">
        <v>751</v>
      </c>
      <c r="F14" s="157">
        <v>2607.1999999999998</v>
      </c>
      <c r="G14" s="157"/>
      <c r="H14" s="156" t="s">
        <v>14</v>
      </c>
      <c r="I14" s="158" t="s">
        <v>15</v>
      </c>
      <c r="J14" s="158"/>
      <c r="K14" s="159" t="s">
        <v>8</v>
      </c>
      <c r="L14" s="160">
        <v>5882877.3099999996</v>
      </c>
    </row>
    <row r="15" spans="1:12" ht="61.2" hidden="1" x14ac:dyDescent="0.3">
      <c r="A15" s="154" t="s">
        <v>9</v>
      </c>
      <c r="B15" s="155" t="s">
        <v>892</v>
      </c>
      <c r="C15" s="155" t="s">
        <v>893</v>
      </c>
      <c r="D15" s="155" t="s">
        <v>894</v>
      </c>
      <c r="E15" s="156" t="s">
        <v>751</v>
      </c>
      <c r="F15" s="157">
        <v>89108</v>
      </c>
      <c r="G15" s="157"/>
      <c r="H15" s="156" t="s">
        <v>14</v>
      </c>
      <c r="I15" s="158" t="s">
        <v>15</v>
      </c>
      <c r="J15" s="158"/>
      <c r="K15" s="159" t="s">
        <v>8</v>
      </c>
      <c r="L15" s="160">
        <v>5971985.3099999996</v>
      </c>
    </row>
    <row r="16" spans="1:12" ht="71.400000000000006" hidden="1" x14ac:dyDescent="0.3">
      <c r="A16" s="154" t="s">
        <v>9</v>
      </c>
      <c r="B16" s="155" t="s">
        <v>895</v>
      </c>
      <c r="C16" s="155" t="s">
        <v>896</v>
      </c>
      <c r="D16" s="155" t="s">
        <v>897</v>
      </c>
      <c r="E16" s="156" t="s">
        <v>751</v>
      </c>
      <c r="F16" s="157">
        <v>5351.5</v>
      </c>
      <c r="G16" s="157"/>
      <c r="H16" s="156" t="s">
        <v>14</v>
      </c>
      <c r="I16" s="158" t="s">
        <v>15</v>
      </c>
      <c r="J16" s="158"/>
      <c r="K16" s="159" t="s">
        <v>8</v>
      </c>
      <c r="L16" s="160">
        <v>5977336.8099999996</v>
      </c>
    </row>
    <row r="17" spans="1:12" ht="71.400000000000006" hidden="1" x14ac:dyDescent="0.3">
      <c r="A17" s="154" t="s">
        <v>9</v>
      </c>
      <c r="B17" s="155" t="s">
        <v>898</v>
      </c>
      <c r="C17" s="155" t="s">
        <v>899</v>
      </c>
      <c r="D17" s="155" t="s">
        <v>900</v>
      </c>
      <c r="E17" s="156" t="s">
        <v>751</v>
      </c>
      <c r="F17" s="157">
        <v>6763.33</v>
      </c>
      <c r="G17" s="157"/>
      <c r="H17" s="156" t="s">
        <v>14</v>
      </c>
      <c r="I17" s="158" t="s">
        <v>15</v>
      </c>
      <c r="J17" s="158"/>
      <c r="K17" s="159" t="s">
        <v>8</v>
      </c>
      <c r="L17" s="160">
        <v>5984100.1399999997</v>
      </c>
    </row>
    <row r="18" spans="1:12" ht="71.400000000000006" hidden="1" x14ac:dyDescent="0.3">
      <c r="A18" s="154" t="s">
        <v>9</v>
      </c>
      <c r="B18" s="155" t="s">
        <v>901</v>
      </c>
      <c r="C18" s="155" t="s">
        <v>899</v>
      </c>
      <c r="D18" s="155" t="s">
        <v>900</v>
      </c>
      <c r="E18" s="156" t="s">
        <v>751</v>
      </c>
      <c r="F18" s="157">
        <v>162320.01</v>
      </c>
      <c r="G18" s="157"/>
      <c r="H18" s="156" t="s">
        <v>14</v>
      </c>
      <c r="I18" s="158" t="s">
        <v>15</v>
      </c>
      <c r="J18" s="158"/>
      <c r="K18" s="159" t="s">
        <v>8</v>
      </c>
      <c r="L18" s="160">
        <v>6146420.1500000004</v>
      </c>
    </row>
    <row r="19" spans="1:12" ht="61.2" hidden="1" x14ac:dyDescent="0.3">
      <c r="A19" s="154" t="s">
        <v>9</v>
      </c>
      <c r="B19" s="155" t="s">
        <v>902</v>
      </c>
      <c r="C19" s="155" t="s">
        <v>903</v>
      </c>
      <c r="D19" s="155" t="s">
        <v>904</v>
      </c>
      <c r="E19" s="156" t="s">
        <v>751</v>
      </c>
      <c r="F19" s="157">
        <v>62040</v>
      </c>
      <c r="G19" s="157"/>
      <c r="H19" s="156" t="s">
        <v>14</v>
      </c>
      <c r="I19" s="158" t="s">
        <v>15</v>
      </c>
      <c r="J19" s="158"/>
      <c r="K19" s="159" t="s">
        <v>8</v>
      </c>
      <c r="L19" s="160">
        <v>6208460.1500000004</v>
      </c>
    </row>
    <row r="20" spans="1:12" ht="61.2" hidden="1" x14ac:dyDescent="0.3">
      <c r="A20" s="154" t="s">
        <v>9</v>
      </c>
      <c r="B20" s="155" t="s">
        <v>902</v>
      </c>
      <c r="C20" s="155" t="s">
        <v>905</v>
      </c>
      <c r="D20" s="155" t="s">
        <v>904</v>
      </c>
      <c r="E20" s="156" t="s">
        <v>751</v>
      </c>
      <c r="F20" s="157">
        <v>17274</v>
      </c>
      <c r="G20" s="157"/>
      <c r="H20" s="156" t="s">
        <v>14</v>
      </c>
      <c r="I20" s="158" t="s">
        <v>15</v>
      </c>
      <c r="J20" s="158"/>
      <c r="K20" s="159" t="s">
        <v>8</v>
      </c>
      <c r="L20" s="160">
        <v>6225734.1500000004</v>
      </c>
    </row>
    <row r="21" spans="1:12" ht="61.2" hidden="1" x14ac:dyDescent="0.3">
      <c r="A21" s="154" t="s">
        <v>9</v>
      </c>
      <c r="B21" s="155" t="s">
        <v>906</v>
      </c>
      <c r="C21" s="155" t="s">
        <v>907</v>
      </c>
      <c r="D21" s="155" t="s">
        <v>908</v>
      </c>
      <c r="E21" s="156" t="s">
        <v>751</v>
      </c>
      <c r="F21" s="157">
        <v>28790</v>
      </c>
      <c r="G21" s="157"/>
      <c r="H21" s="156" t="s">
        <v>14</v>
      </c>
      <c r="I21" s="158" t="s">
        <v>15</v>
      </c>
      <c r="J21" s="158"/>
      <c r="K21" s="159" t="s">
        <v>8</v>
      </c>
      <c r="L21" s="160">
        <v>6254524.1500000004</v>
      </c>
    </row>
    <row r="22" spans="1:12" ht="61.2" hidden="1" x14ac:dyDescent="0.3">
      <c r="A22" s="154" t="s">
        <v>9</v>
      </c>
      <c r="B22" s="155" t="s">
        <v>906</v>
      </c>
      <c r="C22" s="155" t="s">
        <v>909</v>
      </c>
      <c r="D22" s="155" t="s">
        <v>908</v>
      </c>
      <c r="E22" s="156" t="s">
        <v>751</v>
      </c>
      <c r="F22" s="157">
        <v>89108</v>
      </c>
      <c r="G22" s="157"/>
      <c r="H22" s="156" t="s">
        <v>14</v>
      </c>
      <c r="I22" s="158" t="s">
        <v>15</v>
      </c>
      <c r="J22" s="158"/>
      <c r="K22" s="159" t="s">
        <v>8</v>
      </c>
      <c r="L22" s="160">
        <v>6343632.1500000004</v>
      </c>
    </row>
    <row r="23" spans="1:12" ht="61.2" hidden="1" x14ac:dyDescent="0.3">
      <c r="A23" s="154" t="s">
        <v>9</v>
      </c>
      <c r="B23" s="155" t="s">
        <v>910</v>
      </c>
      <c r="C23" s="155" t="s">
        <v>911</v>
      </c>
      <c r="D23" s="155" t="s">
        <v>912</v>
      </c>
      <c r="E23" s="156" t="s">
        <v>751</v>
      </c>
      <c r="F23" s="157">
        <v>36050</v>
      </c>
      <c r="G23" s="157"/>
      <c r="H23" s="156" t="s">
        <v>14</v>
      </c>
      <c r="I23" s="158" t="s">
        <v>15</v>
      </c>
      <c r="J23" s="158"/>
      <c r="K23" s="159" t="s">
        <v>8</v>
      </c>
      <c r="L23" s="160">
        <v>6379682.1500000004</v>
      </c>
    </row>
    <row r="24" spans="1:12" ht="61.2" hidden="1" x14ac:dyDescent="0.3">
      <c r="A24" s="154" t="s">
        <v>9</v>
      </c>
      <c r="B24" s="155" t="s">
        <v>913</v>
      </c>
      <c r="C24" s="155" t="s">
        <v>914</v>
      </c>
      <c r="D24" s="155" t="s">
        <v>915</v>
      </c>
      <c r="E24" s="156" t="s">
        <v>751</v>
      </c>
      <c r="F24" s="157">
        <v>11516</v>
      </c>
      <c r="G24" s="157"/>
      <c r="H24" s="156" t="s">
        <v>14</v>
      </c>
      <c r="I24" s="158" t="s">
        <v>15</v>
      </c>
      <c r="J24" s="158"/>
      <c r="K24" s="159" t="s">
        <v>8</v>
      </c>
      <c r="L24" s="160">
        <v>6391198.1500000004</v>
      </c>
    </row>
    <row r="25" spans="1:12" ht="61.2" hidden="1" x14ac:dyDescent="0.3">
      <c r="A25" s="154" t="s">
        <v>9</v>
      </c>
      <c r="B25" s="155" t="s">
        <v>913</v>
      </c>
      <c r="C25" s="155" t="s">
        <v>916</v>
      </c>
      <c r="D25" s="155" t="s">
        <v>915</v>
      </c>
      <c r="E25" s="156" t="s">
        <v>751</v>
      </c>
      <c r="F25" s="157">
        <v>178216</v>
      </c>
      <c r="G25" s="157"/>
      <c r="H25" s="156" t="s">
        <v>14</v>
      </c>
      <c r="I25" s="158" t="s">
        <v>15</v>
      </c>
      <c r="J25" s="158"/>
      <c r="K25" s="159" t="s">
        <v>8</v>
      </c>
      <c r="L25" s="160">
        <v>6569414.1500000004</v>
      </c>
    </row>
    <row r="26" spans="1:12" ht="61.2" hidden="1" x14ac:dyDescent="0.3">
      <c r="A26" s="154" t="s">
        <v>9</v>
      </c>
      <c r="B26" s="155" t="s">
        <v>917</v>
      </c>
      <c r="C26" s="155" t="s">
        <v>918</v>
      </c>
      <c r="D26" s="155" t="s">
        <v>919</v>
      </c>
      <c r="E26" s="156" t="s">
        <v>751</v>
      </c>
      <c r="F26" s="157">
        <v>46530</v>
      </c>
      <c r="G26" s="157"/>
      <c r="H26" s="156" t="s">
        <v>14</v>
      </c>
      <c r="I26" s="158" t="s">
        <v>15</v>
      </c>
      <c r="J26" s="158"/>
      <c r="K26" s="159" t="s">
        <v>8</v>
      </c>
      <c r="L26" s="160">
        <v>6615944.1500000004</v>
      </c>
    </row>
    <row r="27" spans="1:12" ht="61.2" hidden="1" x14ac:dyDescent="0.3">
      <c r="A27" s="154" t="s">
        <v>9</v>
      </c>
      <c r="B27" s="155" t="s">
        <v>917</v>
      </c>
      <c r="C27" s="155" t="s">
        <v>920</v>
      </c>
      <c r="D27" s="155" t="s">
        <v>919</v>
      </c>
      <c r="E27" s="156" t="s">
        <v>751</v>
      </c>
      <c r="F27" s="157">
        <v>34548</v>
      </c>
      <c r="G27" s="157"/>
      <c r="H27" s="156" t="s">
        <v>14</v>
      </c>
      <c r="I27" s="158" t="s">
        <v>15</v>
      </c>
      <c r="J27" s="158"/>
      <c r="K27" s="159" t="s">
        <v>8</v>
      </c>
      <c r="L27" s="160">
        <v>6650492.1500000004</v>
      </c>
    </row>
    <row r="28" spans="1:12" ht="61.2" hidden="1" x14ac:dyDescent="0.3">
      <c r="A28" s="154" t="s">
        <v>47</v>
      </c>
      <c r="B28" s="155" t="s">
        <v>921</v>
      </c>
      <c r="C28" s="155" t="s">
        <v>922</v>
      </c>
      <c r="D28" s="155" t="s">
        <v>923</v>
      </c>
      <c r="E28" s="156" t="s">
        <v>751</v>
      </c>
      <c r="F28" s="157">
        <v>30216.87</v>
      </c>
      <c r="G28" s="157"/>
      <c r="H28" s="156" t="s">
        <v>14</v>
      </c>
      <c r="I28" s="158" t="s">
        <v>15</v>
      </c>
      <c r="J28" s="158"/>
      <c r="K28" s="159" t="s">
        <v>8</v>
      </c>
      <c r="L28" s="160">
        <v>6680709.0199999996</v>
      </c>
    </row>
    <row r="29" spans="1:12" ht="61.2" hidden="1" x14ac:dyDescent="0.3">
      <c r="A29" s="154" t="s">
        <v>47</v>
      </c>
      <c r="B29" s="155" t="s">
        <v>924</v>
      </c>
      <c r="C29" s="155" t="s">
        <v>925</v>
      </c>
      <c r="D29" s="155" t="s">
        <v>926</v>
      </c>
      <c r="E29" s="156" t="s">
        <v>751</v>
      </c>
      <c r="F29" s="157">
        <v>26978.85</v>
      </c>
      <c r="G29" s="157"/>
      <c r="H29" s="156" t="s">
        <v>14</v>
      </c>
      <c r="I29" s="158" t="s">
        <v>15</v>
      </c>
      <c r="J29" s="158"/>
      <c r="K29" s="159" t="s">
        <v>8</v>
      </c>
      <c r="L29" s="160">
        <v>6707687.8700000001</v>
      </c>
    </row>
    <row r="30" spans="1:12" ht="51" hidden="1" x14ac:dyDescent="0.3">
      <c r="A30" s="154" t="s">
        <v>47</v>
      </c>
      <c r="B30" s="155" t="s">
        <v>48</v>
      </c>
      <c r="C30" s="155" t="s">
        <v>927</v>
      </c>
      <c r="D30" s="155" t="s">
        <v>50</v>
      </c>
      <c r="E30" s="156" t="s">
        <v>751</v>
      </c>
      <c r="F30" s="161">
        <v>330</v>
      </c>
      <c r="G30" s="161"/>
      <c r="H30" s="156" t="s">
        <v>51</v>
      </c>
      <c r="I30" s="158" t="s">
        <v>15</v>
      </c>
      <c r="J30" s="158"/>
      <c r="K30" s="159" t="s">
        <v>8</v>
      </c>
      <c r="L30" s="160">
        <v>6708017.8700000001</v>
      </c>
    </row>
    <row r="31" spans="1:12" ht="61.2" hidden="1" x14ac:dyDescent="0.3">
      <c r="A31" s="154" t="s">
        <v>47</v>
      </c>
      <c r="B31" s="155" t="s">
        <v>48</v>
      </c>
      <c r="C31" s="155" t="s">
        <v>928</v>
      </c>
      <c r="D31" s="155" t="s">
        <v>50</v>
      </c>
      <c r="E31" s="156" t="s">
        <v>751</v>
      </c>
      <c r="F31" s="161">
        <v>288</v>
      </c>
      <c r="G31" s="161"/>
      <c r="H31" s="156" t="s">
        <v>51</v>
      </c>
      <c r="I31" s="158" t="s">
        <v>15</v>
      </c>
      <c r="J31" s="158"/>
      <c r="K31" s="159" t="s">
        <v>8</v>
      </c>
      <c r="L31" s="160">
        <v>6708305.8700000001</v>
      </c>
    </row>
    <row r="32" spans="1:12" ht="61.2" hidden="1" x14ac:dyDescent="0.3">
      <c r="A32" s="154" t="s">
        <v>47</v>
      </c>
      <c r="B32" s="155" t="s">
        <v>48</v>
      </c>
      <c r="C32" s="155" t="s">
        <v>929</v>
      </c>
      <c r="D32" s="155" t="s">
        <v>50</v>
      </c>
      <c r="E32" s="156" t="s">
        <v>751</v>
      </c>
      <c r="F32" s="161">
        <v>288</v>
      </c>
      <c r="G32" s="161"/>
      <c r="H32" s="156" t="s">
        <v>51</v>
      </c>
      <c r="I32" s="158" t="s">
        <v>15</v>
      </c>
      <c r="J32" s="158"/>
      <c r="K32" s="159" t="s">
        <v>8</v>
      </c>
      <c r="L32" s="160">
        <v>6708593.8700000001</v>
      </c>
    </row>
    <row r="33" spans="1:12" ht="61.2" hidden="1" x14ac:dyDescent="0.3">
      <c r="A33" s="154" t="s">
        <v>47</v>
      </c>
      <c r="B33" s="155" t="s">
        <v>48</v>
      </c>
      <c r="C33" s="155" t="s">
        <v>930</v>
      </c>
      <c r="D33" s="155" t="s">
        <v>50</v>
      </c>
      <c r="E33" s="156" t="s">
        <v>751</v>
      </c>
      <c r="F33" s="161">
        <v>660</v>
      </c>
      <c r="G33" s="161"/>
      <c r="H33" s="156" t="s">
        <v>51</v>
      </c>
      <c r="I33" s="158" t="s">
        <v>15</v>
      </c>
      <c r="J33" s="158"/>
      <c r="K33" s="159" t="s">
        <v>8</v>
      </c>
      <c r="L33" s="160">
        <v>6709253.8700000001</v>
      </c>
    </row>
    <row r="34" spans="1:12" ht="51" hidden="1" x14ac:dyDescent="0.3">
      <c r="A34" s="154" t="s">
        <v>47</v>
      </c>
      <c r="B34" s="155" t="s">
        <v>48</v>
      </c>
      <c r="C34" s="155" t="s">
        <v>931</v>
      </c>
      <c r="D34" s="155" t="s">
        <v>50</v>
      </c>
      <c r="E34" s="156" t="s">
        <v>751</v>
      </c>
      <c r="F34" s="161">
        <v>180</v>
      </c>
      <c r="G34" s="161"/>
      <c r="H34" s="156" t="s">
        <v>51</v>
      </c>
      <c r="I34" s="158" t="s">
        <v>15</v>
      </c>
      <c r="J34" s="158"/>
      <c r="K34" s="159" t="s">
        <v>8</v>
      </c>
      <c r="L34" s="160">
        <v>6709433.8700000001</v>
      </c>
    </row>
    <row r="35" spans="1:12" ht="51" hidden="1" x14ac:dyDescent="0.3">
      <c r="A35" s="154" t="s">
        <v>47</v>
      </c>
      <c r="B35" s="155" t="s">
        <v>48</v>
      </c>
      <c r="C35" s="155" t="s">
        <v>932</v>
      </c>
      <c r="D35" s="155" t="s">
        <v>50</v>
      </c>
      <c r="E35" s="156" t="s">
        <v>751</v>
      </c>
      <c r="F35" s="161">
        <v>185</v>
      </c>
      <c r="G35" s="161"/>
      <c r="H35" s="156" t="s">
        <v>51</v>
      </c>
      <c r="I35" s="158" t="s">
        <v>15</v>
      </c>
      <c r="J35" s="158"/>
      <c r="K35" s="159" t="s">
        <v>8</v>
      </c>
      <c r="L35" s="160">
        <v>6709618.8700000001</v>
      </c>
    </row>
    <row r="36" spans="1:12" ht="61.2" hidden="1" x14ac:dyDescent="0.3">
      <c r="A36" s="154" t="s">
        <v>47</v>
      </c>
      <c r="B36" s="155" t="s">
        <v>48</v>
      </c>
      <c r="C36" s="155" t="s">
        <v>933</v>
      </c>
      <c r="D36" s="155" t="s">
        <v>50</v>
      </c>
      <c r="E36" s="156" t="s">
        <v>751</v>
      </c>
      <c r="F36" s="161">
        <v>164</v>
      </c>
      <c r="G36" s="161"/>
      <c r="H36" s="156" t="s">
        <v>51</v>
      </c>
      <c r="I36" s="158" t="s">
        <v>15</v>
      </c>
      <c r="J36" s="158"/>
      <c r="K36" s="159" t="s">
        <v>8</v>
      </c>
      <c r="L36" s="160">
        <v>6709782.8700000001</v>
      </c>
    </row>
    <row r="37" spans="1:12" ht="61.2" hidden="1" x14ac:dyDescent="0.3">
      <c r="A37" s="154" t="s">
        <v>54</v>
      </c>
      <c r="B37" s="155" t="s">
        <v>934</v>
      </c>
      <c r="C37" s="155" t="s">
        <v>935</v>
      </c>
      <c r="D37" s="155" t="s">
        <v>936</v>
      </c>
      <c r="E37" s="156" t="s">
        <v>751</v>
      </c>
      <c r="F37" s="157">
        <v>5729.17</v>
      </c>
      <c r="G37" s="157"/>
      <c r="H37" s="156" t="s">
        <v>14</v>
      </c>
      <c r="I37" s="158" t="s">
        <v>15</v>
      </c>
      <c r="J37" s="158"/>
      <c r="K37" s="159" t="s">
        <v>8</v>
      </c>
      <c r="L37" s="160">
        <v>6715512.04</v>
      </c>
    </row>
    <row r="38" spans="1:12" ht="61.2" hidden="1" x14ac:dyDescent="0.3">
      <c r="A38" s="154" t="s">
        <v>54</v>
      </c>
      <c r="B38" s="155" t="s">
        <v>937</v>
      </c>
      <c r="C38" s="155" t="s">
        <v>938</v>
      </c>
      <c r="D38" s="155" t="s">
        <v>939</v>
      </c>
      <c r="E38" s="156" t="s">
        <v>751</v>
      </c>
      <c r="F38" s="157">
        <v>17187.5</v>
      </c>
      <c r="G38" s="157"/>
      <c r="H38" s="156" t="s">
        <v>14</v>
      </c>
      <c r="I38" s="158" t="s">
        <v>15</v>
      </c>
      <c r="J38" s="158"/>
      <c r="K38" s="159" t="s">
        <v>8</v>
      </c>
      <c r="L38" s="160">
        <v>6732699.54</v>
      </c>
    </row>
    <row r="39" spans="1:12" ht="61.2" hidden="1" x14ac:dyDescent="0.3">
      <c r="A39" s="154" t="s">
        <v>940</v>
      </c>
      <c r="B39" s="155" t="s">
        <v>941</v>
      </c>
      <c r="C39" s="155" t="s">
        <v>942</v>
      </c>
      <c r="D39" s="155" t="s">
        <v>943</v>
      </c>
      <c r="E39" s="156" t="s">
        <v>751</v>
      </c>
      <c r="F39" s="157">
        <v>95550</v>
      </c>
      <c r="G39" s="157"/>
      <c r="H39" s="156" t="s">
        <v>14</v>
      </c>
      <c r="I39" s="158" t="s">
        <v>15</v>
      </c>
      <c r="J39" s="158"/>
      <c r="K39" s="159" t="s">
        <v>8</v>
      </c>
      <c r="L39" s="160">
        <v>6828249.54</v>
      </c>
    </row>
    <row r="40" spans="1:12" ht="61.2" hidden="1" x14ac:dyDescent="0.3">
      <c r="A40" s="154" t="s">
        <v>940</v>
      </c>
      <c r="B40" s="155" t="s">
        <v>944</v>
      </c>
      <c r="C40" s="155" t="s">
        <v>945</v>
      </c>
      <c r="D40" s="155" t="s">
        <v>946</v>
      </c>
      <c r="E40" s="156" t="s">
        <v>751</v>
      </c>
      <c r="F40" s="161">
        <v>980.1</v>
      </c>
      <c r="G40" s="161"/>
      <c r="H40" s="156" t="s">
        <v>14</v>
      </c>
      <c r="I40" s="158" t="s">
        <v>15</v>
      </c>
      <c r="J40" s="158"/>
      <c r="K40" s="159" t="s">
        <v>8</v>
      </c>
      <c r="L40" s="160">
        <v>6829229.6399999997</v>
      </c>
    </row>
    <row r="41" spans="1:12" ht="61.2" hidden="1" x14ac:dyDescent="0.3">
      <c r="A41" s="154" t="s">
        <v>940</v>
      </c>
      <c r="B41" s="155" t="s">
        <v>944</v>
      </c>
      <c r="C41" s="155" t="s">
        <v>945</v>
      </c>
      <c r="D41" s="155" t="s">
        <v>947</v>
      </c>
      <c r="E41" s="156" t="s">
        <v>751</v>
      </c>
      <c r="F41" s="157">
        <v>25879.34</v>
      </c>
      <c r="G41" s="157"/>
      <c r="H41" s="156" t="s">
        <v>14</v>
      </c>
      <c r="I41" s="158" t="s">
        <v>15</v>
      </c>
      <c r="J41" s="158"/>
      <c r="K41" s="159" t="s">
        <v>8</v>
      </c>
      <c r="L41" s="160">
        <v>6855108.9800000004</v>
      </c>
    </row>
    <row r="42" spans="1:12" ht="61.2" hidden="1" x14ac:dyDescent="0.3">
      <c r="A42" s="154" t="s">
        <v>940</v>
      </c>
      <c r="B42" s="155" t="s">
        <v>948</v>
      </c>
      <c r="C42" s="155" t="s">
        <v>949</v>
      </c>
      <c r="D42" s="155" t="s">
        <v>946</v>
      </c>
      <c r="E42" s="156" t="s">
        <v>751</v>
      </c>
      <c r="F42" s="157">
        <v>26978.85</v>
      </c>
      <c r="G42" s="157"/>
      <c r="H42" s="156" t="s">
        <v>14</v>
      </c>
      <c r="I42" s="158" t="s">
        <v>15</v>
      </c>
      <c r="J42" s="158"/>
      <c r="K42" s="159" t="s">
        <v>8</v>
      </c>
      <c r="L42" s="160">
        <v>6882087.8300000001</v>
      </c>
    </row>
    <row r="43" spans="1:12" ht="61.2" hidden="1" x14ac:dyDescent="0.3">
      <c r="A43" s="154" t="s">
        <v>940</v>
      </c>
      <c r="B43" s="155" t="s">
        <v>950</v>
      </c>
      <c r="C43" s="155" t="s">
        <v>951</v>
      </c>
      <c r="D43" s="155" t="s">
        <v>952</v>
      </c>
      <c r="E43" s="156" t="s">
        <v>751</v>
      </c>
      <c r="F43" s="157">
        <v>26285.55</v>
      </c>
      <c r="G43" s="157"/>
      <c r="H43" s="156" t="s">
        <v>14</v>
      </c>
      <c r="I43" s="158" t="s">
        <v>15</v>
      </c>
      <c r="J43" s="158"/>
      <c r="K43" s="159" t="s">
        <v>8</v>
      </c>
      <c r="L43" s="160">
        <v>6908373.3799999999</v>
      </c>
    </row>
    <row r="44" spans="1:12" ht="61.2" hidden="1" x14ac:dyDescent="0.3">
      <c r="A44" s="154" t="s">
        <v>940</v>
      </c>
      <c r="B44" s="155" t="s">
        <v>950</v>
      </c>
      <c r="C44" s="155" t="s">
        <v>951</v>
      </c>
      <c r="D44" s="155" t="s">
        <v>946</v>
      </c>
      <c r="E44" s="156" t="s">
        <v>751</v>
      </c>
      <c r="F44" s="161">
        <v>573.89</v>
      </c>
      <c r="G44" s="161"/>
      <c r="H44" s="156" t="s">
        <v>14</v>
      </c>
      <c r="I44" s="158" t="s">
        <v>15</v>
      </c>
      <c r="J44" s="158"/>
      <c r="K44" s="159" t="s">
        <v>8</v>
      </c>
      <c r="L44" s="160">
        <v>6908947.2699999996</v>
      </c>
    </row>
    <row r="45" spans="1:12" ht="61.2" hidden="1" x14ac:dyDescent="0.3">
      <c r="A45" s="154" t="s">
        <v>940</v>
      </c>
      <c r="B45" s="155" t="s">
        <v>953</v>
      </c>
      <c r="C45" s="155" t="s">
        <v>954</v>
      </c>
      <c r="D45" s="155" t="s">
        <v>955</v>
      </c>
      <c r="E45" s="156" t="s">
        <v>751</v>
      </c>
      <c r="F45" s="157">
        <v>89108</v>
      </c>
      <c r="G45" s="157"/>
      <c r="H45" s="156" t="s">
        <v>14</v>
      </c>
      <c r="I45" s="158" t="s">
        <v>15</v>
      </c>
      <c r="J45" s="158"/>
      <c r="K45" s="159" t="s">
        <v>8</v>
      </c>
      <c r="L45" s="160">
        <v>6998055.2699999996</v>
      </c>
    </row>
    <row r="46" spans="1:12" ht="61.2" hidden="1" x14ac:dyDescent="0.3">
      <c r="A46" s="154" t="s">
        <v>419</v>
      </c>
      <c r="B46" s="155" t="s">
        <v>956</v>
      </c>
      <c r="C46" s="155" t="s">
        <v>957</v>
      </c>
      <c r="D46" s="155" t="s">
        <v>958</v>
      </c>
      <c r="E46" s="156" t="s">
        <v>751</v>
      </c>
      <c r="F46" s="157">
        <v>22573.81</v>
      </c>
      <c r="G46" s="157"/>
      <c r="H46" s="156" t="s">
        <v>14</v>
      </c>
      <c r="I46" s="158" t="s">
        <v>15</v>
      </c>
      <c r="J46" s="158"/>
      <c r="K46" s="159" t="s">
        <v>8</v>
      </c>
      <c r="L46" s="160">
        <v>7020629.0800000001</v>
      </c>
    </row>
    <row r="47" spans="1:12" ht="61.2" hidden="1" x14ac:dyDescent="0.3">
      <c r="A47" s="154" t="s">
        <v>419</v>
      </c>
      <c r="B47" s="155" t="s">
        <v>956</v>
      </c>
      <c r="C47" s="155" t="s">
        <v>957</v>
      </c>
      <c r="D47" s="155" t="s">
        <v>952</v>
      </c>
      <c r="E47" s="156" t="s">
        <v>751</v>
      </c>
      <c r="F47" s="157">
        <v>7643.06</v>
      </c>
      <c r="G47" s="157"/>
      <c r="H47" s="156" t="s">
        <v>14</v>
      </c>
      <c r="I47" s="158" t="s">
        <v>15</v>
      </c>
      <c r="J47" s="158"/>
      <c r="K47" s="159" t="s">
        <v>8</v>
      </c>
      <c r="L47" s="160">
        <v>7028272.1399999997</v>
      </c>
    </row>
    <row r="48" spans="1:12" ht="61.2" hidden="1" x14ac:dyDescent="0.3">
      <c r="A48" s="154" t="s">
        <v>419</v>
      </c>
      <c r="B48" s="155" t="s">
        <v>959</v>
      </c>
      <c r="C48" s="155" t="s">
        <v>960</v>
      </c>
      <c r="D48" s="155" t="s">
        <v>961</v>
      </c>
      <c r="E48" s="156" t="s">
        <v>751</v>
      </c>
      <c r="F48" s="157">
        <v>20416.62</v>
      </c>
      <c r="G48" s="157"/>
      <c r="H48" s="156" t="s">
        <v>14</v>
      </c>
      <c r="I48" s="158" t="s">
        <v>15</v>
      </c>
      <c r="J48" s="158"/>
      <c r="K48" s="159" t="s">
        <v>8</v>
      </c>
      <c r="L48" s="160">
        <v>7048688.7599999998</v>
      </c>
    </row>
    <row r="49" spans="1:12" ht="71.400000000000006" hidden="1" x14ac:dyDescent="0.3">
      <c r="A49" s="154" t="s">
        <v>419</v>
      </c>
      <c r="B49" s="155" t="s">
        <v>962</v>
      </c>
      <c r="C49" s="155" t="s">
        <v>963</v>
      </c>
      <c r="D49" s="155" t="s">
        <v>964</v>
      </c>
      <c r="E49" s="156" t="s">
        <v>751</v>
      </c>
      <c r="F49" s="157">
        <v>40032</v>
      </c>
      <c r="G49" s="157"/>
      <c r="H49" s="156" t="s">
        <v>14</v>
      </c>
      <c r="I49" s="158" t="s">
        <v>15</v>
      </c>
      <c r="J49" s="158"/>
      <c r="K49" s="159" t="s">
        <v>8</v>
      </c>
      <c r="L49" s="160">
        <v>7088720.7599999998</v>
      </c>
    </row>
    <row r="50" spans="1:12" ht="61.2" hidden="1" x14ac:dyDescent="0.3">
      <c r="A50" s="154" t="s">
        <v>419</v>
      </c>
      <c r="B50" s="155" t="s">
        <v>962</v>
      </c>
      <c r="C50" s="155" t="s">
        <v>965</v>
      </c>
      <c r="D50" s="155" t="s">
        <v>964</v>
      </c>
      <c r="E50" s="156" t="s">
        <v>751</v>
      </c>
      <c r="F50" s="157">
        <v>101053.8</v>
      </c>
      <c r="G50" s="157"/>
      <c r="H50" s="156" t="s">
        <v>14</v>
      </c>
      <c r="I50" s="158" t="s">
        <v>15</v>
      </c>
      <c r="J50" s="158"/>
      <c r="K50" s="159" t="s">
        <v>8</v>
      </c>
      <c r="L50" s="160">
        <v>7189774.5599999996</v>
      </c>
    </row>
    <row r="51" spans="1:12" ht="71.400000000000006" hidden="1" x14ac:dyDescent="0.3">
      <c r="A51" s="154" t="s">
        <v>419</v>
      </c>
      <c r="B51" s="155" t="s">
        <v>966</v>
      </c>
      <c r="C51" s="155" t="s">
        <v>967</v>
      </c>
      <c r="D51" s="155" t="s">
        <v>964</v>
      </c>
      <c r="E51" s="156" t="s">
        <v>751</v>
      </c>
      <c r="F51" s="157">
        <v>24750</v>
      </c>
      <c r="G51" s="157"/>
      <c r="H51" s="156" t="s">
        <v>14</v>
      </c>
      <c r="I51" s="158" t="s">
        <v>15</v>
      </c>
      <c r="J51" s="158"/>
      <c r="K51" s="159" t="s">
        <v>8</v>
      </c>
      <c r="L51" s="160">
        <v>7214524.5599999996</v>
      </c>
    </row>
    <row r="52" spans="1:12" ht="61.2" hidden="1" x14ac:dyDescent="0.3">
      <c r="A52" s="154" t="s">
        <v>424</v>
      </c>
      <c r="B52" s="155" t="s">
        <v>968</v>
      </c>
      <c r="C52" s="155" t="s">
        <v>969</v>
      </c>
      <c r="D52" s="155" t="s">
        <v>970</v>
      </c>
      <c r="E52" s="156" t="s">
        <v>751</v>
      </c>
      <c r="F52" s="157">
        <v>20133.55</v>
      </c>
      <c r="G52" s="157"/>
      <c r="H52" s="156" t="s">
        <v>14</v>
      </c>
      <c r="I52" s="158" t="s">
        <v>15</v>
      </c>
      <c r="J52" s="158"/>
      <c r="K52" s="159" t="s">
        <v>8</v>
      </c>
      <c r="L52" s="160">
        <v>7234658.1100000003</v>
      </c>
    </row>
    <row r="53" spans="1:12" ht="61.2" hidden="1" x14ac:dyDescent="0.3">
      <c r="A53" s="154" t="s">
        <v>424</v>
      </c>
      <c r="B53" s="155" t="s">
        <v>968</v>
      </c>
      <c r="C53" s="155" t="s">
        <v>969</v>
      </c>
      <c r="D53" s="155" t="s">
        <v>958</v>
      </c>
      <c r="E53" s="156" t="s">
        <v>751</v>
      </c>
      <c r="F53" s="157">
        <v>10083.32</v>
      </c>
      <c r="G53" s="157"/>
      <c r="H53" s="156" t="s">
        <v>14</v>
      </c>
      <c r="I53" s="158" t="s">
        <v>15</v>
      </c>
      <c r="J53" s="158"/>
      <c r="K53" s="159" t="s">
        <v>8</v>
      </c>
      <c r="L53" s="160">
        <v>7244741.4299999997</v>
      </c>
    </row>
    <row r="54" spans="1:12" ht="71.400000000000006" hidden="1" x14ac:dyDescent="0.3">
      <c r="A54" s="154" t="s">
        <v>424</v>
      </c>
      <c r="B54" s="155" t="s">
        <v>971</v>
      </c>
      <c r="C54" s="155" t="s">
        <v>972</v>
      </c>
      <c r="D54" s="155" t="s">
        <v>973</v>
      </c>
      <c r="E54" s="156" t="s">
        <v>751</v>
      </c>
      <c r="F54" s="157">
        <v>264174.67</v>
      </c>
      <c r="G54" s="157"/>
      <c r="H54" s="156" t="s">
        <v>14</v>
      </c>
      <c r="I54" s="158" t="s">
        <v>15</v>
      </c>
      <c r="J54" s="158"/>
      <c r="K54" s="159" t="s">
        <v>8</v>
      </c>
      <c r="L54" s="160">
        <v>7508916.0999999996</v>
      </c>
    </row>
    <row r="55" spans="1:12" ht="71.400000000000006" hidden="1" x14ac:dyDescent="0.3">
      <c r="A55" s="154" t="s">
        <v>424</v>
      </c>
      <c r="B55" s="155" t="s">
        <v>971</v>
      </c>
      <c r="C55" s="155" t="s">
        <v>974</v>
      </c>
      <c r="D55" s="155" t="s">
        <v>973</v>
      </c>
      <c r="E55" s="156" t="s">
        <v>751</v>
      </c>
      <c r="F55" s="161">
        <v>525.03</v>
      </c>
      <c r="G55" s="161"/>
      <c r="H55" s="156" t="s">
        <v>14</v>
      </c>
      <c r="I55" s="158" t="s">
        <v>15</v>
      </c>
      <c r="J55" s="158"/>
      <c r="K55" s="159" t="s">
        <v>8</v>
      </c>
      <c r="L55" s="160">
        <v>7509441.1299999999</v>
      </c>
    </row>
    <row r="56" spans="1:12" ht="71.400000000000006" hidden="1" x14ac:dyDescent="0.3">
      <c r="A56" s="154" t="s">
        <v>424</v>
      </c>
      <c r="B56" s="155" t="s">
        <v>971</v>
      </c>
      <c r="C56" s="155" t="s">
        <v>975</v>
      </c>
      <c r="D56" s="155" t="s">
        <v>973</v>
      </c>
      <c r="E56" s="156" t="s">
        <v>751</v>
      </c>
      <c r="F56" s="157">
        <v>6434.25</v>
      </c>
      <c r="G56" s="157"/>
      <c r="H56" s="156" t="s">
        <v>14</v>
      </c>
      <c r="I56" s="158" t="s">
        <v>15</v>
      </c>
      <c r="J56" s="158"/>
      <c r="K56" s="159" t="s">
        <v>8</v>
      </c>
      <c r="L56" s="160">
        <v>7515875.3799999999</v>
      </c>
    </row>
    <row r="57" spans="1:12" ht="61.2" hidden="1" x14ac:dyDescent="0.3">
      <c r="A57" s="154" t="s">
        <v>424</v>
      </c>
      <c r="B57" s="155" t="s">
        <v>971</v>
      </c>
      <c r="C57" s="155" t="s">
        <v>976</v>
      </c>
      <c r="D57" s="155" t="s">
        <v>973</v>
      </c>
      <c r="E57" s="156" t="s">
        <v>751</v>
      </c>
      <c r="F57" s="157">
        <v>1983.6</v>
      </c>
      <c r="G57" s="157"/>
      <c r="H57" s="156" t="s">
        <v>14</v>
      </c>
      <c r="I57" s="158" t="s">
        <v>15</v>
      </c>
      <c r="J57" s="158"/>
      <c r="K57" s="159" t="s">
        <v>8</v>
      </c>
      <c r="L57" s="160">
        <v>7517858.9800000004</v>
      </c>
    </row>
    <row r="58" spans="1:12" ht="71.400000000000006" hidden="1" x14ac:dyDescent="0.3">
      <c r="A58" s="154" t="s">
        <v>424</v>
      </c>
      <c r="B58" s="155" t="s">
        <v>971</v>
      </c>
      <c r="C58" s="155" t="s">
        <v>977</v>
      </c>
      <c r="D58" s="155" t="s">
        <v>973</v>
      </c>
      <c r="E58" s="156" t="s">
        <v>751</v>
      </c>
      <c r="F58" s="157">
        <v>3316</v>
      </c>
      <c r="G58" s="157"/>
      <c r="H58" s="156" t="s">
        <v>14</v>
      </c>
      <c r="I58" s="158" t="s">
        <v>15</v>
      </c>
      <c r="J58" s="158"/>
      <c r="K58" s="159" t="s">
        <v>8</v>
      </c>
      <c r="L58" s="160">
        <v>7521174.9800000004</v>
      </c>
    </row>
    <row r="59" spans="1:12" ht="61.2" hidden="1" x14ac:dyDescent="0.3">
      <c r="A59" s="154" t="s">
        <v>424</v>
      </c>
      <c r="B59" s="155" t="s">
        <v>971</v>
      </c>
      <c r="C59" s="155" t="s">
        <v>978</v>
      </c>
      <c r="D59" s="155" t="s">
        <v>973</v>
      </c>
      <c r="E59" s="156" t="s">
        <v>751</v>
      </c>
      <c r="F59" s="157">
        <v>2625.17</v>
      </c>
      <c r="G59" s="157"/>
      <c r="H59" s="156" t="s">
        <v>14</v>
      </c>
      <c r="I59" s="158" t="s">
        <v>15</v>
      </c>
      <c r="J59" s="158"/>
      <c r="K59" s="159" t="s">
        <v>8</v>
      </c>
      <c r="L59" s="160">
        <v>7523800.1500000004</v>
      </c>
    </row>
    <row r="60" spans="1:12" ht="61.2" hidden="1" x14ac:dyDescent="0.3">
      <c r="A60" s="154" t="s">
        <v>424</v>
      </c>
      <c r="B60" s="155" t="s">
        <v>971</v>
      </c>
      <c r="C60" s="155" t="s">
        <v>979</v>
      </c>
      <c r="D60" s="155" t="s">
        <v>973</v>
      </c>
      <c r="E60" s="156" t="s">
        <v>751</v>
      </c>
      <c r="F60" s="161">
        <v>448.67</v>
      </c>
      <c r="G60" s="161"/>
      <c r="H60" s="156" t="s">
        <v>14</v>
      </c>
      <c r="I60" s="158" t="s">
        <v>15</v>
      </c>
      <c r="J60" s="158"/>
      <c r="K60" s="159" t="s">
        <v>8</v>
      </c>
      <c r="L60" s="160">
        <v>7524248.8200000003</v>
      </c>
    </row>
    <row r="61" spans="1:12" ht="61.2" hidden="1" x14ac:dyDescent="0.3">
      <c r="A61" s="154" t="s">
        <v>424</v>
      </c>
      <c r="B61" s="155" t="s">
        <v>971</v>
      </c>
      <c r="C61" s="155" t="s">
        <v>980</v>
      </c>
      <c r="D61" s="155" t="s">
        <v>973</v>
      </c>
      <c r="E61" s="156" t="s">
        <v>751</v>
      </c>
      <c r="F61" s="157">
        <v>3119.62</v>
      </c>
      <c r="G61" s="157"/>
      <c r="H61" s="156" t="s">
        <v>14</v>
      </c>
      <c r="I61" s="158" t="s">
        <v>15</v>
      </c>
      <c r="J61" s="158"/>
      <c r="K61" s="159" t="s">
        <v>8</v>
      </c>
      <c r="L61" s="160">
        <v>7527368.4400000004</v>
      </c>
    </row>
    <row r="62" spans="1:12" ht="71.400000000000006" hidden="1" x14ac:dyDescent="0.3">
      <c r="A62" s="154" t="s">
        <v>424</v>
      </c>
      <c r="B62" s="155" t="s">
        <v>981</v>
      </c>
      <c r="C62" s="155" t="s">
        <v>982</v>
      </c>
      <c r="D62" s="155" t="s">
        <v>983</v>
      </c>
      <c r="E62" s="156" t="s">
        <v>751</v>
      </c>
      <c r="F62" s="157">
        <v>200286.4</v>
      </c>
      <c r="G62" s="157"/>
      <c r="H62" s="156" t="s">
        <v>14</v>
      </c>
      <c r="I62" s="158" t="s">
        <v>15</v>
      </c>
      <c r="J62" s="158"/>
      <c r="K62" s="159" t="s">
        <v>8</v>
      </c>
      <c r="L62" s="160">
        <v>7727654.8399999999</v>
      </c>
    </row>
    <row r="63" spans="1:12" ht="71.400000000000006" hidden="1" x14ac:dyDescent="0.3">
      <c r="A63" s="154" t="s">
        <v>424</v>
      </c>
      <c r="B63" s="155" t="s">
        <v>981</v>
      </c>
      <c r="C63" s="155" t="s">
        <v>984</v>
      </c>
      <c r="D63" s="155" t="s">
        <v>983</v>
      </c>
      <c r="E63" s="156" t="s">
        <v>751</v>
      </c>
      <c r="F63" s="161">
        <v>386.87</v>
      </c>
      <c r="G63" s="161"/>
      <c r="H63" s="156" t="s">
        <v>14</v>
      </c>
      <c r="I63" s="158" t="s">
        <v>15</v>
      </c>
      <c r="J63" s="158"/>
      <c r="K63" s="159" t="s">
        <v>8</v>
      </c>
      <c r="L63" s="160">
        <v>7728041.71</v>
      </c>
    </row>
    <row r="64" spans="1:12" ht="71.400000000000006" hidden="1" x14ac:dyDescent="0.3">
      <c r="A64" s="154" t="s">
        <v>424</v>
      </c>
      <c r="B64" s="155" t="s">
        <v>981</v>
      </c>
      <c r="C64" s="155" t="s">
        <v>985</v>
      </c>
      <c r="D64" s="155" t="s">
        <v>983</v>
      </c>
      <c r="E64" s="156" t="s">
        <v>751</v>
      </c>
      <c r="F64" s="157">
        <v>4951.57</v>
      </c>
      <c r="G64" s="157"/>
      <c r="H64" s="156" t="s">
        <v>14</v>
      </c>
      <c r="I64" s="158" t="s">
        <v>15</v>
      </c>
      <c r="J64" s="158"/>
      <c r="K64" s="159" t="s">
        <v>8</v>
      </c>
      <c r="L64" s="160">
        <v>7732993.2800000003</v>
      </c>
    </row>
    <row r="65" spans="1:12" ht="71.400000000000006" hidden="1" x14ac:dyDescent="0.3">
      <c r="A65" s="154" t="s">
        <v>424</v>
      </c>
      <c r="B65" s="155" t="s">
        <v>981</v>
      </c>
      <c r="C65" s="155" t="s">
        <v>986</v>
      </c>
      <c r="D65" s="155" t="s">
        <v>983</v>
      </c>
      <c r="E65" s="156" t="s">
        <v>751</v>
      </c>
      <c r="F65" s="157">
        <v>6253.85</v>
      </c>
      <c r="G65" s="157"/>
      <c r="H65" s="156" t="s">
        <v>14</v>
      </c>
      <c r="I65" s="158" t="s">
        <v>15</v>
      </c>
      <c r="J65" s="158"/>
      <c r="K65" s="159" t="s">
        <v>8</v>
      </c>
      <c r="L65" s="160">
        <v>7739247.1299999999</v>
      </c>
    </row>
    <row r="66" spans="1:12" ht="71.400000000000006" hidden="1" x14ac:dyDescent="0.3">
      <c r="A66" s="154" t="s">
        <v>424</v>
      </c>
      <c r="B66" s="155" t="s">
        <v>981</v>
      </c>
      <c r="C66" s="155" t="s">
        <v>987</v>
      </c>
      <c r="D66" s="155" t="s">
        <v>983</v>
      </c>
      <c r="E66" s="156" t="s">
        <v>751</v>
      </c>
      <c r="F66" s="157">
        <v>1102</v>
      </c>
      <c r="G66" s="157"/>
      <c r="H66" s="156" t="s">
        <v>14</v>
      </c>
      <c r="I66" s="158" t="s">
        <v>15</v>
      </c>
      <c r="J66" s="158"/>
      <c r="K66" s="159" t="s">
        <v>8</v>
      </c>
      <c r="L66" s="160">
        <v>7740349.1299999999</v>
      </c>
    </row>
    <row r="67" spans="1:12" ht="71.400000000000006" hidden="1" x14ac:dyDescent="0.3">
      <c r="A67" s="154" t="s">
        <v>424</v>
      </c>
      <c r="B67" s="155" t="s">
        <v>981</v>
      </c>
      <c r="C67" s="155" t="s">
        <v>988</v>
      </c>
      <c r="D67" s="155" t="s">
        <v>983</v>
      </c>
      <c r="E67" s="156" t="s">
        <v>751</v>
      </c>
      <c r="F67" s="157">
        <v>3316</v>
      </c>
      <c r="G67" s="157"/>
      <c r="H67" s="156" t="s">
        <v>14</v>
      </c>
      <c r="I67" s="158" t="s">
        <v>15</v>
      </c>
      <c r="J67" s="158"/>
      <c r="K67" s="159" t="s">
        <v>8</v>
      </c>
      <c r="L67" s="160">
        <v>7743665.1299999999</v>
      </c>
    </row>
    <row r="68" spans="1:12" ht="61.2" hidden="1" x14ac:dyDescent="0.3">
      <c r="A68" s="154" t="s">
        <v>424</v>
      </c>
      <c r="B68" s="155" t="s">
        <v>981</v>
      </c>
      <c r="C68" s="155" t="s">
        <v>989</v>
      </c>
      <c r="D68" s="155" t="s">
        <v>983</v>
      </c>
      <c r="E68" s="156" t="s">
        <v>751</v>
      </c>
      <c r="F68" s="157">
        <v>2625.17</v>
      </c>
      <c r="G68" s="157"/>
      <c r="H68" s="156" t="s">
        <v>14</v>
      </c>
      <c r="I68" s="158" t="s">
        <v>15</v>
      </c>
      <c r="J68" s="158"/>
      <c r="K68" s="159" t="s">
        <v>8</v>
      </c>
      <c r="L68" s="160">
        <v>7746290.2999999998</v>
      </c>
    </row>
    <row r="69" spans="1:12" ht="61.2" hidden="1" x14ac:dyDescent="0.3">
      <c r="A69" s="154" t="s">
        <v>424</v>
      </c>
      <c r="B69" s="155" t="s">
        <v>981</v>
      </c>
      <c r="C69" s="155" t="s">
        <v>990</v>
      </c>
      <c r="D69" s="155" t="s">
        <v>983</v>
      </c>
      <c r="E69" s="156" t="s">
        <v>751</v>
      </c>
      <c r="F69" s="157">
        <v>2936.71</v>
      </c>
      <c r="G69" s="157"/>
      <c r="H69" s="156" t="s">
        <v>14</v>
      </c>
      <c r="I69" s="158" t="s">
        <v>15</v>
      </c>
      <c r="J69" s="158"/>
      <c r="K69" s="159" t="s">
        <v>8</v>
      </c>
      <c r="L69" s="160">
        <v>7749227.0099999998</v>
      </c>
    </row>
    <row r="70" spans="1:12" ht="61.2" hidden="1" x14ac:dyDescent="0.3">
      <c r="A70" s="154" t="s">
        <v>424</v>
      </c>
      <c r="B70" s="155" t="s">
        <v>981</v>
      </c>
      <c r="C70" s="155" t="s">
        <v>991</v>
      </c>
      <c r="D70" s="155" t="s">
        <v>983</v>
      </c>
      <c r="E70" s="156" t="s">
        <v>751</v>
      </c>
      <c r="F70" s="157">
        <v>1733.12</v>
      </c>
      <c r="G70" s="157"/>
      <c r="H70" s="156" t="s">
        <v>14</v>
      </c>
      <c r="I70" s="158" t="s">
        <v>15</v>
      </c>
      <c r="J70" s="158"/>
      <c r="K70" s="159" t="s">
        <v>8</v>
      </c>
      <c r="L70" s="160">
        <v>7750960.1299999999</v>
      </c>
    </row>
    <row r="71" spans="1:12" ht="61.2" hidden="1" x14ac:dyDescent="0.3">
      <c r="A71" s="154" t="s">
        <v>60</v>
      </c>
      <c r="B71" s="155" t="s">
        <v>992</v>
      </c>
      <c r="C71" s="155" t="s">
        <v>993</v>
      </c>
      <c r="D71" s="155" t="s">
        <v>994</v>
      </c>
      <c r="E71" s="156" t="s">
        <v>751</v>
      </c>
      <c r="F71" s="157">
        <v>17093.29</v>
      </c>
      <c r="G71" s="157"/>
      <c r="H71" s="156" t="s">
        <v>14</v>
      </c>
      <c r="I71" s="158" t="s">
        <v>15</v>
      </c>
      <c r="J71" s="158"/>
      <c r="K71" s="159" t="s">
        <v>8</v>
      </c>
      <c r="L71" s="160">
        <v>7768053.4199999999</v>
      </c>
    </row>
    <row r="72" spans="1:12" ht="61.2" hidden="1" x14ac:dyDescent="0.3">
      <c r="A72" s="154" t="s">
        <v>60</v>
      </c>
      <c r="B72" s="155" t="s">
        <v>992</v>
      </c>
      <c r="C72" s="155" t="s">
        <v>993</v>
      </c>
      <c r="D72" s="155" t="s">
        <v>970</v>
      </c>
      <c r="E72" s="156" t="s">
        <v>751</v>
      </c>
      <c r="F72" s="157">
        <v>13123.58</v>
      </c>
      <c r="G72" s="157"/>
      <c r="H72" s="156" t="s">
        <v>14</v>
      </c>
      <c r="I72" s="158" t="s">
        <v>15</v>
      </c>
      <c r="J72" s="158"/>
      <c r="K72" s="159" t="s">
        <v>8</v>
      </c>
      <c r="L72" s="160">
        <v>7781177</v>
      </c>
    </row>
    <row r="73" spans="1:12" ht="61.2" hidden="1" x14ac:dyDescent="0.3">
      <c r="A73" s="154" t="s">
        <v>60</v>
      </c>
      <c r="B73" s="155" t="s">
        <v>995</v>
      </c>
      <c r="C73" s="155" t="s">
        <v>996</v>
      </c>
      <c r="D73" s="155" t="s">
        <v>997</v>
      </c>
      <c r="E73" s="156" t="s">
        <v>751</v>
      </c>
      <c r="F73" s="157">
        <v>10894.74</v>
      </c>
      <c r="G73" s="157"/>
      <c r="H73" s="156" t="s">
        <v>14</v>
      </c>
      <c r="I73" s="158" t="s">
        <v>15</v>
      </c>
      <c r="J73" s="158"/>
      <c r="K73" s="159" t="s">
        <v>8</v>
      </c>
      <c r="L73" s="160">
        <v>7792071.7400000002</v>
      </c>
    </row>
    <row r="74" spans="1:12" ht="61.2" hidden="1" x14ac:dyDescent="0.3">
      <c r="A74" s="154" t="s">
        <v>60</v>
      </c>
      <c r="B74" s="155" t="s">
        <v>995</v>
      </c>
      <c r="C74" s="155" t="s">
        <v>996</v>
      </c>
      <c r="D74" s="155" t="s">
        <v>998</v>
      </c>
      <c r="E74" s="156" t="s">
        <v>751</v>
      </c>
      <c r="F74" s="157">
        <v>3158.29</v>
      </c>
      <c r="G74" s="157"/>
      <c r="H74" s="156" t="s">
        <v>14</v>
      </c>
      <c r="I74" s="158" t="s">
        <v>15</v>
      </c>
      <c r="J74" s="158"/>
      <c r="K74" s="159" t="s">
        <v>8</v>
      </c>
      <c r="L74" s="160">
        <v>7795230.0300000003</v>
      </c>
    </row>
    <row r="75" spans="1:12" ht="61.2" hidden="1" x14ac:dyDescent="0.3">
      <c r="A75" s="154" t="s">
        <v>60</v>
      </c>
      <c r="B75" s="155" t="s">
        <v>995</v>
      </c>
      <c r="C75" s="155" t="s">
        <v>996</v>
      </c>
      <c r="D75" s="155" t="s">
        <v>994</v>
      </c>
      <c r="E75" s="156" t="s">
        <v>751</v>
      </c>
      <c r="F75" s="157">
        <v>16163.84</v>
      </c>
      <c r="G75" s="157"/>
      <c r="H75" s="156" t="s">
        <v>14</v>
      </c>
      <c r="I75" s="158" t="s">
        <v>15</v>
      </c>
      <c r="J75" s="158"/>
      <c r="K75" s="159" t="s">
        <v>8</v>
      </c>
      <c r="L75" s="160">
        <v>7811393.8700000001</v>
      </c>
    </row>
    <row r="76" spans="1:12" ht="61.2" hidden="1" x14ac:dyDescent="0.3">
      <c r="A76" s="154" t="s">
        <v>60</v>
      </c>
      <c r="B76" s="155" t="s">
        <v>999</v>
      </c>
      <c r="C76" s="155" t="s">
        <v>1000</v>
      </c>
      <c r="D76" s="155" t="s">
        <v>997</v>
      </c>
      <c r="E76" s="156" t="s">
        <v>751</v>
      </c>
      <c r="F76" s="157">
        <v>30216.87</v>
      </c>
      <c r="G76" s="157"/>
      <c r="H76" s="156" t="s">
        <v>14</v>
      </c>
      <c r="I76" s="158" t="s">
        <v>15</v>
      </c>
      <c r="J76" s="158"/>
      <c r="K76" s="159" t="s">
        <v>8</v>
      </c>
      <c r="L76" s="160">
        <v>7841610.7400000002</v>
      </c>
    </row>
    <row r="77" spans="1:12" ht="61.2" hidden="1" x14ac:dyDescent="0.3">
      <c r="A77" s="154" t="s">
        <v>98</v>
      </c>
      <c r="B77" s="155" t="s">
        <v>1001</v>
      </c>
      <c r="C77" s="155" t="s">
        <v>1002</v>
      </c>
      <c r="D77" s="155" t="s">
        <v>997</v>
      </c>
      <c r="E77" s="156" t="s">
        <v>751</v>
      </c>
      <c r="F77" s="157">
        <v>35250.03</v>
      </c>
      <c r="G77" s="157"/>
      <c r="H77" s="156" t="s">
        <v>14</v>
      </c>
      <c r="I77" s="158" t="s">
        <v>15</v>
      </c>
      <c r="J77" s="158"/>
      <c r="K77" s="159" t="s">
        <v>8</v>
      </c>
      <c r="L77" s="160">
        <v>7876860.7699999996</v>
      </c>
    </row>
    <row r="78" spans="1:12" ht="61.2" hidden="1" x14ac:dyDescent="0.3">
      <c r="A78" s="154" t="s">
        <v>98</v>
      </c>
      <c r="B78" s="155" t="s">
        <v>1003</v>
      </c>
      <c r="C78" s="155" t="s">
        <v>1004</v>
      </c>
      <c r="D78" s="155" t="s">
        <v>997</v>
      </c>
      <c r="E78" s="156" t="s">
        <v>751</v>
      </c>
      <c r="F78" s="157">
        <v>35250.03</v>
      </c>
      <c r="G78" s="157"/>
      <c r="H78" s="156" t="s">
        <v>14</v>
      </c>
      <c r="I78" s="158" t="s">
        <v>15</v>
      </c>
      <c r="J78" s="158"/>
      <c r="K78" s="159" t="s">
        <v>8</v>
      </c>
      <c r="L78" s="160">
        <v>7912110.7999999998</v>
      </c>
    </row>
    <row r="79" spans="1:12" ht="61.2" hidden="1" x14ac:dyDescent="0.3">
      <c r="A79" s="154" t="s">
        <v>98</v>
      </c>
      <c r="B79" s="155" t="s">
        <v>1005</v>
      </c>
      <c r="C79" s="155" t="s">
        <v>1006</v>
      </c>
      <c r="D79" s="155" t="s">
        <v>997</v>
      </c>
      <c r="E79" s="156" t="s">
        <v>751</v>
      </c>
      <c r="F79" s="157">
        <v>35250.03</v>
      </c>
      <c r="G79" s="157"/>
      <c r="H79" s="156" t="s">
        <v>14</v>
      </c>
      <c r="I79" s="158" t="s">
        <v>15</v>
      </c>
      <c r="J79" s="158"/>
      <c r="K79" s="159" t="s">
        <v>8</v>
      </c>
      <c r="L79" s="160">
        <v>7947360.8300000001</v>
      </c>
    </row>
    <row r="80" spans="1:12" ht="61.2" hidden="1" x14ac:dyDescent="0.3">
      <c r="A80" s="154" t="s">
        <v>98</v>
      </c>
      <c r="B80" s="155" t="s">
        <v>1007</v>
      </c>
      <c r="C80" s="155" t="s">
        <v>1008</v>
      </c>
      <c r="D80" s="155" t="s">
        <v>1009</v>
      </c>
      <c r="E80" s="156" t="s">
        <v>751</v>
      </c>
      <c r="F80" s="157">
        <v>31848.49</v>
      </c>
      <c r="G80" s="157"/>
      <c r="H80" s="156" t="s">
        <v>14</v>
      </c>
      <c r="I80" s="158" t="s">
        <v>15</v>
      </c>
      <c r="J80" s="158"/>
      <c r="K80" s="159" t="s">
        <v>8</v>
      </c>
      <c r="L80" s="160">
        <v>7979209.3200000003</v>
      </c>
    </row>
    <row r="81" spans="1:12" ht="61.2" hidden="1" x14ac:dyDescent="0.3">
      <c r="A81" s="154" t="s">
        <v>98</v>
      </c>
      <c r="B81" s="155" t="s">
        <v>1010</v>
      </c>
      <c r="C81" s="155" t="s">
        <v>1008</v>
      </c>
      <c r="D81" s="155" t="s">
        <v>997</v>
      </c>
      <c r="E81" s="156" t="s">
        <v>751</v>
      </c>
      <c r="F81" s="157">
        <v>3401.54</v>
      </c>
      <c r="G81" s="157"/>
      <c r="H81" s="156" t="s">
        <v>14</v>
      </c>
      <c r="I81" s="158" t="s">
        <v>15</v>
      </c>
      <c r="J81" s="158"/>
      <c r="K81" s="159" t="s">
        <v>8</v>
      </c>
      <c r="L81" s="160">
        <v>7982610.8600000003</v>
      </c>
    </row>
    <row r="82" spans="1:12" ht="61.2" hidden="1" x14ac:dyDescent="0.3">
      <c r="A82" s="154" t="s">
        <v>98</v>
      </c>
      <c r="B82" s="155" t="s">
        <v>1011</v>
      </c>
      <c r="C82" s="155" t="s">
        <v>1012</v>
      </c>
      <c r="D82" s="155" t="s">
        <v>1013</v>
      </c>
      <c r="E82" s="156" t="s">
        <v>751</v>
      </c>
      <c r="F82" s="157">
        <v>35250.03</v>
      </c>
      <c r="G82" s="157"/>
      <c r="H82" s="156" t="s">
        <v>14</v>
      </c>
      <c r="I82" s="158" t="s">
        <v>15</v>
      </c>
      <c r="J82" s="158"/>
      <c r="K82" s="159" t="s">
        <v>8</v>
      </c>
      <c r="L82" s="160">
        <v>8017860.8899999997</v>
      </c>
    </row>
    <row r="83" spans="1:12" ht="61.2" hidden="1" x14ac:dyDescent="0.3">
      <c r="A83" s="154" t="s">
        <v>98</v>
      </c>
      <c r="B83" s="155" t="s">
        <v>1014</v>
      </c>
      <c r="C83" s="155" t="s">
        <v>1015</v>
      </c>
      <c r="D83" s="155" t="s">
        <v>1016</v>
      </c>
      <c r="E83" s="156" t="s">
        <v>751</v>
      </c>
      <c r="F83" s="157">
        <v>35250.03</v>
      </c>
      <c r="G83" s="157"/>
      <c r="H83" s="156" t="s">
        <v>14</v>
      </c>
      <c r="I83" s="158" t="s">
        <v>15</v>
      </c>
      <c r="J83" s="158"/>
      <c r="K83" s="159" t="s">
        <v>8</v>
      </c>
      <c r="L83" s="160">
        <v>8053110.9199999999</v>
      </c>
    </row>
    <row r="84" spans="1:12" ht="61.2" hidden="1" x14ac:dyDescent="0.3">
      <c r="A84" s="154" t="s">
        <v>98</v>
      </c>
      <c r="B84" s="155" t="s">
        <v>1017</v>
      </c>
      <c r="C84" s="155" t="s">
        <v>1018</v>
      </c>
      <c r="D84" s="155" t="s">
        <v>1019</v>
      </c>
      <c r="E84" s="156" t="s">
        <v>751</v>
      </c>
      <c r="F84" s="157">
        <v>35250.03</v>
      </c>
      <c r="G84" s="157"/>
      <c r="H84" s="156" t="s">
        <v>14</v>
      </c>
      <c r="I84" s="158" t="s">
        <v>15</v>
      </c>
      <c r="J84" s="158"/>
      <c r="K84" s="159" t="s">
        <v>8</v>
      </c>
      <c r="L84" s="160">
        <v>8088360.9500000002</v>
      </c>
    </row>
    <row r="85" spans="1:12" ht="61.2" hidden="1" x14ac:dyDescent="0.3">
      <c r="A85" s="154" t="s">
        <v>98</v>
      </c>
      <c r="B85" s="155" t="s">
        <v>1020</v>
      </c>
      <c r="C85" s="155" t="s">
        <v>1021</v>
      </c>
      <c r="D85" s="155" t="s">
        <v>1022</v>
      </c>
      <c r="E85" s="156" t="s">
        <v>751</v>
      </c>
      <c r="F85" s="157">
        <v>30216.87</v>
      </c>
      <c r="G85" s="157"/>
      <c r="H85" s="156" t="s">
        <v>14</v>
      </c>
      <c r="I85" s="158" t="s">
        <v>15</v>
      </c>
      <c r="J85" s="158"/>
      <c r="K85" s="159" t="s">
        <v>8</v>
      </c>
      <c r="L85" s="160">
        <v>8118577.8200000003</v>
      </c>
    </row>
    <row r="86" spans="1:12" ht="61.2" hidden="1" x14ac:dyDescent="0.3">
      <c r="A86" s="154" t="s">
        <v>98</v>
      </c>
      <c r="B86" s="155" t="s">
        <v>1023</v>
      </c>
      <c r="C86" s="155" t="s">
        <v>1024</v>
      </c>
      <c r="D86" s="155" t="s">
        <v>1025</v>
      </c>
      <c r="E86" s="156" t="s">
        <v>751</v>
      </c>
      <c r="F86" s="157">
        <v>35250.03</v>
      </c>
      <c r="G86" s="157"/>
      <c r="H86" s="156" t="s">
        <v>14</v>
      </c>
      <c r="I86" s="158" t="s">
        <v>15</v>
      </c>
      <c r="J86" s="158"/>
      <c r="K86" s="159" t="s">
        <v>8</v>
      </c>
      <c r="L86" s="160">
        <v>8153827.8499999996</v>
      </c>
    </row>
    <row r="87" spans="1:12" ht="61.2" hidden="1" x14ac:dyDescent="0.3">
      <c r="A87" s="154" t="s">
        <v>98</v>
      </c>
      <c r="B87" s="155" t="s">
        <v>1026</v>
      </c>
      <c r="C87" s="155" t="s">
        <v>1027</v>
      </c>
      <c r="D87" s="155" t="s">
        <v>1028</v>
      </c>
      <c r="E87" s="156" t="s">
        <v>751</v>
      </c>
      <c r="F87" s="157">
        <v>35741.25</v>
      </c>
      <c r="G87" s="157"/>
      <c r="H87" s="156" t="s">
        <v>14</v>
      </c>
      <c r="I87" s="158" t="s">
        <v>15</v>
      </c>
      <c r="J87" s="158"/>
      <c r="K87" s="159" t="s">
        <v>8</v>
      </c>
      <c r="L87" s="160">
        <v>8189569.0999999996</v>
      </c>
    </row>
    <row r="88" spans="1:12" ht="71.400000000000006" hidden="1" x14ac:dyDescent="0.3">
      <c r="A88" s="154" t="s">
        <v>98</v>
      </c>
      <c r="B88" s="155" t="s">
        <v>1029</v>
      </c>
      <c r="C88" s="155" t="s">
        <v>1030</v>
      </c>
      <c r="D88" s="155" t="s">
        <v>1031</v>
      </c>
      <c r="E88" s="156" t="s">
        <v>751</v>
      </c>
      <c r="F88" s="157">
        <v>23449</v>
      </c>
      <c r="G88" s="157"/>
      <c r="H88" s="156" t="s">
        <v>14</v>
      </c>
      <c r="I88" s="158" t="s">
        <v>15</v>
      </c>
      <c r="J88" s="158"/>
      <c r="K88" s="159" t="s">
        <v>8</v>
      </c>
      <c r="L88" s="160">
        <v>8213018.0999999996</v>
      </c>
    </row>
    <row r="89" spans="1:12" ht="71.400000000000006" hidden="1" x14ac:dyDescent="0.3">
      <c r="A89" s="154" t="s">
        <v>98</v>
      </c>
      <c r="B89" s="155" t="s">
        <v>1032</v>
      </c>
      <c r="C89" s="155" t="s">
        <v>1030</v>
      </c>
      <c r="D89" s="155" t="s">
        <v>1031</v>
      </c>
      <c r="E89" s="156" t="s">
        <v>751</v>
      </c>
      <c r="F89" s="157">
        <v>562776</v>
      </c>
      <c r="G89" s="157"/>
      <c r="H89" s="156" t="s">
        <v>14</v>
      </c>
      <c r="I89" s="158" t="s">
        <v>15</v>
      </c>
      <c r="J89" s="158"/>
      <c r="K89" s="159" t="s">
        <v>8</v>
      </c>
      <c r="L89" s="160">
        <v>8775794.0999999996</v>
      </c>
    </row>
    <row r="90" spans="1:12" ht="61.2" hidden="1" x14ac:dyDescent="0.3">
      <c r="A90" s="154" t="s">
        <v>98</v>
      </c>
      <c r="B90" s="155" t="s">
        <v>1033</v>
      </c>
      <c r="C90" s="155" t="s">
        <v>1034</v>
      </c>
      <c r="D90" s="155" t="s">
        <v>1035</v>
      </c>
      <c r="E90" s="156" t="s">
        <v>751</v>
      </c>
      <c r="F90" s="157">
        <v>5830</v>
      </c>
      <c r="G90" s="157"/>
      <c r="H90" s="156" t="s">
        <v>14</v>
      </c>
      <c r="I90" s="158" t="s">
        <v>15</v>
      </c>
      <c r="J90" s="158"/>
      <c r="K90" s="159" t="s">
        <v>8</v>
      </c>
      <c r="L90" s="160">
        <v>8781624.0999999996</v>
      </c>
    </row>
    <row r="91" spans="1:12" ht="61.2" hidden="1" x14ac:dyDescent="0.3">
      <c r="A91" s="154" t="s">
        <v>102</v>
      </c>
      <c r="B91" s="155" t="s">
        <v>1036</v>
      </c>
      <c r="C91" s="155" t="s">
        <v>1037</v>
      </c>
      <c r="D91" s="155" t="s">
        <v>1038</v>
      </c>
      <c r="E91" s="156" t="s">
        <v>751</v>
      </c>
      <c r="F91" s="157">
        <v>20881.689999999999</v>
      </c>
      <c r="G91" s="157"/>
      <c r="H91" s="156" t="s">
        <v>14</v>
      </c>
      <c r="I91" s="158" t="s">
        <v>15</v>
      </c>
      <c r="J91" s="158"/>
      <c r="K91" s="159" t="s">
        <v>8</v>
      </c>
      <c r="L91" s="160">
        <v>8802505.7899999991</v>
      </c>
    </row>
    <row r="92" spans="1:12" ht="61.2" hidden="1" x14ac:dyDescent="0.3">
      <c r="A92" s="154" t="s">
        <v>102</v>
      </c>
      <c r="B92" s="155" t="s">
        <v>1039</v>
      </c>
      <c r="C92" s="155" t="s">
        <v>1040</v>
      </c>
      <c r="D92" s="155" t="s">
        <v>1041</v>
      </c>
      <c r="E92" s="156" t="s">
        <v>751</v>
      </c>
      <c r="F92" s="157">
        <v>50600</v>
      </c>
      <c r="G92" s="157"/>
      <c r="H92" s="156" t="s">
        <v>14</v>
      </c>
      <c r="I92" s="158" t="s">
        <v>15</v>
      </c>
      <c r="J92" s="158"/>
      <c r="K92" s="159" t="s">
        <v>8</v>
      </c>
      <c r="L92" s="160">
        <v>8853105.7899999991</v>
      </c>
    </row>
    <row r="93" spans="1:12" ht="61.2" x14ac:dyDescent="0.3">
      <c r="A93" s="154" t="s">
        <v>102</v>
      </c>
      <c r="B93" s="155" t="s">
        <v>1042</v>
      </c>
      <c r="C93" s="155" t="s">
        <v>1043</v>
      </c>
      <c r="D93" s="155" t="s">
        <v>1044</v>
      </c>
      <c r="E93" s="156" t="s">
        <v>105</v>
      </c>
      <c r="F93" s="162" t="s">
        <v>15</v>
      </c>
      <c r="G93" s="162"/>
      <c r="H93" s="156" t="s">
        <v>751</v>
      </c>
      <c r="I93" s="163">
        <v>89108</v>
      </c>
      <c r="J93" s="163"/>
      <c r="K93" s="159" t="s">
        <v>8</v>
      </c>
      <c r="L93" s="160">
        <v>8763997.7899999991</v>
      </c>
    </row>
    <row r="94" spans="1:12" ht="61.2" x14ac:dyDescent="0.3">
      <c r="A94" s="154" t="s">
        <v>102</v>
      </c>
      <c r="B94" s="155" t="s">
        <v>1042</v>
      </c>
      <c r="C94" s="155" t="s">
        <v>1043</v>
      </c>
      <c r="D94" s="155" t="s">
        <v>1045</v>
      </c>
      <c r="E94" s="156" t="s">
        <v>105</v>
      </c>
      <c r="F94" s="162" t="s">
        <v>15</v>
      </c>
      <c r="G94" s="162"/>
      <c r="H94" s="156" t="s">
        <v>751</v>
      </c>
      <c r="I94" s="163">
        <v>277456.58</v>
      </c>
      <c r="J94" s="163"/>
      <c r="K94" s="159" t="s">
        <v>8</v>
      </c>
      <c r="L94" s="160">
        <v>8486541.2100000009</v>
      </c>
    </row>
    <row r="95" spans="1:12" ht="51" x14ac:dyDescent="0.3">
      <c r="A95" s="154" t="s">
        <v>102</v>
      </c>
      <c r="B95" s="155" t="s">
        <v>1046</v>
      </c>
      <c r="C95" s="155" t="s">
        <v>1043</v>
      </c>
      <c r="D95" s="155" t="s">
        <v>927</v>
      </c>
      <c r="E95" s="156" t="s">
        <v>105</v>
      </c>
      <c r="F95" s="162" t="s">
        <v>15</v>
      </c>
      <c r="G95" s="162"/>
      <c r="H95" s="156" t="s">
        <v>751</v>
      </c>
      <c r="I95" s="164">
        <v>330</v>
      </c>
      <c r="J95" s="164"/>
      <c r="K95" s="159" t="s">
        <v>8</v>
      </c>
      <c r="L95" s="160">
        <v>8486211.2100000009</v>
      </c>
    </row>
    <row r="96" spans="1:12" ht="61.2" x14ac:dyDescent="0.3">
      <c r="A96" s="154" t="s">
        <v>102</v>
      </c>
      <c r="B96" s="155" t="s">
        <v>1046</v>
      </c>
      <c r="C96" s="155" t="s">
        <v>1043</v>
      </c>
      <c r="D96" s="155" t="s">
        <v>1047</v>
      </c>
      <c r="E96" s="156" t="s">
        <v>105</v>
      </c>
      <c r="F96" s="162" t="s">
        <v>15</v>
      </c>
      <c r="G96" s="162"/>
      <c r="H96" s="156" t="s">
        <v>751</v>
      </c>
      <c r="I96" s="163">
        <v>4381.97</v>
      </c>
      <c r="J96" s="163"/>
      <c r="K96" s="159" t="s">
        <v>8</v>
      </c>
      <c r="L96" s="160">
        <v>8481829.2400000002</v>
      </c>
    </row>
    <row r="97" spans="1:12" ht="61.2" x14ac:dyDescent="0.3">
      <c r="A97" s="154" t="s">
        <v>102</v>
      </c>
      <c r="B97" s="155" t="s">
        <v>1048</v>
      </c>
      <c r="C97" s="155" t="s">
        <v>1043</v>
      </c>
      <c r="D97" s="155" t="s">
        <v>1049</v>
      </c>
      <c r="E97" s="156" t="s">
        <v>105</v>
      </c>
      <c r="F97" s="162" t="s">
        <v>15</v>
      </c>
      <c r="G97" s="162"/>
      <c r="H97" s="156" t="s">
        <v>751</v>
      </c>
      <c r="I97" s="163">
        <v>2088.3200000000002</v>
      </c>
      <c r="J97" s="163"/>
      <c r="K97" s="159" t="s">
        <v>8</v>
      </c>
      <c r="L97" s="160">
        <v>8479740.9199999999</v>
      </c>
    </row>
    <row r="98" spans="1:12" ht="61.2" x14ac:dyDescent="0.3">
      <c r="A98" s="154" t="s">
        <v>102</v>
      </c>
      <c r="B98" s="155" t="s">
        <v>1048</v>
      </c>
      <c r="C98" s="155" t="s">
        <v>1043</v>
      </c>
      <c r="D98" s="155" t="s">
        <v>1049</v>
      </c>
      <c r="E98" s="156" t="s">
        <v>105</v>
      </c>
      <c r="F98" s="162" t="s">
        <v>15</v>
      </c>
      <c r="G98" s="162"/>
      <c r="H98" s="156" t="s">
        <v>751</v>
      </c>
      <c r="I98" s="163">
        <v>4284.08</v>
      </c>
      <c r="J98" s="163"/>
      <c r="K98" s="159" t="s">
        <v>8</v>
      </c>
      <c r="L98" s="160">
        <v>8475456.8399999999</v>
      </c>
    </row>
    <row r="99" spans="1:12" ht="61.2" x14ac:dyDescent="0.3">
      <c r="A99" s="154" t="s">
        <v>102</v>
      </c>
      <c r="B99" s="155" t="s">
        <v>1048</v>
      </c>
      <c r="C99" s="155" t="s">
        <v>1043</v>
      </c>
      <c r="D99" s="155" t="s">
        <v>1049</v>
      </c>
      <c r="E99" s="156" t="s">
        <v>105</v>
      </c>
      <c r="F99" s="162" t="s">
        <v>15</v>
      </c>
      <c r="G99" s="162"/>
      <c r="H99" s="156" t="s">
        <v>751</v>
      </c>
      <c r="I99" s="163">
        <v>18368.5</v>
      </c>
      <c r="J99" s="163"/>
      <c r="K99" s="159" t="s">
        <v>8</v>
      </c>
      <c r="L99" s="160">
        <v>8457088.3399999999</v>
      </c>
    </row>
    <row r="100" spans="1:12" ht="61.2" x14ac:dyDescent="0.3">
      <c r="A100" s="154" t="s">
        <v>102</v>
      </c>
      <c r="B100" s="155" t="s">
        <v>1048</v>
      </c>
      <c r="C100" s="155" t="s">
        <v>1043</v>
      </c>
      <c r="D100" s="155" t="s">
        <v>1050</v>
      </c>
      <c r="E100" s="156" t="s">
        <v>105</v>
      </c>
      <c r="F100" s="162" t="s">
        <v>15</v>
      </c>
      <c r="G100" s="162"/>
      <c r="H100" s="156" t="s">
        <v>751</v>
      </c>
      <c r="I100" s="163">
        <v>127400</v>
      </c>
      <c r="J100" s="163"/>
      <c r="K100" s="159" t="s">
        <v>8</v>
      </c>
      <c r="L100" s="160">
        <v>8329688.3399999999</v>
      </c>
    </row>
    <row r="101" spans="1:12" ht="61.2" x14ac:dyDescent="0.3">
      <c r="A101" s="154" t="s">
        <v>102</v>
      </c>
      <c r="B101" s="155" t="s">
        <v>1051</v>
      </c>
      <c r="C101" s="155" t="s">
        <v>1043</v>
      </c>
      <c r="D101" s="155" t="s">
        <v>869</v>
      </c>
      <c r="E101" s="156" t="s">
        <v>105</v>
      </c>
      <c r="F101" s="162" t="s">
        <v>15</v>
      </c>
      <c r="G101" s="162"/>
      <c r="H101" s="156" t="s">
        <v>751</v>
      </c>
      <c r="I101" s="163">
        <v>1617.28</v>
      </c>
      <c r="J101" s="163"/>
      <c r="K101" s="159" t="s">
        <v>8</v>
      </c>
      <c r="L101" s="160">
        <v>8328071.0599999996</v>
      </c>
    </row>
    <row r="102" spans="1:12" ht="61.2" x14ac:dyDescent="0.3">
      <c r="A102" s="154" t="s">
        <v>102</v>
      </c>
      <c r="B102" s="155" t="s">
        <v>1051</v>
      </c>
      <c r="C102" s="155" t="s">
        <v>1043</v>
      </c>
      <c r="D102" s="155" t="s">
        <v>1049</v>
      </c>
      <c r="E102" s="156" t="s">
        <v>105</v>
      </c>
      <c r="F102" s="162" t="s">
        <v>15</v>
      </c>
      <c r="G102" s="162"/>
      <c r="H102" s="156" t="s">
        <v>751</v>
      </c>
      <c r="I102" s="163">
        <v>3145.91</v>
      </c>
      <c r="J102" s="163"/>
      <c r="K102" s="159" t="s">
        <v>8</v>
      </c>
      <c r="L102" s="160">
        <v>8324925.1500000004</v>
      </c>
    </row>
    <row r="103" spans="1:12" ht="61.2" x14ac:dyDescent="0.3">
      <c r="A103" s="154" t="s">
        <v>102</v>
      </c>
      <c r="B103" s="155" t="s">
        <v>1051</v>
      </c>
      <c r="C103" s="155" t="s">
        <v>1043</v>
      </c>
      <c r="D103" s="155" t="s">
        <v>872</v>
      </c>
      <c r="E103" s="156" t="s">
        <v>105</v>
      </c>
      <c r="F103" s="162" t="s">
        <v>15</v>
      </c>
      <c r="G103" s="162"/>
      <c r="H103" s="156" t="s">
        <v>751</v>
      </c>
      <c r="I103" s="163">
        <v>3602.52</v>
      </c>
      <c r="J103" s="163"/>
      <c r="K103" s="159" t="s">
        <v>8</v>
      </c>
      <c r="L103" s="160">
        <v>8321322.6299999999</v>
      </c>
    </row>
    <row r="104" spans="1:12" ht="61.2" x14ac:dyDescent="0.3">
      <c r="A104" s="154" t="s">
        <v>102</v>
      </c>
      <c r="B104" s="155" t="s">
        <v>1051</v>
      </c>
      <c r="C104" s="155" t="s">
        <v>1043</v>
      </c>
      <c r="D104" s="155" t="s">
        <v>869</v>
      </c>
      <c r="E104" s="156" t="s">
        <v>105</v>
      </c>
      <c r="F104" s="162" t="s">
        <v>15</v>
      </c>
      <c r="G104" s="162"/>
      <c r="H104" s="156" t="s">
        <v>751</v>
      </c>
      <c r="I104" s="164">
        <v>479.83</v>
      </c>
      <c r="J104" s="164"/>
      <c r="K104" s="159" t="s">
        <v>8</v>
      </c>
      <c r="L104" s="160">
        <v>8320842.7999999998</v>
      </c>
    </row>
    <row r="105" spans="1:12" ht="61.2" x14ac:dyDescent="0.3">
      <c r="A105" s="154" t="s">
        <v>102</v>
      </c>
      <c r="B105" s="155" t="s">
        <v>1051</v>
      </c>
      <c r="C105" s="155" t="s">
        <v>1043</v>
      </c>
      <c r="D105" s="155" t="s">
        <v>872</v>
      </c>
      <c r="E105" s="156" t="s">
        <v>105</v>
      </c>
      <c r="F105" s="162" t="s">
        <v>15</v>
      </c>
      <c r="G105" s="162"/>
      <c r="H105" s="156" t="s">
        <v>751</v>
      </c>
      <c r="I105" s="163">
        <v>2011.1</v>
      </c>
      <c r="J105" s="163"/>
      <c r="K105" s="159" t="s">
        <v>8</v>
      </c>
      <c r="L105" s="160">
        <v>8318831.7000000002</v>
      </c>
    </row>
    <row r="106" spans="1:12" ht="61.2" x14ac:dyDescent="0.3">
      <c r="A106" s="154" t="s">
        <v>102</v>
      </c>
      <c r="B106" s="155" t="s">
        <v>1051</v>
      </c>
      <c r="C106" s="155" t="s">
        <v>1043</v>
      </c>
      <c r="D106" s="155" t="s">
        <v>869</v>
      </c>
      <c r="E106" s="156" t="s">
        <v>105</v>
      </c>
      <c r="F106" s="162" t="s">
        <v>15</v>
      </c>
      <c r="G106" s="162"/>
      <c r="H106" s="156" t="s">
        <v>751</v>
      </c>
      <c r="I106" s="164">
        <v>655.48</v>
      </c>
      <c r="J106" s="164"/>
      <c r="K106" s="159" t="s">
        <v>8</v>
      </c>
      <c r="L106" s="160">
        <v>8318176.2199999997</v>
      </c>
    </row>
    <row r="107" spans="1:12" ht="61.2" x14ac:dyDescent="0.3">
      <c r="A107" s="154" t="s">
        <v>102</v>
      </c>
      <c r="B107" s="155" t="s">
        <v>1051</v>
      </c>
      <c r="C107" s="155" t="s">
        <v>1043</v>
      </c>
      <c r="D107" s="155" t="s">
        <v>872</v>
      </c>
      <c r="E107" s="156" t="s">
        <v>105</v>
      </c>
      <c r="F107" s="162" t="s">
        <v>15</v>
      </c>
      <c r="G107" s="162"/>
      <c r="H107" s="156" t="s">
        <v>751</v>
      </c>
      <c r="I107" s="163">
        <v>2779.95</v>
      </c>
      <c r="J107" s="163"/>
      <c r="K107" s="159" t="s">
        <v>8</v>
      </c>
      <c r="L107" s="160">
        <v>8315396.2699999996</v>
      </c>
    </row>
    <row r="108" spans="1:12" ht="61.2" x14ac:dyDescent="0.3">
      <c r="A108" s="154" t="s">
        <v>102</v>
      </c>
      <c r="B108" s="155" t="s">
        <v>1051</v>
      </c>
      <c r="C108" s="155" t="s">
        <v>1043</v>
      </c>
      <c r="D108" s="155" t="s">
        <v>869</v>
      </c>
      <c r="E108" s="156" t="s">
        <v>105</v>
      </c>
      <c r="F108" s="162" t="s">
        <v>15</v>
      </c>
      <c r="G108" s="162"/>
      <c r="H108" s="156" t="s">
        <v>751</v>
      </c>
      <c r="I108" s="163">
        <v>4588.3599999999997</v>
      </c>
      <c r="J108" s="163"/>
      <c r="K108" s="159" t="s">
        <v>8</v>
      </c>
      <c r="L108" s="160">
        <v>8310807.9100000001</v>
      </c>
    </row>
    <row r="109" spans="1:12" ht="61.2" x14ac:dyDescent="0.3">
      <c r="A109" s="154" t="s">
        <v>102</v>
      </c>
      <c r="B109" s="155" t="s">
        <v>1051</v>
      </c>
      <c r="C109" s="155" t="s">
        <v>1043</v>
      </c>
      <c r="D109" s="155" t="s">
        <v>872</v>
      </c>
      <c r="E109" s="156" t="s">
        <v>105</v>
      </c>
      <c r="F109" s="162" t="s">
        <v>15</v>
      </c>
      <c r="G109" s="162"/>
      <c r="H109" s="156" t="s">
        <v>751</v>
      </c>
      <c r="I109" s="163">
        <v>16347.33</v>
      </c>
      <c r="J109" s="163"/>
      <c r="K109" s="159" t="s">
        <v>8</v>
      </c>
      <c r="L109" s="160">
        <v>8294460.5800000001</v>
      </c>
    </row>
    <row r="110" spans="1:12" ht="61.2" x14ac:dyDescent="0.3">
      <c r="A110" s="154" t="s">
        <v>102</v>
      </c>
      <c r="B110" s="155" t="s">
        <v>1051</v>
      </c>
      <c r="C110" s="155" t="s">
        <v>1043</v>
      </c>
      <c r="D110" s="155" t="s">
        <v>872</v>
      </c>
      <c r="E110" s="156" t="s">
        <v>105</v>
      </c>
      <c r="F110" s="162" t="s">
        <v>15</v>
      </c>
      <c r="G110" s="162"/>
      <c r="H110" s="156" t="s">
        <v>751</v>
      </c>
      <c r="I110" s="163">
        <v>5475.97</v>
      </c>
      <c r="J110" s="163"/>
      <c r="K110" s="159" t="s">
        <v>8</v>
      </c>
      <c r="L110" s="160">
        <v>8288984.6100000003</v>
      </c>
    </row>
    <row r="111" spans="1:12" ht="61.2" x14ac:dyDescent="0.3">
      <c r="A111" s="154" t="s">
        <v>102</v>
      </c>
      <c r="B111" s="155" t="s">
        <v>1051</v>
      </c>
      <c r="C111" s="155" t="s">
        <v>1043</v>
      </c>
      <c r="D111" s="155" t="s">
        <v>875</v>
      </c>
      <c r="E111" s="156" t="s">
        <v>105</v>
      </c>
      <c r="F111" s="162" t="s">
        <v>15</v>
      </c>
      <c r="G111" s="162"/>
      <c r="H111" s="156" t="s">
        <v>751</v>
      </c>
      <c r="I111" s="163">
        <v>1520.92</v>
      </c>
      <c r="J111" s="163"/>
      <c r="K111" s="159" t="s">
        <v>8</v>
      </c>
      <c r="L111" s="160">
        <v>8287463.6900000004</v>
      </c>
    </row>
    <row r="112" spans="1:12" ht="61.2" x14ac:dyDescent="0.3">
      <c r="A112" s="154" t="s">
        <v>102</v>
      </c>
      <c r="B112" s="155" t="s">
        <v>1051</v>
      </c>
      <c r="C112" s="155" t="s">
        <v>1043</v>
      </c>
      <c r="D112" s="155" t="s">
        <v>869</v>
      </c>
      <c r="E112" s="156" t="s">
        <v>105</v>
      </c>
      <c r="F112" s="162" t="s">
        <v>15</v>
      </c>
      <c r="G112" s="162"/>
      <c r="H112" s="156" t="s">
        <v>751</v>
      </c>
      <c r="I112" s="163">
        <v>3797.92</v>
      </c>
      <c r="J112" s="163"/>
      <c r="K112" s="159" t="s">
        <v>8</v>
      </c>
      <c r="L112" s="160">
        <v>8283665.7699999996</v>
      </c>
    </row>
    <row r="113" spans="1:12" ht="61.2" x14ac:dyDescent="0.3">
      <c r="A113" s="154" t="s">
        <v>102</v>
      </c>
      <c r="B113" s="155" t="s">
        <v>1051</v>
      </c>
      <c r="C113" s="155" t="s">
        <v>1043</v>
      </c>
      <c r="D113" s="155" t="s">
        <v>925</v>
      </c>
      <c r="E113" s="156" t="s">
        <v>105</v>
      </c>
      <c r="F113" s="162" t="s">
        <v>15</v>
      </c>
      <c r="G113" s="162"/>
      <c r="H113" s="156" t="s">
        <v>751</v>
      </c>
      <c r="I113" s="164">
        <v>35.97</v>
      </c>
      <c r="J113" s="164"/>
      <c r="K113" s="159" t="s">
        <v>8</v>
      </c>
      <c r="L113" s="160">
        <v>8283629.7999999998</v>
      </c>
    </row>
    <row r="114" spans="1:12" ht="61.2" x14ac:dyDescent="0.3">
      <c r="A114" s="154" t="s">
        <v>102</v>
      </c>
      <c r="B114" s="155" t="s">
        <v>1051</v>
      </c>
      <c r="C114" s="155" t="s">
        <v>1043</v>
      </c>
      <c r="D114" s="155" t="s">
        <v>875</v>
      </c>
      <c r="E114" s="156" t="s">
        <v>105</v>
      </c>
      <c r="F114" s="162" t="s">
        <v>15</v>
      </c>
      <c r="G114" s="162"/>
      <c r="H114" s="156" t="s">
        <v>751</v>
      </c>
      <c r="I114" s="163">
        <v>18062.97</v>
      </c>
      <c r="J114" s="163"/>
      <c r="K114" s="159" t="s">
        <v>8</v>
      </c>
      <c r="L114" s="160">
        <v>8265566.8300000001</v>
      </c>
    </row>
    <row r="115" spans="1:12" ht="61.2" x14ac:dyDescent="0.3">
      <c r="A115" s="154" t="s">
        <v>102</v>
      </c>
      <c r="B115" s="155" t="s">
        <v>1051</v>
      </c>
      <c r="C115" s="155" t="s">
        <v>1043</v>
      </c>
      <c r="D115" s="155" t="s">
        <v>925</v>
      </c>
      <c r="E115" s="156" t="s">
        <v>105</v>
      </c>
      <c r="F115" s="162" t="s">
        <v>15</v>
      </c>
      <c r="G115" s="162"/>
      <c r="H115" s="156" t="s">
        <v>751</v>
      </c>
      <c r="I115" s="164">
        <v>893.3</v>
      </c>
      <c r="J115" s="164"/>
      <c r="K115" s="159" t="s">
        <v>8</v>
      </c>
      <c r="L115" s="160">
        <v>8264673.5300000003</v>
      </c>
    </row>
    <row r="116" spans="1:12" ht="61.2" x14ac:dyDescent="0.3">
      <c r="A116" s="154" t="s">
        <v>102</v>
      </c>
      <c r="B116" s="155" t="s">
        <v>1051</v>
      </c>
      <c r="C116" s="155" t="s">
        <v>1043</v>
      </c>
      <c r="D116" s="155" t="s">
        <v>875</v>
      </c>
      <c r="E116" s="156" t="s">
        <v>105</v>
      </c>
      <c r="F116" s="162" t="s">
        <v>15</v>
      </c>
      <c r="G116" s="162"/>
      <c r="H116" s="156" t="s">
        <v>751</v>
      </c>
      <c r="I116" s="163">
        <v>3068.69</v>
      </c>
      <c r="J116" s="163"/>
      <c r="K116" s="159" t="s">
        <v>8</v>
      </c>
      <c r="L116" s="160">
        <v>8261604.8399999999</v>
      </c>
    </row>
    <row r="117" spans="1:12" ht="61.2" x14ac:dyDescent="0.3">
      <c r="A117" s="154" t="s">
        <v>102</v>
      </c>
      <c r="B117" s="155" t="s">
        <v>1051</v>
      </c>
      <c r="C117" s="155" t="s">
        <v>1043</v>
      </c>
      <c r="D117" s="155" t="s">
        <v>925</v>
      </c>
      <c r="E117" s="156" t="s">
        <v>105</v>
      </c>
      <c r="F117" s="162" t="s">
        <v>15</v>
      </c>
      <c r="G117" s="162"/>
      <c r="H117" s="156" t="s">
        <v>751</v>
      </c>
      <c r="I117" s="163">
        <v>26049.58</v>
      </c>
      <c r="J117" s="163"/>
      <c r="K117" s="159" t="s">
        <v>8</v>
      </c>
      <c r="L117" s="160">
        <v>8235555.2599999998</v>
      </c>
    </row>
    <row r="118" spans="1:12" ht="61.2" x14ac:dyDescent="0.3">
      <c r="A118" s="154" t="s">
        <v>102</v>
      </c>
      <c r="B118" s="155" t="s">
        <v>1051</v>
      </c>
      <c r="C118" s="155" t="s">
        <v>1043</v>
      </c>
      <c r="D118" s="155" t="s">
        <v>875</v>
      </c>
      <c r="E118" s="156" t="s">
        <v>105</v>
      </c>
      <c r="F118" s="162" t="s">
        <v>15</v>
      </c>
      <c r="G118" s="162"/>
      <c r="H118" s="156" t="s">
        <v>751</v>
      </c>
      <c r="I118" s="163">
        <v>7564.29</v>
      </c>
      <c r="J118" s="163"/>
      <c r="K118" s="159" t="s">
        <v>8</v>
      </c>
      <c r="L118" s="160">
        <v>8227990.9699999997</v>
      </c>
    </row>
    <row r="119" spans="1:12" ht="61.2" x14ac:dyDescent="0.3">
      <c r="A119" s="154" t="s">
        <v>102</v>
      </c>
      <c r="B119" s="155" t="s">
        <v>1051</v>
      </c>
      <c r="C119" s="155" t="s">
        <v>1043</v>
      </c>
      <c r="D119" s="155" t="s">
        <v>922</v>
      </c>
      <c r="E119" s="156" t="s">
        <v>105</v>
      </c>
      <c r="F119" s="162" t="s">
        <v>15</v>
      </c>
      <c r="G119" s="162"/>
      <c r="H119" s="156" t="s">
        <v>751</v>
      </c>
      <c r="I119" s="163">
        <v>18368.5</v>
      </c>
      <c r="J119" s="163"/>
      <c r="K119" s="159" t="s">
        <v>8</v>
      </c>
      <c r="L119" s="160">
        <v>8209622.4699999997</v>
      </c>
    </row>
    <row r="120" spans="1:12" ht="61.2" x14ac:dyDescent="0.3">
      <c r="A120" s="154" t="s">
        <v>102</v>
      </c>
      <c r="B120" s="155" t="s">
        <v>1051</v>
      </c>
      <c r="C120" s="155" t="s">
        <v>1043</v>
      </c>
      <c r="D120" s="155" t="s">
        <v>1052</v>
      </c>
      <c r="E120" s="156" t="s">
        <v>105</v>
      </c>
      <c r="F120" s="162" t="s">
        <v>15</v>
      </c>
      <c r="G120" s="162"/>
      <c r="H120" s="156" t="s">
        <v>751</v>
      </c>
      <c r="I120" s="164">
        <v>308.13</v>
      </c>
      <c r="J120" s="164"/>
      <c r="K120" s="159" t="s">
        <v>8</v>
      </c>
      <c r="L120" s="160">
        <v>8209314.3399999999</v>
      </c>
    </row>
    <row r="121" spans="1:12" ht="61.2" x14ac:dyDescent="0.3">
      <c r="A121" s="154" t="s">
        <v>102</v>
      </c>
      <c r="B121" s="155" t="s">
        <v>1051</v>
      </c>
      <c r="C121" s="155" t="s">
        <v>1043</v>
      </c>
      <c r="D121" s="155" t="s">
        <v>1053</v>
      </c>
      <c r="E121" s="156" t="s">
        <v>105</v>
      </c>
      <c r="F121" s="162" t="s">
        <v>15</v>
      </c>
      <c r="G121" s="162"/>
      <c r="H121" s="156" t="s">
        <v>751</v>
      </c>
      <c r="I121" s="163">
        <v>6950.24</v>
      </c>
      <c r="J121" s="163"/>
      <c r="K121" s="159" t="s">
        <v>8</v>
      </c>
      <c r="L121" s="160">
        <v>8202364.0999999996</v>
      </c>
    </row>
    <row r="122" spans="1:12" ht="71.400000000000006" x14ac:dyDescent="0.3">
      <c r="A122" s="154" t="s">
        <v>102</v>
      </c>
      <c r="B122" s="155" t="s">
        <v>1054</v>
      </c>
      <c r="C122" s="155" t="s">
        <v>1043</v>
      </c>
      <c r="D122" s="155" t="s">
        <v>886</v>
      </c>
      <c r="E122" s="156" t="s">
        <v>105</v>
      </c>
      <c r="F122" s="162" t="s">
        <v>15</v>
      </c>
      <c r="G122" s="162"/>
      <c r="H122" s="156" t="s">
        <v>751</v>
      </c>
      <c r="I122" s="164">
        <v>427.5</v>
      </c>
      <c r="J122" s="164"/>
      <c r="K122" s="159" t="s">
        <v>8</v>
      </c>
      <c r="L122" s="160">
        <v>8201936.5999999996</v>
      </c>
    </row>
    <row r="123" spans="1:12" ht="71.400000000000006" x14ac:dyDescent="0.3">
      <c r="A123" s="154" t="s">
        <v>102</v>
      </c>
      <c r="B123" s="155" t="s">
        <v>1054</v>
      </c>
      <c r="C123" s="155" t="s">
        <v>1043</v>
      </c>
      <c r="D123" s="155" t="s">
        <v>1055</v>
      </c>
      <c r="E123" s="156" t="s">
        <v>105</v>
      </c>
      <c r="F123" s="162" t="s">
        <v>15</v>
      </c>
      <c r="G123" s="162"/>
      <c r="H123" s="156" t="s">
        <v>751</v>
      </c>
      <c r="I123" s="164">
        <v>217.73</v>
      </c>
      <c r="J123" s="164"/>
      <c r="K123" s="159" t="s">
        <v>8</v>
      </c>
      <c r="L123" s="160">
        <v>8201718.8700000001</v>
      </c>
    </row>
    <row r="124" spans="1:12" ht="61.2" x14ac:dyDescent="0.3">
      <c r="A124" s="154" t="s">
        <v>102</v>
      </c>
      <c r="B124" s="155" t="s">
        <v>1056</v>
      </c>
      <c r="C124" s="155" t="s">
        <v>1043</v>
      </c>
      <c r="D124" s="155" t="s">
        <v>922</v>
      </c>
      <c r="E124" s="156" t="s">
        <v>105</v>
      </c>
      <c r="F124" s="162" t="s">
        <v>15</v>
      </c>
      <c r="G124" s="162"/>
      <c r="H124" s="156" t="s">
        <v>751</v>
      </c>
      <c r="I124" s="163">
        <v>11848.37</v>
      </c>
      <c r="J124" s="163"/>
      <c r="K124" s="159" t="s">
        <v>8</v>
      </c>
      <c r="L124" s="160">
        <v>8189870.5</v>
      </c>
    </row>
    <row r="125" spans="1:12" ht="61.2" x14ac:dyDescent="0.3">
      <c r="A125" s="154" t="s">
        <v>102</v>
      </c>
      <c r="B125" s="155" t="s">
        <v>1056</v>
      </c>
      <c r="C125" s="155" t="s">
        <v>1043</v>
      </c>
      <c r="D125" s="155" t="s">
        <v>945</v>
      </c>
      <c r="E125" s="156" t="s">
        <v>105</v>
      </c>
      <c r="F125" s="162" t="s">
        <v>15</v>
      </c>
      <c r="G125" s="162"/>
      <c r="H125" s="156" t="s">
        <v>751</v>
      </c>
      <c r="I125" s="163">
        <v>18368.5</v>
      </c>
      <c r="J125" s="163"/>
      <c r="K125" s="159" t="s">
        <v>8</v>
      </c>
      <c r="L125" s="160">
        <v>8171502</v>
      </c>
    </row>
    <row r="126" spans="1:12" ht="61.2" x14ac:dyDescent="0.3">
      <c r="A126" s="154" t="s">
        <v>102</v>
      </c>
      <c r="B126" s="155" t="s">
        <v>1056</v>
      </c>
      <c r="C126" s="155" t="s">
        <v>1043</v>
      </c>
      <c r="D126" s="155" t="s">
        <v>945</v>
      </c>
      <c r="E126" s="156" t="s">
        <v>105</v>
      </c>
      <c r="F126" s="162" t="s">
        <v>15</v>
      </c>
      <c r="G126" s="162"/>
      <c r="H126" s="156" t="s">
        <v>751</v>
      </c>
      <c r="I126" s="163">
        <v>5566.62</v>
      </c>
      <c r="J126" s="163"/>
      <c r="K126" s="159" t="s">
        <v>8</v>
      </c>
      <c r="L126" s="160">
        <v>8165935.3799999999</v>
      </c>
    </row>
    <row r="127" spans="1:12" ht="71.400000000000006" x14ac:dyDescent="0.3">
      <c r="A127" s="154" t="s">
        <v>102</v>
      </c>
      <c r="B127" s="155" t="s">
        <v>1056</v>
      </c>
      <c r="C127" s="155" t="s">
        <v>1043</v>
      </c>
      <c r="D127" s="155" t="s">
        <v>1057</v>
      </c>
      <c r="E127" s="156" t="s">
        <v>105</v>
      </c>
      <c r="F127" s="162" t="s">
        <v>15</v>
      </c>
      <c r="G127" s="162"/>
      <c r="H127" s="156" t="s">
        <v>751</v>
      </c>
      <c r="I127" s="164">
        <v>802.5</v>
      </c>
      <c r="J127" s="164"/>
      <c r="K127" s="159" t="s">
        <v>8</v>
      </c>
      <c r="L127" s="160">
        <v>8165132.8799999999</v>
      </c>
    </row>
    <row r="128" spans="1:12" ht="71.400000000000006" x14ac:dyDescent="0.3">
      <c r="A128" s="154" t="s">
        <v>102</v>
      </c>
      <c r="B128" s="155" t="s">
        <v>1056</v>
      </c>
      <c r="C128" s="155" t="s">
        <v>1043</v>
      </c>
      <c r="D128" s="155" t="s">
        <v>1058</v>
      </c>
      <c r="E128" s="156" t="s">
        <v>105</v>
      </c>
      <c r="F128" s="162" t="s">
        <v>15</v>
      </c>
      <c r="G128" s="162"/>
      <c r="H128" s="156" t="s">
        <v>751</v>
      </c>
      <c r="I128" s="163">
        <v>14810.87</v>
      </c>
      <c r="J128" s="163"/>
      <c r="K128" s="159" t="s">
        <v>8</v>
      </c>
      <c r="L128" s="160">
        <v>8150322.0099999998</v>
      </c>
    </row>
    <row r="129" spans="1:12" ht="61.2" x14ac:dyDescent="0.3">
      <c r="A129" s="154" t="s">
        <v>102</v>
      </c>
      <c r="B129" s="155" t="s">
        <v>1056</v>
      </c>
      <c r="C129" s="155" t="s">
        <v>1043</v>
      </c>
      <c r="D129" s="155" t="s">
        <v>881</v>
      </c>
      <c r="E129" s="156" t="s">
        <v>105</v>
      </c>
      <c r="F129" s="162" t="s">
        <v>15</v>
      </c>
      <c r="G129" s="162"/>
      <c r="H129" s="156" t="s">
        <v>751</v>
      </c>
      <c r="I129" s="163">
        <v>178216</v>
      </c>
      <c r="J129" s="163"/>
      <c r="K129" s="159" t="s">
        <v>8</v>
      </c>
      <c r="L129" s="160">
        <v>7972106.0099999998</v>
      </c>
    </row>
    <row r="130" spans="1:12" ht="71.400000000000006" x14ac:dyDescent="0.3">
      <c r="A130" s="154" t="s">
        <v>102</v>
      </c>
      <c r="B130" s="155" t="s">
        <v>1056</v>
      </c>
      <c r="C130" s="155" t="s">
        <v>1043</v>
      </c>
      <c r="D130" s="155" t="s">
        <v>1059</v>
      </c>
      <c r="E130" s="156" t="s">
        <v>105</v>
      </c>
      <c r="F130" s="162" t="s">
        <v>15</v>
      </c>
      <c r="G130" s="162"/>
      <c r="H130" s="156" t="s">
        <v>751</v>
      </c>
      <c r="I130" s="163">
        <v>5414.9</v>
      </c>
      <c r="J130" s="163"/>
      <c r="K130" s="159" t="s">
        <v>8</v>
      </c>
      <c r="L130" s="160">
        <v>7966691.1100000003</v>
      </c>
    </row>
    <row r="131" spans="1:12" ht="61.2" x14ac:dyDescent="0.3">
      <c r="A131" s="154" t="s">
        <v>102</v>
      </c>
      <c r="B131" s="155" t="s">
        <v>1056</v>
      </c>
      <c r="C131" s="155" t="s">
        <v>1043</v>
      </c>
      <c r="D131" s="155" t="s">
        <v>1060</v>
      </c>
      <c r="E131" s="156" t="s">
        <v>105</v>
      </c>
      <c r="F131" s="162" t="s">
        <v>15</v>
      </c>
      <c r="G131" s="162"/>
      <c r="H131" s="156" t="s">
        <v>751</v>
      </c>
      <c r="I131" s="163">
        <v>16010.69</v>
      </c>
      <c r="J131" s="163"/>
      <c r="K131" s="159" t="s">
        <v>8</v>
      </c>
      <c r="L131" s="160">
        <v>7950680.4199999999</v>
      </c>
    </row>
    <row r="132" spans="1:12" ht="61.2" x14ac:dyDescent="0.3">
      <c r="A132" s="154" t="s">
        <v>102</v>
      </c>
      <c r="B132" s="155" t="s">
        <v>1056</v>
      </c>
      <c r="C132" s="155" t="s">
        <v>1043</v>
      </c>
      <c r="D132" s="155" t="s">
        <v>1061</v>
      </c>
      <c r="E132" s="156" t="s">
        <v>105</v>
      </c>
      <c r="F132" s="162" t="s">
        <v>15</v>
      </c>
      <c r="G132" s="162"/>
      <c r="H132" s="156" t="s">
        <v>751</v>
      </c>
      <c r="I132" s="163">
        <v>5449.83</v>
      </c>
      <c r="J132" s="163"/>
      <c r="K132" s="159" t="s">
        <v>8</v>
      </c>
      <c r="L132" s="160">
        <v>7945230.5899999999</v>
      </c>
    </row>
    <row r="133" spans="1:12" ht="61.2" x14ac:dyDescent="0.3">
      <c r="A133" s="154" t="s">
        <v>102</v>
      </c>
      <c r="B133" s="155" t="s">
        <v>1056</v>
      </c>
      <c r="C133" s="155" t="s">
        <v>1043</v>
      </c>
      <c r="D133" s="155" t="s">
        <v>1062</v>
      </c>
      <c r="E133" s="156" t="s">
        <v>105</v>
      </c>
      <c r="F133" s="162" t="s">
        <v>15</v>
      </c>
      <c r="G133" s="162"/>
      <c r="H133" s="156" t="s">
        <v>751</v>
      </c>
      <c r="I133" s="164">
        <v>561.36</v>
      </c>
      <c r="J133" s="164"/>
      <c r="K133" s="159" t="s">
        <v>8</v>
      </c>
      <c r="L133" s="160">
        <v>7944669.2300000004</v>
      </c>
    </row>
    <row r="134" spans="1:12" ht="61.2" x14ac:dyDescent="0.3">
      <c r="A134" s="154" t="s">
        <v>102</v>
      </c>
      <c r="B134" s="155" t="s">
        <v>1056</v>
      </c>
      <c r="C134" s="155" t="s">
        <v>1043</v>
      </c>
      <c r="D134" s="155" t="s">
        <v>1063</v>
      </c>
      <c r="E134" s="156" t="s">
        <v>105</v>
      </c>
      <c r="F134" s="162" t="s">
        <v>15</v>
      </c>
      <c r="G134" s="162"/>
      <c r="H134" s="156" t="s">
        <v>751</v>
      </c>
      <c r="I134" s="163">
        <v>2512.94</v>
      </c>
      <c r="J134" s="163"/>
      <c r="K134" s="159" t="s">
        <v>8</v>
      </c>
      <c r="L134" s="160">
        <v>7942156.29</v>
      </c>
    </row>
    <row r="135" spans="1:12" ht="61.2" x14ac:dyDescent="0.3">
      <c r="A135" s="154" t="s">
        <v>102</v>
      </c>
      <c r="B135" s="155" t="s">
        <v>1056</v>
      </c>
      <c r="C135" s="155" t="s">
        <v>1043</v>
      </c>
      <c r="D135" s="155" t="s">
        <v>1064</v>
      </c>
      <c r="E135" s="156" t="s">
        <v>105</v>
      </c>
      <c r="F135" s="162" t="s">
        <v>15</v>
      </c>
      <c r="G135" s="162"/>
      <c r="H135" s="156" t="s">
        <v>751</v>
      </c>
      <c r="I135" s="164">
        <v>249.18</v>
      </c>
      <c r="J135" s="164"/>
      <c r="K135" s="159" t="s">
        <v>8</v>
      </c>
      <c r="L135" s="160">
        <v>7941907.1100000003</v>
      </c>
    </row>
    <row r="136" spans="1:12" ht="71.400000000000006" x14ac:dyDescent="0.3">
      <c r="A136" s="154" t="s">
        <v>102</v>
      </c>
      <c r="B136" s="155" t="s">
        <v>1056</v>
      </c>
      <c r="C136" s="155" t="s">
        <v>1043</v>
      </c>
      <c r="D136" s="155" t="s">
        <v>1065</v>
      </c>
      <c r="E136" s="156" t="s">
        <v>105</v>
      </c>
      <c r="F136" s="162" t="s">
        <v>15</v>
      </c>
      <c r="G136" s="162"/>
      <c r="H136" s="156" t="s">
        <v>751</v>
      </c>
      <c r="I136" s="164">
        <v>84</v>
      </c>
      <c r="J136" s="164"/>
      <c r="K136" s="159" t="s">
        <v>8</v>
      </c>
      <c r="L136" s="160">
        <v>7941823.1100000003</v>
      </c>
    </row>
    <row r="137" spans="1:12" ht="61.2" x14ac:dyDescent="0.3">
      <c r="A137" s="154" t="s">
        <v>102</v>
      </c>
      <c r="B137" s="155" t="s">
        <v>1056</v>
      </c>
      <c r="C137" s="155" t="s">
        <v>1043</v>
      </c>
      <c r="D137" s="155" t="s">
        <v>1045</v>
      </c>
      <c r="E137" s="156" t="s">
        <v>105</v>
      </c>
      <c r="F137" s="162" t="s">
        <v>15</v>
      </c>
      <c r="G137" s="162"/>
      <c r="H137" s="156" t="s">
        <v>751</v>
      </c>
      <c r="I137" s="163">
        <v>371796.45</v>
      </c>
      <c r="J137" s="163"/>
      <c r="K137" s="159" t="s">
        <v>8</v>
      </c>
      <c r="L137" s="160">
        <v>7570026.6600000001</v>
      </c>
    </row>
    <row r="138" spans="1:12" ht="61.2" x14ac:dyDescent="0.3">
      <c r="A138" s="154" t="s">
        <v>102</v>
      </c>
      <c r="B138" s="155" t="s">
        <v>1056</v>
      </c>
      <c r="C138" s="155" t="s">
        <v>1043</v>
      </c>
      <c r="D138" s="155" t="s">
        <v>1066</v>
      </c>
      <c r="E138" s="156" t="s">
        <v>105</v>
      </c>
      <c r="F138" s="162" t="s">
        <v>15</v>
      </c>
      <c r="G138" s="162"/>
      <c r="H138" s="156" t="s">
        <v>751</v>
      </c>
      <c r="I138" s="163">
        <v>275002.5</v>
      </c>
      <c r="J138" s="163"/>
      <c r="K138" s="159" t="s">
        <v>8</v>
      </c>
      <c r="L138" s="160">
        <v>7295024.1600000001</v>
      </c>
    </row>
    <row r="139" spans="1:12" ht="61.2" x14ac:dyDescent="0.3">
      <c r="A139" s="154" t="s">
        <v>102</v>
      </c>
      <c r="B139" s="155" t="s">
        <v>1067</v>
      </c>
      <c r="C139" s="155" t="s">
        <v>1043</v>
      </c>
      <c r="D139" s="155" t="s">
        <v>1068</v>
      </c>
      <c r="E139" s="156" t="s">
        <v>105</v>
      </c>
      <c r="F139" s="162" t="s">
        <v>15</v>
      </c>
      <c r="G139" s="162"/>
      <c r="H139" s="156" t="s">
        <v>751</v>
      </c>
      <c r="I139" s="163">
        <v>4950</v>
      </c>
      <c r="J139" s="163"/>
      <c r="K139" s="159" t="s">
        <v>8</v>
      </c>
      <c r="L139" s="160">
        <v>7290074.1600000001</v>
      </c>
    </row>
    <row r="140" spans="1:12" ht="61.2" hidden="1" x14ac:dyDescent="0.3">
      <c r="A140" s="154" t="s">
        <v>644</v>
      </c>
      <c r="B140" s="155" t="s">
        <v>1069</v>
      </c>
      <c r="C140" s="155" t="s">
        <v>1070</v>
      </c>
      <c r="D140" s="155" t="s">
        <v>1071</v>
      </c>
      <c r="E140" s="156" t="s">
        <v>751</v>
      </c>
      <c r="F140" s="157">
        <v>18958.29</v>
      </c>
      <c r="G140" s="157"/>
      <c r="H140" s="156" t="s">
        <v>14</v>
      </c>
      <c r="I140" s="158" t="s">
        <v>15</v>
      </c>
      <c r="J140" s="158"/>
      <c r="K140" s="159" t="s">
        <v>8</v>
      </c>
      <c r="L140" s="160">
        <v>7309032.4500000002</v>
      </c>
    </row>
    <row r="141" spans="1:12" ht="61.2" hidden="1" x14ac:dyDescent="0.3">
      <c r="A141" s="154" t="s">
        <v>644</v>
      </c>
      <c r="B141" s="155" t="s">
        <v>1072</v>
      </c>
      <c r="C141" s="155" t="s">
        <v>1073</v>
      </c>
      <c r="D141" s="155" t="s">
        <v>1074</v>
      </c>
      <c r="E141" s="156" t="s">
        <v>751</v>
      </c>
      <c r="F141" s="157">
        <v>18958.29</v>
      </c>
      <c r="G141" s="157"/>
      <c r="H141" s="156" t="s">
        <v>14</v>
      </c>
      <c r="I141" s="158" t="s">
        <v>15</v>
      </c>
      <c r="J141" s="158"/>
      <c r="K141" s="159" t="s">
        <v>8</v>
      </c>
      <c r="L141" s="160">
        <v>7327990.7400000002</v>
      </c>
    </row>
    <row r="142" spans="1:12" ht="61.2" hidden="1" x14ac:dyDescent="0.3">
      <c r="A142" s="154" t="s">
        <v>1075</v>
      </c>
      <c r="B142" s="155" t="s">
        <v>1076</v>
      </c>
      <c r="C142" s="155" t="s">
        <v>1077</v>
      </c>
      <c r="D142" s="155" t="s">
        <v>1078</v>
      </c>
      <c r="E142" s="156" t="s">
        <v>751</v>
      </c>
      <c r="F142" s="157">
        <v>13750</v>
      </c>
      <c r="G142" s="157"/>
      <c r="H142" s="156" t="s">
        <v>14</v>
      </c>
      <c r="I142" s="158" t="s">
        <v>15</v>
      </c>
      <c r="J142" s="158"/>
      <c r="K142" s="159" t="s">
        <v>8</v>
      </c>
      <c r="L142" s="160">
        <v>7341740.7400000002</v>
      </c>
    </row>
    <row r="143" spans="1:12" ht="61.2" hidden="1" x14ac:dyDescent="0.3">
      <c r="A143" s="154" t="s">
        <v>1075</v>
      </c>
      <c r="B143" s="155" t="s">
        <v>1079</v>
      </c>
      <c r="C143" s="155" t="s">
        <v>1080</v>
      </c>
      <c r="D143" s="155" t="s">
        <v>1081</v>
      </c>
      <c r="E143" s="156" t="s">
        <v>751</v>
      </c>
      <c r="F143" s="161">
        <v>566.15</v>
      </c>
      <c r="G143" s="161"/>
      <c r="H143" s="156" t="s">
        <v>14</v>
      </c>
      <c r="I143" s="158" t="s">
        <v>15</v>
      </c>
      <c r="J143" s="158"/>
      <c r="K143" s="159" t="s">
        <v>8</v>
      </c>
      <c r="L143" s="160">
        <v>7342306.8899999997</v>
      </c>
    </row>
    <row r="144" spans="1:12" ht="61.2" hidden="1" x14ac:dyDescent="0.3">
      <c r="A144" s="154" t="s">
        <v>1075</v>
      </c>
      <c r="B144" s="155" t="s">
        <v>1079</v>
      </c>
      <c r="C144" s="155" t="s">
        <v>1082</v>
      </c>
      <c r="D144" s="155" t="s">
        <v>1081</v>
      </c>
      <c r="E144" s="156" t="s">
        <v>751</v>
      </c>
      <c r="F144" s="161">
        <v>147</v>
      </c>
      <c r="G144" s="161"/>
      <c r="H144" s="156" t="s">
        <v>14</v>
      </c>
      <c r="I144" s="158" t="s">
        <v>15</v>
      </c>
      <c r="J144" s="158"/>
      <c r="K144" s="159" t="s">
        <v>8</v>
      </c>
      <c r="L144" s="160">
        <v>7342453.8899999997</v>
      </c>
    </row>
    <row r="145" spans="1:12" ht="61.2" hidden="1" x14ac:dyDescent="0.3">
      <c r="A145" s="154" t="s">
        <v>1075</v>
      </c>
      <c r="B145" s="155" t="s">
        <v>1079</v>
      </c>
      <c r="C145" s="155" t="s">
        <v>1083</v>
      </c>
      <c r="D145" s="155" t="s">
        <v>1081</v>
      </c>
      <c r="E145" s="156" t="s">
        <v>751</v>
      </c>
      <c r="F145" s="157">
        <v>2494</v>
      </c>
      <c r="G145" s="157"/>
      <c r="H145" s="156" t="s">
        <v>14</v>
      </c>
      <c r="I145" s="158" t="s">
        <v>15</v>
      </c>
      <c r="J145" s="158"/>
      <c r="K145" s="159" t="s">
        <v>8</v>
      </c>
      <c r="L145" s="160">
        <v>7344947.8899999997</v>
      </c>
    </row>
    <row r="146" spans="1:12" ht="61.2" hidden="1" x14ac:dyDescent="0.3">
      <c r="A146" s="154" t="s">
        <v>1075</v>
      </c>
      <c r="B146" s="155" t="s">
        <v>1079</v>
      </c>
      <c r="C146" s="155" t="s">
        <v>1084</v>
      </c>
      <c r="D146" s="155" t="s">
        <v>1081</v>
      </c>
      <c r="E146" s="156" t="s">
        <v>751</v>
      </c>
      <c r="F146" s="157">
        <v>1652</v>
      </c>
      <c r="G146" s="157"/>
      <c r="H146" s="156" t="s">
        <v>14</v>
      </c>
      <c r="I146" s="158" t="s">
        <v>15</v>
      </c>
      <c r="J146" s="158"/>
      <c r="K146" s="159" t="s">
        <v>8</v>
      </c>
      <c r="L146" s="160">
        <v>7346599.8899999997</v>
      </c>
    </row>
    <row r="147" spans="1:12" ht="61.2" hidden="1" x14ac:dyDescent="0.3">
      <c r="A147" s="154" t="s">
        <v>1075</v>
      </c>
      <c r="B147" s="155" t="s">
        <v>1079</v>
      </c>
      <c r="C147" s="155" t="s">
        <v>1085</v>
      </c>
      <c r="D147" s="155" t="s">
        <v>1081</v>
      </c>
      <c r="E147" s="156" t="s">
        <v>751</v>
      </c>
      <c r="F147" s="161">
        <v>490.7</v>
      </c>
      <c r="G147" s="161"/>
      <c r="H147" s="156" t="s">
        <v>14</v>
      </c>
      <c r="I147" s="158" t="s">
        <v>15</v>
      </c>
      <c r="J147" s="158"/>
      <c r="K147" s="159" t="s">
        <v>8</v>
      </c>
      <c r="L147" s="160">
        <v>7347090.5899999999</v>
      </c>
    </row>
    <row r="148" spans="1:12" ht="61.2" hidden="1" x14ac:dyDescent="0.3">
      <c r="A148" s="154" t="s">
        <v>1075</v>
      </c>
      <c r="B148" s="155" t="s">
        <v>1079</v>
      </c>
      <c r="C148" s="155" t="s">
        <v>1086</v>
      </c>
      <c r="D148" s="155" t="s">
        <v>1081</v>
      </c>
      <c r="E148" s="156" t="s">
        <v>751</v>
      </c>
      <c r="F148" s="161">
        <v>488.88</v>
      </c>
      <c r="G148" s="161"/>
      <c r="H148" s="156" t="s">
        <v>14</v>
      </c>
      <c r="I148" s="158" t="s">
        <v>15</v>
      </c>
      <c r="J148" s="158"/>
      <c r="K148" s="159" t="s">
        <v>8</v>
      </c>
      <c r="L148" s="160">
        <v>7347579.4699999997</v>
      </c>
    </row>
    <row r="149" spans="1:12" ht="61.2" hidden="1" x14ac:dyDescent="0.3">
      <c r="A149" s="154" t="s">
        <v>1075</v>
      </c>
      <c r="B149" s="155" t="s">
        <v>1079</v>
      </c>
      <c r="C149" s="155" t="s">
        <v>1087</v>
      </c>
      <c r="D149" s="155" t="s">
        <v>1081</v>
      </c>
      <c r="E149" s="156" t="s">
        <v>751</v>
      </c>
      <c r="F149" s="157">
        <v>1269</v>
      </c>
      <c r="G149" s="157"/>
      <c r="H149" s="156" t="s">
        <v>14</v>
      </c>
      <c r="I149" s="158" t="s">
        <v>15</v>
      </c>
      <c r="J149" s="158"/>
      <c r="K149" s="159" t="s">
        <v>8</v>
      </c>
      <c r="L149" s="160">
        <v>7348848.4699999997</v>
      </c>
    </row>
    <row r="150" spans="1:12" ht="61.2" hidden="1" x14ac:dyDescent="0.3">
      <c r="A150" s="154" t="s">
        <v>1075</v>
      </c>
      <c r="B150" s="155" t="s">
        <v>1079</v>
      </c>
      <c r="C150" s="155" t="s">
        <v>1088</v>
      </c>
      <c r="D150" s="155" t="s">
        <v>1081</v>
      </c>
      <c r="E150" s="156" t="s">
        <v>751</v>
      </c>
      <c r="F150" s="161">
        <v>518.4</v>
      </c>
      <c r="G150" s="161"/>
      <c r="H150" s="156" t="s">
        <v>14</v>
      </c>
      <c r="I150" s="158" t="s">
        <v>15</v>
      </c>
      <c r="J150" s="158"/>
      <c r="K150" s="159" t="s">
        <v>8</v>
      </c>
      <c r="L150" s="160">
        <v>7349366.8700000001</v>
      </c>
    </row>
    <row r="151" spans="1:12" ht="61.2" hidden="1" x14ac:dyDescent="0.3">
      <c r="A151" s="154" t="s">
        <v>1075</v>
      </c>
      <c r="B151" s="155" t="s">
        <v>1079</v>
      </c>
      <c r="C151" s="155" t="s">
        <v>1089</v>
      </c>
      <c r="D151" s="155" t="s">
        <v>1081</v>
      </c>
      <c r="E151" s="156" t="s">
        <v>751</v>
      </c>
      <c r="F151" s="157">
        <v>2464.46</v>
      </c>
      <c r="G151" s="157"/>
      <c r="H151" s="156" t="s">
        <v>14</v>
      </c>
      <c r="I151" s="158" t="s">
        <v>15</v>
      </c>
      <c r="J151" s="158"/>
      <c r="K151" s="159" t="s">
        <v>8</v>
      </c>
      <c r="L151" s="160">
        <v>7351831.3300000001</v>
      </c>
    </row>
    <row r="152" spans="1:12" ht="61.2" hidden="1" x14ac:dyDescent="0.3">
      <c r="A152" s="154" t="s">
        <v>1075</v>
      </c>
      <c r="B152" s="155" t="s">
        <v>1079</v>
      </c>
      <c r="C152" s="155" t="s">
        <v>1090</v>
      </c>
      <c r="D152" s="155" t="s">
        <v>1081</v>
      </c>
      <c r="E152" s="156" t="s">
        <v>751</v>
      </c>
      <c r="F152" s="157">
        <v>1283.4000000000001</v>
      </c>
      <c r="G152" s="157"/>
      <c r="H152" s="156" t="s">
        <v>14</v>
      </c>
      <c r="I152" s="158" t="s">
        <v>15</v>
      </c>
      <c r="J152" s="158"/>
      <c r="K152" s="159" t="s">
        <v>8</v>
      </c>
      <c r="L152" s="160">
        <v>7353114.7300000004</v>
      </c>
    </row>
    <row r="153" spans="1:12" ht="71.400000000000006" hidden="1" x14ac:dyDescent="0.3">
      <c r="A153" s="154" t="s">
        <v>1075</v>
      </c>
      <c r="B153" s="155" t="s">
        <v>1079</v>
      </c>
      <c r="C153" s="155" t="s">
        <v>1091</v>
      </c>
      <c r="D153" s="155" t="s">
        <v>1081</v>
      </c>
      <c r="E153" s="156" t="s">
        <v>751</v>
      </c>
      <c r="F153" s="161">
        <v>629.28</v>
      </c>
      <c r="G153" s="161"/>
      <c r="H153" s="156" t="s">
        <v>14</v>
      </c>
      <c r="I153" s="158" t="s">
        <v>15</v>
      </c>
      <c r="J153" s="158"/>
      <c r="K153" s="159" t="s">
        <v>8</v>
      </c>
      <c r="L153" s="160">
        <v>7353744.0099999998</v>
      </c>
    </row>
    <row r="154" spans="1:12" ht="71.400000000000006" hidden="1" x14ac:dyDescent="0.3">
      <c r="A154" s="154" t="s">
        <v>1075</v>
      </c>
      <c r="B154" s="155" t="s">
        <v>1079</v>
      </c>
      <c r="C154" s="155" t="s">
        <v>1092</v>
      </c>
      <c r="D154" s="155" t="s">
        <v>1081</v>
      </c>
      <c r="E154" s="156" t="s">
        <v>751</v>
      </c>
      <c r="F154" s="161">
        <v>197.16</v>
      </c>
      <c r="G154" s="161"/>
      <c r="H154" s="156" t="s">
        <v>14</v>
      </c>
      <c r="I154" s="158" t="s">
        <v>15</v>
      </c>
      <c r="J154" s="158"/>
      <c r="K154" s="159" t="s">
        <v>8</v>
      </c>
      <c r="L154" s="160">
        <v>7353941.1699999999</v>
      </c>
    </row>
    <row r="155" spans="1:12" ht="61.2" hidden="1" x14ac:dyDescent="0.3">
      <c r="A155" s="154" t="s">
        <v>1075</v>
      </c>
      <c r="B155" s="155" t="s">
        <v>1093</v>
      </c>
      <c r="C155" s="155" t="s">
        <v>1094</v>
      </c>
      <c r="D155" s="155" t="s">
        <v>1095</v>
      </c>
      <c r="E155" s="156" t="s">
        <v>751</v>
      </c>
      <c r="F155" s="161">
        <v>566.15</v>
      </c>
      <c r="G155" s="161"/>
      <c r="H155" s="156" t="s">
        <v>14</v>
      </c>
      <c r="I155" s="158" t="s">
        <v>15</v>
      </c>
      <c r="J155" s="158"/>
      <c r="K155" s="159" t="s">
        <v>8</v>
      </c>
      <c r="L155" s="160">
        <v>7354507.3200000003</v>
      </c>
    </row>
    <row r="156" spans="1:12" ht="61.2" hidden="1" x14ac:dyDescent="0.3">
      <c r="A156" s="154" t="s">
        <v>1075</v>
      </c>
      <c r="B156" s="155" t="s">
        <v>1093</v>
      </c>
      <c r="C156" s="155" t="s">
        <v>1096</v>
      </c>
      <c r="D156" s="155" t="s">
        <v>1095</v>
      </c>
      <c r="E156" s="156" t="s">
        <v>751</v>
      </c>
      <c r="F156" s="161">
        <v>147</v>
      </c>
      <c r="G156" s="161"/>
      <c r="H156" s="156" t="s">
        <v>14</v>
      </c>
      <c r="I156" s="158" t="s">
        <v>15</v>
      </c>
      <c r="J156" s="158"/>
      <c r="K156" s="159" t="s">
        <v>8</v>
      </c>
      <c r="L156" s="160">
        <v>7354654.3200000003</v>
      </c>
    </row>
    <row r="157" spans="1:12" ht="61.2" hidden="1" x14ac:dyDescent="0.3">
      <c r="A157" s="154" t="s">
        <v>1075</v>
      </c>
      <c r="B157" s="155" t="s">
        <v>1093</v>
      </c>
      <c r="C157" s="155" t="s">
        <v>1097</v>
      </c>
      <c r="D157" s="155" t="s">
        <v>1095</v>
      </c>
      <c r="E157" s="156" t="s">
        <v>751</v>
      </c>
      <c r="F157" s="157">
        <v>2494</v>
      </c>
      <c r="G157" s="157"/>
      <c r="H157" s="156" t="s">
        <v>14</v>
      </c>
      <c r="I157" s="158" t="s">
        <v>15</v>
      </c>
      <c r="J157" s="158"/>
      <c r="K157" s="159" t="s">
        <v>8</v>
      </c>
      <c r="L157" s="160">
        <v>7357148.3200000003</v>
      </c>
    </row>
    <row r="158" spans="1:12" ht="61.2" hidden="1" x14ac:dyDescent="0.3">
      <c r="A158" s="154" t="s">
        <v>1075</v>
      </c>
      <c r="B158" s="155" t="s">
        <v>1093</v>
      </c>
      <c r="C158" s="155" t="s">
        <v>1098</v>
      </c>
      <c r="D158" s="155" t="s">
        <v>1095</v>
      </c>
      <c r="E158" s="156" t="s">
        <v>751</v>
      </c>
      <c r="F158" s="157">
        <v>1652</v>
      </c>
      <c r="G158" s="157"/>
      <c r="H158" s="156" t="s">
        <v>14</v>
      </c>
      <c r="I158" s="158" t="s">
        <v>15</v>
      </c>
      <c r="J158" s="158"/>
      <c r="K158" s="159" t="s">
        <v>8</v>
      </c>
      <c r="L158" s="160">
        <v>7358800.3200000003</v>
      </c>
    </row>
    <row r="159" spans="1:12" ht="61.2" hidden="1" x14ac:dyDescent="0.3">
      <c r="A159" s="154" t="s">
        <v>1075</v>
      </c>
      <c r="B159" s="155" t="s">
        <v>1093</v>
      </c>
      <c r="C159" s="155" t="s">
        <v>1099</v>
      </c>
      <c r="D159" s="155" t="s">
        <v>1095</v>
      </c>
      <c r="E159" s="156" t="s">
        <v>751</v>
      </c>
      <c r="F159" s="161">
        <v>490.7</v>
      </c>
      <c r="G159" s="161"/>
      <c r="H159" s="156" t="s">
        <v>14</v>
      </c>
      <c r="I159" s="158" t="s">
        <v>15</v>
      </c>
      <c r="J159" s="158"/>
      <c r="K159" s="159" t="s">
        <v>8</v>
      </c>
      <c r="L159" s="160">
        <v>7359291.0199999996</v>
      </c>
    </row>
    <row r="160" spans="1:12" ht="61.2" hidden="1" x14ac:dyDescent="0.3">
      <c r="A160" s="154" t="s">
        <v>1075</v>
      </c>
      <c r="B160" s="155" t="s">
        <v>1093</v>
      </c>
      <c r="C160" s="155" t="s">
        <v>1100</v>
      </c>
      <c r="D160" s="155" t="s">
        <v>1095</v>
      </c>
      <c r="E160" s="156" t="s">
        <v>751</v>
      </c>
      <c r="F160" s="161">
        <v>488.88</v>
      </c>
      <c r="G160" s="161"/>
      <c r="H160" s="156" t="s">
        <v>14</v>
      </c>
      <c r="I160" s="158" t="s">
        <v>15</v>
      </c>
      <c r="J160" s="158"/>
      <c r="K160" s="159" t="s">
        <v>8</v>
      </c>
      <c r="L160" s="160">
        <v>7359779.9000000004</v>
      </c>
    </row>
    <row r="161" spans="1:12" ht="61.2" hidden="1" x14ac:dyDescent="0.3">
      <c r="A161" s="154" t="s">
        <v>1075</v>
      </c>
      <c r="B161" s="155" t="s">
        <v>1093</v>
      </c>
      <c r="C161" s="155" t="s">
        <v>1101</v>
      </c>
      <c r="D161" s="155" t="s">
        <v>1095</v>
      </c>
      <c r="E161" s="156" t="s">
        <v>751</v>
      </c>
      <c r="F161" s="157">
        <v>1269</v>
      </c>
      <c r="G161" s="157"/>
      <c r="H161" s="156" t="s">
        <v>14</v>
      </c>
      <c r="I161" s="158" t="s">
        <v>15</v>
      </c>
      <c r="J161" s="158"/>
      <c r="K161" s="159" t="s">
        <v>8</v>
      </c>
      <c r="L161" s="160">
        <v>7361048.9000000004</v>
      </c>
    </row>
    <row r="162" spans="1:12" ht="61.2" hidden="1" x14ac:dyDescent="0.3">
      <c r="A162" s="154" t="s">
        <v>1075</v>
      </c>
      <c r="B162" s="155" t="s">
        <v>1093</v>
      </c>
      <c r="C162" s="155" t="s">
        <v>1102</v>
      </c>
      <c r="D162" s="155" t="s">
        <v>1095</v>
      </c>
      <c r="E162" s="156" t="s">
        <v>751</v>
      </c>
      <c r="F162" s="161">
        <v>518.4</v>
      </c>
      <c r="G162" s="161"/>
      <c r="H162" s="156" t="s">
        <v>14</v>
      </c>
      <c r="I162" s="158" t="s">
        <v>15</v>
      </c>
      <c r="J162" s="158"/>
      <c r="K162" s="159" t="s">
        <v>8</v>
      </c>
      <c r="L162" s="160">
        <v>7361567.2999999998</v>
      </c>
    </row>
    <row r="163" spans="1:12" ht="61.2" hidden="1" x14ac:dyDescent="0.3">
      <c r="A163" s="154" t="s">
        <v>1075</v>
      </c>
      <c r="B163" s="155" t="s">
        <v>1093</v>
      </c>
      <c r="C163" s="155" t="s">
        <v>1103</v>
      </c>
      <c r="D163" s="155" t="s">
        <v>1095</v>
      </c>
      <c r="E163" s="156" t="s">
        <v>751</v>
      </c>
      <c r="F163" s="157">
        <v>2464.46</v>
      </c>
      <c r="G163" s="157"/>
      <c r="H163" s="156" t="s">
        <v>14</v>
      </c>
      <c r="I163" s="158" t="s">
        <v>15</v>
      </c>
      <c r="J163" s="158"/>
      <c r="K163" s="159" t="s">
        <v>8</v>
      </c>
      <c r="L163" s="160">
        <v>7364031.7599999998</v>
      </c>
    </row>
    <row r="164" spans="1:12" ht="61.2" hidden="1" x14ac:dyDescent="0.3">
      <c r="A164" s="154" t="s">
        <v>1075</v>
      </c>
      <c r="B164" s="155" t="s">
        <v>1093</v>
      </c>
      <c r="C164" s="155" t="s">
        <v>1104</v>
      </c>
      <c r="D164" s="155" t="s">
        <v>1095</v>
      </c>
      <c r="E164" s="156" t="s">
        <v>751</v>
      </c>
      <c r="F164" s="157">
        <v>1283.4000000000001</v>
      </c>
      <c r="G164" s="157"/>
      <c r="H164" s="156" t="s">
        <v>14</v>
      </c>
      <c r="I164" s="158" t="s">
        <v>15</v>
      </c>
      <c r="J164" s="158"/>
      <c r="K164" s="159" t="s">
        <v>8</v>
      </c>
      <c r="L164" s="160">
        <v>7365315.1600000001</v>
      </c>
    </row>
    <row r="165" spans="1:12" ht="71.400000000000006" hidden="1" x14ac:dyDescent="0.3">
      <c r="A165" s="154" t="s">
        <v>1075</v>
      </c>
      <c r="B165" s="155" t="s">
        <v>1093</v>
      </c>
      <c r="C165" s="155" t="s">
        <v>1105</v>
      </c>
      <c r="D165" s="155" t="s">
        <v>1095</v>
      </c>
      <c r="E165" s="156" t="s">
        <v>751</v>
      </c>
      <c r="F165" s="161">
        <v>628.52</v>
      </c>
      <c r="G165" s="161"/>
      <c r="H165" s="156" t="s">
        <v>14</v>
      </c>
      <c r="I165" s="158" t="s">
        <v>15</v>
      </c>
      <c r="J165" s="158"/>
      <c r="K165" s="159" t="s">
        <v>8</v>
      </c>
      <c r="L165" s="160">
        <v>7365943.6799999997</v>
      </c>
    </row>
    <row r="166" spans="1:12" ht="71.400000000000006" hidden="1" x14ac:dyDescent="0.3">
      <c r="A166" s="154" t="s">
        <v>1075</v>
      </c>
      <c r="B166" s="155" t="s">
        <v>1093</v>
      </c>
      <c r="C166" s="155" t="s">
        <v>1106</v>
      </c>
      <c r="D166" s="155" t="s">
        <v>1095</v>
      </c>
      <c r="E166" s="156" t="s">
        <v>751</v>
      </c>
      <c r="F166" s="161">
        <v>197.16</v>
      </c>
      <c r="G166" s="161"/>
      <c r="H166" s="156" t="s">
        <v>14</v>
      </c>
      <c r="I166" s="158" t="s">
        <v>15</v>
      </c>
      <c r="J166" s="158"/>
      <c r="K166" s="159" t="s">
        <v>8</v>
      </c>
      <c r="L166" s="160">
        <v>7366140.8399999999</v>
      </c>
    </row>
    <row r="167" spans="1:12" ht="61.2" hidden="1" x14ac:dyDescent="0.3">
      <c r="A167" s="154" t="s">
        <v>1075</v>
      </c>
      <c r="B167" s="155" t="s">
        <v>1107</v>
      </c>
      <c r="C167" s="155" t="s">
        <v>1108</v>
      </c>
      <c r="D167" s="155" t="s">
        <v>1109</v>
      </c>
      <c r="E167" s="156" t="s">
        <v>751</v>
      </c>
      <c r="F167" s="157">
        <v>8188.8</v>
      </c>
      <c r="G167" s="157"/>
      <c r="H167" s="156" t="s">
        <v>14</v>
      </c>
      <c r="I167" s="158" t="s">
        <v>15</v>
      </c>
      <c r="J167" s="158"/>
      <c r="K167" s="159" t="s">
        <v>8</v>
      </c>
      <c r="L167" s="160">
        <v>7374329.6399999997</v>
      </c>
    </row>
    <row r="168" spans="1:12" ht="61.2" hidden="1" x14ac:dyDescent="0.3">
      <c r="A168" s="154" t="s">
        <v>1075</v>
      </c>
      <c r="B168" s="155" t="s">
        <v>1107</v>
      </c>
      <c r="C168" s="155" t="s">
        <v>1110</v>
      </c>
      <c r="D168" s="155" t="s">
        <v>1109</v>
      </c>
      <c r="E168" s="156" t="s">
        <v>751</v>
      </c>
      <c r="F168" s="161">
        <v>662.4</v>
      </c>
      <c r="G168" s="161"/>
      <c r="H168" s="156" t="s">
        <v>14</v>
      </c>
      <c r="I168" s="158" t="s">
        <v>15</v>
      </c>
      <c r="J168" s="158"/>
      <c r="K168" s="159" t="s">
        <v>8</v>
      </c>
      <c r="L168" s="160">
        <v>7374992.04</v>
      </c>
    </row>
    <row r="169" spans="1:12" ht="71.400000000000006" hidden="1" x14ac:dyDescent="0.3">
      <c r="A169" s="154" t="s">
        <v>1075</v>
      </c>
      <c r="B169" s="155" t="s">
        <v>1107</v>
      </c>
      <c r="C169" s="155" t="s">
        <v>1111</v>
      </c>
      <c r="D169" s="155" t="s">
        <v>1109</v>
      </c>
      <c r="E169" s="156" t="s">
        <v>751</v>
      </c>
      <c r="F169" s="161">
        <v>203.52</v>
      </c>
      <c r="G169" s="161"/>
      <c r="H169" s="156" t="s">
        <v>14</v>
      </c>
      <c r="I169" s="158" t="s">
        <v>15</v>
      </c>
      <c r="J169" s="158"/>
      <c r="K169" s="159" t="s">
        <v>8</v>
      </c>
      <c r="L169" s="160">
        <v>7375195.5599999996</v>
      </c>
    </row>
    <row r="170" spans="1:12" ht="61.2" hidden="1" x14ac:dyDescent="0.3">
      <c r="A170" s="154" t="s">
        <v>1075</v>
      </c>
      <c r="B170" s="155" t="s">
        <v>1112</v>
      </c>
      <c r="C170" s="155" t="s">
        <v>1113</v>
      </c>
      <c r="D170" s="155" t="s">
        <v>1114</v>
      </c>
      <c r="E170" s="156" t="s">
        <v>751</v>
      </c>
      <c r="F170" s="157">
        <v>1333.16</v>
      </c>
      <c r="G170" s="157"/>
      <c r="H170" s="156" t="s">
        <v>14</v>
      </c>
      <c r="I170" s="158" t="s">
        <v>15</v>
      </c>
      <c r="J170" s="158"/>
      <c r="K170" s="159" t="s">
        <v>8</v>
      </c>
      <c r="L170" s="160">
        <v>7376528.7199999997</v>
      </c>
    </row>
    <row r="171" spans="1:12" ht="61.2" hidden="1" x14ac:dyDescent="0.3">
      <c r="A171" s="154" t="s">
        <v>1075</v>
      </c>
      <c r="B171" s="155" t="s">
        <v>1115</v>
      </c>
      <c r="C171" s="155" t="s">
        <v>1113</v>
      </c>
      <c r="D171" s="155" t="s">
        <v>1114</v>
      </c>
      <c r="E171" s="156" t="s">
        <v>751</v>
      </c>
      <c r="F171" s="157">
        <v>31993.599999999999</v>
      </c>
      <c r="G171" s="157"/>
      <c r="H171" s="156" t="s">
        <v>14</v>
      </c>
      <c r="I171" s="158" t="s">
        <v>15</v>
      </c>
      <c r="J171" s="158"/>
      <c r="K171" s="159" t="s">
        <v>8</v>
      </c>
      <c r="L171" s="160">
        <v>7408522.3200000003</v>
      </c>
    </row>
    <row r="172" spans="1:12" ht="71.400000000000006" hidden="1" x14ac:dyDescent="0.3">
      <c r="A172" s="154" t="s">
        <v>1075</v>
      </c>
      <c r="B172" s="155" t="s">
        <v>1116</v>
      </c>
      <c r="C172" s="155" t="s">
        <v>1117</v>
      </c>
      <c r="D172" s="155" t="s">
        <v>1118</v>
      </c>
      <c r="E172" s="156" t="s">
        <v>751</v>
      </c>
      <c r="F172" s="157">
        <v>13478</v>
      </c>
      <c r="G172" s="157"/>
      <c r="H172" s="156" t="s">
        <v>14</v>
      </c>
      <c r="I172" s="158" t="s">
        <v>15</v>
      </c>
      <c r="J172" s="158"/>
      <c r="K172" s="159" t="s">
        <v>8</v>
      </c>
      <c r="L172" s="160">
        <v>7422000.3200000003</v>
      </c>
    </row>
    <row r="173" spans="1:12" ht="61.2" hidden="1" x14ac:dyDescent="0.3">
      <c r="A173" s="154" t="s">
        <v>1075</v>
      </c>
      <c r="B173" s="155" t="s">
        <v>1119</v>
      </c>
      <c r="C173" s="155" t="s">
        <v>1120</v>
      </c>
      <c r="D173" s="155" t="s">
        <v>1121</v>
      </c>
      <c r="E173" s="156" t="s">
        <v>751</v>
      </c>
      <c r="F173" s="157">
        <v>16879.04</v>
      </c>
      <c r="G173" s="157"/>
      <c r="H173" s="156" t="s">
        <v>14</v>
      </c>
      <c r="I173" s="158" t="s">
        <v>15</v>
      </c>
      <c r="J173" s="158"/>
      <c r="K173" s="159" t="s">
        <v>8</v>
      </c>
      <c r="L173" s="160">
        <v>7438879.3600000003</v>
      </c>
    </row>
    <row r="174" spans="1:12" ht="61.2" hidden="1" x14ac:dyDescent="0.3">
      <c r="A174" s="154" t="s">
        <v>1122</v>
      </c>
      <c r="B174" s="155" t="s">
        <v>1123</v>
      </c>
      <c r="C174" s="155" t="s">
        <v>1124</v>
      </c>
      <c r="D174" s="155" t="s">
        <v>1125</v>
      </c>
      <c r="E174" s="156" t="s">
        <v>751</v>
      </c>
      <c r="F174" s="157">
        <v>35741.25</v>
      </c>
      <c r="G174" s="157"/>
      <c r="H174" s="156" t="s">
        <v>14</v>
      </c>
      <c r="I174" s="158" t="s">
        <v>15</v>
      </c>
      <c r="J174" s="158"/>
      <c r="K174" s="159" t="s">
        <v>8</v>
      </c>
      <c r="L174" s="160">
        <v>7474620.6100000003</v>
      </c>
    </row>
    <row r="175" spans="1:12" ht="61.2" hidden="1" x14ac:dyDescent="0.3">
      <c r="A175" s="154" t="s">
        <v>135</v>
      </c>
      <c r="B175" s="155" t="s">
        <v>1126</v>
      </c>
      <c r="C175" s="155" t="s">
        <v>1127</v>
      </c>
      <c r="D175" s="155" t="s">
        <v>1128</v>
      </c>
      <c r="E175" s="156" t="s">
        <v>751</v>
      </c>
      <c r="F175" s="157">
        <v>62950</v>
      </c>
      <c r="G175" s="157"/>
      <c r="H175" s="156" t="s">
        <v>14</v>
      </c>
      <c r="I175" s="158" t="s">
        <v>15</v>
      </c>
      <c r="J175" s="158"/>
      <c r="K175" s="159" t="s">
        <v>8</v>
      </c>
      <c r="L175" s="160">
        <v>7537570.6100000003</v>
      </c>
    </row>
    <row r="176" spans="1:12" ht="61.2" hidden="1" x14ac:dyDescent="0.3">
      <c r="A176" s="154" t="s">
        <v>135</v>
      </c>
      <c r="B176" s="155" t="s">
        <v>1129</v>
      </c>
      <c r="C176" s="155" t="s">
        <v>1127</v>
      </c>
      <c r="D176" s="155" t="s">
        <v>1128</v>
      </c>
      <c r="E176" s="156" t="s">
        <v>751</v>
      </c>
      <c r="F176" s="157">
        <v>18335</v>
      </c>
      <c r="G176" s="157"/>
      <c r="H176" s="156" t="s">
        <v>14</v>
      </c>
      <c r="I176" s="158" t="s">
        <v>15</v>
      </c>
      <c r="J176" s="158"/>
      <c r="K176" s="159" t="s">
        <v>8</v>
      </c>
      <c r="L176" s="160">
        <v>7555905.6100000003</v>
      </c>
    </row>
    <row r="177" spans="1:12" ht="61.2" hidden="1" x14ac:dyDescent="0.3">
      <c r="A177" s="154" t="s">
        <v>703</v>
      </c>
      <c r="B177" s="155" t="s">
        <v>1130</v>
      </c>
      <c r="C177" s="155" t="s">
        <v>1131</v>
      </c>
      <c r="D177" s="155" t="s">
        <v>1128</v>
      </c>
      <c r="E177" s="156" t="s">
        <v>751</v>
      </c>
      <c r="F177" s="157">
        <v>62950</v>
      </c>
      <c r="G177" s="157"/>
      <c r="H177" s="156" t="s">
        <v>14</v>
      </c>
      <c r="I177" s="158" t="s">
        <v>15</v>
      </c>
      <c r="J177" s="158"/>
      <c r="K177" s="159" t="s">
        <v>8</v>
      </c>
      <c r="L177" s="160">
        <v>7618855.6100000003</v>
      </c>
    </row>
    <row r="178" spans="1:12" ht="61.2" hidden="1" x14ac:dyDescent="0.3">
      <c r="A178" s="154" t="s">
        <v>703</v>
      </c>
      <c r="B178" s="155" t="s">
        <v>1132</v>
      </c>
      <c r="C178" s="155" t="s">
        <v>1131</v>
      </c>
      <c r="D178" s="155" t="s">
        <v>1128</v>
      </c>
      <c r="E178" s="156" t="s">
        <v>751</v>
      </c>
      <c r="F178" s="157">
        <v>18335</v>
      </c>
      <c r="G178" s="157"/>
      <c r="H178" s="156" t="s">
        <v>14</v>
      </c>
      <c r="I178" s="158" t="s">
        <v>15</v>
      </c>
      <c r="J178" s="158"/>
      <c r="K178" s="159" t="s">
        <v>8</v>
      </c>
      <c r="L178" s="160">
        <v>7637190.6100000003</v>
      </c>
    </row>
    <row r="179" spans="1:12" ht="71.400000000000006" hidden="1" x14ac:dyDescent="0.3">
      <c r="A179" s="154" t="s">
        <v>167</v>
      </c>
      <c r="B179" s="155" t="s">
        <v>1133</v>
      </c>
      <c r="C179" s="155" t="s">
        <v>1134</v>
      </c>
      <c r="D179" s="155" t="s">
        <v>1135</v>
      </c>
      <c r="E179" s="156" t="s">
        <v>751</v>
      </c>
      <c r="F179" s="157">
        <v>7974</v>
      </c>
      <c r="G179" s="157"/>
      <c r="H179" s="156" t="s">
        <v>14</v>
      </c>
      <c r="I179" s="158" t="s">
        <v>15</v>
      </c>
      <c r="J179" s="158"/>
      <c r="K179" s="159" t="s">
        <v>8</v>
      </c>
      <c r="L179" s="160">
        <v>7645164.6100000003</v>
      </c>
    </row>
    <row r="180" spans="1:12" ht="61.2" hidden="1" x14ac:dyDescent="0.3">
      <c r="A180" s="154" t="s">
        <v>256</v>
      </c>
      <c r="B180" s="155" t="s">
        <v>1136</v>
      </c>
      <c r="C180" s="155" t="s">
        <v>1137</v>
      </c>
      <c r="D180" s="155" t="s">
        <v>1138</v>
      </c>
      <c r="E180" s="156" t="s">
        <v>751</v>
      </c>
      <c r="F180" s="157">
        <v>35366.31</v>
      </c>
      <c r="G180" s="157"/>
      <c r="H180" s="156" t="s">
        <v>14</v>
      </c>
      <c r="I180" s="158" t="s">
        <v>15</v>
      </c>
      <c r="J180" s="158"/>
      <c r="K180" s="159" t="s">
        <v>8</v>
      </c>
      <c r="L180" s="160">
        <v>7680530.9199999999</v>
      </c>
    </row>
    <row r="181" spans="1:12" ht="71.400000000000006" hidden="1" x14ac:dyDescent="0.3">
      <c r="A181" s="154" t="s">
        <v>256</v>
      </c>
      <c r="B181" s="155" t="s">
        <v>1139</v>
      </c>
      <c r="C181" s="155" t="s">
        <v>1140</v>
      </c>
      <c r="D181" s="155" t="s">
        <v>1141</v>
      </c>
      <c r="E181" s="156" t="s">
        <v>751</v>
      </c>
      <c r="F181" s="157">
        <v>12087.15</v>
      </c>
      <c r="G181" s="157"/>
      <c r="H181" s="156" t="s">
        <v>14</v>
      </c>
      <c r="I181" s="158" t="s">
        <v>15</v>
      </c>
      <c r="J181" s="158"/>
      <c r="K181" s="159" t="s">
        <v>8</v>
      </c>
      <c r="L181" s="160">
        <v>7692618.0700000003</v>
      </c>
    </row>
    <row r="182" spans="1:12" ht="71.400000000000006" hidden="1" x14ac:dyDescent="0.3">
      <c r="A182" s="154" t="s">
        <v>256</v>
      </c>
      <c r="B182" s="155" t="s">
        <v>1142</v>
      </c>
      <c r="C182" s="155" t="s">
        <v>1143</v>
      </c>
      <c r="D182" s="155" t="s">
        <v>1144</v>
      </c>
      <c r="E182" s="156" t="s">
        <v>751</v>
      </c>
      <c r="F182" s="157">
        <v>12285.3</v>
      </c>
      <c r="G182" s="157"/>
      <c r="H182" s="156" t="s">
        <v>14</v>
      </c>
      <c r="I182" s="158" t="s">
        <v>15</v>
      </c>
      <c r="J182" s="158"/>
      <c r="K182" s="159" t="s">
        <v>8</v>
      </c>
      <c r="L182" s="160">
        <v>7704903.3700000001</v>
      </c>
    </row>
    <row r="183" spans="1:12" ht="71.400000000000006" hidden="1" x14ac:dyDescent="0.3">
      <c r="A183" s="154" t="s">
        <v>1145</v>
      </c>
      <c r="B183" s="155" t="s">
        <v>1146</v>
      </c>
      <c r="C183" s="155" t="s">
        <v>1147</v>
      </c>
      <c r="D183" s="155" t="s">
        <v>1148</v>
      </c>
      <c r="E183" s="156" t="s">
        <v>751</v>
      </c>
      <c r="F183" s="157">
        <v>49937.85</v>
      </c>
      <c r="G183" s="157"/>
      <c r="H183" s="156" t="s">
        <v>751</v>
      </c>
      <c r="I183" s="158" t="s">
        <v>15</v>
      </c>
      <c r="J183" s="158"/>
      <c r="K183" s="159" t="s">
        <v>8</v>
      </c>
      <c r="L183" s="160">
        <v>7754841.2199999997</v>
      </c>
    </row>
    <row r="184" spans="1:12" ht="61.2" x14ac:dyDescent="0.3">
      <c r="A184" s="154" t="s">
        <v>1145</v>
      </c>
      <c r="B184" s="155" t="s">
        <v>1149</v>
      </c>
      <c r="C184" s="155" t="s">
        <v>1150</v>
      </c>
      <c r="D184" s="155" t="s">
        <v>1147</v>
      </c>
      <c r="E184" s="156" t="s">
        <v>1151</v>
      </c>
      <c r="F184" s="162" t="s">
        <v>15</v>
      </c>
      <c r="G184" s="162"/>
      <c r="H184" s="156" t="s">
        <v>751</v>
      </c>
      <c r="I184" s="163">
        <v>49937.85</v>
      </c>
      <c r="J184" s="163"/>
      <c r="K184" s="159" t="s">
        <v>8</v>
      </c>
      <c r="L184" s="160">
        <v>7704903.3700000001</v>
      </c>
    </row>
    <row r="185" spans="1:12" ht="71.400000000000006" hidden="1" x14ac:dyDescent="0.3">
      <c r="A185" s="154" t="s">
        <v>1145</v>
      </c>
      <c r="B185" s="155" t="s">
        <v>1152</v>
      </c>
      <c r="C185" s="155" t="s">
        <v>1153</v>
      </c>
      <c r="D185" s="155" t="s">
        <v>1154</v>
      </c>
      <c r="E185" s="156" t="s">
        <v>751</v>
      </c>
      <c r="F185" s="157">
        <v>20666.169999999998</v>
      </c>
      <c r="G185" s="157"/>
      <c r="H185" s="156" t="s">
        <v>14</v>
      </c>
      <c r="I185" s="158" t="s">
        <v>15</v>
      </c>
      <c r="J185" s="158"/>
      <c r="K185" s="159" t="s">
        <v>8</v>
      </c>
      <c r="L185" s="160">
        <v>7725569.54</v>
      </c>
    </row>
    <row r="186" spans="1:12" ht="71.400000000000006" hidden="1" x14ac:dyDescent="0.3">
      <c r="A186" s="154" t="s">
        <v>1145</v>
      </c>
      <c r="B186" s="155" t="s">
        <v>1152</v>
      </c>
      <c r="C186" s="155" t="s">
        <v>1155</v>
      </c>
      <c r="D186" s="155" t="s">
        <v>1154</v>
      </c>
      <c r="E186" s="156" t="s">
        <v>751</v>
      </c>
      <c r="F186" s="157">
        <v>4993.29</v>
      </c>
      <c r="G186" s="157"/>
      <c r="H186" s="156" t="s">
        <v>14</v>
      </c>
      <c r="I186" s="158" t="s">
        <v>15</v>
      </c>
      <c r="J186" s="158"/>
      <c r="K186" s="159" t="s">
        <v>8</v>
      </c>
      <c r="L186" s="160">
        <v>7730562.8300000001</v>
      </c>
    </row>
    <row r="187" spans="1:12" ht="71.400000000000006" hidden="1" x14ac:dyDescent="0.3">
      <c r="A187" s="154" t="s">
        <v>1145</v>
      </c>
      <c r="B187" s="155" t="s">
        <v>1152</v>
      </c>
      <c r="C187" s="155" t="s">
        <v>1156</v>
      </c>
      <c r="D187" s="155" t="s">
        <v>1154</v>
      </c>
      <c r="E187" s="156" t="s">
        <v>751</v>
      </c>
      <c r="F187" s="157">
        <v>30310.61</v>
      </c>
      <c r="G187" s="157"/>
      <c r="H187" s="156" t="s">
        <v>14</v>
      </c>
      <c r="I187" s="158" t="s">
        <v>15</v>
      </c>
      <c r="J187" s="158"/>
      <c r="K187" s="159" t="s">
        <v>8</v>
      </c>
      <c r="L187" s="160">
        <v>7760873.4400000004</v>
      </c>
    </row>
    <row r="188" spans="1:12" ht="71.400000000000006" hidden="1" x14ac:dyDescent="0.3">
      <c r="A188" s="154" t="s">
        <v>1145</v>
      </c>
      <c r="B188" s="155" t="s">
        <v>1152</v>
      </c>
      <c r="C188" s="155" t="s">
        <v>1157</v>
      </c>
      <c r="D188" s="155" t="s">
        <v>1154</v>
      </c>
      <c r="E188" s="156" t="s">
        <v>751</v>
      </c>
      <c r="F188" s="157">
        <v>10383.629999999999</v>
      </c>
      <c r="G188" s="157"/>
      <c r="H188" s="156" t="s">
        <v>14</v>
      </c>
      <c r="I188" s="158" t="s">
        <v>15</v>
      </c>
      <c r="J188" s="158"/>
      <c r="K188" s="159" t="s">
        <v>8</v>
      </c>
      <c r="L188" s="160">
        <v>7771257.0700000003</v>
      </c>
    </row>
    <row r="189" spans="1:12" ht="71.400000000000006" hidden="1" x14ac:dyDescent="0.3">
      <c r="A189" s="154" t="s">
        <v>1145</v>
      </c>
      <c r="B189" s="155" t="s">
        <v>1152</v>
      </c>
      <c r="C189" s="155" t="s">
        <v>1158</v>
      </c>
      <c r="D189" s="155" t="s">
        <v>1154</v>
      </c>
      <c r="E189" s="156" t="s">
        <v>751</v>
      </c>
      <c r="F189" s="157">
        <v>153953.87</v>
      </c>
      <c r="G189" s="157"/>
      <c r="H189" s="156" t="s">
        <v>14</v>
      </c>
      <c r="I189" s="158" t="s">
        <v>15</v>
      </c>
      <c r="J189" s="158"/>
      <c r="K189" s="159" t="s">
        <v>8</v>
      </c>
      <c r="L189" s="160">
        <v>7925210.9400000004</v>
      </c>
    </row>
    <row r="190" spans="1:12" ht="71.400000000000006" hidden="1" x14ac:dyDescent="0.3">
      <c r="A190" s="154" t="s">
        <v>1145</v>
      </c>
      <c r="B190" s="155" t="s">
        <v>1152</v>
      </c>
      <c r="C190" s="155" t="s">
        <v>1159</v>
      </c>
      <c r="D190" s="155" t="s">
        <v>1154</v>
      </c>
      <c r="E190" s="156" t="s">
        <v>751</v>
      </c>
      <c r="F190" s="157">
        <v>252688.41</v>
      </c>
      <c r="G190" s="157"/>
      <c r="H190" s="156" t="s">
        <v>14</v>
      </c>
      <c r="I190" s="158" t="s">
        <v>15</v>
      </c>
      <c r="J190" s="158"/>
      <c r="K190" s="159" t="s">
        <v>8</v>
      </c>
      <c r="L190" s="160">
        <v>8177899.3499999996</v>
      </c>
    </row>
    <row r="191" spans="1:12" ht="71.400000000000006" hidden="1" x14ac:dyDescent="0.3">
      <c r="A191" s="154" t="s">
        <v>1145</v>
      </c>
      <c r="B191" s="155" t="s">
        <v>1152</v>
      </c>
      <c r="C191" s="155" t="s">
        <v>1160</v>
      </c>
      <c r="D191" s="155" t="s">
        <v>1154</v>
      </c>
      <c r="E191" s="156" t="s">
        <v>751</v>
      </c>
      <c r="F191" s="157">
        <v>260502.69</v>
      </c>
      <c r="G191" s="157"/>
      <c r="H191" s="156" t="s">
        <v>14</v>
      </c>
      <c r="I191" s="158" t="s">
        <v>15</v>
      </c>
      <c r="J191" s="158"/>
      <c r="K191" s="159" t="s">
        <v>8</v>
      </c>
      <c r="L191" s="160">
        <v>8438402.0399999991</v>
      </c>
    </row>
    <row r="192" spans="1:12" ht="71.400000000000006" hidden="1" x14ac:dyDescent="0.3">
      <c r="A192" s="154" t="s">
        <v>1145</v>
      </c>
      <c r="B192" s="155" t="s">
        <v>1152</v>
      </c>
      <c r="C192" s="155" t="s">
        <v>1161</v>
      </c>
      <c r="D192" s="155" t="s">
        <v>1154</v>
      </c>
      <c r="E192" s="156" t="s">
        <v>751</v>
      </c>
      <c r="F192" s="157">
        <v>9336.6</v>
      </c>
      <c r="G192" s="157"/>
      <c r="H192" s="156" t="s">
        <v>14</v>
      </c>
      <c r="I192" s="158" t="s">
        <v>15</v>
      </c>
      <c r="J192" s="158"/>
      <c r="K192" s="159" t="s">
        <v>8</v>
      </c>
      <c r="L192" s="160">
        <v>8447738.6400000006</v>
      </c>
    </row>
    <row r="193" spans="1:12" ht="61.2" hidden="1" x14ac:dyDescent="0.3">
      <c r="A193" s="154" t="s">
        <v>1145</v>
      </c>
      <c r="B193" s="155" t="s">
        <v>1152</v>
      </c>
      <c r="C193" s="155" t="s">
        <v>1162</v>
      </c>
      <c r="D193" s="155" t="s">
        <v>1154</v>
      </c>
      <c r="E193" s="156" t="s">
        <v>751</v>
      </c>
      <c r="F193" s="161">
        <v>27.54</v>
      </c>
      <c r="G193" s="161"/>
      <c r="H193" s="156" t="s">
        <v>14</v>
      </c>
      <c r="I193" s="158" t="s">
        <v>15</v>
      </c>
      <c r="J193" s="158"/>
      <c r="K193" s="159" t="s">
        <v>8</v>
      </c>
      <c r="L193" s="160">
        <v>8447766.1799999997</v>
      </c>
    </row>
    <row r="194" spans="1:12" ht="61.2" hidden="1" x14ac:dyDescent="0.3">
      <c r="A194" s="154" t="s">
        <v>1145</v>
      </c>
      <c r="B194" s="155" t="s">
        <v>1163</v>
      </c>
      <c r="C194" s="155" t="s">
        <v>1164</v>
      </c>
      <c r="D194" s="155" t="s">
        <v>1165</v>
      </c>
      <c r="E194" s="156" t="s">
        <v>751</v>
      </c>
      <c r="F194" s="157">
        <v>15447.14</v>
      </c>
      <c r="G194" s="157"/>
      <c r="H194" s="156" t="s">
        <v>14</v>
      </c>
      <c r="I194" s="158" t="s">
        <v>15</v>
      </c>
      <c r="J194" s="158"/>
      <c r="K194" s="159" t="s">
        <v>8</v>
      </c>
      <c r="L194" s="160">
        <v>8463213.3200000003</v>
      </c>
    </row>
    <row r="195" spans="1:12" ht="61.2" hidden="1" x14ac:dyDescent="0.3">
      <c r="A195" s="154" t="s">
        <v>1145</v>
      </c>
      <c r="B195" s="155" t="s">
        <v>1166</v>
      </c>
      <c r="C195" s="155" t="s">
        <v>1167</v>
      </c>
      <c r="D195" s="155" t="s">
        <v>1168</v>
      </c>
      <c r="E195" s="156" t="s">
        <v>751</v>
      </c>
      <c r="F195" s="157">
        <v>26478.81</v>
      </c>
      <c r="G195" s="157"/>
      <c r="H195" s="156" t="s">
        <v>14</v>
      </c>
      <c r="I195" s="158" t="s">
        <v>15</v>
      </c>
      <c r="J195" s="158"/>
      <c r="K195" s="159" t="s">
        <v>8</v>
      </c>
      <c r="L195" s="160">
        <v>8489692.1300000008</v>
      </c>
    </row>
    <row r="196" spans="1:12" ht="71.400000000000006" hidden="1" x14ac:dyDescent="0.3">
      <c r="A196" s="154" t="s">
        <v>1145</v>
      </c>
      <c r="B196" s="155" t="s">
        <v>1169</v>
      </c>
      <c r="C196" s="155" t="s">
        <v>1170</v>
      </c>
      <c r="D196" s="155" t="s">
        <v>1171</v>
      </c>
      <c r="E196" s="156" t="s">
        <v>751</v>
      </c>
      <c r="F196" s="157">
        <v>216043.32</v>
      </c>
      <c r="G196" s="157"/>
      <c r="H196" s="156" t="s">
        <v>14</v>
      </c>
      <c r="I196" s="158" t="s">
        <v>15</v>
      </c>
      <c r="J196" s="158"/>
      <c r="K196" s="159" t="s">
        <v>8</v>
      </c>
      <c r="L196" s="160">
        <v>8705735.4499999993</v>
      </c>
    </row>
    <row r="197" spans="1:12" ht="71.400000000000006" hidden="1" x14ac:dyDescent="0.3">
      <c r="A197" s="154" t="s">
        <v>1145</v>
      </c>
      <c r="B197" s="155" t="s">
        <v>1169</v>
      </c>
      <c r="C197" s="155" t="s">
        <v>1172</v>
      </c>
      <c r="D197" s="155" t="s">
        <v>1171</v>
      </c>
      <c r="E197" s="156" t="s">
        <v>751</v>
      </c>
      <c r="F197" s="157">
        <v>16552.2</v>
      </c>
      <c r="G197" s="157"/>
      <c r="H197" s="156" t="s">
        <v>14</v>
      </c>
      <c r="I197" s="158" t="s">
        <v>15</v>
      </c>
      <c r="J197" s="158"/>
      <c r="K197" s="159" t="s">
        <v>8</v>
      </c>
      <c r="L197" s="160">
        <v>8722287.6500000004</v>
      </c>
    </row>
    <row r="198" spans="1:12" ht="71.400000000000006" hidden="1" x14ac:dyDescent="0.3">
      <c r="A198" s="154" t="s">
        <v>1145</v>
      </c>
      <c r="B198" s="155" t="s">
        <v>1173</v>
      </c>
      <c r="C198" s="155" t="s">
        <v>1174</v>
      </c>
      <c r="D198" s="155" t="s">
        <v>1171</v>
      </c>
      <c r="E198" s="156" t="s">
        <v>751</v>
      </c>
      <c r="F198" s="157">
        <v>74039.63</v>
      </c>
      <c r="G198" s="157"/>
      <c r="H198" s="156" t="s">
        <v>14</v>
      </c>
      <c r="I198" s="158" t="s">
        <v>15</v>
      </c>
      <c r="J198" s="158"/>
      <c r="K198" s="159" t="s">
        <v>8</v>
      </c>
      <c r="L198" s="160">
        <v>8796327.2799999993</v>
      </c>
    </row>
    <row r="199" spans="1:12" ht="71.400000000000006" hidden="1" x14ac:dyDescent="0.3">
      <c r="A199" s="154" t="s">
        <v>1145</v>
      </c>
      <c r="B199" s="155" t="s">
        <v>1169</v>
      </c>
      <c r="C199" s="155" t="s">
        <v>1174</v>
      </c>
      <c r="D199" s="155" t="s">
        <v>1171</v>
      </c>
      <c r="E199" s="156" t="s">
        <v>751</v>
      </c>
      <c r="F199" s="157">
        <v>318669.65000000002</v>
      </c>
      <c r="G199" s="157"/>
      <c r="H199" s="156" t="s">
        <v>14</v>
      </c>
      <c r="I199" s="158" t="s">
        <v>15</v>
      </c>
      <c r="J199" s="158"/>
      <c r="K199" s="159" t="s">
        <v>8</v>
      </c>
      <c r="L199" s="160">
        <v>9114996.9299999997</v>
      </c>
    </row>
    <row r="200" spans="1:12" ht="71.400000000000006" hidden="1" x14ac:dyDescent="0.3">
      <c r="A200" s="154" t="s">
        <v>1145</v>
      </c>
      <c r="B200" s="155" t="s">
        <v>1173</v>
      </c>
      <c r="C200" s="155" t="s">
        <v>1175</v>
      </c>
      <c r="D200" s="155" t="s">
        <v>1171</v>
      </c>
      <c r="E200" s="156" t="s">
        <v>751</v>
      </c>
      <c r="F200" s="157">
        <v>3172.29</v>
      </c>
      <c r="G200" s="157"/>
      <c r="H200" s="156" t="s">
        <v>14</v>
      </c>
      <c r="I200" s="158" t="s">
        <v>15</v>
      </c>
      <c r="J200" s="158"/>
      <c r="K200" s="159" t="s">
        <v>8</v>
      </c>
      <c r="L200" s="160">
        <v>9118169.2200000007</v>
      </c>
    </row>
    <row r="201" spans="1:12" ht="71.400000000000006" hidden="1" x14ac:dyDescent="0.3">
      <c r="A201" s="154" t="s">
        <v>1145</v>
      </c>
      <c r="B201" s="155" t="s">
        <v>1173</v>
      </c>
      <c r="C201" s="155" t="s">
        <v>1176</v>
      </c>
      <c r="D201" s="155" t="s">
        <v>1171</v>
      </c>
      <c r="E201" s="156" t="s">
        <v>751</v>
      </c>
      <c r="F201" s="157">
        <v>3504.87</v>
      </c>
      <c r="G201" s="157"/>
      <c r="H201" s="156" t="s">
        <v>14</v>
      </c>
      <c r="I201" s="158" t="s">
        <v>15</v>
      </c>
      <c r="J201" s="158"/>
      <c r="K201" s="159" t="s">
        <v>8</v>
      </c>
      <c r="L201" s="160">
        <v>9121674.0899999999</v>
      </c>
    </row>
    <row r="202" spans="1:12" ht="71.400000000000006" hidden="1" x14ac:dyDescent="0.3">
      <c r="A202" s="154" t="s">
        <v>1145</v>
      </c>
      <c r="B202" s="155" t="s">
        <v>1173</v>
      </c>
      <c r="C202" s="155" t="s">
        <v>1177</v>
      </c>
      <c r="D202" s="155" t="s">
        <v>1171</v>
      </c>
      <c r="E202" s="156" t="s">
        <v>751</v>
      </c>
      <c r="F202" s="157">
        <v>13942.74</v>
      </c>
      <c r="G202" s="157"/>
      <c r="H202" s="156" t="s">
        <v>14</v>
      </c>
      <c r="I202" s="158" t="s">
        <v>15</v>
      </c>
      <c r="J202" s="158"/>
      <c r="K202" s="159" t="s">
        <v>8</v>
      </c>
      <c r="L202" s="160">
        <v>9135616.8300000001</v>
      </c>
    </row>
    <row r="203" spans="1:12" ht="71.400000000000006" hidden="1" x14ac:dyDescent="0.3">
      <c r="A203" s="154" t="s">
        <v>1145</v>
      </c>
      <c r="B203" s="155" t="s">
        <v>1173</v>
      </c>
      <c r="C203" s="155" t="s">
        <v>1178</v>
      </c>
      <c r="D203" s="155" t="s">
        <v>1171</v>
      </c>
      <c r="E203" s="156" t="s">
        <v>751</v>
      </c>
      <c r="F203" s="157">
        <v>291262.46000000002</v>
      </c>
      <c r="G203" s="157"/>
      <c r="H203" s="156" t="s">
        <v>14</v>
      </c>
      <c r="I203" s="158" t="s">
        <v>15</v>
      </c>
      <c r="J203" s="158"/>
      <c r="K203" s="159" t="s">
        <v>8</v>
      </c>
      <c r="L203" s="160">
        <v>9426879.2899999991</v>
      </c>
    </row>
    <row r="204" spans="1:12" ht="71.400000000000006" hidden="1" x14ac:dyDescent="0.3">
      <c r="A204" s="154" t="s">
        <v>1145</v>
      </c>
      <c r="B204" s="155" t="s">
        <v>1173</v>
      </c>
      <c r="C204" s="155" t="s">
        <v>1179</v>
      </c>
      <c r="D204" s="155" t="s">
        <v>1171</v>
      </c>
      <c r="E204" s="156" t="s">
        <v>751</v>
      </c>
      <c r="F204" s="157">
        <v>3837.45</v>
      </c>
      <c r="G204" s="157"/>
      <c r="H204" s="156" t="s">
        <v>14</v>
      </c>
      <c r="I204" s="158" t="s">
        <v>15</v>
      </c>
      <c r="J204" s="158"/>
      <c r="K204" s="159" t="s">
        <v>8</v>
      </c>
      <c r="L204" s="160">
        <v>9430716.7400000002</v>
      </c>
    </row>
    <row r="205" spans="1:12" ht="61.2" hidden="1" x14ac:dyDescent="0.3">
      <c r="A205" s="154" t="s">
        <v>1145</v>
      </c>
      <c r="B205" s="155" t="s">
        <v>1173</v>
      </c>
      <c r="C205" s="155" t="s">
        <v>1180</v>
      </c>
      <c r="D205" s="155" t="s">
        <v>1171</v>
      </c>
      <c r="E205" s="156" t="s">
        <v>751</v>
      </c>
      <c r="F205" s="157">
        <v>15097.5</v>
      </c>
      <c r="G205" s="157"/>
      <c r="H205" s="156" t="s">
        <v>14</v>
      </c>
      <c r="I205" s="158" t="s">
        <v>15</v>
      </c>
      <c r="J205" s="158"/>
      <c r="K205" s="159" t="s">
        <v>8</v>
      </c>
      <c r="L205" s="160">
        <v>9445814.2400000002</v>
      </c>
    </row>
    <row r="206" spans="1:12" ht="71.400000000000006" hidden="1" x14ac:dyDescent="0.3">
      <c r="A206" s="154" t="s">
        <v>1145</v>
      </c>
      <c r="B206" s="155" t="s">
        <v>1181</v>
      </c>
      <c r="C206" s="155" t="s">
        <v>1153</v>
      </c>
      <c r="D206" s="155" t="s">
        <v>1154</v>
      </c>
      <c r="E206" s="156" t="s">
        <v>751</v>
      </c>
      <c r="F206" s="161">
        <v>417.29</v>
      </c>
      <c r="G206" s="161"/>
      <c r="H206" s="156" t="s">
        <v>14</v>
      </c>
      <c r="I206" s="158" t="s">
        <v>15</v>
      </c>
      <c r="J206" s="158"/>
      <c r="K206" s="159" t="s">
        <v>8</v>
      </c>
      <c r="L206" s="160">
        <v>9446231.5299999993</v>
      </c>
    </row>
    <row r="207" spans="1:12" ht="71.400000000000006" hidden="1" x14ac:dyDescent="0.3">
      <c r="A207" s="154" t="s">
        <v>1145</v>
      </c>
      <c r="B207" s="155" t="s">
        <v>1181</v>
      </c>
      <c r="C207" s="155" t="s">
        <v>1155</v>
      </c>
      <c r="D207" s="155" t="s">
        <v>1154</v>
      </c>
      <c r="E207" s="156" t="s">
        <v>751</v>
      </c>
      <c r="F207" s="161">
        <v>100.83</v>
      </c>
      <c r="G207" s="161"/>
      <c r="H207" s="156" t="s">
        <v>14</v>
      </c>
      <c r="I207" s="158" t="s">
        <v>15</v>
      </c>
      <c r="J207" s="158"/>
      <c r="K207" s="159" t="s">
        <v>8</v>
      </c>
      <c r="L207" s="160">
        <v>9446332.3599999994</v>
      </c>
    </row>
    <row r="208" spans="1:12" ht="71.400000000000006" hidden="1" x14ac:dyDescent="0.3">
      <c r="A208" s="154" t="s">
        <v>1145</v>
      </c>
      <c r="B208" s="155" t="s">
        <v>1181</v>
      </c>
      <c r="C208" s="155" t="s">
        <v>1156</v>
      </c>
      <c r="D208" s="155" t="s">
        <v>1154</v>
      </c>
      <c r="E208" s="156" t="s">
        <v>751</v>
      </c>
      <c r="F208" s="161">
        <v>612.04</v>
      </c>
      <c r="G208" s="161"/>
      <c r="H208" s="156" t="s">
        <v>14</v>
      </c>
      <c r="I208" s="158" t="s">
        <v>15</v>
      </c>
      <c r="J208" s="158"/>
      <c r="K208" s="159" t="s">
        <v>8</v>
      </c>
      <c r="L208" s="160">
        <v>9446944.4000000004</v>
      </c>
    </row>
    <row r="209" spans="1:12" ht="71.400000000000006" hidden="1" x14ac:dyDescent="0.3">
      <c r="A209" s="154" t="s">
        <v>1145</v>
      </c>
      <c r="B209" s="155" t="s">
        <v>1181</v>
      </c>
      <c r="C209" s="155" t="s">
        <v>1157</v>
      </c>
      <c r="D209" s="155" t="s">
        <v>1154</v>
      </c>
      <c r="E209" s="156" t="s">
        <v>751</v>
      </c>
      <c r="F209" s="161">
        <v>209.67</v>
      </c>
      <c r="G209" s="161"/>
      <c r="H209" s="156" t="s">
        <v>14</v>
      </c>
      <c r="I209" s="158" t="s">
        <v>15</v>
      </c>
      <c r="J209" s="158"/>
      <c r="K209" s="159" t="s">
        <v>8</v>
      </c>
      <c r="L209" s="160">
        <v>9447154.0700000003</v>
      </c>
    </row>
    <row r="210" spans="1:12" ht="71.400000000000006" hidden="1" x14ac:dyDescent="0.3">
      <c r="A210" s="154" t="s">
        <v>1145</v>
      </c>
      <c r="B210" s="155" t="s">
        <v>1181</v>
      </c>
      <c r="C210" s="155" t="s">
        <v>1158</v>
      </c>
      <c r="D210" s="155" t="s">
        <v>1154</v>
      </c>
      <c r="E210" s="156" t="s">
        <v>751</v>
      </c>
      <c r="F210" s="157">
        <v>3108.66</v>
      </c>
      <c r="G210" s="157"/>
      <c r="H210" s="156" t="s">
        <v>14</v>
      </c>
      <c r="I210" s="158" t="s">
        <v>15</v>
      </c>
      <c r="J210" s="158"/>
      <c r="K210" s="159" t="s">
        <v>8</v>
      </c>
      <c r="L210" s="160">
        <v>9450262.7300000004</v>
      </c>
    </row>
    <row r="211" spans="1:12" ht="71.400000000000006" hidden="1" x14ac:dyDescent="0.3">
      <c r="A211" s="154" t="s">
        <v>1145</v>
      </c>
      <c r="B211" s="155" t="s">
        <v>1181</v>
      </c>
      <c r="C211" s="155" t="s">
        <v>1159</v>
      </c>
      <c r="D211" s="155" t="s">
        <v>1154</v>
      </c>
      <c r="E211" s="156" t="s">
        <v>751</v>
      </c>
      <c r="F211" s="157">
        <v>5102.32</v>
      </c>
      <c r="G211" s="157"/>
      <c r="H211" s="156" t="s">
        <v>14</v>
      </c>
      <c r="I211" s="158" t="s">
        <v>15</v>
      </c>
      <c r="J211" s="158"/>
      <c r="K211" s="159" t="s">
        <v>8</v>
      </c>
      <c r="L211" s="160">
        <v>9455365.0500000007</v>
      </c>
    </row>
    <row r="212" spans="1:12" ht="71.400000000000006" hidden="1" x14ac:dyDescent="0.3">
      <c r="A212" s="154" t="s">
        <v>1145</v>
      </c>
      <c r="B212" s="155" t="s">
        <v>1181</v>
      </c>
      <c r="C212" s="155" t="s">
        <v>1160</v>
      </c>
      <c r="D212" s="155" t="s">
        <v>1154</v>
      </c>
      <c r="E212" s="156" t="s">
        <v>751</v>
      </c>
      <c r="F212" s="157">
        <v>5260.1</v>
      </c>
      <c r="G212" s="157"/>
      <c r="H212" s="156" t="s">
        <v>14</v>
      </c>
      <c r="I212" s="158" t="s">
        <v>15</v>
      </c>
      <c r="J212" s="158"/>
      <c r="K212" s="159" t="s">
        <v>8</v>
      </c>
      <c r="L212" s="160">
        <v>9460625.1500000004</v>
      </c>
    </row>
    <row r="213" spans="1:12" ht="71.400000000000006" hidden="1" x14ac:dyDescent="0.3">
      <c r="A213" s="154" t="s">
        <v>1145</v>
      </c>
      <c r="B213" s="155" t="s">
        <v>1181</v>
      </c>
      <c r="C213" s="155" t="s">
        <v>1161</v>
      </c>
      <c r="D213" s="155" t="s">
        <v>1154</v>
      </c>
      <c r="E213" s="156" t="s">
        <v>751</v>
      </c>
      <c r="F213" s="161">
        <v>188.53</v>
      </c>
      <c r="G213" s="161"/>
      <c r="H213" s="156" t="s">
        <v>14</v>
      </c>
      <c r="I213" s="158" t="s">
        <v>15</v>
      </c>
      <c r="J213" s="158"/>
      <c r="K213" s="159" t="s">
        <v>8</v>
      </c>
      <c r="L213" s="160">
        <v>9460813.6799999997</v>
      </c>
    </row>
    <row r="214" spans="1:12" ht="61.2" hidden="1" x14ac:dyDescent="0.3">
      <c r="A214" s="154" t="s">
        <v>1145</v>
      </c>
      <c r="B214" s="155" t="s">
        <v>1181</v>
      </c>
      <c r="C214" s="155" t="s">
        <v>1162</v>
      </c>
      <c r="D214" s="155" t="s">
        <v>1154</v>
      </c>
      <c r="E214" s="156" t="s">
        <v>751</v>
      </c>
      <c r="F214" s="161">
        <v>0.56000000000000005</v>
      </c>
      <c r="G214" s="161"/>
      <c r="H214" s="156" t="s">
        <v>14</v>
      </c>
      <c r="I214" s="158" t="s">
        <v>15</v>
      </c>
      <c r="J214" s="158"/>
      <c r="K214" s="159" t="s">
        <v>8</v>
      </c>
      <c r="L214" s="160">
        <v>9460814.2400000002</v>
      </c>
    </row>
    <row r="215" spans="1:12" ht="71.400000000000006" hidden="1" x14ac:dyDescent="0.3">
      <c r="A215" s="154" t="s">
        <v>739</v>
      </c>
      <c r="B215" s="155" t="s">
        <v>1182</v>
      </c>
      <c r="C215" s="155" t="s">
        <v>1183</v>
      </c>
      <c r="D215" s="155" t="s">
        <v>1154</v>
      </c>
      <c r="E215" s="156" t="s">
        <v>751</v>
      </c>
      <c r="F215" s="157">
        <v>13847.17</v>
      </c>
      <c r="G215" s="157"/>
      <c r="H215" s="156" t="s">
        <v>14</v>
      </c>
      <c r="I215" s="158" t="s">
        <v>15</v>
      </c>
      <c r="J215" s="158"/>
      <c r="K215" s="159" t="s">
        <v>8</v>
      </c>
      <c r="L215" s="160">
        <v>9474661.4100000001</v>
      </c>
    </row>
    <row r="216" spans="1:12" ht="71.400000000000006" hidden="1" x14ac:dyDescent="0.3">
      <c r="A216" s="154" t="s">
        <v>739</v>
      </c>
      <c r="B216" s="155" t="s">
        <v>1182</v>
      </c>
      <c r="C216" s="155" t="s">
        <v>1184</v>
      </c>
      <c r="D216" s="155" t="s">
        <v>1154</v>
      </c>
      <c r="E216" s="156" t="s">
        <v>751</v>
      </c>
      <c r="F216" s="157">
        <v>1050.03</v>
      </c>
      <c r="G216" s="157"/>
      <c r="H216" s="156" t="s">
        <v>14</v>
      </c>
      <c r="I216" s="158" t="s">
        <v>15</v>
      </c>
      <c r="J216" s="158"/>
      <c r="K216" s="159" t="s">
        <v>8</v>
      </c>
      <c r="L216" s="160">
        <v>9475711.4399999995</v>
      </c>
    </row>
    <row r="217" spans="1:12" ht="71.400000000000006" hidden="1" x14ac:dyDescent="0.3">
      <c r="A217" s="154" t="s">
        <v>739</v>
      </c>
      <c r="B217" s="155" t="s">
        <v>1182</v>
      </c>
      <c r="C217" s="155" t="s">
        <v>1185</v>
      </c>
      <c r="D217" s="155" t="s">
        <v>1154</v>
      </c>
      <c r="E217" s="156" t="s">
        <v>751</v>
      </c>
      <c r="F217" s="161">
        <v>102.8</v>
      </c>
      <c r="G217" s="161"/>
      <c r="H217" s="156" t="s">
        <v>14</v>
      </c>
      <c r="I217" s="158" t="s">
        <v>15</v>
      </c>
      <c r="J217" s="158"/>
      <c r="K217" s="159" t="s">
        <v>8</v>
      </c>
      <c r="L217" s="160">
        <v>9475814.2400000002</v>
      </c>
    </row>
    <row r="218" spans="1:12" ht="61.2" hidden="1" x14ac:dyDescent="0.3">
      <c r="A218" s="154" t="s">
        <v>739</v>
      </c>
      <c r="B218" s="155" t="s">
        <v>1186</v>
      </c>
      <c r="C218" s="155" t="s">
        <v>1187</v>
      </c>
      <c r="D218" s="155" t="s">
        <v>1128</v>
      </c>
      <c r="E218" s="156" t="s">
        <v>751</v>
      </c>
      <c r="F218" s="157">
        <v>37770</v>
      </c>
      <c r="G218" s="157"/>
      <c r="H218" s="156" t="s">
        <v>14</v>
      </c>
      <c r="I218" s="158" t="s">
        <v>15</v>
      </c>
      <c r="J218" s="158"/>
      <c r="K218" s="159" t="s">
        <v>8</v>
      </c>
      <c r="L218" s="160">
        <v>9513584.2400000002</v>
      </c>
    </row>
    <row r="219" spans="1:12" ht="71.400000000000006" hidden="1" x14ac:dyDescent="0.3">
      <c r="A219" s="154" t="s">
        <v>739</v>
      </c>
      <c r="B219" s="155" t="s">
        <v>1188</v>
      </c>
      <c r="C219" s="155" t="s">
        <v>1183</v>
      </c>
      <c r="D219" s="155" t="s">
        <v>1154</v>
      </c>
      <c r="E219" s="156" t="s">
        <v>751</v>
      </c>
      <c r="F219" s="157">
        <v>495022.5</v>
      </c>
      <c r="G219" s="157"/>
      <c r="H219" s="156" t="s">
        <v>14</v>
      </c>
      <c r="I219" s="158" t="s">
        <v>15</v>
      </c>
      <c r="J219" s="158"/>
      <c r="K219" s="159" t="s">
        <v>8</v>
      </c>
      <c r="L219" s="160">
        <v>10008606.74</v>
      </c>
    </row>
    <row r="220" spans="1:12" ht="71.400000000000006" hidden="1" x14ac:dyDescent="0.3">
      <c r="A220" s="154" t="s">
        <v>739</v>
      </c>
      <c r="B220" s="155" t="s">
        <v>1188</v>
      </c>
      <c r="C220" s="155" t="s">
        <v>1184</v>
      </c>
      <c r="D220" s="155" t="s">
        <v>1154</v>
      </c>
      <c r="E220" s="156" t="s">
        <v>751</v>
      </c>
      <c r="F220" s="157">
        <v>37537.5</v>
      </c>
      <c r="G220" s="157"/>
      <c r="H220" s="156" t="s">
        <v>14</v>
      </c>
      <c r="I220" s="158" t="s">
        <v>15</v>
      </c>
      <c r="J220" s="158"/>
      <c r="K220" s="159" t="s">
        <v>8</v>
      </c>
      <c r="L220" s="160">
        <v>10046144.24</v>
      </c>
    </row>
    <row r="221" spans="1:12" ht="71.400000000000006" hidden="1" x14ac:dyDescent="0.3">
      <c r="A221" s="154" t="s">
        <v>739</v>
      </c>
      <c r="B221" s="155" t="s">
        <v>1188</v>
      </c>
      <c r="C221" s="155" t="s">
        <v>1185</v>
      </c>
      <c r="D221" s="155" t="s">
        <v>1154</v>
      </c>
      <c r="E221" s="156" t="s">
        <v>751</v>
      </c>
      <c r="F221" s="157">
        <v>3675</v>
      </c>
      <c r="G221" s="157"/>
      <c r="H221" s="156" t="s">
        <v>14</v>
      </c>
      <c r="I221" s="158" t="s">
        <v>15</v>
      </c>
      <c r="J221" s="158"/>
      <c r="K221" s="159" t="s">
        <v>8</v>
      </c>
      <c r="L221" s="160">
        <v>10049819.24</v>
      </c>
    </row>
    <row r="222" spans="1:12" ht="61.2" hidden="1" x14ac:dyDescent="0.3">
      <c r="A222" s="154" t="s">
        <v>739</v>
      </c>
      <c r="B222" s="155" t="s">
        <v>1189</v>
      </c>
      <c r="C222" s="155" t="s">
        <v>1190</v>
      </c>
      <c r="D222" s="155" t="s">
        <v>1191</v>
      </c>
      <c r="E222" s="156" t="s">
        <v>751</v>
      </c>
      <c r="F222" s="157">
        <v>30216.87</v>
      </c>
      <c r="G222" s="157"/>
      <c r="H222" s="156" t="s">
        <v>14</v>
      </c>
      <c r="I222" s="158" t="s">
        <v>15</v>
      </c>
      <c r="J222" s="158"/>
      <c r="K222" s="159" t="s">
        <v>8</v>
      </c>
      <c r="L222" s="160">
        <v>10080036.109999999</v>
      </c>
    </row>
    <row r="223" spans="1:12" ht="61.2" hidden="1" x14ac:dyDescent="0.3">
      <c r="A223" s="154" t="s">
        <v>739</v>
      </c>
      <c r="B223" s="155" t="s">
        <v>1192</v>
      </c>
      <c r="C223" s="155" t="s">
        <v>1193</v>
      </c>
      <c r="D223" s="155" t="s">
        <v>1194</v>
      </c>
      <c r="E223" s="156" t="s">
        <v>751</v>
      </c>
      <c r="F223" s="157">
        <v>30216.87</v>
      </c>
      <c r="G223" s="157"/>
      <c r="H223" s="156" t="s">
        <v>14</v>
      </c>
      <c r="I223" s="158" t="s">
        <v>15</v>
      </c>
      <c r="J223" s="158"/>
      <c r="K223" s="159" t="s">
        <v>8</v>
      </c>
      <c r="L223" s="160">
        <v>10110252.98</v>
      </c>
    </row>
    <row r="224" spans="1:12" ht="61.2" hidden="1" x14ac:dyDescent="0.3">
      <c r="A224" s="154" t="s">
        <v>739</v>
      </c>
      <c r="B224" s="155" t="s">
        <v>1195</v>
      </c>
      <c r="C224" s="155" t="s">
        <v>1196</v>
      </c>
      <c r="D224" s="155" t="s">
        <v>1197</v>
      </c>
      <c r="E224" s="156" t="s">
        <v>751</v>
      </c>
      <c r="F224" s="157">
        <v>7672.32</v>
      </c>
      <c r="G224" s="157"/>
      <c r="H224" s="156" t="s">
        <v>14</v>
      </c>
      <c r="I224" s="158" t="s">
        <v>15</v>
      </c>
      <c r="J224" s="158"/>
      <c r="K224" s="159" t="s">
        <v>8</v>
      </c>
      <c r="L224" s="160">
        <v>10117925.300000001</v>
      </c>
    </row>
    <row r="225" spans="1:12" ht="61.2" hidden="1" x14ac:dyDescent="0.3">
      <c r="A225" s="154" t="s">
        <v>739</v>
      </c>
      <c r="B225" s="155" t="s">
        <v>1198</v>
      </c>
      <c r="C225" s="155" t="s">
        <v>1187</v>
      </c>
      <c r="D225" s="155" t="s">
        <v>1128</v>
      </c>
      <c r="E225" s="156" t="s">
        <v>751</v>
      </c>
      <c r="F225" s="157">
        <v>18335</v>
      </c>
      <c r="G225" s="157"/>
      <c r="H225" s="156" t="s">
        <v>14</v>
      </c>
      <c r="I225" s="158" t="s">
        <v>15</v>
      </c>
      <c r="J225" s="158"/>
      <c r="K225" s="159" t="s">
        <v>8</v>
      </c>
      <c r="L225" s="160">
        <v>10136260.300000001</v>
      </c>
    </row>
    <row r="226" spans="1:12" ht="61.2" hidden="1" x14ac:dyDescent="0.3">
      <c r="A226" s="154" t="s">
        <v>328</v>
      </c>
      <c r="B226" s="155" t="s">
        <v>1199</v>
      </c>
      <c r="C226" s="155" t="s">
        <v>1200</v>
      </c>
      <c r="D226" s="155" t="s">
        <v>1201</v>
      </c>
      <c r="E226" s="156" t="s">
        <v>751</v>
      </c>
      <c r="F226" s="157">
        <v>35250.03</v>
      </c>
      <c r="G226" s="157"/>
      <c r="H226" s="156" t="s">
        <v>14</v>
      </c>
      <c r="I226" s="158" t="s">
        <v>15</v>
      </c>
      <c r="J226" s="158"/>
      <c r="K226" s="159" t="s">
        <v>8</v>
      </c>
      <c r="L226" s="160">
        <v>10171510.33</v>
      </c>
    </row>
    <row r="227" spans="1:12" ht="61.2" hidden="1" x14ac:dyDescent="0.3">
      <c r="A227" s="154" t="s">
        <v>328</v>
      </c>
      <c r="B227" s="155" t="s">
        <v>1202</v>
      </c>
      <c r="C227" s="155" t="s">
        <v>1203</v>
      </c>
      <c r="D227" s="155" t="s">
        <v>1204</v>
      </c>
      <c r="E227" s="156" t="s">
        <v>751</v>
      </c>
      <c r="F227" s="157">
        <v>35250.03</v>
      </c>
      <c r="G227" s="157"/>
      <c r="H227" s="156" t="s">
        <v>14</v>
      </c>
      <c r="I227" s="158" t="s">
        <v>15</v>
      </c>
      <c r="J227" s="158"/>
      <c r="K227" s="159" t="s">
        <v>8</v>
      </c>
      <c r="L227" s="160">
        <v>10206760.359999999</v>
      </c>
    </row>
    <row r="228" spans="1:12" hidden="1" x14ac:dyDescent="0.3">
      <c r="A228" s="165" t="s">
        <v>193</v>
      </c>
      <c r="B228" s="165"/>
      <c r="C228" s="165"/>
      <c r="D228" s="165"/>
      <c r="E228" s="166">
        <v>6349693.7400000002</v>
      </c>
      <c r="F228" s="166"/>
      <c r="G228" s="166"/>
      <c r="H228" s="166">
        <v>1612969.48</v>
      </c>
      <c r="I228" s="166"/>
      <c r="J228" s="166"/>
      <c r="K228" s="167" t="s">
        <v>8</v>
      </c>
      <c r="L228" s="168">
        <v>10206760.359999999</v>
      </c>
    </row>
    <row r="230" spans="1:12" x14ac:dyDescent="0.3">
      <c r="J230" s="29">
        <f>SUBTOTAL(9,I93:J139)</f>
        <v>1563031.6299999997</v>
      </c>
    </row>
    <row r="231" spans="1:12" x14ac:dyDescent="0.3">
      <c r="J231" s="29">
        <f>J230*1.2</f>
        <v>1875637.9559999995</v>
      </c>
    </row>
    <row r="233" spans="1:12" x14ac:dyDescent="0.3">
      <c r="J233" s="29">
        <f>I184*1.2</f>
        <v>59925.42</v>
      </c>
    </row>
  </sheetData>
  <autoFilter ref="A1:L228" xr:uid="{1008EE52-B5B2-4B09-978E-5A665A9ABC5C}">
    <filterColumn colId="1">
      <filters>
        <filter val="Вимога-накладна ІБ00-000980 від 15.10.2025 18:44:07_x000a_Списаны ТМЦ"/>
        <filter val="Вимога-накладна ІБ00-000981 від 15.10.2025 11:08:59_x000a_Списаны ТМЦ"/>
        <filter val="Вимога-накладна ІБ00-000982 від 15.10.2025 19:00:08_x000a_Списаны ТМЦ"/>
        <filter val="Вимога-накладна ІБ00-000986 від 15.10.2025 19:00:15_x000a_Списаны ТМЦ"/>
        <filter val="Реалізація товарів і послуг ІБ00-000064 від 24.10.2025 10:00:00_x000a_Списаны ТМЦ"/>
        <filter val="Списання товарів ІБ00-000596 від 15.10.2025 11:09:40_x000a_Списаны ТМЦ"/>
        <filter val="Списання товарів ІБ00-000597 від 15.10.2025 19:00:09_x000a_Списаны ТМЦ"/>
        <filter val="Списання товарів ІБ00-000599 від 15.10.2025 19:00:16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62">
    <mergeCell ref="F226:G226"/>
    <mergeCell ref="I226:J226"/>
    <mergeCell ref="F227:G227"/>
    <mergeCell ref="I227:J227"/>
    <mergeCell ref="A228:D228"/>
    <mergeCell ref="E228:G228"/>
    <mergeCell ref="H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E866-5322-4763-A2DC-313FDC022520}">
  <sheetPr filterMode="1"/>
  <dimension ref="A1:L47"/>
  <sheetViews>
    <sheetView topLeftCell="A39" workbookViewId="0">
      <selection activeCell="J46" sqref="J46"/>
    </sheetView>
  </sheetViews>
  <sheetFormatPr defaultRowHeight="14.4" x14ac:dyDescent="0.3"/>
  <cols>
    <col min="2" max="4" width="21.5546875" customWidth="1"/>
    <col min="10" max="10" width="9.88671875" bestFit="1" customWidth="1"/>
  </cols>
  <sheetData>
    <row r="1" spans="1:12" x14ac:dyDescent="0.3">
      <c r="A1" s="169" t="s">
        <v>0</v>
      </c>
      <c r="B1" s="170" t="s">
        <v>1</v>
      </c>
      <c r="C1" s="170" t="s">
        <v>2</v>
      </c>
      <c r="D1" s="171" t="s">
        <v>3</v>
      </c>
      <c r="E1" s="172" t="s">
        <v>4</v>
      </c>
      <c r="F1" s="172"/>
      <c r="G1" s="172"/>
      <c r="H1" s="173" t="s">
        <v>5</v>
      </c>
      <c r="I1" s="173"/>
      <c r="J1" s="173"/>
      <c r="K1" s="170" t="s">
        <v>6</v>
      </c>
      <c r="L1" s="170"/>
    </row>
    <row r="2" spans="1:12" hidden="1" x14ac:dyDescent="0.3">
      <c r="A2" s="174"/>
      <c r="B2" s="175"/>
      <c r="C2" s="175"/>
      <c r="D2" s="176"/>
      <c r="E2" s="177" t="s">
        <v>7</v>
      </c>
      <c r="F2" s="178"/>
      <c r="G2" s="178"/>
      <c r="H2" s="179" t="s">
        <v>7</v>
      </c>
      <c r="I2" s="180"/>
      <c r="J2" s="180"/>
      <c r="K2" s="174"/>
      <c r="L2" s="181"/>
    </row>
    <row r="3" spans="1:12" ht="71.400000000000006" x14ac:dyDescent="0.3">
      <c r="A3" s="182" t="s">
        <v>60</v>
      </c>
      <c r="B3" s="183" t="s">
        <v>1205</v>
      </c>
      <c r="C3" s="183" t="s">
        <v>1206</v>
      </c>
      <c r="D3" s="183" t="s">
        <v>1207</v>
      </c>
      <c r="E3" s="184" t="s">
        <v>105</v>
      </c>
      <c r="F3" s="185" t="s">
        <v>15</v>
      </c>
      <c r="G3" s="185"/>
      <c r="H3" s="184" t="s">
        <v>751</v>
      </c>
      <c r="I3" s="186">
        <v>30593.52</v>
      </c>
      <c r="J3" s="186"/>
      <c r="K3" s="187" t="s">
        <v>8</v>
      </c>
      <c r="L3" s="188">
        <v>912894.87</v>
      </c>
    </row>
    <row r="4" spans="1:12" ht="71.400000000000006" x14ac:dyDescent="0.3">
      <c r="A4" s="182" t="s">
        <v>60</v>
      </c>
      <c r="B4" s="183" t="s">
        <v>1205</v>
      </c>
      <c r="C4" s="183" t="s">
        <v>1206</v>
      </c>
      <c r="D4" s="183" t="s">
        <v>1208</v>
      </c>
      <c r="E4" s="184" t="s">
        <v>105</v>
      </c>
      <c r="F4" s="185" t="s">
        <v>15</v>
      </c>
      <c r="G4" s="185"/>
      <c r="H4" s="184" t="s">
        <v>751</v>
      </c>
      <c r="I4" s="189">
        <v>602</v>
      </c>
      <c r="J4" s="189"/>
      <c r="K4" s="187" t="s">
        <v>8</v>
      </c>
      <c r="L4" s="188">
        <v>912292.87</v>
      </c>
    </row>
    <row r="5" spans="1:12" ht="71.400000000000006" x14ac:dyDescent="0.3">
      <c r="A5" s="182" t="s">
        <v>60</v>
      </c>
      <c r="B5" s="183" t="s">
        <v>1205</v>
      </c>
      <c r="C5" s="183" t="s">
        <v>1206</v>
      </c>
      <c r="D5" s="183" t="s">
        <v>1209</v>
      </c>
      <c r="E5" s="184" t="s">
        <v>105</v>
      </c>
      <c r="F5" s="185" t="s">
        <v>15</v>
      </c>
      <c r="G5" s="185"/>
      <c r="H5" s="184" t="s">
        <v>751</v>
      </c>
      <c r="I5" s="186">
        <v>1955.97</v>
      </c>
      <c r="J5" s="186"/>
      <c r="K5" s="187" t="s">
        <v>8</v>
      </c>
      <c r="L5" s="188">
        <v>910336.9</v>
      </c>
    </row>
    <row r="6" spans="1:12" ht="71.400000000000006" x14ac:dyDescent="0.3">
      <c r="A6" s="182" t="s">
        <v>60</v>
      </c>
      <c r="B6" s="183" t="s">
        <v>1205</v>
      </c>
      <c r="C6" s="183" t="s">
        <v>1206</v>
      </c>
      <c r="D6" s="183" t="s">
        <v>1210</v>
      </c>
      <c r="E6" s="184" t="s">
        <v>105</v>
      </c>
      <c r="F6" s="185" t="s">
        <v>15</v>
      </c>
      <c r="G6" s="185"/>
      <c r="H6" s="184" t="s">
        <v>751</v>
      </c>
      <c r="I6" s="189">
        <v>204.4</v>
      </c>
      <c r="J6" s="189"/>
      <c r="K6" s="187" t="s">
        <v>8</v>
      </c>
      <c r="L6" s="188">
        <v>910132.5</v>
      </c>
    </row>
    <row r="7" spans="1:12" ht="71.400000000000006" x14ac:dyDescent="0.3">
      <c r="A7" s="182" t="s">
        <v>60</v>
      </c>
      <c r="B7" s="183" t="s">
        <v>1205</v>
      </c>
      <c r="C7" s="183" t="s">
        <v>1206</v>
      </c>
      <c r="D7" s="183" t="s">
        <v>1211</v>
      </c>
      <c r="E7" s="184" t="s">
        <v>105</v>
      </c>
      <c r="F7" s="185" t="s">
        <v>15</v>
      </c>
      <c r="G7" s="185"/>
      <c r="H7" s="184" t="s">
        <v>751</v>
      </c>
      <c r="I7" s="189">
        <v>339.25</v>
      </c>
      <c r="J7" s="189"/>
      <c r="K7" s="187" t="s">
        <v>8</v>
      </c>
      <c r="L7" s="188">
        <v>909793.25</v>
      </c>
    </row>
    <row r="8" spans="1:12" ht="71.400000000000006" x14ac:dyDescent="0.3">
      <c r="A8" s="182" t="s">
        <v>60</v>
      </c>
      <c r="B8" s="183" t="s">
        <v>1205</v>
      </c>
      <c r="C8" s="183" t="s">
        <v>1206</v>
      </c>
      <c r="D8" s="183" t="s">
        <v>1211</v>
      </c>
      <c r="E8" s="184" t="s">
        <v>105</v>
      </c>
      <c r="F8" s="185" t="s">
        <v>15</v>
      </c>
      <c r="G8" s="185"/>
      <c r="H8" s="184" t="s">
        <v>751</v>
      </c>
      <c r="I8" s="189">
        <v>452.34</v>
      </c>
      <c r="J8" s="189"/>
      <c r="K8" s="187" t="s">
        <v>8</v>
      </c>
      <c r="L8" s="188">
        <v>909340.91</v>
      </c>
    </row>
    <row r="9" spans="1:12" ht="71.400000000000006" x14ac:dyDescent="0.3">
      <c r="A9" s="182" t="s">
        <v>60</v>
      </c>
      <c r="B9" s="183" t="s">
        <v>1205</v>
      </c>
      <c r="C9" s="183" t="s">
        <v>1206</v>
      </c>
      <c r="D9" s="183" t="s">
        <v>1212</v>
      </c>
      <c r="E9" s="184" t="s">
        <v>105</v>
      </c>
      <c r="F9" s="185" t="s">
        <v>15</v>
      </c>
      <c r="G9" s="185"/>
      <c r="H9" s="184" t="s">
        <v>751</v>
      </c>
      <c r="I9" s="189">
        <v>339.26</v>
      </c>
      <c r="J9" s="189"/>
      <c r="K9" s="187" t="s">
        <v>8</v>
      </c>
      <c r="L9" s="188">
        <v>909001.65</v>
      </c>
    </row>
    <row r="10" spans="1:12" ht="71.400000000000006" x14ac:dyDescent="0.3">
      <c r="A10" s="182" t="s">
        <v>60</v>
      </c>
      <c r="B10" s="183" t="s">
        <v>1205</v>
      </c>
      <c r="C10" s="183" t="s">
        <v>1206</v>
      </c>
      <c r="D10" s="183" t="s">
        <v>1213</v>
      </c>
      <c r="E10" s="184" t="s">
        <v>105</v>
      </c>
      <c r="F10" s="185" t="s">
        <v>15</v>
      </c>
      <c r="G10" s="185"/>
      <c r="H10" s="184" t="s">
        <v>751</v>
      </c>
      <c r="I10" s="189">
        <v>42.15</v>
      </c>
      <c r="J10" s="189"/>
      <c r="K10" s="187" t="s">
        <v>8</v>
      </c>
      <c r="L10" s="188">
        <v>908959.5</v>
      </c>
    </row>
    <row r="11" spans="1:12" ht="71.400000000000006" x14ac:dyDescent="0.3">
      <c r="A11" s="182" t="s">
        <v>60</v>
      </c>
      <c r="B11" s="183" t="s">
        <v>1205</v>
      </c>
      <c r="C11" s="183" t="s">
        <v>1206</v>
      </c>
      <c r="D11" s="183" t="s">
        <v>1214</v>
      </c>
      <c r="E11" s="184" t="s">
        <v>105</v>
      </c>
      <c r="F11" s="185" t="s">
        <v>15</v>
      </c>
      <c r="G11" s="185"/>
      <c r="H11" s="184" t="s">
        <v>751</v>
      </c>
      <c r="I11" s="189">
        <v>243.23</v>
      </c>
      <c r="J11" s="189"/>
      <c r="K11" s="187" t="s">
        <v>8</v>
      </c>
      <c r="L11" s="188">
        <v>908716.27</v>
      </c>
    </row>
    <row r="12" spans="1:12" ht="71.400000000000006" x14ac:dyDescent="0.3">
      <c r="A12" s="182" t="s">
        <v>60</v>
      </c>
      <c r="B12" s="183" t="s">
        <v>1205</v>
      </c>
      <c r="C12" s="183" t="s">
        <v>1206</v>
      </c>
      <c r="D12" s="183" t="s">
        <v>1215</v>
      </c>
      <c r="E12" s="184" t="s">
        <v>105</v>
      </c>
      <c r="F12" s="185" t="s">
        <v>15</v>
      </c>
      <c r="G12" s="185"/>
      <c r="H12" s="184" t="s">
        <v>751</v>
      </c>
      <c r="I12" s="189">
        <v>147.68</v>
      </c>
      <c r="J12" s="189"/>
      <c r="K12" s="187" t="s">
        <v>8</v>
      </c>
      <c r="L12" s="188">
        <v>908568.59</v>
      </c>
    </row>
    <row r="13" spans="1:12" ht="71.400000000000006" x14ac:dyDescent="0.3">
      <c r="A13" s="182" t="s">
        <v>60</v>
      </c>
      <c r="B13" s="183" t="s">
        <v>1205</v>
      </c>
      <c r="C13" s="183" t="s">
        <v>1206</v>
      </c>
      <c r="D13" s="183" t="s">
        <v>1216</v>
      </c>
      <c r="E13" s="184" t="s">
        <v>105</v>
      </c>
      <c r="F13" s="185" t="s">
        <v>15</v>
      </c>
      <c r="G13" s="185"/>
      <c r="H13" s="184" t="s">
        <v>751</v>
      </c>
      <c r="I13" s="189">
        <v>176.08</v>
      </c>
      <c r="J13" s="189"/>
      <c r="K13" s="187" t="s">
        <v>8</v>
      </c>
      <c r="L13" s="188">
        <v>908392.51</v>
      </c>
    </row>
    <row r="14" spans="1:12" ht="71.400000000000006" x14ac:dyDescent="0.3">
      <c r="A14" s="182" t="s">
        <v>60</v>
      </c>
      <c r="B14" s="183" t="s">
        <v>1205</v>
      </c>
      <c r="C14" s="183" t="s">
        <v>1206</v>
      </c>
      <c r="D14" s="183" t="s">
        <v>1217</v>
      </c>
      <c r="E14" s="184" t="s">
        <v>105</v>
      </c>
      <c r="F14" s="185" t="s">
        <v>15</v>
      </c>
      <c r="G14" s="185"/>
      <c r="H14" s="184" t="s">
        <v>751</v>
      </c>
      <c r="I14" s="189">
        <v>650.35</v>
      </c>
      <c r="J14" s="189"/>
      <c r="K14" s="187" t="s">
        <v>8</v>
      </c>
      <c r="L14" s="188">
        <v>907742.16</v>
      </c>
    </row>
    <row r="15" spans="1:12" ht="71.400000000000006" x14ac:dyDescent="0.3">
      <c r="A15" s="182" t="s">
        <v>60</v>
      </c>
      <c r="B15" s="183" t="s">
        <v>1205</v>
      </c>
      <c r="C15" s="183" t="s">
        <v>1206</v>
      </c>
      <c r="D15" s="183" t="s">
        <v>1218</v>
      </c>
      <c r="E15" s="184" t="s">
        <v>105</v>
      </c>
      <c r="F15" s="185" t="s">
        <v>15</v>
      </c>
      <c r="G15" s="185"/>
      <c r="H15" s="184" t="s">
        <v>751</v>
      </c>
      <c r="I15" s="186">
        <v>1145.52</v>
      </c>
      <c r="J15" s="186"/>
      <c r="K15" s="187" t="s">
        <v>8</v>
      </c>
      <c r="L15" s="188">
        <v>906596.64</v>
      </c>
    </row>
    <row r="16" spans="1:12" ht="71.400000000000006" x14ac:dyDescent="0.3">
      <c r="A16" s="182" t="s">
        <v>60</v>
      </c>
      <c r="B16" s="183" t="s">
        <v>1205</v>
      </c>
      <c r="C16" s="183" t="s">
        <v>1206</v>
      </c>
      <c r="D16" s="183" t="s">
        <v>1219</v>
      </c>
      <c r="E16" s="184" t="s">
        <v>105</v>
      </c>
      <c r="F16" s="185" t="s">
        <v>15</v>
      </c>
      <c r="G16" s="185"/>
      <c r="H16" s="184" t="s">
        <v>751</v>
      </c>
      <c r="I16" s="189">
        <v>240.09</v>
      </c>
      <c r="J16" s="189"/>
      <c r="K16" s="187" t="s">
        <v>8</v>
      </c>
      <c r="L16" s="188">
        <v>906356.55</v>
      </c>
    </row>
    <row r="17" spans="1:12" ht="71.400000000000006" x14ac:dyDescent="0.3">
      <c r="A17" s="182" t="s">
        <v>60</v>
      </c>
      <c r="B17" s="183" t="s">
        <v>1205</v>
      </c>
      <c r="C17" s="183" t="s">
        <v>1206</v>
      </c>
      <c r="D17" s="183" t="s">
        <v>1220</v>
      </c>
      <c r="E17" s="184" t="s">
        <v>105</v>
      </c>
      <c r="F17" s="185" t="s">
        <v>15</v>
      </c>
      <c r="G17" s="185"/>
      <c r="H17" s="184" t="s">
        <v>751</v>
      </c>
      <c r="I17" s="189">
        <v>267.18</v>
      </c>
      <c r="J17" s="189"/>
      <c r="K17" s="187" t="s">
        <v>8</v>
      </c>
      <c r="L17" s="188">
        <v>906089.37</v>
      </c>
    </row>
    <row r="18" spans="1:12" ht="71.400000000000006" x14ac:dyDescent="0.3">
      <c r="A18" s="182" t="s">
        <v>60</v>
      </c>
      <c r="B18" s="183" t="s">
        <v>1205</v>
      </c>
      <c r="C18" s="183" t="s">
        <v>1206</v>
      </c>
      <c r="D18" s="183" t="s">
        <v>1221</v>
      </c>
      <c r="E18" s="184" t="s">
        <v>105</v>
      </c>
      <c r="F18" s="185" t="s">
        <v>15</v>
      </c>
      <c r="G18" s="185"/>
      <c r="H18" s="184" t="s">
        <v>751</v>
      </c>
      <c r="I18" s="189">
        <v>364.54</v>
      </c>
      <c r="J18" s="189"/>
      <c r="K18" s="187" t="s">
        <v>8</v>
      </c>
      <c r="L18" s="188">
        <v>905724.83</v>
      </c>
    </row>
    <row r="19" spans="1:12" ht="71.400000000000006" x14ac:dyDescent="0.3">
      <c r="A19" s="182" t="s">
        <v>60</v>
      </c>
      <c r="B19" s="183" t="s">
        <v>1205</v>
      </c>
      <c r="C19" s="183" t="s">
        <v>1206</v>
      </c>
      <c r="D19" s="183" t="s">
        <v>1222</v>
      </c>
      <c r="E19" s="184" t="s">
        <v>105</v>
      </c>
      <c r="F19" s="185" t="s">
        <v>15</v>
      </c>
      <c r="G19" s="185"/>
      <c r="H19" s="184" t="s">
        <v>751</v>
      </c>
      <c r="I19" s="189">
        <v>33.14</v>
      </c>
      <c r="J19" s="189"/>
      <c r="K19" s="187" t="s">
        <v>8</v>
      </c>
      <c r="L19" s="188">
        <v>905691.69</v>
      </c>
    </row>
    <row r="20" spans="1:12" ht="71.400000000000006" x14ac:dyDescent="0.3">
      <c r="A20" s="182" t="s">
        <v>60</v>
      </c>
      <c r="B20" s="183" t="s">
        <v>1205</v>
      </c>
      <c r="C20" s="183" t="s">
        <v>1206</v>
      </c>
      <c r="D20" s="183" t="s">
        <v>1223</v>
      </c>
      <c r="E20" s="184" t="s">
        <v>105</v>
      </c>
      <c r="F20" s="185" t="s">
        <v>15</v>
      </c>
      <c r="G20" s="185"/>
      <c r="H20" s="184" t="s">
        <v>751</v>
      </c>
      <c r="I20" s="189">
        <v>172.9</v>
      </c>
      <c r="J20" s="189"/>
      <c r="K20" s="187" t="s">
        <v>8</v>
      </c>
      <c r="L20" s="188">
        <v>905518.79</v>
      </c>
    </row>
    <row r="21" spans="1:12" ht="71.400000000000006" x14ac:dyDescent="0.3">
      <c r="A21" s="182" t="s">
        <v>60</v>
      </c>
      <c r="B21" s="183" t="s">
        <v>1205</v>
      </c>
      <c r="C21" s="183" t="s">
        <v>1206</v>
      </c>
      <c r="D21" s="183" t="s">
        <v>1224</v>
      </c>
      <c r="E21" s="184" t="s">
        <v>105</v>
      </c>
      <c r="F21" s="185" t="s">
        <v>15</v>
      </c>
      <c r="G21" s="185"/>
      <c r="H21" s="184" t="s">
        <v>751</v>
      </c>
      <c r="I21" s="189">
        <v>48.37</v>
      </c>
      <c r="J21" s="189"/>
      <c r="K21" s="187" t="s">
        <v>8</v>
      </c>
      <c r="L21" s="188">
        <v>905470.42</v>
      </c>
    </row>
    <row r="22" spans="1:12" ht="71.400000000000006" x14ac:dyDescent="0.3">
      <c r="A22" s="182" t="s">
        <v>60</v>
      </c>
      <c r="B22" s="183" t="s">
        <v>1205</v>
      </c>
      <c r="C22" s="183" t="s">
        <v>1206</v>
      </c>
      <c r="D22" s="183" t="s">
        <v>1225</v>
      </c>
      <c r="E22" s="184" t="s">
        <v>105</v>
      </c>
      <c r="F22" s="185" t="s">
        <v>15</v>
      </c>
      <c r="G22" s="185"/>
      <c r="H22" s="184" t="s">
        <v>751</v>
      </c>
      <c r="I22" s="189">
        <v>179.01</v>
      </c>
      <c r="J22" s="189"/>
      <c r="K22" s="187" t="s">
        <v>8</v>
      </c>
      <c r="L22" s="188">
        <v>905291.41</v>
      </c>
    </row>
    <row r="23" spans="1:12" ht="71.400000000000006" x14ac:dyDescent="0.3">
      <c r="A23" s="182" t="s">
        <v>60</v>
      </c>
      <c r="B23" s="183" t="s">
        <v>1205</v>
      </c>
      <c r="C23" s="183" t="s">
        <v>1206</v>
      </c>
      <c r="D23" s="183" t="s">
        <v>1214</v>
      </c>
      <c r="E23" s="184" t="s">
        <v>105</v>
      </c>
      <c r="F23" s="185" t="s">
        <v>15</v>
      </c>
      <c r="G23" s="185"/>
      <c r="H23" s="184" t="s">
        <v>751</v>
      </c>
      <c r="I23" s="186">
        <v>2768.62</v>
      </c>
      <c r="J23" s="186"/>
      <c r="K23" s="187" t="s">
        <v>8</v>
      </c>
      <c r="L23" s="188">
        <v>902522.79</v>
      </c>
    </row>
    <row r="24" spans="1:12" ht="71.400000000000006" x14ac:dyDescent="0.3">
      <c r="A24" s="182" t="s">
        <v>60</v>
      </c>
      <c r="B24" s="183" t="s">
        <v>1205</v>
      </c>
      <c r="C24" s="183" t="s">
        <v>1206</v>
      </c>
      <c r="D24" s="183" t="s">
        <v>1220</v>
      </c>
      <c r="E24" s="184" t="s">
        <v>105</v>
      </c>
      <c r="F24" s="185" t="s">
        <v>15</v>
      </c>
      <c r="G24" s="185"/>
      <c r="H24" s="184" t="s">
        <v>751</v>
      </c>
      <c r="I24" s="186">
        <v>1171.6500000000001</v>
      </c>
      <c r="J24" s="186"/>
      <c r="K24" s="187" t="s">
        <v>8</v>
      </c>
      <c r="L24" s="188">
        <v>901351.14</v>
      </c>
    </row>
    <row r="25" spans="1:12" ht="71.400000000000006" x14ac:dyDescent="0.3">
      <c r="A25" s="182" t="s">
        <v>60</v>
      </c>
      <c r="B25" s="183" t="s">
        <v>1205</v>
      </c>
      <c r="C25" s="183" t="s">
        <v>1206</v>
      </c>
      <c r="D25" s="183" t="s">
        <v>1225</v>
      </c>
      <c r="E25" s="184" t="s">
        <v>105</v>
      </c>
      <c r="F25" s="185" t="s">
        <v>15</v>
      </c>
      <c r="G25" s="185"/>
      <c r="H25" s="184" t="s">
        <v>751</v>
      </c>
      <c r="I25" s="189">
        <v>295.58999999999997</v>
      </c>
      <c r="J25" s="189"/>
      <c r="K25" s="187" t="s">
        <v>8</v>
      </c>
      <c r="L25" s="188">
        <v>901055.55</v>
      </c>
    </row>
    <row r="26" spans="1:12" ht="71.400000000000006" x14ac:dyDescent="0.3">
      <c r="A26" s="182" t="s">
        <v>256</v>
      </c>
      <c r="B26" s="183" t="s">
        <v>1226</v>
      </c>
      <c r="C26" s="183" t="s">
        <v>1206</v>
      </c>
      <c r="D26" s="183" t="s">
        <v>1227</v>
      </c>
      <c r="E26" s="184" t="s">
        <v>105</v>
      </c>
      <c r="F26" s="185" t="s">
        <v>15</v>
      </c>
      <c r="G26" s="185"/>
      <c r="H26" s="184" t="s">
        <v>751</v>
      </c>
      <c r="I26" s="189">
        <v>202.8</v>
      </c>
      <c r="J26" s="189"/>
      <c r="K26" s="187" t="s">
        <v>8</v>
      </c>
      <c r="L26" s="188">
        <v>900852.75</v>
      </c>
    </row>
    <row r="27" spans="1:12" ht="71.400000000000006" x14ac:dyDescent="0.3">
      <c r="A27" s="182" t="s">
        <v>256</v>
      </c>
      <c r="B27" s="183" t="s">
        <v>1228</v>
      </c>
      <c r="C27" s="183" t="s">
        <v>1206</v>
      </c>
      <c r="D27" s="183" t="s">
        <v>1207</v>
      </c>
      <c r="E27" s="184" t="s">
        <v>105</v>
      </c>
      <c r="F27" s="185" t="s">
        <v>15</v>
      </c>
      <c r="G27" s="185"/>
      <c r="H27" s="184" t="s">
        <v>751</v>
      </c>
      <c r="I27" s="186">
        <v>30593.52</v>
      </c>
      <c r="J27" s="186"/>
      <c r="K27" s="187" t="s">
        <v>8</v>
      </c>
      <c r="L27" s="188">
        <v>870259.23</v>
      </c>
    </row>
    <row r="28" spans="1:12" ht="71.400000000000006" x14ac:dyDescent="0.3">
      <c r="A28" s="182" t="s">
        <v>256</v>
      </c>
      <c r="B28" s="183" t="s">
        <v>1228</v>
      </c>
      <c r="C28" s="183" t="s">
        <v>1206</v>
      </c>
      <c r="D28" s="183" t="s">
        <v>1214</v>
      </c>
      <c r="E28" s="184" t="s">
        <v>105</v>
      </c>
      <c r="F28" s="185" t="s">
        <v>15</v>
      </c>
      <c r="G28" s="185"/>
      <c r="H28" s="184" t="s">
        <v>751</v>
      </c>
      <c r="I28" s="186">
        <v>4067.55</v>
      </c>
      <c r="J28" s="186"/>
      <c r="K28" s="187" t="s">
        <v>8</v>
      </c>
      <c r="L28" s="188">
        <v>866191.68</v>
      </c>
    </row>
    <row r="29" spans="1:12" ht="71.400000000000006" x14ac:dyDescent="0.3">
      <c r="A29" s="182" t="s">
        <v>256</v>
      </c>
      <c r="B29" s="183" t="s">
        <v>1228</v>
      </c>
      <c r="C29" s="183" t="s">
        <v>1206</v>
      </c>
      <c r="D29" s="183" t="s">
        <v>1220</v>
      </c>
      <c r="E29" s="184" t="s">
        <v>105</v>
      </c>
      <c r="F29" s="185" t="s">
        <v>15</v>
      </c>
      <c r="G29" s="185"/>
      <c r="H29" s="184" t="s">
        <v>751</v>
      </c>
      <c r="I29" s="186">
        <v>1721.34</v>
      </c>
      <c r="J29" s="186"/>
      <c r="K29" s="187" t="s">
        <v>8</v>
      </c>
      <c r="L29" s="188">
        <v>864470.34</v>
      </c>
    </row>
    <row r="30" spans="1:12" ht="71.400000000000006" x14ac:dyDescent="0.3">
      <c r="A30" s="182" t="s">
        <v>256</v>
      </c>
      <c r="B30" s="183" t="s">
        <v>1228</v>
      </c>
      <c r="C30" s="183" t="s">
        <v>1206</v>
      </c>
      <c r="D30" s="183" t="s">
        <v>1225</v>
      </c>
      <c r="E30" s="184" t="s">
        <v>105</v>
      </c>
      <c r="F30" s="185" t="s">
        <v>15</v>
      </c>
      <c r="G30" s="185"/>
      <c r="H30" s="184" t="s">
        <v>751</v>
      </c>
      <c r="I30" s="189">
        <v>434.26</v>
      </c>
      <c r="J30" s="189"/>
      <c r="K30" s="187" t="s">
        <v>8</v>
      </c>
      <c r="L30" s="188">
        <v>864036.08</v>
      </c>
    </row>
    <row r="31" spans="1:12" ht="71.400000000000006" x14ac:dyDescent="0.3">
      <c r="A31" s="182" t="s">
        <v>256</v>
      </c>
      <c r="B31" s="183" t="s">
        <v>1228</v>
      </c>
      <c r="C31" s="183" t="s">
        <v>1206</v>
      </c>
      <c r="D31" s="183" t="s">
        <v>1214</v>
      </c>
      <c r="E31" s="184" t="s">
        <v>105</v>
      </c>
      <c r="F31" s="185" t="s">
        <v>15</v>
      </c>
      <c r="G31" s="185"/>
      <c r="H31" s="184" t="s">
        <v>751</v>
      </c>
      <c r="I31" s="189">
        <v>93.15</v>
      </c>
      <c r="J31" s="189"/>
      <c r="K31" s="187" t="s">
        <v>8</v>
      </c>
      <c r="L31" s="188">
        <v>863942.93</v>
      </c>
    </row>
    <row r="32" spans="1:12" ht="71.400000000000006" x14ac:dyDescent="0.3">
      <c r="A32" s="182" t="s">
        <v>256</v>
      </c>
      <c r="B32" s="183" t="s">
        <v>1228</v>
      </c>
      <c r="C32" s="183" t="s">
        <v>1206</v>
      </c>
      <c r="D32" s="183" t="s">
        <v>1229</v>
      </c>
      <c r="E32" s="184" t="s">
        <v>105</v>
      </c>
      <c r="F32" s="185" t="s">
        <v>15</v>
      </c>
      <c r="G32" s="185"/>
      <c r="H32" s="184" t="s">
        <v>751</v>
      </c>
      <c r="I32" s="186">
        <v>1445.31</v>
      </c>
      <c r="J32" s="186"/>
      <c r="K32" s="187" t="s">
        <v>8</v>
      </c>
      <c r="L32" s="188">
        <v>862497.62</v>
      </c>
    </row>
    <row r="33" spans="1:12" ht="71.400000000000006" x14ac:dyDescent="0.3">
      <c r="A33" s="182" t="s">
        <v>256</v>
      </c>
      <c r="B33" s="183" t="s">
        <v>1228</v>
      </c>
      <c r="C33" s="183" t="s">
        <v>1206</v>
      </c>
      <c r="D33" s="183" t="s">
        <v>1220</v>
      </c>
      <c r="E33" s="184" t="s">
        <v>105</v>
      </c>
      <c r="F33" s="185" t="s">
        <v>15</v>
      </c>
      <c r="G33" s="185"/>
      <c r="H33" s="184" t="s">
        <v>751</v>
      </c>
      <c r="I33" s="186">
        <v>1084.05</v>
      </c>
      <c r="J33" s="186"/>
      <c r="K33" s="187" t="s">
        <v>8</v>
      </c>
      <c r="L33" s="188">
        <v>861413.57</v>
      </c>
    </row>
    <row r="34" spans="1:12" ht="71.400000000000006" x14ac:dyDescent="0.3">
      <c r="A34" s="182" t="s">
        <v>256</v>
      </c>
      <c r="B34" s="183" t="s">
        <v>1228</v>
      </c>
      <c r="C34" s="183" t="s">
        <v>1206</v>
      </c>
      <c r="D34" s="183" t="s">
        <v>1225</v>
      </c>
      <c r="E34" s="184" t="s">
        <v>105</v>
      </c>
      <c r="F34" s="185" t="s">
        <v>15</v>
      </c>
      <c r="G34" s="185"/>
      <c r="H34" s="184" t="s">
        <v>751</v>
      </c>
      <c r="I34" s="189">
        <v>273.49</v>
      </c>
      <c r="J34" s="189"/>
      <c r="K34" s="187" t="s">
        <v>8</v>
      </c>
      <c r="L34" s="188">
        <v>861140.08</v>
      </c>
    </row>
    <row r="35" spans="1:12" ht="71.400000000000006" hidden="1" x14ac:dyDescent="0.3">
      <c r="A35" s="182" t="s">
        <v>1145</v>
      </c>
      <c r="B35" s="183" t="s">
        <v>1146</v>
      </c>
      <c r="C35" s="183" t="s">
        <v>1147</v>
      </c>
      <c r="D35" s="183" t="s">
        <v>1148</v>
      </c>
      <c r="E35" s="184" t="s">
        <v>751</v>
      </c>
      <c r="F35" s="185" t="s">
        <v>15</v>
      </c>
      <c r="G35" s="185"/>
      <c r="H35" s="184" t="s">
        <v>751</v>
      </c>
      <c r="I35" s="186">
        <v>49937.85</v>
      </c>
      <c r="J35" s="186"/>
      <c r="K35" s="187" t="s">
        <v>8</v>
      </c>
      <c r="L35" s="188">
        <v>811202.23</v>
      </c>
    </row>
    <row r="36" spans="1:12" ht="71.400000000000006" hidden="1" x14ac:dyDescent="0.3">
      <c r="A36" s="182" t="s">
        <v>739</v>
      </c>
      <c r="B36" s="183" t="s">
        <v>1230</v>
      </c>
      <c r="C36" s="183" t="s">
        <v>1231</v>
      </c>
      <c r="D36" s="183" t="s">
        <v>1232</v>
      </c>
      <c r="E36" s="184" t="s">
        <v>751</v>
      </c>
      <c r="F36" s="190">
        <v>27300</v>
      </c>
      <c r="G36" s="190"/>
      <c r="H36" s="184" t="s">
        <v>14</v>
      </c>
      <c r="I36" s="191" t="s">
        <v>15</v>
      </c>
      <c r="J36" s="191"/>
      <c r="K36" s="187" t="s">
        <v>8</v>
      </c>
      <c r="L36" s="188">
        <v>838502.23</v>
      </c>
    </row>
    <row r="37" spans="1:12" ht="71.400000000000006" x14ac:dyDescent="0.3">
      <c r="A37" s="182" t="s">
        <v>187</v>
      </c>
      <c r="B37" s="183" t="s">
        <v>1233</v>
      </c>
      <c r="C37" s="183" t="s">
        <v>1206</v>
      </c>
      <c r="D37" s="183" t="s">
        <v>1229</v>
      </c>
      <c r="E37" s="184" t="s">
        <v>105</v>
      </c>
      <c r="F37" s="185" t="s">
        <v>15</v>
      </c>
      <c r="G37" s="185"/>
      <c r="H37" s="184" t="s">
        <v>751</v>
      </c>
      <c r="I37" s="186">
        <v>3690.54</v>
      </c>
      <c r="J37" s="186"/>
      <c r="K37" s="187" t="s">
        <v>8</v>
      </c>
      <c r="L37" s="188">
        <v>834811.69</v>
      </c>
    </row>
    <row r="38" spans="1:12" ht="71.400000000000006" x14ac:dyDescent="0.3">
      <c r="A38" s="182" t="s">
        <v>187</v>
      </c>
      <c r="B38" s="183" t="s">
        <v>1233</v>
      </c>
      <c r="C38" s="183" t="s">
        <v>1206</v>
      </c>
      <c r="D38" s="183" t="s">
        <v>1220</v>
      </c>
      <c r="E38" s="184" t="s">
        <v>105</v>
      </c>
      <c r="F38" s="185" t="s">
        <v>15</v>
      </c>
      <c r="G38" s="185"/>
      <c r="H38" s="184" t="s">
        <v>751</v>
      </c>
      <c r="I38" s="186">
        <v>2667.42</v>
      </c>
      <c r="J38" s="186"/>
      <c r="K38" s="187" t="s">
        <v>8</v>
      </c>
      <c r="L38" s="188">
        <v>832144.27</v>
      </c>
    </row>
    <row r="39" spans="1:12" ht="71.400000000000006" x14ac:dyDescent="0.3">
      <c r="A39" s="182" t="s">
        <v>187</v>
      </c>
      <c r="B39" s="183" t="s">
        <v>1233</v>
      </c>
      <c r="C39" s="183" t="s">
        <v>1206</v>
      </c>
      <c r="D39" s="183" t="s">
        <v>1225</v>
      </c>
      <c r="E39" s="184" t="s">
        <v>105</v>
      </c>
      <c r="F39" s="185" t="s">
        <v>15</v>
      </c>
      <c r="G39" s="185"/>
      <c r="H39" s="184" t="s">
        <v>751</v>
      </c>
      <c r="I39" s="189">
        <v>672.94</v>
      </c>
      <c r="J39" s="189"/>
      <c r="K39" s="187" t="s">
        <v>8</v>
      </c>
      <c r="L39" s="188">
        <v>831471.33</v>
      </c>
    </row>
    <row r="40" spans="1:12" ht="71.400000000000006" x14ac:dyDescent="0.3">
      <c r="A40" s="182" t="s">
        <v>187</v>
      </c>
      <c r="B40" s="183" t="s">
        <v>1233</v>
      </c>
      <c r="C40" s="183" t="s">
        <v>1206</v>
      </c>
      <c r="D40" s="183" t="s">
        <v>1229</v>
      </c>
      <c r="E40" s="184" t="s">
        <v>105</v>
      </c>
      <c r="F40" s="185" t="s">
        <v>15</v>
      </c>
      <c r="G40" s="185"/>
      <c r="H40" s="184" t="s">
        <v>751</v>
      </c>
      <c r="I40" s="189">
        <v>96.96</v>
      </c>
      <c r="J40" s="189"/>
      <c r="K40" s="187" t="s">
        <v>8</v>
      </c>
      <c r="L40" s="188">
        <v>831374.37</v>
      </c>
    </row>
    <row r="41" spans="1:12" ht="71.400000000000006" x14ac:dyDescent="0.3">
      <c r="A41" s="182" t="s">
        <v>187</v>
      </c>
      <c r="B41" s="183" t="s">
        <v>1233</v>
      </c>
      <c r="C41" s="183" t="s">
        <v>1206</v>
      </c>
      <c r="D41" s="183" t="s">
        <v>1220</v>
      </c>
      <c r="E41" s="184" t="s">
        <v>105</v>
      </c>
      <c r="F41" s="185" t="s">
        <v>15</v>
      </c>
      <c r="G41" s="185"/>
      <c r="H41" s="184" t="s">
        <v>751</v>
      </c>
      <c r="I41" s="189">
        <v>35.04</v>
      </c>
      <c r="J41" s="189"/>
      <c r="K41" s="187" t="s">
        <v>8</v>
      </c>
      <c r="L41" s="188">
        <v>831339.33</v>
      </c>
    </row>
    <row r="42" spans="1:12" ht="71.400000000000006" x14ac:dyDescent="0.3">
      <c r="A42" s="182" t="s">
        <v>187</v>
      </c>
      <c r="B42" s="183" t="s">
        <v>1233</v>
      </c>
      <c r="C42" s="183" t="s">
        <v>1206</v>
      </c>
      <c r="D42" s="183" t="s">
        <v>1225</v>
      </c>
      <c r="E42" s="184" t="s">
        <v>105</v>
      </c>
      <c r="F42" s="185" t="s">
        <v>15</v>
      </c>
      <c r="G42" s="185"/>
      <c r="H42" s="184" t="s">
        <v>751</v>
      </c>
      <c r="I42" s="189">
        <v>17.68</v>
      </c>
      <c r="J42" s="189"/>
      <c r="K42" s="187" t="s">
        <v>8</v>
      </c>
      <c r="L42" s="188">
        <v>831321.65</v>
      </c>
    </row>
    <row r="43" spans="1:12" hidden="1" x14ac:dyDescent="0.3">
      <c r="A43" s="192" t="s">
        <v>193</v>
      </c>
      <c r="B43" s="192"/>
      <c r="C43" s="192"/>
      <c r="D43" s="192"/>
      <c r="E43" s="193">
        <v>27300</v>
      </c>
      <c r="F43" s="193"/>
      <c r="G43" s="193"/>
      <c r="H43" s="193">
        <v>139466.74</v>
      </c>
      <c r="I43" s="193"/>
      <c r="J43" s="193"/>
      <c r="K43" s="194" t="s">
        <v>8</v>
      </c>
      <c r="L43" s="195">
        <v>831321.65</v>
      </c>
    </row>
    <row r="45" spans="1:12" x14ac:dyDescent="0.3">
      <c r="J45" s="29">
        <f>SUBTOTAL(9,I3:J42)</f>
        <v>89528.889999999985</v>
      </c>
    </row>
    <row r="46" spans="1:12" x14ac:dyDescent="0.3">
      <c r="J46" s="29">
        <f>J45*1.2</f>
        <v>107434.66799999998</v>
      </c>
    </row>
    <row r="47" spans="1:12" x14ac:dyDescent="0.3">
      <c r="J47" s="29"/>
    </row>
  </sheetData>
  <autoFilter ref="A1:L43" xr:uid="{0CDD79F0-851C-4563-A131-1FF539258AEE}">
    <filterColumn colId="1">
      <filters>
        <filter val="Вимога-накладна ІБ00-000977 від 10.10.2025 18:22:56_x000a_Списаны ТМЦ"/>
        <filter val="Вимога-накладна ІБ00-000991 від 23.10.2025 18:15:01_x000a_Списаны ТМЦ"/>
        <filter val="Вимога-накладна ІБ00-000997 від 30.10.2025 18:47:08_x000a_Списаны ТМЦ"/>
        <filter val="Списання товарів ІБ00-000603 від 23.10.2025 15:52:05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92">
    <mergeCell ref="A43:D43"/>
    <mergeCell ref="E43:G43"/>
    <mergeCell ref="H43:J43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МШП</vt:lpstr>
      <vt:lpstr>Тищенки</vt:lpstr>
      <vt:lpstr>Катеринополь</vt:lpstr>
      <vt:lpstr>Нежин</vt:lpstr>
      <vt:lpstr>Глобино</vt:lpstr>
      <vt:lpstr>Материалы</vt:lpstr>
      <vt:lpstr>Глобино-2(ЦКС)-сч205.1</vt:lpstr>
      <vt:lpstr>Глобино_Цех</vt:lpstr>
      <vt:lpstr>Глобино_общ</vt:lpstr>
      <vt:lpstr>Тищенки_м</vt:lpstr>
      <vt:lpstr>Катериноп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2025-11-23T14:12:02Z</dcterms:modified>
</cp:coreProperties>
</file>
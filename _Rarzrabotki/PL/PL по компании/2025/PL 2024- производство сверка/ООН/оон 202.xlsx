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TDSheet!$A$9:$N$52</definedName>
  </definedNames>
  <calcPr calcId="144525"/>
</workbook>
</file>

<file path=xl/calcChain.xml><?xml version="1.0" encoding="utf-8"?>
<calcChain xmlns="http://schemas.openxmlformats.org/spreadsheetml/2006/main">
  <c r="E56" i="1" l="1"/>
</calcChain>
</file>

<file path=xl/sharedStrings.xml><?xml version="1.0" encoding="utf-8"?>
<sst xmlns="http://schemas.openxmlformats.org/spreadsheetml/2006/main" count="348" uniqueCount="59">
  <si>
    <t>ТОВ "ІНДАСТРІАЛБУД"</t>
  </si>
  <si>
    <t>Картка рахунку 202 за 2024 р.</t>
  </si>
  <si>
    <t>Виведені дані:</t>
  </si>
  <si>
    <t>БО (дані бухгалтерського обліку)</t>
  </si>
  <si>
    <t>Відбір:</t>
  </si>
  <si>
    <t>Податк. призн. Дорівнює "Обл. НДС" и Склади Дорівнює "Цех МД ООН"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</si>
  <si>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</si>
  <si>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</si>
  <si>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</si>
  <si>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</si>
  <si>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</si>
  <si>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</si>
  <si>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</si>
  <si>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</si>
  <si>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</si>
  <si>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01.08.2024</t>
  </si>
  <si>
    <t>Комплектація номенклатури ІБ00-000013 від 01.08.2024 00:00:00
Комплектация</t>
  </si>
  <si>
    <t>Обл. НДС
Кутик 90*90 2мм
Комплектація номенклатури ІБ00-000013 від 01.08.2024 00:00:00
Цех МД ООН</t>
  </si>
  <si>
    <t>Обл. НДС
Труба 100*100*2 (6,05-8940:2019 08кп/1-3пс)
Надходження товарів і послуг ІБ00-000193 від 26.01.2024 17:45:11
Цех МД ООН</t>
  </si>
  <si>
    <t>202</t>
  </si>
  <si>
    <t>205</t>
  </si>
  <si>
    <t xml:space="preserve"> </t>
  </si>
  <si>
    <t>Д</t>
  </si>
  <si>
    <t>Обл. НДС
Труба 100*100*2 (6,05-8940:2019 08кп/1-3пс)
Надходження товарів і послуг ІБ00-000194 від 26.01.2024 17:45:12
Цех МД ООН</t>
  </si>
  <si>
    <t>Обл. НДС
Труба 100*100*2 (6,05-8940:2019 08кп/1-3пс)
Надходження товарів і послуг ІБ00-000260 від 02.02.2024 15:48:31
Цех МД ООН</t>
  </si>
  <si>
    <t>Комплектація номенклатури ІБ00-000014 від 01.08.2024 00:00:00
Комплектация</t>
  </si>
  <si>
    <t>Обл. НДС
Кутик 90*90 3мм
Комплектація номенклатури ІБ00-000014 від 01.08.2024 00:00:00
Цех МД ООН</t>
  </si>
  <si>
    <t>Обл. НДС
Труба 100*100*3 (12,05-8940:2019 08кп/1-3пс)
Надходження товарів і послуг ІБ00-000193 від 26.01.2024 17:45:11
Цех МД ООН</t>
  </si>
  <si>
    <t>Обл. НДС
Труба 100*100*3 (12,05-8940:2019 08кп/1-3пс)
Надходження товарів і послуг ІБ00-000194 від 26.01.2024 17:45:12
Цех МД ООН</t>
  </si>
  <si>
    <t>Комплектація номенклатури ІБ00-000015 від 01.08.2024 00:00:00
Комплектация</t>
  </si>
  <si>
    <t>Обл. НДС
Кутик 60*60*150 3мм
Комплектація номенклатури ІБ00-000015 від 01.08.2024 00:00:00
Цех МД ООН</t>
  </si>
  <si>
    <t>Обл. НДС
Труба 120х120х 3 (12,05- EN 10219 S235/S275) 
Надходження товарів і послуг ІБ00-000194 від 26.01.2024 17:45:12
Цех МД ООН</t>
  </si>
  <si>
    <t>08.11.2024</t>
  </si>
  <si>
    <t>Переміщення товарів ІБ00-000142 від 08.11.2024 12:00:40
Перемещение ТМЦ</t>
  </si>
  <si>
    <t>Обл. НДС
Кутик 60*60*150 3мм
Комплектація номенклатури ІБ00-000015 від 01.08.2024 00:00:00
Цех металоконструкцій</t>
  </si>
  <si>
    <t>29.11.2024</t>
  </si>
  <si>
    <t>Вимога-накладна ІБ00-000437 від 29.11.2024 00:00:00
Списаны ТМЦ</t>
  </si>
  <si>
    <t>Обл. НДС
Виробничий (Цех МД ООН)
Цех МД ООН
Прямі материальні виробничі витрати крім зворотніх відходів</t>
  </si>
  <si>
    <t>231</t>
  </si>
  <si>
    <t>Вимога-накладна ІБ00-000612 від 29.11.2024 22:59:59
Списаны ТМЦ</t>
  </si>
  <si>
    <t>Вимога-накладна ІБ00-000613 від 29.11.2024 22:59:59
Списаны ТМЦ</t>
  </si>
  <si>
    <t>Вимога-накладна ІБ00-000619 від 29.11.2024 22:59:59
Списаны ТМЦ</t>
  </si>
  <si>
    <t>Вимога-накладна ІБ00-000621 від 29.11.2024 23:00:00
Списаны ТМЦ</t>
  </si>
  <si>
    <t>Вимога-накладна ІБ00-000624 від 29.11.2024 23:10:00
Списаны ТМЦ</t>
  </si>
  <si>
    <t>Вимога-накладна ІБ00-000625 від 29.11.2024 23:11:00
Списаны ТМЦ</t>
  </si>
  <si>
    <t>16.12.2024</t>
  </si>
  <si>
    <t>Вимога-накладна ІБ00-000532 від 16.12.2024 00:00:00
Списаны ТМЦ</t>
  </si>
  <si>
    <t>Вимога-накладна ІБ00-000536 від 16.12.2024 00:00:01
Списаны ТМЦ</t>
  </si>
  <si>
    <t>Вимога-накладна ІБ00-000537 від 16.12.2024 00:00:02
Списаны ТМЦ</t>
  </si>
  <si>
    <t>Вимога-накладна ІБ00-000538 від 16.12.2024 00:00:03
Списаны ТМЦ</t>
  </si>
  <si>
    <t>Вимога-накладна ІБ00-000540 від 16.12.2024 00:00:04
Списаны ТМЦ</t>
  </si>
  <si>
    <t>Вимога-накладна ІБ00-000634 від 16.12.2024 18:00:39
Списаны ТМЦ</t>
  </si>
  <si>
    <t>Вимога-накладна ІБ00-000635 від 16.12.2024 18:00:40
Списаны ТМЦ</t>
  </si>
  <si>
    <t>Вимога-накладна ІБ00-000636 від 16.12.2024 18:00:42
Списаны ТМЦ</t>
  </si>
  <si>
    <t>Вимога-накладна ІБ00-000637 від 16.12.2024 18:00:43
Списаны ТМЦ</t>
  </si>
  <si>
    <t>Вимога-накладна ІБ00-000638 від 16.12.2024 18:00:44
Списаны ТМЦ</t>
  </si>
  <si>
    <t>Обороти за період та сальдо на кінець</t>
  </si>
  <si>
    <t>перемещения</t>
  </si>
  <si>
    <t>счет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</si>
</sst>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16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5" fillId="3" borderId="15" xfId="0" applyFont="1" applyFill="1" applyBorder="1" applyAlignment="1">
      <alignment horizontal="center" vertical="top"/>
    </xf>
    <xf numFmtId="4" fontId="0" fillId="0" borderId="0" xfId="0" applyNumberFormat="1" applyAlignment="1">
      <alignment horizontal="left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4" fontId="5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56"/>
  <sheetViews>
    <sheetView tabSelected="1" topLeftCell="A49" workbookViewId="0">
      <selection activeCell="M51" sqref="M51:N51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4" ht="16.05" customHeight="1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4" s="1" customFormat="1" ht="1.95" customHeight="1" x14ac:dyDescent="0.2"/>
    <row r="4" spans="1:14" ht="10.95" customHeight="1" x14ac:dyDescent="0.2">
      <c r="A4" s="24" t="s">
        <v>2</v>
      </c>
      <c r="B4" s="24"/>
      <c r="C4" s="24" t="s">
        <v>3</v>
      </c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4" s="1" customFormat="1" ht="1.95" customHeight="1" x14ac:dyDescent="0.2"/>
    <row r="6" spans="1:14" ht="10.95" customHeight="1" x14ac:dyDescent="0.2">
      <c r="A6" s="24" t="s">
        <v>4</v>
      </c>
      <c r="B6" s="24"/>
      <c r="C6" s="24" t="s">
        <v>5</v>
      </c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4" s="1" customFormat="1" ht="1.95" customHeight="1" x14ac:dyDescent="0.2"/>
    <row r="8" spans="1:14" ht="13.05" customHeight="1" x14ac:dyDescent="0.2">
      <c r="A8" s="25" t="s">
        <v>6</v>
      </c>
      <c r="B8" s="27" t="s">
        <v>7</v>
      </c>
      <c r="C8" s="27"/>
      <c r="D8" s="27" t="s">
        <v>8</v>
      </c>
      <c r="E8" s="30" t="s">
        <v>9</v>
      </c>
      <c r="F8" s="32" t="s">
        <v>10</v>
      </c>
      <c r="G8" s="32"/>
      <c r="H8" s="32"/>
      <c r="I8" s="33" t="s">
        <v>11</v>
      </c>
      <c r="J8" s="33"/>
      <c r="K8" s="33"/>
      <c r="L8" s="27" t="s">
        <v>12</v>
      </c>
      <c r="M8" s="27"/>
      <c r="N8" s="27"/>
    </row>
    <row r="9" spans="1:14" ht="13.05" customHeight="1" x14ac:dyDescent="0.2">
      <c r="A9" s="26"/>
      <c r="B9" s="26"/>
      <c r="C9" s="28"/>
      <c r="D9" s="29"/>
      <c r="E9" s="31"/>
      <c r="F9" s="2" t="s">
        <v>13</v>
      </c>
      <c r="G9" s="34"/>
      <c r="H9" s="34"/>
      <c r="I9" s="3" t="s">
        <v>13</v>
      </c>
      <c r="J9" s="35"/>
      <c r="K9" s="35"/>
      <c r="L9" s="26"/>
      <c r="M9" s="31"/>
      <c r="N9" s="28"/>
    </row>
    <row r="10" spans="1:14" ht="13.05" customHeight="1" x14ac:dyDescent="0.2">
      <c r="A10" s="19" t="s">
        <v>14</v>
      </c>
      <c r="B10" s="19"/>
      <c r="C10" s="19"/>
      <c r="D10" s="19"/>
      <c r="E10" s="19"/>
      <c r="F10" s="20"/>
      <c r="G10" s="20"/>
      <c r="H10" s="20"/>
      <c r="I10" s="20"/>
      <c r="J10" s="20"/>
      <c r="K10" s="20"/>
      <c r="L10" s="4"/>
      <c r="M10" s="21">
        <v>0</v>
      </c>
      <c r="N10" s="21"/>
    </row>
    <row r="11" spans="1:14" ht="100.05" customHeight="1" outlineLevel="1" x14ac:dyDescent="0.2">
      <c r="A11" s="5" t="s">
        <v>15</v>
      </c>
      <c r="B11" s="13" t="s">
        <v>16</v>
      </c>
      <c r="C11" s="13"/>
      <c r="D11" s="6" t="s">
        <v>17</v>
      </c>
      <c r="E11" s="6" t="s">
        <v>18</v>
      </c>
      <c r="F11" s="5" t="s">
        <v>19</v>
      </c>
      <c r="G11" s="16">
        <v>24545.94</v>
      </c>
      <c r="H11" s="16"/>
      <c r="I11" s="5" t="s">
        <v>20</v>
      </c>
      <c r="J11" s="17" t="s">
        <v>21</v>
      </c>
      <c r="K11" s="17"/>
      <c r="L11" s="7" t="s">
        <v>22</v>
      </c>
      <c r="M11" s="15">
        <v>24545.94</v>
      </c>
      <c r="N11" s="15"/>
    </row>
    <row r="12" spans="1:14" ht="100.05" customHeight="1" outlineLevel="1" x14ac:dyDescent="0.2">
      <c r="A12" s="5" t="s">
        <v>15</v>
      </c>
      <c r="B12" s="13" t="s">
        <v>16</v>
      </c>
      <c r="C12" s="13"/>
      <c r="D12" s="6" t="s">
        <v>17</v>
      </c>
      <c r="E12" s="6" t="s">
        <v>23</v>
      </c>
      <c r="F12" s="5" t="s">
        <v>19</v>
      </c>
      <c r="G12" s="16">
        <v>8065.09</v>
      </c>
      <c r="H12" s="16"/>
      <c r="I12" s="5" t="s">
        <v>20</v>
      </c>
      <c r="J12" s="17" t="s">
        <v>21</v>
      </c>
      <c r="K12" s="17"/>
      <c r="L12" s="7" t="s">
        <v>22</v>
      </c>
      <c r="M12" s="15">
        <v>32611.03</v>
      </c>
      <c r="N12" s="15"/>
    </row>
    <row r="13" spans="1:14" ht="100.05" customHeight="1" outlineLevel="1" x14ac:dyDescent="0.2">
      <c r="A13" s="5" t="s">
        <v>15</v>
      </c>
      <c r="B13" s="13" t="s">
        <v>16</v>
      </c>
      <c r="C13" s="13"/>
      <c r="D13" s="6" t="s">
        <v>17</v>
      </c>
      <c r="E13" s="6" t="s">
        <v>24</v>
      </c>
      <c r="F13" s="5" t="s">
        <v>19</v>
      </c>
      <c r="G13" s="16">
        <v>61364.82</v>
      </c>
      <c r="H13" s="16"/>
      <c r="I13" s="5" t="s">
        <v>20</v>
      </c>
      <c r="J13" s="17" t="s">
        <v>21</v>
      </c>
      <c r="K13" s="17"/>
      <c r="L13" s="7" t="s">
        <v>22</v>
      </c>
      <c r="M13" s="15">
        <v>93975.85</v>
      </c>
      <c r="N13" s="15"/>
    </row>
    <row r="14" spans="1:14" ht="100.05" customHeight="1" outlineLevel="1" x14ac:dyDescent="0.2">
      <c r="A14" s="5" t="s">
        <v>15</v>
      </c>
      <c r="B14" s="13" t="s">
        <v>25</v>
      </c>
      <c r="C14" s="13"/>
      <c r="D14" s="6" t="s">
        <v>26</v>
      </c>
      <c r="E14" s="6" t="s">
        <v>27</v>
      </c>
      <c r="F14" s="5" t="s">
        <v>19</v>
      </c>
      <c r="G14" s="16">
        <v>15428.88</v>
      </c>
      <c r="H14" s="16"/>
      <c r="I14" s="5" t="s">
        <v>20</v>
      </c>
      <c r="J14" s="17" t="s">
        <v>21</v>
      </c>
      <c r="K14" s="17"/>
      <c r="L14" s="7" t="s">
        <v>22</v>
      </c>
      <c r="M14" s="15">
        <v>109404.73</v>
      </c>
      <c r="N14" s="15"/>
    </row>
    <row r="15" spans="1:14" ht="100.05" customHeight="1" outlineLevel="1" x14ac:dyDescent="0.2">
      <c r="A15" s="5" t="s">
        <v>15</v>
      </c>
      <c r="B15" s="13" t="s">
        <v>25</v>
      </c>
      <c r="C15" s="13"/>
      <c r="D15" s="6" t="s">
        <v>26</v>
      </c>
      <c r="E15" s="6" t="s">
        <v>28</v>
      </c>
      <c r="F15" s="5" t="s">
        <v>19</v>
      </c>
      <c r="G15" s="16">
        <v>49723.03</v>
      </c>
      <c r="H15" s="16"/>
      <c r="I15" s="5" t="s">
        <v>20</v>
      </c>
      <c r="J15" s="17" t="s">
        <v>21</v>
      </c>
      <c r="K15" s="17"/>
      <c r="L15" s="7" t="s">
        <v>22</v>
      </c>
      <c r="M15" s="15">
        <v>159127.76</v>
      </c>
      <c r="N15" s="15"/>
    </row>
    <row r="16" spans="1:14" ht="100.05" customHeight="1" outlineLevel="1" x14ac:dyDescent="0.2">
      <c r="A16" s="5" t="s">
        <v>15</v>
      </c>
      <c r="B16" s="13" t="s">
        <v>29</v>
      </c>
      <c r="C16" s="13"/>
      <c r="D16" s="6" t="s">
        <v>30</v>
      </c>
      <c r="E16" s="6" t="s">
        <v>31</v>
      </c>
      <c r="F16" s="5" t="s">
        <v>19</v>
      </c>
      <c r="G16" s="16">
        <v>138509.16</v>
      </c>
      <c r="H16" s="16"/>
      <c r="I16" s="5" t="s">
        <v>20</v>
      </c>
      <c r="J16" s="17" t="s">
        <v>21</v>
      </c>
      <c r="K16" s="17"/>
      <c r="L16" s="7" t="s">
        <v>22</v>
      </c>
      <c r="M16" s="15">
        <v>297636.92</v>
      </c>
      <c r="N16" s="15"/>
    </row>
    <row r="17" spans="1:14" ht="88.95" customHeight="1" outlineLevel="1" x14ac:dyDescent="0.2">
      <c r="A17" s="5" t="s">
        <v>32</v>
      </c>
      <c r="B17" s="13" t="s">
        <v>33</v>
      </c>
      <c r="C17" s="13"/>
      <c r="D17" s="6" t="s">
        <v>34</v>
      </c>
      <c r="E17" s="6" t="s">
        <v>30</v>
      </c>
      <c r="F17" s="5" t="s">
        <v>19</v>
      </c>
      <c r="G17" s="14" t="s">
        <v>21</v>
      </c>
      <c r="H17" s="14"/>
      <c r="I17" s="5" t="s">
        <v>19</v>
      </c>
      <c r="J17" s="18">
        <v>491.06</v>
      </c>
      <c r="K17" s="18"/>
      <c r="L17" s="7" t="s">
        <v>22</v>
      </c>
      <c r="M17" s="15">
        <v>297145.86</v>
      </c>
      <c r="N17" s="15"/>
    </row>
    <row r="18" spans="1:14" ht="88.95" customHeight="1" outlineLevel="1" x14ac:dyDescent="0.2">
      <c r="A18" s="5" t="s">
        <v>35</v>
      </c>
      <c r="B18" s="13" t="s">
        <v>36</v>
      </c>
      <c r="C18" s="13"/>
      <c r="D18" s="6" t="s">
        <v>37</v>
      </c>
      <c r="E18" s="6" t="s">
        <v>30</v>
      </c>
      <c r="F18" s="5" t="s">
        <v>38</v>
      </c>
      <c r="G18" s="14" t="s">
        <v>21</v>
      </c>
      <c r="H18" s="14"/>
      <c r="I18" s="5" t="s">
        <v>19</v>
      </c>
      <c r="J18" s="15">
        <v>2368.67</v>
      </c>
      <c r="K18" s="15"/>
      <c r="L18" s="7" t="s">
        <v>22</v>
      </c>
      <c r="M18" s="15">
        <v>294777.19</v>
      </c>
      <c r="N18" s="15"/>
    </row>
    <row r="19" spans="1:14" ht="88.95" customHeight="1" outlineLevel="1" x14ac:dyDescent="0.2">
      <c r="A19" s="5" t="s">
        <v>35</v>
      </c>
      <c r="B19" s="13" t="s">
        <v>36</v>
      </c>
      <c r="C19" s="13"/>
      <c r="D19" s="6" t="s">
        <v>37</v>
      </c>
      <c r="E19" s="6" t="s">
        <v>26</v>
      </c>
      <c r="F19" s="5" t="s">
        <v>38</v>
      </c>
      <c r="G19" s="14" t="s">
        <v>21</v>
      </c>
      <c r="H19" s="14"/>
      <c r="I19" s="5" t="s">
        <v>19</v>
      </c>
      <c r="J19" s="15">
        <v>3166.81</v>
      </c>
      <c r="K19" s="15"/>
      <c r="L19" s="7" t="s">
        <v>22</v>
      </c>
      <c r="M19" s="15">
        <v>291610.38</v>
      </c>
      <c r="N19" s="15"/>
    </row>
    <row r="20" spans="1:14" ht="88.95" customHeight="1" outlineLevel="1" x14ac:dyDescent="0.2">
      <c r="A20" s="5" t="s">
        <v>35</v>
      </c>
      <c r="B20" s="13" t="s">
        <v>39</v>
      </c>
      <c r="C20" s="13"/>
      <c r="D20" s="6" t="s">
        <v>37</v>
      </c>
      <c r="E20" s="6" t="s">
        <v>30</v>
      </c>
      <c r="F20" s="5" t="s">
        <v>38</v>
      </c>
      <c r="G20" s="14" t="s">
        <v>21</v>
      </c>
      <c r="H20" s="14"/>
      <c r="I20" s="5" t="s">
        <v>19</v>
      </c>
      <c r="J20" s="15">
        <v>2368.67</v>
      </c>
      <c r="K20" s="15"/>
      <c r="L20" s="7" t="s">
        <v>22</v>
      </c>
      <c r="M20" s="15">
        <v>289241.71000000002</v>
      </c>
      <c r="N20" s="15"/>
    </row>
    <row r="21" spans="1:14" ht="88.95" customHeight="1" outlineLevel="1" x14ac:dyDescent="0.2">
      <c r="A21" s="5" t="s">
        <v>35</v>
      </c>
      <c r="B21" s="13" t="s">
        <v>39</v>
      </c>
      <c r="C21" s="13"/>
      <c r="D21" s="6" t="s">
        <v>37</v>
      </c>
      <c r="E21" s="6" t="s">
        <v>26</v>
      </c>
      <c r="F21" s="5" t="s">
        <v>38</v>
      </c>
      <c r="G21" s="14" t="s">
        <v>21</v>
      </c>
      <c r="H21" s="14"/>
      <c r="I21" s="5" t="s">
        <v>19</v>
      </c>
      <c r="J21" s="15">
        <v>3166.81</v>
      </c>
      <c r="K21" s="15"/>
      <c r="L21" s="7" t="s">
        <v>22</v>
      </c>
      <c r="M21" s="15">
        <v>286074.90000000002</v>
      </c>
      <c r="N21" s="15"/>
    </row>
    <row r="22" spans="1:14" ht="88.95" customHeight="1" outlineLevel="1" x14ac:dyDescent="0.2">
      <c r="A22" s="5" t="s">
        <v>35</v>
      </c>
      <c r="B22" s="13" t="s">
        <v>40</v>
      </c>
      <c r="C22" s="13"/>
      <c r="D22" s="6" t="s">
        <v>37</v>
      </c>
      <c r="E22" s="6" t="s">
        <v>30</v>
      </c>
      <c r="F22" s="5" t="s">
        <v>38</v>
      </c>
      <c r="G22" s="14" t="s">
        <v>21</v>
      </c>
      <c r="H22" s="14"/>
      <c r="I22" s="5" t="s">
        <v>19</v>
      </c>
      <c r="J22" s="15">
        <v>2368.67</v>
      </c>
      <c r="K22" s="15"/>
      <c r="L22" s="7" t="s">
        <v>22</v>
      </c>
      <c r="M22" s="15">
        <v>283706.23</v>
      </c>
      <c r="N22" s="15"/>
    </row>
    <row r="23" spans="1:14" ht="88.95" customHeight="1" outlineLevel="1" x14ac:dyDescent="0.2">
      <c r="A23" s="5" t="s">
        <v>35</v>
      </c>
      <c r="B23" s="13" t="s">
        <v>40</v>
      </c>
      <c r="C23" s="13"/>
      <c r="D23" s="6" t="s">
        <v>37</v>
      </c>
      <c r="E23" s="6" t="s">
        <v>26</v>
      </c>
      <c r="F23" s="5" t="s">
        <v>38</v>
      </c>
      <c r="G23" s="14" t="s">
        <v>21</v>
      </c>
      <c r="H23" s="14"/>
      <c r="I23" s="5" t="s">
        <v>19</v>
      </c>
      <c r="J23" s="15">
        <v>3166.81</v>
      </c>
      <c r="K23" s="15"/>
      <c r="L23" s="7" t="s">
        <v>22</v>
      </c>
      <c r="M23" s="15">
        <v>280539.42</v>
      </c>
      <c r="N23" s="15"/>
    </row>
    <row r="24" spans="1:14" ht="88.95" customHeight="1" outlineLevel="1" x14ac:dyDescent="0.2">
      <c r="A24" s="5" t="s">
        <v>35</v>
      </c>
      <c r="B24" s="13" t="s">
        <v>41</v>
      </c>
      <c r="C24" s="13"/>
      <c r="D24" s="6" t="s">
        <v>37</v>
      </c>
      <c r="E24" s="6" t="s">
        <v>30</v>
      </c>
      <c r="F24" s="5" t="s">
        <v>38</v>
      </c>
      <c r="G24" s="14" t="s">
        <v>21</v>
      </c>
      <c r="H24" s="14"/>
      <c r="I24" s="5" t="s">
        <v>19</v>
      </c>
      <c r="J24" s="15">
        <v>2368.67</v>
      </c>
      <c r="K24" s="15"/>
      <c r="L24" s="7" t="s">
        <v>22</v>
      </c>
      <c r="M24" s="15">
        <v>278170.75</v>
      </c>
      <c r="N24" s="15"/>
    </row>
    <row r="25" spans="1:14" ht="88.95" customHeight="1" outlineLevel="1" x14ac:dyDescent="0.2">
      <c r="A25" s="5" t="s">
        <v>35</v>
      </c>
      <c r="B25" s="13" t="s">
        <v>41</v>
      </c>
      <c r="C25" s="13"/>
      <c r="D25" s="6" t="s">
        <v>37</v>
      </c>
      <c r="E25" s="6" t="s">
        <v>26</v>
      </c>
      <c r="F25" s="5" t="s">
        <v>38</v>
      </c>
      <c r="G25" s="14" t="s">
        <v>21</v>
      </c>
      <c r="H25" s="14"/>
      <c r="I25" s="5" t="s">
        <v>19</v>
      </c>
      <c r="J25" s="15">
        <v>3166.81</v>
      </c>
      <c r="K25" s="15"/>
      <c r="L25" s="7" t="s">
        <v>22</v>
      </c>
      <c r="M25" s="15">
        <v>275003.94</v>
      </c>
      <c r="N25" s="15"/>
    </row>
    <row r="26" spans="1:14" ht="88.95" customHeight="1" outlineLevel="1" x14ac:dyDescent="0.2">
      <c r="A26" s="5" t="s">
        <v>35</v>
      </c>
      <c r="B26" s="13" t="s">
        <v>42</v>
      </c>
      <c r="C26" s="13"/>
      <c r="D26" s="6" t="s">
        <v>37</v>
      </c>
      <c r="E26" s="6" t="s">
        <v>30</v>
      </c>
      <c r="F26" s="5" t="s">
        <v>38</v>
      </c>
      <c r="G26" s="14" t="s">
        <v>21</v>
      </c>
      <c r="H26" s="14"/>
      <c r="I26" s="5" t="s">
        <v>19</v>
      </c>
      <c r="J26" s="15">
        <v>2368.67</v>
      </c>
      <c r="K26" s="15"/>
      <c r="L26" s="7" t="s">
        <v>22</v>
      </c>
      <c r="M26" s="15">
        <v>272635.27</v>
      </c>
      <c r="N26" s="15"/>
    </row>
    <row r="27" spans="1:14" ht="88.95" customHeight="1" outlineLevel="1" x14ac:dyDescent="0.2">
      <c r="A27" s="5" t="s">
        <v>35</v>
      </c>
      <c r="B27" s="13" t="s">
        <v>42</v>
      </c>
      <c r="C27" s="13"/>
      <c r="D27" s="6" t="s">
        <v>37</v>
      </c>
      <c r="E27" s="6" t="s">
        <v>26</v>
      </c>
      <c r="F27" s="5" t="s">
        <v>38</v>
      </c>
      <c r="G27" s="14" t="s">
        <v>21</v>
      </c>
      <c r="H27" s="14"/>
      <c r="I27" s="5" t="s">
        <v>19</v>
      </c>
      <c r="J27" s="15">
        <v>3166.81</v>
      </c>
      <c r="K27" s="15"/>
      <c r="L27" s="7" t="s">
        <v>22</v>
      </c>
      <c r="M27" s="15">
        <v>269468.46000000002</v>
      </c>
      <c r="N27" s="15"/>
    </row>
    <row r="28" spans="1:14" ht="88.95" customHeight="1" outlineLevel="1" x14ac:dyDescent="0.2">
      <c r="A28" s="5" t="s">
        <v>35</v>
      </c>
      <c r="B28" s="13" t="s">
        <v>43</v>
      </c>
      <c r="C28" s="13"/>
      <c r="D28" s="6" t="s">
        <v>37</v>
      </c>
      <c r="E28" s="6" t="s">
        <v>30</v>
      </c>
      <c r="F28" s="5" t="s">
        <v>38</v>
      </c>
      <c r="G28" s="14" t="s">
        <v>21</v>
      </c>
      <c r="H28" s="14"/>
      <c r="I28" s="5" t="s">
        <v>19</v>
      </c>
      <c r="J28" s="15">
        <v>2368.67</v>
      </c>
      <c r="K28" s="15"/>
      <c r="L28" s="7" t="s">
        <v>22</v>
      </c>
      <c r="M28" s="15">
        <v>267099.78999999998</v>
      </c>
      <c r="N28" s="15"/>
    </row>
    <row r="29" spans="1:14" ht="88.95" customHeight="1" outlineLevel="1" x14ac:dyDescent="0.2">
      <c r="A29" s="5" t="s">
        <v>35</v>
      </c>
      <c r="B29" s="13" t="s">
        <v>43</v>
      </c>
      <c r="C29" s="13"/>
      <c r="D29" s="6" t="s">
        <v>37</v>
      </c>
      <c r="E29" s="6" t="s">
        <v>26</v>
      </c>
      <c r="F29" s="5" t="s">
        <v>38</v>
      </c>
      <c r="G29" s="14" t="s">
        <v>21</v>
      </c>
      <c r="H29" s="14"/>
      <c r="I29" s="5" t="s">
        <v>19</v>
      </c>
      <c r="J29" s="15">
        <v>3166.81</v>
      </c>
      <c r="K29" s="15"/>
      <c r="L29" s="7" t="s">
        <v>22</v>
      </c>
      <c r="M29" s="15">
        <v>263932.98</v>
      </c>
      <c r="N29" s="15"/>
    </row>
    <row r="30" spans="1:14" ht="88.95" customHeight="1" outlineLevel="1" x14ac:dyDescent="0.2">
      <c r="A30" s="5" t="s">
        <v>35</v>
      </c>
      <c r="B30" s="13" t="s">
        <v>44</v>
      </c>
      <c r="C30" s="13"/>
      <c r="D30" s="6" t="s">
        <v>37</v>
      </c>
      <c r="E30" s="6" t="s">
        <v>30</v>
      </c>
      <c r="F30" s="5" t="s">
        <v>38</v>
      </c>
      <c r="G30" s="14" t="s">
        <v>21</v>
      </c>
      <c r="H30" s="14"/>
      <c r="I30" s="5" t="s">
        <v>19</v>
      </c>
      <c r="J30" s="15">
        <v>2368.67</v>
      </c>
      <c r="K30" s="15"/>
      <c r="L30" s="7" t="s">
        <v>22</v>
      </c>
      <c r="M30" s="15">
        <v>261564.31</v>
      </c>
      <c r="N30" s="15"/>
    </row>
    <row r="31" spans="1:14" ht="88.95" customHeight="1" outlineLevel="1" x14ac:dyDescent="0.2">
      <c r="A31" s="5" t="s">
        <v>35</v>
      </c>
      <c r="B31" s="13" t="s">
        <v>44</v>
      </c>
      <c r="C31" s="13"/>
      <c r="D31" s="6" t="s">
        <v>37</v>
      </c>
      <c r="E31" s="6" t="s">
        <v>26</v>
      </c>
      <c r="F31" s="5" t="s">
        <v>38</v>
      </c>
      <c r="G31" s="14" t="s">
        <v>21</v>
      </c>
      <c r="H31" s="14"/>
      <c r="I31" s="5" t="s">
        <v>19</v>
      </c>
      <c r="J31" s="15">
        <v>3166.81</v>
      </c>
      <c r="K31" s="15"/>
      <c r="L31" s="7" t="s">
        <v>22</v>
      </c>
      <c r="M31" s="15">
        <v>258397.5</v>
      </c>
      <c r="N31" s="15"/>
    </row>
    <row r="32" spans="1:14" ht="88.95" customHeight="1" outlineLevel="1" x14ac:dyDescent="0.2">
      <c r="A32" s="5" t="s">
        <v>45</v>
      </c>
      <c r="B32" s="13" t="s">
        <v>46</v>
      </c>
      <c r="C32" s="13"/>
      <c r="D32" s="6" t="s">
        <v>37</v>
      </c>
      <c r="E32" s="6" t="s">
        <v>30</v>
      </c>
      <c r="F32" s="5" t="s">
        <v>38</v>
      </c>
      <c r="G32" s="14" t="s">
        <v>21</v>
      </c>
      <c r="H32" s="14"/>
      <c r="I32" s="5" t="s">
        <v>19</v>
      </c>
      <c r="J32" s="15">
        <v>2368.66</v>
      </c>
      <c r="K32" s="15"/>
      <c r="L32" s="7" t="s">
        <v>22</v>
      </c>
      <c r="M32" s="15">
        <v>256028.84</v>
      </c>
      <c r="N32" s="15"/>
    </row>
    <row r="33" spans="1:14" ht="88.95" customHeight="1" outlineLevel="1" x14ac:dyDescent="0.2">
      <c r="A33" s="5" t="s">
        <v>45</v>
      </c>
      <c r="B33" s="13" t="s">
        <v>46</v>
      </c>
      <c r="C33" s="13"/>
      <c r="D33" s="6" t="s">
        <v>37</v>
      </c>
      <c r="E33" s="6" t="s">
        <v>26</v>
      </c>
      <c r="F33" s="5" t="s">
        <v>38</v>
      </c>
      <c r="G33" s="14" t="s">
        <v>21</v>
      </c>
      <c r="H33" s="14"/>
      <c r="I33" s="5" t="s">
        <v>19</v>
      </c>
      <c r="J33" s="15">
        <v>3166.82</v>
      </c>
      <c r="K33" s="15"/>
      <c r="L33" s="7" t="s">
        <v>22</v>
      </c>
      <c r="M33" s="15">
        <v>252862.02</v>
      </c>
      <c r="N33" s="15"/>
    </row>
    <row r="34" spans="1:14" ht="88.95" customHeight="1" outlineLevel="1" x14ac:dyDescent="0.2">
      <c r="A34" s="5" t="s">
        <v>45</v>
      </c>
      <c r="B34" s="13" t="s">
        <v>47</v>
      </c>
      <c r="C34" s="13"/>
      <c r="D34" s="6" t="s">
        <v>37</v>
      </c>
      <c r="E34" s="6" t="s">
        <v>30</v>
      </c>
      <c r="F34" s="5" t="s">
        <v>38</v>
      </c>
      <c r="G34" s="14" t="s">
        <v>21</v>
      </c>
      <c r="H34" s="14"/>
      <c r="I34" s="5" t="s">
        <v>19</v>
      </c>
      <c r="J34" s="15">
        <v>2368.67</v>
      </c>
      <c r="K34" s="15"/>
      <c r="L34" s="7" t="s">
        <v>22</v>
      </c>
      <c r="M34" s="15">
        <v>250493.35</v>
      </c>
      <c r="N34" s="15"/>
    </row>
    <row r="35" spans="1:14" ht="88.95" customHeight="1" outlineLevel="1" x14ac:dyDescent="0.2">
      <c r="A35" s="5" t="s">
        <v>45</v>
      </c>
      <c r="B35" s="13" t="s">
        <v>47</v>
      </c>
      <c r="C35" s="13"/>
      <c r="D35" s="6" t="s">
        <v>37</v>
      </c>
      <c r="E35" s="6" t="s">
        <v>26</v>
      </c>
      <c r="F35" s="5" t="s">
        <v>38</v>
      </c>
      <c r="G35" s="14" t="s">
        <v>21</v>
      </c>
      <c r="H35" s="14"/>
      <c r="I35" s="5" t="s">
        <v>19</v>
      </c>
      <c r="J35" s="15">
        <v>3166.81</v>
      </c>
      <c r="K35" s="15"/>
      <c r="L35" s="7" t="s">
        <v>22</v>
      </c>
      <c r="M35" s="15">
        <v>247326.54</v>
      </c>
      <c r="N35" s="15"/>
    </row>
    <row r="36" spans="1:14" ht="88.95" customHeight="1" outlineLevel="1" x14ac:dyDescent="0.2">
      <c r="A36" s="5" t="s">
        <v>45</v>
      </c>
      <c r="B36" s="13" t="s">
        <v>48</v>
      </c>
      <c r="C36" s="13"/>
      <c r="D36" s="6" t="s">
        <v>37</v>
      </c>
      <c r="E36" s="6" t="s">
        <v>30</v>
      </c>
      <c r="F36" s="5" t="s">
        <v>38</v>
      </c>
      <c r="G36" s="14" t="s">
        <v>21</v>
      </c>
      <c r="H36" s="14"/>
      <c r="I36" s="5" t="s">
        <v>19</v>
      </c>
      <c r="J36" s="15">
        <v>2368.66</v>
      </c>
      <c r="K36" s="15"/>
      <c r="L36" s="7" t="s">
        <v>22</v>
      </c>
      <c r="M36" s="15">
        <v>244957.88</v>
      </c>
      <c r="N36" s="15"/>
    </row>
    <row r="37" spans="1:14" ht="88.95" customHeight="1" outlineLevel="1" x14ac:dyDescent="0.2">
      <c r="A37" s="5" t="s">
        <v>45</v>
      </c>
      <c r="B37" s="13" t="s">
        <v>48</v>
      </c>
      <c r="C37" s="13"/>
      <c r="D37" s="6" t="s">
        <v>37</v>
      </c>
      <c r="E37" s="6" t="s">
        <v>26</v>
      </c>
      <c r="F37" s="5" t="s">
        <v>38</v>
      </c>
      <c r="G37" s="14" t="s">
        <v>21</v>
      </c>
      <c r="H37" s="14"/>
      <c r="I37" s="5" t="s">
        <v>19</v>
      </c>
      <c r="J37" s="15">
        <v>3166.82</v>
      </c>
      <c r="K37" s="15"/>
      <c r="L37" s="7" t="s">
        <v>22</v>
      </c>
      <c r="M37" s="15">
        <v>241791.06</v>
      </c>
      <c r="N37" s="15"/>
    </row>
    <row r="38" spans="1:14" ht="88.95" customHeight="1" outlineLevel="1" x14ac:dyDescent="0.2">
      <c r="A38" s="5" t="s">
        <v>45</v>
      </c>
      <c r="B38" s="13" t="s">
        <v>49</v>
      </c>
      <c r="C38" s="13"/>
      <c r="D38" s="6" t="s">
        <v>37</v>
      </c>
      <c r="E38" s="6" t="s">
        <v>30</v>
      </c>
      <c r="F38" s="5" t="s">
        <v>38</v>
      </c>
      <c r="G38" s="14" t="s">
        <v>21</v>
      </c>
      <c r="H38" s="14"/>
      <c r="I38" s="5" t="s">
        <v>19</v>
      </c>
      <c r="J38" s="15">
        <v>2368.67</v>
      </c>
      <c r="K38" s="15"/>
      <c r="L38" s="7" t="s">
        <v>22</v>
      </c>
      <c r="M38" s="15">
        <v>239422.39</v>
      </c>
      <c r="N38" s="15"/>
    </row>
    <row r="39" spans="1:14" ht="88.95" customHeight="1" outlineLevel="1" x14ac:dyDescent="0.2">
      <c r="A39" s="5" t="s">
        <v>45</v>
      </c>
      <c r="B39" s="13" t="s">
        <v>49</v>
      </c>
      <c r="C39" s="13"/>
      <c r="D39" s="6" t="s">
        <v>37</v>
      </c>
      <c r="E39" s="6" t="s">
        <v>26</v>
      </c>
      <c r="F39" s="5" t="s">
        <v>38</v>
      </c>
      <c r="G39" s="14" t="s">
        <v>21</v>
      </c>
      <c r="H39" s="14"/>
      <c r="I39" s="5" t="s">
        <v>19</v>
      </c>
      <c r="J39" s="15">
        <v>3166.81</v>
      </c>
      <c r="K39" s="15"/>
      <c r="L39" s="7" t="s">
        <v>22</v>
      </c>
      <c r="M39" s="15">
        <v>236255.58</v>
      </c>
      <c r="N39" s="15"/>
    </row>
    <row r="40" spans="1:14" ht="88.95" customHeight="1" outlineLevel="1" x14ac:dyDescent="0.2">
      <c r="A40" s="5" t="s">
        <v>45</v>
      </c>
      <c r="B40" s="13" t="s">
        <v>50</v>
      </c>
      <c r="C40" s="13"/>
      <c r="D40" s="6" t="s">
        <v>37</v>
      </c>
      <c r="E40" s="6" t="s">
        <v>30</v>
      </c>
      <c r="F40" s="5" t="s">
        <v>38</v>
      </c>
      <c r="G40" s="14" t="s">
        <v>21</v>
      </c>
      <c r="H40" s="14"/>
      <c r="I40" s="5" t="s">
        <v>19</v>
      </c>
      <c r="J40" s="15">
        <v>2368.66</v>
      </c>
      <c r="K40" s="15"/>
      <c r="L40" s="7" t="s">
        <v>22</v>
      </c>
      <c r="M40" s="15">
        <v>233886.92</v>
      </c>
      <c r="N40" s="15"/>
    </row>
    <row r="41" spans="1:14" ht="88.95" customHeight="1" outlineLevel="1" x14ac:dyDescent="0.2">
      <c r="A41" s="5" t="s">
        <v>45</v>
      </c>
      <c r="B41" s="13" t="s">
        <v>50</v>
      </c>
      <c r="C41" s="13"/>
      <c r="D41" s="6" t="s">
        <v>37</v>
      </c>
      <c r="E41" s="6" t="s">
        <v>26</v>
      </c>
      <c r="F41" s="5" t="s">
        <v>38</v>
      </c>
      <c r="G41" s="14" t="s">
        <v>21</v>
      </c>
      <c r="H41" s="14"/>
      <c r="I41" s="5" t="s">
        <v>19</v>
      </c>
      <c r="J41" s="15">
        <v>3166.82</v>
      </c>
      <c r="K41" s="15"/>
      <c r="L41" s="7" t="s">
        <v>22</v>
      </c>
      <c r="M41" s="15">
        <v>230720.1</v>
      </c>
      <c r="N41" s="15"/>
    </row>
    <row r="42" spans="1:14" ht="88.95" customHeight="1" outlineLevel="1" x14ac:dyDescent="0.2">
      <c r="A42" s="5" t="s">
        <v>45</v>
      </c>
      <c r="B42" s="13" t="s">
        <v>51</v>
      </c>
      <c r="C42" s="13"/>
      <c r="D42" s="6" t="s">
        <v>37</v>
      </c>
      <c r="E42" s="6" t="s">
        <v>30</v>
      </c>
      <c r="F42" s="5" t="s">
        <v>38</v>
      </c>
      <c r="G42" s="14" t="s">
        <v>21</v>
      </c>
      <c r="H42" s="14"/>
      <c r="I42" s="5" t="s">
        <v>19</v>
      </c>
      <c r="J42" s="15">
        <v>2368.67</v>
      </c>
      <c r="K42" s="15"/>
      <c r="L42" s="7" t="s">
        <v>22</v>
      </c>
      <c r="M42" s="15">
        <v>228351.43</v>
      </c>
      <c r="N42" s="15"/>
    </row>
    <row r="43" spans="1:14" ht="88.95" customHeight="1" outlineLevel="1" x14ac:dyDescent="0.2">
      <c r="A43" s="5" t="s">
        <v>45</v>
      </c>
      <c r="B43" s="13" t="s">
        <v>51</v>
      </c>
      <c r="C43" s="13"/>
      <c r="D43" s="6" t="s">
        <v>37</v>
      </c>
      <c r="E43" s="6" t="s">
        <v>26</v>
      </c>
      <c r="F43" s="5" t="s">
        <v>38</v>
      </c>
      <c r="G43" s="14" t="s">
        <v>21</v>
      </c>
      <c r="H43" s="14"/>
      <c r="I43" s="5" t="s">
        <v>19</v>
      </c>
      <c r="J43" s="15">
        <v>3166.81</v>
      </c>
      <c r="K43" s="15"/>
      <c r="L43" s="7" t="s">
        <v>22</v>
      </c>
      <c r="M43" s="15">
        <v>225184.62</v>
      </c>
      <c r="N43" s="15"/>
    </row>
    <row r="44" spans="1:14" ht="88.95" customHeight="1" outlineLevel="1" x14ac:dyDescent="0.2">
      <c r="A44" s="5" t="s">
        <v>45</v>
      </c>
      <c r="B44" s="13" t="s">
        <v>52</v>
      </c>
      <c r="C44" s="13"/>
      <c r="D44" s="6" t="s">
        <v>37</v>
      </c>
      <c r="E44" s="6" t="s">
        <v>30</v>
      </c>
      <c r="F44" s="5" t="s">
        <v>38</v>
      </c>
      <c r="G44" s="14" t="s">
        <v>21</v>
      </c>
      <c r="H44" s="14"/>
      <c r="I44" s="5" t="s">
        <v>19</v>
      </c>
      <c r="J44" s="15">
        <v>2368.66</v>
      </c>
      <c r="K44" s="15"/>
      <c r="L44" s="7" t="s">
        <v>22</v>
      </c>
      <c r="M44" s="15">
        <v>222815.96</v>
      </c>
      <c r="N44" s="15"/>
    </row>
    <row r="45" spans="1:14" ht="88.95" customHeight="1" outlineLevel="1" x14ac:dyDescent="0.2">
      <c r="A45" s="5" t="s">
        <v>45</v>
      </c>
      <c r="B45" s="13" t="s">
        <v>52</v>
      </c>
      <c r="C45" s="13"/>
      <c r="D45" s="6" t="s">
        <v>37</v>
      </c>
      <c r="E45" s="6" t="s">
        <v>26</v>
      </c>
      <c r="F45" s="5" t="s">
        <v>38</v>
      </c>
      <c r="G45" s="14" t="s">
        <v>21</v>
      </c>
      <c r="H45" s="14"/>
      <c r="I45" s="5" t="s">
        <v>19</v>
      </c>
      <c r="J45" s="15">
        <v>3166.82</v>
      </c>
      <c r="K45" s="15"/>
      <c r="L45" s="7" t="s">
        <v>22</v>
      </c>
      <c r="M45" s="15">
        <v>219649.14</v>
      </c>
      <c r="N45" s="15"/>
    </row>
    <row r="46" spans="1:14" ht="88.95" customHeight="1" outlineLevel="1" x14ac:dyDescent="0.2">
      <c r="A46" s="5" t="s">
        <v>45</v>
      </c>
      <c r="B46" s="13" t="s">
        <v>53</v>
      </c>
      <c r="C46" s="13"/>
      <c r="D46" s="6" t="s">
        <v>37</v>
      </c>
      <c r="E46" s="6" t="s">
        <v>30</v>
      </c>
      <c r="F46" s="5" t="s">
        <v>38</v>
      </c>
      <c r="G46" s="14" t="s">
        <v>21</v>
      </c>
      <c r="H46" s="14"/>
      <c r="I46" s="5" t="s">
        <v>19</v>
      </c>
      <c r="J46" s="15">
        <v>2368.67</v>
      </c>
      <c r="K46" s="15"/>
      <c r="L46" s="7" t="s">
        <v>22</v>
      </c>
      <c r="M46" s="15">
        <v>217280.47</v>
      </c>
      <c r="N46" s="15"/>
    </row>
    <row r="47" spans="1:14" ht="88.95" customHeight="1" outlineLevel="1" x14ac:dyDescent="0.2">
      <c r="A47" s="5" t="s">
        <v>45</v>
      </c>
      <c r="B47" s="13" t="s">
        <v>53</v>
      </c>
      <c r="C47" s="13"/>
      <c r="D47" s="6" t="s">
        <v>37</v>
      </c>
      <c r="E47" s="6" t="s">
        <v>26</v>
      </c>
      <c r="F47" s="5" t="s">
        <v>38</v>
      </c>
      <c r="G47" s="14" t="s">
        <v>21</v>
      </c>
      <c r="H47" s="14"/>
      <c r="I47" s="5" t="s">
        <v>19</v>
      </c>
      <c r="J47" s="15">
        <v>3166.81</v>
      </c>
      <c r="K47" s="15"/>
      <c r="L47" s="7" t="s">
        <v>22</v>
      </c>
      <c r="M47" s="15">
        <v>214113.66</v>
      </c>
      <c r="N47" s="15"/>
    </row>
    <row r="48" spans="1:14" ht="88.95" customHeight="1" outlineLevel="1" x14ac:dyDescent="0.2">
      <c r="A48" s="5" t="s">
        <v>45</v>
      </c>
      <c r="B48" s="13" t="s">
        <v>54</v>
      </c>
      <c r="C48" s="13"/>
      <c r="D48" s="6" t="s">
        <v>37</v>
      </c>
      <c r="E48" s="6" t="s">
        <v>30</v>
      </c>
      <c r="F48" s="5" t="s">
        <v>38</v>
      </c>
      <c r="G48" s="14" t="s">
        <v>21</v>
      </c>
      <c r="H48" s="14"/>
      <c r="I48" s="5" t="s">
        <v>19</v>
      </c>
      <c r="J48" s="15">
        <v>2368.66</v>
      </c>
      <c r="K48" s="15"/>
      <c r="L48" s="7" t="s">
        <v>22</v>
      </c>
      <c r="M48" s="15">
        <v>211745</v>
      </c>
      <c r="N48" s="15"/>
    </row>
    <row r="49" spans="1:14" ht="88.95" customHeight="1" outlineLevel="1" x14ac:dyDescent="0.2">
      <c r="A49" s="5" t="s">
        <v>45</v>
      </c>
      <c r="B49" s="13" t="s">
        <v>54</v>
      </c>
      <c r="C49" s="13"/>
      <c r="D49" s="6" t="s">
        <v>37</v>
      </c>
      <c r="E49" s="6" t="s">
        <v>26</v>
      </c>
      <c r="F49" s="5" t="s">
        <v>38</v>
      </c>
      <c r="G49" s="14" t="s">
        <v>21</v>
      </c>
      <c r="H49" s="14"/>
      <c r="I49" s="5" t="s">
        <v>19</v>
      </c>
      <c r="J49" s="15">
        <v>3166.82</v>
      </c>
      <c r="K49" s="15"/>
      <c r="L49" s="7" t="s">
        <v>22</v>
      </c>
      <c r="M49" s="15">
        <v>208578.18</v>
      </c>
      <c r="N49" s="15"/>
    </row>
    <row r="50" spans="1:14" ht="88.95" customHeight="1" outlineLevel="1" x14ac:dyDescent="0.2">
      <c r="A50" s="5" t="s">
        <v>45</v>
      </c>
      <c r="B50" s="13" t="s">
        <v>55</v>
      </c>
      <c r="C50" s="13"/>
      <c r="D50" s="6" t="s">
        <v>37</v>
      </c>
      <c r="E50" s="6" t="s">
        <v>30</v>
      </c>
      <c r="F50" s="5" t="s">
        <v>38</v>
      </c>
      <c r="G50" s="14" t="s">
        <v>21</v>
      </c>
      <c r="H50" s="14"/>
      <c r="I50" s="5" t="s">
        <v>19</v>
      </c>
      <c r="J50" s="15">
        <v>2368.67</v>
      </c>
      <c r="K50" s="15"/>
      <c r="L50" s="7" t="s">
        <v>22</v>
      </c>
      <c r="M50" s="15">
        <v>206209.51</v>
      </c>
      <c r="N50" s="15"/>
    </row>
    <row r="51" spans="1:14" ht="88.95" customHeight="1" outlineLevel="1" x14ac:dyDescent="0.2">
      <c r="A51" s="5" t="s">
        <v>45</v>
      </c>
      <c r="B51" s="13" t="s">
        <v>55</v>
      </c>
      <c r="C51" s="13"/>
      <c r="D51" s="6" t="s">
        <v>37</v>
      </c>
      <c r="E51" s="6" t="s">
        <v>26</v>
      </c>
      <c r="F51" s="5" t="s">
        <v>38</v>
      </c>
      <c r="G51" s="14" t="s">
        <v>21</v>
      </c>
      <c r="H51" s="14"/>
      <c r="I51" s="5" t="s">
        <v>19</v>
      </c>
      <c r="J51" s="15">
        <v>3166.81</v>
      </c>
      <c r="K51" s="15"/>
      <c r="L51" s="7" t="s">
        <v>22</v>
      </c>
      <c r="M51" s="15">
        <v>203042.7</v>
      </c>
      <c r="N51" s="15"/>
    </row>
    <row r="52" spans="1:14" ht="13.05" customHeight="1" x14ac:dyDescent="0.2">
      <c r="A52" s="10" t="s">
        <v>56</v>
      </c>
      <c r="B52" s="10"/>
      <c r="C52" s="10"/>
      <c r="D52" s="10"/>
      <c r="E52" s="10"/>
      <c r="F52" s="11">
        <v>297636.92</v>
      </c>
      <c r="G52" s="11"/>
      <c r="H52" s="11"/>
      <c r="I52" s="11">
        <v>94594.22</v>
      </c>
      <c r="J52" s="11"/>
      <c r="K52" s="11"/>
      <c r="L52" s="8" t="s">
        <v>22</v>
      </c>
      <c r="M52" s="12">
        <v>203042.7</v>
      </c>
      <c r="N52" s="12"/>
    </row>
    <row r="55" spans="1:14" ht="11.4" customHeight="1" x14ac:dyDescent="0.2">
      <c r="D55" s="1" t="s">
        <v>57</v>
      </c>
      <c r="E55" s="1">
        <v>491.06</v>
      </c>
    </row>
    <row r="56" spans="1:14" ht="11.4" customHeight="1" x14ac:dyDescent="0.2">
      <c r="D56" s="9" t="s">
        <v>58</v>
      </c>
      <c r="E56" s="9">
        <f>I52-E55</f>
        <v>94103.16</v>
      </c>
    </row>
  </sheetData>
  <autoFilter ref="A9:N52">
    <filterColumn colId="1" showButton="0"/>
    <filterColumn colId="6" showButton="0"/>
    <filterColumn colId="9" showButton="0"/>
    <filterColumn colId="11" showButton="0"/>
    <filterColumn colId="12" showButton="0"/>
  </autoFilter>
  <mergeCells count="186"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A52:E52"/>
    <mergeCell ref="F52:H52"/>
    <mergeCell ref="I52:K52"/>
    <mergeCell ref="M52:N52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2025-04-29T08:43:32Z</dcterms:modified>
</cp:coreProperties>
</file>
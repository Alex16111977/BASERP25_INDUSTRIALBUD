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2"/>
  </bookViews>
  <sheets>
    <sheet name="TDSheet" sheetId="1" r:id="rId1"/>
  </sheets>
  <definedNames>
    <definedName name="_xlnm._FilterDatabase" localSheetId="0" hidden="1">TDSheet!$A$9:$N$34</definedName>
  </definedNames>
  <calcPr calcId="144525"/>
</workbook>
</file>

<file path=xl/calcChain.xml><?xml version="1.0" encoding="utf-8"?>
<calcChain xmlns="http://schemas.openxmlformats.org/spreadsheetml/2006/main">
  <c r="E37" i="1" l="1"/>
  <c r="E38" i="1" s="1"/>
</calcChain>
</file>

<file path=xl/sharedStrings.xml><?xml version="1.0" encoding="utf-8"?>
<sst xmlns="http://schemas.openxmlformats.org/spreadsheetml/2006/main" count="203" uniqueCount="58">
  <si>
    <t>ТОВ "ІНДЕПТ СТІЛ"</t>
  </si>
  <si>
    <t>Картка рахунку 221 за 2024 р.</t>
  </si>
  <si>
    <t>Виведені дані:</t>
  </si>
  <si>
    <t>БО (дані бухгалтерського обліку)</t>
  </si>
  <si>
    <t>Відбір:</t>
  </si>
  <si>
    <t>Склади Дорівнює "Стіл Армокаркас"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</si>
  <si>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</si>
  <si>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</si>
  <si>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</si>
  <si>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</si>
  <si>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</si>
  <si>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</si>
  <si>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</si>
  <si>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</si>
  <si>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Сальдо на початок</t>
  </si>
  <si>
    <t>Д</t>
  </si>
  <si>
    <t>22.02.2024</t>
  </si>
  <si>
    <t>Передача малоцінних активів в експлуатацію СТ00-000032 від 22.02.2024 23:00:00
Списание стоимости малоценных активов</t>
  </si>
  <si>
    <t>&lt;...&gt;
Виробничий (Цех металоконструкцій)
Затраты на содержание ОС, других необоротных материальных активов общехозяйственного использования</t>
  </si>
  <si>
    <t>Обл. НДС
Електроди "Моноліт РЦ" 4 мм уп. 5,0 кг
Надходження товарів і послуг СТ00-001068 від 21.12.2023 18:13:53
Стіл Армокаркас</t>
  </si>
  <si>
    <t>92</t>
  </si>
  <si>
    <t xml:space="preserve"> </t>
  </si>
  <si>
    <t>221</t>
  </si>
  <si>
    <t>20.03.2024</t>
  </si>
  <si>
    <t>Переміщення товарів СТ00-000027 від 20.03.2024 00:00:00
Перемещение ТМЦ</t>
  </si>
  <si>
    <t>Обл. НДС
Електроди д. 3 мм "Моноліт РЦ" (2,5 кг) (Україна)
Надходження товарів і послуг СТ00-000161 від 19.03.2024 18:25:15
Стіл Армокаркас</t>
  </si>
  <si>
    <t>Обл. НДС
Електроди д. 3 мм "Моноліт РЦ" (2,5 кг) (Україна)
Надходження товарів і послуг СТ00-000161 від 19.03.2024 18:25:15
СТІЛ Основной склад</t>
  </si>
  <si>
    <t>Обл. НДС
Суміш зварювальна CORGON18 (МИКС-1)бал.40л/7м3
Надходження товарів і послуг СТ00-000028 від 23.01.2024 10:21:46
Стіл Армокаркас</t>
  </si>
  <si>
    <t>Обл. НДС
Суміш зварювальна CORGON18 (МИКС-1)бал.40л/7м3
Надходження товарів і послуг СТ00-000028 від 23.01.2024 10:21:46
СТІЛ Основной склад</t>
  </si>
  <si>
    <t>Обл. НДС
Суміш зварювальна CORGON18 (МИКС-1)бал.40л/7м3
Надходження товарів і послуг СТ00-000071 від 21.02.2024 15:03:43
Стіл Армокаркас</t>
  </si>
  <si>
    <t>Обл. НДС
Суміш зварювальна CORGON18 (МИКС-1)бал.40л/7м3
Надходження товарів і послуг СТ00-000071 від 21.02.2024 15:03:43
СТІЛ Основной склад</t>
  </si>
  <si>
    <t>Обл. НДС
Краги
Надходження товарів і послуг СТ00-000125 від 29.02.2024 23:00:21
Стіл Армокаркас</t>
  </si>
  <si>
    <t>Обл. НДС
Краги
Надходження товарів і послуг СТ00-000125 від 29.02.2024 23:00:21
СТІЛ Основной склад</t>
  </si>
  <si>
    <t>21.03.2024</t>
  </si>
  <si>
    <t>Передача малоцінних активів в експлуатацію СТ00-000034 від 21.03.2024 00:00:00
Списание стоимости малоценных активов</t>
  </si>
  <si>
    <t>Обл. НДС
Відрізний диск Standard Inox 230x1,9мм арт.2608601514
Надходження товарів і послуг СТ00-001021 від 06.12.2023 18:29:46
Стіл Армокаркас</t>
  </si>
  <si>
    <t>Обл. НДС
Дріт 0,8 мм
Надходження товарів і послуг СТ00-001033 від 08.12.2023 16:13:35
Стіл Армокаркас</t>
  </si>
  <si>
    <t>Обл. НДС
Дріт 1,2 мм
Надходження товарів і послуг СТ00-001034 від 08.12.2023 08:13:36
Стіл Армокаркас</t>
  </si>
  <si>
    <t>Обл. НДС
Електроди ESR 11 4x350 2,5кг
Надходження товарів і послуг СТ00-001071 від 21.12.2023 18:13:54
Стіл Армокаркас</t>
  </si>
  <si>
    <t>Обл. НДС
Жилка буд.1 мм*100 м
Надходження товарів і послуг СТ00-001009 від 05.12.2023 16:44:56
Стіл Армокаркас</t>
  </si>
  <si>
    <t>Обл. НДС
Рукавиці латексні
Надходження товарів і послуг СТ00-001036 від 06.12.2023 18:29:58
Стіл Армокаркас</t>
  </si>
  <si>
    <t>Обл. НДС
Гачок для вязки дроту 300 мм
Надходження товарів і послуг СТ00-001028 від 06.12.2023 18:29:53
Стіл Армокаркас</t>
  </si>
  <si>
    <t>25.03.2024</t>
  </si>
  <si>
    <t>Переміщення товарів СТ00-000028 від 25.03.2024 12:03:36
Перемещение ТМЦ</t>
  </si>
  <si>
    <t>Обл. НДС
Бокорізи 
Надходження товарів і послуг СТ00-001051 від 15.12.2023 09:33:23
СТІЛ Основной склад</t>
  </si>
  <si>
    <t>Обл. НДС
Бокорізи 
Надходження товарів і послуг СТ00-001051 від 15.12.2023 09:33:23
Стіл Армокаркас</t>
  </si>
  <si>
    <t>Обл. НДС
Гачок для вязки дроту 300 мм
Надходження товарів і послуг СТ00-001028 від 06.12.2023 18:29:53
СТІЛ Основной склад</t>
  </si>
  <si>
    <t>Обл. НДС
Маска зварювальника
Надходження товарів і послуг СТ00-001051 від 15.12.2023 09:33:23
СТІЛ Основной склад</t>
  </si>
  <si>
    <t>Обл. НДС
Маска зварювальника
Надходження товарів і послуг СТ00-001051 від 15.12.2023 09:33:23
Стіл Армокаркас</t>
  </si>
  <si>
    <t>Обл. НДС
Навушники Huawei FreeBuds 5i Nebula Black
Надходження товарів і послуг СТ00-001066 від 20.12.2023 10:24:42
СТІЛ Основной склад</t>
  </si>
  <si>
    <t>Обл. НДС
Навушники Huawei FreeBuds 5i Nebula Black
Надходження товарів і послуг СТ00-001066 від 20.12.2023 10:24:42
Стіл Армокаркас</t>
  </si>
  <si>
    <t>Обл. НДС
Штангельциркуль 
Надходження товарів і послуг СТ00-001009 від 05.12.2023 16:44:56
СТІЛ Основной склад</t>
  </si>
  <si>
    <t>Обл. НДС
Штангельциркуль 
Надходження товарів і послуг СТ00-001009 від 05.12.2023 16:44:56
Стіл Армокаркас</t>
  </si>
  <si>
    <t>Обл. НДС
Штангельциркуль 150мм
Надходження товарів і послуг СТ00-001009 від 05.12.2023 16:44:56
СТІЛ Основной склад</t>
  </si>
  <si>
    <t>Обл. НДС
Штангельциркуль 150мм
Надходження товарів і послуг СТ00-001009 від 05.12.2023 16:44:56
Стіл Армокаркас</t>
  </si>
  <si>
    <t>Обороти за період та сальдо на кінець</t>
  </si>
  <si>
    <t>перемещения</t>
  </si>
  <si>
    <t>списания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</si>
</sst>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8"/>
      <name val="Arial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sz val="8"/>
      <name val="Arial"/>
      <family val="2"/>
      <charset val="204"/>
    </font>
    <font>
      <sz val="10"/>
      <color rgb="FF003F2F"/>
      <name val="Arial"/>
      <family val="2"/>
      <charset val="204"/>
    </font>
    <font>
      <b/>
      <sz val="10"/>
      <color rgb="FF003F2F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</fills>
  <borders count="18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left"/>
    </xf>
    <xf numFmtId="0" fontId="4" fillId="2" borderId="9" xfId="0" applyFont="1" applyFill="1" applyBorder="1" applyAlignment="1">
      <alignment horizontal="left" vertical="top"/>
    </xf>
    <xf numFmtId="0" fontId="4" fillId="2" borderId="10" xfId="0" applyFont="1" applyFill="1" applyBorder="1" applyAlignment="1">
      <alignment horizontal="left" vertical="top"/>
    </xf>
    <xf numFmtId="0" fontId="4" fillId="3" borderId="13" xfId="0" applyFont="1" applyFill="1" applyBorder="1" applyAlignment="1">
      <alignment horizontal="center" vertical="top"/>
    </xf>
    <xf numFmtId="0" fontId="3" fillId="0" borderId="12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center" vertical="top"/>
    </xf>
    <xf numFmtId="0" fontId="3" fillId="0" borderId="15" xfId="0" applyFont="1" applyBorder="1" applyAlignment="1">
      <alignment horizontal="center" vertical="top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5" fillId="3" borderId="15" xfId="0" applyFont="1" applyFill="1" applyBorder="1" applyAlignment="1">
      <alignment horizontal="center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2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4" fillId="2" borderId="5" xfId="0" applyFont="1" applyFill="1" applyBorder="1" applyAlignment="1">
      <alignment horizontal="left" vertical="top"/>
    </xf>
    <xf numFmtId="0" fontId="4" fillId="2" borderId="7" xfId="0" applyFont="1" applyFill="1" applyBorder="1" applyAlignment="1">
      <alignment horizontal="left" vertical="top"/>
    </xf>
    <xf numFmtId="0" fontId="4" fillId="2" borderId="6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center" vertical="top"/>
    </xf>
    <xf numFmtId="0" fontId="4" fillId="2" borderId="9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left" vertical="top"/>
    </xf>
    <xf numFmtId="0" fontId="4" fillId="2" borderId="11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left" vertical="top"/>
    </xf>
    <xf numFmtId="0" fontId="4" fillId="3" borderId="12" xfId="0" applyFont="1" applyFill="1" applyBorder="1" applyAlignment="1">
      <alignment horizontal="right" vertical="top"/>
    </xf>
    <xf numFmtId="4" fontId="4" fillId="3" borderId="14" xfId="0" applyNumberFormat="1" applyFont="1" applyFill="1" applyBorder="1" applyAlignment="1">
      <alignment horizontal="righ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right" vertical="top" wrapText="1"/>
    </xf>
    <xf numFmtId="4" fontId="3" fillId="0" borderId="14" xfId="0" applyNumberFormat="1" applyFont="1" applyBorder="1" applyAlignment="1">
      <alignment horizontal="right" vertical="top" wrapText="1"/>
    </xf>
    <xf numFmtId="4" fontId="3" fillId="0" borderId="12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right" vertical="top" wrapText="1"/>
    </xf>
    <xf numFmtId="2" fontId="3" fillId="0" borderId="12" xfId="0" applyNumberFormat="1" applyFont="1" applyBorder="1" applyAlignment="1">
      <alignment horizontal="right" vertical="top" wrapText="1"/>
    </xf>
    <xf numFmtId="2" fontId="3" fillId="0" borderId="14" xfId="0" applyNumberFormat="1" applyFont="1" applyBorder="1" applyAlignment="1">
      <alignment horizontal="right" vertical="top" wrapText="1"/>
    </xf>
    <xf numFmtId="0" fontId="5" fillId="3" borderId="12" xfId="0" applyFont="1" applyFill="1" applyBorder="1" applyAlignment="1">
      <alignment horizontal="left" vertical="top"/>
    </xf>
    <xf numFmtId="4" fontId="5" fillId="3" borderId="12" xfId="0" applyNumberFormat="1" applyFont="1" applyFill="1" applyBorder="1" applyAlignment="1">
      <alignment horizontal="right" vertical="top" wrapText="1"/>
    </xf>
    <xf numFmtId="2" fontId="5" fillId="3" borderId="14" xfId="0" applyNumberFormat="1" applyFont="1" applyFill="1" applyBorder="1" applyAlignment="1">
      <alignment horizontal="right" vertical="top" wrapText="1"/>
    </xf>
    <xf numFmtId="0" fontId="3" fillId="0" borderId="0" xfId="0" applyFont="1" applyAlignment="1">
      <alignment horizontal="left"/>
    </xf>
    <xf numFmtId="4" fontId="0" fillId="0" borderId="0" xfId="0" applyNumberForma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N38"/>
  <sheetViews>
    <sheetView tabSelected="1" topLeftCell="A25" workbookViewId="0">
      <selection activeCell="E38" sqref="E38"/>
    </sheetView>
  </sheetViews>
  <sheetFormatPr defaultColWidth="10.42578125" defaultRowHeight="11.4" customHeight="1" outlineLevelRow="1" x14ac:dyDescent="0.2"/>
  <cols>
    <col min="1" max="1" width="11.7109375" style="1" customWidth="1"/>
    <col min="2" max="2" width="7" style="1" customWidth="1"/>
    <col min="3" max="3" width="12.85546875" style="1" customWidth="1"/>
    <col min="4" max="5" width="19.85546875" style="1" customWidth="1"/>
    <col min="6" max="6" width="8.140625" style="1" customWidth="1"/>
    <col min="7" max="7" width="4.7109375" style="1" customWidth="1"/>
    <col min="8" max="8" width="14" style="1" customWidth="1"/>
    <col min="9" max="9" width="8.140625" style="1" customWidth="1"/>
    <col min="10" max="10" width="4.7109375" style="1" customWidth="1"/>
    <col min="11" max="11" width="14" style="1" customWidth="1"/>
    <col min="12" max="12" width="3.42578125" style="1" customWidth="1"/>
    <col min="13" max="13" width="1.7109375" style="1" customWidth="1"/>
    <col min="14" max="14" width="14.7109375" style="1" customWidth="1"/>
  </cols>
  <sheetData>
    <row r="1" spans="1:14" ht="13.0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4" ht="16.05" customHeight="1" x14ac:dyDescent="0.3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</row>
    <row r="3" spans="1:14" s="1" customFormat="1" ht="1.95" customHeight="1" x14ac:dyDescent="0.2"/>
    <row r="4" spans="1:14" ht="10.95" customHeight="1" x14ac:dyDescent="0.2">
      <c r="A4" s="14" t="s">
        <v>2</v>
      </c>
      <c r="B4" s="14"/>
      <c r="C4" s="14" t="s">
        <v>3</v>
      </c>
      <c r="D4" s="14"/>
      <c r="E4" s="14"/>
      <c r="F4" s="14"/>
      <c r="G4" s="14"/>
      <c r="H4" s="14"/>
      <c r="I4" s="14"/>
      <c r="J4" s="14"/>
      <c r="K4" s="14"/>
      <c r="L4" s="14"/>
      <c r="M4" s="14"/>
    </row>
    <row r="5" spans="1:14" s="1" customFormat="1" ht="1.95" customHeight="1" x14ac:dyDescent="0.2"/>
    <row r="6" spans="1:14" ht="10.95" customHeight="1" x14ac:dyDescent="0.2">
      <c r="A6" s="14" t="s">
        <v>4</v>
      </c>
      <c r="B6" s="14"/>
      <c r="C6" s="14" t="s">
        <v>5</v>
      </c>
      <c r="D6" s="14"/>
      <c r="E6" s="14"/>
      <c r="F6" s="14"/>
      <c r="G6" s="14"/>
      <c r="H6" s="14"/>
      <c r="I6" s="14"/>
      <c r="J6" s="14"/>
      <c r="K6" s="14"/>
      <c r="L6" s="14"/>
      <c r="M6" s="14"/>
    </row>
    <row r="7" spans="1:14" s="1" customFormat="1" ht="1.95" customHeight="1" x14ac:dyDescent="0.2"/>
    <row r="8" spans="1:14" ht="13.05" customHeight="1" x14ac:dyDescent="0.2">
      <c r="A8" s="15" t="s">
        <v>6</v>
      </c>
      <c r="B8" s="17" t="s">
        <v>7</v>
      </c>
      <c r="C8" s="17"/>
      <c r="D8" s="17" t="s">
        <v>8</v>
      </c>
      <c r="E8" s="20" t="s">
        <v>9</v>
      </c>
      <c r="F8" s="22" t="s">
        <v>10</v>
      </c>
      <c r="G8" s="22"/>
      <c r="H8" s="22"/>
      <c r="I8" s="23" t="s">
        <v>11</v>
      </c>
      <c r="J8" s="23"/>
      <c r="K8" s="23"/>
      <c r="L8" s="17" t="s">
        <v>12</v>
      </c>
      <c r="M8" s="17"/>
      <c r="N8" s="17"/>
    </row>
    <row r="9" spans="1:14" ht="13.05" customHeight="1" x14ac:dyDescent="0.2">
      <c r="A9" s="16"/>
      <c r="B9" s="16"/>
      <c r="C9" s="18"/>
      <c r="D9" s="19"/>
      <c r="E9" s="21"/>
      <c r="F9" s="2" t="s">
        <v>13</v>
      </c>
      <c r="G9" s="24"/>
      <c r="H9" s="24"/>
      <c r="I9" s="3" t="s">
        <v>13</v>
      </c>
      <c r="J9" s="25"/>
      <c r="K9" s="25"/>
      <c r="L9" s="16"/>
      <c r="M9" s="21"/>
      <c r="N9" s="18"/>
    </row>
    <row r="10" spans="1:14" ht="13.05" customHeight="1" x14ac:dyDescent="0.2">
      <c r="A10" s="26" t="s">
        <v>14</v>
      </c>
      <c r="B10" s="26"/>
      <c r="C10" s="26"/>
      <c r="D10" s="26"/>
      <c r="E10" s="26"/>
      <c r="F10" s="27"/>
      <c r="G10" s="27"/>
      <c r="H10" s="27"/>
      <c r="I10" s="27"/>
      <c r="J10" s="27"/>
      <c r="K10" s="27"/>
      <c r="L10" s="4" t="s">
        <v>15</v>
      </c>
      <c r="M10" s="28">
        <v>27471.17</v>
      </c>
      <c r="N10" s="28"/>
    </row>
    <row r="11" spans="1:14" ht="111" customHeight="1" outlineLevel="1" x14ac:dyDescent="0.2">
      <c r="A11" s="5" t="s">
        <v>16</v>
      </c>
      <c r="B11" s="29" t="s">
        <v>17</v>
      </c>
      <c r="C11" s="29"/>
      <c r="D11" s="6" t="s">
        <v>18</v>
      </c>
      <c r="E11" s="6" t="s">
        <v>19</v>
      </c>
      <c r="F11" s="5" t="s">
        <v>20</v>
      </c>
      <c r="G11" s="30" t="s">
        <v>21</v>
      </c>
      <c r="H11" s="30"/>
      <c r="I11" s="5" t="s">
        <v>22</v>
      </c>
      <c r="J11" s="31">
        <v>1464</v>
      </c>
      <c r="K11" s="31"/>
      <c r="L11" s="7" t="s">
        <v>15</v>
      </c>
      <c r="M11" s="31">
        <v>26007.17</v>
      </c>
      <c r="N11" s="31"/>
    </row>
    <row r="12" spans="1:14" ht="100.05" customHeight="1" outlineLevel="1" x14ac:dyDescent="0.2">
      <c r="A12" s="5" t="s">
        <v>23</v>
      </c>
      <c r="B12" s="29" t="s">
        <v>24</v>
      </c>
      <c r="C12" s="29"/>
      <c r="D12" s="6" t="s">
        <v>25</v>
      </c>
      <c r="E12" s="6" t="s">
        <v>26</v>
      </c>
      <c r="F12" s="5" t="s">
        <v>22</v>
      </c>
      <c r="G12" s="32">
        <v>1250</v>
      </c>
      <c r="H12" s="32"/>
      <c r="I12" s="5" t="s">
        <v>22</v>
      </c>
      <c r="J12" s="33" t="s">
        <v>21</v>
      </c>
      <c r="K12" s="33"/>
      <c r="L12" s="7" t="s">
        <v>15</v>
      </c>
      <c r="M12" s="31">
        <v>27257.17</v>
      </c>
      <c r="N12" s="31"/>
    </row>
    <row r="13" spans="1:14" ht="100.05" customHeight="1" outlineLevel="1" x14ac:dyDescent="0.2">
      <c r="A13" s="5" t="s">
        <v>23</v>
      </c>
      <c r="B13" s="29" t="s">
        <v>24</v>
      </c>
      <c r="C13" s="29"/>
      <c r="D13" s="6" t="s">
        <v>27</v>
      </c>
      <c r="E13" s="6" t="s">
        <v>28</v>
      </c>
      <c r="F13" s="5" t="s">
        <v>22</v>
      </c>
      <c r="G13" s="32">
        <v>3349.5</v>
      </c>
      <c r="H13" s="32"/>
      <c r="I13" s="5" t="s">
        <v>22</v>
      </c>
      <c r="J13" s="33" t="s">
        <v>21</v>
      </c>
      <c r="K13" s="33"/>
      <c r="L13" s="7" t="s">
        <v>15</v>
      </c>
      <c r="M13" s="31">
        <v>30606.67</v>
      </c>
      <c r="N13" s="31"/>
    </row>
    <row r="14" spans="1:14" ht="100.05" customHeight="1" outlineLevel="1" x14ac:dyDescent="0.2">
      <c r="A14" s="5" t="s">
        <v>23</v>
      </c>
      <c r="B14" s="29" t="s">
        <v>24</v>
      </c>
      <c r="C14" s="29"/>
      <c r="D14" s="6" t="s">
        <v>29</v>
      </c>
      <c r="E14" s="6" t="s">
        <v>30</v>
      </c>
      <c r="F14" s="5" t="s">
        <v>22</v>
      </c>
      <c r="G14" s="34">
        <v>523.25</v>
      </c>
      <c r="H14" s="34"/>
      <c r="I14" s="5" t="s">
        <v>22</v>
      </c>
      <c r="J14" s="33" t="s">
        <v>21</v>
      </c>
      <c r="K14" s="33"/>
      <c r="L14" s="7" t="s">
        <v>15</v>
      </c>
      <c r="M14" s="31">
        <v>31129.919999999998</v>
      </c>
      <c r="N14" s="31"/>
    </row>
    <row r="15" spans="1:14" ht="78" customHeight="1" outlineLevel="1" x14ac:dyDescent="0.2">
      <c r="A15" s="5" t="s">
        <v>23</v>
      </c>
      <c r="B15" s="29" t="s">
        <v>24</v>
      </c>
      <c r="C15" s="29"/>
      <c r="D15" s="6" t="s">
        <v>31</v>
      </c>
      <c r="E15" s="6" t="s">
        <v>32</v>
      </c>
      <c r="F15" s="5" t="s">
        <v>22</v>
      </c>
      <c r="G15" s="34">
        <v>977.2</v>
      </c>
      <c r="H15" s="34"/>
      <c r="I15" s="5" t="s">
        <v>22</v>
      </c>
      <c r="J15" s="33" t="s">
        <v>21</v>
      </c>
      <c r="K15" s="33"/>
      <c r="L15" s="7" t="s">
        <v>15</v>
      </c>
      <c r="M15" s="31">
        <v>32107.119999999999</v>
      </c>
      <c r="N15" s="31"/>
    </row>
    <row r="16" spans="1:14" ht="111" customHeight="1" outlineLevel="1" x14ac:dyDescent="0.2">
      <c r="A16" s="5" t="s">
        <v>33</v>
      </c>
      <c r="B16" s="29" t="s">
        <v>34</v>
      </c>
      <c r="C16" s="29"/>
      <c r="D16" s="6" t="s">
        <v>18</v>
      </c>
      <c r="E16" s="6" t="s">
        <v>35</v>
      </c>
      <c r="F16" s="5" t="s">
        <v>20</v>
      </c>
      <c r="G16" s="30" t="s">
        <v>21</v>
      </c>
      <c r="H16" s="30"/>
      <c r="I16" s="5" t="s">
        <v>22</v>
      </c>
      <c r="J16" s="35">
        <v>76.72</v>
      </c>
      <c r="K16" s="35"/>
      <c r="L16" s="7" t="s">
        <v>15</v>
      </c>
      <c r="M16" s="31">
        <v>32030.400000000001</v>
      </c>
      <c r="N16" s="31"/>
    </row>
    <row r="17" spans="1:14" ht="111" customHeight="1" outlineLevel="1" x14ac:dyDescent="0.2">
      <c r="A17" s="5" t="s">
        <v>33</v>
      </c>
      <c r="B17" s="29" t="s">
        <v>34</v>
      </c>
      <c r="C17" s="29"/>
      <c r="D17" s="6" t="s">
        <v>18</v>
      </c>
      <c r="E17" s="6" t="s">
        <v>36</v>
      </c>
      <c r="F17" s="5" t="s">
        <v>20</v>
      </c>
      <c r="G17" s="30" t="s">
        <v>21</v>
      </c>
      <c r="H17" s="30"/>
      <c r="I17" s="5" t="s">
        <v>22</v>
      </c>
      <c r="J17" s="35">
        <v>11.65</v>
      </c>
      <c r="K17" s="35"/>
      <c r="L17" s="7" t="s">
        <v>15</v>
      </c>
      <c r="M17" s="31">
        <v>32018.75</v>
      </c>
      <c r="N17" s="31"/>
    </row>
    <row r="18" spans="1:14" ht="111" customHeight="1" outlineLevel="1" x14ac:dyDescent="0.2">
      <c r="A18" s="5" t="s">
        <v>33</v>
      </c>
      <c r="B18" s="29" t="s">
        <v>34</v>
      </c>
      <c r="C18" s="29"/>
      <c r="D18" s="6" t="s">
        <v>18</v>
      </c>
      <c r="E18" s="6" t="s">
        <v>37</v>
      </c>
      <c r="F18" s="5" t="s">
        <v>20</v>
      </c>
      <c r="G18" s="30" t="s">
        <v>21</v>
      </c>
      <c r="H18" s="30"/>
      <c r="I18" s="5" t="s">
        <v>22</v>
      </c>
      <c r="J18" s="35">
        <v>550.70000000000005</v>
      </c>
      <c r="K18" s="35"/>
      <c r="L18" s="7" t="s">
        <v>15</v>
      </c>
      <c r="M18" s="31">
        <v>31468.05</v>
      </c>
      <c r="N18" s="31"/>
    </row>
    <row r="19" spans="1:14" ht="111" customHeight="1" outlineLevel="1" x14ac:dyDescent="0.2">
      <c r="A19" s="5" t="s">
        <v>33</v>
      </c>
      <c r="B19" s="29" t="s">
        <v>34</v>
      </c>
      <c r="C19" s="29"/>
      <c r="D19" s="6" t="s">
        <v>18</v>
      </c>
      <c r="E19" s="6" t="s">
        <v>19</v>
      </c>
      <c r="F19" s="5" t="s">
        <v>20</v>
      </c>
      <c r="G19" s="30" t="s">
        <v>21</v>
      </c>
      <c r="H19" s="30"/>
      <c r="I19" s="5" t="s">
        <v>22</v>
      </c>
      <c r="J19" s="31">
        <v>1317.6</v>
      </c>
      <c r="K19" s="31"/>
      <c r="L19" s="7" t="s">
        <v>15</v>
      </c>
      <c r="M19" s="31">
        <v>30150.45</v>
      </c>
      <c r="N19" s="31"/>
    </row>
    <row r="20" spans="1:14" ht="111" customHeight="1" outlineLevel="1" x14ac:dyDescent="0.2">
      <c r="A20" s="5" t="s">
        <v>33</v>
      </c>
      <c r="B20" s="29" t="s">
        <v>34</v>
      </c>
      <c r="C20" s="29"/>
      <c r="D20" s="6" t="s">
        <v>18</v>
      </c>
      <c r="E20" s="6" t="s">
        <v>38</v>
      </c>
      <c r="F20" s="5" t="s">
        <v>20</v>
      </c>
      <c r="G20" s="30" t="s">
        <v>21</v>
      </c>
      <c r="H20" s="30"/>
      <c r="I20" s="5" t="s">
        <v>22</v>
      </c>
      <c r="J20" s="31">
        <v>16155</v>
      </c>
      <c r="K20" s="31"/>
      <c r="L20" s="7" t="s">
        <v>15</v>
      </c>
      <c r="M20" s="31">
        <v>13995.45</v>
      </c>
      <c r="N20" s="31"/>
    </row>
    <row r="21" spans="1:14" ht="111" customHeight="1" outlineLevel="1" x14ac:dyDescent="0.2">
      <c r="A21" s="5" t="s">
        <v>33</v>
      </c>
      <c r="B21" s="29" t="s">
        <v>34</v>
      </c>
      <c r="C21" s="29"/>
      <c r="D21" s="6" t="s">
        <v>18</v>
      </c>
      <c r="E21" s="6" t="s">
        <v>39</v>
      </c>
      <c r="F21" s="5" t="s">
        <v>20</v>
      </c>
      <c r="G21" s="30" t="s">
        <v>21</v>
      </c>
      <c r="H21" s="30"/>
      <c r="I21" s="5" t="s">
        <v>22</v>
      </c>
      <c r="J21" s="35">
        <v>600</v>
      </c>
      <c r="K21" s="35"/>
      <c r="L21" s="7" t="s">
        <v>15</v>
      </c>
      <c r="M21" s="31">
        <v>13395.45</v>
      </c>
      <c r="N21" s="31"/>
    </row>
    <row r="22" spans="1:14" ht="111" customHeight="1" outlineLevel="1" x14ac:dyDescent="0.2">
      <c r="A22" s="5" t="s">
        <v>33</v>
      </c>
      <c r="B22" s="29" t="s">
        <v>34</v>
      </c>
      <c r="C22" s="29"/>
      <c r="D22" s="6" t="s">
        <v>18</v>
      </c>
      <c r="E22" s="6" t="s">
        <v>40</v>
      </c>
      <c r="F22" s="5" t="s">
        <v>20</v>
      </c>
      <c r="G22" s="30" t="s">
        <v>21</v>
      </c>
      <c r="H22" s="30"/>
      <c r="I22" s="5" t="s">
        <v>22</v>
      </c>
      <c r="J22" s="35">
        <v>108</v>
      </c>
      <c r="K22" s="35"/>
      <c r="L22" s="7" t="s">
        <v>15</v>
      </c>
      <c r="M22" s="31">
        <v>13287.45</v>
      </c>
      <c r="N22" s="31"/>
    </row>
    <row r="23" spans="1:14" ht="111" customHeight="1" outlineLevel="1" x14ac:dyDescent="0.2">
      <c r="A23" s="5" t="s">
        <v>33</v>
      </c>
      <c r="B23" s="29" t="s">
        <v>34</v>
      </c>
      <c r="C23" s="29"/>
      <c r="D23" s="6" t="s">
        <v>18</v>
      </c>
      <c r="E23" s="6" t="s">
        <v>41</v>
      </c>
      <c r="F23" s="5" t="s">
        <v>20</v>
      </c>
      <c r="G23" s="30" t="s">
        <v>21</v>
      </c>
      <c r="H23" s="30"/>
      <c r="I23" s="5" t="s">
        <v>22</v>
      </c>
      <c r="J23" s="31">
        <v>1155</v>
      </c>
      <c r="K23" s="31"/>
      <c r="L23" s="7" t="s">
        <v>15</v>
      </c>
      <c r="M23" s="31">
        <v>12132.45</v>
      </c>
      <c r="N23" s="31"/>
    </row>
    <row r="24" spans="1:14" ht="111" customHeight="1" outlineLevel="1" x14ac:dyDescent="0.2">
      <c r="A24" s="5" t="s">
        <v>33</v>
      </c>
      <c r="B24" s="29" t="s">
        <v>34</v>
      </c>
      <c r="C24" s="29"/>
      <c r="D24" s="6" t="s">
        <v>18</v>
      </c>
      <c r="E24" s="6" t="s">
        <v>25</v>
      </c>
      <c r="F24" s="5" t="s">
        <v>20</v>
      </c>
      <c r="G24" s="30" t="s">
        <v>21</v>
      </c>
      <c r="H24" s="30"/>
      <c r="I24" s="5" t="s">
        <v>22</v>
      </c>
      <c r="J24" s="31">
        <v>1250</v>
      </c>
      <c r="K24" s="31"/>
      <c r="L24" s="7" t="s">
        <v>15</v>
      </c>
      <c r="M24" s="31">
        <v>10882.45</v>
      </c>
      <c r="N24" s="31"/>
    </row>
    <row r="25" spans="1:14" ht="111" customHeight="1" outlineLevel="1" x14ac:dyDescent="0.2">
      <c r="A25" s="5" t="s">
        <v>33</v>
      </c>
      <c r="B25" s="29" t="s">
        <v>34</v>
      </c>
      <c r="C25" s="29"/>
      <c r="D25" s="6" t="s">
        <v>18</v>
      </c>
      <c r="E25" s="6" t="s">
        <v>27</v>
      </c>
      <c r="F25" s="5" t="s">
        <v>20</v>
      </c>
      <c r="G25" s="30" t="s">
        <v>21</v>
      </c>
      <c r="H25" s="30"/>
      <c r="I25" s="5" t="s">
        <v>22</v>
      </c>
      <c r="J25" s="31">
        <v>3349.5</v>
      </c>
      <c r="K25" s="31"/>
      <c r="L25" s="7" t="s">
        <v>15</v>
      </c>
      <c r="M25" s="31">
        <v>7532.95</v>
      </c>
      <c r="N25" s="31"/>
    </row>
    <row r="26" spans="1:14" ht="111" customHeight="1" outlineLevel="1" x14ac:dyDescent="0.2">
      <c r="A26" s="5" t="s">
        <v>33</v>
      </c>
      <c r="B26" s="29" t="s">
        <v>34</v>
      </c>
      <c r="C26" s="29"/>
      <c r="D26" s="6" t="s">
        <v>18</v>
      </c>
      <c r="E26" s="6" t="s">
        <v>29</v>
      </c>
      <c r="F26" s="5" t="s">
        <v>20</v>
      </c>
      <c r="G26" s="30" t="s">
        <v>21</v>
      </c>
      <c r="H26" s="30"/>
      <c r="I26" s="5" t="s">
        <v>22</v>
      </c>
      <c r="J26" s="35">
        <v>523.25</v>
      </c>
      <c r="K26" s="35"/>
      <c r="L26" s="7" t="s">
        <v>15</v>
      </c>
      <c r="M26" s="31">
        <v>7009.7</v>
      </c>
      <c r="N26" s="31"/>
    </row>
    <row r="27" spans="1:14" ht="111" customHeight="1" outlineLevel="1" x14ac:dyDescent="0.2">
      <c r="A27" s="5" t="s">
        <v>33</v>
      </c>
      <c r="B27" s="29" t="s">
        <v>34</v>
      </c>
      <c r="C27" s="29"/>
      <c r="D27" s="6" t="s">
        <v>18</v>
      </c>
      <c r="E27" s="6" t="s">
        <v>31</v>
      </c>
      <c r="F27" s="5" t="s">
        <v>20</v>
      </c>
      <c r="G27" s="30" t="s">
        <v>21</v>
      </c>
      <c r="H27" s="30"/>
      <c r="I27" s="5" t="s">
        <v>22</v>
      </c>
      <c r="J27" s="35">
        <v>977.2</v>
      </c>
      <c r="K27" s="35"/>
      <c r="L27" s="7" t="s">
        <v>15</v>
      </c>
      <c r="M27" s="31">
        <v>6032.5</v>
      </c>
      <c r="N27" s="31"/>
    </row>
    <row r="28" spans="1:14" ht="78" customHeight="1" outlineLevel="1" x14ac:dyDescent="0.2">
      <c r="A28" s="5" t="s">
        <v>42</v>
      </c>
      <c r="B28" s="29" t="s">
        <v>43</v>
      </c>
      <c r="C28" s="29"/>
      <c r="D28" s="6" t="s">
        <v>44</v>
      </c>
      <c r="E28" s="6" t="s">
        <v>45</v>
      </c>
      <c r="F28" s="5" t="s">
        <v>22</v>
      </c>
      <c r="G28" s="30" t="s">
        <v>21</v>
      </c>
      <c r="H28" s="30"/>
      <c r="I28" s="5" t="s">
        <v>22</v>
      </c>
      <c r="J28" s="35">
        <v>312.5</v>
      </c>
      <c r="K28" s="35"/>
      <c r="L28" s="7" t="s">
        <v>15</v>
      </c>
      <c r="M28" s="31">
        <v>5720</v>
      </c>
      <c r="N28" s="31"/>
    </row>
    <row r="29" spans="1:14" ht="88.95" customHeight="1" outlineLevel="1" x14ac:dyDescent="0.2">
      <c r="A29" s="5" t="s">
        <v>42</v>
      </c>
      <c r="B29" s="29" t="s">
        <v>43</v>
      </c>
      <c r="C29" s="29"/>
      <c r="D29" s="6" t="s">
        <v>46</v>
      </c>
      <c r="E29" s="6" t="s">
        <v>41</v>
      </c>
      <c r="F29" s="5" t="s">
        <v>22</v>
      </c>
      <c r="G29" s="30" t="s">
        <v>21</v>
      </c>
      <c r="H29" s="30"/>
      <c r="I29" s="5" t="s">
        <v>22</v>
      </c>
      <c r="J29" s="31">
        <v>2695</v>
      </c>
      <c r="K29" s="31"/>
      <c r="L29" s="7" t="s">
        <v>15</v>
      </c>
      <c r="M29" s="31">
        <v>3025</v>
      </c>
      <c r="N29" s="31"/>
    </row>
    <row r="30" spans="1:14" ht="88.95" customHeight="1" outlineLevel="1" x14ac:dyDescent="0.2">
      <c r="A30" s="5" t="s">
        <v>42</v>
      </c>
      <c r="B30" s="29" t="s">
        <v>43</v>
      </c>
      <c r="C30" s="29"/>
      <c r="D30" s="6" t="s">
        <v>47</v>
      </c>
      <c r="E30" s="6" t="s">
        <v>48</v>
      </c>
      <c r="F30" s="5" t="s">
        <v>22</v>
      </c>
      <c r="G30" s="30" t="s">
        <v>21</v>
      </c>
      <c r="H30" s="30"/>
      <c r="I30" s="5" t="s">
        <v>22</v>
      </c>
      <c r="J30" s="35">
        <v>910</v>
      </c>
      <c r="K30" s="35"/>
      <c r="L30" s="7" t="s">
        <v>15</v>
      </c>
      <c r="M30" s="31">
        <v>2115</v>
      </c>
      <c r="N30" s="31"/>
    </row>
    <row r="31" spans="1:14" ht="100.05" customHeight="1" outlineLevel="1" x14ac:dyDescent="0.2">
      <c r="A31" s="5" t="s">
        <v>42</v>
      </c>
      <c r="B31" s="29" t="s">
        <v>43</v>
      </c>
      <c r="C31" s="29"/>
      <c r="D31" s="6" t="s">
        <v>49</v>
      </c>
      <c r="E31" s="6" t="s">
        <v>50</v>
      </c>
      <c r="F31" s="5" t="s">
        <v>22</v>
      </c>
      <c r="G31" s="30" t="s">
        <v>21</v>
      </c>
      <c r="H31" s="30"/>
      <c r="I31" s="5" t="s">
        <v>22</v>
      </c>
      <c r="J31" s="31">
        <v>1225</v>
      </c>
      <c r="K31" s="31"/>
      <c r="L31" s="7" t="s">
        <v>15</v>
      </c>
      <c r="M31" s="35">
        <v>890</v>
      </c>
      <c r="N31" s="35"/>
    </row>
    <row r="32" spans="1:14" ht="78" customHeight="1" outlineLevel="1" x14ac:dyDescent="0.2">
      <c r="A32" s="5" t="s">
        <v>42</v>
      </c>
      <c r="B32" s="29" t="s">
        <v>43</v>
      </c>
      <c r="C32" s="29"/>
      <c r="D32" s="6" t="s">
        <v>51</v>
      </c>
      <c r="E32" s="6" t="s">
        <v>52</v>
      </c>
      <c r="F32" s="5" t="s">
        <v>22</v>
      </c>
      <c r="G32" s="30" t="s">
        <v>21</v>
      </c>
      <c r="H32" s="30"/>
      <c r="I32" s="5" t="s">
        <v>22</v>
      </c>
      <c r="J32" s="35">
        <v>337.5</v>
      </c>
      <c r="K32" s="35"/>
      <c r="L32" s="7" t="s">
        <v>15</v>
      </c>
      <c r="M32" s="35">
        <v>552.5</v>
      </c>
      <c r="N32" s="35"/>
    </row>
    <row r="33" spans="1:14" ht="88.95" customHeight="1" outlineLevel="1" x14ac:dyDescent="0.2">
      <c r="A33" s="5" t="s">
        <v>42</v>
      </c>
      <c r="B33" s="29" t="s">
        <v>43</v>
      </c>
      <c r="C33" s="29"/>
      <c r="D33" s="6" t="s">
        <v>53</v>
      </c>
      <c r="E33" s="6" t="s">
        <v>54</v>
      </c>
      <c r="F33" s="5" t="s">
        <v>22</v>
      </c>
      <c r="G33" s="30" t="s">
        <v>21</v>
      </c>
      <c r="H33" s="30"/>
      <c r="I33" s="5" t="s">
        <v>22</v>
      </c>
      <c r="J33" s="35">
        <v>552.5</v>
      </c>
      <c r="K33" s="35"/>
      <c r="L33" s="8"/>
      <c r="M33" s="9"/>
      <c r="N33" s="10"/>
    </row>
    <row r="34" spans="1:14" ht="13.05" customHeight="1" x14ac:dyDescent="0.2">
      <c r="A34" s="36" t="s">
        <v>55</v>
      </c>
      <c r="B34" s="36"/>
      <c r="C34" s="36"/>
      <c r="D34" s="36"/>
      <c r="E34" s="36"/>
      <c r="F34" s="37">
        <v>6099.95</v>
      </c>
      <c r="G34" s="37"/>
      <c r="H34" s="37"/>
      <c r="I34" s="37">
        <v>33571.120000000003</v>
      </c>
      <c r="J34" s="37"/>
      <c r="K34" s="37"/>
      <c r="L34" s="11"/>
      <c r="M34" s="38">
        <v>0</v>
      </c>
      <c r="N34" s="38"/>
    </row>
    <row r="37" spans="1:14" ht="11.4" customHeight="1" x14ac:dyDescent="0.2">
      <c r="D37" s="39" t="s">
        <v>56</v>
      </c>
      <c r="E37" s="1">
        <f>6032.5+1464</f>
        <v>7496.5</v>
      </c>
    </row>
    <row r="38" spans="1:14" ht="11.4" customHeight="1" x14ac:dyDescent="0.2">
      <c r="D38" s="39" t="s">
        <v>57</v>
      </c>
      <c r="E38" s="40">
        <f>I34-E37</f>
        <v>26074.620000000003</v>
      </c>
    </row>
  </sheetData>
  <autoFilter ref="A9:N34">
    <filterColumn colId="1" showButton="0"/>
    <filterColumn colId="6" showButton="0"/>
    <filterColumn colId="9" showButton="0"/>
    <filterColumn colId="11" showButton="0"/>
    <filterColumn colId="12" showButton="0"/>
  </autoFilter>
  <mergeCells count="113">
    <mergeCell ref="A34:E34"/>
    <mergeCell ref="F34:H34"/>
    <mergeCell ref="I34:K34"/>
    <mergeCell ref="M34:N34"/>
    <mergeCell ref="B31:C31"/>
    <mergeCell ref="G31:H31"/>
    <mergeCell ref="J31:K31"/>
    <mergeCell ref="M31:N31"/>
    <mergeCell ref="B32:C32"/>
    <mergeCell ref="G32:H32"/>
    <mergeCell ref="J32:K32"/>
    <mergeCell ref="M32:N32"/>
    <mergeCell ref="B33:C33"/>
    <mergeCell ref="G33:H33"/>
    <mergeCell ref="J33:K33"/>
    <mergeCell ref="B28:C28"/>
    <mergeCell ref="G28:H28"/>
    <mergeCell ref="J28:K28"/>
    <mergeCell ref="M28:N28"/>
    <mergeCell ref="B29:C29"/>
    <mergeCell ref="G29:H29"/>
    <mergeCell ref="J29:K29"/>
    <mergeCell ref="M29:N29"/>
    <mergeCell ref="B30:C30"/>
    <mergeCell ref="G30:H30"/>
    <mergeCell ref="J30:K30"/>
    <mergeCell ref="M30:N30"/>
    <mergeCell ref="B25:C25"/>
    <mergeCell ref="G25:H25"/>
    <mergeCell ref="J25:K25"/>
    <mergeCell ref="M25:N25"/>
    <mergeCell ref="B26:C26"/>
    <mergeCell ref="G26:H26"/>
    <mergeCell ref="J26:K26"/>
    <mergeCell ref="M26:N26"/>
    <mergeCell ref="B27:C27"/>
    <mergeCell ref="G27:H27"/>
    <mergeCell ref="J27:K27"/>
    <mergeCell ref="M27:N27"/>
    <mergeCell ref="B22:C22"/>
    <mergeCell ref="G22:H22"/>
    <mergeCell ref="J22:K22"/>
    <mergeCell ref="M22:N22"/>
    <mergeCell ref="B23:C23"/>
    <mergeCell ref="G23:H23"/>
    <mergeCell ref="J23:K23"/>
    <mergeCell ref="M23:N23"/>
    <mergeCell ref="B24:C24"/>
    <mergeCell ref="G24:H24"/>
    <mergeCell ref="J24:K24"/>
    <mergeCell ref="M24:N24"/>
    <mergeCell ref="B19:C19"/>
    <mergeCell ref="G19:H19"/>
    <mergeCell ref="J19:K19"/>
    <mergeCell ref="M19:N19"/>
    <mergeCell ref="B20:C20"/>
    <mergeCell ref="G20:H20"/>
    <mergeCell ref="J20:K20"/>
    <mergeCell ref="M20:N20"/>
    <mergeCell ref="B21:C21"/>
    <mergeCell ref="G21:H21"/>
    <mergeCell ref="J21:K21"/>
    <mergeCell ref="M21:N21"/>
    <mergeCell ref="B16:C16"/>
    <mergeCell ref="G16:H16"/>
    <mergeCell ref="J16:K16"/>
    <mergeCell ref="M16:N16"/>
    <mergeCell ref="B17:C17"/>
    <mergeCell ref="G17:H17"/>
    <mergeCell ref="J17:K17"/>
    <mergeCell ref="M17:N17"/>
    <mergeCell ref="B18:C18"/>
    <mergeCell ref="G18:H18"/>
    <mergeCell ref="J18:K18"/>
    <mergeCell ref="M18:N18"/>
    <mergeCell ref="B13:C13"/>
    <mergeCell ref="G13:H13"/>
    <mergeCell ref="J13:K13"/>
    <mergeCell ref="M13:N13"/>
    <mergeCell ref="B14:C14"/>
    <mergeCell ref="G14:H14"/>
    <mergeCell ref="J14:K14"/>
    <mergeCell ref="M14:N14"/>
    <mergeCell ref="B15:C15"/>
    <mergeCell ref="G15:H15"/>
    <mergeCell ref="J15:K15"/>
    <mergeCell ref="M15:N15"/>
    <mergeCell ref="A10:E10"/>
    <mergeCell ref="F10:K10"/>
    <mergeCell ref="M10:N10"/>
    <mergeCell ref="B11:C11"/>
    <mergeCell ref="G11:H11"/>
    <mergeCell ref="J11:K11"/>
    <mergeCell ref="M11:N11"/>
    <mergeCell ref="B12:C12"/>
    <mergeCell ref="G12:H12"/>
    <mergeCell ref="J12:K12"/>
    <mergeCell ref="M12:N12"/>
    <mergeCell ref="A1:M1"/>
    <mergeCell ref="A2:M2"/>
    <mergeCell ref="A4:B4"/>
    <mergeCell ref="C4:M4"/>
    <mergeCell ref="A6:B6"/>
    <mergeCell ref="C6:M6"/>
    <mergeCell ref="A8:A9"/>
    <mergeCell ref="B8:C9"/>
    <mergeCell ref="D8:D9"/>
    <mergeCell ref="E8:E9"/>
    <mergeCell ref="F8:H8"/>
    <mergeCell ref="I8:K8"/>
    <mergeCell ref="L8:N9"/>
    <mergeCell ref="G9:H9"/>
    <mergeCell ref="J9:K9"/>
  </mergeCells>
  <pageMargins left="0.19685039370078741" right="0.19685039370078741" top="0.39370078740157483" bottom="0.39370078740157483" header="0" footer="0"/>
  <pageSetup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l.boretskaya</cp:lastModifiedBy>
  <dcterms:modified xsi:type="dcterms:W3CDTF">2025-05-05T20:13:19Z</dcterms:modified>
</cp:coreProperties>
</file>
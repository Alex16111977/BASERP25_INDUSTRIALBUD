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2"/>
  </bookViews>
  <sheets>
    <sheet name="TDSheet" sheetId="1" r:id="rId1"/>
  </sheets>
  <definedNames>
    <definedName name="_xlnm._FilterDatabase" localSheetId="0" hidden="1">TDSheet!$A$9:$N$60</definedName>
  </definedNames>
  <calcPr calcId="144525"/>
</workbook>
</file>

<file path=xl/calcChain.xml><?xml version="1.0" encoding="utf-8"?>
<calcChain xmlns="http://schemas.openxmlformats.org/spreadsheetml/2006/main">
  <c r="K62" i="1" l="1"/>
</calcChain>
</file>

<file path=xl/sharedStrings.xml><?xml version="1.0" encoding="utf-8"?>
<sst xmlns="http://schemas.openxmlformats.org/spreadsheetml/2006/main" count="408" uniqueCount="88">
  <si>
    <t>ТОВ "ІНДЕПТ СТІЛ"</t>
  </si>
  <si>
    <t>Картка рахунку 221 за 2024 р.</t>
  </si>
  <si>
    <t>Виведені дані:</t>
  </si>
  <si>
    <t>БО (дані бухгалтерського обліку)</t>
  </si>
  <si>
    <t>Відбір:</t>
  </si>
  <si>
    <t>Склади Дорівнює "Стіл Склад  Металургбуд"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</si>
  <si>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</si>
  <si>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</si>
  <si>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</si>
  <si>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</si>
  <si>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</si>
  <si>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</si>
  <si>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</si>
  <si>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</si>
  <si>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</si>
  <si>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22.02.2024</t>
  </si>
  <si>
    <t>Надходження товарів і послуг СТ00-000080 від 22.02.2024 00:00:00
Оприходованы ТМЦ</t>
  </si>
  <si>
    <t>Обл. НДС
BOSCH витратні Круг відрізний 355*3*25,4 метал
Надходження товарів і послуг СТ00-000080 від 22.02.2024 00:00:00
Стіл Склад  Металургбуд</t>
  </si>
  <si>
    <t>ТПК ПАРТНЕР-3 ТОВ
76/2022 от 19.08.2022_МК Металургбуд
Рахунок на оплату постачальника СТ00-000068 від 23.02.2024 15:12:30</t>
  </si>
  <si>
    <t>221</t>
  </si>
  <si>
    <t>631</t>
  </si>
  <si>
    <t xml:space="preserve"> </t>
  </si>
  <si>
    <t>Д</t>
  </si>
  <si>
    <t>Обл. НДС
Круг пелюст 125*22*100
Надходження товарів і послуг СТ00-000080 від 22.02.2024 00:00:00
Стіл Склад  Металургбуд</t>
  </si>
  <si>
    <t>Надходження товарів і послуг СТ00-000095 від 22.02.2024 18:07:48
Оприходованы ТМЦ</t>
  </si>
  <si>
    <t>Обл. НДС
Дріт 0,8 мм
Надходження товарів і послуг СТ00-000095 від 22.02.2024 18:07:48
Стіл Склад  Металургбуд</t>
  </si>
  <si>
    <t>РОВО ТОВ
договір_Металургбуд
Рахунок на оплату постачальника СТ00-000072 від 22.02.2024 18:07:38</t>
  </si>
  <si>
    <t>Передача малоцінних активів в експлуатацію СТ00-000033 від 22.02.2024 23:00:01
Списание стоимости малоценных активов</t>
  </si>
  <si>
    <t>&lt;...&gt;
Виробничий (Цех металоконструкцій)
Затраты на содержание ОС, других необоротных материальных активов общехозяйственного использования</t>
  </si>
  <si>
    <t>92</t>
  </si>
  <si>
    <t>23.02.2024</t>
  </si>
  <si>
    <t>Надходження товарів і послуг СТ00-000085 від 23.02.2024 17:43:55
Оприходованы ТМЦ</t>
  </si>
  <si>
    <t>Обл. НДС
Сопло 105 А
Надходження товарів і послуг СТ00-000085 від 23.02.2024 17:43:55
Стіл Склад  Металургбуд</t>
  </si>
  <si>
    <t>КРАТОС ВКП"ТОВ
договір_Металургбуд
Рахунок на оплату постачальника СТ00-000077 від 22.02.2024 18:07:46</t>
  </si>
  <si>
    <t>Обл. НДС
Електрод  45-105А  (шт)
Надходження товарів і послуг СТ00-000085 від 23.02.2024 17:43:55
Стіл Склад  Металургбуд</t>
  </si>
  <si>
    <t>26.02.2024</t>
  </si>
  <si>
    <t>Надходження товарів і послуг СТ00-000086 від 26.02.2024 13:37:51
Оприходованы ТМЦ</t>
  </si>
  <si>
    <t>Обл. НДС
Суміш зварювальна CORGON18 (МИКС-1)бал.40л/7м3
Надходження товарів і послуг СТ00-000086 від 26.02.2024 13:37:51
Стіл Склад  Металургбуд</t>
  </si>
  <si>
    <t>Білоцерківпромгаз 1
№ БГ-013 від 02.08.2022 р
Рахунок на оплату постачальника СТ00-000078 від 26.02.2024 13:34:39</t>
  </si>
  <si>
    <t>Надходження товарів і послуг СТ00-000087 від 26.02.2024 14:49:02
Оприходованы ТМЦ</t>
  </si>
  <si>
    <t>Обл. НДС
Дріт 1,2 мм
Надходження товарів і послуг СТ00-000087 від 26.02.2024 14:49:02
Стіл Склад  Металургбуд</t>
  </si>
  <si>
    <t>РОВО ТОВ
договір_Металургбуд
Рахунок на оплату постачальника СТ00-000079 від 26.02.2024 14:47:58</t>
  </si>
  <si>
    <t>28.02.2024</t>
  </si>
  <si>
    <t>Надходження товарів і послуг СТ00-000106 від 28.02.2024 13:44:57
Оприходованы ТМЦ</t>
  </si>
  <si>
    <t>Обл. НДС
Круг по металу 350
Надходження товарів і послуг СТ00-000106 від 28.02.2024 13:44:57
Стіл Склад  Металургбуд</t>
  </si>
  <si>
    <t>РОВО ТОВ
договір_Металургбуд
Рахунок на оплату постачальника СТ00-000082 від 28.02.2024 13:43:46</t>
  </si>
  <si>
    <t>Обл. НДС
Диск відрізний по металу 355
Надходження товарів і послуг СТ00-000106 від 28.02.2024 13:44:57
Стіл Склад  Металургбуд</t>
  </si>
  <si>
    <t>Надходження товарів і послуг СТ00-000112 від 28.02.2024 14:33:29
Оприходованы ТМЦ</t>
  </si>
  <si>
    <t>Обл. НДС
Накінечник E-Cu_М6*25*0,8
Надходження товарів і послуг СТ00-000112 від 28.02.2024 14:33:29
Стіл Склад  Металургбуд</t>
  </si>
  <si>
    <t>РОВО ТОВ
договір 
Рахунок на оплату постачальника СТ00-000083 від 28.02.2024 13:59:33</t>
  </si>
  <si>
    <t>Обл. НДС
Газ.сопло, конічне
Надходження товарів і послуг СТ00-000112 від 28.02.2024 14:33:29
Стіл Склад  Металургбуд</t>
  </si>
  <si>
    <t>01.03.2024</t>
  </si>
  <si>
    <t>Надходження товарів і послуг СТ00-000124 від 01.03.2024 10:57:25
Оприходованы ТМЦ</t>
  </si>
  <si>
    <t>Обл. НДС
Суміш зварювальна CORGON18 (МИКС-1)бал.40л/7м3
Надходження товарів і послуг СТ00-000124 від 01.03.2024 10:57:25
Стіл Склад  Металургбуд</t>
  </si>
  <si>
    <t>Білоцерківпромгаз 1
№ БГ-013 від 02.08.2022 р
Рахунок на оплату постачальника СТ00-000093 від 01.03.2024 10:54:35</t>
  </si>
  <si>
    <t>26.03.2024</t>
  </si>
  <si>
    <t>Переміщення товарів СТ00-000030 від 26.03.2024 17:57:10
Перемещение ТМЦ</t>
  </si>
  <si>
    <t>Обл. НДС
Круг відрізний  355*3,5*25,4
Надходження товарів і послуг СТ00-000925 від 24.10.2023 10:31:56
Стіл Склад  Металургбуд</t>
  </si>
  <si>
    <t>Обл. НДС
Круг відрізний  355*3,5*25,4
Надходження товарів і послуг СТ00-000925 від 24.10.2023 10:31:56
СТІЛ Основной склад</t>
  </si>
  <si>
    <t>Обл. НДС
Диск зачисний по металу 230х6,0х22,23
Надходження товарів і послуг СТ00-000878 від 17.10.2023 19:26:20
Стіл Склад  Металургбуд</t>
  </si>
  <si>
    <t>Обл. НДС
Диск зачисний по металу 230х6,0х22,23
Надходження товарів і послуг СТ00-000878 від 17.10.2023 19:26:20
СТІЛ Основной склад</t>
  </si>
  <si>
    <t>Обл. НДС
Краги
Надходження товарів і послуг СТ00-000125 від 29.02.2024 23:00:21
Стіл Склад  Металургбуд</t>
  </si>
  <si>
    <t>Обл. НДС
Краги
Надходження товарів і послуг СТ00-000125 від 29.02.2024 23:00:21
СТІЛ Основной склад</t>
  </si>
  <si>
    <t>Обл. НДС
Краги
Надходження товарів і послуг СТ00-000157 від 15.03.2024 17:25:45
Стіл Склад  Металургбуд</t>
  </si>
  <si>
    <t>Обл. НДС
Краги
Надходження товарів і послуг СТ00-000157 від 15.03.2024 17:25:45
СТІЛ Основной склад</t>
  </si>
  <si>
    <t>Обл. НДС
Крейда маркувальна біла
Надходження товарів і послуг СТ00-000962 від 14.11.2023 17:55:05
Стіл Склад  Металургбуд</t>
  </si>
  <si>
    <t>Обл. НДС
Крейда маркувальна біла
Надходження товарів і послуг СТ00-000962 від 14.11.2023 17:55:05
СТІЛ Основной склад</t>
  </si>
  <si>
    <t>Обл. НДС
Крейда маркувальна біла
Надходження товарів і послуг СТ00-000165 від 20.03.2024 18:00:46
Стіл Склад  Металургбуд</t>
  </si>
  <si>
    <t>Обл. НДС
Крейда маркувальна біла
Надходження товарів і послуг СТ00-000165 від 20.03.2024 18:00:46
СТІЛ Основной склад</t>
  </si>
  <si>
    <t>Обл. НДС
Скло прозоре широке 90х110х2 мм
Надходження товарів і послуг СТ00-000422 від 19.05.2023 14:41:23
Стіл Склад  Металургбуд</t>
  </si>
  <si>
    <t>Обл. НДС
Скло прозоре широке 90х110х2 мм
Надходження товарів і послуг СТ00-000422 від 19.05.2023 14:41:23
СТІЛ Основной склад</t>
  </si>
  <si>
    <t>Обл. НДС
Спрей антипригарний
Надходження товарів і послуг СТ00-000974 від 17.11.2023 17:31:46
Стіл Склад  Металургбуд</t>
  </si>
  <si>
    <t>Обл. НДС
Спрей антипригарний
Надходження товарів і послуг СТ00-000974 від 17.11.2023 17:31:46
СТІЛ Основной склад</t>
  </si>
  <si>
    <t>Обл. НДС
Валик
Надходження товарів і послуг СТ00-000831 від 13.10.2023 15:24:35
Стіл Склад  Металургбуд</t>
  </si>
  <si>
    <t>Обл. НДС
Валик
Надходження товарів і послуг СТ00-000831 від 13.10.2023 15:24:35
СТІЛ Основной склад</t>
  </si>
  <si>
    <t>Переміщення товарів СТ00-000031 від 26.03.2024 17:57:16
Перемещение ТМЦ</t>
  </si>
  <si>
    <t>Обл. НДС
Дріт 0,8 мм
Надходження товарів і послуг СТ00-000057 від 15.02.2024 10:03:56
Стіл Склад  Металургбуд</t>
  </si>
  <si>
    <t>Обл. НДС
Дріт 0,8 мм
Надходження товарів і послуг СТ00-000057 від 15.02.2024 10:03:56
Стіл Склад Підгірці</t>
  </si>
  <si>
    <t>Обл. НДС
Дріт 0,8 мм
Надходження товарів і послуг СТ00-000061 від 15.02.2024 18:07:30
Стіл Склад  Металургбуд</t>
  </si>
  <si>
    <t>Обл. НДС
Дріт 0,8 мм
Надходження товарів і послуг СТ00-000061 від 15.02.2024 18:07:30
Стіл Склад Підгірці</t>
  </si>
  <si>
    <t>Переміщення товарів СТ00-000032 від 26.03.2024 17:57:17
Перемещение ТМЦ</t>
  </si>
  <si>
    <t>Обл. НДС
Дріт 1,2 мм
Надходження товарів і послуг СТ00-000163 від 01.03.2024 18:00:30
Стіл Склад  Металургбуд</t>
  </si>
  <si>
    <t>Обл. НДС
Дріт 1,2 мм
Надходження товарів і послуг СТ00-000163 від 01.03.2024 18:00:30
СТІЛ Виробничий склад</t>
  </si>
  <si>
    <t>27.03.2024</t>
  </si>
  <si>
    <t>Передача малоцінних активів в експлуатацію СТ00-000035 від 27.03.2024 14:41:27
Списание стоимости малоценных активов</t>
  </si>
  <si>
    <t>28.03.2024</t>
  </si>
  <si>
    <t>Переміщення товарів СТ00-000033 від 28.03.2024 09:46:19
Перемещение ТМЦ</t>
  </si>
  <si>
    <t>Обороти за період та сальдо на кінець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</si>
</sst>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8"/>
      <name val="Arial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8"/>
      <name val="Arial"/>
      <family val="2"/>
      <charset val="204"/>
    </font>
    <font>
      <sz val="10"/>
      <color rgb="FF003F2F"/>
      <name val="Arial"/>
      <family val="2"/>
      <charset val="204"/>
    </font>
    <font>
      <b/>
      <sz val="10"/>
      <color rgb="FF003F2F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left"/>
    </xf>
    <xf numFmtId="0" fontId="4" fillId="2" borderId="9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4" fillId="3" borderId="13" xfId="0" applyFont="1" applyFill="1" applyBorder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center" vertical="top"/>
    </xf>
    <xf numFmtId="0" fontId="3" fillId="0" borderId="13" xfId="0" applyFont="1" applyBorder="1" applyAlignment="1">
      <alignment horizontal="center" vertical="top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5" fillId="3" borderId="13" xfId="0" applyFont="1" applyFill="1" applyBorder="1" applyAlignment="1">
      <alignment horizontal="center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2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right" vertical="top"/>
    </xf>
    <xf numFmtId="2" fontId="4" fillId="3" borderId="14" xfId="0" applyNumberFormat="1" applyFont="1" applyFill="1" applyBorder="1" applyAlignment="1">
      <alignment horizontal="right" vertical="top" wrapText="1"/>
    </xf>
    <xf numFmtId="0" fontId="3" fillId="0" borderId="12" xfId="0" applyFont="1" applyBorder="1" applyAlignment="1">
      <alignment horizontal="left" vertical="top" wrapText="1"/>
    </xf>
    <xf numFmtId="4" fontId="3" fillId="0" borderId="12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right" vertical="top" wrapText="1"/>
    </xf>
    <xf numFmtId="4" fontId="3" fillId="0" borderId="14" xfId="0" applyNumberFormat="1" applyFont="1" applyBorder="1" applyAlignment="1">
      <alignment horizontal="right" vertical="top" wrapText="1"/>
    </xf>
    <xf numFmtId="0" fontId="3" fillId="0" borderId="12" xfId="0" applyFont="1" applyBorder="1" applyAlignment="1">
      <alignment horizontal="right" vertical="top" wrapText="1"/>
    </xf>
    <xf numFmtId="2" fontId="3" fillId="0" borderId="12" xfId="0" applyNumberFormat="1" applyFont="1" applyBorder="1" applyAlignment="1">
      <alignment horizontal="right" vertical="top" wrapText="1"/>
    </xf>
    <xf numFmtId="2" fontId="3" fillId="0" borderId="14" xfId="0" applyNumberFormat="1" applyFont="1" applyBorder="1" applyAlignment="1">
      <alignment horizontal="right" vertical="top" wrapText="1"/>
    </xf>
    <xf numFmtId="0" fontId="5" fillId="3" borderId="12" xfId="0" applyFont="1" applyFill="1" applyBorder="1" applyAlignment="1">
      <alignment horizontal="left" vertical="top"/>
    </xf>
    <xf numFmtId="4" fontId="5" fillId="3" borderId="12" xfId="0" applyNumberFormat="1" applyFont="1" applyFill="1" applyBorder="1" applyAlignment="1">
      <alignment horizontal="right" vertical="top" wrapText="1"/>
    </xf>
    <xf numFmtId="2" fontId="5" fillId="3" borderId="14" xfId="0" applyNumberFormat="1" applyFont="1" applyFill="1" applyBorder="1" applyAlignment="1">
      <alignment horizontal="right" vertical="top" wrapText="1"/>
    </xf>
    <xf numFmtId="4" fontId="5" fillId="4" borderId="12" xfId="0" applyNumberFormat="1" applyFont="1" applyFill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N62"/>
  <sheetViews>
    <sheetView tabSelected="1" topLeftCell="A57" workbookViewId="0">
      <selection activeCell="I60" sqref="I60:K60"/>
    </sheetView>
  </sheetViews>
  <sheetFormatPr defaultColWidth="10.42578125" defaultRowHeight="11.4" customHeight="1" outlineLevelRow="1" x14ac:dyDescent="0.2"/>
  <cols>
    <col min="1" max="1" width="11.7109375" style="1" customWidth="1"/>
    <col min="2" max="2" width="7" style="1" customWidth="1"/>
    <col min="3" max="3" width="12.85546875" style="1" customWidth="1"/>
    <col min="4" max="5" width="19.85546875" style="1" customWidth="1"/>
    <col min="6" max="6" width="8.140625" style="1" customWidth="1"/>
    <col min="7" max="7" width="4.7109375" style="1" customWidth="1"/>
    <col min="8" max="8" width="14" style="1" customWidth="1"/>
    <col min="9" max="9" width="8.140625" style="1" customWidth="1"/>
    <col min="10" max="10" width="4.7109375" style="1" customWidth="1"/>
    <col min="11" max="11" width="14" style="1" customWidth="1"/>
    <col min="12" max="12" width="3.42578125" style="1" customWidth="1"/>
    <col min="13" max="13" width="1.7109375" style="1" customWidth="1"/>
    <col min="14" max="14" width="14.7109375" style="1" customWidth="1"/>
  </cols>
  <sheetData>
    <row r="1" spans="1:14" ht="13.0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4" ht="16.05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4" s="1" customFormat="1" ht="1.95" customHeight="1" x14ac:dyDescent="0.2"/>
    <row r="4" spans="1:14" ht="10.95" customHeight="1" x14ac:dyDescent="0.2">
      <c r="A4" s="14" t="s">
        <v>2</v>
      </c>
      <c r="B4" s="14"/>
      <c r="C4" s="14" t="s">
        <v>3</v>
      </c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4" s="1" customFormat="1" ht="1.95" customHeight="1" x14ac:dyDescent="0.2"/>
    <row r="6" spans="1:14" ht="10.95" customHeight="1" x14ac:dyDescent="0.2">
      <c r="A6" s="14" t="s">
        <v>4</v>
      </c>
      <c r="B6" s="14"/>
      <c r="C6" s="14" t="s">
        <v>5</v>
      </c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4" s="1" customFormat="1" ht="1.95" customHeight="1" x14ac:dyDescent="0.2"/>
    <row r="8" spans="1:14" ht="13.05" customHeight="1" x14ac:dyDescent="0.2">
      <c r="A8" s="15" t="s">
        <v>6</v>
      </c>
      <c r="B8" s="17" t="s">
        <v>7</v>
      </c>
      <c r="C8" s="17"/>
      <c r="D8" s="17" t="s">
        <v>8</v>
      </c>
      <c r="E8" s="20" t="s">
        <v>9</v>
      </c>
      <c r="F8" s="22" t="s">
        <v>10</v>
      </c>
      <c r="G8" s="22"/>
      <c r="H8" s="22"/>
      <c r="I8" s="23" t="s">
        <v>11</v>
      </c>
      <c r="J8" s="23"/>
      <c r="K8" s="23"/>
      <c r="L8" s="17" t="s">
        <v>12</v>
      </c>
      <c r="M8" s="17"/>
      <c r="N8" s="17"/>
    </row>
    <row r="9" spans="1:14" ht="13.05" customHeight="1" x14ac:dyDescent="0.2">
      <c r="A9" s="16"/>
      <c r="B9" s="16"/>
      <c r="C9" s="18"/>
      <c r="D9" s="19"/>
      <c r="E9" s="21"/>
      <c r="F9" s="2" t="s">
        <v>13</v>
      </c>
      <c r="G9" s="24"/>
      <c r="H9" s="24"/>
      <c r="I9" s="3" t="s">
        <v>13</v>
      </c>
      <c r="J9" s="25"/>
      <c r="K9" s="25"/>
      <c r="L9" s="16"/>
      <c r="M9" s="21"/>
      <c r="N9" s="18"/>
    </row>
    <row r="10" spans="1:14" ht="13.05" customHeight="1" x14ac:dyDescent="0.2">
      <c r="A10" s="26" t="s">
        <v>14</v>
      </c>
      <c r="B10" s="26"/>
      <c r="C10" s="26"/>
      <c r="D10" s="26"/>
      <c r="E10" s="26"/>
      <c r="F10" s="27"/>
      <c r="G10" s="27"/>
      <c r="H10" s="27"/>
      <c r="I10" s="27"/>
      <c r="J10" s="27"/>
      <c r="K10" s="27"/>
      <c r="L10" s="4"/>
      <c r="M10" s="28">
        <v>0</v>
      </c>
      <c r="N10" s="28"/>
    </row>
    <row r="11" spans="1:14" ht="111" customHeight="1" outlineLevel="1" x14ac:dyDescent="0.2">
      <c r="A11" s="5" t="s">
        <v>15</v>
      </c>
      <c r="B11" s="29" t="s">
        <v>16</v>
      </c>
      <c r="C11" s="29"/>
      <c r="D11" s="6" t="s">
        <v>17</v>
      </c>
      <c r="E11" s="6" t="s">
        <v>18</v>
      </c>
      <c r="F11" s="5" t="s">
        <v>19</v>
      </c>
      <c r="G11" s="30">
        <v>2308.0500000000002</v>
      </c>
      <c r="H11" s="30"/>
      <c r="I11" s="5" t="s">
        <v>20</v>
      </c>
      <c r="J11" s="31" t="s">
        <v>21</v>
      </c>
      <c r="K11" s="31"/>
      <c r="L11" s="7" t="s">
        <v>22</v>
      </c>
      <c r="M11" s="32">
        <v>2308.0500000000002</v>
      </c>
      <c r="N11" s="32"/>
    </row>
    <row r="12" spans="1:14" ht="100.05" customHeight="1" outlineLevel="1" x14ac:dyDescent="0.2">
      <c r="A12" s="5" t="s">
        <v>15</v>
      </c>
      <c r="B12" s="29" t="s">
        <v>16</v>
      </c>
      <c r="C12" s="29"/>
      <c r="D12" s="6" t="s">
        <v>23</v>
      </c>
      <c r="E12" s="6" t="s">
        <v>18</v>
      </c>
      <c r="F12" s="5" t="s">
        <v>19</v>
      </c>
      <c r="G12" s="30">
        <v>3912</v>
      </c>
      <c r="H12" s="30"/>
      <c r="I12" s="5" t="s">
        <v>20</v>
      </c>
      <c r="J12" s="31" t="s">
        <v>21</v>
      </c>
      <c r="K12" s="31"/>
      <c r="L12" s="7" t="s">
        <v>22</v>
      </c>
      <c r="M12" s="32">
        <v>6220.05</v>
      </c>
      <c r="N12" s="32"/>
    </row>
    <row r="13" spans="1:14" ht="88.95" customHeight="1" outlineLevel="1" x14ac:dyDescent="0.2">
      <c r="A13" s="5" t="s">
        <v>15</v>
      </c>
      <c r="B13" s="29" t="s">
        <v>24</v>
      </c>
      <c r="C13" s="29"/>
      <c r="D13" s="6" t="s">
        <v>25</v>
      </c>
      <c r="E13" s="6" t="s">
        <v>26</v>
      </c>
      <c r="F13" s="5" t="s">
        <v>19</v>
      </c>
      <c r="G13" s="30">
        <v>31000</v>
      </c>
      <c r="H13" s="30"/>
      <c r="I13" s="5" t="s">
        <v>20</v>
      </c>
      <c r="J13" s="31" t="s">
        <v>21</v>
      </c>
      <c r="K13" s="31"/>
      <c r="L13" s="7" t="s">
        <v>22</v>
      </c>
      <c r="M13" s="32">
        <v>37220.050000000003</v>
      </c>
      <c r="N13" s="32"/>
    </row>
    <row r="14" spans="1:14" ht="111" customHeight="1" outlineLevel="1" x14ac:dyDescent="0.2">
      <c r="A14" s="5" t="s">
        <v>15</v>
      </c>
      <c r="B14" s="29" t="s">
        <v>27</v>
      </c>
      <c r="C14" s="29"/>
      <c r="D14" s="6" t="s">
        <v>28</v>
      </c>
      <c r="E14" s="6" t="s">
        <v>25</v>
      </c>
      <c r="F14" s="5" t="s">
        <v>29</v>
      </c>
      <c r="G14" s="33" t="s">
        <v>21</v>
      </c>
      <c r="H14" s="33"/>
      <c r="I14" s="5" t="s">
        <v>19</v>
      </c>
      <c r="J14" s="32">
        <v>9589.33</v>
      </c>
      <c r="K14" s="32"/>
      <c r="L14" s="7" t="s">
        <v>22</v>
      </c>
      <c r="M14" s="32">
        <v>27630.720000000001</v>
      </c>
      <c r="N14" s="32"/>
    </row>
    <row r="15" spans="1:14" ht="88.95" customHeight="1" outlineLevel="1" x14ac:dyDescent="0.2">
      <c r="A15" s="5" t="s">
        <v>30</v>
      </c>
      <c r="B15" s="29" t="s">
        <v>31</v>
      </c>
      <c r="C15" s="29"/>
      <c r="D15" s="6" t="s">
        <v>32</v>
      </c>
      <c r="E15" s="6" t="s">
        <v>33</v>
      </c>
      <c r="F15" s="5" t="s">
        <v>19</v>
      </c>
      <c r="G15" s="30">
        <v>2340.75</v>
      </c>
      <c r="H15" s="30"/>
      <c r="I15" s="5" t="s">
        <v>20</v>
      </c>
      <c r="J15" s="31" t="s">
        <v>21</v>
      </c>
      <c r="K15" s="31"/>
      <c r="L15" s="7" t="s">
        <v>22</v>
      </c>
      <c r="M15" s="32">
        <v>29971.47</v>
      </c>
      <c r="N15" s="32"/>
    </row>
    <row r="16" spans="1:14" ht="100.05" customHeight="1" outlineLevel="1" x14ac:dyDescent="0.2">
      <c r="A16" s="5" t="s">
        <v>30</v>
      </c>
      <c r="B16" s="29" t="s">
        <v>31</v>
      </c>
      <c r="C16" s="29"/>
      <c r="D16" s="6" t="s">
        <v>34</v>
      </c>
      <c r="E16" s="6" t="s">
        <v>33</v>
      </c>
      <c r="F16" s="5" t="s">
        <v>19</v>
      </c>
      <c r="G16" s="30">
        <v>5157.5</v>
      </c>
      <c r="H16" s="30"/>
      <c r="I16" s="5" t="s">
        <v>20</v>
      </c>
      <c r="J16" s="31" t="s">
        <v>21</v>
      </c>
      <c r="K16" s="31"/>
      <c r="L16" s="7" t="s">
        <v>22</v>
      </c>
      <c r="M16" s="32">
        <v>35128.97</v>
      </c>
      <c r="N16" s="32"/>
    </row>
    <row r="17" spans="1:14" ht="111" customHeight="1" outlineLevel="1" x14ac:dyDescent="0.2">
      <c r="A17" s="5" t="s">
        <v>35</v>
      </c>
      <c r="B17" s="29" t="s">
        <v>36</v>
      </c>
      <c r="C17" s="29"/>
      <c r="D17" s="6" t="s">
        <v>37</v>
      </c>
      <c r="E17" s="6" t="s">
        <v>38</v>
      </c>
      <c r="F17" s="5" t="s">
        <v>19</v>
      </c>
      <c r="G17" s="30">
        <v>5750</v>
      </c>
      <c r="H17" s="30"/>
      <c r="I17" s="5" t="s">
        <v>20</v>
      </c>
      <c r="J17" s="31" t="s">
        <v>21</v>
      </c>
      <c r="K17" s="31"/>
      <c r="L17" s="7" t="s">
        <v>22</v>
      </c>
      <c r="M17" s="32">
        <v>40878.97</v>
      </c>
      <c r="N17" s="32"/>
    </row>
    <row r="18" spans="1:14" ht="88.95" customHeight="1" outlineLevel="1" x14ac:dyDescent="0.2">
      <c r="A18" s="5" t="s">
        <v>35</v>
      </c>
      <c r="B18" s="29" t="s">
        <v>39</v>
      </c>
      <c r="C18" s="29"/>
      <c r="D18" s="6" t="s">
        <v>40</v>
      </c>
      <c r="E18" s="6" t="s">
        <v>41</v>
      </c>
      <c r="F18" s="5" t="s">
        <v>19</v>
      </c>
      <c r="G18" s="30">
        <v>2430</v>
      </c>
      <c r="H18" s="30"/>
      <c r="I18" s="5" t="s">
        <v>20</v>
      </c>
      <c r="J18" s="31" t="s">
        <v>21</v>
      </c>
      <c r="K18" s="31"/>
      <c r="L18" s="7" t="s">
        <v>22</v>
      </c>
      <c r="M18" s="32">
        <v>43308.97</v>
      </c>
      <c r="N18" s="32"/>
    </row>
    <row r="19" spans="1:14" ht="88.95" customHeight="1" outlineLevel="1" x14ac:dyDescent="0.2">
      <c r="A19" s="5" t="s">
        <v>42</v>
      </c>
      <c r="B19" s="29" t="s">
        <v>43</v>
      </c>
      <c r="C19" s="29"/>
      <c r="D19" s="6" t="s">
        <v>44</v>
      </c>
      <c r="E19" s="6" t="s">
        <v>45</v>
      </c>
      <c r="F19" s="5" t="s">
        <v>19</v>
      </c>
      <c r="G19" s="30">
        <v>2167.5</v>
      </c>
      <c r="H19" s="30"/>
      <c r="I19" s="5" t="s">
        <v>20</v>
      </c>
      <c r="J19" s="31" t="s">
        <v>21</v>
      </c>
      <c r="K19" s="31"/>
      <c r="L19" s="7" t="s">
        <v>22</v>
      </c>
      <c r="M19" s="32">
        <v>45476.47</v>
      </c>
      <c r="N19" s="32"/>
    </row>
    <row r="20" spans="1:14" ht="100.05" customHeight="1" outlineLevel="1" x14ac:dyDescent="0.2">
      <c r="A20" s="5" t="s">
        <v>42</v>
      </c>
      <c r="B20" s="29" t="s">
        <v>43</v>
      </c>
      <c r="C20" s="29"/>
      <c r="D20" s="6" t="s">
        <v>46</v>
      </c>
      <c r="E20" s="6" t="s">
        <v>45</v>
      </c>
      <c r="F20" s="5" t="s">
        <v>19</v>
      </c>
      <c r="G20" s="34">
        <v>605</v>
      </c>
      <c r="H20" s="34"/>
      <c r="I20" s="5" t="s">
        <v>20</v>
      </c>
      <c r="J20" s="31" t="s">
        <v>21</v>
      </c>
      <c r="K20" s="31"/>
      <c r="L20" s="7" t="s">
        <v>22</v>
      </c>
      <c r="M20" s="32">
        <v>46081.47</v>
      </c>
      <c r="N20" s="32"/>
    </row>
    <row r="21" spans="1:14" ht="100.05" customHeight="1" outlineLevel="1" x14ac:dyDescent="0.2">
      <c r="A21" s="5" t="s">
        <v>42</v>
      </c>
      <c r="B21" s="29" t="s">
        <v>47</v>
      </c>
      <c r="C21" s="29"/>
      <c r="D21" s="6" t="s">
        <v>48</v>
      </c>
      <c r="E21" s="6" t="s">
        <v>49</v>
      </c>
      <c r="F21" s="5" t="s">
        <v>19</v>
      </c>
      <c r="G21" s="34">
        <v>66.650000000000006</v>
      </c>
      <c r="H21" s="34"/>
      <c r="I21" s="5" t="s">
        <v>20</v>
      </c>
      <c r="J21" s="31" t="s">
        <v>21</v>
      </c>
      <c r="K21" s="31"/>
      <c r="L21" s="7" t="s">
        <v>22</v>
      </c>
      <c r="M21" s="32">
        <v>46148.12</v>
      </c>
      <c r="N21" s="32"/>
    </row>
    <row r="22" spans="1:14" ht="88.95" customHeight="1" outlineLevel="1" x14ac:dyDescent="0.2">
      <c r="A22" s="5" t="s">
        <v>42</v>
      </c>
      <c r="B22" s="29" t="s">
        <v>47</v>
      </c>
      <c r="C22" s="29"/>
      <c r="D22" s="6" t="s">
        <v>50</v>
      </c>
      <c r="E22" s="6" t="s">
        <v>49</v>
      </c>
      <c r="F22" s="5" t="s">
        <v>19</v>
      </c>
      <c r="G22" s="34">
        <v>80</v>
      </c>
      <c r="H22" s="34"/>
      <c r="I22" s="5" t="s">
        <v>20</v>
      </c>
      <c r="J22" s="31" t="s">
        <v>21</v>
      </c>
      <c r="K22" s="31"/>
      <c r="L22" s="7" t="s">
        <v>22</v>
      </c>
      <c r="M22" s="32">
        <v>46228.12</v>
      </c>
      <c r="N22" s="32"/>
    </row>
    <row r="23" spans="1:14" ht="111" customHeight="1" outlineLevel="1" x14ac:dyDescent="0.2">
      <c r="A23" s="5" t="s">
        <v>51</v>
      </c>
      <c r="B23" s="29" t="s">
        <v>52</v>
      </c>
      <c r="C23" s="29"/>
      <c r="D23" s="6" t="s">
        <v>53</v>
      </c>
      <c r="E23" s="6" t="s">
        <v>54</v>
      </c>
      <c r="F23" s="5" t="s">
        <v>19</v>
      </c>
      <c r="G23" s="30">
        <v>6000</v>
      </c>
      <c r="H23" s="30"/>
      <c r="I23" s="5" t="s">
        <v>20</v>
      </c>
      <c r="J23" s="31" t="s">
        <v>21</v>
      </c>
      <c r="K23" s="31"/>
      <c r="L23" s="7" t="s">
        <v>22</v>
      </c>
      <c r="M23" s="32">
        <v>52228.12</v>
      </c>
      <c r="N23" s="32"/>
    </row>
    <row r="24" spans="1:14" ht="100.05" customHeight="1" outlineLevel="1" x14ac:dyDescent="0.2">
      <c r="A24" s="5" t="s">
        <v>55</v>
      </c>
      <c r="B24" s="29" t="s">
        <v>56</v>
      </c>
      <c r="C24" s="29"/>
      <c r="D24" s="6" t="s">
        <v>57</v>
      </c>
      <c r="E24" s="6" t="s">
        <v>58</v>
      </c>
      <c r="F24" s="5" t="s">
        <v>19</v>
      </c>
      <c r="G24" s="30">
        <v>2600</v>
      </c>
      <c r="H24" s="30"/>
      <c r="I24" s="5" t="s">
        <v>19</v>
      </c>
      <c r="J24" s="31" t="s">
        <v>21</v>
      </c>
      <c r="K24" s="31"/>
      <c r="L24" s="7" t="s">
        <v>22</v>
      </c>
      <c r="M24" s="32">
        <v>54828.12</v>
      </c>
      <c r="N24" s="32"/>
    </row>
    <row r="25" spans="1:14" ht="100.05" customHeight="1" outlineLevel="1" x14ac:dyDescent="0.2">
      <c r="A25" s="5" t="s">
        <v>55</v>
      </c>
      <c r="B25" s="29" t="s">
        <v>56</v>
      </c>
      <c r="C25" s="29"/>
      <c r="D25" s="6" t="s">
        <v>59</v>
      </c>
      <c r="E25" s="6" t="s">
        <v>60</v>
      </c>
      <c r="F25" s="5" t="s">
        <v>19</v>
      </c>
      <c r="G25" s="30">
        <v>1118</v>
      </c>
      <c r="H25" s="30"/>
      <c r="I25" s="5" t="s">
        <v>19</v>
      </c>
      <c r="J25" s="31" t="s">
        <v>21</v>
      </c>
      <c r="K25" s="31"/>
      <c r="L25" s="7" t="s">
        <v>22</v>
      </c>
      <c r="M25" s="32">
        <v>55946.12</v>
      </c>
      <c r="N25" s="32"/>
    </row>
    <row r="26" spans="1:14" ht="88.95" customHeight="1" outlineLevel="1" x14ac:dyDescent="0.2">
      <c r="A26" s="5" t="s">
        <v>55</v>
      </c>
      <c r="B26" s="29" t="s">
        <v>56</v>
      </c>
      <c r="C26" s="29"/>
      <c r="D26" s="6" t="s">
        <v>61</v>
      </c>
      <c r="E26" s="6" t="s">
        <v>62</v>
      </c>
      <c r="F26" s="5" t="s">
        <v>19</v>
      </c>
      <c r="G26" s="34">
        <v>488.6</v>
      </c>
      <c r="H26" s="34"/>
      <c r="I26" s="5" t="s">
        <v>19</v>
      </c>
      <c r="J26" s="31" t="s">
        <v>21</v>
      </c>
      <c r="K26" s="31"/>
      <c r="L26" s="7" t="s">
        <v>22</v>
      </c>
      <c r="M26" s="32">
        <v>56434.720000000001</v>
      </c>
      <c r="N26" s="32"/>
    </row>
    <row r="27" spans="1:14" ht="88.95" customHeight="1" outlineLevel="1" x14ac:dyDescent="0.2">
      <c r="A27" s="5" t="s">
        <v>55</v>
      </c>
      <c r="B27" s="29" t="s">
        <v>56</v>
      </c>
      <c r="C27" s="29"/>
      <c r="D27" s="6" t="s">
        <v>63</v>
      </c>
      <c r="E27" s="6" t="s">
        <v>64</v>
      </c>
      <c r="F27" s="5" t="s">
        <v>19</v>
      </c>
      <c r="G27" s="30">
        <v>1710.1</v>
      </c>
      <c r="H27" s="30"/>
      <c r="I27" s="5" t="s">
        <v>19</v>
      </c>
      <c r="J27" s="31" t="s">
        <v>21</v>
      </c>
      <c r="K27" s="31"/>
      <c r="L27" s="7" t="s">
        <v>22</v>
      </c>
      <c r="M27" s="32">
        <v>58144.82</v>
      </c>
      <c r="N27" s="32"/>
    </row>
    <row r="28" spans="1:14" ht="100.05" customHeight="1" outlineLevel="1" x14ac:dyDescent="0.2">
      <c r="A28" s="5" t="s">
        <v>55</v>
      </c>
      <c r="B28" s="29" t="s">
        <v>56</v>
      </c>
      <c r="C28" s="29"/>
      <c r="D28" s="6" t="s">
        <v>65</v>
      </c>
      <c r="E28" s="6" t="s">
        <v>66</v>
      </c>
      <c r="F28" s="5" t="s">
        <v>19</v>
      </c>
      <c r="G28" s="34">
        <v>27.5</v>
      </c>
      <c r="H28" s="34"/>
      <c r="I28" s="5" t="s">
        <v>19</v>
      </c>
      <c r="J28" s="31" t="s">
        <v>21</v>
      </c>
      <c r="K28" s="31"/>
      <c r="L28" s="7" t="s">
        <v>22</v>
      </c>
      <c r="M28" s="32">
        <v>58172.32</v>
      </c>
      <c r="N28" s="32"/>
    </row>
    <row r="29" spans="1:14" ht="100.05" customHeight="1" outlineLevel="1" x14ac:dyDescent="0.2">
      <c r="A29" s="5" t="s">
        <v>55</v>
      </c>
      <c r="B29" s="29" t="s">
        <v>56</v>
      </c>
      <c r="C29" s="29"/>
      <c r="D29" s="6" t="s">
        <v>67</v>
      </c>
      <c r="E29" s="6" t="s">
        <v>68</v>
      </c>
      <c r="F29" s="5" t="s">
        <v>19</v>
      </c>
      <c r="G29" s="34">
        <v>15.66</v>
      </c>
      <c r="H29" s="34"/>
      <c r="I29" s="5" t="s">
        <v>19</v>
      </c>
      <c r="J29" s="31" t="s">
        <v>21</v>
      </c>
      <c r="K29" s="31"/>
      <c r="L29" s="7" t="s">
        <v>22</v>
      </c>
      <c r="M29" s="32">
        <v>58187.98</v>
      </c>
      <c r="N29" s="32"/>
    </row>
    <row r="30" spans="1:14" ht="100.05" customHeight="1" outlineLevel="1" x14ac:dyDescent="0.2">
      <c r="A30" s="5" t="s">
        <v>55</v>
      </c>
      <c r="B30" s="29" t="s">
        <v>56</v>
      </c>
      <c r="C30" s="29"/>
      <c r="D30" s="6" t="s">
        <v>69</v>
      </c>
      <c r="E30" s="6" t="s">
        <v>70</v>
      </c>
      <c r="F30" s="5" t="s">
        <v>19</v>
      </c>
      <c r="G30" s="34">
        <v>337.8</v>
      </c>
      <c r="H30" s="34"/>
      <c r="I30" s="5" t="s">
        <v>19</v>
      </c>
      <c r="J30" s="31" t="s">
        <v>21</v>
      </c>
      <c r="K30" s="31"/>
      <c r="L30" s="7" t="s">
        <v>22</v>
      </c>
      <c r="M30" s="32">
        <v>58525.78</v>
      </c>
      <c r="N30" s="32"/>
    </row>
    <row r="31" spans="1:14" ht="88.95" customHeight="1" outlineLevel="1" x14ac:dyDescent="0.2">
      <c r="A31" s="5" t="s">
        <v>55</v>
      </c>
      <c r="B31" s="29" t="s">
        <v>56</v>
      </c>
      <c r="C31" s="29"/>
      <c r="D31" s="6" t="s">
        <v>71</v>
      </c>
      <c r="E31" s="6" t="s">
        <v>72</v>
      </c>
      <c r="F31" s="5" t="s">
        <v>19</v>
      </c>
      <c r="G31" s="34">
        <v>172</v>
      </c>
      <c r="H31" s="34"/>
      <c r="I31" s="5" t="s">
        <v>19</v>
      </c>
      <c r="J31" s="31" t="s">
        <v>21</v>
      </c>
      <c r="K31" s="31"/>
      <c r="L31" s="7" t="s">
        <v>22</v>
      </c>
      <c r="M31" s="32">
        <v>58697.78</v>
      </c>
      <c r="N31" s="32"/>
    </row>
    <row r="32" spans="1:14" ht="88.95" customHeight="1" outlineLevel="1" x14ac:dyDescent="0.2">
      <c r="A32" s="5" t="s">
        <v>55</v>
      </c>
      <c r="B32" s="29" t="s">
        <v>56</v>
      </c>
      <c r="C32" s="29"/>
      <c r="D32" s="6" t="s">
        <v>73</v>
      </c>
      <c r="E32" s="6" t="s">
        <v>74</v>
      </c>
      <c r="F32" s="5" t="s">
        <v>19</v>
      </c>
      <c r="G32" s="34">
        <v>264</v>
      </c>
      <c r="H32" s="34"/>
      <c r="I32" s="5" t="s">
        <v>19</v>
      </c>
      <c r="J32" s="31" t="s">
        <v>21</v>
      </c>
      <c r="K32" s="31"/>
      <c r="L32" s="7" t="s">
        <v>22</v>
      </c>
      <c r="M32" s="32">
        <v>58961.78</v>
      </c>
      <c r="N32" s="32"/>
    </row>
    <row r="33" spans="1:14" ht="88.95" customHeight="1" outlineLevel="1" x14ac:dyDescent="0.2">
      <c r="A33" s="5" t="s">
        <v>55</v>
      </c>
      <c r="B33" s="29" t="s">
        <v>75</v>
      </c>
      <c r="C33" s="29"/>
      <c r="D33" s="6" t="s">
        <v>76</v>
      </c>
      <c r="E33" s="6" t="s">
        <v>77</v>
      </c>
      <c r="F33" s="5" t="s">
        <v>19</v>
      </c>
      <c r="G33" s="30">
        <v>3920</v>
      </c>
      <c r="H33" s="30"/>
      <c r="I33" s="5" t="s">
        <v>19</v>
      </c>
      <c r="J33" s="31" t="s">
        <v>21</v>
      </c>
      <c r="K33" s="31"/>
      <c r="L33" s="7" t="s">
        <v>22</v>
      </c>
      <c r="M33" s="32">
        <v>62881.78</v>
      </c>
      <c r="N33" s="32"/>
    </row>
    <row r="34" spans="1:14" ht="88.95" customHeight="1" outlineLevel="1" x14ac:dyDescent="0.2">
      <c r="A34" s="5" t="s">
        <v>55</v>
      </c>
      <c r="B34" s="29" t="s">
        <v>75</v>
      </c>
      <c r="C34" s="29"/>
      <c r="D34" s="6" t="s">
        <v>78</v>
      </c>
      <c r="E34" s="6" t="s">
        <v>79</v>
      </c>
      <c r="F34" s="5" t="s">
        <v>19</v>
      </c>
      <c r="G34" s="30">
        <v>4960</v>
      </c>
      <c r="H34" s="30"/>
      <c r="I34" s="5" t="s">
        <v>19</v>
      </c>
      <c r="J34" s="31" t="s">
        <v>21</v>
      </c>
      <c r="K34" s="31"/>
      <c r="L34" s="7" t="s">
        <v>22</v>
      </c>
      <c r="M34" s="32">
        <v>67841.78</v>
      </c>
      <c r="N34" s="32"/>
    </row>
    <row r="35" spans="1:14" ht="88.95" customHeight="1" outlineLevel="1" x14ac:dyDescent="0.2">
      <c r="A35" s="5" t="s">
        <v>55</v>
      </c>
      <c r="B35" s="29" t="s">
        <v>80</v>
      </c>
      <c r="C35" s="29"/>
      <c r="D35" s="6" t="s">
        <v>81</v>
      </c>
      <c r="E35" s="6" t="s">
        <v>82</v>
      </c>
      <c r="F35" s="5" t="s">
        <v>19</v>
      </c>
      <c r="G35" s="30">
        <v>1304.8900000000001</v>
      </c>
      <c r="H35" s="30"/>
      <c r="I35" s="5" t="s">
        <v>19</v>
      </c>
      <c r="J35" s="31" t="s">
        <v>21</v>
      </c>
      <c r="K35" s="31"/>
      <c r="L35" s="7" t="s">
        <v>22</v>
      </c>
      <c r="M35" s="32">
        <v>69146.67</v>
      </c>
      <c r="N35" s="32"/>
    </row>
    <row r="36" spans="1:14" ht="111" customHeight="1" outlineLevel="1" x14ac:dyDescent="0.2">
      <c r="A36" s="5" t="s">
        <v>83</v>
      </c>
      <c r="B36" s="29" t="s">
        <v>84</v>
      </c>
      <c r="C36" s="29"/>
      <c r="D36" s="6" t="s">
        <v>28</v>
      </c>
      <c r="E36" s="6" t="s">
        <v>17</v>
      </c>
      <c r="F36" s="5" t="s">
        <v>29</v>
      </c>
      <c r="G36" s="33" t="s">
        <v>21</v>
      </c>
      <c r="H36" s="33"/>
      <c r="I36" s="5" t="s">
        <v>19</v>
      </c>
      <c r="J36" s="32">
        <v>2308.0500000000002</v>
      </c>
      <c r="K36" s="32"/>
      <c r="L36" s="7" t="s">
        <v>22</v>
      </c>
      <c r="M36" s="32">
        <v>66838.62</v>
      </c>
      <c r="N36" s="32"/>
    </row>
    <row r="37" spans="1:14" ht="111" customHeight="1" outlineLevel="1" x14ac:dyDescent="0.2">
      <c r="A37" s="5" t="s">
        <v>83</v>
      </c>
      <c r="B37" s="29" t="s">
        <v>84</v>
      </c>
      <c r="C37" s="29"/>
      <c r="D37" s="6" t="s">
        <v>28</v>
      </c>
      <c r="E37" s="6" t="s">
        <v>50</v>
      </c>
      <c r="F37" s="5" t="s">
        <v>29</v>
      </c>
      <c r="G37" s="33" t="s">
        <v>21</v>
      </c>
      <c r="H37" s="33"/>
      <c r="I37" s="5" t="s">
        <v>19</v>
      </c>
      <c r="J37" s="35">
        <v>80</v>
      </c>
      <c r="K37" s="35"/>
      <c r="L37" s="7" t="s">
        <v>22</v>
      </c>
      <c r="M37" s="32">
        <v>66758.62</v>
      </c>
      <c r="N37" s="32"/>
    </row>
    <row r="38" spans="1:14" ht="111" customHeight="1" outlineLevel="1" x14ac:dyDescent="0.2">
      <c r="A38" s="5" t="s">
        <v>83</v>
      </c>
      <c r="B38" s="29" t="s">
        <v>84</v>
      </c>
      <c r="C38" s="29"/>
      <c r="D38" s="6" t="s">
        <v>28</v>
      </c>
      <c r="E38" s="6" t="s">
        <v>46</v>
      </c>
      <c r="F38" s="5" t="s">
        <v>29</v>
      </c>
      <c r="G38" s="33" t="s">
        <v>21</v>
      </c>
      <c r="H38" s="33"/>
      <c r="I38" s="5" t="s">
        <v>19</v>
      </c>
      <c r="J38" s="35">
        <v>605</v>
      </c>
      <c r="K38" s="35"/>
      <c r="L38" s="7" t="s">
        <v>22</v>
      </c>
      <c r="M38" s="32">
        <v>66153.62</v>
      </c>
      <c r="N38" s="32"/>
    </row>
    <row r="39" spans="1:14" ht="111" customHeight="1" outlineLevel="1" x14ac:dyDescent="0.2">
      <c r="A39" s="5" t="s">
        <v>83</v>
      </c>
      <c r="B39" s="29" t="s">
        <v>84</v>
      </c>
      <c r="C39" s="29"/>
      <c r="D39" s="6" t="s">
        <v>28</v>
      </c>
      <c r="E39" s="6" t="s">
        <v>76</v>
      </c>
      <c r="F39" s="5" t="s">
        <v>29</v>
      </c>
      <c r="G39" s="33" t="s">
        <v>21</v>
      </c>
      <c r="H39" s="33"/>
      <c r="I39" s="5" t="s">
        <v>19</v>
      </c>
      <c r="J39" s="32">
        <v>3920</v>
      </c>
      <c r="K39" s="32"/>
      <c r="L39" s="7" t="s">
        <v>22</v>
      </c>
      <c r="M39" s="32">
        <v>62233.62</v>
      </c>
      <c r="N39" s="32"/>
    </row>
    <row r="40" spans="1:14" ht="111" customHeight="1" outlineLevel="1" x14ac:dyDescent="0.2">
      <c r="A40" s="5" t="s">
        <v>83</v>
      </c>
      <c r="B40" s="29" t="s">
        <v>84</v>
      </c>
      <c r="C40" s="29"/>
      <c r="D40" s="6" t="s">
        <v>28</v>
      </c>
      <c r="E40" s="6" t="s">
        <v>78</v>
      </c>
      <c r="F40" s="5" t="s">
        <v>29</v>
      </c>
      <c r="G40" s="33" t="s">
        <v>21</v>
      </c>
      <c r="H40" s="33"/>
      <c r="I40" s="5" t="s">
        <v>19</v>
      </c>
      <c r="J40" s="32">
        <v>4960</v>
      </c>
      <c r="K40" s="32"/>
      <c r="L40" s="7" t="s">
        <v>22</v>
      </c>
      <c r="M40" s="32">
        <v>57273.62</v>
      </c>
      <c r="N40" s="32"/>
    </row>
    <row r="41" spans="1:14" ht="111" customHeight="1" outlineLevel="1" x14ac:dyDescent="0.2">
      <c r="A41" s="5" t="s">
        <v>83</v>
      </c>
      <c r="B41" s="29" t="s">
        <v>84</v>
      </c>
      <c r="C41" s="29"/>
      <c r="D41" s="6" t="s">
        <v>28</v>
      </c>
      <c r="E41" s="6" t="s">
        <v>25</v>
      </c>
      <c r="F41" s="5" t="s">
        <v>29</v>
      </c>
      <c r="G41" s="33" t="s">
        <v>21</v>
      </c>
      <c r="H41" s="33"/>
      <c r="I41" s="5" t="s">
        <v>19</v>
      </c>
      <c r="J41" s="32">
        <v>21410.67</v>
      </c>
      <c r="K41" s="32"/>
      <c r="L41" s="7" t="s">
        <v>22</v>
      </c>
      <c r="M41" s="32">
        <v>35862.949999999997</v>
      </c>
      <c r="N41" s="32"/>
    </row>
    <row r="42" spans="1:14" ht="111" customHeight="1" outlineLevel="1" x14ac:dyDescent="0.2">
      <c r="A42" s="5" t="s">
        <v>83</v>
      </c>
      <c r="B42" s="29" t="s">
        <v>84</v>
      </c>
      <c r="C42" s="29"/>
      <c r="D42" s="6" t="s">
        <v>28</v>
      </c>
      <c r="E42" s="6" t="s">
        <v>40</v>
      </c>
      <c r="F42" s="5" t="s">
        <v>29</v>
      </c>
      <c r="G42" s="33" t="s">
        <v>21</v>
      </c>
      <c r="H42" s="33"/>
      <c r="I42" s="5" t="s">
        <v>19</v>
      </c>
      <c r="J42" s="32">
        <v>2430</v>
      </c>
      <c r="K42" s="32"/>
      <c r="L42" s="7" t="s">
        <v>22</v>
      </c>
      <c r="M42" s="32">
        <v>33432.949999999997</v>
      </c>
      <c r="N42" s="32"/>
    </row>
    <row r="43" spans="1:14" ht="111" customHeight="1" outlineLevel="1" x14ac:dyDescent="0.2">
      <c r="A43" s="5" t="s">
        <v>83</v>
      </c>
      <c r="B43" s="29" t="s">
        <v>84</v>
      </c>
      <c r="C43" s="29"/>
      <c r="D43" s="6" t="s">
        <v>28</v>
      </c>
      <c r="E43" s="6" t="s">
        <v>81</v>
      </c>
      <c r="F43" s="5" t="s">
        <v>29</v>
      </c>
      <c r="G43" s="33" t="s">
        <v>21</v>
      </c>
      <c r="H43" s="33"/>
      <c r="I43" s="5" t="s">
        <v>19</v>
      </c>
      <c r="J43" s="32">
        <v>1304.8900000000001</v>
      </c>
      <c r="K43" s="32"/>
      <c r="L43" s="7" t="s">
        <v>22</v>
      </c>
      <c r="M43" s="32">
        <v>32128.06</v>
      </c>
      <c r="N43" s="32"/>
    </row>
    <row r="44" spans="1:14" ht="111" customHeight="1" outlineLevel="1" x14ac:dyDescent="0.2">
      <c r="A44" s="5" t="s">
        <v>83</v>
      </c>
      <c r="B44" s="29" t="s">
        <v>84</v>
      </c>
      <c r="C44" s="29"/>
      <c r="D44" s="6" t="s">
        <v>28</v>
      </c>
      <c r="E44" s="6" t="s">
        <v>34</v>
      </c>
      <c r="F44" s="5" t="s">
        <v>29</v>
      </c>
      <c r="G44" s="33" t="s">
        <v>21</v>
      </c>
      <c r="H44" s="33"/>
      <c r="I44" s="5" t="s">
        <v>19</v>
      </c>
      <c r="J44" s="32">
        <v>5157.5</v>
      </c>
      <c r="K44" s="32"/>
      <c r="L44" s="7" t="s">
        <v>22</v>
      </c>
      <c r="M44" s="32">
        <v>26970.560000000001</v>
      </c>
      <c r="N44" s="32"/>
    </row>
    <row r="45" spans="1:14" ht="111" customHeight="1" outlineLevel="1" x14ac:dyDescent="0.2">
      <c r="A45" s="5" t="s">
        <v>83</v>
      </c>
      <c r="B45" s="29" t="s">
        <v>84</v>
      </c>
      <c r="C45" s="29"/>
      <c r="D45" s="6" t="s">
        <v>28</v>
      </c>
      <c r="E45" s="6" t="s">
        <v>23</v>
      </c>
      <c r="F45" s="5" t="s">
        <v>29</v>
      </c>
      <c r="G45" s="33" t="s">
        <v>21</v>
      </c>
      <c r="H45" s="33"/>
      <c r="I45" s="5" t="s">
        <v>19</v>
      </c>
      <c r="J45" s="32">
        <v>3912</v>
      </c>
      <c r="K45" s="32"/>
      <c r="L45" s="7" t="s">
        <v>22</v>
      </c>
      <c r="M45" s="32">
        <v>23058.560000000001</v>
      </c>
      <c r="N45" s="32"/>
    </row>
    <row r="46" spans="1:14" ht="111" customHeight="1" outlineLevel="1" x14ac:dyDescent="0.2">
      <c r="A46" s="5" t="s">
        <v>83</v>
      </c>
      <c r="B46" s="29" t="s">
        <v>84</v>
      </c>
      <c r="C46" s="29"/>
      <c r="D46" s="6" t="s">
        <v>28</v>
      </c>
      <c r="E46" s="6" t="s">
        <v>44</v>
      </c>
      <c r="F46" s="5" t="s">
        <v>29</v>
      </c>
      <c r="G46" s="33" t="s">
        <v>21</v>
      </c>
      <c r="H46" s="33"/>
      <c r="I46" s="5" t="s">
        <v>19</v>
      </c>
      <c r="J46" s="32">
        <v>2167.5</v>
      </c>
      <c r="K46" s="32"/>
      <c r="L46" s="7" t="s">
        <v>22</v>
      </c>
      <c r="M46" s="32">
        <v>20891.060000000001</v>
      </c>
      <c r="N46" s="32"/>
    </row>
    <row r="47" spans="1:14" ht="111" customHeight="1" outlineLevel="1" x14ac:dyDescent="0.2">
      <c r="A47" s="5" t="s">
        <v>83</v>
      </c>
      <c r="B47" s="29" t="s">
        <v>84</v>
      </c>
      <c r="C47" s="29"/>
      <c r="D47" s="6" t="s">
        <v>28</v>
      </c>
      <c r="E47" s="6" t="s">
        <v>48</v>
      </c>
      <c r="F47" s="5" t="s">
        <v>29</v>
      </c>
      <c r="G47" s="33" t="s">
        <v>21</v>
      </c>
      <c r="H47" s="33"/>
      <c r="I47" s="5" t="s">
        <v>19</v>
      </c>
      <c r="J47" s="35">
        <v>66.650000000000006</v>
      </c>
      <c r="K47" s="35"/>
      <c r="L47" s="7" t="s">
        <v>22</v>
      </c>
      <c r="M47" s="32">
        <v>20824.41</v>
      </c>
      <c r="N47" s="32"/>
    </row>
    <row r="48" spans="1:14" ht="111" customHeight="1" outlineLevel="1" x14ac:dyDescent="0.2">
      <c r="A48" s="5" t="s">
        <v>83</v>
      </c>
      <c r="B48" s="29" t="s">
        <v>84</v>
      </c>
      <c r="C48" s="29"/>
      <c r="D48" s="6" t="s">
        <v>28</v>
      </c>
      <c r="E48" s="6" t="s">
        <v>32</v>
      </c>
      <c r="F48" s="5" t="s">
        <v>29</v>
      </c>
      <c r="G48" s="33" t="s">
        <v>21</v>
      </c>
      <c r="H48" s="33"/>
      <c r="I48" s="5" t="s">
        <v>19</v>
      </c>
      <c r="J48" s="32">
        <v>2340.75</v>
      </c>
      <c r="K48" s="32"/>
      <c r="L48" s="7" t="s">
        <v>22</v>
      </c>
      <c r="M48" s="32">
        <v>18483.66</v>
      </c>
      <c r="N48" s="32"/>
    </row>
    <row r="49" spans="1:14" ht="111" customHeight="1" outlineLevel="1" x14ac:dyDescent="0.2">
      <c r="A49" s="5" t="s">
        <v>83</v>
      </c>
      <c r="B49" s="29" t="s">
        <v>84</v>
      </c>
      <c r="C49" s="29"/>
      <c r="D49" s="6" t="s">
        <v>28</v>
      </c>
      <c r="E49" s="6" t="s">
        <v>37</v>
      </c>
      <c r="F49" s="5" t="s">
        <v>29</v>
      </c>
      <c r="G49" s="33" t="s">
        <v>21</v>
      </c>
      <c r="H49" s="33"/>
      <c r="I49" s="5" t="s">
        <v>19</v>
      </c>
      <c r="J49" s="32">
        <v>5750</v>
      </c>
      <c r="K49" s="32"/>
      <c r="L49" s="7" t="s">
        <v>22</v>
      </c>
      <c r="M49" s="32">
        <v>12733.66</v>
      </c>
      <c r="N49" s="32"/>
    </row>
    <row r="50" spans="1:14" ht="111" customHeight="1" outlineLevel="1" x14ac:dyDescent="0.2">
      <c r="A50" s="5" t="s">
        <v>83</v>
      </c>
      <c r="B50" s="29" t="s">
        <v>84</v>
      </c>
      <c r="C50" s="29"/>
      <c r="D50" s="6" t="s">
        <v>28</v>
      </c>
      <c r="E50" s="6" t="s">
        <v>53</v>
      </c>
      <c r="F50" s="5" t="s">
        <v>29</v>
      </c>
      <c r="G50" s="33" t="s">
        <v>21</v>
      </c>
      <c r="H50" s="33"/>
      <c r="I50" s="5" t="s">
        <v>19</v>
      </c>
      <c r="J50" s="32">
        <v>6000</v>
      </c>
      <c r="K50" s="32"/>
      <c r="L50" s="7" t="s">
        <v>22</v>
      </c>
      <c r="M50" s="32">
        <v>6733.66</v>
      </c>
      <c r="N50" s="32"/>
    </row>
    <row r="51" spans="1:14" ht="111" customHeight="1" outlineLevel="1" x14ac:dyDescent="0.2">
      <c r="A51" s="5" t="s">
        <v>83</v>
      </c>
      <c r="B51" s="29" t="s">
        <v>84</v>
      </c>
      <c r="C51" s="29"/>
      <c r="D51" s="6" t="s">
        <v>28</v>
      </c>
      <c r="E51" s="6" t="s">
        <v>59</v>
      </c>
      <c r="F51" s="5" t="s">
        <v>29</v>
      </c>
      <c r="G51" s="33" t="s">
        <v>21</v>
      </c>
      <c r="H51" s="33"/>
      <c r="I51" s="5" t="s">
        <v>19</v>
      </c>
      <c r="J51" s="32">
        <v>1118</v>
      </c>
      <c r="K51" s="32"/>
      <c r="L51" s="7" t="s">
        <v>22</v>
      </c>
      <c r="M51" s="32">
        <v>5615.66</v>
      </c>
      <c r="N51" s="32"/>
    </row>
    <row r="52" spans="1:14" ht="111" customHeight="1" outlineLevel="1" x14ac:dyDescent="0.2">
      <c r="A52" s="5" t="s">
        <v>83</v>
      </c>
      <c r="B52" s="29" t="s">
        <v>84</v>
      </c>
      <c r="C52" s="29"/>
      <c r="D52" s="6" t="s">
        <v>28</v>
      </c>
      <c r="E52" s="6" t="s">
        <v>61</v>
      </c>
      <c r="F52" s="5" t="s">
        <v>29</v>
      </c>
      <c r="G52" s="33" t="s">
        <v>21</v>
      </c>
      <c r="H52" s="33"/>
      <c r="I52" s="5" t="s">
        <v>19</v>
      </c>
      <c r="J52" s="35">
        <v>488.6</v>
      </c>
      <c r="K52" s="35"/>
      <c r="L52" s="7" t="s">
        <v>22</v>
      </c>
      <c r="M52" s="32">
        <v>5127.0600000000004</v>
      </c>
      <c r="N52" s="32"/>
    </row>
    <row r="53" spans="1:14" ht="111" customHeight="1" outlineLevel="1" x14ac:dyDescent="0.2">
      <c r="A53" s="5" t="s">
        <v>83</v>
      </c>
      <c r="B53" s="29" t="s">
        <v>84</v>
      </c>
      <c r="C53" s="29"/>
      <c r="D53" s="6" t="s">
        <v>28</v>
      </c>
      <c r="E53" s="6" t="s">
        <v>63</v>
      </c>
      <c r="F53" s="5" t="s">
        <v>29</v>
      </c>
      <c r="G53" s="33" t="s">
        <v>21</v>
      </c>
      <c r="H53" s="33"/>
      <c r="I53" s="5" t="s">
        <v>19</v>
      </c>
      <c r="J53" s="32">
        <v>1710.1</v>
      </c>
      <c r="K53" s="32"/>
      <c r="L53" s="7" t="s">
        <v>22</v>
      </c>
      <c r="M53" s="32">
        <v>3416.96</v>
      </c>
      <c r="N53" s="32"/>
    </row>
    <row r="54" spans="1:14" ht="111" customHeight="1" outlineLevel="1" x14ac:dyDescent="0.2">
      <c r="A54" s="5" t="s">
        <v>83</v>
      </c>
      <c r="B54" s="29" t="s">
        <v>84</v>
      </c>
      <c r="C54" s="29"/>
      <c r="D54" s="6" t="s">
        <v>28</v>
      </c>
      <c r="E54" s="6" t="s">
        <v>65</v>
      </c>
      <c r="F54" s="5" t="s">
        <v>29</v>
      </c>
      <c r="G54" s="33" t="s">
        <v>21</v>
      </c>
      <c r="H54" s="33"/>
      <c r="I54" s="5" t="s">
        <v>19</v>
      </c>
      <c r="J54" s="35">
        <v>27.5</v>
      </c>
      <c r="K54" s="35"/>
      <c r="L54" s="7" t="s">
        <v>22</v>
      </c>
      <c r="M54" s="32">
        <v>3389.46</v>
      </c>
      <c r="N54" s="32"/>
    </row>
    <row r="55" spans="1:14" ht="111" customHeight="1" outlineLevel="1" x14ac:dyDescent="0.2">
      <c r="A55" s="5" t="s">
        <v>83</v>
      </c>
      <c r="B55" s="29" t="s">
        <v>84</v>
      </c>
      <c r="C55" s="29"/>
      <c r="D55" s="6" t="s">
        <v>28</v>
      </c>
      <c r="E55" s="6" t="s">
        <v>67</v>
      </c>
      <c r="F55" s="5" t="s">
        <v>29</v>
      </c>
      <c r="G55" s="33" t="s">
        <v>21</v>
      </c>
      <c r="H55" s="33"/>
      <c r="I55" s="5" t="s">
        <v>19</v>
      </c>
      <c r="J55" s="35">
        <v>15.66</v>
      </c>
      <c r="K55" s="35"/>
      <c r="L55" s="7" t="s">
        <v>22</v>
      </c>
      <c r="M55" s="32">
        <v>3373.8</v>
      </c>
      <c r="N55" s="32"/>
    </row>
    <row r="56" spans="1:14" ht="111" customHeight="1" outlineLevel="1" x14ac:dyDescent="0.2">
      <c r="A56" s="5" t="s">
        <v>83</v>
      </c>
      <c r="B56" s="29" t="s">
        <v>84</v>
      </c>
      <c r="C56" s="29"/>
      <c r="D56" s="6" t="s">
        <v>28</v>
      </c>
      <c r="E56" s="6" t="s">
        <v>69</v>
      </c>
      <c r="F56" s="5" t="s">
        <v>29</v>
      </c>
      <c r="G56" s="33" t="s">
        <v>21</v>
      </c>
      <c r="H56" s="33"/>
      <c r="I56" s="5" t="s">
        <v>19</v>
      </c>
      <c r="J56" s="35">
        <v>337.8</v>
      </c>
      <c r="K56" s="35"/>
      <c r="L56" s="7" t="s">
        <v>22</v>
      </c>
      <c r="M56" s="32">
        <v>3036</v>
      </c>
      <c r="N56" s="32"/>
    </row>
    <row r="57" spans="1:14" ht="111" customHeight="1" outlineLevel="1" x14ac:dyDescent="0.2">
      <c r="A57" s="5" t="s">
        <v>83</v>
      </c>
      <c r="B57" s="29" t="s">
        <v>84</v>
      </c>
      <c r="C57" s="29"/>
      <c r="D57" s="6" t="s">
        <v>28</v>
      </c>
      <c r="E57" s="6" t="s">
        <v>71</v>
      </c>
      <c r="F57" s="5" t="s">
        <v>29</v>
      </c>
      <c r="G57" s="33" t="s">
        <v>21</v>
      </c>
      <c r="H57" s="33"/>
      <c r="I57" s="5" t="s">
        <v>19</v>
      </c>
      <c r="J57" s="35">
        <v>172</v>
      </c>
      <c r="K57" s="35"/>
      <c r="L57" s="7" t="s">
        <v>22</v>
      </c>
      <c r="M57" s="32">
        <v>2864</v>
      </c>
      <c r="N57" s="32"/>
    </row>
    <row r="58" spans="1:14" ht="111" customHeight="1" outlineLevel="1" x14ac:dyDescent="0.2">
      <c r="A58" s="5" t="s">
        <v>83</v>
      </c>
      <c r="B58" s="29" t="s">
        <v>84</v>
      </c>
      <c r="C58" s="29"/>
      <c r="D58" s="6" t="s">
        <v>28</v>
      </c>
      <c r="E58" s="6" t="s">
        <v>73</v>
      </c>
      <c r="F58" s="5" t="s">
        <v>29</v>
      </c>
      <c r="G58" s="33" t="s">
        <v>21</v>
      </c>
      <c r="H58" s="33"/>
      <c r="I58" s="5" t="s">
        <v>19</v>
      </c>
      <c r="J58" s="35">
        <v>264</v>
      </c>
      <c r="K58" s="35"/>
      <c r="L58" s="7" t="s">
        <v>22</v>
      </c>
      <c r="M58" s="32">
        <v>2600</v>
      </c>
      <c r="N58" s="32"/>
    </row>
    <row r="59" spans="1:14" ht="100.05" customHeight="1" outlineLevel="1" x14ac:dyDescent="0.2">
      <c r="A59" s="5" t="s">
        <v>85</v>
      </c>
      <c r="B59" s="29" t="s">
        <v>86</v>
      </c>
      <c r="C59" s="29"/>
      <c r="D59" s="6" t="s">
        <v>58</v>
      </c>
      <c r="E59" s="6" t="s">
        <v>57</v>
      </c>
      <c r="F59" s="5" t="s">
        <v>19</v>
      </c>
      <c r="G59" s="33" t="s">
        <v>21</v>
      </c>
      <c r="H59" s="33"/>
      <c r="I59" s="5" t="s">
        <v>19</v>
      </c>
      <c r="J59" s="32">
        <v>2600</v>
      </c>
      <c r="K59" s="32"/>
      <c r="L59" s="8"/>
      <c r="M59" s="9"/>
      <c r="N59" s="10"/>
    </row>
    <row r="60" spans="1:14" ht="13.05" customHeight="1" x14ac:dyDescent="0.2">
      <c r="A60" s="36" t="s">
        <v>87</v>
      </c>
      <c r="B60" s="36"/>
      <c r="C60" s="36"/>
      <c r="D60" s="36"/>
      <c r="E60" s="36"/>
      <c r="F60" s="37">
        <v>78736</v>
      </c>
      <c r="G60" s="37"/>
      <c r="H60" s="37"/>
      <c r="I60" s="39">
        <v>78736</v>
      </c>
      <c r="J60" s="39"/>
      <c r="K60" s="39"/>
      <c r="L60" s="11"/>
      <c r="M60" s="38">
        <v>0</v>
      </c>
      <c r="N60" s="38"/>
    </row>
    <row r="62" spans="1:14" ht="11.4" customHeight="1" x14ac:dyDescent="0.2">
      <c r="K62" s="1">
        <f>I60*1.2</f>
        <v>94483.199999999997</v>
      </c>
    </row>
  </sheetData>
  <autoFilter ref="A9:N60">
    <filterColumn colId="1" showButton="0"/>
    <filterColumn colId="6" showButton="0"/>
    <filterColumn colId="9" showButton="0"/>
    <filterColumn colId="11" showButton="0"/>
    <filterColumn colId="12" showButton="0"/>
  </autoFilter>
  <mergeCells count="217">
    <mergeCell ref="B58:C58"/>
    <mergeCell ref="G58:H58"/>
    <mergeCell ref="J58:K58"/>
    <mergeCell ref="M58:N58"/>
    <mergeCell ref="B59:C59"/>
    <mergeCell ref="G59:H59"/>
    <mergeCell ref="J59:K59"/>
    <mergeCell ref="A60:E60"/>
    <mergeCell ref="F60:H60"/>
    <mergeCell ref="I60:K60"/>
    <mergeCell ref="M60:N60"/>
    <mergeCell ref="B55:C55"/>
    <mergeCell ref="G55:H55"/>
    <mergeCell ref="J55:K55"/>
    <mergeCell ref="M55:N55"/>
    <mergeCell ref="B56:C56"/>
    <mergeCell ref="G56:H56"/>
    <mergeCell ref="J56:K56"/>
    <mergeCell ref="M56:N56"/>
    <mergeCell ref="B57:C57"/>
    <mergeCell ref="G57:H57"/>
    <mergeCell ref="J57:K57"/>
    <mergeCell ref="M57:N57"/>
    <mergeCell ref="B52:C52"/>
    <mergeCell ref="G52:H52"/>
    <mergeCell ref="J52:K52"/>
    <mergeCell ref="M52:N52"/>
    <mergeCell ref="B53:C53"/>
    <mergeCell ref="G53:H53"/>
    <mergeCell ref="J53:K53"/>
    <mergeCell ref="M53:N53"/>
    <mergeCell ref="B54:C54"/>
    <mergeCell ref="G54:H54"/>
    <mergeCell ref="J54:K54"/>
    <mergeCell ref="M54:N54"/>
    <mergeCell ref="B49:C49"/>
    <mergeCell ref="G49:H49"/>
    <mergeCell ref="J49:K49"/>
    <mergeCell ref="M49:N49"/>
    <mergeCell ref="B50:C50"/>
    <mergeCell ref="G50:H50"/>
    <mergeCell ref="J50:K50"/>
    <mergeCell ref="M50:N50"/>
    <mergeCell ref="B51:C51"/>
    <mergeCell ref="G51:H51"/>
    <mergeCell ref="J51:K51"/>
    <mergeCell ref="M51:N51"/>
    <mergeCell ref="B46:C46"/>
    <mergeCell ref="G46:H46"/>
    <mergeCell ref="J46:K46"/>
    <mergeCell ref="M46:N46"/>
    <mergeCell ref="B47:C47"/>
    <mergeCell ref="G47:H47"/>
    <mergeCell ref="J47:K47"/>
    <mergeCell ref="M47:N47"/>
    <mergeCell ref="B48:C48"/>
    <mergeCell ref="G48:H48"/>
    <mergeCell ref="J48:K48"/>
    <mergeCell ref="M48:N48"/>
    <mergeCell ref="B43:C43"/>
    <mergeCell ref="G43:H43"/>
    <mergeCell ref="J43:K43"/>
    <mergeCell ref="M43:N43"/>
    <mergeCell ref="B44:C44"/>
    <mergeCell ref="G44:H44"/>
    <mergeCell ref="J44:K44"/>
    <mergeCell ref="M44:N44"/>
    <mergeCell ref="B45:C45"/>
    <mergeCell ref="G45:H45"/>
    <mergeCell ref="J45:K45"/>
    <mergeCell ref="M45:N45"/>
    <mergeCell ref="B40:C40"/>
    <mergeCell ref="G40:H40"/>
    <mergeCell ref="J40:K40"/>
    <mergeCell ref="M40:N40"/>
    <mergeCell ref="B41:C41"/>
    <mergeCell ref="G41:H41"/>
    <mergeCell ref="J41:K41"/>
    <mergeCell ref="M41:N41"/>
    <mergeCell ref="B42:C42"/>
    <mergeCell ref="G42:H42"/>
    <mergeCell ref="J42:K42"/>
    <mergeCell ref="M42:N42"/>
    <mergeCell ref="B37:C37"/>
    <mergeCell ref="G37:H37"/>
    <mergeCell ref="J37:K37"/>
    <mergeCell ref="M37:N37"/>
    <mergeCell ref="B38:C38"/>
    <mergeCell ref="G38:H38"/>
    <mergeCell ref="J38:K38"/>
    <mergeCell ref="M38:N38"/>
    <mergeCell ref="B39:C39"/>
    <mergeCell ref="G39:H39"/>
    <mergeCell ref="J39:K39"/>
    <mergeCell ref="M39:N39"/>
    <mergeCell ref="B34:C34"/>
    <mergeCell ref="G34:H34"/>
    <mergeCell ref="J34:K34"/>
    <mergeCell ref="M34:N34"/>
    <mergeCell ref="B35:C35"/>
    <mergeCell ref="G35:H35"/>
    <mergeCell ref="J35:K35"/>
    <mergeCell ref="M35:N35"/>
    <mergeCell ref="B36:C36"/>
    <mergeCell ref="G36:H36"/>
    <mergeCell ref="J36:K36"/>
    <mergeCell ref="M36:N36"/>
    <mergeCell ref="B31:C31"/>
    <mergeCell ref="G31:H31"/>
    <mergeCell ref="J31:K31"/>
    <mergeCell ref="M31:N31"/>
    <mergeCell ref="B32:C32"/>
    <mergeCell ref="G32:H32"/>
    <mergeCell ref="J32:K32"/>
    <mergeCell ref="M32:N32"/>
    <mergeCell ref="B33:C33"/>
    <mergeCell ref="G33:H33"/>
    <mergeCell ref="J33:K33"/>
    <mergeCell ref="M33:N33"/>
    <mergeCell ref="B28:C28"/>
    <mergeCell ref="G28:H28"/>
    <mergeCell ref="J28:K28"/>
    <mergeCell ref="M28:N28"/>
    <mergeCell ref="B29:C29"/>
    <mergeCell ref="G29:H29"/>
    <mergeCell ref="J29:K29"/>
    <mergeCell ref="M29:N29"/>
    <mergeCell ref="B30:C30"/>
    <mergeCell ref="G30:H30"/>
    <mergeCell ref="J30:K30"/>
    <mergeCell ref="M30:N30"/>
    <mergeCell ref="B25:C25"/>
    <mergeCell ref="G25:H25"/>
    <mergeCell ref="J25:K25"/>
    <mergeCell ref="M25:N25"/>
    <mergeCell ref="B26:C26"/>
    <mergeCell ref="G26:H26"/>
    <mergeCell ref="J26:K26"/>
    <mergeCell ref="M26:N26"/>
    <mergeCell ref="B27:C27"/>
    <mergeCell ref="G27:H27"/>
    <mergeCell ref="J27:K27"/>
    <mergeCell ref="M27:N27"/>
    <mergeCell ref="B22:C22"/>
    <mergeCell ref="G22:H22"/>
    <mergeCell ref="J22:K22"/>
    <mergeCell ref="M22:N22"/>
    <mergeCell ref="B23:C23"/>
    <mergeCell ref="G23:H23"/>
    <mergeCell ref="J23:K23"/>
    <mergeCell ref="M23:N23"/>
    <mergeCell ref="B24:C24"/>
    <mergeCell ref="G24:H24"/>
    <mergeCell ref="J24:K24"/>
    <mergeCell ref="M24:N24"/>
    <mergeCell ref="B19:C19"/>
    <mergeCell ref="G19:H19"/>
    <mergeCell ref="J19:K19"/>
    <mergeCell ref="M19:N19"/>
    <mergeCell ref="B20:C20"/>
    <mergeCell ref="G20:H20"/>
    <mergeCell ref="J20:K20"/>
    <mergeCell ref="M20:N20"/>
    <mergeCell ref="B21:C21"/>
    <mergeCell ref="G21:H21"/>
    <mergeCell ref="J21:K21"/>
    <mergeCell ref="M21:N21"/>
    <mergeCell ref="B16:C16"/>
    <mergeCell ref="G16:H16"/>
    <mergeCell ref="J16:K16"/>
    <mergeCell ref="M16:N16"/>
    <mergeCell ref="B17:C17"/>
    <mergeCell ref="G17:H17"/>
    <mergeCell ref="J17:K17"/>
    <mergeCell ref="M17:N17"/>
    <mergeCell ref="B18:C18"/>
    <mergeCell ref="G18:H18"/>
    <mergeCell ref="J18:K18"/>
    <mergeCell ref="M18:N18"/>
    <mergeCell ref="B13:C13"/>
    <mergeCell ref="G13:H13"/>
    <mergeCell ref="J13:K13"/>
    <mergeCell ref="M13:N13"/>
    <mergeCell ref="B14:C14"/>
    <mergeCell ref="G14:H14"/>
    <mergeCell ref="J14:K14"/>
    <mergeCell ref="M14:N14"/>
    <mergeCell ref="B15:C15"/>
    <mergeCell ref="G15:H15"/>
    <mergeCell ref="J15:K15"/>
    <mergeCell ref="M15:N15"/>
    <mergeCell ref="A10:E10"/>
    <mergeCell ref="F10:K10"/>
    <mergeCell ref="M10:N10"/>
    <mergeCell ref="B11:C11"/>
    <mergeCell ref="G11:H11"/>
    <mergeCell ref="J11:K11"/>
    <mergeCell ref="M11:N11"/>
    <mergeCell ref="B12:C12"/>
    <mergeCell ref="G12:H12"/>
    <mergeCell ref="J12:K12"/>
    <mergeCell ref="M12:N12"/>
    <mergeCell ref="A1:M1"/>
    <mergeCell ref="A2:M2"/>
    <mergeCell ref="A4:B4"/>
    <mergeCell ref="C4:M4"/>
    <mergeCell ref="A6:B6"/>
    <mergeCell ref="C6:M6"/>
    <mergeCell ref="A8:A9"/>
    <mergeCell ref="B8:C9"/>
    <mergeCell ref="D8:D9"/>
    <mergeCell ref="E8:E9"/>
    <mergeCell ref="F8:H8"/>
    <mergeCell ref="I8:K8"/>
    <mergeCell ref="L8:N9"/>
    <mergeCell ref="G9:H9"/>
    <mergeCell ref="J9:K9"/>
  </mergeCells>
  <pageMargins left="0.19685039370078741" right="0.19685039370078741" top="0.39370078740157483" bottom="0.39370078740157483" header="0" footer="0"/>
  <pageSetup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l.boretskaya</cp:lastModifiedBy>
  <dcterms:modified xsi:type="dcterms:W3CDTF">2025-05-04T13:32:47Z</dcterms:modified>
</cp:coreProperties>
</file>
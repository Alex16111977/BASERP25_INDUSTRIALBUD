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8_{831D1FFF-8C5D-491E-B299-0F324D4DDFB9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01 по 15 липня" sheetId="34" r:id="rId3"/>
    <sheet name="Цо" sheetId="38" r:id="rId4"/>
    <sheet name="IRS" sheetId="54" r:id="rId5"/>
    <sheet name="Катеринополь" sheetId="41" r:id="rId6"/>
    <sheet name="Мк нежин" sheetId="49" r:id="rId7"/>
    <sheet name="ЕМС Вооз" sheetId="43" r:id="rId8"/>
    <sheet name="ООН" sheetId="44" r:id="rId9"/>
    <sheet name="Червоний хрест" sheetId="47" r:id="rId10"/>
    <sheet name="Укрнафта" sheetId="48" r:id="rId11"/>
    <sheet name="Кернел" sheetId="45" r:id="rId12"/>
    <sheet name="Глобино Мк" sheetId="52" r:id="rId13"/>
    <sheet name="МД Франківськ" sheetId="53" r:id="rId14"/>
    <sheet name="Распределени" sheetId="23" state="hidden" r:id="rId15"/>
    <sheet name="Загальна по роботам" sheetId="17" state="hidden" r:id="rId16"/>
    <sheet name="1С Крушинка" sheetId="19" state="hidden" r:id="rId17"/>
    <sheet name="1С цех" sheetId="21" state="hidden" r:id="rId18"/>
  </sheets>
  <externalReferences>
    <externalReference r:id="rId19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14" hidden="1">Распределени!$A$1:$Q$27</definedName>
    <definedName name="_xlnm._FilterDatabase" localSheetId="2" hidden="1">'Табель цех 01 по 15 липня'!$A$1:$AH$76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8" i="34" l="1"/>
  <c r="H74" i="34"/>
  <c r="G73" i="34"/>
  <c r="H73" i="34" s="1"/>
  <c r="G72" i="34"/>
  <c r="H72" i="34" s="1"/>
  <c r="G71" i="34"/>
  <c r="H71" i="34" s="1"/>
  <c r="G70" i="34"/>
  <c r="H70" i="34" s="1"/>
  <c r="G69" i="34"/>
  <c r="H69" i="34" s="1"/>
  <c r="G68" i="34"/>
  <c r="H68" i="34" s="1"/>
  <c r="G67" i="34"/>
  <c r="H67" i="34" s="1"/>
  <c r="G66" i="34"/>
  <c r="H66" i="34" s="1"/>
  <c r="G65" i="34"/>
  <c r="H65" i="34" s="1"/>
  <c r="G64" i="34"/>
  <c r="H64" i="34" s="1"/>
  <c r="G63" i="34"/>
  <c r="H63" i="34" s="1"/>
  <c r="G62" i="34"/>
  <c r="H62" i="34" s="1"/>
  <c r="G61" i="34"/>
  <c r="H61" i="34" s="1"/>
  <c r="G60" i="34"/>
  <c r="H60" i="34" s="1"/>
  <c r="G59" i="34"/>
  <c r="H59" i="34" s="1"/>
  <c r="G58" i="34"/>
  <c r="H58" i="34" s="1"/>
  <c r="G57" i="34"/>
  <c r="H57" i="34" s="1"/>
  <c r="G56" i="34"/>
  <c r="H56" i="34" s="1"/>
  <c r="G55" i="34"/>
  <c r="H55" i="34" s="1"/>
  <c r="G54" i="34"/>
  <c r="H54" i="34" s="1"/>
  <c r="G53" i="34"/>
  <c r="H53" i="34" s="1"/>
  <c r="G52" i="34"/>
  <c r="H52" i="34" s="1"/>
  <c r="G51" i="34"/>
  <c r="H51" i="34" s="1"/>
  <c r="G50" i="34"/>
  <c r="H50" i="34" s="1"/>
  <c r="G49" i="34"/>
  <c r="H49" i="34" s="1"/>
  <c r="G48" i="34"/>
  <c r="H48" i="34" s="1"/>
  <c r="G47" i="34"/>
  <c r="H47" i="34" s="1"/>
  <c r="G46" i="34"/>
  <c r="H46" i="34" s="1"/>
  <c r="G45" i="34"/>
  <c r="H45" i="34" s="1"/>
  <c r="G44" i="34"/>
  <c r="H44" i="34" s="1"/>
  <c r="G43" i="34"/>
  <c r="H43" i="34" s="1"/>
  <c r="G42" i="34"/>
  <c r="H42" i="34" s="1"/>
  <c r="G41" i="34"/>
  <c r="H41" i="34" s="1"/>
  <c r="G40" i="34"/>
  <c r="H40" i="34" s="1"/>
  <c r="G39" i="34"/>
  <c r="H39" i="34" s="1"/>
  <c r="G38" i="34"/>
  <c r="H38" i="34" s="1"/>
  <c r="G37" i="34"/>
  <c r="H37" i="34" s="1"/>
  <c r="G36" i="34"/>
  <c r="H36" i="34" s="1"/>
  <c r="G35" i="34"/>
  <c r="H35" i="34" s="1"/>
  <c r="G34" i="34"/>
  <c r="H34" i="34" s="1"/>
  <c r="G33" i="34"/>
  <c r="H33" i="34" s="1"/>
  <c r="G32" i="34"/>
  <c r="H32" i="34" s="1"/>
  <c r="G31" i="34"/>
  <c r="H31" i="34" s="1"/>
  <c r="G30" i="34"/>
  <c r="H30" i="34" s="1"/>
  <c r="G29" i="34"/>
  <c r="H29" i="34" s="1"/>
  <c r="H28" i="34"/>
  <c r="G28" i="34"/>
  <c r="G27" i="34"/>
  <c r="H27" i="34" s="1"/>
  <c r="G26" i="34"/>
  <c r="H26" i="34" s="1"/>
  <c r="G25" i="34"/>
  <c r="H25" i="34" s="1"/>
  <c r="G24" i="34"/>
  <c r="H24" i="34" s="1"/>
  <c r="G23" i="34"/>
  <c r="H23" i="34" s="1"/>
  <c r="G22" i="34"/>
  <c r="H22" i="34" s="1"/>
  <c r="G21" i="34"/>
  <c r="H21" i="34" s="1"/>
  <c r="G20" i="34"/>
  <c r="H20" i="34" s="1"/>
  <c r="G19" i="34"/>
  <c r="H19" i="34" s="1"/>
  <c r="G18" i="34"/>
  <c r="H18" i="34" s="1"/>
  <c r="G17" i="34"/>
  <c r="H17" i="34" s="1"/>
  <c r="G16" i="34"/>
  <c r="H16" i="34" s="1"/>
  <c r="G15" i="34"/>
  <c r="H15" i="34" s="1"/>
  <c r="G14" i="34"/>
  <c r="H14" i="34" s="1"/>
  <c r="G13" i="34"/>
  <c r="H13" i="34" s="1"/>
  <c r="G12" i="34"/>
  <c r="H12" i="34" s="1"/>
  <c r="G11" i="34"/>
  <c r="H11" i="34" s="1"/>
  <c r="G10" i="34"/>
  <c r="H10" i="34" s="1"/>
  <c r="G9" i="34"/>
  <c r="H9" i="34" s="1"/>
  <c r="G8" i="34"/>
  <c r="H8" i="34" s="1"/>
  <c r="G7" i="34"/>
  <c r="H7" i="34" s="1"/>
  <c r="G6" i="34"/>
  <c r="H6" i="34" s="1"/>
  <c r="G5" i="34"/>
  <c r="H5" i="34" s="1"/>
  <c r="G4" i="34"/>
  <c r="H4" i="34" s="1"/>
  <c r="G3" i="34"/>
  <c r="H3" i="34" s="1"/>
  <c r="H2" i="34"/>
  <c r="F69" i="34" l="1"/>
  <c r="F67" i="34"/>
  <c r="F68" i="34"/>
  <c r="F2" i="34" l="1"/>
  <c r="F66" i="34"/>
  <c r="F65" i="34" l="1"/>
  <c r="F62" i="34" l="1"/>
  <c r="F63" i="34"/>
  <c r="F64" i="34"/>
  <c r="F58" i="34" l="1"/>
  <c r="F59" i="34"/>
  <c r="F60" i="34"/>
  <c r="F61" i="34"/>
  <c r="F57" i="34" l="1"/>
  <c r="F4" i="34"/>
  <c r="F5" i="34"/>
  <c r="F8" i="34"/>
  <c r="F9" i="34"/>
  <c r="F10" i="34"/>
  <c r="F11" i="34"/>
  <c r="F12" i="34"/>
  <c r="F13" i="34"/>
  <c r="F14" i="34"/>
  <c r="F15" i="34"/>
  <c r="F70" i="34"/>
  <c r="F16" i="34"/>
  <c r="F18" i="34"/>
  <c r="F19" i="34"/>
  <c r="F20" i="34"/>
  <c r="F21" i="34"/>
  <c r="F22" i="34"/>
  <c r="F23" i="34"/>
  <c r="F24" i="34"/>
  <c r="F25" i="34"/>
  <c r="F26" i="34"/>
  <c r="F28" i="34"/>
  <c r="F29" i="34"/>
  <c r="F31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6" i="34" l="1"/>
  <c r="F3" i="34"/>
  <c r="F30" i="34"/>
  <c r="F7" i="34"/>
  <c r="F32" i="34"/>
  <c r="F17" i="34" l="1"/>
  <c r="F74" i="34" s="1"/>
  <c r="AH35" i="34" l="1"/>
  <c r="AH32" i="34"/>
  <c r="AH26" i="34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74" i="34" s="1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2" i="34"/>
  <c r="U3" i="34"/>
  <c r="U4" i="34"/>
  <c r="U5" i="34"/>
  <c r="U6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2" i="34"/>
  <c r="T3" i="34"/>
  <c r="T4" i="34"/>
  <c r="T5" i="34"/>
  <c r="T6" i="34"/>
  <c r="T7" i="34"/>
  <c r="T8" i="34"/>
  <c r="T9" i="34"/>
  <c r="T10" i="34"/>
  <c r="T11" i="34"/>
  <c r="T12" i="34"/>
  <c r="T13" i="34"/>
  <c r="T14" i="34"/>
  <c r="T15" i="34"/>
  <c r="T16" i="34"/>
  <c r="T17" i="34"/>
  <c r="T18" i="34"/>
  <c r="T19" i="34"/>
  <c r="T20" i="34"/>
  <c r="T21" i="34"/>
  <c r="T22" i="34"/>
  <c r="T23" i="34"/>
  <c r="T24" i="34"/>
  <c r="T25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T52" i="34"/>
  <c r="T53" i="34"/>
  <c r="T54" i="34"/>
  <c r="T55" i="34"/>
  <c r="T56" i="34"/>
  <c r="T57" i="34"/>
  <c r="T58" i="34"/>
  <c r="T59" i="34"/>
  <c r="T60" i="34"/>
  <c r="T61" i="34"/>
  <c r="T62" i="34"/>
  <c r="T63" i="34"/>
  <c r="T64" i="34"/>
  <c r="T65" i="34"/>
  <c r="T66" i="34"/>
  <c r="T67" i="34"/>
  <c r="T68" i="34"/>
  <c r="T69" i="34"/>
  <c r="T70" i="34"/>
  <c r="T71" i="34"/>
  <c r="T72" i="34"/>
  <c r="T73" i="34"/>
  <c r="T2" i="34"/>
  <c r="S3" i="34"/>
  <c r="S4" i="34"/>
  <c r="S5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S67" i="34"/>
  <c r="S68" i="34"/>
  <c r="S69" i="34"/>
  <c r="S70" i="34"/>
  <c r="S71" i="34"/>
  <c r="S72" i="34"/>
  <c r="S73" i="34"/>
  <c r="S2" i="34"/>
  <c r="R3" i="34"/>
  <c r="R4" i="34"/>
  <c r="R5" i="34"/>
  <c r="R6" i="34"/>
  <c r="R7" i="34"/>
  <c r="R8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R29" i="34"/>
  <c r="R30" i="34"/>
  <c r="R31" i="34"/>
  <c r="R32" i="34"/>
  <c r="R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R48" i="34"/>
  <c r="R49" i="34"/>
  <c r="R50" i="34"/>
  <c r="R51" i="34"/>
  <c r="R52" i="34"/>
  <c r="R53" i="34"/>
  <c r="R54" i="34"/>
  <c r="R55" i="34"/>
  <c r="R56" i="34"/>
  <c r="R57" i="34"/>
  <c r="R58" i="34"/>
  <c r="R59" i="34"/>
  <c r="R60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2" i="34"/>
  <c r="Q3" i="34"/>
  <c r="Q4" i="34"/>
  <c r="Q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35" i="34"/>
  <c r="Q36" i="34"/>
  <c r="Q37" i="34"/>
  <c r="Q38" i="34"/>
  <c r="Q39" i="34"/>
  <c r="Q40" i="34"/>
  <c r="Q41" i="34"/>
  <c r="Q42" i="34"/>
  <c r="Q43" i="34"/>
  <c r="Q44" i="34"/>
  <c r="Q45" i="34"/>
  <c r="Q46" i="34"/>
  <c r="Q47" i="34"/>
  <c r="Q48" i="34"/>
  <c r="Q49" i="34"/>
  <c r="Q50" i="34"/>
  <c r="Q51" i="34"/>
  <c r="Q52" i="34"/>
  <c r="Q53" i="34"/>
  <c r="Q54" i="34"/>
  <c r="Q55" i="34"/>
  <c r="Q56" i="34"/>
  <c r="Q57" i="34"/>
  <c r="Q58" i="34"/>
  <c r="Q59" i="34"/>
  <c r="Q60" i="34"/>
  <c r="Q61" i="34"/>
  <c r="Q62" i="34"/>
  <c r="Q63" i="34"/>
  <c r="Q64" i="34"/>
  <c r="Q65" i="34"/>
  <c r="Q66" i="34"/>
  <c r="Q67" i="34"/>
  <c r="Q68" i="34"/>
  <c r="Q69" i="34"/>
  <c r="Q70" i="34"/>
  <c r="Q71" i="34"/>
  <c r="Q72" i="34"/>
  <c r="Q73" i="34"/>
  <c r="Q2" i="34"/>
  <c r="P3" i="34"/>
  <c r="P4" i="34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2" i="34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2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2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3" i="34"/>
  <c r="M2" i="34"/>
  <c r="L3" i="34"/>
  <c r="L4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69" i="34"/>
  <c r="L70" i="34"/>
  <c r="L71" i="34"/>
  <c r="L72" i="34"/>
  <c r="L73" i="34"/>
  <c r="L2" i="34"/>
  <c r="K3" i="34"/>
  <c r="K4" i="34"/>
  <c r="K5" i="34"/>
  <c r="K6" i="34"/>
  <c r="K7" i="34"/>
  <c r="K8" i="34"/>
  <c r="K9" i="34"/>
  <c r="K10" i="34"/>
  <c r="V10" i="34" s="1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V36" i="34" s="1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V62" i="34" s="1"/>
  <c r="K63" i="34"/>
  <c r="K64" i="34"/>
  <c r="K65" i="34"/>
  <c r="K66" i="34"/>
  <c r="K67" i="34"/>
  <c r="K68" i="34"/>
  <c r="K69" i="34"/>
  <c r="K70" i="34"/>
  <c r="K71" i="34"/>
  <c r="K72" i="34"/>
  <c r="K73" i="34"/>
  <c r="K2" i="34"/>
  <c r="V19" i="34" l="1"/>
  <c r="V71" i="34"/>
  <c r="V45" i="34"/>
  <c r="V64" i="34"/>
  <c r="V12" i="34"/>
  <c r="V38" i="34"/>
  <c r="V34" i="34"/>
  <c r="V8" i="34"/>
  <c r="V57" i="34"/>
  <c r="V31" i="34"/>
  <c r="V5" i="34"/>
  <c r="V32" i="34"/>
  <c r="V70" i="34"/>
  <c r="V53" i="34"/>
  <c r="V69" i="34"/>
  <c r="V17" i="34"/>
  <c r="V55" i="34"/>
  <c r="V27" i="34"/>
  <c r="K74" i="34"/>
  <c r="K75" i="34" s="1"/>
  <c r="V29" i="34"/>
  <c r="V51" i="34"/>
  <c r="V50" i="34"/>
  <c r="V24" i="34"/>
  <c r="V60" i="34"/>
  <c r="V58" i="34"/>
  <c r="V3" i="34"/>
  <c r="P74" i="34"/>
  <c r="P75" i="34" s="1"/>
  <c r="V6" i="34"/>
  <c r="V23" i="34"/>
  <c r="V22" i="34"/>
  <c r="V21" i="34"/>
  <c r="V49" i="34"/>
  <c r="V48" i="34"/>
  <c r="V47" i="34"/>
  <c r="V72" i="34"/>
  <c r="V46" i="34"/>
  <c r="V20" i="34"/>
  <c r="U74" i="34"/>
  <c r="U75" i="34" s="1"/>
  <c r="V73" i="34"/>
  <c r="V25" i="34"/>
  <c r="V2" i="34"/>
  <c r="V43" i="34"/>
  <c r="V67" i="34"/>
  <c r="V41" i="34"/>
  <c r="V15" i="34"/>
  <c r="V66" i="34"/>
  <c r="V40" i="34"/>
  <c r="V14" i="34"/>
  <c r="V18" i="34"/>
  <c r="V16" i="34"/>
  <c r="V39" i="34"/>
  <c r="O74" i="34"/>
  <c r="O75" i="34" s="1"/>
  <c r="V63" i="34"/>
  <c r="V37" i="34"/>
  <c r="V11" i="34"/>
  <c r="V13" i="34"/>
  <c r="V61" i="34"/>
  <c r="V35" i="34"/>
  <c r="V9" i="34"/>
  <c r="V68" i="34"/>
  <c r="V59" i="34"/>
  <c r="V33" i="34"/>
  <c r="V7" i="34"/>
  <c r="T74" i="34"/>
  <c r="T75" i="34" s="1"/>
  <c r="V42" i="34"/>
  <c r="V65" i="34"/>
  <c r="S74" i="34"/>
  <c r="S75" i="34" s="1"/>
  <c r="V56" i="34"/>
  <c r="V30" i="34"/>
  <c r="V4" i="34"/>
  <c r="V54" i="34"/>
  <c r="V28" i="34"/>
  <c r="V52" i="34"/>
  <c r="V26" i="34"/>
  <c r="V44" i="34"/>
  <c r="Q74" i="34"/>
  <c r="Q75" i="34" s="1"/>
  <c r="N74" i="34"/>
  <c r="N75" i="34" s="1"/>
  <c r="M74" i="34"/>
  <c r="M75" i="34" s="1"/>
  <c r="R74" i="34"/>
  <c r="R75" i="34" s="1"/>
  <c r="L74" i="34"/>
  <c r="L75" i="34" s="1"/>
  <c r="V75" i="34" l="1"/>
  <c r="V74" i="34"/>
  <c r="V76" i="34" s="1"/>
  <c r="D78" i="34"/>
  <c r="E2" i="34" l="1"/>
  <c r="G2" i="34" s="1"/>
  <c r="E72" i="34" l="1"/>
  <c r="E73" i="34"/>
  <c r="AB73" i="34" l="1"/>
  <c r="AC73" i="34"/>
  <c r="AE73" i="34"/>
  <c r="AD73" i="34"/>
  <c r="AF73" i="34"/>
  <c r="Z73" i="34"/>
  <c r="W73" i="34"/>
  <c r="Y73" i="34"/>
  <c r="AG73" i="34"/>
  <c r="X73" i="34"/>
  <c r="AA73" i="34"/>
  <c r="AA72" i="34"/>
  <c r="AB72" i="34"/>
  <c r="X72" i="34"/>
  <c r="AD72" i="34"/>
  <c r="W72" i="34"/>
  <c r="Z72" i="34"/>
  <c r="AE72" i="34"/>
  <c r="AF72" i="34"/>
  <c r="Y72" i="34"/>
  <c r="AC72" i="34"/>
  <c r="AG72" i="34"/>
  <c r="AA2" i="34"/>
  <c r="Y2" i="34"/>
  <c r="Z2" i="34"/>
  <c r="AB2" i="34"/>
  <c r="AD2" i="34"/>
  <c r="W2" i="34"/>
  <c r="AE2" i="34"/>
  <c r="AG2" i="34"/>
  <c r="AF2" i="34"/>
  <c r="X2" i="34"/>
  <c r="AC2" i="34"/>
  <c r="E71" i="34"/>
  <c r="AH72" i="34" l="1"/>
  <c r="AH73" i="34"/>
  <c r="AH2" i="34"/>
  <c r="AA71" i="34"/>
  <c r="Y71" i="34"/>
  <c r="AD71" i="34"/>
  <c r="Z71" i="34"/>
  <c r="X71" i="34"/>
  <c r="AB71" i="34"/>
  <c r="AF71" i="34"/>
  <c r="AE71" i="34"/>
  <c r="W71" i="34"/>
  <c r="AC71" i="34"/>
  <c r="AG71" i="34"/>
  <c r="E70" i="34"/>
  <c r="E3" i="34"/>
  <c r="AH71" i="34" l="1"/>
  <c r="AA70" i="34"/>
  <c r="AC70" i="34"/>
  <c r="X70" i="34"/>
  <c r="AF70" i="34"/>
  <c r="AE70" i="34"/>
  <c r="Y70" i="34"/>
  <c r="AB70" i="34"/>
  <c r="W70" i="34"/>
  <c r="Z70" i="34"/>
  <c r="AG70" i="34"/>
  <c r="AD70" i="34"/>
  <c r="E67" i="34"/>
  <c r="E68" i="34"/>
  <c r="E69" i="34"/>
  <c r="AH70" i="34" l="1"/>
  <c r="W67" i="34"/>
  <c r="X67" i="34"/>
  <c r="AD67" i="34"/>
  <c r="AC67" i="34"/>
  <c r="Z67" i="34"/>
  <c r="AB67" i="34"/>
  <c r="AE67" i="34"/>
  <c r="Y67" i="34"/>
  <c r="AG67" i="34"/>
  <c r="AF67" i="34"/>
  <c r="AA67" i="34"/>
  <c r="W69" i="34"/>
  <c r="Z69" i="34"/>
  <c r="X69" i="34"/>
  <c r="Y69" i="34"/>
  <c r="AA69" i="34"/>
  <c r="AE69" i="34"/>
  <c r="AD69" i="34"/>
  <c r="AC69" i="34"/>
  <c r="AG69" i="34"/>
  <c r="AB69" i="34"/>
  <c r="AF69" i="34"/>
  <c r="AG3" i="34"/>
  <c r="X3" i="34"/>
  <c r="W3" i="34"/>
  <c r="AD3" i="34"/>
  <c r="AB3" i="34"/>
  <c r="Y3" i="34"/>
  <c r="AF3" i="34"/>
  <c r="AE3" i="34"/>
  <c r="AA3" i="34"/>
  <c r="Z3" i="34"/>
  <c r="AC3" i="34"/>
  <c r="AF68" i="34"/>
  <c r="AG68" i="34"/>
  <c r="AE68" i="34"/>
  <c r="W68" i="34"/>
  <c r="AC68" i="34"/>
  <c r="Y68" i="34"/>
  <c r="Z68" i="34"/>
  <c r="X68" i="34"/>
  <c r="AD68" i="34"/>
  <c r="AB68" i="34"/>
  <c r="AA68" i="34"/>
  <c r="E62" i="34"/>
  <c r="E63" i="34"/>
  <c r="E64" i="34"/>
  <c r="E65" i="34"/>
  <c r="E66" i="34"/>
  <c r="AH3" i="34" l="1"/>
  <c r="AH69" i="34"/>
  <c r="AH68" i="34"/>
  <c r="AH67" i="34"/>
  <c r="W62" i="34"/>
  <c r="AB62" i="34"/>
  <c r="AD62" i="34"/>
  <c r="AC62" i="34"/>
  <c r="AF62" i="34"/>
  <c r="AA62" i="34"/>
  <c r="AG62" i="34"/>
  <c r="X62" i="34"/>
  <c r="Z62" i="34"/>
  <c r="AE62" i="34"/>
  <c r="Y62" i="34"/>
  <c r="AE63" i="34"/>
  <c r="AG63" i="34"/>
  <c r="Z63" i="34"/>
  <c r="Y63" i="34"/>
  <c r="W63" i="34"/>
  <c r="AB63" i="34"/>
  <c r="AF63" i="34"/>
  <c r="AD63" i="34"/>
  <c r="X63" i="34"/>
  <c r="AC63" i="34"/>
  <c r="AA63" i="34"/>
  <c r="Z64" i="34"/>
  <c r="Y64" i="34"/>
  <c r="W64" i="34"/>
  <c r="X64" i="34"/>
  <c r="AA64" i="34"/>
  <c r="AB64" i="34"/>
  <c r="AF64" i="34"/>
  <c r="AG64" i="34"/>
  <c r="AD64" i="34"/>
  <c r="AC64" i="34"/>
  <c r="AE64" i="34"/>
  <c r="Y65" i="34"/>
  <c r="Z65" i="34"/>
  <c r="AG65" i="34"/>
  <c r="AF65" i="34"/>
  <c r="X65" i="34"/>
  <c r="AC65" i="34"/>
  <c r="W65" i="34"/>
  <c r="AA65" i="34"/>
  <c r="AD65" i="34"/>
  <c r="AB65" i="34"/>
  <c r="AE65" i="34"/>
  <c r="AC66" i="34"/>
  <c r="AD66" i="34"/>
  <c r="AB66" i="34"/>
  <c r="AA66" i="34"/>
  <c r="AE66" i="34"/>
  <c r="AG66" i="34"/>
  <c r="X66" i="34"/>
  <c r="Z66" i="34"/>
  <c r="W66" i="34"/>
  <c r="AF66" i="34"/>
  <c r="Y66" i="34"/>
  <c r="E5" i="34"/>
  <c r="E6" i="34"/>
  <c r="E7" i="34"/>
  <c r="E8" i="34"/>
  <c r="E9" i="34"/>
  <c r="E10" i="34"/>
  <c r="E11" i="34"/>
  <c r="E12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4" i="34"/>
  <c r="AH64" i="34" l="1"/>
  <c r="AH62" i="34"/>
  <c r="AH63" i="34"/>
  <c r="AH66" i="34"/>
  <c r="AH65" i="34"/>
  <c r="AA44" i="34"/>
  <c r="X44" i="34"/>
  <c r="Z44" i="34"/>
  <c r="AF44" i="34"/>
  <c r="AE44" i="34"/>
  <c r="AC44" i="34"/>
  <c r="W44" i="34"/>
  <c r="Y44" i="34"/>
  <c r="AB44" i="34"/>
  <c r="AG44" i="34"/>
  <c r="AD44" i="34"/>
  <c r="Z51" i="34"/>
  <c r="AG51" i="34"/>
  <c r="AA51" i="34"/>
  <c r="Y51" i="34"/>
  <c r="AD51" i="34"/>
  <c r="W51" i="34"/>
  <c r="AB51" i="34"/>
  <c r="AF51" i="34"/>
  <c r="AE51" i="34"/>
  <c r="X51" i="34"/>
  <c r="AC51" i="34"/>
  <c r="W50" i="34"/>
  <c r="Y50" i="34"/>
  <c r="X50" i="34"/>
  <c r="Z50" i="34"/>
  <c r="AG50" i="34"/>
  <c r="AE50" i="34"/>
  <c r="AB50" i="34"/>
  <c r="AD50" i="34"/>
  <c r="AA50" i="34"/>
  <c r="AF50" i="34"/>
  <c r="AC50" i="34"/>
  <c r="AF23" i="34"/>
  <c r="AG23" i="34"/>
  <c r="Z23" i="34"/>
  <c r="AD23" i="34"/>
  <c r="W23" i="34"/>
  <c r="AB23" i="34"/>
  <c r="Y23" i="34"/>
  <c r="AE23" i="34"/>
  <c r="AA23" i="34"/>
  <c r="AC23" i="34"/>
  <c r="X23" i="34"/>
  <c r="X46" i="34"/>
  <c r="AG46" i="34"/>
  <c r="AA46" i="34"/>
  <c r="Z46" i="34"/>
  <c r="AB46" i="34"/>
  <c r="Y46" i="34"/>
  <c r="AD46" i="34"/>
  <c r="W46" i="34"/>
  <c r="AF46" i="34"/>
  <c r="AE46" i="34"/>
  <c r="AC46" i="34"/>
  <c r="AG49" i="34"/>
  <c r="AF49" i="34"/>
  <c r="W49" i="34"/>
  <c r="X49" i="34"/>
  <c r="AC49" i="34"/>
  <c r="Y49" i="34"/>
  <c r="Z49" i="34"/>
  <c r="AA49" i="34"/>
  <c r="AD49" i="34"/>
  <c r="AE49" i="34"/>
  <c r="AB49" i="34"/>
  <c r="Z38" i="34"/>
  <c r="Y38" i="34"/>
  <c r="X38" i="34"/>
  <c r="W38" i="34"/>
  <c r="AA38" i="34"/>
  <c r="AB38" i="34"/>
  <c r="AF38" i="34"/>
  <c r="AG38" i="34"/>
  <c r="AD38" i="34"/>
  <c r="AC38" i="34"/>
  <c r="AE38" i="34"/>
  <c r="AG24" i="34"/>
  <c r="X24" i="34"/>
  <c r="W24" i="34"/>
  <c r="Y24" i="34"/>
  <c r="Z24" i="34"/>
  <c r="AE24" i="34"/>
  <c r="AD24" i="34"/>
  <c r="AB24" i="34"/>
  <c r="AA24" i="34"/>
  <c r="AF24" i="34"/>
  <c r="AC24" i="34"/>
  <c r="W48" i="34"/>
  <c r="AB48" i="34"/>
  <c r="Y48" i="34"/>
  <c r="AD48" i="34"/>
  <c r="X48" i="34"/>
  <c r="AE48" i="34"/>
  <c r="AG48" i="34"/>
  <c r="Z48" i="34"/>
  <c r="AF48" i="34"/>
  <c r="AC48" i="34"/>
  <c r="AA48" i="34"/>
  <c r="W43" i="34"/>
  <c r="Z43" i="34"/>
  <c r="X43" i="34"/>
  <c r="AA43" i="34"/>
  <c r="AE43" i="34"/>
  <c r="AC43" i="34"/>
  <c r="AG43" i="34"/>
  <c r="AF43" i="34"/>
  <c r="AB43" i="34"/>
  <c r="AD43" i="34"/>
  <c r="Y43" i="34"/>
  <c r="AB11" i="34"/>
  <c r="AG11" i="34"/>
  <c r="Y11" i="34"/>
  <c r="AA11" i="34"/>
  <c r="AD11" i="34"/>
  <c r="Z11" i="34"/>
  <c r="X11" i="34"/>
  <c r="W11" i="34"/>
  <c r="AF11" i="34"/>
  <c r="AC11" i="34"/>
  <c r="AE11" i="34"/>
  <c r="AC21" i="34"/>
  <c r="AE21" i="34"/>
  <c r="AB21" i="34"/>
  <c r="AG21" i="34"/>
  <c r="AF21" i="34"/>
  <c r="AD21" i="34"/>
  <c r="Z21" i="34"/>
  <c r="W21" i="34"/>
  <c r="AA21" i="34"/>
  <c r="X21" i="34"/>
  <c r="Y21" i="34"/>
  <c r="X18" i="34"/>
  <c r="Y18" i="34"/>
  <c r="Z18" i="34"/>
  <c r="AA18" i="34"/>
  <c r="AE18" i="34"/>
  <c r="AF18" i="34"/>
  <c r="AB18" i="34"/>
  <c r="AC18" i="34"/>
  <c r="W18" i="34"/>
  <c r="AG18" i="34"/>
  <c r="AD18" i="34"/>
  <c r="W34" i="34"/>
  <c r="AG34" i="34"/>
  <c r="AC34" i="34"/>
  <c r="AE34" i="34"/>
  <c r="AA34" i="34"/>
  <c r="AD34" i="34"/>
  <c r="X34" i="34"/>
  <c r="Y34" i="34"/>
  <c r="Z34" i="34"/>
  <c r="AF34" i="34"/>
  <c r="AB34" i="34"/>
  <c r="Z33" i="34"/>
  <c r="AA33" i="34"/>
  <c r="AF33" i="34"/>
  <c r="AC33" i="34"/>
  <c r="AB33" i="34"/>
  <c r="AD33" i="34"/>
  <c r="X33" i="34"/>
  <c r="Y33" i="34"/>
  <c r="AG33" i="34"/>
  <c r="W33" i="34"/>
  <c r="AE33" i="34"/>
  <c r="AG30" i="34"/>
  <c r="AA30" i="34"/>
  <c r="AD30" i="34"/>
  <c r="X30" i="34"/>
  <c r="AC30" i="34"/>
  <c r="Y30" i="34"/>
  <c r="Z30" i="34"/>
  <c r="AE30" i="34"/>
  <c r="AF30" i="34"/>
  <c r="AB30" i="34"/>
  <c r="W30" i="34"/>
  <c r="Y39" i="34"/>
  <c r="AA39" i="34"/>
  <c r="AG39" i="34"/>
  <c r="W39" i="34"/>
  <c r="AB39" i="34"/>
  <c r="X39" i="34"/>
  <c r="AC39" i="34"/>
  <c r="Z39" i="34"/>
  <c r="AE39" i="34"/>
  <c r="AF39" i="34"/>
  <c r="AD39" i="34"/>
  <c r="W10" i="34"/>
  <c r="AC10" i="34"/>
  <c r="Y10" i="34"/>
  <c r="AB10" i="34"/>
  <c r="X10" i="34"/>
  <c r="AD10" i="34"/>
  <c r="Z10" i="34"/>
  <c r="AA10" i="34"/>
  <c r="AG10" i="34"/>
  <c r="AF10" i="34"/>
  <c r="AE10" i="34"/>
  <c r="AE61" i="34"/>
  <c r="AD61" i="34"/>
  <c r="AF61" i="34"/>
  <c r="AG61" i="34"/>
  <c r="AB61" i="34"/>
  <c r="Z61" i="34"/>
  <c r="Y61" i="34"/>
  <c r="AC61" i="34"/>
  <c r="AA61" i="34"/>
  <c r="W61" i="34"/>
  <c r="X61" i="34"/>
  <c r="Y57" i="34"/>
  <c r="AB57" i="34"/>
  <c r="W57" i="34"/>
  <c r="Z57" i="34"/>
  <c r="X57" i="34"/>
  <c r="AF57" i="34"/>
  <c r="AD57" i="34"/>
  <c r="AG57" i="34"/>
  <c r="AC57" i="34"/>
  <c r="AE57" i="34"/>
  <c r="AA57" i="34"/>
  <c r="X25" i="34"/>
  <c r="W25" i="34"/>
  <c r="AD25" i="34"/>
  <c r="AA25" i="34"/>
  <c r="AG25" i="34"/>
  <c r="AC25" i="34"/>
  <c r="AB25" i="34"/>
  <c r="AF25" i="34"/>
  <c r="Z25" i="34"/>
  <c r="Y25" i="34"/>
  <c r="AE25" i="34"/>
  <c r="X19" i="34"/>
  <c r="Z19" i="34"/>
  <c r="AD19" i="34"/>
  <c r="AA19" i="34"/>
  <c r="AB19" i="34"/>
  <c r="Y19" i="34"/>
  <c r="W19" i="34"/>
  <c r="AF19" i="34"/>
  <c r="AE19" i="34"/>
  <c r="AC19" i="34"/>
  <c r="AG19" i="34"/>
  <c r="W17" i="34"/>
  <c r="Z17" i="34"/>
  <c r="X17" i="34"/>
  <c r="AF17" i="34"/>
  <c r="Y17" i="34"/>
  <c r="AA17" i="34"/>
  <c r="AC17" i="34"/>
  <c r="AD17" i="34"/>
  <c r="AG17" i="34"/>
  <c r="AE17" i="34"/>
  <c r="AB17" i="34"/>
  <c r="AG42" i="34"/>
  <c r="AE42" i="34"/>
  <c r="AF42" i="34"/>
  <c r="AA42" i="34"/>
  <c r="AC42" i="34"/>
  <c r="Y42" i="34"/>
  <c r="Z42" i="34"/>
  <c r="AD42" i="34"/>
  <c r="W42" i="34"/>
  <c r="X42" i="34"/>
  <c r="AB42" i="34"/>
  <c r="Y41" i="34"/>
  <c r="AA41" i="34"/>
  <c r="AD41" i="34"/>
  <c r="AC41" i="34"/>
  <c r="X41" i="34"/>
  <c r="AG41" i="34"/>
  <c r="AF41" i="34"/>
  <c r="W41" i="34"/>
  <c r="AE41" i="34"/>
  <c r="Z41" i="34"/>
  <c r="AB41" i="34"/>
  <c r="AC40" i="34"/>
  <c r="AD40" i="34"/>
  <c r="AB40" i="34"/>
  <c r="AA40" i="34"/>
  <c r="AE40" i="34"/>
  <c r="X40" i="34"/>
  <c r="AG40" i="34"/>
  <c r="AF40" i="34"/>
  <c r="W40" i="34"/>
  <c r="Z40" i="34"/>
  <c r="Y40" i="34"/>
  <c r="W58" i="34"/>
  <c r="AB58" i="34"/>
  <c r="Z58" i="34"/>
  <c r="X58" i="34"/>
  <c r="AA58" i="34"/>
  <c r="AC58" i="34"/>
  <c r="AG58" i="34"/>
  <c r="AE58" i="34"/>
  <c r="AD58" i="34"/>
  <c r="Y58" i="34"/>
  <c r="AF58" i="34"/>
  <c r="AG56" i="34"/>
  <c r="AD56" i="34"/>
  <c r="AC56" i="34"/>
  <c r="AA56" i="34"/>
  <c r="Y56" i="34"/>
  <c r="AE56" i="34"/>
  <c r="AB56" i="34"/>
  <c r="Z56" i="34"/>
  <c r="W56" i="34"/>
  <c r="X56" i="34"/>
  <c r="AF56" i="34"/>
  <c r="AA45" i="34"/>
  <c r="Z45" i="34"/>
  <c r="AD45" i="34"/>
  <c r="X45" i="34"/>
  <c r="Y45" i="34"/>
  <c r="AB45" i="34"/>
  <c r="AF45" i="34"/>
  <c r="AE45" i="34"/>
  <c r="W45" i="34"/>
  <c r="AC45" i="34"/>
  <c r="AG45" i="34"/>
  <c r="AE16" i="34"/>
  <c r="AF16" i="34"/>
  <c r="AG16" i="34"/>
  <c r="AA16" i="34"/>
  <c r="AC16" i="34"/>
  <c r="Z16" i="34"/>
  <c r="X16" i="34"/>
  <c r="Y16" i="34"/>
  <c r="AB16" i="34"/>
  <c r="AD16" i="34"/>
  <c r="W16" i="34"/>
  <c r="AH16" i="34" s="1"/>
  <c r="AG37" i="34"/>
  <c r="AB37" i="34"/>
  <c r="Y37" i="34"/>
  <c r="AD37" i="34"/>
  <c r="Z37" i="34"/>
  <c r="AE37" i="34"/>
  <c r="X37" i="34"/>
  <c r="AA37" i="34"/>
  <c r="AC37" i="34"/>
  <c r="AF37" i="34"/>
  <c r="W37" i="34"/>
  <c r="W36" i="34"/>
  <c r="Z36" i="34"/>
  <c r="AB36" i="34"/>
  <c r="AD36" i="34"/>
  <c r="AA36" i="34"/>
  <c r="AG36" i="34"/>
  <c r="Y36" i="34"/>
  <c r="AF36" i="34"/>
  <c r="X36" i="34"/>
  <c r="AE36" i="34"/>
  <c r="AC36" i="34"/>
  <c r="AA8" i="34"/>
  <c r="W8" i="34"/>
  <c r="AB8" i="34"/>
  <c r="Z8" i="34"/>
  <c r="AE8" i="34"/>
  <c r="AC8" i="34"/>
  <c r="AF8" i="34"/>
  <c r="AG8" i="34"/>
  <c r="AD8" i="34"/>
  <c r="Y8" i="34"/>
  <c r="X8" i="34"/>
  <c r="Y60" i="34"/>
  <c r="X60" i="34"/>
  <c r="AG60" i="34"/>
  <c r="AC60" i="34"/>
  <c r="W60" i="34"/>
  <c r="AD60" i="34"/>
  <c r="Z60" i="34"/>
  <c r="AA60" i="34"/>
  <c r="AB60" i="34"/>
  <c r="AF60" i="34"/>
  <c r="AE60" i="34"/>
  <c r="AF59" i="34"/>
  <c r="AB59" i="34"/>
  <c r="AA59" i="34"/>
  <c r="Z59" i="34"/>
  <c r="AC59" i="34"/>
  <c r="AD59" i="34"/>
  <c r="X59" i="34"/>
  <c r="Y59" i="34"/>
  <c r="AG59" i="34"/>
  <c r="AE59" i="34"/>
  <c r="W59" i="34"/>
  <c r="Y6" i="34"/>
  <c r="Z6" i="34"/>
  <c r="W6" i="34"/>
  <c r="AG6" i="34"/>
  <c r="AC6" i="34"/>
  <c r="AB6" i="34"/>
  <c r="AA6" i="34"/>
  <c r="AE6" i="34"/>
  <c r="X6" i="34"/>
  <c r="AD6" i="34"/>
  <c r="AF6" i="34"/>
  <c r="X5" i="34"/>
  <c r="W5" i="34"/>
  <c r="AB5" i="34"/>
  <c r="Y5" i="34"/>
  <c r="Z5" i="34"/>
  <c r="AC5" i="34"/>
  <c r="AA5" i="34"/>
  <c r="AE5" i="34"/>
  <c r="AF5" i="34"/>
  <c r="AD5" i="34"/>
  <c r="AG5" i="34"/>
  <c r="X55" i="34"/>
  <c r="AB55" i="34"/>
  <c r="W55" i="34"/>
  <c r="AG55" i="34"/>
  <c r="AF55" i="34"/>
  <c r="AE55" i="34"/>
  <c r="Y55" i="34"/>
  <c r="Z55" i="34"/>
  <c r="AC55" i="34"/>
  <c r="AA55" i="34"/>
  <c r="AD55" i="34"/>
  <c r="AC28" i="34"/>
  <c r="AE28" i="34"/>
  <c r="AF28" i="34"/>
  <c r="AD28" i="34"/>
  <c r="AG28" i="34"/>
  <c r="X28" i="34"/>
  <c r="AB28" i="34"/>
  <c r="Y28" i="34"/>
  <c r="AA28" i="34"/>
  <c r="Z28" i="34"/>
  <c r="W28" i="34"/>
  <c r="AH28" i="34" s="1"/>
  <c r="AB53" i="34"/>
  <c r="Z53" i="34"/>
  <c r="Y53" i="34"/>
  <c r="AD53" i="34"/>
  <c r="AA53" i="34"/>
  <c r="AG53" i="34"/>
  <c r="W53" i="34"/>
  <c r="AF53" i="34"/>
  <c r="AE53" i="34"/>
  <c r="AC53" i="34"/>
  <c r="X53" i="34"/>
  <c r="Y27" i="34"/>
  <c r="W27" i="34"/>
  <c r="AG27" i="34"/>
  <c r="AF27" i="34"/>
  <c r="AB27" i="34"/>
  <c r="AA27" i="34"/>
  <c r="X27" i="34"/>
  <c r="AE27" i="34"/>
  <c r="AC27" i="34"/>
  <c r="AD27" i="34"/>
  <c r="Z27" i="34"/>
  <c r="W22" i="34"/>
  <c r="X22" i="34"/>
  <c r="Y22" i="34"/>
  <c r="AB22" i="34"/>
  <c r="AG22" i="34"/>
  <c r="AE22" i="34"/>
  <c r="AF22" i="34"/>
  <c r="AC22" i="34"/>
  <c r="Z22" i="34"/>
  <c r="AA22" i="34"/>
  <c r="AD22" i="34"/>
  <c r="AB47" i="34"/>
  <c r="AC47" i="34"/>
  <c r="AE47" i="34"/>
  <c r="AD47" i="34"/>
  <c r="AF47" i="34"/>
  <c r="W47" i="34"/>
  <c r="X47" i="34"/>
  <c r="AA47" i="34"/>
  <c r="Z47" i="34"/>
  <c r="AG47" i="34"/>
  <c r="Y47" i="34"/>
  <c r="AD20" i="34"/>
  <c r="AA20" i="34"/>
  <c r="AB20" i="34"/>
  <c r="Z20" i="34"/>
  <c r="AE20" i="34"/>
  <c r="X20" i="34"/>
  <c r="AG20" i="34"/>
  <c r="W20" i="34"/>
  <c r="AF20" i="34"/>
  <c r="Y20" i="34"/>
  <c r="AC20" i="34"/>
  <c r="AA15" i="34"/>
  <c r="Y15" i="34"/>
  <c r="AD15" i="34"/>
  <c r="AC15" i="34"/>
  <c r="AF15" i="34"/>
  <c r="AB15" i="34"/>
  <c r="X15" i="34"/>
  <c r="AE15" i="34"/>
  <c r="Z15" i="34"/>
  <c r="W15" i="34"/>
  <c r="AG15" i="34"/>
  <c r="AD14" i="34"/>
  <c r="AA14" i="34"/>
  <c r="AB14" i="34"/>
  <c r="AC14" i="34"/>
  <c r="AE14" i="34"/>
  <c r="AG14" i="34"/>
  <c r="Z14" i="34"/>
  <c r="AF14" i="34"/>
  <c r="W14" i="34"/>
  <c r="X14" i="34"/>
  <c r="Y14" i="34"/>
  <c r="Z12" i="34"/>
  <c r="W12" i="34"/>
  <c r="Y12" i="34"/>
  <c r="X12" i="34"/>
  <c r="AA12" i="34"/>
  <c r="AF12" i="34"/>
  <c r="AB12" i="34"/>
  <c r="AE12" i="34"/>
  <c r="AD12" i="34"/>
  <c r="AG12" i="34"/>
  <c r="AC12" i="34"/>
  <c r="AF9" i="34"/>
  <c r="AE9" i="34"/>
  <c r="AG9" i="34"/>
  <c r="AD9" i="34"/>
  <c r="W9" i="34"/>
  <c r="AA9" i="34"/>
  <c r="AC9" i="34"/>
  <c r="Z9" i="34"/>
  <c r="X9" i="34"/>
  <c r="AB9" i="34"/>
  <c r="Y9" i="34"/>
  <c r="AF7" i="34"/>
  <c r="AA7" i="34"/>
  <c r="Z7" i="34"/>
  <c r="AC7" i="34"/>
  <c r="AB7" i="34"/>
  <c r="AD7" i="34"/>
  <c r="AG7" i="34"/>
  <c r="W7" i="34"/>
  <c r="X7" i="34"/>
  <c r="Y7" i="34"/>
  <c r="AE7" i="34"/>
  <c r="Y31" i="34"/>
  <c r="W31" i="34"/>
  <c r="X31" i="34"/>
  <c r="AB31" i="34"/>
  <c r="Z31" i="34"/>
  <c r="AF31" i="34"/>
  <c r="AC31" i="34"/>
  <c r="AA31" i="34"/>
  <c r="AG31" i="34"/>
  <c r="AE31" i="34"/>
  <c r="AD31" i="34"/>
  <c r="X29" i="34"/>
  <c r="W29" i="34"/>
  <c r="AG29" i="34"/>
  <c r="AA29" i="34"/>
  <c r="AB29" i="34"/>
  <c r="AF29" i="34"/>
  <c r="AE29" i="34"/>
  <c r="Z29" i="34"/>
  <c r="AC29" i="34"/>
  <c r="AD29" i="34"/>
  <c r="Y29" i="34"/>
  <c r="AF54" i="34"/>
  <c r="AE54" i="34"/>
  <c r="AD54" i="34"/>
  <c r="AC54" i="34"/>
  <c r="AG54" i="34"/>
  <c r="X54" i="34"/>
  <c r="AA54" i="34"/>
  <c r="Z54" i="34"/>
  <c r="AB54" i="34"/>
  <c r="W54" i="34"/>
  <c r="Y54" i="34"/>
  <c r="Y52" i="34"/>
  <c r="Z52" i="34"/>
  <c r="AA52" i="34"/>
  <c r="AB52" i="34"/>
  <c r="AC52" i="34"/>
  <c r="W52" i="34"/>
  <c r="X52" i="34"/>
  <c r="AG52" i="34"/>
  <c r="AD52" i="34"/>
  <c r="AF52" i="34"/>
  <c r="AE52" i="34"/>
  <c r="K45" i="29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AH53" i="34" l="1"/>
  <c r="AH55" i="34"/>
  <c r="AH56" i="34"/>
  <c r="AH30" i="34"/>
  <c r="AH38" i="34"/>
  <c r="AH51" i="34"/>
  <c r="AH25" i="34"/>
  <c r="AH34" i="34"/>
  <c r="AH11" i="34"/>
  <c r="AH7" i="34"/>
  <c r="AH20" i="34"/>
  <c r="AH41" i="34"/>
  <c r="AH23" i="34"/>
  <c r="AH18" i="34"/>
  <c r="AH48" i="34"/>
  <c r="AH17" i="34"/>
  <c r="AH5" i="34"/>
  <c r="AH33" i="34"/>
  <c r="AH44" i="34"/>
  <c r="AH8" i="34"/>
  <c r="AH14" i="34"/>
  <c r="AH10" i="34"/>
  <c r="AH49" i="34"/>
  <c r="AH45" i="34"/>
  <c r="AH12" i="34"/>
  <c r="AH36" i="34"/>
  <c r="AH19" i="34"/>
  <c r="AH57" i="34"/>
  <c r="AH37" i="34"/>
  <c r="AH9" i="34"/>
  <c r="AH42" i="34"/>
  <c r="AH24" i="34"/>
  <c r="AH58" i="34"/>
  <c r="AH47" i="34"/>
  <c r="AH27" i="34"/>
  <c r="AH61" i="34"/>
  <c r="AH46" i="34"/>
  <c r="AH54" i="34"/>
  <c r="AH21" i="34"/>
  <c r="AH29" i="34"/>
  <c r="AH6" i="34"/>
  <c r="AH40" i="34"/>
  <c r="AH39" i="34"/>
  <c r="AH22" i="34"/>
  <c r="AH52" i="34"/>
  <c r="AH50" i="34"/>
  <c r="AH60" i="34"/>
  <c r="AH43" i="34"/>
  <c r="AH15" i="34"/>
  <c r="AH31" i="34"/>
  <c r="AH59" i="34"/>
  <c r="AG4" i="34"/>
  <c r="AD4" i="34"/>
  <c r="AA4" i="34"/>
  <c r="AC4" i="34"/>
  <c r="Z4" i="34"/>
  <c r="AE4" i="34"/>
  <c r="Y4" i="34"/>
  <c r="AB4" i="34"/>
  <c r="AF4" i="34"/>
  <c r="X4" i="34"/>
  <c r="W4" i="34"/>
  <c r="I40" i="29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AH4" i="34" l="1"/>
  <c r="H3" i="29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E78" i="34" s="1"/>
  <c r="Y13" i="34" l="1"/>
  <c r="Y74" i="34" s="1"/>
  <c r="Y75" i="34" s="1"/>
  <c r="AA13" i="34"/>
  <c r="AA74" i="34" s="1"/>
  <c r="AA75" i="34" s="1"/>
  <c r="AG13" i="34"/>
  <c r="AG74" i="34" s="1"/>
  <c r="AG75" i="34" s="1"/>
  <c r="Z13" i="34"/>
  <c r="Z74" i="34" s="1"/>
  <c r="Z75" i="34" s="1"/>
  <c r="AE13" i="34"/>
  <c r="AE74" i="34" s="1"/>
  <c r="AE75" i="34" s="1"/>
  <c r="AF13" i="34"/>
  <c r="AF74" i="34" s="1"/>
  <c r="AF75" i="34" s="1"/>
  <c r="AC13" i="34"/>
  <c r="AC74" i="34" s="1"/>
  <c r="AC75" i="34" s="1"/>
  <c r="W13" i="34"/>
  <c r="X13" i="34"/>
  <c r="X74" i="34" s="1"/>
  <c r="X75" i="34" s="1"/>
  <c r="AD13" i="34"/>
  <c r="AD74" i="34" s="1"/>
  <c r="AD75" i="34" s="1"/>
  <c r="AB13" i="34"/>
  <c r="AB74" i="34" s="1"/>
  <c r="AB75" i="34" s="1"/>
  <c r="AH13" i="34" l="1"/>
  <c r="AH74" i="34" s="1"/>
  <c r="W74" i="34"/>
  <c r="W75" i="34" s="1"/>
  <c r="AH75" i="34" s="1"/>
  <c r="AH76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19" authorId="0" shapeId="0" xr:uid="{D590332E-51BB-4387-AB42-78551B586C84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3756,26 аванс
6876,13 лік ПФУ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1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<sst xmlns="http://schemas.openxmlformats.org/spreadsheetml/2006/main" count="4129" uniqueCount="686">
  <si>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</si>
  <si>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</si>
  <si>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</si>
  <si>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</si>
  <si>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</si>
  <si>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</si>
  <si>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</si>
  <si>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</si>
  <si>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</si>
  <si>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</si>
  <si>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</si>
  <si>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</si>
  <si>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</si>
  <si>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</si>
  <si>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</si>
  <si>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</si>
  <si>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</si>
  <si>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</si>
  <si>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</si>
  <si>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</si>
  <si>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</si>
  <si>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</si>
  <si>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</si>
  <si>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</si>
  <si>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</si>
  <si>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</si>
  <si>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</si>
  <si>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</si>
  <si>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</si>
  <si>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</si>
  <si>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</si>
  <si>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</si>
  <si>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</si>
  <si>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</si>
  <si>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</si>
  <si>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</si>
  <si>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</si>
  <si>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</si>
  <si>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</si>
  <si>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</si>
  <si>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</si>
  <si>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</si>
  <si>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</si>
  <si>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</si>
  <si>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</si>
  <si>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</si>
  <si>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</si>
  <si>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</si>
  <si>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</si>
  <si>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</si>
  <si>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</si>
  <si>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</si>
  <si>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</si>
  <si>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</si>
  <si>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</si>
  <si>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</si>
  <si>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</si>
  <si>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</si>
  <si>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</si>
  <si>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</si>
  <si>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</si>
  <si>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</si>
  <si>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</si>
  <si>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</si>
  <si>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</si>
  <si>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</si>
  <si>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</si>
  <si>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</si>
  <si>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</si>
  <si>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</si>
  <si>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</si>
  <si>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</si>
  <si>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</si>
  <si>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</si>
  <si>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</si>
  <si>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</si>
  <si>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</si>
  <si>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</si>
  <si>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</si>
  <si>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</si>
  <si>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</si>
  <si>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</si>
  <si>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</si>
  <si>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</si>
  <si>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</si>
  <si>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</si>
  <si>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</si>
  <si>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</si>
  <si>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</si>
  <si>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</si>
  <si>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</si>
  <si>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</si>
  <si>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</si>
  <si>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</si>
  <si>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</si>
  <si>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</si>
  <si>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Нестерук Сергій Петрович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</si>
  <si>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</si>
  <si>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</si>
  <si>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</si>
  <si>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</si>
  <si>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</si>
  <si>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</si>
  <si>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</si>
  <si>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</si>
  <si>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</si>
  <si>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</si>
  <si>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</si>
  <si>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</si>
  <si>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</si>
  <si>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</si>
  <si>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</si>
  <si>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</si>
  <si>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</si>
  <si>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</si>
  <si>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</si>
  <si>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</si>
  <si>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</si>
  <si>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</si>
  <si>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</si>
  <si>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</si>
  <si>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</si>
  <si>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</si>
  <si>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</si>
  <si>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</si>
  <si>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</si>
  <si>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</si>
  <si>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</si>
  <si>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</si>
  <si>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</si>
  <si>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</si>
  <si>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</si>
  <si>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</si>
  <si>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</si>
  <si>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</si>
  <si>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</si>
  <si>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</si>
  <si>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</si>
  <si>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</si>
  <si>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</si>
  <si>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</si>
  <si>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</si>
  <si>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</si>
  <si>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</si>
  <si>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</si>
  <si>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</si>
  <si>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</si>
  <si>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</si>
  <si>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</si>
  <si>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</si>
  <si>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</si>
  <si>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</si>
  <si>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</si>
  <si>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</si>
  <si>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</si>
  <si>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</si>
  <si>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</si>
  <si>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</si>
  <si>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</si>
  <si>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</si>
  <si>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</si>
  <si>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</si>
  <si>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</si>
  <si>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</si>
  <si>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</si>
  <si>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</si>
  <si>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</si>
  <si>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</si>
  <si>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</si>
  <si>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</si>
  <si>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</si>
  <si>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</si>
  <si>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</si>
  <si>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</si>
  <si>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</si>
  <si>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</si>
  <si>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</si>
  <si>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</si>
  <si>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</si>
  <si>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</si>
  <si>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</si>
  <si>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</si>
  <si>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</si>
  <si>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</si>
  <si>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</si>
  <si>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</si>
  <si>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</si>
  <si>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</si>
  <si>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</si>
  <si>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</si>
  <si>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</si>
  <si>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</si>
  <si>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</si>
  <si>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</si>
  <si>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</si>
  <si>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</si>
  <si>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</si>
  <si>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</si>
  <si>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</si>
  <si>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</si>
  <si>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</si>
  <si>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</si>
  <si>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</si>
  <si>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</si>
  <si>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</si>
  <si>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</si>
  <si>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</si>
  <si>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</si>
  <si>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</si>
  <si>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</si>
  <si>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</si>
  <si>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</si>
  <si>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</si>
  <si>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</si>
  <si>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</si>
  <si>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</si>
  <si>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</si>
  <si>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</si>
  <si>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</si>
  <si>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</si>
  <si>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</si>
  <si>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</si>
  <si>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</si>
  <si>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</si>
  <si>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</si>
  <si>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</si>
  <si>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</si>
  <si>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</si>
  <si>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</si>
  <si>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</si>
  <si>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</si>
  <si>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</si>
  <si>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</si>
  <si>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</si>
  <si>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</si>
  <si>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</si>
  <si>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</si>
  <si>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</si>
  <si>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</si>
  <si>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</si>
  <si>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</si>
  <si>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</si>
  <si>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</si>
  <si>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</si>
  <si>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</si>
  <si>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</si>
  <si>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</si>
  <si>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</si>
  <si>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</si>
  <si>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</si>
  <si>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</si>
  <si>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</si>
  <si>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</si>
  <si>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</si>
  <si>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</si>
  <si>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</si>
  <si>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</si>
  <si>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</si>
  <si>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</si>
  <si>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</si>
  <si>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</si>
  <si>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</si>
  <si>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</si>
  <si>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</si>
  <si>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</si>
  <si>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</si>
  <si>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</si>
  <si>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</si>
  <si>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</si>
  <si>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</si>
  <si>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</si>
  <si>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</si>
  <si>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</si>
  <si>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</si>
  <si>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</si>
  <si>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</si>
  <si>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</si>
  <si>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</si>
  <si>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</si>
  <si>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</si>
  <si>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</si>
  <si>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</si>
  <si>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</si>
  <si>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</si>
  <si>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</si>
  <si>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</si>
  <si>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</si>
  <si>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</si>
  <si>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</si>
  <si>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</si>
  <si>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</si>
  <si>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</si>
  <si>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</si>
  <si>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</si>
  <si>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</si>
  <si>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</si>
  <si>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</si>
  <si>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</si>
  <si>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</si>
  <si>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</si>
  <si>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</si>
  <si>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</si>
  <si>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</si>
  <si>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</si>
  <si>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</si>
  <si>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</si>
  <si>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</si>
  <si>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</si>
  <si>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</si>
  <si>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</si>
  <si>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</si>
  <si>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</si>
  <si>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</si>
  <si>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</si>
  <si>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</si>
  <si>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</si>
  <si>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</si>
  <si>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</si>
  <si>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</si>
  <si>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</si>
  <si>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</si>
  <si>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</si>
  <si>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</si>
  <si>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</si>
  <si>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</si>
  <si>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</si>
  <si>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</si>
  <si>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</si>
  <si>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</si>
  <si>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</si>
  <si>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</si>
  <si>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</si>
  <si>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</si>
  <si>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</si>
  <si>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</si>
  <si>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</si>
  <si>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</si>
  <si>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</si>
  <si>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</si>
  <si>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</si>
  <si>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</si>
  <si>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</si>
  <si>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</si>
  <si>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</si>
  <si>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</si>
  <si>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</si>
  <si>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</si>
  <si>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</si>
  <si>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</si>
  <si>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</si>
  <si>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</si>
  <si>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</si>
  <si>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</si>
  <si>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</si>
  <si>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</si>
  <si>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</si>
  <si>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</si>
  <si>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</si>
  <si>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</si>
  <si>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</si>
  <si>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</si>
  <si>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</si>
  <si>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</si>
  <si>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</si>
  <si>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</si>
  <si>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</si>
  <si>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</si>
  <si>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</si>
  <si>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</si>
  <si>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</si>
  <si>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</si>
  <si>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</si>
  <si>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</si>
  <si>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</si>
  <si>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</si>
  <si>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</si>
  <si>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</si>
  <si>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</si>
  <si>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</si>
  <si>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</si>
  <si>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</si>
  <si>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</si>
  <si>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</si>
  <si>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</si>
  <si>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</si>
  <si>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</si>
  <si>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</si>
  <si>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</si>
  <si>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</si>
  <si>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</si>
  <si>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</si>
  <si>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</si>
  <si>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</si>
  <si>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</si>
  <si>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</si>
  <si>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</si>
  <si>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</si>
  <si>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</si>
  <si>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</si>
  <si>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</si>
  <si>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</si>
  <si>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</si>
  <si>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</si>
  <si>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</si>
  <si>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</si>
  <si>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</si>
  <si>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</si>
  <si>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</si>
  <si>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</si>
  <si>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</si>
  <si>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</si>
  <si>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</si>
  <si>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</si>
  <si>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</si>
  <si>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</si>
  <si>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</si>
  <si>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</si>
  <si>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</si>
  <si>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</si>
  <si>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</si>
  <si>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</si>
  <si>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</si>
  <si>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</si>
  <si>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</si>
  <si>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</si>
  <si>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</si>
  <si>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</si>
  <si>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</si>
  <si>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</si>
  <si>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</si>
  <si>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</si>
  <si>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</si>
  <si>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</si>
  <si>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</si>
  <si>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</si>
  <si>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</si>
  <si>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</si>
  <si>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</si>
  <si>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</si>
  <si>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</si>
  <si>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</si>
  <si>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</si>
  <si>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</si>
  <si>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</si>
  <si>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</si>
  <si>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</si>
  <si>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</si>
  <si>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</si>
  <si>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</si>
  <si>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</si>
  <si>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</si>
  <si>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</si>
  <si>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</si>
  <si>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</si>
  <si>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</si>
  <si>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</si>
  <si>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</si>
  <si>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</si>
  <si>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</si>
  <si>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</si>
  <si>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</si>
  <si>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</si>
  <si>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</si>
  <si>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</si>
  <si>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</si>
  <si>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</si>
  <si>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</si>
  <si>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</si>
  <si>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</si>
  <si>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</si>
  <si>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</si>
  <si>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</si>
  <si>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</si>
  <si>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</si>
  <si>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</si>
  <si>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</si>
  <si>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</si>
  <si>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</si>
  <si>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</si>
  <si>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</si>
  <si>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</si>
  <si>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</si>
  <si>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</si>
  <si>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</si>
  <si>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</si>
  <si>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</si>
  <si>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</si>
  <si>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</si>
  <si>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</si>
  <si>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</si>
  <si>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</si>
  <si>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</si>
  <si>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</si>
  <si>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</si>
  <si>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</si>
  <si>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</si>
  <si>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</si>
  <si>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</si>
  <si>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</si>
  <si>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</si>
  <si>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</si>
  <si>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</si>
  <si>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</si>
  <si>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</si>
  <si>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</si>
  <si>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</si>
  <si>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</si>
  <si>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</si>
  <si>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</si>
  <si>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</si>
  <si>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</si>
  <si>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</si>
  <si>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</si>
  <si>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</si>
  <si>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</si>
  <si>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</si>
  <si>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</si>
  <si>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</si>
  <si>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</si>
  <si>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</si>
  <si>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</si>
  <si>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</si>
  <si>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</si>
  <si>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</si>
  <si>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</si>
  <si>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</si>
  <si>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</si>
  <si>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</si>
  <si>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</si>
  <si>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</si>
  <si>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</si>
  <si>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</si>
  <si>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</si>
  <si>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</si>
  <si>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</si>
  <si>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</si>
  <si>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</si>
  <si>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</si>
  <si>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</si>
  <si>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</si>
  <si>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</si>
  <si>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</si>
  <si>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</si>
  <si>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</si>
  <si>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</si>
  <si>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</si>
  <si>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</si>
  <si>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</si>
  <si>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</si>
  <si>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</si>
  <si>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</si>
  <si>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</si>
  <si>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</si>
  <si>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</si>
  <si>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</si>
  <si>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</si>
  <si>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</si>
  <si>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</si>
  <si>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</si>
  <si>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</si>
  <si>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</si>
  <si>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</si>
  <si>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</si>
  <si>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</si>
  <si>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</si>
  <si>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</si>
  <si>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</si>
  <si>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</si>
  <si>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</si>
  <si>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</si>
  <si>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</si>
  <si>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</si>
  <si>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</si>
  <si>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</si>
  <si>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</si>
  <si>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</si>
  <si>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</si>
  <si>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</si>
  <si>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</si>
  <si>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</si>
  <si>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</si>
  <si>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</si>
  <si>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</si>
  <si>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</si>
  <si>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</si>
  <si>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</si>
  <si>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</si>
  <si>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</si>
  <si>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</si>
  <si>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</si>
  <si>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</si>
  <si>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</si>
  <si>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</si>
  <si>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</si>
  <si>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</si>
  <si>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</si>
  <si>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</si>
  <si>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</si>
  <si>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</si>
  <si>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</si>
  <si>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</si>
  <si>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</si>
  <si>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</si>
  <si>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</si>
  <si>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</si>
  <si>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</si>
  <si>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</si>
  <si>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</si>
  <si>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</si>
  <si>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</si>
  <si>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</si>
  <si>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</si>
  <si>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</si>
  <si>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</si>
  <si>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</si>
  <si>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</si>
  <si>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</si>
  <si>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</si>
  <si>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</si>
  <si>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</si>
  <si>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</si>
  <si>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Форманюк Руслан Леонідович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</si>
  <si>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</si>
  <si>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</si>
  <si>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</si>
  <si>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</si>
  <si>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</si>
  <si>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</si>
  <si>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Рубленко Євген Миколайович</t>
  </si>
  <si>
    <t>Нерезенко Євгеній Віктоорович</t>
  </si>
  <si>
    <t>Момот Олексій Миколайович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</si>
  <si>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</si>
  <si>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</si>
  <si>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</si>
  <si>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</si>
  <si>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Токарук Петро Михайлович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</si>
  <si>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</si>
  <si>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</si>
  <si>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</si>
  <si>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>30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</si>
  <si>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</si>
  <si>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</si>
  <si>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</si>
  <si>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</si>
  <si>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</si>
  <si>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</si>
  <si>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</si>
  <si>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</si>
  <si>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Кривка Руслан Олександрович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</si>
  <si>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</si>
  <si>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</si>
  <si>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</si>
  <si>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</si>
  <si>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</si>
  <si>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Гусаков Олександр Давидович</t>
  </si>
  <si>
    <t>Рубленко Ярослав Михайлович</t>
  </si>
  <si>
    <t>Левченко Вадим Анатолійович</t>
  </si>
  <si>
    <t>Козленко Максим В’ячеславович</t>
  </si>
  <si>
    <t>Шомін Вадим Сергійович</t>
  </si>
  <si>
    <t>Удержание за обеды на объекте</t>
  </si>
  <si>
    <t xml:space="preserve">Козленко Єгор Максимович </t>
  </si>
  <si>
    <t>Повалій Олексій Юрійович</t>
  </si>
  <si>
    <t>Глібико Денис Володимирович</t>
  </si>
  <si>
    <t>Деркс Сергій Анатолійович</t>
  </si>
  <si>
    <t>Григорьєв Микола</t>
  </si>
  <si>
    <t xml:space="preserve">Маковецький Юрій Миколайович </t>
  </si>
  <si>
    <t>31</t>
  </si>
  <si>
    <t>Масливець Ярослав Ігорович</t>
  </si>
  <si>
    <t xml:space="preserve">Германчук Сергій Сергійович </t>
  </si>
  <si>
    <t>Велетнюк Матвій Ігорович</t>
  </si>
  <si>
    <t>виплати на картку за період 1-15.07.25</t>
  </si>
  <si>
    <t xml:space="preserve">ЗП  1-15.07.25 </t>
  </si>
  <si>
    <t>Сальдо на -30.06.2025</t>
  </si>
  <si>
    <t>Сальдо на 15.07.2025</t>
  </si>
  <si>
    <t>ЦО</t>
  </si>
  <si>
    <t>IRS</t>
  </si>
  <si>
    <t>катеринопіль</t>
  </si>
  <si>
    <t>мк нежин</t>
  </si>
  <si>
    <t>МД ВООЗ ЕМС</t>
  </si>
  <si>
    <t>ООН 2025</t>
  </si>
  <si>
    <t>червоний хрест</t>
  </si>
  <si>
    <t>укрнафта</t>
  </si>
  <si>
    <t>кернел</t>
  </si>
  <si>
    <t>глобино</t>
  </si>
  <si>
    <t>франківськ</t>
  </si>
  <si>
    <t>перевірка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</si>
</sst>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.0"/>
    <numFmt numFmtId="166" formatCode="#,##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43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0" fontId="6" fillId="0" borderId="0" xfId="16"/>
    <xf numFmtId="4" fontId="34" fillId="14" borderId="3" xfId="5" applyNumberFormat="1" applyFont="1" applyFill="1" applyBorder="1" applyAlignment="1">
      <alignment horizontal="center" vertical="top"/>
    </xf>
    <xf numFmtId="0" fontId="35" fillId="14" borderId="1" xfId="0" applyFont="1" applyFill="1" applyBorder="1" applyAlignment="1">
      <alignment horizontal="center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0" fontId="6" fillId="0" borderId="0" xfId="18"/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19" fillId="3" borderId="7" xfId="19" applyNumberFormat="1" applyFont="1" applyFill="1" applyBorder="1" applyAlignment="1">
      <alignment horizontal="right" vertical="top"/>
    </xf>
    <xf numFmtId="0" fontId="19" fillId="3" borderId="7" xfId="19" applyNumberFormat="1" applyFont="1" applyFill="1" applyBorder="1" applyAlignment="1">
      <alignment horizontal="left" vertical="top"/>
    </xf>
    <xf numFmtId="0" fontId="6" fillId="0" borderId="0" xfId="19"/>
    <xf numFmtId="0" fontId="6" fillId="0" borderId="0" xfId="17"/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20" applyNumberFormat="1" applyFont="1" applyFill="1" applyBorder="1" applyAlignment="1">
      <alignment horizontal="right" vertical="top"/>
    </xf>
    <xf numFmtId="0" fontId="19" fillId="3" borderId="7" xfId="20" applyNumberFormat="1" applyFont="1" applyFill="1" applyBorder="1" applyAlignment="1">
      <alignment horizontal="left" vertical="top"/>
    </xf>
    <xf numFmtId="1" fontId="19" fillId="3" borderId="7" xfId="21" applyNumberFormat="1" applyFont="1" applyFill="1" applyBorder="1" applyAlignment="1">
      <alignment horizontal="right" vertical="top"/>
    </xf>
    <xf numFmtId="0" fontId="19" fillId="3" borderId="7" xfId="21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1" fontId="19" fillId="3" borderId="7" xfId="22" applyNumberFormat="1" applyFont="1" applyFill="1" applyBorder="1" applyAlignment="1">
      <alignment horizontal="right" vertical="top"/>
    </xf>
    <xf numFmtId="0" fontId="19" fillId="3" borderId="7" xfId="22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19" fillId="3" borderId="4" xfId="18" applyNumberFormat="1" applyFont="1" applyFill="1" applyBorder="1" applyAlignment="1">
      <alignment horizontal="left" vertical="top"/>
    </xf>
    <xf numFmtId="0" fontId="19" fillId="3" borderId="1" xfId="18" applyNumberFormat="1" applyFont="1" applyFill="1" applyBorder="1" applyAlignment="1">
      <alignment horizontal="left" vertical="top"/>
    </xf>
    <xf numFmtId="1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8" fillId="3" borderId="7" xfId="18" applyNumberFormat="1" applyFont="1" applyFill="1" applyBorder="1" applyAlignment="1">
      <alignment horizontal="lef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0" fontId="37" fillId="3" borderId="7" xfId="25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0" fontId="37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7" fillId="3" borderId="7" xfId="23" applyNumberFormat="1" applyFont="1" applyFill="1" applyBorder="1" applyAlignment="1">
      <alignment horizontal="left" vertical="top"/>
    </xf>
    <xf numFmtId="0" fontId="37" fillId="3" borderId="7" xfId="22" applyNumberFormat="1" applyFont="1" applyFill="1" applyBorder="1" applyAlignment="1">
      <alignment horizontal="left" vertical="top"/>
    </xf>
    <xf numFmtId="0" fontId="37" fillId="3" borderId="7" xfId="19" applyNumberFormat="1" applyFont="1" applyFill="1" applyBorder="1" applyAlignment="1">
      <alignment horizontal="left" vertical="top"/>
    </xf>
    <xf numFmtId="0" fontId="37" fillId="3" borderId="7" xfId="24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0" fontId="37" fillId="3" borderId="7" xfId="21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1" fontId="19" fillId="3" borderId="8" xfId="18" applyNumberFormat="1" applyFont="1" applyFill="1" applyBorder="1" applyAlignment="1">
      <alignment horizontal="right" vertical="top"/>
    </xf>
    <xf numFmtId="0" fontId="19" fillId="3" borderId="3" xfId="18" applyNumberFormat="1" applyFont="1" applyFill="1" applyBorder="1" applyAlignment="1">
      <alignment horizontal="left" vertical="top"/>
    </xf>
    <xf numFmtId="4" fontId="12" fillId="0" borderId="1" xfId="0" applyNumberFormat="1" applyFont="1" applyBorder="1" applyAlignment="1">
      <alignment horizontal="center"/>
    </xf>
    <xf numFmtId="165" fontId="19" fillId="3" borderId="7" xfId="17" applyNumberFormat="1" applyFont="1" applyFill="1" applyBorder="1" applyAlignment="1">
      <alignment horizontal="right" vertical="top"/>
    </xf>
    <xf numFmtId="166" fontId="37" fillId="3" borderId="7" xfId="17" applyNumberFormat="1" applyFont="1" applyFill="1" applyBorder="1" applyAlignment="1">
      <alignment horizontal="right" vertical="top"/>
    </xf>
    <xf numFmtId="165" fontId="19" fillId="3" borderId="7" xfId="20" applyNumberFormat="1" applyFont="1" applyFill="1" applyBorder="1" applyAlignment="1">
      <alignment horizontal="right" vertical="top"/>
    </xf>
    <xf numFmtId="166" fontId="37" fillId="3" borderId="7" xfId="20" applyNumberFormat="1" applyFont="1" applyFill="1" applyBorder="1" applyAlignment="1">
      <alignment horizontal="right" vertical="top"/>
    </xf>
    <xf numFmtId="165" fontId="19" fillId="3" borderId="7" xfId="21" applyNumberFormat="1" applyFont="1" applyFill="1" applyBorder="1" applyAlignment="1">
      <alignment horizontal="right" vertical="top"/>
    </xf>
    <xf numFmtId="166" fontId="37" fillId="3" borderId="7" xfId="21" applyNumberFormat="1" applyFont="1" applyFill="1" applyBorder="1" applyAlignment="1">
      <alignment horizontal="right" vertical="top"/>
    </xf>
    <xf numFmtId="165" fontId="19" fillId="3" borderId="7" xfId="18" applyNumberFormat="1" applyFont="1" applyFill="1" applyBorder="1" applyAlignment="1">
      <alignment horizontal="right" vertical="top"/>
    </xf>
    <xf numFmtId="165" fontId="37" fillId="3" borderId="7" xfId="18" applyNumberFormat="1" applyFont="1" applyFill="1" applyBorder="1" applyAlignment="1">
      <alignment horizontal="right" vertical="top"/>
    </xf>
    <xf numFmtId="165" fontId="19" fillId="3" borderId="7" xfId="24" applyNumberFormat="1" applyFont="1" applyFill="1" applyBorder="1" applyAlignment="1">
      <alignment horizontal="right" vertical="top"/>
    </xf>
    <xf numFmtId="165" fontId="37" fillId="3" borderId="7" xfId="24" applyNumberFormat="1" applyFont="1" applyFill="1" applyBorder="1" applyAlignment="1">
      <alignment horizontal="right" vertical="top"/>
    </xf>
    <xf numFmtId="165" fontId="19" fillId="3" borderId="7" xfId="19" applyNumberFormat="1" applyFont="1" applyFill="1" applyBorder="1" applyAlignment="1">
      <alignment horizontal="right" vertical="top"/>
    </xf>
    <xf numFmtId="165" fontId="37" fillId="3" borderId="7" xfId="19" applyNumberFormat="1" applyFont="1" applyFill="1" applyBorder="1" applyAlignment="1">
      <alignment horizontal="right" vertical="top"/>
    </xf>
    <xf numFmtId="165" fontId="19" fillId="3" borderId="7" xfId="22" applyNumberFormat="1" applyFont="1" applyFill="1" applyBorder="1" applyAlignment="1">
      <alignment horizontal="right" vertical="top"/>
    </xf>
    <xf numFmtId="165" fontId="37" fillId="3" borderId="7" xfId="22" applyNumberFormat="1" applyFont="1" applyFill="1" applyBorder="1" applyAlignment="1">
      <alignment horizontal="right" vertical="top"/>
    </xf>
    <xf numFmtId="165" fontId="19" fillId="3" borderId="7" xfId="26" applyNumberFormat="1" applyFont="1" applyFill="1" applyBorder="1" applyAlignment="1">
      <alignment horizontal="right" vertical="top"/>
    </xf>
    <xf numFmtId="165" fontId="37" fillId="3" borderId="7" xfId="26" applyNumberFormat="1" applyFont="1" applyFill="1" applyBorder="1" applyAlignment="1">
      <alignment horizontal="right" vertical="top"/>
    </xf>
    <xf numFmtId="165" fontId="19" fillId="3" borderId="7" xfId="23" applyNumberFormat="1" applyFont="1" applyFill="1" applyBorder="1" applyAlignment="1">
      <alignment horizontal="right" vertical="top"/>
    </xf>
    <xf numFmtId="165" fontId="37" fillId="3" borderId="7" xfId="23" applyNumberFormat="1" applyFont="1" applyFill="1" applyBorder="1" applyAlignment="1">
      <alignment horizontal="right" vertical="top"/>
    </xf>
    <xf numFmtId="0" fontId="37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165" fontId="19" fillId="3" borderId="7" xfId="27" applyNumberFormat="1" applyFont="1" applyFill="1" applyBorder="1" applyAlignment="1">
      <alignment horizontal="right" vertical="top"/>
    </xf>
    <xf numFmtId="165" fontId="37" fillId="3" borderId="7" xfId="27" applyNumberFormat="1" applyFont="1" applyFill="1" applyBorder="1" applyAlignment="1">
      <alignment horizontal="right" vertical="top"/>
    </xf>
    <xf numFmtId="0" fontId="37" fillId="3" borderId="7" xfId="28" applyNumberFormat="1" applyFont="1" applyFill="1" applyBorder="1" applyAlignment="1">
      <alignment horizontal="left" vertical="top"/>
    </xf>
    <xf numFmtId="1" fontId="19" fillId="3" borderId="7" xfId="28" applyNumberFormat="1" applyFont="1" applyFill="1" applyBorder="1" applyAlignment="1">
      <alignment horizontal="right" vertical="top"/>
    </xf>
    <xf numFmtId="0" fontId="19" fillId="3" borderId="7" xfId="28" applyNumberFormat="1" applyFont="1" applyFill="1" applyBorder="1" applyAlignment="1">
      <alignment horizontal="left" vertical="top"/>
    </xf>
    <xf numFmtId="165" fontId="19" fillId="3" borderId="7" xfId="28" applyNumberFormat="1" applyFont="1" applyFill="1" applyBorder="1" applyAlignment="1">
      <alignment horizontal="right" vertical="top"/>
    </xf>
    <xf numFmtId="165" fontId="37" fillId="3" borderId="7" xfId="28" applyNumberFormat="1" applyFont="1" applyFill="1" applyBorder="1" applyAlignment="1">
      <alignment horizontal="right" vertical="top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2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15" borderId="0" xfId="0" applyFont="1" applyFill="1"/>
    <xf numFmtId="4" fontId="5" fillId="0" borderId="3" xfId="5" applyNumberFormat="1" applyFont="1" applyFill="1" applyBorder="1" applyAlignment="1">
      <alignment horizontal="center" vertical="top"/>
    </xf>
    <xf numFmtId="1" fontId="19" fillId="16" borderId="7" xfId="19" applyNumberFormat="1" applyFont="1" applyFill="1" applyBorder="1" applyAlignment="1">
      <alignment horizontal="right" vertical="top"/>
    </xf>
    <xf numFmtId="0" fontId="19" fillId="16" borderId="7" xfId="19" applyNumberFormat="1" applyFont="1" applyFill="1" applyBorder="1" applyAlignment="1">
      <alignment horizontal="left" vertical="top"/>
    </xf>
    <xf numFmtId="0" fontId="19" fillId="16" borderId="7" xfId="18" applyNumberFormat="1" applyFont="1" applyFill="1" applyBorder="1" applyAlignment="1">
      <alignment horizontal="left" vertical="top"/>
    </xf>
    <xf numFmtId="4" fontId="32" fillId="16" borderId="1" xfId="5" applyNumberFormat="1" applyFont="1" applyFill="1" applyBorder="1" applyAlignment="1">
      <alignment horizontal="center" vertical="top"/>
    </xf>
    <xf numFmtId="4" fontId="34" fillId="16" borderId="1" xfId="5" applyNumberFormat="1" applyFont="1" applyFill="1" applyBorder="1" applyAlignment="1">
      <alignment horizontal="center" vertical="top"/>
    </xf>
    <xf numFmtId="1" fontId="5" fillId="16" borderId="1" xfId="1" applyNumberFormat="1" applyFont="1" applyFill="1" applyBorder="1" applyAlignment="1">
      <alignment horizontal="center" vertical="center" wrapText="1"/>
    </xf>
    <xf numFmtId="0" fontId="17" fillId="16" borderId="1" xfId="9" applyFont="1" applyFill="1" applyBorder="1" applyAlignment="1">
      <alignment horizontal="center" vertical="center"/>
    </xf>
    <xf numFmtId="0" fontId="12" fillId="16" borderId="0" xfId="0" applyFont="1" applyFill="1"/>
    <xf numFmtId="1" fontId="12" fillId="16" borderId="0" xfId="0" applyNumberFormat="1" applyFont="1" applyFill="1"/>
    <xf numFmtId="1" fontId="12" fillId="0" borderId="0" xfId="0" applyNumberFormat="1" applyFont="1" applyFill="1"/>
    <xf numFmtId="4" fontId="38" fillId="0" borderId="0" xfId="0" applyNumberFormat="1" applyFont="1" applyAlignment="1">
      <alignment horizontal="center"/>
    </xf>
    <xf numFmtId="4" fontId="12" fillId="0" borderId="0" xfId="0" applyNumberFormat="1" applyFont="1"/>
    <xf numFmtId="4" fontId="12" fillId="16" borderId="0" xfId="0" applyNumberFormat="1" applyFont="1" applyFill="1"/>
    <xf numFmtId="4" fontId="12" fillId="4" borderId="0" xfId="0" applyNumberFormat="1" applyFont="1" applyFill="1"/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</cellXfs>
  <cellStyles count="29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1С 16-29.02.24" xfId="8" xr:uid="{00000000-0005-0000-0000-00000A000000}"/>
    <cellStyle name="Обычный_1С цех" xfId="9" xr:uid="{00000000-0005-0000-0000-00000B000000}"/>
    <cellStyle name="Обычный_IRS" xfId="28" xr:uid="{00000000-0005-0000-0000-00000C000000}"/>
    <cellStyle name="Обычный_Глобино Мк" xfId="26" xr:uid="{00000000-0005-0000-0000-00000D000000}"/>
    <cellStyle name="Обычный_ЕМС Вооз" xfId="17" xr:uid="{00000000-0005-0000-0000-00000E000000}"/>
    <cellStyle name="Обычный_Катеринополь" xfId="18" xr:uid="{00000000-0005-0000-0000-00000F000000}"/>
    <cellStyle name="Обычный_Кернел" xfId="21" xr:uid="{00000000-0005-0000-0000-000010000000}"/>
    <cellStyle name="Обычный_Лист1" xfId="10" xr:uid="{00000000-0005-0000-0000-000011000000}"/>
    <cellStyle name="Обычный_Лист2" xfId="13" xr:uid="{00000000-0005-0000-0000-000012000000}"/>
    <cellStyle name="Обычный_Лист8" xfId="16" xr:uid="{00000000-0005-0000-0000-000013000000}"/>
    <cellStyle name="Обычный_МД Франківськ" xfId="27" xr:uid="{00000000-0005-0000-0000-000014000000}"/>
    <cellStyle name="Обычный_Мк нежин" xfId="24" xr:uid="{00000000-0005-0000-0000-000015000000}"/>
    <cellStyle name="Обычный_МХП франківськ" xfId="25" xr:uid="{00000000-0005-0000-0000-000016000000}"/>
    <cellStyle name="Обычный_ООН" xfId="20" xr:uid="{00000000-0005-0000-0000-000017000000}"/>
    <cellStyle name="Обычный_Табель 16-30" xfId="5" xr:uid="{00000000-0005-0000-0000-000018000000}"/>
    <cellStyle name="Обычный_Табель МД" xfId="1" xr:uid="{00000000-0005-0000-0000-000019000000}"/>
    <cellStyle name="Обычный_Укрнафта" xfId="23" xr:uid="{00000000-0005-0000-0000-00001A000000}"/>
    <cellStyle name="Обычный_Цо" xfId="19" xr:uid="{00000000-0005-0000-0000-00001B000000}"/>
    <cellStyle name="Обычный_Червоний хрест" xfId="22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30;&#1053;&#1064;&#1045;/&#1041;&#1108;&#1075;&#1110;&#1096;&#1077;&#1074;&#1072;/&#1047;&#1055;/06_25/!!!%20&#1047;&#1055;%20%20&#1042;&#1110;&#1076;&#1086;&#1084;&#1110;&#1089;&#1090;&#1100;%20%20&#1094;&#1077;&#1093;%20&#1079;%2016%20&#1087;&#1086;%2031%20&#1095;&#1077;&#1088;&#1074;&#1085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01 по 15 червня"/>
      <sheetName val="Цо"/>
      <sheetName val="Катеринополь"/>
      <sheetName val="Мк нежин"/>
      <sheetName val="ЕМС Вооз"/>
      <sheetName val="ООН"/>
      <sheetName val="Червоний хрест"/>
      <sheetName val="Укрнафта"/>
      <sheetName val="Кернел"/>
      <sheetName val="МХП франківськ"/>
      <sheetName val="Глобино Мк"/>
      <sheetName val="Лист6"/>
      <sheetName val="Распределени"/>
      <sheetName val="Загальна по роботам"/>
      <sheetName val="1С Крушинка"/>
      <sheetName val="1С цех"/>
    </sheetNames>
    <sheetDataSet>
      <sheetData sheetId="0"/>
      <sheetData sheetId="1"/>
      <sheetData sheetId="2">
        <row r="2">
          <cell r="B2" t="str">
            <v>Скрипник Сергій Павлович</v>
          </cell>
          <cell r="C2">
            <v>0</v>
          </cell>
          <cell r="D2">
            <v>5445</v>
          </cell>
          <cell r="E2">
            <v>23940</v>
          </cell>
          <cell r="F2">
            <v>-39.080000000001746</v>
          </cell>
          <cell r="G2">
            <v>18500</v>
          </cell>
          <cell r="H2">
            <v>-44.080000000001746</v>
          </cell>
        </row>
        <row r="3">
          <cell r="B3" t="str">
            <v>Бабіленко Микола Олександрович</v>
          </cell>
          <cell r="C3">
            <v>0</v>
          </cell>
          <cell r="D3">
            <v>13476.06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Багацький Вадим Геннадійович</v>
          </cell>
          <cell r="C4">
            <v>0</v>
          </cell>
          <cell r="D4">
            <v>4033.34</v>
          </cell>
          <cell r="E4">
            <v>19350</v>
          </cell>
          <cell r="F4">
            <v>3.5900000000001455</v>
          </cell>
          <cell r="G4">
            <v>15300</v>
          </cell>
          <cell r="H4">
            <v>20.25</v>
          </cell>
        </row>
        <row r="5">
          <cell r="B5" t="str">
            <v>Васильєв Віталій Юрійович</v>
          </cell>
          <cell r="C5">
            <v>0</v>
          </cell>
          <cell r="D5">
            <v>4033.34</v>
          </cell>
          <cell r="E5">
            <v>22350</v>
          </cell>
          <cell r="F5">
            <v>20.600000000002183</v>
          </cell>
          <cell r="G5">
            <v>18300</v>
          </cell>
          <cell r="H5">
            <v>37.260000000002037</v>
          </cell>
        </row>
        <row r="6">
          <cell r="B6" t="str">
            <v>Григоренко Олександр Миколайович</v>
          </cell>
          <cell r="C6">
            <v>0</v>
          </cell>
          <cell r="D6">
            <v>4033.34</v>
          </cell>
          <cell r="E6">
            <v>15450</v>
          </cell>
          <cell r="F6">
            <v>-46.409999999999854</v>
          </cell>
          <cell r="G6">
            <v>11400</v>
          </cell>
          <cell r="H6">
            <v>-29.75</v>
          </cell>
        </row>
        <row r="7">
          <cell r="B7" t="str">
            <v>Григорьєв Микола</v>
          </cell>
          <cell r="C7">
            <v>0</v>
          </cell>
          <cell r="D7">
            <v>4033.34</v>
          </cell>
          <cell r="E7">
            <v>22200</v>
          </cell>
          <cell r="F7">
            <v>3.2900000000008731</v>
          </cell>
          <cell r="G7">
            <v>18200</v>
          </cell>
          <cell r="H7">
            <v>-30.049999999999272</v>
          </cell>
        </row>
        <row r="8">
          <cell r="B8" t="str">
            <v>Григор'єв Михайло Андрійович</v>
          </cell>
          <cell r="C8">
            <v>0</v>
          </cell>
          <cell r="D8">
            <v>4033.34</v>
          </cell>
          <cell r="E8">
            <v>17400</v>
          </cell>
          <cell r="F8">
            <v>0</v>
          </cell>
          <cell r="G8">
            <v>13400</v>
          </cell>
          <cell r="H8">
            <v>-33.340000000000146</v>
          </cell>
        </row>
        <row r="9">
          <cell r="B9" t="str">
            <v>Іванов Олексій Вікторович</v>
          </cell>
          <cell r="C9">
            <v>0</v>
          </cell>
          <cell r="D9">
            <v>4033.34</v>
          </cell>
          <cell r="E9">
            <v>18000</v>
          </cell>
          <cell r="F9">
            <v>46.799999999999272</v>
          </cell>
          <cell r="G9">
            <v>14000</v>
          </cell>
          <cell r="H9">
            <v>13.459999999999127</v>
          </cell>
        </row>
        <row r="10">
          <cell r="B10" t="str">
            <v>Іскрицький Денис Русланович</v>
          </cell>
          <cell r="C10">
            <v>0</v>
          </cell>
          <cell r="D10">
            <v>4033.34</v>
          </cell>
          <cell r="E10">
            <v>19950</v>
          </cell>
          <cell r="F10">
            <v>-16.409999999999854</v>
          </cell>
          <cell r="G10">
            <v>15900</v>
          </cell>
          <cell r="H10">
            <v>0.25</v>
          </cell>
        </row>
        <row r="11">
          <cell r="B11" t="str">
            <v xml:space="preserve">Корнієнко Станіслав Володимирович </v>
          </cell>
          <cell r="C11">
            <v>0</v>
          </cell>
          <cell r="D11">
            <v>4033.34</v>
          </cell>
          <cell r="E11">
            <v>19950</v>
          </cell>
          <cell r="F11">
            <v>-3.6199999999989814</v>
          </cell>
          <cell r="G11">
            <v>15900</v>
          </cell>
          <cell r="H11">
            <v>13.040000000000873</v>
          </cell>
        </row>
        <row r="12">
          <cell r="B12" t="str">
            <v>Масливець Ігор Валерійович</v>
          </cell>
          <cell r="C12">
            <v>0</v>
          </cell>
          <cell r="D12">
            <v>4033.34</v>
          </cell>
          <cell r="E12">
            <v>19950</v>
          </cell>
          <cell r="F12">
            <v>3.2900000000045111</v>
          </cell>
          <cell r="G12">
            <v>15900</v>
          </cell>
          <cell r="H12">
            <v>19.950000000004366</v>
          </cell>
        </row>
        <row r="13">
          <cell r="B13" t="str">
            <v>Пономаренко Віталій Вікторович</v>
          </cell>
          <cell r="C13">
            <v>0</v>
          </cell>
          <cell r="D13">
            <v>4033.34</v>
          </cell>
          <cell r="E13">
            <v>23940</v>
          </cell>
          <cell r="F13">
            <v>-36.409999999999854</v>
          </cell>
          <cell r="G13">
            <v>19900</v>
          </cell>
          <cell r="H13">
            <v>-29.75</v>
          </cell>
        </row>
        <row r="14">
          <cell r="B14" t="str">
            <v>Скрипник Олександр Павлович</v>
          </cell>
          <cell r="C14">
            <v>0</v>
          </cell>
          <cell r="D14">
            <v>4033.34</v>
          </cell>
          <cell r="E14">
            <v>23940</v>
          </cell>
          <cell r="F14">
            <v>-46.659999999999854</v>
          </cell>
          <cell r="G14">
            <v>19900</v>
          </cell>
          <cell r="H14">
            <v>-40</v>
          </cell>
        </row>
        <row r="15">
          <cell r="B15" t="str">
            <v>Власенко В'ячеслав Валентинович</v>
          </cell>
          <cell r="C15">
            <v>0</v>
          </cell>
          <cell r="D15">
            <v>4033.34</v>
          </cell>
          <cell r="E15">
            <v>23940</v>
          </cell>
          <cell r="F15">
            <v>-45.86000000000422</v>
          </cell>
          <cell r="G15">
            <v>19900</v>
          </cell>
          <cell r="H15">
            <v>-39.200000000004366</v>
          </cell>
        </row>
        <row r="16">
          <cell r="B16" t="str">
            <v>Поліщук Олександр Олександрович</v>
          </cell>
          <cell r="C16">
            <v>0</v>
          </cell>
          <cell r="D16">
            <v>4033.34</v>
          </cell>
          <cell r="E16">
            <v>16350</v>
          </cell>
          <cell r="F16">
            <v>3.7000000000007276</v>
          </cell>
          <cell r="G16">
            <v>12300</v>
          </cell>
          <cell r="H16">
            <v>20.360000000000582</v>
          </cell>
        </row>
        <row r="17">
          <cell r="B17" t="str">
            <v>Пилипчук Олександр Анатолійович</v>
          </cell>
          <cell r="C17">
            <v>0</v>
          </cell>
          <cell r="D17">
            <v>4033.34</v>
          </cell>
          <cell r="E17">
            <v>19500</v>
          </cell>
          <cell r="F17">
            <v>3.7900000000008731</v>
          </cell>
          <cell r="G17">
            <v>15500</v>
          </cell>
          <cell r="H17">
            <v>-29.549999999999272</v>
          </cell>
        </row>
        <row r="18">
          <cell r="B18" t="str">
            <v>Паламарчук Вячеслав Володимирович</v>
          </cell>
          <cell r="C18">
            <v>0</v>
          </cell>
          <cell r="D18">
            <v>4033.34</v>
          </cell>
          <cell r="E18">
            <v>19950</v>
          </cell>
          <cell r="F18">
            <v>-46.659999999999854</v>
          </cell>
          <cell r="G18">
            <v>15900</v>
          </cell>
          <cell r="H18">
            <v>-30</v>
          </cell>
        </row>
        <row r="19">
          <cell r="B19" t="str">
            <v>Дехтяр Владислав Олександрович</v>
          </cell>
          <cell r="C19">
            <v>9220</v>
          </cell>
          <cell r="D19">
            <v>4033.34</v>
          </cell>
          <cell r="E19">
            <v>54000</v>
          </cell>
          <cell r="F19">
            <v>40.569999999996071</v>
          </cell>
          <cell r="G19">
            <v>40800</v>
          </cell>
          <cell r="H19">
            <v>-12.770000000004075</v>
          </cell>
        </row>
        <row r="20">
          <cell r="B20" t="str">
            <v>Тужиков Валерій Владиславович</v>
          </cell>
          <cell r="C20">
            <v>0</v>
          </cell>
          <cell r="D20">
            <v>4033.34</v>
          </cell>
          <cell r="E20">
            <v>54000</v>
          </cell>
          <cell r="F20">
            <v>-16.909999999999854</v>
          </cell>
          <cell r="G20">
            <v>49900</v>
          </cell>
          <cell r="H20">
            <v>49.75</v>
          </cell>
        </row>
        <row r="21">
          <cell r="B21" t="str">
            <v>Сівов Євген Миколайович</v>
          </cell>
          <cell r="C21">
            <v>0</v>
          </cell>
          <cell r="D21">
            <v>2199.9899999999998</v>
          </cell>
          <cell r="E21">
            <v>19950</v>
          </cell>
          <cell r="F21">
            <v>21.280000000003383</v>
          </cell>
          <cell r="G21">
            <v>17800</v>
          </cell>
          <cell r="H21">
            <v>-28.709999999999127</v>
          </cell>
        </row>
        <row r="22">
          <cell r="B22" t="str">
            <v>Кіфор Юрій Михайлович</v>
          </cell>
          <cell r="C22">
            <v>0</v>
          </cell>
          <cell r="D22">
            <v>4033.34</v>
          </cell>
          <cell r="E22">
            <v>18000</v>
          </cell>
          <cell r="F22">
            <v>-47.159999999999854</v>
          </cell>
          <cell r="G22">
            <v>13900</v>
          </cell>
          <cell r="H22">
            <v>19.5</v>
          </cell>
        </row>
        <row r="23">
          <cell r="B23" t="str">
            <v>Нестерук Сергій Петрович</v>
          </cell>
          <cell r="C23">
            <v>9220</v>
          </cell>
          <cell r="D23">
            <v>4033.34</v>
          </cell>
          <cell r="E23">
            <v>39600</v>
          </cell>
          <cell r="F23">
            <v>15.840000000000146</v>
          </cell>
          <cell r="G23">
            <v>26400</v>
          </cell>
          <cell r="H23">
            <v>-37.5</v>
          </cell>
        </row>
        <row r="24">
          <cell r="B24" t="str">
            <v>Петренко Микола Григорович</v>
          </cell>
          <cell r="C24">
            <v>0</v>
          </cell>
          <cell r="D24">
            <v>6233.34</v>
          </cell>
          <cell r="E24">
            <v>14850</v>
          </cell>
          <cell r="F24">
            <v>44.889999999999418</v>
          </cell>
          <cell r="G24">
            <v>8700</v>
          </cell>
          <cell r="H24">
            <v>-38.450000000000728</v>
          </cell>
        </row>
        <row r="25">
          <cell r="B25" t="str">
            <v>Рубленко Микола Іванович</v>
          </cell>
          <cell r="C25">
            <v>0</v>
          </cell>
          <cell r="D25">
            <v>4033.34</v>
          </cell>
          <cell r="E25">
            <v>19050</v>
          </cell>
          <cell r="F25">
            <v>2.8400000000001455</v>
          </cell>
          <cell r="G25">
            <v>15000</v>
          </cell>
          <cell r="H25">
            <v>19.5</v>
          </cell>
        </row>
        <row r="26">
          <cell r="B26" t="str">
            <v>Серебренніков Володимир Олександрович</v>
          </cell>
          <cell r="C26">
            <v>0</v>
          </cell>
          <cell r="D26">
            <v>4033.34</v>
          </cell>
          <cell r="E26">
            <v>12900</v>
          </cell>
          <cell r="F26">
            <v>-27.039999999997235</v>
          </cell>
          <cell r="G26">
            <v>8800</v>
          </cell>
          <cell r="H26">
            <v>39.620000000002619</v>
          </cell>
        </row>
        <row r="27">
          <cell r="B27" t="str">
            <v>Чешко Сергій Анатолійович</v>
          </cell>
          <cell r="C27">
            <v>0</v>
          </cell>
          <cell r="D27">
            <v>4033.34</v>
          </cell>
          <cell r="E27">
            <v>28800</v>
          </cell>
          <cell r="F27">
            <v>1.3400000000001455</v>
          </cell>
          <cell r="G27">
            <v>24800</v>
          </cell>
          <cell r="H27">
            <v>-32</v>
          </cell>
        </row>
        <row r="28">
          <cell r="B28" t="str">
            <v>Нерезенко Євгеній Віктоорович</v>
          </cell>
          <cell r="C28">
            <v>0</v>
          </cell>
          <cell r="D28">
            <v>4033.34</v>
          </cell>
          <cell r="E28">
            <v>25200</v>
          </cell>
          <cell r="F28">
            <v>33.340000000000146</v>
          </cell>
          <cell r="G28">
            <v>21200</v>
          </cell>
          <cell r="H28">
            <v>0</v>
          </cell>
        </row>
        <row r="29">
          <cell r="B29" t="str">
            <v>Шавкун Максим Анатолійович НЕ ВЫБИРАТЬ !!!</v>
          </cell>
          <cell r="C29">
            <v>0</v>
          </cell>
          <cell r="D29">
            <v>4033.34</v>
          </cell>
          <cell r="E29">
            <v>28800</v>
          </cell>
          <cell r="F29">
            <v>33.340000000000003</v>
          </cell>
          <cell r="G29">
            <v>24800</v>
          </cell>
          <cell r="H29">
            <v>0</v>
          </cell>
        </row>
        <row r="30">
          <cell r="B30" t="str">
            <v>Чуйко Олег Олегович</v>
          </cell>
          <cell r="C30">
            <v>0</v>
          </cell>
          <cell r="D30">
            <v>4033.34</v>
          </cell>
          <cell r="E30">
            <v>11850</v>
          </cell>
          <cell r="F30">
            <v>-46.659999999999854</v>
          </cell>
          <cell r="G30">
            <v>7800</v>
          </cell>
          <cell r="H30">
            <v>-30</v>
          </cell>
        </row>
        <row r="31">
          <cell r="B31" t="str">
            <v>Жеведенко Петро Васильович</v>
          </cell>
          <cell r="C31">
            <v>0</v>
          </cell>
          <cell r="E31">
            <v>0</v>
          </cell>
          <cell r="F31">
            <v>20</v>
          </cell>
          <cell r="G31">
            <v>0</v>
          </cell>
          <cell r="H31">
            <v>20</v>
          </cell>
        </row>
        <row r="32">
          <cell r="B32" t="str">
            <v>Салюк Дмитро Андрійович</v>
          </cell>
          <cell r="C32">
            <v>0</v>
          </cell>
          <cell r="E32">
            <v>17400</v>
          </cell>
          <cell r="F32">
            <v>-30</v>
          </cell>
          <cell r="G32">
            <v>17400</v>
          </cell>
          <cell r="H32">
            <v>-30</v>
          </cell>
        </row>
        <row r="33">
          <cell r="B33" t="str">
            <v xml:space="preserve">Маковецький Юрій Миколайович </v>
          </cell>
          <cell r="C33">
            <v>0</v>
          </cell>
          <cell r="D33">
            <v>2016.67</v>
          </cell>
          <cell r="E33">
            <v>18300</v>
          </cell>
          <cell r="F33">
            <v>8.33</v>
          </cell>
          <cell r="G33">
            <v>16300</v>
          </cell>
          <cell r="H33">
            <v>-8.3399999999983265</v>
          </cell>
        </row>
        <row r="34">
          <cell r="B34" t="str">
            <v>Міненко Олександр Андрійович</v>
          </cell>
          <cell r="C34">
            <v>0</v>
          </cell>
          <cell r="E34">
            <v>18000</v>
          </cell>
          <cell r="F34">
            <v>0</v>
          </cell>
          <cell r="G34">
            <v>18000</v>
          </cell>
          <cell r="H34">
            <v>0</v>
          </cell>
        </row>
        <row r="35">
          <cell r="B35" t="str">
            <v>Салій Дмитро Миколайович</v>
          </cell>
          <cell r="C35">
            <v>0</v>
          </cell>
          <cell r="E35">
            <v>18000</v>
          </cell>
          <cell r="F35">
            <v>0</v>
          </cell>
          <cell r="G35">
            <v>18000</v>
          </cell>
          <cell r="H35">
            <v>0</v>
          </cell>
        </row>
        <row r="36">
          <cell r="B36" t="str">
            <v>Різніченко Олег Олександрович</v>
          </cell>
          <cell r="C36">
            <v>0</v>
          </cell>
          <cell r="E36">
            <v>16050</v>
          </cell>
          <cell r="F36">
            <v>20</v>
          </cell>
          <cell r="G36">
            <v>16100</v>
          </cell>
          <cell r="H36">
            <v>-30</v>
          </cell>
        </row>
        <row r="37">
          <cell r="B37" t="str">
            <v>Рогозовець Андрій Вікторович</v>
          </cell>
          <cell r="C37">
            <v>0</v>
          </cell>
          <cell r="D37">
            <v>4033.34</v>
          </cell>
          <cell r="E37">
            <v>19050</v>
          </cell>
          <cell r="F37">
            <v>-46.659999999999854</v>
          </cell>
          <cell r="G37">
            <v>15000</v>
          </cell>
          <cell r="H37">
            <v>-30</v>
          </cell>
        </row>
        <row r="38">
          <cell r="B38" t="str">
            <v>Старков Кирило Юрійович</v>
          </cell>
          <cell r="C38">
            <v>0</v>
          </cell>
          <cell r="E38">
            <v>14400</v>
          </cell>
          <cell r="F38">
            <v>0</v>
          </cell>
          <cell r="G38">
            <v>14400</v>
          </cell>
          <cell r="H38">
            <v>0</v>
          </cell>
        </row>
        <row r="39">
          <cell r="B39" t="str">
            <v>Зубахін Сергій Александрович</v>
          </cell>
          <cell r="C39">
            <v>0</v>
          </cell>
          <cell r="E39">
            <v>28800</v>
          </cell>
          <cell r="F39">
            <v>0</v>
          </cell>
          <cell r="G39">
            <v>28800</v>
          </cell>
          <cell r="H39">
            <v>0</v>
          </cell>
        </row>
        <row r="40">
          <cell r="B40" t="str">
            <v>Корнієнко Віталій Олегович</v>
          </cell>
          <cell r="C40">
            <v>0</v>
          </cell>
          <cell r="D40">
            <v>4033.34</v>
          </cell>
          <cell r="E40">
            <v>54000</v>
          </cell>
          <cell r="F40">
            <v>-16.659999999999854</v>
          </cell>
          <cell r="G40">
            <v>50000</v>
          </cell>
          <cell r="H40">
            <v>-50</v>
          </cell>
        </row>
        <row r="41">
          <cell r="B41" t="str">
            <v>Рубленко Євген Миколайович</v>
          </cell>
          <cell r="C41">
            <v>0</v>
          </cell>
          <cell r="E41">
            <v>15750</v>
          </cell>
          <cell r="F41">
            <v>0</v>
          </cell>
          <cell r="G41">
            <v>15800</v>
          </cell>
          <cell r="H41">
            <v>-50</v>
          </cell>
        </row>
        <row r="42">
          <cell r="B42" t="str">
            <v>Форманюк Руслан Леонідович</v>
          </cell>
          <cell r="C42">
            <v>0</v>
          </cell>
          <cell r="E42">
            <v>17400</v>
          </cell>
          <cell r="F42">
            <v>-30</v>
          </cell>
          <cell r="G42">
            <v>17400</v>
          </cell>
          <cell r="H42">
            <v>-30</v>
          </cell>
        </row>
        <row r="43">
          <cell r="B43" t="str">
            <v xml:space="preserve">Щербак Петро Іванович </v>
          </cell>
          <cell r="C43">
            <v>0</v>
          </cell>
          <cell r="E43">
            <v>24900</v>
          </cell>
          <cell r="F43">
            <v>-50</v>
          </cell>
          <cell r="G43">
            <v>24900</v>
          </cell>
          <cell r="H43">
            <v>-50</v>
          </cell>
        </row>
        <row r="44">
          <cell r="B44" t="str">
            <v>Онучак Віктор Іванович</v>
          </cell>
          <cell r="C44">
            <v>0</v>
          </cell>
          <cell r="D44">
            <v>4033.34</v>
          </cell>
          <cell r="E44">
            <v>19950</v>
          </cell>
          <cell r="F44">
            <v>-16.659999999999854</v>
          </cell>
          <cell r="G44">
            <v>15900</v>
          </cell>
          <cell r="H44">
            <v>0</v>
          </cell>
        </row>
        <row r="45">
          <cell r="B45" t="str">
            <v>Кривка Руслан Олександрович</v>
          </cell>
          <cell r="C45">
            <v>9220</v>
          </cell>
          <cell r="D45">
            <v>4033.34</v>
          </cell>
          <cell r="E45">
            <v>54000</v>
          </cell>
          <cell r="F45">
            <v>-9.4099999999998545</v>
          </cell>
          <cell r="G45">
            <v>40700</v>
          </cell>
          <cell r="H45">
            <v>37.25</v>
          </cell>
        </row>
        <row r="46">
          <cell r="B46" t="str">
            <v>Батрак Віктор Володимирович</v>
          </cell>
          <cell r="C46">
            <v>0</v>
          </cell>
          <cell r="D46">
            <v>3509.43</v>
          </cell>
          <cell r="E46">
            <v>16650</v>
          </cell>
          <cell r="F46">
            <v>20.680000000000291</v>
          </cell>
          <cell r="G46">
            <v>13200</v>
          </cell>
          <cell r="H46">
            <v>-38.75</v>
          </cell>
        </row>
        <row r="47">
          <cell r="B47" t="str">
            <v>Бондаренко Іван Олександрович</v>
          </cell>
          <cell r="C47">
            <v>0</v>
          </cell>
          <cell r="D47">
            <v>4033.34</v>
          </cell>
          <cell r="E47">
            <v>54000</v>
          </cell>
          <cell r="F47">
            <v>47.340000000000146</v>
          </cell>
          <cell r="G47">
            <v>50000</v>
          </cell>
          <cell r="H47">
            <v>14</v>
          </cell>
        </row>
        <row r="48">
          <cell r="B48" t="str">
            <v>Ковбасюк Ігор Олександрович</v>
          </cell>
          <cell r="C48">
            <v>0</v>
          </cell>
          <cell r="D48">
            <v>4575.3900000000003</v>
          </cell>
          <cell r="E48">
            <v>11400</v>
          </cell>
          <cell r="F48">
            <v>-16.659999999999854</v>
          </cell>
          <cell r="G48">
            <v>6800</v>
          </cell>
          <cell r="H48">
            <v>7.9499999999998181</v>
          </cell>
        </row>
        <row r="49">
          <cell r="B49" t="str">
            <v>Токарук Петро Михайлович</v>
          </cell>
          <cell r="C49">
            <v>0</v>
          </cell>
          <cell r="D49">
            <v>4033.34</v>
          </cell>
          <cell r="E49">
            <v>19350</v>
          </cell>
          <cell r="F49">
            <v>-16.659999999999854</v>
          </cell>
          <cell r="G49">
            <v>15300</v>
          </cell>
          <cell r="H49">
            <v>0</v>
          </cell>
        </row>
        <row r="50">
          <cell r="B50" t="str">
            <v>Підлісний Володимир Сергійович</v>
          </cell>
          <cell r="C50">
            <v>0</v>
          </cell>
          <cell r="E50">
            <v>10950</v>
          </cell>
          <cell r="F50">
            <v>-50</v>
          </cell>
          <cell r="G50">
            <v>10900</v>
          </cell>
          <cell r="H50">
            <v>0</v>
          </cell>
        </row>
        <row r="51">
          <cell r="B51" t="str">
            <v>Григоренко Ілля Олександрович</v>
          </cell>
          <cell r="C51">
            <v>0</v>
          </cell>
          <cell r="D51">
            <v>2493.34</v>
          </cell>
          <cell r="E51">
            <v>17850</v>
          </cell>
          <cell r="F51">
            <v>-16.649999999997817</v>
          </cell>
          <cell r="G51">
            <v>15300</v>
          </cell>
          <cell r="H51">
            <v>40.010000000002037</v>
          </cell>
        </row>
        <row r="52">
          <cell r="B52" t="str">
            <v>Зінченко Дмитро Володимирович</v>
          </cell>
          <cell r="C52">
            <v>0</v>
          </cell>
          <cell r="E52">
            <v>18600</v>
          </cell>
          <cell r="F52">
            <v>-50</v>
          </cell>
          <cell r="G52">
            <v>18600</v>
          </cell>
          <cell r="H52">
            <v>-50</v>
          </cell>
        </row>
        <row r="53">
          <cell r="B53" t="str">
            <v>Момот Олексій Миколайович</v>
          </cell>
          <cell r="C53">
            <v>0</v>
          </cell>
          <cell r="D53">
            <v>4033.34</v>
          </cell>
          <cell r="E53">
            <v>13050</v>
          </cell>
          <cell r="F53">
            <v>38.830000000005384</v>
          </cell>
          <cell r="G53">
            <v>9100</v>
          </cell>
          <cell r="H53">
            <v>-44.509999999994761</v>
          </cell>
        </row>
        <row r="54">
          <cell r="B54" t="str">
            <v xml:space="preserve">Гребінник Олексій Васильович </v>
          </cell>
          <cell r="C54">
            <v>0</v>
          </cell>
          <cell r="E54">
            <v>19050</v>
          </cell>
          <cell r="F54">
            <v>-50</v>
          </cell>
          <cell r="G54">
            <v>19000</v>
          </cell>
          <cell r="H54">
            <v>0</v>
          </cell>
        </row>
        <row r="55">
          <cell r="B55" t="str">
            <v>Ізюмець Олександр Евгенович</v>
          </cell>
          <cell r="C55">
            <v>0</v>
          </cell>
          <cell r="E55">
            <v>18150</v>
          </cell>
          <cell r="F55">
            <v>-50</v>
          </cell>
          <cell r="G55">
            <v>18100</v>
          </cell>
          <cell r="H55">
            <v>0</v>
          </cell>
        </row>
        <row r="56">
          <cell r="B56" t="str">
            <v>Маркевич Ігор Ігорьович</v>
          </cell>
          <cell r="C56">
            <v>0</v>
          </cell>
          <cell r="E56">
            <v>10800</v>
          </cell>
          <cell r="F56">
            <v>-50</v>
          </cell>
          <cell r="G56">
            <v>10800</v>
          </cell>
          <cell r="H56">
            <v>-50</v>
          </cell>
        </row>
        <row r="57">
          <cell r="B57" t="str">
            <v>Раменюк Віталій Сергійович</v>
          </cell>
          <cell r="C57">
            <v>9220</v>
          </cell>
          <cell r="D57">
            <v>4033.34</v>
          </cell>
          <cell r="E57">
            <v>50400</v>
          </cell>
          <cell r="F57">
            <v>-29.409999999999854</v>
          </cell>
          <cell r="G57">
            <v>37100</v>
          </cell>
          <cell r="H57">
            <v>17.25</v>
          </cell>
        </row>
        <row r="58">
          <cell r="B58" t="str">
            <v>Самогородський Ігор Віталійович</v>
          </cell>
          <cell r="C58">
            <v>0</v>
          </cell>
          <cell r="E58">
            <v>16650</v>
          </cell>
          <cell r="F58">
            <v>-50</v>
          </cell>
          <cell r="G58">
            <v>16600</v>
          </cell>
          <cell r="H58">
            <v>0</v>
          </cell>
        </row>
        <row r="59">
          <cell r="B59" t="str">
            <v>Чабак Віктор Петрович</v>
          </cell>
          <cell r="C59">
            <v>0</v>
          </cell>
          <cell r="E59">
            <v>0</v>
          </cell>
          <cell r="F59">
            <v>-50</v>
          </cell>
          <cell r="G59">
            <v>0</v>
          </cell>
          <cell r="H59">
            <v>-50</v>
          </cell>
        </row>
        <row r="60">
          <cell r="B60" t="str">
            <v>Іванова Світлана Юріївна</v>
          </cell>
          <cell r="C60">
            <v>0</v>
          </cell>
          <cell r="D60">
            <v>4033.34</v>
          </cell>
          <cell r="E60">
            <v>15900</v>
          </cell>
          <cell r="F60">
            <v>33.340000000000146</v>
          </cell>
          <cell r="G60">
            <v>11900</v>
          </cell>
          <cell r="H60">
            <v>0</v>
          </cell>
        </row>
        <row r="61">
          <cell r="B61" t="str">
            <v>Ісайкіна Тетяна Іванівна</v>
          </cell>
          <cell r="C61">
            <v>0</v>
          </cell>
          <cell r="E61">
            <v>17400</v>
          </cell>
          <cell r="F61">
            <v>0</v>
          </cell>
          <cell r="G61">
            <v>17400</v>
          </cell>
          <cell r="H61">
            <v>0</v>
          </cell>
        </row>
        <row r="62">
          <cell r="B62" t="str">
            <v>Деркс Сергій Анатолійович</v>
          </cell>
          <cell r="C62">
            <v>0</v>
          </cell>
          <cell r="E62">
            <v>19950</v>
          </cell>
          <cell r="F62">
            <v>0</v>
          </cell>
          <cell r="G62">
            <v>20000</v>
          </cell>
          <cell r="H62">
            <v>-50</v>
          </cell>
        </row>
        <row r="63">
          <cell r="B63" t="str">
            <v>Гусаков Роман Давидович</v>
          </cell>
          <cell r="C63">
            <v>0</v>
          </cell>
          <cell r="E63">
            <v>7650</v>
          </cell>
          <cell r="F63">
            <v>-50</v>
          </cell>
          <cell r="G63">
            <v>7600</v>
          </cell>
          <cell r="H63">
            <v>0</v>
          </cell>
        </row>
        <row r="64">
          <cell r="B64" t="str">
            <v>Гусаков Давид Давидович</v>
          </cell>
          <cell r="C64">
            <v>0</v>
          </cell>
          <cell r="E64">
            <v>18450</v>
          </cell>
          <cell r="F64">
            <v>0</v>
          </cell>
          <cell r="G64">
            <v>18500</v>
          </cell>
          <cell r="H64">
            <v>-50</v>
          </cell>
        </row>
        <row r="65">
          <cell r="B65" t="str">
            <v>Тужиков Артем Денисович</v>
          </cell>
          <cell r="C65">
            <v>0</v>
          </cell>
          <cell r="E65">
            <v>54000</v>
          </cell>
          <cell r="F65">
            <v>-50</v>
          </cell>
          <cell r="G65">
            <v>54000</v>
          </cell>
          <cell r="H65">
            <v>-50</v>
          </cell>
        </row>
        <row r="66">
          <cell r="B66" t="str">
            <v>Ластовка Андрій Михайлович</v>
          </cell>
          <cell r="C66">
            <v>0</v>
          </cell>
          <cell r="E66">
            <v>54000</v>
          </cell>
          <cell r="F66">
            <v>0</v>
          </cell>
          <cell r="G66">
            <v>54000</v>
          </cell>
          <cell r="H66">
            <v>0</v>
          </cell>
        </row>
        <row r="67">
          <cell r="B67" t="str">
            <v>Гусаков Олександр Давидович</v>
          </cell>
          <cell r="C67">
            <v>0</v>
          </cell>
          <cell r="E67">
            <v>5400</v>
          </cell>
          <cell r="F67">
            <v>0</v>
          </cell>
          <cell r="G67">
            <v>5400</v>
          </cell>
          <cell r="H67">
            <v>0</v>
          </cell>
        </row>
        <row r="68">
          <cell r="B68" t="str">
            <v>Рубленко Ярослав Михайлович</v>
          </cell>
          <cell r="C68">
            <v>0</v>
          </cell>
          <cell r="E68">
            <v>18300</v>
          </cell>
          <cell r="F68">
            <v>-50</v>
          </cell>
          <cell r="G68">
            <v>18300</v>
          </cell>
          <cell r="H68">
            <v>-50</v>
          </cell>
        </row>
        <row r="69">
          <cell r="B69" t="str">
            <v>Левченко Вадим Анатолійович</v>
          </cell>
          <cell r="C69">
            <v>0</v>
          </cell>
          <cell r="E69">
            <v>18150</v>
          </cell>
          <cell r="F69">
            <v>0</v>
          </cell>
          <cell r="G69">
            <v>18200</v>
          </cell>
          <cell r="H69">
            <v>-50</v>
          </cell>
        </row>
        <row r="70">
          <cell r="B70" t="str">
            <v>Козленко Максим В’ячеславович</v>
          </cell>
          <cell r="C70">
            <v>0</v>
          </cell>
          <cell r="E70">
            <v>19500</v>
          </cell>
          <cell r="F70">
            <v>-50</v>
          </cell>
          <cell r="G70">
            <v>19500</v>
          </cell>
          <cell r="H70">
            <v>-50</v>
          </cell>
        </row>
        <row r="71">
          <cell r="B71" t="str">
            <v>Шомін Вадим Сергійович</v>
          </cell>
          <cell r="C71">
            <v>0</v>
          </cell>
          <cell r="E71">
            <v>16500</v>
          </cell>
          <cell r="F71">
            <v>-50</v>
          </cell>
          <cell r="G71">
            <v>16500</v>
          </cell>
          <cell r="H71">
            <v>-50</v>
          </cell>
        </row>
        <row r="72">
          <cell r="B72" t="str">
            <v>Литвин Іван Петрович</v>
          </cell>
          <cell r="C72">
            <v>0</v>
          </cell>
          <cell r="E72">
            <v>8250</v>
          </cell>
          <cell r="F72">
            <v>-50</v>
          </cell>
          <cell r="G72">
            <v>8200</v>
          </cell>
          <cell r="H72">
            <v>0</v>
          </cell>
        </row>
        <row r="73">
          <cell r="B73" t="str">
            <v>Сидоренко Олексій Дмитрович</v>
          </cell>
          <cell r="C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 xml:space="preserve">Козленко Єгор Максимович </v>
          </cell>
          <cell r="C74">
            <v>0</v>
          </cell>
          <cell r="E74">
            <v>16500</v>
          </cell>
          <cell r="F74">
            <v>0</v>
          </cell>
          <cell r="G74">
            <v>16500</v>
          </cell>
          <cell r="H74">
            <v>0</v>
          </cell>
        </row>
        <row r="75">
          <cell r="B75" t="str">
            <v>Повалій Олексій Юрійович</v>
          </cell>
          <cell r="C75">
            <v>0</v>
          </cell>
          <cell r="E75">
            <v>16350</v>
          </cell>
          <cell r="F75">
            <v>0</v>
          </cell>
          <cell r="G75">
            <v>16400</v>
          </cell>
          <cell r="H75">
            <v>-50</v>
          </cell>
        </row>
        <row r="76">
          <cell r="B76" t="str">
            <v>Глібико Денис Володимирович</v>
          </cell>
          <cell r="C76">
            <v>0</v>
          </cell>
          <cell r="E76">
            <v>10200</v>
          </cell>
          <cell r="F76">
            <v>0</v>
          </cell>
          <cell r="G76">
            <v>10200</v>
          </cell>
          <cell r="H76">
            <v>0</v>
          </cell>
        </row>
        <row r="77">
          <cell r="B77" t="str">
            <v>Кіріченко В’ячеслав Володимирович</v>
          </cell>
          <cell r="C77">
            <v>0</v>
          </cell>
          <cell r="E77">
            <v>1650</v>
          </cell>
          <cell r="F77">
            <v>0</v>
          </cell>
          <cell r="G77">
            <v>1700</v>
          </cell>
          <cell r="H77">
            <v>-50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119</v>
      </c>
      <c r="C1" s="138" t="s">
        <v>120</v>
      </c>
      <c r="D1" s="138" t="s">
        <v>121</v>
      </c>
      <c r="E1" s="138" t="s">
        <v>122</v>
      </c>
      <c r="F1" s="138" t="s">
        <v>123</v>
      </c>
      <c r="G1" s="138" t="s">
        <v>124</v>
      </c>
      <c r="H1" s="138" t="s">
        <v>125</v>
      </c>
      <c r="I1" s="138" t="s">
        <v>126</v>
      </c>
    </row>
    <row r="2" spans="1:9" hidden="1" x14ac:dyDescent="0.25">
      <c r="A2" s="139"/>
      <c r="B2" s="140">
        <v>1</v>
      </c>
      <c r="C2" s="139" t="s">
        <v>127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128</v>
      </c>
      <c r="C3" s="139" t="s">
        <v>129</v>
      </c>
      <c r="D3" s="141">
        <v>3244112838</v>
      </c>
      <c r="E3" s="139" t="s">
        <v>130</v>
      </c>
      <c r="F3" s="139"/>
      <c r="G3" s="139"/>
      <c r="H3" s="139"/>
      <c r="I3" s="139"/>
    </row>
    <row r="4" spans="1:9" hidden="1" x14ac:dyDescent="0.25">
      <c r="A4" s="139"/>
      <c r="B4" s="139" t="s">
        <v>131</v>
      </c>
      <c r="C4" s="139" t="s">
        <v>132</v>
      </c>
      <c r="D4" s="141">
        <v>2890614789</v>
      </c>
      <c r="E4" s="139" t="s">
        <v>130</v>
      </c>
      <c r="F4" s="139"/>
      <c r="G4" s="139"/>
      <c r="H4" s="139"/>
      <c r="I4" s="139"/>
    </row>
    <row r="5" spans="1:9" hidden="1" x14ac:dyDescent="0.25">
      <c r="A5" s="139"/>
      <c r="B5" s="139" t="s">
        <v>133</v>
      </c>
      <c r="C5" s="139" t="s">
        <v>134</v>
      </c>
      <c r="D5" s="141">
        <v>2751711415</v>
      </c>
      <c r="E5" s="139" t="s">
        <v>130</v>
      </c>
      <c r="F5" s="139"/>
      <c r="G5" s="139"/>
      <c r="H5" s="139"/>
      <c r="I5" s="139"/>
    </row>
    <row r="6" spans="1:9" hidden="1" x14ac:dyDescent="0.25">
      <c r="A6" s="139"/>
      <c r="B6" s="139" t="s">
        <v>135</v>
      </c>
      <c r="C6" s="139" t="s">
        <v>136</v>
      </c>
      <c r="D6" s="141">
        <v>3382914593</v>
      </c>
      <c r="E6" s="139" t="s">
        <v>130</v>
      </c>
      <c r="F6" s="139"/>
      <c r="G6" s="139"/>
      <c r="H6" s="139"/>
      <c r="I6" s="139"/>
    </row>
    <row r="7" spans="1:9" hidden="1" x14ac:dyDescent="0.25">
      <c r="A7" s="139"/>
      <c r="B7" s="139" t="s">
        <v>137</v>
      </c>
      <c r="C7" s="139" t="s">
        <v>138</v>
      </c>
      <c r="D7" s="141">
        <v>3382914593</v>
      </c>
      <c r="E7" s="139" t="s">
        <v>130</v>
      </c>
      <c r="F7" s="139"/>
      <c r="G7" s="139"/>
      <c r="H7" s="139"/>
      <c r="I7" s="139"/>
    </row>
    <row r="8" spans="1:9" hidden="1" x14ac:dyDescent="0.25">
      <c r="A8" s="139"/>
      <c r="B8" s="139" t="s">
        <v>139</v>
      </c>
      <c r="C8" s="139" t="s">
        <v>140</v>
      </c>
      <c r="D8" s="141">
        <v>2711822114</v>
      </c>
      <c r="E8" s="139" t="s">
        <v>130</v>
      </c>
      <c r="F8" s="139"/>
      <c r="G8" s="139"/>
      <c r="H8" s="139"/>
      <c r="I8" s="139"/>
    </row>
    <row r="9" spans="1:9" hidden="1" x14ac:dyDescent="0.25">
      <c r="A9" s="139"/>
      <c r="B9" s="139" t="s">
        <v>141</v>
      </c>
      <c r="C9" s="139" t="s">
        <v>142</v>
      </c>
      <c r="D9" s="141">
        <v>3281710375</v>
      </c>
      <c r="E9" s="139" t="s">
        <v>130</v>
      </c>
      <c r="F9" s="139"/>
      <c r="G9" s="139"/>
      <c r="H9" s="139"/>
      <c r="I9" s="139"/>
    </row>
    <row r="10" spans="1:9" hidden="1" x14ac:dyDescent="0.25">
      <c r="A10" s="139"/>
      <c r="B10" s="139" t="s">
        <v>143</v>
      </c>
      <c r="C10" s="139" t="s">
        <v>144</v>
      </c>
      <c r="D10" s="141">
        <v>2866215672</v>
      </c>
      <c r="E10" s="139" t="s">
        <v>130</v>
      </c>
      <c r="F10" s="139"/>
      <c r="G10" s="139"/>
      <c r="H10" s="139"/>
      <c r="I10" s="139"/>
    </row>
    <row r="11" spans="1:9" hidden="1" x14ac:dyDescent="0.25">
      <c r="A11" s="139"/>
      <c r="B11" s="139" t="s">
        <v>145</v>
      </c>
      <c r="C11" s="139" t="s">
        <v>146</v>
      </c>
      <c r="D11" s="141">
        <v>3575508457</v>
      </c>
      <c r="E11" s="139" t="s">
        <v>130</v>
      </c>
      <c r="F11" s="139"/>
      <c r="G11" s="139"/>
      <c r="H11" s="139"/>
      <c r="I11" s="139"/>
    </row>
    <row r="12" spans="1:9" hidden="1" x14ac:dyDescent="0.25">
      <c r="A12" s="139"/>
      <c r="B12" s="139" t="s">
        <v>147</v>
      </c>
      <c r="C12" s="139" t="s">
        <v>148</v>
      </c>
      <c r="D12" s="141">
        <v>3306506991</v>
      </c>
      <c r="E12" s="139" t="s">
        <v>130</v>
      </c>
      <c r="F12" s="139"/>
      <c r="G12" s="139"/>
      <c r="H12" s="139"/>
      <c r="I12" s="139"/>
    </row>
    <row r="13" spans="1:9" hidden="1" x14ac:dyDescent="0.25">
      <c r="A13" s="139"/>
      <c r="B13" s="139" t="s">
        <v>149</v>
      </c>
      <c r="C13" s="139" t="s">
        <v>150</v>
      </c>
      <c r="D13" s="141">
        <v>2899410750</v>
      </c>
      <c r="E13" s="139" t="s">
        <v>130</v>
      </c>
      <c r="F13" s="139"/>
      <c r="G13" s="139"/>
      <c r="H13" s="139"/>
      <c r="I13" s="139"/>
    </row>
    <row r="14" spans="1:9" hidden="1" x14ac:dyDescent="0.25">
      <c r="A14" s="139"/>
      <c r="B14" s="139" t="s">
        <v>151</v>
      </c>
      <c r="C14" s="139" t="s">
        <v>152</v>
      </c>
      <c r="D14" s="141">
        <v>3194113635</v>
      </c>
      <c r="E14" s="139" t="s">
        <v>130</v>
      </c>
      <c r="F14" s="139"/>
      <c r="G14" s="139"/>
      <c r="H14" s="139"/>
      <c r="I14" s="139"/>
    </row>
    <row r="15" spans="1:9" hidden="1" x14ac:dyDescent="0.25">
      <c r="A15" s="139"/>
      <c r="B15" s="139" t="s">
        <v>153</v>
      </c>
      <c r="C15" s="139" t="s">
        <v>154</v>
      </c>
      <c r="D15" s="141">
        <v>2234022693</v>
      </c>
      <c r="E15" s="139" t="s">
        <v>130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155</v>
      </c>
      <c r="D16" s="141">
        <v>3153900053</v>
      </c>
      <c r="E16" s="139" t="s">
        <v>156</v>
      </c>
      <c r="F16" s="139" t="s">
        <v>157</v>
      </c>
      <c r="G16" s="139" t="s">
        <v>158</v>
      </c>
      <c r="H16" s="139" t="s">
        <v>159</v>
      </c>
      <c r="I16" s="139" t="s">
        <v>160</v>
      </c>
    </row>
    <row r="17" spans="1:9" hidden="1" x14ac:dyDescent="0.25">
      <c r="A17" s="139"/>
      <c r="B17" s="140">
        <v>4</v>
      </c>
      <c r="C17" s="139" t="s">
        <v>105</v>
      </c>
      <c r="D17" s="141">
        <v>3457309598</v>
      </c>
      <c r="E17" s="139" t="s">
        <v>156</v>
      </c>
      <c r="F17" s="139" t="s">
        <v>157</v>
      </c>
      <c r="G17" s="139" t="s">
        <v>161</v>
      </c>
      <c r="H17" s="139" t="s">
        <v>162</v>
      </c>
      <c r="I17" s="139" t="s">
        <v>163</v>
      </c>
    </row>
    <row r="18" spans="1:9" hidden="1" x14ac:dyDescent="0.25">
      <c r="A18" s="139"/>
      <c r="B18" s="139" t="s">
        <v>135</v>
      </c>
      <c r="C18" s="139" t="s">
        <v>164</v>
      </c>
      <c r="D18" s="141">
        <v>3457309598</v>
      </c>
      <c r="E18" s="139" t="s">
        <v>130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165</v>
      </c>
      <c r="D19" s="141">
        <v>2618119132</v>
      </c>
      <c r="E19" s="139" t="s">
        <v>156</v>
      </c>
      <c r="F19" s="139" t="s">
        <v>157</v>
      </c>
      <c r="G19" s="139" t="s">
        <v>161</v>
      </c>
      <c r="H19" s="139" t="s">
        <v>166</v>
      </c>
      <c r="I19" s="139" t="s">
        <v>167</v>
      </c>
    </row>
    <row r="20" spans="1:9" hidden="1" x14ac:dyDescent="0.25">
      <c r="A20" s="139"/>
      <c r="B20" s="140">
        <v>203</v>
      </c>
      <c r="C20" s="139" t="s">
        <v>168</v>
      </c>
      <c r="D20" s="141">
        <v>2765913876</v>
      </c>
      <c r="E20" s="139" t="s">
        <v>156</v>
      </c>
      <c r="F20" s="139" t="s">
        <v>157</v>
      </c>
      <c r="G20" s="139" t="s">
        <v>161</v>
      </c>
      <c r="H20" s="139" t="s">
        <v>169</v>
      </c>
      <c r="I20" s="139" t="s">
        <v>170</v>
      </c>
    </row>
    <row r="21" spans="1:9" hidden="1" x14ac:dyDescent="0.25">
      <c r="A21" s="139"/>
      <c r="B21" s="140">
        <v>156</v>
      </c>
      <c r="C21" s="139" t="s">
        <v>171</v>
      </c>
      <c r="D21" s="141">
        <v>2693717247</v>
      </c>
      <c r="E21" s="139" t="s">
        <v>156</v>
      </c>
      <c r="F21" s="139" t="s">
        <v>157</v>
      </c>
      <c r="G21" s="139" t="s">
        <v>161</v>
      </c>
      <c r="H21" s="139" t="s">
        <v>172</v>
      </c>
      <c r="I21" s="139" t="s">
        <v>173</v>
      </c>
    </row>
    <row r="22" spans="1:9" hidden="1" x14ac:dyDescent="0.25">
      <c r="A22" s="139"/>
      <c r="B22" s="141">
        <v>2289516770</v>
      </c>
      <c r="C22" s="139" t="s">
        <v>174</v>
      </c>
      <c r="D22" s="141">
        <v>2894801342</v>
      </c>
      <c r="E22" s="139" t="s">
        <v>156</v>
      </c>
      <c r="F22" s="139" t="s">
        <v>157</v>
      </c>
      <c r="G22" s="139" t="s">
        <v>161</v>
      </c>
      <c r="H22" s="139" t="s">
        <v>175</v>
      </c>
      <c r="I22" s="139" t="s">
        <v>176</v>
      </c>
    </row>
    <row r="23" spans="1:9" hidden="1" x14ac:dyDescent="0.25">
      <c r="A23" s="139"/>
      <c r="B23" s="140">
        <v>16</v>
      </c>
      <c r="C23" s="139" t="s">
        <v>177</v>
      </c>
      <c r="D23" s="141">
        <v>2894801342</v>
      </c>
      <c r="E23" s="139" t="s">
        <v>156</v>
      </c>
      <c r="F23" s="139" t="s">
        <v>178</v>
      </c>
      <c r="G23" s="139" t="s">
        <v>161</v>
      </c>
      <c r="H23" s="139" t="s">
        <v>175</v>
      </c>
      <c r="I23" s="139" t="s">
        <v>179</v>
      </c>
    </row>
    <row r="24" spans="1:9" hidden="1" x14ac:dyDescent="0.25">
      <c r="A24" s="139"/>
      <c r="B24" s="140">
        <v>17</v>
      </c>
      <c r="C24" s="139" t="s">
        <v>180</v>
      </c>
      <c r="D24" s="141">
        <v>3036417408</v>
      </c>
      <c r="E24" s="139" t="s">
        <v>156</v>
      </c>
      <c r="F24" s="139" t="s">
        <v>178</v>
      </c>
      <c r="G24" s="139" t="s">
        <v>161</v>
      </c>
      <c r="H24" s="139" t="s">
        <v>181</v>
      </c>
      <c r="I24" s="139" t="s">
        <v>182</v>
      </c>
    </row>
    <row r="25" spans="1:9" hidden="1" x14ac:dyDescent="0.25">
      <c r="A25" s="139"/>
      <c r="B25" s="141">
        <v>2289516882</v>
      </c>
      <c r="C25" s="139" t="s">
        <v>183</v>
      </c>
      <c r="D25" s="141">
        <v>3036417408</v>
      </c>
      <c r="E25" s="139" t="s">
        <v>156</v>
      </c>
      <c r="F25" s="139" t="s">
        <v>157</v>
      </c>
      <c r="G25" s="139" t="s">
        <v>161</v>
      </c>
      <c r="H25" s="139" t="s">
        <v>181</v>
      </c>
      <c r="I25" s="139" t="s">
        <v>184</v>
      </c>
    </row>
    <row r="26" spans="1:9" hidden="1" x14ac:dyDescent="0.25">
      <c r="A26" s="139"/>
      <c r="B26" s="141">
        <v>2289516833</v>
      </c>
      <c r="C26" s="139" t="s">
        <v>185</v>
      </c>
      <c r="D26" s="141">
        <v>2358421934</v>
      </c>
      <c r="E26" s="139" t="s">
        <v>156</v>
      </c>
      <c r="F26" s="139" t="s">
        <v>157</v>
      </c>
      <c r="G26" s="139" t="s">
        <v>186</v>
      </c>
      <c r="H26" s="139" t="s">
        <v>187</v>
      </c>
      <c r="I26" s="139" t="s">
        <v>188</v>
      </c>
    </row>
    <row r="27" spans="1:9" hidden="1" x14ac:dyDescent="0.25">
      <c r="A27" s="139"/>
      <c r="B27" s="140">
        <v>37</v>
      </c>
      <c r="C27" s="139" t="s">
        <v>189</v>
      </c>
      <c r="D27" s="141">
        <v>2564424513</v>
      </c>
      <c r="E27" s="139" t="s">
        <v>156</v>
      </c>
      <c r="F27" s="139" t="s">
        <v>157</v>
      </c>
      <c r="G27" s="139" t="s">
        <v>158</v>
      </c>
      <c r="H27" s="139" t="s">
        <v>190</v>
      </c>
      <c r="I27" s="139" t="s">
        <v>191</v>
      </c>
    </row>
    <row r="28" spans="1:9" hidden="1" x14ac:dyDescent="0.25">
      <c r="A28" s="139"/>
      <c r="B28" s="140">
        <v>11</v>
      </c>
      <c r="C28" s="139" t="s">
        <v>192</v>
      </c>
      <c r="D28" s="141">
        <v>3247506159</v>
      </c>
      <c r="E28" s="139" t="s">
        <v>156</v>
      </c>
      <c r="F28" s="139" t="s">
        <v>157</v>
      </c>
      <c r="G28" s="139" t="s">
        <v>158</v>
      </c>
      <c r="H28" s="139" t="s">
        <v>193</v>
      </c>
      <c r="I28" s="139" t="s">
        <v>194</v>
      </c>
    </row>
    <row r="29" spans="1:9" hidden="1" x14ac:dyDescent="0.25">
      <c r="A29" s="139"/>
      <c r="B29" s="141">
        <v>2289516701</v>
      </c>
      <c r="C29" s="139" t="s">
        <v>195</v>
      </c>
      <c r="D29" s="141">
        <v>3358009052</v>
      </c>
      <c r="E29" s="139" t="s">
        <v>156</v>
      </c>
      <c r="F29" s="139" t="s">
        <v>157</v>
      </c>
      <c r="G29" s="139" t="s">
        <v>196</v>
      </c>
      <c r="H29" s="139" t="s">
        <v>197</v>
      </c>
      <c r="I29" s="139" t="s">
        <v>198</v>
      </c>
    </row>
    <row r="30" spans="1:9" hidden="1" x14ac:dyDescent="0.25">
      <c r="A30" s="139"/>
      <c r="B30" s="140">
        <v>62</v>
      </c>
      <c r="C30" s="139" t="s">
        <v>199</v>
      </c>
      <c r="D30" s="141">
        <v>3421002151</v>
      </c>
      <c r="E30" s="139" t="s">
        <v>156</v>
      </c>
      <c r="F30" s="139" t="s">
        <v>157</v>
      </c>
      <c r="G30" s="139" t="s">
        <v>200</v>
      </c>
      <c r="H30" s="139" t="s">
        <v>201</v>
      </c>
      <c r="I30" s="139" t="s">
        <v>202</v>
      </c>
    </row>
    <row r="31" spans="1:9" hidden="1" x14ac:dyDescent="0.25">
      <c r="A31" s="139"/>
      <c r="B31" s="139" t="s">
        <v>203</v>
      </c>
      <c r="C31" s="139" t="s">
        <v>204</v>
      </c>
      <c r="D31" s="141">
        <v>2922419813</v>
      </c>
      <c r="E31" s="139" t="s">
        <v>130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205</v>
      </c>
      <c r="D32" s="141">
        <v>2919308010</v>
      </c>
      <c r="E32" s="139" t="s">
        <v>156</v>
      </c>
      <c r="F32" s="139" t="s">
        <v>157</v>
      </c>
      <c r="G32" s="139" t="s">
        <v>200</v>
      </c>
      <c r="H32" s="139" t="s">
        <v>206</v>
      </c>
      <c r="I32" s="139" t="s">
        <v>207</v>
      </c>
    </row>
    <row r="33" spans="1:9" hidden="1" x14ac:dyDescent="0.25">
      <c r="A33" s="139"/>
      <c r="B33" s="141">
        <v>2289516849</v>
      </c>
      <c r="C33" s="139" t="s">
        <v>208</v>
      </c>
      <c r="D33" s="141">
        <v>3036408418</v>
      </c>
      <c r="E33" s="139" t="s">
        <v>156</v>
      </c>
      <c r="F33" s="139" t="s">
        <v>157</v>
      </c>
      <c r="G33" s="139" t="s">
        <v>161</v>
      </c>
      <c r="H33" s="139" t="s">
        <v>209</v>
      </c>
      <c r="I33" s="139" t="s">
        <v>210</v>
      </c>
    </row>
    <row r="34" spans="1:9" hidden="1" x14ac:dyDescent="0.25">
      <c r="A34" s="139"/>
      <c r="B34" s="140">
        <v>19</v>
      </c>
      <c r="C34" s="139" t="s">
        <v>211</v>
      </c>
      <c r="D34" s="141">
        <v>3813305164</v>
      </c>
      <c r="E34" s="139" t="s">
        <v>156</v>
      </c>
      <c r="F34" s="139" t="s">
        <v>157</v>
      </c>
      <c r="G34" s="139" t="s">
        <v>212</v>
      </c>
      <c r="H34" s="139" t="s">
        <v>213</v>
      </c>
      <c r="I34" s="139" t="s">
        <v>214</v>
      </c>
    </row>
    <row r="35" spans="1:9" hidden="1" x14ac:dyDescent="0.25">
      <c r="A35" s="139"/>
      <c r="B35" s="141">
        <v>2289516863</v>
      </c>
      <c r="C35" s="139" t="s">
        <v>215</v>
      </c>
      <c r="D35" s="141">
        <v>2753702532</v>
      </c>
      <c r="E35" s="139" t="s">
        <v>156</v>
      </c>
      <c r="F35" s="139" t="s">
        <v>157</v>
      </c>
      <c r="G35" s="139" t="s">
        <v>216</v>
      </c>
      <c r="H35" s="139" t="s">
        <v>197</v>
      </c>
      <c r="I35" s="139" t="s">
        <v>217</v>
      </c>
    </row>
    <row r="36" spans="1:9" hidden="1" x14ac:dyDescent="0.25">
      <c r="A36" s="139"/>
      <c r="B36" s="140">
        <v>46</v>
      </c>
      <c r="C36" s="139" t="s">
        <v>218</v>
      </c>
      <c r="D36" s="141">
        <v>3018718189</v>
      </c>
      <c r="E36" s="139" t="s">
        <v>156</v>
      </c>
      <c r="F36" s="139" t="s">
        <v>157</v>
      </c>
      <c r="G36" s="139" t="s">
        <v>161</v>
      </c>
      <c r="H36" s="139" t="s">
        <v>166</v>
      </c>
      <c r="I36" s="139" t="s">
        <v>219</v>
      </c>
    </row>
    <row r="37" spans="1:9" hidden="1" x14ac:dyDescent="0.25">
      <c r="A37" s="139"/>
      <c r="B37" s="140">
        <v>157</v>
      </c>
      <c r="C37" s="139" t="s">
        <v>220</v>
      </c>
      <c r="D37" s="141">
        <v>2794610037</v>
      </c>
      <c r="E37" s="139" t="s">
        <v>156</v>
      </c>
      <c r="F37" s="139" t="s">
        <v>157</v>
      </c>
      <c r="G37" s="139" t="s">
        <v>200</v>
      </c>
      <c r="H37" s="139" t="s">
        <v>221</v>
      </c>
      <c r="I37" s="139" t="s">
        <v>222</v>
      </c>
    </row>
    <row r="38" spans="1:9" hidden="1" x14ac:dyDescent="0.25">
      <c r="A38" s="139"/>
      <c r="B38" s="140">
        <v>71</v>
      </c>
      <c r="C38" s="139" t="s">
        <v>223</v>
      </c>
      <c r="D38" s="141">
        <v>3280710149</v>
      </c>
      <c r="E38" s="139" t="s">
        <v>156</v>
      </c>
      <c r="F38" s="139" t="s">
        <v>157</v>
      </c>
      <c r="G38" s="139" t="s">
        <v>161</v>
      </c>
      <c r="H38" s="139" t="s">
        <v>224</v>
      </c>
      <c r="I38" s="139" t="s">
        <v>225</v>
      </c>
    </row>
    <row r="39" spans="1:9" hidden="1" x14ac:dyDescent="0.25">
      <c r="A39" s="139"/>
      <c r="B39" s="141">
        <v>2289516756</v>
      </c>
      <c r="C39" s="139" t="s">
        <v>226</v>
      </c>
      <c r="D39" s="141">
        <v>2957816213</v>
      </c>
      <c r="E39" s="139" t="s">
        <v>156</v>
      </c>
      <c r="F39" s="139" t="s">
        <v>157</v>
      </c>
      <c r="G39" s="139" t="s">
        <v>216</v>
      </c>
      <c r="H39" s="139" t="s">
        <v>221</v>
      </c>
      <c r="I39" s="139" t="s">
        <v>227</v>
      </c>
    </row>
    <row r="40" spans="1:9" hidden="1" x14ac:dyDescent="0.25">
      <c r="A40" s="139"/>
      <c r="B40" s="140">
        <v>49</v>
      </c>
      <c r="C40" s="139" t="s">
        <v>228</v>
      </c>
      <c r="D40" s="141">
        <v>3143007035</v>
      </c>
      <c r="E40" s="139" t="s">
        <v>156</v>
      </c>
      <c r="F40" s="139" t="s">
        <v>157</v>
      </c>
      <c r="G40" s="139" t="s">
        <v>161</v>
      </c>
      <c r="H40" s="139" t="s">
        <v>229</v>
      </c>
      <c r="I40" s="139" t="s">
        <v>230</v>
      </c>
    </row>
    <row r="41" spans="1:9" hidden="1" x14ac:dyDescent="0.25">
      <c r="A41" s="139"/>
      <c r="B41" s="141">
        <v>2289516819</v>
      </c>
      <c r="C41" s="139" t="s">
        <v>231</v>
      </c>
      <c r="D41" s="141">
        <v>3834606498</v>
      </c>
      <c r="E41" s="139" t="s">
        <v>156</v>
      </c>
      <c r="F41" s="139" t="s">
        <v>157</v>
      </c>
      <c r="G41" s="139" t="s">
        <v>216</v>
      </c>
      <c r="H41" s="139" t="s">
        <v>232</v>
      </c>
      <c r="I41" s="139" t="s">
        <v>233</v>
      </c>
    </row>
    <row r="42" spans="1:9" hidden="1" x14ac:dyDescent="0.25">
      <c r="A42" s="139"/>
      <c r="B42" s="141">
        <v>2289516804</v>
      </c>
      <c r="C42" s="139" t="s">
        <v>234</v>
      </c>
      <c r="D42" s="141">
        <v>2857318359</v>
      </c>
      <c r="E42" s="139" t="s">
        <v>156</v>
      </c>
      <c r="F42" s="139" t="s">
        <v>157</v>
      </c>
      <c r="G42" s="139" t="s">
        <v>216</v>
      </c>
      <c r="H42" s="139" t="s">
        <v>232</v>
      </c>
      <c r="I42" s="139" t="s">
        <v>235</v>
      </c>
    </row>
    <row r="43" spans="1:9" hidden="1" x14ac:dyDescent="0.25">
      <c r="A43" s="139"/>
      <c r="B43" s="140">
        <v>217</v>
      </c>
      <c r="C43" s="139" t="s">
        <v>236</v>
      </c>
      <c r="D43" s="141">
        <v>3000412772</v>
      </c>
      <c r="E43" s="139" t="s">
        <v>156</v>
      </c>
      <c r="F43" s="139" t="s">
        <v>157</v>
      </c>
      <c r="G43" s="139" t="s">
        <v>200</v>
      </c>
      <c r="H43" s="139" t="s">
        <v>197</v>
      </c>
      <c r="I43" s="139" t="s">
        <v>237</v>
      </c>
    </row>
    <row r="44" spans="1:9" hidden="1" x14ac:dyDescent="0.25">
      <c r="A44" s="139"/>
      <c r="B44" s="140">
        <v>3</v>
      </c>
      <c r="C44" s="139" t="s">
        <v>238</v>
      </c>
      <c r="D44" s="141">
        <v>3552110973</v>
      </c>
      <c r="E44" s="139" t="s">
        <v>156</v>
      </c>
      <c r="F44" s="139" t="s">
        <v>157</v>
      </c>
      <c r="G44" s="139" t="s">
        <v>161</v>
      </c>
      <c r="H44" s="139" t="s">
        <v>209</v>
      </c>
      <c r="I44" s="139" t="s">
        <v>163</v>
      </c>
    </row>
    <row r="45" spans="1:9" hidden="1" x14ac:dyDescent="0.25">
      <c r="A45" s="139"/>
      <c r="B45" s="141">
        <v>2289516774</v>
      </c>
      <c r="C45" s="139" t="s">
        <v>239</v>
      </c>
      <c r="D45" s="141">
        <v>3552110973</v>
      </c>
      <c r="E45" s="139" t="s">
        <v>156</v>
      </c>
      <c r="F45" s="139" t="s">
        <v>178</v>
      </c>
      <c r="G45" s="139" t="s">
        <v>161</v>
      </c>
      <c r="H45" s="139" t="s">
        <v>240</v>
      </c>
      <c r="I45" s="139" t="s">
        <v>241</v>
      </c>
    </row>
    <row r="46" spans="1:9" hidden="1" x14ac:dyDescent="0.25">
      <c r="A46" s="139"/>
      <c r="B46" s="141">
        <v>2289516864</v>
      </c>
      <c r="C46" s="139" t="s">
        <v>242</v>
      </c>
      <c r="D46" s="141">
        <v>2888011632</v>
      </c>
      <c r="E46" s="139" t="s">
        <v>156</v>
      </c>
      <c r="F46" s="139" t="s">
        <v>157</v>
      </c>
      <c r="G46" s="139" t="s">
        <v>243</v>
      </c>
      <c r="H46" s="139" t="s">
        <v>244</v>
      </c>
      <c r="I46" s="139" t="s">
        <v>245</v>
      </c>
    </row>
    <row r="47" spans="1:9" hidden="1" x14ac:dyDescent="0.25">
      <c r="A47" s="139"/>
      <c r="B47" s="140">
        <v>51</v>
      </c>
      <c r="C47" s="139" t="s">
        <v>246</v>
      </c>
      <c r="D47" s="141">
        <v>3746304158</v>
      </c>
      <c r="E47" s="139" t="s">
        <v>156</v>
      </c>
      <c r="F47" s="139" t="s">
        <v>157</v>
      </c>
      <c r="G47" s="139" t="s">
        <v>158</v>
      </c>
      <c r="H47" s="139" t="s">
        <v>247</v>
      </c>
      <c r="I47" s="139" t="s">
        <v>248</v>
      </c>
    </row>
    <row r="48" spans="1:9" hidden="1" x14ac:dyDescent="0.25">
      <c r="A48" s="139"/>
      <c r="B48" s="141">
        <v>2289516860</v>
      </c>
      <c r="C48" s="139" t="s">
        <v>249</v>
      </c>
      <c r="D48" s="141">
        <v>2671913196</v>
      </c>
      <c r="E48" s="139" t="s">
        <v>156</v>
      </c>
      <c r="F48" s="139" t="s">
        <v>157</v>
      </c>
      <c r="G48" s="139" t="s">
        <v>216</v>
      </c>
      <c r="H48" s="139" t="s">
        <v>244</v>
      </c>
      <c r="I48" s="139" t="s">
        <v>250</v>
      </c>
    </row>
    <row r="49" spans="1:9" hidden="1" x14ac:dyDescent="0.25">
      <c r="A49" s="139"/>
      <c r="B49" s="140">
        <v>8</v>
      </c>
      <c r="C49" s="139" t="s">
        <v>251</v>
      </c>
      <c r="D49" s="141">
        <v>3165400965</v>
      </c>
      <c r="E49" s="139" t="s">
        <v>156</v>
      </c>
      <c r="F49" s="139" t="s">
        <v>157</v>
      </c>
      <c r="G49" s="139" t="s">
        <v>161</v>
      </c>
      <c r="H49" s="139" t="s">
        <v>181</v>
      </c>
      <c r="I49" s="139" t="s">
        <v>252</v>
      </c>
    </row>
    <row r="50" spans="1:9" hidden="1" x14ac:dyDescent="0.25">
      <c r="A50" s="139"/>
      <c r="B50" s="141">
        <v>2289516714</v>
      </c>
      <c r="C50" s="139" t="s">
        <v>253</v>
      </c>
      <c r="D50" s="141">
        <v>3352110459</v>
      </c>
      <c r="E50" s="139" t="s">
        <v>156</v>
      </c>
      <c r="F50" s="139" t="s">
        <v>157</v>
      </c>
      <c r="G50" s="139" t="s">
        <v>254</v>
      </c>
      <c r="H50" s="139" t="s">
        <v>193</v>
      </c>
      <c r="I50" s="139" t="s">
        <v>255</v>
      </c>
    </row>
    <row r="51" spans="1:9" hidden="1" x14ac:dyDescent="0.25">
      <c r="A51" s="139"/>
      <c r="B51" s="140">
        <v>44</v>
      </c>
      <c r="C51" s="139" t="s">
        <v>256</v>
      </c>
      <c r="D51" s="141">
        <v>2831710277</v>
      </c>
      <c r="E51" s="139" t="s">
        <v>156</v>
      </c>
      <c r="F51" s="139" t="s">
        <v>157</v>
      </c>
      <c r="G51" s="139" t="s">
        <v>158</v>
      </c>
      <c r="H51" s="139" t="s">
        <v>190</v>
      </c>
      <c r="I51" s="139" t="s">
        <v>191</v>
      </c>
    </row>
    <row r="52" spans="1:9" hidden="1" x14ac:dyDescent="0.25">
      <c r="A52" s="139"/>
      <c r="B52" s="141">
        <v>2289516891</v>
      </c>
      <c r="C52" s="139" t="s">
        <v>257</v>
      </c>
      <c r="D52" s="141">
        <v>3644802549</v>
      </c>
      <c r="E52" s="139" t="s">
        <v>156</v>
      </c>
      <c r="F52" s="139" t="s">
        <v>157</v>
      </c>
      <c r="G52" s="139" t="s">
        <v>161</v>
      </c>
      <c r="H52" s="139" t="s">
        <v>229</v>
      </c>
      <c r="I52" s="139" t="s">
        <v>258</v>
      </c>
    </row>
    <row r="53" spans="1:9" hidden="1" x14ac:dyDescent="0.25">
      <c r="A53" s="139"/>
      <c r="B53" s="140">
        <v>21</v>
      </c>
      <c r="C53" s="139" t="s">
        <v>259</v>
      </c>
      <c r="D53" s="141">
        <v>3244112838</v>
      </c>
      <c r="E53" s="139" t="s">
        <v>156</v>
      </c>
      <c r="F53" s="139" t="s">
        <v>157</v>
      </c>
      <c r="G53" s="139" t="s">
        <v>161</v>
      </c>
      <c r="H53" s="139" t="s">
        <v>260</v>
      </c>
      <c r="I53" s="139" t="s">
        <v>261</v>
      </c>
    </row>
    <row r="54" spans="1:9" hidden="1" x14ac:dyDescent="0.25">
      <c r="A54" s="139"/>
      <c r="B54" s="140">
        <v>5</v>
      </c>
      <c r="C54" s="139" t="s">
        <v>262</v>
      </c>
      <c r="D54" s="141">
        <v>3244112838</v>
      </c>
      <c r="E54" s="139" t="s">
        <v>156</v>
      </c>
      <c r="F54" s="139" t="s">
        <v>178</v>
      </c>
      <c r="G54" s="139" t="s">
        <v>161</v>
      </c>
      <c r="H54" s="139" t="s">
        <v>260</v>
      </c>
      <c r="I54" s="139" t="s">
        <v>263</v>
      </c>
    </row>
    <row r="55" spans="1:9" hidden="1" x14ac:dyDescent="0.25">
      <c r="A55" s="139"/>
      <c r="B55" s="140">
        <v>1</v>
      </c>
      <c r="C55" s="139" t="s">
        <v>264</v>
      </c>
      <c r="D55" s="141">
        <v>3209513925</v>
      </c>
      <c r="E55" s="139" t="s">
        <v>156</v>
      </c>
      <c r="F55" s="139" t="s">
        <v>178</v>
      </c>
      <c r="G55" s="139" t="s">
        <v>161</v>
      </c>
      <c r="H55" s="139" t="s">
        <v>260</v>
      </c>
      <c r="I55" s="139" t="s">
        <v>265</v>
      </c>
    </row>
    <row r="56" spans="1:9" hidden="1" x14ac:dyDescent="0.25">
      <c r="A56" s="139"/>
      <c r="B56" s="141">
        <v>2289516780</v>
      </c>
      <c r="C56" s="139" t="s">
        <v>266</v>
      </c>
      <c r="D56" s="141">
        <v>2865402633</v>
      </c>
      <c r="E56" s="139" t="s">
        <v>156</v>
      </c>
      <c r="F56" s="139" t="s">
        <v>157</v>
      </c>
      <c r="G56" s="139" t="s">
        <v>186</v>
      </c>
      <c r="H56" s="139" t="s">
        <v>244</v>
      </c>
      <c r="I56" s="139" t="s">
        <v>267</v>
      </c>
    </row>
    <row r="57" spans="1:9" hidden="1" x14ac:dyDescent="0.25">
      <c r="A57" s="139"/>
      <c r="B57" s="141">
        <v>2289516750</v>
      </c>
      <c r="C57" s="139" t="s">
        <v>268</v>
      </c>
      <c r="D57" s="141">
        <v>3624204536</v>
      </c>
      <c r="E57" s="139" t="s">
        <v>156</v>
      </c>
      <c r="F57" s="139" t="s">
        <v>157</v>
      </c>
      <c r="G57" s="139" t="s">
        <v>254</v>
      </c>
      <c r="H57" s="139" t="s">
        <v>187</v>
      </c>
      <c r="I57" s="139" t="s">
        <v>269</v>
      </c>
    </row>
    <row r="58" spans="1:9" hidden="1" x14ac:dyDescent="0.25">
      <c r="A58" s="139"/>
      <c r="B58" s="141">
        <v>2289516773</v>
      </c>
      <c r="C58" s="139" t="s">
        <v>270</v>
      </c>
      <c r="D58" s="141">
        <v>2623706617</v>
      </c>
      <c r="E58" s="139" t="s">
        <v>156</v>
      </c>
      <c r="F58" s="139" t="s">
        <v>157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271</v>
      </c>
      <c r="D59" s="141">
        <v>3173022999</v>
      </c>
      <c r="E59" s="139" t="s">
        <v>156</v>
      </c>
      <c r="F59" s="139" t="s">
        <v>157</v>
      </c>
      <c r="G59" s="139" t="s">
        <v>272</v>
      </c>
      <c r="H59" s="139" t="s">
        <v>187</v>
      </c>
      <c r="I59" s="139" t="s">
        <v>273</v>
      </c>
    </row>
    <row r="60" spans="1:9" hidden="1" x14ac:dyDescent="0.25">
      <c r="A60" s="139"/>
      <c r="B60" s="141">
        <v>2289516759</v>
      </c>
      <c r="C60" s="139" t="s">
        <v>274</v>
      </c>
      <c r="D60" s="141">
        <v>3188300613</v>
      </c>
      <c r="E60" s="139" t="s">
        <v>156</v>
      </c>
      <c r="F60" s="139" t="s">
        <v>157</v>
      </c>
      <c r="G60" s="139" t="s">
        <v>243</v>
      </c>
      <c r="H60" s="139" t="s">
        <v>206</v>
      </c>
      <c r="I60" s="139" t="s">
        <v>275</v>
      </c>
    </row>
    <row r="61" spans="1:9" hidden="1" x14ac:dyDescent="0.25">
      <c r="A61" s="139"/>
      <c r="B61" s="141">
        <v>2289516816</v>
      </c>
      <c r="C61" s="139" t="s">
        <v>276</v>
      </c>
      <c r="D61" s="141">
        <v>3255109619</v>
      </c>
      <c r="E61" s="139" t="s">
        <v>156</v>
      </c>
      <c r="F61" s="139" t="s">
        <v>157</v>
      </c>
      <c r="G61" s="139" t="s">
        <v>161</v>
      </c>
      <c r="H61" s="139" t="s">
        <v>277</v>
      </c>
      <c r="I61" s="139" t="s">
        <v>278</v>
      </c>
    </row>
    <row r="62" spans="1:9" hidden="1" x14ac:dyDescent="0.25">
      <c r="A62" s="139"/>
      <c r="B62" s="141">
        <v>2289516817</v>
      </c>
      <c r="C62" s="139" t="s">
        <v>279</v>
      </c>
      <c r="D62" s="141">
        <v>2985420914</v>
      </c>
      <c r="E62" s="139" t="s">
        <v>156</v>
      </c>
      <c r="F62" s="139" t="s">
        <v>157</v>
      </c>
      <c r="G62" s="139" t="s">
        <v>280</v>
      </c>
      <c r="H62" s="139" t="s">
        <v>232</v>
      </c>
      <c r="I62" s="139" t="s">
        <v>233</v>
      </c>
    </row>
    <row r="63" spans="1:9" hidden="1" x14ac:dyDescent="0.25">
      <c r="A63" s="139"/>
      <c r="B63" s="140">
        <v>50</v>
      </c>
      <c r="C63" s="139" t="s">
        <v>281</v>
      </c>
      <c r="D63" s="141">
        <v>2273121637</v>
      </c>
      <c r="E63" s="139" t="s">
        <v>156</v>
      </c>
      <c r="F63" s="139" t="s">
        <v>157</v>
      </c>
      <c r="G63" s="139" t="s">
        <v>282</v>
      </c>
      <c r="H63" s="139" t="s">
        <v>197</v>
      </c>
      <c r="I63" s="139" t="s">
        <v>283</v>
      </c>
    </row>
    <row r="64" spans="1:9" hidden="1" x14ac:dyDescent="0.25">
      <c r="A64" s="139"/>
      <c r="B64" s="141">
        <v>2289516854</v>
      </c>
      <c r="C64" s="139" t="s">
        <v>284</v>
      </c>
      <c r="D64" s="141">
        <v>2470006146</v>
      </c>
      <c r="E64" s="139" t="s">
        <v>156</v>
      </c>
      <c r="F64" s="139" t="s">
        <v>157</v>
      </c>
      <c r="G64" s="139" t="s">
        <v>161</v>
      </c>
      <c r="H64" s="139" t="s">
        <v>285</v>
      </c>
      <c r="I64" s="139" t="s">
        <v>286</v>
      </c>
    </row>
    <row r="65" spans="1:9" hidden="1" x14ac:dyDescent="0.25">
      <c r="A65" s="139"/>
      <c r="B65" s="140">
        <v>57</v>
      </c>
      <c r="C65" s="139" t="s">
        <v>284</v>
      </c>
      <c r="D65" s="141">
        <v>2470006146</v>
      </c>
      <c r="E65" s="139" t="s">
        <v>156</v>
      </c>
      <c r="F65" s="139" t="s">
        <v>178</v>
      </c>
      <c r="G65" s="139" t="s">
        <v>161</v>
      </c>
      <c r="H65" s="139" t="s">
        <v>285</v>
      </c>
      <c r="I65" s="139" t="s">
        <v>287</v>
      </c>
    </row>
    <row r="66" spans="1:9" hidden="1" x14ac:dyDescent="0.25">
      <c r="A66" s="139"/>
      <c r="B66" s="140">
        <v>100</v>
      </c>
      <c r="C66" s="139" t="s">
        <v>288</v>
      </c>
      <c r="D66" s="141">
        <v>3302818011</v>
      </c>
      <c r="E66" s="139" t="s">
        <v>156</v>
      </c>
      <c r="F66" s="139" t="s">
        <v>157</v>
      </c>
      <c r="G66" s="139" t="s">
        <v>200</v>
      </c>
      <c r="H66" s="139" t="s">
        <v>232</v>
      </c>
      <c r="I66" s="139" t="s">
        <v>289</v>
      </c>
    </row>
    <row r="67" spans="1:9" hidden="1" x14ac:dyDescent="0.25">
      <c r="A67" s="139"/>
      <c r="B67" s="141">
        <v>2289516876</v>
      </c>
      <c r="C67" s="139" t="s">
        <v>290</v>
      </c>
      <c r="D67" s="141">
        <v>3016814180</v>
      </c>
      <c r="E67" s="139" t="s">
        <v>156</v>
      </c>
      <c r="F67" s="139" t="s">
        <v>157</v>
      </c>
      <c r="G67" s="139" t="s">
        <v>161</v>
      </c>
      <c r="H67" s="139" t="s">
        <v>209</v>
      </c>
      <c r="I67" s="139" t="s">
        <v>291</v>
      </c>
    </row>
    <row r="68" spans="1:9" hidden="1" x14ac:dyDescent="0.25">
      <c r="A68" s="139"/>
      <c r="B68" s="140">
        <v>75</v>
      </c>
      <c r="C68" s="139" t="s">
        <v>292</v>
      </c>
      <c r="D68" s="141">
        <v>3596200395</v>
      </c>
      <c r="E68" s="139" t="s">
        <v>156</v>
      </c>
      <c r="F68" s="139" t="s">
        <v>157</v>
      </c>
      <c r="G68" s="139" t="s">
        <v>158</v>
      </c>
      <c r="H68" s="139" t="s">
        <v>193</v>
      </c>
      <c r="I68" s="139" t="s">
        <v>293</v>
      </c>
    </row>
    <row r="69" spans="1:9" hidden="1" x14ac:dyDescent="0.25">
      <c r="A69" s="139"/>
      <c r="B69" s="140">
        <v>189</v>
      </c>
      <c r="C69" s="139" t="s">
        <v>294</v>
      </c>
      <c r="D69" s="141">
        <v>3013807931</v>
      </c>
      <c r="E69" s="139" t="s">
        <v>156</v>
      </c>
      <c r="F69" s="139" t="s">
        <v>157</v>
      </c>
      <c r="G69" s="139" t="s">
        <v>272</v>
      </c>
      <c r="H69" s="139" t="s">
        <v>295</v>
      </c>
      <c r="I69" s="139" t="s">
        <v>296</v>
      </c>
    </row>
    <row r="70" spans="1:9" hidden="1" x14ac:dyDescent="0.25">
      <c r="A70" s="139"/>
      <c r="B70" s="141">
        <v>2289516901</v>
      </c>
      <c r="C70" s="139" t="s">
        <v>297</v>
      </c>
      <c r="D70" s="141">
        <v>2375803431</v>
      </c>
      <c r="E70" s="139" t="s">
        <v>156</v>
      </c>
      <c r="F70" s="139" t="s">
        <v>157</v>
      </c>
      <c r="G70" s="139" t="s">
        <v>216</v>
      </c>
      <c r="H70" s="139" t="s">
        <v>295</v>
      </c>
      <c r="I70" s="139" t="s">
        <v>298</v>
      </c>
    </row>
    <row r="71" spans="1:9" hidden="1" x14ac:dyDescent="0.25">
      <c r="A71" s="139"/>
      <c r="B71" s="140">
        <v>38</v>
      </c>
      <c r="C71" s="139" t="s">
        <v>299</v>
      </c>
      <c r="D71" s="141">
        <v>2436600937</v>
      </c>
      <c r="E71" s="139" t="s">
        <v>156</v>
      </c>
      <c r="F71" s="139" t="s">
        <v>157</v>
      </c>
      <c r="G71" s="139" t="s">
        <v>158</v>
      </c>
      <c r="H71" s="139" t="s">
        <v>159</v>
      </c>
      <c r="I71" s="139" t="s">
        <v>191</v>
      </c>
    </row>
    <row r="72" spans="1:9" hidden="1" x14ac:dyDescent="0.25">
      <c r="A72" s="139"/>
      <c r="B72" s="140">
        <v>65</v>
      </c>
      <c r="C72" s="139" t="s">
        <v>300</v>
      </c>
      <c r="D72" s="141">
        <v>3422005391</v>
      </c>
      <c r="E72" s="139" t="s">
        <v>156</v>
      </c>
      <c r="F72" s="139" t="s">
        <v>157</v>
      </c>
      <c r="G72" s="139" t="s">
        <v>158</v>
      </c>
      <c r="H72" s="139" t="s">
        <v>193</v>
      </c>
      <c r="I72" s="139" t="s">
        <v>301</v>
      </c>
    </row>
    <row r="73" spans="1:9" hidden="1" x14ac:dyDescent="0.25">
      <c r="A73" s="139"/>
      <c r="B73" s="140">
        <v>66</v>
      </c>
      <c r="C73" s="139" t="s">
        <v>302</v>
      </c>
      <c r="D73" s="141">
        <v>3720407672</v>
      </c>
      <c r="E73" s="139" t="s">
        <v>156</v>
      </c>
      <c r="F73" s="139" t="s">
        <v>157</v>
      </c>
      <c r="G73" s="139" t="s">
        <v>158</v>
      </c>
      <c r="H73" s="139" t="s">
        <v>159</v>
      </c>
      <c r="I73" s="139" t="s">
        <v>303</v>
      </c>
    </row>
    <row r="74" spans="1:9" hidden="1" x14ac:dyDescent="0.25">
      <c r="A74" s="139"/>
      <c r="B74" s="140">
        <v>140</v>
      </c>
      <c r="C74" s="139" t="s">
        <v>304</v>
      </c>
      <c r="D74" s="141">
        <v>3357614594</v>
      </c>
      <c r="E74" s="139" t="s">
        <v>156</v>
      </c>
      <c r="F74" s="139" t="s">
        <v>157</v>
      </c>
      <c r="G74" s="139" t="s">
        <v>200</v>
      </c>
      <c r="H74" s="139" t="s">
        <v>197</v>
      </c>
      <c r="I74" s="139" t="s">
        <v>305</v>
      </c>
    </row>
    <row r="75" spans="1:9" hidden="1" x14ac:dyDescent="0.25">
      <c r="A75" s="139"/>
      <c r="B75" s="140">
        <v>2</v>
      </c>
      <c r="C75" s="139" t="s">
        <v>306</v>
      </c>
      <c r="D75" s="141">
        <v>2751711415</v>
      </c>
      <c r="E75" s="139" t="s">
        <v>156</v>
      </c>
      <c r="F75" s="139" t="s">
        <v>157</v>
      </c>
      <c r="G75" s="139" t="s">
        <v>161</v>
      </c>
      <c r="H75" s="139" t="s">
        <v>260</v>
      </c>
      <c r="I75" s="139" t="s">
        <v>163</v>
      </c>
    </row>
    <row r="76" spans="1:9" hidden="1" x14ac:dyDescent="0.25">
      <c r="A76" s="139"/>
      <c r="B76" s="140">
        <v>129</v>
      </c>
      <c r="C76" s="139" t="s">
        <v>307</v>
      </c>
      <c r="D76" s="141">
        <v>2751711415</v>
      </c>
      <c r="E76" s="139" t="s">
        <v>156</v>
      </c>
      <c r="F76" s="139" t="s">
        <v>178</v>
      </c>
      <c r="G76" s="139" t="s">
        <v>161</v>
      </c>
      <c r="H76" s="139" t="s">
        <v>308</v>
      </c>
      <c r="I76" s="139" t="s">
        <v>163</v>
      </c>
    </row>
    <row r="77" spans="1:9" hidden="1" x14ac:dyDescent="0.25">
      <c r="A77" s="139"/>
      <c r="B77" s="140">
        <v>4</v>
      </c>
      <c r="C77" s="139" t="s">
        <v>309</v>
      </c>
      <c r="D77" s="141">
        <v>3382914593</v>
      </c>
      <c r="E77" s="139" t="s">
        <v>156</v>
      </c>
      <c r="F77" s="139" t="s">
        <v>157</v>
      </c>
      <c r="G77" s="139" t="s">
        <v>161</v>
      </c>
      <c r="H77" s="139" t="s">
        <v>310</v>
      </c>
      <c r="I77" s="139" t="s">
        <v>163</v>
      </c>
    </row>
    <row r="78" spans="1:9" hidden="1" x14ac:dyDescent="0.25">
      <c r="A78" s="139"/>
      <c r="B78" s="140">
        <v>15</v>
      </c>
      <c r="C78" s="139" t="s">
        <v>311</v>
      </c>
      <c r="D78" s="141">
        <v>3382914593</v>
      </c>
      <c r="E78" s="139" t="s">
        <v>156</v>
      </c>
      <c r="F78" s="139" t="s">
        <v>178</v>
      </c>
      <c r="G78" s="139" t="s">
        <v>161</v>
      </c>
      <c r="H78" s="139" t="s">
        <v>312</v>
      </c>
      <c r="I78" s="139" t="s">
        <v>179</v>
      </c>
    </row>
    <row r="79" spans="1:9" hidden="1" x14ac:dyDescent="0.25">
      <c r="A79" s="139"/>
      <c r="B79" s="141">
        <v>2289516801</v>
      </c>
      <c r="C79" s="139" t="s">
        <v>311</v>
      </c>
      <c r="D79" s="141">
        <v>3382914593</v>
      </c>
      <c r="E79" s="139" t="s">
        <v>156</v>
      </c>
      <c r="F79" s="139" t="s">
        <v>178</v>
      </c>
      <c r="G79" s="139" t="s">
        <v>161</v>
      </c>
      <c r="H79" s="139" t="s">
        <v>312</v>
      </c>
      <c r="I79" s="139" t="s">
        <v>313</v>
      </c>
    </row>
    <row r="80" spans="1:9" hidden="1" x14ac:dyDescent="0.25">
      <c r="A80" s="139"/>
      <c r="B80" s="141">
        <v>2289516889</v>
      </c>
      <c r="C80" s="139" t="s">
        <v>314</v>
      </c>
      <c r="D80" s="141">
        <v>2397610210</v>
      </c>
      <c r="E80" s="139" t="s">
        <v>156</v>
      </c>
      <c r="F80" s="139" t="s">
        <v>157</v>
      </c>
      <c r="G80" s="139" t="s">
        <v>216</v>
      </c>
      <c r="H80" s="139" t="s">
        <v>221</v>
      </c>
      <c r="I80" s="139" t="s">
        <v>315</v>
      </c>
    </row>
    <row r="81" spans="1:9" hidden="1" x14ac:dyDescent="0.25">
      <c r="A81" s="139"/>
      <c r="B81" s="140">
        <v>72</v>
      </c>
      <c r="C81" s="139" t="s">
        <v>316</v>
      </c>
      <c r="D81" s="141">
        <v>2719405689</v>
      </c>
      <c r="E81" s="139" t="s">
        <v>156</v>
      </c>
      <c r="F81" s="139" t="s">
        <v>157</v>
      </c>
      <c r="G81" s="139" t="s">
        <v>161</v>
      </c>
      <c r="H81" s="139" t="s">
        <v>317</v>
      </c>
      <c r="I81" s="139" t="s">
        <v>318</v>
      </c>
    </row>
    <row r="82" spans="1:9" hidden="1" x14ac:dyDescent="0.25">
      <c r="A82" s="139"/>
      <c r="B82" s="141">
        <v>2289516897</v>
      </c>
      <c r="C82" s="139" t="s">
        <v>319</v>
      </c>
      <c r="D82" s="141">
        <v>3467806092</v>
      </c>
      <c r="E82" s="139" t="s">
        <v>156</v>
      </c>
      <c r="F82" s="139" t="s">
        <v>157</v>
      </c>
      <c r="G82" s="139" t="s">
        <v>161</v>
      </c>
      <c r="H82" s="139" t="s">
        <v>285</v>
      </c>
      <c r="I82" s="139" t="s">
        <v>320</v>
      </c>
    </row>
    <row r="83" spans="1:9" hidden="1" x14ac:dyDescent="0.25">
      <c r="A83" s="139"/>
      <c r="B83" s="141">
        <v>2289516902</v>
      </c>
      <c r="C83" s="139" t="s">
        <v>321</v>
      </c>
      <c r="D83" s="141">
        <v>2461207992</v>
      </c>
      <c r="E83" s="139" t="s">
        <v>156</v>
      </c>
      <c r="F83" s="139" t="s">
        <v>157</v>
      </c>
      <c r="G83" s="139" t="s">
        <v>322</v>
      </c>
      <c r="H83" s="139" t="s">
        <v>323</v>
      </c>
      <c r="I83" s="139" t="s">
        <v>324</v>
      </c>
    </row>
    <row r="84" spans="1:9" hidden="1" x14ac:dyDescent="0.25">
      <c r="A84" s="139"/>
      <c r="B84" s="140">
        <v>62</v>
      </c>
      <c r="C84" s="139" t="s">
        <v>325</v>
      </c>
      <c r="D84" s="141">
        <v>3374502899</v>
      </c>
      <c r="E84" s="139" t="s">
        <v>156</v>
      </c>
      <c r="F84" s="139" t="s">
        <v>157</v>
      </c>
      <c r="G84" s="139" t="s">
        <v>158</v>
      </c>
      <c r="H84" s="139" t="s">
        <v>326</v>
      </c>
      <c r="I84" s="139" t="s">
        <v>327</v>
      </c>
    </row>
    <row r="85" spans="1:9" hidden="1" x14ac:dyDescent="0.25">
      <c r="A85" s="139"/>
      <c r="B85" s="140">
        <v>183</v>
      </c>
      <c r="C85" s="139" t="s">
        <v>328</v>
      </c>
      <c r="D85" s="141">
        <v>3445102618</v>
      </c>
      <c r="E85" s="139" t="s">
        <v>156</v>
      </c>
      <c r="F85" s="139" t="s">
        <v>157</v>
      </c>
      <c r="G85" s="139" t="s">
        <v>158</v>
      </c>
      <c r="H85" s="139" t="s">
        <v>329</v>
      </c>
      <c r="I85" s="139" t="s">
        <v>330</v>
      </c>
    </row>
    <row r="86" spans="1:9" hidden="1" x14ac:dyDescent="0.25">
      <c r="A86" s="139"/>
      <c r="B86" s="141">
        <v>2289516791</v>
      </c>
      <c r="C86" s="139" t="s">
        <v>331</v>
      </c>
      <c r="D86" s="141">
        <v>3118615738</v>
      </c>
      <c r="E86" s="139" t="s">
        <v>156</v>
      </c>
      <c r="F86" s="139" t="s">
        <v>157</v>
      </c>
      <c r="G86" s="139" t="s">
        <v>216</v>
      </c>
      <c r="H86" s="139" t="s">
        <v>232</v>
      </c>
      <c r="I86" s="139" t="s">
        <v>332</v>
      </c>
    </row>
    <row r="87" spans="1:9" hidden="1" x14ac:dyDescent="0.25">
      <c r="A87" s="139"/>
      <c r="B87" s="141">
        <v>2289516880</v>
      </c>
      <c r="C87" s="139" t="s">
        <v>333</v>
      </c>
      <c r="D87" s="141">
        <v>3744403051</v>
      </c>
      <c r="E87" s="139" t="s">
        <v>156</v>
      </c>
      <c r="F87" s="139" t="s">
        <v>157</v>
      </c>
      <c r="G87" s="139" t="s">
        <v>243</v>
      </c>
      <c r="H87" s="139" t="s">
        <v>206</v>
      </c>
      <c r="I87" s="139" t="s">
        <v>334</v>
      </c>
    </row>
    <row r="88" spans="1:9" hidden="1" x14ac:dyDescent="0.25">
      <c r="A88" s="139"/>
      <c r="B88" s="141">
        <v>2289516892</v>
      </c>
      <c r="C88" s="139" t="s">
        <v>335</v>
      </c>
      <c r="D88" s="141">
        <v>2893009237</v>
      </c>
      <c r="E88" s="139" t="s">
        <v>156</v>
      </c>
      <c r="F88" s="139" t="s">
        <v>157</v>
      </c>
      <c r="G88" s="139" t="s">
        <v>243</v>
      </c>
      <c r="H88" s="139" t="s">
        <v>206</v>
      </c>
      <c r="I88" s="139" t="s">
        <v>315</v>
      </c>
    </row>
    <row r="89" spans="1:9" hidden="1" x14ac:dyDescent="0.25">
      <c r="A89" s="139"/>
      <c r="B89" s="141">
        <v>2289516856</v>
      </c>
      <c r="C89" s="139" t="s">
        <v>336</v>
      </c>
      <c r="D89" s="141">
        <v>1939019075</v>
      </c>
      <c r="E89" s="139" t="s">
        <v>156</v>
      </c>
      <c r="F89" s="139" t="s">
        <v>178</v>
      </c>
      <c r="G89" s="139" t="s">
        <v>196</v>
      </c>
      <c r="H89" s="139" t="s">
        <v>337</v>
      </c>
      <c r="I89" s="139" t="s">
        <v>338</v>
      </c>
    </row>
    <row r="90" spans="1:9" hidden="1" x14ac:dyDescent="0.25">
      <c r="A90" s="139"/>
      <c r="B90" s="140">
        <v>108</v>
      </c>
      <c r="C90" s="139" t="s">
        <v>339</v>
      </c>
      <c r="D90" s="141">
        <v>2871014384</v>
      </c>
      <c r="E90" s="139" t="s">
        <v>156</v>
      </c>
      <c r="F90" s="139" t="s">
        <v>157</v>
      </c>
      <c r="G90" s="139" t="s">
        <v>161</v>
      </c>
      <c r="H90" s="139" t="s">
        <v>340</v>
      </c>
      <c r="I90" s="139" t="s">
        <v>341</v>
      </c>
    </row>
    <row r="91" spans="1:9" hidden="1" x14ac:dyDescent="0.25">
      <c r="A91" s="139"/>
      <c r="B91" s="141">
        <v>2289516705</v>
      </c>
      <c r="C91" s="139" t="s">
        <v>342</v>
      </c>
      <c r="D91" s="141">
        <v>3397508065</v>
      </c>
      <c r="E91" s="139" t="s">
        <v>156</v>
      </c>
      <c r="F91" s="139" t="s">
        <v>157</v>
      </c>
      <c r="G91" s="139" t="s">
        <v>161</v>
      </c>
      <c r="H91" s="139" t="s">
        <v>343</v>
      </c>
      <c r="I91" s="139" t="s">
        <v>344</v>
      </c>
    </row>
    <row r="92" spans="1:9" hidden="1" x14ac:dyDescent="0.25">
      <c r="A92" s="139"/>
      <c r="B92" s="140">
        <v>70</v>
      </c>
      <c r="C92" s="139" t="s">
        <v>345</v>
      </c>
      <c r="D92" s="141">
        <v>2637303953</v>
      </c>
      <c r="E92" s="139" t="s">
        <v>156</v>
      </c>
      <c r="F92" s="139" t="s">
        <v>157</v>
      </c>
      <c r="G92" s="139" t="s">
        <v>158</v>
      </c>
      <c r="H92" s="139" t="s">
        <v>193</v>
      </c>
      <c r="I92" s="139" t="s">
        <v>346</v>
      </c>
    </row>
    <row r="93" spans="1:9" hidden="1" x14ac:dyDescent="0.25">
      <c r="A93" s="139"/>
      <c r="B93" s="141">
        <v>2289516896</v>
      </c>
      <c r="C93" s="139" t="s">
        <v>347</v>
      </c>
      <c r="D93" s="141">
        <v>3336104191</v>
      </c>
      <c r="E93" s="139" t="s">
        <v>156</v>
      </c>
      <c r="F93" s="139" t="s">
        <v>157</v>
      </c>
      <c r="G93" s="139" t="s">
        <v>216</v>
      </c>
      <c r="H93" s="139" t="s">
        <v>348</v>
      </c>
      <c r="I93" s="139" t="s">
        <v>320</v>
      </c>
    </row>
    <row r="94" spans="1:9" hidden="1" x14ac:dyDescent="0.25">
      <c r="A94" s="139"/>
      <c r="B94" s="140">
        <v>274</v>
      </c>
      <c r="C94" s="139" t="s">
        <v>349</v>
      </c>
      <c r="D94" s="141">
        <v>3207413416</v>
      </c>
      <c r="E94" s="139" t="s">
        <v>156</v>
      </c>
      <c r="F94" s="139" t="s">
        <v>157</v>
      </c>
      <c r="G94" s="139" t="s">
        <v>161</v>
      </c>
      <c r="H94" s="139" t="s">
        <v>350</v>
      </c>
      <c r="I94" s="139" t="s">
        <v>351</v>
      </c>
    </row>
    <row r="95" spans="1:9" hidden="1" x14ac:dyDescent="0.25">
      <c r="A95" s="139"/>
      <c r="B95" s="139" t="s">
        <v>352</v>
      </c>
      <c r="C95" s="139" t="s">
        <v>353</v>
      </c>
      <c r="D95" s="141">
        <v>3207413416</v>
      </c>
      <c r="E95" s="139" t="s">
        <v>130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354</v>
      </c>
      <c r="D96" s="141">
        <v>3694604010</v>
      </c>
      <c r="E96" s="139" t="s">
        <v>156</v>
      </c>
      <c r="F96" s="139" t="s">
        <v>157</v>
      </c>
      <c r="G96" s="139" t="s">
        <v>212</v>
      </c>
      <c r="H96" s="139" t="s">
        <v>213</v>
      </c>
      <c r="I96" s="139" t="s">
        <v>355</v>
      </c>
    </row>
    <row r="97" spans="1:9" hidden="1" x14ac:dyDescent="0.25">
      <c r="A97" s="139"/>
      <c r="B97" s="140">
        <v>48</v>
      </c>
      <c r="C97" s="139" t="s">
        <v>356</v>
      </c>
      <c r="D97" s="141">
        <v>2958309437</v>
      </c>
      <c r="E97" s="139" t="s">
        <v>156</v>
      </c>
      <c r="F97" s="139" t="s">
        <v>157</v>
      </c>
      <c r="G97" s="139" t="s">
        <v>161</v>
      </c>
      <c r="H97" s="139" t="s">
        <v>357</v>
      </c>
      <c r="I97" s="139" t="s">
        <v>358</v>
      </c>
    </row>
    <row r="98" spans="1:9" hidden="1" x14ac:dyDescent="0.25">
      <c r="A98" s="139"/>
      <c r="B98" s="141">
        <v>2289516883</v>
      </c>
      <c r="C98" s="139" t="s">
        <v>359</v>
      </c>
      <c r="D98" s="141">
        <v>3601207735</v>
      </c>
      <c r="E98" s="139" t="s">
        <v>156</v>
      </c>
      <c r="F98" s="139" t="s">
        <v>157</v>
      </c>
      <c r="G98" s="139" t="s">
        <v>243</v>
      </c>
      <c r="H98" s="139" t="s">
        <v>360</v>
      </c>
      <c r="I98" s="139" t="s">
        <v>182</v>
      </c>
    </row>
    <row r="99" spans="1:9" hidden="1" x14ac:dyDescent="0.25">
      <c r="A99" s="139"/>
      <c r="B99" s="141">
        <v>2289516735</v>
      </c>
      <c r="C99" s="139" t="s">
        <v>361</v>
      </c>
      <c r="D99" s="141">
        <v>3053422190</v>
      </c>
      <c r="E99" s="139" t="s">
        <v>156</v>
      </c>
      <c r="F99" s="139" t="s">
        <v>157</v>
      </c>
      <c r="G99" s="139" t="s">
        <v>161</v>
      </c>
      <c r="H99" s="139" t="s">
        <v>229</v>
      </c>
      <c r="I99" s="139" t="s">
        <v>362</v>
      </c>
    </row>
    <row r="100" spans="1:9" hidden="1" x14ac:dyDescent="0.25">
      <c r="A100" s="139"/>
      <c r="B100" s="140">
        <v>197</v>
      </c>
      <c r="C100" s="139" t="s">
        <v>363</v>
      </c>
      <c r="D100" s="141">
        <v>3293018293</v>
      </c>
      <c r="E100" s="139" t="s">
        <v>156</v>
      </c>
      <c r="F100" s="139" t="s">
        <v>157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364</v>
      </c>
      <c r="D101" s="141">
        <v>3119810293</v>
      </c>
      <c r="E101" s="139" t="s">
        <v>156</v>
      </c>
      <c r="F101" s="139" t="s">
        <v>157</v>
      </c>
      <c r="G101" s="139" t="s">
        <v>243</v>
      </c>
      <c r="H101" s="139" t="s">
        <v>206</v>
      </c>
      <c r="I101" s="139" t="s">
        <v>365</v>
      </c>
    </row>
    <row r="102" spans="1:9" hidden="1" x14ac:dyDescent="0.25">
      <c r="A102" s="139"/>
      <c r="B102" s="140">
        <v>42</v>
      </c>
      <c r="C102" s="139" t="s">
        <v>366</v>
      </c>
      <c r="D102" s="141">
        <v>3705902230</v>
      </c>
      <c r="E102" s="139" t="s">
        <v>156</v>
      </c>
      <c r="F102" s="139" t="s">
        <v>157</v>
      </c>
      <c r="G102" s="139" t="s">
        <v>158</v>
      </c>
      <c r="H102" s="139" t="s">
        <v>190</v>
      </c>
      <c r="I102" s="139" t="s">
        <v>191</v>
      </c>
    </row>
    <row r="103" spans="1:9" hidden="1" x14ac:dyDescent="0.25">
      <c r="A103" s="139"/>
      <c r="B103" s="140">
        <v>8</v>
      </c>
      <c r="C103" s="139" t="s">
        <v>367</v>
      </c>
      <c r="D103" s="141">
        <v>3779110293</v>
      </c>
      <c r="E103" s="139" t="s">
        <v>156</v>
      </c>
      <c r="F103" s="139" t="s">
        <v>157</v>
      </c>
      <c r="G103" s="139" t="s">
        <v>158</v>
      </c>
      <c r="H103" s="139" t="s">
        <v>326</v>
      </c>
      <c r="I103" s="139" t="s">
        <v>368</v>
      </c>
    </row>
    <row r="104" spans="1:9" hidden="1" x14ac:dyDescent="0.25">
      <c r="A104" s="139"/>
      <c r="B104" s="140">
        <v>137</v>
      </c>
      <c r="C104" s="139" t="s">
        <v>369</v>
      </c>
      <c r="D104" s="141">
        <v>3166313137</v>
      </c>
      <c r="E104" s="139" t="s">
        <v>156</v>
      </c>
      <c r="F104" s="139" t="s">
        <v>157</v>
      </c>
      <c r="G104" s="139" t="s">
        <v>200</v>
      </c>
      <c r="H104" s="139" t="s">
        <v>360</v>
      </c>
      <c r="I104" s="139" t="s">
        <v>370</v>
      </c>
    </row>
    <row r="105" spans="1:9" hidden="1" x14ac:dyDescent="0.25">
      <c r="A105" s="139"/>
      <c r="B105" s="141">
        <v>2289516888</v>
      </c>
      <c r="C105" s="139" t="s">
        <v>371</v>
      </c>
      <c r="D105" s="141">
        <v>2492508275</v>
      </c>
      <c r="E105" s="139" t="s">
        <v>156</v>
      </c>
      <c r="F105" s="139" t="s">
        <v>157</v>
      </c>
      <c r="G105" s="139" t="s">
        <v>216</v>
      </c>
      <c r="H105" s="139" t="s">
        <v>221</v>
      </c>
      <c r="I105" s="139" t="s">
        <v>372</v>
      </c>
    </row>
    <row r="106" spans="1:9" hidden="1" x14ac:dyDescent="0.25">
      <c r="A106" s="139"/>
      <c r="B106" s="141">
        <v>2289516890</v>
      </c>
      <c r="C106" s="139" t="s">
        <v>373</v>
      </c>
      <c r="D106" s="141">
        <v>2345601097</v>
      </c>
      <c r="E106" s="139" t="s">
        <v>156</v>
      </c>
      <c r="F106" s="139" t="s">
        <v>178</v>
      </c>
      <c r="G106" s="139" t="s">
        <v>243</v>
      </c>
      <c r="H106" s="139" t="s">
        <v>337</v>
      </c>
      <c r="I106" s="139" t="s">
        <v>258</v>
      </c>
    </row>
    <row r="107" spans="1:9" hidden="1" x14ac:dyDescent="0.25">
      <c r="A107" s="139"/>
      <c r="B107" s="141">
        <v>2289516878</v>
      </c>
      <c r="C107" s="139" t="s">
        <v>374</v>
      </c>
      <c r="D107" s="141">
        <v>3568405559</v>
      </c>
      <c r="E107" s="139" t="s">
        <v>156</v>
      </c>
      <c r="F107" s="139" t="s">
        <v>157</v>
      </c>
      <c r="G107" s="139" t="s">
        <v>216</v>
      </c>
      <c r="H107" s="139" t="s">
        <v>348</v>
      </c>
      <c r="I107" s="139" t="s">
        <v>327</v>
      </c>
    </row>
    <row r="108" spans="1:9" hidden="1" x14ac:dyDescent="0.25">
      <c r="A108" s="139"/>
      <c r="B108" s="140">
        <v>68</v>
      </c>
      <c r="C108" s="139" t="s">
        <v>375</v>
      </c>
      <c r="D108" s="141">
        <v>2521518612</v>
      </c>
      <c r="E108" s="139" t="s">
        <v>156</v>
      </c>
      <c r="F108" s="139" t="s">
        <v>157</v>
      </c>
      <c r="G108" s="139" t="s">
        <v>158</v>
      </c>
      <c r="H108" s="139" t="s">
        <v>159</v>
      </c>
      <c r="I108" s="139" t="s">
        <v>214</v>
      </c>
    </row>
    <row r="109" spans="1:9" hidden="1" x14ac:dyDescent="0.25">
      <c r="A109" s="139"/>
      <c r="B109" s="141">
        <v>2289516697</v>
      </c>
      <c r="C109" s="139" t="s">
        <v>376</v>
      </c>
      <c r="D109" s="141">
        <v>3073110819</v>
      </c>
      <c r="E109" s="139" t="s">
        <v>156</v>
      </c>
      <c r="F109" s="139" t="s">
        <v>157</v>
      </c>
      <c r="G109" s="139" t="s">
        <v>272</v>
      </c>
      <c r="H109" s="139" t="s">
        <v>187</v>
      </c>
      <c r="I109" s="139" t="s">
        <v>273</v>
      </c>
    </row>
    <row r="110" spans="1:9" hidden="1" x14ac:dyDescent="0.25">
      <c r="A110" s="139"/>
      <c r="B110" s="141">
        <v>2289516708</v>
      </c>
      <c r="C110" s="139" t="s">
        <v>377</v>
      </c>
      <c r="D110" s="141">
        <v>3503711344</v>
      </c>
      <c r="E110" s="139" t="s">
        <v>156</v>
      </c>
      <c r="F110" s="139" t="s">
        <v>157</v>
      </c>
      <c r="G110" s="139" t="s">
        <v>161</v>
      </c>
      <c r="H110" s="139" t="s">
        <v>285</v>
      </c>
      <c r="I110" s="139" t="s">
        <v>378</v>
      </c>
    </row>
    <row r="111" spans="1:9" hidden="1" x14ac:dyDescent="0.25">
      <c r="A111" s="139"/>
      <c r="B111" s="141">
        <v>2289516895</v>
      </c>
      <c r="C111" s="139" t="s">
        <v>379</v>
      </c>
      <c r="D111" s="141">
        <v>3220619518</v>
      </c>
      <c r="E111" s="139" t="s">
        <v>156</v>
      </c>
      <c r="F111" s="139" t="s">
        <v>157</v>
      </c>
      <c r="G111" s="139" t="s">
        <v>216</v>
      </c>
      <c r="H111" s="139" t="s">
        <v>244</v>
      </c>
      <c r="I111" s="139" t="s">
        <v>380</v>
      </c>
    </row>
    <row r="112" spans="1:9" hidden="1" x14ac:dyDescent="0.25">
      <c r="A112" s="139"/>
      <c r="B112" s="141">
        <v>2289516703</v>
      </c>
      <c r="C112" s="139" t="s">
        <v>381</v>
      </c>
      <c r="D112" s="141">
        <v>3132604831</v>
      </c>
      <c r="E112" s="139" t="s">
        <v>156</v>
      </c>
      <c r="F112" s="139" t="s">
        <v>157</v>
      </c>
      <c r="G112" s="139" t="s">
        <v>216</v>
      </c>
      <c r="H112" s="139" t="s">
        <v>295</v>
      </c>
      <c r="I112" s="139" t="s">
        <v>198</v>
      </c>
    </row>
    <row r="113" spans="1:9" hidden="1" x14ac:dyDescent="0.25">
      <c r="A113" s="139"/>
      <c r="B113" s="140">
        <v>147</v>
      </c>
      <c r="C113" s="139" t="s">
        <v>382</v>
      </c>
      <c r="D113" s="141">
        <v>3012604857</v>
      </c>
      <c r="E113" s="139" t="s">
        <v>156</v>
      </c>
      <c r="F113" s="139" t="s">
        <v>157</v>
      </c>
      <c r="G113" s="139" t="s">
        <v>383</v>
      </c>
      <c r="H113" s="139" t="s">
        <v>162</v>
      </c>
      <c r="I113" s="139" t="s">
        <v>384</v>
      </c>
    </row>
    <row r="114" spans="1:9" hidden="1" x14ac:dyDescent="0.25">
      <c r="A114" s="139"/>
      <c r="B114" s="140">
        <v>16</v>
      </c>
      <c r="C114" s="139" t="s">
        <v>385</v>
      </c>
      <c r="D114" s="141">
        <v>3382504985</v>
      </c>
      <c r="E114" s="139" t="s">
        <v>156</v>
      </c>
      <c r="F114" s="139" t="s">
        <v>157</v>
      </c>
      <c r="G114" s="139" t="s">
        <v>212</v>
      </c>
      <c r="H114" s="139" t="s">
        <v>213</v>
      </c>
      <c r="I114" s="139" t="s">
        <v>386</v>
      </c>
    </row>
    <row r="115" spans="1:9" hidden="1" x14ac:dyDescent="0.25">
      <c r="A115" s="139"/>
      <c r="B115" s="141">
        <v>2289516872</v>
      </c>
      <c r="C115" s="139" t="s">
        <v>387</v>
      </c>
      <c r="D115" s="141">
        <v>3045613635</v>
      </c>
      <c r="E115" s="139" t="s">
        <v>156</v>
      </c>
      <c r="F115" s="139" t="s">
        <v>157</v>
      </c>
      <c r="G115" s="139" t="s">
        <v>216</v>
      </c>
      <c r="H115" s="139" t="s">
        <v>348</v>
      </c>
      <c r="I115" s="139" t="s">
        <v>388</v>
      </c>
    </row>
    <row r="116" spans="1:9" hidden="1" x14ac:dyDescent="0.25">
      <c r="A116" s="139"/>
      <c r="B116" s="140">
        <v>22</v>
      </c>
      <c r="C116" s="139" t="s">
        <v>389</v>
      </c>
      <c r="D116" s="141">
        <v>3672909960</v>
      </c>
      <c r="E116" s="139" t="s">
        <v>156</v>
      </c>
      <c r="F116" s="139" t="s">
        <v>157</v>
      </c>
      <c r="G116" s="139" t="s">
        <v>212</v>
      </c>
      <c r="H116" s="139" t="s">
        <v>213</v>
      </c>
      <c r="I116" s="139" t="s">
        <v>390</v>
      </c>
    </row>
    <row r="117" spans="1:9" hidden="1" x14ac:dyDescent="0.25">
      <c r="A117" s="139"/>
      <c r="B117" s="141">
        <v>2289516824</v>
      </c>
      <c r="C117" s="139" t="s">
        <v>391</v>
      </c>
      <c r="D117" s="141">
        <v>3339117352</v>
      </c>
      <c r="E117" s="139" t="s">
        <v>156</v>
      </c>
      <c r="F117" s="139" t="s">
        <v>157</v>
      </c>
      <c r="G117" s="139" t="s">
        <v>216</v>
      </c>
      <c r="H117" s="139" t="s">
        <v>206</v>
      </c>
      <c r="I117" s="139" t="s">
        <v>392</v>
      </c>
    </row>
    <row r="118" spans="1:9" hidden="1" x14ac:dyDescent="0.25">
      <c r="A118" s="139"/>
      <c r="B118" s="141">
        <v>2289516825</v>
      </c>
      <c r="C118" s="139" t="s">
        <v>393</v>
      </c>
      <c r="D118" s="141">
        <v>3414715392</v>
      </c>
      <c r="E118" s="139" t="s">
        <v>156</v>
      </c>
      <c r="F118" s="139" t="s">
        <v>157</v>
      </c>
      <c r="G118" s="139" t="s">
        <v>216</v>
      </c>
      <c r="H118" s="139" t="s">
        <v>206</v>
      </c>
      <c r="I118" s="139" t="s">
        <v>392</v>
      </c>
    </row>
    <row r="119" spans="1:9" hidden="1" x14ac:dyDescent="0.25">
      <c r="A119" s="139"/>
      <c r="B119" s="140">
        <v>29</v>
      </c>
      <c r="C119" s="139" t="s">
        <v>394</v>
      </c>
      <c r="D119" s="141">
        <v>3204901230</v>
      </c>
      <c r="E119" s="139" t="s">
        <v>156</v>
      </c>
      <c r="F119" s="139" t="s">
        <v>157</v>
      </c>
      <c r="G119" s="139" t="s">
        <v>158</v>
      </c>
      <c r="H119" s="139" t="s">
        <v>159</v>
      </c>
      <c r="I119" s="139" t="s">
        <v>160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156</v>
      </c>
      <c r="F120" s="139" t="s">
        <v>157</v>
      </c>
      <c r="G120" s="139" t="s">
        <v>158</v>
      </c>
      <c r="H120" s="139" t="s">
        <v>159</v>
      </c>
      <c r="I120" s="139" t="s">
        <v>395</v>
      </c>
    </row>
    <row r="121" spans="1:9" hidden="1" x14ac:dyDescent="0.25">
      <c r="A121" s="139"/>
      <c r="B121" s="140">
        <v>240</v>
      </c>
      <c r="C121" s="139" t="s">
        <v>396</v>
      </c>
      <c r="D121" s="141">
        <v>2852918337</v>
      </c>
      <c r="E121" s="139" t="s">
        <v>156</v>
      </c>
      <c r="F121" s="139" t="s">
        <v>157</v>
      </c>
      <c r="G121" s="139" t="s">
        <v>200</v>
      </c>
      <c r="H121" s="139" t="s">
        <v>295</v>
      </c>
      <c r="I121" s="139" t="s">
        <v>397</v>
      </c>
    </row>
    <row r="122" spans="1:9" x14ac:dyDescent="0.25">
      <c r="A122" s="139"/>
      <c r="B122" s="140">
        <v>6</v>
      </c>
      <c r="C122" s="139" t="s">
        <v>398</v>
      </c>
      <c r="D122" s="141">
        <v>3294913815</v>
      </c>
      <c r="E122" s="139" t="s">
        <v>156</v>
      </c>
      <c r="F122" s="139" t="s">
        <v>157</v>
      </c>
      <c r="G122" s="139" t="s">
        <v>158</v>
      </c>
      <c r="H122" s="139" t="s">
        <v>190</v>
      </c>
      <c r="I122" s="139" t="s">
        <v>368</v>
      </c>
    </row>
    <row r="123" spans="1:9" hidden="1" x14ac:dyDescent="0.25">
      <c r="A123" s="139"/>
      <c r="B123" s="141">
        <v>2289516743</v>
      </c>
      <c r="C123" s="139" t="s">
        <v>399</v>
      </c>
      <c r="D123" s="141">
        <v>3217713834</v>
      </c>
      <c r="E123" s="139" t="s">
        <v>156</v>
      </c>
      <c r="F123" s="139" t="s">
        <v>157</v>
      </c>
      <c r="G123" s="139" t="s">
        <v>272</v>
      </c>
      <c r="H123" s="139" t="s">
        <v>187</v>
      </c>
      <c r="I123" s="139" t="s">
        <v>400</v>
      </c>
    </row>
    <row r="124" spans="1:9" hidden="1" x14ac:dyDescent="0.25">
      <c r="A124" s="139"/>
      <c r="B124" s="141">
        <v>2289516852</v>
      </c>
      <c r="C124" s="139" t="s">
        <v>401</v>
      </c>
      <c r="D124" s="141">
        <v>2163809691</v>
      </c>
      <c r="E124" s="139" t="s">
        <v>156</v>
      </c>
      <c r="F124" s="139" t="s">
        <v>178</v>
      </c>
      <c r="G124" s="139" t="s">
        <v>200</v>
      </c>
      <c r="H124" s="139" t="s">
        <v>337</v>
      </c>
      <c r="I124" s="139" t="s">
        <v>286</v>
      </c>
    </row>
    <row r="125" spans="1:9" hidden="1" x14ac:dyDescent="0.25">
      <c r="A125" s="139"/>
      <c r="B125" s="141">
        <v>2289516899</v>
      </c>
      <c r="C125" s="139" t="s">
        <v>402</v>
      </c>
      <c r="D125" s="141">
        <v>3027202792</v>
      </c>
      <c r="E125" s="139" t="s">
        <v>156</v>
      </c>
      <c r="F125" s="139" t="s">
        <v>157</v>
      </c>
      <c r="G125" s="139" t="s">
        <v>243</v>
      </c>
      <c r="H125" s="139" t="s">
        <v>343</v>
      </c>
      <c r="I125" s="139" t="s">
        <v>403</v>
      </c>
    </row>
    <row r="126" spans="1:9" hidden="1" x14ac:dyDescent="0.25">
      <c r="A126" s="139"/>
      <c r="B126" s="141">
        <v>2289516794</v>
      </c>
      <c r="C126" s="139" t="s">
        <v>404</v>
      </c>
      <c r="D126" s="141">
        <v>3099210416</v>
      </c>
      <c r="E126" s="139" t="s">
        <v>156</v>
      </c>
      <c r="F126" s="139" t="s">
        <v>157</v>
      </c>
      <c r="G126" s="139" t="s">
        <v>280</v>
      </c>
      <c r="H126" s="139" t="s">
        <v>232</v>
      </c>
      <c r="I126" s="139" t="s">
        <v>332</v>
      </c>
    </row>
    <row r="127" spans="1:9" hidden="1" x14ac:dyDescent="0.25">
      <c r="A127" s="139"/>
      <c r="B127" s="140">
        <v>225</v>
      </c>
      <c r="C127" s="139" t="s">
        <v>405</v>
      </c>
      <c r="D127" s="141">
        <v>3029300631</v>
      </c>
      <c r="E127" s="139" t="s">
        <v>156</v>
      </c>
      <c r="F127" s="139" t="s">
        <v>157</v>
      </c>
      <c r="G127" s="139" t="s">
        <v>216</v>
      </c>
      <c r="H127" s="139" t="s">
        <v>201</v>
      </c>
      <c r="I127" s="139" t="s">
        <v>406</v>
      </c>
    </row>
    <row r="128" spans="1:9" hidden="1" x14ac:dyDescent="0.25">
      <c r="A128" s="139"/>
      <c r="B128" s="140">
        <v>7</v>
      </c>
      <c r="C128" s="139" t="s">
        <v>407</v>
      </c>
      <c r="D128" s="141">
        <v>2794601018</v>
      </c>
      <c r="E128" s="139" t="s">
        <v>156</v>
      </c>
      <c r="F128" s="139" t="s">
        <v>178</v>
      </c>
      <c r="G128" s="139" t="s">
        <v>212</v>
      </c>
      <c r="H128" s="139" t="s">
        <v>408</v>
      </c>
      <c r="I128" s="139" t="s">
        <v>409</v>
      </c>
    </row>
    <row r="129" spans="1:9" hidden="1" x14ac:dyDescent="0.25">
      <c r="A129" s="139"/>
      <c r="B129" s="141">
        <v>2289516871</v>
      </c>
      <c r="C129" s="139" t="s">
        <v>410</v>
      </c>
      <c r="D129" s="141">
        <v>3244915916</v>
      </c>
      <c r="E129" s="139" t="s">
        <v>156</v>
      </c>
      <c r="F129" s="139" t="s">
        <v>157</v>
      </c>
      <c r="G129" s="139" t="s">
        <v>161</v>
      </c>
      <c r="H129" s="139" t="s">
        <v>229</v>
      </c>
      <c r="I129" s="139" t="s">
        <v>388</v>
      </c>
    </row>
    <row r="130" spans="1:9" hidden="1" x14ac:dyDescent="0.25">
      <c r="A130" s="139"/>
      <c r="B130" s="140">
        <v>3</v>
      </c>
      <c r="C130" s="139" t="s">
        <v>411</v>
      </c>
      <c r="D130" s="141">
        <v>3458003578</v>
      </c>
      <c r="E130" s="139" t="s">
        <v>156</v>
      </c>
      <c r="F130" s="139" t="s">
        <v>157</v>
      </c>
      <c r="G130" s="139" t="s">
        <v>212</v>
      </c>
      <c r="H130" s="139" t="s">
        <v>412</v>
      </c>
      <c r="I130" s="139" t="s">
        <v>413</v>
      </c>
    </row>
    <row r="131" spans="1:9" hidden="1" x14ac:dyDescent="0.25">
      <c r="A131" s="139"/>
      <c r="B131" s="140">
        <v>18</v>
      </c>
      <c r="C131" s="139" t="s">
        <v>411</v>
      </c>
      <c r="D131" s="141">
        <v>3458003578</v>
      </c>
      <c r="E131" s="139" t="s">
        <v>156</v>
      </c>
      <c r="F131" s="139" t="s">
        <v>178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414</v>
      </c>
      <c r="D132" s="141">
        <v>3662602531</v>
      </c>
      <c r="E132" s="139" t="s">
        <v>156</v>
      </c>
      <c r="F132" s="139" t="s">
        <v>157</v>
      </c>
      <c r="G132" s="139" t="s">
        <v>243</v>
      </c>
      <c r="H132" s="139" t="s">
        <v>206</v>
      </c>
      <c r="I132" s="139" t="s">
        <v>362</v>
      </c>
    </row>
    <row r="133" spans="1:9" hidden="1" x14ac:dyDescent="0.25">
      <c r="A133" s="139"/>
      <c r="B133" s="141">
        <v>2289516893</v>
      </c>
      <c r="C133" s="139" t="s">
        <v>415</v>
      </c>
      <c r="D133" s="141">
        <v>2855420394</v>
      </c>
      <c r="E133" s="139" t="s">
        <v>156</v>
      </c>
      <c r="F133" s="139" t="s">
        <v>157</v>
      </c>
      <c r="G133" s="139" t="s">
        <v>243</v>
      </c>
      <c r="H133" s="139" t="s">
        <v>206</v>
      </c>
      <c r="I133" s="139" t="s">
        <v>315</v>
      </c>
    </row>
    <row r="134" spans="1:9" hidden="1" x14ac:dyDescent="0.25">
      <c r="A134" s="139"/>
      <c r="B134" s="141">
        <v>2289516898</v>
      </c>
      <c r="C134" s="139" t="s">
        <v>416</v>
      </c>
      <c r="D134" s="141">
        <v>2777600676</v>
      </c>
      <c r="E134" s="139" t="s">
        <v>156</v>
      </c>
      <c r="F134" s="139" t="s">
        <v>157</v>
      </c>
      <c r="G134" s="139" t="s">
        <v>243</v>
      </c>
      <c r="H134" s="139" t="s">
        <v>206</v>
      </c>
      <c r="I134" s="139" t="s">
        <v>417</v>
      </c>
    </row>
    <row r="135" spans="1:9" hidden="1" x14ac:dyDescent="0.25">
      <c r="A135" s="139"/>
      <c r="B135" s="141">
        <v>2289516837</v>
      </c>
      <c r="C135" s="139" t="s">
        <v>418</v>
      </c>
      <c r="D135" s="141">
        <v>3108202652</v>
      </c>
      <c r="E135" s="139" t="s">
        <v>156</v>
      </c>
      <c r="F135" s="139" t="s">
        <v>157</v>
      </c>
      <c r="G135" s="139" t="s">
        <v>243</v>
      </c>
      <c r="H135" s="139" t="s">
        <v>206</v>
      </c>
      <c r="I135" s="139" t="s">
        <v>419</v>
      </c>
    </row>
    <row r="136" spans="1:9" hidden="1" x14ac:dyDescent="0.25">
      <c r="A136" s="139"/>
      <c r="B136" s="141">
        <v>2289516873</v>
      </c>
      <c r="C136" s="139" t="s">
        <v>420</v>
      </c>
      <c r="D136" s="141">
        <v>2850902050</v>
      </c>
      <c r="E136" s="139" t="s">
        <v>156</v>
      </c>
      <c r="F136" s="139" t="s">
        <v>157</v>
      </c>
      <c r="G136" s="139" t="s">
        <v>216</v>
      </c>
      <c r="H136" s="139" t="s">
        <v>360</v>
      </c>
      <c r="I136" s="139" t="s">
        <v>421</v>
      </c>
    </row>
    <row r="137" spans="1:9" hidden="1" x14ac:dyDescent="0.25">
      <c r="A137" s="139"/>
      <c r="B137" s="141">
        <v>2289516802</v>
      </c>
      <c r="C137" s="139" t="s">
        <v>422</v>
      </c>
      <c r="D137" s="141">
        <v>3281710375</v>
      </c>
      <c r="E137" s="139" t="s">
        <v>156</v>
      </c>
      <c r="F137" s="139" t="s">
        <v>178</v>
      </c>
      <c r="G137" s="139" t="s">
        <v>161</v>
      </c>
      <c r="H137" s="139" t="s">
        <v>423</v>
      </c>
      <c r="I137" s="139" t="s">
        <v>313</v>
      </c>
    </row>
    <row r="138" spans="1:9" hidden="1" x14ac:dyDescent="0.25">
      <c r="A138" s="139"/>
      <c r="B138" s="140">
        <v>12</v>
      </c>
      <c r="C138" s="139" t="s">
        <v>424</v>
      </c>
      <c r="D138" s="141">
        <v>3281710375</v>
      </c>
      <c r="E138" s="139" t="s">
        <v>156</v>
      </c>
      <c r="F138" s="139" t="s">
        <v>157</v>
      </c>
      <c r="G138" s="139" t="s">
        <v>161</v>
      </c>
      <c r="H138" s="139" t="s">
        <v>260</v>
      </c>
      <c r="I138" s="139" t="s">
        <v>425</v>
      </c>
    </row>
    <row r="139" spans="1:9" hidden="1" x14ac:dyDescent="0.25">
      <c r="A139" s="139"/>
      <c r="B139" s="141">
        <v>2289516874</v>
      </c>
      <c r="C139" s="139" t="s">
        <v>426</v>
      </c>
      <c r="D139" s="141">
        <v>2572519716</v>
      </c>
      <c r="E139" s="139" t="s">
        <v>156</v>
      </c>
      <c r="F139" s="139" t="s">
        <v>157</v>
      </c>
      <c r="G139" s="139" t="s">
        <v>216</v>
      </c>
      <c r="H139" s="139" t="s">
        <v>244</v>
      </c>
      <c r="I139" s="139" t="s">
        <v>291</v>
      </c>
    </row>
    <row r="140" spans="1:9" hidden="1" x14ac:dyDescent="0.25">
      <c r="A140" s="139"/>
      <c r="B140" s="141">
        <v>2289516836</v>
      </c>
      <c r="C140" s="139" t="s">
        <v>427</v>
      </c>
      <c r="D140" s="141">
        <v>2773311771</v>
      </c>
      <c r="E140" s="139" t="s">
        <v>156</v>
      </c>
      <c r="F140" s="139" t="s">
        <v>157</v>
      </c>
      <c r="G140" s="139" t="s">
        <v>216</v>
      </c>
      <c r="H140" s="139" t="s">
        <v>206</v>
      </c>
      <c r="I140" s="139" t="s">
        <v>419</v>
      </c>
    </row>
    <row r="141" spans="1:9" hidden="1" x14ac:dyDescent="0.25">
      <c r="A141" s="139"/>
      <c r="B141" s="140">
        <v>27</v>
      </c>
      <c r="C141" s="139" t="s">
        <v>428</v>
      </c>
      <c r="D141" s="141">
        <v>2880313812</v>
      </c>
      <c r="E141" s="139" t="s">
        <v>156</v>
      </c>
      <c r="F141" s="139" t="s">
        <v>157</v>
      </c>
      <c r="G141" s="139" t="s">
        <v>158</v>
      </c>
      <c r="H141" s="139" t="s">
        <v>429</v>
      </c>
      <c r="I141" s="139" t="s">
        <v>160</v>
      </c>
    </row>
    <row r="142" spans="1:9" hidden="1" x14ac:dyDescent="0.25">
      <c r="A142" s="139"/>
      <c r="B142" s="141">
        <v>2289516879</v>
      </c>
      <c r="C142" s="139" t="s">
        <v>430</v>
      </c>
      <c r="D142" s="141">
        <v>2783317959</v>
      </c>
      <c r="E142" s="139" t="s">
        <v>156</v>
      </c>
      <c r="F142" s="139" t="s">
        <v>157</v>
      </c>
      <c r="G142" s="139" t="s">
        <v>243</v>
      </c>
      <c r="H142" s="139" t="s">
        <v>206</v>
      </c>
      <c r="I142" s="139" t="s">
        <v>334</v>
      </c>
    </row>
    <row r="143" spans="1:9" hidden="1" x14ac:dyDescent="0.25">
      <c r="A143" s="139"/>
      <c r="B143" s="141">
        <v>2289516853</v>
      </c>
      <c r="C143" s="139" t="s">
        <v>431</v>
      </c>
      <c r="D143" s="141">
        <v>2034207638</v>
      </c>
      <c r="E143" s="139" t="s">
        <v>156</v>
      </c>
      <c r="F143" s="139" t="s">
        <v>157</v>
      </c>
      <c r="G143" s="139" t="s">
        <v>216</v>
      </c>
      <c r="H143" s="139" t="s">
        <v>429</v>
      </c>
      <c r="I143" s="139" t="s">
        <v>286</v>
      </c>
    </row>
    <row r="144" spans="1:9" hidden="1" x14ac:dyDescent="0.25">
      <c r="A144" s="139"/>
      <c r="B144" s="140">
        <v>5</v>
      </c>
      <c r="C144" s="139" t="s">
        <v>432</v>
      </c>
      <c r="D144" s="141">
        <v>3076001111</v>
      </c>
      <c r="E144" s="139" t="s">
        <v>156</v>
      </c>
      <c r="F144" s="139" t="s">
        <v>178</v>
      </c>
      <c r="G144" s="139" t="s">
        <v>212</v>
      </c>
      <c r="H144" s="139" t="s">
        <v>408</v>
      </c>
      <c r="I144" s="139" t="s">
        <v>413</v>
      </c>
    </row>
    <row r="145" spans="1:9" hidden="1" x14ac:dyDescent="0.25">
      <c r="A145" s="139"/>
      <c r="B145" s="140">
        <v>1</v>
      </c>
      <c r="C145" s="139" t="s">
        <v>433</v>
      </c>
      <c r="D145" s="141">
        <v>3446605399</v>
      </c>
      <c r="E145" s="139" t="s">
        <v>156</v>
      </c>
      <c r="F145" s="139" t="s">
        <v>157</v>
      </c>
      <c r="G145" s="139" t="s">
        <v>161</v>
      </c>
      <c r="H145" s="139" t="s">
        <v>260</v>
      </c>
      <c r="I145" s="139" t="s">
        <v>434</v>
      </c>
    </row>
    <row r="146" spans="1:9" hidden="1" x14ac:dyDescent="0.25">
      <c r="A146" s="139"/>
      <c r="B146" s="140">
        <v>17</v>
      </c>
      <c r="C146" s="139" t="s">
        <v>433</v>
      </c>
      <c r="D146" s="141">
        <v>3446605399</v>
      </c>
      <c r="E146" s="139" t="s">
        <v>156</v>
      </c>
      <c r="F146" s="139" t="s">
        <v>178</v>
      </c>
      <c r="G146" s="139" t="s">
        <v>161</v>
      </c>
      <c r="H146" s="139" t="s">
        <v>260</v>
      </c>
      <c r="I146" s="139" t="s">
        <v>435</v>
      </c>
    </row>
    <row r="147" spans="1:9" hidden="1" x14ac:dyDescent="0.25">
      <c r="A147" s="139"/>
      <c r="B147" s="140">
        <v>41</v>
      </c>
      <c r="C147" s="139" t="s">
        <v>436</v>
      </c>
      <c r="D147" s="141">
        <v>3348501613</v>
      </c>
      <c r="E147" s="139" t="s">
        <v>156</v>
      </c>
      <c r="F147" s="139" t="s">
        <v>157</v>
      </c>
      <c r="G147" s="139" t="s">
        <v>158</v>
      </c>
      <c r="H147" s="139" t="s">
        <v>159</v>
      </c>
      <c r="I147" s="139" t="s">
        <v>191</v>
      </c>
    </row>
    <row r="148" spans="1:9" hidden="1" x14ac:dyDescent="0.25">
      <c r="A148" s="139"/>
      <c r="B148" s="141">
        <v>2289516792</v>
      </c>
      <c r="C148" s="139" t="s">
        <v>437</v>
      </c>
      <c r="D148" s="141">
        <v>3350503939</v>
      </c>
      <c r="E148" s="139" t="s">
        <v>156</v>
      </c>
      <c r="F148" s="139" t="s">
        <v>157</v>
      </c>
      <c r="G148" s="139" t="s">
        <v>216</v>
      </c>
      <c r="H148" s="139" t="s">
        <v>232</v>
      </c>
      <c r="I148" s="139" t="s">
        <v>332</v>
      </c>
    </row>
    <row r="149" spans="1:9" hidden="1" x14ac:dyDescent="0.25">
      <c r="A149" s="139"/>
      <c r="B149" s="140">
        <v>241</v>
      </c>
      <c r="C149" s="139" t="s">
        <v>438</v>
      </c>
      <c r="D149" s="141">
        <v>3584102292</v>
      </c>
      <c r="E149" s="139" t="s">
        <v>156</v>
      </c>
      <c r="F149" s="139" t="s">
        <v>157</v>
      </c>
      <c r="G149" s="139" t="s">
        <v>200</v>
      </c>
      <c r="H149" s="139" t="s">
        <v>206</v>
      </c>
      <c r="I149" s="139" t="s">
        <v>397</v>
      </c>
    </row>
    <row r="150" spans="1:9" hidden="1" x14ac:dyDescent="0.25">
      <c r="A150" s="139"/>
      <c r="B150" s="141">
        <v>2289516798</v>
      </c>
      <c r="C150" s="139" t="s">
        <v>439</v>
      </c>
      <c r="D150" s="141">
        <v>3008703064</v>
      </c>
      <c r="E150" s="139" t="s">
        <v>156</v>
      </c>
      <c r="F150" s="139" t="s">
        <v>157</v>
      </c>
      <c r="G150" s="139" t="s">
        <v>161</v>
      </c>
      <c r="H150" s="139" t="s">
        <v>440</v>
      </c>
      <c r="I150" s="139" t="s">
        <v>441</v>
      </c>
    </row>
    <row r="151" spans="1:9" hidden="1" x14ac:dyDescent="0.25">
      <c r="A151" s="139"/>
      <c r="B151" s="140">
        <v>213</v>
      </c>
      <c r="C151" s="139" t="s">
        <v>442</v>
      </c>
      <c r="D151" s="141">
        <v>2906022797</v>
      </c>
      <c r="E151" s="139" t="s">
        <v>156</v>
      </c>
      <c r="F151" s="139" t="s">
        <v>157</v>
      </c>
      <c r="G151" s="139" t="s">
        <v>254</v>
      </c>
      <c r="H151" s="139" t="s">
        <v>295</v>
      </c>
      <c r="I151" s="139" t="s">
        <v>443</v>
      </c>
    </row>
    <row r="152" spans="1:9" hidden="1" x14ac:dyDescent="0.25">
      <c r="A152" s="139"/>
      <c r="B152" s="141">
        <v>2289516865</v>
      </c>
      <c r="C152" s="139" t="s">
        <v>444</v>
      </c>
      <c r="D152" s="141">
        <v>2894822956</v>
      </c>
      <c r="E152" s="139" t="s">
        <v>156</v>
      </c>
      <c r="F152" s="139" t="s">
        <v>157</v>
      </c>
      <c r="G152" s="139" t="s">
        <v>383</v>
      </c>
      <c r="H152" s="139" t="s">
        <v>244</v>
      </c>
      <c r="I152" s="139" t="s">
        <v>445</v>
      </c>
    </row>
    <row r="153" spans="1:9" hidden="1" x14ac:dyDescent="0.25">
      <c r="A153" s="139"/>
      <c r="B153" s="140">
        <v>47</v>
      </c>
      <c r="C153" s="139" t="s">
        <v>446</v>
      </c>
      <c r="D153" s="141">
        <v>3216804294</v>
      </c>
      <c r="E153" s="139" t="s">
        <v>156</v>
      </c>
      <c r="F153" s="139" t="s">
        <v>157</v>
      </c>
      <c r="G153" s="139" t="s">
        <v>158</v>
      </c>
      <c r="H153" s="139" t="s">
        <v>193</v>
      </c>
      <c r="I153" s="139" t="s">
        <v>447</v>
      </c>
    </row>
    <row r="154" spans="1:9" hidden="1" x14ac:dyDescent="0.25">
      <c r="A154" s="139"/>
      <c r="B154" s="140">
        <v>11</v>
      </c>
      <c r="C154" s="139" t="s">
        <v>448</v>
      </c>
      <c r="D154" s="141">
        <v>2987302398</v>
      </c>
      <c r="E154" s="139" t="s">
        <v>156</v>
      </c>
      <c r="F154" s="139" t="s">
        <v>157</v>
      </c>
      <c r="G154" s="139" t="s">
        <v>212</v>
      </c>
      <c r="H154" s="139" t="s">
        <v>449</v>
      </c>
      <c r="I154" s="139" t="s">
        <v>355</v>
      </c>
    </row>
    <row r="155" spans="1:9" hidden="1" x14ac:dyDescent="0.25">
      <c r="A155" s="139"/>
      <c r="B155" s="141">
        <v>2289516875</v>
      </c>
      <c r="C155" s="139" t="s">
        <v>450</v>
      </c>
      <c r="D155" s="141">
        <v>3283921595</v>
      </c>
      <c r="E155" s="139" t="s">
        <v>156</v>
      </c>
      <c r="F155" s="139" t="s">
        <v>157</v>
      </c>
      <c r="G155" s="139" t="s">
        <v>200</v>
      </c>
      <c r="H155" s="139" t="s">
        <v>232</v>
      </c>
      <c r="I155" s="139" t="s">
        <v>451</v>
      </c>
    </row>
    <row r="156" spans="1:9" hidden="1" x14ac:dyDescent="0.25">
      <c r="A156" s="139"/>
      <c r="B156" s="140">
        <v>69</v>
      </c>
      <c r="C156" s="139" t="s">
        <v>452</v>
      </c>
      <c r="D156" s="141">
        <v>3283102618</v>
      </c>
      <c r="E156" s="139" t="s">
        <v>156</v>
      </c>
      <c r="F156" s="139" t="s">
        <v>157</v>
      </c>
      <c r="G156" s="139" t="s">
        <v>158</v>
      </c>
      <c r="H156" s="139" t="s">
        <v>193</v>
      </c>
      <c r="I156" s="139" t="s">
        <v>214</v>
      </c>
    </row>
    <row r="157" spans="1:9" hidden="1" x14ac:dyDescent="0.25">
      <c r="A157" s="139"/>
      <c r="B157" s="140">
        <v>14</v>
      </c>
      <c r="C157" s="139" t="s">
        <v>453</v>
      </c>
      <c r="D157" s="141">
        <v>2822813708</v>
      </c>
      <c r="E157" s="139" t="s">
        <v>156</v>
      </c>
      <c r="F157" s="139" t="s">
        <v>157</v>
      </c>
      <c r="G157" s="139" t="s">
        <v>212</v>
      </c>
      <c r="H157" s="139" t="s">
        <v>429</v>
      </c>
      <c r="I157" s="139" t="s">
        <v>454</v>
      </c>
    </row>
    <row r="158" spans="1:9" hidden="1" x14ac:dyDescent="0.25">
      <c r="A158" s="139"/>
      <c r="B158" s="141">
        <v>2289516900</v>
      </c>
      <c r="C158" s="139" t="s">
        <v>455</v>
      </c>
      <c r="D158" s="141">
        <v>3138000212</v>
      </c>
      <c r="E158" s="139" t="s">
        <v>156</v>
      </c>
      <c r="F158" s="139" t="s">
        <v>157</v>
      </c>
      <c r="G158" s="139" t="s">
        <v>243</v>
      </c>
      <c r="H158" s="139" t="s">
        <v>206</v>
      </c>
      <c r="I158" s="139" t="s">
        <v>456</v>
      </c>
    </row>
    <row r="159" spans="1:9" hidden="1" x14ac:dyDescent="0.25">
      <c r="A159" s="139"/>
      <c r="B159" s="140">
        <v>236</v>
      </c>
      <c r="C159" s="139" t="s">
        <v>457</v>
      </c>
      <c r="D159" s="141">
        <v>3399209246</v>
      </c>
      <c r="E159" s="139" t="s">
        <v>156</v>
      </c>
      <c r="F159" s="139" t="s">
        <v>157</v>
      </c>
      <c r="G159" s="139" t="s">
        <v>161</v>
      </c>
      <c r="H159" s="139" t="s">
        <v>458</v>
      </c>
      <c r="I159" s="139" t="s">
        <v>459</v>
      </c>
    </row>
    <row r="160" spans="1:9" hidden="1" x14ac:dyDescent="0.25">
      <c r="A160" s="139"/>
      <c r="B160" s="140">
        <v>246</v>
      </c>
      <c r="C160" s="139" t="s">
        <v>460</v>
      </c>
      <c r="D160" s="141">
        <v>2866215672</v>
      </c>
      <c r="E160" s="139" t="s">
        <v>156</v>
      </c>
      <c r="F160" s="139" t="s">
        <v>157</v>
      </c>
      <c r="G160" s="139" t="s">
        <v>243</v>
      </c>
      <c r="H160" s="139" t="s">
        <v>350</v>
      </c>
      <c r="I160" s="139" t="s">
        <v>461</v>
      </c>
    </row>
    <row r="161" spans="1:9" hidden="1" x14ac:dyDescent="0.25">
      <c r="A161" s="139"/>
      <c r="B161" s="140">
        <v>218</v>
      </c>
      <c r="C161" s="139" t="s">
        <v>462</v>
      </c>
      <c r="D161" s="141">
        <v>2559518617</v>
      </c>
      <c r="E161" s="139" t="s">
        <v>156</v>
      </c>
      <c r="F161" s="139" t="s">
        <v>157</v>
      </c>
      <c r="G161" s="139" t="s">
        <v>200</v>
      </c>
      <c r="H161" s="139" t="s">
        <v>244</v>
      </c>
      <c r="I161" s="139" t="s">
        <v>463</v>
      </c>
    </row>
    <row r="162" spans="1:9" hidden="1" x14ac:dyDescent="0.25">
      <c r="A162" s="139"/>
      <c r="B162" s="139" t="s">
        <v>464</v>
      </c>
      <c r="C162" s="139" t="s">
        <v>465</v>
      </c>
      <c r="D162" s="141">
        <v>2559518617</v>
      </c>
      <c r="E162" s="139" t="s">
        <v>130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466</v>
      </c>
      <c r="D163" s="141">
        <v>3771107310</v>
      </c>
      <c r="E163" s="139" t="s">
        <v>156</v>
      </c>
      <c r="F163" s="139" t="s">
        <v>157</v>
      </c>
      <c r="G163" s="139" t="s">
        <v>280</v>
      </c>
      <c r="H163" s="139" t="s">
        <v>232</v>
      </c>
      <c r="I163" s="139" t="s">
        <v>467</v>
      </c>
    </row>
    <row r="164" spans="1:9" hidden="1" x14ac:dyDescent="0.25">
      <c r="A164" s="139"/>
      <c r="B164" s="141">
        <v>2289516805</v>
      </c>
      <c r="C164" s="139" t="s">
        <v>468</v>
      </c>
      <c r="D164" s="141">
        <v>2218422874</v>
      </c>
      <c r="E164" s="139" t="s">
        <v>156</v>
      </c>
      <c r="F164" s="139" t="s">
        <v>157</v>
      </c>
      <c r="G164" s="139" t="s">
        <v>216</v>
      </c>
      <c r="H164" s="139" t="s">
        <v>232</v>
      </c>
      <c r="I164" s="139" t="s">
        <v>235</v>
      </c>
    </row>
    <row r="165" spans="1:9" hidden="1" x14ac:dyDescent="0.25">
      <c r="A165" s="139"/>
      <c r="B165" s="140">
        <v>56</v>
      </c>
      <c r="C165" s="139" t="s">
        <v>469</v>
      </c>
      <c r="D165" s="141">
        <v>2583617833</v>
      </c>
      <c r="E165" s="139" t="s">
        <v>156</v>
      </c>
      <c r="F165" s="139" t="s">
        <v>157</v>
      </c>
      <c r="G165" s="139" t="s">
        <v>161</v>
      </c>
      <c r="H165" s="139" t="s">
        <v>470</v>
      </c>
      <c r="I165" s="139" t="s">
        <v>471</v>
      </c>
    </row>
    <row r="166" spans="1:9" hidden="1" x14ac:dyDescent="0.25">
      <c r="A166" s="139"/>
      <c r="B166" s="141">
        <v>2289516843</v>
      </c>
      <c r="C166" s="139" t="s">
        <v>472</v>
      </c>
      <c r="D166" s="141">
        <v>3525016911</v>
      </c>
      <c r="E166" s="139" t="s">
        <v>156</v>
      </c>
      <c r="F166" s="139" t="s">
        <v>157</v>
      </c>
      <c r="G166" s="139" t="s">
        <v>216</v>
      </c>
      <c r="H166" s="139" t="s">
        <v>206</v>
      </c>
      <c r="I166" s="139" t="s">
        <v>473</v>
      </c>
    </row>
    <row r="167" spans="1:9" hidden="1" x14ac:dyDescent="0.25">
      <c r="A167" s="139"/>
      <c r="B167" s="140">
        <v>59</v>
      </c>
      <c r="C167" s="139" t="s">
        <v>474</v>
      </c>
      <c r="D167" s="141">
        <v>3230316597</v>
      </c>
      <c r="E167" s="139" t="s">
        <v>156</v>
      </c>
      <c r="F167" s="139" t="s">
        <v>157</v>
      </c>
      <c r="G167" s="139" t="s">
        <v>158</v>
      </c>
      <c r="H167" s="139" t="s">
        <v>193</v>
      </c>
      <c r="I167" s="139" t="s">
        <v>475</v>
      </c>
    </row>
    <row r="168" spans="1:9" hidden="1" x14ac:dyDescent="0.25">
      <c r="A168" s="139"/>
      <c r="B168" s="141">
        <v>2289516839</v>
      </c>
      <c r="C168" s="139" t="s">
        <v>476</v>
      </c>
      <c r="D168" s="141">
        <v>2710222868</v>
      </c>
      <c r="E168" s="139" t="s">
        <v>156</v>
      </c>
      <c r="F168" s="139" t="s">
        <v>157</v>
      </c>
      <c r="G168" s="139" t="s">
        <v>161</v>
      </c>
      <c r="H168" s="139" t="s">
        <v>285</v>
      </c>
      <c r="I168" s="139" t="s">
        <v>477</v>
      </c>
    </row>
    <row r="169" spans="1:9" hidden="1" x14ac:dyDescent="0.25">
      <c r="A169" s="139"/>
      <c r="B169" s="140">
        <v>61</v>
      </c>
      <c r="C169" s="139" t="s">
        <v>478</v>
      </c>
      <c r="D169" s="141">
        <v>2938511042</v>
      </c>
      <c r="E169" s="139" t="s">
        <v>156</v>
      </c>
      <c r="F169" s="139" t="s">
        <v>157</v>
      </c>
      <c r="G169" s="139" t="s">
        <v>161</v>
      </c>
      <c r="H169" s="139" t="s">
        <v>166</v>
      </c>
      <c r="I169" s="139" t="s">
        <v>479</v>
      </c>
    </row>
    <row r="170" spans="1:9" hidden="1" x14ac:dyDescent="0.25">
      <c r="A170" s="139"/>
      <c r="B170" s="139" t="s">
        <v>480</v>
      </c>
      <c r="C170" s="139" t="s">
        <v>481</v>
      </c>
      <c r="D170" s="141">
        <v>2983015610</v>
      </c>
      <c r="E170" s="139" t="s">
        <v>130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482</v>
      </c>
      <c r="D171" s="141">
        <v>2643414306</v>
      </c>
      <c r="E171" s="139" t="s">
        <v>156</v>
      </c>
      <c r="F171" s="139" t="s">
        <v>157</v>
      </c>
      <c r="G171" s="139" t="s">
        <v>212</v>
      </c>
      <c r="H171" s="139" t="s">
        <v>429</v>
      </c>
      <c r="I171" s="139" t="s">
        <v>483</v>
      </c>
    </row>
    <row r="172" spans="1:9" hidden="1" x14ac:dyDescent="0.25">
      <c r="A172" s="139"/>
      <c r="B172" s="141">
        <v>2289516887</v>
      </c>
      <c r="C172" s="139" t="s">
        <v>484</v>
      </c>
      <c r="D172" s="141">
        <v>3470212298</v>
      </c>
      <c r="E172" s="139" t="s">
        <v>156</v>
      </c>
      <c r="F172" s="139" t="s">
        <v>157</v>
      </c>
      <c r="G172" s="139" t="s">
        <v>243</v>
      </c>
      <c r="H172" s="139" t="s">
        <v>197</v>
      </c>
      <c r="I172" s="139" t="s">
        <v>485</v>
      </c>
    </row>
    <row r="173" spans="1:9" hidden="1" x14ac:dyDescent="0.25">
      <c r="A173" s="139"/>
      <c r="B173" s="140">
        <v>56</v>
      </c>
      <c r="C173" s="139" t="s">
        <v>486</v>
      </c>
      <c r="D173" s="141">
        <v>3067218612</v>
      </c>
      <c r="E173" s="139" t="s">
        <v>156</v>
      </c>
      <c r="F173" s="139" t="s">
        <v>157</v>
      </c>
      <c r="G173" s="139" t="s">
        <v>158</v>
      </c>
      <c r="H173" s="139" t="s">
        <v>193</v>
      </c>
      <c r="I173" s="139" t="s">
        <v>286</v>
      </c>
    </row>
    <row r="174" spans="1:9" hidden="1" x14ac:dyDescent="0.25">
      <c r="A174" s="139"/>
      <c r="B174" s="140">
        <v>58</v>
      </c>
      <c r="C174" s="139" t="s">
        <v>487</v>
      </c>
      <c r="D174" s="141">
        <v>3289716153</v>
      </c>
      <c r="E174" s="139" t="s">
        <v>156</v>
      </c>
      <c r="F174" s="139" t="s">
        <v>157</v>
      </c>
      <c r="G174" s="139" t="s">
        <v>158</v>
      </c>
      <c r="H174" s="139" t="s">
        <v>193</v>
      </c>
      <c r="I174" s="139" t="s">
        <v>488</v>
      </c>
    </row>
    <row r="175" spans="1:9" hidden="1" x14ac:dyDescent="0.25">
      <c r="A175" s="139"/>
      <c r="B175" s="140">
        <v>31</v>
      </c>
      <c r="C175" s="139" t="s">
        <v>489</v>
      </c>
      <c r="D175" s="141">
        <v>3185119514</v>
      </c>
      <c r="E175" s="139" t="s">
        <v>156</v>
      </c>
      <c r="F175" s="139" t="s">
        <v>157</v>
      </c>
      <c r="G175" s="139" t="s">
        <v>158</v>
      </c>
      <c r="H175" s="139" t="s">
        <v>193</v>
      </c>
      <c r="I175" s="139" t="s">
        <v>490</v>
      </c>
    </row>
    <row r="176" spans="1:9" hidden="1" x14ac:dyDescent="0.25">
      <c r="A176" s="139"/>
      <c r="B176" s="140">
        <v>14</v>
      </c>
      <c r="C176" s="139" t="s">
        <v>491</v>
      </c>
      <c r="D176" s="141">
        <v>2944519172</v>
      </c>
      <c r="E176" s="139" t="s">
        <v>156</v>
      </c>
      <c r="F176" s="139" t="s">
        <v>157</v>
      </c>
      <c r="G176" s="139" t="s">
        <v>161</v>
      </c>
      <c r="H176" s="139" t="s">
        <v>492</v>
      </c>
      <c r="I176" s="139" t="s">
        <v>493</v>
      </c>
    </row>
    <row r="177" spans="1:9" hidden="1" x14ac:dyDescent="0.25">
      <c r="A177" s="139"/>
      <c r="B177" s="140">
        <v>7</v>
      </c>
      <c r="C177" s="139" t="s">
        <v>494</v>
      </c>
      <c r="D177" s="141">
        <v>3008300898</v>
      </c>
      <c r="E177" s="139" t="s">
        <v>156</v>
      </c>
      <c r="F177" s="139" t="s">
        <v>157</v>
      </c>
      <c r="G177" s="139" t="s">
        <v>158</v>
      </c>
      <c r="H177" s="139" t="s">
        <v>159</v>
      </c>
      <c r="I177" s="139" t="s">
        <v>368</v>
      </c>
    </row>
    <row r="178" spans="1:9" hidden="1" x14ac:dyDescent="0.25">
      <c r="A178" s="139"/>
      <c r="B178" s="140">
        <v>26</v>
      </c>
      <c r="C178" s="139" t="s">
        <v>495</v>
      </c>
      <c r="D178" s="141">
        <v>3005702873</v>
      </c>
      <c r="E178" s="139" t="s">
        <v>156</v>
      </c>
      <c r="F178" s="139" t="s">
        <v>157</v>
      </c>
      <c r="G178" s="139" t="s">
        <v>158</v>
      </c>
      <c r="H178" s="139" t="s">
        <v>159</v>
      </c>
      <c r="I178" s="139" t="s">
        <v>160</v>
      </c>
    </row>
    <row r="179" spans="1:9" hidden="1" x14ac:dyDescent="0.25">
      <c r="A179" s="139"/>
      <c r="B179" s="141">
        <v>2289516818</v>
      </c>
      <c r="C179" s="139" t="s">
        <v>496</v>
      </c>
      <c r="D179" s="141">
        <v>3260020012</v>
      </c>
      <c r="E179" s="139" t="s">
        <v>156</v>
      </c>
      <c r="F179" s="139" t="s">
        <v>157</v>
      </c>
      <c r="G179" s="139" t="s">
        <v>280</v>
      </c>
      <c r="H179" s="139" t="s">
        <v>232</v>
      </c>
      <c r="I179" s="139" t="s">
        <v>233</v>
      </c>
    </row>
    <row r="180" spans="1:9" hidden="1" x14ac:dyDescent="0.25">
      <c r="A180" s="139"/>
      <c r="B180" s="140">
        <v>71</v>
      </c>
      <c r="C180" s="139" t="s">
        <v>497</v>
      </c>
      <c r="D180" s="141">
        <v>3331204136</v>
      </c>
      <c r="E180" s="139" t="s">
        <v>156</v>
      </c>
      <c r="F180" s="139" t="s">
        <v>157</v>
      </c>
      <c r="G180" s="139" t="s">
        <v>158</v>
      </c>
      <c r="H180" s="139" t="s">
        <v>193</v>
      </c>
      <c r="I180" s="139" t="s">
        <v>390</v>
      </c>
    </row>
    <row r="181" spans="1:9" hidden="1" x14ac:dyDescent="0.25">
      <c r="A181" s="139"/>
      <c r="B181" s="140">
        <v>6</v>
      </c>
      <c r="C181" s="139" t="s">
        <v>498</v>
      </c>
      <c r="D181" s="141">
        <v>3431610614</v>
      </c>
      <c r="E181" s="139" t="s">
        <v>156</v>
      </c>
      <c r="F181" s="139" t="s">
        <v>157</v>
      </c>
      <c r="G181" s="139" t="s">
        <v>212</v>
      </c>
      <c r="H181" s="139" t="s">
        <v>499</v>
      </c>
      <c r="I181" s="139" t="s">
        <v>500</v>
      </c>
    </row>
    <row r="182" spans="1:9" hidden="1" x14ac:dyDescent="0.25">
      <c r="A182" s="139"/>
      <c r="B182" s="141">
        <v>2289516869</v>
      </c>
      <c r="C182" s="139" t="s">
        <v>501</v>
      </c>
      <c r="D182" s="141">
        <v>2761812887</v>
      </c>
      <c r="E182" s="139" t="s">
        <v>156</v>
      </c>
      <c r="F182" s="139" t="s">
        <v>157</v>
      </c>
      <c r="G182" s="139" t="s">
        <v>161</v>
      </c>
      <c r="H182" s="139" t="s">
        <v>502</v>
      </c>
      <c r="I182" s="139" t="s">
        <v>503</v>
      </c>
    </row>
    <row r="183" spans="1:9" hidden="1" x14ac:dyDescent="0.25">
      <c r="A183" s="139"/>
      <c r="B183" s="140">
        <v>77</v>
      </c>
      <c r="C183" s="139" t="s">
        <v>504</v>
      </c>
      <c r="D183" s="141">
        <v>2992701716</v>
      </c>
      <c r="E183" s="139" t="s">
        <v>156</v>
      </c>
      <c r="F183" s="139" t="s">
        <v>157</v>
      </c>
      <c r="G183" s="139" t="s">
        <v>158</v>
      </c>
      <c r="H183" s="139" t="s">
        <v>159</v>
      </c>
      <c r="I183" s="139" t="s">
        <v>505</v>
      </c>
    </row>
    <row r="184" spans="1:9" hidden="1" x14ac:dyDescent="0.25">
      <c r="A184" s="139"/>
      <c r="B184" s="139" t="s">
        <v>506</v>
      </c>
      <c r="C184" s="139" t="s">
        <v>507</v>
      </c>
      <c r="D184" s="141">
        <v>3012319132</v>
      </c>
      <c r="E184" s="139" t="s">
        <v>130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508</v>
      </c>
      <c r="D185" s="141">
        <v>2334806973</v>
      </c>
      <c r="E185" s="139" t="s">
        <v>156</v>
      </c>
      <c r="F185" s="139" t="s">
        <v>157</v>
      </c>
      <c r="G185" s="139" t="s">
        <v>383</v>
      </c>
      <c r="H185" s="139" t="s">
        <v>509</v>
      </c>
      <c r="I185" s="139" t="s">
        <v>413</v>
      </c>
    </row>
    <row r="186" spans="1:9" hidden="1" x14ac:dyDescent="0.25">
      <c r="A186" s="139"/>
      <c r="B186" s="140">
        <v>74</v>
      </c>
      <c r="C186" s="139" t="s">
        <v>510</v>
      </c>
      <c r="D186" s="141">
        <v>3488401491</v>
      </c>
      <c r="E186" s="139" t="s">
        <v>156</v>
      </c>
      <c r="F186" s="139" t="s">
        <v>157</v>
      </c>
      <c r="G186" s="139" t="s">
        <v>158</v>
      </c>
      <c r="H186" s="139" t="s">
        <v>159</v>
      </c>
      <c r="I186" s="139" t="s">
        <v>293</v>
      </c>
    </row>
    <row r="187" spans="1:9" hidden="1" x14ac:dyDescent="0.25">
      <c r="A187" s="139"/>
      <c r="B187" s="141">
        <v>2289516834</v>
      </c>
      <c r="C187" s="139" t="s">
        <v>511</v>
      </c>
      <c r="D187" s="141">
        <v>3053103794</v>
      </c>
      <c r="E187" s="139" t="s">
        <v>156</v>
      </c>
      <c r="F187" s="139" t="s">
        <v>157</v>
      </c>
      <c r="G187" s="139" t="s">
        <v>280</v>
      </c>
      <c r="H187" s="139" t="s">
        <v>187</v>
      </c>
      <c r="I187" s="139" t="s">
        <v>188</v>
      </c>
    </row>
    <row r="188" spans="1:9" hidden="1" x14ac:dyDescent="0.25">
      <c r="A188" s="139"/>
      <c r="B188" s="141">
        <v>2289516828</v>
      </c>
      <c r="C188" s="139" t="s">
        <v>512</v>
      </c>
      <c r="D188" s="141">
        <v>2497706673</v>
      </c>
      <c r="E188" s="139" t="s">
        <v>156</v>
      </c>
      <c r="F188" s="139" t="s">
        <v>157</v>
      </c>
      <c r="G188" s="139" t="s">
        <v>216</v>
      </c>
      <c r="H188" s="139" t="s">
        <v>197</v>
      </c>
      <c r="I188" s="139" t="s">
        <v>513</v>
      </c>
    </row>
    <row r="189" spans="1:9" hidden="1" x14ac:dyDescent="0.25">
      <c r="A189" s="139"/>
      <c r="B189" s="141">
        <v>2289516815</v>
      </c>
      <c r="C189" s="139" t="s">
        <v>514</v>
      </c>
      <c r="D189" s="141">
        <v>3412007639</v>
      </c>
      <c r="E189" s="139" t="s">
        <v>156</v>
      </c>
      <c r="F189" s="139" t="s">
        <v>157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515</v>
      </c>
      <c r="D190" s="141">
        <v>2423910335</v>
      </c>
      <c r="E190" s="139" t="s">
        <v>156</v>
      </c>
      <c r="F190" s="139" t="s">
        <v>157</v>
      </c>
      <c r="G190" s="139" t="s">
        <v>216</v>
      </c>
      <c r="H190" s="139" t="s">
        <v>197</v>
      </c>
      <c r="I190" s="139" t="s">
        <v>516</v>
      </c>
    </row>
    <row r="191" spans="1:9" hidden="1" x14ac:dyDescent="0.25">
      <c r="A191" s="139"/>
      <c r="B191" s="141">
        <v>2289516721</v>
      </c>
      <c r="C191" s="139" t="s">
        <v>517</v>
      </c>
      <c r="D191" s="141">
        <v>3279800477</v>
      </c>
      <c r="E191" s="139" t="s">
        <v>156</v>
      </c>
      <c r="F191" s="139" t="s">
        <v>157</v>
      </c>
      <c r="G191" s="139" t="s">
        <v>243</v>
      </c>
      <c r="H191" s="139" t="s">
        <v>193</v>
      </c>
      <c r="I191" s="139" t="s">
        <v>518</v>
      </c>
    </row>
    <row r="192" spans="1:9" hidden="1" x14ac:dyDescent="0.25">
      <c r="A192" s="139"/>
      <c r="B192" s="141">
        <v>2289516704</v>
      </c>
      <c r="C192" s="139" t="s">
        <v>519</v>
      </c>
      <c r="D192" s="141">
        <v>2466703972</v>
      </c>
      <c r="E192" s="139" t="s">
        <v>156</v>
      </c>
      <c r="F192" s="139" t="s">
        <v>178</v>
      </c>
      <c r="G192" s="139" t="s">
        <v>520</v>
      </c>
      <c r="H192" s="139" t="s">
        <v>244</v>
      </c>
      <c r="I192" s="139" t="s">
        <v>198</v>
      </c>
    </row>
    <row r="193" spans="1:9" hidden="1" x14ac:dyDescent="0.25">
      <c r="A193" s="139"/>
      <c r="B193" s="141">
        <v>2289516745</v>
      </c>
      <c r="C193" s="139" t="s">
        <v>521</v>
      </c>
      <c r="D193" s="141">
        <v>3306506991</v>
      </c>
      <c r="E193" s="139" t="s">
        <v>156</v>
      </c>
      <c r="F193" s="139" t="s">
        <v>157</v>
      </c>
      <c r="G193" s="139" t="s">
        <v>243</v>
      </c>
      <c r="H193" s="139" t="s">
        <v>244</v>
      </c>
      <c r="I193" s="139" t="s">
        <v>522</v>
      </c>
    </row>
    <row r="194" spans="1:9" hidden="1" x14ac:dyDescent="0.25">
      <c r="A194" s="139"/>
      <c r="B194" s="140">
        <v>67</v>
      </c>
      <c r="C194" s="139" t="s">
        <v>523</v>
      </c>
      <c r="D194" s="141">
        <v>2996119832</v>
      </c>
      <c r="E194" s="139" t="s">
        <v>156</v>
      </c>
      <c r="F194" s="139" t="s">
        <v>157</v>
      </c>
      <c r="G194" s="139" t="s">
        <v>158</v>
      </c>
      <c r="H194" s="139" t="s">
        <v>193</v>
      </c>
      <c r="I194" s="139" t="s">
        <v>435</v>
      </c>
    </row>
    <row r="195" spans="1:9" hidden="1" x14ac:dyDescent="0.25">
      <c r="A195" s="139"/>
      <c r="B195" s="140">
        <v>270</v>
      </c>
      <c r="C195" s="139" t="s">
        <v>524</v>
      </c>
      <c r="D195" s="141">
        <v>2737303034</v>
      </c>
      <c r="E195" s="139" t="s">
        <v>156</v>
      </c>
      <c r="F195" s="139" t="s">
        <v>157</v>
      </c>
      <c r="G195" s="139" t="s">
        <v>161</v>
      </c>
      <c r="H195" s="139" t="s">
        <v>323</v>
      </c>
      <c r="I195" s="139" t="s">
        <v>525</v>
      </c>
    </row>
    <row r="196" spans="1:9" hidden="1" x14ac:dyDescent="0.25">
      <c r="A196" s="139"/>
      <c r="B196" s="141">
        <v>2289516826</v>
      </c>
      <c r="C196" s="139" t="s">
        <v>526</v>
      </c>
      <c r="D196" s="141">
        <v>2892401090</v>
      </c>
      <c r="E196" s="139" t="s">
        <v>156</v>
      </c>
      <c r="F196" s="139" t="s">
        <v>157</v>
      </c>
      <c r="G196" s="139" t="s">
        <v>216</v>
      </c>
      <c r="H196" s="139" t="s">
        <v>206</v>
      </c>
      <c r="I196" s="139" t="s">
        <v>392</v>
      </c>
    </row>
    <row r="197" spans="1:9" hidden="1" x14ac:dyDescent="0.25">
      <c r="A197" s="139"/>
      <c r="B197" s="141">
        <v>2289516702</v>
      </c>
      <c r="C197" s="139" t="s">
        <v>527</v>
      </c>
      <c r="D197" s="141">
        <v>2280303036</v>
      </c>
      <c r="E197" s="139" t="s">
        <v>156</v>
      </c>
      <c r="F197" s="139" t="s">
        <v>157</v>
      </c>
      <c r="G197" s="139" t="s">
        <v>200</v>
      </c>
      <c r="H197" s="139" t="s">
        <v>295</v>
      </c>
      <c r="I197" s="139" t="s">
        <v>198</v>
      </c>
    </row>
    <row r="198" spans="1:9" hidden="1" x14ac:dyDescent="0.25">
      <c r="A198" s="139"/>
      <c r="B198" s="140">
        <v>12</v>
      </c>
      <c r="C198" s="139" t="s">
        <v>528</v>
      </c>
      <c r="D198" s="141">
        <v>3262417736</v>
      </c>
      <c r="E198" s="139" t="s">
        <v>156</v>
      </c>
      <c r="F198" s="139" t="s">
        <v>157</v>
      </c>
      <c r="G198" s="139" t="s">
        <v>158</v>
      </c>
      <c r="H198" s="139" t="s">
        <v>159</v>
      </c>
      <c r="I198" s="139" t="s">
        <v>529</v>
      </c>
    </row>
    <row r="199" spans="1:9" hidden="1" x14ac:dyDescent="0.25">
      <c r="A199" s="139"/>
      <c r="B199" s="140">
        <v>9</v>
      </c>
      <c r="C199" s="139" t="s">
        <v>530</v>
      </c>
      <c r="D199" s="141">
        <v>3219619831</v>
      </c>
      <c r="E199" s="139" t="s">
        <v>156</v>
      </c>
      <c r="F199" s="139" t="s">
        <v>157</v>
      </c>
      <c r="G199" s="139" t="s">
        <v>161</v>
      </c>
      <c r="H199" s="139" t="s">
        <v>492</v>
      </c>
      <c r="I199" s="139" t="s">
        <v>368</v>
      </c>
    </row>
    <row r="200" spans="1:9" hidden="1" x14ac:dyDescent="0.25">
      <c r="A200" s="139"/>
      <c r="B200" s="141">
        <v>2289516894</v>
      </c>
      <c r="C200" s="139" t="s">
        <v>531</v>
      </c>
      <c r="D200" s="141">
        <v>2330613175</v>
      </c>
      <c r="E200" s="139" t="s">
        <v>156</v>
      </c>
      <c r="F200" s="139" t="s">
        <v>178</v>
      </c>
      <c r="G200" s="139" t="s">
        <v>243</v>
      </c>
      <c r="H200" s="139" t="s">
        <v>348</v>
      </c>
      <c r="I200" s="139" t="s">
        <v>532</v>
      </c>
    </row>
    <row r="201" spans="1:9" hidden="1" x14ac:dyDescent="0.25">
      <c r="A201" s="139"/>
      <c r="B201" s="141">
        <v>2289516736</v>
      </c>
      <c r="C201" s="139" t="s">
        <v>533</v>
      </c>
      <c r="D201" s="141">
        <v>3012312619</v>
      </c>
      <c r="E201" s="139" t="s">
        <v>156</v>
      </c>
      <c r="F201" s="139" t="s">
        <v>157</v>
      </c>
      <c r="G201" s="139" t="s">
        <v>200</v>
      </c>
      <c r="H201" s="139" t="s">
        <v>206</v>
      </c>
      <c r="I201" s="139" t="s">
        <v>362</v>
      </c>
    </row>
    <row r="202" spans="1:9" hidden="1" x14ac:dyDescent="0.25">
      <c r="A202" s="139"/>
      <c r="B202" s="141">
        <v>2289516848</v>
      </c>
      <c r="C202" s="139" t="s">
        <v>534</v>
      </c>
      <c r="D202" s="139" t="s">
        <v>535</v>
      </c>
      <c r="E202" s="139" t="s">
        <v>156</v>
      </c>
      <c r="F202" s="139" t="s">
        <v>157</v>
      </c>
      <c r="G202" s="139" t="s">
        <v>161</v>
      </c>
      <c r="H202" s="139" t="s">
        <v>312</v>
      </c>
      <c r="I202" s="139" t="s">
        <v>536</v>
      </c>
    </row>
    <row r="203" spans="1:9" hidden="1" x14ac:dyDescent="0.25">
      <c r="A203" s="139"/>
      <c r="B203" s="141">
        <v>2289516727</v>
      </c>
      <c r="C203" s="139" t="s">
        <v>537</v>
      </c>
      <c r="D203" s="141">
        <v>3511802570</v>
      </c>
      <c r="E203" s="139" t="s">
        <v>156</v>
      </c>
      <c r="F203" s="139" t="s">
        <v>157</v>
      </c>
      <c r="G203" s="139" t="s">
        <v>254</v>
      </c>
      <c r="H203" s="139" t="s">
        <v>206</v>
      </c>
      <c r="I203" s="139" t="s">
        <v>538</v>
      </c>
    </row>
    <row r="204" spans="1:9" hidden="1" x14ac:dyDescent="0.25">
      <c r="A204" s="139"/>
      <c r="B204" s="140">
        <v>14</v>
      </c>
      <c r="C204" s="139" t="s">
        <v>539</v>
      </c>
      <c r="D204" s="141">
        <v>3088414251</v>
      </c>
      <c r="E204" s="139" t="s">
        <v>156</v>
      </c>
      <c r="F204" s="139" t="s">
        <v>157</v>
      </c>
      <c r="G204" s="139" t="s">
        <v>161</v>
      </c>
      <c r="H204" s="139" t="s">
        <v>502</v>
      </c>
      <c r="I204" s="139" t="s">
        <v>518</v>
      </c>
    </row>
    <row r="205" spans="1:9" hidden="1" x14ac:dyDescent="0.25">
      <c r="A205" s="139"/>
      <c r="B205" s="140">
        <v>20</v>
      </c>
      <c r="C205" s="139" t="s">
        <v>540</v>
      </c>
      <c r="D205" s="141">
        <v>2899410750</v>
      </c>
      <c r="E205" s="139" t="s">
        <v>156</v>
      </c>
      <c r="F205" s="139" t="s">
        <v>157</v>
      </c>
      <c r="G205" s="139" t="s">
        <v>161</v>
      </c>
      <c r="H205" s="139" t="s">
        <v>541</v>
      </c>
      <c r="I205" s="139" t="s">
        <v>542</v>
      </c>
    </row>
    <row r="206" spans="1:9" hidden="1" x14ac:dyDescent="0.25">
      <c r="A206" s="139"/>
      <c r="B206" s="141">
        <v>2289516772</v>
      </c>
      <c r="C206" s="139" t="s">
        <v>543</v>
      </c>
      <c r="D206" s="141">
        <v>3147001852</v>
      </c>
      <c r="E206" s="139" t="s">
        <v>156</v>
      </c>
      <c r="F206" s="139" t="s">
        <v>157</v>
      </c>
      <c r="G206" s="139" t="s">
        <v>161</v>
      </c>
      <c r="H206" s="139" t="s">
        <v>544</v>
      </c>
      <c r="I206" s="139" t="s">
        <v>545</v>
      </c>
    </row>
    <row r="207" spans="1:9" hidden="1" x14ac:dyDescent="0.25">
      <c r="A207" s="139"/>
      <c r="B207" s="141">
        <v>2289516835</v>
      </c>
      <c r="C207" s="139" t="s">
        <v>546</v>
      </c>
      <c r="D207" s="141">
        <v>3445011803</v>
      </c>
      <c r="E207" s="139" t="s">
        <v>156</v>
      </c>
      <c r="F207" s="139" t="s">
        <v>157</v>
      </c>
      <c r="G207" s="139" t="s">
        <v>161</v>
      </c>
      <c r="H207" s="139" t="s">
        <v>547</v>
      </c>
      <c r="I207" s="139" t="s">
        <v>548</v>
      </c>
    </row>
    <row r="208" spans="1:9" hidden="1" x14ac:dyDescent="0.25">
      <c r="A208" s="139"/>
      <c r="B208" s="140">
        <v>50</v>
      </c>
      <c r="C208" s="139" t="s">
        <v>107</v>
      </c>
      <c r="D208" s="141">
        <v>2934817349</v>
      </c>
      <c r="E208" s="139" t="s">
        <v>156</v>
      </c>
      <c r="F208" s="139" t="s">
        <v>157</v>
      </c>
      <c r="G208" s="139" t="s">
        <v>161</v>
      </c>
      <c r="H208" s="139" t="s">
        <v>285</v>
      </c>
      <c r="I208" s="139" t="s">
        <v>248</v>
      </c>
    </row>
    <row r="209" spans="1:9" hidden="1" x14ac:dyDescent="0.25">
      <c r="A209" s="139"/>
      <c r="B209" s="141">
        <v>2289516870</v>
      </c>
      <c r="C209" s="139" t="s">
        <v>549</v>
      </c>
      <c r="D209" s="141">
        <v>3117410479</v>
      </c>
      <c r="E209" s="139" t="s">
        <v>156</v>
      </c>
      <c r="F209" s="139" t="s">
        <v>178</v>
      </c>
      <c r="G209" s="139" t="s">
        <v>161</v>
      </c>
      <c r="H209" s="139" t="s">
        <v>323</v>
      </c>
      <c r="I209" s="139" t="s">
        <v>388</v>
      </c>
    </row>
    <row r="210" spans="1:9" hidden="1" x14ac:dyDescent="0.25">
      <c r="A210" s="139"/>
      <c r="B210" s="141">
        <v>2289516790</v>
      </c>
      <c r="C210" s="139" t="s">
        <v>550</v>
      </c>
      <c r="D210" s="141">
        <v>3585104756</v>
      </c>
      <c r="E210" s="139" t="s">
        <v>156</v>
      </c>
      <c r="F210" s="139" t="s">
        <v>157</v>
      </c>
      <c r="G210" s="139" t="s">
        <v>200</v>
      </c>
      <c r="H210" s="139" t="s">
        <v>232</v>
      </c>
      <c r="I210" s="139" t="s">
        <v>551</v>
      </c>
    </row>
    <row r="211" spans="1:9" hidden="1" x14ac:dyDescent="0.25">
      <c r="A211" s="139"/>
      <c r="B211" s="141">
        <v>2289516841</v>
      </c>
      <c r="C211" s="139" t="s">
        <v>552</v>
      </c>
      <c r="D211" s="141">
        <v>3185815676</v>
      </c>
      <c r="E211" s="139" t="s">
        <v>156</v>
      </c>
      <c r="F211" s="139" t="s">
        <v>157</v>
      </c>
      <c r="G211" s="139" t="s">
        <v>553</v>
      </c>
      <c r="H211" s="139" t="s">
        <v>232</v>
      </c>
      <c r="I211" s="139" t="s">
        <v>554</v>
      </c>
    </row>
    <row r="212" spans="1:9" hidden="1" x14ac:dyDescent="0.25">
      <c r="A212" s="139"/>
      <c r="B212" s="141">
        <v>2289516782</v>
      </c>
      <c r="C212" s="139" t="s">
        <v>555</v>
      </c>
      <c r="D212" s="141">
        <v>3032615479</v>
      </c>
      <c r="E212" s="139" t="s">
        <v>156</v>
      </c>
      <c r="F212" s="139" t="s">
        <v>157</v>
      </c>
      <c r="G212" s="139" t="s">
        <v>243</v>
      </c>
      <c r="H212" s="139" t="s">
        <v>244</v>
      </c>
      <c r="I212" s="139" t="s">
        <v>556</v>
      </c>
    </row>
    <row r="213" spans="1:9" hidden="1" x14ac:dyDescent="0.25">
      <c r="A213" s="139"/>
      <c r="B213" s="140">
        <v>51</v>
      </c>
      <c r="C213" s="139" t="s">
        <v>557</v>
      </c>
      <c r="D213" s="141">
        <v>2496503857</v>
      </c>
      <c r="E213" s="139" t="s">
        <v>156</v>
      </c>
      <c r="F213" s="139" t="s">
        <v>178</v>
      </c>
      <c r="G213" s="139" t="s">
        <v>282</v>
      </c>
      <c r="H213" s="139" t="s">
        <v>197</v>
      </c>
      <c r="I213" s="139" t="s">
        <v>283</v>
      </c>
    </row>
    <row r="214" spans="1:9" hidden="1" x14ac:dyDescent="0.25">
      <c r="A214" s="139"/>
      <c r="B214" s="140">
        <v>21</v>
      </c>
      <c r="C214" s="139" t="s">
        <v>558</v>
      </c>
      <c r="D214" s="141">
        <v>3721607198</v>
      </c>
      <c r="E214" s="139" t="s">
        <v>156</v>
      </c>
      <c r="F214" s="139" t="s">
        <v>157</v>
      </c>
      <c r="G214" s="139" t="s">
        <v>212</v>
      </c>
      <c r="H214" s="139" t="s">
        <v>559</v>
      </c>
      <c r="I214" s="139" t="s">
        <v>346</v>
      </c>
    </row>
    <row r="215" spans="1:9" hidden="1" x14ac:dyDescent="0.25">
      <c r="A215" s="139"/>
      <c r="B215" s="141">
        <v>2289516866</v>
      </c>
      <c r="C215" s="139" t="s">
        <v>560</v>
      </c>
      <c r="D215" s="141">
        <v>2437911836</v>
      </c>
      <c r="E215" s="139" t="s">
        <v>156</v>
      </c>
      <c r="F215" s="139" t="s">
        <v>178</v>
      </c>
      <c r="G215" s="139" t="s">
        <v>196</v>
      </c>
      <c r="H215" s="139" t="s">
        <v>360</v>
      </c>
      <c r="I215" s="139" t="s">
        <v>561</v>
      </c>
    </row>
    <row r="216" spans="1:9" hidden="1" x14ac:dyDescent="0.25">
      <c r="A216" s="139"/>
      <c r="B216" s="140">
        <v>63</v>
      </c>
      <c r="C216" s="139" t="s">
        <v>108</v>
      </c>
      <c r="D216" s="141">
        <v>3233009756</v>
      </c>
      <c r="E216" s="139" t="s">
        <v>156</v>
      </c>
      <c r="F216" s="139" t="s">
        <v>157</v>
      </c>
      <c r="G216" s="139" t="s">
        <v>158</v>
      </c>
      <c r="H216" s="139" t="s">
        <v>193</v>
      </c>
      <c r="I216" s="139" t="s">
        <v>562</v>
      </c>
    </row>
    <row r="217" spans="1:9" hidden="1" x14ac:dyDescent="0.25">
      <c r="A217" s="139"/>
      <c r="B217" s="140">
        <v>73</v>
      </c>
      <c r="C217" s="139" t="s">
        <v>109</v>
      </c>
      <c r="D217" s="141">
        <v>3153508799</v>
      </c>
      <c r="E217" s="139" t="s">
        <v>156</v>
      </c>
      <c r="F217" s="139" t="s">
        <v>157</v>
      </c>
      <c r="G217" s="139" t="s">
        <v>158</v>
      </c>
      <c r="H217" s="139" t="s">
        <v>159</v>
      </c>
      <c r="I217" s="139" t="s">
        <v>563</v>
      </c>
    </row>
    <row r="218" spans="1:9" hidden="1" x14ac:dyDescent="0.25">
      <c r="A218" s="139"/>
      <c r="B218" s="141">
        <v>2289516844</v>
      </c>
      <c r="C218" s="139" t="s">
        <v>564</v>
      </c>
      <c r="D218" s="141">
        <v>3503203776</v>
      </c>
      <c r="E218" s="139" t="s">
        <v>156</v>
      </c>
      <c r="F218" s="139" t="s">
        <v>157</v>
      </c>
      <c r="G218" s="139" t="s">
        <v>216</v>
      </c>
      <c r="H218" s="139" t="s">
        <v>206</v>
      </c>
      <c r="I218" s="139" t="s">
        <v>473</v>
      </c>
    </row>
    <row r="219" spans="1:9" hidden="1" x14ac:dyDescent="0.25">
      <c r="A219" s="139"/>
      <c r="B219" s="140">
        <v>275</v>
      </c>
      <c r="C219" s="139" t="s">
        <v>565</v>
      </c>
      <c r="D219" s="141">
        <v>3134414385</v>
      </c>
      <c r="E219" s="139" t="s">
        <v>156</v>
      </c>
      <c r="F219" s="139" t="s">
        <v>157</v>
      </c>
      <c r="G219" s="139" t="s">
        <v>161</v>
      </c>
      <c r="H219" s="139" t="s">
        <v>209</v>
      </c>
      <c r="I219" s="139" t="s">
        <v>566</v>
      </c>
    </row>
    <row r="220" spans="1:9" hidden="1" x14ac:dyDescent="0.25">
      <c r="A220" s="139"/>
      <c r="B220" s="140">
        <v>76</v>
      </c>
      <c r="C220" s="139" t="s">
        <v>110</v>
      </c>
      <c r="D220" s="141">
        <v>3428705315</v>
      </c>
      <c r="E220" s="139" t="s">
        <v>156</v>
      </c>
      <c r="F220" s="139" t="s">
        <v>157</v>
      </c>
      <c r="G220" s="139" t="s">
        <v>158</v>
      </c>
      <c r="H220" s="139" t="s">
        <v>159</v>
      </c>
      <c r="I220" s="139" t="s">
        <v>567</v>
      </c>
    </row>
    <row r="221" spans="1:9" hidden="1" x14ac:dyDescent="0.25">
      <c r="A221" s="139"/>
      <c r="B221" s="140">
        <v>10</v>
      </c>
      <c r="C221" s="139" t="s">
        <v>568</v>
      </c>
      <c r="D221" s="141">
        <v>3256517677</v>
      </c>
      <c r="E221" s="139" t="s">
        <v>156</v>
      </c>
      <c r="F221" s="139" t="s">
        <v>157</v>
      </c>
      <c r="G221" s="139" t="s">
        <v>212</v>
      </c>
      <c r="H221" s="139" t="s">
        <v>412</v>
      </c>
      <c r="I221" s="139" t="s">
        <v>355</v>
      </c>
    </row>
    <row r="222" spans="1:9" hidden="1" x14ac:dyDescent="0.25">
      <c r="A222" s="139"/>
      <c r="B222" s="140">
        <v>15</v>
      </c>
      <c r="C222" s="139" t="s">
        <v>569</v>
      </c>
      <c r="D222" s="141">
        <v>3189201728</v>
      </c>
      <c r="E222" s="139" t="s">
        <v>156</v>
      </c>
      <c r="F222" s="139" t="s">
        <v>157</v>
      </c>
      <c r="G222" s="139" t="s">
        <v>212</v>
      </c>
      <c r="H222" s="139" t="s">
        <v>429</v>
      </c>
      <c r="I222" s="139" t="s">
        <v>454</v>
      </c>
    </row>
    <row r="223" spans="1:9" hidden="1" x14ac:dyDescent="0.25">
      <c r="A223" s="139"/>
      <c r="B223" s="140">
        <v>222</v>
      </c>
      <c r="C223" s="139" t="s">
        <v>570</v>
      </c>
      <c r="D223" s="141">
        <v>2505004717</v>
      </c>
      <c r="E223" s="139" t="s">
        <v>156</v>
      </c>
      <c r="F223" s="139" t="s">
        <v>157</v>
      </c>
      <c r="G223" s="139" t="s">
        <v>254</v>
      </c>
      <c r="H223" s="139" t="s">
        <v>221</v>
      </c>
      <c r="I223" s="139" t="s">
        <v>571</v>
      </c>
    </row>
    <row r="224" spans="1:9" hidden="1" x14ac:dyDescent="0.25">
      <c r="A224" s="139"/>
      <c r="B224" s="141">
        <v>2289516806</v>
      </c>
      <c r="C224" s="139" t="s">
        <v>572</v>
      </c>
      <c r="D224" s="141">
        <v>2637122794</v>
      </c>
      <c r="E224" s="139" t="s">
        <v>156</v>
      </c>
      <c r="F224" s="139" t="s">
        <v>157</v>
      </c>
      <c r="G224" s="139" t="s">
        <v>216</v>
      </c>
      <c r="H224" s="139" t="s">
        <v>232</v>
      </c>
      <c r="I224" s="139" t="s">
        <v>235</v>
      </c>
    </row>
    <row r="225" spans="1:9" hidden="1" x14ac:dyDescent="0.25">
      <c r="A225" s="139"/>
      <c r="B225" s="141">
        <v>2289516775</v>
      </c>
      <c r="C225" s="139" t="s">
        <v>573</v>
      </c>
      <c r="D225" s="141">
        <v>3113516269</v>
      </c>
      <c r="E225" s="139" t="s">
        <v>156</v>
      </c>
      <c r="F225" s="139" t="s">
        <v>157</v>
      </c>
      <c r="G225" s="139" t="s">
        <v>161</v>
      </c>
      <c r="H225" s="139" t="s">
        <v>574</v>
      </c>
      <c r="I225" s="139" t="s">
        <v>575</v>
      </c>
    </row>
    <row r="226" spans="1:9" hidden="1" x14ac:dyDescent="0.25">
      <c r="A226" s="139"/>
      <c r="B226" s="139" t="s">
        <v>576</v>
      </c>
      <c r="C226" s="139" t="s">
        <v>577</v>
      </c>
      <c r="D226" s="141">
        <v>2358615949</v>
      </c>
      <c r="E226" s="139" t="s">
        <v>130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578</v>
      </c>
      <c r="D227" s="141">
        <v>3243620671</v>
      </c>
      <c r="E227" s="139" t="s">
        <v>156</v>
      </c>
      <c r="F227" s="139" t="s">
        <v>157</v>
      </c>
      <c r="G227" s="139" t="s">
        <v>186</v>
      </c>
      <c r="H227" s="139" t="s">
        <v>244</v>
      </c>
      <c r="I227" s="139" t="s">
        <v>579</v>
      </c>
    </row>
    <row r="228" spans="1:9" hidden="1" x14ac:dyDescent="0.25">
      <c r="A228" s="139"/>
      <c r="B228" s="141">
        <v>2289516700</v>
      </c>
      <c r="C228" s="139" t="s">
        <v>580</v>
      </c>
      <c r="D228" s="141">
        <v>2546110595</v>
      </c>
      <c r="E228" s="139" t="s">
        <v>156</v>
      </c>
      <c r="F228" s="139" t="s">
        <v>157</v>
      </c>
      <c r="G228" s="139" t="s">
        <v>216</v>
      </c>
      <c r="H228" s="139" t="s">
        <v>581</v>
      </c>
      <c r="I228" s="139" t="s">
        <v>198</v>
      </c>
    </row>
    <row r="229" spans="1:9" hidden="1" x14ac:dyDescent="0.25">
      <c r="A229" s="139"/>
      <c r="B229" s="139" t="s">
        <v>582</v>
      </c>
      <c r="C229" s="139" t="s">
        <v>583</v>
      </c>
      <c r="D229" s="141">
        <v>2546110595</v>
      </c>
      <c r="E229" s="139" t="s">
        <v>130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584</v>
      </c>
      <c r="D230" s="141">
        <v>3245617255</v>
      </c>
      <c r="E230" s="139" t="s">
        <v>156</v>
      </c>
      <c r="F230" s="139" t="s">
        <v>157</v>
      </c>
      <c r="G230" s="139" t="s">
        <v>200</v>
      </c>
      <c r="H230" s="139" t="s">
        <v>232</v>
      </c>
      <c r="I230" s="139" t="s">
        <v>273</v>
      </c>
    </row>
    <row r="231" spans="1:9" hidden="1" x14ac:dyDescent="0.25">
      <c r="A231" s="139"/>
      <c r="B231" s="140">
        <v>32</v>
      </c>
      <c r="C231" s="139" t="s">
        <v>585</v>
      </c>
      <c r="D231" s="141">
        <v>2796314998</v>
      </c>
      <c r="E231" s="139" t="s">
        <v>156</v>
      </c>
      <c r="F231" s="139" t="s">
        <v>157</v>
      </c>
      <c r="G231" s="139" t="s">
        <v>200</v>
      </c>
      <c r="H231" s="139" t="s">
        <v>295</v>
      </c>
      <c r="I231" s="139" t="s">
        <v>586</v>
      </c>
    </row>
    <row r="232" spans="1:9" hidden="1" x14ac:dyDescent="0.25">
      <c r="A232" s="139"/>
      <c r="B232" s="141">
        <v>2289516730</v>
      </c>
      <c r="C232" s="139" t="s">
        <v>587</v>
      </c>
      <c r="D232" s="141">
        <v>3406013131</v>
      </c>
      <c r="E232" s="139" t="s">
        <v>156</v>
      </c>
      <c r="F232" s="139" t="s">
        <v>157</v>
      </c>
      <c r="G232" s="139" t="s">
        <v>200</v>
      </c>
      <c r="H232" s="139" t="s">
        <v>232</v>
      </c>
      <c r="I232" s="139" t="s">
        <v>588</v>
      </c>
    </row>
    <row r="233" spans="1:9" hidden="1" x14ac:dyDescent="0.25">
      <c r="A233" s="139"/>
      <c r="B233" s="140">
        <v>55</v>
      </c>
      <c r="C233" s="139" t="s">
        <v>111</v>
      </c>
      <c r="D233" s="141">
        <v>2935421830</v>
      </c>
      <c r="E233" s="139" t="s">
        <v>156</v>
      </c>
      <c r="F233" s="139" t="s">
        <v>157</v>
      </c>
      <c r="G233" s="139" t="s">
        <v>161</v>
      </c>
      <c r="H233" s="139" t="s">
        <v>224</v>
      </c>
      <c r="I233" s="139" t="s">
        <v>589</v>
      </c>
    </row>
    <row r="234" spans="1:9" hidden="1" x14ac:dyDescent="0.25">
      <c r="A234" s="139"/>
      <c r="B234" s="140">
        <v>64</v>
      </c>
      <c r="C234" s="139" t="s">
        <v>112</v>
      </c>
      <c r="D234" s="141">
        <v>2858519154</v>
      </c>
      <c r="E234" s="139" t="s">
        <v>156</v>
      </c>
      <c r="F234" s="139" t="s">
        <v>157</v>
      </c>
      <c r="G234" s="139" t="s">
        <v>161</v>
      </c>
      <c r="H234" s="139" t="s">
        <v>590</v>
      </c>
      <c r="I234" s="139" t="s">
        <v>591</v>
      </c>
    </row>
    <row r="235" spans="1:9" hidden="1" x14ac:dyDescent="0.25">
      <c r="A235" s="139"/>
      <c r="B235" s="141">
        <v>2289516831</v>
      </c>
      <c r="C235" s="139" t="s">
        <v>592</v>
      </c>
      <c r="D235" s="141">
        <v>2222811999</v>
      </c>
      <c r="E235" s="139" t="s">
        <v>156</v>
      </c>
      <c r="F235" s="139" t="s">
        <v>157</v>
      </c>
      <c r="G235" s="139" t="s">
        <v>216</v>
      </c>
      <c r="H235" s="139" t="s">
        <v>197</v>
      </c>
      <c r="I235" s="139" t="s">
        <v>593</v>
      </c>
    </row>
    <row r="236" spans="1:9" hidden="1" x14ac:dyDescent="0.25">
      <c r="A236" s="139"/>
      <c r="B236" s="141">
        <v>2289516739</v>
      </c>
      <c r="C236" s="139" t="s">
        <v>594</v>
      </c>
      <c r="D236" s="141">
        <v>3194113635</v>
      </c>
      <c r="E236" s="139" t="s">
        <v>156</v>
      </c>
      <c r="F236" s="139" t="s">
        <v>157</v>
      </c>
      <c r="G236" s="139" t="s">
        <v>272</v>
      </c>
      <c r="H236" s="139" t="s">
        <v>350</v>
      </c>
      <c r="I236" s="139" t="s">
        <v>595</v>
      </c>
    </row>
    <row r="237" spans="1:9" hidden="1" x14ac:dyDescent="0.25">
      <c r="A237" s="139"/>
      <c r="B237" s="141">
        <v>2289516862</v>
      </c>
      <c r="C237" s="139" t="s">
        <v>596</v>
      </c>
      <c r="D237" s="141">
        <v>2326214630</v>
      </c>
      <c r="E237" s="139" t="s">
        <v>156</v>
      </c>
      <c r="F237" s="139" t="s">
        <v>157</v>
      </c>
      <c r="G237" s="139" t="s">
        <v>383</v>
      </c>
      <c r="H237" s="139" t="s">
        <v>221</v>
      </c>
      <c r="I237" s="139" t="s">
        <v>488</v>
      </c>
    </row>
    <row r="238" spans="1:9" hidden="1" x14ac:dyDescent="0.25">
      <c r="A238" s="139"/>
      <c r="B238" s="141">
        <v>2289516881</v>
      </c>
      <c r="C238" s="139" t="s">
        <v>597</v>
      </c>
      <c r="D238" s="141">
        <v>2913111811</v>
      </c>
      <c r="E238" s="139" t="s">
        <v>156</v>
      </c>
      <c r="F238" s="139" t="s">
        <v>157</v>
      </c>
      <c r="G238" s="139" t="s">
        <v>161</v>
      </c>
      <c r="H238" s="139" t="s">
        <v>598</v>
      </c>
      <c r="I238" s="139" t="s">
        <v>599</v>
      </c>
    </row>
    <row r="239" spans="1:9" hidden="1" x14ac:dyDescent="0.25">
      <c r="A239" s="139"/>
      <c r="B239" s="140">
        <v>18</v>
      </c>
      <c r="C239" s="139" t="s">
        <v>597</v>
      </c>
      <c r="D239" s="141">
        <v>2913111811</v>
      </c>
      <c r="E239" s="139" t="s">
        <v>156</v>
      </c>
      <c r="F239" s="139" t="s">
        <v>178</v>
      </c>
      <c r="G239" s="139" t="s">
        <v>161</v>
      </c>
      <c r="H239" s="139" t="s">
        <v>502</v>
      </c>
      <c r="I239" s="139" t="s">
        <v>182</v>
      </c>
    </row>
    <row r="240" spans="1:9" hidden="1" x14ac:dyDescent="0.25">
      <c r="A240" s="139"/>
      <c r="B240" s="140">
        <v>52</v>
      </c>
      <c r="C240" s="139" t="s">
        <v>600</v>
      </c>
      <c r="D240" s="141">
        <v>3043701165</v>
      </c>
      <c r="E240" s="139" t="s">
        <v>156</v>
      </c>
      <c r="F240" s="139" t="s">
        <v>157</v>
      </c>
      <c r="G240" s="139" t="s">
        <v>161</v>
      </c>
      <c r="H240" s="139" t="s">
        <v>285</v>
      </c>
      <c r="I240" s="139" t="s">
        <v>601</v>
      </c>
    </row>
    <row r="241" spans="1:9" hidden="1" x14ac:dyDescent="0.25">
      <c r="A241" s="139"/>
      <c r="B241" s="141">
        <v>2289516768</v>
      </c>
      <c r="C241" s="139" t="s">
        <v>602</v>
      </c>
      <c r="D241" s="141">
        <v>3464910279</v>
      </c>
      <c r="E241" s="139" t="s">
        <v>156</v>
      </c>
      <c r="F241" s="139" t="s">
        <v>157</v>
      </c>
      <c r="G241" s="139" t="s">
        <v>254</v>
      </c>
      <c r="H241" s="139" t="s">
        <v>193</v>
      </c>
      <c r="I241" s="139" t="s">
        <v>603</v>
      </c>
    </row>
    <row r="242" spans="1:9" hidden="1" x14ac:dyDescent="0.25">
      <c r="A242" s="139"/>
      <c r="B242" s="140">
        <v>12</v>
      </c>
      <c r="C242" s="139" t="s">
        <v>604</v>
      </c>
      <c r="D242" s="141">
        <v>2682404875</v>
      </c>
      <c r="E242" s="139" t="s">
        <v>156</v>
      </c>
      <c r="F242" s="139" t="s">
        <v>157</v>
      </c>
      <c r="G242" s="139" t="s">
        <v>161</v>
      </c>
      <c r="H242" s="139" t="s">
        <v>197</v>
      </c>
      <c r="I242" s="139" t="s">
        <v>179</v>
      </c>
    </row>
    <row r="243" spans="1:9" hidden="1" x14ac:dyDescent="0.25">
      <c r="A243" s="139"/>
      <c r="B243" s="141">
        <v>2289516800</v>
      </c>
      <c r="C243" s="139" t="s">
        <v>605</v>
      </c>
      <c r="D243" s="141">
        <v>2682404875</v>
      </c>
      <c r="E243" s="139" t="s">
        <v>156</v>
      </c>
      <c r="F243" s="139" t="s">
        <v>178</v>
      </c>
      <c r="G243" s="139" t="s">
        <v>161</v>
      </c>
      <c r="H243" s="139" t="s">
        <v>197</v>
      </c>
      <c r="I243" s="139" t="s">
        <v>179</v>
      </c>
    </row>
    <row r="244" spans="1:9" hidden="1" x14ac:dyDescent="0.25">
      <c r="A244" s="139"/>
      <c r="B244" s="140">
        <v>20</v>
      </c>
      <c r="C244" s="139" t="s">
        <v>606</v>
      </c>
      <c r="D244" s="141">
        <v>2682404875</v>
      </c>
      <c r="E244" s="139" t="s">
        <v>156</v>
      </c>
      <c r="F244" s="139" t="s">
        <v>178</v>
      </c>
      <c r="G244" s="139" t="s">
        <v>161</v>
      </c>
      <c r="H244" s="139" t="s">
        <v>260</v>
      </c>
      <c r="I244" s="139" t="s">
        <v>214</v>
      </c>
    </row>
    <row r="245" spans="1:9" hidden="1" x14ac:dyDescent="0.25">
      <c r="A245" s="139"/>
      <c r="B245" s="141">
        <v>2289516783</v>
      </c>
      <c r="C245" s="139" t="s">
        <v>607</v>
      </c>
      <c r="D245" s="141">
        <v>2650516427</v>
      </c>
      <c r="E245" s="139" t="s">
        <v>156</v>
      </c>
      <c r="F245" s="139" t="s">
        <v>157</v>
      </c>
      <c r="G245" s="139" t="s">
        <v>161</v>
      </c>
      <c r="H245" s="139" t="s">
        <v>285</v>
      </c>
      <c r="I245" s="139" t="s">
        <v>608</v>
      </c>
    </row>
    <row r="246" spans="1:9" hidden="1" x14ac:dyDescent="0.25">
      <c r="A246" s="139"/>
      <c r="B246" s="141">
        <v>2289516840</v>
      </c>
      <c r="C246" s="139" t="s">
        <v>609</v>
      </c>
      <c r="D246" s="141">
        <v>2773301332</v>
      </c>
      <c r="E246" s="139" t="s">
        <v>156</v>
      </c>
      <c r="F246" s="139" t="s">
        <v>157</v>
      </c>
      <c r="G246" s="139" t="s">
        <v>161</v>
      </c>
      <c r="H246" s="139" t="s">
        <v>350</v>
      </c>
      <c r="I246" s="139" t="s">
        <v>589</v>
      </c>
    </row>
    <row r="247" spans="1:9" hidden="1" x14ac:dyDescent="0.25">
      <c r="A247" s="139"/>
      <c r="B247" s="139" t="s">
        <v>610</v>
      </c>
      <c r="C247" s="139" t="s">
        <v>611</v>
      </c>
      <c r="D247" s="141">
        <v>2773301332</v>
      </c>
      <c r="E247" s="139" t="s">
        <v>130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156</v>
      </c>
      <c r="F248" s="139" t="s">
        <v>157</v>
      </c>
      <c r="G248" s="139" t="s">
        <v>158</v>
      </c>
      <c r="H248" s="139" t="s">
        <v>612</v>
      </c>
      <c r="I248" s="139" t="s">
        <v>613</v>
      </c>
    </row>
    <row r="249" spans="1:9" hidden="1" x14ac:dyDescent="0.25">
      <c r="A249" s="139"/>
      <c r="B249" s="141">
        <v>2289516712</v>
      </c>
      <c r="C249" s="139" t="s">
        <v>614</v>
      </c>
      <c r="D249" s="141">
        <v>2563423013</v>
      </c>
      <c r="E249" s="139" t="s">
        <v>156</v>
      </c>
      <c r="F249" s="139" t="s">
        <v>157</v>
      </c>
      <c r="G249" s="139" t="s">
        <v>254</v>
      </c>
      <c r="H249" s="139" t="s">
        <v>197</v>
      </c>
      <c r="I249" s="139" t="s">
        <v>615</v>
      </c>
    </row>
    <row r="250" spans="1:9" hidden="1" x14ac:dyDescent="0.25">
      <c r="A250" s="139"/>
      <c r="B250" s="141">
        <v>2289516719</v>
      </c>
      <c r="C250" s="139" t="s">
        <v>616</v>
      </c>
      <c r="D250" s="141">
        <v>3330011315</v>
      </c>
      <c r="E250" s="139" t="s">
        <v>156</v>
      </c>
      <c r="F250" s="139" t="s">
        <v>157</v>
      </c>
      <c r="G250" s="139" t="s">
        <v>200</v>
      </c>
      <c r="H250" s="139" t="s">
        <v>232</v>
      </c>
      <c r="I250" s="139" t="s">
        <v>255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100</v>
      </c>
      <c r="D2" s="126" t="s">
        <v>101</v>
      </c>
      <c r="E2" s="126" t="s">
        <v>102</v>
      </c>
      <c r="F2" s="127" t="s">
        <v>103</v>
      </c>
      <c r="G2" s="127" t="s">
        <v>104</v>
      </c>
      <c r="J2" t="s">
        <v>118</v>
      </c>
    </row>
    <row r="3" spans="2:11" x14ac:dyDescent="0.25">
      <c r="B3" s="128">
        <v>1</v>
      </c>
      <c r="C3" s="129" t="s">
        <v>105</v>
      </c>
      <c r="D3" s="129" t="s">
        <v>106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189</v>
      </c>
      <c r="D4" s="129" t="s">
        <v>106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192</v>
      </c>
      <c r="D5" s="129" t="s">
        <v>106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114</v>
      </c>
      <c r="D6" s="129" t="s">
        <v>106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115</v>
      </c>
      <c r="D7" s="129" t="s">
        <v>106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246</v>
      </c>
      <c r="D8" s="129" t="s">
        <v>106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256</v>
      </c>
      <c r="D9" s="129" t="s">
        <v>106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292</v>
      </c>
      <c r="D10" s="129" t="s">
        <v>106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300</v>
      </c>
      <c r="D11" s="129" t="s">
        <v>106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302</v>
      </c>
      <c r="D12" s="129" t="s">
        <v>106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299</v>
      </c>
      <c r="D13" s="129" t="s">
        <v>106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116</v>
      </c>
      <c r="D14" s="129" t="s">
        <v>106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117</v>
      </c>
      <c r="D15" s="129" t="s">
        <v>106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325</v>
      </c>
      <c r="D16" s="129" t="s">
        <v>106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345</v>
      </c>
      <c r="D17" s="129" t="s">
        <v>106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366</v>
      </c>
      <c r="D18" s="129" t="s">
        <v>106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367</v>
      </c>
      <c r="D19" s="129" t="s">
        <v>106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375</v>
      </c>
      <c r="D20" s="129" t="s">
        <v>106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106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428</v>
      </c>
      <c r="D22" s="129" t="s">
        <v>106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436</v>
      </c>
      <c r="D23" s="129" t="s">
        <v>106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446</v>
      </c>
      <c r="D24" s="129" t="s">
        <v>106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452</v>
      </c>
      <c r="D25" s="129" t="s">
        <v>106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474</v>
      </c>
      <c r="D26" s="129" t="s">
        <v>106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478</v>
      </c>
      <c r="D27" s="129" t="s">
        <v>106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486</v>
      </c>
      <c r="D28" s="129" t="s">
        <v>106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487</v>
      </c>
      <c r="D29" s="129" t="s">
        <v>106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489</v>
      </c>
      <c r="D30" s="129" t="s">
        <v>106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491</v>
      </c>
      <c r="D31" s="129" t="s">
        <v>106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494</v>
      </c>
      <c r="D32" s="129" t="s">
        <v>106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495</v>
      </c>
      <c r="D33" s="129" t="s">
        <v>106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497</v>
      </c>
      <c r="D34" s="129" t="s">
        <v>106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510</v>
      </c>
      <c r="D35" s="129" t="s">
        <v>106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523</v>
      </c>
      <c r="D36" s="129" t="s">
        <v>106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528</v>
      </c>
      <c r="D37" s="129" t="s">
        <v>106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530</v>
      </c>
      <c r="D38" s="129" t="s">
        <v>106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107</v>
      </c>
      <c r="D39" s="129" t="s">
        <v>106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108</v>
      </c>
      <c r="D40" s="129" t="s">
        <v>106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109</v>
      </c>
      <c r="D41" s="129" t="s">
        <v>106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110</v>
      </c>
      <c r="D42" s="129" t="s">
        <v>106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111</v>
      </c>
      <c r="D43" s="129" t="s">
        <v>106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112</v>
      </c>
      <c r="D44" s="129" t="s">
        <v>106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106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113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91"/>
  <sheetViews>
    <sheetView tabSelected="1" zoomScaleNormal="100" workbookViewId="0">
      <pane xSplit="2" ySplit="1" topLeftCell="W71" activePane="bottomRight" state="frozen"/>
      <selection pane="topRight" activeCell="C1" sqref="C1"/>
      <selection pane="bottomLeft" activeCell="A2" sqref="A2"/>
      <selection pane="bottomRight" activeCell="X77" sqref="X77"/>
    </sheetView>
  </sheetViews>
  <sheetFormatPr defaultColWidth="8.85546875" defaultRowHeight="15" outlineLevelRow="1" outlineLevelCol="1" x14ac:dyDescent="0.25"/>
  <cols>
    <col min="1" max="1" width="8.7109375"/>
    <col min="2" max="2" width="34.5703125" customWidth="1"/>
    <col min="3" max="3" width="10.28515625" style="172" customWidth="1"/>
    <col min="4" max="4" width="17.85546875" style="172" customWidth="1"/>
    <col min="5" max="5" width="18.5703125" style="172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22" width="0" style="1" hidden="1" customWidth="1" outlineLevel="1"/>
    <col min="23" max="23" width="9.85546875" style="1" customWidth="1" collapsed="1"/>
    <col min="24" max="33" width="9.85546875" style="1" customWidth="1"/>
    <col min="34" max="34" width="12.28515625" style="1" customWidth="1"/>
    <col min="35" max="16384" width="8.85546875" style="1"/>
  </cols>
  <sheetData>
    <row r="1" spans="1:34" s="3" customFormat="1" ht="74.099999999999994" customHeight="1" x14ac:dyDescent="0.25">
      <c r="A1" s="223" t="s">
        <v>1</v>
      </c>
      <c r="B1" s="223" t="s">
        <v>6</v>
      </c>
      <c r="C1" s="221" t="s">
        <v>659</v>
      </c>
      <c r="D1" s="221" t="s">
        <v>670</v>
      </c>
      <c r="E1" s="171" t="s">
        <v>671</v>
      </c>
      <c r="F1" s="143" t="s">
        <v>672</v>
      </c>
      <c r="G1" s="143" t="s">
        <v>652</v>
      </c>
      <c r="H1" s="143" t="s">
        <v>673</v>
      </c>
      <c r="I1" s="222" t="s">
        <v>8</v>
      </c>
      <c r="J1" s="222" t="s">
        <v>0</v>
      </c>
      <c r="K1" s="224" t="s">
        <v>674</v>
      </c>
      <c r="L1" s="224" t="s">
        <v>675</v>
      </c>
      <c r="M1" s="224" t="s">
        <v>676</v>
      </c>
      <c r="N1" s="224" t="s">
        <v>677</v>
      </c>
      <c r="O1" s="224" t="s">
        <v>678</v>
      </c>
      <c r="P1" s="224" t="s">
        <v>679</v>
      </c>
      <c r="Q1" s="224" t="s">
        <v>680</v>
      </c>
      <c r="R1" s="224" t="s">
        <v>681</v>
      </c>
      <c r="S1" s="224" t="s">
        <v>682</v>
      </c>
      <c r="T1" s="224" t="s">
        <v>683</v>
      </c>
      <c r="U1" s="224" t="s">
        <v>684</v>
      </c>
      <c r="V1" s="3" t="s">
        <v>685</v>
      </c>
      <c r="W1" s="224" t="s">
        <v>674</v>
      </c>
      <c r="X1" s="224" t="s">
        <v>675</v>
      </c>
      <c r="Y1" s="224" t="s">
        <v>676</v>
      </c>
      <c r="Z1" s="224" t="s">
        <v>677</v>
      </c>
      <c r="AA1" s="224" t="s">
        <v>678</v>
      </c>
      <c r="AB1" s="224" t="s">
        <v>679</v>
      </c>
      <c r="AC1" s="224" t="s">
        <v>680</v>
      </c>
      <c r="AD1" s="224" t="s">
        <v>681</v>
      </c>
      <c r="AE1" s="224" t="s">
        <v>682</v>
      </c>
      <c r="AF1" s="224" t="s">
        <v>683</v>
      </c>
      <c r="AG1" s="224" t="s">
        <v>684</v>
      </c>
      <c r="AH1" s="3" t="s">
        <v>685</v>
      </c>
    </row>
    <row r="2" spans="1:34" s="234" customFormat="1" ht="15.75" outlineLevel="1" x14ac:dyDescent="0.25">
      <c r="A2" s="227">
        <v>1</v>
      </c>
      <c r="B2" s="228" t="s">
        <v>80</v>
      </c>
      <c r="C2" s="229"/>
      <c r="D2" s="229">
        <v>5045.17</v>
      </c>
      <c r="E2" s="230">
        <f t="shared" ref="E2" si="0">I2*J2</f>
        <v>25740</v>
      </c>
      <c r="F2" s="231">
        <f>VLOOKUP(B2,'[1]Табель цех 01 по 15 червня'!$B$2:$H$77,7,FALSE)</f>
        <v>-44.080000000001746</v>
      </c>
      <c r="G2" s="231">
        <f>ROUND(E2-D2,-2)</f>
        <v>20700</v>
      </c>
      <c r="H2" s="231">
        <f>F2+E2-D2-G2-C2</f>
        <v>-49.25</v>
      </c>
      <c r="I2" s="232">
        <f>Цо!AH2+IRS!AH2+Катеринополь!AH2+'Мк нежин'!AH2+'ЕМС Вооз'!AH2+ООН!AN2+'Червоний хрест'!AH2+Укрнафта!AJ2+Кернел!AO2+'Глобино Мк'!AH2+'МД Франківськ'!AH2</f>
        <v>143</v>
      </c>
      <c r="J2" s="233">
        <v>180</v>
      </c>
      <c r="K2" s="234">
        <f>VLOOKUP(B2,Цо!$B$2:$AH$74,33,FALSE)</f>
        <v>0</v>
      </c>
      <c r="L2" s="234">
        <f>VLOOKUP(B2,IRS!$B$2:$AH$73,33,FALSE)</f>
        <v>22</v>
      </c>
      <c r="M2" s="234">
        <f>VLOOKUP(B2,Катеринополь!$B$1:$AH$73,33,FALSE)</f>
        <v>0</v>
      </c>
      <c r="N2" s="234">
        <f>VLOOKUP(B2,'Мк нежин'!$B$2:$AH$73,33,FALSE)</f>
        <v>0</v>
      </c>
      <c r="O2" s="234">
        <f>VLOOKUP(B2,'ЕМС Вооз'!$B$2:$AH$73,33,FALSE)</f>
        <v>33</v>
      </c>
      <c r="P2" s="234">
        <f>VLOOKUP(B2,ООН!$H$2:$AN$73,33,FALSE)</f>
        <v>88</v>
      </c>
      <c r="Q2" s="234">
        <f>VLOOKUP(B2,'Червоний хрест'!$B$2:$AH$73,33,FALSE)</f>
        <v>0</v>
      </c>
      <c r="R2" s="234">
        <f>VLOOKUP(B2,Укрнафта!$D$2:$AJ$73,33,FALSE)</f>
        <v>0</v>
      </c>
      <c r="S2" s="234">
        <f>VLOOKUP(B2,Кернел!$I$2:$AO$73,33,FALSE)</f>
        <v>0</v>
      </c>
      <c r="T2" s="234">
        <f>VLOOKUP(B2,'Глобино Мк'!$B$2:$AH$73,33,FALSE)</f>
        <v>0</v>
      </c>
      <c r="U2" s="234">
        <f>VLOOKUP(B2,'МД Франківськ'!$B$2:$AH$73,33,FALSE)</f>
        <v>0</v>
      </c>
      <c r="V2" s="235">
        <f>SUM(K2:U2)</f>
        <v>143</v>
      </c>
      <c r="W2" s="239">
        <f>K2/$I2*$G2</f>
        <v>0</v>
      </c>
      <c r="X2" s="239">
        <f t="shared" ref="X2:AG2" si="1">L2/$I2*$G2</f>
        <v>3184.6153846153848</v>
      </c>
      <c r="Y2" s="239">
        <f t="shared" si="1"/>
        <v>0</v>
      </c>
      <c r="Z2" s="239">
        <f t="shared" si="1"/>
        <v>0</v>
      </c>
      <c r="AA2" s="239">
        <f t="shared" si="1"/>
        <v>4776.9230769230771</v>
      </c>
      <c r="AB2" s="239">
        <f t="shared" si="1"/>
        <v>12738.461538461539</v>
      </c>
      <c r="AC2" s="239">
        <f t="shared" si="1"/>
        <v>0</v>
      </c>
      <c r="AD2" s="239">
        <f t="shared" si="1"/>
        <v>0</v>
      </c>
      <c r="AE2" s="239">
        <f t="shared" si="1"/>
        <v>0</v>
      </c>
      <c r="AF2" s="239">
        <f t="shared" si="1"/>
        <v>0</v>
      </c>
      <c r="AG2" s="239">
        <f t="shared" si="1"/>
        <v>0</v>
      </c>
      <c r="AH2" s="239">
        <f>SUM(W2:AG2)</f>
        <v>20700</v>
      </c>
    </row>
    <row r="3" spans="1:34" ht="15.75" outlineLevel="1" x14ac:dyDescent="0.25">
      <c r="A3" s="154">
        <v>2</v>
      </c>
      <c r="B3" s="155" t="s">
        <v>10</v>
      </c>
      <c r="C3" s="153"/>
      <c r="D3" s="153">
        <v>3756.26</v>
      </c>
      <c r="E3" s="142">
        <f t="shared" ref="E3:E61" si="2">I3*J3</f>
        <v>17400</v>
      </c>
      <c r="F3" s="144">
        <f>VLOOKUP(B3,'[1]Табель цех 01 по 15 червня'!$B$2:$H$77,7,FALSE)</f>
        <v>20.25</v>
      </c>
      <c r="G3" s="144">
        <f t="shared" ref="G3:G66" si="3">ROUND(E3-D3,-2)</f>
        <v>13600</v>
      </c>
      <c r="H3" s="144">
        <f t="shared" ref="H3:H66" si="4">F3+E3-D3-G3-C3</f>
        <v>63.989999999999782</v>
      </c>
      <c r="I3" s="125">
        <f>Цо!AH3+IRS!AH3+Катеринополь!AH3+'Мк нежин'!AH3+'ЕМС Вооз'!AH3+ООН!AN3+'Червоний хрест'!AH3+Укрнафта!AJ3+Кернел!AO3+'Глобино Мк'!AH3+'МД Франківськ'!AH3</f>
        <v>116</v>
      </c>
      <c r="J3" s="44">
        <v>150</v>
      </c>
      <c r="K3" s="1">
        <f>VLOOKUP(B3,Цо!$B$2:$AH$74,33,FALSE)</f>
        <v>0</v>
      </c>
      <c r="L3" s="1">
        <f>VLOOKUP(B3,IRS!$B$2:$AH$73,33,FALSE)</f>
        <v>11</v>
      </c>
      <c r="M3" s="1">
        <f>VLOOKUP(B3,Катеринополь!$B$1:$AH$73,33,FALSE)</f>
        <v>11</v>
      </c>
      <c r="N3" s="1">
        <f>VLOOKUP(B3,'Мк нежин'!$B$2:$AH$73,33,FALSE)</f>
        <v>77</v>
      </c>
      <c r="O3" s="1">
        <f>VLOOKUP(B3,'ЕМС Вооз'!$B$2:$AH$73,33,FALSE)</f>
        <v>0</v>
      </c>
      <c r="P3" s="1">
        <f>VLOOKUP(B3,ООН!$H$2:$AN$73,33,FALSE)</f>
        <v>0</v>
      </c>
      <c r="Q3" s="1">
        <f>VLOOKUP(B3,'Червоний хрест'!$B$2:$AH$73,33,FALSE)</f>
        <v>0</v>
      </c>
      <c r="R3" s="1">
        <f>VLOOKUP(B3,Укрнафта!$D$2:$AJ$73,33,FALSE)</f>
        <v>0</v>
      </c>
      <c r="S3" s="1">
        <f>VLOOKUP(B3,Кернел!$I$2:$AO$73,33,FALSE)</f>
        <v>0</v>
      </c>
      <c r="T3" s="1">
        <f>VLOOKUP(B3,'Глобино Мк'!$B$2:$AH$73,33,FALSE)</f>
        <v>0</v>
      </c>
      <c r="U3" s="1">
        <f>VLOOKUP(B3,'МД Франківськ'!$B$2:$AH$73,33,FALSE)</f>
        <v>17</v>
      </c>
      <c r="V3" s="236">
        <f t="shared" ref="V3:V66" si="5">SUM(K3:U3)</f>
        <v>116</v>
      </c>
      <c r="W3" s="238">
        <f t="shared" ref="W3:W66" si="6">K3/$I3*$G3</f>
        <v>0</v>
      </c>
      <c r="X3" s="238">
        <f t="shared" ref="X3:X66" si="7">L3/$I3*$G3</f>
        <v>1289.655172413793</v>
      </c>
      <c r="Y3" s="238">
        <f t="shared" ref="Y3:Y66" si="8">M3/$I3*$G3</f>
        <v>1289.655172413793</v>
      </c>
      <c r="Z3" s="238">
        <f t="shared" ref="Z3:Z66" si="9">N3/$I3*$G3</f>
        <v>9027.5862068965525</v>
      </c>
      <c r="AA3" s="238">
        <f t="shared" ref="AA3:AA66" si="10">O3/$I3*$G3</f>
        <v>0</v>
      </c>
      <c r="AB3" s="238">
        <f t="shared" ref="AB3:AB66" si="11">P3/$I3*$G3</f>
        <v>0</v>
      </c>
      <c r="AC3" s="238">
        <f t="shared" ref="AC3:AC66" si="12">Q3/$I3*$G3</f>
        <v>0</v>
      </c>
      <c r="AD3" s="238">
        <f t="shared" ref="AD3:AD66" si="13">R3/$I3*$G3</f>
        <v>0</v>
      </c>
      <c r="AE3" s="238">
        <f t="shared" ref="AE3:AE66" si="14">S3/$I3*$G3</f>
        <v>0</v>
      </c>
      <c r="AF3" s="238">
        <f t="shared" ref="AF3:AF66" si="15">T3/$I3*$G3</f>
        <v>0</v>
      </c>
      <c r="AG3" s="238">
        <f t="shared" ref="AG3:AG66" si="16">U3/$I3*$G3</f>
        <v>1993.1034482758619</v>
      </c>
      <c r="AH3" s="1">
        <f t="shared" ref="AH3:AH66" si="17">SUM(W3:AG3)</f>
        <v>13600</v>
      </c>
    </row>
    <row r="4" spans="1:34" ht="15.75" outlineLevel="1" x14ac:dyDescent="0.25">
      <c r="A4" s="154">
        <v>3</v>
      </c>
      <c r="B4" s="155" t="s">
        <v>11</v>
      </c>
      <c r="C4" s="153"/>
      <c r="D4" s="153">
        <v>3756.26</v>
      </c>
      <c r="E4" s="142">
        <f t="shared" si="2"/>
        <v>49800</v>
      </c>
      <c r="F4" s="144">
        <f>VLOOKUP(B4,'[1]Табель цех 01 по 15 червня'!$B$2:$H$77,7,FALSE)</f>
        <v>37.260000000002037</v>
      </c>
      <c r="G4" s="144">
        <f t="shared" si="3"/>
        <v>46000</v>
      </c>
      <c r="H4" s="144">
        <f t="shared" si="4"/>
        <v>81</v>
      </c>
      <c r="I4" s="125">
        <f>Цо!AH4+IRS!AH4+Катеринополь!AH4+'Мк нежин'!AH4+'ЕМС Вооз'!AH4+ООН!AN4+'Червоний хрест'!AH4+Укрнафта!AJ4+Кернел!AO4+'Глобино Мк'!AH4+'МД Франківськ'!AH4</f>
        <v>332</v>
      </c>
      <c r="J4" s="44">
        <v>150</v>
      </c>
      <c r="K4" s="1">
        <f>VLOOKUP(B4,Цо!$B$2:$AH$74,33,FALSE)</f>
        <v>0</v>
      </c>
      <c r="L4" s="1">
        <f>VLOOKUP(B4,IRS!$B$2:$AH$73,33,FALSE)</f>
        <v>0</v>
      </c>
      <c r="M4" s="1">
        <f>VLOOKUP(B4,Катеринополь!$B$1:$AH$73,33,FALSE)</f>
        <v>0</v>
      </c>
      <c r="N4" s="1">
        <f>VLOOKUP(B4,'Мк нежин'!$B$2:$AH$73,33,FALSE)</f>
        <v>11</v>
      </c>
      <c r="O4" s="1">
        <f>VLOOKUP(B4,'ЕМС Вооз'!$B$2:$AH$73,33,FALSE)</f>
        <v>9</v>
      </c>
      <c r="P4" s="1">
        <f>VLOOKUP(B4,ООН!$H$2:$AN$73,33,FALSE)</f>
        <v>120</v>
      </c>
      <c r="Q4" s="1">
        <f>VLOOKUP(B4,'Червоний хрест'!$B$2:$AH$73,33,FALSE)</f>
        <v>192</v>
      </c>
      <c r="R4" s="1">
        <f>VLOOKUP(B4,Укрнафта!$D$2:$AJ$73,33,FALSE)</f>
        <v>0</v>
      </c>
      <c r="S4" s="1">
        <f>VLOOKUP(B4,Кернел!$I$2:$AO$73,33,FALSE)</f>
        <v>0</v>
      </c>
      <c r="T4" s="1">
        <f>VLOOKUP(B4,'Глобино Мк'!$B$2:$AH$73,33,FALSE)</f>
        <v>0</v>
      </c>
      <c r="U4" s="1">
        <f>VLOOKUP(B4,'МД Франківськ'!$B$2:$AH$73,33,FALSE)</f>
        <v>0</v>
      </c>
      <c r="V4" s="236">
        <f t="shared" si="5"/>
        <v>332</v>
      </c>
      <c r="W4" s="238">
        <f t="shared" si="6"/>
        <v>0</v>
      </c>
      <c r="X4" s="238">
        <f t="shared" si="7"/>
        <v>0</v>
      </c>
      <c r="Y4" s="238">
        <f t="shared" si="8"/>
        <v>0</v>
      </c>
      <c r="Z4" s="238">
        <f t="shared" si="9"/>
        <v>1524.0963855421687</v>
      </c>
      <c r="AA4" s="238">
        <f t="shared" si="10"/>
        <v>1246.9879518072289</v>
      </c>
      <c r="AB4" s="238">
        <f t="shared" si="11"/>
        <v>16626.506024096387</v>
      </c>
      <c r="AC4" s="238">
        <f t="shared" si="12"/>
        <v>26602.409638554214</v>
      </c>
      <c r="AD4" s="238">
        <f t="shared" si="13"/>
        <v>0</v>
      </c>
      <c r="AE4" s="238">
        <f t="shared" si="14"/>
        <v>0</v>
      </c>
      <c r="AF4" s="238">
        <f t="shared" si="15"/>
        <v>0</v>
      </c>
      <c r="AG4" s="238">
        <f t="shared" si="16"/>
        <v>0</v>
      </c>
      <c r="AH4" s="1">
        <f t="shared" si="17"/>
        <v>46000</v>
      </c>
    </row>
    <row r="5" spans="1:34" ht="15.75" outlineLevel="1" x14ac:dyDescent="0.25">
      <c r="A5" s="154">
        <v>4</v>
      </c>
      <c r="B5" s="155" t="s">
        <v>12</v>
      </c>
      <c r="C5" s="153"/>
      <c r="D5" s="153">
        <v>3756.26</v>
      </c>
      <c r="E5" s="142">
        <f t="shared" si="2"/>
        <v>16500</v>
      </c>
      <c r="F5" s="144">
        <f>VLOOKUP(B5,'[1]Табель цех 01 по 15 червня'!$B$2:$H$77,7,FALSE)</f>
        <v>-29.75</v>
      </c>
      <c r="G5" s="144">
        <f t="shared" si="3"/>
        <v>12700</v>
      </c>
      <c r="H5" s="144">
        <f t="shared" si="4"/>
        <v>13.989999999999782</v>
      </c>
      <c r="I5" s="125">
        <f>Цо!AH5+IRS!AH5+Катеринополь!AH5+'Мк нежин'!AH5+'ЕМС Вооз'!AH5+ООН!AN5+'Червоний хрест'!AH5+Укрнафта!AJ5+Кернел!AO5+'Глобино Мк'!AH5+'МД Франківськ'!AH5</f>
        <v>110</v>
      </c>
      <c r="J5" s="44">
        <v>150</v>
      </c>
      <c r="K5" s="1">
        <f>VLOOKUP(B5,Цо!$B$2:$AH$74,33,FALSE)</f>
        <v>0</v>
      </c>
      <c r="L5" s="1">
        <f>VLOOKUP(B5,IRS!$B$2:$AH$73,33,FALSE)</f>
        <v>0</v>
      </c>
      <c r="M5" s="1">
        <f>VLOOKUP(B5,Катеринополь!$B$1:$AH$73,33,FALSE)</f>
        <v>0</v>
      </c>
      <c r="N5" s="1">
        <f>VLOOKUP(B5,'Мк нежин'!$B$2:$AH$73,33,FALSE)</f>
        <v>11</v>
      </c>
      <c r="O5" s="1">
        <f>VLOOKUP(B5,'ЕМС Вооз'!$B$2:$AH$73,33,FALSE)</f>
        <v>11</v>
      </c>
      <c r="P5" s="1">
        <f>VLOOKUP(B5,ООН!$H$2:$AN$73,33,FALSE)</f>
        <v>88</v>
      </c>
      <c r="Q5" s="1">
        <f>VLOOKUP(B5,'Червоний хрест'!$B$2:$AH$73,33,FALSE)</f>
        <v>0</v>
      </c>
      <c r="R5" s="1">
        <f>VLOOKUP(B5,Укрнафта!$D$2:$AJ$73,33,FALSE)</f>
        <v>0</v>
      </c>
      <c r="S5" s="1">
        <f>VLOOKUP(B5,Кернел!$I$2:$AO$73,33,FALSE)</f>
        <v>0</v>
      </c>
      <c r="T5" s="1">
        <f>VLOOKUP(B5,'Глобино Мк'!$B$2:$AH$73,33,FALSE)</f>
        <v>0</v>
      </c>
      <c r="U5" s="1">
        <f>VLOOKUP(B5,'МД Франківськ'!$B$2:$AH$73,33,FALSE)</f>
        <v>0</v>
      </c>
      <c r="V5" s="236">
        <f t="shared" si="5"/>
        <v>110</v>
      </c>
      <c r="W5" s="238">
        <f t="shared" si="6"/>
        <v>0</v>
      </c>
      <c r="X5" s="238">
        <f t="shared" si="7"/>
        <v>0</v>
      </c>
      <c r="Y5" s="238">
        <f t="shared" si="8"/>
        <v>0</v>
      </c>
      <c r="Z5" s="238">
        <f t="shared" si="9"/>
        <v>1270</v>
      </c>
      <c r="AA5" s="238">
        <f t="shared" si="10"/>
        <v>1270</v>
      </c>
      <c r="AB5" s="238">
        <f t="shared" si="11"/>
        <v>10160</v>
      </c>
      <c r="AC5" s="238">
        <f t="shared" si="12"/>
        <v>0</v>
      </c>
      <c r="AD5" s="238">
        <f t="shared" si="13"/>
        <v>0</v>
      </c>
      <c r="AE5" s="238">
        <f t="shared" si="14"/>
        <v>0</v>
      </c>
      <c r="AF5" s="238">
        <f t="shared" si="15"/>
        <v>0</v>
      </c>
      <c r="AG5" s="238">
        <f t="shared" si="16"/>
        <v>0</v>
      </c>
      <c r="AH5" s="1">
        <f t="shared" si="17"/>
        <v>12700</v>
      </c>
    </row>
    <row r="6" spans="1:34" ht="15.75" outlineLevel="1" x14ac:dyDescent="0.25">
      <c r="A6" s="154">
        <v>5</v>
      </c>
      <c r="B6" s="155" t="s">
        <v>664</v>
      </c>
      <c r="C6" s="153"/>
      <c r="D6" s="153">
        <v>3756.26</v>
      </c>
      <c r="E6" s="142">
        <f t="shared" si="2"/>
        <v>21150</v>
      </c>
      <c r="F6" s="144">
        <f>VLOOKUP(B6,'[1]Табель цех 01 по 15 червня'!$B$2:$H$77,7,FALSE)</f>
        <v>-30.049999999999272</v>
      </c>
      <c r="G6" s="144">
        <f t="shared" si="3"/>
        <v>17400</v>
      </c>
      <c r="H6" s="144">
        <f t="shared" si="4"/>
        <v>-36.309999999997672</v>
      </c>
      <c r="I6" s="125">
        <f>Цо!AH6+IRS!AH6+Катеринополь!AH6+'Мк нежин'!AH6+'ЕМС Вооз'!AH6+ООН!AN6+'Червоний хрест'!AH6+Укрнафта!AJ6+Кернел!AO6+'Глобино Мк'!AH6+'МД Франківськ'!AH6</f>
        <v>141</v>
      </c>
      <c r="J6" s="44">
        <v>150</v>
      </c>
      <c r="K6" s="1">
        <f>VLOOKUP(B6,Цо!$B$2:$AH$74,33,FALSE)</f>
        <v>0</v>
      </c>
      <c r="L6" s="1">
        <f>VLOOKUP(B6,IRS!$B$2:$AH$73,33,FALSE)</f>
        <v>22</v>
      </c>
      <c r="M6" s="1">
        <f>VLOOKUP(B6,Катеринополь!$B$1:$AH$73,33,FALSE)</f>
        <v>0</v>
      </c>
      <c r="N6" s="1">
        <f>VLOOKUP(B6,'Мк нежин'!$B$2:$AH$73,33,FALSE)</f>
        <v>22</v>
      </c>
      <c r="O6" s="1">
        <f>VLOOKUP(B6,'ЕМС Вооз'!$B$2:$AH$73,33,FALSE)</f>
        <v>42</v>
      </c>
      <c r="P6" s="1">
        <f>VLOOKUP(B6,ООН!$H$2:$AN$73,33,FALSE)</f>
        <v>55</v>
      </c>
      <c r="Q6" s="1">
        <f>VLOOKUP(B6,'Червоний хрест'!$B$2:$AH$73,33,FALSE)</f>
        <v>0</v>
      </c>
      <c r="R6" s="1">
        <f>VLOOKUP(B6,Укрнафта!$D$2:$AJ$73,33,FALSE)</f>
        <v>0</v>
      </c>
      <c r="S6" s="1">
        <f>VLOOKUP(B6,Кернел!$I$2:$AO$73,33,FALSE)</f>
        <v>0</v>
      </c>
      <c r="T6" s="1">
        <f>VLOOKUP(B6,'Глобино Мк'!$B$2:$AH$73,33,FALSE)</f>
        <v>0</v>
      </c>
      <c r="U6" s="1">
        <f>VLOOKUP(B6,'МД Франківськ'!$B$2:$AH$73,33,FALSE)</f>
        <v>0</v>
      </c>
      <c r="V6" s="236">
        <f t="shared" si="5"/>
        <v>141</v>
      </c>
      <c r="W6" s="238">
        <f t="shared" si="6"/>
        <v>0</v>
      </c>
      <c r="X6" s="238">
        <f t="shared" si="7"/>
        <v>2714.8936170212764</v>
      </c>
      <c r="Y6" s="238">
        <f t="shared" si="8"/>
        <v>0</v>
      </c>
      <c r="Z6" s="238">
        <f t="shared" si="9"/>
        <v>2714.8936170212764</v>
      </c>
      <c r="AA6" s="238">
        <f t="shared" si="10"/>
        <v>5182.9787234042551</v>
      </c>
      <c r="AB6" s="238">
        <f t="shared" si="11"/>
        <v>6787.234042553192</v>
      </c>
      <c r="AC6" s="238">
        <f t="shared" si="12"/>
        <v>0</v>
      </c>
      <c r="AD6" s="238">
        <f t="shared" si="13"/>
        <v>0</v>
      </c>
      <c r="AE6" s="238">
        <f t="shared" si="14"/>
        <v>0</v>
      </c>
      <c r="AF6" s="238">
        <f t="shared" si="15"/>
        <v>0</v>
      </c>
      <c r="AG6" s="238">
        <f t="shared" si="16"/>
        <v>0</v>
      </c>
      <c r="AH6" s="1">
        <f t="shared" si="17"/>
        <v>17400</v>
      </c>
    </row>
    <row r="7" spans="1:34" ht="15.75" outlineLevel="1" x14ac:dyDescent="0.25">
      <c r="A7" s="154">
        <v>6</v>
      </c>
      <c r="B7" s="155" t="s">
        <v>14</v>
      </c>
      <c r="C7" s="153"/>
      <c r="D7" s="153">
        <v>3756.26</v>
      </c>
      <c r="E7" s="142">
        <f t="shared" si="2"/>
        <v>17850</v>
      </c>
      <c r="F7" s="144">
        <f>VLOOKUP(B7,'[1]Табель цех 01 по 15 червня'!$B$2:$H$77,7,FALSE)</f>
        <v>-33.340000000000146</v>
      </c>
      <c r="G7" s="144">
        <f t="shared" si="3"/>
        <v>14100</v>
      </c>
      <c r="H7" s="144">
        <f t="shared" si="4"/>
        <v>-39.600000000000364</v>
      </c>
      <c r="I7" s="125">
        <f>Цо!AH7+IRS!AH7+Катеринополь!AH7+'Мк нежин'!AH7+'ЕМС Вооз'!AH7+ООН!AN7+'Червоний хрест'!AH7+Укрнафта!AJ7+Кернел!AO7+'Глобино Мк'!AH7+'МД Франківськ'!AH7</f>
        <v>119</v>
      </c>
      <c r="J7" s="44">
        <v>150</v>
      </c>
      <c r="K7" s="1">
        <f>VLOOKUP(B7,Цо!$B$2:$AH$74,33,FALSE)</f>
        <v>0</v>
      </c>
      <c r="L7" s="1">
        <f>VLOOKUP(B7,IRS!$B$2:$AH$73,33,FALSE)</f>
        <v>22</v>
      </c>
      <c r="M7" s="1">
        <f>VLOOKUP(B7,Катеринополь!$B$1:$AH$73,33,FALSE)</f>
        <v>0</v>
      </c>
      <c r="N7" s="1">
        <f>VLOOKUP(B7,'Мк нежин'!$B$2:$AH$73,33,FALSE)</f>
        <v>11</v>
      </c>
      <c r="O7" s="1">
        <f>VLOOKUP(B7,'ЕМС Вооз'!$B$2:$AH$73,33,FALSE)</f>
        <v>42</v>
      </c>
      <c r="P7" s="1">
        <f>VLOOKUP(B7,ООН!$H$2:$AN$73,33,FALSE)</f>
        <v>44</v>
      </c>
      <c r="Q7" s="1">
        <f>VLOOKUP(B7,'Червоний хрест'!$B$2:$AH$73,33,FALSE)</f>
        <v>0</v>
      </c>
      <c r="R7" s="1">
        <f>VLOOKUP(B7,Укрнафта!$D$2:$AJ$73,33,FALSE)</f>
        <v>0</v>
      </c>
      <c r="S7" s="1">
        <f>VLOOKUP(B7,Кернел!$I$2:$AO$73,33,FALSE)</f>
        <v>0</v>
      </c>
      <c r="T7" s="1">
        <f>VLOOKUP(B7,'Глобино Мк'!$B$2:$AH$73,33,FALSE)</f>
        <v>0</v>
      </c>
      <c r="U7" s="1">
        <f>VLOOKUP(B7,'МД Франківськ'!$B$2:$AH$73,33,FALSE)</f>
        <v>0</v>
      </c>
      <c r="V7" s="236">
        <f t="shared" si="5"/>
        <v>119</v>
      </c>
      <c r="W7" s="238">
        <f t="shared" si="6"/>
        <v>0</v>
      </c>
      <c r="X7" s="238">
        <f t="shared" si="7"/>
        <v>2606.7226890756306</v>
      </c>
      <c r="Y7" s="238">
        <f t="shared" si="8"/>
        <v>0</v>
      </c>
      <c r="Z7" s="238">
        <f t="shared" si="9"/>
        <v>1303.3613445378153</v>
      </c>
      <c r="AA7" s="238">
        <f t="shared" si="10"/>
        <v>4976.4705882352946</v>
      </c>
      <c r="AB7" s="238">
        <f t="shared" si="11"/>
        <v>5213.4453781512611</v>
      </c>
      <c r="AC7" s="238">
        <f t="shared" si="12"/>
        <v>0</v>
      </c>
      <c r="AD7" s="238">
        <f t="shared" si="13"/>
        <v>0</v>
      </c>
      <c r="AE7" s="238">
        <f t="shared" si="14"/>
        <v>0</v>
      </c>
      <c r="AF7" s="238">
        <f t="shared" si="15"/>
        <v>0</v>
      </c>
      <c r="AG7" s="238">
        <f t="shared" si="16"/>
        <v>0</v>
      </c>
      <c r="AH7" s="1">
        <f t="shared" si="17"/>
        <v>14100</v>
      </c>
    </row>
    <row r="8" spans="1:34" ht="15.75" outlineLevel="1" x14ac:dyDescent="0.25">
      <c r="A8" s="154">
        <v>7</v>
      </c>
      <c r="B8" s="155" t="s">
        <v>15</v>
      </c>
      <c r="C8" s="153"/>
      <c r="D8" s="153">
        <v>3756.26</v>
      </c>
      <c r="E8" s="142">
        <f t="shared" si="2"/>
        <v>30900</v>
      </c>
      <c r="F8" s="144">
        <f>VLOOKUP(B8,'[1]Табель цех 01 по 15 червня'!$B$2:$H$77,7,FALSE)</f>
        <v>13.459999999999127</v>
      </c>
      <c r="G8" s="144">
        <f t="shared" si="3"/>
        <v>27100</v>
      </c>
      <c r="H8" s="144">
        <f t="shared" si="4"/>
        <v>57.19999999999709</v>
      </c>
      <c r="I8" s="125">
        <f>Цо!AH8+IRS!AH8+Катеринополь!AH8+'Мк нежин'!AH8+'ЕМС Вооз'!AH8+ООН!AN8+'Червоний хрест'!AH8+Укрнафта!AJ8+Кернел!AO8+'Глобино Мк'!AH8+'МД Франківськ'!AH8</f>
        <v>206</v>
      </c>
      <c r="J8" s="44">
        <v>150</v>
      </c>
      <c r="K8" s="1">
        <f>VLOOKUP(B8,Цо!$B$2:$AH$74,33,FALSE)</f>
        <v>0</v>
      </c>
      <c r="L8" s="1">
        <f>VLOOKUP(B8,IRS!$B$2:$AH$73,33,FALSE)</f>
        <v>0</v>
      </c>
      <c r="M8" s="1">
        <f>VLOOKUP(B8,Катеринополь!$B$1:$AH$73,33,FALSE)</f>
        <v>77</v>
      </c>
      <c r="N8" s="1">
        <f>VLOOKUP(B8,'Мк нежин'!$B$2:$AH$73,33,FALSE)</f>
        <v>9</v>
      </c>
      <c r="O8" s="1">
        <f>VLOOKUP(B8,'ЕМС Вооз'!$B$2:$AH$73,33,FALSE)</f>
        <v>0</v>
      </c>
      <c r="P8" s="1">
        <f>VLOOKUP(B8,ООН!$H$2:$AN$73,33,FALSE)</f>
        <v>120</v>
      </c>
      <c r="Q8" s="1">
        <f>VLOOKUP(B8,'Червоний хрест'!$B$2:$AH$73,33,FALSE)</f>
        <v>0</v>
      </c>
      <c r="R8" s="1">
        <f>VLOOKUP(B8,Укрнафта!$D$2:$AJ$73,33,FALSE)</f>
        <v>0</v>
      </c>
      <c r="S8" s="1">
        <f>VLOOKUP(B8,Кернел!$I$2:$AO$73,33,FALSE)</f>
        <v>0</v>
      </c>
      <c r="T8" s="1">
        <f>VLOOKUP(B8,'Глобино Мк'!$B$2:$AH$73,33,FALSE)</f>
        <v>0</v>
      </c>
      <c r="U8" s="1">
        <f>VLOOKUP(B8,'МД Франківськ'!$B$2:$AH$73,33,FALSE)</f>
        <v>0</v>
      </c>
      <c r="V8" s="236">
        <f t="shared" si="5"/>
        <v>206</v>
      </c>
      <c r="W8" s="238">
        <f t="shared" si="6"/>
        <v>0</v>
      </c>
      <c r="X8" s="238">
        <f t="shared" si="7"/>
        <v>0</v>
      </c>
      <c r="Y8" s="238">
        <f t="shared" si="8"/>
        <v>10129.611650485436</v>
      </c>
      <c r="Z8" s="238">
        <f t="shared" si="9"/>
        <v>1183.980582524272</v>
      </c>
      <c r="AA8" s="238">
        <f t="shared" si="10"/>
        <v>0</v>
      </c>
      <c r="AB8" s="238">
        <f t="shared" si="11"/>
        <v>15786.407766990291</v>
      </c>
      <c r="AC8" s="238">
        <f t="shared" si="12"/>
        <v>0</v>
      </c>
      <c r="AD8" s="238">
        <f t="shared" si="13"/>
        <v>0</v>
      </c>
      <c r="AE8" s="238">
        <f t="shared" si="14"/>
        <v>0</v>
      </c>
      <c r="AF8" s="238">
        <f t="shared" si="15"/>
        <v>0</v>
      </c>
      <c r="AG8" s="238">
        <f t="shared" si="16"/>
        <v>0</v>
      </c>
      <c r="AH8" s="1">
        <f t="shared" si="17"/>
        <v>27100</v>
      </c>
    </row>
    <row r="9" spans="1:34" ht="15.75" outlineLevel="1" x14ac:dyDescent="0.25">
      <c r="A9" s="154">
        <v>8</v>
      </c>
      <c r="B9" s="155" t="s">
        <v>16</v>
      </c>
      <c r="C9" s="153"/>
      <c r="D9" s="153">
        <v>3756.26</v>
      </c>
      <c r="E9" s="142">
        <f t="shared" si="2"/>
        <v>33450</v>
      </c>
      <c r="F9" s="144">
        <f>VLOOKUP(B9,'[1]Табель цех 01 по 15 червня'!$B$2:$H$77,7,FALSE)</f>
        <v>0.25</v>
      </c>
      <c r="G9" s="144">
        <f t="shared" si="3"/>
        <v>29700</v>
      </c>
      <c r="H9" s="144">
        <f t="shared" si="4"/>
        <v>-6.0100000000020373</v>
      </c>
      <c r="I9" s="125">
        <f>Цо!AH9+IRS!AH9+Катеринополь!AH9+'Мк нежин'!AH9+'ЕМС Вооз'!AH9+ООН!AN9+'Червоний хрест'!AH9+Укрнафта!AJ9+Кернел!AO9+'Глобино Мк'!AH9+'МД Франківськ'!AH9</f>
        <v>223</v>
      </c>
      <c r="J9" s="44">
        <v>150</v>
      </c>
      <c r="K9" s="1">
        <f>VLOOKUP(B9,Цо!$B$2:$AH$74,33,FALSE)</f>
        <v>0</v>
      </c>
      <c r="L9" s="1">
        <f>VLOOKUP(B9,IRS!$B$2:$AH$73,33,FALSE)</f>
        <v>0</v>
      </c>
      <c r="M9" s="1">
        <f>VLOOKUP(B9,Катеринополь!$B$1:$AH$73,33,FALSE)</f>
        <v>0</v>
      </c>
      <c r="N9" s="1">
        <f>VLOOKUP(B9,'Мк нежин'!$B$2:$AH$73,33,FALSE)</f>
        <v>11</v>
      </c>
      <c r="O9" s="1">
        <f>VLOOKUP(B9,'ЕМС Вооз'!$B$2:$AH$73,33,FALSE)</f>
        <v>9</v>
      </c>
      <c r="P9" s="1">
        <f>VLOOKUP(B9,ООН!$H$2:$AN$73,33,FALSE)</f>
        <v>0</v>
      </c>
      <c r="Q9" s="1">
        <f>VLOOKUP(B9,'Червоний хрест'!$B$2:$AH$73,33,FALSE)</f>
        <v>192</v>
      </c>
      <c r="R9" s="1">
        <f>VLOOKUP(B9,Укрнафта!$D$2:$AJ$73,33,FALSE)</f>
        <v>0</v>
      </c>
      <c r="S9" s="1">
        <f>VLOOKUP(B9,Кернел!$I$2:$AO$73,33,FALSE)</f>
        <v>0</v>
      </c>
      <c r="T9" s="1">
        <f>VLOOKUP(B9,'Глобино Мк'!$B$2:$AH$73,33,FALSE)</f>
        <v>11</v>
      </c>
      <c r="U9" s="1">
        <f>VLOOKUP(B9,'МД Франківськ'!$B$2:$AH$73,33,FALSE)</f>
        <v>0</v>
      </c>
      <c r="V9" s="236">
        <f t="shared" si="5"/>
        <v>223</v>
      </c>
      <c r="W9" s="238">
        <f t="shared" si="6"/>
        <v>0</v>
      </c>
      <c r="X9" s="238">
        <f t="shared" si="7"/>
        <v>0</v>
      </c>
      <c r="Y9" s="238">
        <f t="shared" si="8"/>
        <v>0</v>
      </c>
      <c r="Z9" s="238">
        <f t="shared" si="9"/>
        <v>1465.0224215246635</v>
      </c>
      <c r="AA9" s="238">
        <f t="shared" si="10"/>
        <v>1198.6547085201794</v>
      </c>
      <c r="AB9" s="238">
        <f t="shared" si="11"/>
        <v>0</v>
      </c>
      <c r="AC9" s="238">
        <f t="shared" si="12"/>
        <v>25571.300448430495</v>
      </c>
      <c r="AD9" s="238">
        <f t="shared" si="13"/>
        <v>0</v>
      </c>
      <c r="AE9" s="238">
        <f t="shared" si="14"/>
        <v>0</v>
      </c>
      <c r="AF9" s="238">
        <f t="shared" si="15"/>
        <v>1465.0224215246635</v>
      </c>
      <c r="AG9" s="238">
        <f t="shared" si="16"/>
        <v>0</v>
      </c>
      <c r="AH9" s="1">
        <f t="shared" si="17"/>
        <v>29700</v>
      </c>
    </row>
    <row r="10" spans="1:34" ht="15.75" outlineLevel="1" x14ac:dyDescent="0.25">
      <c r="A10" s="154">
        <v>9</v>
      </c>
      <c r="B10" s="155" t="s">
        <v>4</v>
      </c>
      <c r="C10" s="153"/>
      <c r="D10" s="153">
        <v>3756.26</v>
      </c>
      <c r="E10" s="142">
        <f t="shared" si="2"/>
        <v>19050</v>
      </c>
      <c r="F10" s="144">
        <f>VLOOKUP(B10,'[1]Табель цех 01 по 15 червня'!$B$2:$H$77,7,FALSE)</f>
        <v>13.040000000000873</v>
      </c>
      <c r="G10" s="144">
        <f t="shared" si="3"/>
        <v>15300</v>
      </c>
      <c r="H10" s="144">
        <f t="shared" si="4"/>
        <v>6.7800000000006548</v>
      </c>
      <c r="I10" s="125">
        <f>Цо!AH10+IRS!AH10+Катеринополь!AH10+'Мк нежин'!AH10+'ЕМС Вооз'!AH10+ООН!AN10+'Червоний хрест'!AH10+Укрнафта!AJ10+Кернел!AO10+'Глобино Мк'!AH10+'МД Франківськ'!AH10</f>
        <v>127</v>
      </c>
      <c r="J10" s="44">
        <v>150</v>
      </c>
      <c r="K10" s="1">
        <f>VLOOKUP(B10,Цо!$B$2:$AH$74,33,FALSE)</f>
        <v>0</v>
      </c>
      <c r="L10" s="1">
        <f>VLOOKUP(B10,IRS!$B$2:$AH$73,33,FALSE)</f>
        <v>11</v>
      </c>
      <c r="M10" s="1">
        <f>VLOOKUP(B10,Катеринополь!$B$1:$AH$73,33,FALSE)</f>
        <v>22</v>
      </c>
      <c r="N10" s="1">
        <f>VLOOKUP(B10,'Мк нежин'!$B$2:$AH$73,33,FALSE)</f>
        <v>44</v>
      </c>
      <c r="O10" s="1">
        <f>VLOOKUP(B10,'ЕМС Вооз'!$B$2:$AH$73,33,FALSE)</f>
        <v>0</v>
      </c>
      <c r="P10" s="1">
        <f>VLOOKUP(B10,ООН!$H$2:$AN$73,33,FALSE)</f>
        <v>0</v>
      </c>
      <c r="Q10" s="1">
        <f>VLOOKUP(B10,'Червоний хрест'!$B$2:$AH$73,33,FALSE)</f>
        <v>0</v>
      </c>
      <c r="R10" s="1">
        <f>VLOOKUP(B10,Укрнафта!$D$2:$AJ$73,33,FALSE)</f>
        <v>0</v>
      </c>
      <c r="S10" s="1">
        <f>VLOOKUP(B10,Кернел!$I$2:$AO$73,33,FALSE)</f>
        <v>0</v>
      </c>
      <c r="T10" s="1">
        <f>VLOOKUP(B10,'Глобино Мк'!$B$2:$AH$73,33,FALSE)</f>
        <v>50</v>
      </c>
      <c r="U10" s="1">
        <f>VLOOKUP(B10,'МД Франківськ'!$B$2:$AH$73,33,FALSE)</f>
        <v>0</v>
      </c>
      <c r="V10" s="236">
        <f t="shared" si="5"/>
        <v>127</v>
      </c>
      <c r="W10" s="238">
        <f t="shared" si="6"/>
        <v>0</v>
      </c>
      <c r="X10" s="238">
        <f t="shared" si="7"/>
        <v>1325.1968503937007</v>
      </c>
      <c r="Y10" s="238">
        <f t="shared" si="8"/>
        <v>2650.3937007874015</v>
      </c>
      <c r="Z10" s="238">
        <f t="shared" si="9"/>
        <v>5300.787401574803</v>
      </c>
      <c r="AA10" s="238">
        <f t="shared" si="10"/>
        <v>0</v>
      </c>
      <c r="AB10" s="238">
        <f t="shared" si="11"/>
        <v>0</v>
      </c>
      <c r="AC10" s="238">
        <f t="shared" si="12"/>
        <v>0</v>
      </c>
      <c r="AD10" s="238">
        <f t="shared" si="13"/>
        <v>0</v>
      </c>
      <c r="AE10" s="238">
        <f t="shared" si="14"/>
        <v>0</v>
      </c>
      <c r="AF10" s="238">
        <f t="shared" si="15"/>
        <v>6023.6220472440946</v>
      </c>
      <c r="AG10" s="238">
        <f t="shared" si="16"/>
        <v>0</v>
      </c>
      <c r="AH10" s="1">
        <f t="shared" si="17"/>
        <v>15300</v>
      </c>
    </row>
    <row r="11" spans="1:34" ht="15.75" outlineLevel="1" x14ac:dyDescent="0.25">
      <c r="A11" s="154">
        <v>10</v>
      </c>
      <c r="B11" s="155" t="s">
        <v>5</v>
      </c>
      <c r="C11" s="153"/>
      <c r="D11" s="153">
        <v>3756.26</v>
      </c>
      <c r="E11" s="142">
        <f t="shared" si="2"/>
        <v>19050</v>
      </c>
      <c r="F11" s="144">
        <f>VLOOKUP(B11,'[1]Табель цех 01 по 15 червня'!$B$2:$H$77,7,FALSE)</f>
        <v>19.950000000004366</v>
      </c>
      <c r="G11" s="144">
        <f t="shared" si="3"/>
        <v>15300</v>
      </c>
      <c r="H11" s="144">
        <f t="shared" si="4"/>
        <v>13.690000000004147</v>
      </c>
      <c r="I11" s="125">
        <f>Цо!AH11+IRS!AH11+Катеринополь!AH11+'Мк нежин'!AH11+'ЕМС Вооз'!AH11+ООН!AN11+'Червоний хрест'!AH11+Укрнафта!AJ11+Кернел!AO11+'Глобино Мк'!AH11+'МД Франківськ'!AH11</f>
        <v>127</v>
      </c>
      <c r="J11" s="44">
        <v>150</v>
      </c>
      <c r="K11" s="1">
        <f>VLOOKUP(B11,Цо!$B$2:$AH$74,33,FALSE)</f>
        <v>11</v>
      </c>
      <c r="L11" s="1">
        <f>VLOOKUP(B11,IRS!$B$2:$AH$73,33,FALSE)</f>
        <v>11</v>
      </c>
      <c r="M11" s="1">
        <f>VLOOKUP(B11,Катеринополь!$B$1:$AH$73,33,FALSE)</f>
        <v>0</v>
      </c>
      <c r="N11" s="1">
        <f>VLOOKUP(B11,'Мк нежин'!$B$2:$AH$73,33,FALSE)</f>
        <v>22</v>
      </c>
      <c r="O11" s="1">
        <f>VLOOKUP(B11,'ЕМС Вооз'!$B$2:$AH$73,33,FALSE)</f>
        <v>17</v>
      </c>
      <c r="P11" s="1">
        <f>VLOOKUP(B11,ООН!$H$2:$AN$73,33,FALSE)</f>
        <v>44</v>
      </c>
      <c r="Q11" s="1">
        <f>VLOOKUP(B11,'Червоний хрест'!$B$2:$AH$73,33,FALSE)</f>
        <v>0</v>
      </c>
      <c r="R11" s="1">
        <f>VLOOKUP(B11,Укрнафта!$D$2:$AJ$73,33,FALSE)</f>
        <v>11</v>
      </c>
      <c r="S11" s="1">
        <f>VLOOKUP(B11,Кернел!$I$2:$AO$73,33,FALSE)</f>
        <v>0</v>
      </c>
      <c r="T11" s="1">
        <f>VLOOKUP(B11,'Глобино Мк'!$B$2:$AH$73,33,FALSE)</f>
        <v>0</v>
      </c>
      <c r="U11" s="1">
        <f>VLOOKUP(B11,'МД Франківськ'!$B$2:$AH$73,33,FALSE)</f>
        <v>11</v>
      </c>
      <c r="V11" s="236">
        <f t="shared" si="5"/>
        <v>127</v>
      </c>
      <c r="W11" s="238">
        <f t="shared" si="6"/>
        <v>1325.1968503937007</v>
      </c>
      <c r="X11" s="238">
        <f t="shared" si="7"/>
        <v>1325.1968503937007</v>
      </c>
      <c r="Y11" s="238">
        <f t="shared" si="8"/>
        <v>0</v>
      </c>
      <c r="Z11" s="238">
        <f t="shared" si="9"/>
        <v>2650.3937007874015</v>
      </c>
      <c r="AA11" s="238">
        <f t="shared" si="10"/>
        <v>2048.0314960629921</v>
      </c>
      <c r="AB11" s="238">
        <f t="shared" si="11"/>
        <v>5300.787401574803</v>
      </c>
      <c r="AC11" s="238">
        <f t="shared" si="12"/>
        <v>0</v>
      </c>
      <c r="AD11" s="238">
        <f t="shared" si="13"/>
        <v>1325.1968503937007</v>
      </c>
      <c r="AE11" s="238">
        <f t="shared" si="14"/>
        <v>0</v>
      </c>
      <c r="AF11" s="238">
        <f t="shared" si="15"/>
        <v>0</v>
      </c>
      <c r="AG11" s="238">
        <f t="shared" si="16"/>
        <v>1325.1968503937007</v>
      </c>
      <c r="AH11" s="1">
        <f t="shared" si="17"/>
        <v>15300</v>
      </c>
    </row>
    <row r="12" spans="1:34" s="234" customFormat="1" ht="15.75" outlineLevel="1" x14ac:dyDescent="0.25">
      <c r="A12" s="227">
        <v>11</v>
      </c>
      <c r="B12" s="228" t="s">
        <v>17</v>
      </c>
      <c r="C12" s="229"/>
      <c r="D12" s="229">
        <v>3756.26</v>
      </c>
      <c r="E12" s="230">
        <f t="shared" si="2"/>
        <v>20880</v>
      </c>
      <c r="F12" s="231">
        <f>VLOOKUP(B12,'[1]Табель цех 01 по 15 червня'!$B$2:$H$77,7,FALSE)</f>
        <v>-29.75</v>
      </c>
      <c r="G12" s="231">
        <f t="shared" si="3"/>
        <v>17100</v>
      </c>
      <c r="H12" s="231">
        <f t="shared" si="4"/>
        <v>-6.0100000000020373</v>
      </c>
      <c r="I12" s="232">
        <f>Цо!AH12+IRS!AH12+Катеринополь!AH12+'Мк нежин'!AH12+'ЕМС Вооз'!AH12+ООН!AN12+'Червоний хрест'!AH12+Укрнафта!AJ12+Кернел!AO12+'Глобино Мк'!AH12+'МД Франківськ'!AH12</f>
        <v>116</v>
      </c>
      <c r="J12" s="233">
        <v>180</v>
      </c>
      <c r="K12" s="234">
        <f>VLOOKUP(B12,Цо!$B$2:$AH$74,33,FALSE)</f>
        <v>0</v>
      </c>
      <c r="L12" s="234">
        <f>VLOOKUP(B12,IRS!$B$2:$AH$73,33,FALSE)</f>
        <v>61</v>
      </c>
      <c r="M12" s="234">
        <f>VLOOKUP(B12,Катеринополь!$B$1:$AH$73,33,FALSE)</f>
        <v>0</v>
      </c>
      <c r="N12" s="234">
        <f>VLOOKUP(B12,'Мк нежин'!$B$2:$AH$73,33,FALSE)</f>
        <v>0</v>
      </c>
      <c r="O12" s="234">
        <f>VLOOKUP(B12,'ЕМС Вооз'!$B$2:$AH$73,33,FALSE)</f>
        <v>0</v>
      </c>
      <c r="P12" s="234">
        <f>VLOOKUP(B12,ООН!$H$2:$AN$73,33,FALSE)</f>
        <v>0</v>
      </c>
      <c r="Q12" s="234">
        <f>VLOOKUP(B12,'Червоний хрест'!$B$2:$AH$73,33,FALSE)</f>
        <v>0</v>
      </c>
      <c r="R12" s="234">
        <f>VLOOKUP(B12,Укрнафта!$D$2:$AJ$73,33,FALSE)</f>
        <v>0</v>
      </c>
      <c r="S12" s="234">
        <f>VLOOKUP(B12,Кернел!$I$2:$AO$73,33,FALSE)</f>
        <v>0</v>
      </c>
      <c r="T12" s="234">
        <f>VLOOKUP(B12,'Глобино Мк'!$B$2:$AH$73,33,FALSE)</f>
        <v>11</v>
      </c>
      <c r="U12" s="234">
        <f>VLOOKUP(B12,'МД Франківськ'!$B$2:$AH$73,33,FALSE)</f>
        <v>44</v>
      </c>
      <c r="V12" s="235">
        <f t="shared" si="5"/>
        <v>116</v>
      </c>
      <c r="W12" s="239">
        <f t="shared" si="6"/>
        <v>0</v>
      </c>
      <c r="X12" s="239">
        <f t="shared" si="7"/>
        <v>8992.2413793103442</v>
      </c>
      <c r="Y12" s="239">
        <f t="shared" si="8"/>
        <v>0</v>
      </c>
      <c r="Z12" s="239">
        <f t="shared" si="9"/>
        <v>0</v>
      </c>
      <c r="AA12" s="239">
        <f t="shared" si="10"/>
        <v>0</v>
      </c>
      <c r="AB12" s="239">
        <f t="shared" si="11"/>
        <v>0</v>
      </c>
      <c r="AC12" s="239">
        <f t="shared" si="12"/>
        <v>0</v>
      </c>
      <c r="AD12" s="239">
        <f t="shared" si="13"/>
        <v>0</v>
      </c>
      <c r="AE12" s="239">
        <f t="shared" si="14"/>
        <v>0</v>
      </c>
      <c r="AF12" s="239">
        <f t="shared" si="15"/>
        <v>1621.5517241379309</v>
      </c>
      <c r="AG12" s="239">
        <f t="shared" si="16"/>
        <v>6486.2068965517237</v>
      </c>
      <c r="AH12" s="234">
        <f t="shared" si="17"/>
        <v>17100</v>
      </c>
    </row>
    <row r="13" spans="1:34" ht="15.75" outlineLevel="1" x14ac:dyDescent="0.25">
      <c r="A13" s="154">
        <v>12</v>
      </c>
      <c r="B13" s="155" t="s">
        <v>38</v>
      </c>
      <c r="C13" s="153"/>
      <c r="D13" s="153">
        <v>3756.26</v>
      </c>
      <c r="E13" s="142">
        <f t="shared" si="2"/>
        <v>18450</v>
      </c>
      <c r="F13" s="144">
        <f>VLOOKUP(B13,'[1]Табель цех 01 по 15 червня'!$B$2:$H$77,7,FALSE)</f>
        <v>-40</v>
      </c>
      <c r="G13" s="144">
        <f t="shared" si="3"/>
        <v>14700</v>
      </c>
      <c r="H13" s="144">
        <f t="shared" si="4"/>
        <v>-46.260000000000218</v>
      </c>
      <c r="I13" s="125">
        <f>Цо!AH13+IRS!AH13+Катеринополь!AH13+'Мк нежин'!AH13+'ЕМС Вооз'!AH13+ООН!AN13+'Червоний хрест'!AH13+Укрнафта!AJ13+Кернел!AO13+'Глобино Мк'!AH13+'МД Франківськ'!AH13</f>
        <v>123</v>
      </c>
      <c r="J13" s="44">
        <v>150</v>
      </c>
      <c r="K13" s="1">
        <f>VLOOKUP(B13,Цо!$B$2:$AH$74,33,FALSE)</f>
        <v>0</v>
      </c>
      <c r="L13" s="1">
        <f>VLOOKUP(B13,IRS!$B$2:$AH$73,33,FALSE)</f>
        <v>11</v>
      </c>
      <c r="M13" s="1">
        <f>VLOOKUP(B13,Катеринополь!$B$1:$AH$73,33,FALSE)</f>
        <v>0</v>
      </c>
      <c r="N13" s="1">
        <f>VLOOKUP(B13,'Мк нежин'!$B$2:$AH$73,33,FALSE)</f>
        <v>11</v>
      </c>
      <c r="O13" s="1">
        <f>VLOOKUP(B13,'ЕМС Вооз'!$B$2:$AH$73,33,FALSE)</f>
        <v>18</v>
      </c>
      <c r="P13" s="1">
        <f>VLOOKUP(B13,ООН!$H$2:$AN$73,33,FALSE)</f>
        <v>50</v>
      </c>
      <c r="Q13" s="1">
        <f>VLOOKUP(B13,'Червоний хрест'!$B$2:$AH$73,33,FALSE)</f>
        <v>0</v>
      </c>
      <c r="R13" s="1">
        <f>VLOOKUP(B13,Укрнафта!$D$2:$AJ$73,33,FALSE)</f>
        <v>33</v>
      </c>
      <c r="S13" s="1">
        <f>VLOOKUP(B13,Кернел!$I$2:$AO$73,33,FALSE)</f>
        <v>0</v>
      </c>
      <c r="T13" s="1">
        <f>VLOOKUP(B13,'Глобино Мк'!$B$2:$AH$73,33,FALSE)</f>
        <v>0</v>
      </c>
      <c r="U13" s="1">
        <f>VLOOKUP(B13,'МД Франківськ'!$B$2:$AH$73,33,FALSE)</f>
        <v>0</v>
      </c>
      <c r="V13" s="236">
        <f t="shared" si="5"/>
        <v>123</v>
      </c>
      <c r="W13" s="238">
        <f t="shared" si="6"/>
        <v>0</v>
      </c>
      <c r="X13" s="238">
        <f t="shared" si="7"/>
        <v>1314.6341463414635</v>
      </c>
      <c r="Y13" s="238">
        <f t="shared" si="8"/>
        <v>0</v>
      </c>
      <c r="Z13" s="238">
        <f t="shared" si="9"/>
        <v>1314.6341463414635</v>
      </c>
      <c r="AA13" s="238">
        <f t="shared" si="10"/>
        <v>2151.2195121951218</v>
      </c>
      <c r="AB13" s="238">
        <f t="shared" si="11"/>
        <v>5975.6097560975604</v>
      </c>
      <c r="AC13" s="238">
        <f t="shared" si="12"/>
        <v>0</v>
      </c>
      <c r="AD13" s="238">
        <f t="shared" si="13"/>
        <v>3943.9024390243903</v>
      </c>
      <c r="AE13" s="238">
        <f t="shared" si="14"/>
        <v>0</v>
      </c>
      <c r="AF13" s="238">
        <f t="shared" si="15"/>
        <v>0</v>
      </c>
      <c r="AG13" s="238">
        <f t="shared" si="16"/>
        <v>0</v>
      </c>
      <c r="AH13" s="1">
        <f t="shared" si="17"/>
        <v>14700</v>
      </c>
    </row>
    <row r="14" spans="1:34" s="234" customFormat="1" ht="15.75" outlineLevel="1" x14ac:dyDescent="0.25">
      <c r="A14" s="227">
        <v>13</v>
      </c>
      <c r="B14" s="228" t="s">
        <v>19</v>
      </c>
      <c r="C14" s="229"/>
      <c r="D14" s="229">
        <v>3073.3</v>
      </c>
      <c r="E14" s="230">
        <f t="shared" si="2"/>
        <v>18360</v>
      </c>
      <c r="F14" s="231">
        <f>VLOOKUP(B14,'[1]Табель цех 01 по 15 червня'!$B$2:$H$77,7,FALSE)</f>
        <v>-39.200000000004366</v>
      </c>
      <c r="G14" s="231">
        <f t="shared" si="3"/>
        <v>15300</v>
      </c>
      <c r="H14" s="231">
        <f t="shared" si="4"/>
        <v>-52.500000000003638</v>
      </c>
      <c r="I14" s="232">
        <f>Цо!AH14+IRS!AH14+Катеринополь!AH14+'Мк нежин'!AH14+'ЕМС Вооз'!AH14+ООН!AN14+'Червоний хрест'!AH14+Укрнафта!AJ14+Кернел!AO14+'Глобино Мк'!AH14+'МД Франківськ'!AH14</f>
        <v>102</v>
      </c>
      <c r="J14" s="233">
        <v>180</v>
      </c>
      <c r="K14" s="234">
        <f>VLOOKUP(B14,Цо!$B$2:$AH$74,33,FALSE)</f>
        <v>0</v>
      </c>
      <c r="L14" s="234">
        <f>VLOOKUP(B14,IRS!$B$2:$AH$73,33,FALSE)</f>
        <v>0</v>
      </c>
      <c r="M14" s="234">
        <f>VLOOKUP(B14,Катеринополь!$B$1:$AH$73,33,FALSE)</f>
        <v>80</v>
      </c>
      <c r="N14" s="234">
        <f>VLOOKUP(B14,'Мк нежин'!$B$2:$AH$73,33,FALSE)</f>
        <v>22</v>
      </c>
      <c r="O14" s="234">
        <f>VLOOKUP(B14,'ЕМС Вооз'!$B$2:$AH$73,33,FALSE)</f>
        <v>0</v>
      </c>
      <c r="P14" s="234">
        <f>VLOOKUP(B14,ООН!$H$2:$AN$73,33,FALSE)</f>
        <v>0</v>
      </c>
      <c r="Q14" s="234">
        <f>VLOOKUP(B14,'Червоний хрест'!$B$2:$AH$73,33,FALSE)</f>
        <v>0</v>
      </c>
      <c r="R14" s="234">
        <f>VLOOKUP(B14,Укрнафта!$D$2:$AJ$73,33,FALSE)</f>
        <v>0</v>
      </c>
      <c r="S14" s="234">
        <f>VLOOKUP(B14,Кернел!$I$2:$AO$73,33,FALSE)</f>
        <v>0</v>
      </c>
      <c r="T14" s="234">
        <f>VLOOKUP(B14,'Глобино Мк'!$B$2:$AH$73,33,FALSE)</f>
        <v>0</v>
      </c>
      <c r="U14" s="234">
        <f>VLOOKUP(B14,'МД Франківськ'!$B$2:$AH$73,33,FALSE)</f>
        <v>0</v>
      </c>
      <c r="V14" s="235">
        <f t="shared" si="5"/>
        <v>102</v>
      </c>
      <c r="W14" s="239">
        <f t="shared" si="6"/>
        <v>0</v>
      </c>
      <c r="X14" s="239">
        <f t="shared" si="7"/>
        <v>0</v>
      </c>
      <c r="Y14" s="239">
        <f t="shared" si="8"/>
        <v>12000</v>
      </c>
      <c r="Z14" s="239">
        <f t="shared" si="9"/>
        <v>3300</v>
      </c>
      <c r="AA14" s="239">
        <f t="shared" si="10"/>
        <v>0</v>
      </c>
      <c r="AB14" s="239">
        <f t="shared" si="11"/>
        <v>0</v>
      </c>
      <c r="AC14" s="239">
        <f t="shared" si="12"/>
        <v>0</v>
      </c>
      <c r="AD14" s="239">
        <f t="shared" si="13"/>
        <v>0</v>
      </c>
      <c r="AE14" s="239">
        <f t="shared" si="14"/>
        <v>0</v>
      </c>
      <c r="AF14" s="239">
        <f t="shared" si="15"/>
        <v>0</v>
      </c>
      <c r="AG14" s="239">
        <f t="shared" si="16"/>
        <v>0</v>
      </c>
      <c r="AH14" s="234">
        <f t="shared" si="17"/>
        <v>15300</v>
      </c>
    </row>
    <row r="15" spans="1:34" ht="15.75" outlineLevel="1" x14ac:dyDescent="0.25">
      <c r="A15" s="154">
        <v>14</v>
      </c>
      <c r="B15" s="155" t="s">
        <v>77</v>
      </c>
      <c r="C15" s="153"/>
      <c r="D15" s="153">
        <v>3414.78</v>
      </c>
      <c r="E15" s="142">
        <f t="shared" si="2"/>
        <v>15150</v>
      </c>
      <c r="F15" s="144">
        <f>VLOOKUP(B15,'[1]Табель цех 01 по 15 червня'!$B$2:$H$77,7,FALSE)</f>
        <v>20.360000000000582</v>
      </c>
      <c r="G15" s="144">
        <f t="shared" si="3"/>
        <v>11700</v>
      </c>
      <c r="H15" s="144">
        <f t="shared" si="4"/>
        <v>55.579999999999927</v>
      </c>
      <c r="I15" s="125">
        <f>Цо!AH15+IRS!AH15+Катеринополь!AH15+'Мк нежин'!AH15+'ЕМС Вооз'!AH15+ООН!AN15+'Червоний хрест'!AH15+Укрнафта!AJ15+Кернел!AO15+'Глобино Мк'!AH15+'МД Франківськ'!AH15</f>
        <v>101</v>
      </c>
      <c r="J15" s="44">
        <v>150</v>
      </c>
      <c r="K15" s="1">
        <f>VLOOKUP(B15,Цо!$B$2:$AH$74,33,FALSE)</f>
        <v>0</v>
      </c>
      <c r="L15" s="1">
        <f>VLOOKUP(B15,IRS!$B$2:$AH$73,33,FALSE)</f>
        <v>29</v>
      </c>
      <c r="M15" s="1">
        <f>VLOOKUP(B15,Катеринополь!$B$1:$AH$73,33,FALSE)</f>
        <v>22</v>
      </c>
      <c r="N15" s="1">
        <f>VLOOKUP(B15,'Мк нежин'!$B$2:$AH$73,33,FALSE)</f>
        <v>50</v>
      </c>
      <c r="O15" s="1">
        <f>VLOOKUP(B15,'ЕМС Вооз'!$B$2:$AH$73,33,FALSE)</f>
        <v>0</v>
      </c>
      <c r="P15" s="1">
        <f>VLOOKUP(B15,ООН!$H$2:$AN$73,33,FALSE)</f>
        <v>0</v>
      </c>
      <c r="Q15" s="1">
        <f>VLOOKUP(B15,'Червоний хрест'!$B$2:$AH$73,33,FALSE)</f>
        <v>0</v>
      </c>
      <c r="R15" s="1">
        <f>VLOOKUP(B15,Укрнафта!$D$2:$AJ$73,33,FALSE)</f>
        <v>0</v>
      </c>
      <c r="S15" s="1">
        <f>VLOOKUP(B15,Кернел!$I$2:$AO$73,33,FALSE)</f>
        <v>0</v>
      </c>
      <c r="T15" s="1">
        <f>VLOOKUP(B15,'Глобино Мк'!$B$2:$AH$73,33,FALSE)</f>
        <v>0</v>
      </c>
      <c r="U15" s="1">
        <f>VLOOKUP(B15,'МД Франківськ'!$B$2:$AH$73,33,FALSE)</f>
        <v>0</v>
      </c>
      <c r="V15" s="236">
        <f t="shared" si="5"/>
        <v>101</v>
      </c>
      <c r="W15" s="238">
        <f t="shared" si="6"/>
        <v>0</v>
      </c>
      <c r="X15" s="238">
        <f t="shared" si="7"/>
        <v>3359.4059405940593</v>
      </c>
      <c r="Y15" s="238">
        <f t="shared" si="8"/>
        <v>2548.5148514851485</v>
      </c>
      <c r="Z15" s="238">
        <f t="shared" si="9"/>
        <v>5792.0792079207922</v>
      </c>
      <c r="AA15" s="238">
        <f t="shared" si="10"/>
        <v>0</v>
      </c>
      <c r="AB15" s="238">
        <f t="shared" si="11"/>
        <v>0</v>
      </c>
      <c r="AC15" s="238">
        <f t="shared" si="12"/>
        <v>0</v>
      </c>
      <c r="AD15" s="238">
        <f t="shared" si="13"/>
        <v>0</v>
      </c>
      <c r="AE15" s="238">
        <f t="shared" si="14"/>
        <v>0</v>
      </c>
      <c r="AF15" s="238">
        <f t="shared" si="15"/>
        <v>0</v>
      </c>
      <c r="AG15" s="238">
        <f t="shared" si="16"/>
        <v>0</v>
      </c>
      <c r="AH15" s="1">
        <f t="shared" si="17"/>
        <v>11700</v>
      </c>
    </row>
    <row r="16" spans="1:34" ht="15.75" outlineLevel="1" x14ac:dyDescent="0.25">
      <c r="A16" s="154">
        <v>15</v>
      </c>
      <c r="B16" s="155" t="s">
        <v>43</v>
      </c>
      <c r="C16" s="153"/>
      <c r="D16" s="153">
        <v>3756.26</v>
      </c>
      <c r="E16" s="142">
        <f t="shared" si="2"/>
        <v>19350</v>
      </c>
      <c r="F16" s="144">
        <f>VLOOKUP(B16,'[1]Табель цех 01 по 15 червня'!$B$2:$H$77,7,FALSE)</f>
        <v>-30</v>
      </c>
      <c r="G16" s="144">
        <f t="shared" si="3"/>
        <v>15600</v>
      </c>
      <c r="H16" s="144">
        <f t="shared" si="4"/>
        <v>-36.260000000000218</v>
      </c>
      <c r="I16" s="125">
        <f>Цо!AH16+IRS!AH16+Катеринополь!AH16+'Мк нежин'!AH16+'ЕМС Вооз'!AH16+ООН!AN16+'Червоний хрест'!AH16+Укрнафта!AJ16+Кернел!AO16+'Глобино Мк'!AH16+'МД Франківськ'!AH16</f>
        <v>129</v>
      </c>
      <c r="J16" s="44">
        <v>150</v>
      </c>
      <c r="K16" s="1">
        <f>VLOOKUP(B16,Цо!$B$2:$AH$74,33,FALSE)</f>
        <v>0</v>
      </c>
      <c r="L16" s="1">
        <f>VLOOKUP(B16,IRS!$B$2:$AH$73,33,FALSE)</f>
        <v>0</v>
      </c>
      <c r="M16" s="1">
        <f>VLOOKUP(B16,Катеринополь!$B$1:$AH$73,33,FALSE)</f>
        <v>0</v>
      </c>
      <c r="N16" s="1">
        <f>VLOOKUP(B16,'Мк нежин'!$B$2:$AH$73,33,FALSE)</f>
        <v>0</v>
      </c>
      <c r="O16" s="1">
        <f>VLOOKUP(B16,'ЕМС Вооз'!$B$2:$AH$73,33,FALSE)</f>
        <v>30</v>
      </c>
      <c r="P16" s="1">
        <f>VLOOKUP(B16,ООН!$H$2:$AN$73,33,FALSE)</f>
        <v>55</v>
      </c>
      <c r="Q16" s="1">
        <f>VLOOKUP(B16,'Червоний хрест'!$B$2:$AH$73,33,FALSE)</f>
        <v>0</v>
      </c>
      <c r="R16" s="1">
        <f>VLOOKUP(B16,Укрнафта!$D$2:$AJ$73,33,FALSE)</f>
        <v>44</v>
      </c>
      <c r="S16" s="1">
        <f>VLOOKUP(B16,Кернел!$I$2:$AO$73,33,FALSE)</f>
        <v>0</v>
      </c>
      <c r="T16" s="1">
        <f>VLOOKUP(B16,'Глобино Мк'!$B$2:$AH$73,33,FALSE)</f>
        <v>0</v>
      </c>
      <c r="U16" s="1">
        <f>VLOOKUP(B16,'МД Франківськ'!$B$2:$AH$73,33,FALSE)</f>
        <v>0</v>
      </c>
      <c r="V16" s="236">
        <f t="shared" si="5"/>
        <v>129</v>
      </c>
      <c r="W16" s="238">
        <f t="shared" si="6"/>
        <v>0</v>
      </c>
      <c r="X16" s="238">
        <f t="shared" si="7"/>
        <v>0</v>
      </c>
      <c r="Y16" s="238">
        <f t="shared" si="8"/>
        <v>0</v>
      </c>
      <c r="Z16" s="238">
        <f t="shared" si="9"/>
        <v>0</v>
      </c>
      <c r="AA16" s="238">
        <f t="shared" si="10"/>
        <v>3627.9069767441861</v>
      </c>
      <c r="AB16" s="238">
        <f t="shared" si="11"/>
        <v>6651.1627906976737</v>
      </c>
      <c r="AC16" s="238">
        <f t="shared" si="12"/>
        <v>0</v>
      </c>
      <c r="AD16" s="238">
        <f t="shared" si="13"/>
        <v>5320.9302325581393</v>
      </c>
      <c r="AE16" s="238">
        <f t="shared" si="14"/>
        <v>0</v>
      </c>
      <c r="AF16" s="238">
        <f t="shared" si="15"/>
        <v>0</v>
      </c>
      <c r="AG16" s="238">
        <f t="shared" si="16"/>
        <v>0</v>
      </c>
      <c r="AH16" s="1">
        <f t="shared" si="17"/>
        <v>15599.999999999998</v>
      </c>
    </row>
    <row r="17" spans="1:34" ht="15.75" outlineLevel="1" x14ac:dyDescent="0.25">
      <c r="A17" s="154">
        <v>16</v>
      </c>
      <c r="B17" s="155" t="s">
        <v>645</v>
      </c>
      <c r="C17" s="153"/>
      <c r="D17" s="153">
        <v>3756.26</v>
      </c>
      <c r="E17" s="142">
        <f t="shared" si="2"/>
        <v>46800</v>
      </c>
      <c r="F17" s="144">
        <f>VLOOKUP(B17,'[1]Табель цех 01 по 15 червня'!$B$2:$H$77,7,FALSE)</f>
        <v>-12.770000000004075</v>
      </c>
      <c r="G17" s="144">
        <f t="shared" si="3"/>
        <v>43000</v>
      </c>
      <c r="H17" s="144">
        <f t="shared" si="4"/>
        <v>30.969999999993888</v>
      </c>
      <c r="I17" s="125">
        <f>Цо!AH17+IRS!AH17+Катеринополь!AH17+'Мк нежин'!AH17+'ЕМС Вооз'!AH17+ООН!AN17+'Червоний хрест'!AH17+Укрнафта!AJ17+Кернел!AO17+'Глобино Мк'!AH17+'МД Франківськ'!AH17</f>
        <v>312</v>
      </c>
      <c r="J17" s="44">
        <v>150</v>
      </c>
      <c r="K17" s="1">
        <f>VLOOKUP(B17,Цо!$B$2:$AH$74,33,FALSE)</f>
        <v>0</v>
      </c>
      <c r="L17" s="1">
        <f>VLOOKUP(B17,IRS!$B$2:$AH$73,33,FALSE)</f>
        <v>0</v>
      </c>
      <c r="M17" s="1">
        <f>VLOOKUP(B17,Катеринополь!$B$1:$AH$73,33,FALSE)</f>
        <v>0</v>
      </c>
      <c r="N17" s="1">
        <f>VLOOKUP(B17,'Мк нежин'!$B$2:$AH$73,33,FALSE)</f>
        <v>0</v>
      </c>
      <c r="O17" s="1">
        <f>VLOOKUP(B17,'ЕМС Вооз'!$B$2:$AH$73,33,FALSE)</f>
        <v>0</v>
      </c>
      <c r="P17" s="1">
        <f>VLOOKUP(B17,ООН!$H$2:$AN$73,33,FALSE)</f>
        <v>0</v>
      </c>
      <c r="Q17" s="1">
        <f>VLOOKUP(B17,'Червоний хрест'!$B$2:$AH$73,33,FALSE)</f>
        <v>0</v>
      </c>
      <c r="R17" s="1">
        <f>VLOOKUP(B17,Укрнафта!$D$2:$AJ$73,33,FALSE)</f>
        <v>0</v>
      </c>
      <c r="S17" s="1">
        <f>VLOOKUP(B17,Кернел!$I$2:$AO$73,33,FALSE)</f>
        <v>312</v>
      </c>
      <c r="T17" s="1">
        <f>VLOOKUP(B17,'Глобино Мк'!$B$2:$AH$73,33,FALSE)</f>
        <v>0</v>
      </c>
      <c r="U17" s="1">
        <f>VLOOKUP(B17,'МД Франківськ'!$B$2:$AH$73,33,FALSE)</f>
        <v>0</v>
      </c>
      <c r="V17" s="236">
        <f t="shared" si="5"/>
        <v>312</v>
      </c>
      <c r="W17" s="238">
        <f t="shared" si="6"/>
        <v>0</v>
      </c>
      <c r="X17" s="238">
        <f t="shared" si="7"/>
        <v>0</v>
      </c>
      <c r="Y17" s="238">
        <f t="shared" si="8"/>
        <v>0</v>
      </c>
      <c r="Z17" s="238">
        <f t="shared" si="9"/>
        <v>0</v>
      </c>
      <c r="AA17" s="238">
        <f t="shared" si="10"/>
        <v>0</v>
      </c>
      <c r="AB17" s="238">
        <f t="shared" si="11"/>
        <v>0</v>
      </c>
      <c r="AC17" s="238">
        <f t="shared" si="12"/>
        <v>0</v>
      </c>
      <c r="AD17" s="238">
        <f t="shared" si="13"/>
        <v>0</v>
      </c>
      <c r="AE17" s="238">
        <f t="shared" si="14"/>
        <v>43000</v>
      </c>
      <c r="AF17" s="238">
        <f t="shared" si="15"/>
        <v>0</v>
      </c>
      <c r="AG17" s="238">
        <f t="shared" si="16"/>
        <v>0</v>
      </c>
      <c r="AH17" s="1">
        <f t="shared" si="17"/>
        <v>43000</v>
      </c>
    </row>
    <row r="18" spans="1:34" ht="15.75" outlineLevel="1" x14ac:dyDescent="0.25">
      <c r="A18" s="154">
        <v>17</v>
      </c>
      <c r="B18" s="155" t="s">
        <v>87</v>
      </c>
      <c r="C18" s="153"/>
      <c r="D18" s="153">
        <v>3756.26</v>
      </c>
      <c r="E18" s="142">
        <f t="shared" si="2"/>
        <v>54000</v>
      </c>
      <c r="F18" s="144">
        <f>VLOOKUP(B18,'[1]Табель цех 01 по 15 червня'!$B$2:$H$77,7,FALSE)</f>
        <v>49.75</v>
      </c>
      <c r="G18" s="144">
        <f t="shared" si="3"/>
        <v>50200</v>
      </c>
      <c r="H18" s="144">
        <f t="shared" si="4"/>
        <v>93.489999999997963</v>
      </c>
      <c r="I18" s="125">
        <f>Цо!AH18+IRS!AH18+Катеринополь!AH18+'Мк нежин'!AH18+'ЕМС Вооз'!AH18+ООН!AN18+'Червоний хрест'!AH18+Укрнафта!AJ18+Кернел!AO18+'Глобино Мк'!AH18+'МД Франківськ'!AH18</f>
        <v>360</v>
      </c>
      <c r="J18" s="44">
        <v>150</v>
      </c>
      <c r="K18" s="1">
        <f>VLOOKUP(B18,Цо!$B$2:$AH$74,33,FALSE)</f>
        <v>0</v>
      </c>
      <c r="L18" s="1">
        <f>VLOOKUP(B18,IRS!$B$2:$AH$73,33,FALSE)</f>
        <v>0</v>
      </c>
      <c r="M18" s="1">
        <f>VLOOKUP(B18,Катеринополь!$B$1:$AH$73,33,FALSE)</f>
        <v>0</v>
      </c>
      <c r="N18" s="1">
        <f>VLOOKUP(B18,'Мк нежин'!$B$2:$AH$73,33,FALSE)</f>
        <v>0</v>
      </c>
      <c r="O18" s="1">
        <f>VLOOKUP(B18,'ЕМС Вооз'!$B$2:$AH$73,33,FALSE)</f>
        <v>360</v>
      </c>
      <c r="P18" s="1">
        <f>VLOOKUP(B18,ООН!$H$2:$AN$73,33,FALSE)</f>
        <v>0</v>
      </c>
      <c r="Q18" s="1">
        <f>VLOOKUP(B18,'Червоний хрест'!$B$2:$AH$73,33,FALSE)</f>
        <v>0</v>
      </c>
      <c r="R18" s="1">
        <f>VLOOKUP(B18,Укрнафта!$D$2:$AJ$73,33,FALSE)</f>
        <v>0</v>
      </c>
      <c r="S18" s="1">
        <f>VLOOKUP(B18,Кернел!$I$2:$AO$73,33,FALSE)</f>
        <v>0</v>
      </c>
      <c r="T18" s="1">
        <f>VLOOKUP(B18,'Глобино Мк'!$B$2:$AH$73,33,FALSE)</f>
        <v>0</v>
      </c>
      <c r="U18" s="1">
        <f>VLOOKUP(B18,'МД Франківськ'!$B$2:$AH$73,33,FALSE)</f>
        <v>0</v>
      </c>
      <c r="V18" s="236">
        <f t="shared" si="5"/>
        <v>360</v>
      </c>
      <c r="W18" s="238">
        <f t="shared" si="6"/>
        <v>0</v>
      </c>
      <c r="X18" s="238">
        <f t="shared" si="7"/>
        <v>0</v>
      </c>
      <c r="Y18" s="238">
        <f t="shared" si="8"/>
        <v>0</v>
      </c>
      <c r="Z18" s="238">
        <f t="shared" si="9"/>
        <v>0</v>
      </c>
      <c r="AA18" s="238">
        <f t="shared" si="10"/>
        <v>50200</v>
      </c>
      <c r="AB18" s="238">
        <f t="shared" si="11"/>
        <v>0</v>
      </c>
      <c r="AC18" s="238">
        <f t="shared" si="12"/>
        <v>0</v>
      </c>
      <c r="AD18" s="238">
        <f t="shared" si="13"/>
        <v>0</v>
      </c>
      <c r="AE18" s="238">
        <f t="shared" si="14"/>
        <v>0</v>
      </c>
      <c r="AF18" s="238">
        <f t="shared" si="15"/>
        <v>0</v>
      </c>
      <c r="AG18" s="238">
        <f t="shared" si="16"/>
        <v>0</v>
      </c>
      <c r="AH18" s="1">
        <f t="shared" si="17"/>
        <v>50200</v>
      </c>
    </row>
    <row r="19" spans="1:34" ht="15.75" outlineLevel="1" x14ac:dyDescent="0.25">
      <c r="A19" s="154">
        <v>18</v>
      </c>
      <c r="B19" s="155" t="s">
        <v>95</v>
      </c>
      <c r="C19" s="153"/>
      <c r="D19" s="153">
        <v>10632.39</v>
      </c>
      <c r="E19" s="142">
        <f t="shared" si="2"/>
        <v>17700</v>
      </c>
      <c r="F19" s="144">
        <f>VLOOKUP(B19,'[1]Табель цех 01 по 15 червня'!$B$2:$H$77,7,FALSE)</f>
        <v>-28.709999999999127</v>
      </c>
      <c r="G19" s="144">
        <f t="shared" si="3"/>
        <v>7100</v>
      </c>
      <c r="H19" s="144">
        <f t="shared" si="4"/>
        <v>-61.099999999998545</v>
      </c>
      <c r="I19" s="125">
        <f>Цо!AH19+IRS!AH19+Катеринополь!AH19+'Мк нежин'!AH19+'ЕМС Вооз'!AH19+ООН!AN19+'Червоний хрест'!AH19+Укрнафта!AJ19+Кернел!AO19+'Глобино Мк'!AH19+'МД Франківськ'!AH19</f>
        <v>118</v>
      </c>
      <c r="J19" s="44">
        <v>150</v>
      </c>
      <c r="K19" s="1">
        <f>VLOOKUP(B19,Цо!$B$2:$AH$74,33,FALSE)</f>
        <v>0</v>
      </c>
      <c r="L19" s="1">
        <f>VLOOKUP(B19,IRS!$B$2:$AH$73,33,FALSE)</f>
        <v>0</v>
      </c>
      <c r="M19" s="1">
        <f>VLOOKUP(B19,Катеринополь!$B$1:$AH$73,33,FALSE)</f>
        <v>55</v>
      </c>
      <c r="N19" s="1">
        <f>VLOOKUP(B19,'Мк нежин'!$B$2:$AH$73,33,FALSE)</f>
        <v>33</v>
      </c>
      <c r="O19" s="1">
        <f>VLOOKUP(B19,'ЕМС Вооз'!$B$2:$AH$73,33,FALSE)</f>
        <v>0</v>
      </c>
      <c r="P19" s="1">
        <f>VLOOKUP(B19,ООН!$H$2:$AN$73,33,FALSE)</f>
        <v>0</v>
      </c>
      <c r="Q19" s="1">
        <f>VLOOKUP(B19,'Червоний хрест'!$B$2:$AH$73,33,FALSE)</f>
        <v>0</v>
      </c>
      <c r="R19" s="1">
        <f>VLOOKUP(B19,Укрнафта!$D$2:$AJ$73,33,FALSE)</f>
        <v>11</v>
      </c>
      <c r="S19" s="1">
        <f>VLOOKUP(B19,Кернел!$I$2:$AO$73,33,FALSE)</f>
        <v>0</v>
      </c>
      <c r="T19" s="1">
        <f>VLOOKUP(B19,'Глобино Мк'!$B$2:$AH$73,33,FALSE)</f>
        <v>19</v>
      </c>
      <c r="U19" s="1">
        <f>VLOOKUP(B19,'МД Франківськ'!$B$2:$AH$73,33,FALSE)</f>
        <v>0</v>
      </c>
      <c r="V19" s="236">
        <f t="shared" si="5"/>
        <v>118</v>
      </c>
      <c r="W19" s="238">
        <f t="shared" si="6"/>
        <v>0</v>
      </c>
      <c r="X19" s="238">
        <f t="shared" si="7"/>
        <v>0</v>
      </c>
      <c r="Y19" s="238">
        <f t="shared" si="8"/>
        <v>3309.3220338983051</v>
      </c>
      <c r="Z19" s="238">
        <f t="shared" si="9"/>
        <v>1985.593220338983</v>
      </c>
      <c r="AA19" s="238">
        <f t="shared" si="10"/>
        <v>0</v>
      </c>
      <c r="AB19" s="238">
        <f t="shared" si="11"/>
        <v>0</v>
      </c>
      <c r="AC19" s="238">
        <f t="shared" si="12"/>
        <v>0</v>
      </c>
      <c r="AD19" s="238">
        <f t="shared" si="13"/>
        <v>661.86440677966107</v>
      </c>
      <c r="AE19" s="238">
        <f t="shared" si="14"/>
        <v>0</v>
      </c>
      <c r="AF19" s="238">
        <f t="shared" si="15"/>
        <v>1143.2203389830509</v>
      </c>
      <c r="AG19" s="238">
        <f t="shared" si="16"/>
        <v>0</v>
      </c>
      <c r="AH19" s="1">
        <f t="shared" si="17"/>
        <v>7100.0000000000009</v>
      </c>
    </row>
    <row r="20" spans="1:34" ht="15.75" outlineLevel="1" x14ac:dyDescent="0.25">
      <c r="A20" s="154">
        <v>19</v>
      </c>
      <c r="B20" s="155" t="s">
        <v>97</v>
      </c>
      <c r="C20" s="153"/>
      <c r="D20" s="153">
        <v>3756.26</v>
      </c>
      <c r="E20" s="142">
        <f t="shared" si="2"/>
        <v>19950</v>
      </c>
      <c r="F20" s="144">
        <f>VLOOKUP(B20,'[1]Табель цех 01 по 15 червня'!$B$2:$H$77,7,FALSE)</f>
        <v>19.5</v>
      </c>
      <c r="G20" s="144">
        <f t="shared" si="3"/>
        <v>16200</v>
      </c>
      <c r="H20" s="144">
        <f t="shared" si="4"/>
        <v>13.239999999999782</v>
      </c>
      <c r="I20" s="125">
        <f>Цо!AH20+IRS!AH20+Катеринополь!AH20+'Мк нежин'!AH20+'ЕМС Вооз'!AH20+ООН!AN20+'Червоний хрест'!AH20+Укрнафта!AJ20+Кернел!AO20+'Глобино Мк'!AH20+'МД Франківськ'!AH20</f>
        <v>133</v>
      </c>
      <c r="J20" s="44">
        <v>150</v>
      </c>
      <c r="K20" s="1">
        <f>VLOOKUP(B20,Цо!$B$2:$AH$74,33,FALSE)</f>
        <v>0</v>
      </c>
      <c r="L20" s="1">
        <f>VLOOKUP(B20,IRS!$B$2:$AH$73,33,FALSE)</f>
        <v>0</v>
      </c>
      <c r="M20" s="1">
        <f>VLOOKUP(B20,Катеринополь!$B$1:$AH$73,33,FALSE)</f>
        <v>0</v>
      </c>
      <c r="N20" s="1">
        <f>VLOOKUP(B20,'Мк нежин'!$B$2:$AH$73,33,FALSE)</f>
        <v>11</v>
      </c>
      <c r="O20" s="1">
        <f>VLOOKUP(B20,'ЕМС Вооз'!$B$2:$AH$73,33,FALSE)</f>
        <v>28</v>
      </c>
      <c r="P20" s="1">
        <f>VLOOKUP(B20,ООН!$H$2:$AN$73,33,FALSE)</f>
        <v>94</v>
      </c>
      <c r="Q20" s="1">
        <f>VLOOKUP(B20,'Червоний хрест'!$B$2:$AH$73,33,FALSE)</f>
        <v>0</v>
      </c>
      <c r="R20" s="1">
        <f>VLOOKUP(B20,Укрнафта!$D$2:$AJ$73,33,FALSE)</f>
        <v>0</v>
      </c>
      <c r="S20" s="1">
        <f>VLOOKUP(B20,Кернел!$I$2:$AO$73,33,FALSE)</f>
        <v>0</v>
      </c>
      <c r="T20" s="1">
        <f>VLOOKUP(B20,'Глобино Мк'!$B$2:$AH$73,33,FALSE)</f>
        <v>0</v>
      </c>
      <c r="U20" s="1">
        <f>VLOOKUP(B20,'МД Франківськ'!$B$2:$AH$73,33,FALSE)</f>
        <v>0</v>
      </c>
      <c r="V20" s="236">
        <f t="shared" si="5"/>
        <v>133</v>
      </c>
      <c r="W20" s="238">
        <f t="shared" si="6"/>
        <v>0</v>
      </c>
      <c r="X20" s="238">
        <f t="shared" si="7"/>
        <v>0</v>
      </c>
      <c r="Y20" s="238">
        <f t="shared" si="8"/>
        <v>0</v>
      </c>
      <c r="Z20" s="238">
        <f t="shared" si="9"/>
        <v>1339.8496240601503</v>
      </c>
      <c r="AA20" s="238">
        <f t="shared" si="10"/>
        <v>3410.5263157894733</v>
      </c>
      <c r="AB20" s="238">
        <f t="shared" si="11"/>
        <v>11449.624060150376</v>
      </c>
      <c r="AC20" s="238">
        <f t="shared" si="12"/>
        <v>0</v>
      </c>
      <c r="AD20" s="238">
        <f t="shared" si="13"/>
        <v>0</v>
      </c>
      <c r="AE20" s="238">
        <f t="shared" si="14"/>
        <v>0</v>
      </c>
      <c r="AF20" s="238">
        <f t="shared" si="15"/>
        <v>0</v>
      </c>
      <c r="AG20" s="238">
        <f t="shared" si="16"/>
        <v>0</v>
      </c>
      <c r="AH20" s="1">
        <f t="shared" si="17"/>
        <v>16200</v>
      </c>
    </row>
    <row r="21" spans="1:34" ht="15.75" outlineLevel="1" x14ac:dyDescent="0.25">
      <c r="A21" s="154">
        <v>20</v>
      </c>
      <c r="B21" s="155" t="s">
        <v>96</v>
      </c>
      <c r="C21" s="153"/>
      <c r="D21" s="153">
        <v>3756.26</v>
      </c>
      <c r="E21" s="142">
        <f t="shared" si="2"/>
        <v>36000</v>
      </c>
      <c r="F21" s="144">
        <f>VLOOKUP(B21,'[1]Табель цех 01 по 15 червня'!$B$2:$H$77,7,FALSE)</f>
        <v>-37.5</v>
      </c>
      <c r="G21" s="144">
        <f t="shared" si="3"/>
        <v>32200</v>
      </c>
      <c r="H21" s="144">
        <f t="shared" si="4"/>
        <v>6.2399999999979627</v>
      </c>
      <c r="I21" s="125">
        <f>Цо!AH21+IRS!AH21+Катеринополь!AH21+'Мк нежин'!AH21+'ЕМС Вооз'!AH21+ООН!AN21+'Червоний хрест'!AH21+Укрнафта!AJ21+Кернел!AO21+'Глобино Мк'!AH21+'МД Франківськ'!AH21</f>
        <v>240</v>
      </c>
      <c r="J21" s="44">
        <v>150</v>
      </c>
      <c r="K21" s="1">
        <f>VLOOKUP(B21,Цо!$B$2:$AH$74,33,FALSE)</f>
        <v>0</v>
      </c>
      <c r="L21" s="1">
        <f>VLOOKUP(B21,IRS!$B$2:$AH$73,33,FALSE)</f>
        <v>0</v>
      </c>
      <c r="M21" s="1">
        <f>VLOOKUP(B21,Катеринополь!$B$1:$AH$73,33,FALSE)</f>
        <v>0</v>
      </c>
      <c r="N21" s="1">
        <f>VLOOKUP(B21,'Мк нежин'!$B$2:$AH$73,33,FALSE)</f>
        <v>0</v>
      </c>
      <c r="O21" s="1">
        <f>VLOOKUP(B21,'ЕМС Вооз'!$B$2:$AH$73,33,FALSE)</f>
        <v>0</v>
      </c>
      <c r="P21" s="1">
        <f>VLOOKUP(B21,ООН!$H$2:$AN$73,33,FALSE)</f>
        <v>0</v>
      </c>
      <c r="Q21" s="1">
        <f>VLOOKUP(B21,'Червоний хрест'!$B$2:$AH$73,33,FALSE)</f>
        <v>0</v>
      </c>
      <c r="R21" s="1">
        <f>VLOOKUP(B21,Укрнафта!$D$2:$AJ$73,33,FALSE)</f>
        <v>0</v>
      </c>
      <c r="S21" s="1">
        <f>VLOOKUP(B21,Кернел!$I$2:$AO$73,33,FALSE)</f>
        <v>240</v>
      </c>
      <c r="T21" s="1">
        <f>VLOOKUP(B21,'Глобино Мк'!$B$2:$AH$73,33,FALSE)</f>
        <v>0</v>
      </c>
      <c r="U21" s="1">
        <f>VLOOKUP(B21,'МД Франківськ'!$B$2:$AH$73,33,FALSE)</f>
        <v>0</v>
      </c>
      <c r="V21" s="236">
        <f t="shared" si="5"/>
        <v>240</v>
      </c>
      <c r="W21" s="238">
        <f t="shared" si="6"/>
        <v>0</v>
      </c>
      <c r="X21" s="238">
        <f t="shared" si="7"/>
        <v>0</v>
      </c>
      <c r="Y21" s="238">
        <f t="shared" si="8"/>
        <v>0</v>
      </c>
      <c r="Z21" s="238">
        <f t="shared" si="9"/>
        <v>0</v>
      </c>
      <c r="AA21" s="238">
        <f t="shared" si="10"/>
        <v>0</v>
      </c>
      <c r="AB21" s="238">
        <f t="shared" si="11"/>
        <v>0</v>
      </c>
      <c r="AC21" s="238">
        <f t="shared" si="12"/>
        <v>0</v>
      </c>
      <c r="AD21" s="238">
        <f t="shared" si="13"/>
        <v>0</v>
      </c>
      <c r="AE21" s="238">
        <f t="shared" si="14"/>
        <v>32200</v>
      </c>
      <c r="AF21" s="238">
        <f t="shared" si="15"/>
        <v>0</v>
      </c>
      <c r="AG21" s="238">
        <f t="shared" si="16"/>
        <v>0</v>
      </c>
      <c r="AH21" s="1">
        <f t="shared" si="17"/>
        <v>32200</v>
      </c>
    </row>
    <row r="22" spans="1:34" ht="15.75" outlineLevel="1" x14ac:dyDescent="0.25">
      <c r="A22" s="154">
        <v>21</v>
      </c>
      <c r="B22" s="155" t="s">
        <v>98</v>
      </c>
      <c r="C22" s="153"/>
      <c r="D22" s="153">
        <v>3756.26</v>
      </c>
      <c r="E22" s="142">
        <f t="shared" si="2"/>
        <v>35400</v>
      </c>
      <c r="F22" s="144">
        <f>VLOOKUP(B22,'[1]Табель цех 01 по 15 червня'!$B$2:$H$77,7,FALSE)</f>
        <v>-38.450000000000728</v>
      </c>
      <c r="G22" s="144">
        <f t="shared" si="3"/>
        <v>31600</v>
      </c>
      <c r="H22" s="144">
        <f t="shared" si="4"/>
        <v>5.2900000000008731</v>
      </c>
      <c r="I22" s="125">
        <f>Цо!AH22+IRS!AH22+Катеринополь!AH22+'Мк нежин'!AH22+'ЕМС Вооз'!AH22+ООН!AN22+'Червоний хрест'!AH22+Укрнафта!AJ22+Кернел!AO22+'Глобино Мк'!AH22+'МД Франківськ'!AH22</f>
        <v>236</v>
      </c>
      <c r="J22" s="44">
        <v>150</v>
      </c>
      <c r="K22" s="1">
        <f>VLOOKUP(B22,Цо!$B$2:$AH$74,33,FALSE)</f>
        <v>0</v>
      </c>
      <c r="L22" s="1">
        <f>VLOOKUP(B22,IRS!$B$2:$AH$73,33,FALSE)</f>
        <v>11</v>
      </c>
      <c r="M22" s="1">
        <f>VLOOKUP(B22,Катеринополь!$B$1:$AH$73,33,FALSE)</f>
        <v>0</v>
      </c>
      <c r="N22" s="1">
        <f>VLOOKUP(B22,'Мк нежин'!$B$2:$AH$73,33,FALSE)</f>
        <v>7</v>
      </c>
      <c r="O22" s="1">
        <f>VLOOKUP(B22,'ЕМС Вооз'!$B$2:$AH$73,33,FALSE)</f>
        <v>0</v>
      </c>
      <c r="P22" s="1">
        <f>VLOOKUP(B22,ООН!$H$2:$AN$73,33,FALSE)</f>
        <v>26</v>
      </c>
      <c r="Q22" s="1">
        <f>VLOOKUP(B22,'Червоний хрест'!$B$2:$AH$73,33,FALSE)</f>
        <v>192</v>
      </c>
      <c r="R22" s="1">
        <f>VLOOKUP(B22,Укрнафта!$D$2:$AJ$73,33,FALSE)</f>
        <v>0</v>
      </c>
      <c r="S22" s="1">
        <f>VLOOKUP(B22,Кернел!$I$2:$AO$73,33,FALSE)</f>
        <v>0</v>
      </c>
      <c r="T22" s="1">
        <f>VLOOKUP(B22,'Глобино Мк'!$B$2:$AH$73,33,FALSE)</f>
        <v>0</v>
      </c>
      <c r="U22" s="1">
        <f>VLOOKUP(B22,'МД Франківськ'!$B$2:$AH$73,33,FALSE)</f>
        <v>0</v>
      </c>
      <c r="V22" s="236">
        <f t="shared" si="5"/>
        <v>236</v>
      </c>
      <c r="W22" s="238">
        <f t="shared" si="6"/>
        <v>0</v>
      </c>
      <c r="X22" s="238">
        <f t="shared" si="7"/>
        <v>1472.8813559322034</v>
      </c>
      <c r="Y22" s="238">
        <f t="shared" si="8"/>
        <v>0</v>
      </c>
      <c r="Z22" s="238">
        <f t="shared" si="9"/>
        <v>937.28813559322032</v>
      </c>
      <c r="AA22" s="238">
        <f t="shared" si="10"/>
        <v>0</v>
      </c>
      <c r="AB22" s="238">
        <f t="shared" si="11"/>
        <v>3481.3559322033898</v>
      </c>
      <c r="AC22" s="238">
        <f t="shared" si="12"/>
        <v>25708.474576271186</v>
      </c>
      <c r="AD22" s="238">
        <f t="shared" si="13"/>
        <v>0</v>
      </c>
      <c r="AE22" s="238">
        <f t="shared" si="14"/>
        <v>0</v>
      </c>
      <c r="AF22" s="238">
        <f t="shared" si="15"/>
        <v>0</v>
      </c>
      <c r="AG22" s="238">
        <f t="shared" si="16"/>
        <v>0</v>
      </c>
      <c r="AH22" s="1">
        <f t="shared" si="17"/>
        <v>31600</v>
      </c>
    </row>
    <row r="23" spans="1:34" ht="15.75" outlineLevel="1" x14ac:dyDescent="0.25">
      <c r="A23" s="154">
        <v>22</v>
      </c>
      <c r="B23" s="155" t="s">
        <v>99</v>
      </c>
      <c r="C23" s="153"/>
      <c r="D23" s="153">
        <v>3756.26</v>
      </c>
      <c r="E23" s="142">
        <f t="shared" si="2"/>
        <v>18750</v>
      </c>
      <c r="F23" s="144">
        <f>VLOOKUP(B23,'[1]Табель цех 01 по 15 червня'!$B$2:$H$77,7,FALSE)</f>
        <v>19.5</v>
      </c>
      <c r="G23" s="144">
        <f t="shared" si="3"/>
        <v>15000</v>
      </c>
      <c r="H23" s="144">
        <f t="shared" si="4"/>
        <v>13.239999999999782</v>
      </c>
      <c r="I23" s="125">
        <f>Цо!AH23+IRS!AH23+Катеринополь!AH23+'Мк нежин'!AH23+'ЕМС Вооз'!AH23+ООН!AN23+'Червоний хрест'!AH23+Укрнафта!AJ23+Кернел!AO23+'Глобино Мк'!AH23+'МД Франківськ'!AH23</f>
        <v>125</v>
      </c>
      <c r="J23" s="44">
        <v>150</v>
      </c>
      <c r="K23" s="1">
        <f>VLOOKUP(B23,Цо!$B$2:$AH$74,33,FALSE)</f>
        <v>0</v>
      </c>
      <c r="L23" s="1">
        <f>VLOOKUP(B23,IRS!$B$2:$AH$73,33,FALSE)</f>
        <v>22</v>
      </c>
      <c r="M23" s="1">
        <f>VLOOKUP(B23,Катеринополь!$B$1:$AH$73,33,FALSE)</f>
        <v>0</v>
      </c>
      <c r="N23" s="1">
        <f>VLOOKUP(B23,'Мк нежин'!$B$2:$AH$73,33,FALSE)</f>
        <v>11</v>
      </c>
      <c r="O23" s="1">
        <f>VLOOKUP(B23,'ЕМС Вооз'!$B$2:$AH$73,33,FALSE)</f>
        <v>18</v>
      </c>
      <c r="P23" s="1">
        <f>VLOOKUP(B23,ООН!$H$2:$AN$73,33,FALSE)</f>
        <v>41</v>
      </c>
      <c r="Q23" s="1">
        <f>VLOOKUP(B23,'Червоний хрест'!$B$2:$AH$73,33,FALSE)</f>
        <v>0</v>
      </c>
      <c r="R23" s="1">
        <f>VLOOKUP(B23,Укрнафта!$D$2:$AJ$73,33,FALSE)</f>
        <v>33</v>
      </c>
      <c r="S23" s="1">
        <f>VLOOKUP(B23,Кернел!$I$2:$AO$73,33,FALSE)</f>
        <v>0</v>
      </c>
      <c r="T23" s="1">
        <f>VLOOKUP(B23,'Глобино Мк'!$B$2:$AH$73,33,FALSE)</f>
        <v>0</v>
      </c>
      <c r="U23" s="1">
        <f>VLOOKUP(B23,'МД Франківськ'!$B$2:$AH$73,33,FALSE)</f>
        <v>0</v>
      </c>
      <c r="V23" s="236">
        <f t="shared" si="5"/>
        <v>125</v>
      </c>
      <c r="W23" s="238">
        <f t="shared" si="6"/>
        <v>0</v>
      </c>
      <c r="X23" s="238">
        <f t="shared" si="7"/>
        <v>2640</v>
      </c>
      <c r="Y23" s="238">
        <f t="shared" si="8"/>
        <v>0</v>
      </c>
      <c r="Z23" s="238">
        <f t="shared" si="9"/>
        <v>1320</v>
      </c>
      <c r="AA23" s="238">
        <f t="shared" si="10"/>
        <v>2160</v>
      </c>
      <c r="AB23" s="238">
        <f t="shared" si="11"/>
        <v>4920</v>
      </c>
      <c r="AC23" s="238">
        <f t="shared" si="12"/>
        <v>0</v>
      </c>
      <c r="AD23" s="238">
        <f t="shared" si="13"/>
        <v>3960</v>
      </c>
      <c r="AE23" s="238">
        <f t="shared" si="14"/>
        <v>0</v>
      </c>
      <c r="AF23" s="238">
        <f t="shared" si="15"/>
        <v>0</v>
      </c>
      <c r="AG23" s="238">
        <f t="shared" si="16"/>
        <v>0</v>
      </c>
      <c r="AH23" s="1">
        <f t="shared" si="17"/>
        <v>15000</v>
      </c>
    </row>
    <row r="24" spans="1:34" ht="15" customHeight="1" outlineLevel="1" x14ac:dyDescent="0.25">
      <c r="A24" s="154">
        <v>23</v>
      </c>
      <c r="B24" s="155" t="s">
        <v>617</v>
      </c>
      <c r="C24" s="153"/>
      <c r="D24" s="153">
        <v>3756.26</v>
      </c>
      <c r="E24" s="142">
        <f t="shared" si="2"/>
        <v>13500</v>
      </c>
      <c r="F24" s="144">
        <f>VLOOKUP(B24,'[1]Табель цех 01 по 15 червня'!$B$2:$H$77,7,FALSE)</f>
        <v>39.620000000002619</v>
      </c>
      <c r="G24" s="144">
        <f t="shared" si="3"/>
        <v>9700</v>
      </c>
      <c r="H24" s="144">
        <f t="shared" si="4"/>
        <v>83.360000000002401</v>
      </c>
      <c r="I24" s="125">
        <f>Цо!AH24+IRS!AH24+Катеринополь!AH24+'Мк нежин'!AH24+'ЕМС Вооз'!AH24+ООН!AN24+'Червоний хрест'!AH24+Укрнафта!AJ24+Кернел!AO24+'Глобино Мк'!AH24+'МД Франківськ'!AH24</f>
        <v>90</v>
      </c>
      <c r="J24" s="44">
        <v>150</v>
      </c>
      <c r="K24" s="1">
        <f>VLOOKUP(B24,Цо!$B$2:$AH$74,33,FALSE)</f>
        <v>0</v>
      </c>
      <c r="L24" s="1">
        <f>VLOOKUP(B24,IRS!$B$2:$AH$73,33,FALSE)</f>
        <v>13</v>
      </c>
      <c r="M24" s="1">
        <f>VLOOKUP(B24,Катеринополь!$B$1:$AH$73,33,FALSE)</f>
        <v>0</v>
      </c>
      <c r="N24" s="1">
        <f>VLOOKUP(B24,'Мк нежин'!$B$2:$AH$73,33,FALSE)</f>
        <v>33</v>
      </c>
      <c r="O24" s="1">
        <f>VLOOKUP(B24,'ЕМС Вооз'!$B$2:$AH$73,33,FALSE)</f>
        <v>0</v>
      </c>
      <c r="P24" s="1">
        <f>VLOOKUP(B24,ООН!$H$2:$AN$73,33,FALSE)</f>
        <v>33</v>
      </c>
      <c r="Q24" s="1">
        <f>VLOOKUP(B24,'Червоний хрест'!$B$2:$AH$73,33,FALSE)</f>
        <v>0</v>
      </c>
      <c r="R24" s="1">
        <f>VLOOKUP(B24,Укрнафта!$D$2:$AJ$73,33,FALSE)</f>
        <v>11</v>
      </c>
      <c r="S24" s="1">
        <f>VLOOKUP(B24,Кернел!$I$2:$AO$73,33,FALSE)</f>
        <v>0</v>
      </c>
      <c r="T24" s="1">
        <f>VLOOKUP(B24,'Глобино Мк'!$B$2:$AH$73,33,FALSE)</f>
        <v>0</v>
      </c>
      <c r="U24" s="1">
        <f>VLOOKUP(B24,'МД Франківськ'!$B$2:$AH$73,33,FALSE)</f>
        <v>0</v>
      </c>
      <c r="V24" s="236">
        <f t="shared" si="5"/>
        <v>90</v>
      </c>
      <c r="W24" s="238">
        <f t="shared" si="6"/>
        <v>0</v>
      </c>
      <c r="X24" s="238">
        <f t="shared" si="7"/>
        <v>1401.1111111111111</v>
      </c>
      <c r="Y24" s="238">
        <f t="shared" si="8"/>
        <v>0</v>
      </c>
      <c r="Z24" s="238">
        <f t="shared" si="9"/>
        <v>3556.6666666666665</v>
      </c>
      <c r="AA24" s="238">
        <f t="shared" si="10"/>
        <v>0</v>
      </c>
      <c r="AB24" s="238">
        <f t="shared" si="11"/>
        <v>3556.6666666666665</v>
      </c>
      <c r="AC24" s="238">
        <f t="shared" si="12"/>
        <v>0</v>
      </c>
      <c r="AD24" s="238">
        <f t="shared" si="13"/>
        <v>1185.5555555555554</v>
      </c>
      <c r="AE24" s="238">
        <f t="shared" si="14"/>
        <v>0</v>
      </c>
      <c r="AF24" s="238">
        <f t="shared" si="15"/>
        <v>0</v>
      </c>
      <c r="AG24" s="238">
        <f t="shared" si="16"/>
        <v>0</v>
      </c>
      <c r="AH24" s="1">
        <f t="shared" si="17"/>
        <v>9699.9999999999982</v>
      </c>
    </row>
    <row r="25" spans="1:34" ht="15.75" outlineLevel="1" x14ac:dyDescent="0.25">
      <c r="A25" s="154">
        <v>24</v>
      </c>
      <c r="B25" s="155" t="s">
        <v>618</v>
      </c>
      <c r="C25" s="153"/>
      <c r="D25" s="153"/>
      <c r="E25" s="142">
        <f t="shared" si="2"/>
        <v>7200</v>
      </c>
      <c r="F25" s="144">
        <f>VLOOKUP(B25,'[1]Табель цех 01 по 15 червня'!$B$2:$H$77,7,FALSE)</f>
        <v>-32</v>
      </c>
      <c r="G25" s="144">
        <f t="shared" si="3"/>
        <v>7200</v>
      </c>
      <c r="H25" s="144">
        <f t="shared" si="4"/>
        <v>-32</v>
      </c>
      <c r="I25" s="125">
        <f>Цо!AH25+IRS!AH25+Катеринополь!AH25+'Мк нежин'!AH25+'ЕМС Вооз'!AH25+ООН!AN25+'Червоний хрест'!AH25+Укрнафта!AJ25+Кернел!AO25+'Глобино Мк'!AH25+'МД Франківськ'!AH25</f>
        <v>48</v>
      </c>
      <c r="J25" s="44">
        <v>150</v>
      </c>
      <c r="K25" s="1">
        <f>VLOOKUP(B25,Цо!$B$2:$AH$74,33,FALSE)</f>
        <v>0</v>
      </c>
      <c r="L25" s="1">
        <f>VLOOKUP(B25,IRS!$B$2:$AH$73,33,FALSE)</f>
        <v>0</v>
      </c>
      <c r="M25" s="1">
        <f>VLOOKUP(B25,Катеринополь!$B$1:$AH$73,33,FALSE)</f>
        <v>0</v>
      </c>
      <c r="N25" s="1">
        <f>VLOOKUP(B25,'Мк нежин'!$B$2:$AH$73,33,FALSE)</f>
        <v>0</v>
      </c>
      <c r="O25" s="1">
        <f>VLOOKUP(B25,'ЕМС Вооз'!$B$2:$AH$73,33,FALSE)</f>
        <v>48</v>
      </c>
      <c r="P25" s="1">
        <f>VLOOKUP(B25,ООН!$H$2:$AN$73,33,FALSE)</f>
        <v>0</v>
      </c>
      <c r="Q25" s="1">
        <f>VLOOKUP(B25,'Червоний хрест'!$B$2:$AH$73,33,FALSE)</f>
        <v>0</v>
      </c>
      <c r="R25" s="1">
        <f>VLOOKUP(B25,Укрнафта!$D$2:$AJ$73,33,FALSE)</f>
        <v>0</v>
      </c>
      <c r="S25" s="1">
        <f>VLOOKUP(B25,Кернел!$I$2:$AO$73,33,FALSE)</f>
        <v>0</v>
      </c>
      <c r="T25" s="1">
        <f>VLOOKUP(B25,'Глобино Мк'!$B$2:$AH$73,33,FALSE)</f>
        <v>0</v>
      </c>
      <c r="U25" s="1">
        <f>VLOOKUP(B25,'МД Франківськ'!$B$2:$AH$73,33,FALSE)</f>
        <v>0</v>
      </c>
      <c r="V25" s="236">
        <f t="shared" si="5"/>
        <v>48</v>
      </c>
      <c r="W25" s="238">
        <f t="shared" si="6"/>
        <v>0</v>
      </c>
      <c r="X25" s="238">
        <f t="shared" si="7"/>
        <v>0</v>
      </c>
      <c r="Y25" s="238">
        <f t="shared" si="8"/>
        <v>0</v>
      </c>
      <c r="Z25" s="238">
        <f t="shared" si="9"/>
        <v>0</v>
      </c>
      <c r="AA25" s="238">
        <f t="shared" si="10"/>
        <v>7200</v>
      </c>
      <c r="AB25" s="238">
        <f t="shared" si="11"/>
        <v>0</v>
      </c>
      <c r="AC25" s="238">
        <f t="shared" si="12"/>
        <v>0</v>
      </c>
      <c r="AD25" s="238">
        <f t="shared" si="13"/>
        <v>0</v>
      </c>
      <c r="AE25" s="238">
        <f t="shared" si="14"/>
        <v>0</v>
      </c>
      <c r="AF25" s="238">
        <f t="shared" si="15"/>
        <v>0</v>
      </c>
      <c r="AG25" s="238">
        <f t="shared" si="16"/>
        <v>0</v>
      </c>
      <c r="AH25" s="1">
        <f t="shared" si="17"/>
        <v>7200</v>
      </c>
    </row>
    <row r="26" spans="1:34" ht="15.75" outlineLevel="1" x14ac:dyDescent="0.25">
      <c r="A26" s="154">
        <v>25</v>
      </c>
      <c r="B26" s="155" t="s">
        <v>629</v>
      </c>
      <c r="C26" s="153"/>
      <c r="D26" s="153"/>
      <c r="E26" s="142">
        <f t="shared" si="2"/>
        <v>0</v>
      </c>
      <c r="F26" s="144">
        <f>VLOOKUP(B26,'[1]Табель цех 01 по 15 червня'!$B$2:$H$77,7,FALSE)</f>
        <v>0</v>
      </c>
      <c r="G26" s="144">
        <f t="shared" si="3"/>
        <v>0</v>
      </c>
      <c r="H26" s="144">
        <f t="shared" si="4"/>
        <v>0</v>
      </c>
      <c r="I26" s="125">
        <f>Цо!AH26+IRS!AH26+Катеринополь!AH26+'Мк нежин'!AH26+'ЕМС Вооз'!AH26+ООН!AN26+'Червоний хрест'!AH26+Укрнафта!AJ26+Кернел!AO26+'Глобино Мк'!AH26+'МД Франківськ'!AH26</f>
        <v>0</v>
      </c>
      <c r="J26" s="44">
        <v>150</v>
      </c>
      <c r="K26" s="1">
        <f>VLOOKUP(B26,Цо!$B$2:$AH$74,33,FALSE)</f>
        <v>0</v>
      </c>
      <c r="L26" s="1">
        <f>VLOOKUP(B26,IRS!$B$2:$AH$73,33,FALSE)</f>
        <v>0</v>
      </c>
      <c r="M26" s="1">
        <f>VLOOKUP(B26,Катеринополь!$B$1:$AH$73,33,FALSE)</f>
        <v>0</v>
      </c>
      <c r="N26" s="1">
        <f>VLOOKUP(B26,'Мк нежин'!$B$2:$AH$73,33,FALSE)</f>
        <v>0</v>
      </c>
      <c r="O26" s="1">
        <f>VLOOKUP(B26,'ЕМС Вооз'!$B$2:$AH$73,33,FALSE)</f>
        <v>0</v>
      </c>
      <c r="P26" s="1">
        <f>VLOOKUP(B26,ООН!$H$2:$AN$73,33,FALSE)</f>
        <v>0</v>
      </c>
      <c r="Q26" s="1">
        <f>VLOOKUP(B26,'Червоний хрест'!$B$2:$AH$73,33,FALSE)</f>
        <v>0</v>
      </c>
      <c r="R26" s="1">
        <f>VLOOKUP(B26,Укрнафта!$D$2:$AJ$73,33,FALSE)</f>
        <v>0</v>
      </c>
      <c r="S26" s="1">
        <f>VLOOKUP(B26,Кернел!$I$2:$AO$73,33,FALSE)</f>
        <v>0</v>
      </c>
      <c r="T26" s="1">
        <f>VLOOKUP(B26,'Глобино Мк'!$B$2:$AH$73,33,FALSE)</f>
        <v>0</v>
      </c>
      <c r="U26" s="1">
        <f>VLOOKUP(B26,'МД Франківськ'!$B$2:$AH$73,33,FALSE)</f>
        <v>0</v>
      </c>
      <c r="V26" s="236">
        <f t="shared" si="5"/>
        <v>0</v>
      </c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1">
        <f t="shared" si="17"/>
        <v>0</v>
      </c>
    </row>
    <row r="27" spans="1:34" ht="15.75" outlineLevel="1" x14ac:dyDescent="0.25">
      <c r="A27" s="154">
        <v>26</v>
      </c>
      <c r="B27" s="155" t="s">
        <v>619</v>
      </c>
      <c r="C27" s="153"/>
      <c r="D27" s="153"/>
      <c r="E27" s="142">
        <f t="shared" si="2"/>
        <v>7200</v>
      </c>
      <c r="F27" s="144">
        <v>0</v>
      </c>
      <c r="G27" s="144">
        <f t="shared" si="3"/>
        <v>7200</v>
      </c>
      <c r="H27" s="144">
        <f t="shared" si="4"/>
        <v>0</v>
      </c>
      <c r="I27" s="125">
        <f>Цо!AH27+IRS!AH27+Катеринополь!AH27+'Мк нежин'!AH27+'ЕМС Вооз'!AH27+ООН!AN27+'Червоний хрест'!AH27+Укрнафта!AJ27+Кернел!AO27+'Глобино Мк'!AH27+'МД Франківськ'!AH27</f>
        <v>48</v>
      </c>
      <c r="J27" s="44">
        <v>150</v>
      </c>
      <c r="K27" s="1">
        <f>VLOOKUP(B27,Цо!$B$2:$AH$74,33,FALSE)</f>
        <v>0</v>
      </c>
      <c r="L27" s="1">
        <f>VLOOKUP(B27,IRS!$B$2:$AH$73,33,FALSE)</f>
        <v>0</v>
      </c>
      <c r="M27" s="1">
        <f>VLOOKUP(B27,Катеринополь!$B$1:$AH$73,33,FALSE)</f>
        <v>0</v>
      </c>
      <c r="N27" s="1">
        <f>VLOOKUP(B27,'Мк нежин'!$B$2:$AH$73,33,FALSE)</f>
        <v>0</v>
      </c>
      <c r="O27" s="1">
        <f>VLOOKUP(B27,'ЕМС Вооз'!$B$2:$AH$73,33,FALSE)</f>
        <v>48</v>
      </c>
      <c r="P27" s="1">
        <f>VLOOKUP(B27,ООН!$H$2:$AN$73,33,FALSE)</f>
        <v>0</v>
      </c>
      <c r="Q27" s="1">
        <f>VLOOKUP(B27,'Червоний хрест'!$B$2:$AH$73,33,FALSE)</f>
        <v>0</v>
      </c>
      <c r="R27" s="1">
        <f>VLOOKUP(B27,Укрнафта!$D$2:$AJ$73,33,FALSE)</f>
        <v>0</v>
      </c>
      <c r="S27" s="1">
        <f>VLOOKUP(B27,Кернел!$I$2:$AO$73,33,FALSE)</f>
        <v>0</v>
      </c>
      <c r="T27" s="1">
        <f>VLOOKUP(B27,'Глобино Мк'!$B$2:$AH$73,33,FALSE)</f>
        <v>0</v>
      </c>
      <c r="U27" s="1">
        <f>VLOOKUP(B27,'МД Франківськ'!$B$2:$AH$73,33,FALSE)</f>
        <v>0</v>
      </c>
      <c r="V27" s="236">
        <f t="shared" si="5"/>
        <v>48</v>
      </c>
      <c r="W27" s="238">
        <f t="shared" si="6"/>
        <v>0</v>
      </c>
      <c r="X27" s="238">
        <f t="shared" si="7"/>
        <v>0</v>
      </c>
      <c r="Y27" s="238">
        <f t="shared" si="8"/>
        <v>0</v>
      </c>
      <c r="Z27" s="238">
        <f t="shared" si="9"/>
        <v>0</v>
      </c>
      <c r="AA27" s="238">
        <f t="shared" si="10"/>
        <v>7200</v>
      </c>
      <c r="AB27" s="238">
        <f t="shared" si="11"/>
        <v>0</v>
      </c>
      <c r="AC27" s="238">
        <f t="shared" si="12"/>
        <v>0</v>
      </c>
      <c r="AD27" s="238">
        <f t="shared" si="13"/>
        <v>0</v>
      </c>
      <c r="AE27" s="238">
        <f t="shared" si="14"/>
        <v>0</v>
      </c>
      <c r="AF27" s="238">
        <f t="shared" si="15"/>
        <v>0</v>
      </c>
      <c r="AG27" s="238">
        <f t="shared" si="16"/>
        <v>0</v>
      </c>
      <c r="AH27" s="1">
        <f t="shared" si="17"/>
        <v>7200</v>
      </c>
    </row>
    <row r="28" spans="1:34" ht="15.75" outlineLevel="1" x14ac:dyDescent="0.25">
      <c r="A28" s="154">
        <v>27</v>
      </c>
      <c r="B28" s="155" t="s">
        <v>620</v>
      </c>
      <c r="C28" s="153"/>
      <c r="D28" s="153">
        <v>3756.26</v>
      </c>
      <c r="E28" s="142">
        <f t="shared" si="2"/>
        <v>20250</v>
      </c>
      <c r="F28" s="144">
        <f>VLOOKUP(B28,'[1]Табель цех 01 по 15 червня'!$B$2:$H$77,7,FALSE)</f>
        <v>-30</v>
      </c>
      <c r="G28" s="144">
        <f t="shared" si="3"/>
        <v>16500</v>
      </c>
      <c r="H28" s="144">
        <f t="shared" si="4"/>
        <v>-36.260000000002037</v>
      </c>
      <c r="I28" s="125">
        <f>Цо!AH28+IRS!AH28+Катеринополь!AH28+'Мк нежин'!AH28+'ЕМС Вооз'!AH28+ООН!AN28+'Червоний хрест'!AH28+Укрнафта!AJ28+Кернел!AO28+'Глобино Мк'!AH28+'МД Франківськ'!AH28</f>
        <v>135</v>
      </c>
      <c r="J28" s="44">
        <v>150</v>
      </c>
      <c r="K28" s="1">
        <f>VLOOKUP(B28,Цо!$B$2:$AH$74,33,FALSE)</f>
        <v>0</v>
      </c>
      <c r="L28" s="1">
        <f>VLOOKUP(B28,IRS!$B$2:$AH$73,33,FALSE)</f>
        <v>11</v>
      </c>
      <c r="M28" s="1">
        <f>VLOOKUP(B28,Катеринополь!$B$1:$AH$73,33,FALSE)</f>
        <v>0</v>
      </c>
      <c r="N28" s="1">
        <f>VLOOKUP(B28,'Мк нежин'!$B$2:$AH$73,33,FALSE)</f>
        <v>11</v>
      </c>
      <c r="O28" s="1">
        <f>VLOOKUP(B28,'ЕМС Вооз'!$B$2:$AH$73,33,FALSE)</f>
        <v>30</v>
      </c>
      <c r="P28" s="1">
        <f>VLOOKUP(B28,ООН!$H$2:$AN$73,33,FALSE)</f>
        <v>83</v>
      </c>
      <c r="Q28" s="1">
        <f>VLOOKUP(B28,'Червоний хрест'!$B$2:$AH$73,33,FALSE)</f>
        <v>0</v>
      </c>
      <c r="R28" s="1">
        <f>VLOOKUP(B28,Укрнафта!$D$2:$AJ$73,33,FALSE)</f>
        <v>0</v>
      </c>
      <c r="S28" s="1">
        <f>VLOOKUP(B28,Кернел!$I$2:$AO$73,33,FALSE)</f>
        <v>0</v>
      </c>
      <c r="T28" s="1">
        <f>VLOOKUP(B28,'Глобино Мк'!$B$2:$AH$73,33,FALSE)</f>
        <v>0</v>
      </c>
      <c r="U28" s="1">
        <f>VLOOKUP(B28,'МД Франківськ'!$B$2:$AH$73,33,FALSE)</f>
        <v>0</v>
      </c>
      <c r="V28" s="236">
        <f t="shared" si="5"/>
        <v>135</v>
      </c>
      <c r="W28" s="238">
        <f t="shared" si="6"/>
        <v>0</v>
      </c>
      <c r="X28" s="238">
        <f t="shared" si="7"/>
        <v>1344.4444444444446</v>
      </c>
      <c r="Y28" s="238">
        <f t="shared" si="8"/>
        <v>0</v>
      </c>
      <c r="Z28" s="238">
        <f t="shared" si="9"/>
        <v>1344.4444444444446</v>
      </c>
      <c r="AA28" s="238">
        <f t="shared" si="10"/>
        <v>3666.6666666666665</v>
      </c>
      <c r="AB28" s="238">
        <f t="shared" si="11"/>
        <v>10144.444444444445</v>
      </c>
      <c r="AC28" s="238">
        <f t="shared" si="12"/>
        <v>0</v>
      </c>
      <c r="AD28" s="238">
        <f t="shared" si="13"/>
        <v>0</v>
      </c>
      <c r="AE28" s="238">
        <f t="shared" si="14"/>
        <v>0</v>
      </c>
      <c r="AF28" s="238">
        <f t="shared" si="15"/>
        <v>0</v>
      </c>
      <c r="AG28" s="238">
        <f t="shared" si="16"/>
        <v>0</v>
      </c>
      <c r="AH28" s="1">
        <f t="shared" si="17"/>
        <v>16500</v>
      </c>
    </row>
    <row r="29" spans="1:34" ht="15.75" outlineLevel="1" x14ac:dyDescent="0.25">
      <c r="A29" s="154">
        <v>28</v>
      </c>
      <c r="B29" s="155" t="s">
        <v>622</v>
      </c>
      <c r="C29" s="153"/>
      <c r="D29" s="153"/>
      <c r="E29" s="142">
        <f t="shared" si="2"/>
        <v>13950</v>
      </c>
      <c r="F29" s="144">
        <f>VLOOKUP(B29,'[1]Табель цех 01 по 15 червня'!$B$2:$H$77,7,FALSE)</f>
        <v>-30</v>
      </c>
      <c r="G29" s="144">
        <f t="shared" si="3"/>
        <v>14000</v>
      </c>
      <c r="H29" s="144">
        <f t="shared" si="4"/>
        <v>-80</v>
      </c>
      <c r="I29" s="125">
        <f>Цо!AH29+IRS!AH29+Катеринополь!AH29+'Мк нежин'!AH29+'ЕМС Вооз'!AH29+ООН!AN29+'Червоний хрест'!AH29+Укрнафта!AJ29+Кернел!AO29+'Глобино Мк'!AH29+'МД Франківськ'!AH29</f>
        <v>93</v>
      </c>
      <c r="J29" s="44">
        <v>150</v>
      </c>
      <c r="K29" s="1">
        <f>VLOOKUP(B29,Цо!$B$2:$AH$74,33,FALSE)</f>
        <v>0</v>
      </c>
      <c r="L29" s="1">
        <f>VLOOKUP(B29,IRS!$B$2:$AH$73,33,FALSE)</f>
        <v>11</v>
      </c>
      <c r="M29" s="1">
        <f>VLOOKUP(B29,Катеринополь!$B$1:$AH$73,33,FALSE)</f>
        <v>0</v>
      </c>
      <c r="N29" s="1">
        <f>VLOOKUP(B29,'Мк нежин'!$B$2:$AH$73,33,FALSE)</f>
        <v>6</v>
      </c>
      <c r="O29" s="1">
        <f>VLOOKUP(B29,'ЕМС Вооз'!$B$2:$AH$73,33,FALSE)</f>
        <v>0</v>
      </c>
      <c r="P29" s="1">
        <f>VLOOKUP(B29,ООН!$H$2:$AN$73,33,FALSE)</f>
        <v>43</v>
      </c>
      <c r="Q29" s="1">
        <f>VLOOKUP(B29,'Червоний хрест'!$B$2:$AH$73,33,FALSE)</f>
        <v>0</v>
      </c>
      <c r="R29" s="1">
        <f>VLOOKUP(B29,Укрнафта!$D$2:$AJ$73,33,FALSE)</f>
        <v>33</v>
      </c>
      <c r="S29" s="1">
        <f>VLOOKUP(B29,Кернел!$I$2:$AO$73,33,FALSE)</f>
        <v>0</v>
      </c>
      <c r="T29" s="1">
        <f>VLOOKUP(B29,'Глобино Мк'!$B$2:$AH$73,33,FALSE)</f>
        <v>0</v>
      </c>
      <c r="U29" s="1">
        <f>VLOOKUP(B29,'МД Франківськ'!$B$2:$AH$73,33,FALSE)</f>
        <v>0</v>
      </c>
      <c r="V29" s="236">
        <f t="shared" si="5"/>
        <v>93</v>
      </c>
      <c r="W29" s="238">
        <f t="shared" si="6"/>
        <v>0</v>
      </c>
      <c r="X29" s="238">
        <f t="shared" si="7"/>
        <v>1655.9139784946237</v>
      </c>
      <c r="Y29" s="238">
        <f t="shared" si="8"/>
        <v>0</v>
      </c>
      <c r="Z29" s="238">
        <f t="shared" si="9"/>
        <v>903.22580645161293</v>
      </c>
      <c r="AA29" s="238">
        <f t="shared" si="10"/>
        <v>0</v>
      </c>
      <c r="AB29" s="238">
        <f t="shared" si="11"/>
        <v>6473.1182795698924</v>
      </c>
      <c r="AC29" s="238">
        <f t="shared" si="12"/>
        <v>0</v>
      </c>
      <c r="AD29" s="238">
        <f t="shared" si="13"/>
        <v>4967.7419354838712</v>
      </c>
      <c r="AE29" s="238">
        <f t="shared" si="14"/>
        <v>0</v>
      </c>
      <c r="AF29" s="238">
        <f t="shared" si="15"/>
        <v>0</v>
      </c>
      <c r="AG29" s="238">
        <f t="shared" si="16"/>
        <v>0</v>
      </c>
      <c r="AH29" s="1">
        <f t="shared" si="17"/>
        <v>14000</v>
      </c>
    </row>
    <row r="30" spans="1:34" ht="15.75" outlineLevel="1" x14ac:dyDescent="0.25">
      <c r="A30" s="154">
        <v>29</v>
      </c>
      <c r="B30" s="155" t="s">
        <v>665</v>
      </c>
      <c r="C30" s="153"/>
      <c r="D30" s="153">
        <v>1878.13</v>
      </c>
      <c r="E30" s="142">
        <f t="shared" si="2"/>
        <v>16500</v>
      </c>
      <c r="F30" s="144">
        <f>VLOOKUP(B30,'[1]Табель цех 01 по 15 червня'!$B$2:$H$77,7,FALSE)</f>
        <v>-8.3399999999983265</v>
      </c>
      <c r="G30" s="144">
        <f t="shared" si="3"/>
        <v>14600</v>
      </c>
      <c r="H30" s="144">
        <f t="shared" si="4"/>
        <v>13.530000000002474</v>
      </c>
      <c r="I30" s="125">
        <f>Цо!AH30+IRS!AH30+Катеринополь!AH30+'Мк нежин'!AH30+'ЕМС Вооз'!AH30+ООН!AN30+'Червоний хрест'!AH30+Укрнафта!AJ30+Кернел!AO30+'Глобино Мк'!AH30+'МД Франківськ'!AH30</f>
        <v>110</v>
      </c>
      <c r="J30" s="44">
        <v>150</v>
      </c>
      <c r="K30" s="1">
        <f>VLOOKUP(B30,Цо!$B$2:$AH$74,33,FALSE)</f>
        <v>0</v>
      </c>
      <c r="L30" s="1">
        <f>VLOOKUP(B30,IRS!$B$2:$AH$73,33,FALSE)</f>
        <v>11</v>
      </c>
      <c r="M30" s="1">
        <f>VLOOKUP(B30,Катеринополь!$B$1:$AH$73,33,FALSE)</f>
        <v>55</v>
      </c>
      <c r="N30" s="1">
        <f>VLOOKUP(B30,'Мк нежин'!$B$2:$AH$73,33,FALSE)</f>
        <v>11</v>
      </c>
      <c r="O30" s="1">
        <f>VLOOKUP(B30,'ЕМС Вооз'!$B$2:$AH$73,33,FALSE)</f>
        <v>0</v>
      </c>
      <c r="P30" s="1">
        <f>VLOOKUP(B30,ООН!$H$2:$AN$73,33,FALSE)</f>
        <v>11</v>
      </c>
      <c r="Q30" s="1">
        <f>VLOOKUP(B30,'Червоний хрест'!$B$2:$AH$73,33,FALSE)</f>
        <v>0</v>
      </c>
      <c r="R30" s="1">
        <f>VLOOKUP(B30,Укрнафта!$D$2:$AJ$73,33,FALSE)</f>
        <v>0</v>
      </c>
      <c r="S30" s="1">
        <f>VLOOKUP(B30,Кернел!$I$2:$AO$73,33,FALSE)</f>
        <v>0</v>
      </c>
      <c r="T30" s="1">
        <f>VLOOKUP(B30,'Глобино Мк'!$B$2:$AH$73,33,FALSE)</f>
        <v>22</v>
      </c>
      <c r="U30" s="1">
        <f>VLOOKUP(B30,'МД Франківськ'!$B$2:$AH$73,33,FALSE)</f>
        <v>0</v>
      </c>
      <c r="V30" s="236">
        <f t="shared" si="5"/>
        <v>110</v>
      </c>
      <c r="W30" s="238">
        <f t="shared" si="6"/>
        <v>0</v>
      </c>
      <c r="X30" s="238">
        <f t="shared" si="7"/>
        <v>1460</v>
      </c>
      <c r="Y30" s="238">
        <f t="shared" si="8"/>
        <v>7300</v>
      </c>
      <c r="Z30" s="238">
        <f t="shared" si="9"/>
        <v>1460</v>
      </c>
      <c r="AA30" s="238">
        <f t="shared" si="10"/>
        <v>0</v>
      </c>
      <c r="AB30" s="238">
        <f t="shared" si="11"/>
        <v>1460</v>
      </c>
      <c r="AC30" s="238">
        <f t="shared" si="12"/>
        <v>0</v>
      </c>
      <c r="AD30" s="238">
        <f t="shared" si="13"/>
        <v>0</v>
      </c>
      <c r="AE30" s="238">
        <f t="shared" si="14"/>
        <v>0</v>
      </c>
      <c r="AF30" s="238">
        <f t="shared" si="15"/>
        <v>2920</v>
      </c>
      <c r="AG30" s="238">
        <f t="shared" si="16"/>
        <v>0</v>
      </c>
      <c r="AH30" s="1">
        <f t="shared" si="17"/>
        <v>14600</v>
      </c>
    </row>
    <row r="31" spans="1:34" ht="15.75" outlineLevel="1" x14ac:dyDescent="0.25">
      <c r="A31" s="154">
        <v>30</v>
      </c>
      <c r="B31" s="155" t="s">
        <v>623</v>
      </c>
      <c r="C31" s="153"/>
      <c r="D31" s="153"/>
      <c r="E31" s="142">
        <f t="shared" si="2"/>
        <v>7200</v>
      </c>
      <c r="F31" s="144">
        <f>VLOOKUP(B31,'[1]Табель цех 01 по 15 червня'!$B$2:$H$77,7,FALSE)</f>
        <v>0</v>
      </c>
      <c r="G31" s="144">
        <f t="shared" si="3"/>
        <v>7200</v>
      </c>
      <c r="H31" s="144">
        <f t="shared" si="4"/>
        <v>0</v>
      </c>
      <c r="I31" s="125">
        <f>Цо!AH31+IRS!AH31+Катеринополь!AH31+'Мк нежин'!AH31+'ЕМС Вооз'!AH31+ООН!AN31+'Червоний хрест'!AH31+Укрнафта!AJ31+Кернел!AO31+'Глобино Мк'!AH31+'МД Франківськ'!AH31</f>
        <v>48</v>
      </c>
      <c r="J31" s="44">
        <v>150</v>
      </c>
      <c r="K31" s="1">
        <f>VLOOKUP(B31,Цо!$B$2:$AH$74,33,FALSE)</f>
        <v>0</v>
      </c>
      <c r="L31" s="1">
        <f>VLOOKUP(B31,IRS!$B$2:$AH$73,33,FALSE)</f>
        <v>0</v>
      </c>
      <c r="M31" s="1">
        <f>VLOOKUP(B31,Катеринополь!$B$1:$AH$73,33,FALSE)</f>
        <v>0</v>
      </c>
      <c r="N31" s="1">
        <f>VLOOKUP(B31,'Мк нежин'!$B$2:$AH$73,33,FALSE)</f>
        <v>0</v>
      </c>
      <c r="O31" s="1">
        <f>VLOOKUP(B31,'ЕМС Вооз'!$B$2:$AH$73,33,FALSE)</f>
        <v>48</v>
      </c>
      <c r="P31" s="1">
        <f>VLOOKUP(B31,ООН!$H$2:$AN$73,33,FALSE)</f>
        <v>0</v>
      </c>
      <c r="Q31" s="1">
        <f>VLOOKUP(B31,'Червоний хрест'!$B$2:$AH$73,33,FALSE)</f>
        <v>0</v>
      </c>
      <c r="R31" s="1">
        <f>VLOOKUP(B31,Укрнафта!$D$2:$AJ$73,33,FALSE)</f>
        <v>0</v>
      </c>
      <c r="S31" s="1">
        <f>VLOOKUP(B31,Кернел!$I$2:$AO$73,33,FALSE)</f>
        <v>0</v>
      </c>
      <c r="T31" s="1">
        <f>VLOOKUP(B31,'Глобино Мк'!$B$2:$AH$73,33,FALSE)</f>
        <v>0</v>
      </c>
      <c r="U31" s="1">
        <f>VLOOKUP(B31,'МД Франківськ'!$B$2:$AH$73,33,FALSE)</f>
        <v>0</v>
      </c>
      <c r="V31" s="236">
        <f t="shared" si="5"/>
        <v>48</v>
      </c>
      <c r="W31" s="238">
        <f t="shared" si="6"/>
        <v>0</v>
      </c>
      <c r="X31" s="238">
        <f t="shared" si="7"/>
        <v>0</v>
      </c>
      <c r="Y31" s="238">
        <f t="shared" si="8"/>
        <v>0</v>
      </c>
      <c r="Z31" s="238">
        <f t="shared" si="9"/>
        <v>0</v>
      </c>
      <c r="AA31" s="238">
        <f t="shared" si="10"/>
        <v>7200</v>
      </c>
      <c r="AB31" s="238">
        <f t="shared" si="11"/>
        <v>0</v>
      </c>
      <c r="AC31" s="238">
        <f t="shared" si="12"/>
        <v>0</v>
      </c>
      <c r="AD31" s="238">
        <f t="shared" si="13"/>
        <v>0</v>
      </c>
      <c r="AE31" s="238">
        <f t="shared" si="14"/>
        <v>0</v>
      </c>
      <c r="AF31" s="238">
        <f t="shared" si="15"/>
        <v>0</v>
      </c>
      <c r="AG31" s="238">
        <f t="shared" si="16"/>
        <v>0</v>
      </c>
      <c r="AH31" s="1">
        <f t="shared" si="17"/>
        <v>7200</v>
      </c>
    </row>
    <row r="32" spans="1:34" ht="15.75" outlineLevel="1" x14ac:dyDescent="0.25">
      <c r="A32" s="154">
        <v>31</v>
      </c>
      <c r="B32" s="155" t="s">
        <v>624</v>
      </c>
      <c r="C32" s="153"/>
      <c r="D32" s="153"/>
      <c r="E32" s="142">
        <f t="shared" si="2"/>
        <v>0</v>
      </c>
      <c r="F32" s="144">
        <f>VLOOKUP(B32,'[1]Табель цех 01 по 15 червня'!$B$2:$H$77,7,FALSE)</f>
        <v>0</v>
      </c>
      <c r="G32" s="144">
        <f t="shared" si="3"/>
        <v>0</v>
      </c>
      <c r="H32" s="144">
        <f t="shared" si="4"/>
        <v>0</v>
      </c>
      <c r="I32" s="125">
        <f>Цо!AH32+IRS!AH32+Катеринополь!AH32+'Мк нежин'!AH32+'ЕМС Вооз'!AH32+ООН!AN32+'Червоний хрест'!AH32+Укрнафта!AJ32+Кернел!AO32+'Глобино Мк'!AH32+'МД Франківськ'!AH32</f>
        <v>0</v>
      </c>
      <c r="J32" s="44">
        <v>150</v>
      </c>
      <c r="K32" s="1">
        <f>VLOOKUP(B32,Цо!$B$2:$AH$74,33,FALSE)</f>
        <v>0</v>
      </c>
      <c r="L32" s="1">
        <f>VLOOKUP(B32,IRS!$B$2:$AH$73,33,FALSE)</f>
        <v>0</v>
      </c>
      <c r="M32" s="1">
        <f>VLOOKUP(B32,Катеринополь!$B$1:$AH$73,33,FALSE)</f>
        <v>0</v>
      </c>
      <c r="N32" s="1">
        <f>VLOOKUP(B32,'Мк нежин'!$B$2:$AH$73,33,FALSE)</f>
        <v>0</v>
      </c>
      <c r="O32" s="1">
        <f>VLOOKUP(B32,'ЕМС Вооз'!$B$2:$AH$73,33,FALSE)</f>
        <v>0</v>
      </c>
      <c r="P32" s="1">
        <f>VLOOKUP(B32,ООН!$H$2:$AN$73,33,FALSE)</f>
        <v>0</v>
      </c>
      <c r="Q32" s="1">
        <f>VLOOKUP(B32,'Червоний хрест'!$B$2:$AH$73,33,FALSE)</f>
        <v>0</v>
      </c>
      <c r="R32" s="1">
        <f>VLOOKUP(B32,Укрнафта!$D$2:$AJ$73,33,FALSE)</f>
        <v>0</v>
      </c>
      <c r="S32" s="1">
        <f>VLOOKUP(B32,Кернел!$I$2:$AO$73,33,FALSE)</f>
        <v>0</v>
      </c>
      <c r="T32" s="1">
        <f>VLOOKUP(B32,'Глобино Мк'!$B$2:$AH$73,33,FALSE)</f>
        <v>0</v>
      </c>
      <c r="U32" s="1">
        <f>VLOOKUP(B32,'МД Франківськ'!$B$2:$AH$73,33,FALSE)</f>
        <v>0</v>
      </c>
      <c r="V32" s="236">
        <f t="shared" si="5"/>
        <v>0</v>
      </c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1">
        <f t="shared" si="17"/>
        <v>0</v>
      </c>
    </row>
    <row r="33" spans="1:34" ht="15.75" outlineLevel="1" x14ac:dyDescent="0.25">
      <c r="A33" s="154">
        <v>32</v>
      </c>
      <c r="B33" s="155" t="s">
        <v>625</v>
      </c>
      <c r="C33" s="153"/>
      <c r="D33" s="153"/>
      <c r="E33" s="142">
        <f t="shared" si="2"/>
        <v>12000</v>
      </c>
      <c r="F33" s="144">
        <f>VLOOKUP(B33,'[1]Табель цех 01 по 15 червня'!$B$2:$H$77,7,FALSE)</f>
        <v>-30</v>
      </c>
      <c r="G33" s="144">
        <f t="shared" si="3"/>
        <v>12000</v>
      </c>
      <c r="H33" s="144">
        <f t="shared" si="4"/>
        <v>-30</v>
      </c>
      <c r="I33" s="125">
        <f>Цо!AH33+IRS!AH33+Катеринополь!AH33+'Мк нежин'!AH33+'ЕМС Вооз'!AH33+ООН!AN33+'Червоний хрест'!AH33+Укрнафта!AJ33+Кернел!AO33+'Глобино Мк'!AH33+'МД Франківськ'!AH33</f>
        <v>80</v>
      </c>
      <c r="J33" s="44">
        <v>150</v>
      </c>
      <c r="K33" s="1">
        <f>VLOOKUP(B33,Цо!$B$2:$AH$74,33,FALSE)</f>
        <v>0</v>
      </c>
      <c r="L33" s="1">
        <f>VLOOKUP(B33,IRS!$B$2:$AH$73,33,FALSE)</f>
        <v>9</v>
      </c>
      <c r="M33" s="1">
        <f>VLOOKUP(B33,Катеринополь!$B$1:$AH$73,33,FALSE)</f>
        <v>9</v>
      </c>
      <c r="N33" s="1">
        <f>VLOOKUP(B33,'Мк нежин'!$B$2:$AH$73,33,FALSE)</f>
        <v>62</v>
      </c>
      <c r="O33" s="1">
        <f>VLOOKUP(B33,'ЕМС Вооз'!$B$2:$AH$73,33,FALSE)</f>
        <v>0</v>
      </c>
      <c r="P33" s="1">
        <f>VLOOKUP(B33,ООН!$H$2:$AN$73,33,FALSE)</f>
        <v>0</v>
      </c>
      <c r="Q33" s="1">
        <f>VLOOKUP(B33,'Червоний хрест'!$B$2:$AH$73,33,FALSE)</f>
        <v>0</v>
      </c>
      <c r="R33" s="1">
        <f>VLOOKUP(B33,Укрнафта!$D$2:$AJ$73,33,FALSE)</f>
        <v>0</v>
      </c>
      <c r="S33" s="1">
        <f>VLOOKUP(B33,Кернел!$I$2:$AO$73,33,FALSE)</f>
        <v>0</v>
      </c>
      <c r="T33" s="1">
        <f>VLOOKUP(B33,'Глобино Мк'!$B$2:$AH$73,33,FALSE)</f>
        <v>0</v>
      </c>
      <c r="U33" s="1">
        <f>VLOOKUP(B33,'МД Франківськ'!$B$2:$AH$73,33,FALSE)</f>
        <v>0</v>
      </c>
      <c r="V33" s="236">
        <f t="shared" si="5"/>
        <v>80</v>
      </c>
      <c r="W33" s="238">
        <f t="shared" si="6"/>
        <v>0</v>
      </c>
      <c r="X33" s="238">
        <f t="shared" si="7"/>
        <v>1350</v>
      </c>
      <c r="Y33" s="238">
        <f t="shared" si="8"/>
        <v>1350</v>
      </c>
      <c r="Z33" s="238">
        <f t="shared" si="9"/>
        <v>9300</v>
      </c>
      <c r="AA33" s="238">
        <f t="shared" si="10"/>
        <v>0</v>
      </c>
      <c r="AB33" s="238">
        <f t="shared" si="11"/>
        <v>0</v>
      </c>
      <c r="AC33" s="238">
        <f t="shared" si="12"/>
        <v>0</v>
      </c>
      <c r="AD33" s="238">
        <f t="shared" si="13"/>
        <v>0</v>
      </c>
      <c r="AE33" s="238">
        <f t="shared" si="14"/>
        <v>0</v>
      </c>
      <c r="AF33" s="238">
        <f t="shared" si="15"/>
        <v>0</v>
      </c>
      <c r="AG33" s="238">
        <f t="shared" si="16"/>
        <v>0</v>
      </c>
      <c r="AH33" s="1">
        <f t="shared" si="17"/>
        <v>12000</v>
      </c>
    </row>
    <row r="34" spans="1:34" ht="15.75" outlineLevel="1" x14ac:dyDescent="0.25">
      <c r="A34" s="154">
        <v>33</v>
      </c>
      <c r="B34" s="155" t="s">
        <v>626</v>
      </c>
      <c r="C34" s="153"/>
      <c r="D34" s="153">
        <v>3756.26</v>
      </c>
      <c r="E34" s="142">
        <f t="shared" si="2"/>
        <v>21600</v>
      </c>
      <c r="F34" s="144">
        <f>VLOOKUP(B34,'[1]Табель цех 01 по 15 червня'!$B$2:$H$77,7,FALSE)</f>
        <v>-30</v>
      </c>
      <c r="G34" s="144">
        <f t="shared" si="3"/>
        <v>17800</v>
      </c>
      <c r="H34" s="144">
        <f t="shared" si="4"/>
        <v>13.739999999997963</v>
      </c>
      <c r="I34" s="125">
        <f>Цо!AH34+IRS!AH34+Катеринополь!AH34+'Мк нежин'!AH34+'ЕМС Вооз'!AH34+ООН!AN34+'Червоний хрест'!AH34+Укрнафта!AJ34+Кернел!AO34+'Глобино Мк'!AH34+'МД Франківськ'!AH34</f>
        <v>144</v>
      </c>
      <c r="J34" s="44">
        <v>150</v>
      </c>
      <c r="K34" s="1">
        <f>VLOOKUP(B34,Цо!$B$2:$AH$74,33,FALSE)</f>
        <v>0</v>
      </c>
      <c r="L34" s="1">
        <f>VLOOKUP(B34,IRS!$B$2:$AH$73,33,FALSE)</f>
        <v>53</v>
      </c>
      <c r="M34" s="1">
        <f>VLOOKUP(B34,Катеринополь!$B$1:$AH$73,33,FALSE)</f>
        <v>0</v>
      </c>
      <c r="N34" s="1">
        <f>VLOOKUP(B34,'Мк нежин'!$B$2:$AH$73,33,FALSE)</f>
        <v>11</v>
      </c>
      <c r="O34" s="1">
        <f>VLOOKUP(B34,'ЕМС Вооз'!$B$2:$AH$73,33,FALSE)</f>
        <v>7</v>
      </c>
      <c r="P34" s="1">
        <f>VLOOKUP(B34,ООН!$H$2:$AN$73,33,FALSE)</f>
        <v>0</v>
      </c>
      <c r="Q34" s="1">
        <f>VLOOKUP(B34,'Червоний хрест'!$B$2:$AH$73,33,FALSE)</f>
        <v>0</v>
      </c>
      <c r="R34" s="1">
        <f>VLOOKUP(B34,Укрнафта!$D$2:$AJ$73,33,FALSE)</f>
        <v>0</v>
      </c>
      <c r="S34" s="1">
        <f>VLOOKUP(B34,Кернел!$I$2:$AO$73,33,FALSE)</f>
        <v>0</v>
      </c>
      <c r="T34" s="1">
        <f>VLOOKUP(B34,'Глобино Мк'!$B$2:$AH$73,33,FALSE)</f>
        <v>0</v>
      </c>
      <c r="U34" s="1">
        <f>VLOOKUP(B34,'МД Франківськ'!$B$2:$AH$73,33,FALSE)</f>
        <v>73</v>
      </c>
      <c r="V34" s="236">
        <f t="shared" si="5"/>
        <v>144</v>
      </c>
      <c r="W34" s="238">
        <f t="shared" si="6"/>
        <v>0</v>
      </c>
      <c r="X34" s="238">
        <f t="shared" si="7"/>
        <v>6551.3888888888896</v>
      </c>
      <c r="Y34" s="238">
        <f t="shared" si="8"/>
        <v>0</v>
      </c>
      <c r="Z34" s="238">
        <f t="shared" si="9"/>
        <v>1359.7222222222224</v>
      </c>
      <c r="AA34" s="238">
        <f t="shared" si="10"/>
        <v>865.27777777777783</v>
      </c>
      <c r="AB34" s="238">
        <f t="shared" si="11"/>
        <v>0</v>
      </c>
      <c r="AC34" s="238">
        <f t="shared" si="12"/>
        <v>0</v>
      </c>
      <c r="AD34" s="238">
        <f t="shared" si="13"/>
        <v>0</v>
      </c>
      <c r="AE34" s="238">
        <f t="shared" si="14"/>
        <v>0</v>
      </c>
      <c r="AF34" s="238">
        <f t="shared" si="15"/>
        <v>0</v>
      </c>
      <c r="AG34" s="238">
        <f t="shared" si="16"/>
        <v>9023.6111111111113</v>
      </c>
      <c r="AH34" s="1">
        <f t="shared" si="17"/>
        <v>17800</v>
      </c>
    </row>
    <row r="35" spans="1:34" ht="15.75" outlineLevel="1" x14ac:dyDescent="0.25">
      <c r="A35" s="154">
        <v>34</v>
      </c>
      <c r="B35" s="155" t="s">
        <v>631</v>
      </c>
      <c r="C35" s="153"/>
      <c r="D35" s="153"/>
      <c r="E35" s="142">
        <f t="shared" si="2"/>
        <v>0</v>
      </c>
      <c r="F35" s="144">
        <f>VLOOKUP(B35,'[1]Табель цех 01 по 15 червня'!$B$2:$H$77,7,FALSE)</f>
        <v>0</v>
      </c>
      <c r="G35" s="144">
        <f t="shared" si="3"/>
        <v>0</v>
      </c>
      <c r="H35" s="144">
        <f t="shared" si="4"/>
        <v>0</v>
      </c>
      <c r="I35" s="125">
        <f>Цо!AH35+IRS!AH35+Катеринополь!AH35+'Мк нежин'!AH35+'ЕМС Вооз'!AH35+ООН!AN35+'Червоний хрест'!AH35+Укрнафта!AJ35+Кернел!AO35+'Глобино Мк'!AH35+'МД Франківськ'!AH35</f>
        <v>0</v>
      </c>
      <c r="J35" s="44">
        <v>150</v>
      </c>
      <c r="K35" s="1">
        <f>VLOOKUP(B35,Цо!$B$2:$AH$74,33,FALSE)</f>
        <v>0</v>
      </c>
      <c r="L35" s="1">
        <f>VLOOKUP(B35,IRS!$B$2:$AH$73,33,FALSE)</f>
        <v>0</v>
      </c>
      <c r="M35" s="1">
        <f>VLOOKUP(B35,Катеринополь!$B$1:$AH$73,33,FALSE)</f>
        <v>0</v>
      </c>
      <c r="N35" s="1">
        <f>VLOOKUP(B35,'Мк нежин'!$B$2:$AH$73,33,FALSE)</f>
        <v>0</v>
      </c>
      <c r="O35" s="1">
        <f>VLOOKUP(B35,'ЕМС Вооз'!$B$2:$AH$73,33,FALSE)</f>
        <v>0</v>
      </c>
      <c r="P35" s="1">
        <f>VLOOKUP(B35,ООН!$H$2:$AN$73,33,FALSE)</f>
        <v>0</v>
      </c>
      <c r="Q35" s="1">
        <f>VLOOKUP(B35,'Червоний хрест'!$B$2:$AH$73,33,FALSE)</f>
        <v>0</v>
      </c>
      <c r="R35" s="1">
        <f>VLOOKUP(B35,Укрнафта!$D$2:$AJ$73,33,FALSE)</f>
        <v>0</v>
      </c>
      <c r="S35" s="1">
        <f>VLOOKUP(B35,Кернел!$I$2:$AO$73,33,FALSE)</f>
        <v>0</v>
      </c>
      <c r="T35" s="1">
        <f>VLOOKUP(B35,'Глобино Мк'!$B$2:$AH$73,33,FALSE)</f>
        <v>0</v>
      </c>
      <c r="U35" s="1">
        <f>VLOOKUP(B35,'МД Франківськ'!$B$2:$AH$73,33,FALSE)</f>
        <v>0</v>
      </c>
      <c r="V35" s="236">
        <f t="shared" si="5"/>
        <v>0</v>
      </c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1">
        <f t="shared" si="17"/>
        <v>0</v>
      </c>
    </row>
    <row r="36" spans="1:34" ht="15.75" outlineLevel="1" x14ac:dyDescent="0.25">
      <c r="A36" s="154">
        <v>35</v>
      </c>
      <c r="B36" s="155" t="s">
        <v>627</v>
      </c>
      <c r="C36" s="153"/>
      <c r="D36" s="153"/>
      <c r="E36" s="142">
        <f t="shared" si="2"/>
        <v>3600</v>
      </c>
      <c r="F36" s="144">
        <f>VLOOKUP(B36,'[1]Табель цех 01 по 15 червня'!$B$2:$H$77,7,FALSE)</f>
        <v>0</v>
      </c>
      <c r="G36" s="144">
        <f t="shared" si="3"/>
        <v>3600</v>
      </c>
      <c r="H36" s="144">
        <f t="shared" si="4"/>
        <v>0</v>
      </c>
      <c r="I36" s="125">
        <f>Цо!AH36+IRS!AH36+Катеринополь!AH36+'Мк нежин'!AH36+'ЕМС Вооз'!AH36+ООН!AN36+'Червоний хрест'!AH36+Укрнафта!AJ36+Кернел!AO36+'Глобино Мк'!AH36+'МД Франківськ'!AH36</f>
        <v>24</v>
      </c>
      <c r="J36" s="44">
        <v>150</v>
      </c>
      <c r="K36" s="1">
        <f>VLOOKUP(B36,Цо!$B$2:$AH$74,33,FALSE)</f>
        <v>0</v>
      </c>
      <c r="L36" s="1">
        <f>VLOOKUP(B36,IRS!$B$2:$AH$73,33,FALSE)</f>
        <v>0</v>
      </c>
      <c r="M36" s="1">
        <f>VLOOKUP(B36,Катеринополь!$B$1:$AH$73,33,FALSE)</f>
        <v>0</v>
      </c>
      <c r="N36" s="1">
        <f>VLOOKUP(B36,'Мк нежин'!$B$2:$AH$73,33,FALSE)</f>
        <v>0</v>
      </c>
      <c r="O36" s="1">
        <f>VLOOKUP(B36,'ЕМС Вооз'!$B$2:$AH$73,33,FALSE)</f>
        <v>24</v>
      </c>
      <c r="P36" s="1">
        <f>VLOOKUP(B36,ООН!$H$2:$AN$73,33,FALSE)</f>
        <v>0</v>
      </c>
      <c r="Q36" s="1">
        <f>VLOOKUP(B36,'Червоний хрест'!$B$2:$AH$73,33,FALSE)</f>
        <v>0</v>
      </c>
      <c r="R36" s="1">
        <f>VLOOKUP(B36,Укрнафта!$D$2:$AJ$73,33,FALSE)</f>
        <v>0</v>
      </c>
      <c r="S36" s="1">
        <f>VLOOKUP(B36,Кернел!$I$2:$AO$73,33,FALSE)</f>
        <v>0</v>
      </c>
      <c r="T36" s="1">
        <f>VLOOKUP(B36,'Глобино Мк'!$B$2:$AH$73,33,FALSE)</f>
        <v>0</v>
      </c>
      <c r="U36" s="1">
        <f>VLOOKUP(B36,'МД Франківськ'!$B$2:$AH$73,33,FALSE)</f>
        <v>0</v>
      </c>
      <c r="V36" s="236">
        <f t="shared" si="5"/>
        <v>24</v>
      </c>
      <c r="W36" s="238">
        <f t="shared" si="6"/>
        <v>0</v>
      </c>
      <c r="X36" s="238">
        <f t="shared" si="7"/>
        <v>0</v>
      </c>
      <c r="Y36" s="238">
        <f t="shared" si="8"/>
        <v>0</v>
      </c>
      <c r="Z36" s="238">
        <f t="shared" si="9"/>
        <v>0</v>
      </c>
      <c r="AA36" s="238">
        <f t="shared" si="10"/>
        <v>3600</v>
      </c>
      <c r="AB36" s="238">
        <f t="shared" si="11"/>
        <v>0</v>
      </c>
      <c r="AC36" s="238">
        <f t="shared" si="12"/>
        <v>0</v>
      </c>
      <c r="AD36" s="238">
        <f t="shared" si="13"/>
        <v>0</v>
      </c>
      <c r="AE36" s="238">
        <f t="shared" si="14"/>
        <v>0</v>
      </c>
      <c r="AF36" s="238">
        <f t="shared" si="15"/>
        <v>0</v>
      </c>
      <c r="AG36" s="238">
        <f t="shared" si="16"/>
        <v>0</v>
      </c>
      <c r="AH36" s="1">
        <f t="shared" si="17"/>
        <v>3600</v>
      </c>
    </row>
    <row r="37" spans="1:34" ht="15.75" outlineLevel="1" x14ac:dyDescent="0.25">
      <c r="A37" s="154">
        <v>36</v>
      </c>
      <c r="B37" s="155" t="s">
        <v>34</v>
      </c>
      <c r="C37" s="153"/>
      <c r="D37" s="153">
        <v>3756.26</v>
      </c>
      <c r="E37" s="142">
        <f t="shared" si="2"/>
        <v>54000</v>
      </c>
      <c r="F37" s="144">
        <f>VLOOKUP(B37,'[1]Табель цех 01 по 15 червня'!$B$2:$H$77,7,FALSE)</f>
        <v>-50</v>
      </c>
      <c r="G37" s="144">
        <f t="shared" si="3"/>
        <v>50200</v>
      </c>
      <c r="H37" s="144">
        <f t="shared" si="4"/>
        <v>-6.2600000000020373</v>
      </c>
      <c r="I37" s="125">
        <f>Цо!AH37+IRS!AH37+Катеринополь!AH37+'Мк нежин'!AH37+'ЕМС Вооз'!AH37+ООН!AN37+'Червоний хрест'!AH37+Укрнафта!AJ37+Кернел!AO37+'Глобино Мк'!AH37+'МД Франківськ'!AH37</f>
        <v>360</v>
      </c>
      <c r="J37" s="44">
        <v>150</v>
      </c>
      <c r="K37" s="1">
        <f>VLOOKUP(B37,Цо!$B$2:$AH$74,33,FALSE)</f>
        <v>0</v>
      </c>
      <c r="L37" s="1">
        <f>VLOOKUP(B37,IRS!$B$2:$AH$73,33,FALSE)</f>
        <v>0</v>
      </c>
      <c r="M37" s="1">
        <f>VLOOKUP(B37,Катеринополь!$B$1:$AH$73,33,FALSE)</f>
        <v>0</v>
      </c>
      <c r="N37" s="1">
        <f>VLOOKUP(B37,'Мк нежин'!$B$2:$AH$73,33,FALSE)</f>
        <v>0</v>
      </c>
      <c r="O37" s="1">
        <f>VLOOKUP(B37,'ЕМС Вооз'!$B$2:$AH$73,33,FALSE)</f>
        <v>360</v>
      </c>
      <c r="P37" s="1">
        <f>VLOOKUP(B37,ООН!$H$2:$AN$73,33,FALSE)</f>
        <v>0</v>
      </c>
      <c r="Q37" s="1">
        <f>VLOOKUP(B37,'Червоний хрест'!$B$2:$AH$73,33,FALSE)</f>
        <v>0</v>
      </c>
      <c r="R37" s="1">
        <f>VLOOKUP(B37,Укрнафта!$D$2:$AJ$73,33,FALSE)</f>
        <v>0</v>
      </c>
      <c r="S37" s="1">
        <f>VLOOKUP(B37,Кернел!$I$2:$AO$73,33,FALSE)</f>
        <v>0</v>
      </c>
      <c r="T37" s="1">
        <f>VLOOKUP(B37,'Глобино Мк'!$B$2:$AH$73,33,FALSE)</f>
        <v>0</v>
      </c>
      <c r="U37" s="1">
        <f>VLOOKUP(B37,'МД Франківськ'!$B$2:$AH$73,33,FALSE)</f>
        <v>0</v>
      </c>
      <c r="V37" s="236">
        <f t="shared" si="5"/>
        <v>360</v>
      </c>
      <c r="W37" s="238">
        <f t="shared" si="6"/>
        <v>0</v>
      </c>
      <c r="X37" s="238">
        <f t="shared" si="7"/>
        <v>0</v>
      </c>
      <c r="Y37" s="238">
        <f t="shared" si="8"/>
        <v>0</v>
      </c>
      <c r="Z37" s="238">
        <f t="shared" si="9"/>
        <v>0</v>
      </c>
      <c r="AA37" s="238">
        <f t="shared" si="10"/>
        <v>50200</v>
      </c>
      <c r="AB37" s="238">
        <f t="shared" si="11"/>
        <v>0</v>
      </c>
      <c r="AC37" s="238">
        <f t="shared" si="12"/>
        <v>0</v>
      </c>
      <c r="AD37" s="238">
        <f t="shared" si="13"/>
        <v>0</v>
      </c>
      <c r="AE37" s="238">
        <f t="shared" si="14"/>
        <v>0</v>
      </c>
      <c r="AF37" s="238">
        <f t="shared" si="15"/>
        <v>0</v>
      </c>
      <c r="AG37" s="238">
        <f t="shared" si="16"/>
        <v>0</v>
      </c>
      <c r="AH37" s="1">
        <f t="shared" si="17"/>
        <v>50200</v>
      </c>
    </row>
    <row r="38" spans="1:34" ht="15.75" outlineLevel="1" x14ac:dyDescent="0.25">
      <c r="A38" s="154">
        <v>37</v>
      </c>
      <c r="B38" s="155" t="s">
        <v>628</v>
      </c>
      <c r="C38" s="153"/>
      <c r="D38" s="153"/>
      <c r="E38" s="142">
        <f t="shared" si="2"/>
        <v>17700</v>
      </c>
      <c r="F38" s="144">
        <f>VLOOKUP(B38,'[1]Табель цех 01 по 15 червня'!$B$2:$H$77,7,FALSE)</f>
        <v>-50</v>
      </c>
      <c r="G38" s="144">
        <f t="shared" si="3"/>
        <v>17700</v>
      </c>
      <c r="H38" s="144">
        <f t="shared" si="4"/>
        <v>-50</v>
      </c>
      <c r="I38" s="125">
        <f>Цо!AH38+IRS!AH38+Катеринополь!AH38+'Мк нежин'!AH38+'ЕМС Вооз'!AH38+ООН!AN38+'Червоний хрест'!AH38+Укрнафта!AJ38+Кернел!AO38+'Глобино Мк'!AH38+'МД Франківськ'!AH38</f>
        <v>118</v>
      </c>
      <c r="J38" s="44">
        <v>150</v>
      </c>
      <c r="K38" s="1">
        <f>VLOOKUP(B38,Цо!$B$2:$AH$74,33,FALSE)</f>
        <v>0</v>
      </c>
      <c r="L38" s="1">
        <f>VLOOKUP(B38,IRS!$B$2:$AH$73,33,FALSE)</f>
        <v>33</v>
      </c>
      <c r="M38" s="1">
        <f>VLOOKUP(B38,Катеринополь!$B$1:$AH$73,33,FALSE)</f>
        <v>0</v>
      </c>
      <c r="N38" s="1">
        <f>VLOOKUP(B38,'Мк нежин'!$B$2:$AH$73,33,FALSE)</f>
        <v>11</v>
      </c>
      <c r="O38" s="1">
        <f>VLOOKUP(B38,'ЕМС Вооз'!$B$2:$AH$73,33,FALSE)</f>
        <v>11</v>
      </c>
      <c r="P38" s="1">
        <f>VLOOKUP(B38,ООН!$H$2:$AN$73,33,FALSE)</f>
        <v>19</v>
      </c>
      <c r="Q38" s="1">
        <f>VLOOKUP(B38,'Червоний хрест'!$B$2:$AH$73,33,FALSE)</f>
        <v>0</v>
      </c>
      <c r="R38" s="1">
        <f>VLOOKUP(B38,Укрнафта!$D$2:$AJ$73,33,FALSE)</f>
        <v>44</v>
      </c>
      <c r="S38" s="1">
        <f>VLOOKUP(B38,Кернел!$I$2:$AO$73,33,FALSE)</f>
        <v>0</v>
      </c>
      <c r="T38" s="1">
        <f>VLOOKUP(B38,'Глобино Мк'!$B$2:$AH$73,33,FALSE)</f>
        <v>0</v>
      </c>
      <c r="U38" s="1">
        <f>VLOOKUP(B38,'МД Франківськ'!$B$2:$AH$73,33,FALSE)</f>
        <v>0</v>
      </c>
      <c r="V38" s="236">
        <f t="shared" si="5"/>
        <v>118</v>
      </c>
      <c r="W38" s="238">
        <f t="shared" si="6"/>
        <v>0</v>
      </c>
      <c r="X38" s="238">
        <f t="shared" si="7"/>
        <v>4950</v>
      </c>
      <c r="Y38" s="238">
        <f t="shared" si="8"/>
        <v>0</v>
      </c>
      <c r="Z38" s="238">
        <f t="shared" si="9"/>
        <v>1650</v>
      </c>
      <c r="AA38" s="238">
        <f t="shared" si="10"/>
        <v>1650</v>
      </c>
      <c r="AB38" s="238">
        <f t="shared" si="11"/>
        <v>2850</v>
      </c>
      <c r="AC38" s="238">
        <f t="shared" si="12"/>
        <v>0</v>
      </c>
      <c r="AD38" s="238">
        <f t="shared" si="13"/>
        <v>6600</v>
      </c>
      <c r="AE38" s="238">
        <f t="shared" si="14"/>
        <v>0</v>
      </c>
      <c r="AF38" s="238">
        <f t="shared" si="15"/>
        <v>0</v>
      </c>
      <c r="AG38" s="238">
        <f t="shared" si="16"/>
        <v>0</v>
      </c>
      <c r="AH38" s="1">
        <f t="shared" si="17"/>
        <v>17700</v>
      </c>
    </row>
    <row r="39" spans="1:34" ht="15.75" outlineLevel="1" x14ac:dyDescent="0.25">
      <c r="A39" s="154">
        <v>38</v>
      </c>
      <c r="B39" s="155" t="s">
        <v>621</v>
      </c>
      <c r="C39" s="153"/>
      <c r="D39" s="153"/>
      <c r="E39" s="142">
        <f t="shared" si="2"/>
        <v>19050</v>
      </c>
      <c r="F39" s="144">
        <f>VLOOKUP(B39,'[1]Табель цех 01 по 15 червня'!$B$2:$H$77,7,FALSE)</f>
        <v>-30</v>
      </c>
      <c r="G39" s="144">
        <f t="shared" si="3"/>
        <v>19100</v>
      </c>
      <c r="H39" s="144">
        <f t="shared" si="4"/>
        <v>-80</v>
      </c>
      <c r="I39" s="125">
        <f>Цо!AH39+IRS!AH39+Катеринополь!AH39+'Мк нежин'!AH39+'ЕМС Вооз'!AH39+ООН!AN39+'Червоний хрест'!AH39+Укрнафта!AJ39+Кернел!AO39+'Глобино Мк'!AH39+'МД Франківськ'!AH39</f>
        <v>127</v>
      </c>
      <c r="J39" s="44">
        <v>150</v>
      </c>
      <c r="K39" s="1">
        <f>VLOOKUP(B39,Цо!$B$2:$AH$74,33,FALSE)</f>
        <v>0</v>
      </c>
      <c r="L39" s="1">
        <f>VLOOKUP(B39,IRS!$B$2:$AH$73,33,FALSE)</f>
        <v>39</v>
      </c>
      <c r="M39" s="1">
        <f>VLOOKUP(B39,Катеринополь!$B$1:$AH$73,33,FALSE)</f>
        <v>11</v>
      </c>
      <c r="N39" s="1">
        <f>VLOOKUP(B39,'Мк нежин'!$B$2:$AH$73,33,FALSE)</f>
        <v>11</v>
      </c>
      <c r="O39" s="1">
        <f>VLOOKUP(B39,'ЕМС Вооз'!$B$2:$AH$73,33,FALSE)</f>
        <v>22</v>
      </c>
      <c r="P39" s="1">
        <f>VLOOKUP(B39,ООН!$H$2:$AN$73,33,FALSE)</f>
        <v>33</v>
      </c>
      <c r="Q39" s="1">
        <f>VLOOKUP(B39,'Червоний хрест'!$B$2:$AH$73,33,FALSE)</f>
        <v>0</v>
      </c>
      <c r="R39" s="1">
        <f>VLOOKUP(B39,Укрнафта!$D$2:$AJ$73,33,FALSE)</f>
        <v>0</v>
      </c>
      <c r="S39" s="1">
        <f>VLOOKUP(B39,Кернел!$I$2:$AO$73,33,FALSE)</f>
        <v>0</v>
      </c>
      <c r="T39" s="1">
        <f>VLOOKUP(B39,'Глобино Мк'!$B$2:$AH$73,33,FALSE)</f>
        <v>11</v>
      </c>
      <c r="U39" s="1">
        <f>VLOOKUP(B39,'МД Франківськ'!$B$2:$AH$73,33,FALSE)</f>
        <v>0</v>
      </c>
      <c r="V39" s="236">
        <f t="shared" si="5"/>
        <v>127</v>
      </c>
      <c r="W39" s="238">
        <f t="shared" si="6"/>
        <v>0</v>
      </c>
      <c r="X39" s="238">
        <f t="shared" si="7"/>
        <v>5865.354330708662</v>
      </c>
      <c r="Y39" s="238">
        <f t="shared" si="8"/>
        <v>1654.3307086614172</v>
      </c>
      <c r="Z39" s="238">
        <f t="shared" si="9"/>
        <v>1654.3307086614172</v>
      </c>
      <c r="AA39" s="238">
        <f t="shared" si="10"/>
        <v>3308.6614173228345</v>
      </c>
      <c r="AB39" s="238">
        <f t="shared" si="11"/>
        <v>4962.9921259842513</v>
      </c>
      <c r="AC39" s="238">
        <f t="shared" si="12"/>
        <v>0</v>
      </c>
      <c r="AD39" s="238">
        <f t="shared" si="13"/>
        <v>0</v>
      </c>
      <c r="AE39" s="238">
        <f t="shared" si="14"/>
        <v>0</v>
      </c>
      <c r="AF39" s="238">
        <f t="shared" si="15"/>
        <v>1654.3307086614172</v>
      </c>
      <c r="AG39" s="238">
        <f t="shared" si="16"/>
        <v>0</v>
      </c>
      <c r="AH39" s="1">
        <f t="shared" si="17"/>
        <v>19100</v>
      </c>
    </row>
    <row r="40" spans="1:34" ht="15.75" outlineLevel="1" x14ac:dyDescent="0.25">
      <c r="A40" s="154">
        <v>39</v>
      </c>
      <c r="B40" s="155" t="s">
        <v>45</v>
      </c>
      <c r="C40" s="153"/>
      <c r="D40" s="153"/>
      <c r="E40" s="142">
        <f t="shared" si="2"/>
        <v>49950</v>
      </c>
      <c r="F40" s="144">
        <f>VLOOKUP(B40,'[1]Табель цех 01 по 15 червня'!$B$2:$H$77,7,FALSE)</f>
        <v>-50</v>
      </c>
      <c r="G40" s="144">
        <f t="shared" si="3"/>
        <v>50000</v>
      </c>
      <c r="H40" s="144">
        <f t="shared" si="4"/>
        <v>-100</v>
      </c>
      <c r="I40" s="125">
        <f>Цо!AH40+IRS!AH40+Катеринополь!AH40+'Мк нежин'!AH40+'ЕМС Вооз'!AH40+ООН!AN40+'Червоний хрест'!AH40+Укрнафта!AJ40+Кернел!AO40+'Глобино Мк'!AH40+'МД Франківськ'!AH40</f>
        <v>333</v>
      </c>
      <c r="J40" s="44">
        <v>150</v>
      </c>
      <c r="K40" s="1">
        <f>VLOOKUP(B40,Цо!$B$2:$AH$74,33,FALSE)</f>
        <v>0</v>
      </c>
      <c r="L40" s="1">
        <f>VLOOKUP(B40,IRS!$B$2:$AH$73,33,FALSE)</f>
        <v>0</v>
      </c>
      <c r="M40" s="1">
        <f>VLOOKUP(B40,Катеринополь!$B$1:$AH$73,33,FALSE)</f>
        <v>10</v>
      </c>
      <c r="N40" s="1">
        <f>VLOOKUP(B40,'Мк нежин'!$B$2:$AH$73,33,FALSE)</f>
        <v>11</v>
      </c>
      <c r="O40" s="1">
        <f>VLOOKUP(B40,'ЕМС Вооз'!$B$2:$AH$73,33,FALSE)</f>
        <v>0</v>
      </c>
      <c r="P40" s="1">
        <f>VLOOKUP(B40,ООН!$H$2:$AN$73,33,FALSE)</f>
        <v>120</v>
      </c>
      <c r="Q40" s="1">
        <f>VLOOKUP(B40,'Червоний хрест'!$B$2:$AH$73,33,FALSE)</f>
        <v>192</v>
      </c>
      <c r="R40" s="1">
        <f>VLOOKUP(B40,Укрнафта!$D$2:$AJ$73,33,FALSE)</f>
        <v>0</v>
      </c>
      <c r="S40" s="1">
        <f>VLOOKUP(B40,Кернел!$I$2:$AO$73,33,FALSE)</f>
        <v>0</v>
      </c>
      <c r="T40" s="1">
        <f>VLOOKUP(B40,'Глобино Мк'!$B$2:$AH$73,33,FALSE)</f>
        <v>0</v>
      </c>
      <c r="U40" s="1">
        <f>VLOOKUP(B40,'МД Франківськ'!$B$2:$AH$73,33,FALSE)</f>
        <v>0</v>
      </c>
      <c r="V40" s="236">
        <f t="shared" si="5"/>
        <v>333</v>
      </c>
      <c r="W40" s="238">
        <f t="shared" si="6"/>
        <v>0</v>
      </c>
      <c r="X40" s="238">
        <f t="shared" si="7"/>
        <v>0</v>
      </c>
      <c r="Y40" s="238">
        <f t="shared" si="8"/>
        <v>1501.5015015015015</v>
      </c>
      <c r="Z40" s="238">
        <f t="shared" si="9"/>
        <v>1651.6516516516515</v>
      </c>
      <c r="AA40" s="238">
        <f t="shared" si="10"/>
        <v>0</v>
      </c>
      <c r="AB40" s="238">
        <f t="shared" si="11"/>
        <v>18018.018018018018</v>
      </c>
      <c r="AC40" s="238">
        <f t="shared" si="12"/>
        <v>28828.828828828828</v>
      </c>
      <c r="AD40" s="238">
        <f t="shared" si="13"/>
        <v>0</v>
      </c>
      <c r="AE40" s="238">
        <f t="shared" si="14"/>
        <v>0</v>
      </c>
      <c r="AF40" s="238">
        <f t="shared" si="15"/>
        <v>0</v>
      </c>
      <c r="AG40" s="238">
        <f t="shared" si="16"/>
        <v>0</v>
      </c>
      <c r="AH40" s="1">
        <f t="shared" si="17"/>
        <v>50000</v>
      </c>
    </row>
    <row r="41" spans="1:34" ht="15.75" outlineLevel="1" x14ac:dyDescent="0.25">
      <c r="A41" s="154">
        <v>40</v>
      </c>
      <c r="B41" s="155" t="s">
        <v>634</v>
      </c>
      <c r="C41" s="153"/>
      <c r="D41" s="153">
        <v>3756.26</v>
      </c>
      <c r="E41" s="142">
        <f t="shared" si="2"/>
        <v>20100</v>
      </c>
      <c r="F41" s="144">
        <f>VLOOKUP(B41,'[1]Табель цех 01 по 15 червня'!$B$2:$H$77,7,FALSE)</f>
        <v>0</v>
      </c>
      <c r="G41" s="144">
        <f t="shared" si="3"/>
        <v>16300</v>
      </c>
      <c r="H41" s="144">
        <f t="shared" si="4"/>
        <v>43.739999999999782</v>
      </c>
      <c r="I41" s="125">
        <f>Цо!AH41+IRS!AH41+Катеринополь!AH41+'Мк нежин'!AH41+'ЕМС Вооз'!AH41+ООН!AN41+'Червоний хрест'!AH41+Укрнафта!AJ41+Кернел!AO41+'Глобино Мк'!AH41+'МД Франківськ'!AH41</f>
        <v>134</v>
      </c>
      <c r="J41" s="44">
        <v>150</v>
      </c>
      <c r="K41" s="1">
        <f>VLOOKUP(B41,Цо!$B$2:$AH$74,33,FALSE)</f>
        <v>0</v>
      </c>
      <c r="L41" s="1">
        <f>VLOOKUP(B41,IRS!$B$2:$AH$73,33,FALSE)</f>
        <v>50</v>
      </c>
      <c r="M41" s="1">
        <f>VLOOKUP(B41,Катеринополь!$B$1:$AH$73,33,FALSE)</f>
        <v>0</v>
      </c>
      <c r="N41" s="1">
        <f>VLOOKUP(B41,'Мк нежин'!$B$2:$AH$73,33,FALSE)</f>
        <v>40</v>
      </c>
      <c r="O41" s="1">
        <f>VLOOKUP(B41,'ЕМС Вооз'!$B$2:$AH$73,33,FALSE)</f>
        <v>0</v>
      </c>
      <c r="P41" s="1">
        <f>VLOOKUP(B41,ООН!$H$2:$AN$73,33,FALSE)</f>
        <v>11</v>
      </c>
      <c r="Q41" s="1">
        <f>VLOOKUP(B41,'Червоний хрест'!$B$2:$AH$73,33,FALSE)</f>
        <v>0</v>
      </c>
      <c r="R41" s="1">
        <f>VLOOKUP(B41,Укрнафта!$D$2:$AJ$73,33,FALSE)</f>
        <v>0</v>
      </c>
      <c r="S41" s="1">
        <f>VLOOKUP(B41,Кернел!$I$2:$AO$73,33,FALSE)</f>
        <v>0</v>
      </c>
      <c r="T41" s="1">
        <f>VLOOKUP(B41,'Глобино Мк'!$B$2:$AH$73,33,FALSE)</f>
        <v>33</v>
      </c>
      <c r="U41" s="1">
        <f>VLOOKUP(B41,'МД Франківськ'!$B$2:$AH$73,33,FALSE)</f>
        <v>0</v>
      </c>
      <c r="V41" s="236">
        <f t="shared" si="5"/>
        <v>134</v>
      </c>
      <c r="W41" s="238">
        <f t="shared" si="6"/>
        <v>0</v>
      </c>
      <c r="X41" s="238">
        <f t="shared" si="7"/>
        <v>6082.0895522388064</v>
      </c>
      <c r="Y41" s="238">
        <f t="shared" si="8"/>
        <v>0</v>
      </c>
      <c r="Z41" s="238">
        <f t="shared" si="9"/>
        <v>4865.6716417910447</v>
      </c>
      <c r="AA41" s="238">
        <f t="shared" si="10"/>
        <v>0</v>
      </c>
      <c r="AB41" s="238">
        <f t="shared" si="11"/>
        <v>1338.0597014925374</v>
      </c>
      <c r="AC41" s="238">
        <f t="shared" si="12"/>
        <v>0</v>
      </c>
      <c r="AD41" s="238">
        <f t="shared" si="13"/>
        <v>0</v>
      </c>
      <c r="AE41" s="238">
        <f t="shared" si="14"/>
        <v>0</v>
      </c>
      <c r="AF41" s="238">
        <f t="shared" si="15"/>
        <v>4014.1791044776119</v>
      </c>
      <c r="AG41" s="238">
        <f t="shared" si="16"/>
        <v>0</v>
      </c>
      <c r="AH41" s="1">
        <f t="shared" si="17"/>
        <v>16300</v>
      </c>
    </row>
    <row r="42" spans="1:34" ht="15.75" x14ac:dyDescent="0.25">
      <c r="A42" s="154">
        <v>41</v>
      </c>
      <c r="B42" s="155" t="s">
        <v>648</v>
      </c>
      <c r="C42" s="153"/>
      <c r="D42" s="153">
        <v>3756.26</v>
      </c>
      <c r="E42" s="142">
        <f t="shared" si="2"/>
        <v>36000</v>
      </c>
      <c r="F42" s="144">
        <f>VLOOKUP(B42,'[1]Табель цех 01 по 15 червня'!$B$2:$H$77,7,FALSE)</f>
        <v>37.25</v>
      </c>
      <c r="G42" s="144">
        <f t="shared" si="3"/>
        <v>32200</v>
      </c>
      <c r="H42" s="144">
        <f t="shared" si="4"/>
        <v>80.989999999997963</v>
      </c>
      <c r="I42" s="125">
        <f>Цо!AH42+IRS!AH42+Катеринополь!AH42+'Мк нежин'!AH42+'ЕМС Вооз'!AH42+ООН!AN42+'Червоний хрест'!AH42+Укрнафта!AJ42+Кернел!AO42+'Глобино Мк'!AH42+'МД Франківськ'!AH42</f>
        <v>240</v>
      </c>
      <c r="J42" s="44">
        <v>150</v>
      </c>
      <c r="K42" s="1">
        <f>VLOOKUP(B42,Цо!$B$2:$AH$74,33,FALSE)</f>
        <v>0</v>
      </c>
      <c r="L42" s="1">
        <f>VLOOKUP(B42,IRS!$B$2:$AH$73,33,FALSE)</f>
        <v>0</v>
      </c>
      <c r="M42" s="1">
        <f>VLOOKUP(B42,Катеринополь!$B$1:$AH$73,33,FALSE)</f>
        <v>0</v>
      </c>
      <c r="N42" s="1">
        <f>VLOOKUP(B42,'Мк нежин'!$B$2:$AH$73,33,FALSE)</f>
        <v>0</v>
      </c>
      <c r="O42" s="1">
        <f>VLOOKUP(B42,'ЕМС Вооз'!$B$2:$AH$73,33,FALSE)</f>
        <v>0</v>
      </c>
      <c r="P42" s="1">
        <f>VLOOKUP(B42,ООН!$H$2:$AN$73,33,FALSE)</f>
        <v>0</v>
      </c>
      <c r="Q42" s="1">
        <f>VLOOKUP(B42,'Червоний хрест'!$B$2:$AH$73,33,FALSE)</f>
        <v>0</v>
      </c>
      <c r="R42" s="1">
        <f>VLOOKUP(B42,Укрнафта!$D$2:$AJ$73,33,FALSE)</f>
        <v>0</v>
      </c>
      <c r="S42" s="1">
        <f>VLOOKUP(B42,Кернел!$I$2:$AO$73,33,FALSE)</f>
        <v>240</v>
      </c>
      <c r="T42" s="1">
        <f>VLOOKUP(B42,'Глобино Мк'!$B$2:$AH$73,33,FALSE)</f>
        <v>0</v>
      </c>
      <c r="U42" s="1">
        <f>VLOOKUP(B42,'МД Франківськ'!$B$2:$AH$73,33,FALSE)</f>
        <v>0</v>
      </c>
      <c r="V42" s="236">
        <f t="shared" si="5"/>
        <v>240</v>
      </c>
      <c r="W42" s="238">
        <f t="shared" si="6"/>
        <v>0</v>
      </c>
      <c r="X42" s="238">
        <f t="shared" si="7"/>
        <v>0</v>
      </c>
      <c r="Y42" s="238">
        <f t="shared" si="8"/>
        <v>0</v>
      </c>
      <c r="Z42" s="238">
        <f t="shared" si="9"/>
        <v>0</v>
      </c>
      <c r="AA42" s="238">
        <f t="shared" si="10"/>
        <v>0</v>
      </c>
      <c r="AB42" s="238">
        <f t="shared" si="11"/>
        <v>0</v>
      </c>
      <c r="AC42" s="238">
        <f t="shared" si="12"/>
        <v>0</v>
      </c>
      <c r="AD42" s="238">
        <f t="shared" si="13"/>
        <v>0</v>
      </c>
      <c r="AE42" s="238">
        <f t="shared" si="14"/>
        <v>32200</v>
      </c>
      <c r="AF42" s="238">
        <f t="shared" si="15"/>
        <v>0</v>
      </c>
      <c r="AG42" s="238">
        <f t="shared" si="16"/>
        <v>0</v>
      </c>
      <c r="AH42" s="1">
        <f t="shared" si="17"/>
        <v>32200</v>
      </c>
    </row>
    <row r="43" spans="1:34" ht="15.75" x14ac:dyDescent="0.25">
      <c r="A43" s="154">
        <v>42</v>
      </c>
      <c r="B43" s="155" t="s">
        <v>632</v>
      </c>
      <c r="C43" s="153"/>
      <c r="D43" s="153">
        <v>3756.26</v>
      </c>
      <c r="E43" s="142">
        <f t="shared" si="2"/>
        <v>12450</v>
      </c>
      <c r="F43" s="144">
        <f>VLOOKUP(B43,'[1]Табель цех 01 по 15 червня'!$B$2:$H$77,7,FALSE)</f>
        <v>-38.75</v>
      </c>
      <c r="G43" s="144">
        <f t="shared" si="3"/>
        <v>8700</v>
      </c>
      <c r="H43" s="144">
        <f t="shared" si="4"/>
        <v>-45.010000000000218</v>
      </c>
      <c r="I43" s="125">
        <f>Цо!AH43+IRS!AH43+Катеринополь!AH43+'Мк нежин'!AH43+'ЕМС Вооз'!AH43+ООН!AN43+'Червоний хрест'!AH43+Укрнафта!AJ43+Кернел!AO43+'Глобино Мк'!AH43+'МД Франківськ'!AH43</f>
        <v>83</v>
      </c>
      <c r="J43" s="44">
        <v>150</v>
      </c>
      <c r="K43" s="1">
        <f>VLOOKUP(B43,Цо!$B$2:$AH$74,33,FALSE)</f>
        <v>0</v>
      </c>
      <c r="L43" s="1">
        <f>VLOOKUP(B43,IRS!$B$2:$AH$73,33,FALSE)</f>
        <v>11</v>
      </c>
      <c r="M43" s="1">
        <f>VLOOKUP(B43,Катеринополь!$B$1:$AH$73,33,FALSE)</f>
        <v>0</v>
      </c>
      <c r="N43" s="1">
        <f>VLOOKUP(B43,'Мк нежин'!$B$2:$AH$73,33,FALSE)</f>
        <v>11</v>
      </c>
      <c r="O43" s="1">
        <f>VLOOKUP(B43,'ЕМС Вооз'!$B$2:$AH$73,33,FALSE)</f>
        <v>20</v>
      </c>
      <c r="P43" s="1">
        <f>VLOOKUP(B43,ООН!$H$2:$AN$73,33,FALSE)</f>
        <v>19</v>
      </c>
      <c r="Q43" s="1">
        <f>VLOOKUP(B43,'Червоний хрест'!$B$2:$AH$73,33,FALSE)</f>
        <v>0</v>
      </c>
      <c r="R43" s="1">
        <f>VLOOKUP(B43,Укрнафта!$D$2:$AJ$73,33,FALSE)</f>
        <v>22</v>
      </c>
      <c r="S43" s="1">
        <f>VLOOKUP(B43,Кернел!$I$2:$AO$73,33,FALSE)</f>
        <v>0</v>
      </c>
      <c r="T43" s="1">
        <f>VLOOKUP(B43,'Глобино Мк'!$B$2:$AH$73,33,FALSE)</f>
        <v>0</v>
      </c>
      <c r="U43" s="1">
        <f>VLOOKUP(B43,'МД Франківськ'!$B$2:$AH$73,33,FALSE)</f>
        <v>0</v>
      </c>
      <c r="V43" s="236">
        <f t="shared" si="5"/>
        <v>83</v>
      </c>
      <c r="W43" s="238">
        <f t="shared" si="6"/>
        <v>0</v>
      </c>
      <c r="X43" s="238">
        <f t="shared" si="7"/>
        <v>1153.0120481927711</v>
      </c>
      <c r="Y43" s="238">
        <f t="shared" si="8"/>
        <v>0</v>
      </c>
      <c r="Z43" s="238">
        <f t="shared" si="9"/>
        <v>1153.0120481927711</v>
      </c>
      <c r="AA43" s="238">
        <f t="shared" si="10"/>
        <v>2096.3855421686749</v>
      </c>
      <c r="AB43" s="238">
        <f t="shared" si="11"/>
        <v>1991.5662650602408</v>
      </c>
      <c r="AC43" s="238">
        <f t="shared" si="12"/>
        <v>0</v>
      </c>
      <c r="AD43" s="238">
        <f t="shared" si="13"/>
        <v>2306.0240963855422</v>
      </c>
      <c r="AE43" s="238">
        <f t="shared" si="14"/>
        <v>0</v>
      </c>
      <c r="AF43" s="238">
        <f t="shared" si="15"/>
        <v>0</v>
      </c>
      <c r="AG43" s="238">
        <f t="shared" si="16"/>
        <v>0</v>
      </c>
      <c r="AH43" s="1">
        <f t="shared" si="17"/>
        <v>8700</v>
      </c>
    </row>
    <row r="44" spans="1:34" ht="15.75" x14ac:dyDescent="0.25">
      <c r="A44" s="154">
        <v>43</v>
      </c>
      <c r="B44" s="155" t="s">
        <v>633</v>
      </c>
      <c r="C44" s="153"/>
      <c r="D44" s="153">
        <v>3756.26</v>
      </c>
      <c r="E44" s="142">
        <f t="shared" si="2"/>
        <v>54000</v>
      </c>
      <c r="F44" s="147">
        <f>VLOOKUP(B44,'[1]Табель цех 01 по 15 червня'!$B$2:$H$77,7,FALSE)</f>
        <v>14</v>
      </c>
      <c r="G44" s="144">
        <f t="shared" si="3"/>
        <v>50200</v>
      </c>
      <c r="H44" s="147">
        <f t="shared" si="4"/>
        <v>57.739999999997963</v>
      </c>
      <c r="I44" s="125">
        <f>Цо!AH44+IRS!AH44+Катеринополь!AH44+'Мк нежин'!AH44+'ЕМС Вооз'!AH44+ООН!AN44+'Червоний хрест'!AH44+Укрнафта!AJ44+Кернел!AO44+'Глобино Мк'!AH44+'МД Франківськ'!AH44</f>
        <v>360</v>
      </c>
      <c r="J44" s="44">
        <v>150</v>
      </c>
      <c r="K44" s="1">
        <f>VLOOKUP(B44,Цо!$B$2:$AH$74,33,FALSE)</f>
        <v>0</v>
      </c>
      <c r="L44" s="1">
        <f>VLOOKUP(B44,IRS!$B$2:$AH$73,33,FALSE)</f>
        <v>0</v>
      </c>
      <c r="M44" s="1">
        <f>VLOOKUP(B44,Катеринополь!$B$1:$AH$73,33,FALSE)</f>
        <v>0</v>
      </c>
      <c r="N44" s="1">
        <f>VLOOKUP(B44,'Мк нежин'!$B$2:$AH$73,33,FALSE)</f>
        <v>0</v>
      </c>
      <c r="O44" s="1">
        <f>VLOOKUP(B44,'ЕМС Вооз'!$B$2:$AH$73,33,FALSE)</f>
        <v>360</v>
      </c>
      <c r="P44" s="1">
        <f>VLOOKUP(B44,ООН!$H$2:$AN$73,33,FALSE)</f>
        <v>0</v>
      </c>
      <c r="Q44" s="1">
        <f>VLOOKUP(B44,'Червоний хрест'!$B$2:$AH$73,33,FALSE)</f>
        <v>0</v>
      </c>
      <c r="R44" s="1">
        <f>VLOOKUP(B44,Укрнафта!$D$2:$AJ$73,33,FALSE)</f>
        <v>0</v>
      </c>
      <c r="S44" s="1">
        <f>VLOOKUP(B44,Кернел!$I$2:$AO$73,33,FALSE)</f>
        <v>0</v>
      </c>
      <c r="T44" s="1">
        <f>VLOOKUP(B44,'Глобино Мк'!$B$2:$AH$73,33,FALSE)</f>
        <v>0</v>
      </c>
      <c r="U44" s="1">
        <f>VLOOKUP(B44,'МД Франківськ'!$B$2:$AH$73,33,FALSE)</f>
        <v>0</v>
      </c>
      <c r="V44" s="236">
        <f t="shared" si="5"/>
        <v>360</v>
      </c>
      <c r="W44" s="238">
        <f t="shared" si="6"/>
        <v>0</v>
      </c>
      <c r="X44" s="238">
        <f t="shared" si="7"/>
        <v>0</v>
      </c>
      <c r="Y44" s="238">
        <f t="shared" si="8"/>
        <v>0</v>
      </c>
      <c r="Z44" s="238">
        <f t="shared" si="9"/>
        <v>0</v>
      </c>
      <c r="AA44" s="238">
        <f t="shared" si="10"/>
        <v>50200</v>
      </c>
      <c r="AB44" s="238">
        <f t="shared" si="11"/>
        <v>0</v>
      </c>
      <c r="AC44" s="238">
        <f t="shared" si="12"/>
        <v>0</v>
      </c>
      <c r="AD44" s="238">
        <f t="shared" si="13"/>
        <v>0</v>
      </c>
      <c r="AE44" s="238">
        <f t="shared" si="14"/>
        <v>0</v>
      </c>
      <c r="AF44" s="238">
        <f t="shared" si="15"/>
        <v>0</v>
      </c>
      <c r="AG44" s="238">
        <f t="shared" si="16"/>
        <v>0</v>
      </c>
      <c r="AH44" s="1">
        <f t="shared" si="17"/>
        <v>50200</v>
      </c>
    </row>
    <row r="45" spans="1:34" ht="15.75" x14ac:dyDescent="0.25">
      <c r="A45" s="154">
        <v>44</v>
      </c>
      <c r="B45" s="155" t="s">
        <v>635</v>
      </c>
      <c r="C45" s="153"/>
      <c r="D45" s="153">
        <v>3756.26</v>
      </c>
      <c r="E45" s="142">
        <f t="shared" si="2"/>
        <v>15450</v>
      </c>
      <c r="F45" s="144">
        <f>VLOOKUP(B45,'[1]Табель цех 01 по 15 червня'!$B$2:$H$77,7,FALSE)</f>
        <v>0</v>
      </c>
      <c r="G45" s="144">
        <f t="shared" si="3"/>
        <v>11700</v>
      </c>
      <c r="H45" s="144">
        <f t="shared" si="4"/>
        <v>-6.2600000000002183</v>
      </c>
      <c r="I45" s="125">
        <f>Цо!AH45+IRS!AH45+Катеринополь!AH45+'Мк нежин'!AH45+'ЕМС Вооз'!AH45+ООН!AN45+'Червоний хрест'!AH45+Укрнафта!AJ45+Кернел!AO45+'Глобино Мк'!AH45+'МД Франківськ'!AH45</f>
        <v>103</v>
      </c>
      <c r="J45" s="44">
        <v>150</v>
      </c>
      <c r="K45" s="1">
        <f>VLOOKUP(B45,Цо!$B$2:$AH$74,33,FALSE)</f>
        <v>0</v>
      </c>
      <c r="L45" s="1">
        <f>VLOOKUP(B45,IRS!$B$2:$AH$73,33,FALSE)</f>
        <v>17</v>
      </c>
      <c r="M45" s="1">
        <f>VLOOKUP(B45,Катеринополь!$B$1:$AH$73,33,FALSE)</f>
        <v>0</v>
      </c>
      <c r="N45" s="1">
        <f>VLOOKUP(B45,'Мк нежин'!$B$2:$AH$73,33,FALSE)</f>
        <v>44</v>
      </c>
      <c r="O45" s="1">
        <f>VLOOKUP(B45,'ЕМС Вооз'!$B$2:$AH$73,33,FALSE)</f>
        <v>0</v>
      </c>
      <c r="P45" s="1">
        <f>VLOOKUP(B45,ООН!$H$2:$AN$73,33,FALSE)</f>
        <v>9</v>
      </c>
      <c r="Q45" s="1">
        <f>VLOOKUP(B45,'Червоний хрест'!$B$2:$AH$73,33,FALSE)</f>
        <v>0</v>
      </c>
      <c r="R45" s="1">
        <f>VLOOKUP(B45,Укрнафта!$D$2:$AJ$73,33,FALSE)</f>
        <v>0</v>
      </c>
      <c r="S45" s="1">
        <f>VLOOKUP(B45,Кернел!$I$2:$AO$73,33,FALSE)</f>
        <v>0</v>
      </c>
      <c r="T45" s="1">
        <f>VLOOKUP(B45,'Глобино Мк'!$B$2:$AH$73,33,FALSE)</f>
        <v>33</v>
      </c>
      <c r="U45" s="1">
        <f>VLOOKUP(B45,'МД Франківськ'!$B$2:$AH$73,33,FALSE)</f>
        <v>0</v>
      </c>
      <c r="V45" s="236">
        <f t="shared" si="5"/>
        <v>103</v>
      </c>
      <c r="W45" s="238">
        <f t="shared" si="6"/>
        <v>0</v>
      </c>
      <c r="X45" s="238">
        <f t="shared" si="7"/>
        <v>1931.0679611650487</v>
      </c>
      <c r="Y45" s="238">
        <f t="shared" si="8"/>
        <v>0</v>
      </c>
      <c r="Z45" s="238">
        <f t="shared" si="9"/>
        <v>4998.058252427184</v>
      </c>
      <c r="AA45" s="238">
        <f t="shared" si="10"/>
        <v>0</v>
      </c>
      <c r="AB45" s="238">
        <f t="shared" si="11"/>
        <v>1022.3300970873787</v>
      </c>
      <c r="AC45" s="238">
        <f t="shared" si="12"/>
        <v>0</v>
      </c>
      <c r="AD45" s="238">
        <f t="shared" si="13"/>
        <v>0</v>
      </c>
      <c r="AE45" s="238">
        <f t="shared" si="14"/>
        <v>0</v>
      </c>
      <c r="AF45" s="238">
        <f t="shared" si="15"/>
        <v>3748.5436893203887</v>
      </c>
      <c r="AG45" s="238">
        <f t="shared" si="16"/>
        <v>0</v>
      </c>
      <c r="AH45" s="1">
        <f t="shared" si="17"/>
        <v>11700</v>
      </c>
    </row>
    <row r="46" spans="1:34" ht="15.75" x14ac:dyDescent="0.25">
      <c r="A46" s="154">
        <v>45</v>
      </c>
      <c r="B46" s="155" t="s">
        <v>636</v>
      </c>
      <c r="C46" s="153"/>
      <c r="D46" s="153"/>
      <c r="E46" s="142">
        <f t="shared" si="2"/>
        <v>19500</v>
      </c>
      <c r="F46" s="144">
        <f>VLOOKUP(B46,'[1]Табель цех 01 по 15 червня'!$B$2:$H$77,7,FALSE)</f>
        <v>0</v>
      </c>
      <c r="G46" s="144">
        <f t="shared" si="3"/>
        <v>19500</v>
      </c>
      <c r="H46" s="144">
        <f t="shared" si="4"/>
        <v>0</v>
      </c>
      <c r="I46" s="125">
        <f>Цо!AH46+IRS!AH46+Катеринополь!AH46+'Мк нежин'!AH46+'ЕМС Вооз'!AH46+ООН!AN46+'Червоний хрест'!AH46+Укрнафта!AJ46+Кернел!AO46+'Глобино Мк'!AH46+'МД Франківськ'!AH46</f>
        <v>130</v>
      </c>
      <c r="J46" s="44">
        <v>150</v>
      </c>
      <c r="K46" s="1">
        <f>VLOOKUP(B46,Цо!$B$2:$AH$74,33,FALSE)</f>
        <v>0</v>
      </c>
      <c r="L46" s="1">
        <f>VLOOKUP(B46,IRS!$B$2:$AH$73,33,FALSE)</f>
        <v>90</v>
      </c>
      <c r="M46" s="1">
        <f>VLOOKUP(B46,Катеринополь!$B$1:$AH$73,33,FALSE)</f>
        <v>0</v>
      </c>
      <c r="N46" s="1">
        <f>VLOOKUP(B46,'Мк нежин'!$B$2:$AH$73,33,FALSE)</f>
        <v>11</v>
      </c>
      <c r="O46" s="1">
        <f>VLOOKUP(B46,'ЕМС Вооз'!$B$2:$AH$73,33,FALSE)</f>
        <v>0</v>
      </c>
      <c r="P46" s="1">
        <f>VLOOKUP(B46,ООН!$H$2:$AN$73,33,FALSE)</f>
        <v>11</v>
      </c>
      <c r="Q46" s="1">
        <f>VLOOKUP(B46,'Червоний хрест'!$B$2:$AH$73,33,FALSE)</f>
        <v>0</v>
      </c>
      <c r="R46" s="1">
        <f>VLOOKUP(B46,Укрнафта!$D$2:$AJ$73,33,FALSE)</f>
        <v>0</v>
      </c>
      <c r="S46" s="1">
        <f>VLOOKUP(B46,Кернел!$I$2:$AO$73,33,FALSE)</f>
        <v>7</v>
      </c>
      <c r="T46" s="1">
        <f>VLOOKUP(B46,'Глобино Мк'!$B$2:$AH$73,33,FALSE)</f>
        <v>11</v>
      </c>
      <c r="U46" s="1">
        <f>VLOOKUP(B46,'МД Франківськ'!$B$2:$AH$73,33,FALSE)</f>
        <v>0</v>
      </c>
      <c r="V46" s="236">
        <f t="shared" si="5"/>
        <v>130</v>
      </c>
      <c r="W46" s="238">
        <f t="shared" si="6"/>
        <v>0</v>
      </c>
      <c r="X46" s="238">
        <f t="shared" si="7"/>
        <v>13500</v>
      </c>
      <c r="Y46" s="238">
        <f t="shared" si="8"/>
        <v>0</v>
      </c>
      <c r="Z46" s="238">
        <f t="shared" si="9"/>
        <v>1650</v>
      </c>
      <c r="AA46" s="238">
        <f t="shared" si="10"/>
        <v>0</v>
      </c>
      <c r="AB46" s="238">
        <f t="shared" si="11"/>
        <v>1650</v>
      </c>
      <c r="AC46" s="238">
        <f t="shared" si="12"/>
        <v>0</v>
      </c>
      <c r="AD46" s="238">
        <f t="shared" si="13"/>
        <v>0</v>
      </c>
      <c r="AE46" s="238">
        <f t="shared" si="14"/>
        <v>1050</v>
      </c>
      <c r="AF46" s="238">
        <f t="shared" si="15"/>
        <v>1650</v>
      </c>
      <c r="AG46" s="238">
        <f t="shared" si="16"/>
        <v>0</v>
      </c>
      <c r="AH46" s="1">
        <f t="shared" si="17"/>
        <v>19500</v>
      </c>
    </row>
    <row r="47" spans="1:34" ht="15.75" x14ac:dyDescent="0.25">
      <c r="A47" s="154">
        <v>46</v>
      </c>
      <c r="B47" s="155" t="s">
        <v>637</v>
      </c>
      <c r="C47" s="153"/>
      <c r="D47" s="153">
        <v>3005.01</v>
      </c>
      <c r="E47" s="142">
        <f t="shared" si="2"/>
        <v>17850</v>
      </c>
      <c r="F47" s="144">
        <f>VLOOKUP(B47,'[1]Табель цех 01 по 15 червня'!$B$2:$H$77,7,FALSE)</f>
        <v>40.010000000002037</v>
      </c>
      <c r="G47" s="144">
        <f t="shared" si="3"/>
        <v>14800</v>
      </c>
      <c r="H47" s="144">
        <f t="shared" si="4"/>
        <v>85.000000000001819</v>
      </c>
      <c r="I47" s="125">
        <f>Цо!AH47+IRS!AH47+Катеринополь!AH47+'Мк нежин'!AH47+'ЕМС Вооз'!AH47+ООН!AN47+'Червоний хрест'!AH47+Укрнафта!AJ47+Кернел!AO47+'Глобино Мк'!AH47+'МД Франківськ'!AH47</f>
        <v>119</v>
      </c>
      <c r="J47" s="44">
        <v>150</v>
      </c>
      <c r="K47" s="1">
        <f>VLOOKUP(B47,Цо!$B$2:$AH$74,33,FALSE)</f>
        <v>0</v>
      </c>
      <c r="L47" s="1">
        <f>VLOOKUP(B47,IRS!$B$2:$AH$73,33,FALSE)</f>
        <v>0</v>
      </c>
      <c r="M47" s="1">
        <f>VLOOKUP(B47,Катеринополь!$B$1:$AH$73,33,FALSE)</f>
        <v>11</v>
      </c>
      <c r="N47" s="1">
        <f>VLOOKUP(B47,'Мк нежин'!$B$2:$AH$73,33,FALSE)</f>
        <v>11</v>
      </c>
      <c r="O47" s="1">
        <f>VLOOKUP(B47,'ЕМС Вооз'!$B$2:$AH$73,33,FALSE)</f>
        <v>20</v>
      </c>
      <c r="P47" s="1">
        <f>VLOOKUP(B47,ООН!$H$2:$AN$73,33,FALSE)</f>
        <v>55</v>
      </c>
      <c r="Q47" s="1">
        <f>VLOOKUP(B47,'Червоний хрест'!$B$2:$AH$73,33,FALSE)</f>
        <v>0</v>
      </c>
      <c r="R47" s="1">
        <f>VLOOKUP(B47,Укрнафта!$D$2:$AJ$73,33,FALSE)</f>
        <v>22</v>
      </c>
      <c r="S47" s="1">
        <f>VLOOKUP(B47,Кернел!$I$2:$AO$73,33,FALSE)</f>
        <v>0</v>
      </c>
      <c r="T47" s="1">
        <f>VLOOKUP(B47,'Глобино Мк'!$B$2:$AH$73,33,FALSE)</f>
        <v>0</v>
      </c>
      <c r="U47" s="1">
        <f>VLOOKUP(B47,'МД Франківськ'!$B$2:$AH$73,33,FALSE)</f>
        <v>0</v>
      </c>
      <c r="V47" s="236">
        <f t="shared" si="5"/>
        <v>119</v>
      </c>
      <c r="W47" s="238">
        <f t="shared" si="6"/>
        <v>0</v>
      </c>
      <c r="X47" s="238">
        <f t="shared" si="7"/>
        <v>0</v>
      </c>
      <c r="Y47" s="238">
        <f t="shared" si="8"/>
        <v>1368.0672268907563</v>
      </c>
      <c r="Z47" s="238">
        <f t="shared" si="9"/>
        <v>1368.0672268907563</v>
      </c>
      <c r="AA47" s="238">
        <f t="shared" si="10"/>
        <v>2487.3949579831933</v>
      </c>
      <c r="AB47" s="238">
        <f t="shared" si="11"/>
        <v>6840.3361344537816</v>
      </c>
      <c r="AC47" s="238">
        <f t="shared" si="12"/>
        <v>0</v>
      </c>
      <c r="AD47" s="238">
        <f t="shared" si="13"/>
        <v>2736.1344537815125</v>
      </c>
      <c r="AE47" s="238">
        <f t="shared" si="14"/>
        <v>0</v>
      </c>
      <c r="AF47" s="238">
        <f t="shared" si="15"/>
        <v>0</v>
      </c>
      <c r="AG47" s="238">
        <f t="shared" si="16"/>
        <v>0</v>
      </c>
      <c r="AH47" s="1">
        <f t="shared" si="17"/>
        <v>14800</v>
      </c>
    </row>
    <row r="48" spans="1:34" ht="15.75" x14ac:dyDescent="0.25">
      <c r="A48" s="154">
        <v>47</v>
      </c>
      <c r="B48" s="155" t="s">
        <v>638</v>
      </c>
      <c r="C48" s="153"/>
      <c r="D48" s="153"/>
      <c r="E48" s="142">
        <f t="shared" si="2"/>
        <v>19650</v>
      </c>
      <c r="F48" s="144">
        <f>VLOOKUP(B48,'[1]Табель цех 01 по 15 червня'!$B$2:$H$77,7,FALSE)</f>
        <v>-50</v>
      </c>
      <c r="G48" s="144">
        <f t="shared" si="3"/>
        <v>19700</v>
      </c>
      <c r="H48" s="144">
        <f t="shared" si="4"/>
        <v>-100</v>
      </c>
      <c r="I48" s="125">
        <f>Цо!AH48+IRS!AH48+Катеринополь!AH48+'Мк нежин'!AH48+'ЕМС Вооз'!AH48+ООН!AN48+'Червоний хрест'!AH48+Укрнафта!AJ48+Кернел!AO48+'Глобино Мк'!AH48+'МД Франківськ'!AH48</f>
        <v>131</v>
      </c>
      <c r="J48" s="44">
        <v>150</v>
      </c>
      <c r="K48" s="1">
        <f>VLOOKUP(B48,Цо!$B$2:$AH$74,33,FALSE)</f>
        <v>0</v>
      </c>
      <c r="L48" s="1">
        <f>VLOOKUP(B48,IRS!$B$2:$AH$73,33,FALSE)</f>
        <v>6</v>
      </c>
      <c r="M48" s="1">
        <f>VLOOKUP(B48,Катеринополь!$B$1:$AH$73,33,FALSE)</f>
        <v>44</v>
      </c>
      <c r="N48" s="1">
        <f>VLOOKUP(B48,'Мк нежин'!$B$2:$AH$73,33,FALSE)</f>
        <v>81</v>
      </c>
      <c r="O48" s="1">
        <f>VLOOKUP(B48,'ЕМС Вооз'!$B$2:$AH$73,33,FALSE)</f>
        <v>0</v>
      </c>
      <c r="P48" s="1">
        <f>VLOOKUP(B48,ООН!$H$2:$AN$73,33,FALSE)</f>
        <v>0</v>
      </c>
      <c r="Q48" s="1">
        <f>VLOOKUP(B48,'Червоний хрест'!$B$2:$AH$73,33,FALSE)</f>
        <v>0</v>
      </c>
      <c r="R48" s="1">
        <f>VLOOKUP(B48,Укрнафта!$D$2:$AJ$73,33,FALSE)</f>
        <v>0</v>
      </c>
      <c r="S48" s="1">
        <f>VLOOKUP(B48,Кернел!$I$2:$AO$73,33,FALSE)</f>
        <v>0</v>
      </c>
      <c r="T48" s="1">
        <f>VLOOKUP(B48,'Глобино Мк'!$B$2:$AH$73,33,FALSE)</f>
        <v>0</v>
      </c>
      <c r="U48" s="1">
        <f>VLOOKUP(B48,'МД Франківськ'!$B$2:$AH$73,33,FALSE)</f>
        <v>0</v>
      </c>
      <c r="V48" s="236">
        <f t="shared" si="5"/>
        <v>131</v>
      </c>
      <c r="W48" s="238">
        <f t="shared" si="6"/>
        <v>0</v>
      </c>
      <c r="X48" s="238">
        <f t="shared" si="7"/>
        <v>902.29007633587787</v>
      </c>
      <c r="Y48" s="238">
        <f t="shared" si="8"/>
        <v>6616.7938931297713</v>
      </c>
      <c r="Z48" s="238">
        <f t="shared" si="9"/>
        <v>12180.916030534352</v>
      </c>
      <c r="AA48" s="238">
        <f t="shared" si="10"/>
        <v>0</v>
      </c>
      <c r="AB48" s="238">
        <f t="shared" si="11"/>
        <v>0</v>
      </c>
      <c r="AC48" s="238">
        <f t="shared" si="12"/>
        <v>0</v>
      </c>
      <c r="AD48" s="238">
        <f t="shared" si="13"/>
        <v>0</v>
      </c>
      <c r="AE48" s="238">
        <f t="shared" si="14"/>
        <v>0</v>
      </c>
      <c r="AF48" s="238">
        <f t="shared" si="15"/>
        <v>0</v>
      </c>
      <c r="AG48" s="238">
        <f t="shared" si="16"/>
        <v>0</v>
      </c>
      <c r="AH48" s="1">
        <f t="shared" si="17"/>
        <v>19700</v>
      </c>
    </row>
    <row r="49" spans="1:34" ht="15.75" x14ac:dyDescent="0.25">
      <c r="A49" s="154">
        <v>48</v>
      </c>
      <c r="B49" s="155" t="s">
        <v>630</v>
      </c>
      <c r="C49" s="153"/>
      <c r="D49" s="153">
        <v>3756.26</v>
      </c>
      <c r="E49" s="142">
        <f t="shared" si="2"/>
        <v>18750</v>
      </c>
      <c r="F49" s="144">
        <f>VLOOKUP(B49,'[1]Табель цех 01 по 15 червня'!$B$2:$H$77,7,FALSE)</f>
        <v>-44.509999999994761</v>
      </c>
      <c r="G49" s="144">
        <f t="shared" si="3"/>
        <v>15000</v>
      </c>
      <c r="H49" s="144">
        <f t="shared" si="4"/>
        <v>-50.76999999999498</v>
      </c>
      <c r="I49" s="125">
        <f>Цо!AH49+IRS!AH49+Катеринополь!AH49+'Мк нежин'!AH49+'ЕМС Вооз'!AH49+ООН!AN49+'Червоний хрест'!AH49+Укрнафта!AJ49+Кернел!AO49+'Глобино Мк'!AH49+'МД Франківськ'!AH49</f>
        <v>125</v>
      </c>
      <c r="J49" s="44">
        <v>150</v>
      </c>
      <c r="K49" s="1">
        <f>VLOOKUP(B49,Цо!$B$2:$AH$74,33,FALSE)</f>
        <v>0</v>
      </c>
      <c r="L49" s="1">
        <f>VLOOKUP(B49,IRS!$B$2:$AH$73,33,FALSE)</f>
        <v>54</v>
      </c>
      <c r="M49" s="1">
        <f>VLOOKUP(B49,Катеринополь!$B$1:$AH$73,33,FALSE)</f>
        <v>0</v>
      </c>
      <c r="N49" s="1">
        <f>VLOOKUP(B49,'Мк нежин'!$B$2:$AH$73,33,FALSE)</f>
        <v>0</v>
      </c>
      <c r="O49" s="1">
        <f>VLOOKUP(B49,'ЕМС Вооз'!$B$2:$AH$73,33,FALSE)</f>
        <v>0</v>
      </c>
      <c r="P49" s="1">
        <f>VLOOKUP(B49,ООН!$H$2:$AN$73,33,FALSE)</f>
        <v>0</v>
      </c>
      <c r="Q49" s="1">
        <f>VLOOKUP(B49,'Червоний хрест'!$B$2:$AH$73,33,FALSE)</f>
        <v>0</v>
      </c>
      <c r="R49" s="1">
        <f>VLOOKUP(B49,Укрнафта!$D$2:$AJ$73,33,FALSE)</f>
        <v>0</v>
      </c>
      <c r="S49" s="1">
        <f>VLOOKUP(B49,Кернел!$I$2:$AO$73,33,FALSE)</f>
        <v>0</v>
      </c>
      <c r="T49" s="1">
        <f>VLOOKUP(B49,'Глобино Мк'!$B$2:$AH$73,33,FALSE)</f>
        <v>11</v>
      </c>
      <c r="U49" s="1">
        <f>VLOOKUP(B49,'МД Франківськ'!$B$2:$AH$73,33,FALSE)</f>
        <v>60</v>
      </c>
      <c r="V49" s="236">
        <f t="shared" si="5"/>
        <v>125</v>
      </c>
      <c r="W49" s="238">
        <f t="shared" si="6"/>
        <v>0</v>
      </c>
      <c r="X49" s="238">
        <f t="shared" si="7"/>
        <v>6480</v>
      </c>
      <c r="Y49" s="238">
        <f t="shared" si="8"/>
        <v>0</v>
      </c>
      <c r="Z49" s="238">
        <f t="shared" si="9"/>
        <v>0</v>
      </c>
      <c r="AA49" s="238">
        <f t="shared" si="10"/>
        <v>0</v>
      </c>
      <c r="AB49" s="238">
        <f t="shared" si="11"/>
        <v>0</v>
      </c>
      <c r="AC49" s="238">
        <f t="shared" si="12"/>
        <v>0</v>
      </c>
      <c r="AD49" s="238">
        <f t="shared" si="13"/>
        <v>0</v>
      </c>
      <c r="AE49" s="238">
        <f t="shared" si="14"/>
        <v>0</v>
      </c>
      <c r="AF49" s="238">
        <f t="shared" si="15"/>
        <v>1320</v>
      </c>
      <c r="AG49" s="238">
        <f t="shared" si="16"/>
        <v>7200</v>
      </c>
      <c r="AH49" s="1">
        <f t="shared" si="17"/>
        <v>15000</v>
      </c>
    </row>
    <row r="50" spans="1:34" ht="15.75" x14ac:dyDescent="0.25">
      <c r="A50" s="154">
        <v>49</v>
      </c>
      <c r="B50" s="155" t="s">
        <v>640</v>
      </c>
      <c r="C50" s="153"/>
      <c r="D50" s="153"/>
      <c r="E50" s="142">
        <f t="shared" si="2"/>
        <v>19050</v>
      </c>
      <c r="F50" s="144">
        <f>VLOOKUP(B50,'[1]Табель цех 01 по 15 червня'!$B$2:$H$77,7,FALSE)</f>
        <v>0</v>
      </c>
      <c r="G50" s="144">
        <f t="shared" si="3"/>
        <v>19100</v>
      </c>
      <c r="H50" s="144">
        <f t="shared" si="4"/>
        <v>-50</v>
      </c>
      <c r="I50" s="125">
        <f>Цо!AH50+IRS!AH50+Катеринополь!AH50+'Мк нежин'!AH50+'ЕМС Вооз'!AH50+ООН!AN50+'Червоний хрест'!AH50+Укрнафта!AJ50+Кернел!AO50+'Глобино Мк'!AH50+'МД Франківськ'!AH50</f>
        <v>127</v>
      </c>
      <c r="J50" s="44">
        <v>150</v>
      </c>
      <c r="K50" s="1">
        <f>VLOOKUP(B50,Цо!$B$2:$AH$74,33,FALSE)</f>
        <v>0</v>
      </c>
      <c r="L50" s="1">
        <f>VLOOKUP(B50,IRS!$B$2:$AH$73,33,FALSE)</f>
        <v>28</v>
      </c>
      <c r="M50" s="1">
        <f>VLOOKUP(B50,Катеринополь!$B$1:$AH$73,33,FALSE)</f>
        <v>0</v>
      </c>
      <c r="N50" s="1">
        <f>VLOOKUP(B50,'Мк нежин'!$B$2:$AH$73,33,FALSE)</f>
        <v>0</v>
      </c>
      <c r="O50" s="1">
        <f>VLOOKUP(B50,'ЕМС Вооз'!$B$2:$AH$73,33,FALSE)</f>
        <v>0</v>
      </c>
      <c r="P50" s="1">
        <f>VLOOKUP(B50,ООН!$H$2:$AN$73,33,FALSE)</f>
        <v>0</v>
      </c>
      <c r="Q50" s="1">
        <f>VLOOKUP(B50,'Червоний хрест'!$B$2:$AH$73,33,FALSE)</f>
        <v>0</v>
      </c>
      <c r="R50" s="1">
        <f>VLOOKUP(B50,Укрнафта!$D$2:$AJ$73,33,FALSE)</f>
        <v>0</v>
      </c>
      <c r="S50" s="1">
        <f>VLOOKUP(B50,Кернел!$I$2:$AO$73,33,FALSE)</f>
        <v>0</v>
      </c>
      <c r="T50" s="1">
        <f>VLOOKUP(B50,'Глобино Мк'!$B$2:$AH$73,33,FALSE)</f>
        <v>22</v>
      </c>
      <c r="U50" s="1">
        <f>VLOOKUP(B50,'МД Франківськ'!$B$2:$AH$73,33,FALSE)</f>
        <v>77</v>
      </c>
      <c r="V50" s="236">
        <f t="shared" si="5"/>
        <v>127</v>
      </c>
      <c r="W50" s="238">
        <f t="shared" si="6"/>
        <v>0</v>
      </c>
      <c r="X50" s="238">
        <f t="shared" si="7"/>
        <v>4211.0236220472443</v>
      </c>
      <c r="Y50" s="238">
        <f t="shared" si="8"/>
        <v>0</v>
      </c>
      <c r="Z50" s="238">
        <f t="shared" si="9"/>
        <v>0</v>
      </c>
      <c r="AA50" s="238">
        <f t="shared" si="10"/>
        <v>0</v>
      </c>
      <c r="AB50" s="238">
        <f t="shared" si="11"/>
        <v>0</v>
      </c>
      <c r="AC50" s="238">
        <f t="shared" si="12"/>
        <v>0</v>
      </c>
      <c r="AD50" s="238">
        <f t="shared" si="13"/>
        <v>0</v>
      </c>
      <c r="AE50" s="238">
        <f t="shared" si="14"/>
        <v>0</v>
      </c>
      <c r="AF50" s="238">
        <f t="shared" si="15"/>
        <v>3308.6614173228345</v>
      </c>
      <c r="AG50" s="238">
        <f t="shared" si="16"/>
        <v>11580.314960629921</v>
      </c>
      <c r="AH50" s="1">
        <f t="shared" si="17"/>
        <v>19100</v>
      </c>
    </row>
    <row r="51" spans="1:34" ht="15.75" x14ac:dyDescent="0.25">
      <c r="A51" s="154">
        <v>50</v>
      </c>
      <c r="B51" s="155" t="s">
        <v>642</v>
      </c>
      <c r="C51" s="153"/>
      <c r="D51" s="153"/>
      <c r="E51" s="142">
        <f t="shared" si="2"/>
        <v>16500</v>
      </c>
      <c r="F51" s="144">
        <f>VLOOKUP(B51,'[1]Табель цех 01 по 15 червня'!$B$2:$H$77,7,FALSE)</f>
        <v>0</v>
      </c>
      <c r="G51" s="144">
        <f t="shared" si="3"/>
        <v>16500</v>
      </c>
      <c r="H51" s="144">
        <f t="shared" si="4"/>
        <v>0</v>
      </c>
      <c r="I51" s="125">
        <f>Цо!AH51+IRS!AH51+Катеринополь!AH51+'Мк нежин'!AH51+'ЕМС Вооз'!AH51+ООН!AN51+'Червоний хрест'!AH51+Укрнафта!AJ51+Кернел!AO51+'Глобино Мк'!AH51+'МД Франківськ'!AH51</f>
        <v>110</v>
      </c>
      <c r="J51" s="44">
        <v>150</v>
      </c>
      <c r="K51" s="1">
        <f>VLOOKUP(B51,Цо!$B$2:$AH$74,33,FALSE)</f>
        <v>0</v>
      </c>
      <c r="L51" s="1">
        <f>VLOOKUP(B51,IRS!$B$2:$AH$73,33,FALSE)</f>
        <v>11</v>
      </c>
      <c r="M51" s="1">
        <f>VLOOKUP(B51,Катеринополь!$B$1:$AH$73,33,FALSE)</f>
        <v>0</v>
      </c>
      <c r="N51" s="1">
        <f>VLOOKUP(B51,'Мк нежин'!$B$2:$AH$73,33,FALSE)</f>
        <v>11</v>
      </c>
      <c r="O51" s="1">
        <f>VLOOKUP(B51,'ЕМС Вооз'!$B$2:$AH$73,33,FALSE)</f>
        <v>11</v>
      </c>
      <c r="P51" s="1">
        <f>VLOOKUP(B51,ООН!$H$2:$AN$73,33,FALSE)</f>
        <v>77</v>
      </c>
      <c r="Q51" s="1">
        <f>VLOOKUP(B51,'Червоний хрест'!$B$2:$AH$73,33,FALSE)</f>
        <v>0</v>
      </c>
      <c r="R51" s="1">
        <f>VLOOKUP(B51,Укрнафта!$D$2:$AJ$73,33,FALSE)</f>
        <v>0</v>
      </c>
      <c r="S51" s="1">
        <f>VLOOKUP(B51,Кернел!$I$2:$AO$73,33,FALSE)</f>
        <v>0</v>
      </c>
      <c r="T51" s="1">
        <f>VLOOKUP(B51,'Глобино Мк'!$B$2:$AH$73,33,FALSE)</f>
        <v>0</v>
      </c>
      <c r="U51" s="1">
        <f>VLOOKUP(B51,'МД Франківськ'!$B$2:$AH$73,33,FALSE)</f>
        <v>0</v>
      </c>
      <c r="V51" s="236">
        <f t="shared" si="5"/>
        <v>110</v>
      </c>
      <c r="W51" s="238">
        <f t="shared" si="6"/>
        <v>0</v>
      </c>
      <c r="X51" s="238">
        <f t="shared" si="7"/>
        <v>1650</v>
      </c>
      <c r="Y51" s="238">
        <f t="shared" si="8"/>
        <v>0</v>
      </c>
      <c r="Z51" s="238">
        <f t="shared" si="9"/>
        <v>1650</v>
      </c>
      <c r="AA51" s="238">
        <f t="shared" si="10"/>
        <v>1650</v>
      </c>
      <c r="AB51" s="238">
        <f t="shared" si="11"/>
        <v>11550</v>
      </c>
      <c r="AC51" s="238">
        <f t="shared" si="12"/>
        <v>0</v>
      </c>
      <c r="AD51" s="238">
        <f t="shared" si="13"/>
        <v>0</v>
      </c>
      <c r="AE51" s="238">
        <f t="shared" si="14"/>
        <v>0</v>
      </c>
      <c r="AF51" s="238">
        <f t="shared" si="15"/>
        <v>0</v>
      </c>
      <c r="AG51" s="238">
        <f t="shared" si="16"/>
        <v>0</v>
      </c>
      <c r="AH51" s="1">
        <f t="shared" si="17"/>
        <v>16500</v>
      </c>
    </row>
    <row r="52" spans="1:34" ht="15.75" x14ac:dyDescent="0.25">
      <c r="A52" s="154">
        <v>51</v>
      </c>
      <c r="B52" s="155" t="s">
        <v>643</v>
      </c>
      <c r="C52" s="153"/>
      <c r="D52" s="153"/>
      <c r="E52" s="142">
        <f t="shared" si="2"/>
        <v>22500</v>
      </c>
      <c r="F52" s="144">
        <f>VLOOKUP(B52,'[1]Табель цех 01 по 15 червня'!$B$2:$H$77,7,FALSE)</f>
        <v>-50</v>
      </c>
      <c r="G52" s="144">
        <f t="shared" si="3"/>
        <v>22500</v>
      </c>
      <c r="H52" s="144">
        <f t="shared" si="4"/>
        <v>-50</v>
      </c>
      <c r="I52" s="125">
        <f>Цо!AH52+IRS!AH52+Катеринополь!AH52+'Мк нежин'!AH52+'ЕМС Вооз'!AH52+ООН!AN52+'Червоний хрест'!AH52+Укрнафта!AJ52+Кернел!AO52+'Глобино Мк'!AH52+'МД Франківськ'!AH52</f>
        <v>150</v>
      </c>
      <c r="J52" s="44">
        <v>150</v>
      </c>
      <c r="K52" s="1">
        <f>VLOOKUP(B52,Цо!$B$2:$AH$74,33,FALSE)</f>
        <v>0</v>
      </c>
      <c r="L52" s="1">
        <f>VLOOKUP(B52,IRS!$B$2:$AH$73,33,FALSE)</f>
        <v>89</v>
      </c>
      <c r="M52" s="1">
        <f>VLOOKUP(B52,Катеринополь!$B$1:$AH$73,33,FALSE)</f>
        <v>0</v>
      </c>
      <c r="N52" s="1">
        <f>VLOOKUP(B52,'Мк нежин'!$B$2:$AH$73,33,FALSE)</f>
        <v>22</v>
      </c>
      <c r="O52" s="1">
        <f>VLOOKUP(B52,'ЕМС Вооз'!$B$2:$AH$73,33,FALSE)</f>
        <v>0</v>
      </c>
      <c r="P52" s="1">
        <f>VLOOKUP(B52,ООН!$H$2:$AN$73,33,FALSE)</f>
        <v>0</v>
      </c>
      <c r="Q52" s="1">
        <f>VLOOKUP(B52,'Червоний хрест'!$B$2:$AH$73,33,FALSE)</f>
        <v>0</v>
      </c>
      <c r="R52" s="1">
        <f>VLOOKUP(B52,Укрнафта!$D$2:$AJ$73,33,FALSE)</f>
        <v>0</v>
      </c>
      <c r="S52" s="1">
        <f>VLOOKUP(B52,Кернел!$I$2:$AO$73,33,FALSE)</f>
        <v>17</v>
      </c>
      <c r="T52" s="1">
        <f>VLOOKUP(B52,'Глобино Мк'!$B$2:$AH$73,33,FALSE)</f>
        <v>22</v>
      </c>
      <c r="U52" s="1">
        <f>VLOOKUP(B52,'МД Франківськ'!$B$2:$AH$73,33,FALSE)</f>
        <v>0</v>
      </c>
      <c r="V52" s="236">
        <f t="shared" si="5"/>
        <v>150</v>
      </c>
      <c r="W52" s="238">
        <f t="shared" si="6"/>
        <v>0</v>
      </c>
      <c r="X52" s="238">
        <f t="shared" si="7"/>
        <v>13350.000000000002</v>
      </c>
      <c r="Y52" s="238">
        <f t="shared" si="8"/>
        <v>0</v>
      </c>
      <c r="Z52" s="238">
        <f t="shared" si="9"/>
        <v>3300</v>
      </c>
      <c r="AA52" s="238">
        <f t="shared" si="10"/>
        <v>0</v>
      </c>
      <c r="AB52" s="238">
        <f t="shared" si="11"/>
        <v>0</v>
      </c>
      <c r="AC52" s="238">
        <f t="shared" si="12"/>
        <v>0</v>
      </c>
      <c r="AD52" s="238">
        <f t="shared" si="13"/>
        <v>0</v>
      </c>
      <c r="AE52" s="238">
        <f t="shared" si="14"/>
        <v>2550</v>
      </c>
      <c r="AF52" s="238">
        <f t="shared" si="15"/>
        <v>3300</v>
      </c>
      <c r="AG52" s="238">
        <f t="shared" si="16"/>
        <v>0</v>
      </c>
      <c r="AH52" s="1">
        <f t="shared" si="17"/>
        <v>22500</v>
      </c>
    </row>
    <row r="53" spans="1:34" ht="15.75" x14ac:dyDescent="0.25">
      <c r="A53" s="154">
        <v>52</v>
      </c>
      <c r="B53" s="155" t="s">
        <v>646</v>
      </c>
      <c r="C53" s="153"/>
      <c r="D53" s="153">
        <v>3756.26</v>
      </c>
      <c r="E53" s="142">
        <f t="shared" si="2"/>
        <v>32400</v>
      </c>
      <c r="F53" s="144">
        <f>VLOOKUP(B53,'[1]Табель цех 01 по 15 червня'!$B$2:$H$77,7,FALSE)</f>
        <v>17.25</v>
      </c>
      <c r="G53" s="144">
        <f t="shared" si="3"/>
        <v>28600</v>
      </c>
      <c r="H53" s="144">
        <f t="shared" si="4"/>
        <v>60.989999999997963</v>
      </c>
      <c r="I53" s="125">
        <f>Цо!AH53+IRS!AH53+Катеринополь!AH53+'Мк нежин'!AH53+'ЕМС Вооз'!AH53+ООН!AN53+'Червоний хрест'!AH53+Укрнафта!AJ53+Кернел!AO53+'Глобино Мк'!AH53+'МД Франківськ'!AH53</f>
        <v>216</v>
      </c>
      <c r="J53" s="44">
        <v>150</v>
      </c>
      <c r="K53" s="1">
        <f>VLOOKUP(B53,Цо!$B$2:$AH$74,33,FALSE)</f>
        <v>0</v>
      </c>
      <c r="L53" s="1">
        <f>VLOOKUP(B53,IRS!$B$2:$AH$73,33,FALSE)</f>
        <v>0</v>
      </c>
      <c r="M53" s="1">
        <f>VLOOKUP(B53,Катеринополь!$B$1:$AH$73,33,FALSE)</f>
        <v>0</v>
      </c>
      <c r="N53" s="1">
        <f>VLOOKUP(B53,'Мк нежин'!$B$2:$AH$73,33,FALSE)</f>
        <v>0</v>
      </c>
      <c r="O53" s="1">
        <f>VLOOKUP(B53,'ЕМС Вооз'!$B$2:$AH$73,33,FALSE)</f>
        <v>0</v>
      </c>
      <c r="P53" s="1">
        <f>VLOOKUP(B53,ООН!$H$2:$AN$73,33,FALSE)</f>
        <v>0</v>
      </c>
      <c r="Q53" s="1">
        <f>VLOOKUP(B53,'Червоний хрест'!$B$2:$AH$73,33,FALSE)</f>
        <v>0</v>
      </c>
      <c r="R53" s="1">
        <f>VLOOKUP(B53,Укрнафта!$D$2:$AJ$73,33,FALSE)</f>
        <v>0</v>
      </c>
      <c r="S53" s="1">
        <f>VLOOKUP(B53,Кернел!$I$2:$AO$73,33,FALSE)</f>
        <v>216</v>
      </c>
      <c r="T53" s="1">
        <f>VLOOKUP(B53,'Глобино Мк'!$B$2:$AH$73,33,FALSE)</f>
        <v>0</v>
      </c>
      <c r="U53" s="1">
        <f>VLOOKUP(B53,'МД Франківськ'!$B$2:$AH$73,33,FALSE)</f>
        <v>0</v>
      </c>
      <c r="V53" s="236">
        <f t="shared" si="5"/>
        <v>216</v>
      </c>
      <c r="W53" s="238">
        <f t="shared" si="6"/>
        <v>0</v>
      </c>
      <c r="X53" s="238">
        <f t="shared" si="7"/>
        <v>0</v>
      </c>
      <c r="Y53" s="238">
        <f t="shared" si="8"/>
        <v>0</v>
      </c>
      <c r="Z53" s="238">
        <f t="shared" si="9"/>
        <v>0</v>
      </c>
      <c r="AA53" s="238">
        <f t="shared" si="10"/>
        <v>0</v>
      </c>
      <c r="AB53" s="238">
        <f t="shared" si="11"/>
        <v>0</v>
      </c>
      <c r="AC53" s="238">
        <f t="shared" si="12"/>
        <v>0</v>
      </c>
      <c r="AD53" s="238">
        <f t="shared" si="13"/>
        <v>0</v>
      </c>
      <c r="AE53" s="238">
        <f t="shared" si="14"/>
        <v>28600</v>
      </c>
      <c r="AF53" s="238">
        <f t="shared" si="15"/>
        <v>0</v>
      </c>
      <c r="AG53" s="238">
        <f t="shared" si="16"/>
        <v>0</v>
      </c>
      <c r="AH53" s="1">
        <f t="shared" si="17"/>
        <v>28600</v>
      </c>
    </row>
    <row r="54" spans="1:34" ht="15.75" x14ac:dyDescent="0.25">
      <c r="A54" s="154">
        <v>53</v>
      </c>
      <c r="B54" s="155" t="s">
        <v>644</v>
      </c>
      <c r="C54" s="153"/>
      <c r="D54" s="153"/>
      <c r="E54" s="142">
        <f t="shared" si="2"/>
        <v>20850</v>
      </c>
      <c r="F54" s="144">
        <f>VLOOKUP(B54,'[1]Табель цех 01 по 15 червня'!$B$2:$H$77,7,FALSE)</f>
        <v>0</v>
      </c>
      <c r="G54" s="144">
        <f t="shared" si="3"/>
        <v>20900</v>
      </c>
      <c r="H54" s="144">
        <f t="shared" si="4"/>
        <v>-50</v>
      </c>
      <c r="I54" s="125">
        <f>Цо!AH54+IRS!AH54+Катеринополь!AH54+'Мк нежин'!AH54+'ЕМС Вооз'!AH54+ООН!AN54+'Червоний хрест'!AH54+Укрнафта!AJ54+Кернел!AO54+'Глобино Мк'!AH54+'МД Франківськ'!AH54</f>
        <v>139</v>
      </c>
      <c r="J54" s="44">
        <v>150</v>
      </c>
      <c r="K54" s="1">
        <f>VLOOKUP(B54,Цо!$B$2:$AH$74,33,FALSE)</f>
        <v>0</v>
      </c>
      <c r="L54" s="1">
        <f>VLOOKUP(B54,IRS!$B$2:$AH$73,33,FALSE)</f>
        <v>55</v>
      </c>
      <c r="M54" s="1">
        <f>VLOOKUP(B54,Катеринополь!$B$1:$AH$73,33,FALSE)</f>
        <v>11</v>
      </c>
      <c r="N54" s="1">
        <f>VLOOKUP(B54,'Мк нежин'!$B$2:$AH$73,33,FALSE)</f>
        <v>22</v>
      </c>
      <c r="O54" s="1">
        <f>VLOOKUP(B54,'ЕМС Вооз'!$B$2:$AH$73,33,FALSE)</f>
        <v>0</v>
      </c>
      <c r="P54" s="1">
        <f>VLOOKUP(B54,ООН!$H$2:$AN$73,33,FALSE)</f>
        <v>11</v>
      </c>
      <c r="Q54" s="1">
        <f>VLOOKUP(B54,'Червоний хрест'!$B$2:$AH$73,33,FALSE)</f>
        <v>0</v>
      </c>
      <c r="R54" s="1">
        <f>VLOOKUP(B54,Укрнафта!$D$2:$AJ$73,33,FALSE)</f>
        <v>0</v>
      </c>
      <c r="S54" s="1">
        <f>VLOOKUP(B54,Кернел!$I$2:$AO$73,33,FALSE)</f>
        <v>18</v>
      </c>
      <c r="T54" s="1">
        <f>VLOOKUP(B54,'Глобино Мк'!$B$2:$AH$73,33,FALSE)</f>
        <v>22</v>
      </c>
      <c r="U54" s="1">
        <f>VLOOKUP(B54,'МД Франківськ'!$B$2:$AH$73,33,FALSE)</f>
        <v>0</v>
      </c>
      <c r="V54" s="236">
        <f t="shared" si="5"/>
        <v>139</v>
      </c>
      <c r="W54" s="238">
        <f t="shared" si="6"/>
        <v>0</v>
      </c>
      <c r="X54" s="238">
        <f t="shared" si="7"/>
        <v>8269.7841726618699</v>
      </c>
      <c r="Y54" s="238">
        <f t="shared" si="8"/>
        <v>1653.9568345323739</v>
      </c>
      <c r="Z54" s="238">
        <f t="shared" si="9"/>
        <v>3307.9136690647479</v>
      </c>
      <c r="AA54" s="238">
        <f t="shared" si="10"/>
        <v>0</v>
      </c>
      <c r="AB54" s="238">
        <f t="shared" si="11"/>
        <v>1653.9568345323739</v>
      </c>
      <c r="AC54" s="238">
        <f t="shared" si="12"/>
        <v>0</v>
      </c>
      <c r="AD54" s="238">
        <f t="shared" si="13"/>
        <v>0</v>
      </c>
      <c r="AE54" s="238">
        <f t="shared" si="14"/>
        <v>2706.4748201438847</v>
      </c>
      <c r="AF54" s="238">
        <f t="shared" si="15"/>
        <v>3307.9136690647479</v>
      </c>
      <c r="AG54" s="238">
        <f t="shared" si="16"/>
        <v>0</v>
      </c>
      <c r="AH54" s="1">
        <f t="shared" si="17"/>
        <v>20899.999999999996</v>
      </c>
    </row>
    <row r="55" spans="1:34" ht="15.75" x14ac:dyDescent="0.25">
      <c r="A55" s="154">
        <v>54</v>
      </c>
      <c r="B55" s="155" t="s">
        <v>641</v>
      </c>
      <c r="C55" s="153"/>
      <c r="D55" s="153">
        <v>3756.26</v>
      </c>
      <c r="E55" s="142">
        <f t="shared" si="2"/>
        <v>15750</v>
      </c>
      <c r="F55" s="144">
        <f>VLOOKUP(B55,'[1]Табель цех 01 по 15 червня'!$B$2:$H$77,7,FALSE)</f>
        <v>0</v>
      </c>
      <c r="G55" s="144">
        <f t="shared" si="3"/>
        <v>12000</v>
      </c>
      <c r="H55" s="144">
        <f t="shared" si="4"/>
        <v>-6.2600000000002183</v>
      </c>
      <c r="I55" s="125">
        <f>Цо!AH55+IRS!AH55+Катеринополь!AH55+'Мк нежин'!AH55+'ЕМС Вооз'!AH55+ООН!AN55+'Червоний хрест'!AH55+Укрнафта!AJ55+Кернел!AO55+'Глобино Мк'!AH55+'МД Франківськ'!AH55</f>
        <v>105</v>
      </c>
      <c r="J55" s="44">
        <v>150</v>
      </c>
      <c r="K55" s="1">
        <f>VLOOKUP(B55,Цо!$B$2:$AH$74,33,FALSE)</f>
        <v>105</v>
      </c>
      <c r="L55" s="1">
        <f>VLOOKUP(B55,IRS!$B$2:$AH$73,33,FALSE)</f>
        <v>0</v>
      </c>
      <c r="M55" s="1">
        <f>VLOOKUP(B55,Катеринополь!$B$1:$AH$73,33,FALSE)</f>
        <v>0</v>
      </c>
      <c r="N55" s="1">
        <f>VLOOKUP(B55,'Мк нежин'!$B$2:$AH$73,33,FALSE)</f>
        <v>0</v>
      </c>
      <c r="O55" s="1">
        <f>VLOOKUP(B55,'ЕМС Вооз'!$B$2:$AH$73,33,FALSE)</f>
        <v>0</v>
      </c>
      <c r="P55" s="1">
        <f>VLOOKUP(B55,ООН!$H$2:$AN$73,33,FALSE)</f>
        <v>0</v>
      </c>
      <c r="Q55" s="1">
        <f>VLOOKUP(B55,'Червоний хрест'!$B$2:$AH$73,33,FALSE)</f>
        <v>0</v>
      </c>
      <c r="R55" s="1">
        <f>VLOOKUP(B55,Укрнафта!$D$2:$AJ$73,33,FALSE)</f>
        <v>0</v>
      </c>
      <c r="S55" s="1">
        <f>VLOOKUP(B55,Кернел!$I$2:$AO$73,33,FALSE)</f>
        <v>0</v>
      </c>
      <c r="T55" s="1">
        <f>VLOOKUP(B55,'Глобино Мк'!$B$2:$AH$73,33,FALSE)</f>
        <v>0</v>
      </c>
      <c r="U55" s="1">
        <f>VLOOKUP(B55,'МД Франківськ'!$B$2:$AH$73,33,FALSE)</f>
        <v>0</v>
      </c>
      <c r="V55" s="236">
        <f t="shared" si="5"/>
        <v>105</v>
      </c>
      <c r="W55" s="238">
        <f t="shared" si="6"/>
        <v>12000</v>
      </c>
      <c r="X55" s="238">
        <f t="shared" si="7"/>
        <v>0</v>
      </c>
      <c r="Y55" s="238">
        <f t="shared" si="8"/>
        <v>0</v>
      </c>
      <c r="Z55" s="238">
        <f t="shared" si="9"/>
        <v>0</v>
      </c>
      <c r="AA55" s="238">
        <f t="shared" si="10"/>
        <v>0</v>
      </c>
      <c r="AB55" s="238">
        <f t="shared" si="11"/>
        <v>0</v>
      </c>
      <c r="AC55" s="238">
        <f t="shared" si="12"/>
        <v>0</v>
      </c>
      <c r="AD55" s="238">
        <f t="shared" si="13"/>
        <v>0</v>
      </c>
      <c r="AE55" s="238">
        <f t="shared" si="14"/>
        <v>0</v>
      </c>
      <c r="AF55" s="238">
        <f t="shared" si="15"/>
        <v>0</v>
      </c>
      <c r="AG55" s="238">
        <f t="shared" si="16"/>
        <v>0</v>
      </c>
      <c r="AH55" s="1">
        <f t="shared" si="17"/>
        <v>12000</v>
      </c>
    </row>
    <row r="56" spans="1:34" ht="15.75" x14ac:dyDescent="0.25">
      <c r="A56" s="154">
        <v>55</v>
      </c>
      <c r="B56" s="155" t="s">
        <v>647</v>
      </c>
      <c r="C56" s="153"/>
      <c r="D56" s="153"/>
      <c r="E56" s="142">
        <f t="shared" si="2"/>
        <v>19950</v>
      </c>
      <c r="F56" s="144">
        <f>VLOOKUP(B56,'[1]Табель цех 01 по 15 червня'!$B$2:$H$77,7,FALSE)</f>
        <v>0</v>
      </c>
      <c r="G56" s="144">
        <f t="shared" si="3"/>
        <v>20000</v>
      </c>
      <c r="H56" s="144">
        <f t="shared" si="4"/>
        <v>-50</v>
      </c>
      <c r="I56" s="125">
        <f>Цо!AH56+IRS!AH56+Катеринополь!AH56+'Мк нежин'!AH56+'ЕМС Вооз'!AH56+ООН!AN56+'Червоний хрест'!AH56+Укрнафта!AJ56+Кернел!AO56+'Глобино Мк'!AH56+'МД Франківськ'!AH56</f>
        <v>133</v>
      </c>
      <c r="J56" s="44">
        <v>150</v>
      </c>
      <c r="K56" s="1">
        <f>VLOOKUP(B56,Цо!$B$2:$AH$74,33,FALSE)</f>
        <v>133</v>
      </c>
      <c r="L56" s="1">
        <f>VLOOKUP(B56,IRS!$B$2:$AH$73,33,FALSE)</f>
        <v>0</v>
      </c>
      <c r="M56" s="1">
        <f>VLOOKUP(B56,Катеринополь!$B$1:$AH$73,33,FALSE)</f>
        <v>0</v>
      </c>
      <c r="N56" s="1">
        <f>VLOOKUP(B56,'Мк нежин'!$B$2:$AH$73,33,FALSE)</f>
        <v>0</v>
      </c>
      <c r="O56" s="1">
        <f>VLOOKUP(B56,'ЕМС Вооз'!$B$2:$AH$73,33,FALSE)</f>
        <v>0</v>
      </c>
      <c r="P56" s="1">
        <f>VLOOKUP(B56,ООН!$H$2:$AN$73,33,FALSE)</f>
        <v>0</v>
      </c>
      <c r="Q56" s="1">
        <f>VLOOKUP(B56,'Червоний хрест'!$B$2:$AH$73,33,FALSE)</f>
        <v>0</v>
      </c>
      <c r="R56" s="1">
        <f>VLOOKUP(B56,Укрнафта!$D$2:$AJ$73,33,FALSE)</f>
        <v>0</v>
      </c>
      <c r="S56" s="1">
        <f>VLOOKUP(B56,Кернел!$I$2:$AO$73,33,FALSE)</f>
        <v>0</v>
      </c>
      <c r="T56" s="1">
        <f>VLOOKUP(B56,'Глобино Мк'!$B$2:$AH$73,33,FALSE)</f>
        <v>0</v>
      </c>
      <c r="U56" s="1">
        <f>VLOOKUP(B56,'МД Франківськ'!$B$2:$AH$73,33,FALSE)</f>
        <v>0</v>
      </c>
      <c r="V56" s="236">
        <f t="shared" si="5"/>
        <v>133</v>
      </c>
      <c r="W56" s="238">
        <f t="shared" si="6"/>
        <v>20000</v>
      </c>
      <c r="X56" s="238">
        <f t="shared" si="7"/>
        <v>0</v>
      </c>
      <c r="Y56" s="238">
        <f t="shared" si="8"/>
        <v>0</v>
      </c>
      <c r="Z56" s="238">
        <f t="shared" si="9"/>
        <v>0</v>
      </c>
      <c r="AA56" s="238">
        <f t="shared" si="10"/>
        <v>0</v>
      </c>
      <c r="AB56" s="238">
        <f t="shared" si="11"/>
        <v>0</v>
      </c>
      <c r="AC56" s="238">
        <f t="shared" si="12"/>
        <v>0</v>
      </c>
      <c r="AD56" s="238">
        <f t="shared" si="13"/>
        <v>0</v>
      </c>
      <c r="AE56" s="238">
        <f t="shared" si="14"/>
        <v>0</v>
      </c>
      <c r="AF56" s="238">
        <f t="shared" si="15"/>
        <v>0</v>
      </c>
      <c r="AG56" s="238">
        <f t="shared" si="16"/>
        <v>0</v>
      </c>
      <c r="AH56" s="1">
        <f t="shared" si="17"/>
        <v>20000</v>
      </c>
    </row>
    <row r="57" spans="1:34" ht="15.75" x14ac:dyDescent="0.25">
      <c r="A57" s="154">
        <v>56</v>
      </c>
      <c r="B57" s="155" t="s">
        <v>663</v>
      </c>
      <c r="C57" s="153"/>
      <c r="D57" s="153"/>
      <c r="E57" s="142">
        <f t="shared" si="2"/>
        <v>16950</v>
      </c>
      <c r="F57" s="144">
        <f>VLOOKUP(B57,'[1]Табель цех 01 по 15 червня'!$B$2:$H$77,7,FALSE)</f>
        <v>-50</v>
      </c>
      <c r="G57" s="144">
        <f t="shared" si="3"/>
        <v>17000</v>
      </c>
      <c r="H57" s="144">
        <f t="shared" si="4"/>
        <v>-100</v>
      </c>
      <c r="I57" s="125">
        <f>Цо!AH57+IRS!AH57+Катеринополь!AH57+'Мк нежин'!AH57+'ЕМС Вооз'!AH57+ООН!AN57+'Червоний хрест'!AH57+Укрнафта!AJ57+Кернел!AO57+'Глобино Мк'!AH57+'МД Франківськ'!AH57</f>
        <v>113</v>
      </c>
      <c r="J57" s="44">
        <v>150</v>
      </c>
      <c r="K57" s="1">
        <f>VLOOKUP(B57,Цо!$B$2:$AH$74,33,FALSE)</f>
        <v>0</v>
      </c>
      <c r="L57" s="1">
        <f>VLOOKUP(B57,IRS!$B$2:$AH$73,33,FALSE)</f>
        <v>0</v>
      </c>
      <c r="M57" s="1">
        <f>VLOOKUP(B57,Катеринополь!$B$1:$AH$73,33,FALSE)</f>
        <v>0</v>
      </c>
      <c r="N57" s="1">
        <f>VLOOKUP(B57,'Мк нежин'!$B$2:$AH$73,33,FALSE)</f>
        <v>0</v>
      </c>
      <c r="O57" s="1">
        <f>VLOOKUP(B57,'ЕМС Вооз'!$B$2:$AH$73,33,FALSE)</f>
        <v>0</v>
      </c>
      <c r="P57" s="1">
        <f>VLOOKUP(B57,ООН!$H$2:$AN$73,33,FALSE)</f>
        <v>113</v>
      </c>
      <c r="Q57" s="1">
        <f>VLOOKUP(B57,'Червоний хрест'!$B$2:$AH$73,33,FALSE)</f>
        <v>0</v>
      </c>
      <c r="R57" s="1">
        <f>VLOOKUP(B57,Укрнафта!$D$2:$AJ$73,33,FALSE)</f>
        <v>0</v>
      </c>
      <c r="S57" s="1">
        <f>VLOOKUP(B57,Кернел!$I$2:$AO$73,33,FALSE)</f>
        <v>0</v>
      </c>
      <c r="T57" s="1">
        <f>VLOOKUP(B57,'Глобино Мк'!$B$2:$AH$73,33,FALSE)</f>
        <v>0</v>
      </c>
      <c r="U57" s="1">
        <f>VLOOKUP(B57,'МД Франківськ'!$B$2:$AH$73,33,FALSE)</f>
        <v>0</v>
      </c>
      <c r="V57" s="236">
        <f t="shared" si="5"/>
        <v>113</v>
      </c>
      <c r="W57" s="238">
        <f t="shared" si="6"/>
        <v>0</v>
      </c>
      <c r="X57" s="238">
        <f t="shared" si="7"/>
        <v>0</v>
      </c>
      <c r="Y57" s="238">
        <f t="shared" si="8"/>
        <v>0</v>
      </c>
      <c r="Z57" s="238">
        <f t="shared" si="9"/>
        <v>0</v>
      </c>
      <c r="AA57" s="238">
        <f t="shared" si="10"/>
        <v>0</v>
      </c>
      <c r="AB57" s="238">
        <f t="shared" si="11"/>
        <v>17000</v>
      </c>
      <c r="AC57" s="238">
        <f t="shared" si="12"/>
        <v>0</v>
      </c>
      <c r="AD57" s="238">
        <f t="shared" si="13"/>
        <v>0</v>
      </c>
      <c r="AE57" s="238">
        <f t="shared" si="14"/>
        <v>0</v>
      </c>
      <c r="AF57" s="238">
        <f t="shared" si="15"/>
        <v>0</v>
      </c>
      <c r="AG57" s="238">
        <f t="shared" si="16"/>
        <v>0</v>
      </c>
      <c r="AH57" s="1">
        <f t="shared" si="17"/>
        <v>17000</v>
      </c>
    </row>
    <row r="58" spans="1:34" ht="15.75" x14ac:dyDescent="0.25">
      <c r="A58" s="154">
        <v>57</v>
      </c>
      <c r="B58" s="155" t="s">
        <v>649</v>
      </c>
      <c r="C58" s="153"/>
      <c r="D58" s="153"/>
      <c r="E58" s="142">
        <f t="shared" si="2"/>
        <v>20100</v>
      </c>
      <c r="F58" s="144">
        <f>VLOOKUP(B58,'[1]Табель цех 01 по 15 червня'!$B$2:$H$77,7,FALSE)</f>
        <v>0</v>
      </c>
      <c r="G58" s="144">
        <f t="shared" si="3"/>
        <v>20100</v>
      </c>
      <c r="H58" s="144">
        <f t="shared" si="4"/>
        <v>0</v>
      </c>
      <c r="I58" s="125">
        <f>Цо!AH58+IRS!AH58+Катеринополь!AH58+'Мк нежин'!AH58+'ЕМС Вооз'!AH58+ООН!AN58+'Червоний хрест'!AH58+Укрнафта!AJ58+Кернел!AO58+'Глобино Мк'!AH58+'МД Франківськ'!AH58</f>
        <v>134</v>
      </c>
      <c r="J58" s="44">
        <v>150</v>
      </c>
      <c r="K58" s="1">
        <f>VLOOKUP(B58,Цо!$B$2:$AH$74,33,FALSE)</f>
        <v>0</v>
      </c>
      <c r="L58" s="1">
        <f>VLOOKUP(B58,IRS!$B$2:$AH$73,33,FALSE)</f>
        <v>9</v>
      </c>
      <c r="M58" s="1">
        <f>VLOOKUP(B58,Катеринополь!$B$1:$AH$73,33,FALSE)</f>
        <v>0</v>
      </c>
      <c r="N58" s="1">
        <f>VLOOKUP(B58,'Мк нежин'!$B$2:$AH$73,33,FALSE)</f>
        <v>17</v>
      </c>
      <c r="O58" s="1">
        <f>VLOOKUP(B58,'ЕМС Вооз'!$B$2:$AH$73,33,FALSE)</f>
        <v>22</v>
      </c>
      <c r="P58" s="1">
        <f>VLOOKUP(B58,ООН!$H$2:$AN$73,33,FALSE)</f>
        <v>86</v>
      </c>
      <c r="Q58" s="1">
        <f>VLOOKUP(B58,'Червоний хрест'!$B$2:$AH$73,33,FALSE)</f>
        <v>0</v>
      </c>
      <c r="R58" s="1">
        <f>VLOOKUP(B58,Укрнафта!$D$2:$AJ$73,33,FALSE)</f>
        <v>0</v>
      </c>
      <c r="S58" s="1">
        <f>VLOOKUP(B58,Кернел!$I$2:$AO$73,33,FALSE)</f>
        <v>0</v>
      </c>
      <c r="T58" s="1">
        <f>VLOOKUP(B58,'Глобино Мк'!$B$2:$AH$73,33,FALSE)</f>
        <v>0</v>
      </c>
      <c r="U58" s="1">
        <f>VLOOKUP(B58,'МД Франківськ'!$B$2:$AH$73,33,FALSE)</f>
        <v>0</v>
      </c>
      <c r="V58" s="236">
        <f t="shared" si="5"/>
        <v>134</v>
      </c>
      <c r="W58" s="238">
        <f t="shared" si="6"/>
        <v>0</v>
      </c>
      <c r="X58" s="238">
        <f t="shared" si="7"/>
        <v>1350</v>
      </c>
      <c r="Y58" s="238">
        <f t="shared" si="8"/>
        <v>0</v>
      </c>
      <c r="Z58" s="238">
        <f t="shared" si="9"/>
        <v>2550</v>
      </c>
      <c r="AA58" s="238">
        <f t="shared" si="10"/>
        <v>3300</v>
      </c>
      <c r="AB58" s="238">
        <f t="shared" si="11"/>
        <v>12900</v>
      </c>
      <c r="AC58" s="238">
        <f t="shared" si="12"/>
        <v>0</v>
      </c>
      <c r="AD58" s="238">
        <f t="shared" si="13"/>
        <v>0</v>
      </c>
      <c r="AE58" s="238">
        <f t="shared" si="14"/>
        <v>0</v>
      </c>
      <c r="AF58" s="238">
        <f t="shared" si="15"/>
        <v>0</v>
      </c>
      <c r="AG58" s="238">
        <f t="shared" si="16"/>
        <v>0</v>
      </c>
      <c r="AH58" s="1">
        <f t="shared" si="17"/>
        <v>20100</v>
      </c>
    </row>
    <row r="59" spans="1:34" ht="15.75" x14ac:dyDescent="0.25">
      <c r="A59" s="154">
        <v>58</v>
      </c>
      <c r="B59" s="155" t="s">
        <v>650</v>
      </c>
      <c r="C59" s="153"/>
      <c r="D59" s="153"/>
      <c r="E59" s="158">
        <f t="shared" si="2"/>
        <v>18150</v>
      </c>
      <c r="F59" s="147">
        <f>VLOOKUP(B59,'[1]Табель цех 01 по 15 червня'!$B$2:$H$77,7,FALSE)</f>
        <v>-50</v>
      </c>
      <c r="G59" s="144">
        <f t="shared" si="3"/>
        <v>18200</v>
      </c>
      <c r="H59" s="147">
        <f t="shared" si="4"/>
        <v>-100</v>
      </c>
      <c r="I59" s="125">
        <f>Цо!AH59+IRS!AH59+Катеринополь!AH59+'Мк нежин'!AH59+'ЕМС Вооз'!AH59+ООН!AN59+'Червоний хрест'!AH59+Укрнафта!AJ59+Кернел!AO59+'Глобино Мк'!AH59+'МД Франківськ'!AH59</f>
        <v>121</v>
      </c>
      <c r="J59" s="44">
        <v>150</v>
      </c>
      <c r="K59" s="1">
        <f>VLOOKUP(B59,Цо!$B$2:$AH$74,33,FALSE)</f>
        <v>0</v>
      </c>
      <c r="L59" s="1">
        <f>VLOOKUP(B59,IRS!$B$2:$AH$73,33,FALSE)</f>
        <v>20</v>
      </c>
      <c r="M59" s="1">
        <f>VLOOKUP(B59,Катеринополь!$B$1:$AH$73,33,FALSE)</f>
        <v>0</v>
      </c>
      <c r="N59" s="1">
        <f>VLOOKUP(B59,'Мк нежин'!$B$2:$AH$73,33,FALSE)</f>
        <v>2</v>
      </c>
      <c r="O59" s="1">
        <f>VLOOKUP(B59,'ЕМС Вооз'!$B$2:$AH$73,33,FALSE)</f>
        <v>22</v>
      </c>
      <c r="P59" s="1">
        <f>VLOOKUP(B59,ООН!$H$2:$AN$73,33,FALSE)</f>
        <v>44</v>
      </c>
      <c r="Q59" s="1">
        <f>VLOOKUP(B59,'Червоний хрест'!$B$2:$AH$73,33,FALSE)</f>
        <v>0</v>
      </c>
      <c r="R59" s="1">
        <f>VLOOKUP(B59,Укрнафта!$D$2:$AJ$73,33,FALSE)</f>
        <v>33</v>
      </c>
      <c r="S59" s="1">
        <f>VLOOKUP(B59,Кернел!$I$2:$AO$73,33,FALSE)</f>
        <v>0</v>
      </c>
      <c r="T59" s="1">
        <f>VLOOKUP(B59,'Глобино Мк'!$B$2:$AH$73,33,FALSE)</f>
        <v>0</v>
      </c>
      <c r="U59" s="1">
        <f>VLOOKUP(B59,'МД Франківськ'!$B$2:$AH$73,33,FALSE)</f>
        <v>0</v>
      </c>
      <c r="V59" s="236">
        <f t="shared" si="5"/>
        <v>121</v>
      </c>
      <c r="W59" s="238">
        <f t="shared" si="6"/>
        <v>0</v>
      </c>
      <c r="X59" s="238">
        <f t="shared" si="7"/>
        <v>3008.2644628099174</v>
      </c>
      <c r="Y59" s="238">
        <f t="shared" si="8"/>
        <v>0</v>
      </c>
      <c r="Z59" s="238">
        <f t="shared" si="9"/>
        <v>300.82644628099172</v>
      </c>
      <c r="AA59" s="238">
        <f t="shared" si="10"/>
        <v>3309.090909090909</v>
      </c>
      <c r="AB59" s="238">
        <f t="shared" si="11"/>
        <v>6618.181818181818</v>
      </c>
      <c r="AC59" s="238">
        <f t="shared" si="12"/>
        <v>0</v>
      </c>
      <c r="AD59" s="238">
        <f t="shared" si="13"/>
        <v>4963.6363636363631</v>
      </c>
      <c r="AE59" s="238">
        <f t="shared" si="14"/>
        <v>0</v>
      </c>
      <c r="AF59" s="238">
        <f t="shared" si="15"/>
        <v>0</v>
      </c>
      <c r="AG59" s="238">
        <f t="shared" si="16"/>
        <v>0</v>
      </c>
      <c r="AH59" s="1">
        <f t="shared" si="17"/>
        <v>18200</v>
      </c>
    </row>
    <row r="60" spans="1:34" ht="15.75" x14ac:dyDescent="0.25">
      <c r="A60" s="154">
        <v>59</v>
      </c>
      <c r="B60" s="155" t="s">
        <v>651</v>
      </c>
      <c r="C60" s="153"/>
      <c r="D60" s="153"/>
      <c r="E60" s="142">
        <f t="shared" si="2"/>
        <v>54000</v>
      </c>
      <c r="F60" s="144">
        <f>VLOOKUP(B60,'[1]Табель цех 01 по 15 червня'!$B$2:$H$77,7,FALSE)</f>
        <v>-50</v>
      </c>
      <c r="G60" s="144">
        <f t="shared" si="3"/>
        <v>54000</v>
      </c>
      <c r="H60" s="144">
        <f t="shared" si="4"/>
        <v>-50</v>
      </c>
      <c r="I60" s="125">
        <f>Цо!AH60+IRS!AH60+Катеринополь!AH60+'Мк нежин'!AH60+'ЕМС Вооз'!AH60+ООН!AN60+'Червоний хрест'!AH60+Укрнафта!AJ60+Кернел!AO60+'Глобино Мк'!AH60+'МД Франківськ'!AH60</f>
        <v>360</v>
      </c>
      <c r="J60" s="44">
        <v>150</v>
      </c>
      <c r="K60" s="1">
        <f>VLOOKUP(B60,Цо!$B$2:$AH$74,33,FALSE)</f>
        <v>0</v>
      </c>
      <c r="L60" s="1">
        <f>VLOOKUP(B60,IRS!$B$2:$AH$73,33,FALSE)</f>
        <v>0</v>
      </c>
      <c r="M60" s="1">
        <f>VLOOKUP(B60,Катеринополь!$B$1:$AH$73,33,FALSE)</f>
        <v>0</v>
      </c>
      <c r="N60" s="1">
        <f>VLOOKUP(B60,'Мк нежин'!$B$2:$AH$73,33,FALSE)</f>
        <v>0</v>
      </c>
      <c r="O60" s="1">
        <f>VLOOKUP(B60,'ЕМС Вооз'!$B$2:$AH$73,33,FALSE)</f>
        <v>360</v>
      </c>
      <c r="P60" s="1">
        <f>VLOOKUP(B60,ООН!$H$2:$AN$73,33,FALSE)</f>
        <v>0</v>
      </c>
      <c r="Q60" s="1">
        <f>VLOOKUP(B60,'Червоний хрест'!$B$2:$AH$73,33,FALSE)</f>
        <v>0</v>
      </c>
      <c r="R60" s="1">
        <f>VLOOKUP(B60,Укрнафта!$D$2:$AJ$73,33,FALSE)</f>
        <v>0</v>
      </c>
      <c r="S60" s="1">
        <f>VLOOKUP(B60,Кернел!$I$2:$AO$73,33,FALSE)</f>
        <v>0</v>
      </c>
      <c r="T60" s="1">
        <f>VLOOKUP(B60,'Глобино Мк'!$B$2:$AH$73,33,FALSE)</f>
        <v>0</v>
      </c>
      <c r="U60" s="1">
        <f>VLOOKUP(B60,'МД Франківськ'!$B$2:$AH$73,33,FALSE)</f>
        <v>0</v>
      </c>
      <c r="V60" s="236">
        <f t="shared" si="5"/>
        <v>360</v>
      </c>
      <c r="W60" s="238">
        <f t="shared" si="6"/>
        <v>0</v>
      </c>
      <c r="X60" s="238">
        <f t="shared" si="7"/>
        <v>0</v>
      </c>
      <c r="Y60" s="238">
        <f t="shared" si="8"/>
        <v>0</v>
      </c>
      <c r="Z60" s="238">
        <f t="shared" si="9"/>
        <v>0</v>
      </c>
      <c r="AA60" s="238">
        <f t="shared" si="10"/>
        <v>54000</v>
      </c>
      <c r="AB60" s="238">
        <f t="shared" si="11"/>
        <v>0</v>
      </c>
      <c r="AC60" s="238">
        <f t="shared" si="12"/>
        <v>0</v>
      </c>
      <c r="AD60" s="238">
        <f t="shared" si="13"/>
        <v>0</v>
      </c>
      <c r="AE60" s="238">
        <f t="shared" si="14"/>
        <v>0</v>
      </c>
      <c r="AF60" s="238">
        <f t="shared" si="15"/>
        <v>0</v>
      </c>
      <c r="AG60" s="238">
        <f t="shared" si="16"/>
        <v>0</v>
      </c>
      <c r="AH60" s="1">
        <f t="shared" si="17"/>
        <v>54000</v>
      </c>
    </row>
    <row r="61" spans="1:34" ht="15.75" x14ac:dyDescent="0.25">
      <c r="A61" s="154">
        <v>60</v>
      </c>
      <c r="B61" s="155" t="s">
        <v>653</v>
      </c>
      <c r="C61" s="153"/>
      <c r="D61" s="153"/>
      <c r="E61" s="142">
        <f t="shared" si="2"/>
        <v>54000</v>
      </c>
      <c r="F61" s="144">
        <f>VLOOKUP(B61,'[1]Табель цех 01 по 15 червня'!$B$2:$H$77,7,FALSE)</f>
        <v>0</v>
      </c>
      <c r="G61" s="144">
        <f t="shared" si="3"/>
        <v>54000</v>
      </c>
      <c r="H61" s="144">
        <f t="shared" si="4"/>
        <v>0</v>
      </c>
      <c r="I61" s="125">
        <f>Цо!AH61+IRS!AH61+Катеринополь!AH61+'Мк нежин'!AH61+'ЕМС Вооз'!AH61+ООН!AN61+'Червоний хрест'!AH61+Укрнафта!AJ61+Кернел!AO61+'Глобино Мк'!AH61+'МД Франківськ'!AH61</f>
        <v>360</v>
      </c>
      <c r="J61" s="44">
        <v>150</v>
      </c>
      <c r="K61" s="1">
        <f>VLOOKUP(B61,Цо!$B$2:$AH$74,33,FALSE)</f>
        <v>0</v>
      </c>
      <c r="L61" s="1">
        <f>VLOOKUP(B61,IRS!$B$2:$AH$73,33,FALSE)</f>
        <v>0</v>
      </c>
      <c r="M61" s="1">
        <f>VLOOKUP(B61,Катеринополь!$B$1:$AH$73,33,FALSE)</f>
        <v>0</v>
      </c>
      <c r="N61" s="1">
        <f>VLOOKUP(B61,'Мк нежин'!$B$2:$AH$73,33,FALSE)</f>
        <v>0</v>
      </c>
      <c r="O61" s="1">
        <f>VLOOKUP(B61,'ЕМС Вооз'!$B$2:$AH$73,33,FALSE)</f>
        <v>360</v>
      </c>
      <c r="P61" s="1">
        <f>VLOOKUP(B61,ООН!$H$2:$AN$73,33,FALSE)</f>
        <v>0</v>
      </c>
      <c r="Q61" s="1">
        <f>VLOOKUP(B61,'Червоний хрест'!$B$2:$AH$73,33,FALSE)</f>
        <v>0</v>
      </c>
      <c r="R61" s="1">
        <f>VLOOKUP(B61,Укрнафта!$D$2:$AJ$73,33,FALSE)</f>
        <v>0</v>
      </c>
      <c r="S61" s="1">
        <f>VLOOKUP(B61,Кернел!$I$2:$AO$73,33,FALSE)</f>
        <v>0</v>
      </c>
      <c r="T61" s="1">
        <f>VLOOKUP(B61,'Глобино Мк'!$B$2:$AH$73,33,FALSE)</f>
        <v>0</v>
      </c>
      <c r="U61" s="1">
        <f>VLOOKUP(B61,'МД Франківськ'!$B$2:$AH$73,33,FALSE)</f>
        <v>0</v>
      </c>
      <c r="V61" s="236">
        <f t="shared" si="5"/>
        <v>360</v>
      </c>
      <c r="W61" s="238">
        <f t="shared" si="6"/>
        <v>0</v>
      </c>
      <c r="X61" s="238">
        <f t="shared" si="7"/>
        <v>0</v>
      </c>
      <c r="Y61" s="238">
        <f t="shared" si="8"/>
        <v>0</v>
      </c>
      <c r="Z61" s="238">
        <f t="shared" si="9"/>
        <v>0</v>
      </c>
      <c r="AA61" s="238">
        <f t="shared" si="10"/>
        <v>54000</v>
      </c>
      <c r="AB61" s="238">
        <f t="shared" si="11"/>
        <v>0</v>
      </c>
      <c r="AC61" s="238">
        <f t="shared" si="12"/>
        <v>0</v>
      </c>
      <c r="AD61" s="238">
        <f t="shared" si="13"/>
        <v>0</v>
      </c>
      <c r="AE61" s="238">
        <f t="shared" si="14"/>
        <v>0</v>
      </c>
      <c r="AF61" s="238">
        <f t="shared" si="15"/>
        <v>0</v>
      </c>
      <c r="AG61" s="238">
        <f t="shared" si="16"/>
        <v>0</v>
      </c>
      <c r="AH61" s="1">
        <f t="shared" si="17"/>
        <v>54000</v>
      </c>
    </row>
    <row r="62" spans="1:34" ht="15.75" x14ac:dyDescent="0.25">
      <c r="A62" s="154">
        <v>61</v>
      </c>
      <c r="B62" s="155" t="s">
        <v>654</v>
      </c>
      <c r="C62" s="153"/>
      <c r="D62" s="153"/>
      <c r="E62" s="142">
        <f>I62*J62</f>
        <v>2400</v>
      </c>
      <c r="F62" s="144">
        <f>VLOOKUP(B62,'[1]Табель цех 01 по 15 червня'!$B$2:$H$77,7,FALSE)</f>
        <v>0</v>
      </c>
      <c r="G62" s="144">
        <f t="shared" si="3"/>
        <v>2400</v>
      </c>
      <c r="H62" s="144">
        <f t="shared" si="4"/>
        <v>0</v>
      </c>
      <c r="I62" s="125">
        <f>Цо!AH62+IRS!AH62+Катеринополь!AH62+'Мк нежин'!AH62+'ЕМС Вооз'!AH62+ООН!AN62+'Червоний хрест'!AH62+Укрнафта!AJ62+Кернел!AO62+'Глобино Мк'!AH62+'МД Франківськ'!AH62</f>
        <v>16</v>
      </c>
      <c r="J62" s="44">
        <v>150</v>
      </c>
      <c r="K62" s="1">
        <f>VLOOKUP(B62,Цо!$B$2:$AH$74,33,FALSE)</f>
        <v>0</v>
      </c>
      <c r="L62" s="1">
        <f>VLOOKUP(B62,IRS!$B$2:$AH$73,33,FALSE)</f>
        <v>0</v>
      </c>
      <c r="M62" s="1">
        <f>VLOOKUP(B62,Катеринополь!$B$1:$AH$73,33,FALSE)</f>
        <v>0</v>
      </c>
      <c r="N62" s="1">
        <f>VLOOKUP(B62,'Мк нежин'!$B$2:$AH$73,33,FALSE)</f>
        <v>0</v>
      </c>
      <c r="O62" s="1">
        <f>VLOOKUP(B62,'ЕМС Вооз'!$B$2:$AH$73,33,FALSE)</f>
        <v>0</v>
      </c>
      <c r="P62" s="1">
        <f>VLOOKUP(B62,ООН!$H$2:$AN$73,33,FALSE)</f>
        <v>16</v>
      </c>
      <c r="Q62" s="1">
        <f>VLOOKUP(B62,'Червоний хрест'!$B$2:$AH$73,33,FALSE)</f>
        <v>0</v>
      </c>
      <c r="R62" s="1">
        <f>VLOOKUP(B62,Укрнафта!$D$2:$AJ$73,33,FALSE)</f>
        <v>0</v>
      </c>
      <c r="S62" s="1">
        <f>VLOOKUP(B62,Кернел!$I$2:$AO$73,33,FALSE)</f>
        <v>0</v>
      </c>
      <c r="T62" s="1">
        <f>VLOOKUP(B62,'Глобино Мк'!$B$2:$AH$73,33,FALSE)</f>
        <v>0</v>
      </c>
      <c r="U62" s="1">
        <f>VLOOKUP(B62,'МД Франківськ'!$B$2:$AH$73,33,FALSE)</f>
        <v>0</v>
      </c>
      <c r="V62" s="236">
        <f t="shared" si="5"/>
        <v>16</v>
      </c>
      <c r="W62" s="238">
        <f t="shared" si="6"/>
        <v>0</v>
      </c>
      <c r="X62" s="238">
        <f t="shared" si="7"/>
        <v>0</v>
      </c>
      <c r="Y62" s="238">
        <f t="shared" si="8"/>
        <v>0</v>
      </c>
      <c r="Z62" s="238">
        <f t="shared" si="9"/>
        <v>0</v>
      </c>
      <c r="AA62" s="238">
        <f t="shared" si="10"/>
        <v>0</v>
      </c>
      <c r="AB62" s="238">
        <f t="shared" si="11"/>
        <v>2400</v>
      </c>
      <c r="AC62" s="238">
        <f t="shared" si="12"/>
        <v>0</v>
      </c>
      <c r="AD62" s="238">
        <f t="shared" si="13"/>
        <v>0</v>
      </c>
      <c r="AE62" s="238">
        <f t="shared" si="14"/>
        <v>0</v>
      </c>
      <c r="AF62" s="238">
        <f t="shared" si="15"/>
        <v>0</v>
      </c>
      <c r="AG62" s="238">
        <f t="shared" si="16"/>
        <v>0</v>
      </c>
      <c r="AH62" s="1">
        <f t="shared" si="17"/>
        <v>2400</v>
      </c>
    </row>
    <row r="63" spans="1:34" ht="15.75" x14ac:dyDescent="0.25">
      <c r="A63" s="154">
        <v>62</v>
      </c>
      <c r="B63" s="155" t="s">
        <v>655</v>
      </c>
      <c r="C63" s="153"/>
      <c r="D63" s="153"/>
      <c r="E63" s="142">
        <f t="shared" ref="E63:E66" si="18">I63*J63</f>
        <v>16800</v>
      </c>
      <c r="F63" s="144">
        <f>VLOOKUP(B63,'[1]Табель цех 01 по 15 червня'!$B$2:$H$77,7,FALSE)</f>
        <v>-50</v>
      </c>
      <c r="G63" s="144">
        <f t="shared" si="3"/>
        <v>16800</v>
      </c>
      <c r="H63" s="144">
        <f t="shared" si="4"/>
        <v>-50</v>
      </c>
      <c r="I63" s="125">
        <f>Цо!AH63+IRS!AH63+Катеринополь!AH63+'Мк нежин'!AH63+'ЕМС Вооз'!AH63+ООН!AN63+'Червоний хрест'!AH63+Укрнафта!AJ63+Кернел!AO63+'Глобино Мк'!AH63+'МД Франківськ'!AH63</f>
        <v>112</v>
      </c>
      <c r="J63" s="44">
        <v>150</v>
      </c>
      <c r="K63" s="1">
        <f>VLOOKUP(B63,Цо!$B$2:$AH$74,33,FALSE)</f>
        <v>0</v>
      </c>
      <c r="L63" s="1">
        <f>VLOOKUP(B63,IRS!$B$2:$AH$73,33,FALSE)</f>
        <v>28</v>
      </c>
      <c r="M63" s="1">
        <f>VLOOKUP(B63,Катеринополь!$B$1:$AH$73,33,FALSE)</f>
        <v>0</v>
      </c>
      <c r="N63" s="1">
        <f>VLOOKUP(B63,'Мк нежин'!$B$2:$AH$73,33,FALSE)</f>
        <v>7</v>
      </c>
      <c r="O63" s="1">
        <f>VLOOKUP(B63,'ЕМС Вооз'!$B$2:$AH$73,33,FALSE)</f>
        <v>11</v>
      </c>
      <c r="P63" s="1">
        <f>VLOOKUP(B63,ООН!$H$2:$AN$73,33,FALSE)</f>
        <v>22</v>
      </c>
      <c r="Q63" s="1">
        <f>VLOOKUP(B63,'Червоний хрест'!$B$2:$AH$73,33,FALSE)</f>
        <v>0</v>
      </c>
      <c r="R63" s="1">
        <f>VLOOKUP(B63,Укрнафта!$D$2:$AJ$73,33,FALSE)</f>
        <v>33</v>
      </c>
      <c r="S63" s="1">
        <f>VLOOKUP(B63,Кернел!$I$2:$AO$73,33,FALSE)</f>
        <v>0</v>
      </c>
      <c r="T63" s="1">
        <f>VLOOKUP(B63,'Глобино Мк'!$B$2:$AH$73,33,FALSE)</f>
        <v>11</v>
      </c>
      <c r="U63" s="1">
        <f>VLOOKUP(B63,'МД Франківськ'!$B$2:$AH$73,33,FALSE)</f>
        <v>0</v>
      </c>
      <c r="V63" s="236">
        <f t="shared" si="5"/>
        <v>112</v>
      </c>
      <c r="W63" s="238">
        <f t="shared" si="6"/>
        <v>0</v>
      </c>
      <c r="X63" s="238">
        <f t="shared" si="7"/>
        <v>4200</v>
      </c>
      <c r="Y63" s="238">
        <f t="shared" si="8"/>
        <v>0</v>
      </c>
      <c r="Z63" s="238">
        <f t="shared" si="9"/>
        <v>1050</v>
      </c>
      <c r="AA63" s="238">
        <f t="shared" si="10"/>
        <v>1650</v>
      </c>
      <c r="AB63" s="238">
        <f t="shared" si="11"/>
        <v>3300</v>
      </c>
      <c r="AC63" s="238">
        <f t="shared" si="12"/>
        <v>0</v>
      </c>
      <c r="AD63" s="238">
        <f t="shared" si="13"/>
        <v>4950</v>
      </c>
      <c r="AE63" s="238">
        <f t="shared" si="14"/>
        <v>0</v>
      </c>
      <c r="AF63" s="238">
        <f t="shared" si="15"/>
        <v>1650</v>
      </c>
      <c r="AG63" s="238">
        <f t="shared" si="16"/>
        <v>0</v>
      </c>
      <c r="AH63" s="1">
        <f t="shared" si="17"/>
        <v>16800</v>
      </c>
    </row>
    <row r="64" spans="1:34" ht="15.75" x14ac:dyDescent="0.25">
      <c r="A64" s="154">
        <v>63</v>
      </c>
      <c r="B64" s="155" t="s">
        <v>656</v>
      </c>
      <c r="C64" s="153"/>
      <c r="D64" s="153"/>
      <c r="E64" s="142">
        <f t="shared" si="18"/>
        <v>13200</v>
      </c>
      <c r="F64" s="144">
        <f>VLOOKUP(B64,'[1]Табель цех 01 по 15 червня'!$B$2:$H$77,7,FALSE)</f>
        <v>-50</v>
      </c>
      <c r="G64" s="144">
        <f t="shared" si="3"/>
        <v>13200</v>
      </c>
      <c r="H64" s="144">
        <f t="shared" si="4"/>
        <v>-50</v>
      </c>
      <c r="I64" s="125">
        <f>Цо!AH64+IRS!AH64+Катеринополь!AH64+'Мк нежин'!AH64+'ЕМС Вооз'!AH64+ООН!AN64+'Червоний хрест'!AH64+Укрнафта!AJ64+Кернел!AO64+'Глобино Мк'!AH64+'МД Франківськ'!AH64</f>
        <v>88</v>
      </c>
      <c r="J64" s="44">
        <v>150</v>
      </c>
      <c r="K64" s="1">
        <f>VLOOKUP(B64,Цо!$B$2:$AH$74,33,FALSE)</f>
        <v>0</v>
      </c>
      <c r="L64" s="1">
        <f>VLOOKUP(B64,IRS!$B$2:$AH$73,33,FALSE)</f>
        <v>0</v>
      </c>
      <c r="M64" s="1">
        <f>VLOOKUP(B64,Катеринополь!$B$1:$AH$73,33,FALSE)</f>
        <v>0</v>
      </c>
      <c r="N64" s="1">
        <f>VLOOKUP(B64,'Мк нежин'!$B$2:$AH$73,33,FALSE)</f>
        <v>0</v>
      </c>
      <c r="O64" s="1">
        <f>VLOOKUP(B64,'ЕМС Вооз'!$B$2:$AH$73,33,FALSE)</f>
        <v>0</v>
      </c>
      <c r="P64" s="1">
        <f>VLOOKUP(B64,ООН!$H$2:$AN$73,33,FALSE)</f>
        <v>77</v>
      </c>
      <c r="Q64" s="1">
        <f>VLOOKUP(B64,'Червоний хрест'!$B$2:$AH$73,33,FALSE)</f>
        <v>0</v>
      </c>
      <c r="R64" s="1">
        <f>VLOOKUP(B64,Укрнафта!$D$2:$AJ$73,33,FALSE)</f>
        <v>0</v>
      </c>
      <c r="S64" s="1">
        <f>VLOOKUP(B64,Кернел!$I$2:$AO$73,33,FALSE)</f>
        <v>0</v>
      </c>
      <c r="T64" s="1">
        <f>VLOOKUP(B64,'Глобино Мк'!$B$2:$AH$73,33,FALSE)</f>
        <v>11</v>
      </c>
      <c r="U64" s="1">
        <f>VLOOKUP(B64,'МД Франківськ'!$B$2:$AH$73,33,FALSE)</f>
        <v>0</v>
      </c>
      <c r="V64" s="236">
        <f t="shared" si="5"/>
        <v>88</v>
      </c>
      <c r="W64" s="238">
        <f t="shared" si="6"/>
        <v>0</v>
      </c>
      <c r="X64" s="238">
        <f t="shared" si="7"/>
        <v>0</v>
      </c>
      <c r="Y64" s="238">
        <f t="shared" si="8"/>
        <v>0</v>
      </c>
      <c r="Z64" s="238">
        <f t="shared" si="9"/>
        <v>0</v>
      </c>
      <c r="AA64" s="238">
        <f t="shared" si="10"/>
        <v>0</v>
      </c>
      <c r="AB64" s="238">
        <f t="shared" si="11"/>
        <v>11550</v>
      </c>
      <c r="AC64" s="238">
        <f t="shared" si="12"/>
        <v>0</v>
      </c>
      <c r="AD64" s="238">
        <f t="shared" si="13"/>
        <v>0</v>
      </c>
      <c r="AE64" s="238">
        <f t="shared" si="14"/>
        <v>0</v>
      </c>
      <c r="AF64" s="238">
        <f t="shared" si="15"/>
        <v>1650</v>
      </c>
      <c r="AG64" s="238">
        <f t="shared" si="16"/>
        <v>0</v>
      </c>
      <c r="AH64" s="1">
        <f t="shared" si="17"/>
        <v>13200</v>
      </c>
    </row>
    <row r="65" spans="1:35" ht="15.75" x14ac:dyDescent="0.25">
      <c r="A65" s="154">
        <v>64</v>
      </c>
      <c r="B65" s="155" t="s">
        <v>657</v>
      </c>
      <c r="C65" s="153"/>
      <c r="D65" s="153"/>
      <c r="E65" s="158">
        <f t="shared" si="18"/>
        <v>15900</v>
      </c>
      <c r="F65" s="144">
        <f>VLOOKUP(B65,'[1]Табель цех 01 по 15 червня'!$B$2:$H$77,7,FALSE)</f>
        <v>-50</v>
      </c>
      <c r="G65" s="147">
        <f t="shared" si="3"/>
        <v>15900</v>
      </c>
      <c r="H65" s="144">
        <f t="shared" si="4"/>
        <v>-50</v>
      </c>
      <c r="I65" s="125">
        <f>Цо!AH65+IRS!AH65+Катеринополь!AH65+'Мк нежин'!AH65+'ЕМС Вооз'!AH65+ООН!AN65+'Червоний хрест'!AH65+Укрнафта!AJ65+Кернел!AO65+'Глобино Мк'!AH65+'МД Франківськ'!AH65</f>
        <v>106</v>
      </c>
      <c r="J65" s="44">
        <v>150</v>
      </c>
      <c r="K65" s="1">
        <f>VLOOKUP(B65,Цо!$B$2:$AH$74,33,FALSE)</f>
        <v>0</v>
      </c>
      <c r="L65" s="1">
        <f>VLOOKUP(B65,IRS!$B$2:$AH$73,33,FALSE)</f>
        <v>0</v>
      </c>
      <c r="M65" s="1">
        <f>VLOOKUP(B65,Катеринополь!$B$1:$AH$73,33,FALSE)</f>
        <v>0</v>
      </c>
      <c r="N65" s="1">
        <f>VLOOKUP(B65,'Мк нежин'!$B$2:$AH$73,33,FALSE)</f>
        <v>9</v>
      </c>
      <c r="O65" s="1">
        <f>VLOOKUP(B65,'ЕМС Вооз'!$B$2:$AH$73,33,FALSE)</f>
        <v>0</v>
      </c>
      <c r="P65" s="1">
        <f>VLOOKUP(B65,ООН!$H$2:$AN$73,33,FALSE)</f>
        <v>97</v>
      </c>
      <c r="Q65" s="1">
        <f>VLOOKUP(B65,'Червоний хрест'!$B$2:$AH$73,33,FALSE)</f>
        <v>0</v>
      </c>
      <c r="R65" s="1">
        <f>VLOOKUP(B65,Укрнафта!$D$2:$AJ$73,33,FALSE)</f>
        <v>0</v>
      </c>
      <c r="S65" s="1">
        <f>VLOOKUP(B65,Кернел!$I$2:$AO$73,33,FALSE)</f>
        <v>0</v>
      </c>
      <c r="T65" s="1">
        <f>VLOOKUP(B65,'Глобино Мк'!$B$2:$AH$73,33,FALSE)</f>
        <v>0</v>
      </c>
      <c r="U65" s="1">
        <f>VLOOKUP(B65,'МД Франківськ'!$B$2:$AH$73,33,FALSE)</f>
        <v>0</v>
      </c>
      <c r="V65" s="236">
        <f t="shared" si="5"/>
        <v>106</v>
      </c>
      <c r="W65" s="238">
        <f t="shared" si="6"/>
        <v>0</v>
      </c>
      <c r="X65" s="238">
        <f t="shared" si="7"/>
        <v>0</v>
      </c>
      <c r="Y65" s="238">
        <f t="shared" si="8"/>
        <v>0</v>
      </c>
      <c r="Z65" s="238">
        <f t="shared" si="9"/>
        <v>1350</v>
      </c>
      <c r="AA65" s="238">
        <f t="shared" si="10"/>
        <v>0</v>
      </c>
      <c r="AB65" s="238">
        <f t="shared" si="11"/>
        <v>14550</v>
      </c>
      <c r="AC65" s="238">
        <f t="shared" si="12"/>
        <v>0</v>
      </c>
      <c r="AD65" s="238">
        <f t="shared" si="13"/>
        <v>0</v>
      </c>
      <c r="AE65" s="238">
        <f t="shared" si="14"/>
        <v>0</v>
      </c>
      <c r="AF65" s="238">
        <f t="shared" si="15"/>
        <v>0</v>
      </c>
      <c r="AG65" s="238">
        <f t="shared" si="16"/>
        <v>0</v>
      </c>
      <c r="AH65" s="1">
        <f t="shared" si="17"/>
        <v>15900</v>
      </c>
    </row>
    <row r="66" spans="1:35" ht="15.75" x14ac:dyDescent="0.25">
      <c r="A66" s="154">
        <v>65</v>
      </c>
      <c r="B66" s="155" t="s">
        <v>658</v>
      </c>
      <c r="C66" s="168"/>
      <c r="D66" s="168"/>
      <c r="E66" s="158">
        <f t="shared" si="18"/>
        <v>19050</v>
      </c>
      <c r="F66" s="144">
        <f>VLOOKUP(B66,'[1]Табель цех 01 по 15 червня'!$B$2:$H$77,7,FALSE)</f>
        <v>-50</v>
      </c>
      <c r="G66" s="147">
        <f t="shared" si="3"/>
        <v>19100</v>
      </c>
      <c r="H66" s="144">
        <f t="shared" si="4"/>
        <v>-100</v>
      </c>
      <c r="I66" s="125">
        <f>Цо!AH66+IRS!AH66+Катеринополь!AH66+'Мк нежин'!AH66+'ЕМС Вооз'!AH66+ООН!AN66+'Червоний хрест'!AH66+Укрнафта!AJ66+Кернел!AO66+'Глобино Мк'!AH66+'МД Франківськ'!AH66</f>
        <v>127</v>
      </c>
      <c r="J66" s="44">
        <v>150</v>
      </c>
      <c r="K66" s="1">
        <f>VLOOKUP(B66,Цо!$B$2:$AH$74,33,FALSE)</f>
        <v>116</v>
      </c>
      <c r="L66" s="1">
        <f>VLOOKUP(B66,IRS!$B$2:$AH$73,33,FALSE)</f>
        <v>0</v>
      </c>
      <c r="M66" s="1">
        <f>VLOOKUP(B66,Катеринополь!$B$1:$AH$73,33,FALSE)</f>
        <v>0</v>
      </c>
      <c r="N66" s="1">
        <f>VLOOKUP(B66,'Мк нежин'!$B$2:$AH$73,33,FALSE)</f>
        <v>0</v>
      </c>
      <c r="O66" s="1">
        <f>VLOOKUP(B66,'ЕМС Вооз'!$B$2:$AH$73,33,FALSE)</f>
        <v>0</v>
      </c>
      <c r="P66" s="1">
        <f>VLOOKUP(B66,ООН!$H$2:$AN$73,33,FALSE)</f>
        <v>11</v>
      </c>
      <c r="Q66" s="1">
        <f>VLOOKUP(B66,'Червоний хрест'!$B$2:$AH$73,33,FALSE)</f>
        <v>0</v>
      </c>
      <c r="R66" s="1">
        <f>VLOOKUP(B66,Укрнафта!$D$2:$AJ$73,33,FALSE)</f>
        <v>0</v>
      </c>
      <c r="S66" s="1">
        <f>VLOOKUP(B66,Кернел!$I$2:$AO$73,33,FALSE)</f>
        <v>0</v>
      </c>
      <c r="T66" s="1">
        <f>VLOOKUP(B66,'Глобино Мк'!$B$2:$AH$73,33,FALSE)</f>
        <v>0</v>
      </c>
      <c r="U66" s="1">
        <f>VLOOKUP(B66,'МД Франківськ'!$B$2:$AH$73,33,FALSE)</f>
        <v>0</v>
      </c>
      <c r="V66" s="236">
        <f t="shared" si="5"/>
        <v>127</v>
      </c>
      <c r="W66" s="238">
        <f t="shared" si="6"/>
        <v>17445.669291338585</v>
      </c>
      <c r="X66" s="238">
        <f t="shared" si="7"/>
        <v>0</v>
      </c>
      <c r="Y66" s="238">
        <f t="shared" si="8"/>
        <v>0</v>
      </c>
      <c r="Z66" s="238">
        <f t="shared" si="9"/>
        <v>0</v>
      </c>
      <c r="AA66" s="238">
        <f t="shared" si="10"/>
        <v>0</v>
      </c>
      <c r="AB66" s="238">
        <f t="shared" si="11"/>
        <v>1654.3307086614172</v>
      </c>
      <c r="AC66" s="238">
        <f t="shared" si="12"/>
        <v>0</v>
      </c>
      <c r="AD66" s="238">
        <f t="shared" si="13"/>
        <v>0</v>
      </c>
      <c r="AE66" s="238">
        <f t="shared" si="14"/>
        <v>0</v>
      </c>
      <c r="AF66" s="238">
        <f t="shared" si="15"/>
        <v>0</v>
      </c>
      <c r="AG66" s="238">
        <f t="shared" si="16"/>
        <v>0</v>
      </c>
      <c r="AH66" s="1">
        <f t="shared" si="17"/>
        <v>19100.000000000004</v>
      </c>
    </row>
    <row r="67" spans="1:35" ht="15.75" x14ac:dyDescent="0.25">
      <c r="A67" s="154">
        <v>66</v>
      </c>
      <c r="B67" s="155" t="s">
        <v>660</v>
      </c>
      <c r="C67" s="169"/>
      <c r="D67" s="169"/>
      <c r="E67" s="142">
        <f t="shared" ref="E67:E73" si="19">I67*J67</f>
        <v>14250</v>
      </c>
      <c r="F67" s="144">
        <f>VLOOKUP(B67,'[1]Табель цех 01 по 15 червня'!$B$2:$H$77,7,FALSE)</f>
        <v>0</v>
      </c>
      <c r="G67" s="144">
        <f t="shared" ref="G67:G73" si="20">ROUND(E67-D67,-2)</f>
        <v>14300</v>
      </c>
      <c r="H67" s="144">
        <f t="shared" ref="H67:H73" si="21">F67+E67-D67-G67-C67</f>
        <v>-50</v>
      </c>
      <c r="I67" s="125">
        <f>Цо!AH67+IRS!AH67+Катеринополь!AH67+'Мк нежин'!AH67+'ЕМС Вооз'!AH67+ООН!AN67+'Червоний хрест'!AH67+Укрнафта!AJ67+Кернел!AO67+'Глобино Мк'!AH67+'МД Франківськ'!AH67</f>
        <v>95</v>
      </c>
      <c r="J67" s="44">
        <v>150</v>
      </c>
      <c r="K67" s="1">
        <f>VLOOKUP(B67,Цо!$B$2:$AH$74,33,FALSE)</f>
        <v>0</v>
      </c>
      <c r="L67" s="1">
        <f>VLOOKUP(B67,IRS!$B$2:$AH$73,33,FALSE)</f>
        <v>0</v>
      </c>
      <c r="M67" s="1">
        <f>VLOOKUP(B67,Катеринополь!$B$1:$AH$73,33,FALSE)</f>
        <v>17</v>
      </c>
      <c r="N67" s="1">
        <f>VLOOKUP(B67,'Мк нежин'!$B$2:$AH$73,33,FALSE)</f>
        <v>7</v>
      </c>
      <c r="O67" s="1">
        <f>VLOOKUP(B67,'ЕМС Вооз'!$B$2:$AH$73,33,FALSE)</f>
        <v>0</v>
      </c>
      <c r="P67" s="1">
        <f>VLOOKUP(B67,ООН!$H$2:$AN$73,33,FALSE)</f>
        <v>71</v>
      </c>
      <c r="Q67" s="1">
        <f>VLOOKUP(B67,'Червоний хрест'!$B$2:$AH$73,33,FALSE)</f>
        <v>0</v>
      </c>
      <c r="R67" s="1">
        <f>VLOOKUP(B67,Укрнафта!$D$2:$AJ$73,33,FALSE)</f>
        <v>0</v>
      </c>
      <c r="S67" s="1">
        <f>VLOOKUP(B67,Кернел!$I$2:$AO$73,33,FALSE)</f>
        <v>0</v>
      </c>
      <c r="T67" s="1">
        <f>VLOOKUP(B67,'Глобино Мк'!$B$2:$AH$73,33,FALSE)</f>
        <v>0</v>
      </c>
      <c r="U67" s="1">
        <f>VLOOKUP(B67,'МД Франківськ'!$B$2:$AH$73,33,FALSE)</f>
        <v>0</v>
      </c>
      <c r="V67" s="236">
        <f t="shared" ref="V67:V73" si="22">SUM(K67:U67)</f>
        <v>95</v>
      </c>
      <c r="W67" s="238">
        <f t="shared" ref="W67:W73" si="23">K67/$I67*$G67</f>
        <v>0</v>
      </c>
      <c r="X67" s="238">
        <f t="shared" ref="X67:X73" si="24">L67/$I67*$G67</f>
        <v>0</v>
      </c>
      <c r="Y67" s="238">
        <f t="shared" ref="Y67:Y73" si="25">M67/$I67*$G67</f>
        <v>2558.9473684210525</v>
      </c>
      <c r="Z67" s="238">
        <f t="shared" ref="Z67:Z73" si="26">N67/$I67*$G67</f>
        <v>1053.6842105263156</v>
      </c>
      <c r="AA67" s="238">
        <f t="shared" ref="AA67:AA73" si="27">O67/$I67*$G67</f>
        <v>0</v>
      </c>
      <c r="AB67" s="238">
        <f t="shared" ref="AB67:AB73" si="28">P67/$I67*$G67</f>
        <v>10687.368421052632</v>
      </c>
      <c r="AC67" s="238">
        <f t="shared" ref="AC67:AC73" si="29">Q67/$I67*$G67</f>
        <v>0</v>
      </c>
      <c r="AD67" s="238">
        <f t="shared" ref="AD67:AD73" si="30">R67/$I67*$G67</f>
        <v>0</v>
      </c>
      <c r="AE67" s="238">
        <f t="shared" ref="AE67:AE73" si="31">S67/$I67*$G67</f>
        <v>0</v>
      </c>
      <c r="AF67" s="238">
        <f t="shared" ref="AF67:AF73" si="32">T67/$I67*$G67</f>
        <v>0</v>
      </c>
      <c r="AG67" s="238">
        <f t="shared" ref="AG67:AG73" si="33">U67/$I67*$G67</f>
        <v>0</v>
      </c>
      <c r="AH67" s="1">
        <f t="shared" ref="AH67:AH73" si="34">SUM(W67:AG67)</f>
        <v>14300</v>
      </c>
    </row>
    <row r="68" spans="1:35" ht="15.75" x14ac:dyDescent="0.25">
      <c r="A68" s="154">
        <v>67</v>
      </c>
      <c r="B68" s="155" t="s">
        <v>661</v>
      </c>
      <c r="C68" s="169"/>
      <c r="D68" s="169"/>
      <c r="E68" s="142">
        <f t="shared" si="19"/>
        <v>12450</v>
      </c>
      <c r="F68" s="144">
        <f>VLOOKUP(B68,'[1]Табель цех 01 по 15 червня'!$B$2:$H$77,7,FALSE)</f>
        <v>-50</v>
      </c>
      <c r="G68" s="144">
        <f t="shared" si="20"/>
        <v>12500</v>
      </c>
      <c r="H68" s="144">
        <f t="shared" si="21"/>
        <v>-100</v>
      </c>
      <c r="I68" s="125">
        <f>Цо!AH68+IRS!AH68+Катеринополь!AH68+'Мк нежин'!AH68+'ЕМС Вооз'!AH68+ООН!AN68+'Червоний хрест'!AH68+Укрнафта!AJ68+Кернел!AO68+'Глобино Мк'!AH68+'МД Франківськ'!AH68</f>
        <v>83</v>
      </c>
      <c r="J68" s="44">
        <v>150</v>
      </c>
      <c r="K68" s="1">
        <f>VLOOKUP(B68,Цо!$B$2:$AH$74,33,FALSE)</f>
        <v>0</v>
      </c>
      <c r="L68" s="1">
        <f>VLOOKUP(B68,IRS!$B$2:$AH$73,33,FALSE)</f>
        <v>0</v>
      </c>
      <c r="M68" s="1">
        <f>VLOOKUP(B68,Катеринополь!$B$1:$AH$73,33,FALSE)</f>
        <v>11</v>
      </c>
      <c r="N68" s="1">
        <f>VLOOKUP(B68,'Мк нежин'!$B$2:$AH$73,33,FALSE)</f>
        <v>22</v>
      </c>
      <c r="O68" s="1">
        <f>VLOOKUP(B68,'ЕМС Вооз'!$B$2:$AH$73,33,FALSE)</f>
        <v>22</v>
      </c>
      <c r="P68" s="1">
        <f>VLOOKUP(B68,ООН!$H$2:$AN$73,33,FALSE)</f>
        <v>28</v>
      </c>
      <c r="Q68" s="1">
        <f>VLOOKUP(B68,'Червоний хрест'!$B$2:$AH$73,33,FALSE)</f>
        <v>0</v>
      </c>
      <c r="R68" s="1">
        <f>VLOOKUP(B68,Укрнафта!$D$2:$AJ$73,33,FALSE)</f>
        <v>0</v>
      </c>
      <c r="S68" s="1">
        <f>VLOOKUP(B68,Кернел!$I$2:$AO$73,33,FALSE)</f>
        <v>0</v>
      </c>
      <c r="T68" s="1">
        <f>VLOOKUP(B68,'Глобино Мк'!$B$2:$AH$73,33,FALSE)</f>
        <v>0</v>
      </c>
      <c r="U68" s="1">
        <f>VLOOKUP(B68,'МД Франківськ'!$B$2:$AH$73,33,FALSE)</f>
        <v>0</v>
      </c>
      <c r="V68" s="236">
        <f t="shared" si="22"/>
        <v>83</v>
      </c>
      <c r="W68" s="238">
        <f t="shared" si="23"/>
        <v>0</v>
      </c>
      <c r="X68" s="238">
        <f t="shared" si="24"/>
        <v>0</v>
      </c>
      <c r="Y68" s="238">
        <f t="shared" si="25"/>
        <v>1656.6265060240964</v>
      </c>
      <c r="Z68" s="238">
        <f t="shared" si="26"/>
        <v>3313.2530120481929</v>
      </c>
      <c r="AA68" s="238">
        <f t="shared" si="27"/>
        <v>3313.2530120481929</v>
      </c>
      <c r="AB68" s="238">
        <f t="shared" si="28"/>
        <v>4216.8674698795176</v>
      </c>
      <c r="AC68" s="238">
        <f t="shared" si="29"/>
        <v>0</v>
      </c>
      <c r="AD68" s="238">
        <f t="shared" si="30"/>
        <v>0</v>
      </c>
      <c r="AE68" s="238">
        <f t="shared" si="31"/>
        <v>0</v>
      </c>
      <c r="AF68" s="238">
        <f t="shared" si="32"/>
        <v>0</v>
      </c>
      <c r="AG68" s="238">
        <f t="shared" si="33"/>
        <v>0</v>
      </c>
      <c r="AH68" s="1">
        <f t="shared" si="34"/>
        <v>12500</v>
      </c>
    </row>
    <row r="69" spans="1:35" ht="15.75" x14ac:dyDescent="0.25">
      <c r="A69" s="154">
        <v>68</v>
      </c>
      <c r="B69" s="155" t="s">
        <v>662</v>
      </c>
      <c r="C69" s="169"/>
      <c r="D69" s="169"/>
      <c r="E69" s="142">
        <f t="shared" si="19"/>
        <v>16350</v>
      </c>
      <c r="F69" s="144">
        <f>VLOOKUP(B69,'[1]Табель цех 01 по 15 червня'!$B$2:$H$77,7,FALSE)</f>
        <v>0</v>
      </c>
      <c r="G69" s="144">
        <f t="shared" si="20"/>
        <v>16400</v>
      </c>
      <c r="H69" s="144">
        <f t="shared" si="21"/>
        <v>-50</v>
      </c>
      <c r="I69" s="125">
        <f>Цо!AH69+IRS!AH69+Катеринополь!AH69+'Мк нежин'!AH69+'ЕМС Вооз'!AH69+ООН!AN69+'Червоний хрест'!AH69+Укрнафта!AJ69+Кернел!AO69+'Глобино Мк'!AH69+'МД Франківськ'!AH69</f>
        <v>109</v>
      </c>
      <c r="J69" s="44">
        <v>150</v>
      </c>
      <c r="K69" s="1">
        <f>VLOOKUP(B69,Цо!$B$2:$AH$74,33,FALSE)</f>
        <v>0</v>
      </c>
      <c r="L69" s="1">
        <f>VLOOKUP(B69,IRS!$B$2:$AH$73,33,FALSE)</f>
        <v>22</v>
      </c>
      <c r="M69" s="1">
        <f>VLOOKUP(B69,Катеринополь!$B$1:$AH$73,33,FALSE)</f>
        <v>0</v>
      </c>
      <c r="N69" s="1">
        <f>VLOOKUP(B69,'Мк нежин'!$B$2:$AH$73,33,FALSE)</f>
        <v>0</v>
      </c>
      <c r="O69" s="1">
        <f>VLOOKUP(B69,'ЕМС Вооз'!$B$2:$AH$73,33,FALSE)</f>
        <v>11</v>
      </c>
      <c r="P69" s="1">
        <f>VLOOKUP(B69,ООН!$H$2:$AN$73,33,FALSE)</f>
        <v>0</v>
      </c>
      <c r="Q69" s="1">
        <f>VLOOKUP(B69,'Червоний хрест'!$B$2:$AH$73,33,FALSE)</f>
        <v>11</v>
      </c>
      <c r="R69" s="1">
        <f>VLOOKUP(B69,Укрнафта!$D$2:$AJ$73,33,FALSE)</f>
        <v>0</v>
      </c>
      <c r="S69" s="1">
        <f>VLOOKUP(B69,Кернел!$I$2:$AO$73,33,FALSE)</f>
        <v>11</v>
      </c>
      <c r="T69" s="1">
        <f>VLOOKUP(B69,'Глобино Мк'!$B$2:$AH$73,33,FALSE)</f>
        <v>32</v>
      </c>
      <c r="U69" s="1">
        <f>VLOOKUP(B69,'МД Франківськ'!$B$2:$AH$73,33,FALSE)</f>
        <v>22</v>
      </c>
      <c r="V69" s="236">
        <f t="shared" si="22"/>
        <v>109</v>
      </c>
      <c r="W69" s="238">
        <f t="shared" si="23"/>
        <v>0</v>
      </c>
      <c r="X69" s="238">
        <f t="shared" si="24"/>
        <v>3310.0917431192661</v>
      </c>
      <c r="Y69" s="238">
        <f t="shared" si="25"/>
        <v>0</v>
      </c>
      <c r="Z69" s="238">
        <f t="shared" si="26"/>
        <v>0</v>
      </c>
      <c r="AA69" s="238">
        <f t="shared" si="27"/>
        <v>1655.045871559633</v>
      </c>
      <c r="AB69" s="238">
        <f t="shared" si="28"/>
        <v>0</v>
      </c>
      <c r="AC69" s="238">
        <f t="shared" si="29"/>
        <v>1655.045871559633</v>
      </c>
      <c r="AD69" s="238">
        <f t="shared" si="30"/>
        <v>0</v>
      </c>
      <c r="AE69" s="238">
        <f t="shared" si="31"/>
        <v>1655.045871559633</v>
      </c>
      <c r="AF69" s="238">
        <f t="shared" si="32"/>
        <v>4814.6788990825689</v>
      </c>
      <c r="AG69" s="238">
        <f t="shared" si="33"/>
        <v>3310.0917431192661</v>
      </c>
      <c r="AH69" s="1">
        <f t="shared" si="34"/>
        <v>16400</v>
      </c>
    </row>
    <row r="70" spans="1:35" ht="15.75" x14ac:dyDescent="0.25">
      <c r="A70" s="154">
        <v>69</v>
      </c>
      <c r="B70" s="155" t="s">
        <v>20</v>
      </c>
      <c r="C70" s="169"/>
      <c r="D70" s="169">
        <v>3756.26</v>
      </c>
      <c r="E70" s="142">
        <f t="shared" si="19"/>
        <v>18300</v>
      </c>
      <c r="F70" s="144">
        <f>VLOOKUP(B70,'[1]Табель цех 01 по 15 червня'!$B$2:$H$77,7,FALSE)</f>
        <v>-29.549999999999272</v>
      </c>
      <c r="G70" s="144">
        <f t="shared" si="20"/>
        <v>14500</v>
      </c>
      <c r="H70" s="144">
        <f t="shared" si="21"/>
        <v>14.190000000000509</v>
      </c>
      <c r="I70" s="125">
        <f>Цо!AH70+IRS!AH70+Катеринополь!AH70+'Мк нежин'!AH70+'ЕМС Вооз'!AH70+ООН!AN70+'Червоний хрест'!AH70+Укрнафта!AJ70+Кернел!AO70+'Глобино Мк'!AH70+'МД Франківськ'!AH70</f>
        <v>122</v>
      </c>
      <c r="J70" s="44">
        <v>150</v>
      </c>
      <c r="K70" s="1">
        <f>VLOOKUP(B70,Цо!$B$2:$AH$74,33,FALSE)</f>
        <v>0</v>
      </c>
      <c r="L70" s="1">
        <f>VLOOKUP(B70,IRS!$B$2:$AH$73,33,FALSE)</f>
        <v>6</v>
      </c>
      <c r="M70" s="1">
        <f>VLOOKUP(B70,Катеринополь!$B$1:$AH$73,33,FALSE)</f>
        <v>22</v>
      </c>
      <c r="N70" s="1">
        <f>VLOOKUP(B70,'Мк нежин'!$B$2:$AH$73,33,FALSE)</f>
        <v>39</v>
      </c>
      <c r="O70" s="1">
        <f>VLOOKUP(B70,'ЕМС Вооз'!$B$2:$AH$73,33,FALSE)</f>
        <v>11</v>
      </c>
      <c r="P70" s="1">
        <f>VLOOKUP(B70,ООН!$H$2:$AN$73,33,FALSE)</f>
        <v>0</v>
      </c>
      <c r="Q70" s="1">
        <f>VLOOKUP(B70,'Червоний хрест'!$B$2:$AH$73,33,FALSE)</f>
        <v>0</v>
      </c>
      <c r="R70" s="1">
        <f>VLOOKUP(B70,Укрнафта!$D$2:$AJ$73,33,FALSE)</f>
        <v>0</v>
      </c>
      <c r="S70" s="1">
        <f>VLOOKUP(B70,Кернел!$I$2:$AO$73,33,FALSE)</f>
        <v>0</v>
      </c>
      <c r="T70" s="1">
        <f>VLOOKUP(B70,'Глобино Мк'!$B$2:$AH$73,33,FALSE)</f>
        <v>44</v>
      </c>
      <c r="U70" s="1">
        <f>VLOOKUP(B70,'МД Франківськ'!$B$2:$AH$73,33,FALSE)</f>
        <v>0</v>
      </c>
      <c r="V70" s="236">
        <f t="shared" si="22"/>
        <v>122</v>
      </c>
      <c r="W70" s="238">
        <f t="shared" si="23"/>
        <v>0</v>
      </c>
      <c r="X70" s="238">
        <f t="shared" si="24"/>
        <v>713.11475409836066</v>
      </c>
      <c r="Y70" s="238">
        <f t="shared" si="25"/>
        <v>2614.7540983606559</v>
      </c>
      <c r="Z70" s="238">
        <f t="shared" si="26"/>
        <v>4635.245901639345</v>
      </c>
      <c r="AA70" s="238">
        <f t="shared" si="27"/>
        <v>1307.377049180328</v>
      </c>
      <c r="AB70" s="238">
        <f t="shared" si="28"/>
        <v>0</v>
      </c>
      <c r="AC70" s="238">
        <f t="shared" si="29"/>
        <v>0</v>
      </c>
      <c r="AD70" s="238">
        <f t="shared" si="30"/>
        <v>0</v>
      </c>
      <c r="AE70" s="238">
        <f t="shared" si="31"/>
        <v>0</v>
      </c>
      <c r="AF70" s="238">
        <f t="shared" si="32"/>
        <v>5229.5081967213118</v>
      </c>
      <c r="AG70" s="238">
        <f t="shared" si="33"/>
        <v>0</v>
      </c>
      <c r="AH70" s="1">
        <f t="shared" si="34"/>
        <v>14500.000000000002</v>
      </c>
    </row>
    <row r="71" spans="1:35" ht="15.75" x14ac:dyDescent="0.25">
      <c r="A71" s="154">
        <v>70</v>
      </c>
      <c r="B71" s="155" t="s">
        <v>667</v>
      </c>
      <c r="C71" s="169"/>
      <c r="D71" s="169"/>
      <c r="E71" s="142">
        <f t="shared" si="19"/>
        <v>13200</v>
      </c>
      <c r="F71" s="144"/>
      <c r="G71" s="144">
        <f t="shared" si="20"/>
        <v>13200</v>
      </c>
      <c r="H71" s="144">
        <f t="shared" si="21"/>
        <v>0</v>
      </c>
      <c r="I71" s="125">
        <f>Цо!AH71+IRS!AH71+Катеринополь!AH71+'Мк нежин'!AH71+'ЕМС Вооз'!AH71+ООН!AN71+'Червоний хрест'!AH71+Укрнафта!AJ71+Кернел!AO71+'Глобино Мк'!AH71+'МД Франківськ'!AH71</f>
        <v>88</v>
      </c>
      <c r="J71" s="44">
        <v>150</v>
      </c>
      <c r="K71" s="1">
        <f>VLOOKUP(B71,Цо!$B$2:$AH$74,33,FALSE)</f>
        <v>22</v>
      </c>
      <c r="L71" s="1">
        <f>VLOOKUP(B71,IRS!$B$2:$AH$73,33,FALSE)</f>
        <v>11</v>
      </c>
      <c r="M71" s="1">
        <f>VLOOKUP(B71,Катеринополь!$B$1:$AH$73,33,FALSE)</f>
        <v>0</v>
      </c>
      <c r="N71" s="1">
        <f>VLOOKUP(B71,'Мк нежин'!$B$2:$AH$73,33,FALSE)</f>
        <v>0</v>
      </c>
      <c r="O71" s="1">
        <f>VLOOKUP(B71,'ЕМС Вооз'!$B$2:$AH$73,33,FALSE)</f>
        <v>0</v>
      </c>
      <c r="P71" s="1">
        <f>VLOOKUP(B71,ООН!$H$2:$AN$73,33,FALSE)</f>
        <v>55</v>
      </c>
      <c r="Q71" s="1">
        <f>VLOOKUP(B71,'Червоний хрест'!$B$2:$AH$73,33,FALSE)</f>
        <v>0</v>
      </c>
      <c r="R71" s="1">
        <f>VLOOKUP(B71,Укрнафта!$D$2:$AJ$73,33,FALSE)</f>
        <v>0</v>
      </c>
      <c r="S71" s="1">
        <f>VLOOKUP(B71,Кернел!$I$2:$AO$73,33,FALSE)</f>
        <v>0</v>
      </c>
      <c r="T71" s="1">
        <f>VLOOKUP(B71,'Глобино Мк'!$B$2:$AH$73,33,FALSE)</f>
        <v>0</v>
      </c>
      <c r="U71" s="1">
        <f>VLOOKUP(B71,'МД Франківськ'!$B$2:$AH$73,33,FALSE)</f>
        <v>0</v>
      </c>
      <c r="V71" s="236">
        <f t="shared" si="22"/>
        <v>88</v>
      </c>
      <c r="W71" s="238">
        <f t="shared" si="23"/>
        <v>3300</v>
      </c>
      <c r="X71" s="238">
        <f t="shared" si="24"/>
        <v>1650</v>
      </c>
      <c r="Y71" s="238">
        <f t="shared" si="25"/>
        <v>0</v>
      </c>
      <c r="Z71" s="238">
        <f t="shared" si="26"/>
        <v>0</v>
      </c>
      <c r="AA71" s="238">
        <f t="shared" si="27"/>
        <v>0</v>
      </c>
      <c r="AB71" s="238">
        <f t="shared" si="28"/>
        <v>8250</v>
      </c>
      <c r="AC71" s="238">
        <f t="shared" si="29"/>
        <v>0</v>
      </c>
      <c r="AD71" s="238">
        <f t="shared" si="30"/>
        <v>0</v>
      </c>
      <c r="AE71" s="238">
        <f t="shared" si="31"/>
        <v>0</v>
      </c>
      <c r="AF71" s="238">
        <f t="shared" si="32"/>
        <v>0</v>
      </c>
      <c r="AG71" s="238">
        <f t="shared" si="33"/>
        <v>0</v>
      </c>
      <c r="AH71" s="1">
        <f t="shared" si="34"/>
        <v>13200</v>
      </c>
    </row>
    <row r="72" spans="1:35" ht="15.75" x14ac:dyDescent="0.25">
      <c r="A72" s="154">
        <v>71</v>
      </c>
      <c r="B72" s="155" t="s">
        <v>668</v>
      </c>
      <c r="C72" s="169"/>
      <c r="D72" s="169"/>
      <c r="E72" s="142">
        <f t="shared" si="19"/>
        <v>8850</v>
      </c>
      <c r="F72" s="144"/>
      <c r="G72" s="144">
        <f t="shared" si="20"/>
        <v>8900</v>
      </c>
      <c r="H72" s="144">
        <f t="shared" si="21"/>
        <v>-50</v>
      </c>
      <c r="I72" s="125">
        <f>Цо!AH72+IRS!AH72+Катеринополь!AH72+'Мк нежин'!AH72+'ЕМС Вооз'!AH72+ООН!AN72+'Червоний хрест'!AH72+Укрнафта!AJ72+Кернел!AO72+'Глобино Мк'!AH72+'МД Франківськ'!AH72</f>
        <v>59</v>
      </c>
      <c r="J72" s="44">
        <v>150</v>
      </c>
      <c r="K72" s="1">
        <f>VLOOKUP(B72,Цо!$B$2:$AH$74,33,FALSE)</f>
        <v>38</v>
      </c>
      <c r="L72" s="1">
        <f>VLOOKUP(B72,IRS!$B$2:$AH$73,33,FALSE)</f>
        <v>10</v>
      </c>
      <c r="M72" s="1">
        <f>VLOOKUP(B72,Катеринополь!$B$1:$AH$73,33,FALSE)</f>
        <v>0</v>
      </c>
      <c r="N72" s="1">
        <f>VLOOKUP(B72,'Мк нежин'!$B$2:$AH$73,33,FALSE)</f>
        <v>0</v>
      </c>
      <c r="O72" s="1">
        <f>VLOOKUP(B72,'ЕМС Вооз'!$B$2:$AH$73,33,FALSE)</f>
        <v>0</v>
      </c>
      <c r="P72" s="1">
        <f>VLOOKUP(B72,ООН!$H$2:$AN$73,33,FALSE)</f>
        <v>11</v>
      </c>
      <c r="Q72" s="1">
        <f>VLOOKUP(B72,'Червоний хрест'!$B$2:$AH$73,33,FALSE)</f>
        <v>0</v>
      </c>
      <c r="R72" s="1">
        <f>VLOOKUP(B72,Укрнафта!$D$2:$AJ$73,33,FALSE)</f>
        <v>0</v>
      </c>
      <c r="S72" s="1">
        <f>VLOOKUP(B72,Кернел!$I$2:$AO$73,33,FALSE)</f>
        <v>0</v>
      </c>
      <c r="T72" s="1">
        <f>VLOOKUP(B72,'Глобино Мк'!$B$2:$AH$73,33,FALSE)</f>
        <v>0</v>
      </c>
      <c r="U72" s="1">
        <f>VLOOKUP(B72,'МД Франківськ'!$B$2:$AH$73,33,FALSE)</f>
        <v>0</v>
      </c>
      <c r="V72" s="236">
        <f t="shared" si="22"/>
        <v>59</v>
      </c>
      <c r="W72" s="238">
        <f t="shared" si="23"/>
        <v>5732.2033898305081</v>
      </c>
      <c r="X72" s="238">
        <f t="shared" si="24"/>
        <v>1508.4745762711864</v>
      </c>
      <c r="Y72" s="238">
        <f t="shared" si="25"/>
        <v>0</v>
      </c>
      <c r="Z72" s="238">
        <f t="shared" si="26"/>
        <v>0</v>
      </c>
      <c r="AA72" s="238">
        <f t="shared" si="27"/>
        <v>0</v>
      </c>
      <c r="AB72" s="238">
        <f t="shared" si="28"/>
        <v>1659.3220338983051</v>
      </c>
      <c r="AC72" s="238">
        <f t="shared" si="29"/>
        <v>0</v>
      </c>
      <c r="AD72" s="238">
        <f t="shared" si="30"/>
        <v>0</v>
      </c>
      <c r="AE72" s="238">
        <f t="shared" si="31"/>
        <v>0</v>
      </c>
      <c r="AF72" s="238">
        <f t="shared" si="32"/>
        <v>0</v>
      </c>
      <c r="AG72" s="238">
        <f t="shared" si="33"/>
        <v>0</v>
      </c>
      <c r="AH72" s="1">
        <f t="shared" si="34"/>
        <v>8900</v>
      </c>
    </row>
    <row r="73" spans="1:35" ht="15.75" x14ac:dyDescent="0.25">
      <c r="A73" s="154">
        <v>72</v>
      </c>
      <c r="B73" s="155" t="s">
        <v>669</v>
      </c>
      <c r="C73" s="169"/>
      <c r="D73" s="169"/>
      <c r="E73" s="142">
        <f t="shared" si="19"/>
        <v>6300</v>
      </c>
      <c r="F73" s="144"/>
      <c r="G73" s="144">
        <f t="shared" si="20"/>
        <v>6300</v>
      </c>
      <c r="H73" s="144">
        <f t="shared" si="21"/>
        <v>0</v>
      </c>
      <c r="I73" s="125">
        <f>Цо!AH73+IRS!AH73+Катеринополь!AH73+'Мк нежин'!AH73+'ЕМС Вооз'!AH73+ООН!AN73+'Червоний хрест'!AH73+Укрнафта!AJ73+Кернел!AO73+'Глобино Мк'!AH73+'МД Франківськ'!AH73</f>
        <v>42</v>
      </c>
      <c r="J73" s="44">
        <v>150</v>
      </c>
      <c r="K73" s="1">
        <f>VLOOKUP(B73,Цо!$B$2:$AH$74,33,FALSE)</f>
        <v>11</v>
      </c>
      <c r="L73" s="1">
        <f>VLOOKUP(B73,IRS!$B$2:$AH$73,33,FALSE)</f>
        <v>11</v>
      </c>
      <c r="M73" s="1">
        <f>VLOOKUP(B73,Катеринополь!$B$1:$AH$73,33,FALSE)</f>
        <v>0</v>
      </c>
      <c r="N73" s="1">
        <f>VLOOKUP(B73,'Мк нежин'!$B$2:$AH$73,33,FALSE)</f>
        <v>9</v>
      </c>
      <c r="O73" s="1">
        <f>VLOOKUP(B73,'ЕМС Вооз'!$B$2:$AH$73,33,FALSE)</f>
        <v>0</v>
      </c>
      <c r="P73" s="1">
        <f>VLOOKUP(B73,ООН!$H$2:$AN$73,33,FALSE)</f>
        <v>0</v>
      </c>
      <c r="Q73" s="1">
        <f>VLOOKUP(B73,'Червоний хрест'!$B$2:$AH$73,33,FALSE)</f>
        <v>0</v>
      </c>
      <c r="R73" s="1">
        <f>VLOOKUP(B73,Укрнафта!$D$2:$AJ$73,33,FALSE)</f>
        <v>0</v>
      </c>
      <c r="S73" s="1">
        <f>VLOOKUP(B73,Кернел!$I$2:$AO$73,33,FALSE)</f>
        <v>0</v>
      </c>
      <c r="T73" s="1">
        <f>VLOOKUP(B73,'Глобино Мк'!$B$2:$AH$73,33,FALSE)</f>
        <v>11</v>
      </c>
      <c r="U73" s="1">
        <f>VLOOKUP(B73,'МД Франківськ'!$B$2:$AH$73,33,FALSE)</f>
        <v>0</v>
      </c>
      <c r="V73" s="236">
        <f t="shared" si="22"/>
        <v>42</v>
      </c>
      <c r="W73" s="238">
        <f t="shared" si="23"/>
        <v>1650</v>
      </c>
      <c r="X73" s="238">
        <f t="shared" si="24"/>
        <v>1650</v>
      </c>
      <c r="Y73" s="238">
        <f t="shared" si="25"/>
        <v>0</v>
      </c>
      <c r="Z73" s="238">
        <f t="shared" si="26"/>
        <v>1350</v>
      </c>
      <c r="AA73" s="238">
        <f t="shared" si="27"/>
        <v>0</v>
      </c>
      <c r="AB73" s="238">
        <f t="shared" si="28"/>
        <v>0</v>
      </c>
      <c r="AC73" s="238">
        <f t="shared" si="29"/>
        <v>0</v>
      </c>
      <c r="AD73" s="238">
        <f t="shared" si="30"/>
        <v>0</v>
      </c>
      <c r="AE73" s="238">
        <f t="shared" si="31"/>
        <v>0</v>
      </c>
      <c r="AF73" s="238">
        <f t="shared" si="32"/>
        <v>1650</v>
      </c>
      <c r="AG73" s="238">
        <f t="shared" si="33"/>
        <v>0</v>
      </c>
      <c r="AH73" s="1">
        <f t="shared" si="34"/>
        <v>6300</v>
      </c>
    </row>
    <row r="74" spans="1:35" ht="15.75" x14ac:dyDescent="0.25">
      <c r="A74" s="152"/>
      <c r="B74" s="168"/>
      <c r="C74" s="191"/>
      <c r="D74" s="226"/>
      <c r="E74" s="226"/>
      <c r="F74" s="241">
        <f>SUM(F2:F73)</f>
        <v>-985.29999999999018</v>
      </c>
      <c r="G74" s="226"/>
      <c r="H74" s="241">
        <f>SUM(H2:H73)</f>
        <v>-998.14000000001397</v>
      </c>
      <c r="I74" s="125">
        <f>SUM(I2:I73)</f>
        <v>10037</v>
      </c>
      <c r="J74" s="44"/>
      <c r="K74" s="225">
        <f>SUBTOTAL(9,K2:K73)</f>
        <v>436</v>
      </c>
      <c r="L74" s="225">
        <f>SUBTOTAL(9,L2:L73)</f>
        <v>941</v>
      </c>
      <c r="M74" s="225">
        <f t="shared" ref="M74:Q74" si="35">SUBTOTAL(9,M2:M73)</f>
        <v>468</v>
      </c>
      <c r="N74" s="225">
        <f t="shared" si="35"/>
        <v>895</v>
      </c>
      <c r="O74" s="225">
        <f t="shared" si="35"/>
        <v>2445</v>
      </c>
      <c r="P74" s="225">
        <f t="shared" si="35"/>
        <v>1991</v>
      </c>
      <c r="Q74" s="225">
        <f t="shared" si="35"/>
        <v>779</v>
      </c>
      <c r="R74" s="225">
        <f t="shared" ref="R74" si="36">SUBTOTAL(9,R2:R73)</f>
        <v>330</v>
      </c>
      <c r="S74" s="225">
        <f t="shared" ref="S74" si="37">SUBTOTAL(9,S2:S73)</f>
        <v>1061</v>
      </c>
      <c r="T74" s="225">
        <f t="shared" ref="T74" si="38">SUBTOTAL(9,T2:T73)</f>
        <v>387</v>
      </c>
      <c r="U74" s="225">
        <f t="shared" ref="U74" si="39">SUBTOTAL(9,U2:U73)</f>
        <v>304</v>
      </c>
      <c r="V74" s="235">
        <f>SUM(K74:U74)</f>
        <v>10037</v>
      </c>
      <c r="W74" s="238">
        <f>SUM(W2:W73)</f>
        <v>61453.069531562796</v>
      </c>
      <c r="X74" s="238">
        <f t="shared" ref="X74:AH74" si="40">SUM(X2:X73)</f>
        <v>129722.86910867965</v>
      </c>
      <c r="Y74" s="238">
        <f t="shared" si="40"/>
        <v>60202.475546591711</v>
      </c>
      <c r="Z74" s="238">
        <f t="shared" si="40"/>
        <v>115386.25593415728</v>
      </c>
      <c r="AA74" s="238">
        <f t="shared" si="40"/>
        <v>346108.85255348007</v>
      </c>
      <c r="AB74" s="238">
        <f t="shared" si="40"/>
        <v>273388.15370995982</v>
      </c>
      <c r="AC74" s="238">
        <f t="shared" si="40"/>
        <v>108366.05936364435</v>
      </c>
      <c r="AD74" s="238">
        <f t="shared" si="40"/>
        <v>42920.986333598732</v>
      </c>
      <c r="AE74" s="238">
        <f t="shared" si="40"/>
        <v>143961.52069170354</v>
      </c>
      <c r="AF74" s="238">
        <f t="shared" si="40"/>
        <v>50471.232216540615</v>
      </c>
      <c r="AG74" s="238">
        <f t="shared" si="40"/>
        <v>40918.525010081583</v>
      </c>
      <c r="AH74" s="238">
        <f t="shared" si="40"/>
        <v>1372900</v>
      </c>
    </row>
    <row r="75" spans="1:35" ht="15.75" x14ac:dyDescent="0.25">
      <c r="A75" s="190"/>
      <c r="B75" s="169"/>
      <c r="C75" s="169"/>
      <c r="D75" s="169"/>
      <c r="E75" s="142"/>
      <c r="F75" s="148"/>
      <c r="G75" s="144"/>
      <c r="H75" s="148"/>
      <c r="I75" s="125"/>
      <c r="J75" s="44"/>
      <c r="K75" s="1">
        <f>K74-K2-K12-K14</f>
        <v>436</v>
      </c>
      <c r="L75" s="1">
        <f t="shared" ref="L75:U75" si="41">L74-L2-L12-L14</f>
        <v>858</v>
      </c>
      <c r="M75" s="1">
        <f t="shared" si="41"/>
        <v>388</v>
      </c>
      <c r="N75" s="1">
        <f t="shared" si="41"/>
        <v>873</v>
      </c>
      <c r="O75" s="1">
        <f t="shared" si="41"/>
        <v>2412</v>
      </c>
      <c r="P75" s="1">
        <f t="shared" si="41"/>
        <v>1903</v>
      </c>
      <c r="Q75" s="1">
        <f t="shared" si="41"/>
        <v>779</v>
      </c>
      <c r="R75" s="1">
        <f t="shared" si="41"/>
        <v>330</v>
      </c>
      <c r="S75" s="1">
        <f t="shared" si="41"/>
        <v>1061</v>
      </c>
      <c r="T75" s="1">
        <f t="shared" si="41"/>
        <v>376</v>
      </c>
      <c r="U75" s="1">
        <f t="shared" si="41"/>
        <v>260</v>
      </c>
      <c r="V75" s="236">
        <f>SUM(K75:U75)</f>
        <v>9676</v>
      </c>
      <c r="W75" s="240">
        <f>W74-W2-W12-W14</f>
        <v>61453.069531562796</v>
      </c>
      <c r="X75" s="240">
        <f t="shared" ref="X75:AG75" si="42">X74-X2-X12-X14</f>
        <v>117546.01234475391</v>
      </c>
      <c r="Y75" s="240">
        <f t="shared" si="42"/>
        <v>48202.475546591711</v>
      </c>
      <c r="Z75" s="240">
        <f t="shared" si="42"/>
        <v>112086.25593415728</v>
      </c>
      <c r="AA75" s="240">
        <f t="shared" si="42"/>
        <v>341331.92947655701</v>
      </c>
      <c r="AB75" s="240">
        <f t="shared" si="42"/>
        <v>260649.69217149829</v>
      </c>
      <c r="AC75" s="240">
        <f t="shared" si="42"/>
        <v>108366.05936364435</v>
      </c>
      <c r="AD75" s="240">
        <f t="shared" si="42"/>
        <v>42920.986333598732</v>
      </c>
      <c r="AE75" s="240">
        <f t="shared" si="42"/>
        <v>143961.52069170354</v>
      </c>
      <c r="AF75" s="240">
        <f t="shared" si="42"/>
        <v>48849.680492402687</v>
      </c>
      <c r="AG75" s="240">
        <f t="shared" si="42"/>
        <v>34432.318113529858</v>
      </c>
      <c r="AH75" s="238">
        <f>SUM(W75:AG75)</f>
        <v>1319800.0000000005</v>
      </c>
    </row>
    <row r="76" spans="1:35" ht="15.75" x14ac:dyDescent="0.25">
      <c r="A76" s="190"/>
      <c r="B76" s="169"/>
      <c r="C76" s="192"/>
      <c r="D76" s="192"/>
      <c r="E76" s="142"/>
      <c r="F76" s="148"/>
      <c r="G76" s="144"/>
      <c r="H76" s="148"/>
      <c r="I76" s="125"/>
      <c r="J76" s="44"/>
      <c r="V76" s="236">
        <f>V74-V75</f>
        <v>361</v>
      </c>
      <c r="AH76" s="240">
        <f>AH74-AH75</f>
        <v>53099.999999999534</v>
      </c>
      <c r="AI76" s="1" t="s">
        <v>73</v>
      </c>
    </row>
    <row r="77" spans="1:35" ht="15.75" x14ac:dyDescent="0.25">
      <c r="A77" s="190"/>
      <c r="B77" s="169"/>
      <c r="C77" s="192"/>
      <c r="D77" s="192"/>
      <c r="E77" s="142"/>
      <c r="F77" s="148"/>
      <c r="G77" s="144"/>
      <c r="H77" s="148"/>
      <c r="I77" s="125"/>
      <c r="J77" s="44"/>
    </row>
    <row r="78" spans="1:35" ht="15.75" x14ac:dyDescent="0.25">
      <c r="D78" s="237">
        <f>SUM(D2:D77)</f>
        <v>143492.84</v>
      </c>
      <c r="E78" s="237">
        <f>SUM(E2:E77)</f>
        <v>1516380</v>
      </c>
      <c r="G78" s="237">
        <f>SUM(G2:G77)</f>
        <v>1372900</v>
      </c>
      <c r="I78" s="163"/>
    </row>
    <row r="79" spans="1:35" ht="15.75" x14ac:dyDescent="0.25">
      <c r="G79" s="242"/>
      <c r="I79" s="125"/>
    </row>
    <row r="80" spans="1:35" ht="15.75" x14ac:dyDescent="0.25">
      <c r="I80" s="125"/>
    </row>
    <row r="81" spans="9:9" ht="15.75" x14ac:dyDescent="0.25">
      <c r="I81" s="125"/>
    </row>
    <row r="82" spans="9:9" ht="15.75" x14ac:dyDescent="0.25">
      <c r="I82" s="125"/>
    </row>
    <row r="83" spans="9:9" ht="15.75" x14ac:dyDescent="0.25">
      <c r="I83" s="125"/>
    </row>
    <row r="84" spans="9:9" ht="15.75" x14ac:dyDescent="0.25">
      <c r="I84" s="125"/>
    </row>
    <row r="85" spans="9:9" ht="15.75" x14ac:dyDescent="0.25">
      <c r="I85" s="125"/>
    </row>
    <row r="86" spans="9:9" ht="15.75" x14ac:dyDescent="0.25">
      <c r="I86" s="125"/>
    </row>
    <row r="87" spans="9:9" ht="15.75" x14ac:dyDescent="0.25">
      <c r="I87" s="125"/>
    </row>
    <row r="88" spans="9:9" ht="15.75" x14ac:dyDescent="0.25">
      <c r="I88" s="125"/>
    </row>
    <row r="89" spans="9:9" ht="15.75" x14ac:dyDescent="0.25">
      <c r="I89" s="125"/>
    </row>
    <row r="90" spans="9:9" ht="15.75" x14ac:dyDescent="0.25">
      <c r="I90" s="125"/>
    </row>
    <row r="91" spans="9:9" ht="15.75" x14ac:dyDescent="0.25">
      <c r="I91" s="125"/>
    </row>
  </sheetData>
  <autoFilter ref="A1:AH76" xr:uid="{C7FBD533-0315-4729-A0B6-531CF471089D}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9"/>
  <sheetViews>
    <sheetView topLeftCell="A4" zoomScale="55" zoomScaleNormal="55" workbookViewId="0">
      <selection activeCell="A42" sqref="A42:XFD42"/>
    </sheetView>
  </sheetViews>
  <sheetFormatPr defaultRowHeight="15" x14ac:dyDescent="0.25"/>
  <cols>
    <col min="2" max="2" width="32.42578125" bestFit="1" customWidth="1"/>
  </cols>
  <sheetData>
    <row r="1" spans="1:34" x14ac:dyDescent="0.25">
      <c r="A1" s="184" t="s">
        <v>1</v>
      </c>
      <c r="B1" s="184" t="s">
        <v>6</v>
      </c>
      <c r="C1" s="184" t="s">
        <v>60</v>
      </c>
      <c r="D1" s="184" t="s">
        <v>61</v>
      </c>
      <c r="E1" s="184" t="s">
        <v>62</v>
      </c>
      <c r="F1" s="184" t="s">
        <v>63</v>
      </c>
      <c r="G1" s="184" t="s">
        <v>83</v>
      </c>
      <c r="H1" s="184" t="s">
        <v>84</v>
      </c>
      <c r="I1" s="184" t="s">
        <v>85</v>
      </c>
      <c r="J1" s="184" t="s">
        <v>24</v>
      </c>
      <c r="K1" s="184" t="s">
        <v>25</v>
      </c>
      <c r="L1" s="184" t="s">
        <v>64</v>
      </c>
      <c r="M1" s="184" t="s">
        <v>26</v>
      </c>
      <c r="N1" s="184" t="s">
        <v>65</v>
      </c>
      <c r="O1" s="184" t="s">
        <v>66</v>
      </c>
      <c r="P1" s="184" t="s">
        <v>67</v>
      </c>
      <c r="Q1" s="184" t="s">
        <v>86</v>
      </c>
      <c r="R1" s="184" t="s">
        <v>46</v>
      </c>
      <c r="S1" s="184" t="s">
        <v>47</v>
      </c>
      <c r="T1" s="184" t="s">
        <v>48</v>
      </c>
      <c r="U1" s="184" t="s">
        <v>49</v>
      </c>
      <c r="V1" s="184" t="s">
        <v>50</v>
      </c>
      <c r="W1" s="184" t="s">
        <v>51</v>
      </c>
      <c r="X1" s="184" t="s">
        <v>52</v>
      </c>
      <c r="Y1" s="184" t="s">
        <v>53</v>
      </c>
      <c r="Z1" s="184" t="s">
        <v>54</v>
      </c>
      <c r="AA1" s="184" t="s">
        <v>55</v>
      </c>
      <c r="AB1" s="184" t="s">
        <v>56</v>
      </c>
      <c r="AC1" s="184" t="s">
        <v>57</v>
      </c>
      <c r="AD1" s="184" t="s">
        <v>58</v>
      </c>
      <c r="AE1" s="184" t="s">
        <v>59</v>
      </c>
      <c r="AF1" s="184" t="s">
        <v>639</v>
      </c>
      <c r="AG1" s="184" t="s">
        <v>666</v>
      </c>
      <c r="AH1" s="184" t="s">
        <v>2</v>
      </c>
    </row>
    <row r="2" spans="1:34" x14ac:dyDescent="0.25">
      <c r="A2" s="154">
        <v>1</v>
      </c>
      <c r="B2" s="155" t="s">
        <v>80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4">
        <v>0</v>
      </c>
    </row>
    <row r="3" spans="1:34" x14ac:dyDescent="0.25">
      <c r="A3" s="154">
        <v>2</v>
      </c>
      <c r="B3" s="155" t="s">
        <v>10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4">
        <v>0</v>
      </c>
    </row>
    <row r="4" spans="1:34" x14ac:dyDescent="0.25">
      <c r="A4" s="154">
        <v>3</v>
      </c>
      <c r="B4" s="155" t="s">
        <v>11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4">
        <v>0</v>
      </c>
    </row>
    <row r="5" spans="1:34" x14ac:dyDescent="0.25">
      <c r="A5" s="154">
        <v>4</v>
      </c>
      <c r="B5" s="155" t="s">
        <v>12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4">
        <v>0</v>
      </c>
    </row>
    <row r="6" spans="1:34" x14ac:dyDescent="0.25">
      <c r="A6" s="154">
        <v>5</v>
      </c>
      <c r="B6" s="155" t="s">
        <v>664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4">
        <v>0</v>
      </c>
    </row>
    <row r="7" spans="1:34" x14ac:dyDescent="0.25">
      <c r="A7" s="154">
        <v>6</v>
      </c>
      <c r="B7" s="155" t="s">
        <v>14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4">
        <v>0</v>
      </c>
    </row>
    <row r="8" spans="1:34" x14ac:dyDescent="0.25">
      <c r="A8" s="154">
        <v>7</v>
      </c>
      <c r="B8" s="155" t="s">
        <v>15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4">
        <v>0</v>
      </c>
    </row>
    <row r="9" spans="1:34" x14ac:dyDescent="0.25">
      <c r="A9" s="154">
        <v>8</v>
      </c>
      <c r="B9" s="155" t="s">
        <v>16</v>
      </c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4">
        <v>0</v>
      </c>
    </row>
    <row r="10" spans="1:34" x14ac:dyDescent="0.25">
      <c r="A10" s="154">
        <v>9</v>
      </c>
      <c r="B10" s="155" t="s">
        <v>4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4">
        <v>0</v>
      </c>
    </row>
    <row r="11" spans="1:34" x14ac:dyDescent="0.25">
      <c r="A11" s="154">
        <v>10</v>
      </c>
      <c r="B11" s="155" t="s">
        <v>5</v>
      </c>
      <c r="C11" s="155"/>
      <c r="D11" s="155"/>
      <c r="E11" s="155"/>
      <c r="F11" s="155"/>
      <c r="G11" s="155"/>
      <c r="H11" s="155"/>
      <c r="I11" s="155"/>
      <c r="J11" s="155" t="s">
        <v>26</v>
      </c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203">
        <v>11</v>
      </c>
    </row>
    <row r="12" spans="1:34" x14ac:dyDescent="0.25">
      <c r="A12" s="154">
        <v>11</v>
      </c>
      <c r="B12" s="155" t="s">
        <v>17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4">
        <v>0</v>
      </c>
    </row>
    <row r="13" spans="1:34" x14ac:dyDescent="0.25">
      <c r="A13" s="154">
        <v>12</v>
      </c>
      <c r="B13" s="155" t="s">
        <v>38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4">
        <v>0</v>
      </c>
    </row>
    <row r="14" spans="1:34" x14ac:dyDescent="0.25">
      <c r="A14" s="154">
        <v>13</v>
      </c>
      <c r="B14" s="155" t="s">
        <v>19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4">
        <v>0</v>
      </c>
    </row>
    <row r="15" spans="1:34" x14ac:dyDescent="0.25">
      <c r="A15" s="154">
        <v>14</v>
      </c>
      <c r="B15" s="155" t="s">
        <v>77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4">
        <v>0</v>
      </c>
    </row>
    <row r="16" spans="1:34" x14ac:dyDescent="0.25">
      <c r="A16" s="154">
        <v>15</v>
      </c>
      <c r="B16" s="155" t="s">
        <v>43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4">
        <v>0</v>
      </c>
    </row>
    <row r="17" spans="1:34" x14ac:dyDescent="0.25">
      <c r="A17" s="154">
        <v>16</v>
      </c>
      <c r="B17" s="155" t="s">
        <v>645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4">
        <v>0</v>
      </c>
    </row>
    <row r="18" spans="1:34" x14ac:dyDescent="0.25">
      <c r="A18" s="154">
        <v>17</v>
      </c>
      <c r="B18" s="155" t="s">
        <v>87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4">
        <v>0</v>
      </c>
    </row>
    <row r="19" spans="1:34" x14ac:dyDescent="0.25">
      <c r="A19" s="154">
        <v>18</v>
      </c>
      <c r="B19" s="155" t="s">
        <v>95</v>
      </c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4">
        <v>0</v>
      </c>
    </row>
    <row r="20" spans="1:34" x14ac:dyDescent="0.25">
      <c r="A20" s="154">
        <v>19</v>
      </c>
      <c r="B20" s="155" t="s">
        <v>97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4">
        <v>0</v>
      </c>
    </row>
    <row r="21" spans="1:34" x14ac:dyDescent="0.25">
      <c r="A21" s="154">
        <v>20</v>
      </c>
      <c r="B21" s="155" t="s">
        <v>96</v>
      </c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4">
        <v>0</v>
      </c>
    </row>
    <row r="22" spans="1:34" x14ac:dyDescent="0.25">
      <c r="A22" s="154">
        <v>21</v>
      </c>
      <c r="B22" s="155" t="s">
        <v>98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4">
        <v>0</v>
      </c>
    </row>
    <row r="23" spans="1:34" x14ac:dyDescent="0.25">
      <c r="A23" s="154">
        <v>22</v>
      </c>
      <c r="B23" s="155" t="s">
        <v>99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4">
        <v>0</v>
      </c>
    </row>
    <row r="24" spans="1:34" x14ac:dyDescent="0.25">
      <c r="A24" s="154">
        <v>23</v>
      </c>
      <c r="B24" s="155" t="s">
        <v>617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4">
        <v>0</v>
      </c>
    </row>
    <row r="25" spans="1:34" x14ac:dyDescent="0.25">
      <c r="A25" s="154">
        <v>24</v>
      </c>
      <c r="B25" s="155" t="s">
        <v>618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4">
        <v>0</v>
      </c>
    </row>
    <row r="26" spans="1:34" x14ac:dyDescent="0.25">
      <c r="A26" s="154">
        <v>25</v>
      </c>
      <c r="B26" s="155" t="s">
        <v>629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4">
        <v>0</v>
      </c>
    </row>
    <row r="27" spans="1:34" x14ac:dyDescent="0.25">
      <c r="A27" s="154">
        <v>26</v>
      </c>
      <c r="B27" s="155" t="s">
        <v>619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4">
        <v>0</v>
      </c>
    </row>
    <row r="28" spans="1:34" x14ac:dyDescent="0.25">
      <c r="A28" s="154">
        <v>27</v>
      </c>
      <c r="B28" s="155" t="s">
        <v>620</v>
      </c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4">
        <v>0</v>
      </c>
    </row>
    <row r="29" spans="1:34" x14ac:dyDescent="0.25">
      <c r="A29" s="154">
        <v>28</v>
      </c>
      <c r="B29" s="155" t="s">
        <v>622</v>
      </c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4">
        <v>0</v>
      </c>
    </row>
    <row r="30" spans="1:34" x14ac:dyDescent="0.25">
      <c r="A30" s="154">
        <v>29</v>
      </c>
      <c r="B30" s="155" t="s">
        <v>665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4">
        <v>0</v>
      </c>
    </row>
    <row r="31" spans="1:34" x14ac:dyDescent="0.25">
      <c r="A31" s="154">
        <v>30</v>
      </c>
      <c r="B31" s="155" t="s">
        <v>623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4">
        <v>0</v>
      </c>
    </row>
    <row r="32" spans="1:34" x14ac:dyDescent="0.25">
      <c r="A32" s="154">
        <v>31</v>
      </c>
      <c r="B32" s="155" t="s">
        <v>624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4">
        <v>0</v>
      </c>
    </row>
    <row r="33" spans="1:34" x14ac:dyDescent="0.25">
      <c r="A33" s="154">
        <v>32</v>
      </c>
      <c r="B33" s="155" t="s">
        <v>625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4">
        <v>0</v>
      </c>
    </row>
    <row r="34" spans="1:34" x14ac:dyDescent="0.25">
      <c r="A34" s="154">
        <v>33</v>
      </c>
      <c r="B34" s="155" t="s">
        <v>626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4">
        <v>0</v>
      </c>
    </row>
    <row r="35" spans="1:34" x14ac:dyDescent="0.25">
      <c r="A35" s="154">
        <v>34</v>
      </c>
      <c r="B35" s="155" t="s">
        <v>631</v>
      </c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4">
        <v>0</v>
      </c>
    </row>
    <row r="36" spans="1:34" x14ac:dyDescent="0.25">
      <c r="A36" s="154">
        <v>35</v>
      </c>
      <c r="B36" s="155" t="s">
        <v>627</v>
      </c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4">
        <v>0</v>
      </c>
    </row>
    <row r="37" spans="1:34" x14ac:dyDescent="0.25">
      <c r="A37" s="154">
        <v>36</v>
      </c>
      <c r="B37" s="155" t="s">
        <v>34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4">
        <v>0</v>
      </c>
    </row>
    <row r="38" spans="1:34" x14ac:dyDescent="0.25">
      <c r="A38" s="154">
        <v>37</v>
      </c>
      <c r="B38" s="155" t="s">
        <v>628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4">
        <v>0</v>
      </c>
    </row>
    <row r="39" spans="1:34" x14ac:dyDescent="0.25">
      <c r="A39" s="154">
        <v>38</v>
      </c>
      <c r="B39" s="155" t="s">
        <v>621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4">
        <v>0</v>
      </c>
    </row>
    <row r="40" spans="1:34" x14ac:dyDescent="0.25">
      <c r="A40" s="154">
        <v>39</v>
      </c>
      <c r="B40" s="155" t="s">
        <v>45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4">
        <v>0</v>
      </c>
    </row>
    <row r="41" spans="1:34" x14ac:dyDescent="0.25">
      <c r="A41" s="154">
        <v>40</v>
      </c>
      <c r="B41" s="155" t="s">
        <v>634</v>
      </c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4">
        <v>0</v>
      </c>
    </row>
    <row r="42" spans="1:34" x14ac:dyDescent="0.25">
      <c r="A42" s="154">
        <v>41</v>
      </c>
      <c r="B42" s="155" t="s">
        <v>648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4">
        <v>0</v>
      </c>
    </row>
    <row r="43" spans="1:34" x14ac:dyDescent="0.25">
      <c r="A43" s="154">
        <v>42</v>
      </c>
      <c r="B43" s="155" t="s">
        <v>632</v>
      </c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4">
        <v>0</v>
      </c>
    </row>
    <row r="44" spans="1:34" x14ac:dyDescent="0.25">
      <c r="A44" s="154">
        <v>43</v>
      </c>
      <c r="B44" s="155" t="s">
        <v>633</v>
      </c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4">
        <v>0</v>
      </c>
    </row>
    <row r="45" spans="1:34" x14ac:dyDescent="0.25">
      <c r="A45" s="154">
        <v>44</v>
      </c>
      <c r="B45" s="155" t="s">
        <v>635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4">
        <v>0</v>
      </c>
    </row>
    <row r="46" spans="1:34" x14ac:dyDescent="0.25">
      <c r="A46" s="154">
        <v>45</v>
      </c>
      <c r="B46" s="155" t="s">
        <v>636</v>
      </c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4">
        <v>0</v>
      </c>
    </row>
    <row r="47" spans="1:34" x14ac:dyDescent="0.25">
      <c r="A47" s="154">
        <v>46</v>
      </c>
      <c r="B47" s="155" t="s">
        <v>637</v>
      </c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4">
        <v>0</v>
      </c>
    </row>
    <row r="48" spans="1:34" x14ac:dyDescent="0.25">
      <c r="A48" s="154">
        <v>47</v>
      </c>
      <c r="B48" s="155" t="s">
        <v>638</v>
      </c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4">
        <v>0</v>
      </c>
    </row>
    <row r="49" spans="1:34" x14ac:dyDescent="0.25">
      <c r="A49" s="154">
        <v>48</v>
      </c>
      <c r="B49" s="155" t="s">
        <v>630</v>
      </c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4">
        <v>0</v>
      </c>
    </row>
    <row r="50" spans="1:34" x14ac:dyDescent="0.25">
      <c r="A50" s="154">
        <v>49</v>
      </c>
      <c r="B50" s="155" t="s">
        <v>640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4">
        <v>0</v>
      </c>
    </row>
    <row r="51" spans="1:34" x14ac:dyDescent="0.25">
      <c r="A51" s="154">
        <v>50</v>
      </c>
      <c r="B51" s="155" t="s">
        <v>642</v>
      </c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4">
        <v>0</v>
      </c>
    </row>
    <row r="52" spans="1:34" x14ac:dyDescent="0.25">
      <c r="A52" s="154">
        <v>51</v>
      </c>
      <c r="B52" s="155" t="s">
        <v>643</v>
      </c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4">
        <v>0</v>
      </c>
    </row>
    <row r="53" spans="1:34" x14ac:dyDescent="0.25">
      <c r="A53" s="154">
        <v>52</v>
      </c>
      <c r="B53" s="155" t="s">
        <v>646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4">
        <v>0</v>
      </c>
    </row>
    <row r="54" spans="1:34" x14ac:dyDescent="0.25">
      <c r="A54" s="154">
        <v>53</v>
      </c>
      <c r="B54" s="155" t="s">
        <v>644</v>
      </c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4">
        <v>0</v>
      </c>
    </row>
    <row r="55" spans="1:34" x14ac:dyDescent="0.25">
      <c r="A55" s="154">
        <v>54</v>
      </c>
      <c r="B55" s="155" t="s">
        <v>641</v>
      </c>
      <c r="C55" s="155" t="s">
        <v>25</v>
      </c>
      <c r="D55" s="155" t="s">
        <v>25</v>
      </c>
      <c r="E55" s="155" t="s">
        <v>25</v>
      </c>
      <c r="F55" s="155" t="s">
        <v>25</v>
      </c>
      <c r="G55" s="155"/>
      <c r="H55" s="155"/>
      <c r="I55" s="155" t="s">
        <v>25</v>
      </c>
      <c r="J55" s="155" t="s">
        <v>25</v>
      </c>
      <c r="K55" s="155" t="s">
        <v>85</v>
      </c>
      <c r="L55" s="155" t="s">
        <v>25</v>
      </c>
      <c r="M55" s="155" t="s">
        <v>25</v>
      </c>
      <c r="N55" s="155" t="s">
        <v>84</v>
      </c>
      <c r="O55" s="155"/>
      <c r="P55" s="155" t="s">
        <v>25</v>
      </c>
      <c r="Q55" s="155" t="s">
        <v>26</v>
      </c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203">
        <v>105</v>
      </c>
    </row>
    <row r="56" spans="1:34" x14ac:dyDescent="0.25">
      <c r="A56" s="154">
        <v>55</v>
      </c>
      <c r="B56" s="155" t="s">
        <v>647</v>
      </c>
      <c r="C56" s="155" t="s">
        <v>26</v>
      </c>
      <c r="D56" s="155" t="s">
        <v>26</v>
      </c>
      <c r="E56" s="155" t="s">
        <v>26</v>
      </c>
      <c r="F56" s="155" t="s">
        <v>26</v>
      </c>
      <c r="G56" s="155" t="s">
        <v>84</v>
      </c>
      <c r="H56" s="155"/>
      <c r="I56" s="155" t="s">
        <v>26</v>
      </c>
      <c r="J56" s="155" t="s">
        <v>26</v>
      </c>
      <c r="K56" s="155" t="s">
        <v>26</v>
      </c>
      <c r="L56" s="155" t="s">
        <v>26</v>
      </c>
      <c r="M56" s="155" t="s">
        <v>26</v>
      </c>
      <c r="N56" s="155" t="s">
        <v>84</v>
      </c>
      <c r="O56" s="155"/>
      <c r="P56" s="155" t="s">
        <v>26</v>
      </c>
      <c r="Q56" s="155" t="s">
        <v>26</v>
      </c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203">
        <v>133</v>
      </c>
    </row>
    <row r="57" spans="1:34" x14ac:dyDescent="0.25">
      <c r="A57" s="154">
        <v>56</v>
      </c>
      <c r="B57" s="155" t="s">
        <v>663</v>
      </c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4">
        <v>0</v>
      </c>
    </row>
    <row r="58" spans="1:34" x14ac:dyDescent="0.25">
      <c r="A58" s="154">
        <v>57</v>
      </c>
      <c r="B58" s="155" t="s">
        <v>649</v>
      </c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4">
        <v>0</v>
      </c>
    </row>
    <row r="59" spans="1:34" x14ac:dyDescent="0.25">
      <c r="A59" s="154">
        <v>58</v>
      </c>
      <c r="B59" s="155" t="s">
        <v>650</v>
      </c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4">
        <v>0</v>
      </c>
    </row>
    <row r="60" spans="1:34" x14ac:dyDescent="0.25">
      <c r="A60" s="154">
        <v>59</v>
      </c>
      <c r="B60" s="155" t="s">
        <v>651</v>
      </c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4">
        <v>0</v>
      </c>
    </row>
    <row r="61" spans="1:34" x14ac:dyDescent="0.25">
      <c r="A61" s="154">
        <v>60</v>
      </c>
      <c r="B61" s="155" t="s">
        <v>653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4">
        <v>0</v>
      </c>
    </row>
    <row r="62" spans="1:34" x14ac:dyDescent="0.25">
      <c r="A62" s="154">
        <v>61</v>
      </c>
      <c r="B62" s="155" t="s">
        <v>654</v>
      </c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4">
        <v>0</v>
      </c>
    </row>
    <row r="63" spans="1:34" x14ac:dyDescent="0.25">
      <c r="A63" s="154">
        <v>62</v>
      </c>
      <c r="B63" s="155" t="s">
        <v>655</v>
      </c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4">
        <v>0</v>
      </c>
    </row>
    <row r="64" spans="1:34" x14ac:dyDescent="0.25">
      <c r="A64" s="154">
        <v>63</v>
      </c>
      <c r="B64" s="155" t="s">
        <v>656</v>
      </c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4">
        <v>0</v>
      </c>
    </row>
    <row r="65" spans="1:34" x14ac:dyDescent="0.25">
      <c r="A65" s="154">
        <v>64</v>
      </c>
      <c r="B65" s="155" t="s">
        <v>657</v>
      </c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4">
        <v>0</v>
      </c>
    </row>
    <row r="66" spans="1:34" x14ac:dyDescent="0.25">
      <c r="A66" s="154">
        <v>65</v>
      </c>
      <c r="B66" s="155" t="s">
        <v>658</v>
      </c>
      <c r="C66" s="155" t="s">
        <v>26</v>
      </c>
      <c r="D66" s="155" t="s">
        <v>26</v>
      </c>
      <c r="E66" s="155" t="s">
        <v>26</v>
      </c>
      <c r="F66" s="155" t="s">
        <v>26</v>
      </c>
      <c r="G66" s="155"/>
      <c r="H66" s="155"/>
      <c r="I66" s="155" t="s">
        <v>26</v>
      </c>
      <c r="J66" s="155" t="s">
        <v>26</v>
      </c>
      <c r="K66" s="155"/>
      <c r="L66" s="155" t="s">
        <v>26</v>
      </c>
      <c r="M66" s="155" t="s">
        <v>26</v>
      </c>
      <c r="N66" s="155" t="s">
        <v>84</v>
      </c>
      <c r="O66" s="155"/>
      <c r="P66" s="155" t="s">
        <v>26</v>
      </c>
      <c r="Q66" s="155" t="s">
        <v>26</v>
      </c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203">
        <v>116</v>
      </c>
    </row>
    <row r="67" spans="1:34" x14ac:dyDescent="0.25">
      <c r="A67" s="154">
        <v>66</v>
      </c>
      <c r="B67" s="155" t="s">
        <v>660</v>
      </c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4">
        <v>0</v>
      </c>
    </row>
    <row r="68" spans="1:34" x14ac:dyDescent="0.25">
      <c r="A68" s="154">
        <v>67</v>
      </c>
      <c r="B68" s="155" t="s">
        <v>661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4">
        <v>0</v>
      </c>
    </row>
    <row r="69" spans="1:34" x14ac:dyDescent="0.25">
      <c r="A69" s="154">
        <v>68</v>
      </c>
      <c r="B69" s="155" t="s">
        <v>662</v>
      </c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4">
        <v>0</v>
      </c>
    </row>
    <row r="70" spans="1:34" x14ac:dyDescent="0.25">
      <c r="A70" s="154">
        <v>69</v>
      </c>
      <c r="B70" s="155" t="s">
        <v>20</v>
      </c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4">
        <v>0</v>
      </c>
    </row>
    <row r="71" spans="1:34" x14ac:dyDescent="0.25">
      <c r="A71" s="154">
        <v>70</v>
      </c>
      <c r="B71" s="155" t="s">
        <v>667</v>
      </c>
      <c r="C71" s="155"/>
      <c r="D71" s="155"/>
      <c r="E71" s="155"/>
      <c r="F71" s="155"/>
      <c r="G71" s="155"/>
      <c r="H71" s="155"/>
      <c r="I71" s="155"/>
      <c r="J71" s="155" t="s">
        <v>26</v>
      </c>
      <c r="K71" s="155"/>
      <c r="L71" s="155"/>
      <c r="M71" s="155" t="s">
        <v>26</v>
      </c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203">
        <v>22</v>
      </c>
    </row>
    <row r="72" spans="1:34" x14ac:dyDescent="0.25">
      <c r="A72" s="154">
        <v>71</v>
      </c>
      <c r="B72" s="155" t="s">
        <v>668</v>
      </c>
      <c r="C72" s="155"/>
      <c r="D72" s="155"/>
      <c r="E72" s="155"/>
      <c r="F72" s="155"/>
      <c r="G72" s="155"/>
      <c r="H72" s="155"/>
      <c r="I72" s="155"/>
      <c r="J72" s="155" t="s">
        <v>26</v>
      </c>
      <c r="K72" s="155"/>
      <c r="L72" s="155"/>
      <c r="M72" s="155" t="s">
        <v>26</v>
      </c>
      <c r="N72" s="155" t="s">
        <v>83</v>
      </c>
      <c r="O72" s="155"/>
      <c r="P72" s="155" t="s">
        <v>26</v>
      </c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203">
        <v>38</v>
      </c>
    </row>
    <row r="73" spans="1:34" x14ac:dyDescent="0.25">
      <c r="A73" s="154">
        <v>72</v>
      </c>
      <c r="B73" s="155" t="s">
        <v>669</v>
      </c>
      <c r="C73" s="155"/>
      <c r="D73" s="155"/>
      <c r="E73" s="155"/>
      <c r="F73" s="155"/>
      <c r="G73" s="155"/>
      <c r="H73" s="155"/>
      <c r="I73" s="155"/>
      <c r="J73" s="155" t="s">
        <v>26</v>
      </c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203">
        <v>11</v>
      </c>
    </row>
    <row r="74" spans="1:34" x14ac:dyDescent="0.25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204">
        <v>436</v>
      </c>
    </row>
    <row r="75" spans="1:34" x14ac:dyDescent="0.25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80"/>
    </row>
    <row r="76" spans="1:34" x14ac:dyDescent="0.25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80"/>
    </row>
    <row r="77" spans="1:34" x14ac:dyDescent="0.25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80"/>
      <c r="AF77" s="170"/>
    </row>
    <row r="78" spans="1:34" x14ac:dyDescent="0.25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70"/>
    </row>
    <row r="79" spans="1:34" x14ac:dyDescent="0.25">
      <c r="A79" s="156"/>
      <c r="B79" s="156"/>
      <c r="C79" s="156"/>
      <c r="D79" s="156"/>
      <c r="E79" s="156"/>
      <c r="F79" s="156"/>
    </row>
    <row r="80" spans="1:34" x14ac:dyDescent="0.25">
      <c r="A80" s="156"/>
      <c r="B80" s="156"/>
      <c r="C80" s="156"/>
      <c r="D80" s="156"/>
      <c r="E80" s="156"/>
      <c r="F80" s="156"/>
    </row>
    <row r="81" spans="1:6" x14ac:dyDescent="0.25">
      <c r="A81" s="156"/>
      <c r="B81" s="156"/>
      <c r="C81" s="156"/>
      <c r="D81" s="156"/>
      <c r="E81" s="156"/>
      <c r="F81" s="156"/>
    </row>
    <row r="82" spans="1:6" x14ac:dyDescent="0.25">
      <c r="A82" s="156"/>
      <c r="B82" s="156"/>
      <c r="C82" s="156"/>
      <c r="D82" s="156"/>
      <c r="E82" s="156"/>
      <c r="F82" s="156"/>
    </row>
    <row r="83" spans="1:6" x14ac:dyDescent="0.25">
      <c r="A83" s="156"/>
      <c r="B83" s="156"/>
      <c r="C83" s="156"/>
      <c r="D83" s="156"/>
      <c r="E83" s="156"/>
      <c r="F83" s="156"/>
    </row>
    <row r="84" spans="1:6" x14ac:dyDescent="0.25">
      <c r="A84" s="156"/>
      <c r="B84" s="156"/>
      <c r="C84" s="156"/>
      <c r="D84" s="156"/>
      <c r="E84" s="156"/>
      <c r="F84" s="156"/>
    </row>
    <row r="85" spans="1:6" x14ac:dyDescent="0.25">
      <c r="A85" s="156"/>
      <c r="B85" s="156"/>
      <c r="C85" s="156"/>
      <c r="D85" s="156"/>
      <c r="E85" s="156"/>
      <c r="F85" s="156"/>
    </row>
    <row r="86" spans="1:6" x14ac:dyDescent="0.25">
      <c r="A86" s="156"/>
      <c r="B86" s="156"/>
      <c r="C86" s="156"/>
      <c r="D86" s="156"/>
      <c r="E86" s="156"/>
      <c r="F86" s="156"/>
    </row>
    <row r="87" spans="1:6" x14ac:dyDescent="0.25">
      <c r="A87" s="156"/>
      <c r="B87" s="156"/>
      <c r="C87" s="156"/>
      <c r="D87" s="156"/>
      <c r="E87" s="156"/>
      <c r="F87" s="156"/>
    </row>
    <row r="88" spans="1:6" x14ac:dyDescent="0.25">
      <c r="A88" s="156"/>
      <c r="B88" s="156"/>
      <c r="C88" s="156"/>
      <c r="D88" s="156"/>
      <c r="E88" s="156"/>
      <c r="F88" s="156"/>
    </row>
    <row r="89" spans="1:6" x14ac:dyDescent="0.25">
      <c r="A89" s="156"/>
      <c r="B89" s="156"/>
      <c r="C89" s="156"/>
      <c r="D89" s="156"/>
      <c r="E89" s="156"/>
      <c r="F89" s="156"/>
    </row>
    <row r="90" spans="1:6" x14ac:dyDescent="0.25">
      <c r="A90" s="156"/>
      <c r="B90" s="156"/>
      <c r="C90" s="156"/>
      <c r="D90" s="156"/>
      <c r="E90" s="156"/>
      <c r="F90" s="156"/>
    </row>
    <row r="91" spans="1:6" x14ac:dyDescent="0.25">
      <c r="A91" s="156"/>
      <c r="B91" s="156"/>
      <c r="C91" s="156"/>
      <c r="D91" s="156"/>
      <c r="E91" s="156"/>
      <c r="F91" s="156"/>
    </row>
    <row r="92" spans="1:6" x14ac:dyDescent="0.25">
      <c r="A92" s="156"/>
      <c r="B92" s="156"/>
      <c r="C92" s="156"/>
      <c r="D92" s="156"/>
      <c r="E92" s="156"/>
      <c r="F92" s="156"/>
    </row>
    <row r="93" spans="1:6" x14ac:dyDescent="0.25">
      <c r="A93" s="156"/>
      <c r="B93" s="156"/>
      <c r="C93" s="156"/>
      <c r="D93" s="156"/>
      <c r="E93" s="156"/>
      <c r="F93" s="156"/>
    </row>
    <row r="94" spans="1:6" x14ac:dyDescent="0.25">
      <c r="A94" s="156"/>
      <c r="B94" s="156"/>
      <c r="C94" s="156"/>
      <c r="D94" s="156"/>
      <c r="E94" s="156"/>
      <c r="F94" s="156"/>
    </row>
    <row r="95" spans="1:6" x14ac:dyDescent="0.25">
      <c r="A95" s="156"/>
      <c r="B95" s="156"/>
      <c r="C95" s="156"/>
      <c r="D95" s="156"/>
      <c r="E95" s="156"/>
      <c r="F95" s="156"/>
    </row>
    <row r="96" spans="1:6" x14ac:dyDescent="0.25">
      <c r="A96" s="156"/>
      <c r="B96" s="156"/>
      <c r="C96" s="156"/>
      <c r="D96" s="156"/>
      <c r="E96" s="156"/>
      <c r="F96" s="156"/>
    </row>
    <row r="97" spans="1:6" x14ac:dyDescent="0.25">
      <c r="A97" s="156"/>
      <c r="B97" s="156"/>
      <c r="C97" s="156"/>
      <c r="D97" s="156"/>
      <c r="E97" s="156"/>
      <c r="F97" s="156"/>
    </row>
    <row r="98" spans="1:6" x14ac:dyDescent="0.25">
      <c r="A98" s="156"/>
      <c r="B98" s="156"/>
      <c r="C98" s="156"/>
      <c r="D98" s="156"/>
      <c r="E98" s="156"/>
      <c r="F98" s="156"/>
    </row>
    <row r="99" spans="1:6" x14ac:dyDescent="0.25">
      <c r="A99" s="156"/>
      <c r="B99" s="156"/>
      <c r="C99" s="156"/>
      <c r="D99" s="156"/>
      <c r="E99" s="156"/>
      <c r="F99" s="156"/>
    </row>
    <row r="100" spans="1:6" x14ac:dyDescent="0.25">
      <c r="A100" s="156"/>
      <c r="B100" s="156"/>
      <c r="C100" s="156"/>
      <c r="D100" s="156"/>
      <c r="E100" s="156"/>
      <c r="F100" s="156"/>
    </row>
    <row r="101" spans="1:6" x14ac:dyDescent="0.25">
      <c r="A101" s="156"/>
      <c r="B101" s="156"/>
      <c r="C101" s="156"/>
      <c r="D101" s="156"/>
      <c r="E101" s="156"/>
      <c r="F101" s="156"/>
    </row>
    <row r="102" spans="1:6" x14ac:dyDescent="0.25">
      <c r="A102" s="156"/>
      <c r="B102" s="156"/>
      <c r="C102" s="156"/>
      <c r="D102" s="156"/>
      <c r="E102" s="156"/>
      <c r="F102" s="156"/>
    </row>
    <row r="103" spans="1:6" x14ac:dyDescent="0.25">
      <c r="A103" s="156"/>
      <c r="B103" s="156"/>
      <c r="C103" s="156"/>
      <c r="D103" s="156"/>
      <c r="E103" s="156"/>
      <c r="F103" s="156"/>
    </row>
    <row r="104" spans="1:6" x14ac:dyDescent="0.25">
      <c r="A104" s="156"/>
      <c r="B104" s="156"/>
      <c r="C104" s="156"/>
      <c r="D104" s="156"/>
      <c r="E104" s="156"/>
      <c r="F104" s="156"/>
    </row>
    <row r="105" spans="1:6" x14ac:dyDescent="0.25">
      <c r="A105" s="156"/>
      <c r="B105" s="156"/>
      <c r="C105" s="156"/>
      <c r="D105" s="156"/>
      <c r="E105" s="156"/>
      <c r="F105" s="156"/>
    </row>
    <row r="106" spans="1:6" x14ac:dyDescent="0.25">
      <c r="A106" s="156"/>
      <c r="B106" s="156"/>
      <c r="C106" s="156"/>
      <c r="D106" s="156"/>
      <c r="E106" s="156"/>
      <c r="F106" s="156"/>
    </row>
    <row r="107" spans="1:6" x14ac:dyDescent="0.25">
      <c r="A107" s="156"/>
      <c r="B107" s="156"/>
      <c r="C107" s="156"/>
      <c r="D107" s="156"/>
      <c r="E107" s="156"/>
      <c r="F107" s="156"/>
    </row>
    <row r="108" spans="1:6" x14ac:dyDescent="0.25">
      <c r="A108" s="156"/>
      <c r="B108" s="156"/>
      <c r="C108" s="156"/>
      <c r="D108" s="156"/>
      <c r="E108" s="156"/>
      <c r="F108" s="156"/>
    </row>
    <row r="109" spans="1:6" x14ac:dyDescent="0.25">
      <c r="A109" s="156"/>
      <c r="B109" s="156"/>
      <c r="C109" s="156"/>
      <c r="D109" s="156"/>
      <c r="E109" s="156"/>
      <c r="F109" s="156"/>
    </row>
    <row r="110" spans="1:6" x14ac:dyDescent="0.25">
      <c r="A110" s="156"/>
      <c r="B110" s="156"/>
      <c r="C110" s="156"/>
      <c r="D110" s="156"/>
      <c r="E110" s="156"/>
      <c r="F110" s="156"/>
    </row>
    <row r="111" spans="1:6" x14ac:dyDescent="0.25">
      <c r="A111" s="156"/>
      <c r="B111" s="156"/>
      <c r="C111" s="156"/>
      <c r="D111" s="156"/>
      <c r="E111" s="156"/>
      <c r="F111" s="156"/>
    </row>
    <row r="112" spans="1:6" x14ac:dyDescent="0.25">
      <c r="A112" s="156"/>
      <c r="B112" s="156"/>
      <c r="C112" s="156"/>
      <c r="D112" s="156"/>
      <c r="E112" s="156"/>
      <c r="F112" s="156"/>
    </row>
    <row r="113" spans="1:6" x14ac:dyDescent="0.25">
      <c r="A113" s="156"/>
      <c r="B113" s="156"/>
      <c r="C113" s="156"/>
      <c r="D113" s="156"/>
      <c r="E113" s="156"/>
      <c r="F113" s="156"/>
    </row>
    <row r="114" spans="1:6" x14ac:dyDescent="0.25">
      <c r="A114" s="156"/>
      <c r="B114" s="156"/>
      <c r="C114" s="156"/>
      <c r="D114" s="156"/>
      <c r="E114" s="156"/>
      <c r="F114" s="156"/>
    </row>
    <row r="115" spans="1:6" x14ac:dyDescent="0.25">
      <c r="A115" s="156"/>
      <c r="B115" s="156"/>
      <c r="C115" s="156"/>
      <c r="D115" s="156"/>
      <c r="E115" s="156"/>
      <c r="F115" s="156"/>
    </row>
    <row r="116" spans="1:6" x14ac:dyDescent="0.25">
      <c r="A116" s="156"/>
      <c r="B116" s="156"/>
      <c r="C116" s="156"/>
      <c r="D116" s="156"/>
      <c r="E116" s="156"/>
      <c r="F116" s="156"/>
    </row>
    <row r="117" spans="1:6" x14ac:dyDescent="0.25">
      <c r="A117" s="156"/>
      <c r="B117" s="156"/>
      <c r="C117" s="156"/>
      <c r="D117" s="156"/>
      <c r="E117" s="156"/>
      <c r="F117" s="156"/>
    </row>
    <row r="118" spans="1:6" x14ac:dyDescent="0.25">
      <c r="A118" s="156"/>
      <c r="B118" s="156"/>
      <c r="C118" s="156"/>
      <c r="D118" s="156"/>
      <c r="E118" s="156"/>
      <c r="F118" s="156"/>
    </row>
    <row r="119" spans="1:6" x14ac:dyDescent="0.25">
      <c r="A119" s="156"/>
      <c r="B119" s="156"/>
      <c r="C119" s="156"/>
      <c r="D119" s="156"/>
      <c r="E119" s="156"/>
      <c r="F119" s="156"/>
    </row>
    <row r="120" spans="1:6" x14ac:dyDescent="0.25">
      <c r="A120" s="156"/>
      <c r="B120" s="156"/>
      <c r="C120" s="156"/>
      <c r="D120" s="156"/>
      <c r="E120" s="156"/>
      <c r="F120" s="156"/>
    </row>
    <row r="121" spans="1:6" x14ac:dyDescent="0.25">
      <c r="A121" s="156"/>
      <c r="B121" s="156"/>
      <c r="C121" s="156"/>
      <c r="D121" s="156"/>
      <c r="E121" s="156"/>
      <c r="F121" s="156"/>
    </row>
    <row r="122" spans="1:6" x14ac:dyDescent="0.25">
      <c r="A122" s="156"/>
      <c r="B122" s="156"/>
      <c r="C122" s="156"/>
      <c r="D122" s="156"/>
      <c r="E122" s="156"/>
      <c r="F122" s="156"/>
    </row>
    <row r="123" spans="1:6" x14ac:dyDescent="0.25">
      <c r="A123" s="156"/>
      <c r="B123" s="156"/>
      <c r="C123" s="156"/>
      <c r="D123" s="156"/>
      <c r="E123" s="156"/>
      <c r="F123" s="156"/>
    </row>
    <row r="124" spans="1:6" x14ac:dyDescent="0.25">
      <c r="A124" s="156"/>
      <c r="B124" s="156"/>
      <c r="C124" s="156"/>
      <c r="D124" s="156"/>
      <c r="E124" s="156"/>
      <c r="F124" s="156"/>
    </row>
    <row r="125" spans="1:6" x14ac:dyDescent="0.25">
      <c r="A125" s="156"/>
      <c r="B125" s="156"/>
      <c r="C125" s="156"/>
      <c r="D125" s="156"/>
      <c r="E125" s="156"/>
      <c r="F125" s="156"/>
    </row>
    <row r="126" spans="1:6" x14ac:dyDescent="0.25">
      <c r="A126" s="156"/>
      <c r="B126" s="156"/>
      <c r="C126" s="156"/>
      <c r="D126" s="156"/>
      <c r="E126" s="156"/>
      <c r="F126" s="156"/>
    </row>
    <row r="127" spans="1:6" x14ac:dyDescent="0.25">
      <c r="A127" s="156"/>
      <c r="B127" s="156"/>
      <c r="C127" s="156"/>
      <c r="D127" s="156"/>
      <c r="E127" s="156"/>
      <c r="F127" s="156"/>
    </row>
    <row r="128" spans="1:6" x14ac:dyDescent="0.25">
      <c r="A128" s="156"/>
      <c r="B128" s="156"/>
      <c r="C128" s="156"/>
      <c r="D128" s="156"/>
      <c r="E128" s="156"/>
      <c r="F128" s="156"/>
    </row>
    <row r="129" spans="1:6" x14ac:dyDescent="0.25">
      <c r="A129" s="156"/>
      <c r="B129" s="156"/>
      <c r="C129" s="156"/>
      <c r="D129" s="156"/>
      <c r="E129" s="156"/>
      <c r="F129" s="156"/>
    </row>
    <row r="130" spans="1:6" x14ac:dyDescent="0.25">
      <c r="A130" s="156"/>
      <c r="B130" s="156"/>
      <c r="C130" s="156"/>
      <c r="D130" s="156"/>
      <c r="E130" s="156"/>
      <c r="F130" s="156"/>
    </row>
    <row r="131" spans="1:6" x14ac:dyDescent="0.25">
      <c r="A131" s="156"/>
      <c r="B131" s="156"/>
      <c r="C131" s="156"/>
      <c r="D131" s="156"/>
      <c r="E131" s="156"/>
      <c r="F131" s="156"/>
    </row>
    <row r="132" spans="1:6" x14ac:dyDescent="0.25">
      <c r="A132" s="156"/>
      <c r="B132" s="156"/>
      <c r="C132" s="156"/>
      <c r="D132" s="156"/>
      <c r="E132" s="156"/>
      <c r="F132" s="156"/>
    </row>
    <row r="133" spans="1:6" x14ac:dyDescent="0.25">
      <c r="A133" s="156"/>
      <c r="B133" s="156"/>
      <c r="C133" s="156"/>
      <c r="D133" s="156"/>
      <c r="E133" s="156"/>
      <c r="F133" s="156"/>
    </row>
    <row r="134" spans="1:6" x14ac:dyDescent="0.25">
      <c r="A134" s="156"/>
      <c r="B134" s="156"/>
      <c r="C134" s="156"/>
      <c r="D134" s="156"/>
      <c r="E134" s="156"/>
      <c r="F134" s="156"/>
    </row>
    <row r="135" spans="1:6" x14ac:dyDescent="0.25">
      <c r="A135" s="156"/>
      <c r="B135" s="156"/>
      <c r="C135" s="156"/>
      <c r="D135" s="156"/>
      <c r="E135" s="156"/>
      <c r="F135" s="156"/>
    </row>
    <row r="136" spans="1:6" x14ac:dyDescent="0.25">
      <c r="A136" s="156"/>
      <c r="B136" s="156"/>
      <c r="C136" s="156"/>
      <c r="D136" s="156"/>
      <c r="E136" s="156"/>
      <c r="F136" s="156"/>
    </row>
    <row r="137" spans="1:6" x14ac:dyDescent="0.25">
      <c r="A137" s="156"/>
      <c r="B137" s="156"/>
      <c r="C137" s="156"/>
      <c r="D137" s="156"/>
      <c r="E137" s="156"/>
      <c r="F137" s="156"/>
    </row>
    <row r="138" spans="1:6" x14ac:dyDescent="0.25">
      <c r="A138" s="156"/>
      <c r="B138" s="156"/>
      <c r="C138" s="156"/>
      <c r="D138" s="156"/>
      <c r="E138" s="156"/>
      <c r="F138" s="156"/>
    </row>
    <row r="139" spans="1:6" x14ac:dyDescent="0.25">
      <c r="A139" s="156"/>
      <c r="B139" s="156"/>
      <c r="C139" s="156"/>
      <c r="D139" s="156"/>
      <c r="E139" s="156"/>
      <c r="F139" s="156"/>
    </row>
    <row r="140" spans="1:6" x14ac:dyDescent="0.25">
      <c r="A140" s="156"/>
      <c r="B140" s="156"/>
      <c r="C140" s="156"/>
      <c r="D140" s="156"/>
      <c r="E140" s="156"/>
      <c r="F140" s="156"/>
    </row>
    <row r="141" spans="1:6" x14ac:dyDescent="0.25">
      <c r="A141" s="156"/>
      <c r="B141" s="156"/>
      <c r="C141" s="156"/>
      <c r="D141" s="156"/>
      <c r="E141" s="156"/>
      <c r="F141" s="156"/>
    </row>
    <row r="142" spans="1:6" x14ac:dyDescent="0.25">
      <c r="A142" s="156"/>
      <c r="B142" s="156"/>
      <c r="C142" s="156"/>
      <c r="D142" s="156"/>
      <c r="E142" s="156"/>
      <c r="F142" s="156"/>
    </row>
    <row r="143" spans="1:6" x14ac:dyDescent="0.25">
      <c r="A143" s="156"/>
      <c r="B143" s="156"/>
      <c r="C143" s="156"/>
      <c r="D143" s="156"/>
      <c r="E143" s="156"/>
      <c r="F143" s="156"/>
    </row>
    <row r="144" spans="1:6" x14ac:dyDescent="0.25">
      <c r="A144" s="156"/>
      <c r="B144" s="156"/>
      <c r="C144" s="156"/>
      <c r="D144" s="156"/>
      <c r="E144" s="156"/>
      <c r="F144" s="156"/>
    </row>
    <row r="145" spans="1:6" x14ac:dyDescent="0.25">
      <c r="A145" s="156"/>
      <c r="B145" s="156"/>
      <c r="C145" s="156"/>
      <c r="D145" s="156"/>
      <c r="E145" s="156"/>
      <c r="F145" s="156"/>
    </row>
    <row r="146" spans="1:6" x14ac:dyDescent="0.25">
      <c r="A146" s="156"/>
      <c r="B146" s="156"/>
      <c r="C146" s="156"/>
      <c r="D146" s="156"/>
      <c r="E146" s="156"/>
      <c r="F146" s="156"/>
    </row>
    <row r="147" spans="1:6" x14ac:dyDescent="0.25">
      <c r="A147" s="156"/>
      <c r="B147" s="156"/>
      <c r="C147" s="156"/>
      <c r="D147" s="156"/>
      <c r="E147" s="156"/>
      <c r="F147" s="156"/>
    </row>
    <row r="148" spans="1:6" x14ac:dyDescent="0.25">
      <c r="A148" s="156"/>
      <c r="B148" s="156"/>
      <c r="C148" s="156"/>
      <c r="D148" s="156"/>
      <c r="E148" s="156"/>
      <c r="F148" s="156"/>
    </row>
    <row r="149" spans="1:6" x14ac:dyDescent="0.25">
      <c r="A149" s="156"/>
      <c r="B149" s="156"/>
      <c r="C149" s="156"/>
      <c r="D149" s="156"/>
      <c r="E149" s="156"/>
      <c r="F149" s="156"/>
    </row>
    <row r="150" spans="1:6" x14ac:dyDescent="0.25">
      <c r="A150" s="156"/>
      <c r="B150" s="156"/>
      <c r="C150" s="156"/>
      <c r="D150" s="156"/>
      <c r="E150" s="156"/>
      <c r="F150" s="156"/>
    </row>
    <row r="151" spans="1:6" x14ac:dyDescent="0.25">
      <c r="A151" s="156"/>
      <c r="B151" s="156"/>
      <c r="C151" s="156"/>
      <c r="D151" s="156"/>
      <c r="E151" s="156"/>
      <c r="F151" s="156"/>
    </row>
    <row r="152" spans="1:6" x14ac:dyDescent="0.25">
      <c r="A152" s="156"/>
      <c r="B152" s="156"/>
      <c r="C152" s="156"/>
      <c r="D152" s="156"/>
      <c r="E152" s="156"/>
      <c r="F152" s="156"/>
    </row>
    <row r="153" spans="1:6" x14ac:dyDescent="0.25">
      <c r="A153" s="156"/>
      <c r="B153" s="156"/>
      <c r="C153" s="156"/>
      <c r="D153" s="156"/>
      <c r="E153" s="156"/>
      <c r="F153" s="156"/>
    </row>
    <row r="154" spans="1:6" x14ac:dyDescent="0.25">
      <c r="A154" s="156"/>
      <c r="B154" s="156"/>
      <c r="C154" s="156"/>
      <c r="D154" s="156"/>
      <c r="E154" s="156"/>
      <c r="F154" s="156"/>
    </row>
    <row r="155" spans="1:6" x14ac:dyDescent="0.25">
      <c r="A155" s="156"/>
      <c r="B155" s="156"/>
      <c r="C155" s="156"/>
      <c r="D155" s="156"/>
      <c r="E155" s="156"/>
      <c r="F155" s="156"/>
    </row>
    <row r="156" spans="1:6" x14ac:dyDescent="0.25">
      <c r="A156" s="156"/>
      <c r="B156" s="156"/>
      <c r="C156" s="156"/>
      <c r="D156" s="156"/>
      <c r="E156" s="156"/>
      <c r="F156" s="156"/>
    </row>
    <row r="157" spans="1:6" x14ac:dyDescent="0.25">
      <c r="A157" s="156"/>
      <c r="B157" s="156"/>
      <c r="C157" s="156"/>
      <c r="D157" s="156"/>
      <c r="E157" s="156"/>
      <c r="F157" s="156"/>
    </row>
    <row r="158" spans="1:6" x14ac:dyDescent="0.25">
      <c r="A158" s="156"/>
      <c r="B158" s="156"/>
      <c r="C158" s="156"/>
      <c r="D158" s="156"/>
      <c r="E158" s="156"/>
      <c r="F158" s="156"/>
    </row>
    <row r="159" spans="1:6" x14ac:dyDescent="0.25">
      <c r="A159" s="156"/>
      <c r="B159" s="156"/>
      <c r="C159" s="156"/>
      <c r="D159" s="156"/>
      <c r="E159" s="156"/>
      <c r="F159" s="156"/>
    </row>
    <row r="160" spans="1:6" x14ac:dyDescent="0.25">
      <c r="A160" s="156"/>
      <c r="B160" s="156"/>
      <c r="C160" s="156"/>
      <c r="D160" s="156"/>
      <c r="E160" s="156"/>
      <c r="F160" s="156"/>
    </row>
    <row r="161" spans="1:6" x14ac:dyDescent="0.25">
      <c r="A161" s="156"/>
      <c r="B161" s="156"/>
      <c r="C161" s="156"/>
      <c r="D161" s="156"/>
      <c r="E161" s="156"/>
      <c r="F161" s="156"/>
    </row>
    <row r="162" spans="1:6" x14ac:dyDescent="0.25">
      <c r="A162" s="156"/>
      <c r="B162" s="156"/>
      <c r="C162" s="156"/>
      <c r="D162" s="156"/>
      <c r="E162" s="156"/>
      <c r="F162" s="156"/>
    </row>
    <row r="163" spans="1:6" x14ac:dyDescent="0.25">
      <c r="A163" s="156"/>
      <c r="B163" s="156"/>
      <c r="C163" s="156"/>
      <c r="D163" s="156"/>
      <c r="E163" s="156"/>
      <c r="F163" s="156"/>
    </row>
    <row r="164" spans="1:6" x14ac:dyDescent="0.25">
      <c r="A164" s="156"/>
      <c r="B164" s="156"/>
      <c r="C164" s="156"/>
      <c r="D164" s="156"/>
      <c r="E164" s="156"/>
      <c r="F164" s="156"/>
    </row>
    <row r="165" spans="1:6" x14ac:dyDescent="0.25">
      <c r="A165" s="156"/>
      <c r="B165" s="156"/>
      <c r="C165" s="156"/>
      <c r="D165" s="156"/>
      <c r="E165" s="156"/>
      <c r="F165" s="156"/>
    </row>
    <row r="166" spans="1:6" x14ac:dyDescent="0.25">
      <c r="A166" s="156"/>
      <c r="B166" s="156"/>
      <c r="C166" s="156"/>
      <c r="D166" s="156"/>
      <c r="E166" s="156"/>
      <c r="F166" s="156"/>
    </row>
    <row r="167" spans="1:6" x14ac:dyDescent="0.25">
      <c r="A167" s="156"/>
      <c r="B167" s="156"/>
      <c r="C167" s="156"/>
      <c r="D167" s="156"/>
      <c r="E167" s="156"/>
      <c r="F167" s="156"/>
    </row>
    <row r="168" spans="1:6" x14ac:dyDescent="0.25">
      <c r="A168" s="156"/>
      <c r="B168" s="156"/>
      <c r="C168" s="156"/>
      <c r="D168" s="156"/>
      <c r="E168" s="156"/>
      <c r="F168" s="156"/>
    </row>
    <row r="169" spans="1:6" x14ac:dyDescent="0.25">
      <c r="A169" s="156"/>
      <c r="B169" s="156"/>
      <c r="C169" s="156"/>
      <c r="D169" s="156"/>
      <c r="E169" s="156"/>
      <c r="F169" s="156"/>
    </row>
    <row r="170" spans="1:6" x14ac:dyDescent="0.25">
      <c r="A170" s="156"/>
      <c r="B170" s="156"/>
      <c r="C170" s="156"/>
      <c r="D170" s="156"/>
      <c r="E170" s="156"/>
      <c r="F170" s="156"/>
    </row>
    <row r="171" spans="1:6" x14ac:dyDescent="0.25">
      <c r="A171" s="156"/>
      <c r="B171" s="156"/>
      <c r="C171" s="156"/>
      <c r="D171" s="156"/>
      <c r="E171" s="156"/>
      <c r="F171" s="156"/>
    </row>
    <row r="172" spans="1:6" x14ac:dyDescent="0.25">
      <c r="A172" s="156"/>
      <c r="B172" s="156"/>
      <c r="C172" s="156"/>
      <c r="D172" s="156"/>
      <c r="E172" s="156"/>
      <c r="F172" s="156"/>
    </row>
    <row r="173" spans="1:6" x14ac:dyDescent="0.25">
      <c r="A173" s="156"/>
      <c r="B173" s="156"/>
      <c r="C173" s="156"/>
      <c r="D173" s="156"/>
      <c r="E173" s="156"/>
      <c r="F173" s="156"/>
    </row>
    <row r="174" spans="1:6" x14ac:dyDescent="0.25">
      <c r="A174" s="156"/>
      <c r="B174" s="156"/>
      <c r="C174" s="156"/>
      <c r="D174" s="156"/>
      <c r="E174" s="156"/>
      <c r="F174" s="156"/>
    </row>
    <row r="175" spans="1:6" x14ac:dyDescent="0.25">
      <c r="A175" s="156"/>
      <c r="B175" s="156"/>
      <c r="C175" s="156"/>
      <c r="D175" s="156"/>
      <c r="E175" s="156"/>
      <c r="F175" s="156"/>
    </row>
    <row r="176" spans="1:6" x14ac:dyDescent="0.25">
      <c r="A176" s="156"/>
      <c r="B176" s="156"/>
      <c r="C176" s="156"/>
      <c r="D176" s="156"/>
      <c r="E176" s="156"/>
      <c r="F176" s="156"/>
    </row>
    <row r="177" spans="1:6" x14ac:dyDescent="0.25">
      <c r="A177" s="156"/>
      <c r="B177" s="156"/>
      <c r="C177" s="156"/>
      <c r="D177" s="156"/>
      <c r="E177" s="156"/>
      <c r="F177" s="156"/>
    </row>
    <row r="178" spans="1:6" x14ac:dyDescent="0.25">
      <c r="A178" s="156"/>
      <c r="B178" s="156"/>
      <c r="C178" s="156"/>
      <c r="D178" s="156"/>
      <c r="E178" s="156"/>
      <c r="F178" s="156"/>
    </row>
    <row r="179" spans="1:6" x14ac:dyDescent="0.25">
      <c r="A179" s="156"/>
      <c r="B179" s="156"/>
      <c r="C179" s="156"/>
      <c r="D179" s="156"/>
      <c r="E179" s="156"/>
      <c r="F179" s="156"/>
    </row>
    <row r="180" spans="1:6" x14ac:dyDescent="0.25">
      <c r="A180" s="156"/>
      <c r="B180" s="156"/>
      <c r="C180" s="156"/>
      <c r="D180" s="156"/>
      <c r="E180" s="156"/>
      <c r="F180" s="156"/>
    </row>
    <row r="181" spans="1:6" x14ac:dyDescent="0.25">
      <c r="A181" s="156"/>
      <c r="B181" s="156"/>
      <c r="C181" s="156"/>
      <c r="D181" s="156"/>
      <c r="E181" s="156"/>
      <c r="F181" s="156"/>
    </row>
    <row r="182" spans="1:6" x14ac:dyDescent="0.25">
      <c r="A182" s="156"/>
      <c r="B182" s="156"/>
      <c r="C182" s="156"/>
      <c r="D182" s="156"/>
      <c r="E182" s="156"/>
      <c r="F182" s="156"/>
    </row>
    <row r="183" spans="1:6" x14ac:dyDescent="0.25">
      <c r="A183" s="156"/>
      <c r="B183" s="156"/>
      <c r="C183" s="156"/>
      <c r="D183" s="156"/>
      <c r="E183" s="156"/>
      <c r="F183" s="156"/>
    </row>
    <row r="184" spans="1:6" x14ac:dyDescent="0.25">
      <c r="A184" s="156"/>
      <c r="B184" s="156"/>
      <c r="C184" s="156"/>
      <c r="D184" s="156"/>
      <c r="E184" s="156"/>
      <c r="F184" s="156"/>
    </row>
    <row r="185" spans="1:6" x14ac:dyDescent="0.25">
      <c r="A185" s="156"/>
      <c r="B185" s="156"/>
      <c r="C185" s="156"/>
      <c r="D185" s="156"/>
      <c r="E185" s="156"/>
      <c r="F185" s="156"/>
    </row>
    <row r="186" spans="1:6" x14ac:dyDescent="0.25">
      <c r="A186" s="156"/>
      <c r="B186" s="156"/>
      <c r="C186" s="156"/>
      <c r="D186" s="156"/>
      <c r="E186" s="156"/>
      <c r="F186" s="156"/>
    </row>
    <row r="187" spans="1:6" x14ac:dyDescent="0.25">
      <c r="A187" s="156"/>
      <c r="B187" s="156"/>
      <c r="C187" s="156"/>
      <c r="D187" s="156"/>
      <c r="E187" s="156"/>
      <c r="F187" s="156"/>
    </row>
    <row r="188" spans="1:6" x14ac:dyDescent="0.25">
      <c r="A188" s="156"/>
      <c r="B188" s="156"/>
      <c r="C188" s="156"/>
      <c r="D188" s="156"/>
      <c r="E188" s="156"/>
      <c r="F188" s="156"/>
    </row>
    <row r="189" spans="1:6" x14ac:dyDescent="0.25">
      <c r="A189" s="156"/>
      <c r="B189" s="156"/>
      <c r="C189" s="156"/>
      <c r="D189" s="156"/>
      <c r="E189" s="156"/>
      <c r="F189" s="156"/>
    </row>
    <row r="190" spans="1:6" x14ac:dyDescent="0.25">
      <c r="A190" s="156"/>
      <c r="B190" s="156"/>
      <c r="C190" s="156"/>
      <c r="D190" s="156"/>
      <c r="E190" s="156"/>
      <c r="F190" s="156"/>
    </row>
    <row r="191" spans="1:6" x14ac:dyDescent="0.25">
      <c r="A191" s="156"/>
      <c r="B191" s="156"/>
      <c r="C191" s="156"/>
      <c r="D191" s="156"/>
      <c r="E191" s="156"/>
      <c r="F191" s="156"/>
    </row>
    <row r="192" spans="1:6" x14ac:dyDescent="0.25">
      <c r="A192" s="156"/>
      <c r="B192" s="156"/>
      <c r="C192" s="156"/>
      <c r="D192" s="156"/>
      <c r="E192" s="156"/>
      <c r="F192" s="156"/>
    </row>
    <row r="193" spans="1:6" x14ac:dyDescent="0.25">
      <c r="A193" s="156"/>
      <c r="B193" s="156"/>
      <c r="C193" s="156"/>
      <c r="D193" s="156"/>
      <c r="E193" s="156"/>
      <c r="F193" s="156"/>
    </row>
    <row r="194" spans="1:6" x14ac:dyDescent="0.25">
      <c r="A194" s="156"/>
      <c r="B194" s="156"/>
      <c r="C194" s="156"/>
      <c r="D194" s="156"/>
      <c r="E194" s="156"/>
      <c r="F194" s="156"/>
    </row>
    <row r="195" spans="1:6" x14ac:dyDescent="0.25">
      <c r="A195" s="156"/>
      <c r="B195" s="156"/>
      <c r="C195" s="156"/>
      <c r="D195" s="156"/>
      <c r="E195" s="156"/>
      <c r="F195" s="156"/>
    </row>
    <row r="196" spans="1:6" x14ac:dyDescent="0.25">
      <c r="A196" s="156"/>
      <c r="B196" s="156"/>
      <c r="C196" s="156"/>
      <c r="D196" s="156"/>
      <c r="E196" s="156"/>
      <c r="F196" s="156"/>
    </row>
    <row r="197" spans="1:6" x14ac:dyDescent="0.25">
      <c r="A197" s="156"/>
      <c r="B197" s="156"/>
      <c r="C197" s="156"/>
      <c r="D197" s="156"/>
      <c r="E197" s="156"/>
      <c r="F197" s="156"/>
    </row>
    <row r="198" spans="1:6" x14ac:dyDescent="0.25">
      <c r="A198" s="156"/>
      <c r="B198" s="156"/>
      <c r="C198" s="156"/>
      <c r="D198" s="156"/>
      <c r="E198" s="156"/>
      <c r="F198" s="156"/>
    </row>
    <row r="199" spans="1:6" x14ac:dyDescent="0.25">
      <c r="A199" s="156"/>
      <c r="B199" s="156"/>
      <c r="C199" s="156"/>
      <c r="D199" s="156"/>
      <c r="E199" s="156"/>
      <c r="F199" s="156"/>
    </row>
    <row r="200" spans="1:6" x14ac:dyDescent="0.25">
      <c r="A200" s="156"/>
      <c r="B200" s="156"/>
      <c r="C200" s="156"/>
      <c r="D200" s="156"/>
      <c r="E200" s="156"/>
      <c r="F200" s="156"/>
    </row>
    <row r="201" spans="1:6" x14ac:dyDescent="0.25">
      <c r="A201" s="156"/>
      <c r="B201" s="156"/>
      <c r="C201" s="156"/>
      <c r="D201" s="156"/>
      <c r="E201" s="156"/>
      <c r="F201" s="156"/>
    </row>
    <row r="202" spans="1:6" x14ac:dyDescent="0.25">
      <c r="A202" s="156"/>
      <c r="B202" s="156"/>
      <c r="C202" s="156"/>
      <c r="D202" s="156"/>
      <c r="E202" s="156"/>
      <c r="F202" s="156"/>
    </row>
    <row r="203" spans="1:6" x14ac:dyDescent="0.25">
      <c r="A203" s="156"/>
      <c r="B203" s="156"/>
      <c r="C203" s="156"/>
      <c r="D203" s="156"/>
      <c r="E203" s="156"/>
      <c r="F203" s="156"/>
    </row>
    <row r="204" spans="1:6" x14ac:dyDescent="0.25">
      <c r="A204" s="156"/>
      <c r="B204" s="156"/>
      <c r="C204" s="156"/>
      <c r="D204" s="156"/>
      <c r="E204" s="156"/>
      <c r="F204" s="156"/>
    </row>
    <row r="205" spans="1:6" x14ac:dyDescent="0.25">
      <c r="A205" s="156"/>
      <c r="B205" s="156"/>
      <c r="C205" s="156"/>
      <c r="D205" s="156"/>
      <c r="E205" s="156"/>
      <c r="F205" s="156"/>
    </row>
    <row r="206" spans="1:6" x14ac:dyDescent="0.25">
      <c r="A206" s="156"/>
      <c r="B206" s="156"/>
      <c r="C206" s="156"/>
      <c r="D206" s="156"/>
      <c r="E206" s="156"/>
      <c r="F206" s="156"/>
    </row>
    <row r="207" spans="1:6" x14ac:dyDescent="0.25">
      <c r="A207" s="156"/>
      <c r="B207" s="156"/>
      <c r="C207" s="156"/>
      <c r="D207" s="156"/>
      <c r="E207" s="156"/>
      <c r="F207" s="156"/>
    </row>
    <row r="208" spans="1:6" x14ac:dyDescent="0.25">
      <c r="A208" s="156"/>
      <c r="B208" s="156"/>
      <c r="C208" s="156"/>
      <c r="D208" s="156"/>
      <c r="E208" s="156"/>
      <c r="F208" s="156"/>
    </row>
    <row r="209" spans="1:6" x14ac:dyDescent="0.25">
      <c r="A209" s="156"/>
      <c r="B209" s="156"/>
      <c r="C209" s="156"/>
      <c r="D209" s="156"/>
      <c r="E209" s="156"/>
      <c r="F209" s="156"/>
    </row>
    <row r="210" spans="1:6" x14ac:dyDescent="0.25">
      <c r="A210" s="156"/>
      <c r="B210" s="156"/>
      <c r="C210" s="156"/>
      <c r="D210" s="156"/>
      <c r="E210" s="156"/>
      <c r="F210" s="156"/>
    </row>
    <row r="211" spans="1:6" x14ac:dyDescent="0.25">
      <c r="A211" s="156"/>
      <c r="B211" s="156"/>
      <c r="C211" s="156"/>
      <c r="D211" s="156"/>
      <c r="E211" s="156"/>
      <c r="F211" s="156"/>
    </row>
    <row r="212" spans="1:6" x14ac:dyDescent="0.25">
      <c r="A212" s="156"/>
      <c r="B212" s="156"/>
      <c r="C212" s="156"/>
      <c r="D212" s="156"/>
      <c r="E212" s="156"/>
      <c r="F212" s="156"/>
    </row>
    <row r="213" spans="1:6" x14ac:dyDescent="0.25">
      <c r="A213" s="156"/>
      <c r="B213" s="156"/>
      <c r="C213" s="156"/>
      <c r="D213" s="156"/>
      <c r="E213" s="156"/>
      <c r="F213" s="156"/>
    </row>
    <row r="214" spans="1:6" x14ac:dyDescent="0.25">
      <c r="A214" s="156"/>
      <c r="B214" s="156"/>
      <c r="C214" s="156"/>
      <c r="D214" s="156"/>
      <c r="E214" s="156"/>
      <c r="F214" s="156"/>
    </row>
    <row r="215" spans="1:6" x14ac:dyDescent="0.25">
      <c r="A215" s="156"/>
      <c r="B215" s="156"/>
      <c r="C215" s="156"/>
      <c r="D215" s="156"/>
      <c r="E215" s="156"/>
      <c r="F215" s="156"/>
    </row>
    <row r="216" spans="1:6" x14ac:dyDescent="0.25">
      <c r="A216" s="156"/>
      <c r="B216" s="156"/>
      <c r="C216" s="156"/>
      <c r="D216" s="156"/>
      <c r="E216" s="156"/>
      <c r="F216" s="156"/>
    </row>
    <row r="217" spans="1:6" x14ac:dyDescent="0.25">
      <c r="A217" s="156"/>
      <c r="B217" s="156"/>
      <c r="C217" s="156"/>
      <c r="D217" s="156"/>
      <c r="E217" s="156"/>
      <c r="F217" s="156"/>
    </row>
    <row r="218" spans="1:6" x14ac:dyDescent="0.25">
      <c r="A218" s="156"/>
      <c r="B218" s="156"/>
      <c r="C218" s="156"/>
      <c r="D218" s="156"/>
      <c r="E218" s="156"/>
      <c r="F218" s="156"/>
    </row>
    <row r="219" spans="1:6" x14ac:dyDescent="0.25">
      <c r="A219" s="156"/>
      <c r="B219" s="156"/>
      <c r="C219" s="156"/>
      <c r="D219" s="156"/>
      <c r="E219" s="156"/>
      <c r="F219" s="156"/>
    </row>
    <row r="220" spans="1:6" x14ac:dyDescent="0.25">
      <c r="A220" s="156"/>
      <c r="B220" s="156"/>
      <c r="C220" s="156"/>
      <c r="D220" s="156"/>
      <c r="E220" s="156"/>
      <c r="F220" s="156"/>
    </row>
    <row r="221" spans="1:6" x14ac:dyDescent="0.25">
      <c r="A221" s="156"/>
      <c r="B221" s="156"/>
      <c r="C221" s="156"/>
      <c r="D221" s="156"/>
      <c r="E221" s="156"/>
      <c r="F221" s="156"/>
    </row>
    <row r="222" spans="1:6" x14ac:dyDescent="0.25">
      <c r="A222" s="156"/>
      <c r="B222" s="156"/>
      <c r="C222" s="156"/>
      <c r="D222" s="156"/>
      <c r="E222" s="156"/>
      <c r="F222" s="156"/>
    </row>
    <row r="223" spans="1:6" x14ac:dyDescent="0.25">
      <c r="A223" s="156"/>
      <c r="B223" s="156"/>
      <c r="C223" s="156"/>
      <c r="D223" s="156"/>
      <c r="E223" s="156"/>
      <c r="F223" s="156"/>
    </row>
    <row r="224" spans="1:6" x14ac:dyDescent="0.25">
      <c r="A224" s="156"/>
      <c r="B224" s="156"/>
      <c r="C224" s="156"/>
      <c r="D224" s="156"/>
      <c r="E224" s="156"/>
      <c r="F224" s="156"/>
    </row>
    <row r="225" spans="1:6" x14ac:dyDescent="0.25">
      <c r="A225" s="156"/>
      <c r="B225" s="156"/>
      <c r="C225" s="156"/>
      <c r="D225" s="156"/>
      <c r="E225" s="156"/>
      <c r="F225" s="156"/>
    </row>
    <row r="226" spans="1:6" x14ac:dyDescent="0.25">
      <c r="A226" s="156"/>
      <c r="B226" s="156"/>
      <c r="C226" s="156"/>
      <c r="D226" s="156"/>
      <c r="E226" s="156"/>
      <c r="F226" s="156"/>
    </row>
    <row r="227" spans="1:6" x14ac:dyDescent="0.25">
      <c r="A227" s="156"/>
      <c r="B227" s="156"/>
      <c r="C227" s="156"/>
      <c r="D227" s="156"/>
      <c r="E227" s="156"/>
      <c r="F227" s="156"/>
    </row>
    <row r="228" spans="1:6" x14ac:dyDescent="0.25">
      <c r="A228" s="156"/>
      <c r="B228" s="156"/>
      <c r="C228" s="156"/>
      <c r="D228" s="156"/>
      <c r="E228" s="156"/>
      <c r="F228" s="156"/>
    </row>
    <row r="229" spans="1:6" x14ac:dyDescent="0.25">
      <c r="A229" s="156"/>
      <c r="B229" s="156"/>
      <c r="C229" s="156"/>
      <c r="D229" s="156"/>
      <c r="E229" s="156"/>
      <c r="F229" s="156"/>
    </row>
    <row r="230" spans="1:6" x14ac:dyDescent="0.25">
      <c r="A230" s="156"/>
      <c r="B230" s="156"/>
      <c r="C230" s="156"/>
      <c r="D230" s="156"/>
      <c r="E230" s="156"/>
      <c r="F230" s="156"/>
    </row>
    <row r="231" spans="1:6" x14ac:dyDescent="0.25">
      <c r="A231" s="156"/>
      <c r="B231" s="156"/>
      <c r="C231" s="156"/>
      <c r="D231" s="156"/>
      <c r="E231" s="156"/>
      <c r="F231" s="156"/>
    </row>
    <row r="232" spans="1:6" x14ac:dyDescent="0.25">
      <c r="A232" s="156"/>
      <c r="B232" s="156"/>
      <c r="C232" s="156"/>
      <c r="D232" s="156"/>
      <c r="E232" s="156"/>
      <c r="F232" s="156"/>
    </row>
    <row r="233" spans="1:6" x14ac:dyDescent="0.25">
      <c r="A233" s="156"/>
      <c r="B233" s="156"/>
      <c r="C233" s="156"/>
      <c r="D233" s="156"/>
      <c r="E233" s="156"/>
      <c r="F233" s="156"/>
    </row>
    <row r="234" spans="1:6" x14ac:dyDescent="0.25">
      <c r="A234" s="156"/>
      <c r="B234" s="156"/>
      <c r="C234" s="156"/>
      <c r="D234" s="156"/>
      <c r="E234" s="156"/>
      <c r="F234" s="156"/>
    </row>
    <row r="235" spans="1:6" x14ac:dyDescent="0.25">
      <c r="A235" s="156"/>
      <c r="B235" s="156"/>
      <c r="C235" s="156"/>
      <c r="D235" s="156"/>
      <c r="E235" s="156"/>
      <c r="F235" s="156"/>
    </row>
    <row r="236" spans="1:6" x14ac:dyDescent="0.25">
      <c r="A236" s="156"/>
      <c r="B236" s="156"/>
      <c r="C236" s="156"/>
      <c r="D236" s="156"/>
      <c r="E236" s="156"/>
      <c r="F236" s="156"/>
    </row>
    <row r="237" spans="1:6" x14ac:dyDescent="0.25">
      <c r="A237" s="156"/>
      <c r="B237" s="156"/>
      <c r="C237" s="156"/>
      <c r="D237" s="156"/>
      <c r="E237" s="156"/>
      <c r="F237" s="156"/>
    </row>
    <row r="238" spans="1:6" x14ac:dyDescent="0.25">
      <c r="A238" s="156"/>
      <c r="B238" s="156"/>
      <c r="C238" s="156"/>
      <c r="D238" s="156"/>
      <c r="E238" s="156"/>
      <c r="F238" s="156"/>
    </row>
    <row r="239" spans="1:6" x14ac:dyDescent="0.25">
      <c r="A239" s="156"/>
      <c r="B239" s="156"/>
      <c r="C239" s="156"/>
      <c r="D239" s="156"/>
      <c r="E239" s="156"/>
      <c r="F239" s="156"/>
    </row>
    <row r="240" spans="1:6" x14ac:dyDescent="0.25">
      <c r="A240" s="156"/>
      <c r="B240" s="156"/>
      <c r="C240" s="156"/>
      <c r="D240" s="156"/>
      <c r="E240" s="156"/>
      <c r="F240" s="156"/>
    </row>
    <row r="241" spans="1:6" x14ac:dyDescent="0.25">
      <c r="A241" s="156"/>
      <c r="B241" s="156"/>
      <c r="C241" s="156"/>
      <c r="D241" s="156"/>
      <c r="E241" s="156"/>
      <c r="F241" s="156"/>
    </row>
    <row r="242" spans="1:6" x14ac:dyDescent="0.25">
      <c r="A242" s="156"/>
      <c r="B242" s="156"/>
      <c r="C242" s="156"/>
      <c r="D242" s="156"/>
      <c r="E242" s="156"/>
      <c r="F242" s="156"/>
    </row>
    <row r="243" spans="1:6" x14ac:dyDescent="0.25">
      <c r="A243" s="156"/>
      <c r="B243" s="156"/>
      <c r="C243" s="156"/>
      <c r="D243" s="156"/>
      <c r="E243" s="156"/>
      <c r="F243" s="156"/>
    </row>
    <row r="244" spans="1:6" x14ac:dyDescent="0.25">
      <c r="A244" s="156"/>
      <c r="B244" s="156"/>
      <c r="C244" s="156"/>
      <c r="D244" s="156"/>
      <c r="E244" s="156"/>
      <c r="F244" s="156"/>
    </row>
    <row r="245" spans="1:6" x14ac:dyDescent="0.25">
      <c r="A245" s="156"/>
      <c r="B245" s="156"/>
      <c r="C245" s="156"/>
      <c r="D245" s="156"/>
      <c r="E245" s="156"/>
      <c r="F245" s="156"/>
    </row>
    <row r="246" spans="1:6" x14ac:dyDescent="0.25">
      <c r="A246" s="156"/>
      <c r="B246" s="156"/>
      <c r="C246" s="156"/>
      <c r="D246" s="156"/>
      <c r="E246" s="156"/>
      <c r="F246" s="156"/>
    </row>
    <row r="247" spans="1:6" x14ac:dyDescent="0.25">
      <c r="A247" s="156"/>
      <c r="B247" s="156"/>
      <c r="C247" s="156"/>
      <c r="D247" s="156"/>
      <c r="E247" s="156"/>
      <c r="F247" s="156"/>
    </row>
    <row r="248" spans="1:6" x14ac:dyDescent="0.25">
      <c r="A248" s="156"/>
      <c r="B248" s="156"/>
      <c r="C248" s="156"/>
      <c r="D248" s="156"/>
      <c r="E248" s="156"/>
      <c r="F248" s="156"/>
    </row>
    <row r="249" spans="1:6" x14ac:dyDescent="0.25">
      <c r="A249" s="156"/>
      <c r="B249" s="156"/>
      <c r="C249" s="156"/>
      <c r="D249" s="156"/>
      <c r="E249" s="156"/>
      <c r="F249" s="156"/>
    </row>
    <row r="250" spans="1:6" x14ac:dyDescent="0.25">
      <c r="A250" s="156"/>
      <c r="B250" s="156"/>
      <c r="C250" s="156"/>
      <c r="D250" s="156"/>
      <c r="E250" s="156"/>
      <c r="F250" s="156"/>
    </row>
    <row r="251" spans="1:6" x14ac:dyDescent="0.25">
      <c r="A251" s="156"/>
      <c r="B251" s="156"/>
      <c r="C251" s="156"/>
      <c r="D251" s="156"/>
      <c r="E251" s="156"/>
      <c r="F251" s="156"/>
    </row>
    <row r="252" spans="1:6" x14ac:dyDescent="0.25">
      <c r="A252" s="156"/>
      <c r="B252" s="156"/>
      <c r="C252" s="156"/>
      <c r="D252" s="156"/>
      <c r="E252" s="156"/>
      <c r="F252" s="156"/>
    </row>
    <row r="253" spans="1:6" x14ac:dyDescent="0.25">
      <c r="A253" s="156"/>
      <c r="B253" s="156"/>
      <c r="C253" s="156"/>
      <c r="D253" s="156"/>
      <c r="E253" s="156"/>
      <c r="F253" s="156"/>
    </row>
    <row r="254" spans="1:6" x14ac:dyDescent="0.25">
      <c r="A254" s="156"/>
      <c r="B254" s="156"/>
      <c r="C254" s="156"/>
      <c r="D254" s="156"/>
      <c r="E254" s="156"/>
      <c r="F254" s="156"/>
    </row>
    <row r="255" spans="1:6" x14ac:dyDescent="0.25">
      <c r="A255" s="156"/>
      <c r="B255" s="156"/>
      <c r="C255" s="156"/>
      <c r="D255" s="156"/>
      <c r="E255" s="156"/>
      <c r="F255" s="156"/>
    </row>
    <row r="256" spans="1:6" x14ac:dyDescent="0.25">
      <c r="A256" s="156"/>
      <c r="B256" s="156"/>
      <c r="C256" s="156"/>
      <c r="D256" s="156"/>
      <c r="E256" s="156"/>
      <c r="F256" s="156"/>
    </row>
    <row r="257" spans="1:6" x14ac:dyDescent="0.25">
      <c r="A257" s="156"/>
      <c r="B257" s="156"/>
      <c r="C257" s="156"/>
      <c r="D257" s="156"/>
      <c r="E257" s="156"/>
      <c r="F257" s="156"/>
    </row>
    <row r="258" spans="1:6" x14ac:dyDescent="0.25">
      <c r="A258" s="156"/>
      <c r="B258" s="156"/>
      <c r="C258" s="156"/>
      <c r="D258" s="156"/>
      <c r="E258" s="156"/>
      <c r="F258" s="156"/>
    </row>
    <row r="259" spans="1:6" x14ac:dyDescent="0.25">
      <c r="A259" s="156"/>
      <c r="B259" s="156"/>
      <c r="C259" s="156"/>
      <c r="D259" s="156"/>
      <c r="E259" s="156"/>
      <c r="F259" s="156"/>
    </row>
    <row r="260" spans="1:6" x14ac:dyDescent="0.25">
      <c r="A260" s="156"/>
      <c r="B260" s="156"/>
      <c r="C260" s="156"/>
      <c r="D260" s="156"/>
      <c r="E260" s="156"/>
      <c r="F260" s="156"/>
    </row>
    <row r="261" spans="1:6" x14ac:dyDescent="0.25">
      <c r="A261" s="156"/>
      <c r="B261" s="156"/>
      <c r="C261" s="156"/>
      <c r="D261" s="156"/>
      <c r="E261" s="156"/>
      <c r="F261" s="156"/>
    </row>
    <row r="262" spans="1:6" x14ac:dyDescent="0.25">
      <c r="A262" s="156"/>
      <c r="B262" s="156"/>
      <c r="C262" s="156"/>
      <c r="D262" s="156"/>
      <c r="E262" s="156"/>
      <c r="F262" s="156"/>
    </row>
    <row r="263" spans="1:6" x14ac:dyDescent="0.25">
      <c r="A263" s="156"/>
      <c r="B263" s="156"/>
      <c r="C263" s="156"/>
      <c r="D263" s="156"/>
      <c r="E263" s="156"/>
      <c r="F263" s="156"/>
    </row>
    <row r="264" spans="1:6" x14ac:dyDescent="0.25">
      <c r="A264" s="156"/>
      <c r="B264" s="156"/>
      <c r="C264" s="156"/>
      <c r="D264" s="156"/>
      <c r="E264" s="156"/>
      <c r="F264" s="156"/>
    </row>
    <row r="265" spans="1:6" x14ac:dyDescent="0.25">
      <c r="A265" s="156"/>
      <c r="B265" s="156"/>
      <c r="C265" s="156"/>
      <c r="D265" s="156"/>
      <c r="E265" s="156"/>
      <c r="F265" s="156"/>
    </row>
    <row r="266" spans="1:6" x14ac:dyDescent="0.25">
      <c r="A266" s="156"/>
      <c r="B266" s="156"/>
      <c r="C266" s="156"/>
      <c r="D266" s="156"/>
      <c r="E266" s="156"/>
      <c r="F266" s="156"/>
    </row>
    <row r="267" spans="1:6" x14ac:dyDescent="0.25">
      <c r="A267" s="156"/>
      <c r="B267" s="156"/>
      <c r="C267" s="156"/>
      <c r="D267" s="156"/>
      <c r="E267" s="156"/>
      <c r="F267" s="156"/>
    </row>
    <row r="268" spans="1:6" x14ac:dyDescent="0.25">
      <c r="A268" s="156"/>
      <c r="B268" s="156"/>
      <c r="C268" s="156"/>
      <c r="D268" s="156"/>
      <c r="E268" s="156"/>
      <c r="F268" s="156"/>
    </row>
    <row r="269" spans="1:6" x14ac:dyDescent="0.25">
      <c r="A269" s="156"/>
      <c r="B269" s="156"/>
      <c r="C269" s="156"/>
      <c r="D269" s="156"/>
      <c r="E269" s="156"/>
      <c r="F269" s="156"/>
    </row>
    <row r="270" spans="1:6" x14ac:dyDescent="0.25">
      <c r="A270" s="156"/>
      <c r="B270" s="156"/>
      <c r="C270" s="156"/>
      <c r="D270" s="156"/>
      <c r="E270" s="156"/>
      <c r="F270" s="156"/>
    </row>
    <row r="271" spans="1:6" x14ac:dyDescent="0.25">
      <c r="A271" s="156"/>
      <c r="B271" s="156"/>
      <c r="C271" s="156"/>
      <c r="D271" s="156"/>
      <c r="E271" s="156"/>
      <c r="F271" s="156"/>
    </row>
    <row r="272" spans="1:6" x14ac:dyDescent="0.25">
      <c r="A272" s="156"/>
      <c r="B272" s="156"/>
      <c r="C272" s="156"/>
      <c r="D272" s="156"/>
      <c r="E272" s="156"/>
      <c r="F272" s="156"/>
    </row>
    <row r="273" spans="1:6" x14ac:dyDescent="0.25">
      <c r="A273" s="156"/>
      <c r="B273" s="156"/>
      <c r="C273" s="156"/>
      <c r="D273" s="156"/>
      <c r="E273" s="156"/>
      <c r="F273" s="156"/>
    </row>
    <row r="274" spans="1:6" x14ac:dyDescent="0.25">
      <c r="A274" s="156"/>
      <c r="B274" s="156"/>
      <c r="C274" s="156"/>
      <c r="D274" s="156"/>
      <c r="E274" s="156"/>
      <c r="F274" s="156"/>
    </row>
    <row r="275" spans="1:6" x14ac:dyDescent="0.25">
      <c r="A275" s="156"/>
      <c r="B275" s="156"/>
      <c r="C275" s="156"/>
      <c r="D275" s="156"/>
      <c r="E275" s="156"/>
      <c r="F275" s="156"/>
    </row>
    <row r="276" spans="1:6" x14ac:dyDescent="0.25">
      <c r="A276" s="156"/>
      <c r="B276" s="156"/>
      <c r="C276" s="156"/>
      <c r="D276" s="156"/>
      <c r="E276" s="156"/>
      <c r="F276" s="156"/>
    </row>
    <row r="277" spans="1:6" x14ac:dyDescent="0.25">
      <c r="A277" s="156"/>
      <c r="B277" s="156"/>
      <c r="C277" s="156"/>
      <c r="D277" s="156"/>
      <c r="E277" s="156"/>
      <c r="F277" s="156"/>
    </row>
    <row r="278" spans="1:6" x14ac:dyDescent="0.25">
      <c r="A278" s="156"/>
      <c r="B278" s="156"/>
      <c r="C278" s="156"/>
      <c r="D278" s="156"/>
      <c r="E278" s="156"/>
      <c r="F278" s="156"/>
    </row>
    <row r="279" spans="1:6" x14ac:dyDescent="0.25">
      <c r="A279" s="156"/>
      <c r="B279" s="156"/>
      <c r="C279" s="156"/>
      <c r="D279" s="156"/>
      <c r="E279" s="156"/>
      <c r="F279" s="156"/>
    </row>
    <row r="280" spans="1:6" x14ac:dyDescent="0.25">
      <c r="A280" s="156"/>
      <c r="B280" s="156"/>
      <c r="C280" s="156"/>
      <c r="D280" s="156"/>
      <c r="E280" s="156"/>
      <c r="F280" s="156"/>
    </row>
    <row r="281" spans="1:6" x14ac:dyDescent="0.25">
      <c r="A281" s="156"/>
      <c r="B281" s="156"/>
      <c r="C281" s="156"/>
      <c r="D281" s="156"/>
      <c r="E281" s="156"/>
      <c r="F281" s="156"/>
    </row>
    <row r="282" spans="1:6" x14ac:dyDescent="0.25">
      <c r="A282" s="156"/>
      <c r="B282" s="156"/>
      <c r="C282" s="156"/>
      <c r="D282" s="156"/>
      <c r="E282" s="156"/>
      <c r="F282" s="156"/>
    </row>
    <row r="283" spans="1:6" x14ac:dyDescent="0.25">
      <c r="A283" s="156"/>
      <c r="B283" s="156"/>
      <c r="C283" s="156"/>
      <c r="D283" s="156"/>
      <c r="E283" s="156"/>
      <c r="F283" s="156"/>
    </row>
    <row r="284" spans="1:6" x14ac:dyDescent="0.25">
      <c r="A284" s="156"/>
      <c r="B284" s="156"/>
      <c r="C284" s="156"/>
      <c r="D284" s="156"/>
      <c r="E284" s="156"/>
      <c r="F284" s="156"/>
    </row>
    <row r="285" spans="1:6" x14ac:dyDescent="0.25">
      <c r="A285" s="156"/>
      <c r="B285" s="156"/>
      <c r="C285" s="156"/>
      <c r="D285" s="156"/>
      <c r="E285" s="156"/>
      <c r="F285" s="156"/>
    </row>
    <row r="286" spans="1:6" x14ac:dyDescent="0.25">
      <c r="A286" s="156"/>
      <c r="B286" s="156"/>
      <c r="C286" s="156"/>
      <c r="D286" s="156"/>
      <c r="E286" s="156"/>
      <c r="F286" s="156"/>
    </row>
    <row r="287" spans="1:6" x14ac:dyDescent="0.25">
      <c r="A287" s="156"/>
      <c r="B287" s="156"/>
      <c r="C287" s="156"/>
      <c r="D287" s="156"/>
      <c r="E287" s="156"/>
      <c r="F287" s="156"/>
    </row>
    <row r="288" spans="1:6" x14ac:dyDescent="0.25">
      <c r="A288" s="156"/>
      <c r="B288" s="156"/>
      <c r="C288" s="156"/>
      <c r="D288" s="156"/>
      <c r="E288" s="156"/>
      <c r="F288" s="156"/>
    </row>
    <row r="289" spans="1:6" x14ac:dyDescent="0.25">
      <c r="A289" s="156"/>
      <c r="B289" s="156"/>
      <c r="C289" s="156"/>
      <c r="D289" s="156"/>
      <c r="E289" s="156"/>
      <c r="F289" s="156"/>
    </row>
    <row r="290" spans="1:6" x14ac:dyDescent="0.25">
      <c r="A290" s="156"/>
      <c r="B290" s="156"/>
      <c r="C290" s="156"/>
      <c r="D290" s="156"/>
      <c r="E290" s="156"/>
      <c r="F290" s="156"/>
    </row>
    <row r="291" spans="1:6" x14ac:dyDescent="0.25">
      <c r="A291" s="156"/>
      <c r="B291" s="156"/>
      <c r="C291" s="156"/>
      <c r="D291" s="156"/>
      <c r="E291" s="156"/>
      <c r="F291" s="156"/>
    </row>
    <row r="292" spans="1:6" x14ac:dyDescent="0.25">
      <c r="A292" s="156"/>
      <c r="B292" s="156"/>
      <c r="C292" s="156"/>
      <c r="D292" s="156"/>
      <c r="E292" s="156"/>
      <c r="F292" s="156"/>
    </row>
    <row r="293" spans="1:6" x14ac:dyDescent="0.25">
      <c r="A293" s="156"/>
      <c r="B293" s="156"/>
      <c r="C293" s="156"/>
      <c r="D293" s="156"/>
      <c r="E293" s="156"/>
      <c r="F293" s="156"/>
    </row>
    <row r="294" spans="1:6" x14ac:dyDescent="0.25">
      <c r="A294" s="156"/>
      <c r="B294" s="156"/>
      <c r="C294" s="156"/>
      <c r="D294" s="156"/>
      <c r="E294" s="156"/>
      <c r="F294" s="156"/>
    </row>
    <row r="295" spans="1:6" x14ac:dyDescent="0.25">
      <c r="A295" s="156"/>
      <c r="B295" s="156"/>
      <c r="C295" s="156"/>
      <c r="D295" s="156"/>
      <c r="E295" s="156"/>
      <c r="F295" s="156"/>
    </row>
    <row r="296" spans="1:6" x14ac:dyDescent="0.25">
      <c r="A296" s="156"/>
      <c r="B296" s="156"/>
      <c r="C296" s="156"/>
      <c r="D296" s="156"/>
      <c r="E296" s="156"/>
      <c r="F296" s="156"/>
    </row>
    <row r="297" spans="1:6" x14ac:dyDescent="0.25">
      <c r="A297" s="156"/>
      <c r="B297" s="156"/>
      <c r="C297" s="156"/>
      <c r="D297" s="156"/>
      <c r="E297" s="156"/>
      <c r="F297" s="156"/>
    </row>
    <row r="298" spans="1:6" x14ac:dyDescent="0.25">
      <c r="A298" s="156"/>
      <c r="B298" s="156"/>
      <c r="C298" s="156"/>
      <c r="D298" s="156"/>
      <c r="E298" s="156"/>
      <c r="F298" s="156"/>
    </row>
    <row r="299" spans="1:6" x14ac:dyDescent="0.25">
      <c r="A299" s="156"/>
      <c r="B299" s="156"/>
      <c r="C299" s="156"/>
      <c r="D299" s="156"/>
      <c r="E299" s="156"/>
      <c r="F299" s="156"/>
    </row>
    <row r="300" spans="1:6" x14ac:dyDescent="0.25">
      <c r="A300" s="156"/>
      <c r="B300" s="156"/>
      <c r="C300" s="156"/>
      <c r="D300" s="156"/>
      <c r="E300" s="156"/>
      <c r="F300" s="156"/>
    </row>
    <row r="301" spans="1:6" x14ac:dyDescent="0.25">
      <c r="A301" s="156"/>
      <c r="B301" s="156"/>
      <c r="C301" s="156"/>
      <c r="D301" s="156"/>
      <c r="E301" s="156"/>
      <c r="F301" s="156"/>
    </row>
    <row r="302" spans="1:6" x14ac:dyDescent="0.25">
      <c r="A302" s="156"/>
      <c r="B302" s="156"/>
      <c r="C302" s="156"/>
      <c r="D302" s="156"/>
      <c r="E302" s="156"/>
      <c r="F302" s="156"/>
    </row>
    <row r="303" spans="1:6" x14ac:dyDescent="0.25">
      <c r="A303" s="156"/>
      <c r="B303" s="156"/>
      <c r="C303" s="156"/>
      <c r="D303" s="156"/>
      <c r="E303" s="156"/>
      <c r="F303" s="156"/>
    </row>
    <row r="304" spans="1:6" x14ac:dyDescent="0.25">
      <c r="A304" s="156"/>
      <c r="B304" s="156"/>
      <c r="C304" s="156"/>
      <c r="D304" s="156"/>
      <c r="E304" s="156"/>
      <c r="F304" s="156"/>
    </row>
    <row r="305" spans="1:6" x14ac:dyDescent="0.25">
      <c r="A305" s="156"/>
      <c r="B305" s="156"/>
      <c r="C305" s="156"/>
      <c r="D305" s="156"/>
      <c r="E305" s="156"/>
      <c r="F305" s="156"/>
    </row>
    <row r="306" spans="1:6" x14ac:dyDescent="0.25">
      <c r="A306" s="156"/>
      <c r="B306" s="156"/>
      <c r="C306" s="156"/>
      <c r="D306" s="156"/>
      <c r="E306" s="156"/>
      <c r="F306" s="156"/>
    </row>
    <row r="307" spans="1:6" x14ac:dyDescent="0.25">
      <c r="A307" s="156"/>
      <c r="B307" s="156"/>
      <c r="C307" s="156"/>
      <c r="D307" s="156"/>
      <c r="E307" s="156"/>
      <c r="F307" s="156"/>
    </row>
    <row r="308" spans="1:6" x14ac:dyDescent="0.25">
      <c r="A308" s="156"/>
      <c r="B308" s="156"/>
      <c r="C308" s="156"/>
      <c r="D308" s="156"/>
      <c r="E308" s="156"/>
      <c r="F308" s="156"/>
    </row>
    <row r="309" spans="1:6" x14ac:dyDescent="0.25">
      <c r="A309" s="156"/>
      <c r="B309" s="156"/>
      <c r="C309" s="156"/>
      <c r="D309" s="156"/>
      <c r="E309" s="156"/>
      <c r="F309" s="156"/>
    </row>
    <row r="310" spans="1:6" x14ac:dyDescent="0.25">
      <c r="A310" s="156"/>
      <c r="B310" s="156"/>
      <c r="C310" s="156"/>
      <c r="D310" s="156"/>
      <c r="E310" s="156"/>
      <c r="F310" s="156"/>
    </row>
    <row r="311" spans="1:6" x14ac:dyDescent="0.25">
      <c r="A311" s="156"/>
      <c r="B311" s="156"/>
      <c r="C311" s="156"/>
      <c r="D311" s="156"/>
      <c r="E311" s="156"/>
      <c r="F311" s="156"/>
    </row>
    <row r="312" spans="1:6" x14ac:dyDescent="0.25">
      <c r="A312" s="156"/>
      <c r="B312" s="156"/>
      <c r="C312" s="156"/>
      <c r="D312" s="156"/>
      <c r="E312" s="156"/>
      <c r="F312" s="156"/>
    </row>
    <row r="313" spans="1:6" x14ac:dyDescent="0.25">
      <c r="A313" s="156"/>
      <c r="B313" s="156"/>
      <c r="C313" s="156"/>
      <c r="D313" s="156"/>
      <c r="E313" s="156"/>
      <c r="F313" s="156"/>
    </row>
    <row r="314" spans="1:6" x14ac:dyDescent="0.25">
      <c r="A314" s="156"/>
      <c r="B314" s="156"/>
      <c r="C314" s="156"/>
      <c r="D314" s="156"/>
      <c r="E314" s="156"/>
      <c r="F314" s="156"/>
    </row>
    <row r="315" spans="1:6" x14ac:dyDescent="0.25">
      <c r="A315" s="156"/>
      <c r="B315" s="156"/>
      <c r="C315" s="156"/>
      <c r="D315" s="156"/>
      <c r="E315" s="156"/>
      <c r="F315" s="156"/>
    </row>
    <row r="316" spans="1:6" x14ac:dyDescent="0.25">
      <c r="A316" s="156"/>
      <c r="B316" s="156"/>
      <c r="C316" s="156"/>
      <c r="D316" s="156"/>
      <c r="E316" s="156"/>
      <c r="F316" s="156"/>
    </row>
    <row r="317" spans="1:6" x14ac:dyDescent="0.25">
      <c r="A317" s="156"/>
      <c r="B317" s="156"/>
      <c r="C317" s="156"/>
      <c r="D317" s="156"/>
      <c r="E317" s="156"/>
      <c r="F317" s="156"/>
    </row>
    <row r="318" spans="1:6" x14ac:dyDescent="0.25">
      <c r="A318" s="156"/>
      <c r="B318" s="156"/>
      <c r="C318" s="156"/>
      <c r="D318" s="156"/>
      <c r="E318" s="156"/>
      <c r="F318" s="156"/>
    </row>
    <row r="319" spans="1:6" x14ac:dyDescent="0.25">
      <c r="A319" s="156"/>
      <c r="B319" s="156"/>
      <c r="C319" s="156"/>
      <c r="D319" s="156"/>
      <c r="E319" s="156"/>
      <c r="F319" s="156"/>
    </row>
    <row r="320" spans="1:6" x14ac:dyDescent="0.25">
      <c r="A320" s="156"/>
      <c r="B320" s="156"/>
      <c r="C320" s="156"/>
      <c r="D320" s="156"/>
      <c r="E320" s="156"/>
      <c r="F320" s="156"/>
    </row>
    <row r="321" spans="1:6" x14ac:dyDescent="0.25">
      <c r="A321" s="156"/>
      <c r="B321" s="156"/>
      <c r="C321" s="156"/>
      <c r="D321" s="156"/>
      <c r="E321" s="156"/>
      <c r="F321" s="156"/>
    </row>
    <row r="322" spans="1:6" x14ac:dyDescent="0.25">
      <c r="A322" s="156"/>
      <c r="B322" s="156"/>
      <c r="C322" s="156"/>
      <c r="D322" s="156"/>
      <c r="E322" s="156"/>
      <c r="F322" s="156"/>
    </row>
    <row r="323" spans="1:6" x14ac:dyDescent="0.25">
      <c r="A323" s="156"/>
      <c r="B323" s="156"/>
      <c r="C323" s="156"/>
      <c r="D323" s="156"/>
      <c r="E323" s="156"/>
      <c r="F323" s="156"/>
    </row>
    <row r="324" spans="1:6" x14ac:dyDescent="0.25">
      <c r="A324" s="156"/>
      <c r="B324" s="156"/>
      <c r="C324" s="156"/>
      <c r="D324" s="156"/>
      <c r="E324" s="156"/>
      <c r="F324" s="156"/>
    </row>
    <row r="325" spans="1:6" x14ac:dyDescent="0.25">
      <c r="A325" s="156"/>
      <c r="B325" s="156"/>
      <c r="C325" s="156"/>
      <c r="D325" s="156"/>
      <c r="E325" s="156"/>
      <c r="F325" s="156"/>
    </row>
    <row r="326" spans="1:6" x14ac:dyDescent="0.25">
      <c r="A326" s="156"/>
      <c r="B326" s="156"/>
      <c r="C326" s="156"/>
      <c r="D326" s="156"/>
      <c r="E326" s="156"/>
      <c r="F326" s="156"/>
    </row>
    <row r="327" spans="1:6" x14ac:dyDescent="0.25">
      <c r="A327" s="156"/>
      <c r="B327" s="156"/>
      <c r="C327" s="156"/>
      <c r="D327" s="156"/>
      <c r="E327" s="156"/>
      <c r="F327" s="156"/>
    </row>
    <row r="328" spans="1:6" x14ac:dyDescent="0.25">
      <c r="A328" s="156"/>
      <c r="B328" s="156"/>
      <c r="C328" s="156"/>
      <c r="D328" s="156"/>
      <c r="E328" s="156"/>
      <c r="F328" s="156"/>
    </row>
    <row r="329" spans="1:6" x14ac:dyDescent="0.25">
      <c r="A329" s="156"/>
      <c r="B329" s="156"/>
      <c r="C329" s="156"/>
      <c r="D329" s="156"/>
      <c r="E329" s="156"/>
      <c r="F329" s="1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74"/>
  <sheetViews>
    <sheetView zoomScale="55" zoomScaleNormal="55" workbookViewId="0">
      <selection activeCell="A42" sqref="A42:XFD42"/>
    </sheetView>
  </sheetViews>
  <sheetFormatPr defaultRowHeight="15" x14ac:dyDescent="0.25"/>
  <sheetData>
    <row r="1" spans="1:34" x14ac:dyDescent="0.25">
      <c r="A1" s="216" t="s">
        <v>1</v>
      </c>
      <c r="B1" s="216" t="s">
        <v>6</v>
      </c>
      <c r="C1" s="216" t="s">
        <v>60</v>
      </c>
      <c r="D1" s="216" t="s">
        <v>61</v>
      </c>
      <c r="E1" s="216" t="s">
        <v>62</v>
      </c>
      <c r="F1" s="216" t="s">
        <v>63</v>
      </c>
      <c r="G1" s="216" t="s">
        <v>83</v>
      </c>
      <c r="H1" s="216" t="s">
        <v>84</v>
      </c>
      <c r="I1" s="216" t="s">
        <v>85</v>
      </c>
      <c r="J1" s="216" t="s">
        <v>24</v>
      </c>
      <c r="K1" s="216" t="s">
        <v>25</v>
      </c>
      <c r="L1" s="216" t="s">
        <v>64</v>
      </c>
      <c r="M1" s="216" t="s">
        <v>26</v>
      </c>
      <c r="N1" s="216" t="s">
        <v>65</v>
      </c>
      <c r="O1" s="216" t="s">
        <v>66</v>
      </c>
      <c r="P1" s="216" t="s">
        <v>67</v>
      </c>
      <c r="Q1" s="216" t="s">
        <v>86</v>
      </c>
      <c r="R1" s="216" t="s">
        <v>46</v>
      </c>
      <c r="S1" s="216" t="s">
        <v>47</v>
      </c>
      <c r="T1" s="216" t="s">
        <v>48</v>
      </c>
      <c r="U1" s="216" t="s">
        <v>49</v>
      </c>
      <c r="V1" s="216" t="s">
        <v>50</v>
      </c>
      <c r="W1" s="216" t="s">
        <v>51</v>
      </c>
      <c r="X1" s="216" t="s">
        <v>52</v>
      </c>
      <c r="Y1" s="216" t="s">
        <v>53</v>
      </c>
      <c r="Z1" s="216" t="s">
        <v>54</v>
      </c>
      <c r="AA1" s="216" t="s">
        <v>55</v>
      </c>
      <c r="AB1" s="216" t="s">
        <v>56</v>
      </c>
      <c r="AC1" s="216" t="s">
        <v>57</v>
      </c>
      <c r="AD1" s="216" t="s">
        <v>58</v>
      </c>
      <c r="AE1" s="216" t="s">
        <v>59</v>
      </c>
      <c r="AF1" s="216" t="s">
        <v>639</v>
      </c>
      <c r="AG1" s="216" t="s">
        <v>666</v>
      </c>
      <c r="AH1" s="216" t="s">
        <v>2</v>
      </c>
    </row>
    <row r="2" spans="1:34" x14ac:dyDescent="0.25">
      <c r="A2" s="217">
        <v>1</v>
      </c>
      <c r="B2" s="218" t="s">
        <v>80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 t="s">
        <v>26</v>
      </c>
      <c r="Q2" s="218" t="s">
        <v>26</v>
      </c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9">
        <v>22</v>
      </c>
    </row>
    <row r="3" spans="1:34" x14ac:dyDescent="0.25">
      <c r="A3" s="217">
        <v>2</v>
      </c>
      <c r="B3" s="218" t="s">
        <v>10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 t="s">
        <v>26</v>
      </c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9">
        <v>11</v>
      </c>
    </row>
    <row r="4" spans="1:34" x14ac:dyDescent="0.25">
      <c r="A4" s="217">
        <v>3</v>
      </c>
      <c r="B4" s="218" t="s">
        <v>11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7">
        <v>0</v>
      </c>
    </row>
    <row r="5" spans="1:34" x14ac:dyDescent="0.25">
      <c r="A5" s="217">
        <v>4</v>
      </c>
      <c r="B5" s="218" t="s">
        <v>12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7">
        <v>0</v>
      </c>
    </row>
    <row r="6" spans="1:34" x14ac:dyDescent="0.25">
      <c r="A6" s="217">
        <v>5</v>
      </c>
      <c r="B6" s="218" t="s">
        <v>664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 t="s">
        <v>26</v>
      </c>
      <c r="Q6" s="218" t="s">
        <v>26</v>
      </c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9">
        <v>22</v>
      </c>
    </row>
    <row r="7" spans="1:34" x14ac:dyDescent="0.25">
      <c r="A7" s="217">
        <v>6</v>
      </c>
      <c r="B7" s="218" t="s">
        <v>14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 t="s">
        <v>26</v>
      </c>
      <c r="Q7" s="218" t="s">
        <v>26</v>
      </c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9">
        <v>22</v>
      </c>
    </row>
    <row r="8" spans="1:34" x14ac:dyDescent="0.25">
      <c r="A8" s="217">
        <v>7</v>
      </c>
      <c r="B8" s="218" t="s">
        <v>15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7">
        <v>0</v>
      </c>
    </row>
    <row r="9" spans="1:34" x14ac:dyDescent="0.25">
      <c r="A9" s="217">
        <v>8</v>
      </c>
      <c r="B9" s="218" t="s">
        <v>16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7">
        <v>0</v>
      </c>
    </row>
    <row r="10" spans="1:34" x14ac:dyDescent="0.25">
      <c r="A10" s="217">
        <v>9</v>
      </c>
      <c r="B10" s="218" t="s">
        <v>4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 t="s">
        <v>26</v>
      </c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9">
        <v>11</v>
      </c>
    </row>
    <row r="11" spans="1:34" x14ac:dyDescent="0.25">
      <c r="A11" s="217">
        <v>10</v>
      </c>
      <c r="B11" s="218" t="s">
        <v>5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 t="s">
        <v>26</v>
      </c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9">
        <v>11</v>
      </c>
    </row>
    <row r="12" spans="1:34" x14ac:dyDescent="0.25">
      <c r="A12" s="217">
        <v>11</v>
      </c>
      <c r="B12" s="218" t="s">
        <v>17</v>
      </c>
      <c r="C12" s="218"/>
      <c r="D12" s="218"/>
      <c r="E12" s="218"/>
      <c r="F12" s="218"/>
      <c r="G12" s="218"/>
      <c r="H12" s="218"/>
      <c r="I12" s="218"/>
      <c r="J12" s="218" t="s">
        <v>26</v>
      </c>
      <c r="K12" s="218" t="s">
        <v>26</v>
      </c>
      <c r="L12" s="218" t="s">
        <v>26</v>
      </c>
      <c r="M12" s="218" t="s">
        <v>26</v>
      </c>
      <c r="N12" s="218" t="s">
        <v>84</v>
      </c>
      <c r="O12" s="218"/>
      <c r="P12" s="218"/>
      <c r="Q12" s="218" t="s">
        <v>26</v>
      </c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9">
        <v>61</v>
      </c>
    </row>
    <row r="13" spans="1:34" x14ac:dyDescent="0.25">
      <c r="A13" s="217">
        <v>12</v>
      </c>
      <c r="B13" s="218" t="s">
        <v>38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 t="s">
        <v>26</v>
      </c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9">
        <v>11</v>
      </c>
    </row>
    <row r="14" spans="1:34" x14ac:dyDescent="0.25">
      <c r="A14" s="217">
        <v>13</v>
      </c>
      <c r="B14" s="218" t="s">
        <v>19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7">
        <v>0</v>
      </c>
    </row>
    <row r="15" spans="1:34" x14ac:dyDescent="0.25">
      <c r="A15" s="217">
        <v>14</v>
      </c>
      <c r="B15" s="218" t="s">
        <v>77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 t="s">
        <v>26</v>
      </c>
      <c r="M15" s="218" t="s">
        <v>26</v>
      </c>
      <c r="N15" s="218" t="s">
        <v>85</v>
      </c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9">
        <v>29</v>
      </c>
    </row>
    <row r="16" spans="1:34" x14ac:dyDescent="0.25">
      <c r="A16" s="217">
        <v>15</v>
      </c>
      <c r="B16" s="218" t="s">
        <v>43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7">
        <v>0</v>
      </c>
    </row>
    <row r="17" spans="1:34" x14ac:dyDescent="0.25">
      <c r="A17" s="217">
        <v>16</v>
      </c>
      <c r="B17" s="218" t="s">
        <v>645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7">
        <v>0</v>
      </c>
    </row>
    <row r="18" spans="1:34" x14ac:dyDescent="0.25">
      <c r="A18" s="217">
        <v>17</v>
      </c>
      <c r="B18" s="218" t="s">
        <v>87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7">
        <v>0</v>
      </c>
    </row>
    <row r="19" spans="1:34" x14ac:dyDescent="0.25">
      <c r="A19" s="217">
        <v>18</v>
      </c>
      <c r="B19" s="218" t="s">
        <v>95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7">
        <v>0</v>
      </c>
    </row>
    <row r="20" spans="1:34" x14ac:dyDescent="0.25">
      <c r="A20" s="217">
        <v>19</v>
      </c>
      <c r="B20" s="218" t="s">
        <v>97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7">
        <v>0</v>
      </c>
    </row>
    <row r="21" spans="1:34" x14ac:dyDescent="0.25">
      <c r="A21" s="217">
        <v>20</v>
      </c>
      <c r="B21" s="218" t="s">
        <v>96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7">
        <v>0</v>
      </c>
    </row>
    <row r="22" spans="1:34" x14ac:dyDescent="0.25">
      <c r="A22" s="217">
        <v>21</v>
      </c>
      <c r="B22" s="218" t="s">
        <v>98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 t="s">
        <v>26</v>
      </c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9">
        <v>11</v>
      </c>
    </row>
    <row r="23" spans="1:34" x14ac:dyDescent="0.25">
      <c r="A23" s="217">
        <v>22</v>
      </c>
      <c r="B23" s="218" t="s">
        <v>99</v>
      </c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 t="s">
        <v>26</v>
      </c>
      <c r="Q23" s="218" t="s">
        <v>26</v>
      </c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9">
        <v>22</v>
      </c>
    </row>
    <row r="24" spans="1:34" x14ac:dyDescent="0.25">
      <c r="A24" s="217">
        <v>23</v>
      </c>
      <c r="B24" s="218" t="s">
        <v>617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 t="s">
        <v>61</v>
      </c>
      <c r="Q24" s="218" t="s">
        <v>26</v>
      </c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9">
        <v>13</v>
      </c>
    </row>
    <row r="25" spans="1:34" x14ac:dyDescent="0.25">
      <c r="A25" s="217">
        <v>24</v>
      </c>
      <c r="B25" s="218" t="s">
        <v>618</v>
      </c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7">
        <v>0</v>
      </c>
    </row>
    <row r="26" spans="1:34" x14ac:dyDescent="0.25">
      <c r="A26" s="217">
        <v>25</v>
      </c>
      <c r="B26" s="218" t="s">
        <v>629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7">
        <v>0</v>
      </c>
    </row>
    <row r="27" spans="1:34" x14ac:dyDescent="0.25">
      <c r="A27" s="217">
        <v>26</v>
      </c>
      <c r="B27" s="218" t="s">
        <v>619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7">
        <v>0</v>
      </c>
    </row>
    <row r="28" spans="1:34" x14ac:dyDescent="0.25">
      <c r="A28" s="217">
        <v>27</v>
      </c>
      <c r="B28" s="218" t="s">
        <v>620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 t="s">
        <v>26</v>
      </c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9">
        <v>11</v>
      </c>
    </row>
    <row r="29" spans="1:34" x14ac:dyDescent="0.25">
      <c r="A29" s="217">
        <v>28</v>
      </c>
      <c r="B29" s="218" t="s">
        <v>622</v>
      </c>
      <c r="C29" s="218"/>
      <c r="D29" s="218"/>
      <c r="E29" s="218"/>
      <c r="F29" s="218"/>
      <c r="G29" s="218"/>
      <c r="H29" s="218"/>
      <c r="I29" s="218" t="s">
        <v>26</v>
      </c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9">
        <v>11</v>
      </c>
    </row>
    <row r="30" spans="1:34" x14ac:dyDescent="0.25">
      <c r="A30" s="217">
        <v>29</v>
      </c>
      <c r="B30" s="218" t="s">
        <v>665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 t="s">
        <v>26</v>
      </c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9">
        <v>11</v>
      </c>
    </row>
    <row r="31" spans="1:34" x14ac:dyDescent="0.25">
      <c r="A31" s="217">
        <v>30</v>
      </c>
      <c r="B31" s="218" t="s">
        <v>623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7">
        <v>0</v>
      </c>
    </row>
    <row r="32" spans="1:34" x14ac:dyDescent="0.25">
      <c r="A32" s="217">
        <v>31</v>
      </c>
      <c r="B32" s="218" t="s">
        <v>624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7">
        <v>0</v>
      </c>
    </row>
    <row r="33" spans="1:34" x14ac:dyDescent="0.25">
      <c r="A33" s="217">
        <v>32</v>
      </c>
      <c r="B33" s="218" t="s">
        <v>625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 t="s">
        <v>25</v>
      </c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9">
        <v>9</v>
      </c>
    </row>
    <row r="34" spans="1:34" x14ac:dyDescent="0.25">
      <c r="A34" s="217">
        <v>33</v>
      </c>
      <c r="B34" s="218" t="s">
        <v>626</v>
      </c>
      <c r="C34" s="218"/>
      <c r="D34" s="218"/>
      <c r="E34" s="218"/>
      <c r="F34" s="218"/>
      <c r="G34" s="218"/>
      <c r="H34" s="218"/>
      <c r="I34" s="218"/>
      <c r="J34" s="218"/>
      <c r="K34" s="218" t="s">
        <v>65</v>
      </c>
      <c r="L34" s="218"/>
      <c r="M34" s="218" t="s">
        <v>65</v>
      </c>
      <c r="N34" s="218" t="s">
        <v>85</v>
      </c>
      <c r="O34" s="218"/>
      <c r="P34" s="218" t="s">
        <v>26</v>
      </c>
      <c r="Q34" s="218" t="s">
        <v>26</v>
      </c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9">
        <v>53</v>
      </c>
    </row>
    <row r="35" spans="1:34" x14ac:dyDescent="0.25">
      <c r="A35" s="217">
        <v>34</v>
      </c>
      <c r="B35" s="218" t="s">
        <v>631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7">
        <v>0</v>
      </c>
    </row>
    <row r="36" spans="1:34" x14ac:dyDescent="0.25">
      <c r="A36" s="217">
        <v>35</v>
      </c>
      <c r="B36" s="218" t="s">
        <v>627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7">
        <v>0</v>
      </c>
    </row>
    <row r="37" spans="1:34" x14ac:dyDescent="0.25">
      <c r="A37" s="217">
        <v>36</v>
      </c>
      <c r="B37" s="218" t="s">
        <v>34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7">
        <v>0</v>
      </c>
    </row>
    <row r="38" spans="1:34" x14ac:dyDescent="0.25">
      <c r="A38" s="217">
        <v>37</v>
      </c>
      <c r="B38" s="218" t="s">
        <v>628</v>
      </c>
      <c r="C38" s="218"/>
      <c r="D38" s="218"/>
      <c r="E38" s="218"/>
      <c r="F38" s="218"/>
      <c r="G38" s="218"/>
      <c r="H38" s="218"/>
      <c r="I38" s="218" t="s">
        <v>26</v>
      </c>
      <c r="J38" s="218"/>
      <c r="K38" s="218"/>
      <c r="L38" s="218"/>
      <c r="M38" s="218"/>
      <c r="N38" s="218"/>
      <c r="O38" s="218"/>
      <c r="P38" s="218" t="s">
        <v>26</v>
      </c>
      <c r="Q38" s="218" t="s">
        <v>26</v>
      </c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9">
        <v>33</v>
      </c>
    </row>
    <row r="39" spans="1:34" x14ac:dyDescent="0.25">
      <c r="A39" s="217">
        <v>38</v>
      </c>
      <c r="B39" s="218" t="s">
        <v>621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8" t="s">
        <v>26</v>
      </c>
      <c r="M39" s="218" t="s">
        <v>26</v>
      </c>
      <c r="N39" s="218" t="s">
        <v>84</v>
      </c>
      <c r="O39" s="218"/>
      <c r="P39" s="218" t="s">
        <v>26</v>
      </c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9">
        <v>39</v>
      </c>
    </row>
    <row r="40" spans="1:34" x14ac:dyDescent="0.25">
      <c r="A40" s="217">
        <v>39</v>
      </c>
      <c r="B40" s="218" t="s">
        <v>45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7">
        <v>0</v>
      </c>
    </row>
    <row r="41" spans="1:34" x14ac:dyDescent="0.25">
      <c r="A41" s="217">
        <v>40</v>
      </c>
      <c r="B41" s="218" t="s">
        <v>634</v>
      </c>
      <c r="C41" s="218"/>
      <c r="D41" s="218"/>
      <c r="E41" s="218"/>
      <c r="F41" s="218"/>
      <c r="G41" s="218"/>
      <c r="H41" s="218"/>
      <c r="I41" s="218"/>
      <c r="J41" s="218" t="s">
        <v>26</v>
      </c>
      <c r="K41" s="218" t="s">
        <v>26</v>
      </c>
      <c r="L41" s="218" t="s">
        <v>26</v>
      </c>
      <c r="M41" s="218" t="s">
        <v>26</v>
      </c>
      <c r="N41" s="218" t="s">
        <v>84</v>
      </c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9">
        <v>50</v>
      </c>
    </row>
    <row r="42" spans="1:34" x14ac:dyDescent="0.25">
      <c r="A42" s="217">
        <v>41</v>
      </c>
      <c r="B42" s="218" t="s">
        <v>648</v>
      </c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7">
        <v>0</v>
      </c>
    </row>
    <row r="43" spans="1:34" x14ac:dyDescent="0.25">
      <c r="A43" s="217">
        <v>42</v>
      </c>
      <c r="B43" s="218" t="s">
        <v>632</v>
      </c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 t="s">
        <v>26</v>
      </c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9">
        <v>11</v>
      </c>
    </row>
    <row r="44" spans="1:34" x14ac:dyDescent="0.25">
      <c r="A44" s="217">
        <v>43</v>
      </c>
      <c r="B44" s="218" t="s">
        <v>633</v>
      </c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7">
        <v>0</v>
      </c>
    </row>
    <row r="45" spans="1:34" x14ac:dyDescent="0.25">
      <c r="A45" s="217">
        <v>44</v>
      </c>
      <c r="B45" s="218" t="s">
        <v>635</v>
      </c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 t="s">
        <v>26</v>
      </c>
      <c r="N45" s="218" t="s">
        <v>84</v>
      </c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9">
        <v>17</v>
      </c>
    </row>
    <row r="46" spans="1:34" x14ac:dyDescent="0.25">
      <c r="A46" s="217">
        <v>45</v>
      </c>
      <c r="B46" s="218" t="s">
        <v>636</v>
      </c>
      <c r="C46" s="218"/>
      <c r="D46" s="218"/>
      <c r="E46" s="218" t="s">
        <v>26</v>
      </c>
      <c r="F46" s="218"/>
      <c r="G46" s="218" t="s">
        <v>85</v>
      </c>
      <c r="H46" s="218"/>
      <c r="I46" s="218" t="s">
        <v>26</v>
      </c>
      <c r="J46" s="218" t="s">
        <v>26</v>
      </c>
      <c r="K46" s="218" t="s">
        <v>26</v>
      </c>
      <c r="L46" s="218" t="s">
        <v>26</v>
      </c>
      <c r="M46" s="218" t="s">
        <v>26</v>
      </c>
      <c r="N46" s="218" t="s">
        <v>84</v>
      </c>
      <c r="O46" s="218"/>
      <c r="P46" s="218"/>
      <c r="Q46" s="218" t="s">
        <v>26</v>
      </c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9">
        <v>90</v>
      </c>
    </row>
    <row r="47" spans="1:34" x14ac:dyDescent="0.25">
      <c r="A47" s="217">
        <v>46</v>
      </c>
      <c r="B47" s="218" t="s">
        <v>637</v>
      </c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7">
        <v>0</v>
      </c>
    </row>
    <row r="48" spans="1:34" x14ac:dyDescent="0.25">
      <c r="A48" s="217">
        <v>47</v>
      </c>
      <c r="B48" s="218" t="s">
        <v>638</v>
      </c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 t="s">
        <v>84</v>
      </c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9">
        <v>6</v>
      </c>
    </row>
    <row r="49" spans="1:34" x14ac:dyDescent="0.25">
      <c r="A49" s="217">
        <v>48</v>
      </c>
      <c r="B49" s="218" t="s">
        <v>630</v>
      </c>
      <c r="C49" s="218"/>
      <c r="D49" s="218"/>
      <c r="E49" s="218"/>
      <c r="F49" s="218"/>
      <c r="G49" s="218"/>
      <c r="H49" s="218"/>
      <c r="I49" s="218"/>
      <c r="J49" s="218" t="s">
        <v>26</v>
      </c>
      <c r="K49" s="218" t="s">
        <v>65</v>
      </c>
      <c r="L49" s="218" t="s">
        <v>65</v>
      </c>
      <c r="M49" s="218" t="s">
        <v>65</v>
      </c>
      <c r="N49" s="218" t="s">
        <v>85</v>
      </c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9">
        <v>54</v>
      </c>
    </row>
    <row r="50" spans="1:34" x14ac:dyDescent="0.25">
      <c r="A50" s="217">
        <v>49</v>
      </c>
      <c r="B50" s="218" t="s">
        <v>640</v>
      </c>
      <c r="C50" s="218"/>
      <c r="D50" s="218"/>
      <c r="E50" s="218"/>
      <c r="F50" s="218"/>
      <c r="G50" s="218"/>
      <c r="H50" s="218"/>
      <c r="I50" s="218"/>
      <c r="J50" s="218"/>
      <c r="K50" s="218"/>
      <c r="L50" s="218" t="s">
        <v>26</v>
      </c>
      <c r="M50" s="218" t="s">
        <v>26</v>
      </c>
      <c r="N50" s="218" t="s">
        <v>84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9">
        <v>28</v>
      </c>
    </row>
    <row r="51" spans="1:34" x14ac:dyDescent="0.25">
      <c r="A51" s="217">
        <v>50</v>
      </c>
      <c r="B51" s="218" t="s">
        <v>642</v>
      </c>
      <c r="C51" s="218"/>
      <c r="D51" s="218"/>
      <c r="E51" s="218"/>
      <c r="F51" s="218"/>
      <c r="G51" s="218"/>
      <c r="H51" s="218"/>
      <c r="I51" s="218" t="s">
        <v>26</v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9">
        <v>11</v>
      </c>
    </row>
    <row r="52" spans="1:34" x14ac:dyDescent="0.25">
      <c r="A52" s="217">
        <v>51</v>
      </c>
      <c r="B52" s="218" t="s">
        <v>643</v>
      </c>
      <c r="C52" s="218"/>
      <c r="D52" s="218"/>
      <c r="E52" s="218" t="s">
        <v>26</v>
      </c>
      <c r="F52" s="218" t="s">
        <v>26</v>
      </c>
      <c r="G52" s="218" t="s">
        <v>84</v>
      </c>
      <c r="H52" s="218"/>
      <c r="I52" s="218" t="s">
        <v>26</v>
      </c>
      <c r="J52" s="218" t="s">
        <v>26</v>
      </c>
      <c r="K52" s="218" t="s">
        <v>26</v>
      </c>
      <c r="L52" s="218" t="s">
        <v>26</v>
      </c>
      <c r="M52" s="218" t="s">
        <v>26</v>
      </c>
      <c r="N52" s="218" t="s">
        <v>84</v>
      </c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9">
        <v>89</v>
      </c>
    </row>
    <row r="53" spans="1:34" x14ac:dyDescent="0.25">
      <c r="A53" s="217">
        <v>52</v>
      </c>
      <c r="B53" s="218" t="s">
        <v>646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7">
        <v>0</v>
      </c>
    </row>
    <row r="54" spans="1:34" x14ac:dyDescent="0.25">
      <c r="A54" s="217">
        <v>53</v>
      </c>
      <c r="B54" s="218" t="s">
        <v>644</v>
      </c>
      <c r="C54" s="218"/>
      <c r="D54" s="218"/>
      <c r="E54" s="218"/>
      <c r="F54" s="218" t="s">
        <v>26</v>
      </c>
      <c r="G54" s="218" t="s">
        <v>85</v>
      </c>
      <c r="H54" s="218"/>
      <c r="I54" s="218"/>
      <c r="J54" s="218" t="s">
        <v>25</v>
      </c>
      <c r="K54" s="218" t="s">
        <v>26</v>
      </c>
      <c r="L54" s="218"/>
      <c r="M54" s="218" t="s">
        <v>26</v>
      </c>
      <c r="N54" s="218" t="s">
        <v>84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9">
        <v>55</v>
      </c>
    </row>
    <row r="55" spans="1:34" x14ac:dyDescent="0.25">
      <c r="A55" s="217">
        <v>54</v>
      </c>
      <c r="B55" s="218" t="s">
        <v>641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7">
        <v>0</v>
      </c>
    </row>
    <row r="56" spans="1:34" x14ac:dyDescent="0.25">
      <c r="A56" s="217">
        <v>55</v>
      </c>
      <c r="B56" s="218" t="s">
        <v>647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7">
        <v>0</v>
      </c>
    </row>
    <row r="57" spans="1:34" x14ac:dyDescent="0.25">
      <c r="A57" s="217">
        <v>56</v>
      </c>
      <c r="B57" s="218" t="s">
        <v>663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7">
        <v>0</v>
      </c>
    </row>
    <row r="58" spans="1:34" x14ac:dyDescent="0.25">
      <c r="A58" s="217">
        <v>57</v>
      </c>
      <c r="B58" s="218" t="s">
        <v>649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 t="s">
        <v>25</v>
      </c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9">
        <v>9</v>
      </c>
    </row>
    <row r="59" spans="1:34" x14ac:dyDescent="0.25">
      <c r="A59" s="217">
        <v>58</v>
      </c>
      <c r="B59" s="218" t="s">
        <v>650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 t="s">
        <v>25</v>
      </c>
      <c r="O59" s="218"/>
      <c r="P59" s="218" t="s">
        <v>26</v>
      </c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9">
        <v>20</v>
      </c>
    </row>
    <row r="60" spans="1:34" x14ac:dyDescent="0.25">
      <c r="A60" s="217">
        <v>59</v>
      </c>
      <c r="B60" s="218" t="s">
        <v>651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7">
        <v>0</v>
      </c>
    </row>
    <row r="61" spans="1:34" x14ac:dyDescent="0.25">
      <c r="A61" s="217">
        <v>60</v>
      </c>
      <c r="B61" s="218" t="s">
        <v>653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7">
        <v>0</v>
      </c>
    </row>
    <row r="62" spans="1:34" x14ac:dyDescent="0.25">
      <c r="A62" s="217">
        <v>61</v>
      </c>
      <c r="B62" s="218" t="s">
        <v>654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7">
        <v>0</v>
      </c>
    </row>
    <row r="63" spans="1:34" x14ac:dyDescent="0.25">
      <c r="A63" s="217">
        <v>62</v>
      </c>
      <c r="B63" s="218" t="s">
        <v>655</v>
      </c>
      <c r="C63" s="218"/>
      <c r="D63" s="218"/>
      <c r="E63" s="218"/>
      <c r="F63" s="218"/>
      <c r="G63" s="218"/>
      <c r="H63" s="218"/>
      <c r="I63" s="218" t="s">
        <v>26</v>
      </c>
      <c r="J63" s="218"/>
      <c r="K63" s="218"/>
      <c r="L63" s="218"/>
      <c r="M63" s="218"/>
      <c r="N63" s="218" t="s">
        <v>84</v>
      </c>
      <c r="O63" s="218"/>
      <c r="P63" s="218" t="s">
        <v>26</v>
      </c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9">
        <v>28</v>
      </c>
    </row>
    <row r="64" spans="1:34" x14ac:dyDescent="0.25">
      <c r="A64" s="217">
        <v>63</v>
      </c>
      <c r="B64" s="218" t="s">
        <v>656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7">
        <v>0</v>
      </c>
    </row>
    <row r="65" spans="1:34" x14ac:dyDescent="0.25">
      <c r="A65" s="217">
        <v>64</v>
      </c>
      <c r="B65" s="218" t="s">
        <v>657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7">
        <v>0</v>
      </c>
    </row>
    <row r="66" spans="1:34" x14ac:dyDescent="0.25">
      <c r="A66" s="217">
        <v>65</v>
      </c>
      <c r="B66" s="218" t="s">
        <v>658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7">
        <v>0</v>
      </c>
    </row>
    <row r="67" spans="1:34" x14ac:dyDescent="0.25">
      <c r="A67" s="217">
        <v>66</v>
      </c>
      <c r="B67" s="218" t="s">
        <v>660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7">
        <v>0</v>
      </c>
    </row>
    <row r="68" spans="1:34" x14ac:dyDescent="0.25">
      <c r="A68" s="217">
        <v>67</v>
      </c>
      <c r="B68" s="218" t="s">
        <v>661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7">
        <v>0</v>
      </c>
    </row>
    <row r="69" spans="1:34" x14ac:dyDescent="0.25">
      <c r="A69" s="217">
        <v>68</v>
      </c>
      <c r="B69" s="218" t="s">
        <v>662</v>
      </c>
      <c r="C69" s="218"/>
      <c r="D69" s="218"/>
      <c r="E69" s="218" t="s">
        <v>26</v>
      </c>
      <c r="F69" s="218" t="s">
        <v>26</v>
      </c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9">
        <v>22</v>
      </c>
    </row>
    <row r="70" spans="1:34" x14ac:dyDescent="0.25">
      <c r="A70" s="217">
        <v>69</v>
      </c>
      <c r="B70" s="218" t="s">
        <v>20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 t="s">
        <v>84</v>
      </c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9">
        <v>6</v>
      </c>
    </row>
    <row r="71" spans="1:34" x14ac:dyDescent="0.25">
      <c r="A71" s="217">
        <v>70</v>
      </c>
      <c r="B71" s="218" t="s">
        <v>667</v>
      </c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 t="s">
        <v>26</v>
      </c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9">
        <v>11</v>
      </c>
    </row>
    <row r="72" spans="1:34" x14ac:dyDescent="0.25">
      <c r="A72" s="217">
        <v>71</v>
      </c>
      <c r="B72" s="218" t="s">
        <v>668</v>
      </c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 t="s">
        <v>64</v>
      </c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9">
        <v>10</v>
      </c>
    </row>
    <row r="73" spans="1:34" x14ac:dyDescent="0.25">
      <c r="A73" s="217">
        <v>72</v>
      </c>
      <c r="B73" s="218" t="s">
        <v>669</v>
      </c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 t="s">
        <v>26</v>
      </c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9">
        <v>11</v>
      </c>
    </row>
    <row r="74" spans="1:34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20">
        <v>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0"/>
  <sheetViews>
    <sheetView topLeftCell="B7" zoomScale="55" zoomScaleNormal="55" workbookViewId="0">
      <selection activeCell="B42" sqref="A42:XFD42"/>
    </sheetView>
  </sheetViews>
  <sheetFormatPr defaultRowHeight="15" x14ac:dyDescent="0.25"/>
  <cols>
    <col min="2" max="2" width="29.85546875" bestFit="1" customWidth="1"/>
    <col min="3" max="3" width="32.42578125" bestFit="1" customWidth="1"/>
  </cols>
  <sheetData>
    <row r="1" spans="1:49" x14ac:dyDescent="0.25">
      <c r="A1" s="186" t="s">
        <v>1</v>
      </c>
      <c r="B1" s="186" t="s">
        <v>6</v>
      </c>
      <c r="C1" s="186" t="s">
        <v>60</v>
      </c>
      <c r="D1" s="186" t="s">
        <v>61</v>
      </c>
      <c r="E1" s="186" t="s">
        <v>62</v>
      </c>
      <c r="F1" s="186" t="s">
        <v>63</v>
      </c>
      <c r="G1" s="186" t="s">
        <v>83</v>
      </c>
      <c r="H1" s="186" t="s">
        <v>84</v>
      </c>
      <c r="I1" s="186" t="s">
        <v>85</v>
      </c>
      <c r="J1" s="186" t="s">
        <v>24</v>
      </c>
      <c r="K1" s="186" t="s">
        <v>25</v>
      </c>
      <c r="L1" s="186" t="s">
        <v>64</v>
      </c>
      <c r="M1" s="186" t="s">
        <v>26</v>
      </c>
      <c r="N1" s="186" t="s">
        <v>65</v>
      </c>
      <c r="O1" s="186" t="s">
        <v>66</v>
      </c>
      <c r="P1" s="186" t="s">
        <v>67</v>
      </c>
      <c r="Q1" s="186" t="s">
        <v>86</v>
      </c>
      <c r="R1" s="186" t="s">
        <v>46</v>
      </c>
      <c r="S1" s="186" t="s">
        <v>47</v>
      </c>
      <c r="T1" s="186" t="s">
        <v>48</v>
      </c>
      <c r="U1" s="186" t="s">
        <v>49</v>
      </c>
      <c r="V1" s="186" t="s">
        <v>50</v>
      </c>
      <c r="W1" s="186" t="s">
        <v>51</v>
      </c>
      <c r="X1" s="186" t="s">
        <v>52</v>
      </c>
      <c r="Y1" s="186" t="s">
        <v>53</v>
      </c>
      <c r="Z1" s="186" t="s">
        <v>54</v>
      </c>
      <c r="AA1" s="186" t="s">
        <v>55</v>
      </c>
      <c r="AB1" s="186" t="s">
        <v>56</v>
      </c>
      <c r="AC1" s="186" t="s">
        <v>57</v>
      </c>
      <c r="AD1" s="186" t="s">
        <v>58</v>
      </c>
      <c r="AE1" s="186" t="s">
        <v>59</v>
      </c>
      <c r="AF1" s="186" t="s">
        <v>639</v>
      </c>
      <c r="AG1" s="186" t="s">
        <v>666</v>
      </c>
      <c r="AH1" s="186" t="s">
        <v>2</v>
      </c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</row>
    <row r="2" spans="1:49" x14ac:dyDescent="0.25">
      <c r="A2" s="152">
        <v>1</v>
      </c>
      <c r="B2" s="153" t="s">
        <v>80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2">
        <v>0</v>
      </c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</row>
    <row r="3" spans="1:49" x14ac:dyDescent="0.25">
      <c r="A3" s="152">
        <v>2</v>
      </c>
      <c r="B3" s="153" t="s">
        <v>10</v>
      </c>
      <c r="C3" s="153"/>
      <c r="D3" s="153"/>
      <c r="E3" s="153"/>
      <c r="F3" s="153"/>
      <c r="G3" s="153"/>
      <c r="H3" s="153"/>
      <c r="I3" s="153"/>
      <c r="J3" s="153" t="s">
        <v>26</v>
      </c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99">
        <v>11</v>
      </c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</row>
    <row r="4" spans="1:49" x14ac:dyDescent="0.25">
      <c r="A4" s="152">
        <v>3</v>
      </c>
      <c r="B4" s="153" t="s">
        <v>11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2">
        <v>0</v>
      </c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</row>
    <row r="5" spans="1:49" x14ac:dyDescent="0.25">
      <c r="A5" s="152">
        <v>4</v>
      </c>
      <c r="B5" s="153" t="s">
        <v>12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2">
        <v>0</v>
      </c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4"/>
    </row>
    <row r="6" spans="1:49" x14ac:dyDescent="0.25">
      <c r="A6" s="152">
        <v>5</v>
      </c>
      <c r="B6" s="153" t="s">
        <v>664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2">
        <v>0</v>
      </c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4"/>
    </row>
    <row r="7" spans="1:49" x14ac:dyDescent="0.25">
      <c r="A7" s="152">
        <v>6</v>
      </c>
      <c r="B7" s="153" t="s">
        <v>14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2">
        <v>0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4"/>
    </row>
    <row r="8" spans="1:49" x14ac:dyDescent="0.25">
      <c r="A8" s="152">
        <v>7</v>
      </c>
      <c r="B8" s="153" t="s">
        <v>15</v>
      </c>
      <c r="C8" s="153" t="s">
        <v>26</v>
      </c>
      <c r="D8" s="153" t="s">
        <v>26</v>
      </c>
      <c r="E8" s="153" t="s">
        <v>26</v>
      </c>
      <c r="F8" s="153" t="s">
        <v>26</v>
      </c>
      <c r="G8" s="153"/>
      <c r="H8" s="153"/>
      <c r="I8" s="153" t="s">
        <v>26</v>
      </c>
      <c r="J8" s="153" t="s">
        <v>26</v>
      </c>
      <c r="K8" s="153" t="s">
        <v>26</v>
      </c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99">
        <v>77</v>
      </c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4"/>
    </row>
    <row r="9" spans="1:49" x14ac:dyDescent="0.25">
      <c r="A9" s="152">
        <v>8</v>
      </c>
      <c r="B9" s="153" t="s">
        <v>16</v>
      </c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2">
        <v>0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4"/>
    </row>
    <row r="10" spans="1:49" x14ac:dyDescent="0.25">
      <c r="A10" s="152">
        <v>9</v>
      </c>
      <c r="B10" s="153" t="s">
        <v>4</v>
      </c>
      <c r="C10" s="153"/>
      <c r="D10" s="153"/>
      <c r="E10" s="153"/>
      <c r="F10" s="153"/>
      <c r="G10" s="153"/>
      <c r="H10" s="153"/>
      <c r="I10" s="153" t="s">
        <v>26</v>
      </c>
      <c r="J10" s="153"/>
      <c r="K10" s="153"/>
      <c r="L10" s="153" t="s">
        <v>26</v>
      </c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99">
        <v>22</v>
      </c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4"/>
    </row>
    <row r="11" spans="1:49" x14ac:dyDescent="0.25">
      <c r="A11" s="152">
        <v>10</v>
      </c>
      <c r="B11" s="153" t="s">
        <v>5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2">
        <v>0</v>
      </c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4"/>
    </row>
    <row r="12" spans="1:49" x14ac:dyDescent="0.25">
      <c r="A12" s="152">
        <v>11</v>
      </c>
      <c r="B12" s="153" t="s">
        <v>17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2">
        <v>0</v>
      </c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4"/>
    </row>
    <row r="13" spans="1:49" x14ac:dyDescent="0.25">
      <c r="A13" s="152">
        <v>12</v>
      </c>
      <c r="B13" s="153" t="s">
        <v>38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2">
        <v>0</v>
      </c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</row>
    <row r="14" spans="1:49" x14ac:dyDescent="0.25">
      <c r="A14" s="152">
        <v>13</v>
      </c>
      <c r="B14" s="153" t="s">
        <v>19</v>
      </c>
      <c r="C14" s="153"/>
      <c r="D14" s="153" t="s">
        <v>26</v>
      </c>
      <c r="E14" s="153" t="s">
        <v>26</v>
      </c>
      <c r="F14" s="153" t="s">
        <v>26</v>
      </c>
      <c r="G14" s="153" t="s">
        <v>85</v>
      </c>
      <c r="H14" s="153"/>
      <c r="I14" s="153" t="s">
        <v>26</v>
      </c>
      <c r="J14" s="153" t="s">
        <v>26</v>
      </c>
      <c r="K14" s="153"/>
      <c r="L14" s="153"/>
      <c r="M14" s="153" t="s">
        <v>26</v>
      </c>
      <c r="N14" s="153" t="s">
        <v>85</v>
      </c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99">
        <v>80</v>
      </c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4"/>
    </row>
    <row r="15" spans="1:49" x14ac:dyDescent="0.25">
      <c r="A15" s="152">
        <v>14</v>
      </c>
      <c r="B15" s="153" t="s">
        <v>77</v>
      </c>
      <c r="C15" s="153"/>
      <c r="D15" s="153"/>
      <c r="E15" s="153"/>
      <c r="F15" s="153"/>
      <c r="G15" s="153"/>
      <c r="H15" s="153"/>
      <c r="I15" s="153" t="s">
        <v>26</v>
      </c>
      <c r="J15" s="153" t="s">
        <v>26</v>
      </c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99">
        <v>22</v>
      </c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4"/>
    </row>
    <row r="16" spans="1:49" x14ac:dyDescent="0.25">
      <c r="A16" s="152">
        <v>15</v>
      </c>
      <c r="B16" s="153" t="s">
        <v>43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2">
        <v>0</v>
      </c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4"/>
    </row>
    <row r="17" spans="1:49" x14ac:dyDescent="0.25">
      <c r="A17" s="152">
        <v>16</v>
      </c>
      <c r="B17" s="153" t="s">
        <v>645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2">
        <v>0</v>
      </c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4"/>
    </row>
    <row r="18" spans="1:49" x14ac:dyDescent="0.25">
      <c r="A18" s="152">
        <v>17</v>
      </c>
      <c r="B18" s="153" t="s">
        <v>87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2">
        <v>0</v>
      </c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4"/>
    </row>
    <row r="19" spans="1:49" x14ac:dyDescent="0.25">
      <c r="A19" s="152">
        <v>18</v>
      </c>
      <c r="B19" s="153" t="s">
        <v>95</v>
      </c>
      <c r="C19" s="153"/>
      <c r="D19" s="153"/>
      <c r="E19" s="153" t="s">
        <v>26</v>
      </c>
      <c r="F19" s="153" t="s">
        <v>26</v>
      </c>
      <c r="G19" s="153" t="s">
        <v>84</v>
      </c>
      <c r="H19" s="153"/>
      <c r="I19" s="153" t="s">
        <v>26</v>
      </c>
      <c r="J19" s="153"/>
      <c r="K19" s="153"/>
      <c r="L19" s="153" t="s">
        <v>83</v>
      </c>
      <c r="M19" s="153" t="s">
        <v>26</v>
      </c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99">
        <v>55</v>
      </c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4"/>
    </row>
    <row r="20" spans="1:49" x14ac:dyDescent="0.25">
      <c r="A20" s="152">
        <v>19</v>
      </c>
      <c r="B20" s="153" t="s">
        <v>97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2">
        <v>0</v>
      </c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4"/>
    </row>
    <row r="21" spans="1:49" x14ac:dyDescent="0.25">
      <c r="A21" s="152">
        <v>20</v>
      </c>
      <c r="B21" s="153" t="s">
        <v>96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2">
        <v>0</v>
      </c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4"/>
    </row>
    <row r="22" spans="1:49" x14ac:dyDescent="0.25">
      <c r="A22" s="152">
        <v>21</v>
      </c>
      <c r="B22" s="153" t="s">
        <v>98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2">
        <v>0</v>
      </c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4"/>
    </row>
    <row r="23" spans="1:49" x14ac:dyDescent="0.25">
      <c r="A23" s="152">
        <v>22</v>
      </c>
      <c r="B23" s="153" t="s">
        <v>99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2">
        <v>0</v>
      </c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4"/>
    </row>
    <row r="24" spans="1:49" x14ac:dyDescent="0.25">
      <c r="A24" s="152">
        <v>23</v>
      </c>
      <c r="B24" s="153" t="s">
        <v>617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2">
        <v>0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4"/>
    </row>
    <row r="25" spans="1:49" x14ac:dyDescent="0.25">
      <c r="A25" s="152">
        <v>24</v>
      </c>
      <c r="B25" s="153" t="s">
        <v>618</v>
      </c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2">
        <v>0</v>
      </c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4"/>
    </row>
    <row r="26" spans="1:49" x14ac:dyDescent="0.25">
      <c r="A26" s="152">
        <v>25</v>
      </c>
      <c r="B26" s="153" t="s">
        <v>629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2">
        <v>0</v>
      </c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4"/>
    </row>
    <row r="27" spans="1:49" x14ac:dyDescent="0.25">
      <c r="A27" s="152">
        <v>26</v>
      </c>
      <c r="B27" s="153" t="s">
        <v>619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2">
        <v>0</v>
      </c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4"/>
    </row>
    <row r="28" spans="1:49" x14ac:dyDescent="0.25">
      <c r="A28" s="152">
        <v>27</v>
      </c>
      <c r="B28" s="153" t="s">
        <v>620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2">
        <v>0</v>
      </c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4"/>
    </row>
    <row r="29" spans="1:49" x14ac:dyDescent="0.25">
      <c r="A29" s="152">
        <v>28</v>
      </c>
      <c r="B29" s="153" t="s">
        <v>622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2">
        <v>0</v>
      </c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4"/>
    </row>
    <row r="30" spans="1:49" x14ac:dyDescent="0.25">
      <c r="A30" s="152">
        <v>29</v>
      </c>
      <c r="B30" s="153" t="s">
        <v>665</v>
      </c>
      <c r="C30" s="153" t="s">
        <v>26</v>
      </c>
      <c r="D30" s="153" t="s">
        <v>26</v>
      </c>
      <c r="E30" s="153" t="s">
        <v>26</v>
      </c>
      <c r="F30" s="153" t="s">
        <v>26</v>
      </c>
      <c r="G30" s="153"/>
      <c r="H30" s="153"/>
      <c r="I30" s="153"/>
      <c r="J30" s="153" t="s">
        <v>26</v>
      </c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99">
        <v>55</v>
      </c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4"/>
    </row>
    <row r="31" spans="1:49" x14ac:dyDescent="0.25">
      <c r="A31" s="152">
        <v>30</v>
      </c>
      <c r="B31" s="153" t="s">
        <v>623</v>
      </c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2">
        <v>0</v>
      </c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4"/>
    </row>
    <row r="32" spans="1:49" x14ac:dyDescent="0.25">
      <c r="A32" s="152">
        <v>31</v>
      </c>
      <c r="B32" s="153" t="s">
        <v>624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2">
        <v>0</v>
      </c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4"/>
    </row>
    <row r="33" spans="1:49" x14ac:dyDescent="0.25">
      <c r="A33" s="152">
        <v>32</v>
      </c>
      <c r="B33" s="153" t="s">
        <v>625</v>
      </c>
      <c r="C33" s="153"/>
      <c r="D33" s="153"/>
      <c r="E33" s="153"/>
      <c r="F33" s="153"/>
      <c r="G33" s="153"/>
      <c r="H33" s="153"/>
      <c r="I33" s="153" t="s">
        <v>25</v>
      </c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99">
        <v>9</v>
      </c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4"/>
    </row>
    <row r="34" spans="1:49" x14ac:dyDescent="0.25">
      <c r="A34" s="152">
        <v>33</v>
      </c>
      <c r="B34" s="153" t="s">
        <v>626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2">
        <v>0</v>
      </c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4"/>
    </row>
    <row r="35" spans="1:49" x14ac:dyDescent="0.25">
      <c r="A35" s="152">
        <v>34</v>
      </c>
      <c r="B35" s="153" t="s">
        <v>631</v>
      </c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2">
        <v>0</v>
      </c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4"/>
    </row>
    <row r="36" spans="1:49" x14ac:dyDescent="0.25">
      <c r="A36" s="152">
        <v>35</v>
      </c>
      <c r="B36" s="153" t="s">
        <v>627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2">
        <v>0</v>
      </c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4"/>
    </row>
    <row r="37" spans="1:49" x14ac:dyDescent="0.25">
      <c r="A37" s="152">
        <v>36</v>
      </c>
      <c r="B37" s="153" t="s">
        <v>34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2">
        <v>0</v>
      </c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4"/>
    </row>
    <row r="38" spans="1:49" x14ac:dyDescent="0.25">
      <c r="A38" s="152">
        <v>37</v>
      </c>
      <c r="B38" s="153" t="s">
        <v>628</v>
      </c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2">
        <v>0</v>
      </c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4"/>
    </row>
    <row r="39" spans="1:49" x14ac:dyDescent="0.25">
      <c r="A39" s="152">
        <v>38</v>
      </c>
      <c r="B39" s="153" t="s">
        <v>621</v>
      </c>
      <c r="C39" s="153"/>
      <c r="D39" s="153"/>
      <c r="E39" s="153"/>
      <c r="F39" s="153"/>
      <c r="G39" s="153"/>
      <c r="H39" s="153"/>
      <c r="I39" s="153" t="s">
        <v>26</v>
      </c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99">
        <v>11</v>
      </c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4"/>
    </row>
    <row r="40" spans="1:49" x14ac:dyDescent="0.25">
      <c r="A40" s="152">
        <v>39</v>
      </c>
      <c r="B40" s="153" t="s">
        <v>45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 t="s">
        <v>64</v>
      </c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99">
        <v>10</v>
      </c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4"/>
    </row>
    <row r="41" spans="1:49" x14ac:dyDescent="0.25">
      <c r="A41" s="152">
        <v>40</v>
      </c>
      <c r="B41" s="153" t="s">
        <v>634</v>
      </c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2">
        <v>0</v>
      </c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4"/>
    </row>
    <row r="42" spans="1:49" x14ac:dyDescent="0.25">
      <c r="A42" s="152">
        <v>41</v>
      </c>
      <c r="B42" s="153" t="s">
        <v>648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2">
        <v>0</v>
      </c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4"/>
    </row>
    <row r="43" spans="1:49" x14ac:dyDescent="0.25">
      <c r="A43" s="152">
        <v>42</v>
      </c>
      <c r="B43" s="153" t="s">
        <v>632</v>
      </c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2">
        <v>0</v>
      </c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4"/>
    </row>
    <row r="44" spans="1:49" x14ac:dyDescent="0.25">
      <c r="A44" s="152">
        <v>43</v>
      </c>
      <c r="B44" s="153" t="s">
        <v>633</v>
      </c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2">
        <v>0</v>
      </c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4"/>
    </row>
    <row r="45" spans="1:49" x14ac:dyDescent="0.25">
      <c r="A45" s="152">
        <v>44</v>
      </c>
      <c r="B45" s="153" t="s">
        <v>635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2">
        <v>0</v>
      </c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4"/>
    </row>
    <row r="46" spans="1:49" x14ac:dyDescent="0.25">
      <c r="A46" s="152">
        <v>45</v>
      </c>
      <c r="B46" s="153" t="s">
        <v>636</v>
      </c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2">
        <v>0</v>
      </c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4"/>
    </row>
    <row r="47" spans="1:49" x14ac:dyDescent="0.25">
      <c r="A47" s="152">
        <v>46</v>
      </c>
      <c r="B47" s="153" t="s">
        <v>637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 t="s">
        <v>26</v>
      </c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99">
        <v>11</v>
      </c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4"/>
    </row>
    <row r="48" spans="1:49" x14ac:dyDescent="0.25">
      <c r="A48" s="152">
        <v>47</v>
      </c>
      <c r="B48" s="153" t="s">
        <v>638</v>
      </c>
      <c r="C48" s="153"/>
      <c r="D48" s="153" t="s">
        <v>26</v>
      </c>
      <c r="E48" s="153" t="s">
        <v>26</v>
      </c>
      <c r="F48" s="153"/>
      <c r="G48" s="153"/>
      <c r="H48" s="153"/>
      <c r="I48" s="153" t="s">
        <v>26</v>
      </c>
      <c r="J48" s="153"/>
      <c r="K48" s="153"/>
      <c r="L48" s="153" t="s">
        <v>26</v>
      </c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99">
        <v>44</v>
      </c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4"/>
    </row>
    <row r="49" spans="1:49" x14ac:dyDescent="0.25">
      <c r="A49" s="152">
        <v>48</v>
      </c>
      <c r="B49" s="153" t="s">
        <v>630</v>
      </c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2">
        <v>0</v>
      </c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4"/>
    </row>
    <row r="50" spans="1:49" x14ac:dyDescent="0.25">
      <c r="A50" s="152">
        <v>49</v>
      </c>
      <c r="B50" s="153" t="s">
        <v>640</v>
      </c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2">
        <v>0</v>
      </c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4"/>
    </row>
    <row r="51" spans="1:49" x14ac:dyDescent="0.25">
      <c r="A51" s="152">
        <v>50</v>
      </c>
      <c r="B51" s="153" t="s">
        <v>642</v>
      </c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2">
        <v>0</v>
      </c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4"/>
    </row>
    <row r="52" spans="1:49" x14ac:dyDescent="0.25">
      <c r="A52" s="152">
        <v>51</v>
      </c>
      <c r="B52" s="153" t="s">
        <v>643</v>
      </c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2">
        <v>0</v>
      </c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4"/>
    </row>
    <row r="53" spans="1:49" x14ac:dyDescent="0.25">
      <c r="A53" s="152">
        <v>52</v>
      </c>
      <c r="B53" s="153" t="s">
        <v>646</v>
      </c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2">
        <v>0</v>
      </c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4"/>
    </row>
    <row r="54" spans="1:49" x14ac:dyDescent="0.25">
      <c r="A54" s="152">
        <v>53</v>
      </c>
      <c r="B54" s="153" t="s">
        <v>644</v>
      </c>
      <c r="C54" s="153"/>
      <c r="D54" s="153"/>
      <c r="E54" s="153"/>
      <c r="F54" s="153"/>
      <c r="G54" s="153"/>
      <c r="H54" s="153"/>
      <c r="I54" s="153" t="s">
        <v>26</v>
      </c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99">
        <v>11</v>
      </c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4"/>
    </row>
    <row r="55" spans="1:49" x14ac:dyDescent="0.25">
      <c r="A55" s="152">
        <v>54</v>
      </c>
      <c r="B55" s="153" t="s">
        <v>641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2">
        <v>0</v>
      </c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4"/>
    </row>
    <row r="56" spans="1:49" x14ac:dyDescent="0.25">
      <c r="A56" s="152">
        <v>55</v>
      </c>
      <c r="B56" s="153" t="s">
        <v>647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2">
        <v>0</v>
      </c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4"/>
    </row>
    <row r="57" spans="1:49" x14ac:dyDescent="0.25">
      <c r="A57" s="152">
        <v>56</v>
      </c>
      <c r="B57" s="153" t="s">
        <v>663</v>
      </c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2">
        <v>0</v>
      </c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4"/>
    </row>
    <row r="58" spans="1:49" x14ac:dyDescent="0.25">
      <c r="A58" s="152">
        <v>57</v>
      </c>
      <c r="B58" s="153" t="s">
        <v>649</v>
      </c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2">
        <v>0</v>
      </c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4"/>
    </row>
    <row r="59" spans="1:49" x14ac:dyDescent="0.25">
      <c r="A59" s="152">
        <v>58</v>
      </c>
      <c r="B59" s="153" t="s">
        <v>650</v>
      </c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2">
        <v>0</v>
      </c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4"/>
    </row>
    <row r="60" spans="1:49" x14ac:dyDescent="0.25">
      <c r="A60" s="152">
        <v>59</v>
      </c>
      <c r="B60" s="153" t="s">
        <v>651</v>
      </c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2">
        <v>0</v>
      </c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4"/>
    </row>
    <row r="61" spans="1:49" x14ac:dyDescent="0.25">
      <c r="A61" s="152">
        <v>60</v>
      </c>
      <c r="B61" s="153" t="s">
        <v>653</v>
      </c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2">
        <v>0</v>
      </c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4"/>
    </row>
    <row r="62" spans="1:49" x14ac:dyDescent="0.25">
      <c r="A62" s="152">
        <v>61</v>
      </c>
      <c r="B62" s="153" t="s">
        <v>654</v>
      </c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2">
        <v>0</v>
      </c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4"/>
    </row>
    <row r="63" spans="1:49" x14ac:dyDescent="0.25">
      <c r="A63" s="152">
        <v>62</v>
      </c>
      <c r="B63" s="153" t="s">
        <v>655</v>
      </c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2">
        <v>0</v>
      </c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4"/>
    </row>
    <row r="64" spans="1:49" x14ac:dyDescent="0.25">
      <c r="A64" s="152">
        <v>63</v>
      </c>
      <c r="B64" s="153" t="s">
        <v>656</v>
      </c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2">
        <v>0</v>
      </c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4"/>
    </row>
    <row r="65" spans="1:49" x14ac:dyDescent="0.25">
      <c r="A65" s="152">
        <v>64</v>
      </c>
      <c r="B65" s="153" t="s">
        <v>657</v>
      </c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2">
        <v>0</v>
      </c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4"/>
    </row>
    <row r="66" spans="1:49" x14ac:dyDescent="0.25">
      <c r="A66" s="152">
        <v>65</v>
      </c>
      <c r="B66" s="153" t="s">
        <v>658</v>
      </c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2">
        <v>0</v>
      </c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4"/>
    </row>
    <row r="67" spans="1:49" x14ac:dyDescent="0.25">
      <c r="A67" s="152">
        <v>66</v>
      </c>
      <c r="B67" s="153" t="s">
        <v>660</v>
      </c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 t="s">
        <v>26</v>
      </c>
      <c r="N67" s="153" t="s">
        <v>84</v>
      </c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99">
        <v>17</v>
      </c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4"/>
    </row>
    <row r="68" spans="1:49" x14ac:dyDescent="0.25">
      <c r="A68" s="152">
        <v>67</v>
      </c>
      <c r="B68" s="153" t="s">
        <v>661</v>
      </c>
      <c r="C68" s="153"/>
      <c r="D68" s="153"/>
      <c r="E68" s="153"/>
      <c r="F68" s="153"/>
      <c r="G68" s="153"/>
      <c r="H68" s="153"/>
      <c r="I68" s="153" t="s">
        <v>26</v>
      </c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99">
        <v>11</v>
      </c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4"/>
    </row>
    <row r="69" spans="1:49" x14ac:dyDescent="0.25">
      <c r="A69" s="152">
        <v>68</v>
      </c>
      <c r="B69" s="153" t="s">
        <v>662</v>
      </c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2">
        <v>0</v>
      </c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4"/>
    </row>
    <row r="70" spans="1:49" x14ac:dyDescent="0.25">
      <c r="A70" s="152">
        <v>69</v>
      </c>
      <c r="B70" s="153" t="s">
        <v>20</v>
      </c>
      <c r="C70" s="153"/>
      <c r="D70" s="153"/>
      <c r="E70" s="153"/>
      <c r="F70" s="153"/>
      <c r="G70" s="153"/>
      <c r="H70" s="153"/>
      <c r="I70" s="153" t="s">
        <v>26</v>
      </c>
      <c r="J70" s="153"/>
      <c r="K70" s="153"/>
      <c r="L70" s="153"/>
      <c r="M70" s="153" t="s">
        <v>26</v>
      </c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99">
        <v>22</v>
      </c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4"/>
    </row>
    <row r="71" spans="1:49" x14ac:dyDescent="0.25">
      <c r="A71" s="152">
        <v>70</v>
      </c>
      <c r="B71" s="153" t="s">
        <v>667</v>
      </c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2">
        <v>0</v>
      </c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4"/>
    </row>
    <row r="72" spans="1:49" x14ac:dyDescent="0.25">
      <c r="A72" s="152">
        <v>71</v>
      </c>
      <c r="B72" s="153" t="s">
        <v>668</v>
      </c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2">
        <v>0</v>
      </c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4"/>
    </row>
    <row r="73" spans="1:49" x14ac:dyDescent="0.25">
      <c r="A73" s="152">
        <v>72</v>
      </c>
      <c r="B73" s="153" t="s">
        <v>669</v>
      </c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2">
        <v>0</v>
      </c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4"/>
    </row>
    <row r="74" spans="1:49" x14ac:dyDescent="0.25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200">
        <v>468</v>
      </c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4"/>
    </row>
    <row r="75" spans="1:49" x14ac:dyDescent="0.25">
      <c r="A75" s="152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80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4"/>
    </row>
    <row r="76" spans="1:49" x14ac:dyDescent="0.25">
      <c r="A76" s="152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80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4"/>
    </row>
    <row r="77" spans="1:49" x14ac:dyDescent="0.25">
      <c r="A77" s="152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80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54"/>
    </row>
    <row r="78" spans="1:49" x14ac:dyDescent="0.25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70"/>
      <c r="AH78" s="170"/>
      <c r="AW78" s="170"/>
    </row>
    <row r="79" spans="1:49" x14ac:dyDescent="0.2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</row>
    <row r="80" spans="1:49" x14ac:dyDescent="0.2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</row>
    <row r="81" spans="1:18" x14ac:dyDescent="0.2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</row>
    <row r="82" spans="1:18" x14ac:dyDescent="0.2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</row>
    <row r="83" spans="1:18" x14ac:dyDescent="0.2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</row>
    <row r="84" spans="1:18" x14ac:dyDescent="0.2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</row>
    <row r="85" spans="1:18" x14ac:dyDescent="0.2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</row>
    <row r="86" spans="1:18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</row>
    <row r="87" spans="1:18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</row>
    <row r="88" spans="1:18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</row>
    <row r="89" spans="1:18" x14ac:dyDescent="0.2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</row>
    <row r="90" spans="1:18" x14ac:dyDescent="0.2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</row>
    <row r="91" spans="1:18" x14ac:dyDescent="0.2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</row>
    <row r="92" spans="1:18" x14ac:dyDescent="0.2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</row>
    <row r="93" spans="1:18" x14ac:dyDescent="0.2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</row>
    <row r="94" spans="1:18" x14ac:dyDescent="0.2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</row>
    <row r="95" spans="1:18" x14ac:dyDescent="0.2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</row>
    <row r="96" spans="1:18" x14ac:dyDescent="0.2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</row>
    <row r="97" spans="1:18" x14ac:dyDescent="0.2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</row>
    <row r="98" spans="1:18" x14ac:dyDescent="0.2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</row>
    <row r="99" spans="1:18" x14ac:dyDescent="0.2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</row>
    <row r="100" spans="1:18" x14ac:dyDescent="0.2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</row>
    <row r="101" spans="1:18" x14ac:dyDescent="0.2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</row>
    <row r="102" spans="1:18" x14ac:dyDescent="0.2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</row>
    <row r="103" spans="1:18" x14ac:dyDescent="0.2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</row>
    <row r="104" spans="1:18" x14ac:dyDescent="0.2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</row>
    <row r="105" spans="1:18" x14ac:dyDescent="0.2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</row>
    <row r="106" spans="1:18" x14ac:dyDescent="0.2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</row>
    <row r="107" spans="1:18" x14ac:dyDescent="0.2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</row>
    <row r="108" spans="1:18" x14ac:dyDescent="0.2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</row>
    <row r="109" spans="1:18" x14ac:dyDescent="0.2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</row>
    <row r="110" spans="1:18" x14ac:dyDescent="0.2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</row>
    <row r="111" spans="1:18" x14ac:dyDescent="0.2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</row>
    <row r="112" spans="1:18" x14ac:dyDescent="0.2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</row>
    <row r="113" spans="1:18" x14ac:dyDescent="0.2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</row>
    <row r="114" spans="1:18" x14ac:dyDescent="0.2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</row>
    <row r="115" spans="1:18" x14ac:dyDescent="0.2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</row>
    <row r="116" spans="1:18" x14ac:dyDescent="0.2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</row>
    <row r="117" spans="1:18" x14ac:dyDescent="0.2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</row>
    <row r="118" spans="1:18" x14ac:dyDescent="0.2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</row>
    <row r="119" spans="1:18" x14ac:dyDescent="0.2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</row>
    <row r="120" spans="1:18" x14ac:dyDescent="0.2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</row>
    <row r="121" spans="1:18" x14ac:dyDescent="0.2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</row>
    <row r="122" spans="1:18" x14ac:dyDescent="0.2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</row>
    <row r="123" spans="1:18" x14ac:dyDescent="0.2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</row>
    <row r="124" spans="1:18" x14ac:dyDescent="0.2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</row>
    <row r="125" spans="1:18" x14ac:dyDescent="0.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</row>
    <row r="126" spans="1:18" x14ac:dyDescent="0.2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</row>
    <row r="127" spans="1:18" x14ac:dyDescent="0.2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</row>
    <row r="128" spans="1:18" x14ac:dyDescent="0.2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</row>
    <row r="129" spans="1:18" x14ac:dyDescent="0.2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</row>
    <row r="130" spans="1:18" x14ac:dyDescent="0.2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8"/>
  <sheetViews>
    <sheetView zoomScale="55" zoomScaleNormal="55" workbookViewId="0">
      <selection activeCell="A42" sqref="A42:XFD42"/>
    </sheetView>
  </sheetViews>
  <sheetFormatPr defaultRowHeight="15" x14ac:dyDescent="0.25"/>
  <cols>
    <col min="2" max="2" width="24.7109375" customWidth="1"/>
  </cols>
  <sheetData>
    <row r="1" spans="1:34" x14ac:dyDescent="0.25">
      <c r="A1" s="185" t="s">
        <v>1</v>
      </c>
      <c r="B1" s="185" t="s">
        <v>6</v>
      </c>
      <c r="C1" s="185" t="s">
        <v>60</v>
      </c>
      <c r="D1" s="185" t="s">
        <v>61</v>
      </c>
      <c r="E1" s="185" t="s">
        <v>62</v>
      </c>
      <c r="F1" s="185" t="s">
        <v>63</v>
      </c>
      <c r="G1" s="185" t="s">
        <v>83</v>
      </c>
      <c r="H1" s="185" t="s">
        <v>84</v>
      </c>
      <c r="I1" s="185" t="s">
        <v>85</v>
      </c>
      <c r="J1" s="185" t="s">
        <v>24</v>
      </c>
      <c r="K1" s="185" t="s">
        <v>25</v>
      </c>
      <c r="L1" s="185" t="s">
        <v>64</v>
      </c>
      <c r="M1" s="185" t="s">
        <v>26</v>
      </c>
      <c r="N1" s="185" t="s">
        <v>65</v>
      </c>
      <c r="O1" s="185" t="s">
        <v>66</v>
      </c>
      <c r="P1" s="185" t="s">
        <v>67</v>
      </c>
      <c r="Q1" s="185" t="s">
        <v>86</v>
      </c>
      <c r="R1" s="185" t="s">
        <v>46</v>
      </c>
      <c r="S1" s="185" t="s">
        <v>47</v>
      </c>
      <c r="T1" s="185" t="s">
        <v>48</v>
      </c>
      <c r="U1" s="185" t="s">
        <v>49</v>
      </c>
      <c r="V1" s="185" t="s">
        <v>50</v>
      </c>
      <c r="W1" s="185" t="s">
        <v>51</v>
      </c>
      <c r="X1" s="185" t="s">
        <v>52</v>
      </c>
      <c r="Y1" s="185" t="s">
        <v>53</v>
      </c>
      <c r="Z1" s="185" t="s">
        <v>54</v>
      </c>
      <c r="AA1" s="185" t="s">
        <v>55</v>
      </c>
      <c r="AB1" s="185" t="s">
        <v>56</v>
      </c>
      <c r="AC1" s="185" t="s">
        <v>57</v>
      </c>
      <c r="AD1" s="185" t="s">
        <v>58</v>
      </c>
      <c r="AE1" s="185" t="s">
        <v>59</v>
      </c>
      <c r="AF1" s="185" t="s">
        <v>639</v>
      </c>
      <c r="AG1" s="185" t="s">
        <v>666</v>
      </c>
      <c r="AH1" s="185" t="s">
        <v>2</v>
      </c>
    </row>
    <row r="2" spans="1:34" x14ac:dyDescent="0.25">
      <c r="A2" s="174">
        <v>1</v>
      </c>
      <c r="B2" s="175" t="s">
        <v>80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4">
        <v>0</v>
      </c>
    </row>
    <row r="3" spans="1:34" x14ac:dyDescent="0.25">
      <c r="A3" s="174">
        <v>2</v>
      </c>
      <c r="B3" s="175" t="s">
        <v>10</v>
      </c>
      <c r="C3" s="175" t="s">
        <v>26</v>
      </c>
      <c r="D3" s="175" t="s">
        <v>26</v>
      </c>
      <c r="E3" s="175" t="s">
        <v>26</v>
      </c>
      <c r="F3" s="175" t="s">
        <v>26</v>
      </c>
      <c r="G3" s="175"/>
      <c r="H3" s="175"/>
      <c r="I3" s="175" t="s">
        <v>26</v>
      </c>
      <c r="J3" s="175"/>
      <c r="K3" s="175"/>
      <c r="L3" s="175" t="s">
        <v>26</v>
      </c>
      <c r="M3" s="175"/>
      <c r="N3" s="175"/>
      <c r="O3" s="175"/>
      <c r="P3" s="175"/>
      <c r="Q3" s="175" t="s">
        <v>26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201">
        <v>77</v>
      </c>
    </row>
    <row r="4" spans="1:34" x14ac:dyDescent="0.25">
      <c r="A4" s="174">
        <v>3</v>
      </c>
      <c r="B4" s="175" t="s">
        <v>11</v>
      </c>
      <c r="C4" s="175"/>
      <c r="D4" s="175"/>
      <c r="E4" s="175"/>
      <c r="F4" s="175"/>
      <c r="G4" s="175"/>
      <c r="H4" s="175"/>
      <c r="I4" s="175"/>
      <c r="J4" s="175"/>
      <c r="K4" s="175" t="s">
        <v>26</v>
      </c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201">
        <v>11</v>
      </c>
    </row>
    <row r="5" spans="1:34" x14ac:dyDescent="0.25">
      <c r="A5" s="174">
        <v>4</v>
      </c>
      <c r="B5" s="175" t="s">
        <v>12</v>
      </c>
      <c r="C5" s="175" t="s">
        <v>26</v>
      </c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201">
        <v>11</v>
      </c>
    </row>
    <row r="6" spans="1:34" x14ac:dyDescent="0.25">
      <c r="A6" s="174">
        <v>5</v>
      </c>
      <c r="B6" s="175" t="s">
        <v>664</v>
      </c>
      <c r="C6" s="175" t="s">
        <v>26</v>
      </c>
      <c r="D6" s="175"/>
      <c r="E6" s="175"/>
      <c r="F6" s="175"/>
      <c r="G6" s="175"/>
      <c r="H6" s="175"/>
      <c r="I6" s="175"/>
      <c r="J6" s="175"/>
      <c r="K6" s="175" t="s">
        <v>26</v>
      </c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201">
        <v>22</v>
      </c>
    </row>
    <row r="7" spans="1:34" x14ac:dyDescent="0.25">
      <c r="A7" s="174">
        <v>6</v>
      </c>
      <c r="B7" s="175" t="s">
        <v>14</v>
      </c>
      <c r="C7" s="175" t="s">
        <v>26</v>
      </c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201">
        <v>11</v>
      </c>
    </row>
    <row r="8" spans="1:34" x14ac:dyDescent="0.25">
      <c r="A8" s="174">
        <v>7</v>
      </c>
      <c r="B8" s="175" t="s">
        <v>15</v>
      </c>
      <c r="C8" s="175"/>
      <c r="D8" s="175"/>
      <c r="E8" s="175"/>
      <c r="F8" s="175"/>
      <c r="G8" s="175"/>
      <c r="H8" s="175"/>
      <c r="I8" s="175"/>
      <c r="J8" s="175"/>
      <c r="K8" s="175"/>
      <c r="L8" s="175" t="s">
        <v>25</v>
      </c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201">
        <v>9</v>
      </c>
    </row>
    <row r="9" spans="1:34" x14ac:dyDescent="0.25">
      <c r="A9" s="174">
        <v>8</v>
      </c>
      <c r="B9" s="175" t="s">
        <v>16</v>
      </c>
      <c r="C9" s="175"/>
      <c r="D9" s="175"/>
      <c r="E9" s="175"/>
      <c r="F9" s="175"/>
      <c r="G9" s="175"/>
      <c r="H9" s="175"/>
      <c r="I9" s="175"/>
      <c r="J9" s="175"/>
      <c r="K9" s="175" t="s">
        <v>26</v>
      </c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201">
        <v>11</v>
      </c>
    </row>
    <row r="10" spans="1:34" x14ac:dyDescent="0.25">
      <c r="A10" s="174">
        <v>9</v>
      </c>
      <c r="B10" s="175" t="s">
        <v>4</v>
      </c>
      <c r="C10" s="175" t="s">
        <v>26</v>
      </c>
      <c r="D10" s="175"/>
      <c r="E10" s="175"/>
      <c r="F10" s="175"/>
      <c r="G10" s="175"/>
      <c r="H10" s="175"/>
      <c r="I10" s="175"/>
      <c r="J10" s="175" t="s">
        <v>26</v>
      </c>
      <c r="K10" s="175" t="s">
        <v>26</v>
      </c>
      <c r="L10" s="175"/>
      <c r="M10" s="175" t="s">
        <v>26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201">
        <v>44</v>
      </c>
    </row>
    <row r="11" spans="1:34" x14ac:dyDescent="0.25">
      <c r="A11" s="174">
        <v>10</v>
      </c>
      <c r="B11" s="175" t="s">
        <v>5</v>
      </c>
      <c r="C11" s="175" t="s">
        <v>26</v>
      </c>
      <c r="D11" s="175"/>
      <c r="E11" s="175"/>
      <c r="F11" s="175" t="s">
        <v>26</v>
      </c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201">
        <v>22</v>
      </c>
    </row>
    <row r="12" spans="1:34" x14ac:dyDescent="0.25">
      <c r="A12" s="174">
        <v>11</v>
      </c>
      <c r="B12" s="175" t="s">
        <v>17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4">
        <v>0</v>
      </c>
    </row>
    <row r="13" spans="1:34" x14ac:dyDescent="0.25">
      <c r="A13" s="174">
        <v>12</v>
      </c>
      <c r="B13" s="175" t="s">
        <v>38</v>
      </c>
      <c r="C13" s="175" t="s">
        <v>26</v>
      </c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201">
        <v>11</v>
      </c>
    </row>
    <row r="14" spans="1:34" x14ac:dyDescent="0.25">
      <c r="A14" s="174">
        <v>13</v>
      </c>
      <c r="B14" s="175" t="s">
        <v>19</v>
      </c>
      <c r="C14" s="175" t="s">
        <v>26</v>
      </c>
      <c r="D14" s="175"/>
      <c r="E14" s="175"/>
      <c r="F14" s="175"/>
      <c r="G14" s="175"/>
      <c r="H14" s="175"/>
      <c r="I14" s="175"/>
      <c r="J14" s="175"/>
      <c r="K14" s="175" t="s">
        <v>26</v>
      </c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201">
        <v>22</v>
      </c>
    </row>
    <row r="15" spans="1:34" x14ac:dyDescent="0.25">
      <c r="A15" s="174">
        <v>14</v>
      </c>
      <c r="B15" s="175" t="s">
        <v>77</v>
      </c>
      <c r="C15" s="175"/>
      <c r="D15" s="175" t="s">
        <v>26</v>
      </c>
      <c r="E15" s="175" t="s">
        <v>26</v>
      </c>
      <c r="F15" s="175" t="s">
        <v>26</v>
      </c>
      <c r="G15" s="175" t="s">
        <v>84</v>
      </c>
      <c r="H15" s="175"/>
      <c r="I15" s="175"/>
      <c r="J15" s="175"/>
      <c r="K15" s="175" t="s">
        <v>26</v>
      </c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201">
        <v>50</v>
      </c>
    </row>
    <row r="16" spans="1:34" x14ac:dyDescent="0.25">
      <c r="A16" s="174">
        <v>15</v>
      </c>
      <c r="B16" s="175" t="s">
        <v>43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4">
        <v>0</v>
      </c>
    </row>
    <row r="17" spans="1:34" x14ac:dyDescent="0.25">
      <c r="A17" s="174">
        <v>16</v>
      </c>
      <c r="B17" s="175" t="s">
        <v>645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4">
        <v>0</v>
      </c>
    </row>
    <row r="18" spans="1:34" x14ac:dyDescent="0.25">
      <c r="A18" s="174">
        <v>17</v>
      </c>
      <c r="B18" s="175" t="s">
        <v>87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4">
        <v>0</v>
      </c>
    </row>
    <row r="19" spans="1:34" x14ac:dyDescent="0.25">
      <c r="A19" s="174">
        <v>18</v>
      </c>
      <c r="B19" s="175" t="s">
        <v>95</v>
      </c>
      <c r="C19" s="175" t="s">
        <v>26</v>
      </c>
      <c r="D19" s="175"/>
      <c r="E19" s="175"/>
      <c r="F19" s="175"/>
      <c r="G19" s="175"/>
      <c r="H19" s="175"/>
      <c r="I19" s="175"/>
      <c r="J19" s="175" t="s">
        <v>26</v>
      </c>
      <c r="K19" s="175" t="s">
        <v>26</v>
      </c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201">
        <v>33</v>
      </c>
    </row>
    <row r="20" spans="1:34" x14ac:dyDescent="0.25">
      <c r="A20" s="174">
        <v>19</v>
      </c>
      <c r="B20" s="175" t="s">
        <v>97</v>
      </c>
      <c r="C20" s="175"/>
      <c r="D20" s="175"/>
      <c r="E20" s="175"/>
      <c r="F20" s="175"/>
      <c r="G20" s="175"/>
      <c r="H20" s="175"/>
      <c r="I20" s="175"/>
      <c r="J20" s="175"/>
      <c r="K20" s="175" t="s">
        <v>26</v>
      </c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201">
        <v>11</v>
      </c>
    </row>
    <row r="21" spans="1:34" x14ac:dyDescent="0.25">
      <c r="A21" s="174">
        <v>20</v>
      </c>
      <c r="B21" s="175" t="s">
        <v>96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4">
        <v>0</v>
      </c>
    </row>
    <row r="22" spans="1:34" x14ac:dyDescent="0.25">
      <c r="A22" s="174">
        <v>21</v>
      </c>
      <c r="B22" s="175" t="s">
        <v>98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 t="s">
        <v>85</v>
      </c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201">
        <v>7</v>
      </c>
    </row>
    <row r="23" spans="1:34" x14ac:dyDescent="0.25">
      <c r="A23" s="174">
        <v>22</v>
      </c>
      <c r="B23" s="175" t="s">
        <v>99</v>
      </c>
      <c r="C23" s="175" t="s">
        <v>26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201">
        <v>11</v>
      </c>
    </row>
    <row r="24" spans="1:34" x14ac:dyDescent="0.25">
      <c r="A24" s="174">
        <v>23</v>
      </c>
      <c r="B24" s="175" t="s">
        <v>617</v>
      </c>
      <c r="C24" s="175" t="s">
        <v>26</v>
      </c>
      <c r="D24" s="175"/>
      <c r="E24" s="175"/>
      <c r="F24" s="175" t="s">
        <v>26</v>
      </c>
      <c r="G24" s="175"/>
      <c r="H24" s="175"/>
      <c r="I24" s="175"/>
      <c r="J24" s="175"/>
      <c r="K24" s="175"/>
      <c r="L24" s="175" t="s">
        <v>26</v>
      </c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201">
        <v>33</v>
      </c>
    </row>
    <row r="25" spans="1:34" x14ac:dyDescent="0.25">
      <c r="A25" s="174">
        <v>24</v>
      </c>
      <c r="B25" s="175" t="s">
        <v>618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4">
        <v>0</v>
      </c>
    </row>
    <row r="26" spans="1:34" x14ac:dyDescent="0.25">
      <c r="A26" s="174">
        <v>25</v>
      </c>
      <c r="B26" s="175" t="s">
        <v>629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4">
        <v>0</v>
      </c>
    </row>
    <row r="27" spans="1:34" x14ac:dyDescent="0.25">
      <c r="A27" s="174">
        <v>26</v>
      </c>
      <c r="B27" s="175" t="s">
        <v>619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4">
        <v>0</v>
      </c>
    </row>
    <row r="28" spans="1:34" x14ac:dyDescent="0.25">
      <c r="A28" s="174">
        <v>27</v>
      </c>
      <c r="B28" s="175" t="s">
        <v>620</v>
      </c>
      <c r="C28" s="175" t="s">
        <v>26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201">
        <v>11</v>
      </c>
    </row>
    <row r="29" spans="1:34" x14ac:dyDescent="0.25">
      <c r="A29" s="174">
        <v>28</v>
      </c>
      <c r="B29" s="175" t="s">
        <v>622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 t="s">
        <v>84</v>
      </c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201">
        <v>6</v>
      </c>
    </row>
    <row r="30" spans="1:34" x14ac:dyDescent="0.25">
      <c r="A30" s="174">
        <v>29</v>
      </c>
      <c r="B30" s="175" t="s">
        <v>665</v>
      </c>
      <c r="C30" s="175"/>
      <c r="D30" s="175"/>
      <c r="E30" s="175"/>
      <c r="F30" s="175"/>
      <c r="G30" s="175"/>
      <c r="H30" s="175"/>
      <c r="I30" s="175"/>
      <c r="J30" s="175"/>
      <c r="K30" s="175" t="s">
        <v>26</v>
      </c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201">
        <v>11</v>
      </c>
    </row>
    <row r="31" spans="1:34" x14ac:dyDescent="0.25">
      <c r="A31" s="174">
        <v>30</v>
      </c>
      <c r="B31" s="175" t="s">
        <v>623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4">
        <v>0</v>
      </c>
    </row>
    <row r="32" spans="1:34" x14ac:dyDescent="0.25">
      <c r="A32" s="174">
        <v>31</v>
      </c>
      <c r="B32" s="175" t="s">
        <v>624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4">
        <v>0</v>
      </c>
    </row>
    <row r="33" spans="1:34" x14ac:dyDescent="0.25">
      <c r="A33" s="174">
        <v>32</v>
      </c>
      <c r="B33" s="175" t="s">
        <v>625</v>
      </c>
      <c r="C33" s="175" t="s">
        <v>25</v>
      </c>
      <c r="D33" s="175" t="s">
        <v>25</v>
      </c>
      <c r="E33" s="175" t="s">
        <v>25</v>
      </c>
      <c r="F33" s="175"/>
      <c r="G33" s="175"/>
      <c r="H33" s="175"/>
      <c r="I33" s="175"/>
      <c r="J33" s="175"/>
      <c r="K33" s="175"/>
      <c r="L33" s="175" t="s">
        <v>25</v>
      </c>
      <c r="M33" s="175" t="s">
        <v>25</v>
      </c>
      <c r="N33" s="175" t="s">
        <v>84</v>
      </c>
      <c r="O33" s="175"/>
      <c r="P33" s="175"/>
      <c r="Q33" s="175" t="s">
        <v>26</v>
      </c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201">
        <v>62</v>
      </c>
    </row>
    <row r="34" spans="1:34" x14ac:dyDescent="0.25">
      <c r="A34" s="174">
        <v>33</v>
      </c>
      <c r="B34" s="175" t="s">
        <v>626</v>
      </c>
      <c r="C34" s="175" t="s">
        <v>26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201">
        <v>11</v>
      </c>
    </row>
    <row r="35" spans="1:34" x14ac:dyDescent="0.25">
      <c r="A35" s="174">
        <v>34</v>
      </c>
      <c r="B35" s="175" t="s">
        <v>631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4">
        <v>0</v>
      </c>
    </row>
    <row r="36" spans="1:34" x14ac:dyDescent="0.25">
      <c r="A36" s="174">
        <v>35</v>
      </c>
      <c r="B36" s="175" t="s">
        <v>627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4">
        <v>0</v>
      </c>
    </row>
    <row r="37" spans="1:34" x14ac:dyDescent="0.25">
      <c r="A37" s="174">
        <v>36</v>
      </c>
      <c r="B37" s="175" t="s">
        <v>34</v>
      </c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4">
        <v>0</v>
      </c>
    </row>
    <row r="38" spans="1:34" x14ac:dyDescent="0.25">
      <c r="A38" s="174">
        <v>37</v>
      </c>
      <c r="B38" s="175" t="s">
        <v>628</v>
      </c>
      <c r="C38" s="175"/>
      <c r="D38" s="175"/>
      <c r="E38" s="175"/>
      <c r="F38" s="175"/>
      <c r="G38" s="175"/>
      <c r="H38" s="175"/>
      <c r="I38" s="175"/>
      <c r="J38" s="175"/>
      <c r="K38" s="175" t="s">
        <v>26</v>
      </c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201">
        <v>11</v>
      </c>
    </row>
    <row r="39" spans="1:34" x14ac:dyDescent="0.25">
      <c r="A39" s="174">
        <v>38</v>
      </c>
      <c r="B39" s="175" t="s">
        <v>621</v>
      </c>
      <c r="C39" s="175" t="s">
        <v>26</v>
      </c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201">
        <v>11</v>
      </c>
    </row>
    <row r="40" spans="1:34" x14ac:dyDescent="0.25">
      <c r="A40" s="174">
        <v>39</v>
      </c>
      <c r="B40" s="175" t="s">
        <v>45</v>
      </c>
      <c r="C40" s="175"/>
      <c r="D40" s="175"/>
      <c r="E40" s="175"/>
      <c r="F40" s="175"/>
      <c r="G40" s="175"/>
      <c r="H40" s="175"/>
      <c r="I40" s="175"/>
      <c r="J40" s="175"/>
      <c r="K40" s="175" t="s">
        <v>26</v>
      </c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201">
        <v>11</v>
      </c>
    </row>
    <row r="41" spans="1:34" x14ac:dyDescent="0.25">
      <c r="A41" s="174">
        <v>40</v>
      </c>
      <c r="B41" s="175" t="s">
        <v>634</v>
      </c>
      <c r="C41" s="175" t="s">
        <v>26</v>
      </c>
      <c r="D41" s="175"/>
      <c r="E41" s="175" t="s">
        <v>26</v>
      </c>
      <c r="F41" s="175" t="s">
        <v>26</v>
      </c>
      <c r="G41" s="175" t="s">
        <v>85</v>
      </c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201">
        <v>40</v>
      </c>
    </row>
    <row r="42" spans="1:34" x14ac:dyDescent="0.25">
      <c r="A42" s="174">
        <v>41</v>
      </c>
      <c r="B42" s="175" t="s">
        <v>648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4">
        <v>0</v>
      </c>
    </row>
    <row r="43" spans="1:34" x14ac:dyDescent="0.25">
      <c r="A43" s="174">
        <v>42</v>
      </c>
      <c r="B43" s="175" t="s">
        <v>632</v>
      </c>
      <c r="C43" s="175" t="s">
        <v>26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201">
        <v>11</v>
      </c>
    </row>
    <row r="44" spans="1:34" x14ac:dyDescent="0.25">
      <c r="A44" s="174">
        <v>43</v>
      </c>
      <c r="B44" s="175" t="s">
        <v>633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4">
        <v>0</v>
      </c>
    </row>
    <row r="45" spans="1:34" x14ac:dyDescent="0.25">
      <c r="A45" s="174">
        <v>44</v>
      </c>
      <c r="B45" s="175" t="s">
        <v>635</v>
      </c>
      <c r="C45" s="175" t="s">
        <v>26</v>
      </c>
      <c r="D45" s="175"/>
      <c r="E45" s="175" t="s">
        <v>26</v>
      </c>
      <c r="F45" s="175" t="s">
        <v>26</v>
      </c>
      <c r="G45" s="175"/>
      <c r="H45" s="175"/>
      <c r="I45" s="175"/>
      <c r="J45" s="175"/>
      <c r="K45" s="175" t="s">
        <v>26</v>
      </c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201">
        <v>44</v>
      </c>
    </row>
    <row r="46" spans="1:34" x14ac:dyDescent="0.25">
      <c r="A46" s="174">
        <v>45</v>
      </c>
      <c r="B46" s="175" t="s">
        <v>636</v>
      </c>
      <c r="C46" s="175" t="s">
        <v>26</v>
      </c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201">
        <v>11</v>
      </c>
    </row>
    <row r="47" spans="1:34" x14ac:dyDescent="0.25">
      <c r="A47" s="174">
        <v>46</v>
      </c>
      <c r="B47" s="175" t="s">
        <v>637</v>
      </c>
      <c r="C47" s="175"/>
      <c r="D47" s="175"/>
      <c r="E47" s="175"/>
      <c r="F47" s="175" t="s">
        <v>26</v>
      </c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201">
        <v>11</v>
      </c>
    </row>
    <row r="48" spans="1:34" x14ac:dyDescent="0.25">
      <c r="A48" s="174">
        <v>47</v>
      </c>
      <c r="B48" s="175" t="s">
        <v>638</v>
      </c>
      <c r="C48" s="175" t="s">
        <v>26</v>
      </c>
      <c r="D48" s="175"/>
      <c r="E48" s="175"/>
      <c r="F48" s="175" t="s">
        <v>26</v>
      </c>
      <c r="G48" s="175" t="s">
        <v>63</v>
      </c>
      <c r="H48" s="175"/>
      <c r="I48" s="175"/>
      <c r="J48" s="175" t="s">
        <v>26</v>
      </c>
      <c r="K48" s="175" t="s">
        <v>26</v>
      </c>
      <c r="L48" s="175"/>
      <c r="M48" s="175" t="s">
        <v>26</v>
      </c>
      <c r="N48" s="175"/>
      <c r="O48" s="175"/>
      <c r="P48" s="175" t="s">
        <v>26</v>
      </c>
      <c r="Q48" s="175" t="s">
        <v>26</v>
      </c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201">
        <v>81</v>
      </c>
    </row>
    <row r="49" spans="1:34" x14ac:dyDescent="0.25">
      <c r="A49" s="174">
        <v>48</v>
      </c>
      <c r="B49" s="175" t="s">
        <v>630</v>
      </c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4">
        <v>0</v>
      </c>
    </row>
    <row r="50" spans="1:34" x14ac:dyDescent="0.25">
      <c r="A50" s="174">
        <v>49</v>
      </c>
      <c r="B50" s="175" t="s">
        <v>640</v>
      </c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4">
        <v>0</v>
      </c>
    </row>
    <row r="51" spans="1:34" x14ac:dyDescent="0.25">
      <c r="A51" s="174">
        <v>50</v>
      </c>
      <c r="B51" s="175" t="s">
        <v>642</v>
      </c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 t="s">
        <v>26</v>
      </c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201">
        <v>11</v>
      </c>
    </row>
    <row r="52" spans="1:34" x14ac:dyDescent="0.25">
      <c r="A52" s="174">
        <v>51</v>
      </c>
      <c r="B52" s="175" t="s">
        <v>643</v>
      </c>
      <c r="C52" s="175" t="s">
        <v>26</v>
      </c>
      <c r="D52" s="175" t="s">
        <v>26</v>
      </c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201">
        <v>22</v>
      </c>
    </row>
    <row r="53" spans="1:34" x14ac:dyDescent="0.25">
      <c r="A53" s="174">
        <v>52</v>
      </c>
      <c r="B53" s="175" t="s">
        <v>646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4">
        <v>0</v>
      </c>
    </row>
    <row r="54" spans="1:34" x14ac:dyDescent="0.25">
      <c r="A54" s="174">
        <v>53</v>
      </c>
      <c r="B54" s="175" t="s">
        <v>644</v>
      </c>
      <c r="C54" s="175" t="s">
        <v>26</v>
      </c>
      <c r="D54" s="175"/>
      <c r="E54" s="175" t="s">
        <v>26</v>
      </c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201">
        <v>22</v>
      </c>
    </row>
    <row r="55" spans="1:34" x14ac:dyDescent="0.25">
      <c r="A55" s="174">
        <v>54</v>
      </c>
      <c r="B55" s="175" t="s">
        <v>641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4">
        <v>0</v>
      </c>
    </row>
    <row r="56" spans="1:34" x14ac:dyDescent="0.25">
      <c r="A56" s="174">
        <v>55</v>
      </c>
      <c r="B56" s="175" t="s">
        <v>647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4">
        <v>0</v>
      </c>
    </row>
    <row r="57" spans="1:34" x14ac:dyDescent="0.25">
      <c r="A57" s="174">
        <v>56</v>
      </c>
      <c r="B57" s="175" t="s">
        <v>663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4">
        <v>0</v>
      </c>
    </row>
    <row r="58" spans="1:34" x14ac:dyDescent="0.25">
      <c r="A58" s="174">
        <v>57</v>
      </c>
      <c r="B58" s="175" t="s">
        <v>649</v>
      </c>
      <c r="C58" s="175"/>
      <c r="D58" s="175"/>
      <c r="E58" s="175"/>
      <c r="F58" s="175" t="s">
        <v>26</v>
      </c>
      <c r="G58" s="175" t="s">
        <v>84</v>
      </c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201">
        <v>17</v>
      </c>
    </row>
    <row r="59" spans="1:34" x14ac:dyDescent="0.25">
      <c r="A59" s="174">
        <v>58</v>
      </c>
      <c r="B59" s="175" t="s">
        <v>650</v>
      </c>
      <c r="C59" s="175"/>
      <c r="D59" s="175"/>
      <c r="E59" s="175"/>
      <c r="F59" s="175" t="s">
        <v>61</v>
      </c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201">
        <v>2</v>
      </c>
    </row>
    <row r="60" spans="1:34" x14ac:dyDescent="0.25">
      <c r="A60" s="174">
        <v>59</v>
      </c>
      <c r="B60" s="175" t="s">
        <v>651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4">
        <v>0</v>
      </c>
    </row>
    <row r="61" spans="1:34" x14ac:dyDescent="0.25">
      <c r="A61" s="174">
        <v>60</v>
      </c>
      <c r="B61" s="175" t="s">
        <v>653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4">
        <v>0</v>
      </c>
    </row>
    <row r="62" spans="1:34" x14ac:dyDescent="0.25">
      <c r="A62" s="174">
        <v>61</v>
      </c>
      <c r="B62" s="175" t="s">
        <v>654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4">
        <v>0</v>
      </c>
    </row>
    <row r="63" spans="1:34" x14ac:dyDescent="0.25">
      <c r="A63" s="174">
        <v>62</v>
      </c>
      <c r="B63" s="175" t="s">
        <v>655</v>
      </c>
      <c r="C63" s="175"/>
      <c r="D63" s="175"/>
      <c r="E63" s="175"/>
      <c r="F63" s="175" t="s">
        <v>85</v>
      </c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201">
        <v>7</v>
      </c>
    </row>
    <row r="64" spans="1:34" x14ac:dyDescent="0.25">
      <c r="A64" s="174">
        <v>63</v>
      </c>
      <c r="B64" s="175" t="s">
        <v>656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4">
        <v>0</v>
      </c>
    </row>
    <row r="65" spans="1:34" x14ac:dyDescent="0.25">
      <c r="A65" s="174">
        <v>64</v>
      </c>
      <c r="B65" s="175" t="s">
        <v>657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 t="s">
        <v>25</v>
      </c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201">
        <v>9</v>
      </c>
    </row>
    <row r="66" spans="1:34" x14ac:dyDescent="0.25">
      <c r="A66" s="174">
        <v>65</v>
      </c>
      <c r="B66" s="175" t="s">
        <v>658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4">
        <v>0</v>
      </c>
    </row>
    <row r="67" spans="1:34" x14ac:dyDescent="0.25">
      <c r="A67" s="174">
        <v>66</v>
      </c>
      <c r="B67" s="175" t="s">
        <v>660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 t="s">
        <v>85</v>
      </c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201">
        <v>7</v>
      </c>
    </row>
    <row r="68" spans="1:34" x14ac:dyDescent="0.25">
      <c r="A68" s="174">
        <v>67</v>
      </c>
      <c r="B68" s="175" t="s">
        <v>661</v>
      </c>
      <c r="C68" s="175" t="s">
        <v>26</v>
      </c>
      <c r="D68" s="175"/>
      <c r="E68" s="175"/>
      <c r="F68" s="175"/>
      <c r="G68" s="175"/>
      <c r="H68" s="175"/>
      <c r="I68" s="175"/>
      <c r="J68" s="175"/>
      <c r="K68" s="175"/>
      <c r="L68" s="175" t="s">
        <v>26</v>
      </c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201">
        <v>22</v>
      </c>
    </row>
    <row r="69" spans="1:34" x14ac:dyDescent="0.25">
      <c r="A69" s="174">
        <v>68</v>
      </c>
      <c r="B69" s="175" t="s">
        <v>662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4">
        <v>0</v>
      </c>
    </row>
    <row r="70" spans="1:34" x14ac:dyDescent="0.25">
      <c r="A70" s="174">
        <v>69</v>
      </c>
      <c r="B70" s="175" t="s">
        <v>20</v>
      </c>
      <c r="C70" s="175" t="s">
        <v>26</v>
      </c>
      <c r="D70" s="175" t="s">
        <v>26</v>
      </c>
      <c r="E70" s="175"/>
      <c r="F70" s="175" t="s">
        <v>26</v>
      </c>
      <c r="G70" s="175" t="s">
        <v>84</v>
      </c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201">
        <v>39</v>
      </c>
    </row>
    <row r="71" spans="1:34" x14ac:dyDescent="0.25">
      <c r="A71" s="174">
        <v>70</v>
      </c>
      <c r="B71" s="175" t="s">
        <v>667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4">
        <v>0</v>
      </c>
    </row>
    <row r="72" spans="1:34" x14ac:dyDescent="0.25">
      <c r="A72" s="174">
        <v>71</v>
      </c>
      <c r="B72" s="175" t="s">
        <v>668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4">
        <v>0</v>
      </c>
    </row>
    <row r="73" spans="1:34" x14ac:dyDescent="0.25">
      <c r="A73" s="174">
        <v>72</v>
      </c>
      <c r="B73" s="175" t="s">
        <v>669</v>
      </c>
      <c r="C73" s="175"/>
      <c r="D73" s="175"/>
      <c r="E73" s="175"/>
      <c r="F73" s="175"/>
      <c r="G73" s="175"/>
      <c r="H73" s="175"/>
      <c r="I73" s="175"/>
      <c r="J73" s="175"/>
      <c r="K73" s="175" t="s">
        <v>25</v>
      </c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201">
        <v>9</v>
      </c>
    </row>
    <row r="74" spans="1:34" x14ac:dyDescent="0.25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202">
        <v>895</v>
      </c>
    </row>
    <row r="75" spans="1:34" x14ac:dyDescent="0.25">
      <c r="A75" s="174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80"/>
    </row>
    <row r="76" spans="1:34" x14ac:dyDescent="0.25">
      <c r="A76" s="174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80"/>
    </row>
    <row r="77" spans="1:34" x14ac:dyDescent="0.25">
      <c r="A77" s="174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80"/>
    </row>
    <row r="78" spans="1:34" x14ac:dyDescent="0.25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93"/>
  <sheetViews>
    <sheetView topLeftCell="A4" zoomScale="55" zoomScaleNormal="55" workbookViewId="0">
      <selection activeCell="A42" sqref="A42:XFD42"/>
    </sheetView>
  </sheetViews>
  <sheetFormatPr defaultRowHeight="15" x14ac:dyDescent="0.25"/>
  <cols>
    <col min="2" max="2" width="41" customWidth="1"/>
    <col min="34" max="34" width="11.42578125" bestFit="1" customWidth="1"/>
  </cols>
  <sheetData>
    <row r="1" spans="1:34" x14ac:dyDescent="0.25">
      <c r="A1" s="189" t="s">
        <v>1</v>
      </c>
      <c r="B1" s="189" t="s">
        <v>6</v>
      </c>
      <c r="C1" s="189" t="s">
        <v>60</v>
      </c>
      <c r="D1" s="189" t="s">
        <v>61</v>
      </c>
      <c r="E1" s="189" t="s">
        <v>62</v>
      </c>
      <c r="F1" s="189" t="s">
        <v>63</v>
      </c>
      <c r="G1" s="189" t="s">
        <v>83</v>
      </c>
      <c r="H1" s="189" t="s">
        <v>84</v>
      </c>
      <c r="I1" s="189" t="s">
        <v>85</v>
      </c>
      <c r="J1" s="189" t="s">
        <v>24</v>
      </c>
      <c r="K1" s="189" t="s">
        <v>25</v>
      </c>
      <c r="L1" s="189" t="s">
        <v>64</v>
      </c>
      <c r="M1" s="189" t="s">
        <v>26</v>
      </c>
      <c r="N1" s="189" t="s">
        <v>65</v>
      </c>
      <c r="O1" s="189" t="s">
        <v>66</v>
      </c>
      <c r="P1" s="189" t="s">
        <v>67</v>
      </c>
      <c r="Q1" s="189" t="s">
        <v>86</v>
      </c>
      <c r="R1" s="189" t="s">
        <v>46</v>
      </c>
      <c r="S1" s="189" t="s">
        <v>47</v>
      </c>
      <c r="T1" s="189" t="s">
        <v>48</v>
      </c>
      <c r="U1" s="189" t="s">
        <v>49</v>
      </c>
      <c r="V1" s="189" t="s">
        <v>50</v>
      </c>
      <c r="W1" s="189" t="s">
        <v>51</v>
      </c>
      <c r="X1" s="189" t="s">
        <v>52</v>
      </c>
      <c r="Y1" s="189" t="s">
        <v>53</v>
      </c>
      <c r="Z1" s="189" t="s">
        <v>54</v>
      </c>
      <c r="AA1" s="189" t="s">
        <v>55</v>
      </c>
      <c r="AB1" s="189" t="s">
        <v>56</v>
      </c>
      <c r="AC1" s="189" t="s">
        <v>57</v>
      </c>
      <c r="AD1" s="189" t="s">
        <v>58</v>
      </c>
      <c r="AE1" s="189" t="s">
        <v>59</v>
      </c>
      <c r="AF1" s="189" t="s">
        <v>639</v>
      </c>
      <c r="AG1" s="189" t="s">
        <v>666</v>
      </c>
      <c r="AH1" s="189" t="s">
        <v>2</v>
      </c>
    </row>
    <row r="2" spans="1:34" x14ac:dyDescent="0.25">
      <c r="A2" s="149">
        <v>1</v>
      </c>
      <c r="B2" s="150" t="s">
        <v>80</v>
      </c>
      <c r="C2" s="150"/>
      <c r="D2" s="150"/>
      <c r="E2" s="150"/>
      <c r="F2" s="150"/>
      <c r="G2" s="150"/>
      <c r="H2" s="150"/>
      <c r="I2" s="150"/>
      <c r="J2" s="150"/>
      <c r="K2" s="150"/>
      <c r="L2" s="150" t="s">
        <v>65</v>
      </c>
      <c r="M2" s="150" t="s">
        <v>65</v>
      </c>
      <c r="N2" s="150" t="s">
        <v>25</v>
      </c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93">
        <v>33</v>
      </c>
    </row>
    <row r="3" spans="1:34" x14ac:dyDescent="0.25">
      <c r="A3" s="149">
        <v>2</v>
      </c>
      <c r="B3" s="150" t="s">
        <v>10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49">
        <v>0</v>
      </c>
    </row>
    <row r="4" spans="1:34" x14ac:dyDescent="0.25">
      <c r="A4" s="149">
        <v>3</v>
      </c>
      <c r="B4" s="150" t="s">
        <v>11</v>
      </c>
      <c r="C4" s="150"/>
      <c r="D4" s="150"/>
      <c r="E4" s="150"/>
      <c r="F4" s="150"/>
      <c r="G4" s="150"/>
      <c r="H4" s="150"/>
      <c r="I4" s="150"/>
      <c r="J4" s="150"/>
      <c r="K4" s="150"/>
      <c r="L4" s="150" t="s">
        <v>25</v>
      </c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93">
        <v>9</v>
      </c>
    </row>
    <row r="5" spans="1:34" x14ac:dyDescent="0.25">
      <c r="A5" s="149">
        <v>4</v>
      </c>
      <c r="B5" s="150" t="s">
        <v>12</v>
      </c>
      <c r="C5" s="150"/>
      <c r="D5" s="150"/>
      <c r="E5" s="150"/>
      <c r="F5" s="150"/>
      <c r="G5" s="150"/>
      <c r="H5" s="150"/>
      <c r="I5" s="150"/>
      <c r="J5" s="150"/>
      <c r="K5" s="150"/>
      <c r="L5" s="150" t="s">
        <v>26</v>
      </c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93">
        <v>11</v>
      </c>
    </row>
    <row r="6" spans="1:34" x14ac:dyDescent="0.25">
      <c r="A6" s="149">
        <v>5</v>
      </c>
      <c r="B6" s="150" t="s">
        <v>664</v>
      </c>
      <c r="C6" s="150"/>
      <c r="D6" s="150"/>
      <c r="E6" s="150"/>
      <c r="F6" s="150" t="s">
        <v>26</v>
      </c>
      <c r="G6" s="150"/>
      <c r="H6" s="150"/>
      <c r="I6" s="150"/>
      <c r="J6" s="150"/>
      <c r="K6" s="150"/>
      <c r="L6" s="150" t="s">
        <v>26</v>
      </c>
      <c r="M6" s="150" t="s">
        <v>65</v>
      </c>
      <c r="N6" s="150" t="s">
        <v>24</v>
      </c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93">
        <v>42</v>
      </c>
    </row>
    <row r="7" spans="1:34" x14ac:dyDescent="0.25">
      <c r="A7" s="149">
        <v>6</v>
      </c>
      <c r="B7" s="150" t="s">
        <v>14</v>
      </c>
      <c r="C7" s="150"/>
      <c r="D7" s="150"/>
      <c r="E7" s="150"/>
      <c r="F7" s="150" t="s">
        <v>26</v>
      </c>
      <c r="G7" s="150"/>
      <c r="H7" s="150"/>
      <c r="I7" s="150"/>
      <c r="J7" s="150"/>
      <c r="K7" s="150"/>
      <c r="L7" s="150" t="s">
        <v>26</v>
      </c>
      <c r="M7" s="150" t="s">
        <v>65</v>
      </c>
      <c r="N7" s="150" t="s">
        <v>24</v>
      </c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93">
        <v>42</v>
      </c>
    </row>
    <row r="8" spans="1:34" x14ac:dyDescent="0.25">
      <c r="A8" s="149">
        <v>7</v>
      </c>
      <c r="B8" s="150" t="s">
        <v>15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49">
        <v>0</v>
      </c>
    </row>
    <row r="9" spans="1:34" x14ac:dyDescent="0.25">
      <c r="A9" s="149">
        <v>8</v>
      </c>
      <c r="B9" s="150" t="s">
        <v>16</v>
      </c>
      <c r="C9" s="150"/>
      <c r="D9" s="150"/>
      <c r="E9" s="150"/>
      <c r="F9" s="150"/>
      <c r="G9" s="150"/>
      <c r="H9" s="150"/>
      <c r="I9" s="150"/>
      <c r="J9" s="150"/>
      <c r="K9" s="150"/>
      <c r="L9" s="150" t="s">
        <v>25</v>
      </c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93">
        <v>9</v>
      </c>
    </row>
    <row r="10" spans="1:34" x14ac:dyDescent="0.25">
      <c r="A10" s="149">
        <v>9</v>
      </c>
      <c r="B10" s="150" t="s">
        <v>4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49">
        <v>0</v>
      </c>
    </row>
    <row r="11" spans="1:34" x14ac:dyDescent="0.25">
      <c r="A11" s="149">
        <v>10</v>
      </c>
      <c r="B11" s="150" t="s">
        <v>5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 t="s">
        <v>26</v>
      </c>
      <c r="N11" s="150" t="s">
        <v>84</v>
      </c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93">
        <v>17</v>
      </c>
    </row>
    <row r="12" spans="1:34" x14ac:dyDescent="0.25">
      <c r="A12" s="149">
        <v>11</v>
      </c>
      <c r="B12" s="150" t="s">
        <v>17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49">
        <v>0</v>
      </c>
    </row>
    <row r="13" spans="1:34" x14ac:dyDescent="0.25">
      <c r="A13" s="149">
        <v>12</v>
      </c>
      <c r="B13" s="150" t="s">
        <v>38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 t="s">
        <v>26</v>
      </c>
      <c r="N13" s="150" t="s">
        <v>85</v>
      </c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93">
        <v>18</v>
      </c>
    </row>
    <row r="14" spans="1:34" x14ac:dyDescent="0.25">
      <c r="A14" s="149">
        <v>13</v>
      </c>
      <c r="B14" s="150" t="s">
        <v>19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49">
        <v>0</v>
      </c>
    </row>
    <row r="15" spans="1:34" x14ac:dyDescent="0.25">
      <c r="A15" s="149">
        <v>14</v>
      </c>
      <c r="B15" s="150" t="s">
        <v>77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49">
        <v>0</v>
      </c>
    </row>
    <row r="16" spans="1:34" x14ac:dyDescent="0.25">
      <c r="A16" s="149">
        <v>15</v>
      </c>
      <c r="B16" s="150" t="s">
        <v>43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 t="s">
        <v>26</v>
      </c>
      <c r="M16" s="150" t="s">
        <v>26</v>
      </c>
      <c r="N16" s="150" t="s">
        <v>24</v>
      </c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93">
        <v>30</v>
      </c>
    </row>
    <row r="17" spans="1:34" x14ac:dyDescent="0.25">
      <c r="A17" s="149">
        <v>16</v>
      </c>
      <c r="B17" s="150" t="s">
        <v>645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49">
        <v>0</v>
      </c>
    </row>
    <row r="18" spans="1:34" x14ac:dyDescent="0.25">
      <c r="A18" s="149">
        <v>17</v>
      </c>
      <c r="B18" s="150" t="s">
        <v>87</v>
      </c>
      <c r="C18" s="150" t="s">
        <v>54</v>
      </c>
      <c r="D18" s="150" t="s">
        <v>54</v>
      </c>
      <c r="E18" s="150" t="s">
        <v>54</v>
      </c>
      <c r="F18" s="150" t="s">
        <v>54</v>
      </c>
      <c r="G18" s="150" t="s">
        <v>54</v>
      </c>
      <c r="H18" s="150" t="s">
        <v>54</v>
      </c>
      <c r="I18" s="150" t="s">
        <v>54</v>
      </c>
      <c r="J18" s="150" t="s">
        <v>54</v>
      </c>
      <c r="K18" s="150" t="s">
        <v>54</v>
      </c>
      <c r="L18" s="150" t="s">
        <v>54</v>
      </c>
      <c r="M18" s="150" t="s">
        <v>54</v>
      </c>
      <c r="N18" s="150" t="s">
        <v>54</v>
      </c>
      <c r="O18" s="150" t="s">
        <v>54</v>
      </c>
      <c r="P18" s="150" t="s">
        <v>54</v>
      </c>
      <c r="Q18" s="150" t="s">
        <v>54</v>
      </c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93">
        <v>360</v>
      </c>
    </row>
    <row r="19" spans="1:34" x14ac:dyDescent="0.25">
      <c r="A19" s="149">
        <v>18</v>
      </c>
      <c r="B19" s="150" t="s">
        <v>95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49">
        <v>0</v>
      </c>
    </row>
    <row r="20" spans="1:34" x14ac:dyDescent="0.25">
      <c r="A20" s="149">
        <v>19</v>
      </c>
      <c r="B20" s="150" t="s">
        <v>97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 t="s">
        <v>26</v>
      </c>
      <c r="M20" s="150" t="s">
        <v>26</v>
      </c>
      <c r="N20" s="150" t="s">
        <v>84</v>
      </c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93">
        <v>28</v>
      </c>
    </row>
    <row r="21" spans="1:34" x14ac:dyDescent="0.25">
      <c r="A21" s="149">
        <v>20</v>
      </c>
      <c r="B21" s="150" t="s">
        <v>96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49">
        <v>0</v>
      </c>
    </row>
    <row r="22" spans="1:34" x14ac:dyDescent="0.25">
      <c r="A22" s="149">
        <v>21</v>
      </c>
      <c r="B22" s="150" t="s">
        <v>98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49">
        <v>0</v>
      </c>
    </row>
    <row r="23" spans="1:34" x14ac:dyDescent="0.25">
      <c r="A23" s="149">
        <v>22</v>
      </c>
      <c r="B23" s="150" t="s">
        <v>99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 t="s">
        <v>26</v>
      </c>
      <c r="N23" s="150" t="s">
        <v>85</v>
      </c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93">
        <v>18</v>
      </c>
    </row>
    <row r="24" spans="1:34" x14ac:dyDescent="0.25">
      <c r="A24" s="149">
        <v>23</v>
      </c>
      <c r="B24" s="150" t="s">
        <v>617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49">
        <v>0</v>
      </c>
    </row>
    <row r="25" spans="1:34" x14ac:dyDescent="0.25">
      <c r="A25" s="149">
        <v>24</v>
      </c>
      <c r="B25" s="150" t="s">
        <v>618</v>
      </c>
      <c r="C25" s="150"/>
      <c r="D25" s="150"/>
      <c r="E25" s="150"/>
      <c r="F25" s="150" t="s">
        <v>54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 t="s">
        <v>54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93">
        <v>48</v>
      </c>
    </row>
    <row r="26" spans="1:34" x14ac:dyDescent="0.25">
      <c r="A26" s="149">
        <v>25</v>
      </c>
      <c r="B26" s="150" t="s">
        <v>629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49">
        <v>0</v>
      </c>
    </row>
    <row r="27" spans="1:34" x14ac:dyDescent="0.25">
      <c r="A27" s="149">
        <v>26</v>
      </c>
      <c r="B27" s="150" t="s">
        <v>619</v>
      </c>
      <c r="C27" s="150"/>
      <c r="D27" s="150"/>
      <c r="E27" s="150"/>
      <c r="F27" s="150" t="s">
        <v>54</v>
      </c>
      <c r="G27" s="150"/>
      <c r="H27" s="150"/>
      <c r="I27" s="150"/>
      <c r="J27" s="150"/>
      <c r="K27" s="150"/>
      <c r="L27" s="150"/>
      <c r="M27" s="150"/>
      <c r="N27" s="150"/>
      <c r="O27" s="150"/>
      <c r="P27" s="150" t="s">
        <v>54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93">
        <v>48</v>
      </c>
    </row>
    <row r="28" spans="1:34" x14ac:dyDescent="0.25">
      <c r="A28" s="149">
        <v>27</v>
      </c>
      <c r="B28" s="150" t="s">
        <v>620</v>
      </c>
      <c r="C28" s="150"/>
      <c r="D28" s="150"/>
      <c r="E28" s="150"/>
      <c r="F28" s="150"/>
      <c r="G28" s="150"/>
      <c r="H28" s="150"/>
      <c r="I28" s="150"/>
      <c r="J28" s="150"/>
      <c r="K28" s="150"/>
      <c r="L28" s="150" t="s">
        <v>26</v>
      </c>
      <c r="M28" s="150" t="s">
        <v>26</v>
      </c>
      <c r="N28" s="150" t="s">
        <v>24</v>
      </c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93">
        <v>30</v>
      </c>
    </row>
    <row r="29" spans="1:34" x14ac:dyDescent="0.25">
      <c r="A29" s="149">
        <v>28</v>
      </c>
      <c r="B29" s="150" t="s">
        <v>622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49">
        <v>0</v>
      </c>
    </row>
    <row r="30" spans="1:34" x14ac:dyDescent="0.25">
      <c r="A30" s="149">
        <v>29</v>
      </c>
      <c r="B30" s="150" t="s">
        <v>665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49">
        <v>0</v>
      </c>
    </row>
    <row r="31" spans="1:34" x14ac:dyDescent="0.25">
      <c r="A31" s="149">
        <v>30</v>
      </c>
      <c r="B31" s="150" t="s">
        <v>623</v>
      </c>
      <c r="C31" s="150"/>
      <c r="D31" s="150"/>
      <c r="E31" s="150"/>
      <c r="F31" s="150" t="s">
        <v>54</v>
      </c>
      <c r="G31" s="150"/>
      <c r="H31" s="150"/>
      <c r="I31" s="150"/>
      <c r="J31" s="150"/>
      <c r="K31" s="150"/>
      <c r="L31" s="150"/>
      <c r="M31" s="150"/>
      <c r="N31" s="150"/>
      <c r="O31" s="150"/>
      <c r="P31" s="150" t="s">
        <v>54</v>
      </c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93">
        <v>48</v>
      </c>
    </row>
    <row r="32" spans="1:34" x14ac:dyDescent="0.25">
      <c r="A32" s="149">
        <v>31</v>
      </c>
      <c r="B32" s="150" t="s">
        <v>624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49">
        <v>0</v>
      </c>
    </row>
    <row r="33" spans="1:34" x14ac:dyDescent="0.25">
      <c r="A33" s="149">
        <v>32</v>
      </c>
      <c r="B33" s="150" t="s">
        <v>625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49">
        <v>0</v>
      </c>
    </row>
    <row r="34" spans="1:34" x14ac:dyDescent="0.25">
      <c r="A34" s="149">
        <v>33</v>
      </c>
      <c r="B34" s="150" t="s">
        <v>626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 t="s">
        <v>85</v>
      </c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93">
        <v>7</v>
      </c>
    </row>
    <row r="35" spans="1:34" x14ac:dyDescent="0.25">
      <c r="A35" s="149">
        <v>34</v>
      </c>
      <c r="B35" s="150" t="s">
        <v>631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49">
        <v>0</v>
      </c>
    </row>
    <row r="36" spans="1:34" x14ac:dyDescent="0.25">
      <c r="A36" s="149">
        <v>35</v>
      </c>
      <c r="B36" s="150" t="s">
        <v>627</v>
      </c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 t="s">
        <v>54</v>
      </c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93">
        <v>24</v>
      </c>
    </row>
    <row r="37" spans="1:34" x14ac:dyDescent="0.25">
      <c r="A37" s="149">
        <v>36</v>
      </c>
      <c r="B37" s="150" t="s">
        <v>34</v>
      </c>
      <c r="C37" s="150" t="s">
        <v>54</v>
      </c>
      <c r="D37" s="150" t="s">
        <v>54</v>
      </c>
      <c r="E37" s="150" t="s">
        <v>54</v>
      </c>
      <c r="F37" s="150" t="s">
        <v>54</v>
      </c>
      <c r="G37" s="150" t="s">
        <v>54</v>
      </c>
      <c r="H37" s="150" t="s">
        <v>54</v>
      </c>
      <c r="I37" s="150" t="s">
        <v>54</v>
      </c>
      <c r="J37" s="150" t="s">
        <v>54</v>
      </c>
      <c r="K37" s="150" t="s">
        <v>54</v>
      </c>
      <c r="L37" s="150" t="s">
        <v>54</v>
      </c>
      <c r="M37" s="150" t="s">
        <v>54</v>
      </c>
      <c r="N37" s="150" t="s">
        <v>54</v>
      </c>
      <c r="O37" s="150" t="s">
        <v>54</v>
      </c>
      <c r="P37" s="150" t="s">
        <v>54</v>
      </c>
      <c r="Q37" s="150" t="s">
        <v>54</v>
      </c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93">
        <v>360</v>
      </c>
    </row>
    <row r="38" spans="1:34" x14ac:dyDescent="0.25">
      <c r="A38" s="149">
        <v>37</v>
      </c>
      <c r="B38" s="150" t="s">
        <v>628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 t="s">
        <v>26</v>
      </c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93">
        <v>11</v>
      </c>
    </row>
    <row r="39" spans="1:34" x14ac:dyDescent="0.25">
      <c r="A39" s="149">
        <v>38</v>
      </c>
      <c r="B39" s="150" t="s">
        <v>621</v>
      </c>
      <c r="C39" s="150"/>
      <c r="D39" s="150"/>
      <c r="E39" s="150"/>
      <c r="F39" s="150"/>
      <c r="G39" s="150"/>
      <c r="H39" s="150"/>
      <c r="I39" s="150"/>
      <c r="J39" s="150" t="s">
        <v>26</v>
      </c>
      <c r="K39" s="150" t="s">
        <v>26</v>
      </c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93">
        <v>22</v>
      </c>
    </row>
    <row r="40" spans="1:34" x14ac:dyDescent="0.25">
      <c r="A40" s="149">
        <v>39</v>
      </c>
      <c r="B40" s="150" t="s">
        <v>45</v>
      </c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49">
        <v>0</v>
      </c>
    </row>
    <row r="41" spans="1:34" x14ac:dyDescent="0.25">
      <c r="A41" s="149">
        <v>40</v>
      </c>
      <c r="B41" s="150" t="s">
        <v>634</v>
      </c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49">
        <v>0</v>
      </c>
    </row>
    <row r="42" spans="1:34" x14ac:dyDescent="0.25">
      <c r="A42" s="149">
        <v>41</v>
      </c>
      <c r="B42" s="150" t="s">
        <v>648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49">
        <v>0</v>
      </c>
    </row>
    <row r="43" spans="1:34" x14ac:dyDescent="0.25">
      <c r="A43" s="149">
        <v>42</v>
      </c>
      <c r="B43" s="150" t="s">
        <v>632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 t="s">
        <v>26</v>
      </c>
      <c r="N43" s="150" t="s">
        <v>25</v>
      </c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93">
        <v>20</v>
      </c>
    </row>
    <row r="44" spans="1:34" x14ac:dyDescent="0.25">
      <c r="A44" s="149">
        <v>43</v>
      </c>
      <c r="B44" s="150" t="s">
        <v>633</v>
      </c>
      <c r="C44" s="150" t="s">
        <v>54</v>
      </c>
      <c r="D44" s="150" t="s">
        <v>54</v>
      </c>
      <c r="E44" s="150" t="s">
        <v>54</v>
      </c>
      <c r="F44" s="150" t="s">
        <v>54</v>
      </c>
      <c r="G44" s="150" t="s">
        <v>54</v>
      </c>
      <c r="H44" s="150" t="s">
        <v>54</v>
      </c>
      <c r="I44" s="150" t="s">
        <v>54</v>
      </c>
      <c r="J44" s="150" t="s">
        <v>54</v>
      </c>
      <c r="K44" s="150" t="s">
        <v>54</v>
      </c>
      <c r="L44" s="150" t="s">
        <v>54</v>
      </c>
      <c r="M44" s="150" t="s">
        <v>54</v>
      </c>
      <c r="N44" s="150" t="s">
        <v>54</v>
      </c>
      <c r="O44" s="150" t="s">
        <v>54</v>
      </c>
      <c r="P44" s="150" t="s">
        <v>54</v>
      </c>
      <c r="Q44" s="150" t="s">
        <v>54</v>
      </c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93">
        <v>360</v>
      </c>
    </row>
    <row r="45" spans="1:34" x14ac:dyDescent="0.25">
      <c r="A45" s="149">
        <v>44</v>
      </c>
      <c r="B45" s="150" t="s">
        <v>635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49">
        <v>0</v>
      </c>
    </row>
    <row r="46" spans="1:34" x14ac:dyDescent="0.25">
      <c r="A46" s="149">
        <v>45</v>
      </c>
      <c r="B46" s="150" t="s">
        <v>636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49">
        <v>0</v>
      </c>
    </row>
    <row r="47" spans="1:34" x14ac:dyDescent="0.25">
      <c r="A47" s="149">
        <v>46</v>
      </c>
      <c r="B47" s="150" t="s">
        <v>637</v>
      </c>
      <c r="C47" s="150"/>
      <c r="D47" s="150"/>
      <c r="E47" s="150" t="s">
        <v>26</v>
      </c>
      <c r="F47" s="150"/>
      <c r="G47" s="150"/>
      <c r="H47" s="150"/>
      <c r="I47" s="150"/>
      <c r="J47" s="150"/>
      <c r="K47" s="150"/>
      <c r="L47" s="150"/>
      <c r="M47" s="150"/>
      <c r="N47" s="150" t="s">
        <v>25</v>
      </c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93">
        <v>20</v>
      </c>
    </row>
    <row r="48" spans="1:34" x14ac:dyDescent="0.25">
      <c r="A48" s="149">
        <v>47</v>
      </c>
      <c r="B48" s="150" t="s">
        <v>638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49">
        <v>0</v>
      </c>
    </row>
    <row r="49" spans="1:34" x14ac:dyDescent="0.25">
      <c r="A49" s="149">
        <v>48</v>
      </c>
      <c r="B49" s="150" t="s">
        <v>630</v>
      </c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49">
        <v>0</v>
      </c>
    </row>
    <row r="50" spans="1:34" x14ac:dyDescent="0.25">
      <c r="A50" s="149">
        <v>49</v>
      </c>
      <c r="B50" s="150" t="s">
        <v>640</v>
      </c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49">
        <v>0</v>
      </c>
    </row>
    <row r="51" spans="1:34" x14ac:dyDescent="0.25">
      <c r="A51" s="149">
        <v>50</v>
      </c>
      <c r="B51" s="150" t="s">
        <v>642</v>
      </c>
      <c r="C51" s="150"/>
      <c r="D51" s="150"/>
      <c r="E51" s="150" t="s">
        <v>26</v>
      </c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93">
        <v>11</v>
      </c>
    </row>
    <row r="52" spans="1:34" x14ac:dyDescent="0.25">
      <c r="A52" s="149">
        <v>51</v>
      </c>
      <c r="B52" s="150" t="s">
        <v>643</v>
      </c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49">
        <v>0</v>
      </c>
    </row>
    <row r="53" spans="1:34" x14ac:dyDescent="0.25">
      <c r="A53" s="149">
        <v>52</v>
      </c>
      <c r="B53" s="150" t="s">
        <v>646</v>
      </c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49">
        <v>0</v>
      </c>
    </row>
    <row r="54" spans="1:34" x14ac:dyDescent="0.25">
      <c r="A54" s="149">
        <v>53</v>
      </c>
      <c r="B54" s="150" t="s">
        <v>644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49">
        <v>0</v>
      </c>
    </row>
    <row r="55" spans="1:34" x14ac:dyDescent="0.25">
      <c r="A55" s="149">
        <v>54</v>
      </c>
      <c r="B55" s="150" t="s">
        <v>641</v>
      </c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49">
        <v>0</v>
      </c>
    </row>
    <row r="56" spans="1:34" x14ac:dyDescent="0.25">
      <c r="A56" s="149">
        <v>55</v>
      </c>
      <c r="B56" s="150" t="s">
        <v>647</v>
      </c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49">
        <v>0</v>
      </c>
    </row>
    <row r="57" spans="1:34" x14ac:dyDescent="0.25">
      <c r="A57" s="149">
        <v>56</v>
      </c>
      <c r="B57" s="150" t="s">
        <v>663</v>
      </c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49">
        <v>0</v>
      </c>
    </row>
    <row r="58" spans="1:34" x14ac:dyDescent="0.25">
      <c r="A58" s="149">
        <v>57</v>
      </c>
      <c r="B58" s="150" t="s">
        <v>649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 t="s">
        <v>26</v>
      </c>
      <c r="M58" s="150" t="s">
        <v>26</v>
      </c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93">
        <v>22</v>
      </c>
    </row>
    <row r="59" spans="1:34" x14ac:dyDescent="0.25">
      <c r="A59" s="149">
        <v>58</v>
      </c>
      <c r="B59" s="150" t="s">
        <v>650</v>
      </c>
      <c r="C59" s="150"/>
      <c r="D59" s="150"/>
      <c r="E59" s="150"/>
      <c r="F59" s="150"/>
      <c r="G59" s="150"/>
      <c r="H59" s="150"/>
      <c r="I59" s="150"/>
      <c r="J59" s="150"/>
      <c r="K59" s="150"/>
      <c r="L59" s="150" t="s">
        <v>26</v>
      </c>
      <c r="M59" s="150" t="s">
        <v>26</v>
      </c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93">
        <v>22</v>
      </c>
    </row>
    <row r="60" spans="1:34" x14ac:dyDescent="0.25">
      <c r="A60" s="149">
        <v>59</v>
      </c>
      <c r="B60" s="150" t="s">
        <v>651</v>
      </c>
      <c r="C60" s="150" t="s">
        <v>54</v>
      </c>
      <c r="D60" s="150" t="s">
        <v>54</v>
      </c>
      <c r="E60" s="150" t="s">
        <v>54</v>
      </c>
      <c r="F60" s="150" t="s">
        <v>54</v>
      </c>
      <c r="G60" s="150" t="s">
        <v>54</v>
      </c>
      <c r="H60" s="150" t="s">
        <v>54</v>
      </c>
      <c r="I60" s="150" t="s">
        <v>54</v>
      </c>
      <c r="J60" s="150" t="s">
        <v>54</v>
      </c>
      <c r="K60" s="150" t="s">
        <v>54</v>
      </c>
      <c r="L60" s="150" t="s">
        <v>54</v>
      </c>
      <c r="M60" s="150" t="s">
        <v>54</v>
      </c>
      <c r="N60" s="150" t="s">
        <v>54</v>
      </c>
      <c r="O60" s="150" t="s">
        <v>54</v>
      </c>
      <c r="P60" s="150" t="s">
        <v>54</v>
      </c>
      <c r="Q60" s="150" t="s">
        <v>54</v>
      </c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93">
        <v>360</v>
      </c>
    </row>
    <row r="61" spans="1:34" x14ac:dyDescent="0.25">
      <c r="A61" s="149">
        <v>60</v>
      </c>
      <c r="B61" s="150" t="s">
        <v>653</v>
      </c>
      <c r="C61" s="150" t="s">
        <v>54</v>
      </c>
      <c r="D61" s="150" t="s">
        <v>54</v>
      </c>
      <c r="E61" s="150" t="s">
        <v>54</v>
      </c>
      <c r="F61" s="150" t="s">
        <v>54</v>
      </c>
      <c r="G61" s="150" t="s">
        <v>54</v>
      </c>
      <c r="H61" s="150" t="s">
        <v>54</v>
      </c>
      <c r="I61" s="150" t="s">
        <v>54</v>
      </c>
      <c r="J61" s="150" t="s">
        <v>54</v>
      </c>
      <c r="K61" s="150" t="s">
        <v>54</v>
      </c>
      <c r="L61" s="150" t="s">
        <v>54</v>
      </c>
      <c r="M61" s="150" t="s">
        <v>54</v>
      </c>
      <c r="N61" s="150" t="s">
        <v>54</v>
      </c>
      <c r="O61" s="150" t="s">
        <v>54</v>
      </c>
      <c r="P61" s="150" t="s">
        <v>54</v>
      </c>
      <c r="Q61" s="150" t="s">
        <v>54</v>
      </c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93">
        <v>360</v>
      </c>
    </row>
    <row r="62" spans="1:34" x14ac:dyDescent="0.25">
      <c r="A62" s="149">
        <v>61</v>
      </c>
      <c r="B62" s="150" t="s">
        <v>654</v>
      </c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49">
        <v>0</v>
      </c>
    </row>
    <row r="63" spans="1:34" x14ac:dyDescent="0.25">
      <c r="A63" s="149">
        <v>62</v>
      </c>
      <c r="B63" s="150" t="s">
        <v>655</v>
      </c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 t="s">
        <v>26</v>
      </c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93">
        <v>11</v>
      </c>
    </row>
    <row r="64" spans="1:34" x14ac:dyDescent="0.25">
      <c r="A64" s="149">
        <v>63</v>
      </c>
      <c r="B64" s="150" t="s">
        <v>656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49">
        <v>0</v>
      </c>
    </row>
    <row r="65" spans="1:34" x14ac:dyDescent="0.25">
      <c r="A65" s="149">
        <v>64</v>
      </c>
      <c r="B65" s="150" t="s">
        <v>657</v>
      </c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49">
        <v>0</v>
      </c>
    </row>
    <row r="66" spans="1:34" x14ac:dyDescent="0.25">
      <c r="A66" s="149">
        <v>65</v>
      </c>
      <c r="B66" s="150" t="s">
        <v>658</v>
      </c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49">
        <v>0</v>
      </c>
    </row>
    <row r="67" spans="1:34" x14ac:dyDescent="0.25">
      <c r="A67" s="149">
        <v>66</v>
      </c>
      <c r="B67" s="150" t="s">
        <v>660</v>
      </c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49">
        <v>0</v>
      </c>
    </row>
    <row r="68" spans="1:34" x14ac:dyDescent="0.25">
      <c r="A68" s="149">
        <v>67</v>
      </c>
      <c r="B68" s="150" t="s">
        <v>661</v>
      </c>
      <c r="C68" s="150"/>
      <c r="D68" s="150"/>
      <c r="E68" s="150"/>
      <c r="F68" s="150"/>
      <c r="G68" s="150"/>
      <c r="H68" s="150"/>
      <c r="I68" s="150"/>
      <c r="J68" s="150" t="s">
        <v>26</v>
      </c>
      <c r="K68" s="150" t="s">
        <v>26</v>
      </c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93">
        <v>22</v>
      </c>
    </row>
    <row r="69" spans="1:34" x14ac:dyDescent="0.25">
      <c r="A69" s="149">
        <v>68</v>
      </c>
      <c r="B69" s="150" t="s">
        <v>662</v>
      </c>
      <c r="C69" s="150"/>
      <c r="D69" s="150"/>
      <c r="E69" s="150"/>
      <c r="F69" s="150"/>
      <c r="G69" s="150"/>
      <c r="H69" s="150"/>
      <c r="I69" s="150"/>
      <c r="J69" s="150" t="s">
        <v>26</v>
      </c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93">
        <v>11</v>
      </c>
    </row>
    <row r="70" spans="1:34" x14ac:dyDescent="0.25">
      <c r="A70" s="149">
        <v>69</v>
      </c>
      <c r="B70" s="150" t="s">
        <v>20</v>
      </c>
      <c r="C70" s="150"/>
      <c r="D70" s="150"/>
      <c r="E70" s="150"/>
      <c r="F70" s="150"/>
      <c r="G70" s="150"/>
      <c r="H70" s="150"/>
      <c r="I70" s="150"/>
      <c r="J70" s="150" t="s">
        <v>26</v>
      </c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93">
        <v>11</v>
      </c>
    </row>
    <row r="71" spans="1:34" x14ac:dyDescent="0.25">
      <c r="A71" s="149">
        <v>70</v>
      </c>
      <c r="B71" s="150" t="s">
        <v>667</v>
      </c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49">
        <v>0</v>
      </c>
    </row>
    <row r="72" spans="1:34" x14ac:dyDescent="0.25">
      <c r="A72" s="149">
        <v>71</v>
      </c>
      <c r="B72" s="150" t="s">
        <v>668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49">
        <v>0</v>
      </c>
    </row>
    <row r="73" spans="1:34" x14ac:dyDescent="0.25">
      <c r="A73" s="149">
        <v>72</v>
      </c>
      <c r="B73" s="150" t="s">
        <v>669</v>
      </c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49">
        <v>0</v>
      </c>
    </row>
    <row r="74" spans="1:34" x14ac:dyDescent="0.25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94">
        <v>2445</v>
      </c>
    </row>
    <row r="75" spans="1:34" x14ac:dyDescent="0.25">
      <c r="A75" s="149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80"/>
    </row>
    <row r="76" spans="1:34" x14ac:dyDescent="0.25">
      <c r="A76" s="149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80"/>
      <c r="AH76" s="170"/>
    </row>
    <row r="77" spans="1:34" x14ac:dyDescent="0.25">
      <c r="A77" s="149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80"/>
      <c r="AH77" s="170"/>
    </row>
    <row r="78" spans="1:34" x14ac:dyDescent="0.25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70"/>
    </row>
    <row r="79" spans="1:34" x14ac:dyDescent="0.25">
      <c r="A79" s="157"/>
      <c r="B79" s="157"/>
      <c r="C79" s="146"/>
      <c r="D79" s="146"/>
      <c r="E79" s="146"/>
      <c r="F79" s="146"/>
    </row>
    <row r="80" spans="1:34" x14ac:dyDescent="0.25">
      <c r="A80" s="157"/>
      <c r="B80" s="157"/>
      <c r="C80" s="146"/>
      <c r="D80" s="146"/>
      <c r="E80" s="146"/>
      <c r="F80" s="146"/>
    </row>
    <row r="81" spans="1:6" x14ac:dyDescent="0.25">
      <c r="A81" s="157"/>
      <c r="B81" s="157"/>
      <c r="C81" s="146"/>
      <c r="D81" s="146"/>
      <c r="E81" s="146"/>
      <c r="F81" s="146"/>
    </row>
    <row r="82" spans="1:6" x14ac:dyDescent="0.25">
      <c r="A82" s="157"/>
      <c r="B82" s="157"/>
      <c r="C82" s="146"/>
      <c r="D82" s="146"/>
      <c r="E82" s="146"/>
      <c r="F82" s="146"/>
    </row>
    <row r="83" spans="1:6" x14ac:dyDescent="0.25">
      <c r="A83" s="157"/>
      <c r="B83" s="157"/>
      <c r="C83" s="146"/>
      <c r="D83" s="146"/>
      <c r="E83" s="146"/>
      <c r="F83" s="146"/>
    </row>
    <row r="84" spans="1:6" x14ac:dyDescent="0.25">
      <c r="A84" s="157"/>
      <c r="B84" s="157"/>
      <c r="C84" s="146"/>
      <c r="D84" s="146"/>
      <c r="E84" s="146"/>
      <c r="F84" s="146"/>
    </row>
    <row r="85" spans="1:6" x14ac:dyDescent="0.25">
      <c r="A85" s="157"/>
      <c r="B85" s="157"/>
      <c r="C85" s="146"/>
      <c r="D85" s="146"/>
      <c r="E85" s="146"/>
      <c r="F85" s="146"/>
    </row>
    <row r="86" spans="1:6" x14ac:dyDescent="0.25">
      <c r="A86" s="157"/>
      <c r="B86" s="157"/>
      <c r="C86" s="146"/>
      <c r="D86" s="146"/>
      <c r="E86" s="146"/>
      <c r="F86" s="146"/>
    </row>
    <row r="87" spans="1:6" x14ac:dyDescent="0.25">
      <c r="A87" s="157"/>
      <c r="B87" s="157"/>
      <c r="C87" s="146"/>
      <c r="D87" s="146"/>
      <c r="E87" s="146"/>
      <c r="F87" s="146"/>
    </row>
    <row r="88" spans="1:6" x14ac:dyDescent="0.25">
      <c r="A88" s="157"/>
      <c r="B88" s="157"/>
      <c r="C88" s="146"/>
      <c r="D88" s="146"/>
      <c r="E88" s="146"/>
    </row>
    <row r="89" spans="1:6" x14ac:dyDescent="0.25">
      <c r="A89" s="157"/>
      <c r="B89" s="157"/>
      <c r="C89" s="146"/>
      <c r="D89" s="146"/>
      <c r="E89" s="146"/>
    </row>
    <row r="90" spans="1:6" x14ac:dyDescent="0.25">
      <c r="A90" s="157"/>
      <c r="B90" s="157"/>
      <c r="C90" s="146"/>
      <c r="D90" s="146"/>
      <c r="E90" s="146"/>
    </row>
    <row r="91" spans="1:6" x14ac:dyDescent="0.25">
      <c r="A91" s="157"/>
      <c r="B91" s="157"/>
      <c r="C91" s="146"/>
      <c r="D91" s="146"/>
      <c r="E91" s="146"/>
    </row>
    <row r="92" spans="1:6" x14ac:dyDescent="0.25">
      <c r="A92" s="157"/>
      <c r="B92" s="157"/>
      <c r="C92" s="146"/>
      <c r="D92" s="146"/>
      <c r="E92" s="146"/>
    </row>
    <row r="93" spans="1:6" x14ac:dyDescent="0.25">
      <c r="A93" s="157"/>
      <c r="B93" s="157"/>
      <c r="C93" s="146"/>
      <c r="D93" s="146"/>
      <c r="E93" s="146"/>
    </row>
    <row r="94" spans="1:6" x14ac:dyDescent="0.25">
      <c r="A94" s="157"/>
      <c r="B94" s="157"/>
      <c r="C94" s="146"/>
      <c r="D94" s="146"/>
      <c r="E94" s="146"/>
    </row>
    <row r="95" spans="1:6" x14ac:dyDescent="0.25">
      <c r="A95" s="157"/>
      <c r="B95" s="157"/>
      <c r="C95" s="146"/>
      <c r="D95" s="146"/>
      <c r="E95" s="146"/>
    </row>
    <row r="96" spans="1:6" x14ac:dyDescent="0.25">
      <c r="A96" s="157"/>
      <c r="B96" s="157"/>
      <c r="C96" s="146"/>
      <c r="D96" s="146"/>
      <c r="E96" s="146"/>
    </row>
    <row r="97" spans="1:5" x14ac:dyDescent="0.25">
      <c r="A97" s="157"/>
      <c r="B97" s="157"/>
      <c r="C97" s="146"/>
      <c r="D97" s="146"/>
      <c r="E97" s="146"/>
    </row>
    <row r="98" spans="1:5" x14ac:dyDescent="0.25">
      <c r="A98" s="157"/>
      <c r="B98" s="157"/>
      <c r="C98" s="146"/>
      <c r="D98" s="146"/>
      <c r="E98" s="146"/>
    </row>
    <row r="99" spans="1:5" x14ac:dyDescent="0.25">
      <c r="A99" s="157"/>
      <c r="B99" s="157"/>
      <c r="C99" s="146"/>
      <c r="D99" s="146"/>
      <c r="E99" s="146"/>
    </row>
    <row r="100" spans="1:5" x14ac:dyDescent="0.25">
      <c r="A100" s="157"/>
      <c r="B100" s="157"/>
      <c r="C100" s="146"/>
      <c r="D100" s="146"/>
      <c r="E100" s="146"/>
    </row>
    <row r="101" spans="1:5" x14ac:dyDescent="0.25">
      <c r="A101" s="157"/>
      <c r="B101" s="157"/>
      <c r="C101" s="146"/>
      <c r="D101" s="146"/>
      <c r="E101" s="146"/>
    </row>
    <row r="102" spans="1:5" x14ac:dyDescent="0.25">
      <c r="A102" s="157"/>
      <c r="B102" s="157"/>
      <c r="C102" s="146"/>
      <c r="D102" s="146"/>
      <c r="E102" s="146"/>
    </row>
    <row r="103" spans="1:5" x14ac:dyDescent="0.25">
      <c r="A103" s="157"/>
      <c r="B103" s="157"/>
      <c r="C103" s="146"/>
      <c r="D103" s="146"/>
      <c r="E103" s="146"/>
    </row>
    <row r="104" spans="1:5" x14ac:dyDescent="0.25">
      <c r="A104" s="157"/>
      <c r="B104" s="157"/>
      <c r="C104" s="146"/>
      <c r="D104" s="146"/>
      <c r="E104" s="146"/>
    </row>
    <row r="105" spans="1:5" x14ac:dyDescent="0.25">
      <c r="A105" s="157"/>
      <c r="B105" s="157"/>
      <c r="C105" s="146"/>
      <c r="D105" s="146"/>
      <c r="E105" s="146"/>
    </row>
    <row r="106" spans="1:5" x14ac:dyDescent="0.25">
      <c r="A106" s="157"/>
      <c r="B106" s="157"/>
      <c r="C106" s="146"/>
      <c r="D106" s="146"/>
      <c r="E106" s="146"/>
    </row>
    <row r="107" spans="1:5" x14ac:dyDescent="0.25">
      <c r="A107" s="157"/>
      <c r="B107" s="157"/>
      <c r="C107" s="146"/>
      <c r="D107" s="146"/>
      <c r="E107" s="146"/>
    </row>
    <row r="108" spans="1:5" x14ac:dyDescent="0.25">
      <c r="A108" s="157"/>
      <c r="B108" s="157"/>
      <c r="C108" s="146"/>
      <c r="D108" s="146"/>
      <c r="E108" s="146"/>
    </row>
    <row r="109" spans="1:5" x14ac:dyDescent="0.25">
      <c r="A109" s="157"/>
      <c r="B109" s="157"/>
      <c r="C109" s="146"/>
      <c r="D109" s="146"/>
      <c r="E109" s="146"/>
    </row>
    <row r="110" spans="1:5" x14ac:dyDescent="0.25">
      <c r="A110" s="157"/>
      <c r="B110" s="157"/>
      <c r="C110" s="146"/>
      <c r="D110" s="146"/>
      <c r="E110" s="146"/>
    </row>
    <row r="111" spans="1:5" x14ac:dyDescent="0.25">
      <c r="A111" s="157"/>
      <c r="B111" s="157"/>
      <c r="C111" s="146"/>
      <c r="D111" s="146"/>
      <c r="E111" s="146"/>
    </row>
    <row r="112" spans="1:5" x14ac:dyDescent="0.25">
      <c r="A112" s="157"/>
      <c r="B112" s="157"/>
      <c r="C112" s="146"/>
      <c r="D112" s="146"/>
      <c r="E112" s="146"/>
    </row>
    <row r="113" spans="1:5" x14ac:dyDescent="0.25">
      <c r="A113" s="157"/>
      <c r="B113" s="157"/>
      <c r="C113" s="146"/>
      <c r="D113" s="146"/>
      <c r="E113" s="146"/>
    </row>
    <row r="114" spans="1:5" x14ac:dyDescent="0.25">
      <c r="A114" s="157"/>
      <c r="B114" s="157"/>
      <c r="C114" s="146"/>
      <c r="D114" s="146"/>
      <c r="E114" s="146"/>
    </row>
    <row r="115" spans="1:5" x14ac:dyDescent="0.25">
      <c r="A115" s="157"/>
      <c r="B115" s="157"/>
      <c r="C115" s="146"/>
      <c r="D115" s="146"/>
      <c r="E115" s="146"/>
    </row>
    <row r="116" spans="1:5" x14ac:dyDescent="0.25">
      <c r="A116" s="157"/>
      <c r="B116" s="157"/>
      <c r="C116" s="146"/>
      <c r="D116" s="146"/>
      <c r="E116" s="146"/>
    </row>
    <row r="117" spans="1:5" x14ac:dyDescent="0.25">
      <c r="A117" s="157"/>
      <c r="B117" s="157"/>
      <c r="C117" s="146"/>
      <c r="D117" s="146"/>
      <c r="E117" s="146"/>
    </row>
    <row r="118" spans="1:5" x14ac:dyDescent="0.25">
      <c r="A118" s="157"/>
      <c r="B118" s="157"/>
      <c r="C118" s="146"/>
      <c r="D118" s="146"/>
      <c r="E118" s="146"/>
    </row>
    <row r="119" spans="1:5" x14ac:dyDescent="0.25">
      <c r="A119" s="157"/>
      <c r="B119" s="157"/>
      <c r="C119" s="146"/>
      <c r="D119" s="146"/>
      <c r="E119" s="146"/>
    </row>
    <row r="120" spans="1:5" x14ac:dyDescent="0.25">
      <c r="A120" s="157"/>
      <c r="B120" s="157"/>
      <c r="C120" s="146"/>
      <c r="D120" s="146"/>
      <c r="E120" s="146"/>
    </row>
    <row r="121" spans="1:5" x14ac:dyDescent="0.25">
      <c r="A121" s="157"/>
      <c r="B121" s="157"/>
      <c r="C121" s="146"/>
      <c r="D121" s="146"/>
      <c r="E121" s="146"/>
    </row>
    <row r="122" spans="1:5" x14ac:dyDescent="0.25">
      <c r="A122" s="157"/>
      <c r="B122" s="157"/>
      <c r="C122" s="146"/>
      <c r="D122" s="146"/>
      <c r="E122" s="146"/>
    </row>
    <row r="123" spans="1:5" x14ac:dyDescent="0.25">
      <c r="A123" s="157"/>
      <c r="B123" s="157"/>
      <c r="C123" s="146"/>
      <c r="D123" s="146"/>
      <c r="E123" s="146"/>
    </row>
    <row r="124" spans="1:5" x14ac:dyDescent="0.25">
      <c r="A124" s="157"/>
      <c r="B124" s="157"/>
      <c r="C124" s="146"/>
      <c r="D124" s="146"/>
      <c r="E124" s="146"/>
    </row>
    <row r="125" spans="1:5" x14ac:dyDescent="0.25">
      <c r="A125" s="157"/>
      <c r="B125" s="157"/>
      <c r="C125" s="146"/>
      <c r="D125" s="146"/>
      <c r="E125" s="146"/>
    </row>
    <row r="126" spans="1:5" x14ac:dyDescent="0.25">
      <c r="A126" s="157"/>
      <c r="B126" s="157"/>
      <c r="C126" s="146"/>
      <c r="D126" s="146"/>
      <c r="E126" s="146"/>
    </row>
    <row r="127" spans="1:5" x14ac:dyDescent="0.25">
      <c r="A127" s="157"/>
      <c r="B127" s="157"/>
      <c r="C127" s="146"/>
      <c r="D127" s="146"/>
      <c r="E127" s="146"/>
    </row>
    <row r="128" spans="1:5" x14ac:dyDescent="0.25">
      <c r="A128" s="157"/>
      <c r="B128" s="157"/>
      <c r="C128" s="146"/>
      <c r="D128" s="146"/>
      <c r="E128" s="146"/>
    </row>
    <row r="129" spans="1:5" x14ac:dyDescent="0.25">
      <c r="A129" s="157"/>
      <c r="B129" s="157"/>
      <c r="C129" s="146"/>
      <c r="D129" s="146"/>
      <c r="E129" s="146"/>
    </row>
    <row r="130" spans="1:5" x14ac:dyDescent="0.25">
      <c r="A130" s="157"/>
      <c r="B130" s="157"/>
      <c r="C130" s="146"/>
      <c r="D130" s="146"/>
      <c r="E130" s="146"/>
    </row>
    <row r="131" spans="1:5" x14ac:dyDescent="0.25">
      <c r="A131" s="157"/>
      <c r="B131" s="157"/>
      <c r="C131" s="146"/>
      <c r="D131" s="146"/>
      <c r="E131" s="146"/>
    </row>
    <row r="132" spans="1:5" x14ac:dyDescent="0.25">
      <c r="A132" s="157"/>
      <c r="B132" s="157"/>
      <c r="C132" s="146"/>
      <c r="D132" s="146"/>
      <c r="E132" s="146"/>
    </row>
    <row r="133" spans="1:5" x14ac:dyDescent="0.25">
      <c r="A133" s="157"/>
      <c r="B133" s="157"/>
      <c r="C133" s="146"/>
      <c r="D133" s="146"/>
      <c r="E133" s="146"/>
    </row>
    <row r="134" spans="1:5" x14ac:dyDescent="0.25">
      <c r="A134" s="157"/>
      <c r="B134" s="157"/>
      <c r="C134" s="146"/>
      <c r="D134" s="146"/>
      <c r="E134" s="146"/>
    </row>
    <row r="135" spans="1:5" x14ac:dyDescent="0.25">
      <c r="A135" s="157"/>
      <c r="B135" s="157"/>
      <c r="C135" s="146"/>
      <c r="D135" s="146"/>
      <c r="E135" s="146"/>
    </row>
    <row r="136" spans="1:5" x14ac:dyDescent="0.25">
      <c r="A136" s="157"/>
      <c r="B136" s="157"/>
      <c r="C136" s="146"/>
      <c r="D136" s="146"/>
      <c r="E136" s="146"/>
    </row>
    <row r="137" spans="1:5" x14ac:dyDescent="0.25">
      <c r="A137" s="157"/>
      <c r="B137" s="157"/>
      <c r="C137" s="146"/>
      <c r="D137" s="146"/>
      <c r="E137" s="146"/>
    </row>
    <row r="138" spans="1:5" x14ac:dyDescent="0.25">
      <c r="A138" s="157"/>
      <c r="B138" s="157"/>
    </row>
    <row r="139" spans="1:5" x14ac:dyDescent="0.25">
      <c r="A139" s="157"/>
      <c r="B139" s="157"/>
    </row>
    <row r="140" spans="1:5" x14ac:dyDescent="0.25">
      <c r="A140" s="157"/>
      <c r="B140" s="157"/>
    </row>
    <row r="141" spans="1:5" x14ac:dyDescent="0.25">
      <c r="A141" s="157"/>
      <c r="B141" s="157"/>
    </row>
    <row r="142" spans="1:5" x14ac:dyDescent="0.25">
      <c r="A142" s="157"/>
      <c r="B142" s="157"/>
    </row>
    <row r="143" spans="1:5" x14ac:dyDescent="0.25">
      <c r="A143" s="157"/>
      <c r="B143" s="157"/>
    </row>
    <row r="144" spans="1:5" x14ac:dyDescent="0.25">
      <c r="A144" s="157"/>
      <c r="B144" s="157"/>
    </row>
    <row r="145" spans="1:2" x14ac:dyDescent="0.25">
      <c r="A145" s="157"/>
      <c r="B145" s="157"/>
    </row>
    <row r="146" spans="1:2" x14ac:dyDescent="0.25">
      <c r="A146" s="157"/>
      <c r="B146" s="157"/>
    </row>
    <row r="147" spans="1:2" x14ac:dyDescent="0.25">
      <c r="A147" s="157"/>
      <c r="B147" s="157"/>
    </row>
    <row r="148" spans="1:2" x14ac:dyDescent="0.25">
      <c r="A148" s="157"/>
      <c r="B148" s="157"/>
    </row>
    <row r="149" spans="1:2" x14ac:dyDescent="0.25">
      <c r="A149" s="157"/>
      <c r="B149" s="157"/>
    </row>
    <row r="150" spans="1:2" x14ac:dyDescent="0.25">
      <c r="A150" s="157"/>
      <c r="B150" s="157"/>
    </row>
    <row r="151" spans="1:2" x14ac:dyDescent="0.25">
      <c r="A151" s="157"/>
      <c r="B151" s="157"/>
    </row>
    <row r="152" spans="1:2" x14ac:dyDescent="0.25">
      <c r="A152" s="157"/>
      <c r="B152" s="157"/>
    </row>
    <row r="153" spans="1:2" x14ac:dyDescent="0.25">
      <c r="A153" s="157"/>
      <c r="B153" s="157"/>
    </row>
    <row r="154" spans="1:2" x14ac:dyDescent="0.25">
      <c r="A154" s="157"/>
      <c r="B154" s="157"/>
    </row>
    <row r="155" spans="1:2" x14ac:dyDescent="0.25">
      <c r="A155" s="157"/>
      <c r="B155" s="157"/>
    </row>
    <row r="156" spans="1:2" x14ac:dyDescent="0.25">
      <c r="A156" s="157"/>
      <c r="B156" s="157"/>
    </row>
    <row r="157" spans="1:2" x14ac:dyDescent="0.25">
      <c r="A157" s="157"/>
      <c r="B157" s="157"/>
    </row>
    <row r="158" spans="1:2" x14ac:dyDescent="0.25">
      <c r="A158" s="157"/>
      <c r="B158" s="157"/>
    </row>
    <row r="159" spans="1:2" x14ac:dyDescent="0.25">
      <c r="A159" s="157"/>
      <c r="B159" s="157"/>
    </row>
    <row r="160" spans="1:2" x14ac:dyDescent="0.25">
      <c r="A160" s="157"/>
      <c r="B160" s="157"/>
    </row>
    <row r="161" spans="1:2" x14ac:dyDescent="0.25">
      <c r="A161" s="157"/>
      <c r="B161" s="157"/>
    </row>
    <row r="162" spans="1:2" x14ac:dyDescent="0.25">
      <c r="A162" s="157"/>
      <c r="B162" s="157"/>
    </row>
    <row r="163" spans="1:2" x14ac:dyDescent="0.25">
      <c r="A163" s="157"/>
      <c r="B163" s="157"/>
    </row>
    <row r="164" spans="1:2" x14ac:dyDescent="0.25">
      <c r="A164" s="157"/>
      <c r="B164" s="157"/>
    </row>
    <row r="165" spans="1:2" x14ac:dyDescent="0.25">
      <c r="A165" s="157"/>
      <c r="B165" s="157"/>
    </row>
    <row r="166" spans="1:2" x14ac:dyDescent="0.25">
      <c r="A166" s="157"/>
      <c r="B166" s="157"/>
    </row>
    <row r="167" spans="1:2" x14ac:dyDescent="0.25">
      <c r="A167" s="157"/>
      <c r="B167" s="157"/>
    </row>
    <row r="168" spans="1:2" x14ac:dyDescent="0.25">
      <c r="A168" s="157"/>
      <c r="B168" s="157"/>
    </row>
    <row r="169" spans="1:2" x14ac:dyDescent="0.25">
      <c r="A169" s="157"/>
      <c r="B169" s="157"/>
    </row>
    <row r="170" spans="1:2" x14ac:dyDescent="0.25">
      <c r="A170" s="157"/>
      <c r="B170" s="157"/>
    </row>
    <row r="171" spans="1:2" x14ac:dyDescent="0.25">
      <c r="A171" s="157"/>
      <c r="B171" s="157"/>
    </row>
    <row r="172" spans="1:2" x14ac:dyDescent="0.25">
      <c r="A172" s="157"/>
      <c r="B172" s="157"/>
    </row>
    <row r="173" spans="1:2" x14ac:dyDescent="0.25">
      <c r="A173" s="157"/>
      <c r="B173" s="157"/>
    </row>
    <row r="174" spans="1:2" x14ac:dyDescent="0.25">
      <c r="A174" s="157"/>
      <c r="B174" s="157"/>
    </row>
    <row r="175" spans="1:2" x14ac:dyDescent="0.25">
      <c r="A175" s="157"/>
      <c r="B175" s="157"/>
    </row>
    <row r="176" spans="1:2" x14ac:dyDescent="0.25">
      <c r="A176" s="157"/>
      <c r="B176" s="157"/>
    </row>
    <row r="177" spans="1:2" x14ac:dyDescent="0.25">
      <c r="A177" s="157"/>
      <c r="B177" s="157"/>
    </row>
    <row r="178" spans="1:2" x14ac:dyDescent="0.25">
      <c r="A178" s="157"/>
      <c r="B178" s="157"/>
    </row>
    <row r="179" spans="1:2" x14ac:dyDescent="0.25">
      <c r="A179" s="157"/>
      <c r="B179" s="157"/>
    </row>
    <row r="180" spans="1:2" x14ac:dyDescent="0.25">
      <c r="A180" s="157"/>
      <c r="B180" s="157"/>
    </row>
    <row r="181" spans="1:2" x14ac:dyDescent="0.25">
      <c r="A181" s="157"/>
      <c r="B181" s="157"/>
    </row>
    <row r="182" spans="1:2" x14ac:dyDescent="0.25">
      <c r="A182" s="157"/>
      <c r="B182" s="157"/>
    </row>
    <row r="183" spans="1:2" x14ac:dyDescent="0.25">
      <c r="A183" s="157"/>
      <c r="B183" s="157"/>
    </row>
    <row r="184" spans="1:2" x14ac:dyDescent="0.25">
      <c r="A184" s="157"/>
      <c r="B184" s="157"/>
    </row>
    <row r="185" spans="1:2" x14ac:dyDescent="0.25">
      <c r="A185" s="157"/>
      <c r="B185" s="157"/>
    </row>
    <row r="186" spans="1:2" x14ac:dyDescent="0.25">
      <c r="A186" s="157"/>
      <c r="B186" s="157"/>
    </row>
    <row r="187" spans="1:2" x14ac:dyDescent="0.25">
      <c r="A187" s="157"/>
      <c r="B187" s="157"/>
    </row>
    <row r="188" spans="1:2" x14ac:dyDescent="0.25">
      <c r="A188" s="157"/>
      <c r="B188" s="157"/>
    </row>
    <row r="189" spans="1:2" x14ac:dyDescent="0.25">
      <c r="A189" s="157"/>
      <c r="B189" s="157"/>
    </row>
    <row r="190" spans="1:2" x14ac:dyDescent="0.25">
      <c r="A190" s="157"/>
      <c r="B190" s="157"/>
    </row>
    <row r="191" spans="1:2" x14ac:dyDescent="0.25">
      <c r="A191" s="157"/>
      <c r="B191" s="157"/>
    </row>
    <row r="192" spans="1:2" x14ac:dyDescent="0.25">
      <c r="A192" s="157"/>
      <c r="B192" s="157"/>
    </row>
    <row r="193" spans="1:2" x14ac:dyDescent="0.25">
      <c r="A193" s="157"/>
      <c r="B193" s="157"/>
    </row>
    <row r="194" spans="1:2" x14ac:dyDescent="0.25">
      <c r="A194" s="157"/>
      <c r="B194" s="157"/>
    </row>
    <row r="195" spans="1:2" x14ac:dyDescent="0.25">
      <c r="A195" s="157"/>
      <c r="B195" s="157"/>
    </row>
    <row r="196" spans="1:2" x14ac:dyDescent="0.25">
      <c r="A196" s="157"/>
      <c r="B196" s="157"/>
    </row>
    <row r="197" spans="1:2" x14ac:dyDescent="0.25">
      <c r="A197" s="157"/>
      <c r="B197" s="157"/>
    </row>
    <row r="198" spans="1:2" x14ac:dyDescent="0.25">
      <c r="A198" s="157"/>
      <c r="B198" s="157"/>
    </row>
    <row r="199" spans="1:2" x14ac:dyDescent="0.25">
      <c r="A199" s="157"/>
      <c r="B199" s="157"/>
    </row>
    <row r="200" spans="1:2" x14ac:dyDescent="0.25">
      <c r="A200" s="157"/>
      <c r="B200" s="157"/>
    </row>
    <row r="201" spans="1:2" x14ac:dyDescent="0.25">
      <c r="A201" s="157"/>
      <c r="B201" s="157"/>
    </row>
    <row r="202" spans="1:2" x14ac:dyDescent="0.25">
      <c r="A202" s="157"/>
      <c r="B202" s="157"/>
    </row>
    <row r="203" spans="1:2" x14ac:dyDescent="0.25">
      <c r="A203" s="157"/>
      <c r="B203" s="157"/>
    </row>
    <row r="204" spans="1:2" x14ac:dyDescent="0.25">
      <c r="A204" s="157"/>
      <c r="B204" s="157"/>
    </row>
    <row r="205" spans="1:2" x14ac:dyDescent="0.25">
      <c r="A205" s="157"/>
      <c r="B205" s="157"/>
    </row>
    <row r="206" spans="1:2" x14ac:dyDescent="0.25">
      <c r="A206" s="157"/>
      <c r="B206" s="157"/>
    </row>
    <row r="207" spans="1:2" x14ac:dyDescent="0.25">
      <c r="A207" s="157"/>
      <c r="B207" s="157"/>
    </row>
    <row r="208" spans="1:2" x14ac:dyDescent="0.25">
      <c r="A208" s="157"/>
      <c r="B208" s="157"/>
    </row>
    <row r="209" spans="1:2" x14ac:dyDescent="0.25">
      <c r="A209" s="157"/>
      <c r="B209" s="157"/>
    </row>
    <row r="210" spans="1:2" x14ac:dyDescent="0.25">
      <c r="A210" s="157"/>
      <c r="B210" s="157"/>
    </row>
    <row r="211" spans="1:2" x14ac:dyDescent="0.25">
      <c r="A211" s="157"/>
      <c r="B211" s="157"/>
    </row>
    <row r="212" spans="1:2" x14ac:dyDescent="0.25">
      <c r="A212" s="157"/>
      <c r="B212" s="157"/>
    </row>
    <row r="213" spans="1:2" x14ac:dyDescent="0.25">
      <c r="A213" s="157"/>
      <c r="B213" s="157"/>
    </row>
    <row r="214" spans="1:2" x14ac:dyDescent="0.25">
      <c r="A214" s="157"/>
      <c r="B214" s="157"/>
    </row>
    <row r="215" spans="1:2" x14ac:dyDescent="0.25">
      <c r="A215" s="157"/>
      <c r="B215" s="157"/>
    </row>
    <row r="216" spans="1:2" x14ac:dyDescent="0.25">
      <c r="A216" s="157"/>
      <c r="B216" s="157"/>
    </row>
    <row r="217" spans="1:2" x14ac:dyDescent="0.25">
      <c r="A217" s="157"/>
      <c r="B217" s="157"/>
    </row>
    <row r="218" spans="1:2" x14ac:dyDescent="0.25">
      <c r="A218" s="157"/>
      <c r="B218" s="157"/>
    </row>
    <row r="219" spans="1:2" x14ac:dyDescent="0.25">
      <c r="A219" s="157"/>
      <c r="B219" s="157"/>
    </row>
    <row r="220" spans="1:2" x14ac:dyDescent="0.25">
      <c r="A220" s="157"/>
      <c r="B220" s="157"/>
    </row>
    <row r="221" spans="1:2" x14ac:dyDescent="0.25">
      <c r="A221" s="157"/>
      <c r="B221" s="157"/>
    </row>
    <row r="222" spans="1:2" x14ac:dyDescent="0.25">
      <c r="A222" s="157"/>
      <c r="B222" s="157"/>
    </row>
    <row r="223" spans="1:2" x14ac:dyDescent="0.25">
      <c r="A223" s="157"/>
      <c r="B223" s="157"/>
    </row>
    <row r="224" spans="1:2" x14ac:dyDescent="0.25">
      <c r="A224" s="157"/>
      <c r="B224" s="157"/>
    </row>
    <row r="225" spans="1:2" x14ac:dyDescent="0.25">
      <c r="A225" s="157"/>
      <c r="B225" s="157"/>
    </row>
    <row r="226" spans="1:2" x14ac:dyDescent="0.25">
      <c r="A226" s="157"/>
      <c r="B226" s="157"/>
    </row>
    <row r="227" spans="1:2" x14ac:dyDescent="0.25">
      <c r="A227" s="157"/>
      <c r="B227" s="157"/>
    </row>
    <row r="228" spans="1:2" x14ac:dyDescent="0.25">
      <c r="A228" s="157"/>
      <c r="B228" s="157"/>
    </row>
    <row r="229" spans="1:2" x14ac:dyDescent="0.25">
      <c r="A229" s="157"/>
      <c r="B229" s="157"/>
    </row>
    <row r="230" spans="1:2" x14ac:dyDescent="0.25">
      <c r="A230" s="157"/>
      <c r="B230" s="157"/>
    </row>
    <row r="231" spans="1:2" x14ac:dyDescent="0.25">
      <c r="A231" s="157"/>
      <c r="B231" s="157"/>
    </row>
    <row r="232" spans="1:2" x14ac:dyDescent="0.25">
      <c r="A232" s="157"/>
      <c r="B232" s="157"/>
    </row>
    <row r="233" spans="1:2" x14ac:dyDescent="0.25">
      <c r="A233" s="157"/>
      <c r="B233" s="157"/>
    </row>
    <row r="234" spans="1:2" x14ac:dyDescent="0.25">
      <c r="A234" s="157"/>
      <c r="B234" s="157"/>
    </row>
    <row r="235" spans="1:2" x14ac:dyDescent="0.25">
      <c r="A235" s="157"/>
      <c r="B235" s="157"/>
    </row>
    <row r="236" spans="1:2" x14ac:dyDescent="0.25">
      <c r="A236" s="157"/>
      <c r="B236" s="157"/>
    </row>
    <row r="237" spans="1:2" x14ac:dyDescent="0.25">
      <c r="A237" s="157"/>
      <c r="B237" s="157"/>
    </row>
    <row r="238" spans="1:2" x14ac:dyDescent="0.25">
      <c r="A238" s="157"/>
      <c r="B238" s="157"/>
    </row>
    <row r="239" spans="1:2" x14ac:dyDescent="0.25">
      <c r="A239" s="157"/>
      <c r="B239" s="157"/>
    </row>
    <row r="240" spans="1:2" x14ac:dyDescent="0.25">
      <c r="A240" s="157"/>
      <c r="B240" s="157"/>
    </row>
    <row r="241" spans="1:2" x14ac:dyDescent="0.25">
      <c r="A241" s="157"/>
      <c r="B241" s="157"/>
    </row>
    <row r="242" spans="1:2" x14ac:dyDescent="0.25">
      <c r="A242" s="157"/>
      <c r="B242" s="157"/>
    </row>
    <row r="243" spans="1:2" x14ac:dyDescent="0.25">
      <c r="A243" s="157"/>
      <c r="B243" s="157"/>
    </row>
    <row r="244" spans="1:2" x14ac:dyDescent="0.25">
      <c r="A244" s="157"/>
      <c r="B244" s="157"/>
    </row>
    <row r="245" spans="1:2" x14ac:dyDescent="0.25">
      <c r="A245" s="157"/>
      <c r="B245" s="157"/>
    </row>
    <row r="246" spans="1:2" x14ac:dyDescent="0.25">
      <c r="A246" s="157"/>
      <c r="B246" s="157"/>
    </row>
    <row r="247" spans="1:2" x14ac:dyDescent="0.25">
      <c r="A247" s="157"/>
      <c r="B247" s="157"/>
    </row>
    <row r="248" spans="1:2" x14ac:dyDescent="0.25">
      <c r="A248" s="157"/>
      <c r="B248" s="157"/>
    </row>
    <row r="249" spans="1:2" x14ac:dyDescent="0.25">
      <c r="A249" s="157"/>
      <c r="B249" s="157"/>
    </row>
    <row r="250" spans="1:2" x14ac:dyDescent="0.25">
      <c r="A250" s="157"/>
      <c r="B250" s="157"/>
    </row>
    <row r="251" spans="1:2" x14ac:dyDescent="0.25">
      <c r="A251" s="157"/>
      <c r="B251" s="157"/>
    </row>
    <row r="252" spans="1:2" x14ac:dyDescent="0.25">
      <c r="A252" s="157"/>
      <c r="B252" s="157"/>
    </row>
    <row r="253" spans="1:2" x14ac:dyDescent="0.25">
      <c r="A253" s="157"/>
      <c r="B253" s="157"/>
    </row>
    <row r="254" spans="1:2" x14ac:dyDescent="0.25">
      <c r="A254" s="157"/>
      <c r="B254" s="157"/>
    </row>
    <row r="255" spans="1:2" x14ac:dyDescent="0.25">
      <c r="A255" s="157"/>
      <c r="B255" s="157"/>
    </row>
    <row r="256" spans="1:2" x14ac:dyDescent="0.25">
      <c r="A256" s="157"/>
      <c r="B256" s="157"/>
    </row>
    <row r="257" spans="1:2" x14ac:dyDescent="0.25">
      <c r="A257" s="157"/>
      <c r="B257" s="157"/>
    </row>
    <row r="258" spans="1:2" x14ac:dyDescent="0.25">
      <c r="A258" s="157"/>
      <c r="B258" s="157"/>
    </row>
    <row r="259" spans="1:2" x14ac:dyDescent="0.25">
      <c r="A259" s="157"/>
      <c r="B259" s="157"/>
    </row>
    <row r="260" spans="1:2" x14ac:dyDescent="0.25">
      <c r="A260" s="157"/>
      <c r="B260" s="157"/>
    </row>
    <row r="261" spans="1:2" x14ac:dyDescent="0.25">
      <c r="A261" s="157"/>
      <c r="B261" s="157"/>
    </row>
    <row r="262" spans="1:2" x14ac:dyDescent="0.25">
      <c r="A262" s="157"/>
      <c r="B262" s="157"/>
    </row>
    <row r="263" spans="1:2" x14ac:dyDescent="0.25">
      <c r="A263" s="157"/>
      <c r="B263" s="157"/>
    </row>
    <row r="264" spans="1:2" x14ac:dyDescent="0.25">
      <c r="A264" s="157"/>
      <c r="B264" s="157"/>
    </row>
    <row r="265" spans="1:2" x14ac:dyDescent="0.25">
      <c r="A265" s="157"/>
      <c r="B265" s="157"/>
    </row>
    <row r="266" spans="1:2" x14ac:dyDescent="0.25">
      <c r="A266" s="157"/>
      <c r="B266" s="157"/>
    </row>
    <row r="267" spans="1:2" x14ac:dyDescent="0.25">
      <c r="A267" s="157"/>
      <c r="B267" s="157"/>
    </row>
    <row r="268" spans="1:2" x14ac:dyDescent="0.25">
      <c r="A268" s="157"/>
      <c r="B268" s="157"/>
    </row>
    <row r="269" spans="1:2" x14ac:dyDescent="0.25">
      <c r="A269" s="157"/>
      <c r="B269" s="157"/>
    </row>
    <row r="270" spans="1:2" x14ac:dyDescent="0.25">
      <c r="A270" s="157"/>
      <c r="B270" s="157"/>
    </row>
    <row r="271" spans="1:2" x14ac:dyDescent="0.25">
      <c r="A271" s="157"/>
      <c r="B271" s="157"/>
    </row>
    <row r="272" spans="1:2" x14ac:dyDescent="0.25">
      <c r="A272" s="157"/>
      <c r="B272" s="157"/>
    </row>
    <row r="273" spans="1:2" x14ac:dyDescent="0.25">
      <c r="A273" s="157"/>
      <c r="B273" s="157"/>
    </row>
    <row r="274" spans="1:2" x14ac:dyDescent="0.25">
      <c r="A274" s="157"/>
      <c r="B274" s="157"/>
    </row>
    <row r="275" spans="1:2" x14ac:dyDescent="0.25">
      <c r="A275" s="157"/>
      <c r="B275" s="157"/>
    </row>
    <row r="276" spans="1:2" x14ac:dyDescent="0.25">
      <c r="A276" s="157"/>
      <c r="B276" s="157"/>
    </row>
    <row r="277" spans="1:2" x14ac:dyDescent="0.25">
      <c r="A277" s="157"/>
      <c r="B277" s="157"/>
    </row>
    <row r="278" spans="1:2" x14ac:dyDescent="0.25">
      <c r="A278" s="157"/>
      <c r="B278" s="157"/>
    </row>
    <row r="279" spans="1:2" x14ac:dyDescent="0.25">
      <c r="A279" s="157"/>
      <c r="B279" s="157"/>
    </row>
    <row r="280" spans="1:2" x14ac:dyDescent="0.25">
      <c r="A280" s="157"/>
      <c r="B280" s="157"/>
    </row>
    <row r="281" spans="1:2" x14ac:dyDescent="0.25">
      <c r="A281" s="157"/>
      <c r="B281" s="157"/>
    </row>
    <row r="282" spans="1:2" x14ac:dyDescent="0.25">
      <c r="A282" s="157"/>
      <c r="B282" s="157"/>
    </row>
    <row r="283" spans="1:2" x14ac:dyDescent="0.25">
      <c r="A283" s="157"/>
      <c r="B283" s="157"/>
    </row>
    <row r="284" spans="1:2" x14ac:dyDescent="0.25">
      <c r="A284" s="157"/>
      <c r="B284" s="157"/>
    </row>
    <row r="285" spans="1:2" x14ac:dyDescent="0.25">
      <c r="A285" s="157"/>
      <c r="B285" s="157"/>
    </row>
    <row r="286" spans="1:2" x14ac:dyDescent="0.25">
      <c r="A286" s="157"/>
      <c r="B286" s="157"/>
    </row>
    <row r="287" spans="1:2" x14ac:dyDescent="0.25">
      <c r="A287" s="157"/>
      <c r="B287" s="157"/>
    </row>
    <row r="288" spans="1:2" x14ac:dyDescent="0.25">
      <c r="A288" s="157"/>
      <c r="B288" s="157"/>
    </row>
    <row r="289" spans="1:2" x14ac:dyDescent="0.25">
      <c r="A289" s="157"/>
      <c r="B289" s="157"/>
    </row>
    <row r="290" spans="1:2" x14ac:dyDescent="0.25">
      <c r="A290" s="157"/>
      <c r="B290" s="157"/>
    </row>
    <row r="291" spans="1:2" x14ac:dyDescent="0.25">
      <c r="A291" s="157"/>
      <c r="B291" s="157"/>
    </row>
    <row r="292" spans="1:2" x14ac:dyDescent="0.25">
      <c r="A292" s="157"/>
      <c r="B292" s="157"/>
    </row>
    <row r="293" spans="1:2" x14ac:dyDescent="0.25">
      <c r="A293" s="157"/>
      <c r="B293" s="157"/>
    </row>
    <row r="294" spans="1:2" x14ac:dyDescent="0.25">
      <c r="A294" s="157"/>
      <c r="B294" s="157"/>
    </row>
    <row r="295" spans="1:2" x14ac:dyDescent="0.25">
      <c r="A295" s="157"/>
      <c r="B295" s="157"/>
    </row>
    <row r="296" spans="1:2" x14ac:dyDescent="0.25">
      <c r="A296" s="157"/>
      <c r="B296" s="157"/>
    </row>
    <row r="297" spans="1:2" x14ac:dyDescent="0.25">
      <c r="A297" s="157"/>
      <c r="B297" s="157"/>
    </row>
    <row r="298" spans="1:2" x14ac:dyDescent="0.25">
      <c r="A298" s="157"/>
      <c r="B298" s="157"/>
    </row>
    <row r="299" spans="1:2" x14ac:dyDescent="0.25">
      <c r="A299" s="157"/>
      <c r="B299" s="157"/>
    </row>
    <row r="300" spans="1:2" x14ac:dyDescent="0.25">
      <c r="A300" s="157"/>
      <c r="B300" s="157"/>
    </row>
    <row r="301" spans="1:2" x14ac:dyDescent="0.25">
      <c r="A301" s="157"/>
      <c r="B301" s="157"/>
    </row>
    <row r="302" spans="1:2" x14ac:dyDescent="0.25">
      <c r="A302" s="157"/>
      <c r="B302" s="157"/>
    </row>
    <row r="303" spans="1:2" x14ac:dyDescent="0.25">
      <c r="A303" s="157"/>
      <c r="B303" s="157"/>
    </row>
    <row r="304" spans="1:2" x14ac:dyDescent="0.25">
      <c r="A304" s="157"/>
      <c r="B304" s="157"/>
    </row>
    <row r="305" spans="1:2" x14ac:dyDescent="0.25">
      <c r="A305" s="157"/>
      <c r="B305" s="157"/>
    </row>
    <row r="306" spans="1:2" x14ac:dyDescent="0.25">
      <c r="A306" s="157"/>
      <c r="B306" s="157"/>
    </row>
    <row r="307" spans="1:2" x14ac:dyDescent="0.25">
      <c r="A307" s="157"/>
      <c r="B307" s="157"/>
    </row>
    <row r="308" spans="1:2" x14ac:dyDescent="0.25">
      <c r="A308" s="157"/>
      <c r="B308" s="157"/>
    </row>
    <row r="309" spans="1:2" x14ac:dyDescent="0.25">
      <c r="A309" s="157"/>
      <c r="B309" s="157"/>
    </row>
    <row r="310" spans="1:2" x14ac:dyDescent="0.25">
      <c r="A310" s="157"/>
      <c r="B310" s="157"/>
    </row>
    <row r="311" spans="1:2" x14ac:dyDescent="0.25">
      <c r="A311" s="157"/>
      <c r="B311" s="157"/>
    </row>
    <row r="312" spans="1:2" x14ac:dyDescent="0.25">
      <c r="A312" s="157"/>
      <c r="B312" s="157"/>
    </row>
    <row r="313" spans="1:2" x14ac:dyDescent="0.25">
      <c r="A313" s="157"/>
      <c r="B313" s="157"/>
    </row>
    <row r="314" spans="1:2" x14ac:dyDescent="0.25">
      <c r="A314" s="157"/>
      <c r="B314" s="157"/>
    </row>
    <row r="315" spans="1:2" x14ac:dyDescent="0.25">
      <c r="A315" s="157"/>
      <c r="B315" s="157"/>
    </row>
    <row r="316" spans="1:2" x14ac:dyDescent="0.25">
      <c r="A316" s="157"/>
      <c r="B316" s="157"/>
    </row>
    <row r="317" spans="1:2" x14ac:dyDescent="0.25">
      <c r="A317" s="157"/>
      <c r="B317" s="157"/>
    </row>
    <row r="318" spans="1:2" x14ac:dyDescent="0.25">
      <c r="A318" s="157"/>
      <c r="B318" s="157"/>
    </row>
    <row r="319" spans="1:2" x14ac:dyDescent="0.25">
      <c r="A319" s="157"/>
      <c r="B319" s="157"/>
    </row>
    <row r="320" spans="1:2" x14ac:dyDescent="0.25">
      <c r="A320" s="157"/>
      <c r="B320" s="157"/>
    </row>
    <row r="321" spans="1:2" x14ac:dyDescent="0.25">
      <c r="A321" s="157"/>
      <c r="B321" s="157"/>
    </row>
    <row r="322" spans="1:2" x14ac:dyDescent="0.25">
      <c r="A322" s="157"/>
      <c r="B322" s="157"/>
    </row>
    <row r="323" spans="1:2" x14ac:dyDescent="0.25">
      <c r="A323" s="157"/>
      <c r="B323" s="157"/>
    </row>
    <row r="324" spans="1:2" x14ac:dyDescent="0.25">
      <c r="A324" s="157"/>
      <c r="B324" s="157"/>
    </row>
    <row r="325" spans="1:2" x14ac:dyDescent="0.25">
      <c r="A325" s="157"/>
      <c r="B325" s="157"/>
    </row>
    <row r="326" spans="1:2" x14ac:dyDescent="0.25">
      <c r="A326" s="157"/>
      <c r="B326" s="157"/>
    </row>
    <row r="327" spans="1:2" x14ac:dyDescent="0.25">
      <c r="A327" s="157"/>
      <c r="B327" s="157"/>
    </row>
    <row r="328" spans="1:2" x14ac:dyDescent="0.25">
      <c r="A328" s="157"/>
      <c r="B328" s="157"/>
    </row>
    <row r="329" spans="1:2" x14ac:dyDescent="0.25">
      <c r="A329" s="157"/>
      <c r="B329" s="157"/>
    </row>
    <row r="330" spans="1:2" x14ac:dyDescent="0.25">
      <c r="A330" s="157"/>
      <c r="B330" s="157"/>
    </row>
    <row r="331" spans="1:2" x14ac:dyDescent="0.25">
      <c r="A331" s="157"/>
      <c r="B331" s="157"/>
    </row>
    <row r="332" spans="1:2" x14ac:dyDescent="0.25">
      <c r="A332" s="157"/>
      <c r="B332" s="157"/>
    </row>
    <row r="333" spans="1:2" x14ac:dyDescent="0.25">
      <c r="A333" s="157"/>
      <c r="B333" s="157"/>
    </row>
    <row r="334" spans="1:2" x14ac:dyDescent="0.25">
      <c r="A334" s="157"/>
      <c r="B334" s="157"/>
    </row>
    <row r="335" spans="1:2" x14ac:dyDescent="0.25">
      <c r="A335" s="157"/>
      <c r="B335" s="157"/>
    </row>
    <row r="336" spans="1:2" x14ac:dyDescent="0.25">
      <c r="A336" s="157"/>
      <c r="B336" s="157"/>
    </row>
    <row r="337" spans="1:2" x14ac:dyDescent="0.25">
      <c r="A337" s="157"/>
      <c r="B337" s="157"/>
    </row>
    <row r="338" spans="1:2" x14ac:dyDescent="0.25">
      <c r="A338" s="157"/>
      <c r="B338" s="157"/>
    </row>
    <row r="339" spans="1:2" x14ac:dyDescent="0.25">
      <c r="A339" s="157"/>
      <c r="B339" s="157"/>
    </row>
    <row r="340" spans="1:2" x14ac:dyDescent="0.25">
      <c r="A340" s="157"/>
      <c r="B340" s="157"/>
    </row>
    <row r="341" spans="1:2" x14ac:dyDescent="0.25">
      <c r="A341" s="157"/>
      <c r="B341" s="157"/>
    </row>
    <row r="342" spans="1:2" x14ac:dyDescent="0.25">
      <c r="A342" s="157"/>
      <c r="B342" s="157"/>
    </row>
    <row r="343" spans="1:2" x14ac:dyDescent="0.25">
      <c r="A343" s="157"/>
      <c r="B343" s="157"/>
    </row>
    <row r="344" spans="1:2" x14ac:dyDescent="0.25">
      <c r="A344" s="157"/>
      <c r="B344" s="157"/>
    </row>
    <row r="345" spans="1:2" x14ac:dyDescent="0.25">
      <c r="A345" s="157"/>
      <c r="B345" s="157"/>
    </row>
    <row r="346" spans="1:2" x14ac:dyDescent="0.25">
      <c r="A346" s="157"/>
      <c r="B346" s="157"/>
    </row>
    <row r="347" spans="1:2" x14ac:dyDescent="0.25">
      <c r="A347" s="157"/>
      <c r="B347" s="157"/>
    </row>
    <row r="348" spans="1:2" x14ac:dyDescent="0.25">
      <c r="A348" s="157"/>
      <c r="B348" s="157"/>
    </row>
    <row r="349" spans="1:2" x14ac:dyDescent="0.25">
      <c r="A349" s="157"/>
      <c r="B349" s="157"/>
    </row>
    <row r="350" spans="1:2" x14ac:dyDescent="0.25">
      <c r="A350" s="157"/>
      <c r="B350" s="157"/>
    </row>
    <row r="351" spans="1:2" x14ac:dyDescent="0.25">
      <c r="A351" s="157"/>
      <c r="B351" s="157"/>
    </row>
    <row r="352" spans="1:2" x14ac:dyDescent="0.25">
      <c r="A352" s="157"/>
      <c r="B352" s="157"/>
    </row>
    <row r="353" spans="1:2" x14ac:dyDescent="0.25">
      <c r="A353" s="157"/>
      <c r="B353" s="157"/>
    </row>
    <row r="354" spans="1:2" x14ac:dyDescent="0.25">
      <c r="A354" s="157"/>
      <c r="B354" s="157"/>
    </row>
    <row r="355" spans="1:2" x14ac:dyDescent="0.25">
      <c r="A355" s="157"/>
      <c r="B355" s="157"/>
    </row>
    <row r="356" spans="1:2" x14ac:dyDescent="0.25">
      <c r="A356" s="157"/>
      <c r="B356" s="157"/>
    </row>
    <row r="357" spans="1:2" x14ac:dyDescent="0.25">
      <c r="A357" s="157"/>
      <c r="B357" s="157"/>
    </row>
    <row r="358" spans="1:2" x14ac:dyDescent="0.25">
      <c r="A358" s="157"/>
      <c r="B358" s="157"/>
    </row>
    <row r="359" spans="1:2" x14ac:dyDescent="0.25">
      <c r="A359" s="157"/>
      <c r="B359" s="157"/>
    </row>
    <row r="360" spans="1:2" x14ac:dyDescent="0.25">
      <c r="A360" s="157"/>
      <c r="B360" s="157"/>
    </row>
    <row r="361" spans="1:2" x14ac:dyDescent="0.25">
      <c r="A361" s="157"/>
      <c r="B361" s="157"/>
    </row>
    <row r="362" spans="1:2" x14ac:dyDescent="0.25">
      <c r="A362" s="157"/>
      <c r="B362" s="157"/>
    </row>
    <row r="363" spans="1:2" x14ac:dyDescent="0.25">
      <c r="A363" s="157"/>
      <c r="B363" s="157"/>
    </row>
    <row r="364" spans="1:2" x14ac:dyDescent="0.25">
      <c r="A364" s="157"/>
      <c r="B364" s="157"/>
    </row>
    <row r="365" spans="1:2" x14ac:dyDescent="0.25">
      <c r="A365" s="157"/>
      <c r="B365" s="157"/>
    </row>
    <row r="366" spans="1:2" x14ac:dyDescent="0.25">
      <c r="A366" s="157"/>
      <c r="B366" s="157"/>
    </row>
    <row r="367" spans="1:2" x14ac:dyDescent="0.25">
      <c r="A367" s="157"/>
      <c r="B367" s="157"/>
    </row>
    <row r="368" spans="1:2" x14ac:dyDescent="0.25">
      <c r="A368" s="157"/>
      <c r="B368" s="157"/>
    </row>
    <row r="369" spans="1:2" x14ac:dyDescent="0.25">
      <c r="A369" s="157"/>
      <c r="B369" s="157"/>
    </row>
    <row r="370" spans="1:2" x14ac:dyDescent="0.25">
      <c r="A370" s="157"/>
      <c r="B370" s="157"/>
    </row>
    <row r="371" spans="1:2" x14ac:dyDescent="0.25">
      <c r="A371" s="157"/>
      <c r="B371" s="157"/>
    </row>
    <row r="372" spans="1:2" x14ac:dyDescent="0.25">
      <c r="A372" s="157"/>
      <c r="B372" s="157"/>
    </row>
    <row r="373" spans="1:2" x14ac:dyDescent="0.25">
      <c r="A373" s="157"/>
      <c r="B373" s="157"/>
    </row>
    <row r="374" spans="1:2" x14ac:dyDescent="0.25">
      <c r="A374" s="157"/>
      <c r="B374" s="157"/>
    </row>
    <row r="375" spans="1:2" x14ac:dyDescent="0.25">
      <c r="A375" s="157"/>
      <c r="B375" s="157"/>
    </row>
    <row r="376" spans="1:2" x14ac:dyDescent="0.25">
      <c r="A376" s="157"/>
      <c r="B376" s="157"/>
    </row>
    <row r="377" spans="1:2" x14ac:dyDescent="0.25">
      <c r="A377" s="157"/>
      <c r="B377" s="157"/>
    </row>
    <row r="378" spans="1:2" x14ac:dyDescent="0.25">
      <c r="A378" s="157"/>
      <c r="B378" s="157"/>
    </row>
    <row r="379" spans="1:2" x14ac:dyDescent="0.25">
      <c r="A379" s="157"/>
      <c r="B379" s="157"/>
    </row>
    <row r="380" spans="1:2" x14ac:dyDescent="0.25">
      <c r="A380" s="157"/>
      <c r="B380" s="157"/>
    </row>
    <row r="381" spans="1:2" x14ac:dyDescent="0.25">
      <c r="A381" s="157"/>
      <c r="B381" s="157"/>
    </row>
    <row r="382" spans="1:2" x14ac:dyDescent="0.25">
      <c r="A382" s="157"/>
      <c r="B382" s="157"/>
    </row>
    <row r="383" spans="1:2" x14ac:dyDescent="0.25">
      <c r="A383" s="157"/>
      <c r="B383" s="157"/>
    </row>
    <row r="384" spans="1:2" x14ac:dyDescent="0.25">
      <c r="A384" s="157"/>
      <c r="B384" s="157"/>
    </row>
    <row r="385" spans="1:2" x14ac:dyDescent="0.25">
      <c r="A385" s="157"/>
      <c r="B385" s="157"/>
    </row>
    <row r="386" spans="1:2" x14ac:dyDescent="0.25">
      <c r="A386" s="157"/>
      <c r="B386" s="157"/>
    </row>
    <row r="387" spans="1:2" x14ac:dyDescent="0.25">
      <c r="A387" s="157"/>
      <c r="B387" s="157"/>
    </row>
    <row r="388" spans="1:2" x14ac:dyDescent="0.25">
      <c r="A388" s="157"/>
      <c r="B388" s="157"/>
    </row>
    <row r="389" spans="1:2" x14ac:dyDescent="0.25">
      <c r="A389" s="157"/>
      <c r="B389" s="157"/>
    </row>
    <row r="390" spans="1:2" x14ac:dyDescent="0.25">
      <c r="A390" s="157"/>
      <c r="B390" s="157"/>
    </row>
    <row r="391" spans="1:2" x14ac:dyDescent="0.25">
      <c r="A391" s="157"/>
      <c r="B391" s="157"/>
    </row>
    <row r="392" spans="1:2" x14ac:dyDescent="0.25">
      <c r="A392" s="157"/>
      <c r="B392" s="157"/>
    </row>
    <row r="393" spans="1:2" x14ac:dyDescent="0.25">
      <c r="A393" s="157"/>
      <c r="B393" s="157"/>
    </row>
    <row r="394" spans="1:2" x14ac:dyDescent="0.25">
      <c r="A394" s="157"/>
      <c r="B394" s="157"/>
    </row>
    <row r="395" spans="1:2" x14ac:dyDescent="0.25">
      <c r="A395" s="157"/>
      <c r="B395" s="157"/>
    </row>
    <row r="396" spans="1:2" x14ac:dyDescent="0.25">
      <c r="A396" s="157"/>
      <c r="B396" s="157"/>
    </row>
    <row r="397" spans="1:2" x14ac:dyDescent="0.25">
      <c r="A397" s="157"/>
      <c r="B397" s="157"/>
    </row>
    <row r="398" spans="1:2" x14ac:dyDescent="0.25">
      <c r="A398" s="157"/>
      <c r="B398" s="157"/>
    </row>
    <row r="399" spans="1:2" x14ac:dyDescent="0.25">
      <c r="A399" s="157"/>
      <c r="B399" s="157"/>
    </row>
    <row r="400" spans="1:2" x14ac:dyDescent="0.25">
      <c r="A400" s="157"/>
      <c r="B400" s="157"/>
    </row>
    <row r="401" spans="1:2" x14ac:dyDescent="0.25">
      <c r="A401" s="157"/>
      <c r="B401" s="157"/>
    </row>
    <row r="402" spans="1:2" x14ac:dyDescent="0.25">
      <c r="A402" s="157"/>
      <c r="B402" s="157"/>
    </row>
    <row r="403" spans="1:2" x14ac:dyDescent="0.25">
      <c r="A403" s="157"/>
      <c r="B403" s="157"/>
    </row>
    <row r="404" spans="1:2" x14ac:dyDescent="0.25">
      <c r="A404" s="157"/>
      <c r="B404" s="157"/>
    </row>
    <row r="405" spans="1:2" x14ac:dyDescent="0.25">
      <c r="A405" s="157"/>
      <c r="B405" s="157"/>
    </row>
    <row r="406" spans="1:2" x14ac:dyDescent="0.25">
      <c r="A406" s="157"/>
      <c r="B406" s="157"/>
    </row>
    <row r="407" spans="1:2" x14ac:dyDescent="0.25">
      <c r="A407" s="157"/>
      <c r="B407" s="157"/>
    </row>
    <row r="408" spans="1:2" x14ac:dyDescent="0.25">
      <c r="A408" s="157"/>
      <c r="B408" s="157"/>
    </row>
    <row r="409" spans="1:2" x14ac:dyDescent="0.25">
      <c r="A409" s="157"/>
      <c r="B409" s="157"/>
    </row>
    <row r="410" spans="1:2" x14ac:dyDescent="0.25">
      <c r="A410" s="157"/>
      <c r="B410" s="157"/>
    </row>
    <row r="411" spans="1:2" x14ac:dyDescent="0.25">
      <c r="A411" s="157"/>
      <c r="B411" s="157"/>
    </row>
    <row r="412" spans="1:2" x14ac:dyDescent="0.25">
      <c r="A412" s="157"/>
      <c r="B412" s="157"/>
    </row>
    <row r="413" spans="1:2" x14ac:dyDescent="0.25">
      <c r="A413" s="157"/>
      <c r="B413" s="157"/>
    </row>
    <row r="414" spans="1:2" x14ac:dyDescent="0.25">
      <c r="A414" s="157"/>
      <c r="B414" s="157"/>
    </row>
    <row r="415" spans="1:2" x14ac:dyDescent="0.25">
      <c r="A415" s="157"/>
      <c r="B415" s="157"/>
    </row>
    <row r="416" spans="1:2" x14ac:dyDescent="0.25">
      <c r="A416" s="157"/>
      <c r="B416" s="157"/>
    </row>
    <row r="417" spans="1:2" x14ac:dyDescent="0.25">
      <c r="A417" s="157"/>
      <c r="B417" s="157"/>
    </row>
    <row r="418" spans="1:2" x14ac:dyDescent="0.25">
      <c r="A418" s="157"/>
      <c r="B418" s="157"/>
    </row>
    <row r="419" spans="1:2" x14ac:dyDescent="0.25">
      <c r="A419" s="157"/>
      <c r="B419" s="157"/>
    </row>
    <row r="420" spans="1:2" x14ac:dyDescent="0.25">
      <c r="A420" s="157"/>
      <c r="B420" s="157"/>
    </row>
    <row r="421" spans="1:2" x14ac:dyDescent="0.25">
      <c r="A421" s="157"/>
      <c r="B421" s="157"/>
    </row>
    <row r="422" spans="1:2" x14ac:dyDescent="0.25">
      <c r="A422" s="157"/>
      <c r="B422" s="157"/>
    </row>
    <row r="423" spans="1:2" x14ac:dyDescent="0.25">
      <c r="A423" s="157"/>
      <c r="B423" s="157"/>
    </row>
    <row r="424" spans="1:2" x14ac:dyDescent="0.25">
      <c r="A424" s="157"/>
      <c r="B424" s="157"/>
    </row>
    <row r="425" spans="1:2" x14ac:dyDescent="0.25">
      <c r="A425" s="157"/>
      <c r="B425" s="157"/>
    </row>
    <row r="426" spans="1:2" x14ac:dyDescent="0.25">
      <c r="A426" s="157"/>
      <c r="B426" s="157"/>
    </row>
    <row r="427" spans="1:2" x14ac:dyDescent="0.25">
      <c r="A427" s="157"/>
      <c r="B427" s="157"/>
    </row>
    <row r="428" spans="1:2" x14ac:dyDescent="0.25">
      <c r="A428" s="157"/>
      <c r="B428" s="157"/>
    </row>
    <row r="429" spans="1:2" x14ac:dyDescent="0.25">
      <c r="A429" s="157"/>
      <c r="B429" s="157"/>
    </row>
    <row r="430" spans="1:2" x14ac:dyDescent="0.25">
      <c r="A430" s="157"/>
      <c r="B430" s="157"/>
    </row>
    <row r="431" spans="1:2" x14ac:dyDescent="0.25">
      <c r="A431" s="157"/>
      <c r="B431" s="157"/>
    </row>
    <row r="432" spans="1:2" x14ac:dyDescent="0.25">
      <c r="A432" s="157"/>
      <c r="B432" s="157"/>
    </row>
    <row r="433" spans="1:2" x14ac:dyDescent="0.25">
      <c r="A433" s="157"/>
      <c r="B433" s="157"/>
    </row>
    <row r="434" spans="1:2" x14ac:dyDescent="0.25">
      <c r="A434" s="157"/>
      <c r="B434" s="157"/>
    </row>
    <row r="435" spans="1:2" x14ac:dyDescent="0.25">
      <c r="A435" s="157"/>
      <c r="B435" s="157"/>
    </row>
    <row r="436" spans="1:2" x14ac:dyDescent="0.25">
      <c r="A436" s="157"/>
      <c r="B436" s="157"/>
    </row>
    <row r="437" spans="1:2" x14ac:dyDescent="0.25">
      <c r="A437" s="157"/>
      <c r="B437" s="157"/>
    </row>
    <row r="438" spans="1:2" x14ac:dyDescent="0.25">
      <c r="A438" s="157"/>
      <c r="B438" s="157"/>
    </row>
    <row r="439" spans="1:2" x14ac:dyDescent="0.25">
      <c r="A439" s="157"/>
      <c r="B439" s="157"/>
    </row>
    <row r="440" spans="1:2" x14ac:dyDescent="0.25">
      <c r="A440" s="157"/>
      <c r="B440" s="157"/>
    </row>
    <row r="441" spans="1:2" x14ac:dyDescent="0.25">
      <c r="A441" s="157"/>
      <c r="B441" s="157"/>
    </row>
    <row r="442" spans="1:2" x14ac:dyDescent="0.25">
      <c r="A442" s="157"/>
      <c r="B442" s="157"/>
    </row>
    <row r="443" spans="1:2" x14ac:dyDescent="0.25">
      <c r="A443" s="157"/>
      <c r="B443" s="157"/>
    </row>
    <row r="444" spans="1:2" x14ac:dyDescent="0.25">
      <c r="A444" s="157"/>
      <c r="B444" s="157"/>
    </row>
    <row r="445" spans="1:2" x14ac:dyDescent="0.25">
      <c r="A445" s="157"/>
      <c r="B445" s="157"/>
    </row>
    <row r="446" spans="1:2" x14ac:dyDescent="0.25">
      <c r="A446" s="157"/>
      <c r="B446" s="157"/>
    </row>
    <row r="447" spans="1:2" x14ac:dyDescent="0.25">
      <c r="A447" s="157"/>
      <c r="B447" s="157"/>
    </row>
    <row r="448" spans="1:2" x14ac:dyDescent="0.25">
      <c r="A448" s="157"/>
      <c r="B448" s="157"/>
    </row>
    <row r="449" spans="1:2" x14ac:dyDescent="0.25">
      <c r="A449" s="157"/>
      <c r="B449" s="157"/>
    </row>
    <row r="450" spans="1:2" x14ac:dyDescent="0.25">
      <c r="A450" s="157"/>
      <c r="B450" s="157"/>
    </row>
    <row r="451" spans="1:2" x14ac:dyDescent="0.25">
      <c r="A451" s="157"/>
      <c r="B451" s="157"/>
    </row>
    <row r="452" spans="1:2" x14ac:dyDescent="0.25">
      <c r="A452" s="157"/>
      <c r="B452" s="157"/>
    </row>
    <row r="453" spans="1:2" x14ac:dyDescent="0.25">
      <c r="A453" s="157"/>
      <c r="B453" s="157"/>
    </row>
    <row r="454" spans="1:2" x14ac:dyDescent="0.25">
      <c r="A454" s="157"/>
      <c r="B454" s="157"/>
    </row>
    <row r="455" spans="1:2" x14ac:dyDescent="0.25">
      <c r="A455" s="157"/>
      <c r="B455" s="157"/>
    </row>
    <row r="456" spans="1:2" x14ac:dyDescent="0.25">
      <c r="A456" s="157"/>
      <c r="B456" s="157"/>
    </row>
    <row r="457" spans="1:2" x14ac:dyDescent="0.25">
      <c r="A457" s="157"/>
      <c r="B457" s="157"/>
    </row>
    <row r="458" spans="1:2" x14ac:dyDescent="0.25">
      <c r="A458" s="157"/>
      <c r="B458" s="157"/>
    </row>
    <row r="459" spans="1:2" x14ac:dyDescent="0.25">
      <c r="A459" s="157"/>
      <c r="B459" s="157"/>
    </row>
    <row r="460" spans="1:2" x14ac:dyDescent="0.25">
      <c r="A460" s="157"/>
      <c r="B460" s="157"/>
    </row>
    <row r="461" spans="1:2" x14ac:dyDescent="0.25">
      <c r="A461" s="157"/>
      <c r="B461" s="157"/>
    </row>
    <row r="462" spans="1:2" x14ac:dyDescent="0.25">
      <c r="A462" s="157"/>
      <c r="B462" s="157"/>
    </row>
    <row r="463" spans="1:2" x14ac:dyDescent="0.25">
      <c r="A463" s="157"/>
      <c r="B463" s="157"/>
    </row>
    <row r="464" spans="1:2" x14ac:dyDescent="0.25">
      <c r="A464" s="157"/>
      <c r="B464" s="157"/>
    </row>
    <row r="465" spans="1:2" x14ac:dyDescent="0.25">
      <c r="A465" s="157"/>
      <c r="B465" s="157"/>
    </row>
    <row r="466" spans="1:2" x14ac:dyDescent="0.25">
      <c r="A466" s="157"/>
      <c r="B466" s="157"/>
    </row>
    <row r="467" spans="1:2" x14ac:dyDescent="0.25">
      <c r="A467" s="157"/>
      <c r="B467" s="157"/>
    </row>
    <row r="468" spans="1:2" x14ac:dyDescent="0.25">
      <c r="A468" s="157"/>
      <c r="B468" s="157"/>
    </row>
    <row r="469" spans="1:2" x14ac:dyDescent="0.25">
      <c r="A469" s="157"/>
      <c r="B469" s="157"/>
    </row>
    <row r="470" spans="1:2" x14ac:dyDescent="0.25">
      <c r="A470" s="157"/>
      <c r="B470" s="157"/>
    </row>
    <row r="471" spans="1:2" x14ac:dyDescent="0.25">
      <c r="A471" s="157"/>
      <c r="B471" s="157"/>
    </row>
    <row r="472" spans="1:2" x14ac:dyDescent="0.25">
      <c r="A472" s="157"/>
      <c r="B472" s="157"/>
    </row>
    <row r="473" spans="1:2" x14ac:dyDescent="0.25">
      <c r="A473" s="157"/>
      <c r="B473" s="157"/>
    </row>
    <row r="474" spans="1:2" x14ac:dyDescent="0.25">
      <c r="A474" s="157"/>
      <c r="B474" s="157"/>
    </row>
    <row r="475" spans="1:2" x14ac:dyDescent="0.25">
      <c r="A475" s="157"/>
      <c r="B475" s="157"/>
    </row>
    <row r="476" spans="1:2" x14ac:dyDescent="0.25">
      <c r="A476" s="157"/>
      <c r="B476" s="157"/>
    </row>
    <row r="477" spans="1:2" x14ac:dyDescent="0.25">
      <c r="A477" s="157"/>
      <c r="B477" s="157"/>
    </row>
    <row r="478" spans="1:2" x14ac:dyDescent="0.25">
      <c r="A478" s="157"/>
      <c r="B478" s="157"/>
    </row>
    <row r="479" spans="1:2" x14ac:dyDescent="0.25">
      <c r="A479" s="157"/>
      <c r="B479" s="157"/>
    </row>
    <row r="480" spans="1:2" x14ac:dyDescent="0.25">
      <c r="A480" s="157"/>
      <c r="B480" s="157"/>
    </row>
    <row r="481" spans="1:2" x14ac:dyDescent="0.25">
      <c r="A481" s="157"/>
      <c r="B481" s="157"/>
    </row>
    <row r="482" spans="1:2" x14ac:dyDescent="0.25">
      <c r="A482" s="157"/>
      <c r="B482" s="157"/>
    </row>
    <row r="483" spans="1:2" x14ac:dyDescent="0.25">
      <c r="A483" s="157"/>
      <c r="B483" s="157"/>
    </row>
    <row r="484" spans="1:2" x14ac:dyDescent="0.25">
      <c r="A484" s="157"/>
      <c r="B484" s="157"/>
    </row>
    <row r="485" spans="1:2" x14ac:dyDescent="0.25">
      <c r="A485" s="157"/>
      <c r="B485" s="157"/>
    </row>
    <row r="486" spans="1:2" x14ac:dyDescent="0.25">
      <c r="A486" s="157"/>
      <c r="B486" s="157"/>
    </row>
    <row r="487" spans="1:2" x14ac:dyDescent="0.25">
      <c r="A487" s="157"/>
      <c r="B487" s="157"/>
    </row>
    <row r="488" spans="1:2" x14ac:dyDescent="0.25">
      <c r="A488" s="157"/>
      <c r="B488" s="157"/>
    </row>
    <row r="489" spans="1:2" x14ac:dyDescent="0.25">
      <c r="A489" s="157"/>
      <c r="B489" s="157"/>
    </row>
    <row r="490" spans="1:2" x14ac:dyDescent="0.25">
      <c r="A490" s="157"/>
      <c r="B490" s="157"/>
    </row>
    <row r="491" spans="1:2" x14ac:dyDescent="0.25">
      <c r="A491" s="157"/>
      <c r="B491" s="157"/>
    </row>
    <row r="492" spans="1:2" x14ac:dyDescent="0.25">
      <c r="A492" s="157"/>
      <c r="B492" s="157"/>
    </row>
    <row r="493" spans="1:2" x14ac:dyDescent="0.25">
      <c r="A493" s="157"/>
      <c r="B493" s="157"/>
    </row>
    <row r="494" spans="1:2" x14ac:dyDescent="0.25">
      <c r="A494" s="157"/>
      <c r="B494" s="157"/>
    </row>
    <row r="495" spans="1:2" x14ac:dyDescent="0.25">
      <c r="A495" s="157"/>
      <c r="B495" s="157"/>
    </row>
    <row r="496" spans="1:2" x14ac:dyDescent="0.25">
      <c r="A496" s="157"/>
      <c r="B496" s="157"/>
    </row>
    <row r="497" spans="1:2" x14ac:dyDescent="0.25">
      <c r="A497" s="157"/>
      <c r="B497" s="157"/>
    </row>
    <row r="498" spans="1:2" x14ac:dyDescent="0.25">
      <c r="A498" s="157"/>
      <c r="B498" s="157"/>
    </row>
    <row r="499" spans="1:2" x14ac:dyDescent="0.25">
      <c r="A499" s="157"/>
      <c r="B499" s="157"/>
    </row>
    <row r="500" spans="1:2" x14ac:dyDescent="0.25">
      <c r="A500" s="157"/>
      <c r="B500" s="157"/>
    </row>
    <row r="501" spans="1:2" x14ac:dyDescent="0.25">
      <c r="A501" s="157"/>
      <c r="B501" s="157"/>
    </row>
    <row r="502" spans="1:2" x14ac:dyDescent="0.25">
      <c r="A502" s="157"/>
      <c r="B502" s="157"/>
    </row>
    <row r="503" spans="1:2" x14ac:dyDescent="0.25">
      <c r="A503" s="157"/>
      <c r="B503" s="157"/>
    </row>
    <row r="504" spans="1:2" x14ac:dyDescent="0.25">
      <c r="A504" s="157"/>
      <c r="B504" s="157"/>
    </row>
    <row r="505" spans="1:2" x14ac:dyDescent="0.25">
      <c r="A505" s="157"/>
      <c r="B505" s="157"/>
    </row>
    <row r="506" spans="1:2" x14ac:dyDescent="0.25">
      <c r="A506" s="157"/>
      <c r="B506" s="157"/>
    </row>
    <row r="507" spans="1:2" x14ac:dyDescent="0.25">
      <c r="A507" s="157"/>
      <c r="B507" s="157"/>
    </row>
    <row r="508" spans="1:2" x14ac:dyDescent="0.25">
      <c r="A508" s="157"/>
      <c r="B508" s="157"/>
    </row>
    <row r="509" spans="1:2" x14ac:dyDescent="0.25">
      <c r="A509" s="157"/>
      <c r="B509" s="157"/>
    </row>
    <row r="510" spans="1:2" x14ac:dyDescent="0.25">
      <c r="A510" s="157"/>
      <c r="B510" s="157"/>
    </row>
    <row r="511" spans="1:2" x14ac:dyDescent="0.25">
      <c r="A511" s="157"/>
      <c r="B511" s="157"/>
    </row>
    <row r="512" spans="1:2" x14ac:dyDescent="0.25">
      <c r="A512" s="157"/>
      <c r="B512" s="157"/>
    </row>
    <row r="513" spans="1:2" x14ac:dyDescent="0.25">
      <c r="A513" s="157"/>
      <c r="B513" s="157"/>
    </row>
    <row r="514" spans="1:2" x14ac:dyDescent="0.25">
      <c r="A514" s="157"/>
      <c r="B514" s="157"/>
    </row>
    <row r="515" spans="1:2" x14ac:dyDescent="0.25">
      <c r="A515" s="157"/>
      <c r="B515" s="157"/>
    </row>
    <row r="516" spans="1:2" x14ac:dyDescent="0.25">
      <c r="A516" s="157"/>
      <c r="B516" s="157"/>
    </row>
    <row r="517" spans="1:2" x14ac:dyDescent="0.25">
      <c r="A517" s="157"/>
      <c r="B517" s="157"/>
    </row>
    <row r="518" spans="1:2" x14ac:dyDescent="0.25">
      <c r="A518" s="157"/>
      <c r="B518" s="157"/>
    </row>
    <row r="519" spans="1:2" x14ac:dyDescent="0.25">
      <c r="A519" s="157"/>
      <c r="B519" s="157"/>
    </row>
    <row r="520" spans="1:2" x14ac:dyDescent="0.25">
      <c r="A520" s="157"/>
      <c r="B520" s="157"/>
    </row>
    <row r="521" spans="1:2" x14ac:dyDescent="0.25">
      <c r="A521" s="157"/>
      <c r="B521" s="157"/>
    </row>
    <row r="522" spans="1:2" x14ac:dyDescent="0.25">
      <c r="A522" s="157"/>
      <c r="B522" s="157"/>
    </row>
    <row r="523" spans="1:2" x14ac:dyDescent="0.25">
      <c r="A523" s="157"/>
      <c r="B523" s="157"/>
    </row>
    <row r="524" spans="1:2" x14ac:dyDescent="0.25">
      <c r="A524" s="157"/>
      <c r="B524" s="157"/>
    </row>
    <row r="525" spans="1:2" x14ac:dyDescent="0.25">
      <c r="A525" s="157"/>
      <c r="B525" s="157"/>
    </row>
    <row r="526" spans="1:2" x14ac:dyDescent="0.25">
      <c r="A526" s="157"/>
      <c r="B526" s="157"/>
    </row>
    <row r="527" spans="1:2" x14ac:dyDescent="0.25">
      <c r="A527" s="157"/>
      <c r="B527" s="157"/>
    </row>
    <row r="528" spans="1:2" x14ac:dyDescent="0.25">
      <c r="A528" s="157"/>
      <c r="B528" s="157"/>
    </row>
    <row r="529" spans="1:2" x14ac:dyDescent="0.25">
      <c r="A529" s="157"/>
      <c r="B529" s="157"/>
    </row>
    <row r="530" spans="1:2" x14ac:dyDescent="0.25">
      <c r="A530" s="157"/>
      <c r="B530" s="157"/>
    </row>
    <row r="531" spans="1:2" x14ac:dyDescent="0.25">
      <c r="A531" s="157"/>
      <c r="B531" s="157"/>
    </row>
    <row r="532" spans="1:2" x14ac:dyDescent="0.25">
      <c r="A532" s="157"/>
      <c r="B532" s="157"/>
    </row>
    <row r="533" spans="1:2" x14ac:dyDescent="0.25">
      <c r="A533" s="157"/>
      <c r="B533" s="157"/>
    </row>
    <row r="534" spans="1:2" x14ac:dyDescent="0.25">
      <c r="A534" s="157"/>
      <c r="B534" s="157"/>
    </row>
    <row r="535" spans="1:2" x14ac:dyDescent="0.25">
      <c r="A535" s="157"/>
      <c r="B535" s="157"/>
    </row>
    <row r="536" spans="1:2" x14ac:dyDescent="0.25">
      <c r="A536" s="157"/>
      <c r="B536" s="157"/>
    </row>
    <row r="537" spans="1:2" x14ac:dyDescent="0.25">
      <c r="A537" s="157"/>
      <c r="B537" s="157"/>
    </row>
    <row r="538" spans="1:2" x14ac:dyDescent="0.25">
      <c r="A538" s="157"/>
      <c r="B538" s="157"/>
    </row>
    <row r="539" spans="1:2" x14ac:dyDescent="0.25">
      <c r="A539" s="157"/>
      <c r="B539" s="157"/>
    </row>
    <row r="540" spans="1:2" x14ac:dyDescent="0.25">
      <c r="A540" s="157"/>
      <c r="B540" s="157"/>
    </row>
    <row r="541" spans="1:2" x14ac:dyDescent="0.25">
      <c r="A541" s="157"/>
      <c r="B541" s="157"/>
    </row>
    <row r="542" spans="1:2" x14ac:dyDescent="0.25">
      <c r="A542" s="157"/>
      <c r="B542" s="157"/>
    </row>
    <row r="543" spans="1:2" x14ac:dyDescent="0.25">
      <c r="A543" s="157"/>
      <c r="B543" s="157"/>
    </row>
    <row r="544" spans="1:2" x14ac:dyDescent="0.25">
      <c r="A544" s="157"/>
      <c r="B544" s="157"/>
    </row>
    <row r="545" spans="1:2" x14ac:dyDescent="0.25">
      <c r="A545" s="157"/>
      <c r="B545" s="157"/>
    </row>
    <row r="546" spans="1:2" x14ac:dyDescent="0.25">
      <c r="A546" s="157"/>
      <c r="B546" s="157"/>
    </row>
    <row r="547" spans="1:2" x14ac:dyDescent="0.25">
      <c r="A547" s="157"/>
      <c r="B547" s="157"/>
    </row>
    <row r="548" spans="1:2" x14ac:dyDescent="0.25">
      <c r="A548" s="157"/>
      <c r="B548" s="157"/>
    </row>
    <row r="549" spans="1:2" x14ac:dyDescent="0.25">
      <c r="A549" s="157"/>
      <c r="B549" s="157"/>
    </row>
    <row r="550" spans="1:2" x14ac:dyDescent="0.25">
      <c r="A550" s="157"/>
      <c r="B550" s="157"/>
    </row>
    <row r="551" spans="1:2" x14ac:dyDescent="0.25">
      <c r="A551" s="157"/>
      <c r="B551" s="157"/>
    </row>
    <row r="552" spans="1:2" x14ac:dyDescent="0.25">
      <c r="A552" s="157"/>
      <c r="B552" s="157"/>
    </row>
    <row r="553" spans="1:2" x14ac:dyDescent="0.25">
      <c r="A553" s="157"/>
      <c r="B553" s="157"/>
    </row>
    <row r="554" spans="1:2" x14ac:dyDescent="0.25">
      <c r="A554" s="157"/>
      <c r="B554" s="157"/>
    </row>
    <row r="555" spans="1:2" x14ac:dyDescent="0.25">
      <c r="A555" s="157"/>
      <c r="B555" s="157"/>
    </row>
    <row r="556" spans="1:2" x14ac:dyDescent="0.25">
      <c r="A556" s="157"/>
      <c r="B556" s="157"/>
    </row>
    <row r="557" spans="1:2" x14ac:dyDescent="0.25">
      <c r="A557" s="157"/>
      <c r="B557" s="157"/>
    </row>
    <row r="558" spans="1:2" x14ac:dyDescent="0.25">
      <c r="A558" s="157"/>
      <c r="B558" s="157"/>
    </row>
    <row r="559" spans="1:2" x14ac:dyDescent="0.25">
      <c r="A559" s="157"/>
      <c r="B559" s="157"/>
    </row>
    <row r="560" spans="1:2" x14ac:dyDescent="0.25">
      <c r="A560" s="157"/>
      <c r="B560" s="157"/>
    </row>
    <row r="561" spans="1:2" x14ac:dyDescent="0.25">
      <c r="A561" s="157"/>
      <c r="B561" s="157"/>
    </row>
    <row r="562" spans="1:2" x14ac:dyDescent="0.25">
      <c r="A562" s="157"/>
      <c r="B562" s="157"/>
    </row>
    <row r="563" spans="1:2" x14ac:dyDescent="0.25">
      <c r="A563" s="157"/>
      <c r="B563" s="157"/>
    </row>
    <row r="564" spans="1:2" x14ac:dyDescent="0.25">
      <c r="A564" s="157"/>
      <c r="B564" s="157"/>
    </row>
    <row r="565" spans="1:2" x14ac:dyDescent="0.25">
      <c r="A565" s="157"/>
      <c r="B565" s="157"/>
    </row>
    <row r="566" spans="1:2" x14ac:dyDescent="0.25">
      <c r="A566" s="157"/>
      <c r="B566" s="157"/>
    </row>
    <row r="567" spans="1:2" x14ac:dyDescent="0.25">
      <c r="A567" s="157"/>
      <c r="B567" s="157"/>
    </row>
    <row r="568" spans="1:2" x14ac:dyDescent="0.25">
      <c r="A568" s="157"/>
      <c r="B568" s="157"/>
    </row>
    <row r="569" spans="1:2" x14ac:dyDescent="0.25">
      <c r="A569" s="157"/>
      <c r="B569" s="157"/>
    </row>
    <row r="570" spans="1:2" x14ac:dyDescent="0.25">
      <c r="A570" s="157"/>
      <c r="B570" s="157"/>
    </row>
    <row r="571" spans="1:2" x14ac:dyDescent="0.25">
      <c r="A571" s="157"/>
      <c r="B571" s="157"/>
    </row>
    <row r="572" spans="1:2" x14ac:dyDescent="0.25">
      <c r="A572" s="157"/>
      <c r="B572" s="157"/>
    </row>
    <row r="573" spans="1:2" x14ac:dyDescent="0.25">
      <c r="A573" s="157"/>
      <c r="B573" s="157"/>
    </row>
    <row r="574" spans="1:2" x14ac:dyDescent="0.25">
      <c r="A574" s="157"/>
      <c r="B574" s="157"/>
    </row>
    <row r="575" spans="1:2" x14ac:dyDescent="0.25">
      <c r="A575" s="157"/>
      <c r="B575" s="157"/>
    </row>
    <row r="576" spans="1:2" x14ac:dyDescent="0.25">
      <c r="A576" s="157"/>
      <c r="B576" s="157"/>
    </row>
    <row r="577" spans="1:2" x14ac:dyDescent="0.25">
      <c r="A577" s="157"/>
      <c r="B577" s="157"/>
    </row>
    <row r="578" spans="1:2" x14ac:dyDescent="0.25">
      <c r="A578" s="157"/>
      <c r="B578" s="157"/>
    </row>
    <row r="579" spans="1:2" x14ac:dyDescent="0.25">
      <c r="A579" s="157"/>
      <c r="B579" s="157"/>
    </row>
    <row r="580" spans="1:2" x14ac:dyDescent="0.25">
      <c r="A580" s="157"/>
      <c r="B580" s="157"/>
    </row>
    <row r="581" spans="1:2" x14ac:dyDescent="0.25">
      <c r="A581" s="157"/>
      <c r="B581" s="157"/>
    </row>
    <row r="582" spans="1:2" x14ac:dyDescent="0.25">
      <c r="A582" s="157"/>
      <c r="B582" s="157"/>
    </row>
    <row r="583" spans="1:2" x14ac:dyDescent="0.25">
      <c r="A583" s="157"/>
      <c r="B583" s="157"/>
    </row>
    <row r="584" spans="1:2" x14ac:dyDescent="0.25">
      <c r="A584" s="157"/>
      <c r="B584" s="157"/>
    </row>
    <row r="585" spans="1:2" x14ac:dyDescent="0.25">
      <c r="A585" s="157"/>
      <c r="B585" s="157"/>
    </row>
    <row r="586" spans="1:2" x14ac:dyDescent="0.25">
      <c r="A586" s="157"/>
      <c r="B586" s="157"/>
    </row>
    <row r="587" spans="1:2" x14ac:dyDescent="0.25">
      <c r="A587" s="157"/>
      <c r="B587" s="157"/>
    </row>
    <row r="588" spans="1:2" x14ac:dyDescent="0.25">
      <c r="A588" s="157"/>
      <c r="B588" s="157"/>
    </row>
    <row r="589" spans="1:2" x14ac:dyDescent="0.25">
      <c r="A589" s="157"/>
      <c r="B589" s="157"/>
    </row>
    <row r="590" spans="1:2" x14ac:dyDescent="0.25">
      <c r="A590" s="157"/>
      <c r="B590" s="157"/>
    </row>
    <row r="591" spans="1:2" x14ac:dyDescent="0.25">
      <c r="A591" s="157"/>
      <c r="B591" s="157"/>
    </row>
    <row r="592" spans="1:2" x14ac:dyDescent="0.25">
      <c r="A592" s="157"/>
      <c r="B592" s="157"/>
    </row>
    <row r="593" spans="1:2" x14ac:dyDescent="0.25">
      <c r="A593" s="157"/>
      <c r="B593" s="157"/>
    </row>
    <row r="594" spans="1:2" x14ac:dyDescent="0.25">
      <c r="A594" s="157"/>
      <c r="B594" s="157"/>
    </row>
    <row r="595" spans="1:2" x14ac:dyDescent="0.25">
      <c r="A595" s="157"/>
      <c r="B595" s="157"/>
    </row>
    <row r="596" spans="1:2" x14ac:dyDescent="0.25">
      <c r="A596" s="157"/>
      <c r="B596" s="157"/>
    </row>
    <row r="597" spans="1:2" x14ac:dyDescent="0.25">
      <c r="A597" s="157"/>
      <c r="B597" s="157"/>
    </row>
    <row r="598" spans="1:2" x14ac:dyDescent="0.25">
      <c r="A598" s="157"/>
      <c r="B598" s="157"/>
    </row>
    <row r="599" spans="1:2" x14ac:dyDescent="0.25">
      <c r="A599" s="157"/>
      <c r="B599" s="157"/>
    </row>
    <row r="600" spans="1:2" x14ac:dyDescent="0.25">
      <c r="A600" s="157"/>
      <c r="B600" s="157"/>
    </row>
    <row r="601" spans="1:2" x14ac:dyDescent="0.25">
      <c r="A601" s="157"/>
      <c r="B601" s="157"/>
    </row>
    <row r="602" spans="1:2" x14ac:dyDescent="0.25">
      <c r="A602" s="157"/>
      <c r="B602" s="157"/>
    </row>
    <row r="603" spans="1:2" x14ac:dyDescent="0.25">
      <c r="A603" s="157"/>
      <c r="B603" s="157"/>
    </row>
    <row r="604" spans="1:2" x14ac:dyDescent="0.25">
      <c r="A604" s="157"/>
      <c r="B604" s="157"/>
    </row>
    <row r="605" spans="1:2" x14ac:dyDescent="0.25">
      <c r="A605" s="157"/>
      <c r="B605" s="157"/>
    </row>
    <row r="606" spans="1:2" x14ac:dyDescent="0.25">
      <c r="A606" s="157"/>
      <c r="B606" s="157"/>
    </row>
    <row r="607" spans="1:2" x14ac:dyDescent="0.25">
      <c r="A607" s="157"/>
      <c r="B607" s="157"/>
    </row>
    <row r="608" spans="1:2" x14ac:dyDescent="0.25">
      <c r="A608" s="157"/>
      <c r="B608" s="157"/>
    </row>
    <row r="609" spans="1:2" x14ac:dyDescent="0.25">
      <c r="A609" s="157"/>
      <c r="B609" s="157"/>
    </row>
    <row r="610" spans="1:2" x14ac:dyDescent="0.25">
      <c r="A610" s="157"/>
      <c r="B610" s="157"/>
    </row>
    <row r="611" spans="1:2" x14ac:dyDescent="0.25">
      <c r="A611" s="157"/>
      <c r="B611" s="157"/>
    </row>
    <row r="612" spans="1:2" x14ac:dyDescent="0.25">
      <c r="A612" s="157"/>
      <c r="B612" s="157"/>
    </row>
    <row r="613" spans="1:2" x14ac:dyDescent="0.25">
      <c r="A613" s="157"/>
      <c r="B613" s="157"/>
    </row>
    <row r="614" spans="1:2" x14ac:dyDescent="0.25">
      <c r="A614" s="157"/>
      <c r="B614" s="157"/>
    </row>
    <row r="615" spans="1:2" x14ac:dyDescent="0.25">
      <c r="A615" s="157"/>
      <c r="B615" s="157"/>
    </row>
    <row r="616" spans="1:2" x14ac:dyDescent="0.25">
      <c r="A616" s="157"/>
      <c r="B616" s="157"/>
    </row>
    <row r="617" spans="1:2" x14ac:dyDescent="0.25">
      <c r="A617" s="157"/>
      <c r="B617" s="157"/>
    </row>
    <row r="618" spans="1:2" x14ac:dyDescent="0.25">
      <c r="A618" s="157"/>
      <c r="B618" s="157"/>
    </row>
    <row r="619" spans="1:2" x14ac:dyDescent="0.25">
      <c r="A619" s="157"/>
      <c r="B619" s="157"/>
    </row>
    <row r="620" spans="1:2" x14ac:dyDescent="0.25">
      <c r="A620" s="157"/>
      <c r="B620" s="157"/>
    </row>
    <row r="621" spans="1:2" x14ac:dyDescent="0.25">
      <c r="A621" s="157"/>
      <c r="B621" s="157"/>
    </row>
    <row r="622" spans="1:2" x14ac:dyDescent="0.25">
      <c r="A622" s="157"/>
      <c r="B622" s="157"/>
    </row>
    <row r="623" spans="1:2" x14ac:dyDescent="0.25">
      <c r="A623" s="157"/>
      <c r="B623" s="157"/>
    </row>
    <row r="624" spans="1:2" x14ac:dyDescent="0.25">
      <c r="A624" s="157"/>
      <c r="B624" s="157"/>
    </row>
    <row r="625" spans="1:2" x14ac:dyDescent="0.25">
      <c r="A625" s="157"/>
      <c r="B625" s="157"/>
    </row>
    <row r="626" spans="1:2" x14ac:dyDescent="0.25">
      <c r="A626" s="157"/>
      <c r="B626" s="157"/>
    </row>
    <row r="627" spans="1:2" x14ac:dyDescent="0.25">
      <c r="A627" s="157"/>
      <c r="B627" s="157"/>
    </row>
    <row r="628" spans="1:2" x14ac:dyDescent="0.25">
      <c r="A628" s="157"/>
      <c r="B628" s="157"/>
    </row>
    <row r="629" spans="1:2" x14ac:dyDescent="0.25">
      <c r="A629" s="157"/>
      <c r="B629" s="157"/>
    </row>
    <row r="630" spans="1:2" x14ac:dyDescent="0.25">
      <c r="A630" s="157"/>
      <c r="B630" s="157"/>
    </row>
    <row r="631" spans="1:2" x14ac:dyDescent="0.25">
      <c r="A631" s="157"/>
      <c r="B631" s="157"/>
    </row>
    <row r="632" spans="1:2" x14ac:dyDescent="0.25">
      <c r="A632" s="157"/>
      <c r="B632" s="157"/>
    </row>
    <row r="633" spans="1:2" x14ac:dyDescent="0.25">
      <c r="A633" s="157"/>
      <c r="B633" s="157"/>
    </row>
    <row r="634" spans="1:2" x14ac:dyDescent="0.25">
      <c r="A634" s="157"/>
      <c r="B634" s="157"/>
    </row>
    <row r="635" spans="1:2" x14ac:dyDescent="0.25">
      <c r="A635" s="157"/>
      <c r="B635" s="157"/>
    </row>
    <row r="636" spans="1:2" x14ac:dyDescent="0.25">
      <c r="A636" s="157"/>
      <c r="B636" s="157"/>
    </row>
    <row r="637" spans="1:2" x14ac:dyDescent="0.25">
      <c r="A637" s="157"/>
      <c r="B637" s="157"/>
    </row>
    <row r="638" spans="1:2" x14ac:dyDescent="0.25">
      <c r="A638" s="157"/>
      <c r="B638" s="157"/>
    </row>
    <row r="639" spans="1:2" x14ac:dyDescent="0.25">
      <c r="A639" s="157"/>
      <c r="B639" s="157"/>
    </row>
    <row r="640" spans="1:2" x14ac:dyDescent="0.25">
      <c r="A640" s="157"/>
      <c r="B640" s="157"/>
    </row>
    <row r="641" spans="1:2" x14ac:dyDescent="0.25">
      <c r="A641" s="157"/>
      <c r="B641" s="157"/>
    </row>
    <row r="642" spans="1:2" x14ac:dyDescent="0.25">
      <c r="A642" s="157"/>
      <c r="B642" s="157"/>
    </row>
    <row r="643" spans="1:2" x14ac:dyDescent="0.25">
      <c r="A643" s="157"/>
      <c r="B643" s="157"/>
    </row>
    <row r="644" spans="1:2" x14ac:dyDescent="0.25">
      <c r="A644" s="157"/>
      <c r="B644" s="157"/>
    </row>
    <row r="645" spans="1:2" x14ac:dyDescent="0.25">
      <c r="A645" s="157"/>
      <c r="B645" s="157"/>
    </row>
    <row r="646" spans="1:2" x14ac:dyDescent="0.25">
      <c r="A646" s="157"/>
      <c r="B646" s="157"/>
    </row>
    <row r="647" spans="1:2" x14ac:dyDescent="0.25">
      <c r="A647" s="157"/>
      <c r="B647" s="157"/>
    </row>
    <row r="648" spans="1:2" x14ac:dyDescent="0.25">
      <c r="A648" s="157"/>
      <c r="B648" s="157"/>
    </row>
    <row r="649" spans="1:2" x14ac:dyDescent="0.25">
      <c r="A649" s="157"/>
      <c r="B649" s="157"/>
    </row>
    <row r="650" spans="1:2" x14ac:dyDescent="0.25">
      <c r="A650" s="157"/>
      <c r="B650" s="157"/>
    </row>
    <row r="651" spans="1:2" x14ac:dyDescent="0.25">
      <c r="A651" s="157"/>
      <c r="B651" s="157"/>
    </row>
    <row r="652" spans="1:2" x14ac:dyDescent="0.25">
      <c r="A652" s="157"/>
      <c r="B652" s="157"/>
    </row>
    <row r="653" spans="1:2" x14ac:dyDescent="0.25">
      <c r="A653" s="157"/>
      <c r="B653" s="157"/>
    </row>
    <row r="654" spans="1:2" x14ac:dyDescent="0.25">
      <c r="A654" s="157"/>
      <c r="B654" s="157"/>
    </row>
    <row r="655" spans="1:2" x14ac:dyDescent="0.25">
      <c r="A655" s="157"/>
      <c r="B655" s="157"/>
    </row>
    <row r="656" spans="1:2" x14ac:dyDescent="0.25">
      <c r="A656" s="157"/>
      <c r="B656" s="157"/>
    </row>
    <row r="657" spans="1:2" x14ac:dyDescent="0.25">
      <c r="A657" s="157"/>
      <c r="B657" s="157"/>
    </row>
    <row r="658" spans="1:2" x14ac:dyDescent="0.25">
      <c r="A658" s="157"/>
      <c r="B658" s="157"/>
    </row>
    <row r="659" spans="1:2" x14ac:dyDescent="0.25">
      <c r="A659" s="157"/>
      <c r="B659" s="157"/>
    </row>
    <row r="660" spans="1:2" x14ac:dyDescent="0.25">
      <c r="A660" s="157"/>
      <c r="B660" s="157"/>
    </row>
    <row r="661" spans="1:2" x14ac:dyDescent="0.25">
      <c r="A661" s="157"/>
      <c r="B661" s="157"/>
    </row>
    <row r="662" spans="1:2" x14ac:dyDescent="0.25">
      <c r="A662" s="157"/>
      <c r="B662" s="157"/>
    </row>
    <row r="663" spans="1:2" x14ac:dyDescent="0.25">
      <c r="A663" s="157"/>
      <c r="B663" s="157"/>
    </row>
    <row r="664" spans="1:2" x14ac:dyDescent="0.25">
      <c r="A664" s="157"/>
      <c r="B664" s="157"/>
    </row>
    <row r="665" spans="1:2" x14ac:dyDescent="0.25">
      <c r="A665" s="157"/>
      <c r="B665" s="157"/>
    </row>
    <row r="666" spans="1:2" x14ac:dyDescent="0.25">
      <c r="A666" s="157"/>
      <c r="B666" s="157"/>
    </row>
    <row r="667" spans="1:2" x14ac:dyDescent="0.25">
      <c r="A667" s="157"/>
      <c r="B667" s="157"/>
    </row>
    <row r="668" spans="1:2" x14ac:dyDescent="0.25">
      <c r="A668" s="157"/>
      <c r="B668" s="157"/>
    </row>
    <row r="669" spans="1:2" x14ac:dyDescent="0.25">
      <c r="A669" s="157"/>
      <c r="B669" s="157"/>
    </row>
    <row r="670" spans="1:2" x14ac:dyDescent="0.25">
      <c r="A670" s="157"/>
      <c r="B670" s="157"/>
    </row>
    <row r="671" spans="1:2" x14ac:dyDescent="0.25">
      <c r="A671" s="157"/>
      <c r="B671" s="157"/>
    </row>
    <row r="672" spans="1:2" x14ac:dyDescent="0.25">
      <c r="A672" s="157"/>
      <c r="B672" s="157"/>
    </row>
    <row r="673" spans="1:2" x14ac:dyDescent="0.25">
      <c r="A673" s="157"/>
      <c r="B673" s="157"/>
    </row>
    <row r="674" spans="1:2" x14ac:dyDescent="0.25">
      <c r="A674" s="157"/>
      <c r="B674" s="157"/>
    </row>
    <row r="675" spans="1:2" x14ac:dyDescent="0.25">
      <c r="A675" s="157"/>
      <c r="B675" s="157"/>
    </row>
    <row r="676" spans="1:2" x14ac:dyDescent="0.25">
      <c r="A676" s="157"/>
      <c r="B676" s="157"/>
    </row>
    <row r="677" spans="1:2" x14ac:dyDescent="0.25">
      <c r="A677" s="157"/>
      <c r="B677" s="157"/>
    </row>
    <row r="678" spans="1:2" x14ac:dyDescent="0.25">
      <c r="A678" s="157"/>
      <c r="B678" s="157"/>
    </row>
    <row r="679" spans="1:2" x14ac:dyDescent="0.25">
      <c r="A679" s="157"/>
      <c r="B679" s="157"/>
    </row>
    <row r="680" spans="1:2" x14ac:dyDescent="0.25">
      <c r="A680" s="157"/>
      <c r="B680" s="157"/>
    </row>
    <row r="681" spans="1:2" x14ac:dyDescent="0.25">
      <c r="A681" s="157"/>
      <c r="B681" s="157"/>
    </row>
    <row r="682" spans="1:2" x14ac:dyDescent="0.25">
      <c r="A682" s="157"/>
      <c r="B682" s="157"/>
    </row>
    <row r="683" spans="1:2" x14ac:dyDescent="0.25">
      <c r="A683" s="157"/>
      <c r="B683" s="157"/>
    </row>
    <row r="684" spans="1:2" x14ac:dyDescent="0.25">
      <c r="A684" s="157"/>
      <c r="B684" s="157"/>
    </row>
    <row r="685" spans="1:2" x14ac:dyDescent="0.25">
      <c r="A685" s="157"/>
      <c r="B685" s="157"/>
    </row>
    <row r="686" spans="1:2" x14ac:dyDescent="0.25">
      <c r="A686" s="157"/>
      <c r="B686" s="157"/>
    </row>
    <row r="687" spans="1:2" x14ac:dyDescent="0.25">
      <c r="A687" s="157"/>
      <c r="B687" s="157"/>
    </row>
    <row r="688" spans="1:2" x14ac:dyDescent="0.25">
      <c r="A688" s="157"/>
      <c r="B688" s="157"/>
    </row>
    <row r="689" spans="1:2" x14ac:dyDescent="0.25">
      <c r="A689" s="157"/>
      <c r="B689" s="157"/>
    </row>
    <row r="690" spans="1:2" x14ac:dyDescent="0.25">
      <c r="A690" s="157"/>
      <c r="B690" s="157"/>
    </row>
    <row r="691" spans="1:2" x14ac:dyDescent="0.25">
      <c r="A691" s="157"/>
      <c r="B691" s="157"/>
    </row>
    <row r="692" spans="1:2" x14ac:dyDescent="0.25">
      <c r="A692" s="157"/>
      <c r="B692" s="157"/>
    </row>
    <row r="693" spans="1:2" x14ac:dyDescent="0.25">
      <c r="A693" s="157"/>
      <c r="B693" s="157"/>
    </row>
    <row r="694" spans="1:2" x14ac:dyDescent="0.25">
      <c r="A694" s="157"/>
      <c r="B694" s="157"/>
    </row>
    <row r="695" spans="1:2" x14ac:dyDescent="0.25">
      <c r="A695" s="157"/>
      <c r="B695" s="157"/>
    </row>
    <row r="696" spans="1:2" x14ac:dyDescent="0.25">
      <c r="A696" s="157"/>
      <c r="B696" s="157"/>
    </row>
    <row r="697" spans="1:2" x14ac:dyDescent="0.25">
      <c r="A697" s="157"/>
      <c r="B697" s="157"/>
    </row>
    <row r="698" spans="1:2" x14ac:dyDescent="0.25">
      <c r="A698" s="157"/>
      <c r="B698" s="157"/>
    </row>
    <row r="699" spans="1:2" x14ac:dyDescent="0.25">
      <c r="A699" s="157"/>
      <c r="B699" s="157"/>
    </row>
    <row r="700" spans="1:2" x14ac:dyDescent="0.25">
      <c r="A700" s="157"/>
      <c r="B700" s="157"/>
    </row>
    <row r="701" spans="1:2" x14ac:dyDescent="0.25">
      <c r="A701" s="157"/>
      <c r="B701" s="157"/>
    </row>
    <row r="702" spans="1:2" x14ac:dyDescent="0.25">
      <c r="A702" s="157"/>
      <c r="B702" s="157"/>
    </row>
    <row r="703" spans="1:2" x14ac:dyDescent="0.25">
      <c r="A703" s="157"/>
      <c r="B703" s="157"/>
    </row>
    <row r="704" spans="1:2" x14ac:dyDescent="0.25">
      <c r="A704" s="157"/>
      <c r="B704" s="157"/>
    </row>
    <row r="705" spans="1:2" x14ac:dyDescent="0.25">
      <c r="A705" s="157"/>
      <c r="B705" s="157"/>
    </row>
    <row r="706" spans="1:2" x14ac:dyDescent="0.25">
      <c r="A706" s="157"/>
      <c r="B706" s="157"/>
    </row>
    <row r="707" spans="1:2" x14ac:dyDescent="0.25">
      <c r="A707" s="157"/>
      <c r="B707" s="157"/>
    </row>
    <row r="708" spans="1:2" x14ac:dyDescent="0.25">
      <c r="A708" s="157"/>
      <c r="B708" s="157"/>
    </row>
    <row r="709" spans="1:2" x14ac:dyDescent="0.25">
      <c r="A709" s="157"/>
      <c r="B709" s="157"/>
    </row>
    <row r="710" spans="1:2" x14ac:dyDescent="0.25">
      <c r="A710" s="157"/>
      <c r="B710" s="157"/>
    </row>
    <row r="711" spans="1:2" x14ac:dyDescent="0.25">
      <c r="A711" s="157"/>
      <c r="B711" s="157"/>
    </row>
    <row r="712" spans="1:2" x14ac:dyDescent="0.25">
      <c r="A712" s="157"/>
      <c r="B712" s="157"/>
    </row>
    <row r="713" spans="1:2" x14ac:dyDescent="0.25">
      <c r="A713" s="157"/>
      <c r="B713" s="157"/>
    </row>
    <row r="714" spans="1:2" x14ac:dyDescent="0.25">
      <c r="A714" s="157"/>
      <c r="B714" s="157"/>
    </row>
    <row r="715" spans="1:2" x14ac:dyDescent="0.25">
      <c r="A715" s="157"/>
      <c r="B715" s="157"/>
    </row>
    <row r="716" spans="1:2" x14ac:dyDescent="0.25">
      <c r="A716" s="157"/>
      <c r="B716" s="157"/>
    </row>
    <row r="717" spans="1:2" x14ac:dyDescent="0.25">
      <c r="A717" s="157"/>
      <c r="B717" s="157"/>
    </row>
    <row r="718" spans="1:2" x14ac:dyDescent="0.25">
      <c r="A718" s="157"/>
      <c r="B718" s="157"/>
    </row>
    <row r="719" spans="1:2" x14ac:dyDescent="0.25">
      <c r="A719" s="157"/>
      <c r="B719" s="157"/>
    </row>
    <row r="720" spans="1:2" x14ac:dyDescent="0.25">
      <c r="A720" s="157"/>
      <c r="B720" s="157"/>
    </row>
    <row r="721" spans="1:2" x14ac:dyDescent="0.25">
      <c r="A721" s="157"/>
      <c r="B721" s="157"/>
    </row>
    <row r="722" spans="1:2" x14ac:dyDescent="0.25">
      <c r="A722" s="157"/>
      <c r="B722" s="157"/>
    </row>
    <row r="723" spans="1:2" x14ac:dyDescent="0.25">
      <c r="A723" s="157"/>
      <c r="B723" s="157"/>
    </row>
    <row r="724" spans="1:2" x14ac:dyDescent="0.25">
      <c r="A724" s="157"/>
      <c r="B724" s="157"/>
    </row>
    <row r="725" spans="1:2" x14ac:dyDescent="0.25">
      <c r="A725" s="157"/>
      <c r="B725" s="157"/>
    </row>
    <row r="726" spans="1:2" x14ac:dyDescent="0.25">
      <c r="A726" s="157"/>
      <c r="B726" s="157"/>
    </row>
    <row r="727" spans="1:2" x14ac:dyDescent="0.25">
      <c r="A727" s="157"/>
      <c r="B727" s="157"/>
    </row>
    <row r="728" spans="1:2" x14ac:dyDescent="0.25">
      <c r="A728" s="157"/>
      <c r="B728" s="157"/>
    </row>
    <row r="729" spans="1:2" x14ac:dyDescent="0.25">
      <c r="A729" s="157"/>
      <c r="B729" s="157"/>
    </row>
    <row r="730" spans="1:2" x14ac:dyDescent="0.25">
      <c r="A730" s="157"/>
      <c r="B730" s="157"/>
    </row>
    <row r="731" spans="1:2" x14ac:dyDescent="0.25">
      <c r="A731" s="157"/>
      <c r="B731" s="157"/>
    </row>
    <row r="732" spans="1:2" x14ac:dyDescent="0.25">
      <c r="A732" s="157"/>
      <c r="B732" s="157"/>
    </row>
    <row r="733" spans="1:2" x14ac:dyDescent="0.25">
      <c r="A733" s="157"/>
      <c r="B733" s="157"/>
    </row>
    <row r="734" spans="1:2" x14ac:dyDescent="0.25">
      <c r="A734" s="157"/>
      <c r="B734" s="157"/>
    </row>
    <row r="735" spans="1:2" x14ac:dyDescent="0.25">
      <c r="A735" s="157"/>
      <c r="B735" s="157"/>
    </row>
    <row r="736" spans="1:2" x14ac:dyDescent="0.25">
      <c r="A736" s="157"/>
      <c r="B736" s="157"/>
    </row>
    <row r="737" spans="1:2" x14ac:dyDescent="0.25">
      <c r="A737" s="157"/>
      <c r="B737" s="157"/>
    </row>
    <row r="738" spans="1:2" x14ac:dyDescent="0.25">
      <c r="A738" s="157"/>
      <c r="B738" s="157"/>
    </row>
    <row r="739" spans="1:2" x14ac:dyDescent="0.25">
      <c r="A739" s="157"/>
      <c r="B739" s="157"/>
    </row>
    <row r="740" spans="1:2" x14ac:dyDescent="0.25">
      <c r="A740" s="157"/>
      <c r="B740" s="157"/>
    </row>
    <row r="741" spans="1:2" x14ac:dyDescent="0.25">
      <c r="A741" s="157"/>
      <c r="B741" s="157"/>
    </row>
    <row r="742" spans="1:2" x14ac:dyDescent="0.25">
      <c r="A742" s="157"/>
      <c r="B742" s="157"/>
    </row>
    <row r="743" spans="1:2" x14ac:dyDescent="0.25">
      <c r="A743" s="157"/>
      <c r="B743" s="157"/>
    </row>
    <row r="744" spans="1:2" x14ac:dyDescent="0.25">
      <c r="A744" s="157"/>
      <c r="B744" s="157"/>
    </row>
    <row r="745" spans="1:2" x14ac:dyDescent="0.25">
      <c r="A745" s="157"/>
      <c r="B745" s="157"/>
    </row>
    <row r="746" spans="1:2" x14ac:dyDescent="0.25">
      <c r="A746" s="157"/>
      <c r="B746" s="157"/>
    </row>
    <row r="747" spans="1:2" x14ac:dyDescent="0.25">
      <c r="A747" s="157"/>
      <c r="B747" s="157"/>
    </row>
    <row r="748" spans="1:2" x14ac:dyDescent="0.25">
      <c r="A748" s="157"/>
      <c r="B748" s="157"/>
    </row>
    <row r="749" spans="1:2" x14ac:dyDescent="0.25">
      <c r="A749" s="157"/>
      <c r="B749" s="157"/>
    </row>
    <row r="750" spans="1:2" x14ac:dyDescent="0.25">
      <c r="A750" s="157"/>
      <c r="B750" s="157"/>
    </row>
    <row r="751" spans="1:2" x14ac:dyDescent="0.25">
      <c r="A751" s="157"/>
      <c r="B751" s="157"/>
    </row>
    <row r="752" spans="1:2" x14ac:dyDescent="0.25">
      <c r="A752" s="157"/>
      <c r="B752" s="157"/>
    </row>
    <row r="753" spans="1:2" x14ac:dyDescent="0.25">
      <c r="A753" s="157"/>
      <c r="B753" s="157"/>
    </row>
    <row r="754" spans="1:2" x14ac:dyDescent="0.25">
      <c r="A754" s="157"/>
      <c r="B754" s="157"/>
    </row>
    <row r="755" spans="1:2" x14ac:dyDescent="0.25">
      <c r="A755" s="157"/>
      <c r="B755" s="157"/>
    </row>
    <row r="756" spans="1:2" x14ac:dyDescent="0.25">
      <c r="A756" s="157"/>
      <c r="B756" s="157"/>
    </row>
    <row r="757" spans="1:2" x14ac:dyDescent="0.25">
      <c r="A757" s="157"/>
      <c r="B757" s="157"/>
    </row>
    <row r="758" spans="1:2" x14ac:dyDescent="0.25">
      <c r="A758" s="157"/>
      <c r="B758" s="157"/>
    </row>
    <row r="759" spans="1:2" x14ac:dyDescent="0.25">
      <c r="A759" s="157"/>
      <c r="B759" s="157"/>
    </row>
    <row r="760" spans="1:2" x14ac:dyDescent="0.25">
      <c r="A760" s="157"/>
      <c r="B760" s="157"/>
    </row>
    <row r="761" spans="1:2" x14ac:dyDescent="0.25">
      <c r="A761" s="157"/>
      <c r="B761" s="157"/>
    </row>
    <row r="762" spans="1:2" x14ac:dyDescent="0.25">
      <c r="A762" s="157"/>
      <c r="B762" s="157"/>
    </row>
    <row r="763" spans="1:2" x14ac:dyDescent="0.25">
      <c r="A763" s="157"/>
      <c r="B763" s="157"/>
    </row>
    <row r="764" spans="1:2" x14ac:dyDescent="0.25">
      <c r="A764" s="157"/>
      <c r="B764" s="157"/>
    </row>
    <row r="765" spans="1:2" x14ac:dyDescent="0.25">
      <c r="A765" s="157"/>
      <c r="B765" s="157"/>
    </row>
    <row r="766" spans="1:2" x14ac:dyDescent="0.25">
      <c r="A766" s="157"/>
      <c r="B766" s="157"/>
    </row>
    <row r="767" spans="1:2" x14ac:dyDescent="0.25">
      <c r="A767" s="157"/>
      <c r="B767" s="157"/>
    </row>
    <row r="768" spans="1:2" x14ac:dyDescent="0.25">
      <c r="A768" s="157"/>
      <c r="B768" s="157"/>
    </row>
    <row r="769" spans="1:2" x14ac:dyDescent="0.25">
      <c r="A769" s="157"/>
      <c r="B769" s="157"/>
    </row>
    <row r="770" spans="1:2" x14ac:dyDescent="0.25">
      <c r="A770" s="157"/>
      <c r="B770" s="157"/>
    </row>
    <row r="771" spans="1:2" x14ac:dyDescent="0.25">
      <c r="A771" s="157"/>
      <c r="B771" s="157"/>
    </row>
    <row r="772" spans="1:2" x14ac:dyDescent="0.25">
      <c r="A772" s="157"/>
      <c r="B772" s="157"/>
    </row>
    <row r="773" spans="1:2" x14ac:dyDescent="0.25">
      <c r="A773" s="157"/>
      <c r="B773" s="157"/>
    </row>
    <row r="774" spans="1:2" x14ac:dyDescent="0.25">
      <c r="A774" s="157"/>
      <c r="B774" s="157"/>
    </row>
    <row r="775" spans="1:2" x14ac:dyDescent="0.25">
      <c r="A775" s="157"/>
      <c r="B775" s="157"/>
    </row>
    <row r="776" spans="1:2" x14ac:dyDescent="0.25">
      <c r="A776" s="157"/>
      <c r="B776" s="157"/>
    </row>
    <row r="777" spans="1:2" x14ac:dyDescent="0.25">
      <c r="A777" s="157"/>
      <c r="B777" s="157"/>
    </row>
    <row r="778" spans="1:2" x14ac:dyDescent="0.25">
      <c r="A778" s="157"/>
      <c r="B778" s="157"/>
    </row>
    <row r="779" spans="1:2" x14ac:dyDescent="0.25">
      <c r="A779" s="157"/>
      <c r="B779" s="157"/>
    </row>
    <row r="780" spans="1:2" x14ac:dyDescent="0.25">
      <c r="A780" s="157"/>
      <c r="B780" s="157"/>
    </row>
    <row r="781" spans="1:2" x14ac:dyDescent="0.25">
      <c r="A781" s="157"/>
      <c r="B781" s="157"/>
    </row>
    <row r="782" spans="1:2" x14ac:dyDescent="0.25">
      <c r="A782" s="157"/>
      <c r="B782" s="157"/>
    </row>
    <row r="783" spans="1:2" x14ac:dyDescent="0.25">
      <c r="A783" s="157"/>
      <c r="B783" s="157"/>
    </row>
    <row r="784" spans="1:2" x14ac:dyDescent="0.25">
      <c r="A784" s="157"/>
      <c r="B784" s="157"/>
    </row>
    <row r="785" spans="1:2" x14ac:dyDescent="0.25">
      <c r="A785" s="157"/>
      <c r="B785" s="157"/>
    </row>
    <row r="786" spans="1:2" x14ac:dyDescent="0.25">
      <c r="A786" s="157"/>
      <c r="B786" s="157"/>
    </row>
    <row r="787" spans="1:2" x14ac:dyDescent="0.25">
      <c r="A787" s="157"/>
      <c r="B787" s="157"/>
    </row>
    <row r="788" spans="1:2" x14ac:dyDescent="0.25">
      <c r="A788" s="157"/>
      <c r="B788" s="157"/>
    </row>
    <row r="789" spans="1:2" x14ac:dyDescent="0.25">
      <c r="A789" s="157"/>
      <c r="B789" s="157"/>
    </row>
    <row r="790" spans="1:2" x14ac:dyDescent="0.25">
      <c r="A790" s="157"/>
      <c r="B790" s="157"/>
    </row>
    <row r="791" spans="1:2" x14ac:dyDescent="0.25">
      <c r="A791" s="157"/>
      <c r="B791" s="157"/>
    </row>
    <row r="792" spans="1:2" x14ac:dyDescent="0.25">
      <c r="A792" s="157"/>
      <c r="B792" s="157"/>
    </row>
    <row r="793" spans="1:2" x14ac:dyDescent="0.25">
      <c r="A793" s="157"/>
      <c r="B793" s="157"/>
    </row>
    <row r="794" spans="1:2" x14ac:dyDescent="0.25">
      <c r="A794" s="157"/>
      <c r="B794" s="157"/>
    </row>
    <row r="795" spans="1:2" x14ac:dyDescent="0.25">
      <c r="A795" s="157"/>
      <c r="B795" s="157"/>
    </row>
    <row r="796" spans="1:2" x14ac:dyDescent="0.25">
      <c r="A796" s="157"/>
      <c r="B796" s="157"/>
    </row>
    <row r="797" spans="1:2" x14ac:dyDescent="0.25">
      <c r="A797" s="157"/>
      <c r="B797" s="157"/>
    </row>
    <row r="798" spans="1:2" x14ac:dyDescent="0.25">
      <c r="A798" s="157"/>
      <c r="B798" s="157"/>
    </row>
    <row r="799" spans="1:2" x14ac:dyDescent="0.25">
      <c r="A799" s="157"/>
      <c r="B799" s="157"/>
    </row>
    <row r="800" spans="1:2" x14ac:dyDescent="0.25">
      <c r="A800" s="157"/>
      <c r="B800" s="157"/>
    </row>
    <row r="801" spans="1:2" x14ac:dyDescent="0.25">
      <c r="A801" s="157"/>
      <c r="B801" s="157"/>
    </row>
    <row r="802" spans="1:2" x14ac:dyDescent="0.25">
      <c r="A802" s="157"/>
      <c r="B802" s="157"/>
    </row>
    <row r="803" spans="1:2" x14ac:dyDescent="0.25">
      <c r="A803" s="157"/>
      <c r="B803" s="157"/>
    </row>
    <row r="804" spans="1:2" x14ac:dyDescent="0.25">
      <c r="A804" s="157"/>
      <c r="B804" s="157"/>
    </row>
    <row r="805" spans="1:2" x14ac:dyDescent="0.25">
      <c r="A805" s="157"/>
      <c r="B805" s="157"/>
    </row>
    <row r="806" spans="1:2" x14ac:dyDescent="0.25">
      <c r="A806" s="157"/>
      <c r="B806" s="157"/>
    </row>
    <row r="807" spans="1:2" x14ac:dyDescent="0.25">
      <c r="A807" s="157"/>
      <c r="B807" s="157"/>
    </row>
    <row r="808" spans="1:2" x14ac:dyDescent="0.25">
      <c r="A808" s="157"/>
      <c r="B808" s="157"/>
    </row>
    <row r="809" spans="1:2" x14ac:dyDescent="0.25">
      <c r="A809" s="157"/>
      <c r="B809" s="157"/>
    </row>
    <row r="810" spans="1:2" x14ac:dyDescent="0.25">
      <c r="A810" s="157"/>
      <c r="B810" s="157"/>
    </row>
    <row r="811" spans="1:2" x14ac:dyDescent="0.25">
      <c r="A811" s="157"/>
      <c r="B811" s="157"/>
    </row>
    <row r="812" spans="1:2" x14ac:dyDescent="0.25">
      <c r="A812" s="157"/>
      <c r="B812" s="157"/>
    </row>
    <row r="813" spans="1:2" x14ac:dyDescent="0.25">
      <c r="A813" s="157"/>
      <c r="B813" s="157"/>
    </row>
    <row r="814" spans="1:2" x14ac:dyDescent="0.25">
      <c r="A814" s="157"/>
      <c r="B814" s="157"/>
    </row>
    <row r="815" spans="1:2" x14ac:dyDescent="0.25">
      <c r="A815" s="157"/>
      <c r="B815" s="157"/>
    </row>
    <row r="816" spans="1:2" x14ac:dyDescent="0.25">
      <c r="A816" s="157"/>
      <c r="B816" s="157"/>
    </row>
    <row r="817" spans="1:2" x14ac:dyDescent="0.25">
      <c r="A817" s="157"/>
      <c r="B817" s="157"/>
    </row>
    <row r="818" spans="1:2" x14ac:dyDescent="0.25">
      <c r="A818" s="157"/>
      <c r="B818" s="157"/>
    </row>
    <row r="819" spans="1:2" x14ac:dyDescent="0.25">
      <c r="A819" s="157"/>
      <c r="B819" s="157"/>
    </row>
    <row r="820" spans="1:2" x14ac:dyDescent="0.25">
      <c r="A820" s="157"/>
      <c r="B820" s="157"/>
    </row>
    <row r="821" spans="1:2" x14ac:dyDescent="0.25">
      <c r="A821" s="157"/>
      <c r="B821" s="157"/>
    </row>
    <row r="822" spans="1:2" x14ac:dyDescent="0.25">
      <c r="A822" s="157"/>
      <c r="B822" s="157"/>
    </row>
    <row r="823" spans="1:2" x14ac:dyDescent="0.25">
      <c r="A823" s="157"/>
      <c r="B823" s="157"/>
    </row>
    <row r="824" spans="1:2" x14ac:dyDescent="0.25">
      <c r="A824" s="157"/>
      <c r="B824" s="157"/>
    </row>
    <row r="825" spans="1:2" x14ac:dyDescent="0.25">
      <c r="A825" s="157"/>
      <c r="B825" s="157"/>
    </row>
    <row r="826" spans="1:2" x14ac:dyDescent="0.25">
      <c r="A826" s="157"/>
      <c r="B826" s="157"/>
    </row>
    <row r="827" spans="1:2" x14ac:dyDescent="0.25">
      <c r="A827" s="157"/>
      <c r="B827" s="157"/>
    </row>
    <row r="828" spans="1:2" x14ac:dyDescent="0.25">
      <c r="A828" s="157"/>
      <c r="B828" s="157"/>
    </row>
    <row r="829" spans="1:2" x14ac:dyDescent="0.25">
      <c r="A829" s="157"/>
      <c r="B829" s="157"/>
    </row>
    <row r="830" spans="1:2" x14ac:dyDescent="0.25">
      <c r="A830" s="157"/>
      <c r="B830" s="157"/>
    </row>
    <row r="831" spans="1:2" x14ac:dyDescent="0.25">
      <c r="A831" s="157"/>
      <c r="B831" s="157"/>
    </row>
    <row r="832" spans="1:2" x14ac:dyDescent="0.25">
      <c r="A832" s="157"/>
      <c r="B832" s="157"/>
    </row>
    <row r="833" spans="1:2" x14ac:dyDescent="0.25">
      <c r="A833" s="157"/>
      <c r="B833" s="157"/>
    </row>
    <row r="834" spans="1:2" x14ac:dyDescent="0.25">
      <c r="A834" s="157"/>
      <c r="B834" s="157"/>
    </row>
    <row r="835" spans="1:2" x14ac:dyDescent="0.25">
      <c r="A835" s="157"/>
      <c r="B835" s="157"/>
    </row>
    <row r="836" spans="1:2" x14ac:dyDescent="0.25">
      <c r="A836" s="157"/>
      <c r="B836" s="157"/>
    </row>
    <row r="837" spans="1:2" x14ac:dyDescent="0.25">
      <c r="A837" s="157"/>
      <c r="B837" s="157"/>
    </row>
    <row r="838" spans="1:2" x14ac:dyDescent="0.25">
      <c r="A838" s="157"/>
      <c r="B838" s="157"/>
    </row>
    <row r="839" spans="1:2" x14ac:dyDescent="0.25">
      <c r="A839" s="157"/>
      <c r="B839" s="157"/>
    </row>
    <row r="840" spans="1:2" x14ac:dyDescent="0.25">
      <c r="A840" s="157"/>
      <c r="B840" s="157"/>
    </row>
    <row r="841" spans="1:2" x14ac:dyDescent="0.25">
      <c r="A841" s="157"/>
      <c r="B841" s="157"/>
    </row>
    <row r="842" spans="1:2" x14ac:dyDescent="0.25">
      <c r="A842" s="157"/>
      <c r="B842" s="157"/>
    </row>
    <row r="843" spans="1:2" x14ac:dyDescent="0.25">
      <c r="A843" s="157"/>
      <c r="B843" s="157"/>
    </row>
    <row r="844" spans="1:2" x14ac:dyDescent="0.25">
      <c r="A844" s="157"/>
      <c r="B844" s="157"/>
    </row>
    <row r="845" spans="1:2" x14ac:dyDescent="0.25">
      <c r="A845" s="157"/>
      <c r="B845" s="157"/>
    </row>
    <row r="846" spans="1:2" x14ac:dyDescent="0.25">
      <c r="A846" s="157"/>
      <c r="B846" s="157"/>
    </row>
    <row r="847" spans="1:2" x14ac:dyDescent="0.25">
      <c r="A847" s="157"/>
      <c r="B847" s="157"/>
    </row>
    <row r="848" spans="1:2" x14ac:dyDescent="0.25">
      <c r="A848" s="157"/>
      <c r="B848" s="157"/>
    </row>
    <row r="849" spans="1:2" x14ac:dyDescent="0.25">
      <c r="A849" s="157"/>
      <c r="B849" s="157"/>
    </row>
    <row r="850" spans="1:2" x14ac:dyDescent="0.25">
      <c r="A850" s="157"/>
      <c r="B850" s="157"/>
    </row>
    <row r="851" spans="1:2" x14ac:dyDescent="0.25">
      <c r="A851" s="157"/>
      <c r="B851" s="157"/>
    </row>
    <row r="852" spans="1:2" x14ac:dyDescent="0.25">
      <c r="A852" s="157"/>
      <c r="B852" s="157"/>
    </row>
    <row r="853" spans="1:2" x14ac:dyDescent="0.25">
      <c r="A853" s="157"/>
      <c r="B853" s="157"/>
    </row>
    <row r="854" spans="1:2" x14ac:dyDescent="0.25">
      <c r="A854" s="157"/>
      <c r="B854" s="157"/>
    </row>
    <row r="855" spans="1:2" x14ac:dyDescent="0.25">
      <c r="A855" s="157"/>
      <c r="B855" s="157"/>
    </row>
    <row r="856" spans="1:2" x14ac:dyDescent="0.25">
      <c r="A856" s="157"/>
      <c r="B856" s="157"/>
    </row>
    <row r="857" spans="1:2" x14ac:dyDescent="0.25">
      <c r="A857" s="157"/>
      <c r="B857" s="157"/>
    </row>
    <row r="858" spans="1:2" x14ac:dyDescent="0.25">
      <c r="A858" s="157"/>
      <c r="B858" s="157"/>
    </row>
    <row r="859" spans="1:2" x14ac:dyDescent="0.25">
      <c r="A859" s="157"/>
      <c r="B859" s="157"/>
    </row>
    <row r="860" spans="1:2" x14ac:dyDescent="0.25">
      <c r="A860" s="157"/>
      <c r="B860" s="157"/>
    </row>
    <row r="861" spans="1:2" x14ac:dyDescent="0.25">
      <c r="A861" s="157"/>
      <c r="B861" s="157"/>
    </row>
    <row r="862" spans="1:2" x14ac:dyDescent="0.25">
      <c r="A862" s="157"/>
      <c r="B862" s="157"/>
    </row>
    <row r="863" spans="1:2" x14ac:dyDescent="0.25">
      <c r="A863" s="157"/>
      <c r="B863" s="157"/>
    </row>
    <row r="864" spans="1:2" x14ac:dyDescent="0.25">
      <c r="A864" s="157"/>
      <c r="B864" s="157"/>
    </row>
    <row r="865" spans="1:2" x14ac:dyDescent="0.25">
      <c r="A865" s="157"/>
      <c r="B865" s="157"/>
    </row>
    <row r="866" spans="1:2" x14ac:dyDescent="0.25">
      <c r="A866" s="157"/>
      <c r="B866" s="157"/>
    </row>
    <row r="867" spans="1:2" x14ac:dyDescent="0.25">
      <c r="A867" s="157"/>
      <c r="B867" s="157"/>
    </row>
    <row r="868" spans="1:2" x14ac:dyDescent="0.25">
      <c r="A868" s="157"/>
      <c r="B868" s="157"/>
    </row>
    <row r="869" spans="1:2" x14ac:dyDescent="0.25">
      <c r="A869" s="157"/>
      <c r="B869" s="157"/>
    </row>
    <row r="870" spans="1:2" x14ac:dyDescent="0.25">
      <c r="A870" s="157"/>
      <c r="B870" s="157"/>
    </row>
    <row r="871" spans="1:2" x14ac:dyDescent="0.25">
      <c r="A871" s="157"/>
      <c r="B871" s="157"/>
    </row>
    <row r="872" spans="1:2" x14ac:dyDescent="0.25">
      <c r="A872" s="157"/>
      <c r="B872" s="157"/>
    </row>
    <row r="873" spans="1:2" x14ac:dyDescent="0.25">
      <c r="A873" s="157"/>
      <c r="B873" s="157"/>
    </row>
    <row r="874" spans="1:2" x14ac:dyDescent="0.25">
      <c r="A874" s="157"/>
      <c r="B874" s="157"/>
    </row>
    <row r="875" spans="1:2" x14ac:dyDescent="0.25">
      <c r="A875" s="157"/>
      <c r="B875" s="157"/>
    </row>
    <row r="876" spans="1:2" x14ac:dyDescent="0.25">
      <c r="A876" s="157"/>
      <c r="B876" s="157"/>
    </row>
    <row r="877" spans="1:2" x14ac:dyDescent="0.25">
      <c r="A877" s="157"/>
      <c r="B877" s="157"/>
    </row>
    <row r="878" spans="1:2" x14ac:dyDescent="0.25">
      <c r="A878" s="157"/>
      <c r="B878" s="157"/>
    </row>
    <row r="879" spans="1:2" x14ac:dyDescent="0.25">
      <c r="A879" s="157"/>
      <c r="B879" s="157"/>
    </row>
    <row r="880" spans="1:2" x14ac:dyDescent="0.25">
      <c r="A880" s="157"/>
      <c r="B880" s="157"/>
    </row>
    <row r="881" spans="1:2" x14ac:dyDescent="0.25">
      <c r="A881" s="157"/>
      <c r="B881" s="157"/>
    </row>
    <row r="882" spans="1:2" x14ac:dyDescent="0.25">
      <c r="A882" s="157"/>
      <c r="B882" s="157"/>
    </row>
    <row r="883" spans="1:2" x14ac:dyDescent="0.25">
      <c r="A883" s="157"/>
      <c r="B883" s="157"/>
    </row>
    <row r="884" spans="1:2" x14ac:dyDescent="0.25">
      <c r="A884" s="157"/>
      <c r="B884" s="157"/>
    </row>
    <row r="885" spans="1:2" x14ac:dyDescent="0.25">
      <c r="A885" s="157"/>
      <c r="B885" s="157"/>
    </row>
    <row r="886" spans="1:2" x14ac:dyDescent="0.25">
      <c r="A886" s="157"/>
      <c r="B886" s="157"/>
    </row>
    <row r="887" spans="1:2" x14ac:dyDescent="0.25">
      <c r="A887" s="157"/>
      <c r="B887" s="157"/>
    </row>
    <row r="888" spans="1:2" x14ac:dyDescent="0.25">
      <c r="A888" s="157"/>
      <c r="B888" s="157"/>
    </row>
    <row r="889" spans="1:2" x14ac:dyDescent="0.25">
      <c r="A889" s="157"/>
      <c r="B889" s="157"/>
    </row>
    <row r="890" spans="1:2" x14ac:dyDescent="0.25">
      <c r="A890" s="157"/>
      <c r="B890" s="157"/>
    </row>
    <row r="891" spans="1:2" x14ac:dyDescent="0.25">
      <c r="A891" s="157"/>
      <c r="B891" s="157"/>
    </row>
    <row r="892" spans="1:2" x14ac:dyDescent="0.25">
      <c r="A892" s="157"/>
      <c r="B892" s="157"/>
    </row>
    <row r="893" spans="1:2" x14ac:dyDescent="0.25">
      <c r="A893" s="157"/>
      <c r="B893" s="157"/>
    </row>
    <row r="894" spans="1:2" x14ac:dyDescent="0.25">
      <c r="A894" s="157"/>
      <c r="B894" s="157"/>
    </row>
    <row r="895" spans="1:2" x14ac:dyDescent="0.25">
      <c r="A895" s="157"/>
      <c r="B895" s="157"/>
    </row>
    <row r="896" spans="1:2" x14ac:dyDescent="0.25">
      <c r="A896" s="157"/>
      <c r="B896" s="157"/>
    </row>
    <row r="897" spans="1:2" x14ac:dyDescent="0.25">
      <c r="A897" s="157"/>
      <c r="B897" s="157"/>
    </row>
    <row r="898" spans="1:2" x14ac:dyDescent="0.25">
      <c r="A898" s="157"/>
      <c r="B898" s="157"/>
    </row>
    <row r="899" spans="1:2" x14ac:dyDescent="0.25">
      <c r="A899" s="157"/>
      <c r="B899" s="157"/>
    </row>
    <row r="900" spans="1:2" x14ac:dyDescent="0.25">
      <c r="A900" s="157"/>
      <c r="B900" s="157"/>
    </row>
    <row r="901" spans="1:2" x14ac:dyDescent="0.25">
      <c r="A901" s="157"/>
      <c r="B901" s="157"/>
    </row>
    <row r="902" spans="1:2" x14ac:dyDescent="0.25">
      <c r="A902" s="157"/>
      <c r="B902" s="157"/>
    </row>
    <row r="903" spans="1:2" x14ac:dyDescent="0.25">
      <c r="A903" s="157"/>
      <c r="B903" s="157"/>
    </row>
    <row r="904" spans="1:2" x14ac:dyDescent="0.25">
      <c r="A904" s="157"/>
      <c r="B904" s="157"/>
    </row>
    <row r="905" spans="1:2" x14ac:dyDescent="0.25">
      <c r="A905" s="157"/>
      <c r="B905" s="157"/>
    </row>
    <row r="906" spans="1:2" x14ac:dyDescent="0.25">
      <c r="A906" s="157"/>
      <c r="B906" s="157"/>
    </row>
    <row r="907" spans="1:2" x14ac:dyDescent="0.25">
      <c r="A907" s="157"/>
      <c r="B907" s="157"/>
    </row>
    <row r="908" spans="1:2" x14ac:dyDescent="0.25">
      <c r="A908" s="157"/>
      <c r="B908" s="157"/>
    </row>
    <row r="909" spans="1:2" x14ac:dyDescent="0.25">
      <c r="A909" s="157"/>
      <c r="B909" s="157"/>
    </row>
    <row r="910" spans="1:2" x14ac:dyDescent="0.25">
      <c r="A910" s="157"/>
      <c r="B910" s="157"/>
    </row>
    <row r="911" spans="1:2" x14ac:dyDescent="0.25">
      <c r="A911" s="157"/>
      <c r="B911" s="157"/>
    </row>
    <row r="912" spans="1:2" x14ac:dyDescent="0.25">
      <c r="A912" s="157"/>
      <c r="B912" s="157"/>
    </row>
    <row r="913" spans="1:2" x14ac:dyDescent="0.25">
      <c r="A913" s="157"/>
      <c r="B913" s="157"/>
    </row>
    <row r="914" spans="1:2" x14ac:dyDescent="0.25">
      <c r="A914" s="157"/>
      <c r="B914" s="157"/>
    </row>
    <row r="915" spans="1:2" x14ac:dyDescent="0.25">
      <c r="A915" s="157"/>
      <c r="B915" s="157"/>
    </row>
    <row r="916" spans="1:2" x14ac:dyDescent="0.25">
      <c r="A916" s="157"/>
      <c r="B916" s="157"/>
    </row>
    <row r="917" spans="1:2" x14ac:dyDescent="0.25">
      <c r="A917" s="157"/>
      <c r="B917" s="157"/>
    </row>
    <row r="918" spans="1:2" x14ac:dyDescent="0.25">
      <c r="A918" s="157"/>
      <c r="B918" s="157"/>
    </row>
    <row r="919" spans="1:2" x14ac:dyDescent="0.25">
      <c r="A919" s="157"/>
      <c r="B919" s="157"/>
    </row>
    <row r="920" spans="1:2" x14ac:dyDescent="0.25">
      <c r="A920" s="157"/>
      <c r="B920" s="157"/>
    </row>
    <row r="921" spans="1:2" x14ac:dyDescent="0.25">
      <c r="A921" s="157"/>
      <c r="B921" s="157"/>
    </row>
    <row r="922" spans="1:2" x14ac:dyDescent="0.25">
      <c r="A922" s="157"/>
      <c r="B922" s="157"/>
    </row>
    <row r="923" spans="1:2" x14ac:dyDescent="0.25">
      <c r="A923" s="157"/>
      <c r="B923" s="157"/>
    </row>
    <row r="924" spans="1:2" x14ac:dyDescent="0.25">
      <c r="A924" s="157"/>
      <c r="B924" s="157"/>
    </row>
    <row r="925" spans="1:2" x14ac:dyDescent="0.25">
      <c r="A925" s="157"/>
      <c r="B925" s="157"/>
    </row>
    <row r="926" spans="1:2" x14ac:dyDescent="0.25">
      <c r="A926" s="157"/>
      <c r="B926" s="157"/>
    </row>
    <row r="927" spans="1:2" x14ac:dyDescent="0.25">
      <c r="A927" s="157"/>
      <c r="B927" s="157"/>
    </row>
    <row r="928" spans="1:2" x14ac:dyDescent="0.25">
      <c r="A928" s="157"/>
      <c r="B928" s="157"/>
    </row>
    <row r="929" spans="1:2" x14ac:dyDescent="0.25">
      <c r="A929" s="157"/>
      <c r="B929" s="157"/>
    </row>
    <row r="930" spans="1:2" x14ac:dyDescent="0.25">
      <c r="A930" s="157"/>
      <c r="B930" s="157"/>
    </row>
    <row r="931" spans="1:2" x14ac:dyDescent="0.25">
      <c r="A931" s="157"/>
      <c r="B931" s="157"/>
    </row>
    <row r="932" spans="1:2" x14ac:dyDescent="0.25">
      <c r="A932" s="157"/>
      <c r="B932" s="157"/>
    </row>
    <row r="933" spans="1:2" x14ac:dyDescent="0.25">
      <c r="A933" s="157"/>
      <c r="B933" s="157"/>
    </row>
    <row r="934" spans="1:2" x14ac:dyDescent="0.25">
      <c r="A934" s="157"/>
      <c r="B934" s="157"/>
    </row>
    <row r="935" spans="1:2" x14ac:dyDescent="0.25">
      <c r="A935" s="157"/>
      <c r="B935" s="157"/>
    </row>
    <row r="936" spans="1:2" x14ac:dyDescent="0.25">
      <c r="A936" s="157"/>
      <c r="B936" s="157"/>
    </row>
    <row r="937" spans="1:2" x14ac:dyDescent="0.25">
      <c r="A937" s="157"/>
      <c r="B937" s="157"/>
    </row>
    <row r="938" spans="1:2" x14ac:dyDescent="0.25">
      <c r="A938" s="157"/>
      <c r="B938" s="157"/>
    </row>
    <row r="939" spans="1:2" x14ac:dyDescent="0.25">
      <c r="A939" s="157"/>
      <c r="B939" s="157"/>
    </row>
    <row r="940" spans="1:2" x14ac:dyDescent="0.25">
      <c r="A940" s="157"/>
      <c r="B940" s="157"/>
    </row>
    <row r="941" spans="1:2" x14ac:dyDescent="0.25">
      <c r="A941" s="157"/>
      <c r="B941" s="157"/>
    </row>
    <row r="942" spans="1:2" x14ac:dyDescent="0.25">
      <c r="A942" s="157"/>
      <c r="B942" s="157"/>
    </row>
    <row r="943" spans="1:2" x14ac:dyDescent="0.25">
      <c r="A943" s="157"/>
      <c r="B943" s="157"/>
    </row>
    <row r="944" spans="1:2" x14ac:dyDescent="0.25">
      <c r="A944" s="157"/>
      <c r="B944" s="157"/>
    </row>
    <row r="945" spans="1:2" x14ac:dyDescent="0.25">
      <c r="A945" s="157"/>
      <c r="B945" s="157"/>
    </row>
    <row r="946" spans="1:2" x14ac:dyDescent="0.25">
      <c r="A946" s="157"/>
      <c r="B946" s="157"/>
    </row>
    <row r="947" spans="1:2" x14ac:dyDescent="0.25">
      <c r="A947" s="157"/>
      <c r="B947" s="157"/>
    </row>
    <row r="948" spans="1:2" x14ac:dyDescent="0.25">
      <c r="A948" s="157"/>
      <c r="B948" s="157"/>
    </row>
    <row r="949" spans="1:2" x14ac:dyDescent="0.25">
      <c r="A949" s="157"/>
      <c r="B949" s="157"/>
    </row>
    <row r="950" spans="1:2" x14ac:dyDescent="0.25">
      <c r="A950" s="157"/>
      <c r="B950" s="157"/>
    </row>
    <row r="951" spans="1:2" x14ac:dyDescent="0.25">
      <c r="A951" s="157"/>
      <c r="B951" s="157"/>
    </row>
    <row r="952" spans="1:2" x14ac:dyDescent="0.25">
      <c r="A952" s="157"/>
      <c r="B952" s="157"/>
    </row>
    <row r="953" spans="1:2" x14ac:dyDescent="0.25">
      <c r="A953" s="157"/>
      <c r="B953" s="157"/>
    </row>
    <row r="954" spans="1:2" x14ac:dyDescent="0.25">
      <c r="A954" s="157"/>
      <c r="B954" s="157"/>
    </row>
    <row r="955" spans="1:2" x14ac:dyDescent="0.25">
      <c r="A955" s="157"/>
      <c r="B955" s="157"/>
    </row>
    <row r="956" spans="1:2" x14ac:dyDescent="0.25">
      <c r="A956" s="157"/>
      <c r="B956" s="157"/>
    </row>
    <row r="957" spans="1:2" x14ac:dyDescent="0.25">
      <c r="A957" s="157"/>
      <c r="B957" s="157"/>
    </row>
    <row r="958" spans="1:2" x14ac:dyDescent="0.25">
      <c r="A958" s="157"/>
      <c r="B958" s="157"/>
    </row>
    <row r="959" spans="1:2" x14ac:dyDescent="0.25">
      <c r="A959" s="157"/>
      <c r="B959" s="157"/>
    </row>
    <row r="960" spans="1:2" x14ac:dyDescent="0.25">
      <c r="A960" s="157"/>
      <c r="B960" s="157"/>
    </row>
    <row r="961" spans="1:2" x14ac:dyDescent="0.25">
      <c r="A961" s="157"/>
      <c r="B961" s="157"/>
    </row>
    <row r="962" spans="1:2" x14ac:dyDescent="0.25">
      <c r="A962" s="157"/>
      <c r="B962" s="157"/>
    </row>
    <row r="963" spans="1:2" x14ac:dyDescent="0.25">
      <c r="A963" s="157"/>
      <c r="B963" s="157"/>
    </row>
    <row r="964" spans="1:2" x14ac:dyDescent="0.25">
      <c r="A964" s="157"/>
      <c r="B964" s="157"/>
    </row>
    <row r="965" spans="1:2" x14ac:dyDescent="0.25">
      <c r="A965" s="157"/>
      <c r="B965" s="157"/>
    </row>
    <row r="966" spans="1:2" x14ac:dyDescent="0.25">
      <c r="A966" s="157"/>
      <c r="B966" s="157"/>
    </row>
    <row r="967" spans="1:2" x14ac:dyDescent="0.25">
      <c r="A967" s="157"/>
      <c r="B967" s="157"/>
    </row>
    <row r="968" spans="1:2" x14ac:dyDescent="0.25">
      <c r="A968" s="157"/>
      <c r="B968" s="157"/>
    </row>
    <row r="969" spans="1:2" x14ac:dyDescent="0.25">
      <c r="A969" s="157"/>
      <c r="B969" s="157"/>
    </row>
    <row r="970" spans="1:2" x14ac:dyDescent="0.25">
      <c r="A970" s="157"/>
      <c r="B970" s="157"/>
    </row>
    <row r="971" spans="1:2" x14ac:dyDescent="0.25">
      <c r="A971" s="157"/>
      <c r="B971" s="157"/>
    </row>
    <row r="972" spans="1:2" x14ac:dyDescent="0.25">
      <c r="A972" s="157"/>
      <c r="B972" s="157"/>
    </row>
    <row r="973" spans="1:2" x14ac:dyDescent="0.25">
      <c r="A973" s="157"/>
      <c r="B973" s="157"/>
    </row>
    <row r="974" spans="1:2" x14ac:dyDescent="0.25">
      <c r="A974" s="157"/>
      <c r="B974" s="157"/>
    </row>
    <row r="975" spans="1:2" x14ac:dyDescent="0.25">
      <c r="A975" s="157"/>
      <c r="B975" s="157"/>
    </row>
    <row r="976" spans="1:2" x14ac:dyDescent="0.25">
      <c r="A976" s="157"/>
      <c r="B976" s="157"/>
    </row>
    <row r="977" spans="1:2" x14ac:dyDescent="0.25">
      <c r="A977" s="157"/>
      <c r="B977" s="157"/>
    </row>
    <row r="978" spans="1:2" x14ac:dyDescent="0.25">
      <c r="A978" s="157"/>
      <c r="B978" s="157"/>
    </row>
    <row r="979" spans="1:2" x14ac:dyDescent="0.25">
      <c r="A979" s="157"/>
      <c r="B979" s="157"/>
    </row>
    <row r="980" spans="1:2" x14ac:dyDescent="0.25">
      <c r="A980" s="157"/>
      <c r="B980" s="157"/>
    </row>
    <row r="981" spans="1:2" x14ac:dyDescent="0.25">
      <c r="A981" s="157"/>
      <c r="B981" s="157"/>
    </row>
    <row r="982" spans="1:2" x14ac:dyDescent="0.25">
      <c r="A982" s="157"/>
      <c r="B982" s="157"/>
    </row>
    <row r="983" spans="1:2" x14ac:dyDescent="0.25">
      <c r="A983" s="157"/>
      <c r="B983" s="157"/>
    </row>
    <row r="984" spans="1:2" x14ac:dyDescent="0.25">
      <c r="A984" s="157"/>
      <c r="B984" s="157"/>
    </row>
    <row r="985" spans="1:2" x14ac:dyDescent="0.25">
      <c r="A985" s="157"/>
      <c r="B985" s="157"/>
    </row>
    <row r="986" spans="1:2" x14ac:dyDescent="0.25">
      <c r="A986" s="157"/>
      <c r="B986" s="157"/>
    </row>
    <row r="987" spans="1:2" x14ac:dyDescent="0.25">
      <c r="A987" s="157"/>
      <c r="B987" s="157"/>
    </row>
    <row r="988" spans="1:2" x14ac:dyDescent="0.25">
      <c r="A988" s="157"/>
      <c r="B988" s="157"/>
    </row>
    <row r="989" spans="1:2" x14ac:dyDescent="0.25">
      <c r="A989" s="157"/>
      <c r="B989" s="157"/>
    </row>
    <row r="990" spans="1:2" x14ac:dyDescent="0.25">
      <c r="A990" s="157"/>
      <c r="B990" s="157"/>
    </row>
    <row r="991" spans="1:2" x14ac:dyDescent="0.25">
      <c r="A991" s="157"/>
      <c r="B991" s="157"/>
    </row>
    <row r="992" spans="1:2" x14ac:dyDescent="0.25">
      <c r="A992" s="157"/>
      <c r="B992" s="157"/>
    </row>
    <row r="993" spans="1:2" x14ac:dyDescent="0.25">
      <c r="A993" s="157"/>
      <c r="B993" s="157"/>
    </row>
    <row r="994" spans="1:2" x14ac:dyDescent="0.25">
      <c r="A994" s="157"/>
      <c r="B994" s="157"/>
    </row>
    <row r="995" spans="1:2" x14ac:dyDescent="0.25">
      <c r="A995" s="157"/>
      <c r="B995" s="157"/>
    </row>
    <row r="996" spans="1:2" x14ac:dyDescent="0.25">
      <c r="A996" s="157"/>
      <c r="B996" s="157"/>
    </row>
    <row r="997" spans="1:2" x14ac:dyDescent="0.25">
      <c r="A997" s="157"/>
      <c r="B997" s="157"/>
    </row>
    <row r="998" spans="1:2" x14ac:dyDescent="0.25">
      <c r="A998" s="157"/>
      <c r="B998" s="157"/>
    </row>
    <row r="999" spans="1:2" x14ac:dyDescent="0.25">
      <c r="A999" s="157"/>
      <c r="B999" s="157"/>
    </row>
    <row r="1000" spans="1:2" x14ac:dyDescent="0.25">
      <c r="A1000" s="157"/>
      <c r="B1000" s="157"/>
    </row>
    <row r="1001" spans="1:2" x14ac:dyDescent="0.25">
      <c r="A1001" s="157"/>
      <c r="B1001" s="157"/>
    </row>
    <row r="1002" spans="1:2" x14ac:dyDescent="0.25">
      <c r="A1002" s="157"/>
      <c r="B1002" s="157"/>
    </row>
    <row r="1003" spans="1:2" x14ac:dyDescent="0.25">
      <c r="A1003" s="157"/>
      <c r="B1003" s="157"/>
    </row>
    <row r="1004" spans="1:2" x14ac:dyDescent="0.25">
      <c r="A1004" s="157"/>
      <c r="B1004" s="157"/>
    </row>
    <row r="1005" spans="1:2" x14ac:dyDescent="0.25">
      <c r="A1005" s="157"/>
      <c r="B1005" s="157"/>
    </row>
    <row r="1006" spans="1:2" x14ac:dyDescent="0.25">
      <c r="A1006" s="157"/>
      <c r="B1006" s="157"/>
    </row>
    <row r="1007" spans="1:2" x14ac:dyDescent="0.25">
      <c r="A1007" s="157"/>
      <c r="B1007" s="157"/>
    </row>
    <row r="1008" spans="1:2" x14ac:dyDescent="0.25">
      <c r="A1008" s="157"/>
      <c r="B1008" s="157"/>
    </row>
    <row r="1009" spans="1:2" x14ac:dyDescent="0.25">
      <c r="A1009" s="157"/>
      <c r="B1009" s="157"/>
    </row>
    <row r="1010" spans="1:2" x14ac:dyDescent="0.25">
      <c r="A1010" s="157"/>
      <c r="B1010" s="157"/>
    </row>
    <row r="1011" spans="1:2" x14ac:dyDescent="0.25">
      <c r="A1011" s="157"/>
      <c r="B1011" s="157"/>
    </row>
    <row r="1012" spans="1:2" x14ac:dyDescent="0.25">
      <c r="A1012" s="157"/>
      <c r="B1012" s="157"/>
    </row>
    <row r="1013" spans="1:2" x14ac:dyDescent="0.25">
      <c r="A1013" s="157"/>
      <c r="B1013" s="157"/>
    </row>
    <row r="1014" spans="1:2" x14ac:dyDescent="0.25">
      <c r="A1014" s="157"/>
      <c r="B1014" s="157"/>
    </row>
    <row r="1015" spans="1:2" x14ac:dyDescent="0.25">
      <c r="A1015" s="157"/>
      <c r="B1015" s="157"/>
    </row>
    <row r="1016" spans="1:2" x14ac:dyDescent="0.25">
      <c r="A1016" s="157"/>
      <c r="B1016" s="157"/>
    </row>
    <row r="1017" spans="1:2" x14ac:dyDescent="0.25">
      <c r="A1017" s="157"/>
      <c r="B1017" s="157"/>
    </row>
    <row r="1018" spans="1:2" x14ac:dyDescent="0.25">
      <c r="A1018" s="157"/>
      <c r="B1018" s="157"/>
    </row>
    <row r="1019" spans="1:2" x14ac:dyDescent="0.25">
      <c r="A1019" s="157"/>
      <c r="B1019" s="157"/>
    </row>
    <row r="1020" spans="1:2" x14ac:dyDescent="0.25">
      <c r="A1020" s="157"/>
      <c r="B1020" s="157"/>
    </row>
    <row r="1021" spans="1:2" x14ac:dyDescent="0.25">
      <c r="A1021" s="157"/>
      <c r="B1021" s="157"/>
    </row>
    <row r="1022" spans="1:2" x14ac:dyDescent="0.25">
      <c r="A1022" s="157"/>
      <c r="B1022" s="157"/>
    </row>
    <row r="1023" spans="1:2" x14ac:dyDescent="0.25">
      <c r="A1023" s="157"/>
      <c r="B1023" s="157"/>
    </row>
    <row r="1024" spans="1:2" x14ac:dyDescent="0.25">
      <c r="A1024" s="157"/>
      <c r="B1024" s="157"/>
    </row>
    <row r="1025" spans="1:2" x14ac:dyDescent="0.25">
      <c r="A1025" s="157"/>
      <c r="B1025" s="157"/>
    </row>
    <row r="1026" spans="1:2" x14ac:dyDescent="0.25">
      <c r="A1026" s="157"/>
      <c r="B1026" s="157"/>
    </row>
    <row r="1027" spans="1:2" x14ac:dyDescent="0.25">
      <c r="A1027" s="157"/>
      <c r="B1027" s="157"/>
    </row>
    <row r="1028" spans="1:2" x14ac:dyDescent="0.25">
      <c r="A1028" s="157"/>
      <c r="B1028" s="157"/>
    </row>
    <row r="1029" spans="1:2" x14ac:dyDescent="0.25">
      <c r="A1029" s="157"/>
      <c r="B1029" s="157"/>
    </row>
    <row r="1030" spans="1:2" x14ac:dyDescent="0.25">
      <c r="A1030" s="157"/>
      <c r="B1030" s="157"/>
    </row>
    <row r="1031" spans="1:2" x14ac:dyDescent="0.25">
      <c r="A1031" s="157"/>
      <c r="B1031" s="157"/>
    </row>
    <row r="1032" spans="1:2" x14ac:dyDescent="0.25">
      <c r="A1032" s="157"/>
      <c r="B1032" s="157"/>
    </row>
    <row r="1033" spans="1:2" x14ac:dyDescent="0.25">
      <c r="A1033" s="157"/>
      <c r="B1033" s="157"/>
    </row>
    <row r="1034" spans="1:2" x14ac:dyDescent="0.25">
      <c r="A1034" s="157"/>
      <c r="B1034" s="157"/>
    </row>
    <row r="1035" spans="1:2" x14ac:dyDescent="0.25">
      <c r="A1035" s="157"/>
      <c r="B1035" s="157"/>
    </row>
    <row r="1036" spans="1:2" x14ac:dyDescent="0.25">
      <c r="A1036" s="157"/>
      <c r="B1036" s="157"/>
    </row>
    <row r="1037" spans="1:2" x14ac:dyDescent="0.25">
      <c r="A1037" s="157"/>
      <c r="B1037" s="157"/>
    </row>
    <row r="1038" spans="1:2" x14ac:dyDescent="0.25">
      <c r="A1038" s="157"/>
      <c r="B1038" s="157"/>
    </row>
    <row r="1039" spans="1:2" x14ac:dyDescent="0.25">
      <c r="A1039" s="157"/>
      <c r="B1039" s="157"/>
    </row>
    <row r="1040" spans="1:2" x14ac:dyDescent="0.25">
      <c r="A1040" s="157"/>
      <c r="B1040" s="157"/>
    </row>
    <row r="1041" spans="1:2" x14ac:dyDescent="0.25">
      <c r="A1041" s="157"/>
      <c r="B1041" s="157"/>
    </row>
    <row r="1042" spans="1:2" x14ac:dyDescent="0.25">
      <c r="A1042" s="157"/>
      <c r="B1042" s="157"/>
    </row>
    <row r="1043" spans="1:2" x14ac:dyDescent="0.25">
      <c r="A1043" s="157"/>
      <c r="B1043" s="157"/>
    </row>
    <row r="1044" spans="1:2" x14ac:dyDescent="0.25">
      <c r="A1044" s="157"/>
      <c r="B1044" s="157"/>
    </row>
    <row r="1045" spans="1:2" x14ac:dyDescent="0.25">
      <c r="A1045" s="157"/>
      <c r="B1045" s="157"/>
    </row>
    <row r="1046" spans="1:2" x14ac:dyDescent="0.25">
      <c r="A1046" s="157"/>
      <c r="B1046" s="157"/>
    </row>
    <row r="1047" spans="1:2" x14ac:dyDescent="0.25">
      <c r="A1047" s="157"/>
      <c r="B1047" s="157"/>
    </row>
    <row r="1048" spans="1:2" x14ac:dyDescent="0.25">
      <c r="A1048" s="157"/>
      <c r="B1048" s="157"/>
    </row>
    <row r="1049" spans="1:2" x14ac:dyDescent="0.25">
      <c r="A1049" s="157"/>
      <c r="B1049" s="157"/>
    </row>
    <row r="1050" spans="1:2" x14ac:dyDescent="0.25">
      <c r="A1050" s="157"/>
      <c r="B1050" s="157"/>
    </row>
    <row r="1051" spans="1:2" x14ac:dyDescent="0.25">
      <c r="A1051" s="157"/>
      <c r="B1051" s="157"/>
    </row>
    <row r="1052" spans="1:2" x14ac:dyDescent="0.25">
      <c r="A1052" s="157"/>
      <c r="B1052" s="157"/>
    </row>
    <row r="1053" spans="1:2" x14ac:dyDescent="0.25">
      <c r="A1053" s="157"/>
      <c r="B1053" s="157"/>
    </row>
    <row r="1054" spans="1:2" x14ac:dyDescent="0.25">
      <c r="A1054" s="157"/>
      <c r="B1054" s="157"/>
    </row>
    <row r="1055" spans="1:2" x14ac:dyDescent="0.25">
      <c r="A1055" s="157"/>
      <c r="B1055" s="157"/>
    </row>
    <row r="1056" spans="1:2" x14ac:dyDescent="0.25">
      <c r="A1056" s="157"/>
      <c r="B1056" s="157"/>
    </row>
    <row r="1057" spans="1:2" x14ac:dyDescent="0.25">
      <c r="A1057" s="157"/>
      <c r="B1057" s="157"/>
    </row>
    <row r="1058" spans="1:2" x14ac:dyDescent="0.25">
      <c r="A1058" s="157"/>
      <c r="B1058" s="157"/>
    </row>
    <row r="1059" spans="1:2" x14ac:dyDescent="0.25">
      <c r="A1059" s="157"/>
      <c r="B1059" s="157"/>
    </row>
    <row r="1060" spans="1:2" x14ac:dyDescent="0.25">
      <c r="A1060" s="157"/>
      <c r="B1060" s="157"/>
    </row>
    <row r="1061" spans="1:2" x14ac:dyDescent="0.25">
      <c r="A1061" s="157"/>
      <c r="B1061" s="157"/>
    </row>
    <row r="1062" spans="1:2" x14ac:dyDescent="0.25">
      <c r="A1062" s="157"/>
      <c r="B1062" s="157"/>
    </row>
    <row r="1063" spans="1:2" x14ac:dyDescent="0.25">
      <c r="A1063" s="157"/>
      <c r="B1063" s="157"/>
    </row>
    <row r="1064" spans="1:2" x14ac:dyDescent="0.25">
      <c r="A1064" s="157"/>
      <c r="B1064" s="157"/>
    </row>
    <row r="1065" spans="1:2" x14ac:dyDescent="0.25">
      <c r="A1065" s="157"/>
      <c r="B1065" s="157"/>
    </row>
    <row r="1066" spans="1:2" x14ac:dyDescent="0.25">
      <c r="A1066" s="157"/>
      <c r="B1066" s="157"/>
    </row>
    <row r="1067" spans="1:2" x14ac:dyDescent="0.25">
      <c r="A1067" s="157"/>
      <c r="B1067" s="157"/>
    </row>
    <row r="1068" spans="1:2" x14ac:dyDescent="0.25">
      <c r="A1068" s="157"/>
      <c r="B1068" s="157"/>
    </row>
    <row r="1069" spans="1:2" x14ac:dyDescent="0.25">
      <c r="A1069" s="157"/>
      <c r="B1069" s="157"/>
    </row>
    <row r="1070" spans="1:2" x14ac:dyDescent="0.25">
      <c r="A1070" s="157"/>
      <c r="B1070" s="157"/>
    </row>
    <row r="1071" spans="1:2" x14ac:dyDescent="0.25">
      <c r="A1071" s="157"/>
      <c r="B1071" s="157"/>
    </row>
    <row r="1072" spans="1:2" x14ac:dyDescent="0.25">
      <c r="A1072" s="157"/>
      <c r="B1072" s="157"/>
    </row>
    <row r="1073" spans="1:2" x14ac:dyDescent="0.25">
      <c r="A1073" s="157"/>
      <c r="B1073" s="157"/>
    </row>
    <row r="1074" spans="1:2" x14ac:dyDescent="0.25">
      <c r="A1074" s="157"/>
      <c r="B1074" s="157"/>
    </row>
    <row r="1075" spans="1:2" x14ac:dyDescent="0.25">
      <c r="A1075" s="157"/>
      <c r="B1075" s="157"/>
    </row>
    <row r="1076" spans="1:2" x14ac:dyDescent="0.25">
      <c r="A1076" s="157"/>
      <c r="B1076" s="157"/>
    </row>
    <row r="1077" spans="1:2" x14ac:dyDescent="0.25">
      <c r="A1077" s="157"/>
      <c r="B1077" s="157"/>
    </row>
    <row r="1078" spans="1:2" x14ac:dyDescent="0.25">
      <c r="A1078" s="157"/>
      <c r="B1078" s="157"/>
    </row>
    <row r="1079" spans="1:2" x14ac:dyDescent="0.25">
      <c r="A1079" s="157"/>
      <c r="B1079" s="157"/>
    </row>
    <row r="1080" spans="1:2" x14ac:dyDescent="0.25">
      <c r="A1080" s="157"/>
      <c r="B1080" s="157"/>
    </row>
    <row r="1081" spans="1:2" x14ac:dyDescent="0.25">
      <c r="A1081" s="157"/>
      <c r="B1081" s="157"/>
    </row>
    <row r="1082" spans="1:2" x14ac:dyDescent="0.25">
      <c r="A1082" s="157"/>
      <c r="B1082" s="157"/>
    </row>
    <row r="1083" spans="1:2" x14ac:dyDescent="0.25">
      <c r="A1083" s="157"/>
      <c r="B1083" s="157"/>
    </row>
    <row r="1084" spans="1:2" x14ac:dyDescent="0.25">
      <c r="A1084" s="157"/>
      <c r="B1084" s="157"/>
    </row>
    <row r="1085" spans="1:2" x14ac:dyDescent="0.25">
      <c r="A1085" s="157"/>
      <c r="B1085" s="157"/>
    </row>
    <row r="1086" spans="1:2" x14ac:dyDescent="0.25">
      <c r="A1086" s="157"/>
      <c r="B1086" s="157"/>
    </row>
    <row r="1087" spans="1:2" x14ac:dyDescent="0.25">
      <c r="A1087" s="157"/>
      <c r="B1087" s="157"/>
    </row>
    <row r="1088" spans="1:2" x14ac:dyDescent="0.25">
      <c r="A1088" s="157"/>
      <c r="B1088" s="157"/>
    </row>
    <row r="1089" spans="1:2" x14ac:dyDescent="0.25">
      <c r="A1089" s="157"/>
      <c r="B1089" s="157"/>
    </row>
    <row r="1090" spans="1:2" x14ac:dyDescent="0.25">
      <c r="A1090" s="157"/>
      <c r="B1090" s="157"/>
    </row>
    <row r="1091" spans="1:2" x14ac:dyDescent="0.25">
      <c r="A1091" s="157"/>
      <c r="B1091" s="157"/>
    </row>
    <row r="1092" spans="1:2" x14ac:dyDescent="0.25">
      <c r="A1092" s="157"/>
      <c r="B1092" s="157"/>
    </row>
    <row r="1093" spans="1:2" x14ac:dyDescent="0.25">
      <c r="A1093" s="157"/>
      <c r="B1093" s="157"/>
    </row>
    <row r="1094" spans="1:2" x14ac:dyDescent="0.25">
      <c r="A1094" s="157"/>
      <c r="B1094" s="157"/>
    </row>
    <row r="1095" spans="1:2" x14ac:dyDescent="0.25">
      <c r="A1095" s="157"/>
      <c r="B1095" s="157"/>
    </row>
    <row r="1096" spans="1:2" x14ac:dyDescent="0.25">
      <c r="A1096" s="157"/>
      <c r="B1096" s="157"/>
    </row>
    <row r="1097" spans="1:2" x14ac:dyDescent="0.25">
      <c r="A1097" s="157"/>
      <c r="B1097" s="157"/>
    </row>
    <row r="1098" spans="1:2" x14ac:dyDescent="0.25">
      <c r="A1098" s="157"/>
      <c r="B1098" s="157"/>
    </row>
    <row r="1099" spans="1:2" x14ac:dyDescent="0.25">
      <c r="A1099" s="157"/>
      <c r="B1099" s="157"/>
    </row>
    <row r="1100" spans="1:2" x14ac:dyDescent="0.25">
      <c r="A1100" s="157"/>
      <c r="B1100" s="157"/>
    </row>
    <row r="1101" spans="1:2" x14ac:dyDescent="0.25">
      <c r="A1101" s="157"/>
      <c r="B1101" s="157"/>
    </row>
    <row r="1102" spans="1:2" x14ac:dyDescent="0.25">
      <c r="A1102" s="157"/>
      <c r="B1102" s="157"/>
    </row>
    <row r="1103" spans="1:2" x14ac:dyDescent="0.25">
      <c r="A1103" s="157"/>
      <c r="B1103" s="157"/>
    </row>
    <row r="1104" spans="1:2" x14ac:dyDescent="0.25">
      <c r="A1104" s="157"/>
      <c r="B1104" s="157"/>
    </row>
    <row r="1105" spans="1:2" x14ac:dyDescent="0.25">
      <c r="A1105" s="157"/>
      <c r="B1105" s="157"/>
    </row>
    <row r="1106" spans="1:2" x14ac:dyDescent="0.25">
      <c r="A1106" s="157"/>
      <c r="B1106" s="157"/>
    </row>
    <row r="1107" spans="1:2" x14ac:dyDescent="0.25">
      <c r="A1107" s="157"/>
      <c r="B1107" s="157"/>
    </row>
    <row r="1108" spans="1:2" x14ac:dyDescent="0.25">
      <c r="A1108" s="157"/>
      <c r="B1108" s="157"/>
    </row>
    <row r="1109" spans="1:2" x14ac:dyDescent="0.25">
      <c r="A1109" s="157"/>
      <c r="B1109" s="157"/>
    </row>
    <row r="1110" spans="1:2" x14ac:dyDescent="0.25">
      <c r="A1110" s="157"/>
      <c r="B1110" s="157"/>
    </row>
    <row r="1111" spans="1:2" x14ac:dyDescent="0.25">
      <c r="A1111" s="157"/>
      <c r="B1111" s="157"/>
    </row>
    <row r="1112" spans="1:2" x14ac:dyDescent="0.25">
      <c r="A1112" s="157"/>
      <c r="B1112" s="157"/>
    </row>
    <row r="1113" spans="1:2" x14ac:dyDescent="0.25">
      <c r="A1113" s="157"/>
      <c r="B1113" s="157"/>
    </row>
    <row r="1114" spans="1:2" x14ac:dyDescent="0.25">
      <c r="A1114" s="157"/>
      <c r="B1114" s="157"/>
    </row>
    <row r="1115" spans="1:2" x14ac:dyDescent="0.25">
      <c r="A1115" s="157"/>
      <c r="B1115" s="157"/>
    </row>
    <row r="1116" spans="1:2" x14ac:dyDescent="0.25">
      <c r="A1116" s="157"/>
      <c r="B1116" s="157"/>
    </row>
    <row r="1117" spans="1:2" x14ac:dyDescent="0.25">
      <c r="A1117" s="157"/>
      <c r="B1117" s="157"/>
    </row>
    <row r="1118" spans="1:2" x14ac:dyDescent="0.25">
      <c r="A1118" s="157"/>
      <c r="B1118" s="157"/>
    </row>
    <row r="1119" spans="1:2" x14ac:dyDescent="0.25">
      <c r="A1119" s="157"/>
      <c r="B1119" s="157"/>
    </row>
    <row r="1120" spans="1:2" x14ac:dyDescent="0.25">
      <c r="A1120" s="157"/>
      <c r="B1120" s="157"/>
    </row>
    <row r="1121" spans="1:2" x14ac:dyDescent="0.25">
      <c r="A1121" s="157"/>
      <c r="B1121" s="157"/>
    </row>
    <row r="1122" spans="1:2" x14ac:dyDescent="0.25">
      <c r="A1122" s="157"/>
      <c r="B1122" s="157"/>
    </row>
    <row r="1123" spans="1:2" x14ac:dyDescent="0.25">
      <c r="A1123" s="157"/>
      <c r="B1123" s="157"/>
    </row>
    <row r="1124" spans="1:2" x14ac:dyDescent="0.25">
      <c r="A1124" s="157"/>
      <c r="B1124" s="157"/>
    </row>
    <row r="1125" spans="1:2" x14ac:dyDescent="0.25">
      <c r="A1125" s="157"/>
      <c r="B1125" s="157"/>
    </row>
    <row r="1126" spans="1:2" x14ac:dyDescent="0.25">
      <c r="A1126" s="157"/>
      <c r="B1126" s="157"/>
    </row>
    <row r="1127" spans="1:2" x14ac:dyDescent="0.25">
      <c r="A1127" s="157"/>
      <c r="B1127" s="157"/>
    </row>
    <row r="1128" spans="1:2" x14ac:dyDescent="0.25">
      <c r="A1128" s="157"/>
      <c r="B1128" s="157"/>
    </row>
    <row r="1129" spans="1:2" x14ac:dyDescent="0.25">
      <c r="A1129" s="157"/>
      <c r="B1129" s="157"/>
    </row>
    <row r="1130" spans="1:2" x14ac:dyDescent="0.25">
      <c r="A1130" s="157"/>
      <c r="B1130" s="157"/>
    </row>
    <row r="1131" spans="1:2" x14ac:dyDescent="0.25">
      <c r="A1131" s="157"/>
      <c r="B1131" s="157"/>
    </row>
    <row r="1132" spans="1:2" x14ac:dyDescent="0.25">
      <c r="A1132" s="157"/>
      <c r="B1132" s="157"/>
    </row>
    <row r="1133" spans="1:2" x14ac:dyDescent="0.25">
      <c r="A1133" s="157"/>
      <c r="B1133" s="157"/>
    </row>
    <row r="1134" spans="1:2" x14ac:dyDescent="0.25">
      <c r="A1134" s="157"/>
      <c r="B1134" s="157"/>
    </row>
    <row r="1135" spans="1:2" x14ac:dyDescent="0.25">
      <c r="A1135" s="157"/>
      <c r="B1135" s="157"/>
    </row>
    <row r="1136" spans="1:2" x14ac:dyDescent="0.25">
      <c r="A1136" s="157"/>
      <c r="B1136" s="157"/>
    </row>
    <row r="1137" spans="1:2" x14ac:dyDescent="0.25">
      <c r="A1137" s="157"/>
      <c r="B1137" s="157"/>
    </row>
    <row r="1138" spans="1:2" x14ac:dyDescent="0.25">
      <c r="A1138" s="157"/>
      <c r="B1138" s="157"/>
    </row>
    <row r="1139" spans="1:2" x14ac:dyDescent="0.25">
      <c r="A1139" s="157"/>
      <c r="B1139" s="157"/>
    </row>
    <row r="1140" spans="1:2" x14ac:dyDescent="0.25">
      <c r="A1140" s="157"/>
      <c r="B1140" s="157"/>
    </row>
    <row r="1141" spans="1:2" x14ac:dyDescent="0.25">
      <c r="A1141" s="157"/>
      <c r="B1141" s="157"/>
    </row>
    <row r="1142" spans="1:2" x14ac:dyDescent="0.25">
      <c r="A1142" s="157"/>
      <c r="B1142" s="157"/>
    </row>
    <row r="1143" spans="1:2" x14ac:dyDescent="0.25">
      <c r="A1143" s="157"/>
      <c r="B1143" s="157"/>
    </row>
    <row r="1144" spans="1:2" x14ac:dyDescent="0.25">
      <c r="A1144" s="157"/>
      <c r="B1144" s="157"/>
    </row>
    <row r="1145" spans="1:2" x14ac:dyDescent="0.25">
      <c r="A1145" s="157"/>
      <c r="B1145" s="157"/>
    </row>
    <row r="1146" spans="1:2" x14ac:dyDescent="0.25">
      <c r="A1146" s="157"/>
      <c r="B1146" s="157"/>
    </row>
    <row r="1147" spans="1:2" x14ac:dyDescent="0.25">
      <c r="A1147" s="157"/>
      <c r="B1147" s="157"/>
    </row>
    <row r="1148" spans="1:2" x14ac:dyDescent="0.25">
      <c r="A1148" s="157"/>
      <c r="B1148" s="157"/>
    </row>
    <row r="1149" spans="1:2" x14ac:dyDescent="0.25">
      <c r="A1149" s="157"/>
      <c r="B1149" s="157"/>
    </row>
    <row r="1150" spans="1:2" x14ac:dyDescent="0.25">
      <c r="A1150" s="157"/>
      <c r="B1150" s="157"/>
    </row>
    <row r="1151" spans="1:2" x14ac:dyDescent="0.25">
      <c r="A1151" s="157"/>
      <c r="B1151" s="157"/>
    </row>
    <row r="1152" spans="1:2" x14ac:dyDescent="0.25">
      <c r="A1152" s="157"/>
      <c r="B1152" s="157"/>
    </row>
    <row r="1153" spans="1:2" x14ac:dyDescent="0.25">
      <c r="A1153" s="157"/>
      <c r="B1153" s="157"/>
    </row>
    <row r="1154" spans="1:2" x14ac:dyDescent="0.25">
      <c r="A1154" s="157"/>
      <c r="B1154" s="157"/>
    </row>
    <row r="1155" spans="1:2" x14ac:dyDescent="0.25">
      <c r="A1155" s="157"/>
      <c r="B1155" s="157"/>
    </row>
    <row r="1156" spans="1:2" x14ac:dyDescent="0.25">
      <c r="A1156" s="157"/>
      <c r="B1156" s="157"/>
    </row>
    <row r="1157" spans="1:2" x14ac:dyDescent="0.25">
      <c r="A1157" s="157"/>
      <c r="B1157" s="157"/>
    </row>
    <row r="1158" spans="1:2" x14ac:dyDescent="0.25">
      <c r="A1158" s="157"/>
      <c r="B1158" s="157"/>
    </row>
    <row r="1159" spans="1:2" x14ac:dyDescent="0.25">
      <c r="A1159" s="157"/>
      <c r="B1159" s="157"/>
    </row>
    <row r="1160" spans="1:2" x14ac:dyDescent="0.25">
      <c r="A1160" s="157"/>
      <c r="B1160" s="157"/>
    </row>
    <row r="1161" spans="1:2" x14ac:dyDescent="0.25">
      <c r="A1161" s="157"/>
      <c r="B1161" s="157"/>
    </row>
    <row r="1162" spans="1:2" x14ac:dyDescent="0.25">
      <c r="A1162" s="157"/>
      <c r="B1162" s="157"/>
    </row>
    <row r="1163" spans="1:2" x14ac:dyDescent="0.25">
      <c r="A1163" s="157"/>
      <c r="B1163" s="157"/>
    </row>
    <row r="1164" spans="1:2" x14ac:dyDescent="0.25">
      <c r="A1164" s="157"/>
      <c r="B1164" s="157"/>
    </row>
    <row r="1165" spans="1:2" x14ac:dyDescent="0.25">
      <c r="A1165" s="157"/>
      <c r="B1165" s="157"/>
    </row>
    <row r="1166" spans="1:2" x14ac:dyDescent="0.25">
      <c r="A1166" s="157"/>
      <c r="B1166" s="157"/>
    </row>
    <row r="1167" spans="1:2" x14ac:dyDescent="0.25">
      <c r="A1167" s="157"/>
      <c r="B1167" s="157"/>
    </row>
    <row r="1168" spans="1:2" x14ac:dyDescent="0.25">
      <c r="A1168" s="157"/>
      <c r="B1168" s="157"/>
    </row>
    <row r="1169" spans="1:2" x14ac:dyDescent="0.25">
      <c r="A1169" s="157"/>
      <c r="B1169" s="157"/>
    </row>
    <row r="1170" spans="1:2" x14ac:dyDescent="0.25">
      <c r="A1170" s="157"/>
      <c r="B1170" s="157"/>
    </row>
    <row r="1171" spans="1:2" x14ac:dyDescent="0.25">
      <c r="A1171" s="157"/>
      <c r="B1171" s="157"/>
    </row>
    <row r="1172" spans="1:2" x14ac:dyDescent="0.25">
      <c r="A1172" s="157"/>
      <c r="B1172" s="157"/>
    </row>
    <row r="1173" spans="1:2" x14ac:dyDescent="0.25">
      <c r="A1173" s="157"/>
      <c r="B1173" s="157"/>
    </row>
    <row r="1174" spans="1:2" x14ac:dyDescent="0.25">
      <c r="A1174" s="157"/>
      <c r="B1174" s="157"/>
    </row>
    <row r="1175" spans="1:2" x14ac:dyDescent="0.25">
      <c r="A1175" s="157"/>
      <c r="B1175" s="157"/>
    </row>
    <row r="1176" spans="1:2" x14ac:dyDescent="0.25">
      <c r="A1176" s="157"/>
      <c r="B1176" s="157"/>
    </row>
    <row r="1177" spans="1:2" x14ac:dyDescent="0.25">
      <c r="A1177" s="157"/>
      <c r="B1177" s="157"/>
    </row>
    <row r="1178" spans="1:2" x14ac:dyDescent="0.25">
      <c r="A1178" s="157"/>
      <c r="B1178" s="157"/>
    </row>
    <row r="1179" spans="1:2" x14ac:dyDescent="0.25">
      <c r="A1179" s="157"/>
      <c r="B1179" s="157"/>
    </row>
    <row r="1180" spans="1:2" x14ac:dyDescent="0.25">
      <c r="A1180" s="157"/>
      <c r="B1180" s="157"/>
    </row>
    <row r="1181" spans="1:2" x14ac:dyDescent="0.25">
      <c r="A1181" s="157"/>
      <c r="B1181" s="157"/>
    </row>
    <row r="1182" spans="1:2" x14ac:dyDescent="0.25">
      <c r="A1182" s="157"/>
      <c r="B1182" s="157"/>
    </row>
    <row r="1183" spans="1:2" x14ac:dyDescent="0.25">
      <c r="A1183" s="157"/>
      <c r="B1183" s="157"/>
    </row>
    <row r="1184" spans="1:2" x14ac:dyDescent="0.25">
      <c r="A1184" s="157"/>
      <c r="B1184" s="157"/>
    </row>
    <row r="1185" spans="1:2" x14ac:dyDescent="0.25">
      <c r="A1185" s="157"/>
      <c r="B1185" s="157"/>
    </row>
    <row r="1186" spans="1:2" x14ac:dyDescent="0.25">
      <c r="A1186" s="157"/>
      <c r="B1186" s="157"/>
    </row>
    <row r="1187" spans="1:2" x14ac:dyDescent="0.25">
      <c r="A1187" s="157"/>
      <c r="B1187" s="157"/>
    </row>
    <row r="1188" spans="1:2" x14ac:dyDescent="0.25">
      <c r="A1188" s="157"/>
      <c r="B1188" s="157"/>
    </row>
    <row r="1189" spans="1:2" x14ac:dyDescent="0.25">
      <c r="A1189" s="157"/>
      <c r="B1189" s="157"/>
    </row>
    <row r="1190" spans="1:2" x14ac:dyDescent="0.25">
      <c r="A1190" s="157"/>
      <c r="B1190" s="157"/>
    </row>
    <row r="1191" spans="1:2" x14ac:dyDescent="0.25">
      <c r="A1191" s="157"/>
      <c r="B1191" s="157"/>
    </row>
    <row r="1192" spans="1:2" x14ac:dyDescent="0.25">
      <c r="A1192" s="157"/>
      <c r="B1192" s="157"/>
    </row>
    <row r="1193" spans="1:2" x14ac:dyDescent="0.25">
      <c r="A1193" s="157"/>
      <c r="B1193" s="157"/>
    </row>
    <row r="1194" spans="1:2" x14ac:dyDescent="0.25">
      <c r="A1194" s="157"/>
      <c r="B1194" s="157"/>
    </row>
    <row r="1195" spans="1:2" x14ac:dyDescent="0.25">
      <c r="A1195" s="157"/>
      <c r="B1195" s="157"/>
    </row>
    <row r="1196" spans="1:2" x14ac:dyDescent="0.25">
      <c r="A1196" s="157"/>
      <c r="B1196" s="157"/>
    </row>
    <row r="1197" spans="1:2" x14ac:dyDescent="0.25">
      <c r="A1197" s="157"/>
      <c r="B1197" s="157"/>
    </row>
    <row r="1198" spans="1:2" x14ac:dyDescent="0.25">
      <c r="A1198" s="157"/>
      <c r="B1198" s="157"/>
    </row>
    <row r="1199" spans="1:2" x14ac:dyDescent="0.25">
      <c r="A1199" s="157"/>
      <c r="B1199" s="157"/>
    </row>
    <row r="1200" spans="1:2" x14ac:dyDescent="0.25">
      <c r="A1200" s="157"/>
      <c r="B1200" s="157"/>
    </row>
    <row r="1201" spans="1:2" x14ac:dyDescent="0.25">
      <c r="A1201" s="157"/>
      <c r="B1201" s="157"/>
    </row>
    <row r="1202" spans="1:2" x14ac:dyDescent="0.25">
      <c r="A1202" s="157"/>
      <c r="B1202" s="157"/>
    </row>
    <row r="1203" spans="1:2" x14ac:dyDescent="0.25">
      <c r="A1203" s="157"/>
      <c r="B1203" s="157"/>
    </row>
    <row r="1204" spans="1:2" x14ac:dyDescent="0.25">
      <c r="A1204" s="157"/>
      <c r="B1204" s="157"/>
    </row>
    <row r="1205" spans="1:2" x14ac:dyDescent="0.25">
      <c r="A1205" s="157"/>
      <c r="B1205" s="157"/>
    </row>
    <row r="1206" spans="1:2" x14ac:dyDescent="0.25">
      <c r="A1206" s="157"/>
      <c r="B1206" s="157"/>
    </row>
    <row r="1207" spans="1:2" x14ac:dyDescent="0.25">
      <c r="A1207" s="157"/>
      <c r="B1207" s="157"/>
    </row>
    <row r="1208" spans="1:2" x14ac:dyDescent="0.25">
      <c r="A1208" s="157"/>
      <c r="B1208" s="157"/>
    </row>
    <row r="1209" spans="1:2" x14ac:dyDescent="0.25">
      <c r="A1209" s="157"/>
      <c r="B1209" s="157"/>
    </row>
    <row r="1210" spans="1:2" x14ac:dyDescent="0.25">
      <c r="A1210" s="157"/>
      <c r="B1210" s="157"/>
    </row>
    <row r="1211" spans="1:2" x14ac:dyDescent="0.25">
      <c r="A1211" s="157"/>
      <c r="B1211" s="157"/>
    </row>
    <row r="1212" spans="1:2" x14ac:dyDescent="0.25">
      <c r="A1212" s="157"/>
      <c r="B1212" s="157"/>
    </row>
    <row r="1213" spans="1:2" x14ac:dyDescent="0.25">
      <c r="A1213" s="157"/>
      <c r="B1213" s="157"/>
    </row>
    <row r="1214" spans="1:2" x14ac:dyDescent="0.25">
      <c r="A1214" s="157"/>
      <c r="B1214" s="157"/>
    </row>
    <row r="1215" spans="1:2" x14ac:dyDescent="0.25">
      <c r="A1215" s="157"/>
      <c r="B1215" s="157"/>
    </row>
    <row r="1216" spans="1:2" x14ac:dyDescent="0.25">
      <c r="A1216" s="157"/>
      <c r="B1216" s="157"/>
    </row>
    <row r="1217" spans="1:2" x14ac:dyDescent="0.25">
      <c r="A1217" s="157"/>
      <c r="B1217" s="157"/>
    </row>
    <row r="1218" spans="1:2" x14ac:dyDescent="0.25">
      <c r="A1218" s="157"/>
      <c r="B1218" s="157"/>
    </row>
    <row r="1219" spans="1:2" x14ac:dyDescent="0.25">
      <c r="A1219" s="157"/>
      <c r="B1219" s="157"/>
    </row>
    <row r="1220" spans="1:2" x14ac:dyDescent="0.25">
      <c r="A1220" s="157"/>
      <c r="B1220" s="157"/>
    </row>
    <row r="1221" spans="1:2" x14ac:dyDescent="0.25">
      <c r="A1221" s="157"/>
      <c r="B1221" s="157"/>
    </row>
    <row r="1222" spans="1:2" x14ac:dyDescent="0.25">
      <c r="A1222" s="157"/>
      <c r="B1222" s="157"/>
    </row>
    <row r="1223" spans="1:2" x14ac:dyDescent="0.25">
      <c r="A1223" s="157"/>
      <c r="B1223" s="157"/>
    </row>
    <row r="1224" spans="1:2" x14ac:dyDescent="0.25">
      <c r="A1224" s="157"/>
      <c r="B1224" s="157"/>
    </row>
    <row r="1225" spans="1:2" x14ac:dyDescent="0.25">
      <c r="A1225" s="157"/>
      <c r="B1225" s="157"/>
    </row>
    <row r="1226" spans="1:2" x14ac:dyDescent="0.25">
      <c r="A1226" s="157"/>
      <c r="B1226" s="157"/>
    </row>
    <row r="1227" spans="1:2" x14ac:dyDescent="0.25">
      <c r="A1227" s="157"/>
      <c r="B1227" s="157"/>
    </row>
    <row r="1228" spans="1:2" x14ac:dyDescent="0.25">
      <c r="A1228" s="157"/>
      <c r="B1228" s="157"/>
    </row>
    <row r="1229" spans="1:2" x14ac:dyDescent="0.25">
      <c r="A1229" s="157"/>
      <c r="B1229" s="157"/>
    </row>
    <row r="1230" spans="1:2" x14ac:dyDescent="0.25">
      <c r="A1230" s="157"/>
      <c r="B1230" s="157"/>
    </row>
    <row r="1231" spans="1:2" x14ac:dyDescent="0.25">
      <c r="A1231" s="157"/>
      <c r="B1231" s="157"/>
    </row>
    <row r="1232" spans="1:2" x14ac:dyDescent="0.25">
      <c r="A1232" s="157"/>
      <c r="B1232" s="157"/>
    </row>
    <row r="1233" spans="1:2" x14ac:dyDescent="0.25">
      <c r="A1233" s="157"/>
      <c r="B1233" s="157"/>
    </row>
    <row r="1234" spans="1:2" x14ac:dyDescent="0.25">
      <c r="A1234" s="157"/>
      <c r="B1234" s="157"/>
    </row>
    <row r="1235" spans="1:2" x14ac:dyDescent="0.25">
      <c r="A1235" s="157"/>
      <c r="B1235" s="157"/>
    </row>
    <row r="1236" spans="1:2" x14ac:dyDescent="0.25">
      <c r="A1236" s="157"/>
      <c r="B1236" s="157"/>
    </row>
    <row r="1237" spans="1:2" x14ac:dyDescent="0.25">
      <c r="A1237" s="157"/>
      <c r="B1237" s="157"/>
    </row>
    <row r="1238" spans="1:2" x14ac:dyDescent="0.25">
      <c r="A1238" s="157"/>
      <c r="B1238" s="157"/>
    </row>
    <row r="1239" spans="1:2" x14ac:dyDescent="0.25">
      <c r="A1239" s="157"/>
      <c r="B1239" s="157"/>
    </row>
    <row r="1240" spans="1:2" x14ac:dyDescent="0.25">
      <c r="A1240" s="157"/>
      <c r="B1240" s="157"/>
    </row>
    <row r="1241" spans="1:2" x14ac:dyDescent="0.25">
      <c r="A1241" s="157"/>
      <c r="B1241" s="157"/>
    </row>
    <row r="1242" spans="1:2" x14ac:dyDescent="0.25">
      <c r="A1242" s="157"/>
      <c r="B1242" s="157"/>
    </row>
    <row r="1243" spans="1:2" x14ac:dyDescent="0.25">
      <c r="A1243" s="157"/>
      <c r="B1243" s="157"/>
    </row>
    <row r="1244" spans="1:2" x14ac:dyDescent="0.25">
      <c r="A1244" s="157"/>
      <c r="B1244" s="157"/>
    </row>
    <row r="1245" spans="1:2" x14ac:dyDescent="0.25">
      <c r="A1245" s="157"/>
      <c r="B1245" s="157"/>
    </row>
    <row r="1246" spans="1:2" x14ac:dyDescent="0.25">
      <c r="A1246" s="157"/>
      <c r="B1246" s="157"/>
    </row>
    <row r="1247" spans="1:2" x14ac:dyDescent="0.25">
      <c r="A1247" s="157"/>
      <c r="B1247" s="157"/>
    </row>
    <row r="1248" spans="1:2" x14ac:dyDescent="0.25">
      <c r="A1248" s="157"/>
      <c r="B1248" s="157"/>
    </row>
    <row r="1249" spans="1:2" x14ac:dyDescent="0.25">
      <c r="A1249" s="157"/>
      <c r="B1249" s="157"/>
    </row>
    <row r="1250" spans="1:2" x14ac:dyDescent="0.25">
      <c r="A1250" s="157"/>
      <c r="B1250" s="157"/>
    </row>
    <row r="1251" spans="1:2" x14ac:dyDescent="0.25">
      <c r="A1251" s="157"/>
      <c r="B1251" s="157"/>
    </row>
    <row r="1252" spans="1:2" x14ac:dyDescent="0.25">
      <c r="A1252" s="157"/>
      <c r="B1252" s="157"/>
    </row>
    <row r="1253" spans="1:2" x14ac:dyDescent="0.25">
      <c r="A1253" s="157"/>
      <c r="B1253" s="157"/>
    </row>
    <row r="1254" spans="1:2" x14ac:dyDescent="0.25">
      <c r="A1254" s="157"/>
      <c r="B1254" s="157"/>
    </row>
    <row r="1255" spans="1:2" x14ac:dyDescent="0.25">
      <c r="A1255" s="157"/>
      <c r="B1255" s="157"/>
    </row>
    <row r="1256" spans="1:2" x14ac:dyDescent="0.25">
      <c r="A1256" s="157"/>
      <c r="B1256" s="157"/>
    </row>
    <row r="1257" spans="1:2" x14ac:dyDescent="0.25">
      <c r="A1257" s="157"/>
      <c r="B1257" s="157"/>
    </row>
    <row r="1258" spans="1:2" x14ac:dyDescent="0.25">
      <c r="A1258" s="157"/>
      <c r="B1258" s="157"/>
    </row>
    <row r="1259" spans="1:2" x14ac:dyDescent="0.25">
      <c r="A1259" s="157"/>
      <c r="B1259" s="157"/>
    </row>
    <row r="1260" spans="1:2" x14ac:dyDescent="0.25">
      <c r="A1260" s="157"/>
      <c r="B1260" s="157"/>
    </row>
    <row r="1261" spans="1:2" x14ac:dyDescent="0.25">
      <c r="A1261" s="157"/>
      <c r="B1261" s="157"/>
    </row>
    <row r="1262" spans="1:2" x14ac:dyDescent="0.25">
      <c r="A1262" s="157"/>
      <c r="B1262" s="157"/>
    </row>
    <row r="1263" spans="1:2" x14ac:dyDescent="0.25">
      <c r="A1263" s="157"/>
      <c r="B1263" s="157"/>
    </row>
    <row r="1264" spans="1:2" x14ac:dyDescent="0.25">
      <c r="A1264" s="157"/>
      <c r="B1264" s="157"/>
    </row>
    <row r="1265" spans="1:2" x14ac:dyDescent="0.25">
      <c r="A1265" s="157"/>
      <c r="B1265" s="157"/>
    </row>
    <row r="1266" spans="1:2" x14ac:dyDescent="0.25">
      <c r="A1266" s="157"/>
      <c r="B1266" s="157"/>
    </row>
    <row r="1267" spans="1:2" x14ac:dyDescent="0.25">
      <c r="A1267" s="157"/>
      <c r="B1267" s="157"/>
    </row>
    <row r="1268" spans="1:2" x14ac:dyDescent="0.25">
      <c r="A1268" s="157"/>
      <c r="B1268" s="157"/>
    </row>
    <row r="1269" spans="1:2" x14ac:dyDescent="0.25">
      <c r="A1269" s="157"/>
      <c r="B1269" s="157"/>
    </row>
    <row r="1270" spans="1:2" x14ac:dyDescent="0.25">
      <c r="A1270" s="157"/>
      <c r="B1270" s="157"/>
    </row>
    <row r="1271" spans="1:2" x14ac:dyDescent="0.25">
      <c r="A1271" s="157"/>
      <c r="B1271" s="157"/>
    </row>
    <row r="1272" spans="1:2" x14ac:dyDescent="0.25">
      <c r="A1272" s="157"/>
      <c r="B1272" s="157"/>
    </row>
    <row r="1273" spans="1:2" x14ac:dyDescent="0.25">
      <c r="A1273" s="157"/>
      <c r="B1273" s="157"/>
    </row>
    <row r="1274" spans="1:2" x14ac:dyDescent="0.25">
      <c r="A1274" s="157"/>
      <c r="B1274" s="157"/>
    </row>
    <row r="1275" spans="1:2" x14ac:dyDescent="0.25">
      <c r="A1275" s="157"/>
      <c r="B1275" s="157"/>
    </row>
    <row r="1276" spans="1:2" x14ac:dyDescent="0.25">
      <c r="A1276" s="157"/>
      <c r="B1276" s="157"/>
    </row>
    <row r="1277" spans="1:2" x14ac:dyDescent="0.25">
      <c r="A1277" s="157"/>
      <c r="B1277" s="157"/>
    </row>
    <row r="1278" spans="1:2" x14ac:dyDescent="0.25">
      <c r="A1278" s="157"/>
      <c r="B1278" s="157"/>
    </row>
    <row r="1279" spans="1:2" x14ac:dyDescent="0.25">
      <c r="A1279" s="157"/>
      <c r="B1279" s="157"/>
    </row>
    <row r="1280" spans="1:2" x14ac:dyDescent="0.25">
      <c r="A1280" s="157"/>
      <c r="B1280" s="157"/>
    </row>
    <row r="1281" spans="1:2" x14ac:dyDescent="0.25">
      <c r="A1281" s="157"/>
      <c r="B1281" s="157"/>
    </row>
    <row r="1282" spans="1:2" x14ac:dyDescent="0.25">
      <c r="A1282" s="157"/>
      <c r="B1282" s="157"/>
    </row>
    <row r="1283" spans="1:2" x14ac:dyDescent="0.25">
      <c r="A1283" s="157"/>
      <c r="B1283" s="157"/>
    </row>
    <row r="1284" spans="1:2" x14ac:dyDescent="0.25">
      <c r="A1284" s="157"/>
      <c r="B1284" s="157"/>
    </row>
    <row r="1285" spans="1:2" x14ac:dyDescent="0.25">
      <c r="A1285" s="157"/>
      <c r="B1285" s="157"/>
    </row>
    <row r="1286" spans="1:2" x14ac:dyDescent="0.25">
      <c r="A1286" s="157"/>
      <c r="B1286" s="157"/>
    </row>
    <row r="1287" spans="1:2" x14ac:dyDescent="0.25">
      <c r="A1287" s="157"/>
      <c r="B1287" s="157"/>
    </row>
    <row r="1288" spans="1:2" x14ac:dyDescent="0.25">
      <c r="A1288" s="157"/>
      <c r="B1288" s="157"/>
    </row>
    <row r="1289" spans="1:2" x14ac:dyDescent="0.25">
      <c r="A1289" s="157"/>
      <c r="B1289" s="157"/>
    </row>
    <row r="1290" spans="1:2" x14ac:dyDescent="0.25">
      <c r="A1290" s="157"/>
      <c r="B1290" s="157"/>
    </row>
    <row r="1291" spans="1:2" x14ac:dyDescent="0.25">
      <c r="A1291" s="157"/>
      <c r="B1291" s="157"/>
    </row>
    <row r="1292" spans="1:2" x14ac:dyDescent="0.25">
      <c r="A1292" s="157"/>
      <c r="B1292" s="157"/>
    </row>
    <row r="1293" spans="1:2" x14ac:dyDescent="0.25">
      <c r="A1293" s="157"/>
      <c r="B1293" s="1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78"/>
  <sheetViews>
    <sheetView topLeftCell="H7" zoomScale="70" zoomScaleNormal="70" workbookViewId="0">
      <selection activeCell="G42" sqref="A42:XFD42"/>
    </sheetView>
  </sheetViews>
  <sheetFormatPr defaultRowHeight="15" x14ac:dyDescent="0.25"/>
  <sheetData>
    <row r="1" spans="1:40" x14ac:dyDescent="0.25">
      <c r="A1" s="188"/>
      <c r="B1" s="188"/>
      <c r="C1" s="188"/>
      <c r="D1" s="188"/>
      <c r="E1" s="188"/>
      <c r="F1" s="188"/>
      <c r="G1" s="188" t="s">
        <v>1</v>
      </c>
      <c r="H1" s="188" t="s">
        <v>6</v>
      </c>
      <c r="I1" s="188" t="s">
        <v>60</v>
      </c>
      <c r="J1" s="188" t="s">
        <v>61</v>
      </c>
      <c r="K1" s="188" t="s">
        <v>62</v>
      </c>
      <c r="L1" s="188" t="s">
        <v>63</v>
      </c>
      <c r="M1" s="188" t="s">
        <v>83</v>
      </c>
      <c r="N1" s="188" t="s">
        <v>84</v>
      </c>
      <c r="O1" s="188" t="s">
        <v>85</v>
      </c>
      <c r="P1" s="188" t="s">
        <v>24</v>
      </c>
      <c r="Q1" s="188" t="s">
        <v>25</v>
      </c>
      <c r="R1" s="188" t="s">
        <v>64</v>
      </c>
      <c r="S1" s="188" t="s">
        <v>26</v>
      </c>
      <c r="T1" s="188" t="s">
        <v>65</v>
      </c>
      <c r="U1" s="188" t="s">
        <v>66</v>
      </c>
      <c r="V1" s="188" t="s">
        <v>67</v>
      </c>
      <c r="W1" s="188" t="s">
        <v>86</v>
      </c>
      <c r="X1" s="188" t="s">
        <v>46</v>
      </c>
      <c r="Y1" s="188" t="s">
        <v>47</v>
      </c>
      <c r="Z1" s="188" t="s">
        <v>48</v>
      </c>
      <c r="AA1" s="188" t="s">
        <v>49</v>
      </c>
      <c r="AB1" s="188" t="s">
        <v>50</v>
      </c>
      <c r="AC1" s="188" t="s">
        <v>51</v>
      </c>
      <c r="AD1" s="188" t="s">
        <v>52</v>
      </c>
      <c r="AE1" s="188" t="s">
        <v>53</v>
      </c>
      <c r="AF1" s="188" t="s">
        <v>54</v>
      </c>
      <c r="AG1" s="188" t="s">
        <v>55</v>
      </c>
      <c r="AH1" s="188" t="s">
        <v>56</v>
      </c>
      <c r="AI1" s="188" t="s">
        <v>57</v>
      </c>
      <c r="AJ1" s="188" t="s">
        <v>58</v>
      </c>
      <c r="AK1" s="188" t="s">
        <v>59</v>
      </c>
      <c r="AL1" s="188" t="s">
        <v>639</v>
      </c>
      <c r="AM1" s="188" t="s">
        <v>666</v>
      </c>
      <c r="AN1" s="188" t="s">
        <v>2</v>
      </c>
    </row>
    <row r="2" spans="1:40" x14ac:dyDescent="0.25">
      <c r="A2" s="159"/>
      <c r="B2" s="160"/>
      <c r="C2" s="160"/>
      <c r="D2" s="160"/>
      <c r="E2" s="160"/>
      <c r="F2" s="160"/>
      <c r="G2" s="159">
        <v>1</v>
      </c>
      <c r="H2" s="160" t="s">
        <v>80</v>
      </c>
      <c r="I2" s="160" t="s">
        <v>26</v>
      </c>
      <c r="J2" s="160" t="s">
        <v>26</v>
      </c>
      <c r="K2" s="160" t="s">
        <v>26</v>
      </c>
      <c r="L2" s="160" t="s">
        <v>26</v>
      </c>
      <c r="M2" s="160" t="s">
        <v>24</v>
      </c>
      <c r="N2" s="160"/>
      <c r="O2" s="160" t="s">
        <v>65</v>
      </c>
      <c r="P2" s="160" t="s">
        <v>65</v>
      </c>
      <c r="Q2" s="160" t="s">
        <v>65</v>
      </c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95">
        <v>88</v>
      </c>
    </row>
    <row r="3" spans="1:40" x14ac:dyDescent="0.25">
      <c r="A3" s="159"/>
      <c r="B3" s="160"/>
      <c r="C3" s="160"/>
      <c r="D3" s="160"/>
      <c r="E3" s="160"/>
      <c r="F3" s="160"/>
      <c r="G3" s="159">
        <v>2</v>
      </c>
      <c r="H3" s="160" t="s">
        <v>10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59">
        <v>0</v>
      </c>
    </row>
    <row r="4" spans="1:40" x14ac:dyDescent="0.25">
      <c r="A4" s="159"/>
      <c r="B4" s="160"/>
      <c r="C4" s="160"/>
      <c r="D4" s="160"/>
      <c r="E4" s="160"/>
      <c r="F4" s="160"/>
      <c r="G4" s="159">
        <v>3</v>
      </c>
      <c r="H4" s="160" t="s">
        <v>11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 t="s">
        <v>54</v>
      </c>
      <c r="T4" s="160" t="s">
        <v>54</v>
      </c>
      <c r="U4" s="160" t="s">
        <v>54</v>
      </c>
      <c r="V4" s="160" t="s">
        <v>54</v>
      </c>
      <c r="W4" s="160" t="s">
        <v>54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95">
        <v>120</v>
      </c>
    </row>
    <row r="5" spans="1:40" x14ac:dyDescent="0.25">
      <c r="A5" s="159"/>
      <c r="B5" s="160"/>
      <c r="C5" s="160"/>
      <c r="D5" s="160"/>
      <c r="E5" s="160"/>
      <c r="F5" s="160"/>
      <c r="G5" s="159">
        <v>4</v>
      </c>
      <c r="H5" s="160" t="s">
        <v>12</v>
      </c>
      <c r="I5" s="160"/>
      <c r="J5" s="160" t="s">
        <v>26</v>
      </c>
      <c r="K5" s="160" t="s">
        <v>26</v>
      </c>
      <c r="L5" s="160" t="s">
        <v>26</v>
      </c>
      <c r="M5" s="160"/>
      <c r="N5" s="160"/>
      <c r="O5" s="160" t="s">
        <v>26</v>
      </c>
      <c r="P5" s="160" t="s">
        <v>26</v>
      </c>
      <c r="Q5" s="160" t="s">
        <v>26</v>
      </c>
      <c r="R5" s="160"/>
      <c r="S5" s="160"/>
      <c r="T5" s="160"/>
      <c r="U5" s="160"/>
      <c r="V5" s="160" t="s">
        <v>26</v>
      </c>
      <c r="W5" s="160" t="s">
        <v>26</v>
      </c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95">
        <v>88</v>
      </c>
    </row>
    <row r="6" spans="1:40" x14ac:dyDescent="0.25">
      <c r="A6" s="159"/>
      <c r="B6" s="160"/>
      <c r="C6" s="160"/>
      <c r="D6" s="160"/>
      <c r="E6" s="160"/>
      <c r="F6" s="160"/>
      <c r="G6" s="159">
        <v>5</v>
      </c>
      <c r="H6" s="160" t="s">
        <v>664</v>
      </c>
      <c r="I6" s="160"/>
      <c r="J6" s="160" t="s">
        <v>26</v>
      </c>
      <c r="K6" s="160" t="s">
        <v>26</v>
      </c>
      <c r="L6" s="160"/>
      <c r="M6" s="160"/>
      <c r="N6" s="160"/>
      <c r="O6" s="160" t="s">
        <v>26</v>
      </c>
      <c r="P6" s="160" t="s">
        <v>26</v>
      </c>
      <c r="Q6" s="160" t="s">
        <v>26</v>
      </c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95">
        <v>55</v>
      </c>
    </row>
    <row r="7" spans="1:40" x14ac:dyDescent="0.25">
      <c r="A7" s="159"/>
      <c r="B7" s="160"/>
      <c r="C7" s="160"/>
      <c r="D7" s="160"/>
      <c r="E7" s="160"/>
      <c r="F7" s="160"/>
      <c r="G7" s="159">
        <v>6</v>
      </c>
      <c r="H7" s="160" t="s">
        <v>14</v>
      </c>
      <c r="I7" s="160"/>
      <c r="J7" s="160" t="s">
        <v>26</v>
      </c>
      <c r="K7" s="160" t="s">
        <v>26</v>
      </c>
      <c r="L7" s="160"/>
      <c r="M7" s="160"/>
      <c r="N7" s="160"/>
      <c r="O7" s="160" t="s">
        <v>26</v>
      </c>
      <c r="P7" s="160" t="s">
        <v>26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95">
        <v>44</v>
      </c>
    </row>
    <row r="8" spans="1:40" x14ac:dyDescent="0.25">
      <c r="A8" s="159"/>
      <c r="B8" s="160"/>
      <c r="C8" s="160"/>
      <c r="D8" s="160"/>
      <c r="E8" s="160"/>
      <c r="F8" s="160"/>
      <c r="G8" s="159">
        <v>7</v>
      </c>
      <c r="H8" s="160" t="s">
        <v>15</v>
      </c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 t="s">
        <v>54</v>
      </c>
      <c r="T8" s="160" t="s">
        <v>54</v>
      </c>
      <c r="U8" s="160" t="s">
        <v>54</v>
      </c>
      <c r="V8" s="160" t="s">
        <v>54</v>
      </c>
      <c r="W8" s="160" t="s">
        <v>54</v>
      </c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95">
        <v>120</v>
      </c>
    </row>
    <row r="9" spans="1:40" x14ac:dyDescent="0.25">
      <c r="A9" s="159"/>
      <c r="B9" s="160"/>
      <c r="C9" s="160"/>
      <c r="D9" s="160"/>
      <c r="E9" s="160"/>
      <c r="F9" s="160"/>
      <c r="G9" s="159">
        <v>8</v>
      </c>
      <c r="H9" s="160" t="s">
        <v>16</v>
      </c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59">
        <v>0</v>
      </c>
    </row>
    <row r="10" spans="1:40" x14ac:dyDescent="0.25">
      <c r="A10" s="159"/>
      <c r="B10" s="160"/>
      <c r="C10" s="160"/>
      <c r="D10" s="160"/>
      <c r="E10" s="160"/>
      <c r="F10" s="160"/>
      <c r="G10" s="159">
        <v>9</v>
      </c>
      <c r="H10" s="160" t="s">
        <v>4</v>
      </c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59">
        <v>0</v>
      </c>
    </row>
    <row r="11" spans="1:40" x14ac:dyDescent="0.25">
      <c r="A11" s="159"/>
      <c r="B11" s="160"/>
      <c r="C11" s="160"/>
      <c r="D11" s="160"/>
      <c r="E11" s="160"/>
      <c r="F11" s="160"/>
      <c r="G11" s="159">
        <v>10</v>
      </c>
      <c r="H11" s="160" t="s">
        <v>5</v>
      </c>
      <c r="I11" s="160"/>
      <c r="J11" s="160" t="s">
        <v>26</v>
      </c>
      <c r="K11" s="160"/>
      <c r="L11" s="160"/>
      <c r="M11" s="160"/>
      <c r="N11" s="160"/>
      <c r="O11" s="160" t="s">
        <v>26</v>
      </c>
      <c r="P11" s="160"/>
      <c r="Q11" s="160" t="s">
        <v>26</v>
      </c>
      <c r="R11" s="160"/>
      <c r="S11" s="160"/>
      <c r="T11" s="160"/>
      <c r="U11" s="160"/>
      <c r="V11" s="160" t="s">
        <v>26</v>
      </c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95">
        <v>44</v>
      </c>
    </row>
    <row r="12" spans="1:40" x14ac:dyDescent="0.25">
      <c r="A12" s="159"/>
      <c r="B12" s="160"/>
      <c r="C12" s="160"/>
      <c r="D12" s="160"/>
      <c r="E12" s="160"/>
      <c r="F12" s="160"/>
      <c r="G12" s="159">
        <v>11</v>
      </c>
      <c r="H12" s="160" t="s">
        <v>17</v>
      </c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59">
        <v>0</v>
      </c>
    </row>
    <row r="13" spans="1:40" x14ac:dyDescent="0.25">
      <c r="A13" s="159"/>
      <c r="B13" s="160"/>
      <c r="C13" s="160"/>
      <c r="D13" s="160"/>
      <c r="E13" s="160"/>
      <c r="F13" s="160"/>
      <c r="G13" s="159">
        <v>12</v>
      </c>
      <c r="H13" s="160" t="s">
        <v>38</v>
      </c>
      <c r="I13" s="160"/>
      <c r="J13" s="160"/>
      <c r="K13" s="160"/>
      <c r="L13" s="160"/>
      <c r="M13" s="160" t="s">
        <v>84</v>
      </c>
      <c r="N13" s="160"/>
      <c r="O13" s="160" t="s">
        <v>26</v>
      </c>
      <c r="P13" s="160" t="s">
        <v>26</v>
      </c>
      <c r="Q13" s="160" t="s">
        <v>26</v>
      </c>
      <c r="R13" s="160" t="s">
        <v>26</v>
      </c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95">
        <v>50</v>
      </c>
    </row>
    <row r="14" spans="1:40" x14ac:dyDescent="0.25">
      <c r="A14" s="159"/>
      <c r="B14" s="160"/>
      <c r="C14" s="160"/>
      <c r="D14" s="160"/>
      <c r="E14" s="160"/>
      <c r="F14" s="160"/>
      <c r="G14" s="159">
        <v>13</v>
      </c>
      <c r="H14" s="160" t="s">
        <v>19</v>
      </c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59">
        <v>0</v>
      </c>
    </row>
    <row r="15" spans="1:40" x14ac:dyDescent="0.25">
      <c r="A15" s="159"/>
      <c r="B15" s="160"/>
      <c r="C15" s="160"/>
      <c r="D15" s="160"/>
      <c r="E15" s="160"/>
      <c r="F15" s="160"/>
      <c r="G15" s="159">
        <v>14</v>
      </c>
      <c r="H15" s="160" t="s">
        <v>77</v>
      </c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59">
        <v>0</v>
      </c>
    </row>
    <row r="16" spans="1:40" x14ac:dyDescent="0.25">
      <c r="A16" s="159"/>
      <c r="B16" s="160"/>
      <c r="C16" s="160"/>
      <c r="D16" s="160"/>
      <c r="E16" s="160"/>
      <c r="F16" s="160"/>
      <c r="G16" s="159">
        <v>15</v>
      </c>
      <c r="H16" s="160" t="s">
        <v>43</v>
      </c>
      <c r="I16" s="160"/>
      <c r="J16" s="160"/>
      <c r="K16" s="160"/>
      <c r="L16" s="160"/>
      <c r="M16" s="160"/>
      <c r="N16" s="160"/>
      <c r="O16" s="160" t="s">
        <v>26</v>
      </c>
      <c r="P16" s="160" t="s">
        <v>26</v>
      </c>
      <c r="Q16" s="160" t="s">
        <v>26</v>
      </c>
      <c r="R16" s="160"/>
      <c r="S16" s="160"/>
      <c r="T16" s="160"/>
      <c r="U16" s="160"/>
      <c r="V16" s="160" t="s">
        <v>26</v>
      </c>
      <c r="W16" s="160" t="s">
        <v>26</v>
      </c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95">
        <v>55</v>
      </c>
    </row>
    <row r="17" spans="1:40" x14ac:dyDescent="0.25">
      <c r="A17" s="159"/>
      <c r="B17" s="160"/>
      <c r="C17" s="160"/>
      <c r="D17" s="160"/>
      <c r="E17" s="160"/>
      <c r="F17" s="160"/>
      <c r="G17" s="159">
        <v>16</v>
      </c>
      <c r="H17" s="160" t="s">
        <v>645</v>
      </c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59">
        <v>0</v>
      </c>
    </row>
    <row r="18" spans="1:40" x14ac:dyDescent="0.25">
      <c r="A18" s="159"/>
      <c r="B18" s="160"/>
      <c r="C18" s="160"/>
      <c r="D18" s="160"/>
      <c r="E18" s="160"/>
      <c r="F18" s="160"/>
      <c r="G18" s="159">
        <v>17</v>
      </c>
      <c r="H18" s="160" t="s">
        <v>87</v>
      </c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59">
        <v>0</v>
      </c>
    </row>
    <row r="19" spans="1:40" x14ac:dyDescent="0.25">
      <c r="A19" s="159"/>
      <c r="B19" s="160"/>
      <c r="C19" s="160"/>
      <c r="D19" s="160"/>
      <c r="E19" s="160"/>
      <c r="F19" s="160"/>
      <c r="G19" s="159">
        <v>18</v>
      </c>
      <c r="H19" s="160" t="s">
        <v>95</v>
      </c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59">
        <v>0</v>
      </c>
    </row>
    <row r="20" spans="1:40" x14ac:dyDescent="0.25">
      <c r="A20" s="159"/>
      <c r="B20" s="160"/>
      <c r="C20" s="160"/>
      <c r="D20" s="160"/>
      <c r="E20" s="160"/>
      <c r="F20" s="160"/>
      <c r="G20" s="159">
        <v>19</v>
      </c>
      <c r="H20" s="160" t="s">
        <v>97</v>
      </c>
      <c r="I20" s="160" t="s">
        <v>26</v>
      </c>
      <c r="J20" s="160" t="s">
        <v>26</v>
      </c>
      <c r="K20" s="160" t="s">
        <v>26</v>
      </c>
      <c r="L20" s="160" t="s">
        <v>26</v>
      </c>
      <c r="M20" s="160" t="s">
        <v>84</v>
      </c>
      <c r="N20" s="160"/>
      <c r="O20" s="160" t="s">
        <v>26</v>
      </c>
      <c r="P20" s="160" t="s">
        <v>26</v>
      </c>
      <c r="Q20" s="160"/>
      <c r="R20" s="160"/>
      <c r="S20" s="160"/>
      <c r="T20" s="160"/>
      <c r="U20" s="160"/>
      <c r="V20" s="160" t="s">
        <v>26</v>
      </c>
      <c r="W20" s="160" t="s">
        <v>26</v>
      </c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95">
        <v>94</v>
      </c>
    </row>
    <row r="21" spans="1:40" x14ac:dyDescent="0.25">
      <c r="A21" s="159"/>
      <c r="B21" s="160"/>
      <c r="C21" s="160"/>
      <c r="D21" s="160"/>
      <c r="E21" s="160"/>
      <c r="F21" s="160"/>
      <c r="G21" s="159">
        <v>20</v>
      </c>
      <c r="H21" s="160" t="s">
        <v>96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59">
        <v>0</v>
      </c>
    </row>
    <row r="22" spans="1:40" x14ac:dyDescent="0.25">
      <c r="A22" s="159"/>
      <c r="B22" s="160"/>
      <c r="C22" s="160"/>
      <c r="D22" s="160"/>
      <c r="E22" s="160"/>
      <c r="F22" s="160"/>
      <c r="G22" s="159">
        <v>21</v>
      </c>
      <c r="H22" s="160" t="s">
        <v>98</v>
      </c>
      <c r="I22" s="160"/>
      <c r="J22" s="160"/>
      <c r="K22" s="160"/>
      <c r="L22" s="160"/>
      <c r="M22" s="160"/>
      <c r="N22" s="160"/>
      <c r="O22" s="160"/>
      <c r="P22" s="160"/>
      <c r="Q22" s="160" t="s">
        <v>26</v>
      </c>
      <c r="R22" s="160"/>
      <c r="S22" s="160" t="s">
        <v>25</v>
      </c>
      <c r="T22" s="160" t="s">
        <v>84</v>
      </c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95">
        <v>26</v>
      </c>
    </row>
    <row r="23" spans="1:40" x14ac:dyDescent="0.25">
      <c r="A23" s="159"/>
      <c r="B23" s="160"/>
      <c r="C23" s="160"/>
      <c r="D23" s="160"/>
      <c r="E23" s="160"/>
      <c r="F23" s="160"/>
      <c r="G23" s="159">
        <v>22</v>
      </c>
      <c r="H23" s="160" t="s">
        <v>99</v>
      </c>
      <c r="I23" s="160"/>
      <c r="J23" s="160"/>
      <c r="K23" s="160"/>
      <c r="L23" s="160"/>
      <c r="M23" s="160"/>
      <c r="N23" s="160"/>
      <c r="O23" s="160" t="s">
        <v>26</v>
      </c>
      <c r="P23" s="160" t="s">
        <v>26</v>
      </c>
      <c r="Q23" s="160" t="s">
        <v>26</v>
      </c>
      <c r="R23" s="160" t="s">
        <v>24</v>
      </c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95">
        <v>41</v>
      </c>
    </row>
    <row r="24" spans="1:40" x14ac:dyDescent="0.25">
      <c r="A24" s="159"/>
      <c r="B24" s="160"/>
      <c r="C24" s="160"/>
      <c r="D24" s="160"/>
      <c r="E24" s="160"/>
      <c r="F24" s="160"/>
      <c r="G24" s="159">
        <v>23</v>
      </c>
      <c r="H24" s="160" t="s">
        <v>617</v>
      </c>
      <c r="I24" s="160"/>
      <c r="J24" s="160"/>
      <c r="K24" s="160"/>
      <c r="L24" s="160"/>
      <c r="M24" s="160"/>
      <c r="N24" s="160"/>
      <c r="O24" s="160"/>
      <c r="P24" s="160" t="s">
        <v>26</v>
      </c>
      <c r="Q24" s="160" t="s">
        <v>26</v>
      </c>
      <c r="R24" s="160"/>
      <c r="S24" s="160" t="s">
        <v>26</v>
      </c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95">
        <v>33</v>
      </c>
    </row>
    <row r="25" spans="1:40" x14ac:dyDescent="0.25">
      <c r="A25" s="159"/>
      <c r="B25" s="160"/>
      <c r="C25" s="160"/>
      <c r="D25" s="160"/>
      <c r="E25" s="160"/>
      <c r="F25" s="160"/>
      <c r="G25" s="159">
        <v>24</v>
      </c>
      <c r="H25" s="160" t="s">
        <v>618</v>
      </c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59">
        <v>0</v>
      </c>
    </row>
    <row r="26" spans="1:40" x14ac:dyDescent="0.25">
      <c r="A26" s="159"/>
      <c r="B26" s="160"/>
      <c r="C26" s="160"/>
      <c r="D26" s="160"/>
      <c r="E26" s="160"/>
      <c r="F26" s="160"/>
      <c r="G26" s="159">
        <v>25</v>
      </c>
      <c r="H26" s="160" t="s">
        <v>629</v>
      </c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59">
        <v>0</v>
      </c>
    </row>
    <row r="27" spans="1:40" x14ac:dyDescent="0.25">
      <c r="A27" s="159"/>
      <c r="B27" s="160"/>
      <c r="C27" s="160"/>
      <c r="D27" s="160"/>
      <c r="E27" s="160"/>
      <c r="F27" s="160"/>
      <c r="G27" s="159">
        <v>26</v>
      </c>
      <c r="H27" s="160" t="s">
        <v>619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59">
        <v>0</v>
      </c>
    </row>
    <row r="28" spans="1:40" x14ac:dyDescent="0.25">
      <c r="A28" s="159"/>
      <c r="B28" s="160"/>
      <c r="C28" s="160"/>
      <c r="D28" s="160"/>
      <c r="E28" s="160"/>
      <c r="F28" s="160"/>
      <c r="G28" s="159">
        <v>27</v>
      </c>
      <c r="H28" s="160" t="s">
        <v>620</v>
      </c>
      <c r="I28" s="160"/>
      <c r="J28" s="160" t="s">
        <v>26</v>
      </c>
      <c r="K28" s="160" t="s">
        <v>26</v>
      </c>
      <c r="L28" s="160" t="s">
        <v>26</v>
      </c>
      <c r="M28" s="160" t="s">
        <v>84</v>
      </c>
      <c r="N28" s="160"/>
      <c r="O28" s="160" t="s">
        <v>26</v>
      </c>
      <c r="P28" s="160" t="s">
        <v>26</v>
      </c>
      <c r="Q28" s="160" t="s">
        <v>26</v>
      </c>
      <c r="R28" s="160"/>
      <c r="S28" s="160"/>
      <c r="T28" s="160"/>
      <c r="U28" s="160"/>
      <c r="V28" s="160"/>
      <c r="W28" s="160" t="s">
        <v>26</v>
      </c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95">
        <v>83</v>
      </c>
    </row>
    <row r="29" spans="1:40" x14ac:dyDescent="0.25">
      <c r="A29" s="159"/>
      <c r="B29" s="160"/>
      <c r="C29" s="160"/>
      <c r="D29" s="160"/>
      <c r="E29" s="160"/>
      <c r="F29" s="160"/>
      <c r="G29" s="159">
        <v>28</v>
      </c>
      <c r="H29" s="160" t="s">
        <v>622</v>
      </c>
      <c r="I29" s="160"/>
      <c r="J29" s="160"/>
      <c r="K29" s="160"/>
      <c r="L29" s="160"/>
      <c r="M29" s="160"/>
      <c r="N29" s="160"/>
      <c r="O29" s="160"/>
      <c r="P29" s="160" t="s">
        <v>26</v>
      </c>
      <c r="Q29" s="160" t="s">
        <v>26</v>
      </c>
      <c r="R29" s="160" t="s">
        <v>26</v>
      </c>
      <c r="S29" s="160" t="s">
        <v>64</v>
      </c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95">
        <v>43</v>
      </c>
    </row>
    <row r="30" spans="1:40" x14ac:dyDescent="0.25">
      <c r="A30" s="159"/>
      <c r="B30" s="160"/>
      <c r="C30" s="160"/>
      <c r="D30" s="160"/>
      <c r="E30" s="160"/>
      <c r="F30" s="160"/>
      <c r="G30" s="159">
        <v>29</v>
      </c>
      <c r="H30" s="160" t="s">
        <v>665</v>
      </c>
      <c r="I30" s="160"/>
      <c r="J30" s="160"/>
      <c r="K30" s="160"/>
      <c r="L30" s="160"/>
      <c r="M30" s="160"/>
      <c r="N30" s="160"/>
      <c r="O30" s="160" t="s">
        <v>26</v>
      </c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95">
        <v>11</v>
      </c>
    </row>
    <row r="31" spans="1:40" x14ac:dyDescent="0.25">
      <c r="A31" s="159"/>
      <c r="B31" s="160"/>
      <c r="C31" s="160"/>
      <c r="D31" s="160"/>
      <c r="E31" s="160"/>
      <c r="F31" s="160"/>
      <c r="G31" s="159">
        <v>30</v>
      </c>
      <c r="H31" s="160" t="s">
        <v>623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59">
        <v>0</v>
      </c>
    </row>
    <row r="32" spans="1:40" x14ac:dyDescent="0.25">
      <c r="A32" s="159"/>
      <c r="B32" s="160"/>
      <c r="C32" s="160"/>
      <c r="D32" s="160"/>
      <c r="E32" s="160"/>
      <c r="F32" s="160"/>
      <c r="G32" s="159">
        <v>31</v>
      </c>
      <c r="H32" s="160" t="s">
        <v>624</v>
      </c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59">
        <v>0</v>
      </c>
    </row>
    <row r="33" spans="1:40" x14ac:dyDescent="0.25">
      <c r="A33" s="159"/>
      <c r="B33" s="160"/>
      <c r="C33" s="160"/>
      <c r="D33" s="160"/>
      <c r="E33" s="160"/>
      <c r="F33" s="160"/>
      <c r="G33" s="159">
        <v>32</v>
      </c>
      <c r="H33" s="160" t="s">
        <v>625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59">
        <v>0</v>
      </c>
    </row>
    <row r="34" spans="1:40" x14ac:dyDescent="0.25">
      <c r="A34" s="159"/>
      <c r="B34" s="160"/>
      <c r="C34" s="160"/>
      <c r="D34" s="160"/>
      <c r="E34" s="160"/>
      <c r="F34" s="160"/>
      <c r="G34" s="159">
        <v>33</v>
      </c>
      <c r="H34" s="160" t="s">
        <v>626</v>
      </c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59">
        <v>0</v>
      </c>
    </row>
    <row r="35" spans="1:40" x14ac:dyDescent="0.25">
      <c r="A35" s="159"/>
      <c r="B35" s="160"/>
      <c r="C35" s="160"/>
      <c r="D35" s="160"/>
      <c r="E35" s="160"/>
      <c r="F35" s="160"/>
      <c r="G35" s="159">
        <v>34</v>
      </c>
      <c r="H35" s="160" t="s">
        <v>631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59">
        <v>0</v>
      </c>
    </row>
    <row r="36" spans="1:40" x14ac:dyDescent="0.25">
      <c r="A36" s="159"/>
      <c r="B36" s="160"/>
      <c r="C36" s="160"/>
      <c r="D36" s="160"/>
      <c r="E36" s="160"/>
      <c r="F36" s="160"/>
      <c r="G36" s="159">
        <v>35</v>
      </c>
      <c r="H36" s="160" t="s">
        <v>627</v>
      </c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59">
        <v>0</v>
      </c>
    </row>
    <row r="37" spans="1:40" x14ac:dyDescent="0.25">
      <c r="A37" s="159"/>
      <c r="B37" s="160"/>
      <c r="C37" s="160"/>
      <c r="D37" s="160"/>
      <c r="E37" s="160"/>
      <c r="F37" s="160"/>
      <c r="G37" s="159">
        <v>36</v>
      </c>
      <c r="H37" s="160" t="s">
        <v>34</v>
      </c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59">
        <v>0</v>
      </c>
    </row>
    <row r="38" spans="1:40" x14ac:dyDescent="0.25">
      <c r="A38" s="159"/>
      <c r="B38" s="160"/>
      <c r="C38" s="160"/>
      <c r="D38" s="160"/>
      <c r="E38" s="160"/>
      <c r="F38" s="160"/>
      <c r="G38" s="159">
        <v>37</v>
      </c>
      <c r="H38" s="160" t="s">
        <v>628</v>
      </c>
      <c r="I38" s="160"/>
      <c r="J38" s="160"/>
      <c r="K38" s="160"/>
      <c r="L38" s="160"/>
      <c r="M38" s="160"/>
      <c r="N38" s="160"/>
      <c r="O38" s="160"/>
      <c r="P38" s="160" t="s">
        <v>26</v>
      </c>
      <c r="Q38" s="160"/>
      <c r="R38" s="160" t="s">
        <v>24</v>
      </c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95">
        <v>19</v>
      </c>
    </row>
    <row r="39" spans="1:40" x14ac:dyDescent="0.25">
      <c r="A39" s="159"/>
      <c r="B39" s="160"/>
      <c r="C39" s="160"/>
      <c r="D39" s="160"/>
      <c r="E39" s="160"/>
      <c r="F39" s="160"/>
      <c r="G39" s="159">
        <v>38</v>
      </c>
      <c r="H39" s="160" t="s">
        <v>621</v>
      </c>
      <c r="I39" s="160"/>
      <c r="J39" s="160" t="s">
        <v>26</v>
      </c>
      <c r="K39" s="160" t="s">
        <v>26</v>
      </c>
      <c r="L39" s="160" t="s">
        <v>26</v>
      </c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95">
        <v>33</v>
      </c>
    </row>
    <row r="40" spans="1:40" x14ac:dyDescent="0.25">
      <c r="A40" s="159"/>
      <c r="B40" s="160"/>
      <c r="C40" s="160"/>
      <c r="D40" s="160"/>
      <c r="E40" s="160"/>
      <c r="F40" s="160"/>
      <c r="G40" s="159">
        <v>39</v>
      </c>
      <c r="H40" s="160" t="s">
        <v>45</v>
      </c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 t="s">
        <v>54</v>
      </c>
      <c r="T40" s="160" t="s">
        <v>54</v>
      </c>
      <c r="U40" s="160" t="s">
        <v>54</v>
      </c>
      <c r="V40" s="160" t="s">
        <v>54</v>
      </c>
      <c r="W40" s="160" t="s">
        <v>54</v>
      </c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95">
        <v>120</v>
      </c>
    </row>
    <row r="41" spans="1:40" x14ac:dyDescent="0.25">
      <c r="A41" s="159"/>
      <c r="B41" s="160"/>
      <c r="C41" s="160"/>
      <c r="D41" s="160"/>
      <c r="E41" s="160"/>
      <c r="F41" s="160"/>
      <c r="G41" s="159">
        <v>40</v>
      </c>
      <c r="H41" s="160" t="s">
        <v>634</v>
      </c>
      <c r="I41" s="160"/>
      <c r="J41" s="160"/>
      <c r="K41" s="160"/>
      <c r="L41" s="160"/>
      <c r="M41" s="160"/>
      <c r="N41" s="160"/>
      <c r="O41" s="160" t="s">
        <v>26</v>
      </c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95">
        <v>11</v>
      </c>
    </row>
    <row r="42" spans="1:40" x14ac:dyDescent="0.25">
      <c r="A42" s="159"/>
      <c r="B42" s="160"/>
      <c r="C42" s="160"/>
      <c r="D42" s="160"/>
      <c r="E42" s="160"/>
      <c r="F42" s="160"/>
      <c r="G42" s="159">
        <v>41</v>
      </c>
      <c r="H42" s="160" t="s">
        <v>648</v>
      </c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59">
        <v>0</v>
      </c>
    </row>
    <row r="43" spans="1:40" x14ac:dyDescent="0.25">
      <c r="A43" s="159"/>
      <c r="B43" s="160"/>
      <c r="C43" s="160"/>
      <c r="D43" s="160"/>
      <c r="E43" s="160"/>
      <c r="F43" s="160"/>
      <c r="G43" s="159">
        <v>42</v>
      </c>
      <c r="H43" s="160" t="s">
        <v>632</v>
      </c>
      <c r="I43" s="160"/>
      <c r="J43" s="160"/>
      <c r="K43" s="160"/>
      <c r="L43" s="160" t="s">
        <v>26</v>
      </c>
      <c r="M43" s="160"/>
      <c r="N43" s="160"/>
      <c r="O43" s="160"/>
      <c r="P43" s="160"/>
      <c r="Q43" s="160"/>
      <c r="R43" s="160"/>
      <c r="S43" s="160"/>
      <c r="T43" s="160"/>
      <c r="U43" s="160"/>
      <c r="V43" s="160" t="s">
        <v>24</v>
      </c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95">
        <v>19</v>
      </c>
    </row>
    <row r="44" spans="1:40" x14ac:dyDescent="0.25">
      <c r="A44" s="159"/>
      <c r="B44" s="160"/>
      <c r="C44" s="160"/>
      <c r="D44" s="160"/>
      <c r="E44" s="160"/>
      <c r="F44" s="160"/>
      <c r="G44" s="159">
        <v>43</v>
      </c>
      <c r="H44" s="160" t="s">
        <v>633</v>
      </c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59">
        <v>0</v>
      </c>
    </row>
    <row r="45" spans="1:40" x14ac:dyDescent="0.25">
      <c r="A45" s="159"/>
      <c r="B45" s="160"/>
      <c r="C45" s="160"/>
      <c r="D45" s="160"/>
      <c r="E45" s="160"/>
      <c r="F45" s="160"/>
      <c r="G45" s="159">
        <v>44</v>
      </c>
      <c r="H45" s="160" t="s">
        <v>635</v>
      </c>
      <c r="I45" s="160"/>
      <c r="J45" s="160" t="s">
        <v>25</v>
      </c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95">
        <v>9</v>
      </c>
    </row>
    <row r="46" spans="1:40" x14ac:dyDescent="0.25">
      <c r="A46" s="159"/>
      <c r="B46" s="160"/>
      <c r="C46" s="160"/>
      <c r="D46" s="160"/>
      <c r="E46" s="160"/>
      <c r="F46" s="160"/>
      <c r="G46" s="159">
        <v>45</v>
      </c>
      <c r="H46" s="160" t="s">
        <v>636</v>
      </c>
      <c r="I46" s="160"/>
      <c r="J46" s="160" t="s">
        <v>26</v>
      </c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95">
        <v>11</v>
      </c>
    </row>
    <row r="47" spans="1:40" x14ac:dyDescent="0.25">
      <c r="A47" s="159"/>
      <c r="B47" s="160"/>
      <c r="C47" s="160"/>
      <c r="D47" s="160"/>
      <c r="E47" s="160"/>
      <c r="F47" s="160"/>
      <c r="G47" s="159">
        <v>46</v>
      </c>
      <c r="H47" s="160" t="s">
        <v>637</v>
      </c>
      <c r="I47" s="160"/>
      <c r="J47" s="160"/>
      <c r="K47" s="160"/>
      <c r="L47" s="160"/>
      <c r="M47" s="160"/>
      <c r="N47" s="160"/>
      <c r="O47" s="160" t="s">
        <v>26</v>
      </c>
      <c r="P47" s="160" t="s">
        <v>26</v>
      </c>
      <c r="Q47" s="160" t="s">
        <v>26</v>
      </c>
      <c r="R47" s="160"/>
      <c r="S47" s="160" t="s">
        <v>26</v>
      </c>
      <c r="T47" s="160"/>
      <c r="U47" s="160"/>
      <c r="V47" s="160"/>
      <c r="W47" s="160" t="s">
        <v>26</v>
      </c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95">
        <v>55</v>
      </c>
    </row>
    <row r="48" spans="1:40" x14ac:dyDescent="0.25">
      <c r="A48" s="159"/>
      <c r="B48" s="160"/>
      <c r="C48" s="160"/>
      <c r="D48" s="160"/>
      <c r="E48" s="160"/>
      <c r="F48" s="160"/>
      <c r="G48" s="159">
        <v>47</v>
      </c>
      <c r="H48" s="160" t="s">
        <v>638</v>
      </c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59">
        <v>0</v>
      </c>
    </row>
    <row r="49" spans="1:40" x14ac:dyDescent="0.25">
      <c r="A49" s="159"/>
      <c r="B49" s="160"/>
      <c r="C49" s="160"/>
      <c r="D49" s="160"/>
      <c r="E49" s="160"/>
      <c r="F49" s="160"/>
      <c r="G49" s="159">
        <v>48</v>
      </c>
      <c r="H49" s="160" t="s">
        <v>630</v>
      </c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59">
        <v>0</v>
      </c>
    </row>
    <row r="50" spans="1:40" x14ac:dyDescent="0.25">
      <c r="A50" s="159"/>
      <c r="B50" s="160"/>
      <c r="C50" s="160"/>
      <c r="D50" s="160"/>
      <c r="E50" s="160"/>
      <c r="F50" s="160"/>
      <c r="G50" s="159">
        <v>49</v>
      </c>
      <c r="H50" s="160" t="s">
        <v>640</v>
      </c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59">
        <v>0</v>
      </c>
    </row>
    <row r="51" spans="1:40" x14ac:dyDescent="0.25">
      <c r="A51" s="159"/>
      <c r="B51" s="160"/>
      <c r="C51" s="160"/>
      <c r="D51" s="160"/>
      <c r="E51" s="160"/>
      <c r="F51" s="160"/>
      <c r="G51" s="159">
        <v>50</v>
      </c>
      <c r="H51" s="160" t="s">
        <v>642</v>
      </c>
      <c r="I51" s="160" t="s">
        <v>26</v>
      </c>
      <c r="J51" s="160" t="s">
        <v>26</v>
      </c>
      <c r="K51" s="160"/>
      <c r="L51" s="160" t="s">
        <v>26</v>
      </c>
      <c r="M51" s="160"/>
      <c r="N51" s="160"/>
      <c r="O51" s="160"/>
      <c r="P51" s="160" t="s">
        <v>26</v>
      </c>
      <c r="Q51" s="160" t="s">
        <v>26</v>
      </c>
      <c r="R51" s="160"/>
      <c r="S51" s="160" t="s">
        <v>26</v>
      </c>
      <c r="T51" s="160"/>
      <c r="U51" s="160"/>
      <c r="V51" s="160" t="s">
        <v>26</v>
      </c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95">
        <v>77</v>
      </c>
    </row>
    <row r="52" spans="1:40" x14ac:dyDescent="0.25">
      <c r="A52" s="159"/>
      <c r="B52" s="160"/>
      <c r="C52" s="160"/>
      <c r="D52" s="160"/>
      <c r="E52" s="160"/>
      <c r="F52" s="160"/>
      <c r="G52" s="159">
        <v>51</v>
      </c>
      <c r="H52" s="160" t="s">
        <v>643</v>
      </c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59">
        <v>0</v>
      </c>
    </row>
    <row r="53" spans="1:40" x14ac:dyDescent="0.25">
      <c r="A53" s="159"/>
      <c r="B53" s="160"/>
      <c r="C53" s="160"/>
      <c r="D53" s="160"/>
      <c r="E53" s="160"/>
      <c r="F53" s="160"/>
      <c r="G53" s="159">
        <v>52</v>
      </c>
      <c r="H53" s="160" t="s">
        <v>646</v>
      </c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59">
        <v>0</v>
      </c>
    </row>
    <row r="54" spans="1:40" x14ac:dyDescent="0.25">
      <c r="A54" s="159"/>
      <c r="B54" s="160"/>
      <c r="C54" s="160"/>
      <c r="D54" s="160"/>
      <c r="E54" s="160"/>
      <c r="F54" s="160"/>
      <c r="G54" s="159">
        <v>53</v>
      </c>
      <c r="H54" s="160" t="s">
        <v>644</v>
      </c>
      <c r="I54" s="160"/>
      <c r="J54" s="160" t="s">
        <v>26</v>
      </c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95">
        <v>11</v>
      </c>
    </row>
    <row r="55" spans="1:40" x14ac:dyDescent="0.25">
      <c r="A55" s="159"/>
      <c r="B55" s="160"/>
      <c r="C55" s="160"/>
      <c r="D55" s="160"/>
      <c r="E55" s="160"/>
      <c r="F55" s="160"/>
      <c r="G55" s="159">
        <v>54</v>
      </c>
      <c r="H55" s="160" t="s">
        <v>641</v>
      </c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59">
        <v>0</v>
      </c>
    </row>
    <row r="56" spans="1:40" x14ac:dyDescent="0.25">
      <c r="A56" s="159"/>
      <c r="B56" s="160"/>
      <c r="C56" s="160"/>
      <c r="D56" s="160"/>
      <c r="E56" s="160"/>
      <c r="F56" s="160"/>
      <c r="G56" s="159">
        <v>55</v>
      </c>
      <c r="H56" s="160" t="s">
        <v>647</v>
      </c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59">
        <v>0</v>
      </c>
    </row>
    <row r="57" spans="1:40" x14ac:dyDescent="0.25">
      <c r="A57" s="159"/>
      <c r="B57" s="160"/>
      <c r="C57" s="160"/>
      <c r="D57" s="160"/>
      <c r="E57" s="160"/>
      <c r="F57" s="160"/>
      <c r="G57" s="159">
        <v>56</v>
      </c>
      <c r="H57" s="160" t="s">
        <v>663</v>
      </c>
      <c r="I57" s="160" t="s">
        <v>26</v>
      </c>
      <c r="J57" s="160" t="s">
        <v>26</v>
      </c>
      <c r="K57" s="160" t="s">
        <v>26</v>
      </c>
      <c r="L57" s="160" t="s">
        <v>26</v>
      </c>
      <c r="M57" s="160"/>
      <c r="N57" s="160"/>
      <c r="O57" s="160" t="s">
        <v>26</v>
      </c>
      <c r="P57" s="160" t="s">
        <v>25</v>
      </c>
      <c r="Q57" s="160" t="s">
        <v>26</v>
      </c>
      <c r="R57" s="160"/>
      <c r="S57" s="160" t="s">
        <v>26</v>
      </c>
      <c r="T57" s="160" t="s">
        <v>83</v>
      </c>
      <c r="U57" s="160"/>
      <c r="V57" s="160" t="s">
        <v>26</v>
      </c>
      <c r="W57" s="160" t="s">
        <v>26</v>
      </c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95">
        <v>113</v>
      </c>
    </row>
    <row r="58" spans="1:40" x14ac:dyDescent="0.25">
      <c r="A58" s="159"/>
      <c r="B58" s="160"/>
      <c r="C58" s="160"/>
      <c r="D58" s="160"/>
      <c r="E58" s="160"/>
      <c r="F58" s="160"/>
      <c r="G58" s="159">
        <v>57</v>
      </c>
      <c r="H58" s="160" t="s">
        <v>649</v>
      </c>
      <c r="I58" s="160" t="s">
        <v>26</v>
      </c>
      <c r="J58" s="160" t="s">
        <v>26</v>
      </c>
      <c r="K58" s="160" t="s">
        <v>26</v>
      </c>
      <c r="L58" s="160"/>
      <c r="M58" s="160"/>
      <c r="N58" s="160"/>
      <c r="O58" s="160" t="s">
        <v>26</v>
      </c>
      <c r="P58" s="160" t="s">
        <v>25</v>
      </c>
      <c r="Q58" s="160" t="s">
        <v>26</v>
      </c>
      <c r="R58" s="160"/>
      <c r="S58" s="160"/>
      <c r="T58" s="160"/>
      <c r="U58" s="160"/>
      <c r="V58" s="160" t="s">
        <v>26</v>
      </c>
      <c r="W58" s="160" t="s">
        <v>26</v>
      </c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95">
        <v>86</v>
      </c>
    </row>
    <row r="59" spans="1:40" x14ac:dyDescent="0.25">
      <c r="A59" s="159"/>
      <c r="B59" s="160"/>
      <c r="C59" s="160"/>
      <c r="D59" s="160"/>
      <c r="E59" s="160"/>
      <c r="F59" s="160"/>
      <c r="G59" s="159">
        <v>58</v>
      </c>
      <c r="H59" s="160" t="s">
        <v>650</v>
      </c>
      <c r="I59" s="160"/>
      <c r="J59" s="160"/>
      <c r="K59" s="160"/>
      <c r="L59" s="160"/>
      <c r="M59" s="160"/>
      <c r="N59" s="160"/>
      <c r="O59" s="160" t="s">
        <v>26</v>
      </c>
      <c r="P59" s="160" t="s">
        <v>26</v>
      </c>
      <c r="Q59" s="160" t="s">
        <v>26</v>
      </c>
      <c r="R59" s="160"/>
      <c r="S59" s="160"/>
      <c r="T59" s="160"/>
      <c r="U59" s="160"/>
      <c r="V59" s="160"/>
      <c r="W59" s="160" t="s">
        <v>26</v>
      </c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95">
        <v>44</v>
      </c>
    </row>
    <row r="60" spans="1:40" x14ac:dyDescent="0.25">
      <c r="A60" s="159"/>
      <c r="B60" s="160"/>
      <c r="C60" s="160"/>
      <c r="D60" s="160"/>
      <c r="E60" s="160"/>
      <c r="F60" s="160"/>
      <c r="G60" s="159">
        <v>59</v>
      </c>
      <c r="H60" s="160" t="s">
        <v>651</v>
      </c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59">
        <v>0</v>
      </c>
    </row>
    <row r="61" spans="1:40" x14ac:dyDescent="0.25">
      <c r="A61" s="159"/>
      <c r="B61" s="160"/>
      <c r="C61" s="160"/>
      <c r="D61" s="160"/>
      <c r="E61" s="160"/>
      <c r="F61" s="160"/>
      <c r="G61" s="159">
        <v>60</v>
      </c>
      <c r="H61" s="160" t="s">
        <v>653</v>
      </c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59">
        <v>0</v>
      </c>
    </row>
    <row r="62" spans="1:40" x14ac:dyDescent="0.25">
      <c r="A62" s="159"/>
      <c r="B62" s="160"/>
      <c r="C62" s="160"/>
      <c r="D62" s="160"/>
      <c r="E62" s="160"/>
      <c r="F62" s="160"/>
      <c r="G62" s="159">
        <v>61</v>
      </c>
      <c r="H62" s="160" t="s">
        <v>654</v>
      </c>
      <c r="I62" s="160" t="s">
        <v>25</v>
      </c>
      <c r="J62" s="160" t="s">
        <v>85</v>
      </c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95">
        <v>16</v>
      </c>
    </row>
    <row r="63" spans="1:40" x14ac:dyDescent="0.25">
      <c r="A63" s="159"/>
      <c r="B63" s="160"/>
      <c r="C63" s="160"/>
      <c r="D63" s="160"/>
      <c r="E63" s="160"/>
      <c r="F63" s="160"/>
      <c r="G63" s="159">
        <v>62</v>
      </c>
      <c r="H63" s="160" t="s">
        <v>655</v>
      </c>
      <c r="I63" s="160"/>
      <c r="J63" s="160"/>
      <c r="K63" s="160"/>
      <c r="L63" s="160"/>
      <c r="M63" s="160"/>
      <c r="N63" s="160"/>
      <c r="O63" s="160"/>
      <c r="P63" s="160" t="s">
        <v>26</v>
      </c>
      <c r="Q63" s="160" t="s">
        <v>26</v>
      </c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95">
        <v>22</v>
      </c>
    </row>
    <row r="64" spans="1:40" x14ac:dyDescent="0.25">
      <c r="A64" s="159"/>
      <c r="B64" s="160"/>
      <c r="C64" s="160"/>
      <c r="D64" s="160"/>
      <c r="E64" s="160"/>
      <c r="F64" s="160"/>
      <c r="G64" s="159">
        <v>63</v>
      </c>
      <c r="H64" s="160" t="s">
        <v>656</v>
      </c>
      <c r="I64" s="160" t="s">
        <v>26</v>
      </c>
      <c r="J64" s="160" t="s">
        <v>26</v>
      </c>
      <c r="K64" s="160" t="s">
        <v>26</v>
      </c>
      <c r="L64" s="160" t="s">
        <v>26</v>
      </c>
      <c r="M64" s="160"/>
      <c r="N64" s="160"/>
      <c r="O64" s="160" t="s">
        <v>26</v>
      </c>
      <c r="P64" s="160" t="s">
        <v>26</v>
      </c>
      <c r="Q64" s="160" t="s">
        <v>26</v>
      </c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95">
        <v>77</v>
      </c>
    </row>
    <row r="65" spans="1:40" x14ac:dyDescent="0.25">
      <c r="A65" s="159"/>
      <c r="B65" s="160"/>
      <c r="C65" s="160"/>
      <c r="D65" s="160"/>
      <c r="E65" s="160"/>
      <c r="F65" s="160"/>
      <c r="G65" s="159">
        <v>64</v>
      </c>
      <c r="H65" s="160" t="s">
        <v>657</v>
      </c>
      <c r="I65" s="160" t="s">
        <v>26</v>
      </c>
      <c r="J65" s="160" t="s">
        <v>26</v>
      </c>
      <c r="K65" s="160" t="s">
        <v>26</v>
      </c>
      <c r="L65" s="160" t="s">
        <v>26</v>
      </c>
      <c r="M65" s="160"/>
      <c r="N65" s="160"/>
      <c r="O65" s="160" t="s">
        <v>26</v>
      </c>
      <c r="P65" s="160" t="s">
        <v>26</v>
      </c>
      <c r="Q65" s="160" t="s">
        <v>26</v>
      </c>
      <c r="R65" s="160"/>
      <c r="S65" s="160"/>
      <c r="T65" s="160"/>
      <c r="U65" s="160"/>
      <c r="V65" s="160" t="s">
        <v>25</v>
      </c>
      <c r="W65" s="160" t="s">
        <v>26</v>
      </c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95">
        <v>97</v>
      </c>
    </row>
    <row r="66" spans="1:40" x14ac:dyDescent="0.25">
      <c r="A66" s="159"/>
      <c r="B66" s="160"/>
      <c r="C66" s="160"/>
      <c r="D66" s="160"/>
      <c r="E66" s="160"/>
      <c r="F66" s="160"/>
      <c r="G66" s="159">
        <v>65</v>
      </c>
      <c r="H66" s="160" t="s">
        <v>658</v>
      </c>
      <c r="I66" s="160"/>
      <c r="J66" s="160"/>
      <c r="K66" s="160"/>
      <c r="L66" s="160"/>
      <c r="M66" s="160"/>
      <c r="N66" s="160"/>
      <c r="O66" s="160"/>
      <c r="P66" s="160"/>
      <c r="Q66" s="160" t="s">
        <v>26</v>
      </c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95">
        <v>11</v>
      </c>
    </row>
    <row r="67" spans="1:40" x14ac:dyDescent="0.25">
      <c r="A67" s="159"/>
      <c r="B67" s="160"/>
      <c r="C67" s="160"/>
      <c r="D67" s="160"/>
      <c r="E67" s="160"/>
      <c r="F67" s="160"/>
      <c r="G67" s="159">
        <v>66</v>
      </c>
      <c r="H67" s="160" t="s">
        <v>660</v>
      </c>
      <c r="I67" s="160" t="s">
        <v>26</v>
      </c>
      <c r="J67" s="160" t="s">
        <v>26</v>
      </c>
      <c r="K67" s="160" t="s">
        <v>26</v>
      </c>
      <c r="L67" s="160" t="s">
        <v>85</v>
      </c>
      <c r="M67" s="160"/>
      <c r="N67" s="160"/>
      <c r="O67" s="160"/>
      <c r="P67" s="160" t="s">
        <v>26</v>
      </c>
      <c r="Q67" s="160" t="s">
        <v>26</v>
      </c>
      <c r="R67" s="160"/>
      <c r="S67" s="160"/>
      <c r="T67" s="160"/>
      <c r="U67" s="160"/>
      <c r="V67" s="160" t="s">
        <v>25</v>
      </c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95">
        <v>71</v>
      </c>
    </row>
    <row r="68" spans="1:40" x14ac:dyDescent="0.25">
      <c r="A68" s="159"/>
      <c r="B68" s="160"/>
      <c r="C68" s="160"/>
      <c r="D68" s="160"/>
      <c r="E68" s="160"/>
      <c r="F68" s="160"/>
      <c r="G68" s="159">
        <v>67</v>
      </c>
      <c r="H68" s="160" t="s">
        <v>661</v>
      </c>
      <c r="I68" s="160"/>
      <c r="J68" s="160" t="s">
        <v>26</v>
      </c>
      <c r="K68" s="160" t="s">
        <v>26</v>
      </c>
      <c r="L68" s="160"/>
      <c r="M68" s="160" t="s">
        <v>84</v>
      </c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95">
        <v>28</v>
      </c>
    </row>
    <row r="69" spans="1:40" x14ac:dyDescent="0.25">
      <c r="A69" s="159"/>
      <c r="B69" s="160"/>
      <c r="C69" s="160"/>
      <c r="D69" s="160"/>
      <c r="E69" s="160"/>
      <c r="F69" s="160"/>
      <c r="G69" s="159">
        <v>68</v>
      </c>
      <c r="H69" s="160" t="s">
        <v>662</v>
      </c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59">
        <v>0</v>
      </c>
    </row>
    <row r="70" spans="1:40" x14ac:dyDescent="0.25">
      <c r="A70" s="159"/>
      <c r="B70" s="160"/>
      <c r="C70" s="160"/>
      <c r="D70" s="160"/>
      <c r="E70" s="160"/>
      <c r="F70" s="160"/>
      <c r="G70" s="159">
        <v>69</v>
      </c>
      <c r="H70" s="160" t="s">
        <v>20</v>
      </c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59">
        <v>0</v>
      </c>
    </row>
    <row r="71" spans="1:40" x14ac:dyDescent="0.25">
      <c r="A71" s="159"/>
      <c r="B71" s="160"/>
      <c r="C71" s="160"/>
      <c r="D71" s="160"/>
      <c r="E71" s="160"/>
      <c r="F71" s="160"/>
      <c r="G71" s="159">
        <v>70</v>
      </c>
      <c r="H71" s="160" t="s">
        <v>667</v>
      </c>
      <c r="I71" s="160"/>
      <c r="J71" s="160" t="s">
        <v>26</v>
      </c>
      <c r="K71" s="160" t="s">
        <v>26</v>
      </c>
      <c r="L71" s="160" t="s">
        <v>26</v>
      </c>
      <c r="M71" s="160"/>
      <c r="N71" s="160"/>
      <c r="O71" s="160" t="s">
        <v>26</v>
      </c>
      <c r="P71" s="160"/>
      <c r="Q71" s="160" t="s">
        <v>26</v>
      </c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95">
        <v>55</v>
      </c>
    </row>
    <row r="72" spans="1:40" x14ac:dyDescent="0.25">
      <c r="A72" s="159"/>
      <c r="B72" s="160"/>
      <c r="C72" s="160"/>
      <c r="D72" s="160"/>
      <c r="E72" s="160"/>
      <c r="F72" s="160"/>
      <c r="G72" s="159">
        <v>71</v>
      </c>
      <c r="H72" s="160" t="s">
        <v>668</v>
      </c>
      <c r="I72" s="160"/>
      <c r="J72" s="160"/>
      <c r="K72" s="160"/>
      <c r="L72" s="160"/>
      <c r="M72" s="160"/>
      <c r="N72" s="160"/>
      <c r="O72" s="160"/>
      <c r="P72" s="160"/>
      <c r="Q72" s="160" t="s">
        <v>26</v>
      </c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95">
        <v>11</v>
      </c>
    </row>
    <row r="73" spans="1:40" x14ac:dyDescent="0.25">
      <c r="A73" s="159"/>
      <c r="B73" s="160"/>
      <c r="C73" s="160"/>
      <c r="D73" s="160"/>
      <c r="E73" s="160"/>
      <c r="F73" s="160"/>
      <c r="G73" s="159">
        <v>72</v>
      </c>
      <c r="H73" s="160" t="s">
        <v>669</v>
      </c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59">
        <v>0</v>
      </c>
    </row>
    <row r="74" spans="1:40" x14ac:dyDescent="0.25">
      <c r="A74" s="159"/>
      <c r="B74" s="160"/>
      <c r="C74" s="160"/>
      <c r="D74" s="160"/>
      <c r="E74" s="160"/>
      <c r="F74" s="160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96">
        <v>1991</v>
      </c>
    </row>
    <row r="75" spans="1:40" x14ac:dyDescent="0.25">
      <c r="A75" s="159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80"/>
    </row>
    <row r="76" spans="1:40" x14ac:dyDescent="0.25">
      <c r="A76" s="159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80"/>
    </row>
    <row r="77" spans="1:40" x14ac:dyDescent="0.25">
      <c r="A77" s="159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80"/>
    </row>
    <row r="78" spans="1:40" x14ac:dyDescent="0.25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7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8"/>
  <sheetViews>
    <sheetView topLeftCell="A16" zoomScale="70" zoomScaleNormal="70" workbookViewId="0">
      <selection activeCell="A42" sqref="A42:XFD42"/>
    </sheetView>
  </sheetViews>
  <sheetFormatPr defaultRowHeight="15" x14ac:dyDescent="0.25"/>
  <cols>
    <col min="2" max="2" width="42" customWidth="1"/>
  </cols>
  <sheetData>
    <row r="1" spans="1:34" x14ac:dyDescent="0.25">
      <c r="A1" s="183" t="s">
        <v>1</v>
      </c>
      <c r="B1" s="183" t="s">
        <v>6</v>
      </c>
      <c r="C1" s="183" t="s">
        <v>60</v>
      </c>
      <c r="D1" s="183" t="s">
        <v>61</v>
      </c>
      <c r="E1" s="183" t="s">
        <v>62</v>
      </c>
      <c r="F1" s="183" t="s">
        <v>63</v>
      </c>
      <c r="G1" s="183" t="s">
        <v>83</v>
      </c>
      <c r="H1" s="183" t="s">
        <v>84</v>
      </c>
      <c r="I1" s="183" t="s">
        <v>85</v>
      </c>
      <c r="J1" s="183" t="s">
        <v>24</v>
      </c>
      <c r="K1" s="183" t="s">
        <v>25</v>
      </c>
      <c r="L1" s="183" t="s">
        <v>64</v>
      </c>
      <c r="M1" s="183" t="s">
        <v>26</v>
      </c>
      <c r="N1" s="183" t="s">
        <v>65</v>
      </c>
      <c r="O1" s="183" t="s">
        <v>66</v>
      </c>
      <c r="P1" s="183" t="s">
        <v>67</v>
      </c>
      <c r="Q1" s="183" t="s">
        <v>86</v>
      </c>
      <c r="R1" s="183" t="s">
        <v>46</v>
      </c>
      <c r="S1" s="183" t="s">
        <v>47</v>
      </c>
      <c r="T1" s="183" t="s">
        <v>48</v>
      </c>
      <c r="U1" s="183" t="s">
        <v>49</v>
      </c>
      <c r="V1" s="183" t="s">
        <v>50</v>
      </c>
      <c r="W1" s="183" t="s">
        <v>51</v>
      </c>
      <c r="X1" s="183" t="s">
        <v>52</v>
      </c>
      <c r="Y1" s="183" t="s">
        <v>53</v>
      </c>
      <c r="Z1" s="183" t="s">
        <v>54</v>
      </c>
      <c r="AA1" s="183" t="s">
        <v>55</v>
      </c>
      <c r="AB1" s="183" t="s">
        <v>56</v>
      </c>
      <c r="AC1" s="183" t="s">
        <v>57</v>
      </c>
      <c r="AD1" s="183" t="s">
        <v>58</v>
      </c>
      <c r="AE1" s="183" t="s">
        <v>59</v>
      </c>
      <c r="AF1" s="183" t="s">
        <v>639</v>
      </c>
      <c r="AG1" s="183" t="s">
        <v>666</v>
      </c>
      <c r="AH1" s="183" t="s">
        <v>2</v>
      </c>
    </row>
    <row r="2" spans="1:34" x14ac:dyDescent="0.25">
      <c r="A2" s="164">
        <v>1</v>
      </c>
      <c r="B2" s="165" t="s">
        <v>80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4">
        <v>0</v>
      </c>
    </row>
    <row r="3" spans="1:34" x14ac:dyDescent="0.25">
      <c r="A3" s="164">
        <v>2</v>
      </c>
      <c r="B3" s="165" t="s">
        <v>10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4">
        <v>0</v>
      </c>
    </row>
    <row r="4" spans="1:34" x14ac:dyDescent="0.25">
      <c r="A4" s="164">
        <v>3</v>
      </c>
      <c r="B4" s="165" t="s">
        <v>11</v>
      </c>
      <c r="C4" s="165" t="s">
        <v>54</v>
      </c>
      <c r="D4" s="165" t="s">
        <v>54</v>
      </c>
      <c r="E4" s="165" t="s">
        <v>54</v>
      </c>
      <c r="F4" s="165" t="s">
        <v>54</v>
      </c>
      <c r="G4" s="165" t="s">
        <v>54</v>
      </c>
      <c r="H4" s="165" t="s">
        <v>54</v>
      </c>
      <c r="I4" s="165" t="s">
        <v>54</v>
      </c>
      <c r="J4" s="165" t="s">
        <v>54</v>
      </c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205">
        <v>192</v>
      </c>
    </row>
    <row r="5" spans="1:34" x14ac:dyDescent="0.25">
      <c r="A5" s="164">
        <v>4</v>
      </c>
      <c r="B5" s="165" t="s">
        <v>12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4">
        <v>0</v>
      </c>
    </row>
    <row r="6" spans="1:34" x14ac:dyDescent="0.25">
      <c r="A6" s="164">
        <v>5</v>
      </c>
      <c r="B6" s="165" t="s">
        <v>664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4">
        <v>0</v>
      </c>
    </row>
    <row r="7" spans="1:34" x14ac:dyDescent="0.25">
      <c r="A7" s="164">
        <v>6</v>
      </c>
      <c r="B7" s="165" t="s">
        <v>14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4">
        <v>0</v>
      </c>
    </row>
    <row r="8" spans="1:34" x14ac:dyDescent="0.25">
      <c r="A8" s="164">
        <v>7</v>
      </c>
      <c r="B8" s="165" t="s">
        <v>15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4">
        <v>0</v>
      </c>
    </row>
    <row r="9" spans="1:34" x14ac:dyDescent="0.25">
      <c r="A9" s="164">
        <v>8</v>
      </c>
      <c r="B9" s="165" t="s">
        <v>16</v>
      </c>
      <c r="C9" s="165" t="s">
        <v>54</v>
      </c>
      <c r="D9" s="165" t="s">
        <v>54</v>
      </c>
      <c r="E9" s="165" t="s">
        <v>54</v>
      </c>
      <c r="F9" s="165" t="s">
        <v>54</v>
      </c>
      <c r="G9" s="165" t="s">
        <v>54</v>
      </c>
      <c r="H9" s="165" t="s">
        <v>54</v>
      </c>
      <c r="I9" s="165" t="s">
        <v>54</v>
      </c>
      <c r="J9" s="165" t="s">
        <v>54</v>
      </c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205">
        <v>192</v>
      </c>
    </row>
    <row r="10" spans="1:34" x14ac:dyDescent="0.25">
      <c r="A10" s="164">
        <v>9</v>
      </c>
      <c r="B10" s="165" t="s">
        <v>4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4">
        <v>0</v>
      </c>
    </row>
    <row r="11" spans="1:34" x14ac:dyDescent="0.25">
      <c r="A11" s="164">
        <v>10</v>
      </c>
      <c r="B11" s="165" t="s">
        <v>5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4">
        <v>0</v>
      </c>
    </row>
    <row r="12" spans="1:34" x14ac:dyDescent="0.25">
      <c r="A12" s="164">
        <v>11</v>
      </c>
      <c r="B12" s="165" t="s">
        <v>17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4">
        <v>0</v>
      </c>
    </row>
    <row r="13" spans="1:34" x14ac:dyDescent="0.25">
      <c r="A13" s="164">
        <v>12</v>
      </c>
      <c r="B13" s="165" t="s">
        <v>38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4">
        <v>0</v>
      </c>
    </row>
    <row r="14" spans="1:34" x14ac:dyDescent="0.25">
      <c r="A14" s="164">
        <v>13</v>
      </c>
      <c r="B14" s="165" t="s">
        <v>19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4">
        <v>0</v>
      </c>
    </row>
    <row r="15" spans="1:34" x14ac:dyDescent="0.25">
      <c r="A15" s="164">
        <v>14</v>
      </c>
      <c r="B15" s="165" t="s">
        <v>77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4">
        <v>0</v>
      </c>
    </row>
    <row r="16" spans="1:34" x14ac:dyDescent="0.25">
      <c r="A16" s="164">
        <v>15</v>
      </c>
      <c r="B16" s="165" t="s">
        <v>43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4">
        <v>0</v>
      </c>
    </row>
    <row r="17" spans="1:34" x14ac:dyDescent="0.25">
      <c r="A17" s="164">
        <v>16</v>
      </c>
      <c r="B17" s="165" t="s">
        <v>645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4">
        <v>0</v>
      </c>
    </row>
    <row r="18" spans="1:34" x14ac:dyDescent="0.25">
      <c r="A18" s="164">
        <v>17</v>
      </c>
      <c r="B18" s="165" t="s">
        <v>87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4">
        <v>0</v>
      </c>
    </row>
    <row r="19" spans="1:34" x14ac:dyDescent="0.25">
      <c r="A19" s="164">
        <v>18</v>
      </c>
      <c r="B19" s="165" t="s">
        <v>95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4">
        <v>0</v>
      </c>
    </row>
    <row r="20" spans="1:34" x14ac:dyDescent="0.25">
      <c r="A20" s="164">
        <v>19</v>
      </c>
      <c r="B20" s="165" t="s">
        <v>97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4">
        <v>0</v>
      </c>
    </row>
    <row r="21" spans="1:34" x14ac:dyDescent="0.25">
      <c r="A21" s="164">
        <v>20</v>
      </c>
      <c r="B21" s="165" t="s">
        <v>96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4">
        <v>0</v>
      </c>
    </row>
    <row r="22" spans="1:34" x14ac:dyDescent="0.25">
      <c r="A22" s="164">
        <v>21</v>
      </c>
      <c r="B22" s="165" t="s">
        <v>98</v>
      </c>
      <c r="C22" s="165" t="s">
        <v>54</v>
      </c>
      <c r="D22" s="165" t="s">
        <v>54</v>
      </c>
      <c r="E22" s="165" t="s">
        <v>54</v>
      </c>
      <c r="F22" s="165" t="s">
        <v>54</v>
      </c>
      <c r="G22" s="165" t="s">
        <v>54</v>
      </c>
      <c r="H22" s="165" t="s">
        <v>54</v>
      </c>
      <c r="I22" s="165" t="s">
        <v>54</v>
      </c>
      <c r="J22" s="165" t="s">
        <v>54</v>
      </c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205">
        <v>192</v>
      </c>
    </row>
    <row r="23" spans="1:34" x14ac:dyDescent="0.25">
      <c r="A23" s="164">
        <v>22</v>
      </c>
      <c r="B23" s="165" t="s">
        <v>99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4">
        <v>0</v>
      </c>
    </row>
    <row r="24" spans="1:34" x14ac:dyDescent="0.25">
      <c r="A24" s="164">
        <v>23</v>
      </c>
      <c r="B24" s="165" t="s">
        <v>617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4">
        <v>0</v>
      </c>
    </row>
    <row r="25" spans="1:34" x14ac:dyDescent="0.25">
      <c r="A25" s="164">
        <v>24</v>
      </c>
      <c r="B25" s="165" t="s">
        <v>618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4">
        <v>0</v>
      </c>
    </row>
    <row r="26" spans="1:34" x14ac:dyDescent="0.25">
      <c r="A26" s="164">
        <v>25</v>
      </c>
      <c r="B26" s="165" t="s">
        <v>629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4">
        <v>0</v>
      </c>
    </row>
    <row r="27" spans="1:34" x14ac:dyDescent="0.25">
      <c r="A27" s="164">
        <v>26</v>
      </c>
      <c r="B27" s="165" t="s">
        <v>619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4">
        <v>0</v>
      </c>
    </row>
    <row r="28" spans="1:34" x14ac:dyDescent="0.25">
      <c r="A28" s="164">
        <v>27</v>
      </c>
      <c r="B28" s="165" t="s">
        <v>620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4">
        <v>0</v>
      </c>
    </row>
    <row r="29" spans="1:34" x14ac:dyDescent="0.25">
      <c r="A29" s="164">
        <v>28</v>
      </c>
      <c r="B29" s="165" t="s">
        <v>622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4">
        <v>0</v>
      </c>
    </row>
    <row r="30" spans="1:34" x14ac:dyDescent="0.25">
      <c r="A30" s="164">
        <v>29</v>
      </c>
      <c r="B30" s="165" t="s">
        <v>665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4">
        <v>0</v>
      </c>
    </row>
    <row r="31" spans="1:34" x14ac:dyDescent="0.25">
      <c r="A31" s="164">
        <v>30</v>
      </c>
      <c r="B31" s="165" t="s">
        <v>623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4">
        <v>0</v>
      </c>
    </row>
    <row r="32" spans="1:34" x14ac:dyDescent="0.25">
      <c r="A32" s="164">
        <v>31</v>
      </c>
      <c r="B32" s="165" t="s">
        <v>624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4">
        <v>0</v>
      </c>
    </row>
    <row r="33" spans="1:34" x14ac:dyDescent="0.25">
      <c r="A33" s="164">
        <v>32</v>
      </c>
      <c r="B33" s="165" t="s">
        <v>625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4">
        <v>0</v>
      </c>
    </row>
    <row r="34" spans="1:34" x14ac:dyDescent="0.25">
      <c r="A34" s="164">
        <v>33</v>
      </c>
      <c r="B34" s="165" t="s">
        <v>626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4">
        <v>0</v>
      </c>
    </row>
    <row r="35" spans="1:34" x14ac:dyDescent="0.25">
      <c r="A35" s="164">
        <v>34</v>
      </c>
      <c r="B35" s="165" t="s">
        <v>631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4">
        <v>0</v>
      </c>
    </row>
    <row r="36" spans="1:34" x14ac:dyDescent="0.25">
      <c r="A36" s="164">
        <v>35</v>
      </c>
      <c r="B36" s="165" t="s">
        <v>627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4">
        <v>0</v>
      </c>
    </row>
    <row r="37" spans="1:34" x14ac:dyDescent="0.25">
      <c r="A37" s="164">
        <v>36</v>
      </c>
      <c r="B37" s="165" t="s">
        <v>34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4">
        <v>0</v>
      </c>
    </row>
    <row r="38" spans="1:34" x14ac:dyDescent="0.25">
      <c r="A38" s="164">
        <v>37</v>
      </c>
      <c r="B38" s="165" t="s">
        <v>628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4">
        <v>0</v>
      </c>
    </row>
    <row r="39" spans="1:34" x14ac:dyDescent="0.25">
      <c r="A39" s="164">
        <v>38</v>
      </c>
      <c r="B39" s="165" t="s">
        <v>621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4">
        <v>0</v>
      </c>
    </row>
    <row r="40" spans="1:34" x14ac:dyDescent="0.25">
      <c r="A40" s="164">
        <v>39</v>
      </c>
      <c r="B40" s="165" t="s">
        <v>45</v>
      </c>
      <c r="C40" s="165" t="s">
        <v>54</v>
      </c>
      <c r="D40" s="165" t="s">
        <v>54</v>
      </c>
      <c r="E40" s="165" t="s">
        <v>54</v>
      </c>
      <c r="F40" s="165" t="s">
        <v>54</v>
      </c>
      <c r="G40" s="165" t="s">
        <v>54</v>
      </c>
      <c r="H40" s="165" t="s">
        <v>54</v>
      </c>
      <c r="I40" s="165" t="s">
        <v>54</v>
      </c>
      <c r="J40" s="165" t="s">
        <v>54</v>
      </c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205">
        <v>192</v>
      </c>
    </row>
    <row r="41" spans="1:34" x14ac:dyDescent="0.25">
      <c r="A41" s="164">
        <v>40</v>
      </c>
      <c r="B41" s="165" t="s">
        <v>634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4">
        <v>0</v>
      </c>
    </row>
    <row r="42" spans="1:34" x14ac:dyDescent="0.25">
      <c r="A42" s="164">
        <v>41</v>
      </c>
      <c r="B42" s="165" t="s">
        <v>648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4">
        <v>0</v>
      </c>
    </row>
    <row r="43" spans="1:34" x14ac:dyDescent="0.25">
      <c r="A43" s="164">
        <v>42</v>
      </c>
      <c r="B43" s="165" t="s">
        <v>632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4">
        <v>0</v>
      </c>
    </row>
    <row r="44" spans="1:34" x14ac:dyDescent="0.25">
      <c r="A44" s="164">
        <v>43</v>
      </c>
      <c r="B44" s="165" t="s">
        <v>633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4">
        <v>0</v>
      </c>
    </row>
    <row r="45" spans="1:34" x14ac:dyDescent="0.25">
      <c r="A45" s="164">
        <v>44</v>
      </c>
      <c r="B45" s="165" t="s">
        <v>635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4">
        <v>0</v>
      </c>
    </row>
    <row r="46" spans="1:34" x14ac:dyDescent="0.25">
      <c r="A46" s="164">
        <v>45</v>
      </c>
      <c r="B46" s="165" t="s">
        <v>636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4">
        <v>0</v>
      </c>
    </row>
    <row r="47" spans="1:34" x14ac:dyDescent="0.25">
      <c r="A47" s="164">
        <v>46</v>
      </c>
      <c r="B47" s="165" t="s">
        <v>637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4">
        <v>0</v>
      </c>
    </row>
    <row r="48" spans="1:34" x14ac:dyDescent="0.25">
      <c r="A48" s="164">
        <v>47</v>
      </c>
      <c r="B48" s="165" t="s">
        <v>638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4">
        <v>0</v>
      </c>
    </row>
    <row r="49" spans="1:34" x14ac:dyDescent="0.25">
      <c r="A49" s="164">
        <v>48</v>
      </c>
      <c r="B49" s="165" t="s">
        <v>630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4">
        <v>0</v>
      </c>
    </row>
    <row r="50" spans="1:34" x14ac:dyDescent="0.25">
      <c r="A50" s="164">
        <v>49</v>
      </c>
      <c r="B50" s="165" t="s">
        <v>640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4">
        <v>0</v>
      </c>
    </row>
    <row r="51" spans="1:34" x14ac:dyDescent="0.25">
      <c r="A51" s="164">
        <v>50</v>
      </c>
      <c r="B51" s="165" t="s">
        <v>642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4">
        <v>0</v>
      </c>
    </row>
    <row r="52" spans="1:34" x14ac:dyDescent="0.25">
      <c r="A52" s="164">
        <v>51</v>
      </c>
      <c r="B52" s="165" t="s">
        <v>643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4">
        <v>0</v>
      </c>
    </row>
    <row r="53" spans="1:34" x14ac:dyDescent="0.25">
      <c r="A53" s="164">
        <v>52</v>
      </c>
      <c r="B53" s="165" t="s">
        <v>646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4">
        <v>0</v>
      </c>
    </row>
    <row r="54" spans="1:34" x14ac:dyDescent="0.25">
      <c r="A54" s="164">
        <v>53</v>
      </c>
      <c r="B54" s="165" t="s">
        <v>644</v>
      </c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4">
        <v>0</v>
      </c>
    </row>
    <row r="55" spans="1:34" x14ac:dyDescent="0.25">
      <c r="A55" s="164">
        <v>54</v>
      </c>
      <c r="B55" s="165" t="s">
        <v>641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4">
        <v>0</v>
      </c>
    </row>
    <row r="56" spans="1:34" x14ac:dyDescent="0.25">
      <c r="A56" s="164">
        <v>55</v>
      </c>
      <c r="B56" s="165" t="s">
        <v>647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4">
        <v>0</v>
      </c>
    </row>
    <row r="57" spans="1:34" x14ac:dyDescent="0.25">
      <c r="A57" s="164">
        <v>56</v>
      </c>
      <c r="B57" s="165" t="s">
        <v>663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4">
        <v>0</v>
      </c>
    </row>
    <row r="58" spans="1:34" x14ac:dyDescent="0.25">
      <c r="A58" s="164">
        <v>57</v>
      </c>
      <c r="B58" s="165" t="s">
        <v>649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4">
        <v>0</v>
      </c>
    </row>
    <row r="59" spans="1:34" x14ac:dyDescent="0.25">
      <c r="A59" s="164">
        <v>58</v>
      </c>
      <c r="B59" s="165" t="s">
        <v>650</v>
      </c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4">
        <v>0</v>
      </c>
    </row>
    <row r="60" spans="1:34" x14ac:dyDescent="0.25">
      <c r="A60" s="164">
        <v>59</v>
      </c>
      <c r="B60" s="165" t="s">
        <v>651</v>
      </c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4">
        <v>0</v>
      </c>
    </row>
    <row r="61" spans="1:34" x14ac:dyDescent="0.25">
      <c r="A61" s="164">
        <v>60</v>
      </c>
      <c r="B61" s="165" t="s">
        <v>653</v>
      </c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4">
        <v>0</v>
      </c>
    </row>
    <row r="62" spans="1:34" x14ac:dyDescent="0.25">
      <c r="A62" s="164">
        <v>61</v>
      </c>
      <c r="B62" s="165" t="s">
        <v>654</v>
      </c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4">
        <v>0</v>
      </c>
    </row>
    <row r="63" spans="1:34" x14ac:dyDescent="0.25">
      <c r="A63" s="164">
        <v>62</v>
      </c>
      <c r="B63" s="165" t="s">
        <v>655</v>
      </c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4">
        <v>0</v>
      </c>
    </row>
    <row r="64" spans="1:34" x14ac:dyDescent="0.25">
      <c r="A64" s="164">
        <v>63</v>
      </c>
      <c r="B64" s="165" t="s">
        <v>656</v>
      </c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4">
        <v>0</v>
      </c>
    </row>
    <row r="65" spans="1:34" x14ac:dyDescent="0.25">
      <c r="A65" s="164">
        <v>64</v>
      </c>
      <c r="B65" s="165" t="s">
        <v>657</v>
      </c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4">
        <v>0</v>
      </c>
    </row>
    <row r="66" spans="1:34" x14ac:dyDescent="0.25">
      <c r="A66" s="164">
        <v>65</v>
      </c>
      <c r="B66" s="165" t="s">
        <v>658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4">
        <v>0</v>
      </c>
    </row>
    <row r="67" spans="1:34" x14ac:dyDescent="0.25">
      <c r="A67" s="164">
        <v>66</v>
      </c>
      <c r="B67" s="165" t="s">
        <v>660</v>
      </c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4">
        <v>0</v>
      </c>
    </row>
    <row r="68" spans="1:34" x14ac:dyDescent="0.25">
      <c r="A68" s="164">
        <v>67</v>
      </c>
      <c r="B68" s="165" t="s">
        <v>661</v>
      </c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4">
        <v>0</v>
      </c>
    </row>
    <row r="69" spans="1:34" x14ac:dyDescent="0.25">
      <c r="A69" s="164">
        <v>68</v>
      </c>
      <c r="B69" s="165" t="s">
        <v>662</v>
      </c>
      <c r="C69" s="165"/>
      <c r="D69" s="165"/>
      <c r="E69" s="165"/>
      <c r="F69" s="165" t="s">
        <v>26</v>
      </c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205">
        <v>11</v>
      </c>
    </row>
    <row r="70" spans="1:34" x14ac:dyDescent="0.25">
      <c r="A70" s="164">
        <v>69</v>
      </c>
      <c r="B70" s="165" t="s">
        <v>20</v>
      </c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4">
        <v>0</v>
      </c>
    </row>
    <row r="71" spans="1:34" x14ac:dyDescent="0.25">
      <c r="A71" s="164">
        <v>70</v>
      </c>
      <c r="B71" s="165" t="s">
        <v>667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4">
        <v>0</v>
      </c>
    </row>
    <row r="72" spans="1:34" x14ac:dyDescent="0.25">
      <c r="A72" s="164">
        <v>71</v>
      </c>
      <c r="B72" s="165" t="s">
        <v>668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4">
        <v>0</v>
      </c>
    </row>
    <row r="73" spans="1:34" x14ac:dyDescent="0.25">
      <c r="A73" s="164">
        <v>72</v>
      </c>
      <c r="B73" s="165" t="s">
        <v>669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4">
        <v>0</v>
      </c>
    </row>
    <row r="74" spans="1:34" x14ac:dyDescent="0.25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206">
        <v>779</v>
      </c>
    </row>
    <row r="75" spans="1:34" x14ac:dyDescent="0.25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80"/>
    </row>
    <row r="76" spans="1:34" x14ac:dyDescent="0.25">
      <c r="A76" s="164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80"/>
    </row>
    <row r="77" spans="1:34" x14ac:dyDescent="0.25">
      <c r="A77" s="164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80"/>
      <c r="AH77" s="170"/>
    </row>
    <row r="78" spans="1:34" x14ac:dyDescent="0.25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8"/>
  <sheetViews>
    <sheetView topLeftCell="C1" zoomScale="55" zoomScaleNormal="55" workbookViewId="0">
      <selection activeCell="C42" sqref="A42:XFD42"/>
    </sheetView>
  </sheetViews>
  <sheetFormatPr defaultRowHeight="15" x14ac:dyDescent="0.25"/>
  <cols>
    <col min="2" max="2" width="29.85546875" bestFit="1" customWidth="1"/>
  </cols>
  <sheetData>
    <row r="1" spans="1:36" x14ac:dyDescent="0.25">
      <c r="A1" s="182"/>
      <c r="B1" s="182"/>
      <c r="C1" s="182" t="s">
        <v>1</v>
      </c>
      <c r="D1" s="182" t="s">
        <v>6</v>
      </c>
      <c r="E1" s="182" t="s">
        <v>60</v>
      </c>
      <c r="F1" s="182" t="s">
        <v>61</v>
      </c>
      <c r="G1" s="182" t="s">
        <v>62</v>
      </c>
      <c r="H1" s="182" t="s">
        <v>63</v>
      </c>
      <c r="I1" s="182" t="s">
        <v>83</v>
      </c>
      <c r="J1" s="182" t="s">
        <v>84</v>
      </c>
      <c r="K1" s="182" t="s">
        <v>85</v>
      </c>
      <c r="L1" s="182" t="s">
        <v>24</v>
      </c>
      <c r="M1" s="182" t="s">
        <v>25</v>
      </c>
      <c r="N1" s="182" t="s">
        <v>64</v>
      </c>
      <c r="O1" s="182" t="s">
        <v>26</v>
      </c>
      <c r="P1" s="182" t="s">
        <v>65</v>
      </c>
      <c r="Q1" s="182" t="s">
        <v>66</v>
      </c>
      <c r="R1" s="182" t="s">
        <v>67</v>
      </c>
      <c r="S1" s="182" t="s">
        <v>86</v>
      </c>
      <c r="T1" s="182" t="s">
        <v>46</v>
      </c>
      <c r="U1" s="182" t="s">
        <v>47</v>
      </c>
      <c r="V1" s="182" t="s">
        <v>48</v>
      </c>
      <c r="W1" s="182" t="s">
        <v>49</v>
      </c>
      <c r="X1" s="182" t="s">
        <v>50</v>
      </c>
      <c r="Y1" s="182" t="s">
        <v>51</v>
      </c>
      <c r="Z1" s="182" t="s">
        <v>52</v>
      </c>
      <c r="AA1" s="182" t="s">
        <v>53</v>
      </c>
      <c r="AB1" s="182" t="s">
        <v>54</v>
      </c>
      <c r="AC1" s="182" t="s">
        <v>55</v>
      </c>
      <c r="AD1" s="182" t="s">
        <v>56</v>
      </c>
      <c r="AE1" s="182" t="s">
        <v>57</v>
      </c>
      <c r="AF1" s="182" t="s">
        <v>58</v>
      </c>
      <c r="AG1" s="182" t="s">
        <v>59</v>
      </c>
      <c r="AH1" s="182" t="s">
        <v>639</v>
      </c>
      <c r="AI1" s="182" t="s">
        <v>666</v>
      </c>
      <c r="AJ1" s="182" t="s">
        <v>2</v>
      </c>
    </row>
    <row r="2" spans="1:36" x14ac:dyDescent="0.25">
      <c r="A2" s="166"/>
      <c r="B2" s="167"/>
      <c r="C2" s="166">
        <v>1</v>
      </c>
      <c r="D2" s="167" t="s">
        <v>80</v>
      </c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6">
        <v>0</v>
      </c>
    </row>
    <row r="3" spans="1:36" x14ac:dyDescent="0.25">
      <c r="A3" s="166"/>
      <c r="B3" s="167"/>
      <c r="C3" s="166">
        <v>2</v>
      </c>
      <c r="D3" s="167" t="s">
        <v>10</v>
      </c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6">
        <v>0</v>
      </c>
    </row>
    <row r="4" spans="1:36" x14ac:dyDescent="0.25">
      <c r="A4" s="166"/>
      <c r="B4" s="167"/>
      <c r="C4" s="166">
        <v>3</v>
      </c>
      <c r="D4" s="167" t="s">
        <v>11</v>
      </c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6">
        <v>0</v>
      </c>
    </row>
    <row r="5" spans="1:36" x14ac:dyDescent="0.25">
      <c r="A5" s="166"/>
      <c r="B5" s="167"/>
      <c r="C5" s="166">
        <v>4</v>
      </c>
      <c r="D5" s="167" t="s">
        <v>12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6">
        <v>0</v>
      </c>
    </row>
    <row r="6" spans="1:36" x14ac:dyDescent="0.25">
      <c r="A6" s="166"/>
      <c r="B6" s="167"/>
      <c r="C6" s="166">
        <v>5</v>
      </c>
      <c r="D6" s="167" t="s">
        <v>664</v>
      </c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6">
        <v>0</v>
      </c>
    </row>
    <row r="7" spans="1:36" x14ac:dyDescent="0.25">
      <c r="A7" s="166"/>
      <c r="B7" s="167"/>
      <c r="C7" s="166">
        <v>6</v>
      </c>
      <c r="D7" s="167" t="s">
        <v>14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6">
        <v>0</v>
      </c>
    </row>
    <row r="8" spans="1:36" x14ac:dyDescent="0.25">
      <c r="A8" s="166"/>
      <c r="B8" s="167"/>
      <c r="C8" s="166">
        <v>7</v>
      </c>
      <c r="D8" s="167" t="s">
        <v>15</v>
      </c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6">
        <v>0</v>
      </c>
    </row>
    <row r="9" spans="1:36" x14ac:dyDescent="0.25">
      <c r="A9" s="166"/>
      <c r="B9" s="167"/>
      <c r="C9" s="166">
        <v>8</v>
      </c>
      <c r="D9" s="167" t="s">
        <v>16</v>
      </c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6">
        <v>0</v>
      </c>
    </row>
    <row r="10" spans="1:36" x14ac:dyDescent="0.25">
      <c r="A10" s="166"/>
      <c r="B10" s="167"/>
      <c r="C10" s="166">
        <v>9</v>
      </c>
      <c r="D10" s="167" t="s">
        <v>4</v>
      </c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6">
        <v>0</v>
      </c>
    </row>
    <row r="11" spans="1:36" x14ac:dyDescent="0.25">
      <c r="A11" s="166"/>
      <c r="B11" s="167"/>
      <c r="C11" s="166">
        <v>10</v>
      </c>
      <c r="D11" s="167" t="s">
        <v>5</v>
      </c>
      <c r="E11" s="167"/>
      <c r="F11" s="167"/>
      <c r="G11" s="167" t="s">
        <v>26</v>
      </c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209">
        <v>11</v>
      </c>
    </row>
    <row r="12" spans="1:36" x14ac:dyDescent="0.25">
      <c r="A12" s="166"/>
      <c r="B12" s="167"/>
      <c r="C12" s="166">
        <v>11</v>
      </c>
      <c r="D12" s="167" t="s">
        <v>17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6">
        <v>0</v>
      </c>
    </row>
    <row r="13" spans="1:36" x14ac:dyDescent="0.25">
      <c r="A13" s="166"/>
      <c r="B13" s="167"/>
      <c r="C13" s="166">
        <v>12</v>
      </c>
      <c r="D13" s="167" t="s">
        <v>38</v>
      </c>
      <c r="E13" s="167"/>
      <c r="F13" s="167" t="s">
        <v>26</v>
      </c>
      <c r="G13" s="167" t="s">
        <v>26</v>
      </c>
      <c r="H13" s="167" t="s">
        <v>26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209">
        <v>33</v>
      </c>
    </row>
    <row r="14" spans="1:36" x14ac:dyDescent="0.25">
      <c r="A14" s="166"/>
      <c r="B14" s="167"/>
      <c r="C14" s="166">
        <v>13</v>
      </c>
      <c r="D14" s="167" t="s">
        <v>19</v>
      </c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6">
        <v>0</v>
      </c>
    </row>
    <row r="15" spans="1:36" x14ac:dyDescent="0.25">
      <c r="A15" s="166"/>
      <c r="B15" s="167"/>
      <c r="C15" s="166">
        <v>14</v>
      </c>
      <c r="D15" s="167" t="s">
        <v>77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6">
        <v>0</v>
      </c>
    </row>
    <row r="16" spans="1:36" x14ac:dyDescent="0.25">
      <c r="A16" s="166"/>
      <c r="B16" s="167"/>
      <c r="C16" s="166">
        <v>15</v>
      </c>
      <c r="D16" s="167" t="s">
        <v>43</v>
      </c>
      <c r="E16" s="167" t="s">
        <v>26</v>
      </c>
      <c r="F16" s="167" t="s">
        <v>26</v>
      </c>
      <c r="G16" s="167" t="s">
        <v>26</v>
      </c>
      <c r="H16" s="167" t="s">
        <v>26</v>
      </c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209">
        <v>44</v>
      </c>
    </row>
    <row r="17" spans="1:36" x14ac:dyDescent="0.25">
      <c r="A17" s="166"/>
      <c r="B17" s="167"/>
      <c r="C17" s="166">
        <v>16</v>
      </c>
      <c r="D17" s="167" t="s">
        <v>645</v>
      </c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6">
        <v>0</v>
      </c>
    </row>
    <row r="18" spans="1:36" x14ac:dyDescent="0.25">
      <c r="A18" s="166"/>
      <c r="B18" s="167"/>
      <c r="C18" s="166">
        <v>17</v>
      </c>
      <c r="D18" s="167" t="s">
        <v>87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6">
        <v>0</v>
      </c>
    </row>
    <row r="19" spans="1:36" x14ac:dyDescent="0.25">
      <c r="A19" s="166"/>
      <c r="B19" s="167"/>
      <c r="C19" s="166">
        <v>18</v>
      </c>
      <c r="D19" s="167" t="s">
        <v>95</v>
      </c>
      <c r="E19" s="167"/>
      <c r="F19" s="167" t="s">
        <v>26</v>
      </c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209">
        <v>11</v>
      </c>
    </row>
    <row r="20" spans="1:36" x14ac:dyDescent="0.25">
      <c r="A20" s="166"/>
      <c r="B20" s="167"/>
      <c r="C20" s="166">
        <v>19</v>
      </c>
      <c r="D20" s="167" t="s">
        <v>97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6">
        <v>0</v>
      </c>
    </row>
    <row r="21" spans="1:36" x14ac:dyDescent="0.25">
      <c r="A21" s="166"/>
      <c r="B21" s="167"/>
      <c r="C21" s="166">
        <v>20</v>
      </c>
      <c r="D21" s="167" t="s">
        <v>96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6">
        <v>0</v>
      </c>
    </row>
    <row r="22" spans="1:36" x14ac:dyDescent="0.25">
      <c r="A22" s="166"/>
      <c r="B22" s="167"/>
      <c r="C22" s="166">
        <v>21</v>
      </c>
      <c r="D22" s="167" t="s">
        <v>98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6">
        <v>0</v>
      </c>
    </row>
    <row r="23" spans="1:36" x14ac:dyDescent="0.25">
      <c r="A23" s="166"/>
      <c r="B23" s="167"/>
      <c r="C23" s="166">
        <v>22</v>
      </c>
      <c r="D23" s="167" t="s">
        <v>99</v>
      </c>
      <c r="E23" s="167"/>
      <c r="F23" s="167" t="s">
        <v>26</v>
      </c>
      <c r="G23" s="167" t="s">
        <v>26</v>
      </c>
      <c r="H23" s="167" t="s">
        <v>26</v>
      </c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209">
        <v>33</v>
      </c>
    </row>
    <row r="24" spans="1:36" x14ac:dyDescent="0.25">
      <c r="A24" s="166"/>
      <c r="B24" s="167"/>
      <c r="C24" s="166">
        <v>23</v>
      </c>
      <c r="D24" s="167" t="s">
        <v>617</v>
      </c>
      <c r="E24" s="167"/>
      <c r="F24" s="167" t="s">
        <v>26</v>
      </c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209">
        <v>11</v>
      </c>
    </row>
    <row r="25" spans="1:36" x14ac:dyDescent="0.25">
      <c r="A25" s="166"/>
      <c r="B25" s="167"/>
      <c r="C25" s="166">
        <v>24</v>
      </c>
      <c r="D25" s="167" t="s">
        <v>618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6">
        <v>0</v>
      </c>
    </row>
    <row r="26" spans="1:36" x14ac:dyDescent="0.25">
      <c r="A26" s="166"/>
      <c r="B26" s="167"/>
      <c r="C26" s="166">
        <v>25</v>
      </c>
      <c r="D26" s="167" t="s">
        <v>629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6">
        <v>0</v>
      </c>
    </row>
    <row r="27" spans="1:36" x14ac:dyDescent="0.25">
      <c r="A27" s="166"/>
      <c r="B27" s="167"/>
      <c r="C27" s="166">
        <v>26</v>
      </c>
      <c r="D27" s="167" t="s">
        <v>619</v>
      </c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6">
        <v>0</v>
      </c>
    </row>
    <row r="28" spans="1:36" x14ac:dyDescent="0.25">
      <c r="A28" s="166"/>
      <c r="B28" s="167"/>
      <c r="C28" s="166">
        <v>27</v>
      </c>
      <c r="D28" s="167" t="s">
        <v>620</v>
      </c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6">
        <v>0</v>
      </c>
    </row>
    <row r="29" spans="1:36" x14ac:dyDescent="0.25">
      <c r="A29" s="166"/>
      <c r="B29" s="167"/>
      <c r="C29" s="166">
        <v>28</v>
      </c>
      <c r="D29" s="167" t="s">
        <v>622</v>
      </c>
      <c r="E29" s="167" t="s">
        <v>26</v>
      </c>
      <c r="F29" s="167" t="s">
        <v>26</v>
      </c>
      <c r="G29" s="167"/>
      <c r="H29" s="167" t="s">
        <v>26</v>
      </c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209">
        <v>33</v>
      </c>
    </row>
    <row r="30" spans="1:36" x14ac:dyDescent="0.25">
      <c r="A30" s="166"/>
      <c r="B30" s="167"/>
      <c r="C30" s="166">
        <v>29</v>
      </c>
      <c r="D30" s="167" t="s">
        <v>665</v>
      </c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6">
        <v>0</v>
      </c>
    </row>
    <row r="31" spans="1:36" x14ac:dyDescent="0.25">
      <c r="A31" s="166"/>
      <c r="B31" s="167"/>
      <c r="C31" s="166">
        <v>30</v>
      </c>
      <c r="D31" s="167" t="s">
        <v>623</v>
      </c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6">
        <v>0</v>
      </c>
    </row>
    <row r="32" spans="1:36" x14ac:dyDescent="0.25">
      <c r="A32" s="166"/>
      <c r="B32" s="167"/>
      <c r="C32" s="166">
        <v>31</v>
      </c>
      <c r="D32" s="167" t="s">
        <v>624</v>
      </c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6">
        <v>0</v>
      </c>
    </row>
    <row r="33" spans="1:36" x14ac:dyDescent="0.25">
      <c r="A33" s="166"/>
      <c r="B33" s="167"/>
      <c r="C33" s="166">
        <v>32</v>
      </c>
      <c r="D33" s="167" t="s">
        <v>625</v>
      </c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6">
        <v>0</v>
      </c>
    </row>
    <row r="34" spans="1:36" x14ac:dyDescent="0.25">
      <c r="A34" s="166"/>
      <c r="B34" s="167"/>
      <c r="C34" s="166">
        <v>33</v>
      </c>
      <c r="D34" s="167" t="s">
        <v>626</v>
      </c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6">
        <v>0</v>
      </c>
    </row>
    <row r="35" spans="1:36" x14ac:dyDescent="0.25">
      <c r="A35" s="166"/>
      <c r="B35" s="167"/>
      <c r="C35" s="166">
        <v>34</v>
      </c>
      <c r="D35" s="167" t="s">
        <v>631</v>
      </c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6">
        <v>0</v>
      </c>
    </row>
    <row r="36" spans="1:36" x14ac:dyDescent="0.25">
      <c r="A36" s="166"/>
      <c r="B36" s="167"/>
      <c r="C36" s="166">
        <v>35</v>
      </c>
      <c r="D36" s="167" t="s">
        <v>627</v>
      </c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6">
        <v>0</v>
      </c>
    </row>
    <row r="37" spans="1:36" x14ac:dyDescent="0.25">
      <c r="A37" s="166"/>
      <c r="B37" s="167"/>
      <c r="C37" s="166">
        <v>36</v>
      </c>
      <c r="D37" s="167" t="s">
        <v>34</v>
      </c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6">
        <v>0</v>
      </c>
    </row>
    <row r="38" spans="1:36" x14ac:dyDescent="0.25">
      <c r="A38" s="166"/>
      <c r="B38" s="167"/>
      <c r="C38" s="166">
        <v>37</v>
      </c>
      <c r="D38" s="167" t="s">
        <v>628</v>
      </c>
      <c r="E38" s="167" t="s">
        <v>26</v>
      </c>
      <c r="F38" s="167" t="s">
        <v>26</v>
      </c>
      <c r="G38" s="167" t="s">
        <v>26</v>
      </c>
      <c r="H38" s="167" t="s">
        <v>26</v>
      </c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209">
        <v>44</v>
      </c>
    </row>
    <row r="39" spans="1:36" x14ac:dyDescent="0.25">
      <c r="A39" s="166"/>
      <c r="B39" s="167"/>
      <c r="C39" s="166">
        <v>38</v>
      </c>
      <c r="D39" s="167" t="s">
        <v>621</v>
      </c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6">
        <v>0</v>
      </c>
    </row>
    <row r="40" spans="1:36" x14ac:dyDescent="0.25">
      <c r="A40" s="166"/>
      <c r="B40" s="167"/>
      <c r="C40" s="166">
        <v>39</v>
      </c>
      <c r="D40" s="167" t="s">
        <v>45</v>
      </c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6">
        <v>0</v>
      </c>
    </row>
    <row r="41" spans="1:36" x14ac:dyDescent="0.25">
      <c r="A41" s="166"/>
      <c r="B41" s="167"/>
      <c r="C41" s="166">
        <v>40</v>
      </c>
      <c r="D41" s="167" t="s">
        <v>634</v>
      </c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6">
        <v>0</v>
      </c>
    </row>
    <row r="42" spans="1:36" x14ac:dyDescent="0.25">
      <c r="A42" s="166"/>
      <c r="B42" s="167"/>
      <c r="C42" s="166">
        <v>41</v>
      </c>
      <c r="D42" s="167" t="s">
        <v>648</v>
      </c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6">
        <v>0</v>
      </c>
    </row>
    <row r="43" spans="1:36" x14ac:dyDescent="0.25">
      <c r="A43" s="166"/>
      <c r="B43" s="167"/>
      <c r="C43" s="166">
        <v>42</v>
      </c>
      <c r="D43" s="167" t="s">
        <v>632</v>
      </c>
      <c r="E43" s="167"/>
      <c r="F43" s="167" t="s">
        <v>26</v>
      </c>
      <c r="G43" s="167" t="s">
        <v>26</v>
      </c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209">
        <v>22</v>
      </c>
    </row>
    <row r="44" spans="1:36" x14ac:dyDescent="0.25">
      <c r="A44" s="166"/>
      <c r="B44" s="167"/>
      <c r="C44" s="166">
        <v>43</v>
      </c>
      <c r="D44" s="167" t="s">
        <v>633</v>
      </c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6">
        <v>0</v>
      </c>
    </row>
    <row r="45" spans="1:36" x14ac:dyDescent="0.25">
      <c r="A45" s="166"/>
      <c r="B45" s="167"/>
      <c r="C45" s="166">
        <v>44</v>
      </c>
      <c r="D45" s="167" t="s">
        <v>635</v>
      </c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6">
        <v>0</v>
      </c>
    </row>
    <row r="46" spans="1:36" x14ac:dyDescent="0.25">
      <c r="A46" s="166"/>
      <c r="B46" s="167"/>
      <c r="C46" s="166">
        <v>45</v>
      </c>
      <c r="D46" s="167" t="s">
        <v>636</v>
      </c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6">
        <v>0</v>
      </c>
    </row>
    <row r="47" spans="1:36" x14ac:dyDescent="0.25">
      <c r="A47" s="166"/>
      <c r="B47" s="167"/>
      <c r="C47" s="166">
        <v>46</v>
      </c>
      <c r="D47" s="167" t="s">
        <v>637</v>
      </c>
      <c r="E47" s="167" t="s">
        <v>26</v>
      </c>
      <c r="F47" s="167" t="s">
        <v>26</v>
      </c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209">
        <v>22</v>
      </c>
    </row>
    <row r="48" spans="1:36" x14ac:dyDescent="0.25">
      <c r="A48" s="166"/>
      <c r="B48" s="167"/>
      <c r="C48" s="166">
        <v>47</v>
      </c>
      <c r="D48" s="167" t="s">
        <v>638</v>
      </c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6">
        <v>0</v>
      </c>
    </row>
    <row r="49" spans="1:36" x14ac:dyDescent="0.25">
      <c r="A49" s="166"/>
      <c r="B49" s="167"/>
      <c r="C49" s="166">
        <v>48</v>
      </c>
      <c r="D49" s="167" t="s">
        <v>630</v>
      </c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6">
        <v>0</v>
      </c>
    </row>
    <row r="50" spans="1:36" x14ac:dyDescent="0.25">
      <c r="A50" s="166"/>
      <c r="B50" s="167"/>
      <c r="C50" s="166">
        <v>49</v>
      </c>
      <c r="D50" s="167" t="s">
        <v>640</v>
      </c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6">
        <v>0</v>
      </c>
    </row>
    <row r="51" spans="1:36" x14ac:dyDescent="0.25">
      <c r="A51" s="166"/>
      <c r="B51" s="167"/>
      <c r="C51" s="166">
        <v>50</v>
      </c>
      <c r="D51" s="167" t="s">
        <v>642</v>
      </c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6">
        <v>0</v>
      </c>
    </row>
    <row r="52" spans="1:36" x14ac:dyDescent="0.25">
      <c r="A52" s="166"/>
      <c r="B52" s="167"/>
      <c r="C52" s="166">
        <v>51</v>
      </c>
      <c r="D52" s="167" t="s">
        <v>643</v>
      </c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6">
        <v>0</v>
      </c>
    </row>
    <row r="53" spans="1:36" x14ac:dyDescent="0.25">
      <c r="A53" s="166"/>
      <c r="B53" s="167"/>
      <c r="C53" s="166">
        <v>52</v>
      </c>
      <c r="D53" s="167" t="s">
        <v>646</v>
      </c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6">
        <v>0</v>
      </c>
    </row>
    <row r="54" spans="1:36" x14ac:dyDescent="0.25">
      <c r="A54" s="166"/>
      <c r="B54" s="167"/>
      <c r="C54" s="166">
        <v>53</v>
      </c>
      <c r="D54" s="167" t="s">
        <v>644</v>
      </c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6">
        <v>0</v>
      </c>
    </row>
    <row r="55" spans="1:36" x14ac:dyDescent="0.25">
      <c r="A55" s="166"/>
      <c r="B55" s="167"/>
      <c r="C55" s="166">
        <v>54</v>
      </c>
      <c r="D55" s="167" t="s">
        <v>641</v>
      </c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6">
        <v>0</v>
      </c>
    </row>
    <row r="56" spans="1:36" x14ac:dyDescent="0.25">
      <c r="A56" s="166"/>
      <c r="B56" s="167"/>
      <c r="C56" s="166">
        <v>55</v>
      </c>
      <c r="D56" s="167" t="s">
        <v>647</v>
      </c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6">
        <v>0</v>
      </c>
    </row>
    <row r="57" spans="1:36" x14ac:dyDescent="0.25">
      <c r="A57" s="166"/>
      <c r="B57" s="167"/>
      <c r="C57" s="166">
        <v>56</v>
      </c>
      <c r="D57" s="167" t="s">
        <v>663</v>
      </c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6">
        <v>0</v>
      </c>
    </row>
    <row r="58" spans="1:36" x14ac:dyDescent="0.25">
      <c r="A58" s="166"/>
      <c r="B58" s="167"/>
      <c r="C58" s="166">
        <v>57</v>
      </c>
      <c r="D58" s="167" t="s">
        <v>649</v>
      </c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6">
        <v>0</v>
      </c>
    </row>
    <row r="59" spans="1:36" x14ac:dyDescent="0.25">
      <c r="A59" s="166"/>
      <c r="B59" s="167"/>
      <c r="C59" s="166">
        <v>58</v>
      </c>
      <c r="D59" s="167" t="s">
        <v>650</v>
      </c>
      <c r="E59" s="167" t="s">
        <v>26</v>
      </c>
      <c r="F59" s="167" t="s">
        <v>26</v>
      </c>
      <c r="G59" s="167" t="s">
        <v>26</v>
      </c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209">
        <v>33</v>
      </c>
    </row>
    <row r="60" spans="1:36" x14ac:dyDescent="0.25">
      <c r="A60" s="166"/>
      <c r="B60" s="167"/>
      <c r="C60" s="166">
        <v>59</v>
      </c>
      <c r="D60" s="167" t="s">
        <v>651</v>
      </c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6">
        <v>0</v>
      </c>
    </row>
    <row r="61" spans="1:36" x14ac:dyDescent="0.25">
      <c r="A61" s="166"/>
      <c r="B61" s="167"/>
      <c r="C61" s="166">
        <v>60</v>
      </c>
      <c r="D61" s="167" t="s">
        <v>653</v>
      </c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6">
        <v>0</v>
      </c>
    </row>
    <row r="62" spans="1:36" x14ac:dyDescent="0.25">
      <c r="A62" s="166"/>
      <c r="B62" s="167"/>
      <c r="C62" s="166">
        <v>61</v>
      </c>
      <c r="D62" s="167" t="s">
        <v>654</v>
      </c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6">
        <v>0</v>
      </c>
    </row>
    <row r="63" spans="1:36" x14ac:dyDescent="0.25">
      <c r="A63" s="166"/>
      <c r="B63" s="167"/>
      <c r="C63" s="166">
        <v>62</v>
      </c>
      <c r="D63" s="167" t="s">
        <v>655</v>
      </c>
      <c r="E63" s="167" t="s">
        <v>26</v>
      </c>
      <c r="F63" s="167" t="s">
        <v>26</v>
      </c>
      <c r="G63" s="167" t="s">
        <v>26</v>
      </c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209">
        <v>33</v>
      </c>
    </row>
    <row r="64" spans="1:36" x14ac:dyDescent="0.25">
      <c r="A64" s="166"/>
      <c r="B64" s="167"/>
      <c r="C64" s="166">
        <v>63</v>
      </c>
      <c r="D64" s="167" t="s">
        <v>656</v>
      </c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6">
        <v>0</v>
      </c>
    </row>
    <row r="65" spans="1:36" x14ac:dyDescent="0.25">
      <c r="A65" s="166"/>
      <c r="B65" s="167"/>
      <c r="C65" s="166">
        <v>64</v>
      </c>
      <c r="D65" s="167" t="s">
        <v>657</v>
      </c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6">
        <v>0</v>
      </c>
    </row>
    <row r="66" spans="1:36" x14ac:dyDescent="0.25">
      <c r="A66" s="166"/>
      <c r="B66" s="167"/>
      <c r="C66" s="166">
        <v>65</v>
      </c>
      <c r="D66" s="167" t="s">
        <v>658</v>
      </c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6">
        <v>0</v>
      </c>
    </row>
    <row r="67" spans="1:36" x14ac:dyDescent="0.25">
      <c r="A67" s="166"/>
      <c r="B67" s="167"/>
      <c r="C67" s="166">
        <v>66</v>
      </c>
      <c r="D67" s="167" t="s">
        <v>660</v>
      </c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6">
        <v>0</v>
      </c>
    </row>
    <row r="68" spans="1:36" x14ac:dyDescent="0.25">
      <c r="A68" s="166"/>
      <c r="B68" s="167"/>
      <c r="C68" s="166">
        <v>67</v>
      </c>
      <c r="D68" s="167" t="s">
        <v>661</v>
      </c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6">
        <v>0</v>
      </c>
    </row>
    <row r="69" spans="1:36" x14ac:dyDescent="0.25">
      <c r="A69" s="166"/>
      <c r="B69" s="167"/>
      <c r="C69" s="166">
        <v>68</v>
      </c>
      <c r="D69" s="167" t="s">
        <v>662</v>
      </c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6">
        <v>0</v>
      </c>
    </row>
    <row r="70" spans="1:36" x14ac:dyDescent="0.25">
      <c r="A70" s="166"/>
      <c r="B70" s="167"/>
      <c r="C70" s="166">
        <v>69</v>
      </c>
      <c r="D70" s="167" t="s">
        <v>20</v>
      </c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6">
        <v>0</v>
      </c>
    </row>
    <row r="71" spans="1:36" x14ac:dyDescent="0.25">
      <c r="A71" s="166"/>
      <c r="B71" s="167"/>
      <c r="C71" s="166">
        <v>70</v>
      </c>
      <c r="D71" s="167" t="s">
        <v>667</v>
      </c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6">
        <v>0</v>
      </c>
    </row>
    <row r="72" spans="1:36" x14ac:dyDescent="0.25">
      <c r="A72" s="166"/>
      <c r="B72" s="167"/>
      <c r="C72" s="166">
        <v>71</v>
      </c>
      <c r="D72" s="167" t="s">
        <v>668</v>
      </c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6">
        <v>0</v>
      </c>
    </row>
    <row r="73" spans="1:36" x14ac:dyDescent="0.25">
      <c r="A73" s="166"/>
      <c r="B73" s="167"/>
      <c r="C73" s="166">
        <v>72</v>
      </c>
      <c r="D73" s="167" t="s">
        <v>669</v>
      </c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6">
        <v>0</v>
      </c>
    </row>
    <row r="74" spans="1:36" x14ac:dyDescent="0.25">
      <c r="A74" s="166"/>
      <c r="B74" s="167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210">
        <v>330</v>
      </c>
    </row>
    <row r="75" spans="1:36" x14ac:dyDescent="0.25">
      <c r="A75" s="166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80"/>
      <c r="AH75" s="170"/>
    </row>
    <row r="76" spans="1:36" x14ac:dyDescent="0.25">
      <c r="A76" s="166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80"/>
    </row>
    <row r="77" spans="1:36" x14ac:dyDescent="0.25">
      <c r="A77" s="166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80"/>
    </row>
    <row r="78" spans="1:36" x14ac:dyDescent="0.25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7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78"/>
  <sheetViews>
    <sheetView topLeftCell="I19" zoomScale="70" zoomScaleNormal="70" workbookViewId="0">
      <selection activeCell="G42" sqref="A42:XFD42"/>
    </sheetView>
  </sheetViews>
  <sheetFormatPr defaultRowHeight="15" x14ac:dyDescent="0.25"/>
  <cols>
    <col min="2" max="2" width="29.85546875" bestFit="1" customWidth="1"/>
  </cols>
  <sheetData>
    <row r="1" spans="1:41" x14ac:dyDescent="0.25">
      <c r="A1" s="187"/>
      <c r="B1" s="187"/>
      <c r="C1" s="187"/>
      <c r="D1" s="187"/>
      <c r="E1" s="187"/>
      <c r="F1" s="187"/>
      <c r="G1" s="187"/>
      <c r="H1" s="187" t="s">
        <v>1</v>
      </c>
      <c r="I1" s="187" t="s">
        <v>6</v>
      </c>
      <c r="J1" s="187" t="s">
        <v>60</v>
      </c>
      <c r="K1" s="187" t="s">
        <v>61</v>
      </c>
      <c r="L1" s="187" t="s">
        <v>62</v>
      </c>
      <c r="M1" s="187" t="s">
        <v>63</v>
      </c>
      <c r="N1" s="187" t="s">
        <v>83</v>
      </c>
      <c r="O1" s="187" t="s">
        <v>84</v>
      </c>
      <c r="P1" s="187" t="s">
        <v>85</v>
      </c>
      <c r="Q1" s="187" t="s">
        <v>24</v>
      </c>
      <c r="R1" s="187" t="s">
        <v>25</v>
      </c>
      <c r="S1" s="187" t="s">
        <v>64</v>
      </c>
      <c r="T1" s="187" t="s">
        <v>26</v>
      </c>
      <c r="U1" s="187" t="s">
        <v>65</v>
      </c>
      <c r="V1" s="187" t="s">
        <v>66</v>
      </c>
      <c r="W1" s="187" t="s">
        <v>67</v>
      </c>
      <c r="X1" s="187" t="s">
        <v>86</v>
      </c>
      <c r="Y1" s="187" t="s">
        <v>46</v>
      </c>
      <c r="Z1" s="187" t="s">
        <v>47</v>
      </c>
      <c r="AA1" s="187" t="s">
        <v>48</v>
      </c>
      <c r="AB1" s="187" t="s">
        <v>49</v>
      </c>
      <c r="AC1" s="187" t="s">
        <v>50</v>
      </c>
      <c r="AD1" s="187" t="s">
        <v>51</v>
      </c>
      <c r="AE1" s="187" t="s">
        <v>52</v>
      </c>
      <c r="AF1" s="187" t="s">
        <v>53</v>
      </c>
      <c r="AG1" s="187" t="s">
        <v>54</v>
      </c>
      <c r="AH1" s="187" t="s">
        <v>55</v>
      </c>
      <c r="AI1" s="187" t="s">
        <v>56</v>
      </c>
      <c r="AJ1" s="187" t="s">
        <v>57</v>
      </c>
      <c r="AK1" s="187" t="s">
        <v>58</v>
      </c>
      <c r="AL1" s="187" t="s">
        <v>59</v>
      </c>
      <c r="AM1" s="187" t="s">
        <v>639</v>
      </c>
      <c r="AN1" s="187" t="s">
        <v>666</v>
      </c>
      <c r="AO1" s="187" t="s">
        <v>2</v>
      </c>
    </row>
    <row r="2" spans="1:41" x14ac:dyDescent="0.25">
      <c r="A2" s="161"/>
      <c r="B2" s="162"/>
      <c r="C2" s="162"/>
      <c r="D2" s="162"/>
      <c r="E2" s="162"/>
      <c r="F2" s="162"/>
      <c r="G2" s="162"/>
      <c r="H2" s="161">
        <v>1</v>
      </c>
      <c r="I2" s="162" t="s">
        <v>80</v>
      </c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1">
        <v>0</v>
      </c>
    </row>
    <row r="3" spans="1:41" x14ac:dyDescent="0.25">
      <c r="A3" s="161"/>
      <c r="B3" s="162"/>
      <c r="C3" s="162"/>
      <c r="D3" s="162"/>
      <c r="E3" s="162"/>
      <c r="F3" s="162"/>
      <c r="G3" s="162"/>
      <c r="H3" s="161">
        <v>2</v>
      </c>
      <c r="I3" s="162" t="s">
        <v>10</v>
      </c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1">
        <v>0</v>
      </c>
    </row>
    <row r="4" spans="1:41" x14ac:dyDescent="0.25">
      <c r="A4" s="161"/>
      <c r="B4" s="162"/>
      <c r="C4" s="162"/>
      <c r="D4" s="162"/>
      <c r="E4" s="162"/>
      <c r="F4" s="162"/>
      <c r="G4" s="162"/>
      <c r="H4" s="161">
        <v>3</v>
      </c>
      <c r="I4" s="162" t="s">
        <v>11</v>
      </c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1">
        <v>0</v>
      </c>
    </row>
    <row r="5" spans="1:41" x14ac:dyDescent="0.25">
      <c r="A5" s="161"/>
      <c r="B5" s="162"/>
      <c r="C5" s="162"/>
      <c r="D5" s="162"/>
      <c r="E5" s="162"/>
      <c r="F5" s="162"/>
      <c r="G5" s="162"/>
      <c r="H5" s="161">
        <v>4</v>
      </c>
      <c r="I5" s="162" t="s">
        <v>12</v>
      </c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1">
        <v>0</v>
      </c>
    </row>
    <row r="6" spans="1:41" x14ac:dyDescent="0.25">
      <c r="A6" s="161"/>
      <c r="B6" s="162"/>
      <c r="C6" s="162"/>
      <c r="D6" s="162"/>
      <c r="E6" s="162"/>
      <c r="F6" s="162"/>
      <c r="G6" s="162"/>
      <c r="H6" s="161">
        <v>5</v>
      </c>
      <c r="I6" s="162" t="s">
        <v>664</v>
      </c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1">
        <v>0</v>
      </c>
    </row>
    <row r="7" spans="1:41" x14ac:dyDescent="0.25">
      <c r="A7" s="161"/>
      <c r="B7" s="162"/>
      <c r="C7" s="162"/>
      <c r="D7" s="162"/>
      <c r="E7" s="162"/>
      <c r="F7" s="162"/>
      <c r="G7" s="162"/>
      <c r="H7" s="161">
        <v>6</v>
      </c>
      <c r="I7" s="162" t="s">
        <v>14</v>
      </c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1">
        <v>0</v>
      </c>
    </row>
    <row r="8" spans="1:41" x14ac:dyDescent="0.25">
      <c r="A8" s="161"/>
      <c r="B8" s="162"/>
      <c r="C8" s="162"/>
      <c r="D8" s="162"/>
      <c r="E8" s="162"/>
      <c r="F8" s="162"/>
      <c r="G8" s="162"/>
      <c r="H8" s="161">
        <v>7</v>
      </c>
      <c r="I8" s="162" t="s">
        <v>15</v>
      </c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1">
        <v>0</v>
      </c>
    </row>
    <row r="9" spans="1:41" x14ac:dyDescent="0.25">
      <c r="A9" s="161"/>
      <c r="B9" s="162"/>
      <c r="C9" s="162"/>
      <c r="D9" s="162"/>
      <c r="E9" s="162"/>
      <c r="F9" s="162"/>
      <c r="G9" s="162"/>
      <c r="H9" s="161">
        <v>8</v>
      </c>
      <c r="I9" s="162" t="s">
        <v>16</v>
      </c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1">
        <v>0</v>
      </c>
    </row>
    <row r="10" spans="1:41" x14ac:dyDescent="0.25">
      <c r="A10" s="161"/>
      <c r="B10" s="162"/>
      <c r="C10" s="162"/>
      <c r="D10" s="162"/>
      <c r="E10" s="162"/>
      <c r="F10" s="162"/>
      <c r="G10" s="162"/>
      <c r="H10" s="161">
        <v>9</v>
      </c>
      <c r="I10" s="162" t="s">
        <v>4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1">
        <v>0</v>
      </c>
    </row>
    <row r="11" spans="1:41" x14ac:dyDescent="0.25">
      <c r="A11" s="161"/>
      <c r="B11" s="162"/>
      <c r="C11" s="162"/>
      <c r="D11" s="162"/>
      <c r="E11" s="162"/>
      <c r="F11" s="162"/>
      <c r="G11" s="162"/>
      <c r="H11" s="161">
        <v>10</v>
      </c>
      <c r="I11" s="162" t="s">
        <v>5</v>
      </c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1">
        <v>0</v>
      </c>
    </row>
    <row r="12" spans="1:41" x14ac:dyDescent="0.25">
      <c r="A12" s="161"/>
      <c r="B12" s="162"/>
      <c r="C12" s="162"/>
      <c r="D12" s="162"/>
      <c r="E12" s="162"/>
      <c r="F12" s="162"/>
      <c r="G12" s="162"/>
      <c r="H12" s="161">
        <v>11</v>
      </c>
      <c r="I12" s="162" t="s">
        <v>17</v>
      </c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1">
        <v>0</v>
      </c>
    </row>
    <row r="13" spans="1:41" x14ac:dyDescent="0.25">
      <c r="A13" s="161"/>
      <c r="B13" s="162"/>
      <c r="C13" s="162"/>
      <c r="D13" s="162"/>
      <c r="E13" s="162"/>
      <c r="F13" s="162"/>
      <c r="G13" s="162"/>
      <c r="H13" s="161">
        <v>12</v>
      </c>
      <c r="I13" s="162" t="s">
        <v>38</v>
      </c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1">
        <v>0</v>
      </c>
    </row>
    <row r="14" spans="1:41" x14ac:dyDescent="0.25">
      <c r="A14" s="161"/>
      <c r="B14" s="162"/>
      <c r="C14" s="162"/>
      <c r="D14" s="162"/>
      <c r="E14" s="162"/>
      <c r="F14" s="162"/>
      <c r="G14" s="162"/>
      <c r="H14" s="161">
        <v>13</v>
      </c>
      <c r="I14" s="162" t="s">
        <v>19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1">
        <v>0</v>
      </c>
    </row>
    <row r="15" spans="1:41" x14ac:dyDescent="0.25">
      <c r="A15" s="161"/>
      <c r="B15" s="162"/>
      <c r="C15" s="162"/>
      <c r="D15" s="162"/>
      <c r="E15" s="162"/>
      <c r="F15" s="162"/>
      <c r="G15" s="162"/>
      <c r="H15" s="161">
        <v>14</v>
      </c>
      <c r="I15" s="162" t="s">
        <v>77</v>
      </c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1">
        <v>0</v>
      </c>
    </row>
    <row r="16" spans="1:41" x14ac:dyDescent="0.25">
      <c r="A16" s="161"/>
      <c r="B16" s="162"/>
      <c r="C16" s="162"/>
      <c r="D16" s="162"/>
      <c r="E16" s="162"/>
      <c r="F16" s="162"/>
      <c r="G16" s="162"/>
      <c r="H16" s="161">
        <v>15</v>
      </c>
      <c r="I16" s="162" t="s">
        <v>43</v>
      </c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1">
        <v>0</v>
      </c>
    </row>
    <row r="17" spans="1:41" x14ac:dyDescent="0.25">
      <c r="A17" s="161"/>
      <c r="B17" s="162"/>
      <c r="C17" s="162"/>
      <c r="D17" s="162"/>
      <c r="E17" s="162"/>
      <c r="F17" s="162"/>
      <c r="G17" s="162"/>
      <c r="H17" s="161">
        <v>16</v>
      </c>
      <c r="I17" s="162" t="s">
        <v>645</v>
      </c>
      <c r="J17" s="162" t="s">
        <v>54</v>
      </c>
      <c r="K17" s="162" t="s">
        <v>54</v>
      </c>
      <c r="L17" s="162" t="s">
        <v>54</v>
      </c>
      <c r="M17" s="162" t="s">
        <v>54</v>
      </c>
      <c r="N17" s="162" t="s">
        <v>54</v>
      </c>
      <c r="O17" s="162" t="s">
        <v>54</v>
      </c>
      <c r="P17" s="162" t="s">
        <v>54</v>
      </c>
      <c r="Q17" s="162" t="s">
        <v>54</v>
      </c>
      <c r="R17" s="162" t="s">
        <v>54</v>
      </c>
      <c r="S17" s="162" t="s">
        <v>54</v>
      </c>
      <c r="T17" s="162" t="s">
        <v>54</v>
      </c>
      <c r="U17" s="162" t="s">
        <v>54</v>
      </c>
      <c r="V17" s="162" t="s">
        <v>54</v>
      </c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97">
        <v>312</v>
      </c>
    </row>
    <row r="18" spans="1:41" x14ac:dyDescent="0.25">
      <c r="A18" s="161"/>
      <c r="B18" s="162"/>
      <c r="C18" s="162"/>
      <c r="D18" s="162"/>
      <c r="E18" s="162"/>
      <c r="F18" s="162"/>
      <c r="G18" s="162"/>
      <c r="H18" s="161">
        <v>17</v>
      </c>
      <c r="I18" s="162" t="s">
        <v>87</v>
      </c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1">
        <v>0</v>
      </c>
    </row>
    <row r="19" spans="1:41" x14ac:dyDescent="0.25">
      <c r="A19" s="161"/>
      <c r="B19" s="162"/>
      <c r="C19" s="162"/>
      <c r="D19" s="162"/>
      <c r="E19" s="162"/>
      <c r="F19" s="162"/>
      <c r="G19" s="162"/>
      <c r="H19" s="161">
        <v>18</v>
      </c>
      <c r="I19" s="162" t="s">
        <v>95</v>
      </c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1">
        <v>0</v>
      </c>
    </row>
    <row r="20" spans="1:41" x14ac:dyDescent="0.25">
      <c r="A20" s="161"/>
      <c r="B20" s="162"/>
      <c r="C20" s="162"/>
      <c r="D20" s="162"/>
      <c r="E20" s="162"/>
      <c r="F20" s="162"/>
      <c r="G20" s="162"/>
      <c r="H20" s="161">
        <v>19</v>
      </c>
      <c r="I20" s="162" t="s">
        <v>97</v>
      </c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1">
        <v>0</v>
      </c>
    </row>
    <row r="21" spans="1:41" x14ac:dyDescent="0.25">
      <c r="A21" s="161"/>
      <c r="B21" s="162"/>
      <c r="C21" s="162"/>
      <c r="D21" s="162"/>
      <c r="E21" s="162"/>
      <c r="F21" s="162"/>
      <c r="G21" s="162"/>
      <c r="H21" s="161">
        <v>20</v>
      </c>
      <c r="I21" s="162" t="s">
        <v>96</v>
      </c>
      <c r="J21" s="162" t="s">
        <v>54</v>
      </c>
      <c r="K21" s="162" t="s">
        <v>54</v>
      </c>
      <c r="L21" s="162" t="s">
        <v>54</v>
      </c>
      <c r="M21" s="162" t="s">
        <v>54</v>
      </c>
      <c r="N21" s="162" t="s">
        <v>54</v>
      </c>
      <c r="O21" s="162" t="s">
        <v>54</v>
      </c>
      <c r="P21" s="162" t="s">
        <v>54</v>
      </c>
      <c r="Q21" s="162"/>
      <c r="R21" s="162"/>
      <c r="S21" s="162"/>
      <c r="T21" s="162" t="s">
        <v>54</v>
      </c>
      <c r="U21" s="162" t="s">
        <v>54</v>
      </c>
      <c r="V21" s="162" t="s">
        <v>54</v>
      </c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97">
        <v>240</v>
      </c>
    </row>
    <row r="22" spans="1:41" x14ac:dyDescent="0.25">
      <c r="A22" s="161"/>
      <c r="B22" s="162"/>
      <c r="C22" s="162"/>
      <c r="D22" s="162"/>
      <c r="E22" s="162"/>
      <c r="F22" s="162"/>
      <c r="G22" s="162"/>
      <c r="H22" s="161">
        <v>21</v>
      </c>
      <c r="I22" s="162" t="s">
        <v>98</v>
      </c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1">
        <v>0</v>
      </c>
    </row>
    <row r="23" spans="1:41" x14ac:dyDescent="0.25">
      <c r="A23" s="161"/>
      <c r="B23" s="162"/>
      <c r="C23" s="162"/>
      <c r="D23" s="162"/>
      <c r="E23" s="162"/>
      <c r="F23" s="162"/>
      <c r="G23" s="162"/>
      <c r="H23" s="161">
        <v>22</v>
      </c>
      <c r="I23" s="162" t="s">
        <v>99</v>
      </c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1">
        <v>0</v>
      </c>
    </row>
    <row r="24" spans="1:41" x14ac:dyDescent="0.25">
      <c r="A24" s="161"/>
      <c r="B24" s="162"/>
      <c r="C24" s="162"/>
      <c r="D24" s="162"/>
      <c r="E24" s="162"/>
      <c r="F24" s="162"/>
      <c r="G24" s="162"/>
      <c r="H24" s="161">
        <v>23</v>
      </c>
      <c r="I24" s="162" t="s">
        <v>617</v>
      </c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1">
        <v>0</v>
      </c>
    </row>
    <row r="25" spans="1:41" x14ac:dyDescent="0.25">
      <c r="A25" s="161"/>
      <c r="B25" s="162"/>
      <c r="C25" s="162"/>
      <c r="D25" s="162"/>
      <c r="E25" s="162"/>
      <c r="F25" s="162"/>
      <c r="G25" s="162"/>
      <c r="H25" s="161">
        <v>24</v>
      </c>
      <c r="I25" s="162" t="s">
        <v>618</v>
      </c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1">
        <v>0</v>
      </c>
    </row>
    <row r="26" spans="1:41" x14ac:dyDescent="0.25">
      <c r="A26" s="161"/>
      <c r="B26" s="162"/>
      <c r="C26" s="162"/>
      <c r="D26" s="162"/>
      <c r="E26" s="162"/>
      <c r="F26" s="162"/>
      <c r="G26" s="162"/>
      <c r="H26" s="161">
        <v>25</v>
      </c>
      <c r="I26" s="162" t="s">
        <v>629</v>
      </c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1">
        <v>0</v>
      </c>
    </row>
    <row r="27" spans="1:41" x14ac:dyDescent="0.25">
      <c r="A27" s="161"/>
      <c r="B27" s="162"/>
      <c r="C27" s="162"/>
      <c r="D27" s="162"/>
      <c r="E27" s="162"/>
      <c r="F27" s="162"/>
      <c r="G27" s="162"/>
      <c r="H27" s="161">
        <v>26</v>
      </c>
      <c r="I27" s="162" t="s">
        <v>619</v>
      </c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1">
        <v>0</v>
      </c>
    </row>
    <row r="28" spans="1:41" x14ac:dyDescent="0.25">
      <c r="A28" s="161"/>
      <c r="B28" s="162"/>
      <c r="C28" s="162"/>
      <c r="D28" s="162"/>
      <c r="E28" s="162"/>
      <c r="F28" s="162"/>
      <c r="G28" s="162"/>
      <c r="H28" s="161">
        <v>27</v>
      </c>
      <c r="I28" s="162" t="s">
        <v>620</v>
      </c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1">
        <v>0</v>
      </c>
    </row>
    <row r="29" spans="1:41" x14ac:dyDescent="0.25">
      <c r="A29" s="161"/>
      <c r="B29" s="162"/>
      <c r="C29" s="162"/>
      <c r="D29" s="162"/>
      <c r="E29" s="162"/>
      <c r="F29" s="162"/>
      <c r="G29" s="162"/>
      <c r="H29" s="161">
        <v>28</v>
      </c>
      <c r="I29" s="162" t="s">
        <v>622</v>
      </c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1">
        <v>0</v>
      </c>
    </row>
    <row r="30" spans="1:41" x14ac:dyDescent="0.25">
      <c r="A30" s="161"/>
      <c r="B30" s="162"/>
      <c r="C30" s="162"/>
      <c r="D30" s="162"/>
      <c r="E30" s="162"/>
      <c r="F30" s="162"/>
      <c r="G30" s="162"/>
      <c r="H30" s="161">
        <v>29</v>
      </c>
      <c r="I30" s="162" t="s">
        <v>665</v>
      </c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1">
        <v>0</v>
      </c>
    </row>
    <row r="31" spans="1:41" x14ac:dyDescent="0.25">
      <c r="A31" s="161"/>
      <c r="B31" s="162"/>
      <c r="C31" s="162"/>
      <c r="D31" s="162"/>
      <c r="E31" s="162"/>
      <c r="F31" s="162"/>
      <c r="G31" s="162"/>
      <c r="H31" s="161">
        <v>30</v>
      </c>
      <c r="I31" s="162" t="s">
        <v>623</v>
      </c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1">
        <v>0</v>
      </c>
    </row>
    <row r="32" spans="1:41" x14ac:dyDescent="0.25">
      <c r="A32" s="161"/>
      <c r="B32" s="162"/>
      <c r="C32" s="162"/>
      <c r="D32" s="162"/>
      <c r="E32" s="162"/>
      <c r="F32" s="162"/>
      <c r="G32" s="162"/>
      <c r="H32" s="161">
        <v>31</v>
      </c>
      <c r="I32" s="162" t="s">
        <v>624</v>
      </c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1">
        <v>0</v>
      </c>
    </row>
    <row r="33" spans="1:41" x14ac:dyDescent="0.25">
      <c r="A33" s="161"/>
      <c r="B33" s="162"/>
      <c r="C33" s="162"/>
      <c r="D33" s="162"/>
      <c r="E33" s="162"/>
      <c r="F33" s="162"/>
      <c r="G33" s="162"/>
      <c r="H33" s="161">
        <v>32</v>
      </c>
      <c r="I33" s="162" t="s">
        <v>625</v>
      </c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1">
        <v>0</v>
      </c>
    </row>
    <row r="34" spans="1:41" x14ac:dyDescent="0.25">
      <c r="A34" s="161"/>
      <c r="B34" s="162"/>
      <c r="C34" s="162"/>
      <c r="D34" s="162"/>
      <c r="E34" s="162"/>
      <c r="F34" s="162"/>
      <c r="G34" s="162"/>
      <c r="H34" s="161">
        <v>33</v>
      </c>
      <c r="I34" s="162" t="s">
        <v>626</v>
      </c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1">
        <v>0</v>
      </c>
    </row>
    <row r="35" spans="1:41" x14ac:dyDescent="0.25">
      <c r="A35" s="161"/>
      <c r="B35" s="162"/>
      <c r="C35" s="162"/>
      <c r="D35" s="162"/>
      <c r="E35" s="162"/>
      <c r="F35" s="162"/>
      <c r="G35" s="162"/>
      <c r="H35" s="161">
        <v>34</v>
      </c>
      <c r="I35" s="162" t="s">
        <v>631</v>
      </c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1">
        <v>0</v>
      </c>
    </row>
    <row r="36" spans="1:41" x14ac:dyDescent="0.25">
      <c r="A36" s="161"/>
      <c r="B36" s="162"/>
      <c r="C36" s="162"/>
      <c r="D36" s="162"/>
      <c r="E36" s="162"/>
      <c r="F36" s="162"/>
      <c r="G36" s="162"/>
      <c r="H36" s="161">
        <v>35</v>
      </c>
      <c r="I36" s="162" t="s">
        <v>627</v>
      </c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1">
        <v>0</v>
      </c>
    </row>
    <row r="37" spans="1:41" x14ac:dyDescent="0.25">
      <c r="A37" s="161"/>
      <c r="B37" s="162"/>
      <c r="C37" s="162"/>
      <c r="D37" s="162"/>
      <c r="E37" s="162"/>
      <c r="F37" s="162"/>
      <c r="G37" s="162"/>
      <c r="H37" s="161">
        <v>36</v>
      </c>
      <c r="I37" s="162" t="s">
        <v>34</v>
      </c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1">
        <v>0</v>
      </c>
    </row>
    <row r="38" spans="1:41" x14ac:dyDescent="0.25">
      <c r="A38" s="161"/>
      <c r="B38" s="162"/>
      <c r="C38" s="162"/>
      <c r="D38" s="162"/>
      <c r="E38" s="162"/>
      <c r="F38" s="162"/>
      <c r="G38" s="162"/>
      <c r="H38" s="161">
        <v>37</v>
      </c>
      <c r="I38" s="162" t="s">
        <v>628</v>
      </c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1">
        <v>0</v>
      </c>
    </row>
    <row r="39" spans="1:41" x14ac:dyDescent="0.25">
      <c r="A39" s="161"/>
      <c r="B39" s="162"/>
      <c r="C39" s="162"/>
      <c r="D39" s="162"/>
      <c r="E39" s="162"/>
      <c r="F39" s="162"/>
      <c r="G39" s="162"/>
      <c r="H39" s="161">
        <v>38</v>
      </c>
      <c r="I39" s="162" t="s">
        <v>621</v>
      </c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1">
        <v>0</v>
      </c>
    </row>
    <row r="40" spans="1:41" x14ac:dyDescent="0.25">
      <c r="A40" s="161"/>
      <c r="B40" s="162"/>
      <c r="C40" s="162"/>
      <c r="D40" s="162"/>
      <c r="E40" s="162"/>
      <c r="F40" s="162"/>
      <c r="G40" s="162"/>
      <c r="H40" s="161">
        <v>39</v>
      </c>
      <c r="I40" s="162" t="s">
        <v>45</v>
      </c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1">
        <v>0</v>
      </c>
    </row>
    <row r="41" spans="1:41" x14ac:dyDescent="0.25">
      <c r="A41" s="161"/>
      <c r="B41" s="162"/>
      <c r="C41" s="162"/>
      <c r="D41" s="162"/>
      <c r="E41" s="162"/>
      <c r="F41" s="162"/>
      <c r="G41" s="162"/>
      <c r="H41" s="161">
        <v>40</v>
      </c>
      <c r="I41" s="162" t="s">
        <v>634</v>
      </c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1">
        <v>0</v>
      </c>
    </row>
    <row r="42" spans="1:41" x14ac:dyDescent="0.25">
      <c r="A42" s="161"/>
      <c r="B42" s="162"/>
      <c r="C42" s="162"/>
      <c r="D42" s="162"/>
      <c r="E42" s="162"/>
      <c r="F42" s="162"/>
      <c r="G42" s="162"/>
      <c r="H42" s="161">
        <v>41</v>
      </c>
      <c r="I42" s="162" t="s">
        <v>648</v>
      </c>
      <c r="J42" s="162" t="s">
        <v>54</v>
      </c>
      <c r="K42" s="162" t="s">
        <v>54</v>
      </c>
      <c r="L42" s="162" t="s">
        <v>54</v>
      </c>
      <c r="M42" s="162" t="s">
        <v>54</v>
      </c>
      <c r="N42" s="162" t="s">
        <v>54</v>
      </c>
      <c r="O42" s="162" t="s">
        <v>54</v>
      </c>
      <c r="P42" s="162" t="s">
        <v>54</v>
      </c>
      <c r="Q42" s="162"/>
      <c r="R42" s="162"/>
      <c r="S42" s="162"/>
      <c r="T42" s="162" t="s">
        <v>54</v>
      </c>
      <c r="U42" s="162" t="s">
        <v>54</v>
      </c>
      <c r="V42" s="162" t="s">
        <v>54</v>
      </c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97">
        <v>240</v>
      </c>
    </row>
    <row r="43" spans="1:41" x14ac:dyDescent="0.25">
      <c r="A43" s="161"/>
      <c r="B43" s="162"/>
      <c r="C43" s="162"/>
      <c r="D43" s="162"/>
      <c r="E43" s="162"/>
      <c r="F43" s="162"/>
      <c r="G43" s="162"/>
      <c r="H43" s="161">
        <v>42</v>
      </c>
      <c r="I43" s="162" t="s">
        <v>632</v>
      </c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1">
        <v>0</v>
      </c>
    </row>
    <row r="44" spans="1:41" x14ac:dyDescent="0.25">
      <c r="A44" s="161"/>
      <c r="B44" s="162"/>
      <c r="C44" s="162"/>
      <c r="D44" s="162"/>
      <c r="E44" s="162"/>
      <c r="F44" s="162"/>
      <c r="G44" s="162"/>
      <c r="H44" s="161">
        <v>43</v>
      </c>
      <c r="I44" s="162" t="s">
        <v>633</v>
      </c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1">
        <v>0</v>
      </c>
    </row>
    <row r="45" spans="1:41" x14ac:dyDescent="0.25">
      <c r="A45" s="161"/>
      <c r="B45" s="162"/>
      <c r="C45" s="162"/>
      <c r="D45" s="162"/>
      <c r="E45" s="162"/>
      <c r="F45" s="162"/>
      <c r="G45" s="162"/>
      <c r="H45" s="161">
        <v>44</v>
      </c>
      <c r="I45" s="162" t="s">
        <v>635</v>
      </c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1">
        <v>0</v>
      </c>
    </row>
    <row r="46" spans="1:41" x14ac:dyDescent="0.25">
      <c r="A46" s="161"/>
      <c r="B46" s="162"/>
      <c r="C46" s="162"/>
      <c r="D46" s="162"/>
      <c r="E46" s="162"/>
      <c r="F46" s="162"/>
      <c r="G46" s="162"/>
      <c r="H46" s="161">
        <v>45</v>
      </c>
      <c r="I46" s="162" t="s">
        <v>636</v>
      </c>
      <c r="J46" s="162"/>
      <c r="K46" s="162"/>
      <c r="L46" s="162"/>
      <c r="M46" s="162"/>
      <c r="N46" s="162" t="s">
        <v>85</v>
      </c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97">
        <v>7</v>
      </c>
    </row>
    <row r="47" spans="1:41" x14ac:dyDescent="0.25">
      <c r="A47" s="161"/>
      <c r="B47" s="162"/>
      <c r="C47" s="162"/>
      <c r="D47" s="162"/>
      <c r="E47" s="162"/>
      <c r="F47" s="162"/>
      <c r="G47" s="162"/>
      <c r="H47" s="161">
        <v>46</v>
      </c>
      <c r="I47" s="162" t="s">
        <v>637</v>
      </c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1">
        <v>0</v>
      </c>
    </row>
    <row r="48" spans="1:41" x14ac:dyDescent="0.25">
      <c r="A48" s="161"/>
      <c r="B48" s="162"/>
      <c r="C48" s="162"/>
      <c r="D48" s="162"/>
      <c r="E48" s="162"/>
      <c r="F48" s="162"/>
      <c r="G48" s="162"/>
      <c r="H48" s="161">
        <v>47</v>
      </c>
      <c r="I48" s="162" t="s">
        <v>638</v>
      </c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1">
        <v>0</v>
      </c>
    </row>
    <row r="49" spans="1:41" x14ac:dyDescent="0.25">
      <c r="A49" s="161"/>
      <c r="B49" s="162"/>
      <c r="C49" s="162"/>
      <c r="D49" s="162"/>
      <c r="E49" s="162"/>
      <c r="F49" s="162"/>
      <c r="G49" s="162"/>
      <c r="H49" s="161">
        <v>48</v>
      </c>
      <c r="I49" s="162" t="s">
        <v>630</v>
      </c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1">
        <v>0</v>
      </c>
    </row>
    <row r="50" spans="1:41" x14ac:dyDescent="0.25">
      <c r="A50" s="161"/>
      <c r="B50" s="162"/>
      <c r="C50" s="162"/>
      <c r="D50" s="162"/>
      <c r="E50" s="162"/>
      <c r="F50" s="162"/>
      <c r="G50" s="162"/>
      <c r="H50" s="161">
        <v>49</v>
      </c>
      <c r="I50" s="162" t="s">
        <v>640</v>
      </c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1">
        <v>0</v>
      </c>
    </row>
    <row r="51" spans="1:41" x14ac:dyDescent="0.25">
      <c r="A51" s="161"/>
      <c r="B51" s="162"/>
      <c r="C51" s="162"/>
      <c r="D51" s="162"/>
      <c r="E51" s="162"/>
      <c r="F51" s="162"/>
      <c r="G51" s="162"/>
      <c r="H51" s="161">
        <v>50</v>
      </c>
      <c r="I51" s="162" t="s">
        <v>642</v>
      </c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1">
        <v>0</v>
      </c>
    </row>
    <row r="52" spans="1:41" x14ac:dyDescent="0.25">
      <c r="A52" s="161"/>
      <c r="B52" s="162"/>
      <c r="C52" s="162"/>
      <c r="D52" s="162"/>
      <c r="E52" s="162"/>
      <c r="F52" s="162"/>
      <c r="G52" s="162"/>
      <c r="H52" s="161">
        <v>51</v>
      </c>
      <c r="I52" s="162" t="s">
        <v>643</v>
      </c>
      <c r="J52" s="162"/>
      <c r="K52" s="162"/>
      <c r="L52" s="162"/>
      <c r="M52" s="162" t="s">
        <v>26</v>
      </c>
      <c r="N52" s="162" t="s">
        <v>84</v>
      </c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97">
        <v>17</v>
      </c>
    </row>
    <row r="53" spans="1:41" x14ac:dyDescent="0.25">
      <c r="A53" s="161"/>
      <c r="B53" s="162"/>
      <c r="C53" s="162"/>
      <c r="D53" s="162"/>
      <c r="E53" s="162"/>
      <c r="F53" s="162"/>
      <c r="G53" s="162"/>
      <c r="H53" s="161">
        <v>52</v>
      </c>
      <c r="I53" s="162" t="s">
        <v>646</v>
      </c>
      <c r="J53" s="162" t="s">
        <v>54</v>
      </c>
      <c r="K53" s="162"/>
      <c r="L53" s="162"/>
      <c r="M53" s="162"/>
      <c r="N53" s="162"/>
      <c r="O53" s="162" t="s">
        <v>54</v>
      </c>
      <c r="P53" s="162" t="s">
        <v>54</v>
      </c>
      <c r="Q53" s="162" t="s">
        <v>54</v>
      </c>
      <c r="R53" s="162" t="s">
        <v>54</v>
      </c>
      <c r="S53" s="162" t="s">
        <v>54</v>
      </c>
      <c r="T53" s="162" t="s">
        <v>54</v>
      </c>
      <c r="U53" s="162" t="s">
        <v>54</v>
      </c>
      <c r="V53" s="162" t="s">
        <v>54</v>
      </c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97">
        <v>216</v>
      </c>
    </row>
    <row r="54" spans="1:41" x14ac:dyDescent="0.25">
      <c r="A54" s="161"/>
      <c r="B54" s="162"/>
      <c r="C54" s="162"/>
      <c r="D54" s="162"/>
      <c r="E54" s="162"/>
      <c r="F54" s="162"/>
      <c r="G54" s="162"/>
      <c r="H54" s="161">
        <v>53</v>
      </c>
      <c r="I54" s="162" t="s">
        <v>644</v>
      </c>
      <c r="J54" s="162"/>
      <c r="K54" s="162"/>
      <c r="L54" s="162"/>
      <c r="M54" s="162" t="s">
        <v>26</v>
      </c>
      <c r="N54" s="162" t="s">
        <v>85</v>
      </c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97">
        <v>18</v>
      </c>
    </row>
    <row r="55" spans="1:41" x14ac:dyDescent="0.25">
      <c r="A55" s="161"/>
      <c r="B55" s="162"/>
      <c r="C55" s="162"/>
      <c r="D55" s="162"/>
      <c r="E55" s="162"/>
      <c r="F55" s="162"/>
      <c r="G55" s="162"/>
      <c r="H55" s="161">
        <v>54</v>
      </c>
      <c r="I55" s="162" t="s">
        <v>641</v>
      </c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1">
        <v>0</v>
      </c>
    </row>
    <row r="56" spans="1:41" x14ac:dyDescent="0.25">
      <c r="A56" s="161"/>
      <c r="B56" s="162"/>
      <c r="C56" s="162"/>
      <c r="D56" s="162"/>
      <c r="E56" s="162"/>
      <c r="F56" s="162"/>
      <c r="G56" s="162"/>
      <c r="H56" s="161">
        <v>55</v>
      </c>
      <c r="I56" s="162" t="s">
        <v>647</v>
      </c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1">
        <v>0</v>
      </c>
    </row>
    <row r="57" spans="1:41" x14ac:dyDescent="0.25">
      <c r="A57" s="161"/>
      <c r="B57" s="162"/>
      <c r="C57" s="162"/>
      <c r="D57" s="162"/>
      <c r="E57" s="162"/>
      <c r="F57" s="162"/>
      <c r="G57" s="162"/>
      <c r="H57" s="161">
        <v>56</v>
      </c>
      <c r="I57" s="162" t="s">
        <v>663</v>
      </c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1">
        <v>0</v>
      </c>
    </row>
    <row r="58" spans="1:41" x14ac:dyDescent="0.25">
      <c r="A58" s="161"/>
      <c r="B58" s="162"/>
      <c r="C58" s="162"/>
      <c r="D58" s="162"/>
      <c r="E58" s="162"/>
      <c r="F58" s="162"/>
      <c r="G58" s="162"/>
      <c r="H58" s="161">
        <v>57</v>
      </c>
      <c r="I58" s="162" t="s">
        <v>649</v>
      </c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1">
        <v>0</v>
      </c>
    </row>
    <row r="59" spans="1:41" x14ac:dyDescent="0.25">
      <c r="A59" s="161"/>
      <c r="B59" s="162"/>
      <c r="C59" s="162"/>
      <c r="D59" s="162"/>
      <c r="E59" s="162"/>
      <c r="F59" s="162"/>
      <c r="G59" s="162"/>
      <c r="H59" s="161">
        <v>58</v>
      </c>
      <c r="I59" s="162" t="s">
        <v>650</v>
      </c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1">
        <v>0</v>
      </c>
    </row>
    <row r="60" spans="1:41" x14ac:dyDescent="0.25">
      <c r="A60" s="161"/>
      <c r="B60" s="162"/>
      <c r="C60" s="162"/>
      <c r="D60" s="162"/>
      <c r="E60" s="162"/>
      <c r="F60" s="162"/>
      <c r="G60" s="162"/>
      <c r="H60" s="161">
        <v>59</v>
      </c>
      <c r="I60" s="162" t="s">
        <v>651</v>
      </c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1">
        <v>0</v>
      </c>
    </row>
    <row r="61" spans="1:41" x14ac:dyDescent="0.25">
      <c r="A61" s="161"/>
      <c r="B61" s="162"/>
      <c r="C61" s="162"/>
      <c r="D61" s="162"/>
      <c r="E61" s="162"/>
      <c r="F61" s="162"/>
      <c r="G61" s="162"/>
      <c r="H61" s="161">
        <v>60</v>
      </c>
      <c r="I61" s="162" t="s">
        <v>653</v>
      </c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1">
        <v>0</v>
      </c>
    </row>
    <row r="62" spans="1:41" x14ac:dyDescent="0.25">
      <c r="A62" s="161"/>
      <c r="B62" s="162"/>
      <c r="C62" s="162"/>
      <c r="D62" s="162"/>
      <c r="E62" s="162"/>
      <c r="F62" s="162"/>
      <c r="G62" s="162"/>
      <c r="H62" s="161">
        <v>61</v>
      </c>
      <c r="I62" s="162" t="s">
        <v>654</v>
      </c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1">
        <v>0</v>
      </c>
    </row>
    <row r="63" spans="1:41" x14ac:dyDescent="0.25">
      <c r="A63" s="161"/>
      <c r="B63" s="162"/>
      <c r="C63" s="162"/>
      <c r="D63" s="162"/>
      <c r="E63" s="162"/>
      <c r="F63" s="162"/>
      <c r="G63" s="162"/>
      <c r="H63" s="161">
        <v>62</v>
      </c>
      <c r="I63" s="162" t="s">
        <v>655</v>
      </c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1">
        <v>0</v>
      </c>
    </row>
    <row r="64" spans="1:41" x14ac:dyDescent="0.25">
      <c r="A64" s="161"/>
      <c r="B64" s="162"/>
      <c r="C64" s="162"/>
      <c r="D64" s="162"/>
      <c r="E64" s="162"/>
      <c r="F64" s="162"/>
      <c r="G64" s="162"/>
      <c r="H64" s="161">
        <v>63</v>
      </c>
      <c r="I64" s="162" t="s">
        <v>656</v>
      </c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1">
        <v>0</v>
      </c>
    </row>
    <row r="65" spans="1:41" x14ac:dyDescent="0.25">
      <c r="A65" s="161"/>
      <c r="B65" s="162"/>
      <c r="C65" s="162"/>
      <c r="D65" s="162"/>
      <c r="E65" s="162"/>
      <c r="F65" s="162"/>
      <c r="G65" s="162"/>
      <c r="H65" s="161">
        <v>64</v>
      </c>
      <c r="I65" s="162" t="s">
        <v>657</v>
      </c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1">
        <v>0</v>
      </c>
    </row>
    <row r="66" spans="1:41" x14ac:dyDescent="0.25">
      <c r="A66" s="161"/>
      <c r="B66" s="162"/>
      <c r="C66" s="162"/>
      <c r="D66" s="162"/>
      <c r="E66" s="162"/>
      <c r="F66" s="162"/>
      <c r="G66" s="162"/>
      <c r="H66" s="161">
        <v>65</v>
      </c>
      <c r="I66" s="162" t="s">
        <v>658</v>
      </c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1">
        <v>0</v>
      </c>
    </row>
    <row r="67" spans="1:41" x14ac:dyDescent="0.25">
      <c r="A67" s="161"/>
      <c r="B67" s="162"/>
      <c r="C67" s="162"/>
      <c r="D67" s="162"/>
      <c r="E67" s="162"/>
      <c r="F67" s="162"/>
      <c r="G67" s="162"/>
      <c r="H67" s="161">
        <v>66</v>
      </c>
      <c r="I67" s="162" t="s">
        <v>660</v>
      </c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1">
        <v>0</v>
      </c>
    </row>
    <row r="68" spans="1:41" x14ac:dyDescent="0.25">
      <c r="A68" s="161"/>
      <c r="B68" s="162"/>
      <c r="C68" s="162"/>
      <c r="D68" s="162"/>
      <c r="E68" s="162"/>
      <c r="F68" s="162"/>
      <c r="G68" s="162"/>
      <c r="H68" s="161">
        <v>67</v>
      </c>
      <c r="I68" s="162" t="s">
        <v>661</v>
      </c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1">
        <v>0</v>
      </c>
    </row>
    <row r="69" spans="1:41" x14ac:dyDescent="0.25">
      <c r="A69" s="161"/>
      <c r="B69" s="162"/>
      <c r="C69" s="162"/>
      <c r="D69" s="162"/>
      <c r="E69" s="162"/>
      <c r="F69" s="162"/>
      <c r="G69" s="162"/>
      <c r="H69" s="161">
        <v>68</v>
      </c>
      <c r="I69" s="162" t="s">
        <v>662</v>
      </c>
      <c r="J69" s="162"/>
      <c r="K69" s="162"/>
      <c r="L69" s="162"/>
      <c r="M69" s="162" t="s">
        <v>26</v>
      </c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97">
        <v>11</v>
      </c>
    </row>
    <row r="70" spans="1:41" x14ac:dyDescent="0.25">
      <c r="A70" s="161"/>
      <c r="B70" s="162"/>
      <c r="C70" s="162"/>
      <c r="D70" s="162"/>
      <c r="E70" s="162"/>
      <c r="F70" s="162"/>
      <c r="G70" s="162"/>
      <c r="H70" s="161">
        <v>69</v>
      </c>
      <c r="I70" s="162" t="s">
        <v>20</v>
      </c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1">
        <v>0</v>
      </c>
    </row>
    <row r="71" spans="1:41" x14ac:dyDescent="0.25">
      <c r="A71" s="161"/>
      <c r="B71" s="162"/>
      <c r="C71" s="162"/>
      <c r="D71" s="162"/>
      <c r="E71" s="162"/>
      <c r="F71" s="162"/>
      <c r="G71" s="162"/>
      <c r="H71" s="161">
        <v>70</v>
      </c>
      <c r="I71" s="162" t="s">
        <v>667</v>
      </c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1">
        <v>0</v>
      </c>
    </row>
    <row r="72" spans="1:41" x14ac:dyDescent="0.25">
      <c r="A72" s="161"/>
      <c r="B72" s="162"/>
      <c r="C72" s="162"/>
      <c r="D72" s="162"/>
      <c r="E72" s="162"/>
      <c r="F72" s="162"/>
      <c r="G72" s="162"/>
      <c r="H72" s="161">
        <v>71</v>
      </c>
      <c r="I72" s="162" t="s">
        <v>668</v>
      </c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1">
        <v>0</v>
      </c>
    </row>
    <row r="73" spans="1:41" x14ac:dyDescent="0.25">
      <c r="A73" s="161"/>
      <c r="B73" s="162"/>
      <c r="C73" s="162"/>
      <c r="D73" s="162"/>
      <c r="E73" s="162"/>
      <c r="F73" s="162"/>
      <c r="G73" s="162"/>
      <c r="H73" s="161">
        <v>72</v>
      </c>
      <c r="I73" s="162" t="s">
        <v>669</v>
      </c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1">
        <v>0</v>
      </c>
    </row>
    <row r="74" spans="1:41" x14ac:dyDescent="0.25">
      <c r="A74" s="161"/>
      <c r="B74" s="162"/>
      <c r="C74" s="162"/>
      <c r="D74" s="162"/>
      <c r="E74" s="162"/>
      <c r="F74" s="162"/>
      <c r="G74" s="162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98">
        <v>1061</v>
      </c>
    </row>
    <row r="75" spans="1:41" x14ac:dyDescent="0.25">
      <c r="A75" s="161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80"/>
    </row>
    <row r="76" spans="1:41" x14ac:dyDescent="0.25">
      <c r="A76" s="161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80"/>
    </row>
    <row r="77" spans="1:41" x14ac:dyDescent="0.25">
      <c r="A77" s="161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80"/>
      <c r="AH77" s="170"/>
    </row>
    <row r="78" spans="1:41" x14ac:dyDescent="0.25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7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8"/>
  <sheetViews>
    <sheetView topLeftCell="U1" workbookViewId="0">
      <selection activeCell="A42" sqref="A42:XFD42"/>
    </sheetView>
  </sheetViews>
  <sheetFormatPr defaultRowHeight="15" x14ac:dyDescent="0.25"/>
  <cols>
    <col min="2" max="2" width="34.28515625" bestFit="1" customWidth="1"/>
    <col min="3" max="17" width="8.7109375" customWidth="1"/>
  </cols>
  <sheetData>
    <row r="1" spans="1:34" x14ac:dyDescent="0.25">
      <c r="A1" s="179" t="s">
        <v>1</v>
      </c>
      <c r="B1" s="179" t="s">
        <v>6</v>
      </c>
      <c r="C1" s="179" t="s">
        <v>60</v>
      </c>
      <c r="D1" s="179" t="s">
        <v>61</v>
      </c>
      <c r="E1" s="179" t="s">
        <v>62</v>
      </c>
      <c r="F1" s="179" t="s">
        <v>63</v>
      </c>
      <c r="G1" s="179" t="s">
        <v>83</v>
      </c>
      <c r="H1" s="179" t="s">
        <v>84</v>
      </c>
      <c r="I1" s="179" t="s">
        <v>85</v>
      </c>
      <c r="J1" s="179" t="s">
        <v>24</v>
      </c>
      <c r="K1" s="179" t="s">
        <v>25</v>
      </c>
      <c r="L1" s="179" t="s">
        <v>64</v>
      </c>
      <c r="M1" s="179" t="s">
        <v>26</v>
      </c>
      <c r="N1" s="179" t="s">
        <v>65</v>
      </c>
      <c r="O1" s="179" t="s">
        <v>66</v>
      </c>
      <c r="P1" s="179" t="s">
        <v>67</v>
      </c>
      <c r="Q1" s="179" t="s">
        <v>86</v>
      </c>
      <c r="R1" s="179" t="s">
        <v>46</v>
      </c>
      <c r="S1" s="179" t="s">
        <v>47</v>
      </c>
      <c r="T1" s="179" t="s">
        <v>48</v>
      </c>
      <c r="U1" s="179" t="s">
        <v>49</v>
      </c>
      <c r="V1" s="179" t="s">
        <v>50</v>
      </c>
      <c r="W1" s="179" t="s">
        <v>51</v>
      </c>
      <c r="X1" s="179" t="s">
        <v>52</v>
      </c>
      <c r="Y1" s="179" t="s">
        <v>53</v>
      </c>
      <c r="Z1" s="179" t="s">
        <v>54</v>
      </c>
      <c r="AA1" s="179" t="s">
        <v>55</v>
      </c>
      <c r="AB1" s="179" t="s">
        <v>56</v>
      </c>
      <c r="AC1" s="179" t="s">
        <v>57</v>
      </c>
      <c r="AD1" s="179" t="s">
        <v>58</v>
      </c>
      <c r="AE1" s="179" t="s">
        <v>59</v>
      </c>
      <c r="AF1" s="179" t="s">
        <v>639</v>
      </c>
      <c r="AG1" s="179" t="s">
        <v>666</v>
      </c>
      <c r="AH1" s="179" t="s">
        <v>2</v>
      </c>
    </row>
    <row r="2" spans="1:34" x14ac:dyDescent="0.25">
      <c r="A2" s="180">
        <v>1</v>
      </c>
      <c r="B2" s="181" t="s">
        <v>80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0">
        <v>0</v>
      </c>
    </row>
    <row r="3" spans="1:34" x14ac:dyDescent="0.25">
      <c r="A3" s="180">
        <v>2</v>
      </c>
      <c r="B3" s="181" t="s">
        <v>10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0">
        <v>0</v>
      </c>
    </row>
    <row r="4" spans="1:34" x14ac:dyDescent="0.25">
      <c r="A4" s="180">
        <v>3</v>
      </c>
      <c r="B4" s="181" t="s">
        <v>11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0">
        <v>0</v>
      </c>
    </row>
    <row r="5" spans="1:34" x14ac:dyDescent="0.25">
      <c r="A5" s="180">
        <v>4</v>
      </c>
      <c r="B5" s="181" t="s">
        <v>12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0">
        <v>0</v>
      </c>
    </row>
    <row r="6" spans="1:34" x14ac:dyDescent="0.25">
      <c r="A6" s="180">
        <v>5</v>
      </c>
      <c r="B6" s="181" t="s">
        <v>664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0">
        <v>0</v>
      </c>
    </row>
    <row r="7" spans="1:34" x14ac:dyDescent="0.25">
      <c r="A7" s="180">
        <v>6</v>
      </c>
      <c r="B7" s="181" t="s">
        <v>14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0">
        <v>0</v>
      </c>
    </row>
    <row r="8" spans="1:34" x14ac:dyDescent="0.25">
      <c r="A8" s="180">
        <v>7</v>
      </c>
      <c r="B8" s="181" t="s">
        <v>15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0">
        <v>0</v>
      </c>
    </row>
    <row r="9" spans="1:34" x14ac:dyDescent="0.25">
      <c r="A9" s="180">
        <v>8</v>
      </c>
      <c r="B9" s="181" t="s">
        <v>16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 t="s">
        <v>26</v>
      </c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207">
        <v>11</v>
      </c>
    </row>
    <row r="10" spans="1:34" x14ac:dyDescent="0.25">
      <c r="A10" s="180">
        <v>9</v>
      </c>
      <c r="B10" s="181" t="s">
        <v>4</v>
      </c>
      <c r="C10" s="181"/>
      <c r="D10" s="181" t="s">
        <v>26</v>
      </c>
      <c r="E10" s="181" t="s">
        <v>26</v>
      </c>
      <c r="F10" s="181" t="s">
        <v>26</v>
      </c>
      <c r="G10" s="181" t="s">
        <v>84</v>
      </c>
      <c r="H10" s="181"/>
      <c r="I10" s="181"/>
      <c r="J10" s="181"/>
      <c r="K10" s="181"/>
      <c r="L10" s="181"/>
      <c r="M10" s="181"/>
      <c r="N10" s="181"/>
      <c r="O10" s="181"/>
      <c r="P10" s="181" t="s">
        <v>26</v>
      </c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207">
        <v>50</v>
      </c>
    </row>
    <row r="11" spans="1:34" x14ac:dyDescent="0.25">
      <c r="A11" s="180">
        <v>10</v>
      </c>
      <c r="B11" s="181" t="s">
        <v>5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0">
        <v>0</v>
      </c>
    </row>
    <row r="12" spans="1:34" x14ac:dyDescent="0.25">
      <c r="A12" s="180">
        <v>11</v>
      </c>
      <c r="B12" s="181" t="s">
        <v>17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 t="s">
        <v>26</v>
      </c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207">
        <v>11</v>
      </c>
    </row>
    <row r="13" spans="1:34" x14ac:dyDescent="0.25">
      <c r="A13" s="180">
        <v>12</v>
      </c>
      <c r="B13" s="181" t="s">
        <v>38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0">
        <v>0</v>
      </c>
    </row>
    <row r="14" spans="1:34" x14ac:dyDescent="0.25">
      <c r="A14" s="180">
        <v>13</v>
      </c>
      <c r="B14" s="181" t="s">
        <v>19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0">
        <v>0</v>
      </c>
    </row>
    <row r="15" spans="1:34" x14ac:dyDescent="0.25">
      <c r="A15" s="180">
        <v>14</v>
      </c>
      <c r="B15" s="181" t="s">
        <v>77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0">
        <v>0</v>
      </c>
    </row>
    <row r="16" spans="1:34" x14ac:dyDescent="0.25">
      <c r="A16" s="180">
        <v>15</v>
      </c>
      <c r="B16" s="181" t="s">
        <v>43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0">
        <v>0</v>
      </c>
    </row>
    <row r="17" spans="1:34" x14ac:dyDescent="0.25">
      <c r="A17" s="180">
        <v>16</v>
      </c>
      <c r="B17" s="181" t="s">
        <v>645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0">
        <v>0</v>
      </c>
    </row>
    <row r="18" spans="1:34" x14ac:dyDescent="0.25">
      <c r="A18" s="180">
        <v>17</v>
      </c>
      <c r="B18" s="181" t="s">
        <v>87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0">
        <v>0</v>
      </c>
    </row>
    <row r="19" spans="1:34" x14ac:dyDescent="0.25">
      <c r="A19" s="180">
        <v>18</v>
      </c>
      <c r="B19" s="181" t="s">
        <v>95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 t="s">
        <v>24</v>
      </c>
      <c r="Q19" s="181" t="s">
        <v>26</v>
      </c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207">
        <v>19</v>
      </c>
    </row>
    <row r="20" spans="1:34" x14ac:dyDescent="0.25">
      <c r="A20" s="180">
        <v>19</v>
      </c>
      <c r="B20" s="181" t="s">
        <v>97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0">
        <v>0</v>
      </c>
    </row>
    <row r="21" spans="1:34" x14ac:dyDescent="0.25">
      <c r="A21" s="180">
        <v>20</v>
      </c>
      <c r="B21" s="181" t="s">
        <v>96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0">
        <v>0</v>
      </c>
    </row>
    <row r="22" spans="1:34" x14ac:dyDescent="0.25">
      <c r="A22" s="180">
        <v>21</v>
      </c>
      <c r="B22" s="181" t="s">
        <v>98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0">
        <v>0</v>
      </c>
    </row>
    <row r="23" spans="1:34" x14ac:dyDescent="0.25">
      <c r="A23" s="180">
        <v>22</v>
      </c>
      <c r="B23" s="181" t="s">
        <v>99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0">
        <v>0</v>
      </c>
    </row>
    <row r="24" spans="1:34" x14ac:dyDescent="0.25">
      <c r="A24" s="180">
        <v>23</v>
      </c>
      <c r="B24" s="181" t="s">
        <v>617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0">
        <v>0</v>
      </c>
    </row>
    <row r="25" spans="1:34" x14ac:dyDescent="0.25">
      <c r="A25" s="180">
        <v>24</v>
      </c>
      <c r="B25" s="181" t="s">
        <v>618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0">
        <v>0</v>
      </c>
    </row>
    <row r="26" spans="1:34" x14ac:dyDescent="0.25">
      <c r="A26" s="180">
        <v>25</v>
      </c>
      <c r="B26" s="181" t="s">
        <v>629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0">
        <v>0</v>
      </c>
    </row>
    <row r="27" spans="1:34" x14ac:dyDescent="0.25">
      <c r="A27" s="180">
        <v>26</v>
      </c>
      <c r="B27" s="181" t="s">
        <v>619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0">
        <v>0</v>
      </c>
    </row>
    <row r="28" spans="1:34" x14ac:dyDescent="0.25">
      <c r="A28" s="180">
        <v>27</v>
      </c>
      <c r="B28" s="181" t="s">
        <v>620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0">
        <v>0</v>
      </c>
    </row>
    <row r="29" spans="1:34" x14ac:dyDescent="0.25">
      <c r="A29" s="180">
        <v>28</v>
      </c>
      <c r="B29" s="181" t="s">
        <v>622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0">
        <v>0</v>
      </c>
    </row>
    <row r="30" spans="1:34" x14ac:dyDescent="0.25">
      <c r="A30" s="180">
        <v>29</v>
      </c>
      <c r="B30" s="181" t="s">
        <v>665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 t="s">
        <v>26</v>
      </c>
      <c r="Q30" s="181" t="s">
        <v>26</v>
      </c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207">
        <v>22</v>
      </c>
    </row>
    <row r="31" spans="1:34" x14ac:dyDescent="0.25">
      <c r="A31" s="180">
        <v>30</v>
      </c>
      <c r="B31" s="181" t="s">
        <v>623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0">
        <v>0</v>
      </c>
    </row>
    <row r="32" spans="1:34" x14ac:dyDescent="0.25">
      <c r="A32" s="180">
        <v>31</v>
      </c>
      <c r="B32" s="181" t="s">
        <v>624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0">
        <v>0</v>
      </c>
    </row>
    <row r="33" spans="1:34" x14ac:dyDescent="0.25">
      <c r="A33" s="180">
        <v>32</v>
      </c>
      <c r="B33" s="181" t="s">
        <v>625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0">
        <v>0</v>
      </c>
    </row>
    <row r="34" spans="1:34" x14ac:dyDescent="0.25">
      <c r="A34" s="180">
        <v>33</v>
      </c>
      <c r="B34" s="181" t="s">
        <v>626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0">
        <v>0</v>
      </c>
    </row>
    <row r="35" spans="1:34" x14ac:dyDescent="0.25">
      <c r="A35" s="180">
        <v>34</v>
      </c>
      <c r="B35" s="181" t="s">
        <v>631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0">
        <v>0</v>
      </c>
    </row>
    <row r="36" spans="1:34" x14ac:dyDescent="0.25">
      <c r="A36" s="180">
        <v>35</v>
      </c>
      <c r="B36" s="181" t="s">
        <v>627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0">
        <v>0</v>
      </c>
    </row>
    <row r="37" spans="1:34" x14ac:dyDescent="0.25">
      <c r="A37" s="180">
        <v>36</v>
      </c>
      <c r="B37" s="181" t="s">
        <v>34</v>
      </c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0">
        <v>0</v>
      </c>
    </row>
    <row r="38" spans="1:34" x14ac:dyDescent="0.25">
      <c r="A38" s="180">
        <v>37</v>
      </c>
      <c r="B38" s="181" t="s">
        <v>628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0">
        <v>0</v>
      </c>
    </row>
    <row r="39" spans="1:34" x14ac:dyDescent="0.25">
      <c r="A39" s="180">
        <v>38</v>
      </c>
      <c r="B39" s="181" t="s">
        <v>621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 t="s">
        <v>26</v>
      </c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207">
        <v>11</v>
      </c>
    </row>
    <row r="40" spans="1:34" x14ac:dyDescent="0.25">
      <c r="A40" s="180">
        <v>39</v>
      </c>
      <c r="B40" s="181" t="s">
        <v>45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0">
        <v>0</v>
      </c>
    </row>
    <row r="41" spans="1:34" x14ac:dyDescent="0.25">
      <c r="A41" s="180">
        <v>40</v>
      </c>
      <c r="B41" s="181" t="s">
        <v>634</v>
      </c>
      <c r="C41" s="181"/>
      <c r="D41" s="181" t="s">
        <v>26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 t="s">
        <v>26</v>
      </c>
      <c r="Q41" s="181" t="s">
        <v>26</v>
      </c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207">
        <v>33</v>
      </c>
    </row>
    <row r="42" spans="1:34" x14ac:dyDescent="0.25">
      <c r="A42" s="180">
        <v>41</v>
      </c>
      <c r="B42" s="181" t="s">
        <v>648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0">
        <v>0</v>
      </c>
    </row>
    <row r="43" spans="1:34" x14ac:dyDescent="0.25">
      <c r="A43" s="180">
        <v>42</v>
      </c>
      <c r="B43" s="181" t="s">
        <v>632</v>
      </c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0">
        <v>0</v>
      </c>
    </row>
    <row r="44" spans="1:34" x14ac:dyDescent="0.25">
      <c r="A44" s="180">
        <v>43</v>
      </c>
      <c r="B44" s="181" t="s">
        <v>633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0">
        <v>0</v>
      </c>
    </row>
    <row r="45" spans="1:34" x14ac:dyDescent="0.25">
      <c r="A45" s="180">
        <v>44</v>
      </c>
      <c r="B45" s="181" t="s">
        <v>635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 t="s">
        <v>26</v>
      </c>
      <c r="M45" s="181"/>
      <c r="N45" s="181"/>
      <c r="O45" s="181"/>
      <c r="P45" s="181" t="s">
        <v>26</v>
      </c>
      <c r="Q45" s="181" t="s">
        <v>26</v>
      </c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207">
        <v>33</v>
      </c>
    </row>
    <row r="46" spans="1:34" x14ac:dyDescent="0.25">
      <c r="A46" s="180">
        <v>45</v>
      </c>
      <c r="B46" s="181" t="s">
        <v>636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 t="s">
        <v>26</v>
      </c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207">
        <v>11</v>
      </c>
    </row>
    <row r="47" spans="1:34" x14ac:dyDescent="0.25">
      <c r="A47" s="180">
        <v>46</v>
      </c>
      <c r="B47" s="181" t="s">
        <v>637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0">
        <v>0</v>
      </c>
    </row>
    <row r="48" spans="1:34" x14ac:dyDescent="0.25">
      <c r="A48" s="180">
        <v>47</v>
      </c>
      <c r="B48" s="181" t="s">
        <v>638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0">
        <v>0</v>
      </c>
    </row>
    <row r="49" spans="1:34" x14ac:dyDescent="0.25">
      <c r="A49" s="180">
        <v>48</v>
      </c>
      <c r="B49" s="181" t="s">
        <v>630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 t="s">
        <v>26</v>
      </c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207">
        <v>11</v>
      </c>
    </row>
    <row r="50" spans="1:34" x14ac:dyDescent="0.25">
      <c r="A50" s="180">
        <v>49</v>
      </c>
      <c r="B50" s="181" t="s">
        <v>640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 t="s">
        <v>26</v>
      </c>
      <c r="Q50" s="181" t="s">
        <v>26</v>
      </c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207">
        <v>22</v>
      </c>
    </row>
    <row r="51" spans="1:34" x14ac:dyDescent="0.25">
      <c r="A51" s="180">
        <v>50</v>
      </c>
      <c r="B51" s="181" t="s">
        <v>642</v>
      </c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0">
        <v>0</v>
      </c>
    </row>
    <row r="52" spans="1:34" x14ac:dyDescent="0.25">
      <c r="A52" s="180">
        <v>51</v>
      </c>
      <c r="B52" s="181" t="s">
        <v>643</v>
      </c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 t="s">
        <v>26</v>
      </c>
      <c r="Q52" s="181" t="s">
        <v>26</v>
      </c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207">
        <v>22</v>
      </c>
    </row>
    <row r="53" spans="1:34" x14ac:dyDescent="0.25">
      <c r="A53" s="180">
        <v>52</v>
      </c>
      <c r="B53" s="181" t="s">
        <v>646</v>
      </c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0">
        <v>0</v>
      </c>
    </row>
    <row r="54" spans="1:34" x14ac:dyDescent="0.25">
      <c r="A54" s="180">
        <v>53</v>
      </c>
      <c r="B54" s="181" t="s">
        <v>644</v>
      </c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 t="s">
        <v>26</v>
      </c>
      <c r="Q54" s="181" t="s">
        <v>26</v>
      </c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207">
        <v>22</v>
      </c>
    </row>
    <row r="55" spans="1:34" x14ac:dyDescent="0.25">
      <c r="A55" s="180">
        <v>54</v>
      </c>
      <c r="B55" s="181" t="s">
        <v>641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0">
        <v>0</v>
      </c>
    </row>
    <row r="56" spans="1:34" x14ac:dyDescent="0.25">
      <c r="A56" s="180">
        <v>55</v>
      </c>
      <c r="B56" s="181" t="s">
        <v>647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0">
        <v>0</v>
      </c>
    </row>
    <row r="57" spans="1:34" x14ac:dyDescent="0.25">
      <c r="A57" s="180">
        <v>56</v>
      </c>
      <c r="B57" s="181" t="s">
        <v>663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0">
        <v>0</v>
      </c>
    </row>
    <row r="58" spans="1:34" x14ac:dyDescent="0.25">
      <c r="A58" s="180">
        <v>57</v>
      </c>
      <c r="B58" s="181" t="s">
        <v>649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0">
        <v>0</v>
      </c>
    </row>
    <row r="59" spans="1:34" x14ac:dyDescent="0.25">
      <c r="A59" s="180">
        <v>58</v>
      </c>
      <c r="B59" s="181" t="s">
        <v>650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0">
        <v>0</v>
      </c>
    </row>
    <row r="60" spans="1:34" x14ac:dyDescent="0.25">
      <c r="A60" s="180">
        <v>59</v>
      </c>
      <c r="B60" s="181" t="s">
        <v>651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0">
        <v>0</v>
      </c>
    </row>
    <row r="61" spans="1:34" x14ac:dyDescent="0.25">
      <c r="A61" s="180">
        <v>60</v>
      </c>
      <c r="B61" s="181" t="s">
        <v>653</v>
      </c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0">
        <v>0</v>
      </c>
    </row>
    <row r="62" spans="1:34" x14ac:dyDescent="0.25">
      <c r="A62" s="180">
        <v>61</v>
      </c>
      <c r="B62" s="181" t="s">
        <v>654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0">
        <v>0</v>
      </c>
    </row>
    <row r="63" spans="1:34" x14ac:dyDescent="0.25">
      <c r="A63" s="180">
        <v>62</v>
      </c>
      <c r="B63" s="181" t="s">
        <v>655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 t="s">
        <v>26</v>
      </c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207">
        <v>11</v>
      </c>
    </row>
    <row r="64" spans="1:34" x14ac:dyDescent="0.25">
      <c r="A64" s="180">
        <v>63</v>
      </c>
      <c r="B64" s="181" t="s">
        <v>656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 t="s">
        <v>26</v>
      </c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207">
        <v>11</v>
      </c>
    </row>
    <row r="65" spans="1:34" x14ac:dyDescent="0.25">
      <c r="A65" s="180">
        <v>64</v>
      </c>
      <c r="B65" s="181" t="s">
        <v>657</v>
      </c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0">
        <v>0</v>
      </c>
    </row>
    <row r="66" spans="1:34" x14ac:dyDescent="0.25">
      <c r="A66" s="180">
        <v>65</v>
      </c>
      <c r="B66" s="181" t="s">
        <v>658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0">
        <v>0</v>
      </c>
    </row>
    <row r="67" spans="1:34" x14ac:dyDescent="0.25">
      <c r="A67" s="180">
        <v>66</v>
      </c>
      <c r="B67" s="181" t="s">
        <v>660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0">
        <v>0</v>
      </c>
    </row>
    <row r="68" spans="1:34" x14ac:dyDescent="0.25">
      <c r="A68" s="180">
        <v>67</v>
      </c>
      <c r="B68" s="181" t="s">
        <v>661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0">
        <v>0</v>
      </c>
    </row>
    <row r="69" spans="1:34" x14ac:dyDescent="0.25">
      <c r="A69" s="180">
        <v>68</v>
      </c>
      <c r="B69" s="181" t="s">
        <v>662</v>
      </c>
      <c r="C69" s="181"/>
      <c r="D69" s="181"/>
      <c r="E69" s="181"/>
      <c r="F69" s="181"/>
      <c r="G69" s="181"/>
      <c r="H69" s="181"/>
      <c r="I69" s="181" t="s">
        <v>26</v>
      </c>
      <c r="J69" s="181"/>
      <c r="K69" s="181" t="s">
        <v>63</v>
      </c>
      <c r="L69" s="181" t="s">
        <v>84</v>
      </c>
      <c r="M69" s="181"/>
      <c r="N69" s="181"/>
      <c r="O69" s="181"/>
      <c r="P69" s="181"/>
      <c r="Q69" s="181" t="s">
        <v>26</v>
      </c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207">
        <v>32</v>
      </c>
    </row>
    <row r="70" spans="1:34" x14ac:dyDescent="0.25">
      <c r="A70" s="180">
        <v>69</v>
      </c>
      <c r="B70" s="181" t="s">
        <v>20</v>
      </c>
      <c r="C70" s="181"/>
      <c r="D70" s="181"/>
      <c r="E70" s="181"/>
      <c r="F70" s="181"/>
      <c r="G70" s="181"/>
      <c r="H70" s="181"/>
      <c r="I70" s="181"/>
      <c r="J70" s="181"/>
      <c r="K70" s="181" t="s">
        <v>26</v>
      </c>
      <c r="L70" s="181" t="s">
        <v>26</v>
      </c>
      <c r="M70" s="181"/>
      <c r="N70" s="181"/>
      <c r="O70" s="181"/>
      <c r="P70" s="181" t="s">
        <v>26</v>
      </c>
      <c r="Q70" s="181" t="s">
        <v>26</v>
      </c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207">
        <v>44</v>
      </c>
    </row>
    <row r="71" spans="1:34" x14ac:dyDescent="0.25">
      <c r="A71" s="180">
        <v>70</v>
      </c>
      <c r="B71" s="181" t="s">
        <v>667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0">
        <v>0</v>
      </c>
    </row>
    <row r="72" spans="1:34" x14ac:dyDescent="0.25">
      <c r="A72" s="180">
        <v>71</v>
      </c>
      <c r="B72" s="181" t="s">
        <v>668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0">
        <v>0</v>
      </c>
    </row>
    <row r="73" spans="1:34" x14ac:dyDescent="0.25">
      <c r="A73" s="180">
        <v>72</v>
      </c>
      <c r="B73" s="181" t="s">
        <v>669</v>
      </c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 t="s">
        <v>26</v>
      </c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207">
        <v>11</v>
      </c>
    </row>
    <row r="74" spans="1:34" x14ac:dyDescent="0.25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208">
        <v>387</v>
      </c>
    </row>
    <row r="75" spans="1:34" x14ac:dyDescent="0.25">
      <c r="A75" s="177"/>
      <c r="B75" s="178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0"/>
    </row>
    <row r="76" spans="1:34" x14ac:dyDescent="0.25">
      <c r="A76" s="177"/>
      <c r="B76" s="178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0"/>
    </row>
    <row r="77" spans="1:34" x14ac:dyDescent="0.25">
      <c r="A77" s="177"/>
      <c r="B77" s="178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80"/>
    </row>
    <row r="78" spans="1:34" x14ac:dyDescent="0.25">
      <c r="A78" s="176"/>
      <c r="B78" s="176"/>
      <c r="AG78" s="17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74"/>
  <sheetViews>
    <sheetView topLeftCell="A19" workbookViewId="0">
      <selection activeCell="A42" sqref="A42:XFD42"/>
    </sheetView>
  </sheetViews>
  <sheetFormatPr defaultRowHeight="15" x14ac:dyDescent="0.25"/>
  <sheetData>
    <row r="1" spans="1:34" x14ac:dyDescent="0.25">
      <c r="A1" s="211" t="s">
        <v>1</v>
      </c>
      <c r="B1" s="211" t="s">
        <v>6</v>
      </c>
      <c r="C1" s="211" t="s">
        <v>60</v>
      </c>
      <c r="D1" s="211" t="s">
        <v>61</v>
      </c>
      <c r="E1" s="211" t="s">
        <v>62</v>
      </c>
      <c r="F1" s="211" t="s">
        <v>63</v>
      </c>
      <c r="G1" s="211" t="s">
        <v>83</v>
      </c>
      <c r="H1" s="211" t="s">
        <v>84</v>
      </c>
      <c r="I1" s="211" t="s">
        <v>85</v>
      </c>
      <c r="J1" s="211" t="s">
        <v>24</v>
      </c>
      <c r="K1" s="211" t="s">
        <v>25</v>
      </c>
      <c r="L1" s="211" t="s">
        <v>64</v>
      </c>
      <c r="M1" s="211" t="s">
        <v>26</v>
      </c>
      <c r="N1" s="211" t="s">
        <v>65</v>
      </c>
      <c r="O1" s="211" t="s">
        <v>66</v>
      </c>
      <c r="P1" s="211" t="s">
        <v>67</v>
      </c>
      <c r="Q1" s="211" t="s">
        <v>86</v>
      </c>
      <c r="R1" s="211" t="s">
        <v>46</v>
      </c>
      <c r="S1" s="211" t="s">
        <v>47</v>
      </c>
      <c r="T1" s="211" t="s">
        <v>48</v>
      </c>
      <c r="U1" s="211" t="s">
        <v>49</v>
      </c>
      <c r="V1" s="211" t="s">
        <v>50</v>
      </c>
      <c r="W1" s="211" t="s">
        <v>51</v>
      </c>
      <c r="X1" s="211" t="s">
        <v>52</v>
      </c>
      <c r="Y1" s="211" t="s">
        <v>53</v>
      </c>
      <c r="Z1" s="211" t="s">
        <v>54</v>
      </c>
      <c r="AA1" s="211" t="s">
        <v>55</v>
      </c>
      <c r="AB1" s="211" t="s">
        <v>56</v>
      </c>
      <c r="AC1" s="211" t="s">
        <v>57</v>
      </c>
      <c r="AD1" s="211" t="s">
        <v>58</v>
      </c>
      <c r="AE1" s="211" t="s">
        <v>59</v>
      </c>
      <c r="AF1" s="211" t="s">
        <v>639</v>
      </c>
      <c r="AG1" s="211" t="s">
        <v>666</v>
      </c>
      <c r="AH1" s="211" t="s">
        <v>2</v>
      </c>
    </row>
    <row r="2" spans="1:34" x14ac:dyDescent="0.25">
      <c r="A2" s="212">
        <v>1</v>
      </c>
      <c r="B2" s="213" t="s">
        <v>80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2">
        <v>0</v>
      </c>
    </row>
    <row r="3" spans="1:34" x14ac:dyDescent="0.25">
      <c r="A3" s="212">
        <v>2</v>
      </c>
      <c r="B3" s="213" t="s">
        <v>10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 t="s">
        <v>26</v>
      </c>
      <c r="N3" s="213" t="s">
        <v>84</v>
      </c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4">
        <v>17</v>
      </c>
    </row>
    <row r="4" spans="1:34" x14ac:dyDescent="0.25">
      <c r="A4" s="212">
        <v>3</v>
      </c>
      <c r="B4" s="213" t="s">
        <v>11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2">
        <v>0</v>
      </c>
    </row>
    <row r="5" spans="1:34" x14ac:dyDescent="0.25">
      <c r="A5" s="212">
        <v>4</v>
      </c>
      <c r="B5" s="213" t="s">
        <v>12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2">
        <v>0</v>
      </c>
    </row>
    <row r="6" spans="1:34" x14ac:dyDescent="0.25">
      <c r="A6" s="212">
        <v>5</v>
      </c>
      <c r="B6" s="213" t="s">
        <v>664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2">
        <v>0</v>
      </c>
    </row>
    <row r="7" spans="1:34" x14ac:dyDescent="0.25">
      <c r="A7" s="212">
        <v>6</v>
      </c>
      <c r="B7" s="213" t="s">
        <v>14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2">
        <v>0</v>
      </c>
    </row>
    <row r="8" spans="1:34" x14ac:dyDescent="0.25">
      <c r="A8" s="212">
        <v>7</v>
      </c>
      <c r="B8" s="213" t="s">
        <v>15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2">
        <v>0</v>
      </c>
    </row>
    <row r="9" spans="1:34" x14ac:dyDescent="0.25">
      <c r="A9" s="212">
        <v>8</v>
      </c>
      <c r="B9" s="213" t="s">
        <v>16</v>
      </c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2">
        <v>0</v>
      </c>
    </row>
    <row r="10" spans="1:34" x14ac:dyDescent="0.25">
      <c r="A10" s="212">
        <v>9</v>
      </c>
      <c r="B10" s="213" t="s">
        <v>4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2">
        <v>0</v>
      </c>
    </row>
    <row r="11" spans="1:34" x14ac:dyDescent="0.25">
      <c r="A11" s="212">
        <v>10</v>
      </c>
      <c r="B11" s="213" t="s">
        <v>5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 t="s">
        <v>26</v>
      </c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4">
        <v>11</v>
      </c>
    </row>
    <row r="12" spans="1:34" x14ac:dyDescent="0.25">
      <c r="A12" s="212">
        <v>11</v>
      </c>
      <c r="B12" s="213" t="s">
        <v>17</v>
      </c>
      <c r="C12" s="213" t="s">
        <v>26</v>
      </c>
      <c r="D12" s="213" t="s">
        <v>26</v>
      </c>
      <c r="E12" s="213" t="s">
        <v>26</v>
      </c>
      <c r="F12" s="213"/>
      <c r="G12" s="213"/>
      <c r="H12" s="213"/>
      <c r="I12" s="213" t="s">
        <v>26</v>
      </c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4">
        <v>44</v>
      </c>
    </row>
    <row r="13" spans="1:34" x14ac:dyDescent="0.25">
      <c r="A13" s="212">
        <v>12</v>
      </c>
      <c r="B13" s="213" t="s">
        <v>38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2">
        <v>0</v>
      </c>
    </row>
    <row r="14" spans="1:34" x14ac:dyDescent="0.25">
      <c r="A14" s="212">
        <v>13</v>
      </c>
      <c r="B14" s="213" t="s">
        <v>19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2">
        <v>0</v>
      </c>
    </row>
    <row r="15" spans="1:34" x14ac:dyDescent="0.25">
      <c r="A15" s="212">
        <v>14</v>
      </c>
      <c r="B15" s="213" t="s">
        <v>77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2">
        <v>0</v>
      </c>
    </row>
    <row r="16" spans="1:34" x14ac:dyDescent="0.25">
      <c r="A16" s="212">
        <v>15</v>
      </c>
      <c r="B16" s="213" t="s">
        <v>43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2">
        <v>0</v>
      </c>
    </row>
    <row r="17" spans="1:34" x14ac:dyDescent="0.25">
      <c r="A17" s="212">
        <v>16</v>
      </c>
      <c r="B17" s="213" t="s">
        <v>645</v>
      </c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2">
        <v>0</v>
      </c>
    </row>
    <row r="18" spans="1:34" x14ac:dyDescent="0.25">
      <c r="A18" s="212">
        <v>17</v>
      </c>
      <c r="B18" s="213" t="s">
        <v>87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2">
        <v>0</v>
      </c>
    </row>
    <row r="19" spans="1:34" x14ac:dyDescent="0.25">
      <c r="A19" s="212">
        <v>18</v>
      </c>
      <c r="B19" s="213" t="s">
        <v>95</v>
      </c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2">
        <v>0</v>
      </c>
    </row>
    <row r="20" spans="1:34" x14ac:dyDescent="0.25">
      <c r="A20" s="212">
        <v>19</v>
      </c>
      <c r="B20" s="213" t="s">
        <v>97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2">
        <v>0</v>
      </c>
    </row>
    <row r="21" spans="1:34" x14ac:dyDescent="0.25">
      <c r="A21" s="212">
        <v>20</v>
      </c>
      <c r="B21" s="213" t="s">
        <v>96</v>
      </c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2">
        <v>0</v>
      </c>
    </row>
    <row r="22" spans="1:34" x14ac:dyDescent="0.25">
      <c r="A22" s="212">
        <v>21</v>
      </c>
      <c r="B22" s="213" t="s">
        <v>98</v>
      </c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2">
        <v>0</v>
      </c>
    </row>
    <row r="23" spans="1:34" x14ac:dyDescent="0.25">
      <c r="A23" s="212">
        <v>22</v>
      </c>
      <c r="B23" s="213" t="s">
        <v>99</v>
      </c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2">
        <v>0</v>
      </c>
    </row>
    <row r="24" spans="1:34" x14ac:dyDescent="0.25">
      <c r="A24" s="212">
        <v>23</v>
      </c>
      <c r="B24" s="213" t="s">
        <v>617</v>
      </c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2">
        <v>0</v>
      </c>
    </row>
    <row r="25" spans="1:34" x14ac:dyDescent="0.25">
      <c r="A25" s="212">
        <v>24</v>
      </c>
      <c r="B25" s="213" t="s">
        <v>618</v>
      </c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2">
        <v>0</v>
      </c>
    </row>
    <row r="26" spans="1:34" x14ac:dyDescent="0.25">
      <c r="A26" s="212">
        <v>25</v>
      </c>
      <c r="B26" s="213" t="s">
        <v>629</v>
      </c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2">
        <v>0</v>
      </c>
    </row>
    <row r="27" spans="1:34" x14ac:dyDescent="0.25">
      <c r="A27" s="212">
        <v>26</v>
      </c>
      <c r="B27" s="213" t="s">
        <v>619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2">
        <v>0</v>
      </c>
    </row>
    <row r="28" spans="1:34" x14ac:dyDescent="0.25">
      <c r="A28" s="212">
        <v>27</v>
      </c>
      <c r="B28" s="213" t="s">
        <v>620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2">
        <v>0</v>
      </c>
    </row>
    <row r="29" spans="1:34" x14ac:dyDescent="0.25">
      <c r="A29" s="212">
        <v>28</v>
      </c>
      <c r="B29" s="213" t="s">
        <v>622</v>
      </c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2">
        <v>0</v>
      </c>
    </row>
    <row r="30" spans="1:34" x14ac:dyDescent="0.25">
      <c r="A30" s="212">
        <v>29</v>
      </c>
      <c r="B30" s="213" t="s">
        <v>665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2">
        <v>0</v>
      </c>
    </row>
    <row r="31" spans="1:34" x14ac:dyDescent="0.25">
      <c r="A31" s="212">
        <v>30</v>
      </c>
      <c r="B31" s="213" t="s">
        <v>623</v>
      </c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2">
        <v>0</v>
      </c>
    </row>
    <row r="32" spans="1:34" x14ac:dyDescent="0.25">
      <c r="A32" s="212">
        <v>31</v>
      </c>
      <c r="B32" s="213" t="s">
        <v>624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2">
        <v>0</v>
      </c>
    </row>
    <row r="33" spans="1:34" x14ac:dyDescent="0.25">
      <c r="A33" s="212">
        <v>32</v>
      </c>
      <c r="B33" s="213" t="s">
        <v>625</v>
      </c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2">
        <v>0</v>
      </c>
    </row>
    <row r="34" spans="1:34" x14ac:dyDescent="0.25">
      <c r="A34" s="212">
        <v>33</v>
      </c>
      <c r="B34" s="213" t="s">
        <v>626</v>
      </c>
      <c r="C34" s="213"/>
      <c r="D34" s="213" t="s">
        <v>26</v>
      </c>
      <c r="E34" s="213" t="s">
        <v>26</v>
      </c>
      <c r="F34" s="213" t="s">
        <v>26</v>
      </c>
      <c r="G34" s="213" t="s">
        <v>84</v>
      </c>
      <c r="H34" s="213"/>
      <c r="I34" s="213" t="s">
        <v>26</v>
      </c>
      <c r="J34" s="213" t="s">
        <v>26</v>
      </c>
      <c r="K34" s="213"/>
      <c r="L34" s="213" t="s">
        <v>65</v>
      </c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>
        <v>73</v>
      </c>
    </row>
    <row r="35" spans="1:34" x14ac:dyDescent="0.25">
      <c r="A35" s="212">
        <v>34</v>
      </c>
      <c r="B35" s="213" t="s">
        <v>631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2">
        <v>0</v>
      </c>
    </row>
    <row r="36" spans="1:34" x14ac:dyDescent="0.25">
      <c r="A36" s="212">
        <v>35</v>
      </c>
      <c r="B36" s="213" t="s">
        <v>627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2">
        <v>0</v>
      </c>
    </row>
    <row r="37" spans="1:34" x14ac:dyDescent="0.25">
      <c r="A37" s="212">
        <v>36</v>
      </c>
      <c r="B37" s="213" t="s">
        <v>34</v>
      </c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2">
        <v>0</v>
      </c>
    </row>
    <row r="38" spans="1:34" x14ac:dyDescent="0.25">
      <c r="A38" s="212">
        <v>37</v>
      </c>
      <c r="B38" s="213" t="s">
        <v>628</v>
      </c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2">
        <v>0</v>
      </c>
    </row>
    <row r="39" spans="1:34" x14ac:dyDescent="0.25">
      <c r="A39" s="212">
        <v>38</v>
      </c>
      <c r="B39" s="213" t="s">
        <v>621</v>
      </c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2">
        <v>0</v>
      </c>
    </row>
    <row r="40" spans="1:34" x14ac:dyDescent="0.25">
      <c r="A40" s="212">
        <v>39</v>
      </c>
      <c r="B40" s="213" t="s">
        <v>45</v>
      </c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2">
        <v>0</v>
      </c>
    </row>
    <row r="41" spans="1:34" x14ac:dyDescent="0.25">
      <c r="A41" s="212">
        <v>40</v>
      </c>
      <c r="B41" s="213" t="s">
        <v>634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2">
        <v>0</v>
      </c>
    </row>
    <row r="42" spans="1:34" x14ac:dyDescent="0.25">
      <c r="A42" s="212">
        <v>41</v>
      </c>
      <c r="B42" s="213" t="s">
        <v>648</v>
      </c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2">
        <v>0</v>
      </c>
    </row>
    <row r="43" spans="1:34" x14ac:dyDescent="0.25">
      <c r="A43" s="212">
        <v>42</v>
      </c>
      <c r="B43" s="213" t="s">
        <v>632</v>
      </c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2">
        <v>0</v>
      </c>
    </row>
    <row r="44" spans="1:34" x14ac:dyDescent="0.25">
      <c r="A44" s="212">
        <v>43</v>
      </c>
      <c r="B44" s="213" t="s">
        <v>633</v>
      </c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2">
        <v>0</v>
      </c>
    </row>
    <row r="45" spans="1:34" x14ac:dyDescent="0.25">
      <c r="A45" s="212">
        <v>44</v>
      </c>
      <c r="B45" s="213" t="s">
        <v>635</v>
      </c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2">
        <v>0</v>
      </c>
    </row>
    <row r="46" spans="1:34" x14ac:dyDescent="0.25">
      <c r="A46" s="212">
        <v>45</v>
      </c>
      <c r="B46" s="213" t="s">
        <v>636</v>
      </c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2">
        <v>0</v>
      </c>
    </row>
    <row r="47" spans="1:34" x14ac:dyDescent="0.25">
      <c r="A47" s="212">
        <v>46</v>
      </c>
      <c r="B47" s="213" t="s">
        <v>637</v>
      </c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2">
        <v>0</v>
      </c>
    </row>
    <row r="48" spans="1:34" x14ac:dyDescent="0.25">
      <c r="A48" s="212">
        <v>47</v>
      </c>
      <c r="B48" s="213" t="s">
        <v>638</v>
      </c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2">
        <v>0</v>
      </c>
    </row>
    <row r="49" spans="1:34" x14ac:dyDescent="0.25">
      <c r="A49" s="212">
        <v>48</v>
      </c>
      <c r="B49" s="213" t="s">
        <v>630</v>
      </c>
      <c r="C49" s="213" t="s">
        <v>26</v>
      </c>
      <c r="D49" s="213" t="s">
        <v>26</v>
      </c>
      <c r="E49" s="213" t="s">
        <v>26</v>
      </c>
      <c r="F49" s="213" t="s">
        <v>26</v>
      </c>
      <c r="G49" s="213" t="s">
        <v>83</v>
      </c>
      <c r="H49" s="213"/>
      <c r="I49" s="213" t="s">
        <v>26</v>
      </c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4">
        <v>60</v>
      </c>
    </row>
    <row r="50" spans="1:34" x14ac:dyDescent="0.25">
      <c r="A50" s="212">
        <v>49</v>
      </c>
      <c r="B50" s="213" t="s">
        <v>640</v>
      </c>
      <c r="C50" s="213" t="s">
        <v>26</v>
      </c>
      <c r="D50" s="213" t="s">
        <v>26</v>
      </c>
      <c r="E50" s="213" t="s">
        <v>26</v>
      </c>
      <c r="F50" s="213" t="s">
        <v>26</v>
      </c>
      <c r="G50" s="213"/>
      <c r="H50" s="213"/>
      <c r="I50" s="213" t="s">
        <v>26</v>
      </c>
      <c r="J50" s="213" t="s">
        <v>26</v>
      </c>
      <c r="K50" s="213" t="s">
        <v>26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4">
        <v>77</v>
      </c>
    </row>
    <row r="51" spans="1:34" x14ac:dyDescent="0.25">
      <c r="A51" s="212">
        <v>50</v>
      </c>
      <c r="B51" s="213" t="s">
        <v>642</v>
      </c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2">
        <v>0</v>
      </c>
    </row>
    <row r="52" spans="1:34" x14ac:dyDescent="0.25">
      <c r="A52" s="212">
        <v>51</v>
      </c>
      <c r="B52" s="213" t="s">
        <v>643</v>
      </c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2">
        <v>0</v>
      </c>
    </row>
    <row r="53" spans="1:34" x14ac:dyDescent="0.25">
      <c r="A53" s="212">
        <v>52</v>
      </c>
      <c r="B53" s="213" t="s">
        <v>646</v>
      </c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2">
        <v>0</v>
      </c>
    </row>
    <row r="54" spans="1:34" x14ac:dyDescent="0.25">
      <c r="A54" s="212">
        <v>53</v>
      </c>
      <c r="B54" s="213" t="s">
        <v>644</v>
      </c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2">
        <v>0</v>
      </c>
    </row>
    <row r="55" spans="1:34" x14ac:dyDescent="0.25">
      <c r="A55" s="212">
        <v>54</v>
      </c>
      <c r="B55" s="213" t="s">
        <v>641</v>
      </c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2">
        <v>0</v>
      </c>
    </row>
    <row r="56" spans="1:34" x14ac:dyDescent="0.25">
      <c r="A56" s="212">
        <v>55</v>
      </c>
      <c r="B56" s="213" t="s">
        <v>647</v>
      </c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2">
        <v>0</v>
      </c>
    </row>
    <row r="57" spans="1:34" x14ac:dyDescent="0.25">
      <c r="A57" s="212">
        <v>56</v>
      </c>
      <c r="B57" s="213" t="s">
        <v>663</v>
      </c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2">
        <v>0</v>
      </c>
    </row>
    <row r="58" spans="1:34" x14ac:dyDescent="0.25">
      <c r="A58" s="212">
        <v>57</v>
      </c>
      <c r="B58" s="213" t="s">
        <v>649</v>
      </c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2">
        <v>0</v>
      </c>
    </row>
    <row r="59" spans="1:34" x14ac:dyDescent="0.25">
      <c r="A59" s="212">
        <v>58</v>
      </c>
      <c r="B59" s="213" t="s">
        <v>650</v>
      </c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2">
        <v>0</v>
      </c>
    </row>
    <row r="60" spans="1:34" x14ac:dyDescent="0.25">
      <c r="A60" s="212">
        <v>59</v>
      </c>
      <c r="B60" s="213" t="s">
        <v>651</v>
      </c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2">
        <v>0</v>
      </c>
    </row>
    <row r="61" spans="1:34" x14ac:dyDescent="0.25">
      <c r="A61" s="212">
        <v>60</v>
      </c>
      <c r="B61" s="213" t="s">
        <v>653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2">
        <v>0</v>
      </c>
    </row>
    <row r="62" spans="1:34" x14ac:dyDescent="0.25">
      <c r="A62" s="212">
        <v>61</v>
      </c>
      <c r="B62" s="213" t="s">
        <v>654</v>
      </c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2">
        <v>0</v>
      </c>
    </row>
    <row r="63" spans="1:34" x14ac:dyDescent="0.25">
      <c r="A63" s="212">
        <v>62</v>
      </c>
      <c r="B63" s="213" t="s">
        <v>655</v>
      </c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2">
        <v>0</v>
      </c>
    </row>
    <row r="64" spans="1:34" x14ac:dyDescent="0.25">
      <c r="A64" s="212">
        <v>63</v>
      </c>
      <c r="B64" s="213" t="s">
        <v>656</v>
      </c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2">
        <v>0</v>
      </c>
    </row>
    <row r="65" spans="1:34" x14ac:dyDescent="0.25">
      <c r="A65" s="212">
        <v>64</v>
      </c>
      <c r="B65" s="213" t="s">
        <v>657</v>
      </c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2">
        <v>0</v>
      </c>
    </row>
    <row r="66" spans="1:34" x14ac:dyDescent="0.25">
      <c r="A66" s="212">
        <v>65</v>
      </c>
      <c r="B66" s="213" t="s">
        <v>658</v>
      </c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2">
        <v>0</v>
      </c>
    </row>
    <row r="67" spans="1:34" x14ac:dyDescent="0.25">
      <c r="A67" s="212">
        <v>66</v>
      </c>
      <c r="B67" s="213" t="s">
        <v>660</v>
      </c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2">
        <v>0</v>
      </c>
    </row>
    <row r="68" spans="1:34" x14ac:dyDescent="0.25">
      <c r="A68" s="212">
        <v>67</v>
      </c>
      <c r="B68" s="213" t="s">
        <v>661</v>
      </c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2">
        <v>0</v>
      </c>
    </row>
    <row r="69" spans="1:34" x14ac:dyDescent="0.25">
      <c r="A69" s="212">
        <v>68</v>
      </c>
      <c r="B69" s="213" t="s">
        <v>662</v>
      </c>
      <c r="C69" s="213" t="s">
        <v>26</v>
      </c>
      <c r="D69" s="213" t="s">
        <v>26</v>
      </c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4">
        <v>22</v>
      </c>
    </row>
    <row r="70" spans="1:34" x14ac:dyDescent="0.25">
      <c r="A70" s="212">
        <v>69</v>
      </c>
      <c r="B70" s="213" t="s">
        <v>20</v>
      </c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2">
        <v>0</v>
      </c>
    </row>
    <row r="71" spans="1:34" x14ac:dyDescent="0.25">
      <c r="A71" s="212">
        <v>70</v>
      </c>
      <c r="B71" s="213" t="s">
        <v>667</v>
      </c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2">
        <v>0</v>
      </c>
    </row>
    <row r="72" spans="1:34" x14ac:dyDescent="0.25">
      <c r="A72" s="212">
        <v>71</v>
      </c>
      <c r="B72" s="213" t="s">
        <v>668</v>
      </c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2">
        <v>0</v>
      </c>
    </row>
    <row r="73" spans="1:34" x14ac:dyDescent="0.25">
      <c r="A73" s="212">
        <v>72</v>
      </c>
      <c r="B73" s="213" t="s">
        <v>669</v>
      </c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2">
        <v>0</v>
      </c>
    </row>
    <row r="74" spans="1:34" x14ac:dyDescent="0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5">
        <v>304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0E000000}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Лист2</vt:lpstr>
      <vt:lpstr>Лист1</vt:lpstr>
      <vt:lpstr>Табель цех 01 по 15 липня</vt:lpstr>
      <vt:lpstr>Цо</vt:lpstr>
      <vt:lpstr>IRS</vt:lpstr>
      <vt:lpstr>Катеринополь</vt:lpstr>
      <vt:lpstr>Мк нежин</vt:lpstr>
      <vt:lpstr>ЕМС Вооз</vt:lpstr>
      <vt:lpstr>ООН</vt:lpstr>
      <vt:lpstr>Червоний хрест</vt:lpstr>
      <vt:lpstr>Укрнафта</vt:lpstr>
      <vt:lpstr>Кернел</vt:lpstr>
      <vt:lpstr>Глобино Мк</vt:lpstr>
      <vt:lpstr>МД Франківськ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2025-09-22T20:20:38Z</dcterms:modified>
</cp:coreProperties>
</file>
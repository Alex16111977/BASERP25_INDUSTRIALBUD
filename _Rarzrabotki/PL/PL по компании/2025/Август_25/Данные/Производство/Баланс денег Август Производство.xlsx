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o\Desktop\"/>
    </mc:Choice>
  </mc:AlternateContent>
  <xr:revisionPtr revIDLastSave="0" documentId="13_ncr:1_{CDE9EDB3-80DE-49AC-B47D-00447582BADD}" xr6:coauthVersionLast="45" xr6:coauthVersionMax="45" xr10:uidLastSave="{00000000-0000-0000-0000-000000000000}"/>
  <bookViews>
    <workbookView xWindow="-120" yWindow="-120" windowWidth="29040" windowHeight="15990" firstSheet="5" activeTab="10" xr2:uid="{00000000-000D-0000-FFFF-FFFF00000000}"/>
  </bookViews>
  <sheets>
    <sheet name="МД ВООЗ ЕМС" sheetId="7" r:id="rId1"/>
    <sheet name="Кернел Кухня" sheetId="8" r:id="rId2"/>
    <sheet name="МК МХП Катеринополь" sheetId="9" r:id="rId3"/>
    <sheet name="МК Глобино" sheetId="10" r:id="rId4"/>
    <sheet name="МД ООН 2025" sheetId="11" r:id="rId5"/>
    <sheet name="МД МХП Туалетный блок" sheetId="12" r:id="rId6"/>
    <sheet name="МД Червоний Хрест" sheetId="13" r:id="rId7"/>
    <sheet name="МК Нежин 2025" sheetId="14" r:id="rId8"/>
    <sheet name="МД Укрнафта контейнер 3 на 4" sheetId="15" r:id="rId9"/>
    <sheet name="МД МХП Франковск " sheetId="16" r:id="rId10"/>
    <sheet name="МД IRS" sheetId="17" r:id="rId11"/>
    <sheet name="Производство" sheetId="18" r:id="rId12"/>
  </sheets>
  <externalReferences>
    <externalReference r:id="rId13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17" l="1"/>
  <c r="B9" i="17"/>
  <c r="E15" i="16"/>
  <c r="B9" i="16"/>
  <c r="E15" i="15"/>
  <c r="B9" i="15"/>
  <c r="E15" i="13"/>
  <c r="B9" i="13"/>
  <c r="E15" i="11"/>
  <c r="B9" i="11"/>
  <c r="E15" i="7"/>
  <c r="B9" i="7"/>
  <c r="E31" i="18" l="1"/>
  <c r="B30" i="18"/>
  <c r="B31" i="18"/>
  <c r="B24" i="8"/>
  <c r="E31" i="8"/>
  <c r="E34" i="8" l="1"/>
  <c r="E34" i="9"/>
  <c r="E34" i="10" l="1"/>
  <c r="B20" i="10"/>
  <c r="E8" i="10"/>
  <c r="E34" i="11" l="1"/>
  <c r="E8" i="11"/>
  <c r="B24" i="12"/>
  <c r="E34" i="12"/>
  <c r="E33" i="12"/>
  <c r="E8" i="12"/>
  <c r="E31" i="13" l="1"/>
  <c r="E34" i="13"/>
  <c r="B24" i="13"/>
  <c r="E20" i="13"/>
  <c r="E8" i="13"/>
  <c r="E8" i="14"/>
  <c r="E31" i="15" l="1"/>
  <c r="B28" i="17"/>
  <c r="B28" i="15"/>
  <c r="E34" i="15"/>
  <c r="E8" i="16"/>
  <c r="E34" i="16"/>
  <c r="E34" i="17" l="1"/>
  <c r="B12" i="17" l="1"/>
  <c r="E31" i="17"/>
  <c r="B13" i="17"/>
  <c r="E8" i="17"/>
  <c r="B4" i="7" l="1"/>
  <c r="E8" i="7"/>
  <c r="E34" i="7" l="1"/>
  <c r="E8" i="15" l="1"/>
  <c r="B35" i="18" l="1"/>
  <c r="B34" i="18"/>
  <c r="B29" i="18"/>
  <c r="E29" i="18" s="1"/>
  <c r="B26" i="18"/>
  <c r="E26" i="18" s="1"/>
  <c r="B25" i="18"/>
  <c r="E25" i="18" s="1"/>
  <c r="B24" i="18"/>
  <c r="E24" i="18" s="1"/>
  <c r="E21" i="11"/>
  <c r="E20" i="11"/>
  <c r="B21" i="18"/>
  <c r="E21" i="18" s="1"/>
  <c r="B20" i="18"/>
  <c r="E20" i="18" s="1"/>
  <c r="B27" i="18"/>
  <c r="E27" i="18" s="1"/>
  <c r="E9" i="18"/>
  <c r="E3" i="18"/>
  <c r="B13" i="18"/>
  <c r="B12" i="18"/>
  <c r="G43" i="18" s="1"/>
  <c r="B10" i="18"/>
  <c r="B5" i="18"/>
  <c r="B6" i="18"/>
  <c r="B4" i="18"/>
  <c r="E30" i="18"/>
  <c r="B33" i="18" l="1"/>
  <c r="E33" i="18" s="1"/>
  <c r="E15" i="18"/>
  <c r="E38" i="18" s="1"/>
  <c r="B9" i="18"/>
  <c r="B3" i="18"/>
  <c r="B28" i="18"/>
  <c r="B19" i="18"/>
  <c r="B15" i="18" l="1"/>
  <c r="E17" i="18" l="1"/>
  <c r="E20" i="15"/>
  <c r="E21" i="15"/>
  <c r="B34" i="14"/>
  <c r="E34" i="14"/>
  <c r="B33" i="11"/>
  <c r="E33" i="11" s="1"/>
  <c r="E21" i="8"/>
  <c r="E21" i="7"/>
  <c r="E20" i="7"/>
  <c r="B33" i="17"/>
  <c r="E33" i="17" s="1"/>
  <c r="E30" i="17"/>
  <c r="E29" i="17"/>
  <c r="E27" i="17"/>
  <c r="E26" i="17"/>
  <c r="E25" i="17"/>
  <c r="E24" i="17"/>
  <c r="B23" i="17"/>
  <c r="E21" i="17"/>
  <c r="E20" i="17"/>
  <c r="B19" i="17"/>
  <c r="B8" i="17"/>
  <c r="B3" i="17"/>
  <c r="D2" i="17"/>
  <c r="B33" i="16"/>
  <c r="E33" i="16" s="1"/>
  <c r="E30" i="16"/>
  <c r="E29" i="16"/>
  <c r="B28" i="16"/>
  <c r="E27" i="16"/>
  <c r="E26" i="16"/>
  <c r="E25" i="16"/>
  <c r="E24" i="16"/>
  <c r="B23" i="16"/>
  <c r="E21" i="16"/>
  <c r="E20" i="16"/>
  <c r="B19" i="16"/>
  <c r="E39" i="16"/>
  <c r="B8" i="16"/>
  <c r="B3" i="16"/>
  <c r="D2" i="16"/>
  <c r="B33" i="15"/>
  <c r="E33" i="15" s="1"/>
  <c r="E30" i="15"/>
  <c r="E29" i="15"/>
  <c r="E27" i="15"/>
  <c r="E26" i="15"/>
  <c r="E25" i="15"/>
  <c r="E24" i="15"/>
  <c r="B23" i="15"/>
  <c r="B19" i="15"/>
  <c r="E39" i="15"/>
  <c r="B8" i="15"/>
  <c r="B3" i="15"/>
  <c r="D2" i="15"/>
  <c r="B33" i="14"/>
  <c r="E33" i="14" s="1"/>
  <c r="E30" i="14"/>
  <c r="E29" i="14"/>
  <c r="B28" i="14"/>
  <c r="E27" i="14"/>
  <c r="E26" i="14"/>
  <c r="E25" i="14"/>
  <c r="E24" i="14"/>
  <c r="B23" i="14"/>
  <c r="E21" i="14"/>
  <c r="E20" i="14"/>
  <c r="B19" i="14"/>
  <c r="E39" i="14"/>
  <c r="B8" i="14"/>
  <c r="B3" i="14"/>
  <c r="D2" i="14"/>
  <c r="B33" i="13"/>
  <c r="E33" i="13" s="1"/>
  <c r="E30" i="13"/>
  <c r="E29" i="13"/>
  <c r="B28" i="13"/>
  <c r="E27" i="13"/>
  <c r="E26" i="13"/>
  <c r="E25" i="13"/>
  <c r="E24" i="13"/>
  <c r="B23" i="13"/>
  <c r="E21" i="13"/>
  <c r="B19" i="13"/>
  <c r="E39" i="13"/>
  <c r="B8" i="13"/>
  <c r="B3" i="13"/>
  <c r="D2" i="13"/>
  <c r="B33" i="12"/>
  <c r="E30" i="12"/>
  <c r="E29" i="12"/>
  <c r="B28" i="12"/>
  <c r="E27" i="12"/>
  <c r="E26" i="12"/>
  <c r="E25" i="12"/>
  <c r="E24" i="12"/>
  <c r="B23" i="12"/>
  <c r="E21" i="12"/>
  <c r="E20" i="12"/>
  <c r="B19" i="12"/>
  <c r="E39" i="12"/>
  <c r="B8" i="12"/>
  <c r="B3" i="12"/>
  <c r="D2" i="12"/>
  <c r="E30" i="11"/>
  <c r="E29" i="11"/>
  <c r="B28" i="11"/>
  <c r="E27" i="11"/>
  <c r="E26" i="11"/>
  <c r="E25" i="11"/>
  <c r="E24" i="11"/>
  <c r="B23" i="11"/>
  <c r="B19" i="11"/>
  <c r="E39" i="11"/>
  <c r="B8" i="11"/>
  <c r="B3" i="11"/>
  <c r="D2" i="11"/>
  <c r="B33" i="10"/>
  <c r="E33" i="10" s="1"/>
  <c r="E30" i="10"/>
  <c r="E29" i="10"/>
  <c r="B28" i="10"/>
  <c r="E27" i="10"/>
  <c r="E26" i="10"/>
  <c r="E25" i="10"/>
  <c r="E24" i="10"/>
  <c r="B23" i="10"/>
  <c r="E21" i="10"/>
  <c r="E20" i="10"/>
  <c r="B19" i="10"/>
  <c r="B8" i="10"/>
  <c r="B3" i="10"/>
  <c r="D2" i="10"/>
  <c r="B33" i="9"/>
  <c r="E33" i="9" s="1"/>
  <c r="E30" i="9"/>
  <c r="E29" i="9"/>
  <c r="B28" i="9"/>
  <c r="E27" i="9"/>
  <c r="E26" i="9"/>
  <c r="E25" i="9"/>
  <c r="E24" i="9"/>
  <c r="B23" i="9"/>
  <c r="E21" i="9"/>
  <c r="E20" i="9"/>
  <c r="B19" i="9"/>
  <c r="B8" i="9"/>
  <c r="B3" i="9"/>
  <c r="D2" i="9"/>
  <c r="B33" i="8"/>
  <c r="E33" i="8" s="1"/>
  <c r="E30" i="8"/>
  <c r="E29" i="8"/>
  <c r="B28" i="8"/>
  <c r="E27" i="8"/>
  <c r="E26" i="8"/>
  <c r="E25" i="8"/>
  <c r="E24" i="8"/>
  <c r="B23" i="8"/>
  <c r="E20" i="8"/>
  <c r="B19" i="8"/>
  <c r="E15" i="8"/>
  <c r="E39" i="8" s="1"/>
  <c r="B8" i="8"/>
  <c r="B3" i="8"/>
  <c r="D2" i="8"/>
  <c r="E34" i="18" l="1"/>
  <c r="E35" i="18" s="1"/>
  <c r="B38" i="18" s="1"/>
  <c r="B15" i="12"/>
  <c r="E35" i="12"/>
  <c r="B39" i="12"/>
  <c r="B40" i="12" s="1"/>
  <c r="C40" i="12" s="1"/>
  <c r="E35" i="13"/>
  <c r="E35" i="15"/>
  <c r="B15" i="8"/>
  <c r="E35" i="9"/>
  <c r="E35" i="17"/>
  <c r="B15" i="17"/>
  <c r="E35" i="16"/>
  <c r="B15" i="15"/>
  <c r="B15" i="16"/>
  <c r="E35" i="14"/>
  <c r="B15" i="14"/>
  <c r="B15" i="13"/>
  <c r="B39" i="13" s="1"/>
  <c r="B40" i="13" s="1"/>
  <c r="C40" i="13" s="1"/>
  <c r="E35" i="11"/>
  <c r="B15" i="11"/>
  <c r="E17" i="11" s="1"/>
  <c r="E35" i="10"/>
  <c r="B15" i="10"/>
  <c r="E17" i="10" s="1"/>
  <c r="B15" i="9"/>
  <c r="E17" i="17"/>
  <c r="E39" i="17"/>
  <c r="E17" i="16"/>
  <c r="B39" i="15"/>
  <c r="E17" i="15"/>
  <c r="E17" i="14"/>
  <c r="E17" i="12"/>
  <c r="E39" i="10"/>
  <c r="E39" i="9"/>
  <c r="E35" i="8"/>
  <c r="B39" i="8" s="1"/>
  <c r="B40" i="8" s="1"/>
  <c r="C40" i="8" s="1"/>
  <c r="B39" i="9" l="1"/>
  <c r="B40" i="9" s="1"/>
  <c r="C40" i="9" s="1"/>
  <c r="B39" i="11"/>
  <c r="B40" i="11" s="1"/>
  <c r="C40" i="11" s="1"/>
  <c r="B40" i="15"/>
  <c r="C40" i="15" s="1"/>
  <c r="B39" i="16"/>
  <c r="B40" i="16" s="1"/>
  <c r="C40" i="16" s="1"/>
  <c r="E17" i="13"/>
  <c r="B39" i="17"/>
  <c r="B40" i="17"/>
  <c r="C40" i="17" s="1"/>
  <c r="B39" i="14"/>
  <c r="B40" i="14" s="1"/>
  <c r="C40" i="14" s="1"/>
  <c r="B39" i="10"/>
  <c r="B40" i="10" s="1"/>
  <c r="C40" i="10" s="1"/>
  <c r="E17" i="9"/>
  <c r="E17" i="8"/>
  <c r="B33" i="7" l="1"/>
  <c r="E33" i="7" s="1"/>
  <c r="E30" i="7"/>
  <c r="E29" i="7"/>
  <c r="B28" i="7"/>
  <c r="E27" i="7"/>
  <c r="E26" i="7"/>
  <c r="E25" i="7"/>
  <c r="E24" i="7"/>
  <c r="B23" i="7"/>
  <c r="B8" i="7"/>
  <c r="B3" i="7"/>
  <c r="D2" i="7"/>
  <c r="E39" i="7" l="1"/>
  <c r="B15" i="7"/>
  <c r="B19" i="7"/>
  <c r="E35" i="7" l="1"/>
  <c r="B39" i="7" s="1"/>
  <c r="B40" i="7" s="1"/>
  <c r="C40" i="7" l="1"/>
  <c r="B39" i="18"/>
  <c r="C39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a.terekhova</author>
  </authors>
  <commentList>
    <comment ref="B21" authorId="0" shapeId="0" xr:uid="{9BD8F75A-43EA-4980-A1F0-FD3D332A8743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Аванс
</t>
        </r>
      </text>
    </comment>
  </commentList>
</comments>
</file>

<file path=xl/sharedStrings.xml><?xml version="1.0" encoding="utf-8"?>
<sst xmlns="http://schemas.openxmlformats.org/spreadsheetml/2006/main" count="446" uniqueCount="60">
  <si>
    <t xml:space="preserve">CF </t>
  </si>
  <si>
    <t>Поступление от заказчика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</si>
  <si>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</si>
  <si>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</si>
  <si>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</si>
  <si>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</si>
  <si>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</si>
  <si>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</si>
  <si>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</si>
  <si>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</si>
  <si>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%% по кредиту</t>
  </si>
  <si>
    <t>Внутригрупповые</t>
  </si>
  <si>
    <t>Остатки на складах , грн</t>
  </si>
  <si>
    <t>ДОХОД, грн</t>
  </si>
  <si>
    <t>РАСХОД, грн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</si>
  <si>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</si>
  <si>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</si>
  <si>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</si>
  <si>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</si>
  <si>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</si>
  <si>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</si>
  <si>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Итого DIFF с учетом Остатков и Задолженностей:</t>
  </si>
  <si>
    <t>КТ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</si>
  <si>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</si>
  <si>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</si>
  <si>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</si>
  <si>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</si>
  <si>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</si>
  <si>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Задолженность  Заказчика  на 31-07-2025</t>
  </si>
  <si>
    <t>3.Финансовая деятельность</t>
  </si>
  <si>
    <t>Склады Цех_ВООЗ(ЕМС)</t>
  </si>
  <si>
    <t>Кредитная линия</t>
  </si>
  <si>
    <t>Цех_МШП (ТОВ "ІНДАСТРІАЛБУД")</t>
  </si>
  <si>
    <t>Цех_Кернел кухня, грн</t>
  </si>
  <si>
    <t>Кредит (на повернення)</t>
  </si>
  <si>
    <t>Склад МШП - СТІЛ МХП</t>
  </si>
  <si>
    <t>ТОВ Индепт Стил ( счет 201) - остатки МШП</t>
  </si>
  <si>
    <t>ТОВ Индепт Стил ( счет 221) - остатки МШП</t>
  </si>
  <si>
    <t>Склад МШП СТІЛ Глобино виробничий</t>
  </si>
  <si>
    <t>СТІЛ ЦЕХ Глобино</t>
  </si>
  <si>
    <t>Склад Цех МД ООН, грн</t>
  </si>
  <si>
    <t>Склад МШП: Цех МД ООН, грн</t>
  </si>
  <si>
    <t>Склад Цех_Червоний хрест, грн</t>
  </si>
  <si>
    <t>Склад МШП: Цех_Червоний хрест, грн</t>
  </si>
  <si>
    <t>МШП: СТІЛ Склад Ніжин, грн</t>
  </si>
  <si>
    <t>МШП: СТІЛ Склад Ніжин(Вироб), грн</t>
  </si>
  <si>
    <t>Склад Стіл Укрнафта, грн</t>
  </si>
  <si>
    <t>Склад МШП: Стіл Укрнафта виробничий, грн</t>
  </si>
  <si>
    <t>Склад Цех_МД МХП Франковск, грн</t>
  </si>
  <si>
    <t>Склад Цех МД IRS, грн</t>
  </si>
  <si>
    <t>01/01/2025 - 31/07/2025</t>
  </si>
  <si>
    <t>01/01/2025 - 30/06/2025</t>
  </si>
  <si>
    <t>Залишки</t>
  </si>
  <si>
    <t>МШП</t>
  </si>
  <si>
    <t>Склады Цех_</t>
  </si>
  <si>
    <t>%%</t>
  </si>
  <si>
    <t>Задолженность по ЗП, %%</t>
  </si>
  <si>
    <t xml:space="preserve"> - 31/08/2025</t>
  </si>
  <si>
    <t xml:space="preserve">  - 31.08.2025</t>
  </si>
  <si>
    <t>Задолженность  Заказчика  на 31-08-2025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</si>
</sst>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&quot;₴&quot;_-;\-* #,##0.00&quot;₴&quot;_-;_-* &quot;-&quot;??&quot;₴&quot;_-;_-@_-"/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3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2597">
    <xf numFmtId="0" fontId="0" fillId="0" borderId="0"/>
    <xf numFmtId="0" fontId="4" fillId="0" borderId="0" applyNumberFormat="0" applyFont="0" applyFill="0" applyBorder="0" applyAlignment="0">
      <alignment horizontal="center" vertical="center"/>
    </xf>
    <xf numFmtId="167" fontId="5" fillId="0" borderId="0" applyFont="0" applyFill="0" applyBorder="0" applyAlignment="0" applyProtection="0"/>
    <xf numFmtId="168" fontId="6" fillId="0" borderId="0"/>
    <xf numFmtId="49" fontId="7" fillId="0" borderId="0">
      <alignment horizontal="left" vertical="center" wrapText="1"/>
    </xf>
    <xf numFmtId="0" fontId="8" fillId="0" borderId="0">
      <alignment horizontal="left" vertical="center"/>
    </xf>
    <xf numFmtId="0" fontId="9" fillId="0" borderId="1">
      <alignment horizontal="left" vertical="center" wrapText="1"/>
    </xf>
    <xf numFmtId="0" fontId="8" fillId="0" borderId="1">
      <alignment horizontal="right" vertical="center"/>
    </xf>
    <xf numFmtId="0" fontId="9" fillId="0" borderId="2">
      <alignment horizontal="left" vertical="center" wrapText="1"/>
    </xf>
    <xf numFmtId="0" fontId="9" fillId="0" borderId="3">
      <alignment horizontal="center" vertical="center" wrapText="1"/>
    </xf>
    <xf numFmtId="0" fontId="9" fillId="0" borderId="3">
      <alignment horizontal="right" vertical="center" wrapText="1"/>
    </xf>
    <xf numFmtId="49" fontId="9" fillId="0" borderId="4">
      <alignment horizontal="right" vertical="top" wrapText="1"/>
    </xf>
    <xf numFmtId="0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2">
      <alignment horizontal="left" vertical="center" wrapText="1"/>
    </xf>
    <xf numFmtId="0" fontId="10" fillId="0" borderId="3">
      <alignment horizontal="right" vertical="center" wrapText="1"/>
    </xf>
    <xf numFmtId="49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10" fillId="0" borderId="3">
      <alignment horizontal="center" vertical="center" wrapText="1"/>
    </xf>
    <xf numFmtId="0" fontId="8" fillId="0" borderId="1">
      <alignment horizontal="right" vertical="center" wrapText="1"/>
    </xf>
    <xf numFmtId="0" fontId="9" fillId="0" borderId="5">
      <alignment horizontal="left" vertical="center" wrapText="1"/>
    </xf>
    <xf numFmtId="49" fontId="10" fillId="0" borderId="6">
      <alignment horizontal="center" vertical="top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0" fillId="0" borderId="2">
      <alignment horizontal="left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49" fontId="10" fillId="0" borderId="3">
      <alignment horizontal="right" vertical="center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1" fillId="0" borderId="10">
      <alignment horizontal="center" vertical="center" wrapText="1"/>
    </xf>
    <xf numFmtId="0" fontId="8" fillId="0" borderId="11">
      <alignment horizontal="center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0" fontId="9" fillId="0" borderId="7">
      <alignment horizontal="left" vertical="center" wrapText="1"/>
    </xf>
    <xf numFmtId="0" fontId="9" fillId="0" borderId="12">
      <alignment horizontal="left" vertical="center" wrapText="1"/>
    </xf>
    <xf numFmtId="0" fontId="9" fillId="0" borderId="13">
      <alignment horizontal="left" vertical="center" wrapText="1"/>
    </xf>
    <xf numFmtId="49" fontId="10" fillId="0" borderId="14">
      <alignment horizontal="left" vertical="center" wrapText="1"/>
    </xf>
    <xf numFmtId="0" fontId="9" fillId="0" borderId="15">
      <alignment horizontal="left" vertical="center" wrapText="1"/>
    </xf>
    <xf numFmtId="0" fontId="9" fillId="0" borderId="16">
      <alignment horizontal="left" vertical="center" wrapText="1"/>
    </xf>
    <xf numFmtId="49" fontId="10" fillId="0" borderId="12">
      <alignment horizontal="right" vertical="center" wrapText="1"/>
    </xf>
    <xf numFmtId="0" fontId="10" fillId="0" borderId="12">
      <alignment horizontal="left" vertical="center" wrapText="1"/>
    </xf>
    <xf numFmtId="49" fontId="9" fillId="0" borderId="17">
      <alignment horizontal="center" vertical="center" wrapText="1"/>
    </xf>
    <xf numFmtId="0" fontId="8" fillId="0" borderId="18">
      <alignment horizontal="center" vertical="center" wrapText="1"/>
    </xf>
    <xf numFmtId="0" fontId="10" fillId="0" borderId="19">
      <alignment horizontal="left" vertical="center" wrapText="1"/>
    </xf>
    <xf numFmtId="49" fontId="10" fillId="0" borderId="19">
      <alignment horizontal="left" wrapText="1"/>
    </xf>
    <xf numFmtId="0" fontId="9" fillId="0" borderId="20">
      <alignment horizontal="left" vertical="center" wrapText="1"/>
    </xf>
    <xf numFmtId="0" fontId="9" fillId="0" borderId="21">
      <alignment horizontal="left" vertical="center" wrapText="1"/>
    </xf>
    <xf numFmtId="49" fontId="10" fillId="0" borderId="22">
      <alignment horizontal="right" vertical="center" wrapText="1"/>
    </xf>
    <xf numFmtId="0" fontId="10" fillId="0" borderId="23">
      <alignment horizontal="left" vertical="center" wrapText="1"/>
    </xf>
    <xf numFmtId="0" fontId="9" fillId="0" borderId="19">
      <alignment horizontal="left" vertical="center" wrapText="1"/>
    </xf>
    <xf numFmtId="49" fontId="10" fillId="0" borderId="7">
      <alignment horizontal="right" vertical="center" wrapText="1"/>
    </xf>
    <xf numFmtId="0" fontId="10" fillId="0" borderId="11">
      <alignment horizontal="left" vertical="center" wrapText="1"/>
    </xf>
    <xf numFmtId="49" fontId="10" fillId="0" borderId="11">
      <alignment horizontal="left" vertical="center" wrapText="1"/>
    </xf>
    <xf numFmtId="49" fontId="10" fillId="0" borderId="2">
      <alignment horizontal="center" vertical="center" wrapText="1"/>
    </xf>
    <xf numFmtId="0" fontId="10" fillId="0" borderId="24">
      <alignment horizontal="left" vertical="center" wrapText="1"/>
    </xf>
    <xf numFmtId="0" fontId="10" fillId="0" borderId="25">
      <alignment horizontal="left" vertical="center" wrapText="1"/>
    </xf>
    <xf numFmtId="0" fontId="10" fillId="0" borderId="10">
      <alignment horizontal="right" vertical="center" wrapText="1"/>
    </xf>
    <xf numFmtId="0" fontId="10" fillId="0" borderId="26">
      <alignment horizontal="left" vertical="center" wrapText="1"/>
    </xf>
    <xf numFmtId="49" fontId="9" fillId="0" borderId="27">
      <alignment horizontal="left" vertical="center" wrapText="1"/>
    </xf>
    <xf numFmtId="0" fontId="9" fillId="0" borderId="28">
      <alignment horizontal="left" vertical="center" wrapText="1"/>
    </xf>
    <xf numFmtId="49" fontId="9" fillId="0" borderId="29">
      <alignment horizontal="right" vertical="center" wrapText="1"/>
    </xf>
    <xf numFmtId="49" fontId="9" fillId="0" borderId="4">
      <alignment horizontal="left" vertical="center" wrapText="1"/>
    </xf>
    <xf numFmtId="49" fontId="9" fillId="0" borderId="7">
      <alignment horizontal="right" vertical="center" wrapText="1"/>
    </xf>
    <xf numFmtId="0" fontId="10" fillId="0" borderId="8">
      <alignment horizontal="left" vertical="center" wrapText="1"/>
    </xf>
    <xf numFmtId="0" fontId="9" fillId="0" borderId="24">
      <alignment horizontal="center" vertical="center" wrapText="1"/>
    </xf>
    <xf numFmtId="0" fontId="10" fillId="0" borderId="9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9" fillId="0" borderId="24">
      <alignment horizontal="left" vertical="center" wrapText="1"/>
    </xf>
    <xf numFmtId="49" fontId="9" fillId="0" borderId="0">
      <alignment horizontal="left" vertical="center"/>
    </xf>
    <xf numFmtId="0" fontId="9" fillId="0" borderId="0">
      <alignment horizontal="left" vertical="center"/>
    </xf>
    <xf numFmtId="0" fontId="9" fillId="0" borderId="25">
      <alignment horizontal="center" vertical="center" wrapText="1"/>
    </xf>
    <xf numFmtId="0" fontId="9" fillId="0" borderId="27">
      <alignment horizontal="left" vertical="center" wrapText="1"/>
    </xf>
    <xf numFmtId="49" fontId="10" fillId="0" borderId="6">
      <alignment horizontal="center" vertical="center" wrapText="1"/>
    </xf>
    <xf numFmtId="0" fontId="9" fillId="0" borderId="30">
      <alignment horizontal="center" vertical="center" wrapText="1"/>
    </xf>
    <xf numFmtId="0" fontId="8" fillId="0" borderId="3">
      <alignment horizontal="center" vertical="center" wrapText="1"/>
    </xf>
    <xf numFmtId="0" fontId="9" fillId="0" borderId="0">
      <alignment horizontal="left" vertical="center" wrapText="1"/>
    </xf>
    <xf numFmtId="0" fontId="12" fillId="0" borderId="0">
      <alignment horizontal="left" vertical="center"/>
    </xf>
    <xf numFmtId="0" fontId="9" fillId="0" borderId="31">
      <alignment horizontal="left" vertical="center" wrapText="1"/>
    </xf>
    <xf numFmtId="0" fontId="8" fillId="0" borderId="11">
      <alignment horizontal="left" vertical="center" wrapText="1"/>
    </xf>
    <xf numFmtId="0" fontId="9" fillId="0" borderId="32">
      <alignment horizontal="left" vertical="center" wrapText="1"/>
    </xf>
    <xf numFmtId="0" fontId="8" fillId="0" borderId="27">
      <alignment horizontal="left" vertical="center" wrapText="1"/>
    </xf>
    <xf numFmtId="0" fontId="9" fillId="0" borderId="4">
      <alignment horizontal="left" vertical="center" wrapText="1"/>
    </xf>
    <xf numFmtId="0" fontId="8" fillId="0" borderId="27">
      <alignment horizontal="center" vertical="center" wrapText="1"/>
    </xf>
    <xf numFmtId="49" fontId="9" fillId="0" borderId="3">
      <alignment horizontal="center" vertical="center" wrapText="1"/>
    </xf>
    <xf numFmtId="0" fontId="8" fillId="0" borderId="27">
      <alignment horizontal="center" vertical="center" wrapText="1"/>
    </xf>
    <xf numFmtId="49" fontId="9" fillId="0" borderId="7">
      <alignment horizontal="center" vertical="center" wrapText="1"/>
    </xf>
    <xf numFmtId="0" fontId="8" fillId="0" borderId="33">
      <alignment horizontal="left" vertical="center" wrapText="1"/>
    </xf>
    <xf numFmtId="49" fontId="9" fillId="0" borderId="2">
      <alignment horizontal="center" vertical="center" wrapText="1"/>
    </xf>
    <xf numFmtId="0" fontId="8" fillId="0" borderId="33">
      <alignment horizontal="center" vertical="center" wrapText="1"/>
    </xf>
    <xf numFmtId="0" fontId="9" fillId="0" borderId="4">
      <alignment horizontal="center" vertical="center" wrapText="1"/>
    </xf>
    <xf numFmtId="0" fontId="8" fillId="0" borderId="33">
      <alignment horizontal="center" vertical="center" wrapText="1"/>
    </xf>
    <xf numFmtId="0" fontId="10" fillId="0" borderId="3">
      <alignment horizontal="center" vertical="center" wrapText="1"/>
    </xf>
    <xf numFmtId="0" fontId="12" fillId="0" borderId="34">
      <alignment horizontal="left" vertical="center" wrapText="1"/>
    </xf>
    <xf numFmtId="49" fontId="10" fillId="0" borderId="3">
      <alignment horizontal="left" vertical="center" wrapText="1"/>
    </xf>
    <xf numFmtId="0" fontId="12" fillId="0" borderId="34">
      <alignment horizontal="center" vertical="center" wrapText="1"/>
    </xf>
    <xf numFmtId="0" fontId="10" fillId="0" borderId="8">
      <alignment horizontal="center" vertical="center" wrapText="1"/>
    </xf>
    <xf numFmtId="0" fontId="12" fillId="0" borderId="34">
      <alignment horizontal="center" vertical="center" wrapText="1"/>
    </xf>
    <xf numFmtId="49" fontId="13" fillId="0" borderId="0">
      <alignment horizontal="center" vertical="center" wrapText="1"/>
    </xf>
    <xf numFmtId="0" fontId="12" fillId="0" borderId="0">
      <alignment horizontal="right" vertical="center"/>
    </xf>
    <xf numFmtId="0" fontId="10" fillId="0" borderId="8">
      <alignment horizontal="right" vertical="center" wrapText="1"/>
    </xf>
    <xf numFmtId="0" fontId="8" fillId="0" borderId="35">
      <alignment horizontal="left" vertical="center" wrapText="1"/>
    </xf>
    <xf numFmtId="0" fontId="10" fillId="0" borderId="9">
      <alignment horizontal="right" vertical="center" wrapText="1"/>
    </xf>
    <xf numFmtId="0" fontId="8" fillId="0" borderId="35">
      <alignment horizontal="center" vertical="center" wrapText="1"/>
    </xf>
    <xf numFmtId="0" fontId="10" fillId="0" borderId="7">
      <alignment horizontal="right" vertical="center" wrapText="1"/>
    </xf>
    <xf numFmtId="0" fontId="8" fillId="0" borderId="35">
      <alignment horizontal="center" vertical="center" wrapText="1"/>
    </xf>
    <xf numFmtId="0" fontId="10" fillId="0" borderId="2">
      <alignment horizontal="left" vertical="center" wrapText="1"/>
    </xf>
    <xf numFmtId="0" fontId="8" fillId="0" borderId="4">
      <alignment horizontal="left" vertical="center" wrapText="1"/>
    </xf>
    <xf numFmtId="0" fontId="10" fillId="0" borderId="3">
      <alignment horizontal="right" vertical="center" wrapText="1"/>
    </xf>
    <xf numFmtId="0" fontId="8" fillId="0" borderId="4">
      <alignment horizontal="center" vertical="center" wrapText="1"/>
    </xf>
    <xf numFmtId="0" fontId="10" fillId="0" borderId="3">
      <alignment horizontal="left" vertical="center" wrapText="1"/>
    </xf>
    <xf numFmtId="0" fontId="8" fillId="0" borderId="4">
      <alignment horizontal="center" vertical="center" wrapText="1"/>
    </xf>
    <xf numFmtId="0" fontId="10" fillId="0" borderId="3">
      <alignment horizontal="center" vertical="center" wrapText="1"/>
    </xf>
    <xf numFmtId="0" fontId="8" fillId="0" borderId="24">
      <alignment horizontal="left" vertical="center" wrapText="1"/>
    </xf>
    <xf numFmtId="49" fontId="10" fillId="0" borderId="3">
      <alignment horizontal="left" vertical="center" wrapText="1"/>
    </xf>
    <xf numFmtId="0" fontId="10" fillId="0" borderId="8">
      <alignment horizontal="center" vertical="center" wrapText="1"/>
    </xf>
    <xf numFmtId="0" fontId="10" fillId="0" borderId="8">
      <alignment horizontal="right" vertical="center" wrapText="1"/>
    </xf>
    <xf numFmtId="0" fontId="8" fillId="0" borderId="0">
      <alignment horizontal="left" vertical="center"/>
    </xf>
    <xf numFmtId="49" fontId="9" fillId="0" borderId="0">
      <alignment horizontal="left" vertical="center" wrapText="1"/>
    </xf>
    <xf numFmtId="0" fontId="8" fillId="0" borderId="0">
      <alignment horizontal="left" vertical="center" wrapText="1"/>
    </xf>
    <xf numFmtId="0" fontId="10" fillId="0" borderId="9">
      <alignment horizontal="right" vertical="center" wrapText="1"/>
    </xf>
    <xf numFmtId="0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9" fillId="0" borderId="3">
      <alignment horizontal="center" vertical="center" wrapText="1"/>
    </xf>
    <xf numFmtId="49" fontId="9" fillId="0" borderId="3">
      <alignment horizontal="left" vertical="center" wrapText="1"/>
    </xf>
    <xf numFmtId="49" fontId="9" fillId="0" borderId="11">
      <alignment horizontal="left" vertical="center" wrapText="1"/>
    </xf>
    <xf numFmtId="49" fontId="9" fillId="0" borderId="3">
      <alignment horizontal="right" vertical="center" wrapText="1"/>
    </xf>
    <xf numFmtId="49" fontId="14" fillId="0" borderId="11">
      <alignment horizontal="center" wrapText="1"/>
    </xf>
    <xf numFmtId="49" fontId="7" fillId="0" borderId="0">
      <alignment horizontal="center" vertical="center" wrapText="1"/>
    </xf>
    <xf numFmtId="0" fontId="12" fillId="0" borderId="0">
      <alignment horizontal="left" vertical="center"/>
    </xf>
    <xf numFmtId="49" fontId="14" fillId="0" borderId="10">
      <alignment horizontal="center" wrapText="1"/>
    </xf>
    <xf numFmtId="49" fontId="9" fillId="0" borderId="2">
      <alignment horizontal="left" vertical="center" wrapText="1"/>
    </xf>
    <xf numFmtId="0" fontId="9" fillId="0" borderId="3">
      <alignment horizontal="left" vertical="center" wrapText="1"/>
    </xf>
    <xf numFmtId="49" fontId="9" fillId="0" borderId="4">
      <alignment horizontal="center" vertical="top" wrapText="1"/>
    </xf>
    <xf numFmtId="49" fontId="9" fillId="0" borderId="6">
      <alignment horizontal="center" vertical="top" wrapText="1"/>
    </xf>
    <xf numFmtId="0" fontId="9" fillId="0" borderId="36">
      <alignment horizontal="left" vertical="center" wrapText="1"/>
    </xf>
    <xf numFmtId="0" fontId="9" fillId="0" borderId="4">
      <alignment horizontal="left" vertical="center" wrapText="1"/>
    </xf>
    <xf numFmtId="0" fontId="9" fillId="0" borderId="4">
      <alignment horizontal="right" vertical="top" wrapText="1"/>
    </xf>
    <xf numFmtId="0" fontId="9" fillId="0" borderId="6">
      <alignment horizontal="left" vertical="center" wrapText="1"/>
    </xf>
    <xf numFmtId="0" fontId="9" fillId="0" borderId="37">
      <alignment horizontal="left" vertical="center" wrapText="1"/>
    </xf>
    <xf numFmtId="0" fontId="7" fillId="0" borderId="0">
      <alignment horizontal="center" vertical="center" wrapText="1"/>
    </xf>
    <xf numFmtId="0" fontId="8" fillId="0" borderId="0">
      <alignment horizontal="left" vertical="center" wrapText="1"/>
    </xf>
    <xf numFmtId="49" fontId="9" fillId="0" borderId="11">
      <alignment horizontal="center" vertical="center" wrapText="1"/>
    </xf>
    <xf numFmtId="49" fontId="9" fillId="0" borderId="11">
      <alignment horizontal="right" vertical="center" wrapText="1"/>
    </xf>
    <xf numFmtId="49" fontId="9" fillId="0" borderId="26">
      <alignment horizontal="left" vertical="center" wrapText="1"/>
    </xf>
    <xf numFmtId="0" fontId="9" fillId="0" borderId="11">
      <alignment horizontal="left" vertical="center" wrapText="1"/>
    </xf>
    <xf numFmtId="49" fontId="9" fillId="0" borderId="27">
      <alignment horizontal="center" vertical="top" wrapText="1"/>
    </xf>
    <xf numFmtId="49" fontId="9" fillId="0" borderId="29">
      <alignment horizontal="center" vertical="top" wrapText="1"/>
    </xf>
    <xf numFmtId="0" fontId="9" fillId="0" borderId="27">
      <alignment horizontal="right" vertical="top" wrapText="1"/>
    </xf>
    <xf numFmtId="0" fontId="9" fillId="0" borderId="29">
      <alignment horizontal="left" vertical="center" wrapText="1"/>
    </xf>
    <xf numFmtId="0" fontId="9" fillId="0" borderId="4">
      <alignment horizontal="center" vertical="center" wrapText="1"/>
    </xf>
    <xf numFmtId="0" fontId="9" fillId="0" borderId="4">
      <alignment horizontal="right" vertical="center" wrapText="1"/>
    </xf>
    <xf numFmtId="0" fontId="9" fillId="0" borderId="0">
      <alignment horizontal="center" vertical="center" wrapText="1"/>
    </xf>
    <xf numFmtId="0" fontId="12" fillId="0" borderId="0">
      <alignment horizontal="center" vertical="center" wrapText="1"/>
    </xf>
    <xf numFmtId="0" fontId="9" fillId="0" borderId="6">
      <alignment horizontal="right" vertical="center" wrapText="1"/>
    </xf>
    <xf numFmtId="49" fontId="9" fillId="0" borderId="37">
      <alignment horizontal="left" vertical="center" wrapText="1"/>
    </xf>
    <xf numFmtId="49" fontId="9" fillId="0" borderId="4">
      <alignment horizontal="center" vertical="center" wrapText="1"/>
    </xf>
    <xf numFmtId="49" fontId="9" fillId="0" borderId="4">
      <alignment horizontal="right" vertical="center" wrapText="1"/>
    </xf>
    <xf numFmtId="0" fontId="9" fillId="0" borderId="27">
      <alignment horizontal="center" vertical="center" wrapText="1"/>
    </xf>
    <xf numFmtId="0" fontId="9" fillId="0" borderId="27">
      <alignment horizontal="right" vertical="center" wrapText="1"/>
    </xf>
    <xf numFmtId="0" fontId="9" fillId="0" borderId="29">
      <alignment horizontal="right" vertical="center" wrapText="1"/>
    </xf>
    <xf numFmtId="49" fontId="9" fillId="0" borderId="36">
      <alignment horizontal="left" vertical="center" wrapText="1"/>
    </xf>
    <xf numFmtId="49" fontId="9" fillId="0" borderId="27">
      <alignment horizontal="center" vertical="center" wrapText="1"/>
    </xf>
    <xf numFmtId="49" fontId="9" fillId="0" borderId="27">
      <alignment horizontal="right" vertical="center" wrapText="1"/>
    </xf>
    <xf numFmtId="0" fontId="10" fillId="0" borderId="0">
      <alignment horizontal="right" vertical="center" wrapText="1"/>
    </xf>
    <xf numFmtId="0" fontId="10" fillId="0" borderId="24">
      <alignment horizontal="center" vertical="center" wrapText="1"/>
    </xf>
    <xf numFmtId="0" fontId="10" fillId="0" borderId="24">
      <alignment horizontal="right" vertical="center" wrapText="1"/>
    </xf>
    <xf numFmtId="0" fontId="10" fillId="0" borderId="25">
      <alignment horizontal="right" vertical="center" wrapText="1"/>
    </xf>
    <xf numFmtId="49" fontId="11" fillId="0" borderId="10">
      <alignment horizontal="center" wrapText="1"/>
    </xf>
    <xf numFmtId="49" fontId="10" fillId="0" borderId="2">
      <alignment horizontal="left" vertical="center" wrapText="1"/>
    </xf>
    <xf numFmtId="49" fontId="10" fillId="0" borderId="3">
      <alignment horizontal="right" vertical="center" wrapText="1"/>
    </xf>
    <xf numFmtId="0" fontId="9" fillId="0" borderId="5">
      <alignment horizontal="left" vertical="center" wrapText="1"/>
    </xf>
    <xf numFmtId="0" fontId="9" fillId="0" borderId="1">
      <alignment horizontal="left" vertical="center" wrapText="1"/>
    </xf>
    <xf numFmtId="0" fontId="9" fillId="0" borderId="32">
      <alignment horizontal="left" vertical="center" wrapText="1"/>
    </xf>
    <xf numFmtId="49" fontId="10" fillId="0" borderId="6">
      <alignment horizontal="center" vertical="top" wrapText="1"/>
    </xf>
    <xf numFmtId="49" fontId="9" fillId="0" borderId="0">
      <alignment horizontal="right" vertical="center"/>
    </xf>
    <xf numFmtId="0" fontId="8" fillId="0" borderId="1">
      <alignment horizontal="left" vertical="center"/>
    </xf>
    <xf numFmtId="0" fontId="9" fillId="0" borderId="31">
      <alignment horizontal="left" vertical="center" wrapText="1"/>
    </xf>
    <xf numFmtId="0" fontId="15" fillId="0" borderId="3">
      <alignment horizontal="center" vertical="center" wrapText="1"/>
    </xf>
    <xf numFmtId="49" fontId="15" fillId="0" borderId="3">
      <alignment horizontal="left" vertical="center" wrapText="1"/>
    </xf>
    <xf numFmtId="0" fontId="15" fillId="0" borderId="8">
      <alignment horizontal="center" vertical="center" wrapText="1"/>
    </xf>
    <xf numFmtId="0" fontId="15" fillId="0" borderId="8">
      <alignment horizontal="right" vertical="center" wrapText="1"/>
    </xf>
    <xf numFmtId="0" fontId="15" fillId="0" borderId="9">
      <alignment horizontal="right" vertical="center" wrapText="1"/>
    </xf>
    <xf numFmtId="0" fontId="15" fillId="0" borderId="7">
      <alignment horizontal="right" vertical="center" wrapText="1"/>
    </xf>
    <xf numFmtId="0" fontId="15" fillId="0" borderId="2">
      <alignment horizontal="left" vertical="center" wrapText="1"/>
    </xf>
    <xf numFmtId="0" fontId="15" fillId="0" borderId="3">
      <alignment horizontal="right" vertical="center" wrapText="1"/>
    </xf>
    <xf numFmtId="0" fontId="15" fillId="0" borderId="3">
      <alignment horizontal="left" vertical="center" wrapText="1"/>
    </xf>
    <xf numFmtId="0" fontId="16" fillId="0" borderId="0"/>
    <xf numFmtId="0" fontId="5" fillId="0" borderId="0" applyNumberFormat="0" applyFill="0" applyBorder="0" applyProtection="0">
      <alignment vertical="top" wrapText="1"/>
    </xf>
    <xf numFmtId="0" fontId="17" fillId="0" borderId="0">
      <alignment vertical="top"/>
    </xf>
    <xf numFmtId="0" fontId="18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8" fillId="0" borderId="0"/>
    <xf numFmtId="0" fontId="18" fillId="0" borderId="0"/>
    <xf numFmtId="0" fontId="24" fillId="0" borderId="0">
      <alignment horizontal="left"/>
    </xf>
    <xf numFmtId="0" fontId="5" fillId="0" borderId="0" applyNumberFormat="0" applyFill="0" applyBorder="0" applyProtection="0">
      <alignment vertical="top" wrapText="1"/>
    </xf>
    <xf numFmtId="0" fontId="24" fillId="0" borderId="0">
      <alignment horizontal="left"/>
    </xf>
    <xf numFmtId="0" fontId="16" fillId="0" borderId="0"/>
    <xf numFmtId="0" fontId="24" fillId="0" borderId="0">
      <alignment horizontal="left"/>
    </xf>
    <xf numFmtId="0" fontId="30" fillId="0" borderId="0"/>
    <xf numFmtId="0" fontId="24" fillId="0" borderId="0">
      <alignment horizontal="left"/>
    </xf>
    <xf numFmtId="0" fontId="31" fillId="0" borderId="0"/>
    <xf numFmtId="0" fontId="24" fillId="0" borderId="0">
      <alignment horizontal="left"/>
    </xf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4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  <xf numFmtId="0" fontId="25" fillId="0" borderId="0"/>
    <xf numFmtId="0" fontId="17" fillId="0" borderId="0">
      <alignment vertical="top"/>
    </xf>
    <xf numFmtId="0" fontId="27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32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24" fillId="0" borderId="0">
      <alignment horizontal="left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5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" fillId="0" borderId="0"/>
    <xf numFmtId="9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/>
    <xf numFmtId="165" fontId="35" fillId="0" borderId="0" xfId="0" applyNumberFormat="1" applyFont="1"/>
    <xf numFmtId="0" fontId="35" fillId="0" borderId="0" xfId="0" applyFont="1"/>
    <xf numFmtId="165" fontId="35" fillId="0" borderId="0" xfId="0" applyNumberFormat="1" applyFont="1" applyAlignment="1">
      <alignment horizontal="center"/>
    </xf>
    <xf numFmtId="0" fontId="35" fillId="0" borderId="41" xfId="0" applyFont="1" applyBorder="1"/>
    <xf numFmtId="0" fontId="3" fillId="0" borderId="41" xfId="0" applyFont="1" applyBorder="1"/>
    <xf numFmtId="166" fontId="35" fillId="0" borderId="0" xfId="0" applyNumberFormat="1" applyFont="1"/>
    <xf numFmtId="0" fontId="38" fillId="4" borderId="47" xfId="0" applyFont="1" applyFill="1" applyBorder="1" applyAlignment="1">
      <alignment horizontal="centerContinuous"/>
    </xf>
    <xf numFmtId="0" fontId="38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5" fillId="0" borderId="42" xfId="0" applyFont="1" applyBorder="1"/>
    <xf numFmtId="0" fontId="35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5" fillId="0" borderId="38" xfId="0" applyFont="1" applyBorder="1"/>
    <xf numFmtId="4" fontId="4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5" fillId="0" borderId="47" xfId="0" applyFont="1" applyBorder="1"/>
    <xf numFmtId="0" fontId="35" fillId="0" borderId="40" xfId="0" applyFont="1" applyBorder="1"/>
    <xf numFmtId="0" fontId="36" fillId="3" borderId="47" xfId="0" applyFont="1" applyFill="1" applyBorder="1"/>
    <xf numFmtId="0" fontId="35" fillId="3" borderId="50" xfId="0" applyFont="1" applyFill="1" applyBorder="1"/>
    <xf numFmtId="165" fontId="35" fillId="3" borderId="50" xfId="0" applyNumberFormat="1" applyFont="1" applyFill="1" applyBorder="1"/>
    <xf numFmtId="165" fontId="35" fillId="3" borderId="50" xfId="0" applyNumberFormat="1" applyFont="1" applyFill="1" applyBorder="1" applyAlignment="1">
      <alignment horizontal="center"/>
    </xf>
    <xf numFmtId="165" fontId="37" fillId="3" borderId="40" xfId="0" applyNumberFormat="1" applyFont="1" applyFill="1" applyBorder="1"/>
    <xf numFmtId="0" fontId="36" fillId="0" borderId="38" xfId="0" applyFont="1" applyBorder="1"/>
    <xf numFmtId="4" fontId="36" fillId="0" borderId="39" xfId="0" applyNumberFormat="1" applyFont="1" applyBorder="1"/>
    <xf numFmtId="0" fontId="35" fillId="0" borderId="45" xfId="0" applyFont="1" applyBorder="1" applyAlignment="1">
      <alignment horizontal="right"/>
    </xf>
    <xf numFmtId="0" fontId="35" fillId="0" borderId="41" xfId="0" applyFont="1" applyBorder="1" applyAlignment="1">
      <alignment horizontal="right"/>
    </xf>
    <xf numFmtId="0" fontId="35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4" fillId="2" borderId="46" xfId="0" applyNumberFormat="1" applyFont="1" applyFill="1" applyBorder="1" applyAlignment="1">
      <alignment horizontal="right" vertical="top" wrapText="1"/>
    </xf>
    <xf numFmtId="4" fontId="24" fillId="2" borderId="42" xfId="0" applyNumberFormat="1" applyFont="1" applyFill="1" applyBorder="1" applyAlignment="1">
      <alignment horizontal="right" vertical="top" wrapText="1"/>
    </xf>
    <xf numFmtId="4" fontId="24" fillId="2" borderId="44" xfId="0" applyNumberFormat="1" applyFont="1" applyFill="1" applyBorder="1" applyAlignment="1">
      <alignment horizontal="right" vertical="top" wrapText="1"/>
    </xf>
    <xf numFmtId="0" fontId="35" fillId="0" borderId="43" xfId="0" applyFont="1" applyBorder="1"/>
    <xf numFmtId="0" fontId="35" fillId="0" borderId="48" xfId="0" applyFont="1" applyBorder="1" applyAlignment="1">
      <alignment horizontal="right"/>
    </xf>
    <xf numFmtId="165" fontId="35" fillId="0" borderId="51" xfId="0" applyNumberFormat="1" applyFont="1" applyBorder="1" applyAlignment="1">
      <alignment horizontal="center"/>
    </xf>
    <xf numFmtId="165" fontId="35" fillId="0" borderId="52" xfId="0" applyNumberFormat="1" applyFont="1" applyBorder="1"/>
    <xf numFmtId="165" fontId="35" fillId="0" borderId="53" xfId="0" applyNumberFormat="1" applyFont="1" applyBorder="1" applyAlignment="1">
      <alignment horizontal="center"/>
    </xf>
    <xf numFmtId="165" fontId="35" fillId="0" borderId="54" xfId="0" applyNumberFormat="1" applyFont="1" applyBorder="1"/>
    <xf numFmtId="165" fontId="35" fillId="0" borderId="55" xfId="0" applyNumberFormat="1" applyFont="1" applyBorder="1" applyAlignment="1">
      <alignment horizontal="center"/>
    </xf>
    <xf numFmtId="165" fontId="35" fillId="0" borderId="56" xfId="0" applyNumberFormat="1" applyFont="1" applyBorder="1"/>
    <xf numFmtId="165" fontId="36" fillId="0" borderId="55" xfId="0" applyNumberFormat="1" applyFont="1" applyBorder="1" applyAlignment="1">
      <alignment horizontal="left"/>
    </xf>
    <xf numFmtId="165" fontId="35" fillId="0" borderId="57" xfId="0" applyNumberFormat="1" applyFont="1" applyBorder="1" applyAlignment="1">
      <alignment horizontal="center"/>
    </xf>
    <xf numFmtId="165" fontId="35" fillId="0" borderId="58" xfId="0" applyNumberFormat="1" applyFont="1" applyBorder="1"/>
    <xf numFmtId="165" fontId="37" fillId="3" borderId="56" xfId="0" applyNumberFormat="1" applyFont="1" applyFill="1" applyBorder="1"/>
    <xf numFmtId="165" fontId="35" fillId="0" borderId="54" xfId="0" applyNumberFormat="1" applyFont="1" applyBorder="1" applyAlignment="1">
      <alignment horizontal="right"/>
    </xf>
    <xf numFmtId="0" fontId="36" fillId="5" borderId="38" xfId="0" applyFont="1" applyFill="1" applyBorder="1"/>
    <xf numFmtId="4" fontId="36" fillId="5" borderId="39" xfId="0" applyNumberFormat="1" applyFont="1" applyFill="1" applyBorder="1"/>
    <xf numFmtId="0" fontId="35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5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5" fillId="0" borderId="0" xfId="0" applyNumberFormat="1" applyFont="1"/>
    <xf numFmtId="0" fontId="35" fillId="0" borderId="60" xfId="0" applyFont="1" applyBorder="1" applyAlignment="1">
      <alignment horizontal="right"/>
    </xf>
    <xf numFmtId="165" fontId="37" fillId="6" borderId="56" xfId="0" applyNumberFormat="1" applyFont="1" applyFill="1" applyBorder="1"/>
    <xf numFmtId="0" fontId="35" fillId="5" borderId="60" xfId="0" applyFont="1" applyFill="1" applyBorder="1"/>
    <xf numFmtId="0" fontId="35" fillId="5" borderId="48" xfId="0" applyFont="1" applyFill="1" applyBorder="1"/>
    <xf numFmtId="0" fontId="35" fillId="0" borderId="62" xfId="0" applyFont="1" applyBorder="1" applyAlignment="1">
      <alignment horizontal="right"/>
    </xf>
    <xf numFmtId="0" fontId="35" fillId="0" borderId="63" xfId="0" applyFont="1" applyBorder="1" applyAlignment="1">
      <alignment horizontal="right"/>
    </xf>
    <xf numFmtId="0" fontId="35" fillId="0" borderId="64" xfId="0" applyFont="1" applyBorder="1" applyAlignment="1">
      <alignment horizontal="right"/>
    </xf>
    <xf numFmtId="4" fontId="24" fillId="2" borderId="65" xfId="0" applyNumberFormat="1" applyFont="1" applyFill="1" applyBorder="1" applyAlignment="1">
      <alignment horizontal="right" vertical="top" wrapText="1"/>
    </xf>
    <xf numFmtId="4" fontId="24" fillId="2" borderId="66" xfId="0" applyNumberFormat="1" applyFont="1" applyFill="1" applyBorder="1" applyAlignment="1">
      <alignment horizontal="right" vertical="top" wrapText="1"/>
    </xf>
    <xf numFmtId="165" fontId="35" fillId="0" borderId="55" xfId="0" applyNumberFormat="1" applyFont="1" applyBorder="1" applyAlignment="1">
      <alignment horizontal="left"/>
    </xf>
    <xf numFmtId="0" fontId="35" fillId="3" borderId="47" xfId="0" applyFont="1" applyFill="1" applyBorder="1"/>
    <xf numFmtId="166" fontId="35" fillId="3" borderId="50" xfId="0" applyNumberFormat="1" applyFont="1" applyFill="1" applyBorder="1"/>
    <xf numFmtId="165" fontId="35" fillId="3" borderId="40" xfId="0" applyNumberFormat="1" applyFont="1" applyFill="1" applyBorder="1"/>
    <xf numFmtId="0" fontId="35" fillId="4" borderId="47" xfId="0" applyFont="1" applyFill="1" applyBorder="1"/>
    <xf numFmtId="165" fontId="35" fillId="4" borderId="50" xfId="0" applyNumberFormat="1" applyFont="1" applyFill="1" applyBorder="1" applyAlignment="1">
      <alignment horizontal="center"/>
    </xf>
    <xf numFmtId="165" fontId="35" fillId="4" borderId="40" xfId="0" applyNumberFormat="1" applyFont="1" applyFill="1" applyBorder="1"/>
    <xf numFmtId="166" fontId="39" fillId="4" borderId="50" xfId="0" applyNumberFormat="1" applyFont="1" applyFill="1" applyBorder="1"/>
    <xf numFmtId="172" fontId="37" fillId="4" borderId="50" xfId="0" applyNumberFormat="1" applyFont="1" applyFill="1" applyBorder="1" applyAlignment="1">
      <alignment horizontal="center" vertical="center"/>
    </xf>
    <xf numFmtId="4" fontId="0" fillId="0" borderId="59" xfId="0" applyNumberFormat="1" applyFont="1" applyBorder="1" applyAlignment="1">
      <alignment horizontal="right" vertical="top" wrapText="1"/>
    </xf>
    <xf numFmtId="4" fontId="24" fillId="0" borderId="46" xfId="0" applyNumberFormat="1" applyFont="1" applyFill="1" applyBorder="1" applyAlignment="1">
      <alignment horizontal="right" vertical="top" wrapText="1"/>
    </xf>
    <xf numFmtId="4" fontId="24" fillId="0" borderId="42" xfId="0" applyNumberFormat="1" applyFont="1" applyFill="1" applyBorder="1" applyAlignment="1">
      <alignment horizontal="right" vertical="top" wrapText="1"/>
    </xf>
    <xf numFmtId="4" fontId="24" fillId="0" borderId="49" xfId="0" applyNumberFormat="1" applyFont="1" applyFill="1" applyBorder="1" applyAlignment="1">
      <alignment horizontal="right" vertical="top" wrapText="1"/>
    </xf>
    <xf numFmtId="4" fontId="3" fillId="0" borderId="0" xfId="0" applyNumberFormat="1" applyFont="1"/>
    <xf numFmtId="4" fontId="0" fillId="0" borderId="42" xfId="0" applyNumberFormat="1" applyFont="1" applyFill="1" applyBorder="1" applyAlignment="1">
      <alignment horizontal="right" vertical="top"/>
    </xf>
    <xf numFmtId="4" fontId="0" fillId="0" borderId="42" xfId="0" applyNumberFormat="1" applyBorder="1" applyAlignment="1">
      <alignment horizontal="right" vertical="top"/>
    </xf>
    <xf numFmtId="166" fontId="3" fillId="0" borderId="0" xfId="0" applyNumberFormat="1" applyFont="1"/>
    <xf numFmtId="4" fontId="0" fillId="5" borderId="61" xfId="0" applyNumberFormat="1" applyFill="1" applyBorder="1" applyAlignment="1">
      <alignment horizontal="right" vertical="top"/>
    </xf>
    <xf numFmtId="4" fontId="0" fillId="5" borderId="46" xfId="0" applyNumberFormat="1" applyFill="1" applyBorder="1" applyAlignment="1">
      <alignment horizontal="right" vertical="top"/>
    </xf>
    <xf numFmtId="4" fontId="0" fillId="0" borderId="67" xfId="0" applyNumberFormat="1" applyBorder="1" applyAlignment="1">
      <alignment horizontal="right" vertical="top"/>
    </xf>
    <xf numFmtId="4" fontId="0" fillId="5" borderId="42" xfId="0" applyNumberFormat="1" applyFill="1" applyBorder="1" applyAlignment="1">
      <alignment horizontal="right" vertical="top"/>
    </xf>
    <xf numFmtId="165" fontId="37" fillId="0" borderId="0" xfId="0" applyNumberFormat="1" applyFont="1"/>
    <xf numFmtId="4" fontId="0" fillId="5" borderId="49" xfId="0" applyNumberFormat="1" applyFill="1" applyBorder="1" applyAlignment="1">
      <alignment horizontal="right" vertical="top"/>
    </xf>
    <xf numFmtId="4" fontId="0" fillId="5" borderId="44" xfId="0" applyNumberFormat="1" applyFill="1" applyBorder="1" applyAlignment="1">
      <alignment horizontal="right" vertical="top"/>
    </xf>
    <xf numFmtId="4" fontId="0" fillId="0" borderId="49" xfId="0" applyNumberFormat="1" applyBorder="1" applyAlignment="1">
      <alignment horizontal="right" vertical="top"/>
    </xf>
    <xf numFmtId="165" fontId="42" fillId="0" borderId="0" xfId="0" applyNumberFormat="1" applyFont="1"/>
    <xf numFmtId="166" fontId="37" fillId="4" borderId="50" xfId="0" applyNumberFormat="1" applyFont="1" applyFill="1" applyBorder="1" applyAlignment="1">
      <alignment horizontal="center" vertical="center"/>
    </xf>
    <xf numFmtId="3" fontId="35" fillId="0" borderId="0" xfId="0" applyNumberFormat="1" applyFont="1"/>
    <xf numFmtId="44" fontId="3" fillId="0" borderId="0" xfId="0" applyNumberFormat="1" applyFont="1"/>
    <xf numFmtId="4" fontId="0" fillId="0" borderId="59" xfId="0" applyNumberFormat="1" applyFont="1" applyBorder="1" applyAlignment="1">
      <alignment horizontal="right" vertical="top"/>
    </xf>
    <xf numFmtId="165" fontId="36" fillId="0" borderId="68" xfId="0" applyNumberFormat="1" applyFont="1" applyBorder="1" applyAlignment="1">
      <alignment horizontal="left"/>
    </xf>
    <xf numFmtId="14" fontId="35" fillId="0" borderId="47" xfId="0" applyNumberFormat="1" applyFont="1" applyBorder="1"/>
    <xf numFmtId="4" fontId="24" fillId="2" borderId="59" xfId="0" applyNumberFormat="1" applyFont="1" applyFill="1" applyBorder="1" applyAlignment="1">
      <alignment horizontal="right" vertical="top" wrapText="1"/>
    </xf>
  </cellXfs>
  <cellStyles count="42597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1EF8-0E49-422F-AAED-01FA7F43CE81}">
  <dimension ref="A1:H43"/>
  <sheetViews>
    <sheetView topLeftCell="A10" workbookViewId="0">
      <selection activeCell="E16" sqref="E16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57</v>
      </c>
      <c r="B2" s="18"/>
      <c r="C2" s="2"/>
      <c r="D2" s="17" t="str">
        <f>A2</f>
        <v xml:space="preserve"> - 31/08/2025</v>
      </c>
      <c r="E2" s="18"/>
      <c r="G2" s="1"/>
      <c r="H2" s="1"/>
    </row>
    <row r="3" spans="1:8" s="3" customFormat="1">
      <c r="A3" s="48" t="s">
        <v>13</v>
      </c>
      <c r="B3" s="49">
        <f>SUM(B4:B6)</f>
        <v>37243679.450000003</v>
      </c>
      <c r="C3" s="2"/>
      <c r="D3" s="48" t="s">
        <v>13</v>
      </c>
      <c r="E3" s="49">
        <v>37201892.719999999</v>
      </c>
      <c r="G3" s="1"/>
      <c r="H3" s="1"/>
    </row>
    <row r="4" spans="1:8" s="3" customFormat="1" outlineLevel="1">
      <c r="A4" s="5" t="s">
        <v>1</v>
      </c>
      <c r="B4" s="10">
        <f>37235089.45+8290+300</f>
        <v>37243679.450000003</v>
      </c>
      <c r="C4" s="2"/>
      <c r="D4" s="5"/>
      <c r="E4" s="10"/>
      <c r="F4" s="52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28649129.940000001</v>
      </c>
      <c r="C8" s="2"/>
      <c r="D8" s="50" t="s">
        <v>14</v>
      </c>
      <c r="E8" s="51">
        <f>24991680</f>
        <v>24991680</v>
      </c>
      <c r="G8" s="1"/>
      <c r="H8" s="1"/>
    </row>
    <row r="9" spans="1:8" s="3" customFormat="1" outlineLevel="1">
      <c r="A9" s="5" t="s">
        <v>2</v>
      </c>
      <c r="B9" s="10">
        <f>28422527.84+5816</f>
        <v>28428343.84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220786.1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8594549.5100000016</v>
      </c>
      <c r="C15" s="2"/>
      <c r="D15" s="14"/>
      <c r="E15" s="15">
        <f>9239251.35132469-5816</f>
        <v>9233435.3513246905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v>9239251.3513246905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28</v>
      </c>
      <c r="B19" s="47">
        <f>B20+B21</f>
        <v>41786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77"/>
      <c r="C20" s="2"/>
      <c r="D20" s="37"/>
      <c r="E20" s="38">
        <f>-B20</f>
        <v>0</v>
      </c>
      <c r="H20" s="1"/>
    </row>
    <row r="21" spans="1:8" s="3" customFormat="1">
      <c r="A21" s="27" t="s">
        <v>22</v>
      </c>
      <c r="B21" s="16">
        <v>41786</v>
      </c>
      <c r="C21" s="2"/>
      <c r="D21" s="37"/>
      <c r="E21" s="38">
        <f>-B21</f>
        <v>-41786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199854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118856</v>
      </c>
      <c r="C24" s="2"/>
      <c r="D24" s="37"/>
      <c r="E24" s="38">
        <f>-B24</f>
        <v>-118856</v>
      </c>
      <c r="G24" s="90"/>
      <c r="H24" s="1"/>
    </row>
    <row r="25" spans="1:8" s="3" customFormat="1" ht="12.6" customHeight="1">
      <c r="A25" s="27" t="s">
        <v>16</v>
      </c>
      <c r="B25" s="73">
        <v>80998</v>
      </c>
      <c r="C25" s="2"/>
      <c r="D25" s="37"/>
      <c r="E25" s="38">
        <f>B25</f>
        <v>80998</v>
      </c>
      <c r="G25" s="90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>
        <v>1000</v>
      </c>
      <c r="C27" s="2"/>
      <c r="D27" s="39"/>
      <c r="E27" s="45">
        <f>-B27</f>
        <v>-1000</v>
      </c>
      <c r="G27" s="1"/>
      <c r="H27" s="1"/>
    </row>
    <row r="28" spans="1:8" s="3" customFormat="1" ht="13.5" thickBot="1">
      <c r="A28" s="24" t="s">
        <v>9</v>
      </c>
      <c r="B28" s="25">
        <f>B29+B30</f>
        <v>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>
        <v>0</v>
      </c>
      <c r="C29" s="2"/>
      <c r="D29" s="37"/>
      <c r="E29" s="38">
        <f>-B29</f>
        <v>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75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1291574.3999999999</v>
      </c>
      <c r="D33" s="37"/>
      <c r="E33" s="38">
        <f>--B33</f>
        <v>1291574.3999999999</v>
      </c>
    </row>
    <row r="34" spans="1:6">
      <c r="A34" s="26" t="s">
        <v>30</v>
      </c>
      <c r="B34" s="30">
        <v>1076312</v>
      </c>
      <c r="D34" s="62" t="s">
        <v>23</v>
      </c>
      <c r="E34" s="38">
        <f>-939735+B12</f>
        <v>-718948.9</v>
      </c>
    </row>
    <row r="35" spans="1:6">
      <c r="A35" s="27"/>
      <c r="B35" s="31"/>
      <c r="D35" s="41" t="s">
        <v>21</v>
      </c>
      <c r="E35" s="44">
        <f>SUM(E20:E34)</f>
        <v>491981.49999999988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9086531.0100000016</v>
      </c>
      <c r="C39" s="21"/>
      <c r="D39" s="22"/>
      <c r="E39" s="65">
        <f>E15</f>
        <v>9233435.3513246905</v>
      </c>
      <c r="F39" s="7"/>
    </row>
    <row r="40" spans="1:6" ht="19.5" thickBot="1">
      <c r="A40" s="66" t="s">
        <v>25</v>
      </c>
      <c r="B40" s="69">
        <f>B39-E39</f>
        <v>-146904.34132468887</v>
      </c>
      <c r="C40" s="70">
        <f>B40/E3</f>
        <v>-3.9488405181522411E-3</v>
      </c>
      <c r="D40" s="67"/>
      <c r="E40" s="68"/>
    </row>
    <row r="43" spans="1:6">
      <c r="A43" s="3" t="s">
        <v>32</v>
      </c>
      <c r="B43" s="7">
        <v>902314.13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0374-F92A-426F-ACB3-597FA07B804E}">
  <dimension ref="A1:H43"/>
  <sheetViews>
    <sheetView topLeftCell="A13" workbookViewId="0">
      <selection activeCell="A2" sqref="A2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2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57</v>
      </c>
      <c r="B2" s="18"/>
      <c r="C2" s="2"/>
      <c r="D2" s="17" t="str">
        <f>A2</f>
        <v xml:space="preserve"> - 31/08/2025</v>
      </c>
      <c r="E2" s="18"/>
      <c r="G2" s="1"/>
      <c r="H2" s="1"/>
    </row>
    <row r="3" spans="1:8" s="3" customFormat="1">
      <c r="A3" s="48" t="s">
        <v>13</v>
      </c>
      <c r="B3" s="49">
        <f>SUM(B4:B6)</f>
        <v>7750720.5099999998</v>
      </c>
      <c r="C3" s="2"/>
      <c r="D3" s="48" t="s">
        <v>13</v>
      </c>
      <c r="E3" s="49"/>
      <c r="G3" s="1"/>
      <c r="H3" s="1"/>
    </row>
    <row r="4" spans="1:8" s="3" customFormat="1" outlineLevel="1">
      <c r="A4" s="5" t="s">
        <v>1</v>
      </c>
      <c r="B4" s="10">
        <v>5550000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>
        <v>2200720.5099999998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7985820.7199999997</v>
      </c>
      <c r="C8" s="2"/>
      <c r="D8" s="50" t="s">
        <v>14</v>
      </c>
      <c r="E8" s="51">
        <v>2802050.6906626299</v>
      </c>
      <c r="G8" s="1"/>
      <c r="H8" s="1"/>
    </row>
    <row r="9" spans="1:8" s="3" customFormat="1" outlineLevel="1">
      <c r="A9" s="5" t="s">
        <v>2</v>
      </c>
      <c r="B9" s="76">
        <v>7882730.1200000001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91">
        <v>103090.6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>
        <v>0</v>
      </c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-235100.20999999996</v>
      </c>
      <c r="C15" s="2"/>
      <c r="D15" s="14"/>
      <c r="E15" s="15">
        <f>E3-E8</f>
        <v>-2802050.6906626299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-2566950.4806626299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28</v>
      </c>
      <c r="B19" s="47">
        <f>B20+B21</f>
        <v>5550000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-B20</f>
        <v>0</v>
      </c>
      <c r="G20" s="1"/>
      <c r="H20" s="1"/>
    </row>
    <row r="21" spans="1:8" s="3" customFormat="1">
      <c r="A21" s="27" t="s">
        <v>22</v>
      </c>
      <c r="B21" s="10">
        <v>5550000</v>
      </c>
      <c r="C21" s="2"/>
      <c r="D21" s="37"/>
      <c r="E21" s="38">
        <f>-B21</f>
        <v>-5550000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1107678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f>14486+968392</f>
        <v>982878</v>
      </c>
      <c r="C24" s="2"/>
      <c r="D24" s="37"/>
      <c r="E24" s="38">
        <f>-B24</f>
        <v>-982878</v>
      </c>
      <c r="G24" s="1"/>
      <c r="H24" s="1"/>
    </row>
    <row r="25" spans="1:8" s="3" customFormat="1" ht="12.6" customHeight="1">
      <c r="A25" s="27" t="s">
        <v>16</v>
      </c>
      <c r="B25" s="72">
        <v>124800</v>
      </c>
      <c r="C25" s="2"/>
      <c r="D25" s="37"/>
      <c r="E25" s="38">
        <f>B25</f>
        <v>124800</v>
      </c>
      <c r="G25" s="1"/>
      <c r="H25" s="1"/>
    </row>
    <row r="26" spans="1:8" s="3" customFormat="1" ht="13.5" thickBot="1">
      <c r="A26" s="28" t="s">
        <v>18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46" t="s">
        <v>34</v>
      </c>
      <c r="B27" s="47">
        <v>2200720.5099999998</v>
      </c>
      <c r="C27" s="2"/>
      <c r="D27" s="39"/>
      <c r="E27" s="45">
        <f>-B27</f>
        <v>-2200720.5099999998</v>
      </c>
      <c r="G27" s="75"/>
      <c r="H27" s="1"/>
    </row>
    <row r="28" spans="1:8" s="3" customFormat="1" ht="13.5" thickBot="1">
      <c r="A28" s="24" t="s">
        <v>56</v>
      </c>
      <c r="B28" s="25">
        <f>B29+B30</f>
        <v>160800</v>
      </c>
      <c r="C28" s="2"/>
      <c r="D28" s="39"/>
      <c r="E28" s="40"/>
      <c r="G28" s="75"/>
      <c r="H28" s="1"/>
    </row>
    <row r="29" spans="1:8" s="3" customFormat="1">
      <c r="A29" s="26" t="s">
        <v>19</v>
      </c>
      <c r="B29" s="73">
        <v>160800</v>
      </c>
      <c r="C29" s="2"/>
      <c r="D29" s="37"/>
      <c r="E29" s="38">
        <f>-B29</f>
        <v>-160800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27" t="s">
        <v>55</v>
      </c>
      <c r="B31" s="31">
        <v>32558</v>
      </c>
      <c r="C31" s="2"/>
      <c r="D31" s="39"/>
      <c r="E31" s="38">
        <f>-B31</f>
        <v>-32558</v>
      </c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6288973.2000000002</v>
      </c>
      <c r="D33" s="37"/>
      <c r="E33" s="38">
        <f>--B33</f>
        <v>6288973.2000000002</v>
      </c>
    </row>
    <row r="34" spans="1:6">
      <c r="A34" s="57" t="s">
        <v>33</v>
      </c>
      <c r="B34" s="30">
        <v>5240811</v>
      </c>
      <c r="D34" s="62" t="s">
        <v>23</v>
      </c>
      <c r="E34" s="38">
        <f>-351241+B12</f>
        <v>-248150.39999999999</v>
      </c>
    </row>
    <row r="35" spans="1:6">
      <c r="A35" s="27"/>
      <c r="B35" s="31"/>
      <c r="D35" s="41" t="s">
        <v>21</v>
      </c>
      <c r="E35" s="44">
        <f>SUM(E20:E34)</f>
        <v>-2761333.7099999995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-2996433.9199999995</v>
      </c>
      <c r="C39" s="21"/>
      <c r="D39" s="22"/>
      <c r="E39" s="65">
        <f>E15</f>
        <v>-2802050.6906626299</v>
      </c>
      <c r="F39" s="7"/>
    </row>
    <row r="40" spans="1:6" ht="19.5" thickBot="1">
      <c r="A40" s="66" t="s">
        <v>25</v>
      </c>
      <c r="B40" s="69">
        <f>B39-E39</f>
        <v>-194383.22933736956</v>
      </c>
      <c r="C40" s="70">
        <f>B40/B3</f>
        <v>-2.5079375406012357E-2</v>
      </c>
      <c r="D40" s="67"/>
      <c r="E40" s="68"/>
    </row>
    <row r="43" spans="1:6">
      <c r="A43" s="3" t="s">
        <v>32</v>
      </c>
      <c r="B43" s="7">
        <v>902314.13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A0C2-0891-4B5E-B7D4-1E6E9F61B838}">
  <sheetPr>
    <tabColor theme="6"/>
  </sheetPr>
  <dimension ref="A1:H43"/>
  <sheetViews>
    <sheetView topLeftCell="A16" workbookViewId="0">
      <selection activeCell="A2" sqref="A2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57</v>
      </c>
      <c r="B2" s="18"/>
      <c r="C2" s="2"/>
      <c r="D2" s="17" t="str">
        <f>A2</f>
        <v xml:space="preserve"> - 31/08/2025</v>
      </c>
      <c r="E2" s="18"/>
      <c r="G2" s="1"/>
      <c r="H2" s="1"/>
    </row>
    <row r="3" spans="1:8" s="3" customFormat="1">
      <c r="A3" s="48" t="s">
        <v>13</v>
      </c>
      <c r="B3" s="49">
        <f>SUM(B4:B6)</f>
        <v>4872201.8</v>
      </c>
      <c r="C3" s="2"/>
      <c r="D3" s="48" t="s">
        <v>13</v>
      </c>
      <c r="E3" s="49">
        <v>4874404</v>
      </c>
      <c r="G3" s="1"/>
      <c r="H3" s="1"/>
    </row>
    <row r="4" spans="1:8" s="3" customFormat="1" outlineLevel="1">
      <c r="A4" s="5" t="s">
        <v>1</v>
      </c>
      <c r="B4" s="10">
        <v>4872201.8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4882607.7699999996</v>
      </c>
      <c r="C8" s="2"/>
      <c r="D8" s="50" t="s">
        <v>14</v>
      </c>
      <c r="E8" s="51">
        <v>4915183</v>
      </c>
      <c r="G8" s="1"/>
      <c r="H8" s="1"/>
    </row>
    <row r="9" spans="1:8" s="3" customFormat="1" outlineLevel="1">
      <c r="A9" s="5" t="s">
        <v>2</v>
      </c>
      <c r="B9" s="10">
        <v>4821848.63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91">
        <v>60759.14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-10405.969999999739</v>
      </c>
      <c r="C15" s="2"/>
      <c r="D15" s="14"/>
      <c r="E15" s="15">
        <v>-373117.67475148733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-362711.70475148759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28</v>
      </c>
      <c r="B19" s="47">
        <f>B20+B21</f>
        <v>2202.1999999999998</v>
      </c>
      <c r="C19" s="2"/>
      <c r="D19" s="35"/>
      <c r="E19" s="36"/>
      <c r="G19" s="1"/>
      <c r="H19" s="1"/>
    </row>
    <row r="20" spans="1:8" s="3" customFormat="1">
      <c r="A20" s="26" t="s">
        <v>8</v>
      </c>
      <c r="B20" s="77">
        <v>2202.1999999999998</v>
      </c>
      <c r="C20" s="2"/>
      <c r="D20" s="37"/>
      <c r="E20" s="38">
        <f>-B20</f>
        <v>-2202.1999999999998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134615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134615</v>
      </c>
      <c r="C24" s="2"/>
      <c r="D24" s="37"/>
      <c r="E24" s="38">
        <f>-B24</f>
        <v>-134615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7" t="s">
        <v>18</v>
      </c>
      <c r="B27" s="32">
        <v>14700</v>
      </c>
      <c r="C27" s="2"/>
      <c r="D27" s="39"/>
      <c r="E27" s="45">
        <f>-B27</f>
        <v>-14700</v>
      </c>
      <c r="G27" s="1"/>
      <c r="H27" s="1"/>
    </row>
    <row r="28" spans="1:8" s="3" customFormat="1" ht="13.5" thickBot="1">
      <c r="A28" s="24" t="s">
        <v>9</v>
      </c>
      <c r="B28" s="25">
        <f>B29+B30</f>
        <v>128786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3">
        <v>128786</v>
      </c>
      <c r="C29" s="2"/>
      <c r="D29" s="37"/>
      <c r="E29" s="38">
        <f>-B29</f>
        <v>-128786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7" ht="13.5" thickBot="1">
      <c r="A33" s="46" t="s">
        <v>12</v>
      </c>
      <c r="B33" s="47">
        <f>SUM(B34:B37)*1.2</f>
        <v>239741.53199999998</v>
      </c>
      <c r="D33" s="37"/>
      <c r="E33" s="38">
        <f>--B33</f>
        <v>239741.53199999998</v>
      </c>
    </row>
    <row r="34" spans="1:7">
      <c r="A34" s="57" t="s">
        <v>35</v>
      </c>
      <c r="B34" s="73">
        <v>41925</v>
      </c>
      <c r="D34" s="62" t="s">
        <v>23</v>
      </c>
      <c r="E34" s="38">
        <f>-455800+B12</f>
        <v>-395040.86</v>
      </c>
      <c r="G34" s="1" t="s">
        <v>37</v>
      </c>
    </row>
    <row r="35" spans="1:7">
      <c r="A35" s="58" t="s">
        <v>35</v>
      </c>
      <c r="B35" s="73">
        <v>157859.60999999999</v>
      </c>
      <c r="D35" s="41" t="s">
        <v>21</v>
      </c>
      <c r="E35" s="44">
        <f>SUM(E20:E34)</f>
        <v>-435602.52800000005</v>
      </c>
      <c r="F35" s="7"/>
      <c r="G35" s="1" t="s">
        <v>36</v>
      </c>
    </row>
    <row r="36" spans="1:7">
      <c r="A36" s="28"/>
      <c r="B36" s="32"/>
      <c r="D36" s="41"/>
      <c r="E36" s="54"/>
      <c r="F36" s="7"/>
    </row>
    <row r="37" spans="1:7" ht="13.5" thickBot="1">
      <c r="A37" s="34"/>
      <c r="B37" s="74"/>
      <c r="D37" s="42"/>
      <c r="E37" s="43"/>
    </row>
    <row r="38" spans="1:7" ht="13.5" thickBot="1"/>
    <row r="39" spans="1:7" ht="13.5" thickBot="1">
      <c r="A39" s="63" t="s">
        <v>24</v>
      </c>
      <c r="B39" s="64">
        <f>B15+E35</f>
        <v>-446008.49799999979</v>
      </c>
      <c r="C39" s="21"/>
      <c r="D39" s="22"/>
      <c r="E39" s="65">
        <f>E15</f>
        <v>-373117.67475148733</v>
      </c>
      <c r="F39" s="7"/>
    </row>
    <row r="40" spans="1:7" ht="19.5" thickBot="1">
      <c r="A40" s="66" t="s">
        <v>25</v>
      </c>
      <c r="B40" s="69">
        <f>B39-E39</f>
        <v>-72890.823248512461</v>
      </c>
      <c r="C40" s="70">
        <f>B40/E3</f>
        <v>-1.4953791940206938E-2</v>
      </c>
      <c r="D40" s="67"/>
      <c r="E40" s="68"/>
    </row>
    <row r="43" spans="1:7">
      <c r="A43" s="3" t="s">
        <v>32</v>
      </c>
      <c r="B43" s="7">
        <v>902314.13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7AC5-DD2E-4CBC-9939-65FDCE4F1073}">
  <sheetPr>
    <tabColor theme="6"/>
  </sheetPr>
  <dimension ref="A1:H43"/>
  <sheetViews>
    <sheetView topLeftCell="A13" workbookViewId="0">
      <selection activeCell="A2" sqref="A2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57</v>
      </c>
      <c r="B2" s="18"/>
      <c r="C2" s="2"/>
      <c r="D2" s="17" t="str">
        <f>A2</f>
        <v xml:space="preserve"> - 31/08/2025</v>
      </c>
      <c r="E2" s="18"/>
      <c r="G2" s="1"/>
      <c r="H2" s="1"/>
    </row>
    <row r="3" spans="1:8" s="3" customFormat="1">
      <c r="A3" s="48" t="s">
        <v>13</v>
      </c>
      <c r="B3" s="49">
        <f>SUM(B4:B6)</f>
        <v>4935454.59</v>
      </c>
      <c r="C3" s="2"/>
      <c r="D3" s="48" t="s">
        <v>13</v>
      </c>
      <c r="E3" s="49">
        <v>4959164.3600000003</v>
      </c>
      <c r="G3" s="1"/>
      <c r="H3" s="1"/>
    </row>
    <row r="4" spans="1:8" s="3" customFormat="1" outlineLevel="1">
      <c r="A4" s="5" t="s">
        <v>1</v>
      </c>
      <c r="B4" s="10">
        <v>4935454.59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3367454.87</v>
      </c>
      <c r="C8" s="2"/>
      <c r="D8" s="50" t="s">
        <v>14</v>
      </c>
      <c r="E8" s="51">
        <f>E3-E15</f>
        <v>3815473.7599811754</v>
      </c>
      <c r="G8" s="1"/>
      <c r="H8" s="1"/>
    </row>
    <row r="9" spans="1:8" s="3" customFormat="1" outlineLevel="1">
      <c r="A9" s="5" t="s">
        <v>2</v>
      </c>
      <c r="B9" s="10">
        <v>3333611.87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33843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1567999.7199999997</v>
      </c>
      <c r="C15" s="2"/>
      <c r="D15" s="14"/>
      <c r="E15" s="15">
        <v>1143690.6000188249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-424309.11998117482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28</v>
      </c>
      <c r="B19" s="47">
        <f>B20+B21</f>
        <v>23709.770000000484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29">
        <f>E3-B4</f>
        <v>23709.770000000484</v>
      </c>
      <c r="C20" s="2"/>
      <c r="D20" s="37"/>
      <c r="E20" s="38">
        <f>-B20</f>
        <v>-23709.770000000484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13315.8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13315.8</v>
      </c>
      <c r="C24" s="2"/>
      <c r="D24" s="37"/>
      <c r="E24" s="38">
        <f>-B24</f>
        <v>-13315.8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>
        <v>131650</v>
      </c>
      <c r="C27" s="2"/>
      <c r="D27" s="39"/>
      <c r="E27" s="45">
        <f>-B27</f>
        <v>-131650</v>
      </c>
      <c r="G27" s="1"/>
      <c r="H27" s="1"/>
    </row>
    <row r="28" spans="1:8" s="3" customFormat="1" ht="13.5" thickBot="1">
      <c r="A28" s="24" t="s">
        <v>9</v>
      </c>
      <c r="B28" s="25">
        <f>B29+B30</f>
        <v>103843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31">
        <v>103843</v>
      </c>
      <c r="C29" s="2"/>
      <c r="D29" s="37"/>
      <c r="E29" s="38">
        <f>-B29</f>
        <v>-103843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9794.4</v>
      </c>
      <c r="D33" s="37"/>
      <c r="E33" s="38">
        <f>--B33</f>
        <v>9794.4</v>
      </c>
    </row>
    <row r="34" spans="1:6">
      <c r="A34" s="57" t="s">
        <v>38</v>
      </c>
      <c r="B34" s="30">
        <v>0</v>
      </c>
      <c r="D34" s="62" t="s">
        <v>23</v>
      </c>
      <c r="E34" s="38">
        <f>-249273+B12</f>
        <v>-215430</v>
      </c>
    </row>
    <row r="35" spans="1:6">
      <c r="A35" s="58" t="s">
        <v>39</v>
      </c>
      <c r="B35" s="31">
        <v>8162</v>
      </c>
      <c r="D35" s="41" t="s">
        <v>21</v>
      </c>
      <c r="E35" s="44">
        <f>SUM(E20:E34)</f>
        <v>-478154.17000000045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1089845.5499999993</v>
      </c>
      <c r="C39" s="21"/>
      <c r="D39" s="22"/>
      <c r="E39" s="65">
        <f>E15</f>
        <v>1143690.6000188249</v>
      </c>
      <c r="F39" s="7"/>
    </row>
    <row r="40" spans="1:6" ht="19.5" thickBot="1">
      <c r="A40" s="66" t="s">
        <v>25</v>
      </c>
      <c r="B40" s="69">
        <f>B39-E39</f>
        <v>-53845.050018825568</v>
      </c>
      <c r="C40" s="70">
        <f>B40/E3</f>
        <v>-1.0857686116058788E-2</v>
      </c>
      <c r="D40" s="67"/>
      <c r="E40" s="68"/>
    </row>
    <row r="43" spans="1:6">
      <c r="A43" s="3" t="s">
        <v>32</v>
      </c>
      <c r="B43" s="7">
        <v>902314.13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D499-D2DD-4CEF-813A-286DECE8A07A}">
  <sheetPr>
    <tabColor theme="6"/>
  </sheetPr>
  <dimension ref="A1:H43"/>
  <sheetViews>
    <sheetView topLeftCell="A7" workbookViewId="0">
      <selection activeCell="E16" sqref="E16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0.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57</v>
      </c>
      <c r="B2" s="18"/>
      <c r="C2" s="2"/>
      <c r="D2" s="17" t="str">
        <f>A2</f>
        <v xml:space="preserve"> - 31/08/2025</v>
      </c>
      <c r="E2" s="18"/>
      <c r="G2" s="1"/>
      <c r="H2" s="1"/>
    </row>
    <row r="3" spans="1:8" s="3" customFormat="1">
      <c r="A3" s="48" t="s">
        <v>13</v>
      </c>
      <c r="B3" s="49">
        <f>SUM(B4:B6)</f>
        <v>11467041.77</v>
      </c>
      <c r="C3" s="2"/>
      <c r="D3" s="48" t="s">
        <v>13</v>
      </c>
      <c r="E3" s="49"/>
      <c r="G3" s="1"/>
      <c r="H3" s="1"/>
    </row>
    <row r="4" spans="1:8" s="3" customFormat="1" outlineLevel="1">
      <c r="A4" s="5" t="s">
        <v>1</v>
      </c>
      <c r="B4" s="10">
        <v>11467041.77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12248062.380000001</v>
      </c>
      <c r="C8" s="2"/>
      <c r="D8" s="50" t="s">
        <v>14</v>
      </c>
      <c r="E8" s="51">
        <f>-E15</f>
        <v>3353218.4567286801</v>
      </c>
      <c r="G8" s="1"/>
      <c r="H8" s="1"/>
    </row>
    <row r="9" spans="1:8" s="3" customFormat="1" outlineLevel="1">
      <c r="A9" s="5" t="s">
        <v>2</v>
      </c>
      <c r="B9" s="10">
        <f>12093650.21+15966</f>
        <v>12109616.210000001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138446.17000000001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-781020.61000000127</v>
      </c>
      <c r="C15" s="2"/>
      <c r="D15" s="14"/>
      <c r="E15" s="15">
        <f>-3337252.45672868-15966</f>
        <v>-3353218.4567286801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-2572197.8467286788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28</v>
      </c>
      <c r="B19" s="47">
        <f>B20+B21</f>
        <v>11467041.77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B20</f>
        <v>0</v>
      </c>
      <c r="G20" s="1"/>
      <c r="H20" s="1"/>
    </row>
    <row r="21" spans="1:8" s="3" customFormat="1">
      <c r="A21" s="27" t="s">
        <v>22</v>
      </c>
      <c r="B21" s="10">
        <v>11467041.77</v>
      </c>
      <c r="C21" s="2"/>
      <c r="D21" s="37"/>
      <c r="E21" s="38">
        <f>-B21</f>
        <v>-11467041.77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1791743.15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1459452</v>
      </c>
      <c r="C24" s="2"/>
      <c r="D24" s="37"/>
      <c r="E24" s="38">
        <f>-B24</f>
        <v>-1459452</v>
      </c>
      <c r="G24" s="1"/>
      <c r="H24" s="1"/>
    </row>
    <row r="25" spans="1:8" s="3" customFormat="1" ht="12.6" customHeight="1">
      <c r="A25" s="27" t="s">
        <v>16</v>
      </c>
      <c r="B25" s="94">
        <v>332291.15000000002</v>
      </c>
      <c r="C25" s="2"/>
      <c r="D25" s="37"/>
      <c r="E25" s="38">
        <f>B25</f>
        <v>332291.15000000002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>
        <v>94650</v>
      </c>
      <c r="C27" s="2"/>
      <c r="D27" s="39"/>
      <c r="E27" s="45">
        <f>-B27</f>
        <v>-94650</v>
      </c>
      <c r="G27" s="1"/>
      <c r="H27" s="1"/>
    </row>
    <row r="28" spans="1:8" s="3" customFormat="1" ht="13.5" thickBot="1">
      <c r="A28" s="24" t="s">
        <v>9</v>
      </c>
      <c r="B28" s="25">
        <f>B29+B30</f>
        <v>388061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31">
        <v>388061</v>
      </c>
      <c r="C29" s="2"/>
      <c r="D29" s="37"/>
      <c r="E29" s="38">
        <f>-B29</f>
        <v>-388061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10588461.935999999</v>
      </c>
      <c r="D33" s="37"/>
      <c r="E33" s="38">
        <f>--B33</f>
        <v>10588461.935999999</v>
      </c>
    </row>
    <row r="34" spans="1:6">
      <c r="A34" s="57" t="s">
        <v>40</v>
      </c>
      <c r="B34" s="30">
        <v>8823718.2799999993</v>
      </c>
      <c r="D34" s="62" t="s">
        <v>23</v>
      </c>
      <c r="E34" s="38">
        <f>-268315+B12</f>
        <v>-129868.82999999999</v>
      </c>
    </row>
    <row r="35" spans="1:6">
      <c r="A35" s="58" t="s">
        <v>41</v>
      </c>
      <c r="B35" s="31"/>
      <c r="D35" s="41" t="s">
        <v>21</v>
      </c>
      <c r="E35" s="44">
        <f>SUM(E20:E34)</f>
        <v>-2618320.5140000004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-3399341.1240000017</v>
      </c>
      <c r="C39" s="21"/>
      <c r="D39" s="22"/>
      <c r="E39" s="65">
        <f>E15</f>
        <v>-3353218.4567286801</v>
      </c>
      <c r="F39" s="7"/>
    </row>
    <row r="40" spans="1:6" ht="19.5" thickBot="1">
      <c r="A40" s="66" t="s">
        <v>25</v>
      </c>
      <c r="B40" s="69">
        <f>B39-E39</f>
        <v>-46122.667271321639</v>
      </c>
      <c r="C40" s="70">
        <f>B40/B3</f>
        <v>-4.022194058103762E-3</v>
      </c>
      <c r="D40" s="67"/>
      <c r="E40" s="68"/>
    </row>
    <row r="43" spans="1:6">
      <c r="A43" s="3" t="s">
        <v>32</v>
      </c>
      <c r="B43" s="7">
        <v>902314.13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B9AF-827F-45E1-A70B-20D105740A88}">
  <sheetPr>
    <tabColor theme="6"/>
  </sheetPr>
  <dimension ref="A1:H43"/>
  <sheetViews>
    <sheetView topLeftCell="A13" workbookViewId="0">
      <selection activeCell="A2" sqref="A2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57</v>
      </c>
      <c r="B2" s="18"/>
      <c r="C2" s="2"/>
      <c r="D2" s="17" t="str">
        <f>A2</f>
        <v xml:space="preserve"> - 31/08/2025</v>
      </c>
      <c r="E2" s="18"/>
      <c r="G2" s="1"/>
      <c r="H2" s="1"/>
    </row>
    <row r="3" spans="1:8" s="3" customFormat="1">
      <c r="A3" s="48" t="s">
        <v>13</v>
      </c>
      <c r="B3" s="49">
        <f>SUM(B4:B6)</f>
        <v>297791.96000000002</v>
      </c>
      <c r="C3" s="2"/>
      <c r="D3" s="48" t="s">
        <v>13</v>
      </c>
      <c r="E3" s="49">
        <v>297600</v>
      </c>
      <c r="G3" s="1"/>
      <c r="H3" s="1"/>
    </row>
    <row r="4" spans="1:8" s="3" customFormat="1" outlineLevel="1">
      <c r="A4" s="5" t="s">
        <v>1</v>
      </c>
      <c r="B4" s="10">
        <v>297791.96000000002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232148.71</v>
      </c>
      <c r="C8" s="2"/>
      <c r="D8" s="50" t="s">
        <v>14</v>
      </c>
      <c r="E8" s="51">
        <f>E3-E15</f>
        <v>268900</v>
      </c>
      <c r="G8" s="1"/>
      <c r="H8" s="1"/>
    </row>
    <row r="9" spans="1:8" s="3" customFormat="1" outlineLevel="1">
      <c r="A9" s="5" t="s">
        <v>2</v>
      </c>
      <c r="B9" s="10">
        <v>231383.08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765.63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65643.250000000029</v>
      </c>
      <c r="C15" s="2"/>
      <c r="D15" s="14"/>
      <c r="E15" s="15">
        <v>28700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-36943.250000000029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59</v>
      </c>
      <c r="B19" s="47">
        <f>B20+B21</f>
        <v>0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-B20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10087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f>10087</f>
        <v>10087</v>
      </c>
      <c r="C24" s="2"/>
      <c r="D24" s="37"/>
      <c r="E24" s="38">
        <f>-B24</f>
        <v>-10087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/>
      <c r="C27" s="2"/>
      <c r="D27" s="39"/>
      <c r="E27" s="45">
        <f>-B27</f>
        <v>0</v>
      </c>
      <c r="G27" s="1"/>
      <c r="H27" s="1"/>
    </row>
    <row r="28" spans="1:8" s="3" customFormat="1" ht="13.5" thickBot="1">
      <c r="A28" s="24" t="s">
        <v>9</v>
      </c>
      <c r="B28" s="25">
        <f>B29+B30</f>
        <v>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/>
      <c r="C29" s="2"/>
      <c r="D29" s="37"/>
      <c r="E29" s="38">
        <f>-B29</f>
        <v>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1232.3999999999999</v>
      </c>
      <c r="D33" s="37"/>
      <c r="E33" s="38">
        <f>-B33</f>
        <v>-1232.3999999999999</v>
      </c>
    </row>
    <row r="34" spans="1:6">
      <c r="A34" s="26" t="s">
        <v>54</v>
      </c>
      <c r="B34" s="30">
        <v>1027</v>
      </c>
      <c r="D34" s="62" t="s">
        <v>23</v>
      </c>
      <c r="E34" s="38">
        <f>-4692+B12</f>
        <v>-3926.37</v>
      </c>
    </row>
    <row r="35" spans="1:6">
      <c r="A35" s="27"/>
      <c r="B35" s="31"/>
      <c r="D35" s="41" t="s">
        <v>21</v>
      </c>
      <c r="E35" s="44">
        <f>SUM(E20:E34)</f>
        <v>-15245.77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50397.480000000025</v>
      </c>
      <c r="C39" s="21"/>
      <c r="D39" s="22"/>
      <c r="E39" s="65">
        <f>E15</f>
        <v>28700</v>
      </c>
      <c r="F39" s="7"/>
    </row>
    <row r="40" spans="1:6" ht="19.5" thickBot="1">
      <c r="A40" s="66" t="s">
        <v>25</v>
      </c>
      <c r="B40" s="69">
        <f>B39-E39</f>
        <v>21697.480000000025</v>
      </c>
      <c r="C40" s="70">
        <f>B40/E3</f>
        <v>7.2908198924731271E-2</v>
      </c>
      <c r="D40" s="67"/>
      <c r="E40" s="68"/>
    </row>
    <row r="43" spans="1:6">
      <c r="A43" s="3" t="s">
        <v>32</v>
      </c>
      <c r="B43" s="7">
        <v>902314.13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35AD-A5A7-45CF-A02D-D6169CE67A85}">
  <sheetPr>
    <tabColor theme="6"/>
  </sheetPr>
  <dimension ref="A1:H43"/>
  <sheetViews>
    <sheetView workbookViewId="0">
      <selection activeCell="E16" sqref="E16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57</v>
      </c>
      <c r="B2" s="18"/>
      <c r="C2" s="2"/>
      <c r="D2" s="17" t="str">
        <f>A2</f>
        <v xml:space="preserve"> - 31/08/2025</v>
      </c>
      <c r="E2" s="18"/>
      <c r="G2" s="1"/>
      <c r="H2" s="1"/>
    </row>
    <row r="3" spans="1:8" s="3" customFormat="1">
      <c r="A3" s="48" t="s">
        <v>13</v>
      </c>
      <c r="B3" s="49">
        <f>SUM(B4:B6)</f>
        <v>1582352.05</v>
      </c>
      <c r="C3" s="2"/>
      <c r="D3" s="48" t="s">
        <v>13</v>
      </c>
      <c r="E3" s="49">
        <v>4535000</v>
      </c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>
        <v>1582352.05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3084360.39</v>
      </c>
      <c r="C8" s="2"/>
      <c r="D8" s="50" t="s">
        <v>14</v>
      </c>
      <c r="E8" s="51">
        <f>E3-E15</f>
        <v>3411042.5288014901</v>
      </c>
      <c r="G8" s="1"/>
      <c r="H8" s="1"/>
    </row>
    <row r="9" spans="1:8" s="3" customFormat="1" outlineLevel="1">
      <c r="A9" s="5" t="s">
        <v>2</v>
      </c>
      <c r="B9" s="10">
        <f>3004362.39+2828</f>
        <v>3007190.39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52980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>
        <v>24190</v>
      </c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-1502008.34</v>
      </c>
      <c r="C15" s="2"/>
      <c r="D15" s="14"/>
      <c r="E15" s="15">
        <f>1126785.47119851-2828</f>
        <v>1123957.4711985099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2625965.8111985102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59</v>
      </c>
      <c r="B19" s="47">
        <f>B20+B21</f>
        <v>4535000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>
        <v>4535000</v>
      </c>
      <c r="C20" s="2"/>
      <c r="D20" s="37"/>
      <c r="E20" s="38">
        <f>B20</f>
        <v>4535000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137830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f>86552+51278</f>
        <v>137830</v>
      </c>
      <c r="C24" s="2"/>
      <c r="D24" s="37"/>
      <c r="E24" s="38">
        <f>-B24</f>
        <v>-137830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 ht="13.5" thickBot="1">
      <c r="A26" s="28" t="s">
        <v>18</v>
      </c>
      <c r="B26" s="73">
        <v>24750</v>
      </c>
      <c r="C26" s="2"/>
      <c r="D26" s="37"/>
      <c r="E26" s="45">
        <f>-B26</f>
        <v>-24750</v>
      </c>
      <c r="G26" s="1"/>
      <c r="H26" s="1"/>
    </row>
    <row r="27" spans="1:8" s="3" customFormat="1" ht="13.5" thickBot="1">
      <c r="A27" s="46" t="s">
        <v>34</v>
      </c>
      <c r="B27" s="47">
        <v>1582352.05</v>
      </c>
      <c r="C27" s="2"/>
      <c r="D27" s="39"/>
      <c r="E27" s="45">
        <f>-B27</f>
        <v>-1582352.05</v>
      </c>
      <c r="G27" s="1"/>
      <c r="H27" s="1"/>
    </row>
    <row r="28" spans="1:8" s="3" customFormat="1" ht="13.5" thickBot="1">
      <c r="A28" s="24" t="s">
        <v>9</v>
      </c>
      <c r="B28" s="25">
        <f>B29+B30</f>
        <v>20145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3">
        <v>20145</v>
      </c>
      <c r="C29" s="2"/>
      <c r="D29" s="37"/>
      <c r="E29" s="38">
        <f>-B29</f>
        <v>-20145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27" t="s">
        <v>55</v>
      </c>
      <c r="B31" s="31">
        <v>23410</v>
      </c>
      <c r="C31" s="2"/>
      <c r="D31" s="39"/>
      <c r="E31" s="38">
        <f>-B31</f>
        <v>-23410</v>
      </c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29263.200000000001</v>
      </c>
      <c r="D33" s="37"/>
      <c r="E33" s="38">
        <f>--B33</f>
        <v>29263.200000000001</v>
      </c>
    </row>
    <row r="34" spans="1:6">
      <c r="A34" s="57" t="s">
        <v>42</v>
      </c>
      <c r="B34" s="30">
        <v>13200</v>
      </c>
      <c r="D34" s="62" t="s">
        <v>23</v>
      </c>
      <c r="E34" s="38">
        <f>-54393+B12</f>
        <v>-1413</v>
      </c>
    </row>
    <row r="35" spans="1:6">
      <c r="A35" s="58" t="s">
        <v>43</v>
      </c>
      <c r="B35" s="31">
        <v>11186</v>
      </c>
      <c r="D35" s="41" t="s">
        <v>21</v>
      </c>
      <c r="E35" s="44">
        <f>SUM(E20:E34)</f>
        <v>2774363.1500000004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1272354.8100000003</v>
      </c>
      <c r="C39" s="21"/>
      <c r="D39" s="22"/>
      <c r="E39" s="65">
        <f>E15</f>
        <v>1123957.4711985099</v>
      </c>
      <c r="F39" s="7"/>
    </row>
    <row r="40" spans="1:6" ht="19.5" thickBot="1">
      <c r="A40" s="66" t="s">
        <v>25</v>
      </c>
      <c r="B40" s="69">
        <f>B39-E39</f>
        <v>148397.33880149038</v>
      </c>
      <c r="C40" s="70">
        <f>B40/E3</f>
        <v>3.2722676692721143E-2</v>
      </c>
      <c r="D40" s="67"/>
      <c r="E40" s="68"/>
    </row>
    <row r="43" spans="1:6">
      <c r="A43" s="3" t="s">
        <v>32</v>
      </c>
      <c r="B43" s="7">
        <v>902314.13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ECE1-97B8-4D5A-8610-60BAE7068178}">
  <sheetPr>
    <tabColor theme="6"/>
  </sheetPr>
  <dimension ref="A1:H43"/>
  <sheetViews>
    <sheetView topLeftCell="A13" workbookViewId="0">
      <selection activeCell="A19" sqref="A19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57</v>
      </c>
      <c r="B2" s="18"/>
      <c r="C2" s="2"/>
      <c r="D2" s="17" t="str">
        <f>A2</f>
        <v xml:space="preserve"> - 31/08/2025</v>
      </c>
      <c r="E2" s="18"/>
      <c r="G2" s="1"/>
      <c r="H2" s="1"/>
    </row>
    <row r="3" spans="1:8" s="3" customFormat="1">
      <c r="A3" s="48" t="s">
        <v>13</v>
      </c>
      <c r="B3" s="49">
        <f>SUM(B4:B6)</f>
        <v>755035.76</v>
      </c>
      <c r="C3" s="2"/>
      <c r="D3" s="48" t="s">
        <v>13</v>
      </c>
      <c r="E3" s="49">
        <v>812173.9</v>
      </c>
      <c r="G3" s="1"/>
      <c r="H3" s="1"/>
    </row>
    <row r="4" spans="1:8" s="3" customFormat="1" outlineLevel="1">
      <c r="A4" s="5" t="s">
        <v>1</v>
      </c>
      <c r="B4" s="10">
        <v>755035.76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925976.09</v>
      </c>
      <c r="C8" s="2"/>
      <c r="D8" s="50" t="s">
        <v>14</v>
      </c>
      <c r="E8" s="51">
        <f>E3-E15</f>
        <v>925781.42811733205</v>
      </c>
      <c r="G8" s="1"/>
      <c r="H8" s="1"/>
    </row>
    <row r="9" spans="1:8" s="3" customFormat="1" outlineLevel="1">
      <c r="A9" s="5" t="s">
        <v>2</v>
      </c>
      <c r="B9" s="10">
        <v>861943.09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64033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-170940.32999999996</v>
      </c>
      <c r="C15" s="2"/>
      <c r="D15" s="14"/>
      <c r="E15" s="15">
        <v>-113607.52811733207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57332.801882667889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59</v>
      </c>
      <c r="B19" s="47">
        <f>B20+B21</f>
        <v>0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-B20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17700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17700</v>
      </c>
      <c r="C24" s="2"/>
      <c r="D24" s="37"/>
      <c r="E24" s="38">
        <f>-B24</f>
        <v>-17700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/>
      <c r="C27" s="2"/>
      <c r="D27" s="39"/>
      <c r="E27" s="45">
        <f>-B27</f>
        <v>0</v>
      </c>
      <c r="G27" s="1"/>
      <c r="H27" s="1"/>
    </row>
    <row r="28" spans="1:8" s="3" customFormat="1" ht="13.5" thickBot="1">
      <c r="A28" s="24" t="s">
        <v>9</v>
      </c>
      <c r="B28" s="25">
        <f>B29+B30</f>
        <v>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>
        <v>0</v>
      </c>
      <c r="C29" s="2"/>
      <c r="D29" s="37"/>
      <c r="E29" s="38">
        <f>-B29</f>
        <v>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91950.42</v>
      </c>
      <c r="D33" s="37"/>
      <c r="E33" s="38">
        <f>--B33</f>
        <v>91950.42</v>
      </c>
    </row>
    <row r="34" spans="1:6">
      <c r="A34" s="57" t="s">
        <v>44</v>
      </c>
      <c r="B34" s="30">
        <f>30896.35+14982</f>
        <v>45878.35</v>
      </c>
      <c r="D34" s="62" t="s">
        <v>23</v>
      </c>
      <c r="E34" s="38">
        <f>-73060+B12</f>
        <v>-9027</v>
      </c>
    </row>
    <row r="35" spans="1:6">
      <c r="A35" s="58" t="s">
        <v>45</v>
      </c>
      <c r="B35" s="31">
        <v>30747</v>
      </c>
      <c r="D35" s="41" t="s">
        <v>21</v>
      </c>
      <c r="E35" s="44">
        <f>SUM(E20:E34)</f>
        <v>65223.42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-105716.90999999996</v>
      </c>
      <c r="C39" s="21"/>
      <c r="D39" s="22"/>
      <c r="E39" s="65">
        <f>E15</f>
        <v>-113607.52811733207</v>
      </c>
      <c r="F39" s="7"/>
    </row>
    <row r="40" spans="1:6" ht="19.5" thickBot="1">
      <c r="A40" s="66" t="s">
        <v>25</v>
      </c>
      <c r="B40" s="69">
        <f>B39-E39</f>
        <v>7890.6181173321093</v>
      </c>
      <c r="C40" s="70">
        <f>B40/E3</f>
        <v>9.7154293154854011E-3</v>
      </c>
      <c r="D40" s="67"/>
      <c r="E40" s="68"/>
    </row>
    <row r="43" spans="1:6">
      <c r="A43" s="3" t="s">
        <v>32</v>
      </c>
      <c r="B43" s="7">
        <v>902314.13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D446-03D8-491F-9497-486CE23B4D82}">
  <sheetPr>
    <tabColor theme="6"/>
  </sheetPr>
  <dimension ref="A1:H43"/>
  <sheetViews>
    <sheetView workbookViewId="0">
      <selection activeCell="E16" sqref="E16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57</v>
      </c>
      <c r="B2" s="18"/>
      <c r="C2" s="2"/>
      <c r="D2" s="17" t="str">
        <f>A2</f>
        <v xml:space="preserve"> - 31/08/2025</v>
      </c>
      <c r="E2" s="18"/>
      <c r="G2" s="1"/>
      <c r="H2" s="1"/>
    </row>
    <row r="3" spans="1:8" s="3" customFormat="1">
      <c r="A3" s="48" t="s">
        <v>13</v>
      </c>
      <c r="B3" s="49">
        <f>SUM(B4:B6)</f>
        <v>704247.91</v>
      </c>
      <c r="C3" s="2"/>
      <c r="D3" s="48" t="s">
        <v>13</v>
      </c>
      <c r="E3" s="49">
        <v>1418328</v>
      </c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>
        <v>704247.91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1760533.2</v>
      </c>
      <c r="C8" s="2"/>
      <c r="D8" s="50" t="s">
        <v>14</v>
      </c>
      <c r="E8" s="51">
        <f>E3-E15</f>
        <v>1758425.5339397369</v>
      </c>
      <c r="G8" s="1"/>
      <c r="H8" s="1"/>
    </row>
    <row r="9" spans="1:8" s="3" customFormat="1" outlineLevel="1">
      <c r="A9" s="5" t="s">
        <v>2</v>
      </c>
      <c r="B9" s="10">
        <f>1721612.27+852</f>
        <v>1722464.27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38068.93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-1056285.29</v>
      </c>
      <c r="C15" s="2"/>
      <c r="D15" s="14"/>
      <c r="E15" s="15">
        <f>-339245.533939737-852</f>
        <v>-340097.53393973701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716187.75606026303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59</v>
      </c>
      <c r="B19" s="47">
        <f>B20+B21</f>
        <v>1418328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>
        <v>1418328</v>
      </c>
      <c r="C20" s="2"/>
      <c r="D20" s="37"/>
      <c r="E20" s="38">
        <f>B20</f>
        <v>1418328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-B21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51979.06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51979.06</v>
      </c>
      <c r="C24" s="2"/>
      <c r="D24" s="37"/>
      <c r="E24" s="38">
        <f>-B24</f>
        <v>-51979.06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 ht="13.5" thickBot="1">
      <c r="A26" s="28" t="s">
        <v>18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46" t="s">
        <v>34</v>
      </c>
      <c r="B27" s="47">
        <v>704247.91</v>
      </c>
      <c r="C27" s="2"/>
      <c r="D27" s="39"/>
      <c r="E27" s="45">
        <f>-B27</f>
        <v>-704247.91</v>
      </c>
      <c r="G27" s="1"/>
      <c r="H27" s="1"/>
    </row>
    <row r="28" spans="1:8" s="3" customFormat="1" ht="13.5" thickBot="1">
      <c r="A28" s="24" t="s">
        <v>56</v>
      </c>
      <c r="B28" s="25">
        <f>B29+B30+B31</f>
        <v>10419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/>
      <c r="C29" s="2"/>
      <c r="D29" s="37"/>
      <c r="E29" s="38">
        <f>-B29</f>
        <v>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27" t="s">
        <v>55</v>
      </c>
      <c r="B31" s="31">
        <v>10419</v>
      </c>
      <c r="C31" s="2"/>
      <c r="D31" s="39"/>
      <c r="E31" s="38">
        <f>-B31</f>
        <v>-10419</v>
      </c>
      <c r="G31" s="1"/>
      <c r="H31" s="1"/>
    </row>
    <row r="32" spans="1:8" ht="13.5" thickBot="1">
      <c r="A32" s="33"/>
      <c r="B32" s="32"/>
      <c r="D32" s="39"/>
      <c r="E32" s="40"/>
    </row>
    <row r="33" spans="1:7" ht="13.5" thickBot="1">
      <c r="A33" s="46" t="s">
        <v>12</v>
      </c>
      <c r="B33" s="47">
        <f>SUM(B34:B37)*1.2</f>
        <v>37264.536</v>
      </c>
      <c r="D33" s="37"/>
      <c r="E33" s="38">
        <f>--B33</f>
        <v>37264.536</v>
      </c>
    </row>
    <row r="34" spans="1:7">
      <c r="A34" s="57" t="s">
        <v>46</v>
      </c>
      <c r="B34" s="30">
        <v>26022.78</v>
      </c>
      <c r="D34" s="62" t="s">
        <v>23</v>
      </c>
      <c r="E34" s="38">
        <f>-42822+B12</f>
        <v>-4753.07</v>
      </c>
    </row>
    <row r="35" spans="1:7">
      <c r="A35" s="58" t="s">
        <v>47</v>
      </c>
      <c r="B35" s="31">
        <v>5031</v>
      </c>
      <c r="D35" s="41" t="s">
        <v>21</v>
      </c>
      <c r="E35" s="44">
        <f>SUM(E20:E34)</f>
        <v>684193.49599999993</v>
      </c>
      <c r="F35" s="7"/>
      <c r="G35" s="78"/>
    </row>
    <row r="36" spans="1:7">
      <c r="A36" s="28"/>
      <c r="B36" s="32"/>
      <c r="D36" s="41"/>
      <c r="E36" s="54"/>
      <c r="F36" s="7"/>
    </row>
    <row r="37" spans="1:7" ht="13.5" thickBot="1">
      <c r="A37" s="34"/>
      <c r="B37" s="74"/>
      <c r="D37" s="42"/>
      <c r="E37" s="43"/>
    </row>
    <row r="38" spans="1:7" ht="13.5" thickBot="1"/>
    <row r="39" spans="1:7" ht="13.5" thickBot="1">
      <c r="A39" s="63" t="s">
        <v>24</v>
      </c>
      <c r="B39" s="64">
        <f>B15+E35</f>
        <v>-372091.79400000011</v>
      </c>
      <c r="C39" s="21"/>
      <c r="D39" s="22"/>
      <c r="E39" s="65">
        <f>E15</f>
        <v>-340097.53393973701</v>
      </c>
      <c r="F39" s="7"/>
    </row>
    <row r="40" spans="1:7" ht="19.5" thickBot="1">
      <c r="A40" s="66" t="s">
        <v>25</v>
      </c>
      <c r="B40" s="69">
        <f>B39-E39</f>
        <v>-31994.260060263099</v>
      </c>
      <c r="C40" s="70">
        <f>B40/E3</f>
        <v>-2.2557729989299443E-2</v>
      </c>
      <c r="D40" s="67"/>
      <c r="E40" s="68"/>
    </row>
    <row r="43" spans="1:7">
      <c r="A43" s="3" t="s">
        <v>32</v>
      </c>
      <c r="B43" s="7">
        <v>902314.13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C44-BC3D-4184-873B-C7CD4C560B98}">
  <sheetPr>
    <tabColor theme="6"/>
  </sheetPr>
  <dimension ref="A1:E43"/>
  <sheetViews>
    <sheetView topLeftCell="A7" workbookViewId="0">
      <selection activeCell="B25" sqref="B25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0.5" style="2" bestFit="1" customWidth="1"/>
    <col min="4" max="4" width="59.6640625" style="4" bestFit="1" customWidth="1"/>
    <col min="5" max="5" width="36.33203125" style="2" customWidth="1"/>
    <col min="6" max="16384" width="9.1640625" style="1"/>
  </cols>
  <sheetData>
    <row r="1" spans="1:5" s="3" customFormat="1" ht="16.5" thickBot="1">
      <c r="A1" s="8" t="s">
        <v>0</v>
      </c>
      <c r="B1" s="9"/>
      <c r="C1" s="2"/>
      <c r="D1" s="8" t="s">
        <v>6</v>
      </c>
      <c r="E1" s="9"/>
    </row>
    <row r="2" spans="1:5" s="3" customFormat="1" ht="13.5" thickBot="1">
      <c r="A2" s="17" t="s">
        <v>57</v>
      </c>
      <c r="B2" s="18"/>
      <c r="C2" s="2"/>
      <c r="D2" s="17" t="str">
        <f>A2</f>
        <v xml:space="preserve"> - 31/08/2025</v>
      </c>
      <c r="E2" s="18"/>
    </row>
    <row r="3" spans="1:5" s="3" customFormat="1">
      <c r="A3" s="48" t="s">
        <v>13</v>
      </c>
      <c r="B3" s="49">
        <f>SUM(B4:B6)</f>
        <v>0</v>
      </c>
      <c r="C3" s="2"/>
      <c r="D3" s="48" t="s">
        <v>13</v>
      </c>
      <c r="E3" s="49">
        <v>2033883.38</v>
      </c>
    </row>
    <row r="4" spans="1:5" s="3" customFormat="1" outlineLevel="1">
      <c r="A4" s="5" t="s">
        <v>1</v>
      </c>
      <c r="B4" s="10"/>
      <c r="C4" s="2"/>
      <c r="D4" s="5"/>
      <c r="E4" s="10"/>
    </row>
    <row r="5" spans="1:5" s="3" customFormat="1" outlineLevel="1">
      <c r="A5" s="5" t="s">
        <v>26</v>
      </c>
      <c r="B5" s="76"/>
      <c r="C5" s="2"/>
      <c r="D5" s="5"/>
      <c r="E5" s="10"/>
    </row>
    <row r="6" spans="1:5" s="3" customFormat="1" outlineLevel="1">
      <c r="A6" s="5" t="s">
        <v>31</v>
      </c>
      <c r="B6" s="76"/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50" t="s">
        <v>14</v>
      </c>
      <c r="B8" s="51">
        <f>SUM(B9:B14)</f>
        <v>1318160.1599999999</v>
      </c>
      <c r="C8" s="2"/>
      <c r="D8" s="50" t="s">
        <v>14</v>
      </c>
      <c r="E8" s="51">
        <f>E3-E15</f>
        <v>1671066.3651512777</v>
      </c>
    </row>
    <row r="9" spans="1:5" s="3" customFormat="1">
      <c r="A9" s="5" t="s">
        <v>2</v>
      </c>
      <c r="B9" s="10">
        <f>1261489.91+10701</f>
        <v>1272190.9099999999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29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45969.25</v>
      </c>
      <c r="C12" s="2"/>
      <c r="D12" s="5"/>
      <c r="E12" s="10"/>
    </row>
    <row r="13" spans="1:5" s="3" customFormat="1" outlineLevel="1">
      <c r="A13" s="5" t="s">
        <v>10</v>
      </c>
      <c r="B13" s="10"/>
      <c r="C13" s="2"/>
      <c r="D13" s="5"/>
      <c r="E13" s="10"/>
    </row>
    <row r="14" spans="1:5" s="3" customFormat="1" ht="13.5" outlineLevel="1" thickBot="1">
      <c r="A14" s="12" t="s">
        <v>11</v>
      </c>
      <c r="B14" s="13"/>
      <c r="C14" s="2"/>
      <c r="D14" s="12"/>
      <c r="E14" s="13"/>
    </row>
    <row r="15" spans="1:5" s="3" customFormat="1" ht="13.5" outlineLevel="1" thickBot="1">
      <c r="A15" s="14" t="s">
        <v>5</v>
      </c>
      <c r="B15" s="15">
        <f>B3-B8</f>
        <v>-1318160.1599999999</v>
      </c>
      <c r="C15" s="2"/>
      <c r="D15" s="14"/>
      <c r="E15" s="15">
        <f>373518.014848722-10701</f>
        <v>362817.01484872203</v>
      </c>
    </row>
    <row r="16" spans="1:5" s="3" customFormat="1" ht="13.5" thickBot="1">
      <c r="C16" s="2"/>
      <c r="D16" s="4"/>
      <c r="E16" s="2"/>
    </row>
    <row r="17" spans="1:5" s="3" customFormat="1" ht="13.5" thickBot="1">
      <c r="A17" s="19" t="s">
        <v>7</v>
      </c>
      <c r="B17" s="20"/>
      <c r="C17" s="21"/>
      <c r="D17" s="22"/>
      <c r="E17" s="23">
        <f>E15-B15</f>
        <v>1680977.1748487218</v>
      </c>
    </row>
    <row r="18" spans="1:5" s="3" customFormat="1" ht="13.5" thickBot="1">
      <c r="C18" s="2"/>
      <c r="D18" s="4"/>
      <c r="E18" s="2"/>
    </row>
    <row r="19" spans="1:5" s="3" customFormat="1" ht="13.5" thickBot="1">
      <c r="A19" s="46" t="s">
        <v>59</v>
      </c>
      <c r="B19" s="47">
        <f>B20+B21</f>
        <v>2033883.38</v>
      </c>
      <c r="C19" s="2"/>
      <c r="D19" s="35"/>
      <c r="E19" s="36"/>
    </row>
    <row r="20" spans="1:5" s="3" customFormat="1">
      <c r="A20" s="26" t="s">
        <v>8</v>
      </c>
      <c r="B20" s="16"/>
      <c r="C20" s="2"/>
      <c r="D20" s="37"/>
      <c r="E20" s="38">
        <f>-B20</f>
        <v>0</v>
      </c>
    </row>
    <row r="21" spans="1:5" s="3" customFormat="1">
      <c r="A21" s="27" t="s">
        <v>22</v>
      </c>
      <c r="B21" s="10">
        <v>2033883.38</v>
      </c>
      <c r="C21" s="2"/>
      <c r="D21" s="37"/>
      <c r="E21" s="38">
        <f>B21</f>
        <v>2033883.38</v>
      </c>
    </row>
    <row r="22" spans="1:5" s="3" customFormat="1" ht="13.5" thickBot="1">
      <c r="A22" s="28"/>
      <c r="B22" s="29"/>
      <c r="C22" s="2"/>
      <c r="D22" s="39"/>
      <c r="E22" s="40"/>
    </row>
    <row r="23" spans="1:5" s="3" customFormat="1" ht="13.5" thickBot="1">
      <c r="A23" s="46" t="s">
        <v>27</v>
      </c>
      <c r="B23" s="47">
        <f>B24+B25</f>
        <v>85766.05</v>
      </c>
      <c r="C23" s="2"/>
      <c r="D23" s="39"/>
      <c r="E23" s="40"/>
    </row>
    <row r="24" spans="1:5" s="3" customFormat="1">
      <c r="A24" s="26" t="s">
        <v>15</v>
      </c>
      <c r="B24" s="72">
        <v>85766.05</v>
      </c>
      <c r="C24" s="2"/>
      <c r="D24" s="37"/>
      <c r="E24" s="38">
        <f>-B24</f>
        <v>-85766.05</v>
      </c>
    </row>
    <row r="25" spans="1:5" s="3" customFormat="1">
      <c r="A25" s="27" t="s">
        <v>16</v>
      </c>
      <c r="B25" s="73">
        <v>0</v>
      </c>
      <c r="C25" s="2"/>
      <c r="D25" s="37"/>
      <c r="E25" s="38">
        <f>B25</f>
        <v>0</v>
      </c>
    </row>
    <row r="26" spans="1:5" s="3" customFormat="1" ht="12.6" customHeight="1">
      <c r="A26" s="27" t="s">
        <v>17</v>
      </c>
      <c r="B26" s="73"/>
      <c r="C26" s="2"/>
      <c r="D26" s="37"/>
      <c r="E26" s="45">
        <f>-B26</f>
        <v>0</v>
      </c>
    </row>
    <row r="27" spans="1:5" s="3" customFormat="1" ht="13.5" thickBot="1">
      <c r="A27" s="28" t="s">
        <v>18</v>
      </c>
      <c r="B27" s="73">
        <v>183000</v>
      </c>
      <c r="C27" s="2"/>
      <c r="D27" s="39"/>
      <c r="E27" s="45">
        <f>-B27</f>
        <v>-183000</v>
      </c>
    </row>
    <row r="28" spans="1:5" s="3" customFormat="1" ht="13.5" thickBot="1">
      <c r="A28" s="24" t="s">
        <v>9</v>
      </c>
      <c r="B28" s="25">
        <f>B29+B30</f>
        <v>30137</v>
      </c>
      <c r="C28" s="2"/>
      <c r="D28" s="39"/>
      <c r="E28" s="40"/>
    </row>
    <row r="29" spans="1:5" s="3" customFormat="1">
      <c r="A29" s="26" t="s">
        <v>19</v>
      </c>
      <c r="B29" s="73">
        <v>30137</v>
      </c>
      <c r="C29" s="2"/>
      <c r="D29" s="37"/>
      <c r="E29" s="38">
        <f>-B29</f>
        <v>-30137</v>
      </c>
    </row>
    <row r="30" spans="1:5" s="3" customFormat="1">
      <c r="A30" s="27" t="s">
        <v>20</v>
      </c>
      <c r="B30" s="73"/>
      <c r="C30" s="2"/>
      <c r="D30" s="37"/>
      <c r="E30" s="38">
        <f>-B30</f>
        <v>0</v>
      </c>
    </row>
    <row r="31" spans="1:5" s="3" customFormat="1">
      <c r="A31" s="6"/>
      <c r="B31" s="31"/>
      <c r="C31" s="2"/>
      <c r="D31" s="39"/>
      <c r="E31" s="40"/>
    </row>
    <row r="32" spans="1:5" s="3" customFormat="1" ht="13.5" thickBot="1">
      <c r="A32" s="33"/>
      <c r="B32" s="32"/>
      <c r="C32" s="2"/>
      <c r="D32" s="39"/>
      <c r="E32" s="40"/>
    </row>
    <row r="33" spans="1:5" ht="13.5" thickBot="1">
      <c r="A33" s="46" t="s">
        <v>12</v>
      </c>
      <c r="B33" s="47">
        <f>SUM(B34:B37)*1.2</f>
        <v>85843.199999999997</v>
      </c>
      <c r="D33" s="37"/>
      <c r="E33" s="38">
        <f>--B33</f>
        <v>85843.199999999997</v>
      </c>
    </row>
    <row r="34" spans="1:5">
      <c r="A34" s="57" t="s">
        <v>48</v>
      </c>
      <c r="B34" s="30">
        <v>71536</v>
      </c>
      <c r="D34" s="62" t="s">
        <v>23</v>
      </c>
      <c r="E34" s="38">
        <f>-46006+B12</f>
        <v>-36.75</v>
      </c>
    </row>
    <row r="35" spans="1:5">
      <c r="A35" s="27"/>
      <c r="B35" s="31"/>
      <c r="D35" s="41" t="s">
        <v>21</v>
      </c>
      <c r="E35" s="44">
        <f>SUM(E20:E34)</f>
        <v>1820786.7799999998</v>
      </c>
    </row>
    <row r="36" spans="1:5">
      <c r="A36" s="28"/>
      <c r="B36" s="32"/>
      <c r="D36" s="41"/>
      <c r="E36" s="54"/>
    </row>
    <row r="37" spans="1:5" ht="13.5" thickBot="1">
      <c r="A37" s="34"/>
      <c r="B37" s="74"/>
      <c r="D37" s="42"/>
      <c r="E37" s="43"/>
    </row>
    <row r="38" spans="1:5" ht="13.5" thickBot="1"/>
    <row r="39" spans="1:5" ht="13.5" thickBot="1">
      <c r="A39" s="63" t="s">
        <v>24</v>
      </c>
      <c r="B39" s="64">
        <f>B15+E35</f>
        <v>502626.61999999988</v>
      </c>
      <c r="C39" s="21"/>
      <c r="D39" s="22"/>
      <c r="E39" s="65">
        <f>E15</f>
        <v>362817.01484872203</v>
      </c>
    </row>
    <row r="40" spans="1:5" ht="19.5" thickBot="1">
      <c r="A40" s="66" t="s">
        <v>25</v>
      </c>
      <c r="B40" s="69">
        <f>B39-E39</f>
        <v>139809.60515127785</v>
      </c>
      <c r="C40" s="70">
        <f>B40/E3</f>
        <v>6.8740226959953757E-2</v>
      </c>
      <c r="D40" s="67"/>
      <c r="E40" s="68"/>
    </row>
    <row r="43" spans="1:5">
      <c r="A43" s="3" t="s">
        <v>32</v>
      </c>
      <c r="B43" s="7">
        <v>902314.13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5877-0497-43AE-98C3-E83514CB060C}">
  <sheetPr>
    <tabColor theme="6"/>
  </sheetPr>
  <dimension ref="A1:E43"/>
  <sheetViews>
    <sheetView tabSelected="1" topLeftCell="A7" workbookViewId="0">
      <selection activeCell="D31" sqref="D31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6.33203125" style="2" customWidth="1"/>
    <col min="4" max="4" width="59.6640625" style="4" bestFit="1" customWidth="1"/>
    <col min="5" max="5" width="36.33203125" style="2" customWidth="1"/>
    <col min="6" max="16384" width="9.1640625" style="1"/>
  </cols>
  <sheetData>
    <row r="1" spans="1:5" s="3" customFormat="1" ht="16.5" thickBot="1">
      <c r="A1" s="8" t="s">
        <v>0</v>
      </c>
      <c r="B1" s="9"/>
      <c r="C1" s="2"/>
      <c r="D1" s="8" t="s">
        <v>6</v>
      </c>
      <c r="E1" s="9"/>
    </row>
    <row r="2" spans="1:5" s="3" customFormat="1" ht="13.5" thickBot="1">
      <c r="A2" s="93" t="s">
        <v>58</v>
      </c>
      <c r="B2" s="18"/>
      <c r="C2" s="2"/>
      <c r="D2" s="17" t="str">
        <f>A2</f>
        <v xml:space="preserve">  - 31.08.2025</v>
      </c>
      <c r="E2" s="18"/>
    </row>
    <row r="3" spans="1:5" s="3" customFormat="1">
      <c r="A3" s="48" t="s">
        <v>13</v>
      </c>
      <c r="B3" s="49">
        <f>SUM(B4:B6)</f>
        <v>12946865.960000001</v>
      </c>
      <c r="C3" s="2"/>
      <c r="D3" s="48" t="s">
        <v>13</v>
      </c>
      <c r="E3" s="49">
        <v>10758539.559999999</v>
      </c>
    </row>
    <row r="4" spans="1:5" s="3" customFormat="1" outlineLevel="1">
      <c r="A4" s="5" t="s">
        <v>1</v>
      </c>
      <c r="B4" s="10">
        <v>10758539.960000001</v>
      </c>
      <c r="C4" s="2"/>
      <c r="D4" s="5"/>
      <c r="E4" s="10"/>
    </row>
    <row r="5" spans="1:5" s="3" customFormat="1" outlineLevel="1">
      <c r="A5" s="5" t="s">
        <v>26</v>
      </c>
      <c r="B5" s="76"/>
      <c r="C5" s="2"/>
      <c r="D5" s="5"/>
      <c r="E5" s="10"/>
    </row>
    <row r="6" spans="1:5" s="3" customFormat="1" outlineLevel="1">
      <c r="A6" s="5" t="s">
        <v>31</v>
      </c>
      <c r="B6" s="76">
        <v>2188326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50" t="s">
        <v>14</v>
      </c>
      <c r="B8" s="51">
        <f>SUM(B9:B14)</f>
        <v>7215472.7999999998</v>
      </c>
      <c r="C8" s="2"/>
      <c r="D8" s="50" t="s">
        <v>14</v>
      </c>
      <c r="E8" s="51">
        <f>E3-E15</f>
        <v>8212119.2673000786</v>
      </c>
    </row>
    <row r="9" spans="1:5" s="3" customFormat="1">
      <c r="A9" s="5" t="s">
        <v>2</v>
      </c>
      <c r="B9" s="10">
        <f>6988967.41+48045</f>
        <v>7037012.4100000001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29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f>157558.39*1</f>
        <v>157558.39000000001</v>
      </c>
      <c r="C12" s="2"/>
      <c r="D12" s="5"/>
      <c r="E12" s="10"/>
    </row>
    <row r="13" spans="1:5" s="3" customFormat="1" outlineLevel="1">
      <c r="A13" s="5" t="s">
        <v>10</v>
      </c>
      <c r="B13" s="10">
        <f>20902</f>
        <v>20902</v>
      </c>
      <c r="C13" s="2"/>
      <c r="D13" s="5"/>
      <c r="E13" s="10"/>
    </row>
    <row r="14" spans="1:5" s="3" customFormat="1" ht="13.5" outlineLevel="1" thickBot="1">
      <c r="A14" s="12" t="s">
        <v>11</v>
      </c>
      <c r="B14" s="13"/>
      <c r="C14" s="2"/>
      <c r="D14" s="12"/>
      <c r="E14" s="13"/>
    </row>
    <row r="15" spans="1:5" s="3" customFormat="1" ht="13.5" outlineLevel="1" thickBot="1">
      <c r="A15" s="14" t="s">
        <v>5</v>
      </c>
      <c r="B15" s="15">
        <f>B3-B8</f>
        <v>5731393.1600000011</v>
      </c>
      <c r="C15" s="2"/>
      <c r="D15" s="14"/>
      <c r="E15" s="15">
        <f>2594465.29269992-48045</f>
        <v>2546420.29269992</v>
      </c>
    </row>
    <row r="16" spans="1:5" s="3" customFormat="1" ht="13.5" thickBot="1">
      <c r="C16" s="2"/>
      <c r="D16" s="4"/>
      <c r="E16" s="2"/>
    </row>
    <row r="17" spans="1:5" s="3" customFormat="1" ht="13.5" thickBot="1">
      <c r="A17" s="19" t="s">
        <v>7</v>
      </c>
      <c r="B17" s="20"/>
      <c r="C17" s="21"/>
      <c r="D17" s="22"/>
      <c r="E17" s="23">
        <f>E15-B15</f>
        <v>-3184972.8673000811</v>
      </c>
    </row>
    <row r="18" spans="1:5" s="3" customFormat="1" ht="13.5" thickBot="1">
      <c r="C18" s="2"/>
      <c r="D18" s="4"/>
      <c r="E18" s="2"/>
    </row>
    <row r="19" spans="1:5" s="3" customFormat="1" ht="13.5" thickBot="1">
      <c r="A19" s="46" t="s">
        <v>59</v>
      </c>
      <c r="B19" s="47">
        <f>B20+B21</f>
        <v>0</v>
      </c>
      <c r="C19" s="2"/>
      <c r="D19" s="35"/>
      <c r="E19" s="36"/>
    </row>
    <row r="20" spans="1:5" s="3" customFormat="1">
      <c r="A20" s="26" t="s">
        <v>8</v>
      </c>
      <c r="B20" s="16"/>
      <c r="C20" s="2"/>
      <c r="D20" s="37"/>
      <c r="E20" s="38">
        <f>-B20</f>
        <v>0</v>
      </c>
    </row>
    <row r="21" spans="1:5" s="3" customFormat="1">
      <c r="A21" s="27" t="s">
        <v>22</v>
      </c>
      <c r="B21" s="10"/>
      <c r="C21" s="2"/>
      <c r="D21" s="37"/>
      <c r="E21" s="38">
        <f>B21</f>
        <v>0</v>
      </c>
    </row>
    <row r="22" spans="1:5" s="3" customFormat="1" ht="13.5" thickBot="1">
      <c r="A22" s="28"/>
      <c r="B22" s="29"/>
      <c r="C22" s="2"/>
      <c r="D22" s="39"/>
      <c r="E22" s="40"/>
    </row>
    <row r="23" spans="1:5" s="3" customFormat="1" ht="13.5" thickBot="1">
      <c r="A23" s="46" t="s">
        <v>27</v>
      </c>
      <c r="B23" s="47">
        <f>B24+B25</f>
        <v>406983</v>
      </c>
      <c r="C23" s="2"/>
      <c r="D23" s="39"/>
      <c r="E23" s="40"/>
    </row>
    <row r="24" spans="1:5" s="3" customFormat="1">
      <c r="A24" s="26" t="s">
        <v>15</v>
      </c>
      <c r="B24" s="72">
        <v>406983</v>
      </c>
      <c r="C24" s="2"/>
      <c r="D24" s="37"/>
      <c r="E24" s="38">
        <f>-B24</f>
        <v>-406983</v>
      </c>
    </row>
    <row r="25" spans="1:5" s="3" customFormat="1">
      <c r="A25" s="27" t="s">
        <v>16</v>
      </c>
      <c r="B25" s="73"/>
      <c r="C25" s="2"/>
      <c r="D25" s="37"/>
      <c r="E25" s="38">
        <f>B25</f>
        <v>0</v>
      </c>
    </row>
    <row r="26" spans="1:5" s="3" customFormat="1" ht="12.6" customHeight="1" thickBot="1">
      <c r="A26" s="28" t="s">
        <v>18</v>
      </c>
      <c r="B26" s="73">
        <v>318007</v>
      </c>
      <c r="C26" s="2"/>
      <c r="D26" s="37"/>
      <c r="E26" s="45">
        <f>-B26</f>
        <v>-318007</v>
      </c>
    </row>
    <row r="27" spans="1:5" s="3" customFormat="1" ht="13.5" thickBot="1">
      <c r="A27" s="46" t="s">
        <v>34</v>
      </c>
      <c r="B27" s="47">
        <v>2188326</v>
      </c>
      <c r="C27" s="2"/>
      <c r="D27" s="39"/>
      <c r="E27" s="45">
        <f>-B27</f>
        <v>-2188326</v>
      </c>
    </row>
    <row r="28" spans="1:5" s="3" customFormat="1" ht="13.5" thickBot="1">
      <c r="A28" s="24" t="s">
        <v>56</v>
      </c>
      <c r="B28" s="25">
        <f>B29+B30+B31</f>
        <v>301474</v>
      </c>
      <c r="C28" s="2"/>
      <c r="D28" s="39"/>
      <c r="E28" s="40"/>
    </row>
    <row r="29" spans="1:5" s="3" customFormat="1">
      <c r="A29" s="26" t="s">
        <v>19</v>
      </c>
      <c r="B29" s="31">
        <v>270178</v>
      </c>
      <c r="C29" s="2"/>
      <c r="D29" s="37"/>
      <c r="E29" s="38">
        <f>-B29</f>
        <v>-270178</v>
      </c>
    </row>
    <row r="30" spans="1:5" s="3" customFormat="1">
      <c r="A30" s="27" t="s">
        <v>20</v>
      </c>
      <c r="B30" s="73"/>
      <c r="C30" s="2"/>
      <c r="D30" s="37"/>
      <c r="E30" s="38">
        <f>-B30</f>
        <v>0</v>
      </c>
    </row>
    <row r="31" spans="1:5" s="3" customFormat="1">
      <c r="A31" s="27" t="s">
        <v>55</v>
      </c>
      <c r="B31" s="31">
        <v>31296</v>
      </c>
      <c r="C31" s="2"/>
      <c r="D31" s="39"/>
      <c r="E31" s="40">
        <f>-B31</f>
        <v>-31296</v>
      </c>
    </row>
    <row r="32" spans="1:5" s="3" customFormat="1" ht="13.5" thickBot="1">
      <c r="A32" s="33"/>
      <c r="B32" s="32"/>
      <c r="C32" s="2"/>
      <c r="D32" s="39"/>
      <c r="E32" s="40"/>
    </row>
    <row r="33" spans="1:5" ht="13.5" thickBot="1">
      <c r="A33" s="46" t="s">
        <v>12</v>
      </c>
      <c r="B33" s="47">
        <f>SUM(B34:B37)*1.2</f>
        <v>8674.7999999999993</v>
      </c>
      <c r="D33" s="37"/>
      <c r="E33" s="38">
        <f>--B33</f>
        <v>8674.7999999999993</v>
      </c>
    </row>
    <row r="34" spans="1:5">
      <c r="A34" s="57" t="s">
        <v>49</v>
      </c>
      <c r="B34" s="30">
        <v>7229</v>
      </c>
      <c r="D34" s="62" t="s">
        <v>23</v>
      </c>
      <c r="E34" s="38">
        <f>-140795+B12</f>
        <v>16763.390000000014</v>
      </c>
    </row>
    <row r="35" spans="1:5">
      <c r="A35" s="27"/>
      <c r="B35" s="31"/>
      <c r="D35" s="92" t="s">
        <v>21</v>
      </c>
      <c r="E35" s="44">
        <f>SUM(E20:E34)</f>
        <v>-3189351.81</v>
      </c>
    </row>
    <row r="36" spans="1:5">
      <c r="A36" s="28"/>
      <c r="B36" s="32"/>
      <c r="D36" s="41"/>
      <c r="E36" s="54"/>
    </row>
    <row r="37" spans="1:5" ht="13.5" thickBot="1">
      <c r="A37" s="34"/>
      <c r="B37" s="74"/>
      <c r="D37" s="42"/>
      <c r="E37" s="43"/>
    </row>
    <row r="38" spans="1:5" ht="13.5" thickBot="1"/>
    <row r="39" spans="1:5" ht="13.5" thickBot="1">
      <c r="A39" s="63" t="s">
        <v>24</v>
      </c>
      <c r="B39" s="64">
        <f>B15+E35</f>
        <v>2542041.350000001</v>
      </c>
      <c r="C39" s="21"/>
      <c r="D39" s="22"/>
      <c r="E39" s="65">
        <f>E15</f>
        <v>2546420.29269992</v>
      </c>
    </row>
    <row r="40" spans="1:5" ht="19.5" thickBot="1">
      <c r="A40" s="66" t="s">
        <v>25</v>
      </c>
      <c r="B40" s="69">
        <f>B39-E39</f>
        <v>-4378.9426999189891</v>
      </c>
      <c r="C40" s="70">
        <f>B40/E3</f>
        <v>-4.0702017922579351E-4</v>
      </c>
      <c r="D40" s="67"/>
      <c r="E40" s="68"/>
    </row>
    <row r="43" spans="1:5">
      <c r="A43" s="3" t="s">
        <v>32</v>
      </c>
      <c r="B43" s="7">
        <v>902314.13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2398-520F-489A-A77A-84167ABEBC31}">
  <dimension ref="A1:H44"/>
  <sheetViews>
    <sheetView topLeftCell="A13" workbookViewId="0">
      <selection activeCell="B20" sqref="B20"/>
    </sheetView>
  </sheetViews>
  <sheetFormatPr defaultColWidth="9.1640625" defaultRowHeight="12.75" outlineLevelRow="1"/>
  <cols>
    <col min="1" max="1" width="51.5" style="3" customWidth="1"/>
    <col min="2" max="2" width="32.33203125" style="3" customWidth="1"/>
    <col min="3" max="3" width="18.5" style="2" bestFit="1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5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50</v>
      </c>
      <c r="B2" s="18"/>
      <c r="C2" s="2"/>
      <c r="D2" s="17" t="s">
        <v>51</v>
      </c>
      <c r="E2" s="18"/>
      <c r="G2" s="1"/>
      <c r="H2" s="1"/>
    </row>
    <row r="3" spans="1:8" s="3" customFormat="1">
      <c r="A3" s="55" t="s">
        <v>13</v>
      </c>
      <c r="B3" s="79">
        <f>SUM(B4:B7)</f>
        <v>82555391.75999999</v>
      </c>
      <c r="C3" s="2"/>
      <c r="D3" s="48" t="s">
        <v>13</v>
      </c>
      <c r="E3" s="80">
        <f>'МД ВООЗ ЕМС'!E3+'Кернел Кухня'!E3+'МК МХП Катеринополь'!E3+'МК Глобино'!E3+'МД ООН 2025'!E3+'МД МХП Туалетный блок'!E3+'МД Червоний Хрест'!E3+'МК Нежин 2025'!E3+'МД Укрнафта контейнер 3 на 4'!E3+'МД МХП Франковск '!E3+'МД IRS'!E3</f>
        <v>66890985.920000002</v>
      </c>
      <c r="F3" s="52"/>
      <c r="G3" s="1"/>
      <c r="H3" s="1"/>
    </row>
    <row r="4" spans="1:8" s="3" customFormat="1" outlineLevel="1">
      <c r="A4" s="5" t="s">
        <v>1</v>
      </c>
      <c r="B4" s="77">
        <f>'МД ВООЗ ЕМС'!B4+'Кернел Кухня'!B4+'МК МХП Катеринополь'!B4+'МК Глобино'!B4+'МД ООН 2025'!B4+'МД МХП Туалетный блок'!B4+'МД Червоний Хрест'!B4+'МК Нежин 2025'!B4+'МД Укрнафта контейнер 3 на 4'!B4+'МД МХП Франковск '!B4+'МД IRS'!B4</f>
        <v>75879745.289999992</v>
      </c>
      <c r="C4" s="2"/>
      <c r="D4" s="5"/>
      <c r="E4" s="77"/>
      <c r="G4" s="1"/>
      <c r="H4" s="1"/>
    </row>
    <row r="5" spans="1:8" s="3" customFormat="1" outlineLevel="1">
      <c r="A5" s="5" t="s">
        <v>26</v>
      </c>
      <c r="B5" s="77">
        <f>'МД ВООЗ ЕМС'!B5+'Кернел Кухня'!B5+'МК МХП Катеринополь'!B5+'МК Глобино'!B5+'МД ООН 2025'!B5+'МД МХП Туалетный блок'!B5+'МД Червоний Хрест'!B5+'МК Нежин 2025'!B5+'МД Укрнафта контейнер 3 на 4'!B5+'МД МХП Франковск '!B5+'МД IRS'!B5</f>
        <v>0</v>
      </c>
      <c r="C5" s="2"/>
      <c r="D5" s="5"/>
      <c r="E5" s="77"/>
      <c r="G5" s="1"/>
      <c r="H5" s="1"/>
    </row>
    <row r="6" spans="1:8" s="3" customFormat="1" outlineLevel="1">
      <c r="A6" s="5" t="s">
        <v>31</v>
      </c>
      <c r="B6" s="77">
        <f>'МД ВООЗ ЕМС'!B6+'Кернел Кухня'!B6+'МК МХП Катеринополь'!B6+'МК Глобино'!B6+'МД ООН 2025'!B6+'МД МХП Туалетный блок'!B6+'МД Червоний Хрест'!B6+'МК Нежин 2025'!B6+'МД Укрнафта контейнер 3 на 4'!B6+'МД МХП Франковск '!B6+'МД IRS'!B6</f>
        <v>6675646.4699999997</v>
      </c>
      <c r="C6" s="2"/>
      <c r="D6" s="5"/>
      <c r="E6" s="77"/>
      <c r="G6" s="1"/>
      <c r="H6" s="1"/>
    </row>
    <row r="7" spans="1:8" s="3" customFormat="1" outlineLevel="1">
      <c r="A7" s="5"/>
      <c r="B7" s="77"/>
      <c r="C7" s="2"/>
      <c r="D7" s="5"/>
      <c r="E7" s="11"/>
      <c r="G7" s="1"/>
      <c r="H7" s="1"/>
    </row>
    <row r="8" spans="1:8" s="3" customFormat="1">
      <c r="A8" s="5"/>
      <c r="B8" s="77"/>
      <c r="C8" s="2"/>
      <c r="D8" s="5"/>
      <c r="E8" s="77"/>
      <c r="G8" s="1"/>
      <c r="H8" s="1"/>
    </row>
    <row r="9" spans="1:8" s="3" customFormat="1">
      <c r="A9" s="50" t="s">
        <v>14</v>
      </c>
      <c r="B9" s="82">
        <f>SUM(B10:B14)</f>
        <v>71669727.030000001</v>
      </c>
      <c r="C9" s="2"/>
      <c r="D9" s="50" t="s">
        <v>14</v>
      </c>
      <c r="E9" s="82">
        <f>'МД ВООЗ ЕМС'!E8+'Кернел Кухня'!E8+'МК МХП Катеринополь'!E8+'МК Глобино'!E8+'МД ООН 2025'!E8+'МД МХП Туалетный блок'!E8+'МД Червоний Хрест'!E8+'МК Нежин 2025'!E8+'МД Укрнафта контейнер 3 на 4'!E8+'МД МХП Франковск '!E8+'МД IRS'!E8</f>
        <v>56124941.030682407</v>
      </c>
      <c r="G9" s="1"/>
      <c r="H9" s="1"/>
    </row>
    <row r="10" spans="1:8" s="3" customFormat="1" outlineLevel="1">
      <c r="A10" s="5" t="s">
        <v>2</v>
      </c>
      <c r="B10" s="81">
        <f>'МД ВООЗ ЕМС'!B9+'Кернел Кухня'!B9+'МК МХП Катеринополь'!B9+'МК Глобино'!B9+'МД ООН 2025'!B9+'МД МХП Туалетный блок'!B9+'МД Червоний Хрест'!B9+'МК Нежин 2025'!B9+'МД Укрнафта контейнер 3 на 4'!B9+'МД МХП Франковск '!B9+'МД IRS'!B9</f>
        <v>70708334.820000008</v>
      </c>
      <c r="C10" s="2"/>
      <c r="D10" s="5"/>
      <c r="E10" s="77"/>
      <c r="G10" s="1"/>
      <c r="H10" s="1"/>
    </row>
    <row r="11" spans="1:8" s="3" customFormat="1" outlineLevel="1">
      <c r="A11" s="5" t="s">
        <v>3</v>
      </c>
      <c r="B11" s="77"/>
      <c r="C11" s="2"/>
      <c r="D11" s="5"/>
      <c r="E11" s="77"/>
      <c r="G11" s="1"/>
      <c r="H11" s="1"/>
    </row>
    <row r="12" spans="1:8" s="3" customFormat="1" outlineLevel="1">
      <c r="A12" s="5" t="s">
        <v>4</v>
      </c>
      <c r="B12" s="77">
        <f>'МД ВООЗ ЕМС'!B12+'Кернел Кухня'!B12+'МК МХП Катеринополь'!B12+'МК Глобино'!B12+'МД ООН 2025'!B12+'МД МХП Туалетный блок'!B12+'МД Червоний Хрест'!B12+'МК Нежин 2025'!B12+'МД Укрнафта контейнер 3 на 4'!B12+'МД МХП Франковск '!B12+'МД IRS'!B12</f>
        <v>916300.21000000008</v>
      </c>
      <c r="C12" s="2"/>
      <c r="D12" s="5"/>
      <c r="E12" s="77"/>
      <c r="G12" s="1"/>
      <c r="H12" s="1"/>
    </row>
    <row r="13" spans="1:8" s="3" customFormat="1" outlineLevel="1">
      <c r="A13" s="5" t="s">
        <v>10</v>
      </c>
      <c r="B13" s="81">
        <f>'МД ВООЗ ЕМС'!B13+'Кернел Кухня'!B13+'МК МХП Катеринополь'!B13+'МК Глобино'!B13+'МД ООН 2025'!B13+'МД МХП Туалетный блок'!B13+'МД Червоний Хрест'!B13+'МК Нежин 2025'!B13+'МД Укрнафта контейнер 3 на 4'!B13+'МД МХП Франковск '!B13+'МД IRS'!B13</f>
        <v>45092</v>
      </c>
      <c r="C13" s="83"/>
      <c r="D13" s="5"/>
      <c r="E13" s="77"/>
      <c r="G13" s="1"/>
      <c r="H13" s="1"/>
    </row>
    <row r="14" spans="1:8" s="3" customFormat="1" ht="13.5" outlineLevel="1" thickBot="1">
      <c r="A14" s="56" t="s">
        <v>11</v>
      </c>
      <c r="B14" s="84"/>
      <c r="C14" s="2"/>
      <c r="D14" s="12"/>
      <c r="E14" s="85"/>
      <c r="G14" s="1"/>
      <c r="H14" s="1"/>
    </row>
    <row r="15" spans="1:8" s="3" customFormat="1" ht="13.5" thickBot="1">
      <c r="A15" s="14" t="s">
        <v>5</v>
      </c>
      <c r="B15" s="15">
        <f>B3-B9</f>
        <v>10885664.729999989</v>
      </c>
      <c r="C15" s="2"/>
      <c r="D15" s="14" t="s">
        <v>5</v>
      </c>
      <c r="E15" s="15">
        <f>E3-E9</f>
        <v>10766044.889317594</v>
      </c>
      <c r="F15" s="52"/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-119619.8406823948</v>
      </c>
      <c r="F17" s="7"/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28</v>
      </c>
      <c r="B19" s="47">
        <f>B20-B21</f>
        <v>-13113471.179999998</v>
      </c>
      <c r="C19" s="2"/>
      <c r="D19" s="35"/>
      <c r="E19" s="36"/>
      <c r="G19" s="1"/>
      <c r="H19" s="1"/>
    </row>
    <row r="20" spans="1:8" s="3" customFormat="1">
      <c r="A20" s="53" t="s">
        <v>8</v>
      </c>
      <c r="B20" s="77">
        <f>'МД ВООЗ ЕМС'!B20+'Кернел Кухня'!B20+'МК МХП Катеринополь'!B20+'МК Глобино'!B20+'МД ООН 2025'!B20+'МД МХП Туалетный блок'!B20+'МД Червоний Хрест'!B20+'МК Нежин 2025'!B20+'МД Укрнафта контейнер 3 на 4'!B20+'МД МХП Франковск '!B20+'МД IRS'!B20</f>
        <v>5979239.9700000007</v>
      </c>
      <c r="C20" s="2"/>
      <c r="D20" s="37"/>
      <c r="E20" s="38">
        <f>B20</f>
        <v>5979239.9700000007</v>
      </c>
      <c r="G20" s="1"/>
      <c r="H20" s="1"/>
    </row>
    <row r="21" spans="1:8" s="3" customFormat="1">
      <c r="A21" s="27" t="s">
        <v>22</v>
      </c>
      <c r="B21" s="77">
        <f>'МД ВООЗ ЕМС'!B21+'Кернел Кухня'!B21+'МК МХП Катеринополь'!B21+'МК Глобино'!B21+'МД ООН 2025'!B21+'МД МХП Туалетный блок'!B21+'МД Червоний Хрест'!B21+'МК Нежин 2025'!B21+'МД Укрнафта контейнер 3 на 4'!B21+'МД МХП Франковск '!B21+'МД IRS'!B21</f>
        <v>19092711.149999999</v>
      </c>
      <c r="C21" s="2"/>
      <c r="D21" s="37"/>
      <c r="E21" s="38">
        <f>-B21</f>
        <v>-19092711.149999999</v>
      </c>
      <c r="G21" s="1"/>
      <c r="H21" s="1"/>
    </row>
    <row r="22" spans="1:8" s="3" customFormat="1" ht="13.5" thickBot="1">
      <c r="A22" s="34"/>
      <c r="B22" s="86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/>
      <c r="C23" s="2"/>
      <c r="D23" s="39"/>
      <c r="E23" s="40"/>
      <c r="G23" s="1"/>
      <c r="H23" s="1"/>
    </row>
    <row r="24" spans="1:8" s="3" customFormat="1">
      <c r="A24" s="26" t="s">
        <v>15</v>
      </c>
      <c r="B24" s="31">
        <f>'МД ВООЗ ЕМС'!B24+'Кернел Кухня'!B24+'МК МХП Катеринополь'!B24+'МК Глобино'!B24+'МД ООН 2025'!B24+'МД МХП Туалетный блок'!B24+'МД Червоний Хрест'!B24+'МК Нежин 2025'!B24+'МД Укрнафта контейнер 3 на 4'!B24+'МД МХП Франковск '!B24+'МД IRS'!B24</f>
        <v>3419461.9099999997</v>
      </c>
      <c r="C24" s="2"/>
      <c r="D24" s="37"/>
      <c r="E24" s="38">
        <f>-B24</f>
        <v>-3419461.9099999997</v>
      </c>
      <c r="G24" s="1"/>
      <c r="H24" s="1"/>
    </row>
    <row r="25" spans="1:8" s="3" customFormat="1">
      <c r="A25" s="27" t="s">
        <v>16</v>
      </c>
      <c r="B25" s="31">
        <f>'МД ВООЗ ЕМС'!B25+'Кернел Кухня'!B25+'МК МХП Катеринополь'!B25+'МК Глобино'!B25+'МД ООН 2025'!B25+'МД МХП Туалетный блок'!B25+'МД Червоний Хрест'!B25+'МК Нежин 2025'!B25+'МД Укрнафта контейнер 3 на 4'!B25+'МД МХП Франковск '!B25+'МД IRS'!B25</f>
        <v>538089.15</v>
      </c>
      <c r="C25" s="2"/>
      <c r="D25" s="37"/>
      <c r="E25" s="38">
        <f>B25</f>
        <v>538089.15</v>
      </c>
      <c r="G25" s="1"/>
      <c r="H25" s="1"/>
    </row>
    <row r="26" spans="1:8" s="3" customFormat="1" ht="13.5" thickBot="1">
      <c r="A26" s="28" t="s">
        <v>18</v>
      </c>
      <c r="B26" s="31">
        <f>'МД ВООЗ ЕМС'!B27+'Кернел Кухня'!B26+'МК МХП Катеринополь'!B27+'МК Глобино'!B27+'МД ООН 2025'!B27+'МД МХП Туалетный блок'!B27+'МД Червоний Хрест'!B26+'МК Нежин 2025'!B27+'МД Укрнафта контейнер 3 на 4'!B26+'МД МХП Франковск '!B27+'МД IRS'!B26</f>
        <v>767757</v>
      </c>
      <c r="C26" s="2"/>
      <c r="D26" s="37"/>
      <c r="E26" s="45">
        <f>-B26</f>
        <v>-767757</v>
      </c>
      <c r="G26" s="1"/>
      <c r="H26" s="1"/>
    </row>
    <row r="27" spans="1:8" s="3" customFormat="1" ht="13.5" thickBot="1">
      <c r="A27" s="46" t="s">
        <v>34</v>
      </c>
      <c r="B27" s="47">
        <f>'Кернел Кухня'!B27+'МД Червоний Хрест'!B27+'МД Укрнафта контейнер 3 на 4'!B27+'МД IRS'!B27</f>
        <v>6675646.4699999997</v>
      </c>
      <c r="C27" s="2"/>
      <c r="D27" s="39"/>
      <c r="E27" s="38">
        <f>-B27</f>
        <v>-6675646.4699999997</v>
      </c>
      <c r="G27" s="1"/>
      <c r="H27" s="1"/>
    </row>
    <row r="28" spans="1:8" s="3" customFormat="1" ht="13.5" thickBot="1">
      <c r="A28" s="46" t="s">
        <v>9</v>
      </c>
      <c r="B28" s="47">
        <f>B29+B30</f>
        <v>1101950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30">
        <f>'МД ВООЗ ЕМС'!B29+'Кернел Кухня'!B29+'МК МХП Катеринополь'!B29+'МК Глобино'!B29+'МД ООН 2025'!B29+'МД МХП Туалетный блок'!B29+'МД Червоний Хрест'!B29+'МК Нежин 2025'!B29+'МД Укрнафта контейнер 3 на 4'!B29+'МД МХП Франковск '!B29+'МД IRS'!B29</f>
        <v>1101950</v>
      </c>
      <c r="C29" s="2"/>
      <c r="D29" s="37"/>
      <c r="E29" s="38">
        <f>-B29</f>
        <v>-1101950</v>
      </c>
      <c r="G29" s="1"/>
      <c r="H29" s="1"/>
    </row>
    <row r="30" spans="1:8" s="3" customFormat="1">
      <c r="A30" s="27" t="s">
        <v>20</v>
      </c>
      <c r="B30" s="30">
        <f>'МД ВООЗ ЕМС'!B30+'Кернел Кухня'!B30+'МК МХП Катеринополь'!B30+'МК Глобино'!B30+'МД ООН 2025'!B30+'МД МХП Туалетный блок'!B30+'МД Червоний Хрест'!B30+'МК Нежин 2025'!B30+'МД Укрнафта контейнер 3 на 4'!B30+'МД МХП Франковск '!B30+'МД IRS'!B30</f>
        <v>0</v>
      </c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0">
        <f>'МД ВООЗ ЕМС'!B31+'Кернел Кухня'!B31+'МК МХП Катеринополь'!B31+'МК Глобино'!B31+'МД ООН 2025'!B31+'МД МХП Туалетный блок'!B31+'МД Червоний Хрест'!B31+'МК Нежин 2025'!B31+'МД Укрнафта контейнер 3 на 4'!B31+'МД МХП Франковск '!B31+'МД IRS'!B31</f>
        <v>97683</v>
      </c>
      <c r="C31" s="2"/>
      <c r="D31" s="39"/>
      <c r="E31" s="38">
        <f>-B31</f>
        <v>-97683</v>
      </c>
      <c r="G31" s="1"/>
      <c r="H31" s="1"/>
    </row>
    <row r="32" spans="1:8" ht="13.5" thickBot="1">
      <c r="A32" s="33"/>
      <c r="B32" s="32"/>
      <c r="D32" s="39"/>
      <c r="E32" s="40"/>
    </row>
    <row r="33" spans="1:7" ht="13.5" thickBot="1">
      <c r="A33" s="46" t="s">
        <v>12</v>
      </c>
      <c r="B33" s="47">
        <f>SUM(B34:B36)*1.2</f>
        <v>18672774.023999996</v>
      </c>
      <c r="D33" s="37"/>
      <c r="E33" s="38">
        <f>--B33</f>
        <v>18672774.023999996</v>
      </c>
    </row>
    <row r="34" spans="1:7" ht="13.5" thickBot="1">
      <c r="A34" s="57" t="s">
        <v>52</v>
      </c>
      <c r="B34" s="60">
        <f>'МД ВООЗ ЕМС'!B34+'Кернел Кухня'!B34+'МК МХП Катеринополь'!B34+'МК Глобино'!B34+'МД ООН 2025'!B34+'МД МХП Туалетный блок'!B34+'МД Червоний Хрест'!B34+'МК Нежин 2025'!B34+'МД Укрнафта контейнер 3 на 4'!B34+'МД МХП Франковск '!B34+'МД IRS'!B34</f>
        <v>15347659.409999998</v>
      </c>
      <c r="D34" s="62" t="s">
        <v>23</v>
      </c>
      <c r="E34" s="38">
        <f>'МД ВООЗ ЕМС'!E34+'Кернел Кухня'!E34+'МК МХП Катеринополь'!E34+'МК Глобино'!E34+'МД ООН 2025'!E34+'МД МХП Туалетный блок'!E34+'МД Червоний Хрест'!E34+'МК Нежин 2025'!E34+'МД Укрнафта контейнер 3 на 4'!E34+'МД МХП Франковск '!E34+'МД IRS'!E34</f>
        <v>-1709831.7900000005</v>
      </c>
    </row>
    <row r="35" spans="1:7">
      <c r="A35" s="58" t="s">
        <v>53</v>
      </c>
      <c r="B35" s="60">
        <f>'МК МХП Катеринополь'!B35+'МК Глобино'!B35+'МД ООН 2025'!B35+'МД МХП Туалетный блок'!B35+'МД Червоний Хрест'!B35+'МК Нежин 2025'!B35+'МД Укрнафта контейнер 3 на 4'!B35+'МД МХП Франковск '!B35+'МД IRS'!B35</f>
        <v>212985.61</v>
      </c>
      <c r="C35" s="87"/>
      <c r="D35" s="41" t="s">
        <v>21</v>
      </c>
      <c r="E35" s="44">
        <f>SUM(E20:E34)</f>
        <v>-7674938.1760000009</v>
      </c>
      <c r="F35" s="7"/>
    </row>
    <row r="36" spans="1:7" ht="13.5" thickBot="1">
      <c r="A36" s="59"/>
      <c r="B36" s="61"/>
      <c r="D36" s="42"/>
      <c r="E36" s="43"/>
    </row>
    <row r="37" spans="1:7" ht="13.5" thickBot="1"/>
    <row r="38" spans="1:7" ht="13.5" thickBot="1">
      <c r="A38" s="63" t="s">
        <v>24</v>
      </c>
      <c r="B38" s="64">
        <f>B15+E35</f>
        <v>3210726.5539999884</v>
      </c>
      <c r="C38" s="21"/>
      <c r="D38" s="22"/>
      <c r="E38" s="65">
        <f>E15</f>
        <v>10766044.889317594</v>
      </c>
      <c r="F38" s="7"/>
    </row>
    <row r="39" spans="1:7" ht="19.5" thickBot="1">
      <c r="A39" s="66" t="s">
        <v>25</v>
      </c>
      <c r="B39" s="69">
        <f>'МД IRS'!B40+'МД МХП Франковск '!B40+'МД Укрнафта контейнер 3 на 4'!B40+'МК Нежин 2025'!B40+'МД Червоний Хрест'!B40+'МД МХП Туалетный блок'!B40+'МД ООН 2025'!A51+'МД ООН 2025'!B40+'МК Глобино'!B40+'МК МХП Катеринополь'!B40+'Кернел Кухня'!B40+'МД ВООЗ ЕМС'!B40</f>
        <v>-232724.27189079981</v>
      </c>
      <c r="C39" s="88">
        <f>B39/E3</f>
        <v>-3.4791574483463645E-3</v>
      </c>
      <c r="D39" s="67"/>
      <c r="E39" s="68"/>
    </row>
    <row r="41" spans="1:7">
      <c r="G41" s="78">
        <v>2280006.8601341094</v>
      </c>
    </row>
    <row r="42" spans="1:7">
      <c r="B42" s="89"/>
    </row>
    <row r="43" spans="1:7">
      <c r="A43" s="3" t="s">
        <v>32</v>
      </c>
      <c r="B43" s="7">
        <v>902314.13</v>
      </c>
      <c r="G43" s="78">
        <f>B12-G41</f>
        <v>-1363706.6501341094</v>
      </c>
    </row>
    <row r="44" spans="1:7">
      <c r="B44" s="8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МД ВООЗ ЕМС</vt:lpstr>
      <vt:lpstr>Кернел Кухня</vt:lpstr>
      <vt:lpstr>МК МХП Катеринополь</vt:lpstr>
      <vt:lpstr>МК Глобино</vt:lpstr>
      <vt:lpstr>МД ООН 2025</vt:lpstr>
      <vt:lpstr>МД МХП Туалетный блок</vt:lpstr>
      <vt:lpstr>МД Червоний Хрест</vt:lpstr>
      <vt:lpstr>МК Нежин 2025</vt:lpstr>
      <vt:lpstr>МД Укрнафта контейнер 3 на 4</vt:lpstr>
      <vt:lpstr>МД МХП Франковск </vt:lpstr>
      <vt:lpstr>МД IRS</vt:lpstr>
      <vt:lpstr>Производство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cfo</cp:lastModifiedBy>
  <dcterms:created xsi:type="dcterms:W3CDTF">2025-04-29T07:19:21Z</dcterms:created>
  <dcterms:modified xsi:type="dcterms:W3CDTF">2025-09-23T06:27:05Z</dcterms:modified>
</cp:coreProperties>
</file>
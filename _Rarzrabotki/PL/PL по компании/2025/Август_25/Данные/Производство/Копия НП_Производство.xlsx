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Производство\"/>
    </mc:Choice>
  </mc:AlternateContent>
  <xr:revisionPtr revIDLastSave="0" documentId="13_ncr:1_{CF638D99-0325-4ABA-9CE1-C5D598F757E8}" xr6:coauthVersionLast="45" xr6:coauthVersionMax="47" xr10:uidLastSave="{00000000-0000-0000-0000-000000000000}"/>
  <bookViews>
    <workbookView xWindow="-120" yWindow="-120" windowWidth="29040" windowHeight="15990" xr2:uid="{90900D4D-A6BE-4D69-A0E0-DCB762DF1F75}"/>
  </bookViews>
  <sheets>
    <sheet name="Производство" sheetId="1" r:id="rId1"/>
  </sheets>
  <definedNames>
    <definedName name="_xlnm._FilterDatabase" localSheetId="0" hidden="1">Производство!$D$11:$O$35</definedName>
    <definedName name="Agreement" localSheetId="0">Производство!$A$9</definedName>
    <definedName name="BODY" localSheetId="0">Производство!#REF!</definedName>
    <definedName name="CompanyName" localSheetId="0">Производство!$A$5</definedName>
    <definedName name="CompanyName2" localSheetId="0">Производство!#REF!</definedName>
    <definedName name="Counter" localSheetId="0">Производство!#REF!</definedName>
    <definedName name="CustName" localSheetId="0">Производство!$A$7</definedName>
    <definedName name="Description" localSheetId="0">Производство!#REF!</definedName>
    <definedName name="Direction" localSheetId="0">Производство!#REF!</definedName>
    <definedName name="ExecutorAddress" localSheetId="0">Производство!#REF!</definedName>
    <definedName name="ExecutorContactCenter" localSheetId="0">Производство!#REF!</definedName>
    <definedName name="ExecutorEDRPOU" localSheetId="0">Производство!#REF!</definedName>
    <definedName name="ExecutorName" localSheetId="0">Производство!#REF!</definedName>
    <definedName name="LineAmount" localSheetId="0">Производство!#REF!</definedName>
    <definedName name="NumberDateTxt" localSheetId="0">Производство!$A$3</definedName>
    <definedName name="PackageValue" localSheetId="0">Производство!#REF!</definedName>
    <definedName name="PAGEFOOTER" localSheetId="0">Производство!$35:$35</definedName>
    <definedName name="PAGEHEADER" localSheetId="0">Производство!$11:$11</definedName>
    <definedName name="Receiver" localSheetId="0">Производство!#REF!</definedName>
    <definedName name="ReceiverContact" localSheetId="0">Производство!#REF!</definedName>
    <definedName name="REPORTFOOTER" localSheetId="0">Производство!$36:$36</definedName>
    <definedName name="REPORTHEADER" localSheetId="0">Производство!$1:$10</definedName>
    <definedName name="SeatCount" localSheetId="0">Производство!#REF!</definedName>
    <definedName name="Sender" localSheetId="0">Производство!#REF!</definedName>
    <definedName name="SenderContact" localSheetId="0">Производство!#REF!</definedName>
    <definedName name="ShipmentDate" localSheetId="0">Производство!#REF!</definedName>
    <definedName name="ShipmentOrder" localSheetId="0">Производство!#REF!</definedName>
    <definedName name="TotalAmount" localSheetId="0">Производство!$M$35</definedName>
    <definedName name="TotalPackageValue" localSheetId="0">Производство!$L$35</definedName>
    <definedName name="TotalSeatCount" localSheetId="0">Производство!$K$35</definedName>
    <definedName name="TotalWeight" localSheetId="0">Производство!$J$35</definedName>
    <definedName name="Weight" localSheetId="0">Производство!#REF!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1" l="1"/>
  <c r="L35" i="1"/>
  <c r="K35" i="1"/>
  <c r="J35" i="1"/>
</calcChain>
</file>

<file path=xl/sharedStrings.xml><?xml version="1.0" encoding="utf-8"?>
<sst xmlns="http://schemas.openxmlformats.org/spreadsheetml/2006/main" count="251" uniqueCount="122">
  <si>
    <t>СПЕЦИФІКАЦІЯ</t>
  </si>
  <si>
    <t>до акту наданих послуг № НП-015434830 від 31 серпня 2025</t>
  </si>
  <si>
    <t>Виконавець: Товариство з обмеженою відповідальністю "Нова Пошта"</t>
  </si>
  <si>
    <t>Замовник: ТОВАРИСТВО З ОБМЕЖЕНОЮ ВІДПОВІДАЛЬНІСТЮ "ІНДАСТРІАЛБУД"</t>
  </si>
  <si>
    <t>Підстава: договір № 208158 від 28.03.2018</t>
  </si>
  <si>
    <t>№ з/п</t>
  </si>
  <si>
    <t>Документ ЕН</t>
  </si>
  <si>
    <t>Дата ЕН</t>
  </si>
  <si>
    <t>Маршрут</t>
  </si>
  <si>
    <t>Відправник</t>
  </si>
  <si>
    <t>Контакт відправника</t>
  </si>
  <si>
    <t>Отримувач</t>
  </si>
  <si>
    <t>Контакт отримувача</t>
  </si>
  <si>
    <t>Опис вантажу</t>
  </si>
  <si>
    <t>Вага</t>
  </si>
  <si>
    <t>Кількість місць</t>
  </si>
  <si>
    <t>Вартість вантажу</t>
  </si>
  <si>
    <t>Сума</t>
  </si>
  <si>
    <t>ЦФО</t>
  </si>
  <si>
    <t>Статья</t>
  </si>
  <si>
    <t>59001434372490</t>
  </si>
  <si>
    <t>14.08.2025</t>
  </si>
  <si>
    <t>Щасливе - Біла Церква</t>
  </si>
  <si>
    <t>ТОВ "РУФ-СТАР" с. Щасливе, Відділення №1: вул. Перспективна, 2</t>
  </si>
  <si>
    <t>Кухар Віктор Іванович 380983221894</t>
  </si>
  <si>
    <t>ТОВ "ІНДАСТРІАЛБУД" м. Біла Церква, вул. Мережна, 6</t>
  </si>
  <si>
    <t>Бреус Віталій Григорович 380675002415</t>
  </si>
  <si>
    <t>лакофарбові матеріали</t>
  </si>
  <si>
    <t>Строительные материалы</t>
  </si>
  <si>
    <t>Производство</t>
  </si>
  <si>
    <t>59001427112016</t>
  </si>
  <si>
    <t>03.08.2025</t>
  </si>
  <si>
    <t>Рівне - Біла Церква</t>
  </si>
  <si>
    <t>Приватна особа м. Рівне, Відділення №18: вул. Володимира Стельмаха, 9Б</t>
  </si>
  <si>
    <t>Петренко Микола Григорович 380963834949</t>
  </si>
  <si>
    <t>Інструменти</t>
  </si>
  <si>
    <t>Транспортные затраты</t>
  </si>
  <si>
    <t>59001439596638</t>
  </si>
  <si>
    <t>22.08.2025</t>
  </si>
  <si>
    <t>59001429662071</t>
  </si>
  <si>
    <t>07.08.2025</t>
  </si>
  <si>
    <t>Калинівка - Біла Церква</t>
  </si>
  <si>
    <t>ОСТРОВСЬКА ОЛЕНА АНАТОЛІЇВНА ФОП смт Калинівка (Фастівський р-н), Відділення №1: вул. Центральна, 57</t>
  </si>
  <si>
    <t>Островська Олена Анатоліївна 380663030624</t>
  </si>
  <si>
    <t>шафи, пенали, стелажі</t>
  </si>
  <si>
    <t>59001433759129</t>
  </si>
  <si>
    <t>13.08.2025</t>
  </si>
  <si>
    <t>Біла Церква - Біла Церква</t>
  </si>
  <si>
    <t>ТОВ "ІНДАСТРІАЛБУД" м. Біла Церква, Відділення №18 (до 30 кг на одне місце): вул. Героїв Маріуполя, 41а</t>
  </si>
  <si>
    <t>Приватна особа м. Біла Церква, Відділення №14 (до 30 кг на одне місце): вул. Таращанська, 191-А, неж. прим. 4Ж</t>
  </si>
  <si>
    <t>Ляшенко Юрій Олексійович 380980075329</t>
  </si>
  <si>
    <t>Документи</t>
  </si>
  <si>
    <t>Курьерские и почтовые</t>
  </si>
  <si>
    <t>59001432222752</t>
  </si>
  <si>
    <t>11.08.2025</t>
  </si>
  <si>
    <t>Приватна особа м. Біла Церква, Відділення №15 (до 30 кг на одне місце): бульв.Олександрійський, 169</t>
  </si>
  <si>
    <t>Макарова Анна Борисівна 380965281534</t>
  </si>
  <si>
    <t>ТОВ "ІНДАСТРІАЛБУД" м. Біла Церква, Біла Церква, вул. Мережна, 6</t>
  </si>
  <si>
    <t>59001439262787</t>
  </si>
  <si>
    <t>Миргород - Біла Церква</t>
  </si>
  <si>
    <t>ТОВ "АБЗ" м. Миргород, Відділення №1: вул. Гоголя, 4</t>
  </si>
  <si>
    <t>Чернівський Володимир Васильович 380503055039</t>
  </si>
  <si>
    <t>20451233783779</t>
  </si>
  <si>
    <t>26.08.2025</t>
  </si>
  <si>
    <t>Київ - Біла Церква</t>
  </si>
  <si>
    <t>ТОВ "РУФ-СТАР" м. Київ, Відділення №100 (до 30 кг на одне місце): вул. Інженерна, 1 (маг. "Сільпо")</t>
  </si>
  <si>
    <t>Кухар Віктор Іванович 380634104144</t>
  </si>
  <si>
    <t>20400473828692</t>
  </si>
  <si>
    <t>Дніпро - Біла Церква</t>
  </si>
  <si>
    <t>ТОВ "ПЛАТІНУМ ЕЛЕКТРИК" м. Дніпро, Поштомат "Нова Пошта" №30960: вул. Любарського, 143 (ТОВ "Платінум Електрик")</t>
  </si>
  <si>
    <t>Шаталова Карина Петрівна 380686900966</t>
  </si>
  <si>
    <t>59001432794331</t>
  </si>
  <si>
    <t>12.08.2025</t>
  </si>
  <si>
    <t>Охтирка - Біла Церква</t>
  </si>
  <si>
    <t>Приватна особа м. Охтирка, Відділення №2 (до 30 кг): вул. Незалежності (ран. Жовтнева), 18</t>
  </si>
  <si>
    <t>Запорожець Олена Миколаївна 380666519800</t>
  </si>
  <si>
    <t>20451222368199</t>
  </si>
  <si>
    <t>ПЕРЕУДА ЄВГЕН ОЛЕКСІЙОВИЧ ФОП м. Київ, Відділення №375 (до 30 кг): вул. Євгена Сверстюка, 11В</t>
  </si>
  <si>
    <t>Переуда Євген Олексійович 380731284573</t>
  </si>
  <si>
    <t>20451217649751</t>
  </si>
  <si>
    <t>06.08.2025</t>
  </si>
  <si>
    <t>59001432103335</t>
  </si>
  <si>
    <t>20451230958677</t>
  </si>
  <si>
    <t>Львів - Біла Церква</t>
  </si>
  <si>
    <t>МИХАЙЛИЦЬКА МАРІЯ АНДРІЇВНА ФОП м. Львів, Відділення №2: вул. Пластова, 7</t>
  </si>
  <si>
    <t>Михайлицька Марія Андріївна 380633730747</t>
  </si>
  <si>
    <t>Верхня кришка</t>
  </si>
  <si>
    <t>59001434326088</t>
  </si>
  <si>
    <t>Приватна особа м. Київ, Відділення №6: вул. Миколи Василенка, 2</t>
  </si>
  <si>
    <t>Лабунський Олександр Іванович 380977828971</t>
  </si>
  <si>
    <t>Кондиціонер(и)</t>
  </si>
  <si>
    <t>59001429727843</t>
  </si>
  <si>
    <t>ТОВ "КОМЕРЦІЙНА ПІДЛОГА" м. Київ, вул. Бориспільська, 44</t>
  </si>
  <si>
    <t>Гамерський Богдан Ігорович 380672708726</t>
  </si>
  <si>
    <t>Рулон</t>
  </si>
  <si>
    <t>59001433758052</t>
  </si>
  <si>
    <t>Біла Церква - Київ</t>
  </si>
  <si>
    <t>Приватна особа м. Київ, Відділення №400 (до 30 кг): бульв. Лесі Українки, 10</t>
  </si>
  <si>
    <t>Кечко Ірина Анатоліївна 380502658449</t>
  </si>
  <si>
    <t>59001432666397</t>
  </si>
  <si>
    <t>Біла Церква - Миколаїв</t>
  </si>
  <si>
    <t>Манжула Максим Анатолійович 380662608501</t>
  </si>
  <si>
    <t>Приватна особа м. Миколаїв, Відділення №35 (до 30 кг на одне місце): вул. Гліба Бабича, 2</t>
  </si>
  <si>
    <t>Корнієнко Віталій Олегович 380960564536</t>
  </si>
  <si>
    <t>20451226517334</t>
  </si>
  <si>
    <t>15.08.2025</t>
  </si>
  <si>
    <t>ТОВ "ТЕПЛОКЕРАМІК" м. Київ, вул. Малинська, 3</t>
  </si>
  <si>
    <t>Глушенко Олег Миколайович 380958704869</t>
  </si>
  <si>
    <t>Палети</t>
  </si>
  <si>
    <t>20451228734790</t>
  </si>
  <si>
    <t>20.08.2025</t>
  </si>
  <si>
    <t>59001442774091</t>
  </si>
  <si>
    <t>27.08.2025</t>
  </si>
  <si>
    <t>20400475140154</t>
  </si>
  <si>
    <t>29.08.2025</t>
  </si>
  <si>
    <t>59001442969751</t>
  </si>
  <si>
    <t>Приватна особа м. Київ, Відділення №172 (до 30 кг): вул. Олевська, 9, прим. 304</t>
  </si>
  <si>
    <t>Сенченко Касян Богданович 380999505665</t>
  </si>
  <si>
    <t>фурнітура</t>
  </si>
  <si>
    <t>Разом</t>
  </si>
  <si>
    <t>МД ООН 2025</t>
  </si>
  <si>
    <t>МД 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</si>
</sst>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color indexed="24"/>
      <name val="Arial"/>
      <family val="2"/>
    </font>
    <font>
      <sz val="5"/>
      <name val="Arial"/>
      <family val="2"/>
    </font>
    <font>
      <b/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medium">
        <color indexed="64"/>
      </left>
      <right style="thin">
        <color indexed="29"/>
      </right>
      <top style="medium">
        <color indexed="64"/>
      </top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medium">
        <color indexed="64"/>
      </top>
      <bottom style="thin">
        <color indexed="29"/>
      </bottom>
      <diagonal/>
    </border>
    <border>
      <left style="thin">
        <color indexed="29"/>
      </left>
      <right style="medium">
        <color indexed="64"/>
      </right>
      <top style="medium">
        <color indexed="64"/>
      </top>
      <bottom style="thin">
        <color indexed="29"/>
      </bottom>
      <diagonal/>
    </border>
    <border>
      <left style="medium">
        <color indexed="64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medium">
        <color indexed="64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2" fontId="6" fillId="0" borderId="2" xfId="0" applyNumberFormat="1" applyFont="1" applyBorder="1" applyAlignment="1">
      <alignment horizontal="right" vertical="top"/>
    </xf>
    <xf numFmtId="1" fontId="6" fillId="0" borderId="2" xfId="0" applyNumberFormat="1" applyFont="1" applyBorder="1" applyAlignment="1">
      <alignment horizontal="right" vertical="top"/>
    </xf>
    <xf numFmtId="2" fontId="6" fillId="3" borderId="2" xfId="0" applyNumberFormat="1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2" fontId="6" fillId="0" borderId="4" xfId="0" applyNumberFormat="1" applyFont="1" applyBorder="1" applyAlignment="1">
      <alignment horizontal="right" vertical="top"/>
    </xf>
    <xf numFmtId="1" fontId="6" fillId="0" borderId="4" xfId="0" applyNumberFormat="1" applyFont="1" applyBorder="1" applyAlignment="1">
      <alignment horizontal="right" vertical="top"/>
    </xf>
    <xf numFmtId="2" fontId="6" fillId="0" borderId="5" xfId="0" applyNumberFormat="1" applyFont="1" applyBorder="1" applyAlignment="1">
      <alignment horizontal="right" vertical="top"/>
    </xf>
    <xf numFmtId="2" fontId="6" fillId="3" borderId="5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top" wrapText="1"/>
    </xf>
    <xf numFmtId="2" fontId="6" fillId="0" borderId="7" xfId="0" applyNumberFormat="1" applyFont="1" applyBorder="1" applyAlignment="1">
      <alignment horizontal="right" vertical="top"/>
    </xf>
    <xf numFmtId="2" fontId="6" fillId="3" borderId="7" xfId="0" applyNumberFormat="1" applyFont="1" applyFill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0" fontId="5" fillId="2" borderId="8" xfId="0" applyFont="1" applyFill="1" applyBorder="1"/>
    <xf numFmtId="4" fontId="7" fillId="2" borderId="8" xfId="0" applyNumberFormat="1" applyFont="1" applyFill="1" applyBorder="1"/>
    <xf numFmtId="2" fontId="7" fillId="2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480060</xdr:colOff>
      <xdr:row>0</xdr:row>
      <xdr:rowOff>0</xdr:rowOff>
    </xdr:from>
    <xdr:to>
      <xdr:col>12</xdr:col>
      <xdr:colOff>517635</xdr:colOff>
      <xdr:row>5</xdr:row>
      <xdr:rowOff>101111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BE59A15-D248-4692-9B07-48922C4C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5260" y="0"/>
          <a:ext cx="1127235" cy="1038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860F-A70A-448A-BA0A-74A6CE14CABF}">
  <sheetPr>
    <outlinePr summaryBelow="0" summaryRight="0"/>
    <pageSetUpPr autoPageBreaks="0"/>
  </sheetPr>
  <dimension ref="A1:P35"/>
  <sheetViews>
    <sheetView tabSelected="1" topLeftCell="B1" zoomScale="130" zoomScaleNormal="130" workbookViewId="0">
      <selection activeCell="J16" sqref="J16"/>
    </sheetView>
  </sheetViews>
  <sheetFormatPr defaultColWidth="10.6640625" defaultRowHeight="11.25" x14ac:dyDescent="0.2"/>
  <cols>
    <col min="1" max="1" width="4.1640625" style="5" customWidth="1"/>
    <col min="2" max="2" width="11.33203125" style="5" customWidth="1"/>
    <col min="3" max="3" width="7" style="5" customWidth="1"/>
    <col min="4" max="4" width="10.83203125" style="5" customWidth="1"/>
    <col min="5" max="5" width="26.83203125" style="5" customWidth="1"/>
    <col min="6" max="6" width="17.83203125" style="5" customWidth="1"/>
    <col min="7" max="7" width="22.1640625" style="5" customWidth="1"/>
    <col min="8" max="8" width="17.83203125" style="5" customWidth="1"/>
    <col min="9" max="9" width="11" style="5" customWidth="1"/>
    <col min="10" max="10" width="8.1640625" style="5" customWidth="1"/>
    <col min="11" max="11" width="9.83203125" style="5" customWidth="1"/>
    <col min="12" max="12" width="10.5" style="5" bestFit="1" customWidth="1"/>
    <col min="13" max="13" width="10.1640625" style="5" customWidth="1"/>
    <col min="14" max="14" width="11.5" style="1" bestFit="1" customWidth="1"/>
    <col min="15" max="15" width="15.83203125" style="1" bestFit="1" customWidth="1"/>
  </cols>
  <sheetData>
    <row r="1" spans="1:16" ht="18" x14ac:dyDescent="0.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6" ht="20.2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</row>
    <row r="3" spans="1:16" ht="12" x14ac:dyDescent="0.2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6" ht="12.75" x14ac:dyDescent="0.2">
      <c r="A4" s="4"/>
    </row>
    <row r="5" spans="1:16" x14ac:dyDescent="0.2">
      <c r="A5" s="30" t="s">
        <v>2</v>
      </c>
      <c r="B5" s="31"/>
      <c r="C5" s="31"/>
      <c r="D5" s="31"/>
      <c r="E5" s="31"/>
      <c r="F5" s="31"/>
      <c r="G5" s="31"/>
      <c r="H5" s="31"/>
      <c r="I5" s="31"/>
      <c r="J5" s="31"/>
    </row>
    <row r="6" spans="1:16" s="5" customFormat="1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N6" s="1"/>
      <c r="O6" s="1"/>
    </row>
    <row r="7" spans="1:16" s="5" customFormat="1" x14ac:dyDescent="0.2">
      <c r="A7" s="30" t="s">
        <v>3</v>
      </c>
      <c r="B7" s="31"/>
      <c r="C7" s="31"/>
      <c r="D7" s="31"/>
      <c r="E7" s="31"/>
      <c r="F7" s="31"/>
      <c r="G7" s="31"/>
      <c r="H7" s="31"/>
      <c r="I7" s="31"/>
      <c r="J7" s="31"/>
      <c r="N7" s="1"/>
      <c r="O7" s="1"/>
    </row>
    <row r="8" spans="1:16" s="5" customFormat="1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N8" s="1"/>
      <c r="O8" s="1"/>
    </row>
    <row r="9" spans="1:16" s="5" customFormat="1" x14ac:dyDescent="0.2">
      <c r="A9" s="32" t="s">
        <v>4</v>
      </c>
      <c r="B9" s="32"/>
      <c r="C9" s="32"/>
      <c r="D9" s="32"/>
      <c r="E9" s="32"/>
      <c r="F9" s="32"/>
      <c r="G9" s="32"/>
      <c r="H9" s="32"/>
      <c r="I9" s="32"/>
      <c r="J9" s="32"/>
      <c r="N9" s="1"/>
      <c r="O9" s="1"/>
    </row>
    <row r="10" spans="1:16" s="5" customFormat="1" x14ac:dyDescent="0.2">
      <c r="N10" s="1"/>
      <c r="O10" s="1"/>
    </row>
    <row r="11" spans="1:16" ht="22.5" x14ac:dyDescent="0.2">
      <c r="A11" s="6" t="s">
        <v>5</v>
      </c>
      <c r="B11" s="6" t="s">
        <v>6</v>
      </c>
      <c r="C11" s="6" t="s">
        <v>7</v>
      </c>
      <c r="D11" s="6" t="s">
        <v>8</v>
      </c>
      <c r="E11" s="6" t="s">
        <v>9</v>
      </c>
      <c r="F11" s="6" t="s">
        <v>10</v>
      </c>
      <c r="G11" s="6" t="s">
        <v>11</v>
      </c>
      <c r="H11" s="6" t="s">
        <v>12</v>
      </c>
      <c r="I11" s="6" t="s">
        <v>13</v>
      </c>
      <c r="J11" s="6" t="s">
        <v>14</v>
      </c>
      <c r="K11" s="6" t="s">
        <v>15</v>
      </c>
      <c r="L11" s="6" t="s">
        <v>16</v>
      </c>
      <c r="M11" s="6" t="s">
        <v>17</v>
      </c>
      <c r="N11" s="7" t="s">
        <v>18</v>
      </c>
      <c r="O11" s="7" t="s">
        <v>19</v>
      </c>
    </row>
    <row r="12" spans="1:16" ht="16.5" x14ac:dyDescent="0.2">
      <c r="A12" s="8">
        <v>3</v>
      </c>
      <c r="B12" s="9" t="s">
        <v>20</v>
      </c>
      <c r="C12" s="9" t="s">
        <v>21</v>
      </c>
      <c r="D12" s="9" t="s">
        <v>22</v>
      </c>
      <c r="E12" s="9" t="s">
        <v>23</v>
      </c>
      <c r="F12" s="9" t="s">
        <v>24</v>
      </c>
      <c r="G12" s="9" t="s">
        <v>25</v>
      </c>
      <c r="H12" s="9" t="s">
        <v>26</v>
      </c>
      <c r="I12" s="9" t="s">
        <v>27</v>
      </c>
      <c r="J12" s="10">
        <v>72</v>
      </c>
      <c r="K12" s="11">
        <v>1</v>
      </c>
      <c r="L12" s="10">
        <v>20900</v>
      </c>
      <c r="M12" s="10">
        <v>1000.5</v>
      </c>
      <c r="N12" s="12"/>
      <c r="O12" s="13" t="s">
        <v>28</v>
      </c>
      <c r="P12" s="13" t="s">
        <v>120</v>
      </c>
    </row>
    <row r="13" spans="1:16" ht="16.5" x14ac:dyDescent="0.2">
      <c r="A13" s="8">
        <v>10</v>
      </c>
      <c r="B13" s="9" t="s">
        <v>30</v>
      </c>
      <c r="C13" s="9" t="s">
        <v>31</v>
      </c>
      <c r="D13" s="9" t="s">
        <v>32</v>
      </c>
      <c r="E13" s="9" t="s">
        <v>33</v>
      </c>
      <c r="F13" s="9" t="s">
        <v>34</v>
      </c>
      <c r="G13" s="9" t="s">
        <v>25</v>
      </c>
      <c r="H13" s="9" t="s">
        <v>26</v>
      </c>
      <c r="I13" s="9" t="s">
        <v>35</v>
      </c>
      <c r="J13" s="10">
        <v>50</v>
      </c>
      <c r="K13" s="11">
        <v>1</v>
      </c>
      <c r="L13" s="10">
        <v>50000</v>
      </c>
      <c r="M13" s="10">
        <v>970</v>
      </c>
      <c r="N13" s="12"/>
      <c r="O13" s="13" t="s">
        <v>36</v>
      </c>
      <c r="P13" s="13" t="s">
        <v>29</v>
      </c>
    </row>
    <row r="14" spans="1:16" ht="16.5" x14ac:dyDescent="0.2">
      <c r="A14" s="8">
        <v>11</v>
      </c>
      <c r="B14" s="9" t="s">
        <v>37</v>
      </c>
      <c r="C14" s="9" t="s">
        <v>38</v>
      </c>
      <c r="D14" s="9" t="s">
        <v>22</v>
      </c>
      <c r="E14" s="9" t="s">
        <v>23</v>
      </c>
      <c r="F14" s="9" t="s">
        <v>24</v>
      </c>
      <c r="G14" s="9" t="s">
        <v>25</v>
      </c>
      <c r="H14" s="9" t="s">
        <v>26</v>
      </c>
      <c r="I14" s="9" t="s">
        <v>27</v>
      </c>
      <c r="J14" s="10">
        <v>72</v>
      </c>
      <c r="K14" s="11">
        <v>1</v>
      </c>
      <c r="L14" s="10">
        <v>20900</v>
      </c>
      <c r="M14" s="10">
        <v>1000.5</v>
      </c>
      <c r="N14" s="12"/>
      <c r="O14" s="13" t="s">
        <v>28</v>
      </c>
      <c r="P14" s="13" t="s">
        <v>120</v>
      </c>
    </row>
    <row r="15" spans="1:16" ht="24.75" x14ac:dyDescent="0.2">
      <c r="A15" s="8">
        <v>14</v>
      </c>
      <c r="B15" s="9" t="s">
        <v>39</v>
      </c>
      <c r="C15" s="9" t="s">
        <v>40</v>
      </c>
      <c r="D15" s="9" t="s">
        <v>41</v>
      </c>
      <c r="E15" s="9" t="s">
        <v>42</v>
      </c>
      <c r="F15" s="9" t="s">
        <v>43</v>
      </c>
      <c r="G15" s="9" t="s">
        <v>25</v>
      </c>
      <c r="H15" s="9" t="s">
        <v>26</v>
      </c>
      <c r="I15" s="9" t="s">
        <v>44</v>
      </c>
      <c r="J15" s="10">
        <v>387</v>
      </c>
      <c r="K15" s="11">
        <v>1</v>
      </c>
      <c r="L15" s="10">
        <v>9000</v>
      </c>
      <c r="M15" s="10">
        <v>4311</v>
      </c>
      <c r="N15" s="12"/>
      <c r="O15" s="13" t="s">
        <v>28</v>
      </c>
      <c r="P15" s="13" t="s">
        <v>121</v>
      </c>
    </row>
    <row r="16" spans="1:16" ht="33" x14ac:dyDescent="0.2">
      <c r="A16" s="8">
        <v>55</v>
      </c>
      <c r="B16" s="9" t="s">
        <v>45</v>
      </c>
      <c r="C16" s="9" t="s">
        <v>46</v>
      </c>
      <c r="D16" s="9" t="s">
        <v>47</v>
      </c>
      <c r="E16" s="9" t="s">
        <v>48</v>
      </c>
      <c r="F16" s="9" t="s">
        <v>26</v>
      </c>
      <c r="G16" s="9" t="s">
        <v>49</v>
      </c>
      <c r="H16" s="9" t="s">
        <v>50</v>
      </c>
      <c r="I16" s="9" t="s">
        <v>51</v>
      </c>
      <c r="J16" s="10">
        <v>1</v>
      </c>
      <c r="K16" s="11">
        <v>1</v>
      </c>
      <c r="L16" s="10">
        <v>100</v>
      </c>
      <c r="M16" s="10">
        <v>65</v>
      </c>
      <c r="N16" s="12"/>
      <c r="O16" s="13" t="s">
        <v>52</v>
      </c>
      <c r="P16" s="13" t="s">
        <v>121</v>
      </c>
    </row>
    <row r="17" spans="1:16" ht="24.75" x14ac:dyDescent="0.2">
      <c r="A17" s="8">
        <v>69</v>
      </c>
      <c r="B17" s="9" t="s">
        <v>53</v>
      </c>
      <c r="C17" s="9" t="s">
        <v>54</v>
      </c>
      <c r="D17" s="9" t="s">
        <v>47</v>
      </c>
      <c r="E17" s="9" t="s">
        <v>55</v>
      </c>
      <c r="F17" s="9" t="s">
        <v>56</v>
      </c>
      <c r="G17" s="9" t="s">
        <v>57</v>
      </c>
      <c r="H17" s="9" t="s">
        <v>26</v>
      </c>
      <c r="I17" s="9" t="s">
        <v>51</v>
      </c>
      <c r="J17" s="10">
        <v>1</v>
      </c>
      <c r="K17" s="11">
        <v>1</v>
      </c>
      <c r="L17" s="10">
        <v>100</v>
      </c>
      <c r="M17" s="10">
        <v>100</v>
      </c>
      <c r="N17" s="12"/>
      <c r="O17" s="13" t="s">
        <v>52</v>
      </c>
      <c r="P17" s="13" t="s">
        <v>120</v>
      </c>
    </row>
    <row r="18" spans="1:16" ht="16.5" x14ac:dyDescent="0.2">
      <c r="A18" s="8">
        <v>75</v>
      </c>
      <c r="B18" s="9" t="s">
        <v>58</v>
      </c>
      <c r="C18" s="9" t="s">
        <v>38</v>
      </c>
      <c r="D18" s="9" t="s">
        <v>59</v>
      </c>
      <c r="E18" s="9" t="s">
        <v>60</v>
      </c>
      <c r="F18" s="9" t="s">
        <v>61</v>
      </c>
      <c r="G18" s="9" t="s">
        <v>25</v>
      </c>
      <c r="H18" s="9" t="s">
        <v>26</v>
      </c>
      <c r="I18" s="9" t="s">
        <v>51</v>
      </c>
      <c r="J18" s="10">
        <v>0.1</v>
      </c>
      <c r="K18" s="11">
        <v>1</v>
      </c>
      <c r="L18" s="10">
        <v>100</v>
      </c>
      <c r="M18" s="10">
        <v>100</v>
      </c>
      <c r="N18" s="12"/>
      <c r="O18" s="13" t="s">
        <v>52</v>
      </c>
      <c r="P18" s="13" t="s">
        <v>29</v>
      </c>
    </row>
    <row r="19" spans="1:16" ht="24.75" x14ac:dyDescent="0.2">
      <c r="A19" s="8">
        <v>76</v>
      </c>
      <c r="B19" s="9" t="s">
        <v>62</v>
      </c>
      <c r="C19" s="9" t="s">
        <v>63</v>
      </c>
      <c r="D19" s="9" t="s">
        <v>64</v>
      </c>
      <c r="E19" s="9" t="s">
        <v>65</v>
      </c>
      <c r="F19" s="9" t="s">
        <v>66</v>
      </c>
      <c r="G19" s="9" t="s">
        <v>25</v>
      </c>
      <c r="H19" s="9" t="s">
        <v>26</v>
      </c>
      <c r="I19" s="9" t="s">
        <v>51</v>
      </c>
      <c r="J19" s="10">
        <v>0.5</v>
      </c>
      <c r="K19" s="11">
        <v>1</v>
      </c>
      <c r="L19" s="10">
        <v>200</v>
      </c>
      <c r="M19" s="10">
        <v>100</v>
      </c>
      <c r="N19" s="12"/>
      <c r="O19" s="13" t="s">
        <v>52</v>
      </c>
      <c r="P19" s="13" t="s">
        <v>120</v>
      </c>
    </row>
    <row r="20" spans="1:16" ht="24.75" x14ac:dyDescent="0.2">
      <c r="A20" s="8">
        <v>77</v>
      </c>
      <c r="B20" s="9" t="s">
        <v>67</v>
      </c>
      <c r="C20" s="9" t="s">
        <v>38</v>
      </c>
      <c r="D20" s="9" t="s">
        <v>68</v>
      </c>
      <c r="E20" s="9" t="s">
        <v>69</v>
      </c>
      <c r="F20" s="9" t="s">
        <v>70</v>
      </c>
      <c r="G20" s="9" t="s">
        <v>25</v>
      </c>
      <c r="H20" s="9" t="s">
        <v>26</v>
      </c>
      <c r="I20" s="9" t="s">
        <v>51</v>
      </c>
      <c r="J20" s="10">
        <v>0.15</v>
      </c>
      <c r="K20" s="11">
        <v>1</v>
      </c>
      <c r="L20" s="10">
        <v>50</v>
      </c>
      <c r="M20" s="10">
        <v>100</v>
      </c>
      <c r="N20" s="12"/>
      <c r="O20" s="13" t="s">
        <v>52</v>
      </c>
      <c r="P20" s="13" t="s">
        <v>120</v>
      </c>
    </row>
    <row r="21" spans="1:16" ht="24.75" x14ac:dyDescent="0.2">
      <c r="A21" s="8">
        <v>79</v>
      </c>
      <c r="B21" s="9" t="s">
        <v>71</v>
      </c>
      <c r="C21" s="9" t="s">
        <v>72</v>
      </c>
      <c r="D21" s="9" t="s">
        <v>73</v>
      </c>
      <c r="E21" s="9" t="s">
        <v>74</v>
      </c>
      <c r="F21" s="9" t="s">
        <v>75</v>
      </c>
      <c r="G21" s="9" t="s">
        <v>25</v>
      </c>
      <c r="H21" s="9" t="s">
        <v>26</v>
      </c>
      <c r="I21" s="9" t="s">
        <v>51</v>
      </c>
      <c r="J21" s="10">
        <v>1</v>
      </c>
      <c r="K21" s="11">
        <v>1</v>
      </c>
      <c r="L21" s="10">
        <v>200</v>
      </c>
      <c r="M21" s="10">
        <v>100</v>
      </c>
      <c r="N21" s="12"/>
      <c r="O21" s="13" t="s">
        <v>52</v>
      </c>
      <c r="P21" s="13" t="s">
        <v>121</v>
      </c>
    </row>
    <row r="22" spans="1:16" ht="24.75" x14ac:dyDescent="0.2">
      <c r="A22" s="8">
        <v>80</v>
      </c>
      <c r="B22" s="9" t="s">
        <v>76</v>
      </c>
      <c r="C22" s="9" t="s">
        <v>54</v>
      </c>
      <c r="D22" s="9" t="s">
        <v>64</v>
      </c>
      <c r="E22" s="9" t="s">
        <v>77</v>
      </c>
      <c r="F22" s="9" t="s">
        <v>78</v>
      </c>
      <c r="G22" s="9" t="s">
        <v>25</v>
      </c>
      <c r="H22" s="9" t="s">
        <v>26</v>
      </c>
      <c r="I22" s="9" t="s">
        <v>51</v>
      </c>
      <c r="J22" s="10">
        <v>0.15</v>
      </c>
      <c r="K22" s="11">
        <v>1</v>
      </c>
      <c r="L22" s="10">
        <v>200</v>
      </c>
      <c r="M22" s="10">
        <v>100</v>
      </c>
      <c r="N22" s="12"/>
      <c r="O22" s="13" t="s">
        <v>52</v>
      </c>
      <c r="P22" s="13" t="s">
        <v>29</v>
      </c>
    </row>
    <row r="23" spans="1:16" ht="24.75" x14ac:dyDescent="0.2">
      <c r="A23" s="8">
        <v>82</v>
      </c>
      <c r="B23" s="9" t="s">
        <v>79</v>
      </c>
      <c r="C23" s="9" t="s">
        <v>80</v>
      </c>
      <c r="D23" s="9" t="s">
        <v>64</v>
      </c>
      <c r="E23" s="9" t="s">
        <v>65</v>
      </c>
      <c r="F23" s="9" t="s">
        <v>66</v>
      </c>
      <c r="G23" s="9" t="s">
        <v>25</v>
      </c>
      <c r="H23" s="9" t="s">
        <v>26</v>
      </c>
      <c r="I23" s="9" t="s">
        <v>51</v>
      </c>
      <c r="J23" s="10">
        <v>0.5</v>
      </c>
      <c r="K23" s="11">
        <v>1</v>
      </c>
      <c r="L23" s="10">
        <v>200</v>
      </c>
      <c r="M23" s="10">
        <v>100</v>
      </c>
      <c r="N23" s="12"/>
      <c r="O23" s="13" t="s">
        <v>52</v>
      </c>
      <c r="P23" s="13" t="s">
        <v>121</v>
      </c>
    </row>
    <row r="24" spans="1:16" ht="24.75" x14ac:dyDescent="0.2">
      <c r="A24" s="8">
        <v>83</v>
      </c>
      <c r="B24" s="9" t="s">
        <v>81</v>
      </c>
      <c r="C24" s="9" t="s">
        <v>54</v>
      </c>
      <c r="D24" s="9" t="s">
        <v>73</v>
      </c>
      <c r="E24" s="9" t="s">
        <v>74</v>
      </c>
      <c r="F24" s="9" t="s">
        <v>75</v>
      </c>
      <c r="G24" s="9" t="s">
        <v>25</v>
      </c>
      <c r="H24" s="9" t="s">
        <v>26</v>
      </c>
      <c r="I24" s="9" t="s">
        <v>51</v>
      </c>
      <c r="J24" s="10">
        <v>1</v>
      </c>
      <c r="K24" s="11">
        <v>1</v>
      </c>
      <c r="L24" s="10">
        <v>100</v>
      </c>
      <c r="M24" s="10">
        <v>100</v>
      </c>
      <c r="N24" s="12"/>
      <c r="O24" s="13" t="s">
        <v>52</v>
      </c>
      <c r="P24" s="13" t="s">
        <v>121</v>
      </c>
    </row>
    <row r="25" spans="1:16" ht="16.5" x14ac:dyDescent="0.2">
      <c r="A25" s="8">
        <v>86</v>
      </c>
      <c r="B25" s="9" t="s">
        <v>82</v>
      </c>
      <c r="C25" s="9" t="s">
        <v>38</v>
      </c>
      <c r="D25" s="9" t="s">
        <v>83</v>
      </c>
      <c r="E25" s="9" t="s">
        <v>84</v>
      </c>
      <c r="F25" s="9" t="s">
        <v>85</v>
      </c>
      <c r="G25" s="9" t="s">
        <v>25</v>
      </c>
      <c r="H25" s="9" t="s">
        <v>26</v>
      </c>
      <c r="I25" s="9" t="s">
        <v>86</v>
      </c>
      <c r="J25" s="10">
        <v>9</v>
      </c>
      <c r="K25" s="11">
        <v>1</v>
      </c>
      <c r="L25" s="10">
        <v>2000</v>
      </c>
      <c r="M25" s="10">
        <v>155</v>
      </c>
      <c r="N25" s="12"/>
      <c r="O25" s="13" t="s">
        <v>28</v>
      </c>
      <c r="P25" s="13" t="s">
        <v>29</v>
      </c>
    </row>
    <row r="26" spans="1:16" ht="16.5" x14ac:dyDescent="0.2">
      <c r="A26" s="8">
        <v>96</v>
      </c>
      <c r="B26" s="9" t="s">
        <v>87</v>
      </c>
      <c r="C26" s="9" t="s">
        <v>21</v>
      </c>
      <c r="D26" s="9" t="s">
        <v>64</v>
      </c>
      <c r="E26" s="9" t="s">
        <v>88</v>
      </c>
      <c r="F26" s="9" t="s">
        <v>89</v>
      </c>
      <c r="G26" s="9" t="s">
        <v>25</v>
      </c>
      <c r="H26" s="9" t="s">
        <v>26</v>
      </c>
      <c r="I26" s="9" t="s">
        <v>90</v>
      </c>
      <c r="J26" s="10">
        <v>186.39</v>
      </c>
      <c r="K26" s="11">
        <v>6</v>
      </c>
      <c r="L26" s="10">
        <v>68100</v>
      </c>
      <c r="M26" s="10">
        <v>1996.5</v>
      </c>
      <c r="N26" s="12"/>
      <c r="O26" s="13" t="s">
        <v>28</v>
      </c>
      <c r="P26" s="13" t="s">
        <v>121</v>
      </c>
    </row>
    <row r="27" spans="1:16" ht="16.5" x14ac:dyDescent="0.2">
      <c r="A27" s="8">
        <v>97</v>
      </c>
      <c r="B27" s="9" t="s">
        <v>91</v>
      </c>
      <c r="C27" s="9" t="s">
        <v>40</v>
      </c>
      <c r="D27" s="9" t="s">
        <v>64</v>
      </c>
      <c r="E27" s="9" t="s">
        <v>92</v>
      </c>
      <c r="F27" s="9" t="s">
        <v>93</v>
      </c>
      <c r="G27" s="9" t="s">
        <v>25</v>
      </c>
      <c r="H27" s="9" t="s">
        <v>26</v>
      </c>
      <c r="I27" s="9" t="s">
        <v>94</v>
      </c>
      <c r="J27" s="10">
        <v>56</v>
      </c>
      <c r="K27" s="11">
        <v>1</v>
      </c>
      <c r="L27" s="10">
        <v>10982</v>
      </c>
      <c r="M27" s="10">
        <v>842.91</v>
      </c>
      <c r="N27" s="12"/>
      <c r="O27" s="13" t="s">
        <v>28</v>
      </c>
      <c r="P27" s="13" t="s">
        <v>121</v>
      </c>
    </row>
    <row r="28" spans="1:16" ht="24.75" x14ac:dyDescent="0.2">
      <c r="A28" s="8">
        <v>123</v>
      </c>
      <c r="B28" s="9" t="s">
        <v>95</v>
      </c>
      <c r="C28" s="9" t="s">
        <v>46</v>
      </c>
      <c r="D28" s="9" t="s">
        <v>96</v>
      </c>
      <c r="E28" s="9" t="s">
        <v>48</v>
      </c>
      <c r="F28" s="9" t="s">
        <v>26</v>
      </c>
      <c r="G28" s="9" t="s">
        <v>97</v>
      </c>
      <c r="H28" s="9" t="s">
        <v>98</v>
      </c>
      <c r="I28" s="9" t="s">
        <v>51</v>
      </c>
      <c r="J28" s="10">
        <v>1</v>
      </c>
      <c r="K28" s="11">
        <v>1</v>
      </c>
      <c r="L28" s="10">
        <v>100</v>
      </c>
      <c r="M28" s="10">
        <v>65</v>
      </c>
      <c r="N28" s="12"/>
      <c r="O28" s="13" t="s">
        <v>52</v>
      </c>
      <c r="P28" s="13" t="s">
        <v>120</v>
      </c>
    </row>
    <row r="29" spans="1:16" ht="24.75" x14ac:dyDescent="0.2">
      <c r="A29" s="8">
        <v>125</v>
      </c>
      <c r="B29" s="9" t="s">
        <v>99</v>
      </c>
      <c r="C29" s="9" t="s">
        <v>72</v>
      </c>
      <c r="D29" s="9" t="s">
        <v>100</v>
      </c>
      <c r="E29" s="9" t="s">
        <v>48</v>
      </c>
      <c r="F29" s="9" t="s">
        <v>101</v>
      </c>
      <c r="G29" s="9" t="s">
        <v>102</v>
      </c>
      <c r="H29" s="9" t="s">
        <v>103</v>
      </c>
      <c r="I29" s="9" t="s">
        <v>51</v>
      </c>
      <c r="J29" s="10">
        <v>1</v>
      </c>
      <c r="K29" s="11">
        <v>1</v>
      </c>
      <c r="L29" s="10">
        <v>100</v>
      </c>
      <c r="M29" s="10">
        <v>65</v>
      </c>
      <c r="N29" s="12"/>
      <c r="O29" s="13" t="s">
        <v>52</v>
      </c>
      <c r="P29" s="13" t="s">
        <v>120</v>
      </c>
    </row>
    <row r="30" spans="1:16" ht="16.5" x14ac:dyDescent="0.2">
      <c r="A30" s="8">
        <v>176</v>
      </c>
      <c r="B30" s="9" t="s">
        <v>104</v>
      </c>
      <c r="C30" s="9" t="s">
        <v>105</v>
      </c>
      <c r="D30" s="9" t="s">
        <v>64</v>
      </c>
      <c r="E30" s="9" t="s">
        <v>106</v>
      </c>
      <c r="F30" s="9" t="s">
        <v>107</v>
      </c>
      <c r="G30" s="9" t="s">
        <v>25</v>
      </c>
      <c r="H30" s="9" t="s">
        <v>26</v>
      </c>
      <c r="I30" s="9" t="s">
        <v>108</v>
      </c>
      <c r="J30" s="10">
        <v>500</v>
      </c>
      <c r="K30" s="11">
        <v>1</v>
      </c>
      <c r="L30" s="10">
        <v>38724</v>
      </c>
      <c r="M30" s="10">
        <v>2193.62</v>
      </c>
      <c r="N30" s="12"/>
      <c r="O30" s="13" t="s">
        <v>28</v>
      </c>
      <c r="P30" s="13" t="s">
        <v>121</v>
      </c>
    </row>
    <row r="31" spans="1:16" ht="17.25" thickBot="1" x14ac:dyDescent="0.25">
      <c r="A31" s="8">
        <v>177</v>
      </c>
      <c r="B31" s="9" t="s">
        <v>109</v>
      </c>
      <c r="C31" s="9" t="s">
        <v>110</v>
      </c>
      <c r="D31" s="9" t="s">
        <v>64</v>
      </c>
      <c r="E31" s="9" t="s">
        <v>106</v>
      </c>
      <c r="F31" s="9" t="s">
        <v>107</v>
      </c>
      <c r="G31" s="9" t="s">
        <v>25</v>
      </c>
      <c r="H31" s="9" t="s">
        <v>26</v>
      </c>
      <c r="I31" s="9" t="s">
        <v>108</v>
      </c>
      <c r="J31" s="10">
        <v>500</v>
      </c>
      <c r="K31" s="11">
        <v>1</v>
      </c>
      <c r="L31" s="10">
        <v>23234.400000000001</v>
      </c>
      <c r="M31" s="10">
        <v>2116.17</v>
      </c>
      <c r="N31" s="12"/>
      <c r="O31" s="13" t="s">
        <v>28</v>
      </c>
      <c r="P31" s="13" t="s">
        <v>120</v>
      </c>
    </row>
    <row r="32" spans="1:16" ht="16.5" x14ac:dyDescent="0.2">
      <c r="A32" s="14">
        <v>1</v>
      </c>
      <c r="B32" s="15" t="s">
        <v>111</v>
      </c>
      <c r="C32" s="15" t="s">
        <v>112</v>
      </c>
      <c r="D32" s="15" t="s">
        <v>22</v>
      </c>
      <c r="E32" s="15" t="s">
        <v>23</v>
      </c>
      <c r="F32" s="15" t="s">
        <v>24</v>
      </c>
      <c r="G32" s="15" t="s">
        <v>25</v>
      </c>
      <c r="H32" s="15" t="s">
        <v>26</v>
      </c>
      <c r="I32" s="15" t="s">
        <v>27</v>
      </c>
      <c r="J32" s="16">
        <v>144</v>
      </c>
      <c r="K32" s="17">
        <v>1</v>
      </c>
      <c r="L32" s="16">
        <v>34000</v>
      </c>
      <c r="M32" s="18">
        <v>1862</v>
      </c>
      <c r="N32" s="19"/>
      <c r="O32" s="20" t="s">
        <v>28</v>
      </c>
      <c r="P32" s="20" t="s">
        <v>120</v>
      </c>
    </row>
    <row r="33" spans="1:16" ht="24.75" x14ac:dyDescent="0.2">
      <c r="A33" s="21">
        <v>3</v>
      </c>
      <c r="B33" s="9" t="s">
        <v>113</v>
      </c>
      <c r="C33" s="9" t="s">
        <v>114</v>
      </c>
      <c r="D33" s="9" t="s">
        <v>68</v>
      </c>
      <c r="E33" s="9" t="s">
        <v>69</v>
      </c>
      <c r="F33" s="9" t="s">
        <v>70</v>
      </c>
      <c r="G33" s="9" t="s">
        <v>25</v>
      </c>
      <c r="H33" s="9" t="s">
        <v>26</v>
      </c>
      <c r="I33" s="9" t="s">
        <v>51</v>
      </c>
      <c r="J33" s="10">
        <v>0.15</v>
      </c>
      <c r="K33" s="11">
        <v>1</v>
      </c>
      <c r="L33" s="10">
        <v>50</v>
      </c>
      <c r="M33" s="22">
        <v>100</v>
      </c>
      <c r="N33" s="23"/>
      <c r="O33" s="24" t="s">
        <v>52</v>
      </c>
      <c r="P33" s="24" t="s">
        <v>120</v>
      </c>
    </row>
    <row r="34" spans="1:16" ht="16.5" x14ac:dyDescent="0.2">
      <c r="A34" s="21">
        <v>4</v>
      </c>
      <c r="B34" s="9" t="s">
        <v>115</v>
      </c>
      <c r="C34" s="9" t="s">
        <v>112</v>
      </c>
      <c r="D34" s="9" t="s">
        <v>64</v>
      </c>
      <c r="E34" s="9" t="s">
        <v>116</v>
      </c>
      <c r="F34" s="9" t="s">
        <v>117</v>
      </c>
      <c r="G34" s="9" t="s">
        <v>25</v>
      </c>
      <c r="H34" s="9" t="s">
        <v>26</v>
      </c>
      <c r="I34" s="9" t="s">
        <v>118</v>
      </c>
      <c r="J34" s="10">
        <v>1</v>
      </c>
      <c r="K34" s="11">
        <v>1</v>
      </c>
      <c r="L34" s="10">
        <v>600</v>
      </c>
      <c r="M34" s="22">
        <v>118</v>
      </c>
      <c r="N34" s="23"/>
      <c r="O34" s="24" t="s">
        <v>28</v>
      </c>
      <c r="P34" s="24" t="s">
        <v>121</v>
      </c>
    </row>
    <row r="35" spans="1:16" x14ac:dyDescent="0.2">
      <c r="A35" s="25" t="s">
        <v>119</v>
      </c>
      <c r="B35" s="25"/>
      <c r="C35" s="25"/>
      <c r="D35" s="25"/>
      <c r="E35" s="25"/>
      <c r="F35" s="25"/>
      <c r="G35" s="25"/>
      <c r="H35" s="25"/>
      <c r="I35" s="25"/>
      <c r="J35" s="26">
        <f>SUM(J12:J34)</f>
        <v>1984.94</v>
      </c>
      <c r="K35" s="26">
        <f t="shared" ref="K35:M35" si="0">SUM(K12:K34)</f>
        <v>28</v>
      </c>
      <c r="L35" s="26">
        <f t="shared" si="0"/>
        <v>279940.40000000002</v>
      </c>
      <c r="M35" s="26">
        <f t="shared" si="0"/>
        <v>17661.199999999997</v>
      </c>
      <c r="N35" s="27"/>
      <c r="O35" s="27"/>
    </row>
  </sheetData>
  <autoFilter ref="D11:O35" xr:uid="{720C0C79-2FC0-46B3-8170-5448BFCF3713}"/>
  <mergeCells count="5">
    <mergeCell ref="A1:M1"/>
    <mergeCell ref="A3:M3"/>
    <mergeCell ref="A5:J6"/>
    <mergeCell ref="A7:J8"/>
    <mergeCell ref="A9:J9"/>
  </mergeCells>
  <pageMargins left="0.23622047244094491" right="0.23622047244094491" top="0.19685039370078741" bottom="0.74803149606299213" header="3.937007874015748E-2" footer="3.937007874015748E-2"/>
  <pageSetup paperSize="9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12</vt:i4>
      </vt:variant>
    </vt:vector>
  </HeadingPairs>
  <TitlesOfParts>
    <vt:vector size="13" baseType="lpstr">
      <vt:lpstr>Производство</vt:lpstr>
      <vt:lpstr>Производство!Agreement</vt:lpstr>
      <vt:lpstr>Производство!CompanyName</vt:lpstr>
      <vt:lpstr>Производство!CustName</vt:lpstr>
      <vt:lpstr>Производство!NumberDateTxt</vt:lpstr>
      <vt:lpstr>Производство!PAGEFOOTER</vt:lpstr>
      <vt:lpstr>Производство!PAGEHEADER</vt:lpstr>
      <vt:lpstr>Производство!REPORTFOOTER</vt:lpstr>
      <vt:lpstr>Производство!REPORTHEADER</vt:lpstr>
      <vt:lpstr>Производство!TotalAmount</vt:lpstr>
      <vt:lpstr>Производство!TotalPackageValue</vt:lpstr>
      <vt:lpstr>Производство!TotalSeatCount</vt:lpstr>
      <vt:lpstr>Производство!TotalWeight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cfo</cp:lastModifiedBy>
  <dcterms:created xsi:type="dcterms:W3CDTF">2025-09-17T14:45:55Z</dcterms:created>
  <dcterms:modified xsi:type="dcterms:W3CDTF">2025-09-22T06:55:36Z</dcterms:modified>
</cp:coreProperties>
</file>